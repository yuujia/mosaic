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uji\Dropbox\Kaissa Consumer\Mosaic\buckets\.TESTS\"/>
    </mc:Choice>
  </mc:AlternateContent>
  <xr:revisionPtr revIDLastSave="0" documentId="13_ncr:1_{710998F2-286B-400A-85A2-091EB1BD350C}" xr6:coauthVersionLast="47" xr6:coauthVersionMax="47" xr10:uidLastSave="{00000000-0000-0000-0000-000000000000}"/>
  <bookViews>
    <workbookView xWindow="-98" yWindow="-98" windowWidth="21795" windowHeight="12975" activeTab="2" xr2:uid="{30DE43AD-F492-43CF-BD64-FB4AD4D1959C}"/>
  </bookViews>
  <sheets>
    <sheet name="BIO" sheetId="1" r:id="rId1"/>
    <sheet name="DGX" sheetId="4" r:id="rId2"/>
    <sheet name="LH" sheetId="5" r:id="rId3"/>
  </sheets>
  <definedNames>
    <definedName name="KPI_BLOCK" localSheetId="1">_xlfn.LET(   _xlpm.d, DGX!$L$5:$O$5,   _xlpm.v, DGX!$L$7:$O$7,   _xlpm.yy,DGX!$L$8:$O$8,   _xlpm.qq,DGX!$L$9:$O$9,   _xlpm.dyy,DGX!$L$10:$O$10,   _xlpm.dqq,DGX!$L$11:$O$11,   _xlpm.dd, TRANSPOSE(_xlpm.d),    _xlpm.block, _xlfn.HSTACK(     _xlfn.MAKEARRAY(ROWS(_xlpm.dd),1, _xlfn.LAMBDA(_xlpm.r,_xlpm.c,DGX!$B$2)),     _xlpm.dd,     _xlfn.MAKEARRAY(ROWS(_xlpm.dd),1, _xlfn.LAMBDA(_xlpm.r,_xlpm.c,DGX!$A$7)),     _xlfn.MAKEARRAY(ROWS(_xlpm.dd),1, _xlfn.LAMBDA(_xlpm.r,_xlpm.c,DGX!$B$7)),     TRANSPOSE(_xlpm.v),     TRANSPOSE(_xlpm.yy),     TRANSPOSE(_xlpm.qq),     TRANSPOSE(_xlpm.dyy),     TRANSPOSE(_xlpm.dqq)   ),    _xlfn._xlws.FILTER(_xlpm.block, INDEX(_xlpm.block,,5) &lt;&gt; "") )</definedName>
    <definedName name="KPI_BLOCK" localSheetId="2">_xlfn.LET(   _xlpm.d, LH!$L$5:$O$5,   _xlpm.v, LH!$L$7:$O$7,   _xlpm.yy,LH!$L$8:$O$8,   _xlpm.qq,LH!$L$9:$O$9,   _xlpm.dyy,LH!$L$10:$O$10,   _xlpm.dqq,LH!$L$11:$O$11,   _xlpm.dd, TRANSPOSE(_xlpm.d),    _xlpm.block, _xlfn.HSTACK(     _xlfn.MAKEARRAY(ROWS(_xlpm.dd),1, _xlfn.LAMBDA(_xlpm.r,_xlpm.c,LH!$B$2)),     _xlpm.dd,     _xlfn.MAKEARRAY(ROWS(_xlpm.dd),1, _xlfn.LAMBDA(_xlpm.r,_xlpm.c,LH!$A$7)),     _xlfn.MAKEARRAY(ROWS(_xlpm.dd),1, _xlfn.LAMBDA(_xlpm.r,_xlpm.c,LH!$B$7)),     TRANSPOSE(_xlpm.v),     TRANSPOSE(_xlpm.yy),     TRANSPOSE(_xlpm.qq),     TRANSPOSE(_xlpm.dyy),     TRANSPOSE(_xlpm.dqq)   ),    _xlfn._xlws.FILTER(_xlpm.block, INDEX(_xlpm.block,,5) &lt;&gt; "") )</definedName>
    <definedName name="KPI_BLOCK">_xlfn.LET(   _xlpm.d, BIO!$L$5:$O$5,   _xlpm.v, BIO!$L$7:$O$7,   _xlpm.yy,BIO!$L$8:$O$8,   _xlpm.qq,BIO!$L$9:$O$9,   _xlpm.dyy,BIO!$L$10:$O$10,   _xlpm.dqq,BIO!$L$11:$O$11,   _xlpm.dd, TRANSPOSE(_xlpm.d),    _xlpm.block, _xlfn.HSTACK(     _xlfn.MAKEARRAY(ROWS(_xlpm.dd),1, _xlfn.LAMBDA(_xlpm.r,_xlpm.c,BIO!$B$2)),     _xlpm.dd,     _xlfn.MAKEARRAY(ROWS(_xlpm.dd),1, _xlfn.LAMBDA(_xlpm.r,_xlpm.c,BIO!$A$7)),     _xlfn.MAKEARRAY(ROWS(_xlpm.dd),1, _xlfn.LAMBDA(_xlpm.r,_xlpm.c,BIO!$B$7)),     TRANSPOSE(_xlpm.v),     TRANSPOSE(_xlpm.yy),     TRANSPOSE(_xlpm.qq),     TRANSPOSE(_xlpm.dyy),     TRANSPOSE(_xlpm.dqq)   ),    _xlfn._xlws.FILTER(_xlpm.block, INDEX(_xlpm.block,,5) &lt;&gt; "") 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1" i="5" l="1"/>
  <c r="N51" i="5"/>
  <c r="M51" i="5"/>
  <c r="L51" i="5"/>
  <c r="O48" i="5"/>
  <c r="N48" i="5"/>
  <c r="M48" i="5"/>
  <c r="L48" i="5"/>
  <c r="K48" i="5"/>
  <c r="O43" i="5"/>
  <c r="N43" i="5"/>
  <c r="M43" i="5"/>
  <c r="L43" i="5"/>
  <c r="O40" i="5"/>
  <c r="N40" i="5"/>
  <c r="M40" i="5"/>
  <c r="L40" i="5"/>
  <c r="K40" i="5"/>
  <c r="O35" i="5"/>
  <c r="N35" i="5"/>
  <c r="M35" i="5"/>
  <c r="L35" i="5"/>
  <c r="O32" i="5"/>
  <c r="N32" i="5"/>
  <c r="M32" i="5"/>
  <c r="L32" i="5"/>
  <c r="K32" i="5"/>
  <c r="H45" i="5"/>
  <c r="G45" i="5"/>
  <c r="H37" i="5"/>
  <c r="G37" i="5"/>
  <c r="H29" i="5"/>
  <c r="G29" i="5"/>
  <c r="O35" i="4"/>
  <c r="N35" i="4"/>
  <c r="M35" i="4"/>
  <c r="L35" i="4"/>
  <c r="O32" i="4"/>
  <c r="N32" i="4"/>
  <c r="M32" i="4"/>
  <c r="L32" i="4"/>
  <c r="K32" i="4"/>
  <c r="O43" i="4"/>
  <c r="N43" i="4"/>
  <c r="M43" i="4"/>
  <c r="L43" i="4"/>
  <c r="O40" i="4"/>
  <c r="N40" i="4"/>
  <c r="M40" i="4"/>
  <c r="L40" i="4"/>
  <c r="K40" i="4"/>
  <c r="G37" i="4"/>
  <c r="G29" i="4"/>
  <c r="O67" i="1"/>
  <c r="N67" i="1"/>
  <c r="M67" i="1"/>
  <c r="L67" i="1"/>
  <c r="O64" i="1"/>
  <c r="N64" i="1"/>
  <c r="M64" i="1"/>
  <c r="L64" i="1"/>
  <c r="K64" i="1"/>
  <c r="O59" i="1"/>
  <c r="N59" i="1"/>
  <c r="M59" i="1"/>
  <c r="L59" i="1"/>
  <c r="O56" i="1"/>
  <c r="N56" i="1"/>
  <c r="M56" i="1"/>
  <c r="L56" i="1"/>
  <c r="K56" i="1"/>
  <c r="J61" i="1"/>
  <c r="J45" i="1"/>
  <c r="J53" i="1"/>
  <c r="M51" i="1"/>
  <c r="N51" i="1"/>
  <c r="O51" i="1"/>
  <c r="L51" i="1"/>
  <c r="K48" i="1" l="1"/>
  <c r="N48" i="1"/>
  <c r="M48" i="1"/>
  <c r="L48" i="1"/>
  <c r="O48" i="1"/>
  <c r="I61" i="1"/>
  <c r="H61" i="1"/>
  <c r="G61" i="1"/>
  <c r="I53" i="1"/>
  <c r="H53" i="1"/>
  <c r="G53" i="1"/>
  <c r="I45" i="1"/>
  <c r="H45" i="1"/>
  <c r="G45" i="1"/>
  <c r="O43" i="1"/>
  <c r="N43" i="1"/>
  <c r="M43" i="1"/>
  <c r="L43" i="1"/>
  <c r="O40" i="1"/>
  <c r="O42" i="1" s="1"/>
  <c r="N40" i="1"/>
  <c r="N42" i="1" s="1"/>
  <c r="M40" i="1"/>
  <c r="M42" i="1" s="1"/>
  <c r="L40" i="1"/>
  <c r="L41" i="1" s="1"/>
  <c r="K40" i="1"/>
  <c r="J40" i="1"/>
  <c r="I40" i="1"/>
  <c r="H40" i="1"/>
  <c r="J37" i="1"/>
  <c r="I37" i="1"/>
  <c r="H37" i="1"/>
  <c r="G37" i="1"/>
  <c r="F37" i="1"/>
  <c r="E37" i="1"/>
  <c r="D37" i="1"/>
  <c r="F29" i="1"/>
  <c r="E29" i="1"/>
  <c r="D29" i="1"/>
  <c r="O35" i="1"/>
  <c r="N35" i="1"/>
  <c r="M35" i="1"/>
  <c r="L35" i="1"/>
  <c r="O32" i="1"/>
  <c r="O34" i="1" s="1"/>
  <c r="N32" i="1"/>
  <c r="N33" i="1" s="1"/>
  <c r="M32" i="1"/>
  <c r="L32" i="1"/>
  <c r="L33" i="1" s="1"/>
  <c r="K32" i="1"/>
  <c r="J32" i="1"/>
  <c r="I32" i="1"/>
  <c r="H32" i="1"/>
  <c r="J29" i="1"/>
  <c r="I29" i="1"/>
  <c r="H29" i="1"/>
  <c r="G29" i="1"/>
  <c r="O45" i="5"/>
  <c r="N45" i="5"/>
  <c r="M45" i="5"/>
  <c r="L45" i="5"/>
  <c r="K45" i="5"/>
  <c r="J45" i="5"/>
  <c r="I45" i="5"/>
  <c r="O37" i="5"/>
  <c r="N37" i="5"/>
  <c r="M37" i="5"/>
  <c r="L37" i="5"/>
  <c r="K37" i="5"/>
  <c r="J37" i="5"/>
  <c r="I37" i="5"/>
  <c r="O29" i="5"/>
  <c r="N29" i="5"/>
  <c r="M29" i="5"/>
  <c r="L29" i="5"/>
  <c r="K29" i="5"/>
  <c r="J29" i="5"/>
  <c r="I29" i="5"/>
  <c r="B4" i="5"/>
  <c r="B3" i="5" s="1"/>
  <c r="O37" i="4"/>
  <c r="N37" i="4"/>
  <c r="M37" i="4"/>
  <c r="L37" i="4"/>
  <c r="K37" i="4"/>
  <c r="J37" i="4"/>
  <c r="I37" i="4"/>
  <c r="H37" i="4"/>
  <c r="O29" i="4"/>
  <c r="N29" i="4"/>
  <c r="M29" i="4"/>
  <c r="L29" i="4"/>
  <c r="K29" i="4"/>
  <c r="J29" i="4"/>
  <c r="I29" i="4"/>
  <c r="H29" i="4"/>
  <c r="B4" i="4"/>
  <c r="B3" i="4" s="1"/>
  <c r="O61" i="1"/>
  <c r="N61" i="1"/>
  <c r="M61" i="1"/>
  <c r="L61" i="1"/>
  <c r="K61" i="1"/>
  <c r="O53" i="1"/>
  <c r="N53" i="1"/>
  <c r="M53" i="1"/>
  <c r="L53" i="1"/>
  <c r="K53" i="1"/>
  <c r="L37" i="1"/>
  <c r="K37" i="1"/>
  <c r="L29" i="1"/>
  <c r="K29" i="1"/>
  <c r="O37" i="1"/>
  <c r="N37" i="1"/>
  <c r="M37" i="1"/>
  <c r="O29" i="1"/>
  <c r="L45" i="1"/>
  <c r="M45" i="1"/>
  <c r="N45" i="1"/>
  <c r="O45" i="1"/>
  <c r="K45" i="1"/>
  <c r="N29" i="1"/>
  <c r="M29" i="1"/>
  <c r="D22" i="4" a="1"/>
  <c r="D6" i="4" a="1"/>
  <c r="D14" i="4" a="1"/>
  <c r="D6" i="5" a="1"/>
  <c r="D14" i="5" a="1"/>
  <c r="D22" i="5" a="1"/>
  <c r="D22" i="5" l="1"/>
  <c r="D14" i="5"/>
  <c r="D6" i="5"/>
  <c r="D14" i="4"/>
  <c r="D6" i="4"/>
  <c r="D22" i="4"/>
  <c r="D13" i="5"/>
  <c r="O27" i="5"/>
  <c r="L27" i="5"/>
  <c r="N27" i="5"/>
  <c r="M27" i="5"/>
  <c r="O19" i="5"/>
  <c r="N19" i="5"/>
  <c r="M19" i="5"/>
  <c r="L19" i="5"/>
  <c r="O27" i="4"/>
  <c r="L27" i="4"/>
  <c r="N27" i="4"/>
  <c r="M27" i="4"/>
  <c r="M19" i="4"/>
  <c r="N19" i="4"/>
  <c r="O19" i="4"/>
  <c r="L19" i="4"/>
  <c r="F21" i="5"/>
  <c r="G21" i="5"/>
  <c r="H21" i="5"/>
  <c r="I21" i="5"/>
  <c r="N24" i="5"/>
  <c r="L24" i="5"/>
  <c r="J24" i="5"/>
  <c r="H24" i="5"/>
  <c r="M24" i="5"/>
  <c r="K24" i="5"/>
  <c r="I24" i="5"/>
  <c r="O24" i="5"/>
  <c r="F13" i="5"/>
  <c r="I13" i="5"/>
  <c r="G13" i="5"/>
  <c r="H13" i="5"/>
  <c r="K16" i="5"/>
  <c r="J16" i="5"/>
  <c r="H16" i="5"/>
  <c r="O16" i="5"/>
  <c r="L16" i="5"/>
  <c r="I16" i="5"/>
  <c r="N16" i="5"/>
  <c r="M16" i="5"/>
  <c r="O11" i="5"/>
  <c r="K8" i="5"/>
  <c r="N8" i="5"/>
  <c r="N11" i="5"/>
  <c r="J8" i="5"/>
  <c r="M8" i="5"/>
  <c r="M11" i="5"/>
  <c r="I8" i="5"/>
  <c r="L8" i="5"/>
  <c r="L11" i="5"/>
  <c r="H8" i="5"/>
  <c r="O8" i="5"/>
  <c r="F5" i="5"/>
  <c r="G5" i="5"/>
  <c r="H5" i="5"/>
  <c r="I5" i="5"/>
  <c r="D5" i="5"/>
  <c r="D21" i="5"/>
  <c r="Q18" i="5" a="1"/>
  <c r="Q18" i="5" s="1"/>
  <c r="Q14" i="5" a="1"/>
  <c r="Q14" i="5" s="1"/>
  <c r="K24" i="4"/>
  <c r="J24" i="4"/>
  <c r="I24" i="4"/>
  <c r="H24" i="4"/>
  <c r="O24" i="4"/>
  <c r="N24" i="4"/>
  <c r="M24" i="4"/>
  <c r="L24" i="4"/>
  <c r="E21" i="4"/>
  <c r="G21" i="4"/>
  <c r="F21" i="4"/>
  <c r="H21" i="4"/>
  <c r="K16" i="4"/>
  <c r="J16" i="4"/>
  <c r="I16" i="4"/>
  <c r="H16" i="4"/>
  <c r="N16" i="4"/>
  <c r="M16" i="4"/>
  <c r="L16" i="4"/>
  <c r="O16" i="4"/>
  <c r="E13" i="4"/>
  <c r="F13" i="4"/>
  <c r="G13" i="4"/>
  <c r="H13" i="4"/>
  <c r="O11" i="4"/>
  <c r="K8" i="4"/>
  <c r="I8" i="4"/>
  <c r="N8" i="4"/>
  <c r="L8" i="4"/>
  <c r="N11" i="4"/>
  <c r="J8" i="4"/>
  <c r="M11" i="4"/>
  <c r="H8" i="4"/>
  <c r="L11" i="4"/>
  <c r="M8" i="4"/>
  <c r="O8" i="4"/>
  <c r="E5" i="4"/>
  <c r="F5" i="4"/>
  <c r="G5" i="4"/>
  <c r="H5" i="4"/>
  <c r="N5" i="4"/>
  <c r="D5" i="4"/>
  <c r="D21" i="4"/>
  <c r="D13" i="4"/>
  <c r="N41" i="1"/>
  <c r="L42" i="1"/>
  <c r="M41" i="1"/>
  <c r="O41" i="1"/>
  <c r="M34" i="1"/>
  <c r="L34" i="1"/>
  <c r="M33" i="1"/>
  <c r="O33" i="1"/>
  <c r="N34" i="1"/>
  <c r="Q26" i="1" a="1"/>
  <c r="Q26" i="1" s="1"/>
  <c r="Q30" i="1" a="1"/>
  <c r="Q30" i="1" s="1"/>
  <c r="E5" i="5"/>
  <c r="N5" i="5"/>
  <c r="M5" i="5"/>
  <c r="L5" i="5"/>
  <c r="J5" i="5"/>
  <c r="O5" i="5"/>
  <c r="K5" i="5"/>
  <c r="E13" i="5"/>
  <c r="O13" i="5"/>
  <c r="N13" i="5"/>
  <c r="J13" i="5"/>
  <c r="M13" i="5"/>
  <c r="K13" i="5"/>
  <c r="L13" i="5"/>
  <c r="L21" i="5"/>
  <c r="O21" i="5"/>
  <c r="N21" i="5"/>
  <c r="M21" i="5"/>
  <c r="K21" i="5"/>
  <c r="J21" i="5"/>
  <c r="E21" i="5"/>
  <c r="Q18" i="4" a="1"/>
  <c r="Q18" i="4" s="1"/>
  <c r="Q14" i="4" a="1"/>
  <c r="Q14" i="4" s="1"/>
  <c r="N21" i="4"/>
  <c r="O21" i="4"/>
  <c r="K21" i="4"/>
  <c r="J21" i="4"/>
  <c r="M21" i="4"/>
  <c r="L21" i="4"/>
  <c r="I21" i="4"/>
  <c r="L13" i="4"/>
  <c r="K13" i="4"/>
  <c r="M13" i="4"/>
  <c r="J13" i="4"/>
  <c r="I13" i="4"/>
  <c r="N13" i="4"/>
  <c r="O13" i="4"/>
  <c r="O5" i="4"/>
  <c r="I5" i="4"/>
  <c r="M5" i="4"/>
  <c r="K5" i="4"/>
  <c r="L5" i="4"/>
  <c r="J5" i="4"/>
  <c r="Q22" i="1" a="1"/>
  <c r="Q22" i="1" s="1"/>
  <c r="Q18" i="1" a="1"/>
  <c r="Q18" i="1" s="1"/>
  <c r="O9" i="5" l="1"/>
  <c r="O10" i="5"/>
  <c r="L9" i="5"/>
  <c r="L10" i="5"/>
  <c r="M9" i="5"/>
  <c r="M10" i="5"/>
  <c r="N9" i="5"/>
  <c r="N10" i="5"/>
  <c r="O9" i="4"/>
  <c r="O10" i="4"/>
  <c r="M10" i="4"/>
  <c r="M9" i="4"/>
  <c r="L10" i="4"/>
  <c r="L9" i="4"/>
  <c r="N9" i="4"/>
  <c r="N10" i="4"/>
  <c r="Q10" i="5" a="1"/>
  <c r="Q10" i="5" s="1"/>
  <c r="Q6" i="5" a="1"/>
  <c r="Q6" i="5" s="1"/>
  <c r="Q2" i="5" a="1"/>
  <c r="Q2" i="5" s="1"/>
  <c r="Q10" i="4" a="1"/>
  <c r="Q10" i="4" s="1"/>
  <c r="Q2" i="4" a="1"/>
  <c r="Q2" i="4" s="1"/>
  <c r="Q6" i="4" a="1"/>
  <c r="Q6" i="4" s="1"/>
  <c r="Q14" i="1" l="1" a="1"/>
  <c r="Q14" i="1" s="1"/>
  <c r="B4" i="1" l="1"/>
  <c r="B3" i="1" s="1"/>
  <c r="D22" i="1" a="1"/>
  <c r="D14" i="1" a="1"/>
  <c r="D6" i="1" a="1"/>
  <c r="D6" i="1" l="1"/>
  <c r="D14" i="1"/>
  <c r="D13" i="1" s="1"/>
  <c r="D22" i="1"/>
  <c r="G21" i="1"/>
  <c r="H21" i="1"/>
  <c r="I21" i="1"/>
  <c r="J21" i="1"/>
  <c r="K21" i="1"/>
  <c r="O27" i="1"/>
  <c r="K24" i="1"/>
  <c r="N27" i="1"/>
  <c r="J24" i="1"/>
  <c r="M27" i="1"/>
  <c r="I24" i="1"/>
  <c r="L27" i="1"/>
  <c r="H24" i="1"/>
  <c r="O24" i="1"/>
  <c r="M24" i="1"/>
  <c r="N24" i="1"/>
  <c r="L24" i="1"/>
  <c r="M19" i="1"/>
  <c r="N19" i="1"/>
  <c r="O19" i="1"/>
  <c r="L19" i="1"/>
  <c r="J16" i="1"/>
  <c r="I16" i="1"/>
  <c r="H16" i="1"/>
  <c r="K16" i="1"/>
  <c r="N16" i="1"/>
  <c r="M16" i="1"/>
  <c r="L16" i="1"/>
  <c r="G13" i="1"/>
  <c r="H13" i="1"/>
  <c r="I13" i="1"/>
  <c r="J13" i="1"/>
  <c r="K13" i="1"/>
  <c r="N11" i="1"/>
  <c r="M11" i="1"/>
  <c r="L11" i="1"/>
  <c r="O11" i="1"/>
  <c r="N8" i="1"/>
  <c r="M8" i="1"/>
  <c r="L8" i="1"/>
  <c r="K8" i="1"/>
  <c r="J8" i="1"/>
  <c r="I8" i="1"/>
  <c r="H8" i="1"/>
  <c r="D21" i="1"/>
  <c r="G5" i="1"/>
  <c r="H5" i="1"/>
  <c r="I5" i="1"/>
  <c r="J5" i="1"/>
  <c r="K5" i="1"/>
  <c r="O21" i="1"/>
  <c r="M21" i="1"/>
  <c r="F21" i="1"/>
  <c r="E21" i="1"/>
  <c r="N21" i="1"/>
  <c r="L21" i="1"/>
  <c r="O13" i="1"/>
  <c r="N13" i="1"/>
  <c r="M13" i="1"/>
  <c r="L13" i="1"/>
  <c r="F13" i="1"/>
  <c r="E13" i="1"/>
  <c r="O16" i="1"/>
  <c r="O8" i="1"/>
  <c r="O5" i="1"/>
  <c r="L5" i="1"/>
  <c r="M5" i="1"/>
  <c r="N5" i="1"/>
  <c r="F5" i="1"/>
  <c r="E5" i="1"/>
  <c r="N10" i="1" l="1"/>
  <c r="O10" i="1"/>
  <c r="M10" i="1"/>
  <c r="L10" i="1"/>
  <c r="O9" i="1"/>
  <c r="L9" i="1"/>
  <c r="D5" i="1"/>
  <c r="M9" i="1"/>
  <c r="N9" i="1"/>
  <c r="Q2" i="1" l="1" a="1"/>
  <c r="Q2" i="1" s="1"/>
  <c r="Q6" i="1" a="1"/>
  <c r="Q6" i="1" s="1"/>
  <c r="Q10" i="1" a="1"/>
  <c r="Q10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<sst xmlns="http://schemas.openxmlformats.org/spreadsheetml/2006/main" count="239" uniqueCount="47">
  <si>
    <t>IS_COMP_SALES</t>
  </si>
  <si>
    <t>Stock:</t>
  </si>
  <si>
    <t>End Day</t>
  </si>
  <si>
    <t>Beg. Day</t>
  </si>
  <si>
    <t>BIO US EQUITY</t>
  </si>
  <si>
    <t>Y/Y</t>
  </si>
  <si>
    <t>Q/Q</t>
  </si>
  <si>
    <t>Life Sciences</t>
  </si>
  <si>
    <t>Clinical Diagnostics</t>
  </si>
  <si>
    <t>DGX US EQUITY</t>
  </si>
  <si>
    <t>GROSS_MARGIN</t>
  </si>
  <si>
    <t>OPER_MARGIN</t>
  </si>
  <si>
    <t>LH US EQUITY</t>
  </si>
  <si>
    <t>Organic Growth</t>
  </si>
  <si>
    <t>Dx Organic Volume</t>
  </si>
  <si>
    <t>revenue</t>
  </si>
  <si>
    <t>canonical</t>
  </si>
  <si>
    <t>value</t>
  </si>
  <si>
    <t>calendar_quarter</t>
  </si>
  <si>
    <t>Calendar Quarter</t>
  </si>
  <si>
    <t>company</t>
  </si>
  <si>
    <t>gross_margin_gaap</t>
  </si>
  <si>
    <t>operating_margin_gaap</t>
  </si>
  <si>
    <t>yoy</t>
  </si>
  <si>
    <t>kpi</t>
  </si>
  <si>
    <t>type</t>
  </si>
  <si>
    <t>Y/Y vs last Q</t>
  </si>
  <si>
    <t>yoy_vs_last_q</t>
  </si>
  <si>
    <t>custom</t>
  </si>
  <si>
    <t>currency_neutral_yoy</t>
  </si>
  <si>
    <t>currency neutral yoy</t>
  </si>
  <si>
    <t>ignore</t>
  </si>
  <si>
    <t>life_sciences_revenue</t>
  </si>
  <si>
    <t>clinical_diagnostics_revenue</t>
  </si>
  <si>
    <t>clinical_diagnostics_currency_neutral_yoy</t>
  </si>
  <si>
    <t>life_sciences_currency_neutral_yoy</t>
  </si>
  <si>
    <t>organic_yoy</t>
  </si>
  <si>
    <t>dx_organic_volume_yoy</t>
  </si>
  <si>
    <t>dx_rev_per_req_yoy</t>
  </si>
  <si>
    <t>Dx Revenue per Requistion</t>
  </si>
  <si>
    <t>Y/Y vs last Y</t>
  </si>
  <si>
    <t>yoy_vs_last_y</t>
  </si>
  <si>
    <t>Qoq</t>
  </si>
  <si>
    <t>organic_orders_yoy</t>
  </si>
  <si>
    <t>Organic order growth</t>
  </si>
  <si>
    <t>revenue per requisition</t>
  </si>
  <si>
    <t>revenue per requisition_yoy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</si>
</sst>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(&quot;$&quot;* #,##0_);_(&quot;$&quot;* \(#,##0\);_(&quot;$&quot;* &quot;-&quot;_);_(@_)"/>
    <numFmt numFmtId="164" formatCode="0&quot; bps&quot;"/>
    <numFmt numFmtId="165" formatCode="0.0%"/>
    <numFmt numFmtId="166" formatCode="_(&quot;$&quot;* #,##0.0_);_(&quot;$&quot;* \(#,##0.0\);_(&quot;$&quot;* &quot;-&quot;?_);_(@_)"/>
    <numFmt numFmtId="167" formatCode="0.0"/>
  </numFmts>
  <fonts count="10" x14ac:knownFonts="1"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rgb="FF3F3F76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7F7F7F"/>
      </left>
      <right style="thin">
        <color indexed="64"/>
      </right>
      <top style="thin">
        <color rgb="FF7F7F7F"/>
      </top>
      <bottom style="thin">
        <color indexed="64"/>
      </bottom>
      <diagonal/>
    </border>
  </borders>
  <cellStyleXfs count="6">
    <xf numFmtId="0" fontId="0" fillId="0" borderId="0"/>
    <xf numFmtId="0" fontId="1" fillId="2" borderId="1" applyNumberFormat="0" applyAlignment="0" applyProtection="0"/>
    <xf numFmtId="0" fontId="5" fillId="3" borderId="2" applyNumberFormat="0" applyAlignment="0" applyProtection="0"/>
    <xf numFmtId="0" fontId="6" fillId="3" borderId="1" applyNumberFormat="0" applyAlignment="0" applyProtection="0"/>
    <xf numFmtId="0" fontId="7" fillId="0" borderId="0" applyNumberFormat="0" applyFill="0" applyBorder="0" applyAlignment="0" applyProtection="0"/>
    <xf numFmtId="0" fontId="4" fillId="4" borderId="3" applyNumberFormat="0" applyFont="0" applyAlignment="0" applyProtection="0"/>
  </cellStyleXfs>
  <cellXfs count="34">
    <xf numFmtId="0" fontId="0" fillId="0" borderId="0" xfId="0"/>
    <xf numFmtId="14" fontId="0" fillId="0" borderId="0" xfId="0" applyNumberFormat="1"/>
    <xf numFmtId="14" fontId="1" fillId="2" borderId="1" xfId="1" applyNumberFormat="1"/>
    <xf numFmtId="4" fontId="0" fillId="0" borderId="0" xfId="0" applyNumberFormat="1"/>
    <xf numFmtId="0" fontId="2" fillId="0" borderId="0" xfId="0" applyFont="1"/>
    <xf numFmtId="14" fontId="2" fillId="0" borderId="0" xfId="0" applyNumberFormat="1" applyFont="1"/>
    <xf numFmtId="9" fontId="2" fillId="0" borderId="0" xfId="0" applyNumberFormat="1" applyFont="1"/>
    <xf numFmtId="164" fontId="2" fillId="0" borderId="0" xfId="0" applyNumberFormat="1" applyFont="1"/>
    <xf numFmtId="10" fontId="3" fillId="2" borderId="1" xfId="1" applyNumberFormat="1" applyFont="1"/>
    <xf numFmtId="14" fontId="3" fillId="2" borderId="1" xfId="1" applyNumberFormat="1" applyFont="1"/>
    <xf numFmtId="42" fontId="1" fillId="2" borderId="1" xfId="1" applyNumberFormat="1"/>
    <xf numFmtId="165" fontId="3" fillId="2" borderId="1" xfId="1" applyNumberFormat="1" applyFont="1"/>
    <xf numFmtId="166" fontId="0" fillId="0" borderId="0" xfId="0" applyNumberFormat="1"/>
    <xf numFmtId="165" fontId="2" fillId="0" borderId="0" xfId="0" applyNumberFormat="1" applyFont="1"/>
    <xf numFmtId="14" fontId="5" fillId="3" borderId="2" xfId="2" applyNumberFormat="1"/>
    <xf numFmtId="14" fontId="8" fillId="0" borderId="0" xfId="0" applyNumberFormat="1" applyFont="1"/>
    <xf numFmtId="14" fontId="6" fillId="3" borderId="1" xfId="3" applyNumberFormat="1"/>
    <xf numFmtId="0" fontId="8" fillId="4" borderId="3" xfId="5" applyFont="1"/>
    <xf numFmtId="0" fontId="0" fillId="0" borderId="4" xfId="0" applyBorder="1"/>
    <xf numFmtId="0" fontId="0" fillId="0" borderId="5" xfId="0" applyBorder="1"/>
    <xf numFmtId="14" fontId="0" fillId="0" borderId="6" xfId="0" applyNumberFormat="1" applyBorder="1"/>
    <xf numFmtId="0" fontId="0" fillId="0" borderId="7" xfId="0" applyBorder="1"/>
    <xf numFmtId="14" fontId="1" fillId="2" borderId="8" xfId="1" applyNumberFormat="1" applyBorder="1"/>
    <xf numFmtId="0" fontId="7" fillId="0" borderId="0" xfId="0" applyFont="1"/>
    <xf numFmtId="0" fontId="7" fillId="0" borderId="0" xfId="4"/>
    <xf numFmtId="14" fontId="7" fillId="0" borderId="0" xfId="4" applyNumberFormat="1"/>
    <xf numFmtId="49" fontId="7" fillId="0" borderId="0" xfId="4" applyNumberFormat="1"/>
    <xf numFmtId="166" fontId="7" fillId="0" borderId="0" xfId="4" applyNumberFormat="1"/>
    <xf numFmtId="166" fontId="7" fillId="0" borderId="0" xfId="0" applyNumberFormat="1" applyFont="1"/>
    <xf numFmtId="165" fontId="9" fillId="0" borderId="0" xfId="0" applyNumberFormat="1" applyFont="1"/>
    <xf numFmtId="10" fontId="7" fillId="0" borderId="0" xfId="4" applyNumberFormat="1"/>
    <xf numFmtId="167" fontId="7" fillId="0" borderId="0" xfId="4" applyNumberFormat="1"/>
    <xf numFmtId="10" fontId="1" fillId="2" borderId="1" xfId="1" applyNumberFormat="1"/>
    <xf numFmtId="0" fontId="1" fillId="2" borderId="1" xfId="1"/>
  </cellXfs>
  <cellStyles count="6">
    <cellStyle name="Calculation" xfId="3" builtinId="22"/>
    <cellStyle name="Input" xfId="1" builtinId="20"/>
    <cellStyle name="Normal" xfId="0" builtinId="0"/>
    <cellStyle name="Note" xfId="5" builtinId="10"/>
    <cellStyle name="Output" xfId="2" builtinId="21"/>
    <cellStyle name="Warning Text" xfId="4" builtin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e">
        <v>#N/A</v>
        <stp/>
        <stp>BDH|12576335490563660641</stp>
        <tr r="D22" s="5"/>
      </tp>
      <tp t="e">
        <v>#N/A</v>
        <stp/>
        <stp>BDH|10323167485798801376</stp>
        <tr r="D14" s="4"/>
      </tp>
      <tp t="e">
        <v>#N/A</v>
        <stp/>
        <stp>BDH|15795413740574581082</stp>
        <tr r="D6" s="5"/>
      </tp>
      <tp t="e">
        <v>#N/A</v>
        <stp/>
        <stp>BDH|13779255851539616912</stp>
        <tr r="D6" s="1"/>
      </tp>
      <tp t="e">
        <v>#N/A</v>
        <stp/>
        <stp>BDH|14637524733984863230</stp>
        <tr r="D6" s="4"/>
      </tp>
    </main>
    <main first="bofaddin.rtdserver">
      <tp t="e">
        <v>#N/A</v>
        <stp/>
        <stp>BDH|5777134884637651424</stp>
        <tr r="D22" s="4"/>
      </tp>
      <tp t="e">
        <v>#N/A</v>
        <stp/>
        <stp>BDH|4756510437199129339</stp>
        <tr r="D22" s="1"/>
      </tp>
      <tp t="e">
        <v>#N/A</v>
        <stp/>
        <stp>BDH|4931781085428763944</stp>
        <tr r="D14" s="1"/>
      </tp>
      <tp t="e">
        <v>#N/A</v>
        <stp/>
        <stp>BDH|7322729185229416244</stp>
        <tr r="D14" s="5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volatileDependencies" Target="volatileDependenci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57270-31E4-4E68-AE45-8CC1C1FAF7FB}">
  <dimension ref="A1:Y67"/>
  <sheetViews>
    <sheetView topLeftCell="F1" zoomScale="85" zoomScaleNormal="85" workbookViewId="0">
      <selection activeCell="W1" sqref="W1:Y1"/>
    </sheetView>
  </sheetViews>
  <sheetFormatPr defaultRowHeight="14.25" x14ac:dyDescent="0.45"/>
  <cols>
    <col min="1" max="1" width="14.73046875" bestFit="1" customWidth="1"/>
    <col min="2" max="2" width="20" bestFit="1" customWidth="1"/>
    <col min="3" max="3" width="36.3984375" bestFit="1" customWidth="1"/>
    <col min="4" max="4" width="10.1328125" bestFit="1" customWidth="1"/>
    <col min="5" max="6" width="9.46484375" bestFit="1" customWidth="1"/>
    <col min="7" max="10" width="10.46484375" customWidth="1"/>
    <col min="11" max="11" width="10.06640625" bestFit="1" customWidth="1"/>
    <col min="12" max="12" width="9.3984375" bestFit="1" customWidth="1"/>
    <col min="13" max="13" width="9.46484375" bestFit="1" customWidth="1"/>
    <col min="14" max="14" width="11.33203125" bestFit="1" customWidth="1"/>
    <col min="15" max="15" width="10.3984375" bestFit="1" customWidth="1"/>
    <col min="16" max="16" width="9.06640625" customWidth="1"/>
    <col min="17" max="17" width="12.3984375" bestFit="1" customWidth="1"/>
    <col min="18" max="18" width="14.3984375" bestFit="1" customWidth="1"/>
    <col min="19" max="19" width="8.59765625" bestFit="1" customWidth="1"/>
    <col min="20" max="20" width="20.33203125" bestFit="1" customWidth="1"/>
    <col min="21" max="21" width="7.46484375" bestFit="1" customWidth="1"/>
    <col min="22" max="22" width="10.73046875" bestFit="1" customWidth="1"/>
    <col min="23" max="23" width="9.1328125" bestFit="1" customWidth="1"/>
    <col min="24" max="24" width="10.3984375" bestFit="1" customWidth="1"/>
    <col min="25" max="25" width="9.1328125" bestFit="1" customWidth="1"/>
  </cols>
  <sheetData>
    <row r="1" spans="1:25" x14ac:dyDescent="0.45">
      <c r="A1" s="23" t="s">
        <v>31</v>
      </c>
      <c r="B1" s="23" t="s">
        <v>31</v>
      </c>
      <c r="C1" s="23" t="s">
        <v>31</v>
      </c>
      <c r="D1" s="23" t="s">
        <v>31</v>
      </c>
      <c r="E1" s="23" t="s">
        <v>31</v>
      </c>
      <c r="F1" s="23" t="s">
        <v>31</v>
      </c>
      <c r="G1" s="23" t="s">
        <v>31</v>
      </c>
      <c r="H1" s="23" t="s">
        <v>31</v>
      </c>
      <c r="I1" s="23" t="s">
        <v>31</v>
      </c>
      <c r="J1" s="23" t="s">
        <v>31</v>
      </c>
      <c r="K1" s="23" t="s">
        <v>31</v>
      </c>
      <c r="L1" s="23" t="s">
        <v>31</v>
      </c>
      <c r="M1" s="23" t="s">
        <v>31</v>
      </c>
      <c r="N1" s="23" t="s">
        <v>31</v>
      </c>
      <c r="O1" s="23" t="s">
        <v>31</v>
      </c>
      <c r="Q1" s="24" t="s">
        <v>20</v>
      </c>
      <c r="R1" s="24" t="s">
        <v>18</v>
      </c>
      <c r="S1" s="24" t="s">
        <v>25</v>
      </c>
      <c r="T1" s="24" t="s">
        <v>24</v>
      </c>
      <c r="U1" s="24" t="s">
        <v>17</v>
      </c>
      <c r="V1" s="24" t="s">
        <v>23</v>
      </c>
      <c r="W1" s="24" t="s">
        <v>27</v>
      </c>
      <c r="X1" s="24" t="s">
        <v>41</v>
      </c>
      <c r="Y1" s="24" t="s">
        <v>42</v>
      </c>
    </row>
    <row r="2" spans="1:25" x14ac:dyDescent="0.45">
      <c r="A2" s="18" t="s">
        <v>1</v>
      </c>
      <c r="B2" s="33" t="s">
        <v>4</v>
      </c>
      <c r="Q2" s="25" t="str" cm="1">
        <f t="array" aca="1" ref="Q2:Y5" ca="1">_xlfn.LET(
  _xlpm.d, L5:O5,
  _xlpm.v, L7:O7,
  _xlpm.yy, L8:O8,
  _xlpm.qq, L9:O9,
  _xlpm.dyy, L10:O10,
  _xlpm.dqq, L11:O11,
  _xlpm.dd, TRANSPOSE(_xlpm.d),
  _xlpm.clean, _xlfn.LAMBDA(_xlpm.x, IF(_xlpm.x="","",_xlpm.x)),
_xlfn.HSTACK(
  _xlfn.MAKEARRAY(ROWS(_xlpm.dd),1, _xlfn.LAMBDA(_xlpm.r,_xlpm.c,$B$2)),
  _xlpm.dd,
  _xlfn.MAKEARRAY(ROWS(_xlpm.dd),1, _xlfn.LAMBDA(_xlpm.r,_xlpm.c,A7)),
  _xlfn.MAKEARRAY(ROWS(_xlpm.dd),1, _xlfn.LAMBDA(_xlpm.r,_xlpm.c,B7)),
  CLEAN(TRANSPOSE(_xlpm.v)),
  CLEAN(TRANSPOSE(_xlpm.yy)),
  CLEAN(TRANSPOSE(_xlpm.qq)),
  CLEAN(TRANSPOSE(_xlpm.dyy)),
  CLEAN(TRANSPOSE(_xlpm.dqq))
))</f>
        <v>BIO US EQUITY</v>
      </c>
      <c r="R2" s="25">
        <f ca="1"/>
        <v>45747</v>
      </c>
      <c r="S2" s="26" t="str">
        <f ca="1"/>
        <v>canonical</v>
      </c>
      <c r="T2" s="27" t="str">
        <f ca="1"/>
        <v>revenue</v>
      </c>
      <c r="U2" s="28" t="str">
        <f ca="1"/>
        <v>585.4</v>
      </c>
      <c r="V2" s="29" t="str">
        <f ca="1"/>
        <v>-0.0416161880750467</v>
      </c>
      <c r="W2" s="30" t="str">
        <f ca="1"/>
        <v>-215.276363768272</v>
      </c>
      <c r="X2" s="29" t="str">
        <f ca="1"/>
        <v>559.306617160424</v>
      </c>
      <c r="Y2" s="30" t="str">
        <f ca="1"/>
        <v>-0.122996254681648</v>
      </c>
    </row>
    <row r="3" spans="1:25" x14ac:dyDescent="0.45">
      <c r="A3" s="19" t="s">
        <v>3</v>
      </c>
      <c r="B3" s="20">
        <f ca="1">+B4-365*3</f>
        <v>44985</v>
      </c>
      <c r="Q3" s="25" t="str">
        <f ca="1"/>
        <v>BIO US EQUITY</v>
      </c>
      <c r="R3" s="25">
        <f ca="1"/>
        <v>45838</v>
      </c>
      <c r="S3" s="26" t="str">
        <f ca="1"/>
        <v>canonical</v>
      </c>
      <c r="T3" s="27" t="str">
        <f ca="1"/>
        <v>revenue</v>
      </c>
      <c r="U3" s="28" t="str">
        <f ca="1"/>
        <v>651.6</v>
      </c>
      <c r="V3" s="29" t="str">
        <f ca="1"/>
        <v>0.0205551970630062</v>
      </c>
      <c r="W3" s="30" t="str">
        <f ca="1"/>
        <v>621.71385138053</v>
      </c>
      <c r="X3" s="30" t="str">
        <f ca="1"/>
        <v>831.500789469898</v>
      </c>
      <c r="Y3" s="30" t="str">
        <f ca="1"/>
        <v>0.113085070037581</v>
      </c>
    </row>
    <row r="4" spans="1:25" x14ac:dyDescent="0.45">
      <c r="A4" s="21" t="s">
        <v>2</v>
      </c>
      <c r="B4" s="22">
        <f ca="1">TODAY()</f>
        <v>46080</v>
      </c>
      <c r="Q4" s="25" t="str">
        <f ca="1"/>
        <v>BIO US EQUITY</v>
      </c>
      <c r="R4" s="25">
        <f ca="1"/>
        <v>45930</v>
      </c>
      <c r="S4" s="26" t="str">
        <f ca="1"/>
        <v>canonical</v>
      </c>
      <c r="T4" s="27" t="str">
        <f ca="1"/>
        <v>revenue</v>
      </c>
      <c r="U4" s="28" t="str">
        <f ca="1"/>
        <v>653</v>
      </c>
      <c r="V4" s="29" t="str">
        <f ca="1"/>
        <v>0.00503440665261978</v>
      </c>
      <c r="W4" s="30" t="str">
        <f ca="1"/>
        <v>-155.207904103865</v>
      </c>
      <c r="X4" s="30" t="str">
        <f ca="1"/>
        <v>-228.161416575219</v>
      </c>
      <c r="Y4" s="30" t="str">
        <f ca="1"/>
        <v>0.00214855739717623</v>
      </c>
    </row>
    <row r="5" spans="1:25" x14ac:dyDescent="0.45">
      <c r="C5" s="14" t="s">
        <v>19</v>
      </c>
      <c r="D5" s="15">
        <f ca="1">EOMONTH(DATE(YEAR(D6),ROUNDUP(MONTH(D6)/3,0)*3,1),0)</f>
        <v>45016</v>
      </c>
      <c r="E5" s="15">
        <f ca="1">EOMONTH(DATE(YEAR(E6),ROUNDUP(MONTH(E6)/3,0)*3,1),0)</f>
        <v>45107</v>
      </c>
      <c r="F5" s="15">
        <f ca="1">EOMONTH(DATE(YEAR(F6),ROUNDUP(MONTH(F6)/3,0)*3,1),0)</f>
        <v>45199</v>
      </c>
      <c r="G5" s="15">
        <f t="shared" ref="G5:K5" ca="1" si="0">EOMONTH(DATE(YEAR(G6),ROUNDUP(MONTH(G6)/3,0)*3,1),0)</f>
        <v>45291</v>
      </c>
      <c r="H5" s="15">
        <f t="shared" ca="1" si="0"/>
        <v>45382</v>
      </c>
      <c r="I5" s="15">
        <f t="shared" ca="1" si="0"/>
        <v>45473</v>
      </c>
      <c r="J5" s="15">
        <f t="shared" ca="1" si="0"/>
        <v>45565</v>
      </c>
      <c r="K5" s="15">
        <f t="shared" ca="1" si="0"/>
        <v>45657</v>
      </c>
      <c r="L5" s="15">
        <f ca="1">EOMONTH(DATE(YEAR(L6),ROUNDUP(MONTH(L6)/3,0)*3,1),0)</f>
        <v>45747</v>
      </c>
      <c r="M5" s="15">
        <f ca="1">EOMONTH(DATE(YEAR(M6),ROUNDUP(MONTH(M6)/3,0)*3,1),0)</f>
        <v>45838</v>
      </c>
      <c r="N5" s="15">
        <f ca="1">EOMONTH(DATE(YEAR(N6),ROUNDUP(MONTH(N6)/3,0)*3,1),0)</f>
        <v>45930</v>
      </c>
      <c r="O5" s="15">
        <f ca="1">EOMONTH(DATE(YEAR(O6),ROUNDUP(MONTH(O6)/3,0)*3,1),0)</f>
        <v>46022</v>
      </c>
      <c r="Q5" s="25" t="str">
        <f ca="1"/>
        <v>BIO US EQUITY</v>
      </c>
      <c r="R5" s="25">
        <f ca="1"/>
        <v>46022</v>
      </c>
      <c r="S5" s="26" t="str">
        <f ca="1"/>
        <v>canonical</v>
      </c>
      <c r="T5" s="27" t="str">
        <f ca="1"/>
        <v>revenue</v>
      </c>
      <c r="U5" s="28" t="str">
        <f ca="1"/>
        <v>693.2</v>
      </c>
      <c r="V5" s="29" t="str">
        <f ca="1"/>
        <v>0.0385018726591762</v>
      </c>
      <c r="W5" s="30" t="str">
        <f ca="1"/>
        <v>334.674660065564</v>
      </c>
      <c r="X5" s="30" t="str">
        <f ca="1"/>
        <v>585.904243573957</v>
      </c>
      <c r="Y5" s="30" t="str">
        <f ca="1"/>
        <v>0.0615620214395101</v>
      </c>
    </row>
    <row r="6" spans="1:25" x14ac:dyDescent="0.45">
      <c r="D6" s="16" cm="1">
        <f t="array" aca="1" ref="D6:O7" ca="1">+_xll.BDH($B$2,C7,$B$3,$B$4,"DIR=H")</f>
        <v>45016</v>
      </c>
      <c r="E6" s="1">
        <f ca="1"/>
        <v>45107</v>
      </c>
      <c r="F6" s="1">
        <f ca="1"/>
        <v>45199</v>
      </c>
      <c r="G6" s="1">
        <f ca="1"/>
        <v>45291</v>
      </c>
      <c r="H6" s="1">
        <f ca="1"/>
        <v>45382</v>
      </c>
      <c r="I6" s="1">
        <f ca="1"/>
        <v>45473</v>
      </c>
      <c r="J6" s="1">
        <f ca="1"/>
        <v>45565</v>
      </c>
      <c r="K6" s="1">
        <f ca="1"/>
        <v>45657</v>
      </c>
      <c r="L6" s="1">
        <f ca="1"/>
        <v>45747</v>
      </c>
      <c r="M6" s="1">
        <f ca="1"/>
        <v>45838</v>
      </c>
      <c r="N6" s="1">
        <f ca="1"/>
        <v>45930</v>
      </c>
      <c r="O6" s="1">
        <f ca="1"/>
        <v>46022</v>
      </c>
      <c r="Q6" s="25" t="str" cm="1">
        <f t="array" aca="1" ref="Q6:Y9" ca="1">_xlfn.LET(
  _xlpm.d, L13:O13,
  _xlpm.v, L15:O15,
  _xlpm.yy, L16:O16,
  _xlpm.qq, L17:O17,
  _xlpm.dyy, L18:O18,
  _xlpm.dqq, L19:O19,
  _xlpm.dd, TRANSPOSE(_xlpm.d),
  _xlpm.clean, _xlfn.LAMBDA(_xlpm.x, IF(_xlpm.x="","",_xlpm.x)),
_xlfn.HSTACK(
  _xlfn.MAKEARRAY(ROWS(_xlpm.dd),1, _xlfn.LAMBDA(_xlpm.r,_xlpm.c,$B$2)),
  _xlpm.dd,
  _xlfn.MAKEARRAY(ROWS(_xlpm.dd),1, _xlfn.LAMBDA(_xlpm.r,_xlpm.c,A15)),
  _xlfn.MAKEARRAY(ROWS(_xlpm.dd),1, _xlfn.LAMBDA(_xlpm.r,_xlpm.c,B15)),
  CLEAN(TRANSPOSE(_xlpm.v)),
  CLEAN(TRANSPOSE(_xlpm.yy)),
  CLEAN(TRANSPOSE(_xlpm.qq)),
  CLEAN(TRANSPOSE(_xlpm.dyy)),
  CLEAN(TRANSPOSE(_xlpm.dqq))
))</f>
        <v>BIO US EQUITY</v>
      </c>
      <c r="R6" s="25">
        <f ca="1"/>
        <v>45747</v>
      </c>
      <c r="S6" s="26" t="str">
        <f ca="1"/>
        <v>canonical</v>
      </c>
      <c r="T6" s="27" t="str">
        <f ca="1"/>
        <v>gross_margin_gaap</v>
      </c>
      <c r="U6" s="31" t="str">
        <f ca="1"/>
        <v>52.272</v>
      </c>
      <c r="V6" s="30" t="str">
        <f ca="1"/>
        <v>-109.33</v>
      </c>
      <c r="W6" s="30" t="str">
        <f ca="1"/>
        <v/>
      </c>
      <c r="X6" s="30" t="str">
        <f ca="1"/>
        <v/>
      </c>
      <c r="Y6" s="30" t="str">
        <f ca="1"/>
        <v>1.036</v>
      </c>
    </row>
    <row r="7" spans="1:25" x14ac:dyDescent="0.45">
      <c r="A7" s="17" t="s">
        <v>16</v>
      </c>
      <c r="B7" s="17" t="s">
        <v>15</v>
      </c>
      <c r="C7" s="9" t="s">
        <v>0</v>
      </c>
      <c r="D7" s="12">
        <f ca="1"/>
        <v>676.84400000000005</v>
      </c>
      <c r="E7" s="12">
        <f ca="1"/>
        <v>681.11</v>
      </c>
      <c r="F7" s="12">
        <f ca="1"/>
        <v>632.12400000000002</v>
      </c>
      <c r="G7" s="12">
        <f ca="1"/>
        <v>681.18399999999997</v>
      </c>
      <c r="H7" s="12">
        <f ca="1"/>
        <v>610.82000000000005</v>
      </c>
      <c r="I7" s="12">
        <f ca="1"/>
        <v>638.476</v>
      </c>
      <c r="J7" s="12">
        <f ca="1"/>
        <v>649.72900000000004</v>
      </c>
      <c r="K7" s="12">
        <f ca="1"/>
        <v>667.5</v>
      </c>
      <c r="L7" s="12">
        <f ca="1"/>
        <v>585.4</v>
      </c>
      <c r="M7" s="12">
        <f ca="1"/>
        <v>651.6</v>
      </c>
      <c r="N7" s="12">
        <f ca="1"/>
        <v>653</v>
      </c>
      <c r="O7" s="3">
        <f ca="1"/>
        <v>693.2</v>
      </c>
      <c r="P7" s="1"/>
      <c r="Q7" s="25" t="str">
        <f ca="1"/>
        <v>BIO US EQUITY</v>
      </c>
      <c r="R7" s="25">
        <f ca="1"/>
        <v>45838</v>
      </c>
      <c r="S7" s="26" t="str">
        <f ca="1"/>
        <v>canonical</v>
      </c>
      <c r="T7" s="27" t="str">
        <f ca="1"/>
        <v>gross_margin_gaap</v>
      </c>
      <c r="U7" s="31" t="str">
        <f ca="1"/>
        <v>52.9926</v>
      </c>
      <c r="V7" s="30" t="str">
        <f ca="1"/>
        <v>-262.719999999999</v>
      </c>
      <c r="W7" s="30" t="str">
        <f ca="1"/>
        <v/>
      </c>
      <c r="X7" s="30" t="str">
        <f ca="1"/>
        <v/>
      </c>
      <c r="Y7" s="30" t="str">
        <f ca="1"/>
        <v>0.720600000000005</v>
      </c>
    </row>
    <row r="8" spans="1:25" x14ac:dyDescent="0.45">
      <c r="C8" s="4" t="s">
        <v>5</v>
      </c>
      <c r="D8" s="5"/>
      <c r="E8" s="4"/>
      <c r="F8" s="4"/>
      <c r="G8" s="13"/>
      <c r="H8" s="13">
        <f t="shared" ref="H8:N8" ca="1" si="1">+H7/D7-1</f>
        <v>-9.7546849791089185E-2</v>
      </c>
      <c r="I8" s="13">
        <f t="shared" ca="1" si="1"/>
        <v>-6.2594881883983544E-2</v>
      </c>
      <c r="J8" s="13">
        <f t="shared" ca="1" si="1"/>
        <v>2.7850548310141665E-2</v>
      </c>
      <c r="K8" s="13">
        <f t="shared" ca="1" si="1"/>
        <v>-2.0088551698219548E-2</v>
      </c>
      <c r="L8" s="13">
        <f t="shared" ca="1" si="1"/>
        <v>-4.1616188075046745E-2</v>
      </c>
      <c r="M8" s="13">
        <f t="shared" ca="1" si="1"/>
        <v>2.0555197063006236E-2</v>
      </c>
      <c r="N8" s="13">
        <f t="shared" ca="1" si="1"/>
        <v>5.0344066526197828E-3</v>
      </c>
      <c r="O8" s="13">
        <f ca="1">+O7/K7-1</f>
        <v>3.8501872659176151E-2</v>
      </c>
      <c r="P8" s="3"/>
      <c r="Q8" s="25" t="str">
        <f ca="1"/>
        <v>BIO US EQUITY</v>
      </c>
      <c r="R8" s="25">
        <f ca="1"/>
        <v>45930</v>
      </c>
      <c r="S8" s="26" t="str">
        <f ca="1"/>
        <v>canonical</v>
      </c>
      <c r="T8" s="27" t="str">
        <f ca="1"/>
        <v>gross_margin_gaap</v>
      </c>
      <c r="U8" s="31" t="str">
        <f ca="1"/>
        <v>52.5881</v>
      </c>
      <c r="V8" s="30" t="str">
        <f ca="1"/>
        <v>-218.9</v>
      </c>
      <c r="W8" s="30" t="str">
        <f ca="1"/>
        <v/>
      </c>
      <c r="X8" s="30" t="str">
        <f ca="1"/>
        <v/>
      </c>
      <c r="Y8" s="30" t="str">
        <f ca="1"/>
        <v>-0.404500000000006</v>
      </c>
    </row>
    <row r="9" spans="1:25" x14ac:dyDescent="0.45">
      <c r="C9" s="4" t="s">
        <v>26</v>
      </c>
      <c r="D9" s="1"/>
      <c r="L9" s="7">
        <f ca="1">(L8-K8)*10000</f>
        <v>-215.27636376827198</v>
      </c>
      <c r="M9" s="7">
        <f ca="1">(M8-L8)*10000</f>
        <v>621.71385138052983</v>
      </c>
      <c r="N9" s="7">
        <f ca="1">(N8-M8)*10000</f>
        <v>-155.20790410386454</v>
      </c>
      <c r="O9" s="7">
        <f ca="1">(O8-N8)*10000</f>
        <v>334.67466006556367</v>
      </c>
      <c r="Q9" s="23" t="str">
        <f ca="1"/>
        <v>BIO US EQUITY</v>
      </c>
      <c r="R9" s="25">
        <f ca="1"/>
        <v>46022</v>
      </c>
      <c r="S9" s="26" t="str">
        <f ca="1"/>
        <v>canonical</v>
      </c>
      <c r="T9" s="27" t="str">
        <f ca="1"/>
        <v>gross_margin_gaap</v>
      </c>
      <c r="U9" s="31" t="str">
        <f ca="1"/>
        <v>49.798</v>
      </c>
      <c r="V9" s="30" t="str">
        <f ca="1"/>
        <v>-143.8</v>
      </c>
      <c r="W9" s="30" t="str">
        <f ca="1"/>
        <v/>
      </c>
      <c r="X9" s="30" t="str">
        <f ca="1"/>
        <v/>
      </c>
      <c r="Y9" s="30" t="str">
        <f ca="1"/>
        <v>-2.7901</v>
      </c>
    </row>
    <row r="10" spans="1:25" x14ac:dyDescent="0.45">
      <c r="C10" s="4" t="s">
        <v>40</v>
      </c>
      <c r="D10" s="1"/>
      <c r="E10" s="6"/>
      <c r="F10" s="6"/>
      <c r="G10" s="6"/>
      <c r="H10" s="6"/>
      <c r="I10" s="6"/>
      <c r="J10" s="6"/>
      <c r="K10" s="6"/>
      <c r="L10" s="7">
        <f ca="1">(L8-H8)*10000</f>
        <v>559.30661716042437</v>
      </c>
      <c r="M10" s="7">
        <f ca="1">(M8-I8)*10000</f>
        <v>831.50078946989777</v>
      </c>
      <c r="N10" s="7">
        <f ca="1">(N8-J8)*10000</f>
        <v>-228.16141657521882</v>
      </c>
      <c r="O10" s="7">
        <f ca="1">(O8-K8)*10000</f>
        <v>585.90424357395693</v>
      </c>
      <c r="Q10" s="25" t="str" cm="1">
        <f t="array" aca="1" ref="Q10:Y13" ca="1">_xlfn.LET(
  _xlpm.d, L21:O21,
  _xlpm.v, L23:O23,
  _xlpm.yy, L24:O24,
  _xlpm.qq, L25:O25,
  _xlpm.dyy, L26:O26,
  _xlpm.dqq, L27:O27,
  _xlpm.dd, TRANSPOSE(_xlpm.d),
  _xlpm.clean, _xlfn.LAMBDA(_xlpm.x, IF(_xlpm.x="","",_xlpm.x)),
_xlfn.HSTACK(
  _xlfn.MAKEARRAY(ROWS(_xlpm.dd),1, _xlfn.LAMBDA(_xlpm.r,_xlpm.c,$B$2)),
  _xlpm.dd,
  _xlfn.MAKEARRAY(ROWS(_xlpm.dd),1, _xlfn.LAMBDA(_xlpm.r,_xlpm.c,A23)),
  _xlfn.MAKEARRAY(ROWS(_xlpm.dd),1, _xlfn.LAMBDA(_xlpm.r,_xlpm.c,B23)),
  CLEAN(TRANSPOSE(_xlpm.v)),
  CLEAN(TRANSPOSE(_xlpm.yy)),
  CLEAN(TRANSPOSE(_xlpm.qq)),
  CLEAN(TRANSPOSE(_xlpm.dyy)),
  CLEAN(TRANSPOSE(_xlpm.dqq))
))</f>
        <v>BIO US EQUITY</v>
      </c>
      <c r="R10" s="25">
        <f ca="1"/>
        <v>45747</v>
      </c>
      <c r="S10" s="26" t="str">
        <f ca="1"/>
        <v>canonical</v>
      </c>
      <c r="T10" s="27" t="str">
        <f ca="1"/>
        <v>operating_margin_gaap</v>
      </c>
      <c r="U10" s="31" t="str">
        <f ca="1"/>
        <v>4.0485</v>
      </c>
      <c r="V10" s="30" t="str">
        <f ca="1"/>
        <v>-327.08</v>
      </c>
      <c r="W10" s="30" t="str">
        <f ca="1"/>
        <v/>
      </c>
      <c r="X10" s="30" t="str">
        <f ca="1"/>
        <v/>
      </c>
      <c r="Y10" s="30" t="str">
        <f ca="1"/>
        <v>-4.7006</v>
      </c>
    </row>
    <row r="11" spans="1:25" x14ac:dyDescent="0.45">
      <c r="C11" s="4" t="s">
        <v>6</v>
      </c>
      <c r="D11" s="1"/>
      <c r="L11" s="13">
        <f t="shared" ref="L11:N11" ca="1" si="2">L7/K7-1</f>
        <v>-0.12299625468164799</v>
      </c>
      <c r="M11" s="13">
        <f t="shared" ca="1" si="2"/>
        <v>0.11308507003758117</v>
      </c>
      <c r="N11" s="13">
        <f t="shared" ca="1" si="2"/>
        <v>2.1485573971762317E-3</v>
      </c>
      <c r="O11" s="13">
        <f ca="1">O7/N7-1</f>
        <v>6.1562021439510062E-2</v>
      </c>
      <c r="Q11" s="25" t="str">
        <f ca="1"/>
        <v>BIO US EQUITY</v>
      </c>
      <c r="R11" s="25">
        <f ca="1"/>
        <v>45838</v>
      </c>
      <c r="S11" s="26" t="str">
        <f ca="1"/>
        <v>canonical</v>
      </c>
      <c r="T11" s="27" t="str">
        <f ca="1"/>
        <v>operating_margin_gaap</v>
      </c>
      <c r="U11" s="31" t="str">
        <f ca="1"/>
        <v>11.8324</v>
      </c>
      <c r="V11" s="30" t="str">
        <f ca="1"/>
        <v>-406.42</v>
      </c>
      <c r="W11" s="30" t="str">
        <f ca="1"/>
        <v/>
      </c>
      <c r="X11" s="30" t="str">
        <f ca="1"/>
        <v/>
      </c>
      <c r="Y11" s="30" t="str">
        <f ca="1"/>
        <v>7.7839</v>
      </c>
    </row>
    <row r="12" spans="1:25" x14ac:dyDescent="0.45">
      <c r="Q12" s="25" t="str">
        <f ca="1"/>
        <v>BIO US EQUITY</v>
      </c>
      <c r="R12" s="25">
        <f ca="1"/>
        <v>45930</v>
      </c>
      <c r="S12" s="26" t="str">
        <f ca="1"/>
        <v>canonical</v>
      </c>
      <c r="T12" s="27" t="str">
        <f ca="1"/>
        <v>operating_margin_gaap</v>
      </c>
      <c r="U12" s="31" t="str">
        <f ca="1"/>
        <v>10</v>
      </c>
      <c r="V12" s="30" t="str">
        <f ca="1"/>
        <v>7.79999999999994</v>
      </c>
      <c r="W12" s="30" t="str">
        <f ca="1"/>
        <v/>
      </c>
      <c r="X12" s="30" t="str">
        <f ca="1"/>
        <v/>
      </c>
      <c r="Y12" s="30" t="str">
        <f ca="1"/>
        <v>-1.8324</v>
      </c>
    </row>
    <row r="13" spans="1:25" x14ac:dyDescent="0.45">
      <c r="C13" s="14" t="s">
        <v>19</v>
      </c>
      <c r="D13" s="15">
        <f ca="1">EOMONTH(DATE(YEAR(D14),ROUNDUP(MONTH(D14)/3,0)*3,1),0)</f>
        <v>45016</v>
      </c>
      <c r="E13" s="15">
        <f ca="1">EOMONTH(DATE(YEAR(E14),ROUNDUP(MONTH(E14)/3,0)*3,1),0)</f>
        <v>45107</v>
      </c>
      <c r="F13" s="15">
        <f ca="1">EOMONTH(DATE(YEAR(F14),ROUNDUP(MONTH(F14)/3,0)*3,1),0)</f>
        <v>45199</v>
      </c>
      <c r="G13" s="15">
        <f t="shared" ref="G13:K13" ca="1" si="3">EOMONTH(DATE(YEAR(G14),ROUNDUP(MONTH(G14)/3,0)*3,1),0)</f>
        <v>45291</v>
      </c>
      <c r="H13" s="15">
        <f t="shared" ca="1" si="3"/>
        <v>45382</v>
      </c>
      <c r="I13" s="15">
        <f t="shared" ca="1" si="3"/>
        <v>45473</v>
      </c>
      <c r="J13" s="15">
        <f t="shared" ca="1" si="3"/>
        <v>45565</v>
      </c>
      <c r="K13" s="15">
        <f t="shared" ca="1" si="3"/>
        <v>45657</v>
      </c>
      <c r="L13" s="15">
        <f ca="1">EOMONTH(DATE(YEAR(L14),ROUNDUP(MONTH(L14)/3,0)*3,1),0)</f>
        <v>45747</v>
      </c>
      <c r="M13" s="15">
        <f ca="1">EOMONTH(DATE(YEAR(M14),ROUNDUP(MONTH(M14)/3,0)*3,1),0)</f>
        <v>45838</v>
      </c>
      <c r="N13" s="15">
        <f ca="1">EOMONTH(DATE(YEAR(N14),ROUNDUP(MONTH(N14)/3,0)*3,1),0)</f>
        <v>45930</v>
      </c>
      <c r="O13" s="15">
        <f ca="1">EOMONTH(DATE(YEAR(O14),ROUNDUP(MONTH(O14)/3,0)*3,1),0)</f>
        <v>46022</v>
      </c>
      <c r="Q13" s="25" t="str">
        <f ca="1"/>
        <v>BIO US EQUITY</v>
      </c>
      <c r="R13" s="25">
        <f ca="1"/>
        <v>46022</v>
      </c>
      <c r="S13" s="26" t="str">
        <f ca="1"/>
        <v>canonical</v>
      </c>
      <c r="T13" s="27" t="str">
        <f ca="1"/>
        <v>operating_margin_gaap</v>
      </c>
      <c r="U13" s="31" t="str">
        <f ca="1"/>
        <v>-17.1523</v>
      </c>
      <c r="V13" s="30" t="str">
        <f ca="1"/>
        <v>-2590.14</v>
      </c>
      <c r="W13" s="30" t="str">
        <f ca="1"/>
        <v/>
      </c>
      <c r="X13" s="30" t="str">
        <f ca="1"/>
        <v/>
      </c>
      <c r="Y13" s="30" t="str">
        <f ca="1"/>
        <v>-27.1523</v>
      </c>
    </row>
    <row r="14" spans="1:25" x14ac:dyDescent="0.45">
      <c r="D14" s="1" cm="1">
        <f t="array" aca="1" ref="D14:O15" ca="1">+_xll.BDH($B$2,C15,$B$3,$B$4,"DIR=H")</f>
        <v>45016</v>
      </c>
      <c r="E14" s="1">
        <f ca="1"/>
        <v>45107</v>
      </c>
      <c r="F14" s="1">
        <f ca="1"/>
        <v>45199</v>
      </c>
      <c r="G14" s="1">
        <f ca="1"/>
        <v>45291</v>
      </c>
      <c r="H14" s="1">
        <f ca="1"/>
        <v>45382</v>
      </c>
      <c r="I14" s="1">
        <f ca="1"/>
        <v>45473</v>
      </c>
      <c r="J14" s="1">
        <f ca="1"/>
        <v>45565</v>
      </c>
      <c r="K14" s="1">
        <f ca="1"/>
        <v>45657</v>
      </c>
      <c r="L14" s="1">
        <f ca="1"/>
        <v>45747</v>
      </c>
      <c r="M14" s="1">
        <f ca="1"/>
        <v>45838</v>
      </c>
      <c r="N14" s="1">
        <f ca="1"/>
        <v>45930</v>
      </c>
      <c r="O14" s="1">
        <f ca="1"/>
        <v>46022</v>
      </c>
      <c r="Q14" s="25" t="str" cm="1">
        <f t="array" ref="Q14:Y17">_xlfn.LET(
  _xlpm.d, L29:O29,
  _xlpm.v, L31:O31,
  _xlpm.yy, L32:O32,
  _xlpm.qq, L33:O33,
  _xlpm.dyy, L34:O34,
  _xlpm.dqq, L35:O35,
  _xlpm.dd, TRANSPOSE(_xlpm.d),
  _xlpm.clean, _xlfn.LAMBDA(_xlpm.x, IF(_xlpm.x="","",_xlpm.x)),
_xlfn.HSTACK(
  _xlfn.MAKEARRAY(ROWS(_xlpm.dd),1, _xlfn.LAMBDA(_xlpm.r,_xlpm.c,$B$2)),
  _xlpm.dd,
  _xlfn.MAKEARRAY(ROWS(_xlpm.dd),1, _xlfn.LAMBDA(_xlpm.r,_xlpm.c,A31)),
  _xlfn.MAKEARRAY(ROWS(_xlpm.dd),1, _xlfn.LAMBDA(_xlpm.r,_xlpm.c,B31)),
  CLEAN(TRANSPOSE(_xlpm.v)),
  CLEAN(TRANSPOSE(_xlpm.yy)),
  CLEAN(TRANSPOSE(_xlpm.qq)),
  CLEAN(TRANSPOSE(_xlpm.dyy)),
  CLEAN(TRANSPOSE(_xlpm.dqq))
))</f>
        <v>BIO US EQUITY</v>
      </c>
      <c r="R14" s="25">
        <v>45747</v>
      </c>
      <c r="S14" s="26" t="str">
        <v>custom</v>
      </c>
      <c r="T14" s="27" t="str">
        <v>life_sciences_revenue</v>
      </c>
      <c r="U14" s="31" t="str">
        <v>229</v>
      </c>
      <c r="V14" s="30" t="str">
        <v>-0.0537190082644629</v>
      </c>
      <c r="W14" s="30" t="str">
        <v>12.6380960495298</v>
      </c>
      <c r="X14" s="30" t="str">
        <v>1993.67411488624</v>
      </c>
      <c r="Y14" s="30" t="str">
        <v>-0.167272727272727</v>
      </c>
    </row>
    <row r="15" spans="1:25" x14ac:dyDescent="0.45">
      <c r="A15" s="17" t="s">
        <v>16</v>
      </c>
      <c r="B15" s="17" t="s">
        <v>21</v>
      </c>
      <c r="C15" s="9" t="s">
        <v>10</v>
      </c>
      <c r="D15" s="3">
        <f ca="1"/>
        <v>53.545099999999998</v>
      </c>
      <c r="E15" s="3">
        <f ca="1"/>
        <v>53.219499999999996</v>
      </c>
      <c r="F15" s="3">
        <f ca="1"/>
        <v>53.103999999999999</v>
      </c>
      <c r="G15" s="3">
        <f ca="1"/>
        <v>53.783299999999997</v>
      </c>
      <c r="H15" s="3">
        <f ca="1"/>
        <v>53.365299999999998</v>
      </c>
      <c r="I15" s="3">
        <f ca="1"/>
        <v>55.619799999999998</v>
      </c>
      <c r="J15" s="3">
        <f ca="1"/>
        <v>54.777099999999997</v>
      </c>
      <c r="K15" s="3">
        <f ca="1"/>
        <v>51.235999999999997</v>
      </c>
      <c r="L15" s="3">
        <f ca="1"/>
        <v>52.271999999999998</v>
      </c>
      <c r="M15" s="3">
        <f ca="1"/>
        <v>52.992600000000003</v>
      </c>
      <c r="N15" s="3">
        <f ca="1"/>
        <v>52.588099999999997</v>
      </c>
      <c r="O15">
        <f ca="1"/>
        <v>49.798000000000002</v>
      </c>
      <c r="Q15" s="25" t="str">
        <v>BIO US EQUITY</v>
      </c>
      <c r="R15" s="25">
        <v>45838</v>
      </c>
      <c r="S15" s="26" t="str">
        <v>custom</v>
      </c>
      <c r="T15" s="27" t="str">
        <v>life_sciences_revenue</v>
      </c>
      <c r="U15" s="31" t="str">
        <v>263</v>
      </c>
      <c r="V15" s="30" t="str">
        <v>0.047808764940239</v>
      </c>
      <c r="W15" s="30" t="str">
        <v>1015.27773204702</v>
      </c>
      <c r="X15" s="30" t="str">
        <v>2111.42098273572</v>
      </c>
      <c r="Y15" s="30" t="str">
        <v>0.148471615720524</v>
      </c>
    </row>
    <row r="16" spans="1:25" x14ac:dyDescent="0.45">
      <c r="C16" s="4" t="s">
        <v>5</v>
      </c>
      <c r="D16" s="5"/>
      <c r="E16" s="4"/>
      <c r="F16" s="4"/>
      <c r="G16" s="4"/>
      <c r="H16" s="7">
        <f t="shared" ref="H16" ca="1" si="4">(H15-D15)*100</f>
        <v>-17.980000000000018</v>
      </c>
      <c r="I16" s="7">
        <f t="shared" ref="I16" ca="1" si="5">(I15-E15)*100</f>
        <v>240.03000000000014</v>
      </c>
      <c r="J16" s="7">
        <f t="shared" ref="J16" ca="1" si="6">(J15-F15)*100</f>
        <v>167.3099999999998</v>
      </c>
      <c r="K16" s="7">
        <f t="shared" ref="K16:N16" ca="1" si="7">(K15-G15)*100</f>
        <v>-254.73</v>
      </c>
      <c r="L16" s="7">
        <f t="shared" ca="1" si="7"/>
        <v>-109.32999999999993</v>
      </c>
      <c r="M16" s="7">
        <f t="shared" ca="1" si="7"/>
        <v>-262.71999999999946</v>
      </c>
      <c r="N16" s="7">
        <f t="shared" ca="1" si="7"/>
        <v>-218.9</v>
      </c>
      <c r="O16" s="7">
        <f ca="1">(O15-K15)*100</f>
        <v>-143.79999999999953</v>
      </c>
      <c r="Q16" s="25" t="str">
        <v>BIO US EQUITY</v>
      </c>
      <c r="R16" s="25">
        <v>45930</v>
      </c>
      <c r="S16" s="26" t="str">
        <v>custom</v>
      </c>
      <c r="T16" s="27" t="str">
        <v>life_sciences_revenue</v>
      </c>
      <c r="U16" s="31" t="str">
        <v>262</v>
      </c>
      <c r="V16" s="30" t="str">
        <v>0.00383141762452111</v>
      </c>
      <c r="W16" s="30" t="str">
        <v>-439.773473157179</v>
      </c>
      <c r="X16" s="30" t="str">
        <v>151.950539881575</v>
      </c>
      <c r="Y16" s="30" t="str">
        <v>-0.00380228136882133</v>
      </c>
    </row>
    <row r="17" spans="1:25" x14ac:dyDescent="0.45">
      <c r="C17" s="4" t="s">
        <v>26</v>
      </c>
      <c r="D17" s="1"/>
      <c r="K17" s="7"/>
      <c r="L17" s="7"/>
      <c r="M17" s="7"/>
      <c r="N17" s="7"/>
      <c r="O17" s="7"/>
      <c r="Q17" s="25" t="str">
        <v>BIO US EQUITY</v>
      </c>
      <c r="R17" s="25">
        <v>46022</v>
      </c>
      <c r="S17" s="26" t="str">
        <v>custom</v>
      </c>
      <c r="T17" s="27" t="str">
        <v>life_sciences_revenue</v>
      </c>
      <c r="U17" s="31" t="str">
        <v>268</v>
      </c>
      <c r="V17" s="30" t="str">
        <v>-0.0254545454545455</v>
      </c>
      <c r="W17" s="30" t="str">
        <v>-292.859630790666</v>
      </c>
      <c r="X17" s="30" t="str">
        <v>295.282724148703</v>
      </c>
      <c r="Y17" s="30" t="str">
        <v>0.0229007633587786</v>
      </c>
    </row>
    <row r="18" spans="1:25" x14ac:dyDescent="0.45">
      <c r="C18" s="4" t="s">
        <v>40</v>
      </c>
      <c r="D18" s="1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Q18" s="25" t="str" cm="1">
        <f t="array" ref="Q18:Y21">_xlfn.LET(
  _xlpm.d, L37:O37,
  _xlpm.v, L39:O39,
  _xlpm.yy, L40:O40,
  _xlpm.qq, L41:O41,
  _xlpm.dyy, L42:O42,
  _xlpm.dqq, L43:O43,
  _xlpm.dd, TRANSPOSE(_xlpm.d),
  _xlpm.clean, _xlfn.LAMBDA(_xlpm.x, IF(_xlpm.x="","",_xlpm.x)),
_xlfn.HSTACK(
  _xlfn.MAKEARRAY(ROWS(_xlpm.dd),1, _xlfn.LAMBDA(_xlpm.r,_xlpm.c,$B$2)),
  _xlpm.dd,
  _xlfn.MAKEARRAY(ROWS(_xlpm.dd),1, _xlfn.LAMBDA(_xlpm.r,_xlpm.c,A39)),
  _xlfn.MAKEARRAY(ROWS(_xlpm.dd),1, _xlfn.LAMBDA(_xlpm.r,_xlpm.c,B39)),
  CLEAN(TRANSPOSE(_xlpm.v)),
  CLEAN(TRANSPOSE(_xlpm.yy)),
  CLEAN(TRANSPOSE(_xlpm.qq)),
  CLEAN(TRANSPOSE(_xlpm.dyy)),
  CLEAN(TRANSPOSE(_xlpm.dqq))
))</f>
        <v>BIO US EQUITY</v>
      </c>
      <c r="R18" s="25">
        <v>45747</v>
      </c>
      <c r="S18" s="26" t="str">
        <v>custom</v>
      </c>
      <c r="T18" s="27" t="str">
        <v>clinical_diagnostics_revenue</v>
      </c>
      <c r="U18" s="31" t="str">
        <v>357</v>
      </c>
      <c r="V18" s="30" t="str">
        <v>-0.032520325203252</v>
      </c>
      <c r="W18" s="30" t="str">
        <v>-428.031015528665</v>
      </c>
      <c r="X18" s="30" t="str">
        <v>-808.157797487066</v>
      </c>
      <c r="Y18" s="30" t="str">
        <v>-0.0916030534351145</v>
      </c>
    </row>
    <row r="19" spans="1:25" x14ac:dyDescent="0.45">
      <c r="C19" s="4" t="s">
        <v>6</v>
      </c>
      <c r="D19" s="1"/>
      <c r="K19" s="7"/>
      <c r="L19" s="7">
        <f ca="1">L15-K15</f>
        <v>1.0360000000000014</v>
      </c>
      <c r="M19" s="7">
        <f t="shared" ref="M19:O19" ca="1" si="8">M15-L15</f>
        <v>0.72060000000000457</v>
      </c>
      <c r="N19" s="7">
        <f t="shared" ca="1" si="8"/>
        <v>-0.40450000000000585</v>
      </c>
      <c r="O19" s="7">
        <f t="shared" ca="1" si="8"/>
        <v>-2.7900999999999954</v>
      </c>
      <c r="Q19" s="25" t="str">
        <v>BIO US EQUITY</v>
      </c>
      <c r="R19" s="25">
        <v>45838</v>
      </c>
      <c r="S19" s="26" t="str">
        <v>custom</v>
      </c>
      <c r="T19" s="27" t="str">
        <v>clinical_diagnostics_revenue</v>
      </c>
      <c r="U19" s="31" t="str">
        <v>389</v>
      </c>
      <c r="V19" s="30" t="str">
        <v>0.00257731958762886</v>
      </c>
      <c r="W19" s="30" t="str">
        <v>350.976447908808</v>
      </c>
      <c r="X19" s="30" t="str">
        <v>-184.753119913186</v>
      </c>
      <c r="Y19" s="30" t="str">
        <v>0.0896358543417366</v>
      </c>
    </row>
    <row r="20" spans="1:25" x14ac:dyDescent="0.45">
      <c r="Q20" s="25" t="str">
        <v>BIO US EQUITY</v>
      </c>
      <c r="R20" s="25">
        <v>45930</v>
      </c>
      <c r="S20" s="26" t="str">
        <v>custom</v>
      </c>
      <c r="T20" s="27" t="str">
        <v>clinical_diagnostics_revenue</v>
      </c>
      <c r="U20" s="31" t="str">
        <v>391</v>
      </c>
      <c r="V20" s="30" t="str">
        <v>0.00514138817480725</v>
      </c>
      <c r="W20" s="30" t="str">
        <v>25.6406858717839</v>
      </c>
      <c r="X20" s="30" t="str">
        <v>-519.238292164972</v>
      </c>
      <c r="Y20" s="30" t="str">
        <v>0.00514138817480725</v>
      </c>
    </row>
    <row r="21" spans="1:25" x14ac:dyDescent="0.45">
      <c r="C21" s="14" t="s">
        <v>19</v>
      </c>
      <c r="D21" s="15">
        <f ca="1">EOMONTH(DATE(YEAR(D22),ROUNDUP(MONTH(D22)/3,0)*3,1),0)</f>
        <v>45016</v>
      </c>
      <c r="E21" s="15">
        <f ca="1">EOMONTH(DATE(YEAR(E22),ROUNDUP(MONTH(E22)/3,0)*3,1),0)</f>
        <v>45107</v>
      </c>
      <c r="F21" s="15">
        <f ca="1">EOMONTH(DATE(YEAR(F22),ROUNDUP(MONTH(F22)/3,0)*3,1),0)</f>
        <v>45199</v>
      </c>
      <c r="G21" s="15">
        <f t="shared" ref="G21:K21" ca="1" si="9">EOMONTH(DATE(YEAR(G22),ROUNDUP(MONTH(G22)/3,0)*3,1),0)</f>
        <v>45291</v>
      </c>
      <c r="H21" s="15">
        <f t="shared" ca="1" si="9"/>
        <v>45382</v>
      </c>
      <c r="I21" s="15">
        <f t="shared" ca="1" si="9"/>
        <v>45473</v>
      </c>
      <c r="J21" s="15">
        <f t="shared" ca="1" si="9"/>
        <v>45565</v>
      </c>
      <c r="K21" s="15">
        <f t="shared" ca="1" si="9"/>
        <v>45657</v>
      </c>
      <c r="L21" s="15">
        <f ca="1">EOMONTH(DATE(YEAR(L22),ROUNDUP(MONTH(L22)/3,0)*3,1),0)</f>
        <v>45747</v>
      </c>
      <c r="M21" s="15">
        <f ca="1">EOMONTH(DATE(YEAR(M22),ROUNDUP(MONTH(M22)/3,0)*3,1),0)</f>
        <v>45838</v>
      </c>
      <c r="N21" s="15">
        <f ca="1">EOMONTH(DATE(YEAR(N22),ROUNDUP(MONTH(N22)/3,0)*3,1),0)</f>
        <v>45930</v>
      </c>
      <c r="O21" s="15">
        <f ca="1">EOMONTH(DATE(YEAR(O22),ROUNDUP(MONTH(O22)/3,0)*3,1),0)</f>
        <v>46022</v>
      </c>
      <c r="Q21" s="25" t="str">
        <v>BIO US EQUITY</v>
      </c>
      <c r="R21" s="25">
        <v>46022</v>
      </c>
      <c r="S21" s="26" t="str">
        <v>custom</v>
      </c>
      <c r="T21" s="27" t="str">
        <v>clinical_diagnostics_revenue</v>
      </c>
      <c r="U21" s="31" t="str">
        <v>425</v>
      </c>
      <c r="V21" s="30" t="str">
        <v>0.0814249363867685</v>
      </c>
      <c r="W21" s="30" t="str">
        <v>762.835482119613</v>
      </c>
      <c r="X21" s="30" t="str">
        <v>711.42160037154</v>
      </c>
      <c r="Y21" s="30" t="str">
        <v>0.0869565217391304</v>
      </c>
    </row>
    <row r="22" spans="1:25" x14ac:dyDescent="0.45">
      <c r="D22" s="1" cm="1">
        <f t="array" aca="1" ref="D22:O23" ca="1">+_xll.BDH($B$2,C23,$B$3,$B$4,"DIR=H")</f>
        <v>45016</v>
      </c>
      <c r="E22" s="1">
        <f ca="1"/>
        <v>45107</v>
      </c>
      <c r="F22" s="1">
        <f ca="1"/>
        <v>45199</v>
      </c>
      <c r="G22" s="1">
        <f ca="1"/>
        <v>45291</v>
      </c>
      <c r="H22" s="1">
        <f ca="1"/>
        <v>45382</v>
      </c>
      <c r="I22" s="1">
        <f ca="1"/>
        <v>45473</v>
      </c>
      <c r="J22" s="1">
        <f ca="1"/>
        <v>45565</v>
      </c>
      <c r="K22" s="1">
        <f ca="1"/>
        <v>45657</v>
      </c>
      <c r="L22" s="1">
        <f ca="1"/>
        <v>45747</v>
      </c>
      <c r="M22" s="1">
        <f ca="1"/>
        <v>45838</v>
      </c>
      <c r="N22" s="1">
        <f ca="1"/>
        <v>45930</v>
      </c>
      <c r="O22" s="1">
        <f ca="1"/>
        <v>46022</v>
      </c>
      <c r="Q22" s="25" t="str" cm="1">
        <f t="array" ref="Q22:Y25">_xlfn.LET(
  _xlpm.d, L45:O45,
  _xlpm.v, L47:O47,
  _xlpm.yy, L48:O48,
  _xlpm.qq, L49:O49,
  _xlpm.dyy, L50:O50,
  _xlpm.dqq, L51:O51,
  _xlpm.dd, TRANSPOSE(_xlpm.d),
  _xlpm.clean, _xlfn.LAMBDA(_xlpm.x, IF(_xlpm.x="","",_xlpm.x)),
_xlfn.HSTACK(
  _xlfn.MAKEARRAY(ROWS(_xlpm.dd),1, _xlfn.LAMBDA(_xlpm.r,_xlpm.c,$B$2)),
  _xlpm.dd,
  _xlfn.MAKEARRAY(ROWS(_xlpm.dd),1, _xlfn.LAMBDA(_xlpm.r,_xlpm.c,A47)),
  _xlfn.MAKEARRAY(ROWS(_xlpm.dd),1, _xlfn.LAMBDA(_xlpm.r,_xlpm.c,B47)),
  CLEAN(TRANSPOSE(_xlpm.v)),
  CLEAN(TRANSPOSE(_xlpm.yy)),
  CLEAN(TRANSPOSE(_xlpm.qq)),
  CLEAN(TRANSPOSE(_xlpm.dyy)),
  CLEAN(TRANSPOSE(_xlpm.dqq))
))</f>
        <v>BIO US EQUITY</v>
      </c>
      <c r="R22" s="25">
        <v>45747</v>
      </c>
      <c r="S22" s="26" t="str">
        <v>custom</v>
      </c>
      <c r="T22" s="27" t="str">
        <v>currency_neutral_yoy</v>
      </c>
      <c r="U22" s="28" t="str">
        <v>-0.015</v>
      </c>
      <c r="V22" s="29" t="str">
        <v>810</v>
      </c>
      <c r="W22" s="30" t="str">
        <v/>
      </c>
      <c r="X22" s="29" t="str">
        <v/>
      </c>
      <c r="Y22" s="30" t="str">
        <v>-380</v>
      </c>
    </row>
    <row r="23" spans="1:25" x14ac:dyDescent="0.45">
      <c r="A23" s="17" t="s">
        <v>16</v>
      </c>
      <c r="B23" s="17" t="s">
        <v>22</v>
      </c>
      <c r="C23" s="9" t="s">
        <v>11</v>
      </c>
      <c r="D23" s="3">
        <f ca="1"/>
        <v>9.1472999999999995</v>
      </c>
      <c r="E23" s="3">
        <f ca="1"/>
        <v>13.157500000000001</v>
      </c>
      <c r="F23" s="3">
        <f ca="1"/>
        <v>14.3878</v>
      </c>
      <c r="G23" s="3">
        <f ca="1"/>
        <v>13.992800000000001</v>
      </c>
      <c r="H23" s="3">
        <f ca="1"/>
        <v>7.3193000000000001</v>
      </c>
      <c r="I23" s="3">
        <f ca="1"/>
        <v>15.896599999999999</v>
      </c>
      <c r="J23" s="3">
        <f ca="1"/>
        <v>9.9220000000000006</v>
      </c>
      <c r="K23" s="3">
        <f ca="1"/>
        <v>8.7491000000000003</v>
      </c>
      <c r="L23" s="3">
        <f ca="1"/>
        <v>4.0484999999999998</v>
      </c>
      <c r="M23" s="3">
        <f ca="1"/>
        <v>11.8324</v>
      </c>
      <c r="N23" s="3">
        <f ca="1"/>
        <v>10</v>
      </c>
      <c r="O23">
        <f ca="1"/>
        <v>-17.1523</v>
      </c>
      <c r="Q23" s="25" t="str">
        <v>BIO US EQUITY</v>
      </c>
      <c r="R23" s="25">
        <v>45838</v>
      </c>
      <c r="S23" s="26" t="str">
        <v>custom</v>
      </c>
      <c r="T23" s="27" t="str">
        <v>currency_neutral_yoy</v>
      </c>
      <c r="U23" s="28" t="str">
        <v>0.01</v>
      </c>
      <c r="V23" s="29" t="str">
        <v>640</v>
      </c>
      <c r="W23" s="30" t="str">
        <v/>
      </c>
      <c r="X23" s="29" t="str">
        <v/>
      </c>
      <c r="Y23" s="30" t="str">
        <v>250</v>
      </c>
    </row>
    <row r="24" spans="1:25" x14ac:dyDescent="0.45">
      <c r="C24" s="4" t="s">
        <v>5</v>
      </c>
      <c r="D24" s="5"/>
      <c r="E24" s="4"/>
      <c r="F24" s="4"/>
      <c r="G24" s="4"/>
      <c r="H24" s="7">
        <f t="shared" ref="H24" ca="1" si="10">(H23-D23)*100</f>
        <v>-182.79999999999995</v>
      </c>
      <c r="I24" s="7">
        <f t="shared" ref="I24" ca="1" si="11">(I23-E23)*100</f>
        <v>273.90999999999985</v>
      </c>
      <c r="J24" s="7">
        <f t="shared" ref="J24" ca="1" si="12">(J23-F23)*100</f>
        <v>-446.58</v>
      </c>
      <c r="K24" s="7">
        <f t="shared" ref="K24" ca="1" si="13">(K23-G23)*100</f>
        <v>-524.37</v>
      </c>
      <c r="L24" s="7">
        <f t="shared" ref="L24" ca="1" si="14">(L23-H23)*100</f>
        <v>-327.08000000000004</v>
      </c>
      <c r="M24" s="7">
        <f t="shared" ref="M24" ca="1" si="15">(M23-I23)*100</f>
        <v>-406.41999999999996</v>
      </c>
      <c r="N24" s="7">
        <f t="shared" ref="N24" ca="1" si="16">(N23-J23)*100</f>
        <v>7.7999999999999403</v>
      </c>
      <c r="O24" s="7">
        <f ca="1">(O23-K23)*100</f>
        <v>-2590.1400000000003</v>
      </c>
      <c r="Q24" s="25" t="str">
        <v>BIO US EQUITY</v>
      </c>
      <c r="R24" s="25">
        <v>45930</v>
      </c>
      <c r="S24" s="26" t="str">
        <v>custom</v>
      </c>
      <c r="T24" s="27" t="str">
        <v>currency_neutral_yoy</v>
      </c>
      <c r="U24" s="28" t="str">
        <v>-0.017</v>
      </c>
      <c r="V24" s="29" t="str">
        <v>-510</v>
      </c>
      <c r="W24" s="30" t="str">
        <v/>
      </c>
      <c r="X24" s="29" t="str">
        <v/>
      </c>
      <c r="Y24" s="30" t="str">
        <v>-270</v>
      </c>
    </row>
    <row r="25" spans="1:25" x14ac:dyDescent="0.45">
      <c r="C25" s="4" t="s">
        <v>26</v>
      </c>
      <c r="D25" s="1"/>
      <c r="K25" s="7"/>
      <c r="L25" s="7"/>
      <c r="M25" s="7"/>
      <c r="N25" s="7"/>
      <c r="O25" s="7"/>
      <c r="Q25" s="25" t="str">
        <v>BIO US EQUITY</v>
      </c>
      <c r="R25" s="25">
        <v>46022</v>
      </c>
      <c r="S25" s="26" t="str">
        <v>custom</v>
      </c>
      <c r="T25" s="27" t="str">
        <v>currency_neutral_yoy</v>
      </c>
      <c r="U25" s="28" t="str">
        <v>0.017</v>
      </c>
      <c r="V25" s="29" t="str">
        <v>-60</v>
      </c>
      <c r="W25" s="30" t="str">
        <v/>
      </c>
      <c r="X25" s="29" t="str">
        <v/>
      </c>
      <c r="Y25" s="30" t="str">
        <v>340</v>
      </c>
    </row>
    <row r="26" spans="1:25" x14ac:dyDescent="0.45">
      <c r="C26" s="4" t="s">
        <v>40</v>
      </c>
      <c r="D26" s="1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Q26" s="25" t="str" cm="1">
        <f t="array" ref="Q26:Y29">_xlfn.LET(
  _xlpm.d, L53:O53,
  _xlpm.v, L55:O55,
  _xlpm.yy, L56:O56,
  _xlpm.qq, L57:O57,
  _xlpm.dyy, L58:O58,
  _xlpm.dqq, L59:O59,
  _xlpm.dd, TRANSPOSE(_xlpm.d),
  _xlpm.clean, _xlfn.LAMBDA(_xlpm.x, IF(_xlpm.x="","",_xlpm.x)),
_xlfn.HSTACK(
  _xlfn.MAKEARRAY(ROWS(_xlpm.dd),1, _xlfn.LAMBDA(_xlpm.r,_xlpm.c,$B$2)),
  _xlpm.dd,
  _xlfn.MAKEARRAY(ROWS(_xlpm.dd),1, _xlfn.LAMBDA(_xlpm.r,_xlpm.c,A55)),
  _xlfn.MAKEARRAY(ROWS(_xlpm.dd),1, _xlfn.LAMBDA(_xlpm.r,_xlpm.c,B55)),
  CLEAN(TRANSPOSE(_xlpm.v)),
  CLEAN(TRANSPOSE(_xlpm.yy)),
  CLEAN(TRANSPOSE(_xlpm.qq)),
  CLEAN(TRANSPOSE(_xlpm.dyy)),
  CLEAN(TRANSPOSE(_xlpm.dqq))
))</f>
        <v>BIO US EQUITY</v>
      </c>
      <c r="R26" s="25">
        <v>45747</v>
      </c>
      <c r="S26" s="26" t="str">
        <v>custom</v>
      </c>
      <c r="T26" s="27" t="str">
        <v>life_sciences_currency_neutral_yoy</v>
      </c>
      <c r="U26" s="28" t="str">
        <v>-0.035</v>
      </c>
      <c r="V26" s="29" t="str">
        <v>2170</v>
      </c>
      <c r="W26" s="30" t="str">
        <v/>
      </c>
      <c r="X26" s="29" t="str">
        <v/>
      </c>
      <c r="Y26" s="30" t="str">
        <v>250</v>
      </c>
    </row>
    <row r="27" spans="1:25" x14ac:dyDescent="0.45">
      <c r="C27" s="4" t="s">
        <v>6</v>
      </c>
      <c r="D27" s="1"/>
      <c r="K27" s="7"/>
      <c r="L27" s="7">
        <f ca="1">L23-K23</f>
        <v>-4.7006000000000006</v>
      </c>
      <c r="M27" s="7">
        <f t="shared" ref="M27:O27" ca="1" si="17">M23-L23</f>
        <v>7.7839</v>
      </c>
      <c r="N27" s="7">
        <f t="shared" ca="1" si="17"/>
        <v>-1.8323999999999998</v>
      </c>
      <c r="O27" s="7">
        <f t="shared" ca="1" si="17"/>
        <v>-27.1523</v>
      </c>
      <c r="Q27" s="25" t="str">
        <v>BIO US EQUITY</v>
      </c>
      <c r="R27" s="25">
        <v>45838</v>
      </c>
      <c r="S27" s="26" t="str">
        <v>custom</v>
      </c>
      <c r="T27" s="27" t="str">
        <v>life_sciences_currency_neutral_yoy</v>
      </c>
      <c r="U27" s="28" t="str">
        <v>0.038</v>
      </c>
      <c r="V27" s="29" t="str">
        <v>1970</v>
      </c>
      <c r="W27" s="30" t="str">
        <v/>
      </c>
      <c r="X27" s="29" t="str">
        <v/>
      </c>
      <c r="Y27" s="30" t="str">
        <v>730</v>
      </c>
    </row>
    <row r="28" spans="1:25" x14ac:dyDescent="0.45">
      <c r="C28" s="4"/>
      <c r="D28" s="1"/>
      <c r="K28" s="7"/>
      <c r="L28" s="7"/>
      <c r="M28" s="7"/>
      <c r="N28" s="7"/>
      <c r="O28" s="7"/>
      <c r="Q28" s="25" t="str">
        <v>BIO US EQUITY</v>
      </c>
      <c r="R28" s="25">
        <v>45930</v>
      </c>
      <c r="S28" s="26" t="str">
        <v>custom</v>
      </c>
      <c r="T28" s="27" t="str">
        <v>life_sciences_currency_neutral_yoy</v>
      </c>
      <c r="U28" s="28" t="str">
        <v>-0.015</v>
      </c>
      <c r="V28" s="29" t="str">
        <v>-150</v>
      </c>
      <c r="W28" s="30" t="str">
        <v/>
      </c>
      <c r="X28" s="29" t="str">
        <v/>
      </c>
      <c r="Y28" s="30" t="str">
        <v>-530</v>
      </c>
    </row>
    <row r="29" spans="1:25" x14ac:dyDescent="0.45">
      <c r="C29" s="14" t="s">
        <v>19</v>
      </c>
      <c r="D29" s="15">
        <f t="shared" ref="D29" si="18">EOMONTH(DATE(YEAR(D30),ROUNDUP(MONTH(D30)/3,0)*3,1),0)</f>
        <v>45016</v>
      </c>
      <c r="E29" s="15">
        <f t="shared" ref="E29" si="19">EOMONTH(DATE(YEAR(E30),ROUNDUP(MONTH(E30)/3,0)*3,1),0)</f>
        <v>45107</v>
      </c>
      <c r="F29" s="15">
        <f t="shared" ref="F29" si="20">EOMONTH(DATE(YEAR(F30),ROUNDUP(MONTH(F30)/3,0)*3,1),0)</f>
        <v>45199</v>
      </c>
      <c r="G29" s="15">
        <f t="shared" ref="G29" si="21">EOMONTH(DATE(YEAR(G30),ROUNDUP(MONTH(G30)/3,0)*3,1),0)</f>
        <v>45291</v>
      </c>
      <c r="H29" s="15">
        <f t="shared" ref="H29" si="22">EOMONTH(DATE(YEAR(H30),ROUNDUP(MONTH(H30)/3,0)*3,1),0)</f>
        <v>45382</v>
      </c>
      <c r="I29" s="15">
        <f t="shared" ref="I29:J29" si="23">EOMONTH(DATE(YEAR(I30),ROUNDUP(MONTH(I30)/3,0)*3,1),0)</f>
        <v>45473</v>
      </c>
      <c r="J29" s="15">
        <f t="shared" si="23"/>
        <v>45565</v>
      </c>
      <c r="K29" s="15">
        <f t="shared" ref="K29:L29" si="24">EOMONTH(DATE(YEAR(K30),ROUNDUP(MONTH(K30)/3,0)*3,1),0)</f>
        <v>45657</v>
      </c>
      <c r="L29" s="15">
        <f t="shared" si="24"/>
        <v>45747</v>
      </c>
      <c r="M29" s="15">
        <f>EOMONTH(DATE(YEAR(M30),ROUNDUP(MONTH(M30)/3,0)*3,1),0)</f>
        <v>45838</v>
      </c>
      <c r="N29" s="15">
        <f>EOMONTH(DATE(YEAR(N30),ROUNDUP(MONTH(N30)/3,0)*3,1),0)</f>
        <v>45930</v>
      </c>
      <c r="O29" s="15">
        <f>EOMONTH(DATE(YEAR(O30),ROUNDUP(MONTH(O30)/3,0)*3,1),0)</f>
        <v>46022</v>
      </c>
      <c r="Q29" s="25" t="str">
        <v>BIO US EQUITY</v>
      </c>
      <c r="R29" s="25">
        <v>46022</v>
      </c>
      <c r="S29" s="26" t="str">
        <v>custom</v>
      </c>
      <c r="T29" s="27" t="str">
        <v>life_sciences_currency_neutral_yoy</v>
      </c>
      <c r="U29" s="28" t="str">
        <v>-0.04</v>
      </c>
      <c r="V29" s="29" t="str">
        <v>200</v>
      </c>
      <c r="W29" s="30" t="str">
        <v/>
      </c>
      <c r="X29" s="29" t="str">
        <v/>
      </c>
      <c r="Y29" s="30" t="str">
        <v>-250</v>
      </c>
    </row>
    <row r="30" spans="1:25" x14ac:dyDescent="0.45">
      <c r="D30" s="2">
        <v>45016</v>
      </c>
      <c r="E30" s="2">
        <v>45107</v>
      </c>
      <c r="F30" s="2">
        <v>45199</v>
      </c>
      <c r="G30" s="2">
        <v>45291</v>
      </c>
      <c r="H30" s="2">
        <v>45382</v>
      </c>
      <c r="I30" s="2">
        <v>45473</v>
      </c>
      <c r="J30" s="2">
        <v>45565</v>
      </c>
      <c r="K30" s="2">
        <v>45657</v>
      </c>
      <c r="L30" s="2">
        <v>45747</v>
      </c>
      <c r="M30" s="2">
        <v>45838</v>
      </c>
      <c r="N30" s="2">
        <v>45930</v>
      </c>
      <c r="O30" s="2">
        <v>46022</v>
      </c>
      <c r="Q30" s="25" t="str" cm="1">
        <f t="array" ref="Q30:Y33">_xlfn.LET(
  _xlpm.d, L61:O61,
  _xlpm.v, L63:O63,
  _xlpm.yy, L64:O64,
  _xlpm.qq, L65:O65,
  _xlpm.dyy, L66:O66,
  _xlpm.dqq, L67:O67,
  _xlpm.dd, TRANSPOSE(_xlpm.d),
  _xlpm.clean, _xlfn.LAMBDA(_xlpm.x, IF(_xlpm.x="","",_xlpm.x)),
_xlfn.HSTACK(
  _xlfn.MAKEARRAY(ROWS(_xlpm.dd),1, _xlfn.LAMBDA(_xlpm.r,_xlpm.c,$B$2)),
  _xlpm.dd,
  _xlfn.MAKEARRAY(ROWS(_xlpm.dd),1, _xlfn.LAMBDA(_xlpm.r,_xlpm.c,A63)),
  _xlfn.MAKEARRAY(ROWS(_xlpm.dd),1, _xlfn.LAMBDA(_xlpm.r,_xlpm.c,B63)),
  CLEAN(TRANSPOSE(_xlpm.v)),
  CLEAN(TRANSPOSE(_xlpm.yy)),
  CLEAN(TRANSPOSE(_xlpm.qq)),
  CLEAN(TRANSPOSE(_xlpm.dyy)),
  CLEAN(TRANSPOSE(_xlpm.dqq))
))</f>
        <v>BIO US EQUITY</v>
      </c>
      <c r="R30" s="25">
        <v>45747</v>
      </c>
      <c r="S30" s="26" t="str">
        <v>custom</v>
      </c>
      <c r="T30" s="27" t="str">
        <v>clinical_diagnostics_currency_neutral_yoy</v>
      </c>
      <c r="U30" s="28" t="str">
        <v>0</v>
      </c>
      <c r="V30" s="29" t="str">
        <v>-480</v>
      </c>
      <c r="W30" s="30" t="str">
        <v/>
      </c>
      <c r="X30" s="29" t="str">
        <v/>
      </c>
      <c r="Y30" s="30" t="str">
        <v>-70</v>
      </c>
    </row>
    <row r="31" spans="1:25" x14ac:dyDescent="0.45">
      <c r="A31" s="17" t="s">
        <v>28</v>
      </c>
      <c r="B31" s="17" t="s">
        <v>32</v>
      </c>
      <c r="C31" s="2" t="s">
        <v>7</v>
      </c>
      <c r="D31" s="10">
        <v>324</v>
      </c>
      <c r="E31" s="10">
        <v>300</v>
      </c>
      <c r="F31" s="10">
        <v>264</v>
      </c>
      <c r="G31" s="10">
        <v>291</v>
      </c>
      <c r="H31" s="10">
        <v>242</v>
      </c>
      <c r="I31" s="10">
        <v>251</v>
      </c>
      <c r="J31" s="10">
        <v>261</v>
      </c>
      <c r="K31" s="10">
        <v>275</v>
      </c>
      <c r="L31" s="10">
        <v>229</v>
      </c>
      <c r="M31" s="10">
        <v>263</v>
      </c>
      <c r="N31" s="10">
        <v>262</v>
      </c>
      <c r="O31" s="10">
        <v>268</v>
      </c>
      <c r="Q31" s="25" t="str">
        <v>BIO US EQUITY</v>
      </c>
      <c r="R31" s="25">
        <v>45838</v>
      </c>
      <c r="S31" s="26" t="str">
        <v>custom</v>
      </c>
      <c r="T31" s="27" t="str">
        <v>clinical_diagnostics_currency_neutral_yoy</v>
      </c>
      <c r="U31" s="28" t="str">
        <v>-0.007</v>
      </c>
      <c r="V31" s="29" t="str">
        <v>-390</v>
      </c>
      <c r="W31" s="30" t="str">
        <v/>
      </c>
      <c r="X31" s="29" t="str">
        <v/>
      </c>
      <c r="Y31" s="30" t="str">
        <v>-70</v>
      </c>
    </row>
    <row r="32" spans="1:25" x14ac:dyDescent="0.45">
      <c r="C32" s="4" t="s">
        <v>5</v>
      </c>
      <c r="D32" s="5"/>
      <c r="E32" s="4"/>
      <c r="F32" s="4"/>
      <c r="G32" s="13"/>
      <c r="H32" s="13">
        <f t="shared" ref="H32" si="25">+H31/D31-1</f>
        <v>-0.25308641975308643</v>
      </c>
      <c r="I32" s="13">
        <f t="shared" ref="I32" si="26">+I31/E31-1</f>
        <v>-0.16333333333333333</v>
      </c>
      <c r="J32" s="13">
        <f t="shared" ref="J32" si="27">+J31/F31-1</f>
        <v>-1.1363636363636354E-2</v>
      </c>
      <c r="K32" s="13">
        <f t="shared" ref="K32" si="28">+K31/G31-1</f>
        <v>-5.4982817869415834E-2</v>
      </c>
      <c r="L32" s="13">
        <f t="shared" ref="L32" si="29">+L31/H31-1</f>
        <v>-5.3719008264462853E-2</v>
      </c>
      <c r="M32" s="13">
        <f t="shared" ref="M32" si="30">+M31/I31-1</f>
        <v>4.7808764940239001E-2</v>
      </c>
      <c r="N32" s="13">
        <f t="shared" ref="N32" si="31">+N31/J31-1</f>
        <v>3.8314176245211051E-3</v>
      </c>
      <c r="O32" s="13">
        <f>+O31/K31-1</f>
        <v>-2.5454545454545507E-2</v>
      </c>
      <c r="Q32" s="25" t="str">
        <v>BIO US EQUITY</v>
      </c>
      <c r="R32" s="25">
        <v>45930</v>
      </c>
      <c r="S32" s="26" t="str">
        <v>custom</v>
      </c>
      <c r="T32" s="27" t="str">
        <v>clinical_diagnostics_currency_neutral_yoy</v>
      </c>
      <c r="U32" s="28" t="str">
        <v>-0.018</v>
      </c>
      <c r="V32" s="29" t="str">
        <v>-820</v>
      </c>
      <c r="W32" s="30" t="str">
        <v/>
      </c>
      <c r="X32" s="29" t="str">
        <v/>
      </c>
      <c r="Y32" s="30" t="str">
        <v>-110</v>
      </c>
    </row>
    <row r="33" spans="1:25" x14ac:dyDescent="0.45">
      <c r="C33" s="4" t="s">
        <v>26</v>
      </c>
      <c r="D33" s="1"/>
      <c r="L33" s="7">
        <f>(L32-K32)*10000</f>
        <v>12.638096049529812</v>
      </c>
      <c r="M33" s="7">
        <f>(M32-L32)*10000</f>
        <v>1015.2777320470185</v>
      </c>
      <c r="N33" s="7">
        <f>(N32-M32)*10000</f>
        <v>-439.77347315717896</v>
      </c>
      <c r="O33" s="7">
        <f>(O32-N32)*10000</f>
        <v>-292.85963079066613</v>
      </c>
      <c r="Q33" s="25" t="str">
        <v>BIO US EQUITY</v>
      </c>
      <c r="R33" s="25">
        <v>46022</v>
      </c>
      <c r="S33" s="26" t="str">
        <v>custom</v>
      </c>
      <c r="T33" s="27" t="str">
        <v>clinical_diagnostics_currency_neutral_yoy</v>
      </c>
      <c r="U33" s="28" t="str">
        <v>0.056</v>
      </c>
      <c r="V33" s="29" t="str">
        <v>490</v>
      </c>
      <c r="W33" s="30" t="str">
        <v/>
      </c>
      <c r="X33" s="29" t="str">
        <v/>
      </c>
      <c r="Y33" s="30" t="str">
        <v>740</v>
      </c>
    </row>
    <row r="34" spans="1:25" x14ac:dyDescent="0.45">
      <c r="C34" s="4" t="s">
        <v>40</v>
      </c>
      <c r="D34" s="1"/>
      <c r="E34" s="6"/>
      <c r="F34" s="6"/>
      <c r="G34" s="6"/>
      <c r="H34" s="6"/>
      <c r="I34" s="6"/>
      <c r="J34" s="6"/>
      <c r="K34" s="6"/>
      <c r="L34" s="7">
        <f>(L32-H32)*10000</f>
        <v>1993.6741148862359</v>
      </c>
      <c r="M34" s="7">
        <f>(M32-I32)*10000</f>
        <v>2111.4209827357231</v>
      </c>
      <c r="N34" s="7">
        <f>(N32-J32)*10000</f>
        <v>151.9505398815746</v>
      </c>
      <c r="O34" s="7">
        <f>(O32-K32)*10000</f>
        <v>295.28272414870327</v>
      </c>
    </row>
    <row r="35" spans="1:25" x14ac:dyDescent="0.45">
      <c r="C35" s="4" t="s">
        <v>6</v>
      </c>
      <c r="D35" s="1"/>
      <c r="L35" s="13">
        <f t="shared" ref="L35:N35" si="32">L31/K31-1</f>
        <v>-0.16727272727272724</v>
      </c>
      <c r="M35" s="13">
        <f t="shared" si="32"/>
        <v>0.14847161572052392</v>
      </c>
      <c r="N35" s="13">
        <f t="shared" si="32"/>
        <v>-3.8022813688213253E-3</v>
      </c>
      <c r="O35" s="13">
        <f>O31/N31-1</f>
        <v>2.2900763358778553E-2</v>
      </c>
    </row>
    <row r="36" spans="1:25" x14ac:dyDescent="0.45">
      <c r="C36" s="4"/>
      <c r="D36" s="1"/>
      <c r="K36" s="7"/>
      <c r="L36" s="7"/>
      <c r="M36" s="7"/>
      <c r="N36" s="7"/>
      <c r="O36" s="7"/>
    </row>
    <row r="37" spans="1:25" x14ac:dyDescent="0.45">
      <c r="C37" s="14" t="s">
        <v>19</v>
      </c>
      <c r="D37" s="15">
        <f t="shared" ref="D37" si="33">EOMONTH(DATE(YEAR(D38),ROUNDUP(MONTH(D38)/3,0)*3,1),0)</f>
        <v>45016</v>
      </c>
      <c r="E37" s="15">
        <f t="shared" ref="E37" si="34">EOMONTH(DATE(YEAR(E38),ROUNDUP(MONTH(E38)/3,0)*3,1),0)</f>
        <v>45107</v>
      </c>
      <c r="F37" s="15">
        <f t="shared" ref="F37" si="35">EOMONTH(DATE(YEAR(F38),ROUNDUP(MONTH(F38)/3,0)*3,1),0)</f>
        <v>45199</v>
      </c>
      <c r="G37" s="15">
        <f t="shared" ref="G37" si="36">EOMONTH(DATE(YEAR(G38),ROUNDUP(MONTH(G38)/3,0)*3,1),0)</f>
        <v>45291</v>
      </c>
      <c r="H37" s="15">
        <f t="shared" ref="H37" si="37">EOMONTH(DATE(YEAR(H38),ROUNDUP(MONTH(H38)/3,0)*3,1),0)</f>
        <v>45382</v>
      </c>
      <c r="I37" s="15">
        <f t="shared" ref="I37" si="38">EOMONTH(DATE(YEAR(I38),ROUNDUP(MONTH(I38)/3,0)*3,1),0)</f>
        <v>45473</v>
      </c>
      <c r="J37" s="15">
        <f t="shared" ref="J37" si="39">EOMONTH(DATE(YEAR(J38),ROUNDUP(MONTH(J38)/3,0)*3,1),0)</f>
        <v>45565</v>
      </c>
      <c r="K37" s="15">
        <f t="shared" ref="K37:L37" si="40">EOMONTH(DATE(YEAR(K38),ROUNDUP(MONTH(K38)/3,0)*3,1),0)</f>
        <v>45657</v>
      </c>
      <c r="L37" s="15">
        <f t="shared" si="40"/>
        <v>45747</v>
      </c>
      <c r="M37" s="15">
        <f>EOMONTH(DATE(YEAR(M38),ROUNDUP(MONTH(M38)/3,0)*3,1),0)</f>
        <v>45838</v>
      </c>
      <c r="N37" s="15">
        <f>EOMONTH(DATE(YEAR(N38),ROUNDUP(MONTH(N38)/3,0)*3,1),0)</f>
        <v>45930</v>
      </c>
      <c r="O37" s="15">
        <f>EOMONTH(DATE(YEAR(O38),ROUNDUP(MONTH(O38)/3,0)*3,1),0)</f>
        <v>46022</v>
      </c>
    </row>
    <row r="38" spans="1:25" x14ac:dyDescent="0.45">
      <c r="D38" s="2">
        <v>45016</v>
      </c>
      <c r="E38" s="2">
        <v>45107</v>
      </c>
      <c r="F38" s="2">
        <v>45199</v>
      </c>
      <c r="G38" s="2">
        <v>45291</v>
      </c>
      <c r="H38" s="2">
        <v>45382</v>
      </c>
      <c r="I38" s="2">
        <v>45473</v>
      </c>
      <c r="J38" s="2">
        <v>45565</v>
      </c>
      <c r="K38" s="2">
        <v>45657</v>
      </c>
      <c r="L38" s="2">
        <v>45747</v>
      </c>
      <c r="M38" s="2">
        <v>45838</v>
      </c>
      <c r="N38" s="2">
        <v>45930</v>
      </c>
      <c r="O38" s="2">
        <v>46022</v>
      </c>
    </row>
    <row r="39" spans="1:25" x14ac:dyDescent="0.45">
      <c r="A39" s="17" t="s">
        <v>28</v>
      </c>
      <c r="B39" s="17" t="s">
        <v>33</v>
      </c>
      <c r="C39" s="2" t="s">
        <v>8</v>
      </c>
      <c r="D39" s="10">
        <v>352</v>
      </c>
      <c r="E39" s="10">
        <v>380</v>
      </c>
      <c r="F39" s="10">
        <v>368</v>
      </c>
      <c r="G39" s="10">
        <v>389</v>
      </c>
      <c r="H39" s="10">
        <v>369</v>
      </c>
      <c r="I39" s="10">
        <v>388</v>
      </c>
      <c r="J39" s="10">
        <v>389</v>
      </c>
      <c r="K39" s="10">
        <v>393</v>
      </c>
      <c r="L39" s="10">
        <v>357</v>
      </c>
      <c r="M39" s="10">
        <v>389</v>
      </c>
      <c r="N39" s="10">
        <v>391</v>
      </c>
      <c r="O39" s="10">
        <v>425</v>
      </c>
    </row>
    <row r="40" spans="1:25" x14ac:dyDescent="0.45">
      <c r="C40" s="4" t="s">
        <v>5</v>
      </c>
      <c r="D40" s="5"/>
      <c r="E40" s="4"/>
      <c r="F40" s="4"/>
      <c r="G40" s="13"/>
      <c r="H40" s="13">
        <f t="shared" ref="H40" si="41">+H39/D39-1</f>
        <v>4.8295454545454586E-2</v>
      </c>
      <c r="I40" s="13">
        <f t="shared" ref="I40" si="42">+I39/E39-1</f>
        <v>2.1052631578947434E-2</v>
      </c>
      <c r="J40" s="13">
        <f t="shared" ref="J40" si="43">+J39/F39-1</f>
        <v>5.7065217391304435E-2</v>
      </c>
      <c r="K40" s="13">
        <f t="shared" ref="K40" si="44">+K39/G39-1</f>
        <v>1.0282776349614497E-2</v>
      </c>
      <c r="L40" s="13">
        <f t="shared" ref="L40" si="45">+L39/H39-1</f>
        <v>-3.2520325203251987E-2</v>
      </c>
      <c r="M40" s="13">
        <f t="shared" ref="M40" si="46">+M39/I39-1</f>
        <v>2.5773195876288568E-3</v>
      </c>
      <c r="N40" s="13">
        <f t="shared" ref="N40" si="47">+N39/J39-1</f>
        <v>5.1413881748072487E-3</v>
      </c>
      <c r="O40" s="13">
        <f>+O39/K39-1</f>
        <v>8.1424936386768509E-2</v>
      </c>
    </row>
    <row r="41" spans="1:25" x14ac:dyDescent="0.45">
      <c r="C41" s="4" t="s">
        <v>26</v>
      </c>
      <c r="D41" s="1"/>
      <c r="L41" s="7">
        <f>(L40-K40)*10000</f>
        <v>-428.03101552866485</v>
      </c>
      <c r="M41" s="7">
        <f>(M40-L40)*10000</f>
        <v>350.97644790880844</v>
      </c>
      <c r="N41" s="7">
        <f>(N40-M40)*10000</f>
        <v>25.640685871783919</v>
      </c>
      <c r="O41" s="7">
        <f>(O40-N40)*10000</f>
        <v>762.83548211961261</v>
      </c>
    </row>
    <row r="42" spans="1:25" x14ac:dyDescent="0.45">
      <c r="C42" s="4" t="s">
        <v>40</v>
      </c>
      <c r="D42" s="1"/>
      <c r="E42" s="6"/>
      <c r="F42" s="6"/>
      <c r="G42" s="6"/>
      <c r="H42" s="6"/>
      <c r="I42" s="6"/>
      <c r="J42" s="6"/>
      <c r="K42" s="6"/>
      <c r="L42" s="7">
        <f>(L40-H40)*10000</f>
        <v>-808.15779748706575</v>
      </c>
      <c r="M42" s="7">
        <f>(M40-I40)*10000</f>
        <v>-184.75311991318577</v>
      </c>
      <c r="N42" s="7">
        <f>(N40-J40)*10000</f>
        <v>-519.23829216497188</v>
      </c>
      <c r="O42" s="7">
        <f>(O40-K40)*10000</f>
        <v>711.42160037154008</v>
      </c>
    </row>
    <row r="43" spans="1:25" x14ac:dyDescent="0.45">
      <c r="C43" s="4" t="s">
        <v>6</v>
      </c>
      <c r="D43" s="1"/>
      <c r="L43" s="13">
        <f t="shared" ref="L43:N43" si="48">L39/K39-1</f>
        <v>-9.1603053435114545E-2</v>
      </c>
      <c r="M43" s="13">
        <f t="shared" si="48"/>
        <v>8.9635854341736598E-2</v>
      </c>
      <c r="N43" s="13">
        <f t="shared" si="48"/>
        <v>5.1413881748072487E-3</v>
      </c>
      <c r="O43" s="13">
        <f>O39/N39-1</f>
        <v>8.6956521739130377E-2</v>
      </c>
    </row>
    <row r="44" spans="1:25" x14ac:dyDescent="0.45">
      <c r="C44" s="4"/>
      <c r="D44" s="1"/>
      <c r="L44" s="7"/>
      <c r="M44" s="7"/>
      <c r="N44" s="7"/>
      <c r="O44" s="7"/>
    </row>
    <row r="45" spans="1:25" x14ac:dyDescent="0.45">
      <c r="C45" s="14" t="s">
        <v>19</v>
      </c>
      <c r="D45" s="15"/>
      <c r="E45" s="15"/>
      <c r="F45" s="15"/>
      <c r="G45" s="15">
        <f t="shared" ref="G45" si="49">EOMONTH(DATE(YEAR(G46),ROUNDUP(MONTH(G46)/3,0)*3,1),0)</f>
        <v>45291</v>
      </c>
      <c r="H45" s="15">
        <f t="shared" ref="H45" si="50">EOMONTH(DATE(YEAR(H46),ROUNDUP(MONTH(H46)/3,0)*3,1),0)</f>
        <v>45382</v>
      </c>
      <c r="I45" s="15">
        <f t="shared" ref="I45:J45" si="51">EOMONTH(DATE(YEAR(I46),ROUNDUP(MONTH(I46)/3,0)*3,1),0)</f>
        <v>45473</v>
      </c>
      <c r="J45" s="15">
        <f t="shared" si="51"/>
        <v>45565</v>
      </c>
      <c r="K45" s="15">
        <f>EOMONTH(DATE(YEAR(K46),ROUNDUP(MONTH(K46)/3,0)*3,1),0)</f>
        <v>45657</v>
      </c>
      <c r="L45" s="15">
        <f>EOMONTH(DATE(YEAR(L46),ROUNDUP(MONTH(L46)/3,0)*3,1),0)</f>
        <v>45747</v>
      </c>
      <c r="M45" s="15">
        <f>EOMONTH(DATE(YEAR(M46),ROUNDUP(MONTH(M46)/3,0)*3,1),0)</f>
        <v>45838</v>
      </c>
      <c r="N45" s="15">
        <f>EOMONTH(DATE(YEAR(N46),ROUNDUP(MONTH(N46)/3,0)*3,1),0)</f>
        <v>45930</v>
      </c>
      <c r="O45" s="15">
        <f>EOMONTH(DATE(YEAR(O46),ROUNDUP(MONTH(O46)/3,0)*3,1),0)</f>
        <v>46022</v>
      </c>
      <c r="Q45" s="1"/>
      <c r="T45" s="12"/>
      <c r="U45" s="13"/>
      <c r="V45" s="7"/>
      <c r="W45" s="13"/>
      <c r="X45" s="7"/>
    </row>
    <row r="46" spans="1:25" x14ac:dyDescent="0.45">
      <c r="C46" s="2" t="s">
        <v>19</v>
      </c>
      <c r="D46" s="2"/>
      <c r="E46" s="2"/>
      <c r="F46" s="2"/>
      <c r="G46" s="2">
        <v>45291</v>
      </c>
      <c r="H46" s="2">
        <v>45382</v>
      </c>
      <c r="I46" s="2">
        <v>45473</v>
      </c>
      <c r="J46" s="2">
        <v>45565</v>
      </c>
      <c r="K46" s="2">
        <v>45657</v>
      </c>
      <c r="L46" s="2">
        <v>45747</v>
      </c>
      <c r="M46" s="2">
        <v>45838</v>
      </c>
      <c r="N46" s="2">
        <v>45930</v>
      </c>
      <c r="O46" s="2">
        <v>46022</v>
      </c>
      <c r="Q46" s="1"/>
      <c r="T46" s="12"/>
      <c r="U46" s="13"/>
      <c r="V46" s="7"/>
      <c r="W46" s="13"/>
      <c r="X46" s="7"/>
    </row>
    <row r="47" spans="1:25" x14ac:dyDescent="0.45">
      <c r="A47" s="17" t="s">
        <v>28</v>
      </c>
      <c r="B47" s="17" t="s">
        <v>29</v>
      </c>
      <c r="C47" s="9" t="s">
        <v>30</v>
      </c>
      <c r="D47" s="8"/>
      <c r="E47" s="8"/>
      <c r="F47" s="8"/>
      <c r="G47" s="8">
        <v>-7.6999999999999999E-2</v>
      </c>
      <c r="H47" s="8">
        <v>-9.6000000000000002E-2</v>
      </c>
      <c r="I47" s="8">
        <v>-5.3999999999999999E-2</v>
      </c>
      <c r="J47" s="8">
        <v>3.4000000000000002E-2</v>
      </c>
      <c r="K47" s="8">
        <v>2.3E-2</v>
      </c>
      <c r="L47" s="8">
        <v>-1.4999999999999999E-2</v>
      </c>
      <c r="M47" s="8">
        <v>0.01</v>
      </c>
      <c r="N47" s="8">
        <v>-1.7000000000000001E-2</v>
      </c>
      <c r="O47" s="8">
        <v>1.7000000000000001E-2</v>
      </c>
      <c r="Q47" s="1"/>
      <c r="T47" s="12"/>
      <c r="U47" s="13"/>
      <c r="V47" s="7"/>
      <c r="W47" s="13"/>
      <c r="X47" s="7"/>
    </row>
    <row r="48" spans="1:25" x14ac:dyDescent="0.45">
      <c r="C48" s="4" t="s">
        <v>5</v>
      </c>
      <c r="D48" s="5"/>
      <c r="E48" s="4"/>
      <c r="F48" s="4"/>
      <c r="G48" s="4"/>
      <c r="H48" s="7"/>
      <c r="I48" s="7"/>
      <c r="J48" s="7"/>
      <c r="K48" s="7">
        <f t="shared" ref="K48" si="52">(K47-G47)*100</f>
        <v>10</v>
      </c>
      <c r="L48" s="7">
        <f t="shared" ref="L48:N48" si="53">(L47-H47)*10000</f>
        <v>810</v>
      </c>
      <c r="M48" s="7">
        <f t="shared" si="53"/>
        <v>640</v>
      </c>
      <c r="N48" s="7">
        <f t="shared" si="53"/>
        <v>-510.00000000000006</v>
      </c>
      <c r="O48" s="7">
        <f>(O47-K47)*10000</f>
        <v>-59.999999999999986</v>
      </c>
    </row>
    <row r="49" spans="1:15" x14ac:dyDescent="0.45">
      <c r="C49" s="4" t="s">
        <v>26</v>
      </c>
      <c r="D49" s="1"/>
      <c r="K49" s="7"/>
      <c r="L49" s="7"/>
      <c r="M49" s="7"/>
      <c r="N49" s="7"/>
      <c r="O49" s="7"/>
    </row>
    <row r="50" spans="1:15" x14ac:dyDescent="0.45">
      <c r="C50" s="4" t="s">
        <v>40</v>
      </c>
      <c r="D50" s="1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</row>
    <row r="51" spans="1:15" x14ac:dyDescent="0.45">
      <c r="C51" s="4" t="s">
        <v>6</v>
      </c>
      <c r="D51" s="1"/>
      <c r="K51" s="7"/>
      <c r="L51" s="7">
        <f>(L47-K47)*10000</f>
        <v>-380</v>
      </c>
      <c r="M51" s="7">
        <f t="shared" ref="M51:O51" si="54">(M47-L47)*10000</f>
        <v>250</v>
      </c>
      <c r="N51" s="7">
        <f t="shared" si="54"/>
        <v>-270.00000000000006</v>
      </c>
      <c r="O51" s="7">
        <f t="shared" si="54"/>
        <v>340</v>
      </c>
    </row>
    <row r="52" spans="1:15" x14ac:dyDescent="0.45">
      <c r="C52" s="4"/>
      <c r="D52" s="1"/>
      <c r="G52" s="1"/>
    </row>
    <row r="53" spans="1:15" x14ac:dyDescent="0.45">
      <c r="C53" s="14" t="s">
        <v>19</v>
      </c>
      <c r="D53" s="15"/>
      <c r="E53" s="15"/>
      <c r="F53" s="15"/>
      <c r="G53" s="15">
        <f t="shared" ref="G53" si="55">EOMONTH(DATE(YEAR(G54),ROUNDUP(MONTH(G54)/3,0)*3,1),0)</f>
        <v>45291</v>
      </c>
      <c r="H53" s="15">
        <f t="shared" ref="H53" si="56">EOMONTH(DATE(YEAR(H54),ROUNDUP(MONTH(H54)/3,0)*3,1),0)</f>
        <v>45382</v>
      </c>
      <c r="I53" s="15">
        <f t="shared" ref="I53:J53" si="57">EOMONTH(DATE(YEAR(I54),ROUNDUP(MONTH(I54)/3,0)*3,1),0)</f>
        <v>45473</v>
      </c>
      <c r="J53" s="15">
        <f t="shared" si="57"/>
        <v>45565</v>
      </c>
      <c r="K53" s="15">
        <f>EOMONTH(DATE(YEAR(K54),ROUNDUP(MONTH(K54)/3,0)*3,1),0)</f>
        <v>45657</v>
      </c>
      <c r="L53" s="15">
        <f>EOMONTH(DATE(YEAR(L54),ROUNDUP(MONTH(L54)/3,0)*3,1),0)</f>
        <v>45747</v>
      </c>
      <c r="M53" s="15">
        <f>EOMONTH(DATE(YEAR(M54),ROUNDUP(MONTH(M54)/3,0)*3,1),0)</f>
        <v>45838</v>
      </c>
      <c r="N53" s="15">
        <f>EOMONTH(DATE(YEAR(N54),ROUNDUP(MONTH(N54)/3,0)*3,1),0)</f>
        <v>45930</v>
      </c>
      <c r="O53" s="15">
        <f>EOMONTH(DATE(YEAR(O54),ROUNDUP(MONTH(O54)/3,0)*3,1),0)</f>
        <v>46022</v>
      </c>
    </row>
    <row r="54" spans="1:15" x14ac:dyDescent="0.45">
      <c r="C54" s="2" t="s">
        <v>19</v>
      </c>
      <c r="D54" s="2"/>
      <c r="E54" s="2"/>
      <c r="F54" s="2"/>
      <c r="G54" s="2">
        <v>45291</v>
      </c>
      <c r="H54" s="2">
        <v>45382</v>
      </c>
      <c r="I54" s="2">
        <v>45473</v>
      </c>
      <c r="J54" s="2">
        <v>45565</v>
      </c>
      <c r="K54" s="2">
        <v>45657</v>
      </c>
      <c r="L54" s="2">
        <v>45747</v>
      </c>
      <c r="M54" s="2">
        <v>45838</v>
      </c>
      <c r="N54" s="2">
        <v>45930</v>
      </c>
      <c r="O54" s="2">
        <v>46022</v>
      </c>
    </row>
    <row r="55" spans="1:15" x14ac:dyDescent="0.45">
      <c r="A55" s="17" t="s">
        <v>28</v>
      </c>
      <c r="B55" s="17" t="s">
        <v>35</v>
      </c>
      <c r="C55" s="9" t="s">
        <v>35</v>
      </c>
      <c r="D55" s="8"/>
      <c r="E55" s="8"/>
      <c r="F55" s="8"/>
      <c r="G55" s="8">
        <v>-0.19900000000000001</v>
      </c>
      <c r="H55" s="8">
        <v>-0.252</v>
      </c>
      <c r="I55" s="8">
        <v>-0.159</v>
      </c>
      <c r="J55" s="8">
        <v>0</v>
      </c>
      <c r="K55" s="8">
        <v>-0.06</v>
      </c>
      <c r="L55" s="8">
        <v>-3.5000000000000003E-2</v>
      </c>
      <c r="M55" s="8">
        <v>3.7999999999999999E-2</v>
      </c>
      <c r="N55" s="8">
        <v>-1.4999999999999999E-2</v>
      </c>
      <c r="O55" s="8">
        <v>-0.04</v>
      </c>
    </row>
    <row r="56" spans="1:15" x14ac:dyDescent="0.45">
      <c r="C56" s="4" t="s">
        <v>5</v>
      </c>
      <c r="D56" s="5"/>
      <c r="E56" s="4"/>
      <c r="F56" s="4"/>
      <c r="G56" s="4"/>
      <c r="H56" s="7"/>
      <c r="I56" s="7"/>
      <c r="J56" s="7"/>
      <c r="K56" s="7">
        <f t="shared" ref="K56" si="58">(K55-G55)*100</f>
        <v>13.900000000000002</v>
      </c>
      <c r="L56" s="7">
        <f t="shared" ref="L56" si="59">(L55-H55)*10000</f>
        <v>2170</v>
      </c>
      <c r="M56" s="7">
        <f t="shared" ref="M56" si="60">(M55-I55)*10000</f>
        <v>1970</v>
      </c>
      <c r="N56" s="7">
        <f t="shared" ref="N56" si="61">(N55-J55)*10000</f>
        <v>-150</v>
      </c>
      <c r="O56" s="7">
        <f>(O55-K55)*10000</f>
        <v>199.99999999999997</v>
      </c>
    </row>
    <row r="57" spans="1:15" x14ac:dyDescent="0.45">
      <c r="C57" s="4" t="s">
        <v>26</v>
      </c>
      <c r="D57" s="1"/>
      <c r="K57" s="7"/>
      <c r="L57" s="7"/>
      <c r="M57" s="7"/>
      <c r="N57" s="7"/>
      <c r="O57" s="7"/>
    </row>
    <row r="58" spans="1:15" x14ac:dyDescent="0.45">
      <c r="C58" s="4" t="s">
        <v>40</v>
      </c>
      <c r="D58" s="1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</row>
    <row r="59" spans="1:15" x14ac:dyDescent="0.45">
      <c r="C59" s="4" t="s">
        <v>6</v>
      </c>
      <c r="D59" s="1"/>
      <c r="K59" s="7"/>
      <c r="L59" s="7">
        <f>(L55-K55)*10000</f>
        <v>249.99999999999994</v>
      </c>
      <c r="M59" s="7">
        <f t="shared" ref="M59:O59" si="62">(M55-L55)*10000</f>
        <v>730.00000000000011</v>
      </c>
      <c r="N59" s="7">
        <f t="shared" si="62"/>
        <v>-530</v>
      </c>
      <c r="O59" s="7">
        <f t="shared" si="62"/>
        <v>-250</v>
      </c>
    </row>
    <row r="60" spans="1:15" x14ac:dyDescent="0.45">
      <c r="C60" s="4"/>
      <c r="D60" s="1"/>
      <c r="G60" s="1"/>
    </row>
    <row r="61" spans="1:15" x14ac:dyDescent="0.45">
      <c r="C61" s="14" t="s">
        <v>19</v>
      </c>
      <c r="D61" s="15"/>
      <c r="E61" s="15"/>
      <c r="F61" s="15"/>
      <c r="G61" s="15">
        <f t="shared" ref="G61" si="63">EOMONTH(DATE(YEAR(G62),ROUNDUP(MONTH(G62)/3,0)*3,1),0)</f>
        <v>45291</v>
      </c>
      <c r="H61" s="15">
        <f t="shared" ref="H61" si="64">EOMONTH(DATE(YEAR(H62),ROUNDUP(MONTH(H62)/3,0)*3,1),0)</f>
        <v>45382</v>
      </c>
      <c r="I61" s="15">
        <f t="shared" ref="I61:J61" si="65">EOMONTH(DATE(YEAR(I62),ROUNDUP(MONTH(I62)/3,0)*3,1),0)</f>
        <v>45473</v>
      </c>
      <c r="J61" s="15">
        <f t="shared" si="65"/>
        <v>45565</v>
      </c>
      <c r="K61" s="15">
        <f>EOMONTH(DATE(YEAR(K62),ROUNDUP(MONTH(K62)/3,0)*3,1),0)</f>
        <v>45657</v>
      </c>
      <c r="L61" s="15">
        <f>EOMONTH(DATE(YEAR(L62),ROUNDUP(MONTH(L62)/3,0)*3,1),0)</f>
        <v>45747</v>
      </c>
      <c r="M61" s="15">
        <f>EOMONTH(DATE(YEAR(M62),ROUNDUP(MONTH(M62)/3,0)*3,1),0)</f>
        <v>45838</v>
      </c>
      <c r="N61" s="15">
        <f>EOMONTH(DATE(YEAR(N62),ROUNDUP(MONTH(N62)/3,0)*3,1),0)</f>
        <v>45930</v>
      </c>
      <c r="O61" s="15">
        <f>EOMONTH(DATE(YEAR(O62),ROUNDUP(MONTH(O62)/3,0)*3,1),0)</f>
        <v>46022</v>
      </c>
    </row>
    <row r="62" spans="1:15" x14ac:dyDescent="0.45">
      <c r="C62" s="2" t="s">
        <v>19</v>
      </c>
      <c r="D62" s="2"/>
      <c r="E62" s="2"/>
      <c r="F62" s="2"/>
      <c r="G62" s="2">
        <v>45291</v>
      </c>
      <c r="H62" s="2">
        <v>45382</v>
      </c>
      <c r="I62" s="2">
        <v>45473</v>
      </c>
      <c r="J62" s="2">
        <v>45565</v>
      </c>
      <c r="K62" s="2">
        <v>45657</v>
      </c>
      <c r="L62" s="2">
        <v>45747</v>
      </c>
      <c r="M62" s="2">
        <v>45838</v>
      </c>
      <c r="N62" s="2">
        <v>45930</v>
      </c>
      <c r="O62" s="2">
        <v>46022</v>
      </c>
    </row>
    <row r="63" spans="1:15" x14ac:dyDescent="0.45">
      <c r="A63" s="17" t="s">
        <v>28</v>
      </c>
      <c r="B63" s="17" t="s">
        <v>34</v>
      </c>
      <c r="C63" s="9" t="s">
        <v>34</v>
      </c>
      <c r="D63" s="8"/>
      <c r="E63" s="8"/>
      <c r="F63" s="8"/>
      <c r="G63" s="8">
        <v>4.2000000000000003E-2</v>
      </c>
      <c r="H63" s="8">
        <v>4.8000000000000001E-2</v>
      </c>
      <c r="I63" s="8">
        <v>3.2000000000000001E-2</v>
      </c>
      <c r="J63" s="8">
        <v>6.4000000000000001E-2</v>
      </c>
      <c r="K63" s="8">
        <v>7.0000000000000001E-3</v>
      </c>
      <c r="L63" s="8">
        <v>0</v>
      </c>
      <c r="M63" s="8">
        <v>-7.0000000000000001E-3</v>
      </c>
      <c r="N63" s="8">
        <v>-1.7999999999999999E-2</v>
      </c>
      <c r="O63" s="8">
        <v>5.6000000000000001E-2</v>
      </c>
    </row>
    <row r="64" spans="1:15" x14ac:dyDescent="0.45">
      <c r="C64" s="4" t="s">
        <v>5</v>
      </c>
      <c r="D64" s="5"/>
      <c r="E64" s="4"/>
      <c r="F64" s="4"/>
      <c r="G64" s="4"/>
      <c r="H64" s="7"/>
      <c r="I64" s="7"/>
      <c r="J64" s="7"/>
      <c r="K64" s="7">
        <f t="shared" ref="K64" si="66">(K63-G63)*100</f>
        <v>-3.5000000000000004</v>
      </c>
      <c r="L64" s="7">
        <f t="shared" ref="L64" si="67">(L63-H63)*10000</f>
        <v>-480</v>
      </c>
      <c r="M64" s="7">
        <f t="shared" ref="M64" si="68">(M63-I63)*10000</f>
        <v>-390</v>
      </c>
      <c r="N64" s="7">
        <f t="shared" ref="N64" si="69">(N63-J63)*10000</f>
        <v>-820</v>
      </c>
      <c r="O64" s="7">
        <f>(O63-K63)*10000</f>
        <v>490</v>
      </c>
    </row>
    <row r="65" spans="3:15" x14ac:dyDescent="0.45">
      <c r="C65" s="4" t="s">
        <v>26</v>
      </c>
      <c r="D65" s="1"/>
      <c r="K65" s="7"/>
      <c r="L65" s="7"/>
      <c r="M65" s="7"/>
      <c r="N65" s="7"/>
      <c r="O65" s="7"/>
    </row>
    <row r="66" spans="3:15" x14ac:dyDescent="0.45">
      <c r="C66" s="4" t="s">
        <v>40</v>
      </c>
      <c r="D66" s="1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</row>
    <row r="67" spans="3:15" x14ac:dyDescent="0.45">
      <c r="C67" s="4" t="s">
        <v>6</v>
      </c>
      <c r="D67" s="1"/>
      <c r="K67" s="7"/>
      <c r="L67" s="7">
        <f>(L63-K63)*10000</f>
        <v>-70</v>
      </c>
      <c r="M67" s="7">
        <f t="shared" ref="M67:O67" si="70">(M63-L63)*10000</f>
        <v>-70</v>
      </c>
      <c r="N67" s="7">
        <f t="shared" si="70"/>
        <v>-110</v>
      </c>
      <c r="O67" s="7">
        <f t="shared" si="70"/>
        <v>740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A2A81-9801-4311-A029-BC8B3E4B1E08}">
  <dimension ref="A1:Y44"/>
  <sheetViews>
    <sheetView topLeftCell="H1" zoomScale="85" zoomScaleNormal="85" workbookViewId="0">
      <selection activeCell="W1" sqref="W1:Y1"/>
    </sheetView>
  </sheetViews>
  <sheetFormatPr defaultRowHeight="14.25" x14ac:dyDescent="0.45"/>
  <cols>
    <col min="1" max="1" width="14.73046875" bestFit="1" customWidth="1"/>
    <col min="2" max="2" width="20" bestFit="1" customWidth="1"/>
    <col min="3" max="3" width="36.3984375" bestFit="1" customWidth="1"/>
    <col min="4" max="4" width="10.1328125" bestFit="1" customWidth="1"/>
    <col min="5" max="7" width="10.1328125" customWidth="1"/>
    <col min="8" max="9" width="9.46484375" bestFit="1" customWidth="1"/>
    <col min="10" max="10" width="10.46484375" bestFit="1" customWidth="1"/>
    <col min="11" max="11" width="10.06640625" bestFit="1" customWidth="1"/>
    <col min="12" max="12" width="9.3984375" bestFit="1" customWidth="1"/>
    <col min="13" max="13" width="9.46484375" bestFit="1" customWidth="1"/>
    <col min="14" max="14" width="11.33203125" bestFit="1" customWidth="1"/>
    <col min="15" max="15" width="10.3984375" bestFit="1" customWidth="1"/>
    <col min="16" max="16" width="9.06640625" customWidth="1"/>
    <col min="17" max="17" width="12.3984375" bestFit="1" customWidth="1"/>
    <col min="18" max="18" width="14.3984375" bestFit="1" customWidth="1"/>
    <col min="19" max="19" width="8.59765625" bestFit="1" customWidth="1"/>
    <col min="20" max="20" width="20.33203125" bestFit="1" customWidth="1"/>
    <col min="21" max="21" width="7.46484375" bestFit="1" customWidth="1"/>
    <col min="22" max="22" width="10.73046875" bestFit="1" customWidth="1"/>
    <col min="23" max="23" width="9.1328125" bestFit="1" customWidth="1"/>
    <col min="24" max="24" width="10.3984375" bestFit="1" customWidth="1"/>
    <col min="25" max="25" width="9.1328125" bestFit="1" customWidth="1"/>
  </cols>
  <sheetData>
    <row r="1" spans="1:25" x14ac:dyDescent="0.45">
      <c r="A1" s="23" t="s">
        <v>31</v>
      </c>
      <c r="B1" s="23" t="s">
        <v>31</v>
      </c>
      <c r="C1" s="23" t="s">
        <v>31</v>
      </c>
      <c r="D1" s="23" t="s">
        <v>31</v>
      </c>
      <c r="E1" s="23" t="s">
        <v>31</v>
      </c>
      <c r="F1" s="23" t="s">
        <v>31</v>
      </c>
      <c r="G1" s="23" t="s">
        <v>31</v>
      </c>
      <c r="H1" s="23" t="s">
        <v>31</v>
      </c>
      <c r="I1" s="23" t="s">
        <v>31</v>
      </c>
      <c r="J1" s="23" t="s">
        <v>31</v>
      </c>
      <c r="K1" s="23" t="s">
        <v>31</v>
      </c>
      <c r="L1" s="23" t="s">
        <v>31</v>
      </c>
      <c r="M1" s="23" t="s">
        <v>31</v>
      </c>
      <c r="N1" s="23" t="s">
        <v>31</v>
      </c>
      <c r="O1" s="23" t="s">
        <v>31</v>
      </c>
      <c r="Q1" s="24" t="s">
        <v>20</v>
      </c>
      <c r="R1" s="24" t="s">
        <v>18</v>
      </c>
      <c r="S1" s="24" t="s">
        <v>25</v>
      </c>
      <c r="T1" s="24" t="s">
        <v>24</v>
      </c>
      <c r="U1" s="24" t="s">
        <v>17</v>
      </c>
      <c r="V1" s="24" t="s">
        <v>23</v>
      </c>
      <c r="W1" s="24" t="s">
        <v>27</v>
      </c>
      <c r="X1" s="24" t="s">
        <v>41</v>
      </c>
      <c r="Y1" s="24" t="s">
        <v>42</v>
      </c>
    </row>
    <row r="2" spans="1:25" x14ac:dyDescent="0.45">
      <c r="A2" s="18" t="s">
        <v>1</v>
      </c>
      <c r="B2" s="33" t="s">
        <v>9</v>
      </c>
      <c r="Q2" s="25" t="str" cm="1">
        <f t="array" aca="1" ref="Q2:Y5" ca="1">_xlfn.LET(
  _xlpm.d, L5:O5,
  _xlpm.v, L7:O7,
  _xlpm.yy, L8:O8,
  _xlpm.qq, L9:O9,
  _xlpm.dyy, L10:O10,
  _xlpm.dqq, L11:O11,
  _xlpm.dd, TRANSPOSE(_xlpm.d),
  _xlpm.clean, _xlfn.LAMBDA(_xlpm.x, IF(_xlpm.x="","",_xlpm.x)),
_xlfn.HSTACK(
  _xlfn.MAKEARRAY(ROWS(_xlpm.dd),1, _xlfn.LAMBDA(_xlpm.r,_xlpm.c,$B$2)),
  _xlpm.dd,
  _xlfn.MAKEARRAY(ROWS(_xlpm.dd),1, _xlfn.LAMBDA(_xlpm.r,_xlpm.c,A7)),
  _xlfn.MAKEARRAY(ROWS(_xlpm.dd),1, _xlfn.LAMBDA(_xlpm.r,_xlpm.c,B7)),
  CLEAN(TRANSPOSE(_xlpm.v)),
  CLEAN(TRANSPOSE(_xlpm.yy)),
  CLEAN(TRANSPOSE(_xlpm.qq)),
  CLEAN(TRANSPOSE(_xlpm.dyy)),
  CLEAN(TRANSPOSE(_xlpm.dqq))
))</f>
        <v>DGX US EQUITY</v>
      </c>
      <c r="R2" s="25">
        <f ca="1"/>
        <v>45747</v>
      </c>
      <c r="S2" s="26" t="str">
        <f ca="1"/>
        <v>canonical</v>
      </c>
      <c r="T2" s="27" t="str">
        <f ca="1"/>
        <v>revenue</v>
      </c>
      <c r="U2" s="28" t="str">
        <f ca="1"/>
        <v>2652</v>
      </c>
      <c r="V2" s="29" t="str">
        <f ca="1"/>
        <v>0.120879120879121</v>
      </c>
      <c r="W2" s="30" t="str">
        <f ca="1"/>
        <v>-246.628371628372</v>
      </c>
      <c r="X2" s="29" t="str">
        <f ca="1"/>
        <v>1058.64105864106</v>
      </c>
      <c r="Y2" s="30" t="str">
        <f ca="1"/>
        <v>0.0118275467378863</v>
      </c>
    </row>
    <row r="3" spans="1:25" x14ac:dyDescent="0.45">
      <c r="A3" s="19" t="s">
        <v>3</v>
      </c>
      <c r="B3" s="20">
        <f ca="1">+B4-365*3</f>
        <v>44985</v>
      </c>
      <c r="Q3" s="25" t="str">
        <f ca="1"/>
        <v>DGX US EQUITY</v>
      </c>
      <c r="R3" s="25">
        <f ca="1"/>
        <v>45838</v>
      </c>
      <c r="S3" s="26" t="str">
        <f ca="1"/>
        <v>canonical</v>
      </c>
      <c r="T3" s="27" t="str">
        <f ca="1"/>
        <v>revenue</v>
      </c>
      <c r="U3" s="28" t="str">
        <f ca="1"/>
        <v>2761</v>
      </c>
      <c r="V3" s="29" t="str">
        <f ca="1"/>
        <v>0.151856487275761</v>
      </c>
      <c r="W3" s="30" t="str">
        <f ca="1"/>
        <v>309.773663966404</v>
      </c>
      <c r="X3" s="30" t="str">
        <f ca="1"/>
        <v>1266.21243477643</v>
      </c>
      <c r="Y3" s="30" t="str">
        <f ca="1"/>
        <v>0.0411010558069382</v>
      </c>
    </row>
    <row r="4" spans="1:25" x14ac:dyDescent="0.45">
      <c r="A4" s="21" t="s">
        <v>2</v>
      </c>
      <c r="B4" s="22">
        <f ca="1">TODAY()</f>
        <v>46080</v>
      </c>
      <c r="Q4" s="25" t="str">
        <f ca="1"/>
        <v>DGX US EQUITY</v>
      </c>
      <c r="R4" s="25">
        <f ca="1"/>
        <v>45930</v>
      </c>
      <c r="S4" s="26" t="str">
        <f ca="1"/>
        <v>canonical</v>
      </c>
      <c r="T4" s="27" t="str">
        <f ca="1"/>
        <v>revenue</v>
      </c>
      <c r="U4" s="28" t="str">
        <f ca="1"/>
        <v>2816</v>
      </c>
      <c r="V4" s="29" t="str">
        <f ca="1"/>
        <v>0.131832797427653</v>
      </c>
      <c r="W4" s="30" t="str">
        <f ca="1"/>
        <v>-200.236898481085</v>
      </c>
      <c r="X4" s="30" t="str">
        <f ca="1"/>
        <v>477.369368612039</v>
      </c>
      <c r="Y4" s="30" t="str">
        <f ca="1"/>
        <v>0.0199203187250996</v>
      </c>
    </row>
    <row r="5" spans="1:25" x14ac:dyDescent="0.45">
      <c r="C5" s="14" t="s">
        <v>19</v>
      </c>
      <c r="D5" s="15">
        <f ca="1">EOMONTH(DATE(YEAR(D6),ROUNDUP(MONTH(D6)/3,0)*3,1),0)</f>
        <v>45016</v>
      </c>
      <c r="E5" s="15">
        <f t="shared" ref="E5:H5" ca="1" si="0">EOMONTH(DATE(YEAR(E6),ROUNDUP(MONTH(E6)/3,0)*3,1),0)</f>
        <v>45107</v>
      </c>
      <c r="F5" s="15">
        <f t="shared" ca="1" si="0"/>
        <v>45199</v>
      </c>
      <c r="G5" s="15">
        <f t="shared" ca="1" si="0"/>
        <v>45291</v>
      </c>
      <c r="H5" s="15">
        <f t="shared" ca="1" si="0"/>
        <v>45382</v>
      </c>
      <c r="I5" s="15">
        <f t="shared" ref="I5:O5" ca="1" si="1">EOMONTH(DATE(YEAR(I6),ROUNDUP(MONTH(I6)/3,0)*3,1),0)</f>
        <v>45473</v>
      </c>
      <c r="J5" s="15">
        <f t="shared" ca="1" si="1"/>
        <v>45565</v>
      </c>
      <c r="K5" s="15">
        <f t="shared" ca="1" si="1"/>
        <v>45657</v>
      </c>
      <c r="L5" s="15">
        <f t="shared" ca="1" si="1"/>
        <v>45747</v>
      </c>
      <c r="M5" s="15">
        <f t="shared" ca="1" si="1"/>
        <v>45838</v>
      </c>
      <c r="N5" s="15">
        <f t="shared" ca="1" si="1"/>
        <v>45930</v>
      </c>
      <c r="O5" s="15">
        <f t="shared" ca="1" si="1"/>
        <v>46022</v>
      </c>
      <c r="Q5" s="25" t="str">
        <f ca="1"/>
        <v>DGX US EQUITY</v>
      </c>
      <c r="R5" s="25">
        <f ca="1"/>
        <v>46022</v>
      </c>
      <c r="S5" s="26" t="str">
        <f ca="1"/>
        <v>canonical</v>
      </c>
      <c r="T5" s="27" t="str">
        <f ca="1"/>
        <v>revenue</v>
      </c>
      <c r="U5" s="28" t="str">
        <f ca="1"/>
        <v>2806</v>
      </c>
      <c r="V5" s="29" t="str">
        <f ca="1"/>
        <v>0.0705837466615795</v>
      </c>
      <c r="W5" s="30" t="str">
        <f ca="1"/>
        <v>-612.490507660732</v>
      </c>
      <c r="X5" s="30" t="str">
        <f ca="1"/>
        <v>-749.582113803786</v>
      </c>
      <c r="Y5" s="30" t="str">
        <f ca="1"/>
        <v>-0.00355113636363635</v>
      </c>
    </row>
    <row r="6" spans="1:25" x14ac:dyDescent="0.45">
      <c r="D6" s="16" cm="1">
        <f t="array" aca="1" ref="D6:O7" ca="1">+_xll.BDH($B$2,C7,$B$3,$B$4,"DIR=H")</f>
        <v>45016</v>
      </c>
      <c r="E6" s="16">
        <f ca="1"/>
        <v>45107</v>
      </c>
      <c r="F6" s="16">
        <f ca="1"/>
        <v>45199</v>
      </c>
      <c r="G6" s="16">
        <f ca="1"/>
        <v>45291</v>
      </c>
      <c r="H6" s="1">
        <f ca="1"/>
        <v>45382</v>
      </c>
      <c r="I6" s="1">
        <f ca="1"/>
        <v>45473</v>
      </c>
      <c r="J6" s="1">
        <f ca="1"/>
        <v>45565</v>
      </c>
      <c r="K6" s="1">
        <f ca="1"/>
        <v>45657</v>
      </c>
      <c r="L6" s="1">
        <f ca="1"/>
        <v>45747</v>
      </c>
      <c r="M6" s="1">
        <f ca="1"/>
        <v>45838</v>
      </c>
      <c r="N6" s="1">
        <f ca="1"/>
        <v>45930</v>
      </c>
      <c r="O6" s="1">
        <f ca="1"/>
        <v>46022</v>
      </c>
      <c r="Q6" s="25" t="str" cm="1">
        <f t="array" aca="1" ref="Q6:Y9" ca="1">_xlfn.LET(
  _xlpm.d, L13:O13,
  _xlpm.v, L15:O15,
  _xlpm.yy, L16:O16,
  _xlpm.qq, L17:O17,
  _xlpm.dyy, L18:O18,
  _xlpm.dqq, L19:O19,
  _xlpm.dd, TRANSPOSE(_xlpm.d),
  _xlpm.clean, _xlfn.LAMBDA(_xlpm.x, IF(_xlpm.x="","",_xlpm.x)),
_xlfn.HSTACK(
  _xlfn.MAKEARRAY(ROWS(_xlpm.dd),1, _xlfn.LAMBDA(_xlpm.r,_xlpm.c,$B$2)),
  _xlpm.dd,
  _xlfn.MAKEARRAY(ROWS(_xlpm.dd),1, _xlfn.LAMBDA(_xlpm.r,_xlpm.c,A15)),
  _xlfn.MAKEARRAY(ROWS(_xlpm.dd),1, _xlfn.LAMBDA(_xlpm.r,_xlpm.c,B15)),
  CLEAN(TRANSPOSE(_xlpm.v)),
  CLEAN(TRANSPOSE(_xlpm.yy)),
  CLEAN(TRANSPOSE(_xlpm.qq)),
  CLEAN(TRANSPOSE(_xlpm.dyy)),
  CLEAN(TRANSPOSE(_xlpm.dqq))
))</f>
        <v>DGX US EQUITY</v>
      </c>
      <c r="R6" s="25">
        <f ca="1"/>
        <v>45747</v>
      </c>
      <c r="S6" s="26" t="str">
        <f ca="1"/>
        <v>canonical</v>
      </c>
      <c r="T6" s="27" t="str">
        <f ca="1"/>
        <v>gross_margin_gaap</v>
      </c>
      <c r="U6" s="31" t="str">
        <f ca="1"/>
        <v>32.5415</v>
      </c>
      <c r="V6" s="30" t="str">
        <f ca="1"/>
        <v>-4.50999999999979</v>
      </c>
      <c r="W6" s="30" t="str">
        <f ca="1"/>
        <v/>
      </c>
      <c r="X6" s="30" t="str">
        <f ca="1"/>
        <v/>
      </c>
      <c r="Y6" s="30" t="str">
        <f ca="1"/>
        <v>-19.4099999999999</v>
      </c>
    </row>
    <row r="7" spans="1:25" x14ac:dyDescent="0.45">
      <c r="A7" s="17" t="s">
        <v>16</v>
      </c>
      <c r="B7" s="17" t="s">
        <v>15</v>
      </c>
      <c r="C7" s="9" t="s">
        <v>0</v>
      </c>
      <c r="D7" s="12">
        <f ca="1"/>
        <v>2331</v>
      </c>
      <c r="E7" s="12">
        <f ca="1"/>
        <v>2338</v>
      </c>
      <c r="F7" s="12">
        <f ca="1"/>
        <v>2295</v>
      </c>
      <c r="G7" s="12">
        <f ca="1"/>
        <v>2288</v>
      </c>
      <c r="H7" s="12">
        <f ca="1"/>
        <v>2366</v>
      </c>
      <c r="I7" s="12">
        <f ca="1"/>
        <v>2397</v>
      </c>
      <c r="J7" s="12">
        <f ca="1"/>
        <v>2488</v>
      </c>
      <c r="K7" s="12">
        <f ca="1"/>
        <v>2621</v>
      </c>
      <c r="L7" s="12">
        <f ca="1"/>
        <v>2652</v>
      </c>
      <c r="M7" s="12">
        <f ca="1"/>
        <v>2761</v>
      </c>
      <c r="N7" s="12">
        <f ca="1"/>
        <v>2816</v>
      </c>
      <c r="O7" s="3">
        <f ca="1"/>
        <v>2806</v>
      </c>
      <c r="P7" s="1"/>
      <c r="Q7" s="25" t="str">
        <f ca="1"/>
        <v>DGX US EQUITY</v>
      </c>
      <c r="R7" s="25">
        <f ca="1"/>
        <v>45838</v>
      </c>
      <c r="S7" s="26" t="str">
        <f ca="1"/>
        <v>canonical</v>
      </c>
      <c r="T7" s="27" t="str">
        <f ca="1"/>
        <v>gross_margin_gaap</v>
      </c>
      <c r="U7" s="31" t="str">
        <f ca="1"/>
        <v>34.1543</v>
      </c>
      <c r="V7" s="30" t="str">
        <f ca="1"/>
        <v>61.2400000000001</v>
      </c>
      <c r="W7" s="30" t="str">
        <f ca="1"/>
        <v/>
      </c>
      <c r="X7" s="30" t="str">
        <f ca="1"/>
        <v/>
      </c>
      <c r="Y7" s="30" t="str">
        <f ca="1"/>
        <v>161.28</v>
      </c>
    </row>
    <row r="8" spans="1:25" x14ac:dyDescent="0.45">
      <c r="C8" s="4" t="s">
        <v>5</v>
      </c>
      <c r="D8" s="5"/>
      <c r="E8" s="4"/>
      <c r="F8" s="4"/>
      <c r="G8" s="13"/>
      <c r="H8" s="13">
        <f t="shared" ref="H8:N8" ca="1" si="2">+H7/D7-1</f>
        <v>1.501501501501501E-2</v>
      </c>
      <c r="I8" s="13">
        <f t="shared" ca="1" si="2"/>
        <v>2.5235243798118034E-2</v>
      </c>
      <c r="J8" s="13">
        <f t="shared" ca="1" si="2"/>
        <v>8.4095860566448799E-2</v>
      </c>
      <c r="K8" s="13">
        <f t="shared" ca="1" si="2"/>
        <v>0.14554195804195813</v>
      </c>
      <c r="L8" s="13">
        <f t="shared" ca="1" si="2"/>
        <v>0.12087912087912089</v>
      </c>
      <c r="M8" s="13">
        <f t="shared" ca="1" si="2"/>
        <v>0.15185648727576129</v>
      </c>
      <c r="N8" s="13">
        <f t="shared" ca="1" si="2"/>
        <v>0.13183279742765275</v>
      </c>
      <c r="O8" s="13">
        <f ca="1">+O7/K7-1</f>
        <v>7.0583746661579516E-2</v>
      </c>
      <c r="P8" s="3"/>
      <c r="Q8" s="25" t="str">
        <f ca="1"/>
        <v>DGX US EQUITY</v>
      </c>
      <c r="R8" s="25">
        <f ca="1"/>
        <v>45930</v>
      </c>
      <c r="S8" s="26" t="str">
        <f ca="1"/>
        <v>canonical</v>
      </c>
      <c r="T8" s="27" t="str">
        <f ca="1"/>
        <v>gross_margin_gaap</v>
      </c>
      <c r="U8" s="31" t="str">
        <f ca="1"/>
        <v>33.7003</v>
      </c>
      <c r="V8" s="30" t="str">
        <f ca="1"/>
        <v>110.38</v>
      </c>
      <c r="W8" s="30" t="str">
        <f ca="1"/>
        <v/>
      </c>
      <c r="X8" s="30" t="str">
        <f ca="1"/>
        <v/>
      </c>
      <c r="Y8" s="30" t="str">
        <f ca="1"/>
        <v>-45.4000000000001</v>
      </c>
    </row>
    <row r="9" spans="1:25" x14ac:dyDescent="0.45">
      <c r="C9" s="4" t="s">
        <v>26</v>
      </c>
      <c r="D9" s="1"/>
      <c r="L9" s="7">
        <f ca="1">(L8-K8)*10000</f>
        <v>-246.62837162837238</v>
      </c>
      <c r="M9" s="7">
        <f ca="1">(M8-L8)*10000</f>
        <v>309.77366396640394</v>
      </c>
      <c r="N9" s="7">
        <f ca="1">(N8-M8)*10000</f>
        <v>-200.2368984810854</v>
      </c>
      <c r="O9" s="7">
        <f ca="1">(O8-N8)*10000</f>
        <v>-612.49050766073231</v>
      </c>
      <c r="Q9" s="23" t="str">
        <f ca="1"/>
        <v>DGX US EQUITY</v>
      </c>
      <c r="R9" s="25">
        <f ca="1"/>
        <v>46022</v>
      </c>
      <c r="S9" s="26" t="str">
        <f ca="1"/>
        <v>canonical</v>
      </c>
      <c r="T9" s="27" t="str">
        <f ca="1"/>
        <v>gross_margin_gaap</v>
      </c>
      <c r="U9" s="31" t="str">
        <f ca="1"/>
        <v>32.4305</v>
      </c>
      <c r="V9" s="30" t="str">
        <f ca="1"/>
        <v>-30.5099999999996</v>
      </c>
      <c r="W9" s="30" t="str">
        <f ca="1"/>
        <v/>
      </c>
      <c r="X9" s="30" t="str">
        <f ca="1"/>
        <v/>
      </c>
      <c r="Y9" s="30" t="str">
        <f ca="1"/>
        <v>-126.98</v>
      </c>
    </row>
    <row r="10" spans="1:25" x14ac:dyDescent="0.45">
      <c r="C10" s="4" t="s">
        <v>40</v>
      </c>
      <c r="D10" s="1"/>
      <c r="E10" s="6"/>
      <c r="F10" s="6"/>
      <c r="G10" s="6"/>
      <c r="H10" s="6"/>
      <c r="I10" s="6"/>
      <c r="J10" s="6"/>
      <c r="K10" s="6"/>
      <c r="L10" s="7">
        <f ca="1">(L8-H8)*10000</f>
        <v>1058.6410586410589</v>
      </c>
      <c r="M10" s="7">
        <f ca="1">(M8-I8)*10000</f>
        <v>1266.2124347764325</v>
      </c>
      <c r="N10" s="7">
        <f ca="1">(N8-J8)*10000</f>
        <v>477.36936861203947</v>
      </c>
      <c r="O10" s="7">
        <f ca="1">(O8-K8)*10000</f>
        <v>-749.58211380378611</v>
      </c>
      <c r="Q10" s="25" t="str" cm="1">
        <f t="array" aca="1" ref="Q10:Y13" ca="1">_xlfn.LET(
  _xlpm.d, L21:O21,
  _xlpm.v, L23:O23,
  _xlpm.yy, L24:O24,
  _xlpm.qq, L25:O25,
  _xlpm.dyy, L26:O26,
  _xlpm.dqq, L27:O27,
  _xlpm.dd, TRANSPOSE(_xlpm.d),
  _xlpm.clean, _xlfn.LAMBDA(_xlpm.x, IF(_xlpm.x="","",_xlpm.x)),
_xlfn.HSTACK(
  _xlfn.MAKEARRAY(ROWS(_xlpm.dd),1, _xlfn.LAMBDA(_xlpm.r,_xlpm.c,$B$2)),
  _xlpm.dd,
  _xlfn.MAKEARRAY(ROWS(_xlpm.dd),1, _xlfn.LAMBDA(_xlpm.r,_xlpm.c,A23)),
  _xlfn.MAKEARRAY(ROWS(_xlpm.dd),1, _xlfn.LAMBDA(_xlpm.r,_xlpm.c,B23)),
  CLEAN(TRANSPOSE(_xlpm.v)),
  CLEAN(TRANSPOSE(_xlpm.yy)),
  CLEAN(TRANSPOSE(_xlpm.qq)),
  CLEAN(TRANSPOSE(_xlpm.dyy)),
  CLEAN(TRANSPOSE(_xlpm.dqq))
))</f>
        <v>DGX US EQUITY</v>
      </c>
      <c r="R10" s="25">
        <f ca="1"/>
        <v>45747</v>
      </c>
      <c r="S10" s="26" t="str">
        <f ca="1"/>
        <v>canonical</v>
      </c>
      <c r="T10" s="27" t="str">
        <f ca="1"/>
        <v>operating_margin_gaap</v>
      </c>
      <c r="U10" s="31" t="str">
        <f ca="1"/>
        <v>13.0468</v>
      </c>
      <c r="V10" s="30" t="str">
        <f ca="1"/>
        <v>36.7199999999999</v>
      </c>
      <c r="W10" s="30" t="str">
        <f ca="1"/>
        <v/>
      </c>
      <c r="X10" s="30" t="str">
        <f ca="1"/>
        <v/>
      </c>
      <c r="Y10" s="30" t="str">
        <f ca="1"/>
        <v>-72.6600000000001</v>
      </c>
    </row>
    <row r="11" spans="1:25" x14ac:dyDescent="0.45">
      <c r="C11" s="4" t="s">
        <v>6</v>
      </c>
      <c r="D11" s="1"/>
      <c r="L11" s="13">
        <f t="shared" ref="L11:N11" ca="1" si="3">L7/K7-1</f>
        <v>1.182754673788633E-2</v>
      </c>
      <c r="M11" s="13">
        <f t="shared" ca="1" si="3"/>
        <v>4.1101055806938236E-2</v>
      </c>
      <c r="N11" s="13">
        <f t="shared" ca="1" si="3"/>
        <v>1.9920318725099584E-2</v>
      </c>
      <c r="O11" s="13">
        <f ca="1">O7/N7-1</f>
        <v>-3.5511363636363535E-3</v>
      </c>
      <c r="Q11" s="25" t="str">
        <f ca="1"/>
        <v>DGX US EQUITY</v>
      </c>
      <c r="R11" s="25">
        <f ca="1"/>
        <v>45838</v>
      </c>
      <c r="S11" s="26" t="str">
        <f ca="1"/>
        <v>canonical</v>
      </c>
      <c r="T11" s="27" t="str">
        <f ca="1"/>
        <v>operating_margin_gaap</v>
      </c>
      <c r="U11" s="31" t="str">
        <f ca="1"/>
        <v>15.8638</v>
      </c>
      <c r="V11" s="30" t="str">
        <f ca="1"/>
        <v>105.36</v>
      </c>
      <c r="W11" s="30" t="str">
        <f ca="1"/>
        <v/>
      </c>
      <c r="X11" s="30" t="str">
        <f ca="1"/>
        <v/>
      </c>
      <c r="Y11" s="30" t="str">
        <f ca="1"/>
        <v>281.7</v>
      </c>
    </row>
    <row r="12" spans="1:25" x14ac:dyDescent="0.45">
      <c r="Q12" s="25" t="str">
        <f ca="1"/>
        <v>DGX US EQUITY</v>
      </c>
      <c r="R12" s="25">
        <f ca="1"/>
        <v>45930</v>
      </c>
      <c r="S12" s="26" t="str">
        <f ca="1"/>
        <v>canonical</v>
      </c>
      <c r="T12" s="27" t="str">
        <f ca="1"/>
        <v>operating_margin_gaap</v>
      </c>
      <c r="U12" s="31" t="str">
        <f ca="1"/>
        <v>13.7074</v>
      </c>
      <c r="V12" s="30" t="str">
        <f ca="1"/>
        <v>44.37</v>
      </c>
      <c r="W12" s="30" t="str">
        <f ca="1"/>
        <v/>
      </c>
      <c r="X12" s="30" t="str">
        <f ca="1"/>
        <v/>
      </c>
      <c r="Y12" s="30" t="str">
        <f ca="1"/>
        <v>-215.64</v>
      </c>
    </row>
    <row r="13" spans="1:25" x14ac:dyDescent="0.45">
      <c r="C13" s="14" t="s">
        <v>19</v>
      </c>
      <c r="D13" s="15">
        <f ca="1">EOMONTH(DATE(YEAR(D14),ROUNDUP(MONTH(D14)/3,0)*3,1),0)</f>
        <v>45016</v>
      </c>
      <c r="E13" s="15">
        <f t="shared" ref="E13:H13" ca="1" si="4">EOMONTH(DATE(YEAR(E14),ROUNDUP(MONTH(E14)/3,0)*3,1),0)</f>
        <v>45107</v>
      </c>
      <c r="F13" s="15">
        <f t="shared" ca="1" si="4"/>
        <v>45199</v>
      </c>
      <c r="G13" s="15">
        <f t="shared" ca="1" si="4"/>
        <v>45291</v>
      </c>
      <c r="H13" s="15">
        <f t="shared" ca="1" si="4"/>
        <v>45382</v>
      </c>
      <c r="I13" s="15">
        <f t="shared" ref="I13:O13" ca="1" si="5">EOMONTH(DATE(YEAR(I14),ROUNDUP(MONTH(I14)/3,0)*3,1),0)</f>
        <v>45473</v>
      </c>
      <c r="J13" s="15">
        <f t="shared" ca="1" si="5"/>
        <v>45565</v>
      </c>
      <c r="K13" s="15">
        <f t="shared" ca="1" si="5"/>
        <v>45657</v>
      </c>
      <c r="L13" s="15">
        <f t="shared" ca="1" si="5"/>
        <v>45747</v>
      </c>
      <c r="M13" s="15">
        <f t="shared" ca="1" si="5"/>
        <v>45838</v>
      </c>
      <c r="N13" s="15">
        <f t="shared" ca="1" si="5"/>
        <v>45930</v>
      </c>
      <c r="O13" s="15">
        <f t="shared" ca="1" si="5"/>
        <v>46022</v>
      </c>
      <c r="Q13" s="25" t="str">
        <f ca="1"/>
        <v>DGX US EQUITY</v>
      </c>
      <c r="R13" s="25">
        <f ca="1"/>
        <v>46022</v>
      </c>
      <c r="S13" s="26" t="str">
        <f ca="1"/>
        <v>canonical</v>
      </c>
      <c r="T13" s="27" t="str">
        <f ca="1"/>
        <v>operating_margin_gaap</v>
      </c>
      <c r="U13" s="31" t="str">
        <f ca="1"/>
        <v>13.7562</v>
      </c>
      <c r="V13" s="30" t="str">
        <f ca="1"/>
        <v>-1.72000000000008</v>
      </c>
      <c r="W13" s="30" t="str">
        <f ca="1"/>
        <v/>
      </c>
      <c r="X13" s="30" t="str">
        <f ca="1"/>
        <v/>
      </c>
      <c r="Y13" s="30" t="str">
        <f ca="1"/>
        <v>4.88</v>
      </c>
    </row>
    <row r="14" spans="1:25" x14ac:dyDescent="0.45">
      <c r="D14" s="1" cm="1">
        <f t="array" aca="1" ref="D14:O15" ca="1">+_xll.BDH($B$2,C15,$B$3,$B$4,"DIR=H")</f>
        <v>45016</v>
      </c>
      <c r="E14" s="1">
        <f ca="1"/>
        <v>45107</v>
      </c>
      <c r="F14" s="1">
        <f ca="1"/>
        <v>45199</v>
      </c>
      <c r="G14" s="1">
        <f ca="1"/>
        <v>45291</v>
      </c>
      <c r="H14" s="1">
        <f ca="1"/>
        <v>45382</v>
      </c>
      <c r="I14" s="1">
        <f ca="1"/>
        <v>45473</v>
      </c>
      <c r="J14" s="1">
        <f ca="1"/>
        <v>45565</v>
      </c>
      <c r="K14" s="1">
        <f ca="1"/>
        <v>45657</v>
      </c>
      <c r="L14" s="1">
        <f ca="1"/>
        <v>45747</v>
      </c>
      <c r="M14" s="1">
        <f ca="1"/>
        <v>45838</v>
      </c>
      <c r="N14" s="1">
        <f ca="1"/>
        <v>45930</v>
      </c>
      <c r="O14" s="1">
        <f ca="1"/>
        <v>46022</v>
      </c>
      <c r="Q14" s="25" t="str" cm="1">
        <f t="array" ref="Q14:Y17">_xlfn.LET(
  _xlpm.d, L29:O29,
  _xlpm.v, L31:O31,
  _xlpm.yy, L32:O32,
  _xlpm.qq, L33:O33,
  _xlpm.dyy, L34:O34,
  _xlpm.dqq, L35:O35,
  _xlpm.dd, TRANSPOSE(_xlpm.d),
  _xlpm.clean, _xlfn.LAMBDA(_xlpm.x, IF(_xlpm.x="","",_xlpm.x)),
_xlfn.HSTACK(
  _xlfn.MAKEARRAY(ROWS(_xlpm.dd),1, _xlfn.LAMBDA(_xlpm.r,_xlpm.c,$B$2)),
  _xlpm.dd,
  _xlfn.MAKEARRAY(ROWS(_xlpm.dd),1, _xlfn.LAMBDA(_xlpm.r,_xlpm.c,A31)),
  _xlfn.MAKEARRAY(ROWS(_xlpm.dd),1, _xlfn.LAMBDA(_xlpm.r,_xlpm.c,B31)),
  CLEAN(TRANSPOSE(_xlpm.v)),
  CLEAN(TRANSPOSE(_xlpm.yy)),
  CLEAN(TRANSPOSE(_xlpm.qq)),
  CLEAN(TRANSPOSE(_xlpm.dyy)),
  CLEAN(TRANSPOSE(_xlpm.dqq))
))</f>
        <v>DGX US EQUITY</v>
      </c>
      <c r="R14" s="25">
        <v>45747</v>
      </c>
      <c r="S14" s="26" t="str">
        <v>custom</v>
      </c>
      <c r="T14" s="27" t="str">
        <v>organic_orders_yoy</v>
      </c>
      <c r="U14" s="31" t="str">
        <v>-0.009</v>
      </c>
      <c r="V14" s="30" t="str">
        <v>10</v>
      </c>
      <c r="W14" s="30" t="str">
        <v/>
      </c>
      <c r="X14" s="30" t="str">
        <v/>
      </c>
      <c r="Y14" s="30" t="str">
        <v>-150</v>
      </c>
    </row>
    <row r="15" spans="1:25" x14ac:dyDescent="0.45">
      <c r="A15" s="17" t="s">
        <v>16</v>
      </c>
      <c r="B15" s="17" t="s">
        <v>21</v>
      </c>
      <c r="C15" s="9" t="s">
        <v>10</v>
      </c>
      <c r="D15" s="3">
        <f ca="1"/>
        <v>33.075899999999997</v>
      </c>
      <c r="E15" s="3">
        <f ca="1"/>
        <v>33.875100000000003</v>
      </c>
      <c r="F15" s="3">
        <f ca="1"/>
        <v>32.853999999999999</v>
      </c>
      <c r="G15" s="3">
        <f ca="1"/>
        <v>32.1678</v>
      </c>
      <c r="H15" s="3">
        <f ca="1"/>
        <v>32.586599999999997</v>
      </c>
      <c r="I15" s="3">
        <f ca="1"/>
        <v>33.541899999999998</v>
      </c>
      <c r="J15" s="3">
        <f ca="1"/>
        <v>32.596499999999999</v>
      </c>
      <c r="K15" s="3">
        <f ca="1"/>
        <v>32.735599999999998</v>
      </c>
      <c r="L15" s="3">
        <f ca="1"/>
        <v>32.541499999999999</v>
      </c>
      <c r="M15" s="3">
        <f ca="1"/>
        <v>34.154299999999999</v>
      </c>
      <c r="N15" s="3">
        <f ca="1"/>
        <v>33.700299999999999</v>
      </c>
      <c r="O15">
        <f ca="1"/>
        <v>32.430500000000002</v>
      </c>
      <c r="Q15" s="25" t="str">
        <v>DGX US EQUITY</v>
      </c>
      <c r="R15" s="25">
        <v>45838</v>
      </c>
      <c r="S15" s="26" t="str">
        <v>custom</v>
      </c>
      <c r="T15" s="27" t="str">
        <v>organic_orders_yoy</v>
      </c>
      <c r="U15" s="31" t="str">
        <v>0.021</v>
      </c>
      <c r="V15" s="30" t="str">
        <v>140</v>
      </c>
      <c r="W15" s="30" t="str">
        <v/>
      </c>
      <c r="X15" s="30" t="str">
        <v/>
      </c>
      <c r="Y15" s="30" t="str">
        <v>300</v>
      </c>
    </row>
    <row r="16" spans="1:25" x14ac:dyDescent="0.45">
      <c r="C16" s="4" t="s">
        <v>5</v>
      </c>
      <c r="D16" s="5"/>
      <c r="E16" s="4"/>
      <c r="F16" s="4"/>
      <c r="G16" s="4"/>
      <c r="H16" s="7">
        <f t="shared" ref="H16:N16" ca="1" si="6">(H15-D15)*100</f>
        <v>-48.930000000000007</v>
      </c>
      <c r="I16" s="7">
        <f t="shared" ca="1" si="6"/>
        <v>-33.320000000000505</v>
      </c>
      <c r="J16" s="7">
        <f t="shared" ca="1" si="6"/>
        <v>-25.750000000000028</v>
      </c>
      <c r="K16" s="7">
        <f t="shared" ca="1" si="6"/>
        <v>56.779999999999831</v>
      </c>
      <c r="L16" s="7">
        <f t="shared" ca="1" si="6"/>
        <v>-4.509999999999792</v>
      </c>
      <c r="M16" s="7">
        <f t="shared" ca="1" si="6"/>
        <v>61.240000000000094</v>
      </c>
      <c r="N16" s="7">
        <f t="shared" ca="1" si="6"/>
        <v>110.37999999999997</v>
      </c>
      <c r="O16" s="7">
        <f ca="1">(O15-K15)*100</f>
        <v>-30.509999999999593</v>
      </c>
      <c r="Q16" s="25" t="str">
        <v>DGX US EQUITY</v>
      </c>
      <c r="R16" s="25">
        <v>45930</v>
      </c>
      <c r="S16" s="26" t="str">
        <v>custom</v>
      </c>
      <c r="T16" s="27" t="str">
        <v>organic_orders_yoy</v>
      </c>
      <c r="U16" s="31" t="str">
        <v>0.039</v>
      </c>
      <c r="V16" s="30" t="str">
        <v>340</v>
      </c>
      <c r="W16" s="30" t="str">
        <v/>
      </c>
      <c r="X16" s="30" t="str">
        <v/>
      </c>
      <c r="Y16" s="30" t="str">
        <v>180</v>
      </c>
    </row>
    <row r="17" spans="1:25" x14ac:dyDescent="0.45">
      <c r="C17" s="4" t="s">
        <v>26</v>
      </c>
      <c r="D17" s="1"/>
      <c r="K17" s="7"/>
      <c r="L17" s="7"/>
      <c r="M17" s="7"/>
      <c r="N17" s="7"/>
      <c r="O17" s="7"/>
      <c r="Q17" s="25" t="str">
        <v>DGX US EQUITY</v>
      </c>
      <c r="R17" s="25">
        <v>46022</v>
      </c>
      <c r="S17" s="26" t="str">
        <v>custom</v>
      </c>
      <c r="T17" s="27" t="str">
        <v>organic_orders_yoy</v>
      </c>
      <c r="U17" s="31" t="str">
        <v>0.079</v>
      </c>
      <c r="V17" s="30" t="str">
        <v>730</v>
      </c>
      <c r="W17" s="30" t="str">
        <v/>
      </c>
      <c r="X17" s="30" t="str">
        <v/>
      </c>
      <c r="Y17" s="30" t="str">
        <v>400</v>
      </c>
    </row>
    <row r="18" spans="1:25" x14ac:dyDescent="0.45">
      <c r="C18" s="4" t="s">
        <v>40</v>
      </c>
      <c r="D18" s="1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Q18" s="25" t="str" cm="1">
        <f t="array" ref="Q18:Y21">_xlfn.LET(
  _xlpm.d, L37:O37,
  _xlpm.v, L39:O39,
  _xlpm.yy, L40:O40,
  _xlpm.qq, L41:O41,
  _xlpm.dyy, L42:O42,
  _xlpm.dqq, L43:O43,
  _xlpm.dd, TRANSPOSE(_xlpm.d),
  _xlpm.clean, _xlfn.LAMBDA(_xlpm.x, IF(_xlpm.x="","",_xlpm.x)),
_xlfn.HSTACK(
  _xlfn.MAKEARRAY(ROWS(_xlpm.dd),1, _xlfn.LAMBDA(_xlpm.r,_xlpm.c,$B$2)),
  _xlpm.dd,
  _xlfn.MAKEARRAY(ROWS(_xlpm.dd),1, _xlfn.LAMBDA(_xlpm.r,_xlpm.c,A39)),
  _xlfn.MAKEARRAY(ROWS(_xlpm.dd),1, _xlfn.LAMBDA(_xlpm.r,_xlpm.c,B39)),
  CLEAN(TRANSPOSE(_xlpm.v)),
  CLEAN(TRANSPOSE(_xlpm.yy)),
  CLEAN(TRANSPOSE(_xlpm.qq)),
  CLEAN(TRANSPOSE(_xlpm.dyy)),
  CLEAN(TRANSPOSE(_xlpm.dqq))
))</f>
        <v>DGX US EQUITY</v>
      </c>
      <c r="R18" s="25">
        <v>45747</v>
      </c>
      <c r="S18" s="26" t="str">
        <v>custom</v>
      </c>
      <c r="T18" s="27" t="str">
        <v>revenue per requisition_yoy</v>
      </c>
      <c r="U18" s="31" t="str">
        <v>0.003</v>
      </c>
      <c r="V18" s="30" t="str">
        <v>20</v>
      </c>
      <c r="W18" s="30" t="str">
        <v/>
      </c>
      <c r="X18" s="30" t="str">
        <v/>
      </c>
      <c r="Y18" s="30" t="str">
        <v>10</v>
      </c>
    </row>
    <row r="19" spans="1:25" x14ac:dyDescent="0.45">
      <c r="C19" s="4" t="s">
        <v>6</v>
      </c>
      <c r="D19" s="1"/>
      <c r="K19" s="7"/>
      <c r="L19" s="7">
        <f ca="1">(L15-K15)*100</f>
        <v>-19.409999999999883</v>
      </c>
      <c r="M19" s="7">
        <f t="shared" ref="M19:O19" ca="1" si="7">(M15-L15)*100</f>
        <v>161.28</v>
      </c>
      <c r="N19" s="7">
        <f t="shared" ca="1" si="7"/>
        <v>-45.400000000000063</v>
      </c>
      <c r="O19" s="7">
        <f t="shared" ca="1" si="7"/>
        <v>-126.97999999999965</v>
      </c>
      <c r="Q19" s="25" t="str">
        <v>DGX US EQUITY</v>
      </c>
      <c r="R19" s="25">
        <v>45838</v>
      </c>
      <c r="S19" s="26" t="str">
        <v>custom</v>
      </c>
      <c r="T19" s="27" t="str">
        <v>revenue per requisition_yoy</v>
      </c>
      <c r="U19" s="31" t="str">
        <v>0.004</v>
      </c>
      <c r="V19" s="30" t="str">
        <v>-120</v>
      </c>
      <c r="W19" s="30" t="str">
        <v/>
      </c>
      <c r="X19" s="30" t="str">
        <v/>
      </c>
      <c r="Y19" s="30" t="str">
        <v>10</v>
      </c>
    </row>
    <row r="20" spans="1:25" x14ac:dyDescent="0.45">
      <c r="Q20" s="25" t="str">
        <v>DGX US EQUITY</v>
      </c>
      <c r="R20" s="25">
        <v>45930</v>
      </c>
      <c r="S20" s="26" t="str">
        <v>custom</v>
      </c>
      <c r="T20" s="27" t="str">
        <v>revenue per requisition_yoy</v>
      </c>
      <c r="U20" s="31" t="str">
        <v>0.008</v>
      </c>
      <c r="V20" s="30" t="str">
        <v>-250</v>
      </c>
      <c r="W20" s="30" t="str">
        <v/>
      </c>
      <c r="X20" s="30" t="str">
        <v/>
      </c>
      <c r="Y20" s="30" t="str">
        <v>40</v>
      </c>
    </row>
    <row r="21" spans="1:25" x14ac:dyDescent="0.45">
      <c r="C21" s="14" t="s">
        <v>19</v>
      </c>
      <c r="D21" s="15">
        <f ca="1">EOMONTH(DATE(YEAR(D22),ROUNDUP(MONTH(D22)/3,0)*3,1),0)</f>
        <v>45016</v>
      </c>
      <c r="E21" s="15">
        <f t="shared" ref="E21:H21" ca="1" si="8">EOMONTH(DATE(YEAR(E22),ROUNDUP(MONTH(E22)/3,0)*3,1),0)</f>
        <v>45107</v>
      </c>
      <c r="F21" s="15">
        <f t="shared" ca="1" si="8"/>
        <v>45199</v>
      </c>
      <c r="G21" s="15">
        <f t="shared" ca="1" si="8"/>
        <v>45291</v>
      </c>
      <c r="H21" s="15">
        <f t="shared" ca="1" si="8"/>
        <v>45382</v>
      </c>
      <c r="I21" s="15">
        <f t="shared" ref="I21:O21" ca="1" si="9">EOMONTH(DATE(YEAR(I22),ROUNDUP(MONTH(I22)/3,0)*3,1),0)</f>
        <v>45473</v>
      </c>
      <c r="J21" s="15">
        <f t="shared" ca="1" si="9"/>
        <v>45565</v>
      </c>
      <c r="K21" s="15">
        <f t="shared" ca="1" si="9"/>
        <v>45657</v>
      </c>
      <c r="L21" s="15">
        <f t="shared" ca="1" si="9"/>
        <v>45747</v>
      </c>
      <c r="M21" s="15">
        <f t="shared" ca="1" si="9"/>
        <v>45838</v>
      </c>
      <c r="N21" s="15">
        <f t="shared" ca="1" si="9"/>
        <v>45930</v>
      </c>
      <c r="O21" s="15">
        <f t="shared" ca="1" si="9"/>
        <v>46022</v>
      </c>
      <c r="Q21" s="25" t="str">
        <v>DGX US EQUITY</v>
      </c>
      <c r="R21" s="25">
        <v>46022</v>
      </c>
      <c r="S21" s="26" t="str">
        <v>custom</v>
      </c>
      <c r="T21" s="27" t="str">
        <v>revenue per requisition_yoy</v>
      </c>
      <c r="U21" s="31" t="str">
        <v>-0.001</v>
      </c>
      <c r="V21" s="30" t="str">
        <v>-30</v>
      </c>
      <c r="W21" s="30" t="str">
        <v/>
      </c>
      <c r="X21" s="30" t="str">
        <v/>
      </c>
      <c r="Y21" s="30" t="str">
        <v>-90</v>
      </c>
    </row>
    <row r="22" spans="1:25" x14ac:dyDescent="0.45">
      <c r="D22" s="1" cm="1">
        <f t="array" aca="1" ref="D22:O23" ca="1">+_xll.BDH($B$2,C23,$B$3,$B$4,"DIR=H")</f>
        <v>45016</v>
      </c>
      <c r="E22" s="1">
        <f ca="1"/>
        <v>45107</v>
      </c>
      <c r="F22" s="1">
        <f ca="1"/>
        <v>45199</v>
      </c>
      <c r="G22" s="1">
        <f ca="1"/>
        <v>45291</v>
      </c>
      <c r="H22" s="1">
        <f ca="1"/>
        <v>45382</v>
      </c>
      <c r="I22" s="1">
        <f ca="1"/>
        <v>45473</v>
      </c>
      <c r="J22" s="1">
        <f ca="1"/>
        <v>45565</v>
      </c>
      <c r="K22" s="1">
        <f ca="1"/>
        <v>45657</v>
      </c>
      <c r="L22" s="1">
        <f ca="1"/>
        <v>45747</v>
      </c>
      <c r="M22" s="1">
        <f ca="1"/>
        <v>45838</v>
      </c>
      <c r="N22" s="1">
        <f ca="1"/>
        <v>45930</v>
      </c>
      <c r="O22" s="1">
        <f ca="1"/>
        <v>46022</v>
      </c>
      <c r="Q22" s="25"/>
      <c r="R22" s="25"/>
      <c r="S22" s="26"/>
      <c r="T22" s="27"/>
      <c r="U22" s="28"/>
      <c r="V22" s="29"/>
      <c r="W22" s="30"/>
      <c r="X22" s="29"/>
      <c r="Y22" s="30"/>
    </row>
    <row r="23" spans="1:25" x14ac:dyDescent="0.45">
      <c r="A23" s="17" t="s">
        <v>16</v>
      </c>
      <c r="B23" s="17" t="s">
        <v>22</v>
      </c>
      <c r="C23" s="9" t="s">
        <v>11</v>
      </c>
      <c r="D23" s="3">
        <f ca="1"/>
        <v>13.0845</v>
      </c>
      <c r="E23" s="3">
        <f ca="1"/>
        <v>14.884499999999999</v>
      </c>
      <c r="F23" s="3">
        <f ca="1"/>
        <v>14.901999999999999</v>
      </c>
      <c r="G23" s="3">
        <f ca="1"/>
        <v>11.669600000000001</v>
      </c>
      <c r="H23" s="3">
        <f ca="1"/>
        <v>12.679600000000001</v>
      </c>
      <c r="I23" s="3">
        <f ca="1"/>
        <v>14.8102</v>
      </c>
      <c r="J23" s="3">
        <f ca="1"/>
        <v>13.2637</v>
      </c>
      <c r="K23" s="3">
        <f ca="1"/>
        <v>13.773400000000001</v>
      </c>
      <c r="L23" s="3">
        <f ca="1"/>
        <v>13.046799999999999</v>
      </c>
      <c r="M23" s="3">
        <f ca="1"/>
        <v>15.863799999999999</v>
      </c>
      <c r="N23" s="3">
        <f ca="1"/>
        <v>13.7074</v>
      </c>
      <c r="O23">
        <f ca="1"/>
        <v>13.7562</v>
      </c>
      <c r="Q23" s="25"/>
      <c r="R23" s="25"/>
      <c r="S23" s="26"/>
      <c r="T23" s="27"/>
      <c r="U23" s="28"/>
      <c r="V23" s="29"/>
      <c r="W23" s="30"/>
      <c r="X23" s="29"/>
      <c r="Y23" s="30"/>
    </row>
    <row r="24" spans="1:25" x14ac:dyDescent="0.45">
      <c r="C24" s="4" t="s">
        <v>5</v>
      </c>
      <c r="D24" s="5"/>
      <c r="E24" s="4"/>
      <c r="F24" s="4"/>
      <c r="G24" s="4"/>
      <c r="H24" s="7">
        <f t="shared" ref="H24" ca="1" si="10">(H23-D23)*100</f>
        <v>-40.489999999999959</v>
      </c>
      <c r="I24" s="7">
        <f t="shared" ref="I24" ca="1" si="11">(I23-E23)*100</f>
        <v>-7.4299999999999145</v>
      </c>
      <c r="J24" s="7">
        <f t="shared" ref="J24" ca="1" si="12">(J23-F23)*100</f>
        <v>-163.82999999999993</v>
      </c>
      <c r="K24" s="7">
        <f t="shared" ref="K24" ca="1" si="13">(K23-G23)*100</f>
        <v>210.37999999999997</v>
      </c>
      <c r="L24" s="7">
        <f t="shared" ref="L24" ca="1" si="14">(L23-H23)*100</f>
        <v>36.719999999999864</v>
      </c>
      <c r="M24" s="7">
        <f t="shared" ref="M24" ca="1" si="15">(M23-I23)*100</f>
        <v>105.35999999999994</v>
      </c>
      <c r="N24" s="7">
        <f t="shared" ref="N24" ca="1" si="16">(N23-J23)*100</f>
        <v>44.369999999999976</v>
      </c>
      <c r="O24" s="7">
        <f ca="1">(O23-K23)*100</f>
        <v>-1.720000000000077</v>
      </c>
      <c r="Q24" s="25"/>
      <c r="R24" s="25"/>
      <c r="S24" s="26"/>
      <c r="T24" s="27"/>
      <c r="U24" s="28"/>
      <c r="V24" s="29"/>
      <c r="W24" s="30"/>
      <c r="X24" s="29"/>
      <c r="Y24" s="30"/>
    </row>
    <row r="25" spans="1:25" x14ac:dyDescent="0.45">
      <c r="C25" s="4" t="s">
        <v>26</v>
      </c>
      <c r="D25" s="1"/>
      <c r="K25" s="7"/>
      <c r="L25" s="7"/>
      <c r="M25" s="7"/>
      <c r="N25" s="7"/>
      <c r="O25" s="7"/>
      <c r="Q25" s="25"/>
      <c r="R25" s="25"/>
      <c r="S25" s="26"/>
      <c r="T25" s="27"/>
      <c r="U25" s="28"/>
      <c r="V25" s="29"/>
      <c r="W25" s="30"/>
      <c r="X25" s="29"/>
      <c r="Y25" s="30"/>
    </row>
    <row r="26" spans="1:25" x14ac:dyDescent="0.45">
      <c r="C26" s="4" t="s">
        <v>40</v>
      </c>
      <c r="D26" s="1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Q26" s="25"/>
      <c r="R26" s="25"/>
      <c r="S26" s="26"/>
      <c r="T26" s="27"/>
      <c r="U26" s="28"/>
      <c r="V26" s="29"/>
      <c r="W26" s="30"/>
      <c r="X26" s="29"/>
      <c r="Y26" s="30"/>
    </row>
    <row r="27" spans="1:25" x14ac:dyDescent="0.45">
      <c r="C27" s="4" t="s">
        <v>6</v>
      </c>
      <c r="D27" s="1"/>
      <c r="K27" s="7"/>
      <c r="L27" s="7">
        <f ca="1">(L23-K23)*100</f>
        <v>-72.660000000000124</v>
      </c>
      <c r="M27" s="7">
        <f t="shared" ref="M27:O27" ca="1" si="17">(M23-L23)*100</f>
        <v>281.70000000000005</v>
      </c>
      <c r="N27" s="7">
        <f t="shared" ca="1" si="17"/>
        <v>-215.63999999999996</v>
      </c>
      <c r="O27" s="7">
        <f t="shared" ca="1" si="17"/>
        <v>4.8799999999999955</v>
      </c>
      <c r="Q27" s="25"/>
      <c r="R27" s="25"/>
      <c r="S27" s="26"/>
      <c r="T27" s="27"/>
      <c r="U27" s="28"/>
      <c r="V27" s="29"/>
      <c r="W27" s="30"/>
      <c r="X27" s="29"/>
      <c r="Y27" s="30"/>
    </row>
    <row r="28" spans="1:25" x14ac:dyDescent="0.45">
      <c r="C28" s="4"/>
      <c r="D28" s="1"/>
      <c r="E28" s="1"/>
      <c r="F28" s="1"/>
      <c r="G28" s="1"/>
      <c r="K28" s="7"/>
      <c r="L28" s="7"/>
      <c r="M28" s="7"/>
      <c r="N28" s="7"/>
      <c r="O28" s="7"/>
      <c r="Q28" s="25"/>
      <c r="R28" s="25"/>
      <c r="S28" s="26"/>
      <c r="T28" s="27"/>
      <c r="U28" s="28"/>
      <c r="V28" s="29"/>
      <c r="W28" s="30"/>
      <c r="X28" s="29"/>
      <c r="Y28" s="30"/>
    </row>
    <row r="29" spans="1:25" x14ac:dyDescent="0.45">
      <c r="C29" s="14" t="s">
        <v>19</v>
      </c>
      <c r="D29" s="15"/>
      <c r="E29" s="15"/>
      <c r="F29" s="15"/>
      <c r="G29" s="15">
        <f t="shared" ref="G29:L29" si="18">EOMONTH(DATE(YEAR(G30),ROUNDUP(MONTH(G30)/3,0)*3,1),0)</f>
        <v>45291</v>
      </c>
      <c r="H29" s="15">
        <f t="shared" si="18"/>
        <v>45382</v>
      </c>
      <c r="I29" s="15">
        <f t="shared" si="18"/>
        <v>45473</v>
      </c>
      <c r="J29" s="15">
        <f t="shared" si="18"/>
        <v>45565</v>
      </c>
      <c r="K29" s="15">
        <f t="shared" si="18"/>
        <v>45657</v>
      </c>
      <c r="L29" s="15">
        <f t="shared" si="18"/>
        <v>45747</v>
      </c>
      <c r="M29" s="15">
        <f>EOMONTH(DATE(YEAR(M30),ROUNDUP(MONTH(M30)/3,0)*3,1),0)</f>
        <v>45838</v>
      </c>
      <c r="N29" s="15">
        <f>EOMONTH(DATE(YEAR(N30),ROUNDUP(MONTH(N30)/3,0)*3,1),0)</f>
        <v>45930</v>
      </c>
      <c r="O29" s="15">
        <f>EOMONTH(DATE(YEAR(O30),ROUNDUP(MONTH(O30)/3,0)*3,1),0)</f>
        <v>46022</v>
      </c>
      <c r="Q29" s="25"/>
      <c r="R29" s="25"/>
      <c r="S29" s="26"/>
      <c r="T29" s="27"/>
      <c r="U29" s="28"/>
      <c r="V29" s="29"/>
      <c r="W29" s="30"/>
      <c r="X29" s="29"/>
      <c r="Y29" s="30"/>
    </row>
    <row r="30" spans="1:25" x14ac:dyDescent="0.45">
      <c r="D30" s="2"/>
      <c r="E30" s="2"/>
      <c r="F30" s="2"/>
      <c r="G30" s="2">
        <v>45291</v>
      </c>
      <c r="H30" s="2">
        <v>45382</v>
      </c>
      <c r="I30" s="2">
        <v>45473</v>
      </c>
      <c r="J30" s="2">
        <v>45565</v>
      </c>
      <c r="K30" s="2">
        <v>45657</v>
      </c>
      <c r="L30" s="2">
        <v>45747</v>
      </c>
      <c r="M30" s="2">
        <v>45838</v>
      </c>
      <c r="N30" s="2">
        <v>45930</v>
      </c>
      <c r="O30" s="2">
        <v>46022</v>
      </c>
      <c r="Q30" s="25"/>
      <c r="R30" s="25"/>
      <c r="S30" s="26"/>
      <c r="T30" s="27"/>
      <c r="U30" s="28"/>
      <c r="V30" s="29"/>
      <c r="W30" s="30"/>
      <c r="X30" s="29"/>
      <c r="Y30" s="30"/>
    </row>
    <row r="31" spans="1:25" x14ac:dyDescent="0.45">
      <c r="A31" s="17" t="s">
        <v>28</v>
      </c>
      <c r="B31" s="17" t="s">
        <v>43</v>
      </c>
      <c r="C31" s="2" t="s">
        <v>44</v>
      </c>
      <c r="D31" s="10"/>
      <c r="E31" s="10"/>
      <c r="F31" s="10"/>
      <c r="G31" s="32">
        <v>4.7E-2</v>
      </c>
      <c r="H31" s="32">
        <v>-0.01</v>
      </c>
      <c r="I31" s="32">
        <v>7.0000000000000001E-3</v>
      </c>
      <c r="J31" s="32">
        <v>5.0000000000000001E-3</v>
      </c>
      <c r="K31" s="32">
        <v>6.0000000000000001E-3</v>
      </c>
      <c r="L31" s="32">
        <v>-8.9999999999999993E-3</v>
      </c>
      <c r="M31" s="11">
        <v>2.1000000000000001E-2</v>
      </c>
      <c r="N31" s="11">
        <v>3.9E-2</v>
      </c>
      <c r="O31" s="11">
        <v>7.9000000000000001E-2</v>
      </c>
      <c r="Q31" s="25"/>
      <c r="R31" s="25"/>
      <c r="S31" s="26"/>
      <c r="T31" s="27"/>
      <c r="U31" s="28"/>
      <c r="V31" s="29"/>
      <c r="W31" s="30"/>
      <c r="X31" s="29"/>
      <c r="Y31" s="30"/>
    </row>
    <row r="32" spans="1:25" x14ac:dyDescent="0.45">
      <c r="C32" s="4" t="s">
        <v>5</v>
      </c>
      <c r="D32" s="5"/>
      <c r="E32" s="4"/>
      <c r="F32" s="4"/>
      <c r="G32" s="4"/>
      <c r="H32" s="7"/>
      <c r="I32" s="7"/>
      <c r="J32" s="7"/>
      <c r="K32" s="7">
        <f t="shared" ref="K32" si="19">(K31-G31)*100</f>
        <v>-4.1000000000000005</v>
      </c>
      <c r="L32" s="7">
        <f t="shared" ref="L32" si="20">(L31-H31)*10000</f>
        <v>10.000000000000009</v>
      </c>
      <c r="M32" s="7">
        <f t="shared" ref="M32" si="21">(M31-I31)*10000</f>
        <v>140.00000000000003</v>
      </c>
      <c r="N32" s="7">
        <f t="shared" ref="N32" si="22">(N31-J31)*10000</f>
        <v>340</v>
      </c>
      <c r="O32" s="7">
        <f>(O31-K31)*10000</f>
        <v>730</v>
      </c>
      <c r="Q32" s="25"/>
      <c r="R32" s="25"/>
      <c r="S32" s="26"/>
      <c r="T32" s="27"/>
      <c r="U32" s="28"/>
      <c r="V32" s="29"/>
      <c r="W32" s="30"/>
      <c r="X32" s="29"/>
      <c r="Y32" s="30"/>
    </row>
    <row r="33" spans="1:25" x14ac:dyDescent="0.45">
      <c r="C33" s="4" t="s">
        <v>26</v>
      </c>
      <c r="D33" s="1"/>
      <c r="K33" s="7"/>
      <c r="L33" s="7"/>
      <c r="M33" s="7"/>
      <c r="N33" s="7"/>
      <c r="O33" s="7"/>
      <c r="Q33" s="25"/>
      <c r="R33" s="25"/>
      <c r="S33" s="26"/>
      <c r="T33" s="27"/>
      <c r="U33" s="28"/>
      <c r="V33" s="29"/>
      <c r="W33" s="30"/>
      <c r="X33" s="29"/>
      <c r="Y33" s="30"/>
    </row>
    <row r="34" spans="1:25" x14ac:dyDescent="0.45">
      <c r="C34" s="4" t="s">
        <v>40</v>
      </c>
      <c r="D34" s="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</row>
    <row r="35" spans="1:25" x14ac:dyDescent="0.45">
      <c r="C35" s="4" t="s">
        <v>6</v>
      </c>
      <c r="D35" s="1"/>
      <c r="K35" s="7"/>
      <c r="L35" s="7">
        <f>(L31-K31)*10000</f>
        <v>-150</v>
      </c>
      <c r="M35" s="7">
        <f t="shared" ref="M35:O35" si="23">(M31-L31)*10000</f>
        <v>300</v>
      </c>
      <c r="N35" s="7">
        <f t="shared" si="23"/>
        <v>180</v>
      </c>
      <c r="O35" s="7">
        <f t="shared" si="23"/>
        <v>400</v>
      </c>
    </row>
    <row r="36" spans="1:25" x14ac:dyDescent="0.45">
      <c r="C36" s="4"/>
      <c r="D36" s="1"/>
      <c r="E36" s="1"/>
      <c r="F36" s="1"/>
      <c r="G36" s="1"/>
      <c r="K36" s="7"/>
      <c r="L36" s="7"/>
      <c r="M36" s="7"/>
      <c r="N36" s="7"/>
      <c r="O36" s="7"/>
    </row>
    <row r="37" spans="1:25" x14ac:dyDescent="0.45">
      <c r="C37" s="14" t="s">
        <v>19</v>
      </c>
      <c r="D37" s="15"/>
      <c r="E37" s="15"/>
      <c r="F37" s="15"/>
      <c r="G37" s="15">
        <f t="shared" ref="G37:L37" si="24">EOMONTH(DATE(YEAR(G38),ROUNDUP(MONTH(G38)/3,0)*3,1),0)</f>
        <v>45291</v>
      </c>
      <c r="H37" s="15">
        <f t="shared" si="24"/>
        <v>45382</v>
      </c>
      <c r="I37" s="15">
        <f t="shared" si="24"/>
        <v>45473</v>
      </c>
      <c r="J37" s="15">
        <f t="shared" si="24"/>
        <v>45565</v>
      </c>
      <c r="K37" s="15">
        <f t="shared" si="24"/>
        <v>45657</v>
      </c>
      <c r="L37" s="15">
        <f t="shared" si="24"/>
        <v>45747</v>
      </c>
      <c r="M37" s="15">
        <f>EOMONTH(DATE(YEAR(M38),ROUNDUP(MONTH(M38)/3,0)*3,1),0)</f>
        <v>45838</v>
      </c>
      <c r="N37" s="15">
        <f>EOMONTH(DATE(YEAR(N38),ROUNDUP(MONTH(N38)/3,0)*3,1),0)</f>
        <v>45930</v>
      </c>
      <c r="O37" s="15">
        <f>EOMONTH(DATE(YEAR(O38),ROUNDUP(MONTH(O38)/3,0)*3,1),0)</f>
        <v>46022</v>
      </c>
    </row>
    <row r="38" spans="1:25" x14ac:dyDescent="0.45">
      <c r="D38" s="2"/>
      <c r="E38" s="2"/>
      <c r="F38" s="2"/>
      <c r="G38" s="2">
        <v>45291</v>
      </c>
      <c r="H38" s="2">
        <v>45382</v>
      </c>
      <c r="I38" s="2">
        <v>45473</v>
      </c>
      <c r="J38" s="2">
        <v>45565</v>
      </c>
      <c r="K38" s="2">
        <v>45657</v>
      </c>
      <c r="L38" s="2">
        <v>45747</v>
      </c>
      <c r="M38" s="2">
        <v>45838</v>
      </c>
      <c r="N38" s="2">
        <v>45930</v>
      </c>
      <c r="O38" s="2">
        <v>46022</v>
      </c>
    </row>
    <row r="39" spans="1:25" x14ac:dyDescent="0.45">
      <c r="A39" s="17" t="s">
        <v>28</v>
      </c>
      <c r="B39" s="17" t="s">
        <v>46</v>
      </c>
      <c r="C39" s="2" t="s">
        <v>45</v>
      </c>
      <c r="D39" s="10"/>
      <c r="E39" s="10"/>
      <c r="F39" s="10"/>
      <c r="G39" s="32">
        <v>-3.5000000000000003E-2</v>
      </c>
      <c r="H39" s="32">
        <v>1E-3</v>
      </c>
      <c r="I39" s="32">
        <v>1.6E-2</v>
      </c>
      <c r="J39" s="32">
        <v>3.3000000000000002E-2</v>
      </c>
      <c r="K39" s="32">
        <v>2E-3</v>
      </c>
      <c r="L39" s="32">
        <v>3.0000000000000001E-3</v>
      </c>
      <c r="M39" s="11">
        <v>4.0000000000000001E-3</v>
      </c>
      <c r="N39" s="11">
        <v>8.0000000000000002E-3</v>
      </c>
      <c r="O39" s="11">
        <v>-1E-3</v>
      </c>
    </row>
    <row r="40" spans="1:25" x14ac:dyDescent="0.45">
      <c r="C40" s="4" t="s">
        <v>5</v>
      </c>
      <c r="D40" s="5"/>
      <c r="E40" s="4"/>
      <c r="F40" s="4"/>
      <c r="G40" s="4"/>
      <c r="H40" s="7"/>
      <c r="I40" s="7"/>
      <c r="J40" s="7"/>
      <c r="K40" s="7">
        <f t="shared" ref="K40" si="25">(K39-G39)*100</f>
        <v>3.7000000000000006</v>
      </c>
      <c r="L40" s="7">
        <f t="shared" ref="L40:N40" si="26">(L39-H39)*10000</f>
        <v>20</v>
      </c>
      <c r="M40" s="7">
        <f t="shared" si="26"/>
        <v>-120</v>
      </c>
      <c r="N40" s="7">
        <f t="shared" si="26"/>
        <v>-250</v>
      </c>
      <c r="O40" s="7">
        <f>(O39-K39)*10000</f>
        <v>-30</v>
      </c>
    </row>
    <row r="41" spans="1:25" x14ac:dyDescent="0.45">
      <c r="C41" s="4" t="s">
        <v>26</v>
      </c>
      <c r="D41" s="1"/>
      <c r="K41" s="7"/>
      <c r="L41" s="7"/>
      <c r="M41" s="7"/>
      <c r="N41" s="7"/>
      <c r="O41" s="7"/>
    </row>
    <row r="42" spans="1:25" x14ac:dyDescent="0.45">
      <c r="C42" s="4" t="s">
        <v>40</v>
      </c>
      <c r="D42" s="1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</row>
    <row r="43" spans="1:25" x14ac:dyDescent="0.45">
      <c r="C43" s="4" t="s">
        <v>6</v>
      </c>
      <c r="D43" s="1"/>
      <c r="K43" s="7"/>
      <c r="L43" s="7">
        <f>(L39-K39)*10000</f>
        <v>10</v>
      </c>
      <c r="M43" s="7">
        <f t="shared" ref="M43:O43" si="27">(M39-L39)*10000</f>
        <v>10</v>
      </c>
      <c r="N43" s="7">
        <f t="shared" si="27"/>
        <v>40</v>
      </c>
      <c r="O43" s="7">
        <f t="shared" si="27"/>
        <v>-90.000000000000014</v>
      </c>
    </row>
    <row r="44" spans="1:25" x14ac:dyDescent="0.45">
      <c r="C44" s="4"/>
      <c r="D44" s="1"/>
      <c r="E44" s="1"/>
      <c r="F44" s="1"/>
      <c r="G44" s="1"/>
      <c r="L44" s="7"/>
      <c r="M44" s="7"/>
      <c r="N44" s="7"/>
      <c r="O44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BDBA8-4D51-48FE-9B83-1504A3F345FA}">
  <dimension ref="A1:Y52"/>
  <sheetViews>
    <sheetView tabSelected="1" topLeftCell="G1" zoomScale="85" zoomScaleNormal="85" workbookViewId="0">
      <selection activeCell="Q1" sqref="Q1"/>
    </sheetView>
  </sheetViews>
  <sheetFormatPr defaultRowHeight="14.25" x14ac:dyDescent="0.45"/>
  <cols>
    <col min="1" max="1" width="14.73046875" bestFit="1" customWidth="1"/>
    <col min="2" max="2" width="20" bestFit="1" customWidth="1"/>
    <col min="3" max="3" width="36.3984375" bestFit="1" customWidth="1"/>
    <col min="4" max="4" width="10.1328125" bestFit="1" customWidth="1"/>
    <col min="5" max="5" width="9.46484375" bestFit="1" customWidth="1"/>
    <col min="6" max="8" width="9.46484375" customWidth="1"/>
    <col min="9" max="9" width="9.46484375" bestFit="1" customWidth="1"/>
    <col min="10" max="10" width="10.46484375" bestFit="1" customWidth="1"/>
    <col min="11" max="11" width="10.06640625" bestFit="1" customWidth="1"/>
    <col min="12" max="12" width="9.3984375" bestFit="1" customWidth="1"/>
    <col min="13" max="13" width="9.46484375" bestFit="1" customWidth="1"/>
    <col min="14" max="14" width="11.33203125" bestFit="1" customWidth="1"/>
    <col min="15" max="15" width="10.3984375" bestFit="1" customWidth="1"/>
    <col min="16" max="16" width="9.06640625" customWidth="1"/>
    <col min="17" max="17" width="12.3984375" bestFit="1" customWidth="1"/>
    <col min="18" max="18" width="14.3984375" bestFit="1" customWidth="1"/>
    <col min="19" max="19" width="8.59765625" bestFit="1" customWidth="1"/>
    <col min="20" max="20" width="20.33203125" bestFit="1" customWidth="1"/>
    <col min="21" max="21" width="7.46484375" bestFit="1" customWidth="1"/>
    <col min="22" max="22" width="19.6640625" bestFit="1" customWidth="1"/>
    <col min="23" max="23" width="9.1328125" bestFit="1" customWidth="1"/>
    <col min="24" max="24" width="10.3984375" bestFit="1" customWidth="1"/>
    <col min="25" max="25" width="9.1328125" bestFit="1" customWidth="1"/>
  </cols>
  <sheetData>
    <row r="1" spans="1:25" x14ac:dyDescent="0.45">
      <c r="A1" s="23" t="s">
        <v>31</v>
      </c>
      <c r="B1" s="23" t="s">
        <v>31</v>
      </c>
      <c r="C1" s="23" t="s">
        <v>31</v>
      </c>
      <c r="D1" s="23" t="s">
        <v>31</v>
      </c>
      <c r="E1" s="23" t="s">
        <v>31</v>
      </c>
      <c r="F1" s="23" t="s">
        <v>31</v>
      </c>
      <c r="G1" s="23" t="s">
        <v>31</v>
      </c>
      <c r="H1" s="23" t="s">
        <v>31</v>
      </c>
      <c r="I1" s="23" t="s">
        <v>31</v>
      </c>
      <c r="J1" s="23" t="s">
        <v>31</v>
      </c>
      <c r="K1" s="23" t="s">
        <v>31</v>
      </c>
      <c r="L1" s="23" t="s">
        <v>31</v>
      </c>
      <c r="M1" s="23" t="s">
        <v>31</v>
      </c>
      <c r="N1" s="23" t="s">
        <v>31</v>
      </c>
      <c r="O1" s="23" t="s">
        <v>31</v>
      </c>
      <c r="Q1" s="24" t="s">
        <v>20</v>
      </c>
      <c r="R1" s="24" t="s">
        <v>18</v>
      </c>
      <c r="S1" s="24" t="s">
        <v>25</v>
      </c>
      <c r="T1" s="24" t="s">
        <v>24</v>
      </c>
      <c r="U1" s="24" t="s">
        <v>17</v>
      </c>
      <c r="V1" s="24" t="s">
        <v>23</v>
      </c>
      <c r="W1" s="24" t="s">
        <v>27</v>
      </c>
      <c r="X1" s="24" t="s">
        <v>41</v>
      </c>
      <c r="Y1" s="24" t="s">
        <v>42</v>
      </c>
    </row>
    <row r="2" spans="1:25" x14ac:dyDescent="0.45">
      <c r="A2" s="18" t="s">
        <v>1</v>
      </c>
      <c r="B2" s="33" t="s">
        <v>12</v>
      </c>
      <c r="Q2" s="25" t="str" cm="1">
        <f t="array" aca="1" ref="Q2:Y5" ca="1">_xlfn.LET(
  _xlpm.d, L5:O5,
  _xlpm.v, L7:O7,
  _xlpm.yy, L8:O8,
  _xlpm.qq, L9:O9,
  _xlpm.dyy, L10:O10,
  _xlpm.dqq, L11:O11,
  _xlpm.dd, TRANSPOSE(_xlpm.d),
  _xlpm.clean, _xlfn.LAMBDA(_xlpm.x, IF(_xlpm.x="","",_xlpm.x)),
_xlfn.HSTACK(
  _xlfn.MAKEARRAY(ROWS(_xlpm.dd),1, _xlfn.LAMBDA(_xlpm.r,_xlpm.c,$B$2)),
  _xlpm.dd,
  _xlfn.MAKEARRAY(ROWS(_xlpm.dd),1, _xlfn.LAMBDA(_xlpm.r,_xlpm.c,A7)),
  _xlfn.MAKEARRAY(ROWS(_xlpm.dd),1, _xlfn.LAMBDA(_xlpm.r,_xlpm.c,B7)),
  CLEAN(TRANSPOSE(_xlpm.v)),
  CLEAN(TRANSPOSE(_xlpm.yy)),
  CLEAN(TRANSPOSE(_xlpm.qq)),
  CLEAN(TRANSPOSE(_xlpm.dyy)),
  CLEAN(TRANSPOSE(_xlpm.dqq))
))</f>
        <v>LH US EQUITY</v>
      </c>
      <c r="R2" s="25">
        <f ca="1"/>
        <v>45747</v>
      </c>
      <c r="S2" s="26" t="str">
        <f ca="1"/>
        <v>canonical</v>
      </c>
      <c r="T2" s="27" t="str">
        <f ca="1"/>
        <v>revenue</v>
      </c>
      <c r="U2" s="28" t="str">
        <f ca="1"/>
        <v>3345.1</v>
      </c>
      <c r="V2" s="29" t="str">
        <f ca="1"/>
        <v>0.0530441352389348</v>
      </c>
      <c r="W2" s="30" t="str">
        <f ca="1"/>
        <v>-445.72322084772</v>
      </c>
      <c r="X2" s="29" t="str">
        <f ca="1"/>
        <v>2122.06632922833</v>
      </c>
      <c r="Y2" s="30" t="str">
        <f ca="1"/>
        <v>0.00471556436595177</v>
      </c>
    </row>
    <row r="3" spans="1:25" x14ac:dyDescent="0.45">
      <c r="A3" s="19" t="s">
        <v>3</v>
      </c>
      <c r="B3" s="20">
        <f ca="1">+B4-365*3</f>
        <v>44985</v>
      </c>
      <c r="Q3" s="25" t="str">
        <f ca="1"/>
        <v>LH US EQUITY</v>
      </c>
      <c r="R3" s="25">
        <f ca="1"/>
        <v>45838</v>
      </c>
      <c r="S3" s="26" t="str">
        <f ca="1"/>
        <v>canonical</v>
      </c>
      <c r="T3" s="27" t="str">
        <f ca="1"/>
        <v>revenue</v>
      </c>
      <c r="U3" s="28" t="str">
        <f ca="1"/>
        <v>3527.3</v>
      </c>
      <c r="V3" s="29" t="str">
        <f ca="1"/>
        <v>0.0951286907386135</v>
      </c>
      <c r="W3" s="30" t="str">
        <f ca="1"/>
        <v>420.845554996787</v>
      </c>
      <c r="X3" s="30" t="str">
        <f ca="1"/>
        <v>334.218640912851</v>
      </c>
      <c r="Y3" s="30" t="str">
        <f ca="1"/>
        <v>0.0544677289169233</v>
      </c>
    </row>
    <row r="4" spans="1:25" x14ac:dyDescent="0.45">
      <c r="A4" s="21" t="s">
        <v>2</v>
      </c>
      <c r="B4" s="22">
        <f ca="1">TODAY()</f>
        <v>46080</v>
      </c>
      <c r="Q4" s="25" t="str">
        <f ca="1"/>
        <v>LH US EQUITY</v>
      </c>
      <c r="R4" s="25">
        <f ca="1"/>
        <v>45930</v>
      </c>
      <c r="S4" s="26" t="str">
        <f ca="1"/>
        <v>canonical</v>
      </c>
      <c r="T4" s="27" t="str">
        <f ca="1"/>
        <v>revenue</v>
      </c>
      <c r="U4" s="28" t="str">
        <f ca="1"/>
        <v>3563.5</v>
      </c>
      <c r="V4" s="29" t="str">
        <f ca="1"/>
        <v>0.0857708714198659</v>
      </c>
      <c r="W4" s="30" t="str">
        <f ca="1"/>
        <v>-93.5781931874757</v>
      </c>
      <c r="X4" s="30" t="str">
        <f ca="1"/>
        <v>120.990577585207</v>
      </c>
      <c r="Y4" s="30" t="str">
        <f ca="1"/>
        <v>0.0102628072463358</v>
      </c>
    </row>
    <row r="5" spans="1:25" x14ac:dyDescent="0.45">
      <c r="C5" s="14" t="s">
        <v>19</v>
      </c>
      <c r="D5" s="15">
        <f ca="1">EOMONTH(DATE(YEAR(D6),ROUNDUP(MONTH(D6)/3,0)*3,1),0)</f>
        <v>45016</v>
      </c>
      <c r="E5" s="15">
        <f ca="1">EOMONTH(DATE(YEAR(E6),ROUNDUP(MONTH(E6)/3,0)*3,1),0)</f>
        <v>45107</v>
      </c>
      <c r="F5" s="15">
        <f t="shared" ref="F5:I5" ca="1" si="0">EOMONTH(DATE(YEAR(F6),ROUNDUP(MONTH(F6)/3,0)*3,1),0)</f>
        <v>45199</v>
      </c>
      <c r="G5" s="15">
        <f t="shared" ca="1" si="0"/>
        <v>45291</v>
      </c>
      <c r="H5" s="15">
        <f t="shared" ca="1" si="0"/>
        <v>45382</v>
      </c>
      <c r="I5" s="15">
        <f t="shared" ca="1" si="0"/>
        <v>45473</v>
      </c>
      <c r="J5" s="15">
        <f t="shared" ref="J5:O5" ca="1" si="1">EOMONTH(DATE(YEAR(J6),ROUNDUP(MONTH(J6)/3,0)*3,1),0)</f>
        <v>45565</v>
      </c>
      <c r="K5" s="15">
        <f t="shared" ca="1" si="1"/>
        <v>45657</v>
      </c>
      <c r="L5" s="15">
        <f t="shared" ca="1" si="1"/>
        <v>45747</v>
      </c>
      <c r="M5" s="15">
        <f t="shared" ca="1" si="1"/>
        <v>45838</v>
      </c>
      <c r="N5" s="15">
        <f t="shared" ca="1" si="1"/>
        <v>45930</v>
      </c>
      <c r="O5" s="15">
        <f t="shared" ca="1" si="1"/>
        <v>46022</v>
      </c>
      <c r="Q5" s="25" t="str">
        <f ca="1"/>
        <v>LH US EQUITY</v>
      </c>
      <c r="R5" s="25">
        <f ca="1"/>
        <v>46022</v>
      </c>
      <c r="S5" s="26" t="str">
        <f ca="1"/>
        <v>canonical</v>
      </c>
      <c r="T5" s="27" t="str">
        <f ca="1"/>
        <v>revenue</v>
      </c>
      <c r="U5" s="28" t="str">
        <f ca="1"/>
        <v>3515.8</v>
      </c>
      <c r="V5" s="29" t="str">
        <f ca="1"/>
        <v>0.0559860635549949</v>
      </c>
      <c r="W5" s="30" t="str">
        <f ca="1"/>
        <v>-297.84807864871</v>
      </c>
      <c r="X5" s="30" t="str">
        <f ca="1"/>
        <v>-416.303937687119</v>
      </c>
      <c r="Y5" s="30" t="str">
        <f ca="1"/>
        <v>-0.0133857162901642</v>
      </c>
    </row>
    <row r="6" spans="1:25" x14ac:dyDescent="0.45">
      <c r="D6" s="16" cm="1">
        <f t="array" aca="1" ref="D6:O7" ca="1">+_xll.BDH($B$2,C7,$B$3,$B$4,"DIR=H")</f>
        <v>45016</v>
      </c>
      <c r="E6" s="1">
        <f ca="1"/>
        <v>45107</v>
      </c>
      <c r="F6" s="1">
        <f ca="1"/>
        <v>45199</v>
      </c>
      <c r="G6" s="1">
        <f ca="1"/>
        <v>45291</v>
      </c>
      <c r="H6" s="1">
        <f ca="1"/>
        <v>45382</v>
      </c>
      <c r="I6" s="1">
        <f ca="1"/>
        <v>45473</v>
      </c>
      <c r="J6" s="1">
        <f ca="1"/>
        <v>45565</v>
      </c>
      <c r="K6" s="1">
        <f ca="1"/>
        <v>45657</v>
      </c>
      <c r="L6" s="1">
        <f ca="1"/>
        <v>45747</v>
      </c>
      <c r="M6" s="1">
        <f ca="1"/>
        <v>45838</v>
      </c>
      <c r="N6" s="1">
        <f ca="1"/>
        <v>45930</v>
      </c>
      <c r="O6" s="1">
        <f ca="1"/>
        <v>46022</v>
      </c>
      <c r="Q6" s="25" t="str" cm="1">
        <f t="array" aca="1" ref="Q6:Y9" ca="1">_xlfn.LET(
  _xlpm.d, L13:O13,
  _xlpm.v, L15:O15,
  _xlpm.yy, L16:O16,
  _xlpm.qq, L17:O17,
  _xlpm.dyy, L18:O18,
  _xlpm.dqq, L19:O19,
  _xlpm.dd, TRANSPOSE(_xlpm.d),
  _xlpm.clean, _xlfn.LAMBDA(_xlpm.x, IF(_xlpm.x="","",_xlpm.x)),
_xlfn.HSTACK(
  _xlfn.MAKEARRAY(ROWS(_xlpm.dd),1, _xlfn.LAMBDA(_xlpm.r,_xlpm.c,$B$2)),
  _xlpm.dd,
  _xlfn.MAKEARRAY(ROWS(_xlpm.dd),1, _xlfn.LAMBDA(_xlpm.r,_xlpm.c,A15)),
  _xlfn.MAKEARRAY(ROWS(_xlpm.dd),1, _xlfn.LAMBDA(_xlpm.r,_xlpm.c,B15)),
  CLEAN(TRANSPOSE(_xlpm.v)),
  CLEAN(TRANSPOSE(_xlpm.yy)),
  CLEAN(TRANSPOSE(_xlpm.qq)),
  CLEAN(TRANSPOSE(_xlpm.dyy)),
  CLEAN(TRANSPOSE(_xlpm.dqq))
))</f>
        <v>LH US EQUITY</v>
      </c>
      <c r="R6" s="25">
        <f ca="1"/>
        <v>45747</v>
      </c>
      <c r="S6" s="26" t="str">
        <f ca="1"/>
        <v>canonical</v>
      </c>
      <c r="T6" s="27" t="str">
        <f ca="1"/>
        <v>gross_margin_gaap</v>
      </c>
      <c r="U6" s="31" t="str">
        <f ca="1"/>
        <v>28.34</v>
      </c>
      <c r="V6" s="30" t="str">
        <f ca="1"/>
        <v>9.28000000000004</v>
      </c>
      <c r="W6" s="30" t="str">
        <f ca="1"/>
        <v/>
      </c>
      <c r="X6" s="30" t="str">
        <f ca="1"/>
        <v/>
      </c>
      <c r="Y6" s="30" t="str">
        <f ca="1"/>
        <v>141.92</v>
      </c>
    </row>
    <row r="7" spans="1:25" x14ac:dyDescent="0.45">
      <c r="A7" s="17" t="s">
        <v>16</v>
      </c>
      <c r="B7" s="17" t="s">
        <v>15</v>
      </c>
      <c r="C7" s="9" t="s">
        <v>0</v>
      </c>
      <c r="D7" s="12">
        <f ca="1"/>
        <v>3777.9</v>
      </c>
      <c r="E7" s="12">
        <f ca="1"/>
        <v>3033.7</v>
      </c>
      <c r="F7" s="12">
        <f ca="1"/>
        <v>3056.8</v>
      </c>
      <c r="G7" s="12">
        <f ca="1"/>
        <v>3033.3</v>
      </c>
      <c r="H7" s="12">
        <f ca="1"/>
        <v>3176.6</v>
      </c>
      <c r="I7" s="12">
        <f ca="1"/>
        <v>3220.9</v>
      </c>
      <c r="J7" s="12">
        <f ca="1"/>
        <v>3282</v>
      </c>
      <c r="K7" s="12">
        <f ca="1"/>
        <v>3329.4</v>
      </c>
      <c r="L7" s="12">
        <f ca="1"/>
        <v>3345.1</v>
      </c>
      <c r="M7" s="12">
        <f ca="1"/>
        <v>3527.3</v>
      </c>
      <c r="N7" s="12">
        <f ca="1"/>
        <v>3563.5</v>
      </c>
      <c r="O7" s="3">
        <f ca="1"/>
        <v>3515.8</v>
      </c>
      <c r="P7" s="1"/>
      <c r="Q7" s="25" t="str">
        <f ca="1"/>
        <v>LH US EQUITY</v>
      </c>
      <c r="R7" s="25">
        <f ca="1"/>
        <v>45838</v>
      </c>
      <c r="S7" s="26" t="str">
        <f ca="1"/>
        <v>canonical</v>
      </c>
      <c r="T7" s="27" t="str">
        <f ca="1"/>
        <v>gross_margin_gaap</v>
      </c>
      <c r="U7" s="31" t="str">
        <f ca="1"/>
        <v>29.6601</v>
      </c>
      <c r="V7" s="30" t="str">
        <f ca="1"/>
        <v>89.8</v>
      </c>
      <c r="W7" s="30" t="str">
        <f ca="1"/>
        <v/>
      </c>
      <c r="X7" s="30" t="str">
        <f ca="1"/>
        <v/>
      </c>
      <c r="Y7" s="30" t="str">
        <f ca="1"/>
        <v>132.01</v>
      </c>
    </row>
    <row r="8" spans="1:25" x14ac:dyDescent="0.45">
      <c r="C8" s="4" t="s">
        <v>5</v>
      </c>
      <c r="D8" s="5"/>
      <c r="E8" s="4"/>
      <c r="F8" s="4"/>
      <c r="G8" s="13"/>
      <c r="H8" s="13">
        <f t="shared" ref="H8:N8" ca="1" si="2">+H7/D7-1</f>
        <v>-0.15916249768389845</v>
      </c>
      <c r="I8" s="13">
        <f t="shared" ca="1" si="2"/>
        <v>6.1706826647328405E-2</v>
      </c>
      <c r="J8" s="13">
        <f t="shared" ca="1" si="2"/>
        <v>7.3671813661345231E-2</v>
      </c>
      <c r="K8" s="13">
        <f t="shared" ca="1" si="2"/>
        <v>9.7616457323706829E-2</v>
      </c>
      <c r="L8" s="13">
        <f t="shared" ca="1" si="2"/>
        <v>5.3044135238934809E-2</v>
      </c>
      <c r="M8" s="13">
        <f t="shared" ca="1" si="2"/>
        <v>9.5128690738613519E-2</v>
      </c>
      <c r="N8" s="13">
        <f t="shared" ca="1" si="2"/>
        <v>8.5770871419865946E-2</v>
      </c>
      <c r="O8" s="13">
        <f ca="1">+O7/K7-1</f>
        <v>5.5986063554994914E-2</v>
      </c>
      <c r="P8" s="3"/>
      <c r="Q8" s="25" t="str">
        <f ca="1"/>
        <v>LH US EQUITY</v>
      </c>
      <c r="R8" s="25">
        <f ca="1"/>
        <v>45930</v>
      </c>
      <c r="S8" s="26" t="str">
        <f ca="1"/>
        <v>canonical</v>
      </c>
      <c r="T8" s="27" t="str">
        <f ca="1"/>
        <v>gross_margin_gaap</v>
      </c>
      <c r="U8" s="31" t="str">
        <f ca="1"/>
        <v>28.7667</v>
      </c>
      <c r="V8" s="30" t="str">
        <f ca="1"/>
        <v>121.03</v>
      </c>
      <c r="W8" s="30" t="str">
        <f ca="1"/>
        <v/>
      </c>
      <c r="X8" s="30" t="str">
        <f ca="1"/>
        <v/>
      </c>
      <c r="Y8" s="30" t="str">
        <f ca="1"/>
        <v>-89.34</v>
      </c>
    </row>
    <row r="9" spans="1:25" x14ac:dyDescent="0.45">
      <c r="C9" s="4" t="s">
        <v>26</v>
      </c>
      <c r="D9" s="1"/>
      <c r="L9" s="7">
        <f ca="1">(L8-K8)*10000</f>
        <v>-445.7232208477202</v>
      </c>
      <c r="M9" s="7">
        <f ca="1">(M8-L8)*10000</f>
        <v>420.84555499678709</v>
      </c>
      <c r="N9" s="7">
        <f ca="1">(N8-M8)*10000</f>
        <v>-93.578193187475733</v>
      </c>
      <c r="O9" s="7">
        <f ca="1">(O8-N8)*10000</f>
        <v>-297.84807864871033</v>
      </c>
      <c r="Q9" s="23" t="str">
        <f ca="1"/>
        <v>LH US EQUITY</v>
      </c>
      <c r="R9" s="25">
        <f ca="1"/>
        <v>46022</v>
      </c>
      <c r="S9" s="26" t="str">
        <f ca="1"/>
        <v>canonical</v>
      </c>
      <c r="T9" s="27" t="str">
        <f ca="1"/>
        <v>gross_margin_gaap</v>
      </c>
      <c r="U9" s="31" t="str">
        <f ca="1"/>
        <v>28.2496</v>
      </c>
      <c r="V9" s="30" t="str">
        <f ca="1"/>
        <v>132.88</v>
      </c>
      <c r="W9" s="30" t="str">
        <f ca="1"/>
        <v/>
      </c>
      <c r="X9" s="30" t="str">
        <f ca="1"/>
        <v/>
      </c>
      <c r="Y9" s="30" t="str">
        <f ca="1"/>
        <v>-51.7099999999999</v>
      </c>
    </row>
    <row r="10" spans="1:25" x14ac:dyDescent="0.45">
      <c r="C10" s="4" t="s">
        <v>40</v>
      </c>
      <c r="D10" s="1"/>
      <c r="E10" s="6"/>
      <c r="F10" s="6"/>
      <c r="G10" s="6"/>
      <c r="H10" s="6"/>
      <c r="I10" s="6"/>
      <c r="J10" s="6"/>
      <c r="K10" s="6"/>
      <c r="L10" s="7">
        <f ca="1">(L8-H8)*10000</f>
        <v>2122.0663292283325</v>
      </c>
      <c r="M10" s="7">
        <f ca="1">(M8-I8)*10000</f>
        <v>334.21864091285113</v>
      </c>
      <c r="N10" s="7">
        <f ca="1">(N8-J8)*10000</f>
        <v>120.99057758520715</v>
      </c>
      <c r="O10" s="7">
        <f ca="1">(O8-K8)*10000</f>
        <v>-416.30393768711917</v>
      </c>
      <c r="Q10" s="25" t="str" cm="1">
        <f t="array" aca="1" ref="Q10:Y13" ca="1">_xlfn.LET(
  _xlpm.d, L21:O21,
  _xlpm.v, L23:O23,
  _xlpm.yy, L24:O24,
  _xlpm.qq, L25:O25,
  _xlpm.dyy, L26:O26,
  _xlpm.dqq, L27:O27,
  _xlpm.dd, TRANSPOSE(_xlpm.d),
  _xlpm.clean, _xlfn.LAMBDA(_xlpm.x, IF(_xlpm.x="","",_xlpm.x)),
_xlfn.HSTACK(
  _xlfn.MAKEARRAY(ROWS(_xlpm.dd),1, _xlfn.LAMBDA(_xlpm.r,_xlpm.c,$B$2)),
  _xlpm.dd,
  _xlfn.MAKEARRAY(ROWS(_xlpm.dd),1, _xlfn.LAMBDA(_xlpm.r,_xlpm.c,A23)),
  _xlfn.MAKEARRAY(ROWS(_xlpm.dd),1, _xlfn.LAMBDA(_xlpm.r,_xlpm.c,B23)),
  CLEAN(TRANSPOSE(_xlpm.v)),
  CLEAN(TRANSPOSE(_xlpm.yy)),
  CLEAN(TRANSPOSE(_xlpm.qq)),
  CLEAN(TRANSPOSE(_xlpm.dyy)),
  CLEAN(TRANSPOSE(_xlpm.dqq))
))</f>
        <v>LH US EQUITY</v>
      </c>
      <c r="R10" s="25">
        <f ca="1"/>
        <v>45747</v>
      </c>
      <c r="S10" s="26" t="str">
        <f ca="1"/>
        <v>canonical</v>
      </c>
      <c r="T10" s="27" t="str">
        <f ca="1"/>
        <v>operating_margin_gaap</v>
      </c>
      <c r="U10" s="31" t="str">
        <f ca="1"/>
        <v>9.7456</v>
      </c>
      <c r="V10" s="30" t="str">
        <f ca="1"/>
        <v>-36.9</v>
      </c>
      <c r="W10" s="30" t="str">
        <f ca="1"/>
        <v/>
      </c>
      <c r="X10" s="30" t="str">
        <f ca="1"/>
        <v/>
      </c>
      <c r="Y10" s="30" t="str">
        <f ca="1"/>
        <v>324.29</v>
      </c>
    </row>
    <row r="11" spans="1:25" x14ac:dyDescent="0.45">
      <c r="C11" s="4" t="s">
        <v>6</v>
      </c>
      <c r="D11" s="1"/>
      <c r="L11" s="13">
        <f t="shared" ref="L11:N11" ca="1" si="3">L7/K7-1</f>
        <v>4.7155643659517743E-3</v>
      </c>
      <c r="M11" s="13">
        <f t="shared" ca="1" si="3"/>
        <v>5.4467728916923308E-2</v>
      </c>
      <c r="N11" s="13">
        <f t="shared" ca="1" si="3"/>
        <v>1.026280724633577E-2</v>
      </c>
      <c r="O11" s="13">
        <f ca="1">O7/N7-1</f>
        <v>-1.3385716290164162E-2</v>
      </c>
      <c r="Q11" s="25" t="str">
        <f ca="1"/>
        <v>LH US EQUITY</v>
      </c>
      <c r="R11" s="25">
        <f ca="1"/>
        <v>45838</v>
      </c>
      <c r="S11" s="26" t="str">
        <f ca="1"/>
        <v>canonical</v>
      </c>
      <c r="T11" s="27" t="str">
        <f ca="1"/>
        <v>operating_margin_gaap</v>
      </c>
      <c r="U11" s="31" t="str">
        <f ca="1"/>
        <v>11.1842</v>
      </c>
      <c r="V11" s="30" t="str">
        <f ca="1"/>
        <v>203.15</v>
      </c>
      <c r="W11" s="30" t="str">
        <f ca="1"/>
        <v/>
      </c>
      <c r="X11" s="30" t="str">
        <f ca="1"/>
        <v/>
      </c>
      <c r="Y11" s="30" t="str">
        <f ca="1"/>
        <v>143.86</v>
      </c>
    </row>
    <row r="12" spans="1:25" x14ac:dyDescent="0.45">
      <c r="Q12" s="25" t="str">
        <f ca="1"/>
        <v>LH US EQUITY</v>
      </c>
      <c r="R12" s="25">
        <f ca="1"/>
        <v>45930</v>
      </c>
      <c r="S12" s="26" t="str">
        <f ca="1"/>
        <v>canonical</v>
      </c>
      <c r="T12" s="27" t="str">
        <f ca="1"/>
        <v>operating_margin_gaap</v>
      </c>
      <c r="U12" s="31" t="str">
        <f ca="1"/>
        <v>11.1295</v>
      </c>
      <c r="V12" s="30" t="str">
        <f ca="1"/>
        <v>338.73</v>
      </c>
      <c r="W12" s="30" t="str">
        <f ca="1"/>
        <v/>
      </c>
      <c r="X12" s="30" t="str">
        <f ca="1"/>
        <v/>
      </c>
      <c r="Y12" s="30" t="str">
        <f ca="1"/>
        <v>-5.47000000000004</v>
      </c>
    </row>
    <row r="13" spans="1:25" x14ac:dyDescent="0.45">
      <c r="C13" s="14" t="s">
        <v>19</v>
      </c>
      <c r="D13" s="15">
        <f ca="1">EOMONTH(DATE(YEAR(D14),ROUNDUP(MONTH(D14)/3,0)*3,1),0)</f>
        <v>45016</v>
      </c>
      <c r="E13" s="15">
        <f ca="1">EOMONTH(DATE(YEAR(E14),ROUNDUP(MONTH(E14)/3,0)*3,1),0)</f>
        <v>45107</v>
      </c>
      <c r="F13" s="15">
        <f t="shared" ref="F13:I13" ca="1" si="4">EOMONTH(DATE(YEAR(F14),ROUNDUP(MONTH(F14)/3,0)*3,1),0)</f>
        <v>45199</v>
      </c>
      <c r="G13" s="15">
        <f t="shared" ca="1" si="4"/>
        <v>45291</v>
      </c>
      <c r="H13" s="15">
        <f t="shared" ca="1" si="4"/>
        <v>45382</v>
      </c>
      <c r="I13" s="15">
        <f t="shared" ca="1" si="4"/>
        <v>45473</v>
      </c>
      <c r="J13" s="15">
        <f t="shared" ref="J13:O13" ca="1" si="5">EOMONTH(DATE(YEAR(J14),ROUNDUP(MONTH(J14)/3,0)*3,1),0)</f>
        <v>45565</v>
      </c>
      <c r="K13" s="15">
        <f t="shared" ca="1" si="5"/>
        <v>45657</v>
      </c>
      <c r="L13" s="15">
        <f t="shared" ca="1" si="5"/>
        <v>45747</v>
      </c>
      <c r="M13" s="15">
        <f t="shared" ca="1" si="5"/>
        <v>45838</v>
      </c>
      <c r="N13" s="15">
        <f t="shared" ca="1" si="5"/>
        <v>45930</v>
      </c>
      <c r="O13" s="15">
        <f t="shared" ca="1" si="5"/>
        <v>46022</v>
      </c>
      <c r="Q13" s="25" t="str">
        <f ca="1"/>
        <v>LH US EQUITY</v>
      </c>
      <c r="R13" s="25">
        <f ca="1"/>
        <v>46022</v>
      </c>
      <c r="S13" s="26" t="str">
        <f ca="1"/>
        <v>canonical</v>
      </c>
      <c r="T13" s="27" t="str">
        <f ca="1"/>
        <v>operating_margin_gaap</v>
      </c>
      <c r="U13" s="31" t="str">
        <f ca="1"/>
        <v>7.6114</v>
      </c>
      <c r="V13" s="30" t="str">
        <f ca="1"/>
        <v>110.87</v>
      </c>
      <c r="W13" s="30" t="str">
        <f ca="1"/>
        <v/>
      </c>
      <c r="X13" s="30" t="str">
        <f ca="1"/>
        <v/>
      </c>
      <c r="Y13" s="30" t="str">
        <f ca="1"/>
        <v>-351.81</v>
      </c>
    </row>
    <row r="14" spans="1:25" x14ac:dyDescent="0.45">
      <c r="D14" s="1" cm="1">
        <f t="array" aca="1" ref="D14:O15" ca="1">+_xll.BDH($B$2,C15,$B$3,$B$4,"DIR=H")</f>
        <v>45016</v>
      </c>
      <c r="E14" s="1">
        <f ca="1"/>
        <v>45107</v>
      </c>
      <c r="F14" s="1">
        <f ca="1"/>
        <v>45199</v>
      </c>
      <c r="G14" s="1">
        <f ca="1"/>
        <v>45291</v>
      </c>
      <c r="H14" s="1">
        <f ca="1"/>
        <v>45382</v>
      </c>
      <c r="I14" s="1">
        <f ca="1"/>
        <v>45473</v>
      </c>
      <c r="J14" s="1">
        <f ca="1"/>
        <v>45565</v>
      </c>
      <c r="K14" s="1">
        <f ca="1"/>
        <v>45657</v>
      </c>
      <c r="L14" s="1">
        <f ca="1"/>
        <v>45747</v>
      </c>
      <c r="M14" s="1">
        <f ca="1"/>
        <v>45838</v>
      </c>
      <c r="N14" s="1">
        <f ca="1"/>
        <v>45930</v>
      </c>
      <c r="O14" s="1">
        <f ca="1"/>
        <v>46022</v>
      </c>
      <c r="Q14" s="25" t="str" cm="1">
        <f t="array" ref="Q14:Y17">_xlfn.LET(
  _xlpm.d, L29:O29,
  _xlpm.v, L31:O31,
  _xlpm.yy, L32:O32,
  _xlpm.qq, L33:O33,
  _xlpm.dyy, L34:O34,
  _xlpm.dqq, L35:O35,
  _xlpm.dd, TRANSPOSE(_xlpm.d),
  _xlpm.clean, _xlfn.LAMBDA(_xlpm.x, IF(_xlpm.x="","",_xlpm.x)),
_xlfn.HSTACK(
  _xlfn.MAKEARRAY(ROWS(_xlpm.dd),1, _xlfn.LAMBDA(_xlpm.r,_xlpm.c,$B$2)),
  _xlpm.dd,
  _xlfn.MAKEARRAY(ROWS(_xlpm.dd),1, _xlfn.LAMBDA(_xlpm.r,_xlpm.c,A31)),
  _xlfn.MAKEARRAY(ROWS(_xlpm.dd),1, _xlfn.LAMBDA(_xlpm.r,_xlpm.c,B31)),
  CLEAN(TRANSPOSE(_xlpm.v)),
  CLEAN(TRANSPOSE(_xlpm.yy)),
  CLEAN(TRANSPOSE(_xlpm.qq)),
  CLEAN(TRANSPOSE(_xlpm.dyy)),
  CLEAN(TRANSPOSE(_xlpm.dqq))
))</f>
        <v>LH US EQUITY</v>
      </c>
      <c r="R14" s="25">
        <v>45747</v>
      </c>
      <c r="S14" s="26" t="str">
        <v>custom</v>
      </c>
      <c r="T14" s="27" t="str">
        <v>organic_yoy</v>
      </c>
      <c r="U14" s="31" t="str">
        <v>0.021</v>
      </c>
      <c r="V14" s="30" t="str">
        <v>-20</v>
      </c>
      <c r="W14" s="30" t="str">
        <v/>
      </c>
      <c r="X14" s="30" t="str">
        <v/>
      </c>
      <c r="Y14" s="30" t="str">
        <v>-330</v>
      </c>
    </row>
    <row r="15" spans="1:25" x14ac:dyDescent="0.45">
      <c r="A15" s="17" t="s">
        <v>16</v>
      </c>
      <c r="B15" s="17" t="s">
        <v>21</v>
      </c>
      <c r="C15" s="9" t="s">
        <v>10</v>
      </c>
      <c r="D15" s="3">
        <f ca="1"/>
        <v>27.984100000000002</v>
      </c>
      <c r="E15" s="3">
        <f ca="1"/>
        <v>27.761500000000002</v>
      </c>
      <c r="F15" s="3">
        <f ca="1"/>
        <v>27.8461</v>
      </c>
      <c r="G15" s="3">
        <f ca="1"/>
        <v>27.0794</v>
      </c>
      <c r="H15" s="3">
        <f ca="1"/>
        <v>28.247199999999999</v>
      </c>
      <c r="I15" s="3">
        <f ca="1"/>
        <v>28.7621</v>
      </c>
      <c r="J15" s="3">
        <f ca="1"/>
        <v>27.5564</v>
      </c>
      <c r="K15" s="3">
        <f ca="1"/>
        <v>26.9208</v>
      </c>
      <c r="L15" s="3">
        <f ca="1"/>
        <v>28.34</v>
      </c>
      <c r="M15" s="3">
        <f ca="1"/>
        <v>29.6601</v>
      </c>
      <c r="N15" s="3">
        <f ca="1"/>
        <v>28.7667</v>
      </c>
      <c r="O15">
        <f ca="1"/>
        <v>28.249600000000001</v>
      </c>
      <c r="Q15" s="25" t="str">
        <v>LH US EQUITY</v>
      </c>
      <c r="R15" s="25">
        <v>45838</v>
      </c>
      <c r="S15" s="26" t="str">
        <v>custom</v>
      </c>
      <c r="T15" s="27" t="str">
        <v>organic_yoy</v>
      </c>
      <c r="U15" s="31" t="str">
        <v>0.054</v>
      </c>
      <c r="V15" s="30" t="str">
        <v>160</v>
      </c>
      <c r="W15" s="30" t="str">
        <v/>
      </c>
      <c r="X15" s="30" t="str">
        <v/>
      </c>
      <c r="Y15" s="30" t="str">
        <v>330</v>
      </c>
    </row>
    <row r="16" spans="1:25" x14ac:dyDescent="0.45">
      <c r="C16" s="4" t="s">
        <v>5</v>
      </c>
      <c r="D16" s="5"/>
      <c r="E16" s="4"/>
      <c r="F16" s="4"/>
      <c r="G16" s="4"/>
      <c r="H16" s="7">
        <f t="shared" ref="H16:N16" ca="1" si="6">(H15-D15)*100</f>
        <v>26.309999999999789</v>
      </c>
      <c r="I16" s="7">
        <f t="shared" ca="1" si="6"/>
        <v>100.05999999999986</v>
      </c>
      <c r="J16" s="7">
        <f t="shared" ca="1" si="6"/>
        <v>-28.969999999999985</v>
      </c>
      <c r="K16" s="7">
        <f t="shared" ca="1" si="6"/>
        <v>-15.859999999999985</v>
      </c>
      <c r="L16" s="7">
        <f t="shared" ca="1" si="6"/>
        <v>9.2800000000000438</v>
      </c>
      <c r="M16" s="7">
        <f t="shared" ca="1" si="6"/>
        <v>89.799999999999969</v>
      </c>
      <c r="N16" s="7">
        <f t="shared" ca="1" si="6"/>
        <v>121.03000000000002</v>
      </c>
      <c r="O16" s="7">
        <f ca="1">(O15-K15)*100</f>
        <v>132.88000000000011</v>
      </c>
      <c r="Q16" s="25" t="str">
        <v>LH US EQUITY</v>
      </c>
      <c r="R16" s="25">
        <v>45930</v>
      </c>
      <c r="S16" s="26" t="str">
        <v>custom</v>
      </c>
      <c r="T16" s="27" t="str">
        <v>organic_yoy</v>
      </c>
      <c r="U16" s="31" t="str">
        <v>0.062</v>
      </c>
      <c r="V16" s="30" t="str">
        <v>200</v>
      </c>
      <c r="W16" s="30" t="str">
        <v/>
      </c>
      <c r="X16" s="30" t="str">
        <v/>
      </c>
      <c r="Y16" s="30" t="str">
        <v>80</v>
      </c>
    </row>
    <row r="17" spans="1:25" x14ac:dyDescent="0.45">
      <c r="C17" s="4" t="s">
        <v>26</v>
      </c>
      <c r="D17" s="1"/>
      <c r="K17" s="7"/>
      <c r="L17" s="7"/>
      <c r="M17" s="7"/>
      <c r="N17" s="7"/>
      <c r="O17" s="7"/>
      <c r="Q17" s="25" t="str">
        <v>LH US EQUITY</v>
      </c>
      <c r="R17" s="25">
        <v>46022</v>
      </c>
      <c r="S17" s="26" t="str">
        <v>custom</v>
      </c>
      <c r="T17" s="27" t="str">
        <v>organic_yoy</v>
      </c>
      <c r="U17" s="31" t="str">
        <v>0.038</v>
      </c>
      <c r="V17" s="30" t="str">
        <v>-160</v>
      </c>
      <c r="W17" s="30" t="str">
        <v/>
      </c>
      <c r="X17" s="30" t="str">
        <v/>
      </c>
      <c r="Y17" s="30" t="str">
        <v>-240</v>
      </c>
    </row>
    <row r="18" spans="1:25" x14ac:dyDescent="0.45">
      <c r="C18" s="4" t="s">
        <v>40</v>
      </c>
      <c r="D18" s="1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Q18" s="25" t="str" cm="1">
        <f t="array" ref="Q18:Y21">_xlfn.LET(
  _xlpm.d, L37:O37,
  _xlpm.v, L39:O39,
  _xlpm.yy, L40:O40,
  _xlpm.qq, L41:O41,
  _xlpm.dyy, L42:O42,
  _xlpm.dqq, L43:O43,
  _xlpm.dd, TRANSPOSE(_xlpm.d),
  _xlpm.clean, _xlfn.LAMBDA(_xlpm.x, IF(_xlpm.x="","",_xlpm.x)),
_xlfn.HSTACK(
  _xlfn.MAKEARRAY(ROWS(_xlpm.dd),1, _xlfn.LAMBDA(_xlpm.r,_xlpm.c,$B$2)),
  _xlpm.dd,
  _xlfn.MAKEARRAY(ROWS(_xlpm.dd),1, _xlfn.LAMBDA(_xlpm.r,_xlpm.c,A39)),
  _xlfn.MAKEARRAY(ROWS(_xlpm.dd),1, _xlfn.LAMBDA(_xlpm.r,_xlpm.c,B39)),
  CLEAN(TRANSPOSE(_xlpm.v)),
  CLEAN(TRANSPOSE(_xlpm.yy)),
  CLEAN(TRANSPOSE(_xlpm.qq)),
  CLEAN(TRANSPOSE(_xlpm.dyy)),
  CLEAN(TRANSPOSE(_xlpm.dqq))
))</f>
        <v>LH US EQUITY</v>
      </c>
      <c r="R18" s="25">
        <v>45747</v>
      </c>
      <c r="S18" s="26" t="str">
        <v>custom</v>
      </c>
      <c r="T18" s="27" t="str">
        <v>dx_organic_volume_yoy</v>
      </c>
      <c r="U18" s="31" t="str">
        <v>0.037</v>
      </c>
      <c r="V18" s="30" t="str">
        <v>140</v>
      </c>
      <c r="W18" s="30" t="str">
        <v/>
      </c>
      <c r="X18" s="30" t="str">
        <v/>
      </c>
      <c r="Y18" s="30" t="str">
        <v>-30</v>
      </c>
    </row>
    <row r="19" spans="1:25" x14ac:dyDescent="0.45">
      <c r="C19" s="4" t="s">
        <v>6</v>
      </c>
      <c r="D19" s="1"/>
      <c r="K19" s="7"/>
      <c r="L19" s="7">
        <f ca="1">(L15-K15)*100</f>
        <v>141.92000000000002</v>
      </c>
      <c r="M19" s="7">
        <f t="shared" ref="M19:O19" ca="1" si="7">(M15-L15)*100</f>
        <v>132.01</v>
      </c>
      <c r="N19" s="7">
        <f t="shared" ca="1" si="7"/>
        <v>-89.339999999999975</v>
      </c>
      <c r="O19" s="7">
        <f t="shared" ca="1" si="7"/>
        <v>-51.709999999999923</v>
      </c>
      <c r="Q19" s="25" t="str">
        <v>LH US EQUITY</v>
      </c>
      <c r="R19" s="25">
        <v>45838</v>
      </c>
      <c r="S19" s="26" t="str">
        <v>custom</v>
      </c>
      <c r="T19" s="27" t="str">
        <v>dx_organic_volume_yoy</v>
      </c>
      <c r="U19" s="31" t="str">
        <v>0.054</v>
      </c>
      <c r="V19" s="30" t="str">
        <v>160</v>
      </c>
      <c r="W19" s="30" t="str">
        <v/>
      </c>
      <c r="X19" s="30" t="str">
        <v/>
      </c>
      <c r="Y19" s="30" t="str">
        <v>170</v>
      </c>
    </row>
    <row r="20" spans="1:25" x14ac:dyDescent="0.45">
      <c r="Q20" s="25" t="str">
        <v>LH US EQUITY</v>
      </c>
      <c r="R20" s="25">
        <v>45930</v>
      </c>
      <c r="S20" s="26" t="str">
        <v>custom</v>
      </c>
      <c r="T20" s="27" t="str">
        <v>dx_organic_volume_yoy</v>
      </c>
      <c r="U20" s="31" t="str">
        <v>0.035</v>
      </c>
      <c r="V20" s="30" t="str">
        <v>130</v>
      </c>
      <c r="W20" s="30" t="str">
        <v/>
      </c>
      <c r="X20" s="30" t="str">
        <v/>
      </c>
      <c r="Y20" s="30" t="str">
        <v>-190</v>
      </c>
    </row>
    <row r="21" spans="1:25" x14ac:dyDescent="0.45">
      <c r="C21" s="14" t="s">
        <v>19</v>
      </c>
      <c r="D21" s="15">
        <f ca="1">EOMONTH(DATE(YEAR(D22),ROUNDUP(MONTH(D22)/3,0)*3,1),0)</f>
        <v>45016</v>
      </c>
      <c r="E21" s="15">
        <f ca="1">EOMONTH(DATE(YEAR(E22),ROUNDUP(MONTH(E22)/3,0)*3,1),0)</f>
        <v>45107</v>
      </c>
      <c r="F21" s="15">
        <f t="shared" ref="F21:I21" ca="1" si="8">EOMONTH(DATE(YEAR(F22),ROUNDUP(MONTH(F22)/3,0)*3,1),0)</f>
        <v>45199</v>
      </c>
      <c r="G21" s="15">
        <f t="shared" ca="1" si="8"/>
        <v>45291</v>
      </c>
      <c r="H21" s="15">
        <f t="shared" ca="1" si="8"/>
        <v>45382</v>
      </c>
      <c r="I21" s="15">
        <f t="shared" ca="1" si="8"/>
        <v>45473</v>
      </c>
      <c r="J21" s="15">
        <f t="shared" ref="J21:O21" ca="1" si="9">EOMONTH(DATE(YEAR(J22),ROUNDUP(MONTH(J22)/3,0)*3,1),0)</f>
        <v>45565</v>
      </c>
      <c r="K21" s="15">
        <f t="shared" ca="1" si="9"/>
        <v>45657</v>
      </c>
      <c r="L21" s="15">
        <f t="shared" ca="1" si="9"/>
        <v>45747</v>
      </c>
      <c r="M21" s="15">
        <f t="shared" ca="1" si="9"/>
        <v>45838</v>
      </c>
      <c r="N21" s="15">
        <f t="shared" ca="1" si="9"/>
        <v>45930</v>
      </c>
      <c r="O21" s="15">
        <f t="shared" ca="1" si="9"/>
        <v>46022</v>
      </c>
      <c r="Q21" s="25" t="str">
        <v>LH US EQUITY</v>
      </c>
      <c r="R21" s="25">
        <v>46022</v>
      </c>
      <c r="S21" s="26" t="str">
        <v>custom</v>
      </c>
      <c r="T21" s="27" t="str">
        <v>dx_organic_volume_yoy</v>
      </c>
      <c r="U21" s="31" t="str">
        <v>0.011</v>
      </c>
      <c r="V21" s="30" t="str">
        <v>-290</v>
      </c>
      <c r="W21" s="30" t="str">
        <v/>
      </c>
      <c r="X21" s="30" t="str">
        <v/>
      </c>
      <c r="Y21" s="30" t="str">
        <v>-240</v>
      </c>
    </row>
    <row r="22" spans="1:25" x14ac:dyDescent="0.45">
      <c r="D22" s="1" cm="1">
        <f t="array" aca="1" ref="D22:O23" ca="1">+_xll.BDH($B$2,C23,$B$3,$B$4,"DIR=H")</f>
        <v>45016</v>
      </c>
      <c r="E22" s="1">
        <f ca="1"/>
        <v>45107</v>
      </c>
      <c r="F22" s="1">
        <f ca="1"/>
        <v>45199</v>
      </c>
      <c r="G22" s="1">
        <f ca="1"/>
        <v>45291</v>
      </c>
      <c r="H22" s="1">
        <f ca="1"/>
        <v>45382</v>
      </c>
      <c r="I22" s="1">
        <f ca="1"/>
        <v>45473</v>
      </c>
      <c r="J22" s="1">
        <f ca="1"/>
        <v>45565</v>
      </c>
      <c r="K22" s="1">
        <f ca="1"/>
        <v>45657</v>
      </c>
      <c r="L22" s="1">
        <f ca="1"/>
        <v>45747</v>
      </c>
      <c r="M22" s="1">
        <f ca="1"/>
        <v>45838</v>
      </c>
      <c r="N22" s="1">
        <f ca="1"/>
        <v>45930</v>
      </c>
      <c r="O22" s="1">
        <f ca="1"/>
        <v>46022</v>
      </c>
      <c r="Q22" s="25"/>
      <c r="R22" s="25"/>
      <c r="S22" s="26"/>
      <c r="T22" s="27"/>
      <c r="U22" s="28"/>
      <c r="V22" s="29"/>
      <c r="W22" s="30"/>
      <c r="X22" s="29"/>
      <c r="Y22" s="30"/>
    </row>
    <row r="23" spans="1:25" x14ac:dyDescent="0.45">
      <c r="A23" s="17" t="s">
        <v>16</v>
      </c>
      <c r="B23" s="17" t="s">
        <v>22</v>
      </c>
      <c r="C23" s="9" t="s">
        <v>11</v>
      </c>
      <c r="D23" s="3">
        <f ca="1"/>
        <v>10.8565</v>
      </c>
      <c r="E23" s="3">
        <f ca="1"/>
        <v>8.7781000000000002</v>
      </c>
      <c r="F23" s="3">
        <f ca="1"/>
        <v>8.2537000000000003</v>
      </c>
      <c r="G23" s="3">
        <f ca="1"/>
        <v>-4.0484</v>
      </c>
      <c r="H23" s="3">
        <f ca="1"/>
        <v>10.114599999999999</v>
      </c>
      <c r="I23" s="3">
        <f ca="1"/>
        <v>9.1526999999999994</v>
      </c>
      <c r="J23" s="3">
        <f ca="1"/>
        <v>7.7422000000000004</v>
      </c>
      <c r="K23" s="3">
        <f ca="1"/>
        <v>6.5026999999999999</v>
      </c>
      <c r="L23" s="3">
        <f ca="1"/>
        <v>9.7455999999999996</v>
      </c>
      <c r="M23" s="3">
        <f ca="1"/>
        <v>11.184200000000001</v>
      </c>
      <c r="N23" s="3">
        <f ca="1"/>
        <v>11.1295</v>
      </c>
      <c r="O23">
        <f ca="1"/>
        <v>7.6113999999999997</v>
      </c>
      <c r="Q23" s="25"/>
      <c r="R23" s="25"/>
      <c r="S23" s="26"/>
      <c r="T23" s="27"/>
      <c r="U23" s="28"/>
      <c r="V23" s="29"/>
      <c r="W23" s="30"/>
      <c r="X23" s="29"/>
      <c r="Y23" s="30"/>
    </row>
    <row r="24" spans="1:25" x14ac:dyDescent="0.45">
      <c r="C24" s="4" t="s">
        <v>5</v>
      </c>
      <c r="D24" s="5"/>
      <c r="E24" s="4"/>
      <c r="F24" s="4"/>
      <c r="G24" s="4"/>
      <c r="H24" s="7">
        <f t="shared" ref="H24" ca="1" si="10">(H23-D23)*100</f>
        <v>-74.190000000000111</v>
      </c>
      <c r="I24" s="7">
        <f t="shared" ref="I24" ca="1" si="11">(I23-E23)*100</f>
        <v>37.459999999999916</v>
      </c>
      <c r="J24" s="7">
        <f t="shared" ref="J24" ca="1" si="12">(J23-F23)*100</f>
        <v>-51.149999999999984</v>
      </c>
      <c r="K24" s="7">
        <f t="shared" ref="K24" ca="1" si="13">(K23-G23)*100</f>
        <v>1055.1099999999999</v>
      </c>
      <c r="L24" s="7">
        <f t="shared" ref="L24" ca="1" si="14">(L23-H23)*100</f>
        <v>-36.899999999999977</v>
      </c>
      <c r="M24" s="7">
        <f t="shared" ref="M24" ca="1" si="15">(M23-I23)*100</f>
        <v>203.15000000000012</v>
      </c>
      <c r="N24" s="7">
        <f t="shared" ref="N24" ca="1" si="16">(N23-J23)*100</f>
        <v>338.72999999999996</v>
      </c>
      <c r="O24" s="7">
        <f ca="1">(O23-K23)*100</f>
        <v>110.86999999999998</v>
      </c>
      <c r="Q24" s="25"/>
      <c r="R24" s="25"/>
      <c r="S24" s="26"/>
      <c r="T24" s="27"/>
      <c r="U24" s="28"/>
      <c r="V24" s="29"/>
      <c r="W24" s="30"/>
      <c r="X24" s="29"/>
      <c r="Y24" s="30"/>
    </row>
    <row r="25" spans="1:25" x14ac:dyDescent="0.45">
      <c r="C25" s="4" t="s">
        <v>26</v>
      </c>
      <c r="D25" s="1"/>
      <c r="K25" s="7"/>
      <c r="L25" s="7"/>
      <c r="M25" s="7"/>
      <c r="N25" s="7"/>
      <c r="O25" s="7"/>
      <c r="Q25" s="25"/>
      <c r="R25" s="25"/>
      <c r="S25" s="26"/>
      <c r="T25" s="27"/>
      <c r="U25" s="28"/>
      <c r="V25" s="29"/>
      <c r="W25" s="30"/>
      <c r="X25" s="29"/>
      <c r="Y25" s="30"/>
    </row>
    <row r="26" spans="1:25" x14ac:dyDescent="0.45">
      <c r="C26" s="4" t="s">
        <v>40</v>
      </c>
      <c r="D26" s="1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Q26" s="25"/>
      <c r="R26" s="25"/>
      <c r="S26" s="26"/>
      <c r="T26" s="27"/>
      <c r="U26" s="28"/>
      <c r="V26" s="29"/>
      <c r="W26" s="30"/>
      <c r="X26" s="29"/>
      <c r="Y26" s="30"/>
    </row>
    <row r="27" spans="1:25" x14ac:dyDescent="0.45">
      <c r="C27" s="4" t="s">
        <v>6</v>
      </c>
      <c r="D27" s="1"/>
      <c r="K27" s="7"/>
      <c r="L27" s="7">
        <f ca="1">(L23-K23)*100</f>
        <v>324.28999999999996</v>
      </c>
      <c r="M27" s="7">
        <f t="shared" ref="M27:O27" ca="1" si="17">(M23-L23)*100</f>
        <v>143.8600000000001</v>
      </c>
      <c r="N27" s="7">
        <f t="shared" ca="1" si="17"/>
        <v>-5.4700000000000415</v>
      </c>
      <c r="O27" s="7">
        <f t="shared" ca="1" si="17"/>
        <v>-351.81000000000006</v>
      </c>
      <c r="Q27" s="25"/>
      <c r="R27" s="25"/>
      <c r="S27" s="26"/>
      <c r="T27" s="27"/>
      <c r="U27" s="28"/>
      <c r="V27" s="29"/>
      <c r="W27" s="30"/>
      <c r="X27" s="29"/>
      <c r="Y27" s="30"/>
    </row>
    <row r="28" spans="1:25" x14ac:dyDescent="0.45">
      <c r="C28" s="4"/>
      <c r="D28" s="1"/>
      <c r="K28" s="7"/>
      <c r="L28" s="7"/>
      <c r="M28" s="7"/>
      <c r="N28" s="7"/>
      <c r="O28" s="7"/>
      <c r="Q28" s="25"/>
      <c r="R28" s="25"/>
      <c r="S28" s="26"/>
      <c r="T28" s="27"/>
      <c r="U28" s="28"/>
      <c r="V28" s="29"/>
      <c r="W28" s="30"/>
      <c r="X28" s="29"/>
      <c r="Y28" s="30"/>
    </row>
    <row r="29" spans="1:25" x14ac:dyDescent="0.45">
      <c r="C29" s="14" t="s">
        <v>19</v>
      </c>
      <c r="D29" s="15"/>
      <c r="E29" s="15"/>
      <c r="F29" s="15"/>
      <c r="G29" s="15">
        <f t="shared" ref="G29" si="18">EOMONTH(DATE(YEAR(G30),ROUNDUP(MONTH(G30)/3,0)*3,1),0)</f>
        <v>45291</v>
      </c>
      <c r="H29" s="15">
        <f t="shared" ref="H29" si="19">EOMONTH(DATE(YEAR(H30),ROUNDUP(MONTH(H30)/3,0)*3,1),0)</f>
        <v>45382</v>
      </c>
      <c r="I29" s="15">
        <f t="shared" ref="I29:L29" si="20">EOMONTH(DATE(YEAR(I30),ROUNDUP(MONTH(I30)/3,0)*3,1),0)</f>
        <v>45473</v>
      </c>
      <c r="J29" s="15">
        <f t="shared" si="20"/>
        <v>45565</v>
      </c>
      <c r="K29" s="15">
        <f t="shared" si="20"/>
        <v>45657</v>
      </c>
      <c r="L29" s="15">
        <f t="shared" si="20"/>
        <v>45747</v>
      </c>
      <c r="M29" s="15">
        <f>EOMONTH(DATE(YEAR(M30),ROUNDUP(MONTH(M30)/3,0)*3,1),0)</f>
        <v>45838</v>
      </c>
      <c r="N29" s="15">
        <f>EOMONTH(DATE(YEAR(N30),ROUNDUP(MONTH(N30)/3,0)*3,1),0)</f>
        <v>45930</v>
      </c>
      <c r="O29" s="15">
        <f>EOMONTH(DATE(YEAR(O30),ROUNDUP(MONTH(O30)/3,0)*3,1),0)</f>
        <v>46022</v>
      </c>
      <c r="Q29" s="25"/>
      <c r="R29" s="25"/>
      <c r="S29" s="26"/>
      <c r="T29" s="27"/>
      <c r="U29" s="28"/>
      <c r="V29" s="29"/>
      <c r="W29" s="30"/>
      <c r="X29" s="29"/>
      <c r="Y29" s="30"/>
    </row>
    <row r="30" spans="1:25" x14ac:dyDescent="0.45">
      <c r="D30" s="2"/>
      <c r="E30" s="2"/>
      <c r="F30" s="2"/>
      <c r="G30" s="2">
        <v>45291</v>
      </c>
      <c r="H30" s="2">
        <v>45382</v>
      </c>
      <c r="I30" s="2">
        <v>45473</v>
      </c>
      <c r="J30" s="2">
        <v>45565</v>
      </c>
      <c r="K30" s="2">
        <v>45657</v>
      </c>
      <c r="L30" s="2">
        <v>45747</v>
      </c>
      <c r="M30" s="2">
        <v>45838</v>
      </c>
      <c r="N30" s="2">
        <v>45930</v>
      </c>
      <c r="O30" s="2">
        <v>46022</v>
      </c>
      <c r="Q30" s="25"/>
      <c r="R30" s="25"/>
      <c r="S30" s="26"/>
      <c r="T30" s="27"/>
      <c r="U30" s="28"/>
      <c r="V30" s="29"/>
      <c r="W30" s="30"/>
      <c r="X30" s="29"/>
      <c r="Y30" s="30"/>
    </row>
    <row r="31" spans="1:25" x14ac:dyDescent="0.45">
      <c r="A31" s="17" t="s">
        <v>28</v>
      </c>
      <c r="B31" s="17" t="s">
        <v>36</v>
      </c>
      <c r="C31" s="2" t="s">
        <v>13</v>
      </c>
      <c r="D31" s="10"/>
      <c r="E31" s="10"/>
      <c r="F31" s="10"/>
      <c r="G31" s="32">
        <v>1.4999999999999999E-2</v>
      </c>
      <c r="H31" s="32">
        <v>2.3E-2</v>
      </c>
      <c r="I31" s="32">
        <v>3.7999999999999999E-2</v>
      </c>
      <c r="J31" s="32">
        <v>4.2000000000000003E-2</v>
      </c>
      <c r="K31" s="32">
        <v>5.3999999999999999E-2</v>
      </c>
      <c r="L31" s="32">
        <v>2.1000000000000001E-2</v>
      </c>
      <c r="M31" s="32">
        <v>5.3999999999999999E-2</v>
      </c>
      <c r="N31" s="32">
        <v>6.2E-2</v>
      </c>
      <c r="O31" s="32">
        <v>3.7999999999999999E-2</v>
      </c>
      <c r="Q31" s="25"/>
      <c r="R31" s="25"/>
      <c r="S31" s="26"/>
      <c r="T31" s="27"/>
      <c r="U31" s="28"/>
      <c r="V31" s="29"/>
      <c r="W31" s="30"/>
      <c r="X31" s="29"/>
      <c r="Y31" s="30"/>
    </row>
    <row r="32" spans="1:25" x14ac:dyDescent="0.45">
      <c r="C32" s="4" t="s">
        <v>5</v>
      </c>
      <c r="D32" s="5"/>
      <c r="E32" s="4"/>
      <c r="F32" s="4"/>
      <c r="G32" s="4"/>
      <c r="H32" s="7"/>
      <c r="I32" s="7"/>
      <c r="J32" s="7"/>
      <c r="K32" s="7">
        <f t="shared" ref="K32" si="21">(K31-G31)*100</f>
        <v>3.9</v>
      </c>
      <c r="L32" s="7">
        <f t="shared" ref="L32:N32" si="22">(L31-H31)*10000</f>
        <v>-19.999999999999982</v>
      </c>
      <c r="M32" s="7">
        <f t="shared" si="22"/>
        <v>160</v>
      </c>
      <c r="N32" s="7">
        <f t="shared" si="22"/>
        <v>199.99999999999997</v>
      </c>
      <c r="O32" s="7">
        <f>(O31-K31)*10000</f>
        <v>-160</v>
      </c>
      <c r="Q32" s="25"/>
      <c r="R32" s="25"/>
      <c r="S32" s="26"/>
      <c r="T32" s="27"/>
      <c r="U32" s="28"/>
      <c r="V32" s="29"/>
      <c r="W32" s="30"/>
      <c r="X32" s="29"/>
      <c r="Y32" s="30"/>
    </row>
    <row r="33" spans="1:25" x14ac:dyDescent="0.45">
      <c r="C33" s="4" t="s">
        <v>26</v>
      </c>
      <c r="D33" s="1"/>
      <c r="K33" s="7"/>
      <c r="L33" s="7"/>
      <c r="M33" s="7"/>
      <c r="N33" s="7"/>
      <c r="O33" s="7"/>
      <c r="Q33" s="25"/>
      <c r="R33" s="25"/>
      <c r="S33" s="26"/>
      <c r="T33" s="27"/>
      <c r="U33" s="28"/>
      <c r="V33" s="29"/>
      <c r="W33" s="30"/>
      <c r="X33" s="29"/>
      <c r="Y33" s="30"/>
    </row>
    <row r="34" spans="1:25" x14ac:dyDescent="0.45">
      <c r="C34" s="4" t="s">
        <v>40</v>
      </c>
      <c r="D34" s="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</row>
    <row r="35" spans="1:25" x14ac:dyDescent="0.45">
      <c r="C35" s="4" t="s">
        <v>6</v>
      </c>
      <c r="D35" s="1"/>
      <c r="K35" s="7"/>
      <c r="L35" s="7">
        <f>(L31-K31)*10000</f>
        <v>-330</v>
      </c>
      <c r="M35" s="7">
        <f t="shared" ref="M35:O35" si="23">(M31-L31)*10000</f>
        <v>330</v>
      </c>
      <c r="N35" s="7">
        <f t="shared" si="23"/>
        <v>80</v>
      </c>
      <c r="O35" s="7">
        <f t="shared" si="23"/>
        <v>-240</v>
      </c>
    </row>
    <row r="36" spans="1:25" x14ac:dyDescent="0.45">
      <c r="C36" s="4"/>
      <c r="D36" s="1"/>
      <c r="K36" s="7"/>
      <c r="L36" s="7"/>
      <c r="M36" s="7"/>
      <c r="N36" s="7"/>
      <c r="O36" s="7"/>
    </row>
    <row r="37" spans="1:25" x14ac:dyDescent="0.45">
      <c r="C37" s="14" t="s">
        <v>19</v>
      </c>
      <c r="D37" s="15"/>
      <c r="E37" s="15"/>
      <c r="F37" s="15"/>
      <c r="G37" s="15">
        <f t="shared" ref="G37" si="24">EOMONTH(DATE(YEAR(G38),ROUNDUP(MONTH(G38)/3,0)*3,1),0)</f>
        <v>45291</v>
      </c>
      <c r="H37" s="15">
        <f t="shared" ref="H37" si="25">EOMONTH(DATE(YEAR(H38),ROUNDUP(MONTH(H38)/3,0)*3,1),0)</f>
        <v>45382</v>
      </c>
      <c r="I37" s="15">
        <f t="shared" ref="I37:L37" si="26">EOMONTH(DATE(YEAR(I38),ROUNDUP(MONTH(I38)/3,0)*3,1),0)</f>
        <v>45473</v>
      </c>
      <c r="J37" s="15">
        <f t="shared" si="26"/>
        <v>45565</v>
      </c>
      <c r="K37" s="15">
        <f t="shared" si="26"/>
        <v>45657</v>
      </c>
      <c r="L37" s="15">
        <f t="shared" si="26"/>
        <v>45747</v>
      </c>
      <c r="M37" s="15">
        <f>EOMONTH(DATE(YEAR(M38),ROUNDUP(MONTH(M38)/3,0)*3,1),0)</f>
        <v>45838</v>
      </c>
      <c r="N37" s="15">
        <f>EOMONTH(DATE(YEAR(N38),ROUNDUP(MONTH(N38)/3,0)*3,1),0)</f>
        <v>45930</v>
      </c>
      <c r="O37" s="15">
        <f>EOMONTH(DATE(YEAR(O38),ROUNDUP(MONTH(O38)/3,0)*3,1),0)</f>
        <v>46022</v>
      </c>
    </row>
    <row r="38" spans="1:25" x14ac:dyDescent="0.45">
      <c r="D38" s="2"/>
      <c r="E38" s="2"/>
      <c r="F38" s="2"/>
      <c r="G38" s="2">
        <v>45291</v>
      </c>
      <c r="H38" s="2">
        <v>45382</v>
      </c>
      <c r="I38" s="2">
        <v>45473</v>
      </c>
      <c r="J38" s="2">
        <v>45565</v>
      </c>
      <c r="K38" s="2">
        <v>45657</v>
      </c>
      <c r="L38" s="2">
        <v>45747</v>
      </c>
      <c r="M38" s="2">
        <v>45838</v>
      </c>
      <c r="N38" s="2">
        <v>45930</v>
      </c>
      <c r="O38" s="2">
        <v>46022</v>
      </c>
    </row>
    <row r="39" spans="1:25" x14ac:dyDescent="0.45">
      <c r="A39" s="17" t="s">
        <v>28</v>
      </c>
      <c r="B39" s="17" t="s">
        <v>37</v>
      </c>
      <c r="C39" s="2" t="s">
        <v>14</v>
      </c>
      <c r="D39" s="10"/>
      <c r="E39" s="10"/>
      <c r="F39" s="10"/>
      <c r="G39" s="32">
        <v>1.4999999999999999E-2</v>
      </c>
      <c r="H39" s="32">
        <v>2.3E-2</v>
      </c>
      <c r="I39" s="32">
        <v>3.7999999999999999E-2</v>
      </c>
      <c r="J39" s="32">
        <v>2.1999999999999999E-2</v>
      </c>
      <c r="K39" s="32">
        <v>0.04</v>
      </c>
      <c r="L39" s="32">
        <v>3.6999999999999998E-2</v>
      </c>
      <c r="M39" s="32">
        <v>5.3999999999999999E-2</v>
      </c>
      <c r="N39" s="32">
        <v>3.5000000000000003E-2</v>
      </c>
      <c r="O39" s="32">
        <v>1.0999999999999999E-2</v>
      </c>
    </row>
    <row r="40" spans="1:25" x14ac:dyDescent="0.45">
      <c r="C40" s="4" t="s">
        <v>5</v>
      </c>
      <c r="D40" s="5"/>
      <c r="E40" s="4"/>
      <c r="F40" s="4"/>
      <c r="G40" s="4"/>
      <c r="H40" s="7"/>
      <c r="I40" s="7"/>
      <c r="J40" s="7"/>
      <c r="K40" s="7">
        <f t="shared" ref="K40" si="27">(K39-G39)*100</f>
        <v>2.5</v>
      </c>
      <c r="L40" s="7">
        <f t="shared" ref="L40" si="28">(L39-H39)*10000</f>
        <v>139.99999999999997</v>
      </c>
      <c r="M40" s="7">
        <f t="shared" ref="M40" si="29">(M39-I39)*10000</f>
        <v>160</v>
      </c>
      <c r="N40" s="7">
        <f t="shared" ref="N40" si="30">(N39-J39)*10000</f>
        <v>130.00000000000006</v>
      </c>
      <c r="O40" s="7">
        <f>(O39-K39)*10000</f>
        <v>-290</v>
      </c>
    </row>
    <row r="41" spans="1:25" x14ac:dyDescent="0.45">
      <c r="C41" s="4" t="s">
        <v>26</v>
      </c>
      <c r="D41" s="1"/>
      <c r="K41" s="7"/>
      <c r="L41" s="7"/>
      <c r="M41" s="7"/>
      <c r="N41" s="7"/>
      <c r="O41" s="7"/>
    </row>
    <row r="42" spans="1:25" x14ac:dyDescent="0.45">
      <c r="C42" s="4" t="s">
        <v>40</v>
      </c>
      <c r="D42" s="1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</row>
    <row r="43" spans="1:25" x14ac:dyDescent="0.45">
      <c r="C43" s="4" t="s">
        <v>6</v>
      </c>
      <c r="D43" s="1"/>
      <c r="K43" s="7"/>
      <c r="L43" s="7">
        <f>(L39-K39)*10000</f>
        <v>-30.000000000000028</v>
      </c>
      <c r="M43" s="7">
        <f t="shared" ref="M43:O43" si="31">(M39-L39)*10000</f>
        <v>170</v>
      </c>
      <c r="N43" s="7">
        <f t="shared" si="31"/>
        <v>-189.99999999999997</v>
      </c>
      <c r="O43" s="7">
        <f t="shared" si="31"/>
        <v>-240.00000000000003</v>
      </c>
    </row>
    <row r="44" spans="1:25" x14ac:dyDescent="0.45">
      <c r="C44" s="4"/>
      <c r="D44" s="1"/>
      <c r="L44" s="7"/>
      <c r="M44" s="7"/>
      <c r="N44" s="7"/>
      <c r="O44" s="7"/>
    </row>
    <row r="45" spans="1:25" x14ac:dyDescent="0.45">
      <c r="C45" s="14" t="s">
        <v>19</v>
      </c>
      <c r="D45" s="15"/>
      <c r="E45" s="15"/>
      <c r="F45" s="15"/>
      <c r="G45" s="15">
        <f t="shared" ref="G45" si="32">EOMONTH(DATE(YEAR(G46),ROUNDUP(MONTH(G46)/3,0)*3,1),0)</f>
        <v>45291</v>
      </c>
      <c r="H45" s="15">
        <f t="shared" ref="H45" si="33">EOMONTH(DATE(YEAR(H46),ROUNDUP(MONTH(H46)/3,0)*3,1),0)</f>
        <v>45382</v>
      </c>
      <c r="I45" s="15">
        <f t="shared" ref="I45" si="34">EOMONTH(DATE(YEAR(I46),ROUNDUP(MONTH(I46)/3,0)*3,1),0)</f>
        <v>45473</v>
      </c>
      <c r="J45" s="15">
        <f t="shared" ref="J45" si="35">EOMONTH(DATE(YEAR(J46),ROUNDUP(MONTH(J46)/3,0)*3,1),0)</f>
        <v>45565</v>
      </c>
      <c r="K45" s="15">
        <f t="shared" ref="K45" si="36">EOMONTH(DATE(YEAR(K46),ROUNDUP(MONTH(K46)/3,0)*3,1),0)</f>
        <v>45657</v>
      </c>
      <c r="L45" s="15">
        <f t="shared" ref="L45" si="37">EOMONTH(DATE(YEAR(L46),ROUNDUP(MONTH(L46)/3,0)*3,1),0)</f>
        <v>45747</v>
      </c>
      <c r="M45" s="15">
        <f>EOMONTH(DATE(YEAR(M46),ROUNDUP(MONTH(M46)/3,0)*3,1),0)</f>
        <v>45838</v>
      </c>
      <c r="N45" s="15">
        <f>EOMONTH(DATE(YEAR(N46),ROUNDUP(MONTH(N46)/3,0)*3,1),0)</f>
        <v>45930</v>
      </c>
      <c r="O45" s="15">
        <f>EOMONTH(DATE(YEAR(O46),ROUNDUP(MONTH(O46)/3,0)*3,1),0)</f>
        <v>46022</v>
      </c>
    </row>
    <row r="46" spans="1:25" x14ac:dyDescent="0.45">
      <c r="D46" s="2"/>
      <c r="E46" s="2"/>
      <c r="F46" s="2"/>
      <c r="G46" s="2">
        <v>45291</v>
      </c>
      <c r="H46" s="2">
        <v>45382</v>
      </c>
      <c r="I46" s="2">
        <v>45473</v>
      </c>
      <c r="J46" s="2">
        <v>45565</v>
      </c>
      <c r="K46" s="2">
        <v>45657</v>
      </c>
      <c r="L46" s="2">
        <v>45747</v>
      </c>
      <c r="M46" s="2">
        <v>45838</v>
      </c>
      <c r="N46" s="2">
        <v>45930</v>
      </c>
      <c r="O46" s="2">
        <v>46022</v>
      </c>
    </row>
    <row r="47" spans="1:25" x14ac:dyDescent="0.45">
      <c r="A47" s="17" t="s">
        <v>28</v>
      </c>
      <c r="B47" s="17" t="s">
        <v>38</v>
      </c>
      <c r="C47" s="9" t="s">
        <v>39</v>
      </c>
      <c r="D47" s="10"/>
      <c r="E47" s="10"/>
      <c r="F47" s="10"/>
      <c r="G47" s="32">
        <v>3.2000000000000001E-2</v>
      </c>
      <c r="H47" s="32">
        <v>6.0000000000000001E-3</v>
      </c>
      <c r="I47" s="32">
        <v>2.1000000000000001E-2</v>
      </c>
      <c r="J47" s="32">
        <v>3.7999999999999999E-2</v>
      </c>
      <c r="K47" s="32">
        <v>3.4000000000000002E-2</v>
      </c>
      <c r="L47" s="32">
        <v>0.03</v>
      </c>
      <c r="M47" s="11">
        <v>0.04</v>
      </c>
      <c r="N47" s="11">
        <v>3.6999999999999998E-2</v>
      </c>
      <c r="O47" s="11">
        <v>3.3000000000000002E-2</v>
      </c>
    </row>
    <row r="48" spans="1:25" x14ac:dyDescent="0.45">
      <c r="C48" s="4" t="s">
        <v>5</v>
      </c>
      <c r="D48" s="5"/>
      <c r="E48" s="4"/>
      <c r="F48" s="4"/>
      <c r="G48" s="4"/>
      <c r="H48" s="7"/>
      <c r="I48" s="7"/>
      <c r="J48" s="7"/>
      <c r="K48" s="7">
        <f t="shared" ref="K48" si="38">(K47-G47)*100</f>
        <v>0.20000000000000018</v>
      </c>
      <c r="L48" s="7">
        <f t="shared" ref="L48" si="39">(L47-H47)*10000</f>
        <v>240</v>
      </c>
      <c r="M48" s="7">
        <f t="shared" ref="M48" si="40">(M47-I47)*10000</f>
        <v>190</v>
      </c>
      <c r="N48" s="7">
        <f t="shared" ref="N48" si="41">(N47-J47)*10000</f>
        <v>-10.000000000000009</v>
      </c>
      <c r="O48" s="7">
        <f>(O47-K47)*10000</f>
        <v>-10.000000000000009</v>
      </c>
    </row>
    <row r="49" spans="3:15" x14ac:dyDescent="0.45">
      <c r="C49" s="4" t="s">
        <v>26</v>
      </c>
      <c r="D49" s="1"/>
      <c r="K49" s="7"/>
      <c r="L49" s="7"/>
      <c r="M49" s="7"/>
      <c r="N49" s="7"/>
      <c r="O49" s="7"/>
    </row>
    <row r="50" spans="3:15" x14ac:dyDescent="0.45">
      <c r="C50" s="4" t="s">
        <v>40</v>
      </c>
      <c r="D50" s="1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</row>
    <row r="51" spans="3:15" x14ac:dyDescent="0.45">
      <c r="C51" s="4" t="s">
        <v>6</v>
      </c>
      <c r="D51" s="1"/>
      <c r="K51" s="7"/>
      <c r="L51" s="7">
        <f>(L47-K47)*10000</f>
        <v>-40.000000000000036</v>
      </c>
      <c r="M51" s="7">
        <f t="shared" ref="M51:O51" si="42">(M47-L47)*10000</f>
        <v>100.00000000000001</v>
      </c>
      <c r="N51" s="7">
        <f t="shared" si="42"/>
        <v>-30.000000000000028</v>
      </c>
      <c r="O51" s="7">
        <f t="shared" si="42"/>
        <v>-39.999999999999964</v>
      </c>
    </row>
    <row r="52" spans="3:15" x14ac:dyDescent="0.45">
      <c r="C52" s="4"/>
      <c r="D52" s="1"/>
      <c r="L52" s="7"/>
      <c r="M52" s="7"/>
      <c r="N52" s="7"/>
      <c r="O52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BIO</vt:lpstr>
      <vt:lpstr>DGX</vt:lpstr>
      <vt:lpstr>LH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Yuuji Anderson</dc:creator>
  <cp:lastModifiedBy>Yuuji Anderson</cp:lastModifiedBy>
  <dcterms:created xsi:type="dcterms:W3CDTF">2026-02-26T16:05:26Z</dcterms:created>
  <dcterms:modified xsi:type="dcterms:W3CDTF">2026-02-28T03:15:32Z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