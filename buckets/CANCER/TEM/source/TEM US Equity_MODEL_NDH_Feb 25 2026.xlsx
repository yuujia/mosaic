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ujiAnderson\Dropbox\Kaissa Consumer\Mosaic\buckets\CANCER\TEM\source\"/>
    </mc:Choice>
  </mc:AlternateContent>
  <xr:revisionPtr revIDLastSave="0" documentId="8_{91766289-8D95-4A4E-A110-5A65B4AC5FFA}" xr6:coauthVersionLast="47" xr6:coauthVersionMax="47" xr10:uidLastSave="{00000000-0000-0000-0000-000000000000}"/>
  <bookViews>
    <workbookView xWindow="-120" yWindow="-120" windowWidth="29040" windowHeight="15720" activeTab="1" xr2:uid="{193DB8EA-4314-4388-845E-6DCCC09C1013}"/>
  </bookViews>
  <sheets>
    <sheet name="Comparison" sheetId="5" r:id="rId1"/>
    <sheet name="IS" sheetId="2" r:id="rId2"/>
    <sheet name="BS" sheetId="3" r:id="rId3"/>
    <sheet name="CF" sheetId="4" r:id="rId4"/>
    <sheet name="Diagnostics" sheetId="8" r:id="rId5"/>
    <sheet name="Data &amp; Other" sheetId="9" r:id="rId6"/>
    <sheet name="Valuation" sheetId="7" r:id="rId7"/>
    <sheet name="DCF" sheetId="11" r:id="rId8"/>
    <sheet name="Comps" sheetId="10" r:id="rId9"/>
  </sheets>
  <externalReferences>
    <externalReference r:id="rId10"/>
    <externalReference r:id="rId11"/>
    <externalReference r:id="rId12"/>
  </externalReferences>
  <definedNames>
    <definedName name="__FDS_HYPERLINK_TOGGLE_STATE__" hidden="1">"ON"</definedName>
    <definedName name="__n324" hidden="1">"c39"</definedName>
    <definedName name="__new1" hidden="1">"c32"</definedName>
    <definedName name="__new2" hidden="1">"c8"</definedName>
    <definedName name="__new3" hidden="1">"c7"</definedName>
    <definedName name="__new5" hidden="1">"c1471"</definedName>
    <definedName name="_bdm.A41748D8CDC148869DAC28F2A19A85E3.edm" hidden="1">#REF!</definedName>
    <definedName name="_n324" hidden="1">"c39"</definedName>
    <definedName name="_new1" hidden="1">"c32"</definedName>
    <definedName name="_new2" hidden="1">"c8"</definedName>
    <definedName name="_new3" hidden="1">"c7"</definedName>
    <definedName name="_new5" hidden="1">"c1471"</definedName>
    <definedName name="as" hidden="1">"c2127"</definedName>
    <definedName name="asd" hidden="1">"c1630"</definedName>
    <definedName name="blank">#REF!</definedName>
    <definedName name="Current_Q">#REF!</definedName>
    <definedName name="export">#REF!</definedName>
    <definedName name="fds" hidden="1">"c275"</definedName>
    <definedName name="fdsa" hidden="1">"c301"</definedName>
    <definedName name="fgh" hidden="1">"c118"</definedName>
    <definedName name="FY_92">#REF!</definedName>
    <definedName name="FY_93">#REF!</definedName>
    <definedName name="FY_94">#REF!</definedName>
    <definedName name="gf" hidden="1">"c247"</definedName>
    <definedName name="gfdfsa" hidden="1">"c261"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39286.2329861111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Z_SCORE" hidden="1">"c1339"</definedName>
    <definedName name="lk" hidden="1">"c147"</definedName>
    <definedName name="mn" hidden="1">"c315"</definedName>
    <definedName name="N_A">#REF!</definedName>
    <definedName name="N_M">#REF!</definedName>
    <definedName name="nert" hidden="1">"c88"</definedName>
    <definedName name="new" hidden="1">"c413"</definedName>
    <definedName name="Next_Actual_Period_Range">'[1]Income Statement'!$D$3:$BE$6</definedName>
    <definedName name="NM_T">#REF!</definedName>
    <definedName name="no" hidden="1">38995.2790740741</definedName>
    <definedName name="nwer" hidden="1">"c65"</definedName>
    <definedName name="oiu" hidden="1">"c313"</definedName>
    <definedName name="po" hidden="1">"c182"</definedName>
    <definedName name="poir" hidden="1">"c322"</definedName>
    <definedName name="_xlnm.Print_Area" localSheetId="0">Comparison!$B$4:$L$42</definedName>
    <definedName name="_xlnm.Print_Area" localSheetId="1">IS!$C$8:$AQ$84</definedName>
    <definedName name="Prior_Q">#REF!</definedName>
    <definedName name="qw" hidden="1">"c115"</definedName>
    <definedName name="re" hidden="1">"c226"</definedName>
    <definedName name="reqw" hidden="1">"c274"</definedName>
    <definedName name="rty" hidden="1">"c118"</definedName>
    <definedName name="Same_Q_Last_Yr">#REF!</definedName>
    <definedName name="source">#REF!</definedName>
    <definedName name="tyu" hidden="1">"c124"</definedName>
    <definedName name="WIZARD_3YRATCF">#REF!</definedName>
    <definedName name="WIZARD_3YREBITDA">#REF!</definedName>
    <definedName name="WIZARD_3YRSECGROWTH">#REF!</definedName>
    <definedName name="WIZARD_AVGTRADINGVOLUME">#REF!</definedName>
    <definedName name="WIZARD_BKVALSHR">#REF!</definedName>
    <definedName name="WIZARD_BURNRATE">#REF!</definedName>
    <definedName name="WIZARD_CASH">#REF!</definedName>
    <definedName name="WIZARD_DIVYIELD">#REF!</definedName>
    <definedName name="WIZARD_EARNINGS">#REF!</definedName>
    <definedName name="WIZARD_EBITDABYSHROO">#REF!</definedName>
    <definedName name="WIZARD_EVBYEBITDAOO">#REF!</definedName>
    <definedName name="WIZARD_EVINVCAP">#REF!</definedName>
    <definedName name="WIZARD_LTDEBT">#REF!</definedName>
    <definedName name="WIZARD_MARKETCAP">#REF!</definedName>
    <definedName name="WIZARD_NETDEBTCAP">#REF!</definedName>
    <definedName name="WIZARD_OPERMARGIN">#REF!</definedName>
    <definedName name="WIZARD_PRICEESTNAV">#REF!</definedName>
    <definedName name="WIZARD_REVENUES">#REF!</definedName>
    <definedName name="WIZARD_ROAA">#REF!</definedName>
    <definedName name="WIZARD_ROAE">#REF!</definedName>
    <definedName name="WIZARD_ROE">#REF!</definedName>
    <definedName name="WIZARD_ROIC">#REF!</definedName>
    <definedName name="WIZARD_SHARESOUT">#REF!</definedName>
    <definedName name="WIZARD_STATIONREV">#REF!</definedName>
    <definedName name="WIZARD_TICKER">#REF!</definedName>
    <definedName name="WIZARD_TOTDEBTCAP">#REF!</definedName>
    <definedName name="WIZARD_Y1CAPREVR">[2]AMAT_FC!#REF!</definedName>
    <definedName name="WIZARD_Y1CAPREVS2">#REF!</definedName>
    <definedName name="WIZARD_Y1CASHCYEPSS1">#REF!</definedName>
    <definedName name="WIZARD_Y1CASHCYPES1">#REF!</definedName>
    <definedName name="WIZARD_Y1CYE">[2]AMAT_FC!#REF!</definedName>
    <definedName name="WIZARD_Y1CYPEE">[2]AMAT_FC!#REF!</definedName>
    <definedName name="WIZARD_Y1CYPES1">#REF!</definedName>
    <definedName name="WIZARD_Y1CYREVS2">#REF!</definedName>
    <definedName name="WIZARD_Y1CYS1">#REF!</definedName>
    <definedName name="WIZARD_Y1E">[2]AMAT_FC!#REF!</definedName>
    <definedName name="WIZARD_Y1EBITDAYRS2">#REF!</definedName>
    <definedName name="WIZARD_Y1EMVBYREV">#REF!</definedName>
    <definedName name="WIZARD_Y1EVEBITDAS2">#REF!</definedName>
    <definedName name="WIZARD_Y1PEE">[2]AMAT_FC!#REF!</definedName>
    <definedName name="WIZARD_Y1PES1">#REF!</definedName>
    <definedName name="WIZARD_Y1Q1E">[2]AMAT_FC!#REF!</definedName>
    <definedName name="WIZARD_Y1Q1R">[2]AMAT_FC!#REF!</definedName>
    <definedName name="WIZARD_Y1Q1S1">#REF!</definedName>
    <definedName name="WIZARD_Y1Q1S2">#REF!</definedName>
    <definedName name="WIZARD_Y1Q2E">[2]AMAT_FC!#REF!</definedName>
    <definedName name="WIZARD_Y1Q2R">[2]AMAT_FC!#REF!</definedName>
    <definedName name="WIZARD_Y1Q2S1">#REF!</definedName>
    <definedName name="WIZARD_Y1Q2S2">#REF!</definedName>
    <definedName name="WIZARD_Y1Q3E">[2]AMAT_FC!#REF!</definedName>
    <definedName name="WIZARD_Y1Q3R">[2]AMAT_FC!#REF!</definedName>
    <definedName name="WIZARD_Y1Q3S1">#REF!</definedName>
    <definedName name="WIZARD_Y1Q3S2">#REF!</definedName>
    <definedName name="WIZARD_Y1Q4E">[2]AMAT_FC!#REF!</definedName>
    <definedName name="WIZARD_Y1Q4R">[2]AMAT_FC!#REF!</definedName>
    <definedName name="WIZARD_Y1Q4S1">#REF!</definedName>
    <definedName name="WIZARD_Y1Q4S2">#REF!</definedName>
    <definedName name="WIZARD_Y1R">[2]AMAT_FC!#REF!</definedName>
    <definedName name="WIZARD_Y1S1">#REF!</definedName>
    <definedName name="WIZARD_Y1S2">#REF!</definedName>
    <definedName name="WIZARD_Y1YEARE">[2]AMAT_FC!#REF!</definedName>
    <definedName name="WIZARD_Y1YEARR">[2]AMAT_FC!#REF!</definedName>
    <definedName name="WIZARD_Y1YEARS1">#REF!</definedName>
    <definedName name="WIZARD_Y1YEARS2">#REF!</definedName>
    <definedName name="WIZARD_Y2EMVBYREV">#REF!</definedName>
    <definedName name="WIZARD_Y2PES1">#REF!</definedName>
    <definedName name="WIZARD_Y2Q1S1">#REF!</definedName>
    <definedName name="WIZARD_Y2Q1S2">#REF!</definedName>
    <definedName name="WIZARD_Y2Q2S1">#REF!</definedName>
    <definedName name="WIZARD_Y2Q2S2">#REF!</definedName>
    <definedName name="WIZARD_Y2Q3S1">#REF!</definedName>
    <definedName name="WIZARD_Y2Q3S2">#REF!</definedName>
    <definedName name="WIZARD_Y2Q4S1">#REF!</definedName>
    <definedName name="WIZARD_Y2Q4S2">#REF!</definedName>
    <definedName name="WIZARD_Y2S1">#REF!</definedName>
    <definedName name="WIZARD_Y2S2">#REF!</definedName>
    <definedName name="WIZARD_Y2YEARS2">#REF!</definedName>
    <definedName name="WIZARD_Y3EMVBYREV">#REF!</definedName>
    <definedName name="WIZARD_Y3PES1">#REF!</definedName>
    <definedName name="WIZARD_Y3Q1E">[3]NVLS_FC!$G$11</definedName>
    <definedName name="WIZARD_Y3Q1S1">#REF!</definedName>
    <definedName name="WIZARD_Y3Q1S2">#REF!</definedName>
    <definedName name="WIZARD_Y3Q2S1">#REF!</definedName>
    <definedName name="WIZARD_Y3Q2S2">#REF!</definedName>
    <definedName name="WIZARD_Y3Q3S1">#REF!</definedName>
    <definedName name="WIZARD_Y3Q3S2">#REF!</definedName>
    <definedName name="WIZARD_Y3Q4S1">#REF!</definedName>
    <definedName name="WIZARD_Y3Q4S2">#REF!</definedName>
    <definedName name="WIZARD_Y3S1">#REF!</definedName>
    <definedName name="WIZARD_Y3S2">#REF!</definedName>
    <definedName name="WIZARD_Y3YEARE">[3]NVLS_FC!$G$15</definedName>
    <definedName name="WIZARD_Y3YEARS2">#REF!</definedName>
    <definedName name="WIZARD_YEARSOFCASH">#REF!</definedName>
    <definedName name="xcv" hidden="1">"c161"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5" i="2" l="1"/>
  <c r="AL4" i="2"/>
  <c r="AL3" i="2"/>
  <c r="AK3" i="8"/>
  <c r="AL3" i="8"/>
  <c r="AK23" i="8" l="1"/>
  <c r="AO17" i="8"/>
  <c r="AP17" i="8"/>
  <c r="AN17" i="8"/>
  <c r="AQ77" i="2"/>
  <c r="AL60" i="2"/>
  <c r="AF10" i="9"/>
  <c r="AF16" i="8"/>
  <c r="AK14" i="8"/>
  <c r="AK13" i="4"/>
  <c r="AL54" i="4" l="1"/>
  <c r="AK54" i="4" s="1"/>
  <c r="AJ74" i="4"/>
  <c r="AK74" i="4" s="1"/>
  <c r="AK65" i="4"/>
  <c r="AL70" i="4"/>
  <c r="AK76" i="4"/>
  <c r="AK68" i="4"/>
  <c r="AL52" i="4"/>
  <c r="AK30" i="4"/>
  <c r="AK31" i="4"/>
  <c r="AK32" i="4"/>
  <c r="AK28" i="4"/>
  <c r="AK25" i="4"/>
  <c r="AK23" i="4"/>
  <c r="AK20" i="4"/>
  <c r="AK18" i="4"/>
  <c r="AL16" i="4"/>
  <c r="AL15" i="4"/>
  <c r="AK11" i="4"/>
  <c r="AK10" i="4"/>
  <c r="AL15" i="3"/>
  <c r="AL38" i="3"/>
  <c r="AL39" i="3"/>
  <c r="AL40" i="3"/>
  <c r="AL34" i="3"/>
  <c r="AL35" i="3"/>
  <c r="AL36" i="3"/>
  <c r="AL27" i="3"/>
  <c r="AL28" i="3"/>
  <c r="AL29" i="3"/>
  <c r="AL30" i="3"/>
  <c r="AL31" i="3"/>
  <c r="AL32" i="3"/>
  <c r="AK25" i="3"/>
  <c r="AL18" i="3"/>
  <c r="AL19" i="3"/>
  <c r="AL20" i="3"/>
  <c r="AL16" i="3"/>
  <c r="AK17" i="3"/>
  <c r="AL14" i="3"/>
  <c r="AK9" i="3"/>
  <c r="AL49" i="2"/>
  <c r="AL50" i="2"/>
  <c r="AL51" i="2"/>
  <c r="AK52" i="2"/>
  <c r="AK58" i="2"/>
  <c r="AL59" i="2"/>
  <c r="AK59" i="2" s="1"/>
  <c r="AK77" i="2"/>
  <c r="AK33" i="2"/>
  <c r="AK31" i="2"/>
  <c r="AK29" i="2"/>
  <c r="AK19" i="9"/>
  <c r="AK26" i="8"/>
  <c r="D42" i="5" l="1"/>
  <c r="D37" i="5"/>
  <c r="AJ53" i="2" l="1"/>
  <c r="AJ33" i="2"/>
  <c r="AJ31" i="2"/>
  <c r="AJ29" i="2"/>
  <c r="AJ19" i="9"/>
  <c r="AJ26" i="8"/>
  <c r="AJ73" i="4"/>
  <c r="AK73" i="4" s="1"/>
  <c r="AJ72" i="4"/>
  <c r="AK72" i="4" s="1"/>
  <c r="AJ70" i="4"/>
  <c r="AK70" i="4" s="1"/>
  <c r="AJ75" i="4"/>
  <c r="AK75" i="4" s="1"/>
  <c r="AJ66" i="4"/>
  <c r="AK66" i="4" s="1"/>
  <c r="AJ38" i="4"/>
  <c r="AK38" i="4" s="1"/>
  <c r="AJ22" i="4"/>
  <c r="AK22" i="4" s="1"/>
  <c r="AJ14" i="4"/>
  <c r="AK14" i="4" s="1"/>
  <c r="AJ25" i="3"/>
  <c r="AJ42" i="3" s="1"/>
  <c r="AJ17" i="3"/>
  <c r="AJ9" i="3"/>
  <c r="AG10" i="3"/>
  <c r="AL10" i="3"/>
  <c r="AJ72" i="2"/>
  <c r="AK72" i="2" s="1"/>
  <c r="AJ67" i="2"/>
  <c r="AJ60" i="2"/>
  <c r="AK60" i="2" s="1"/>
  <c r="AI6" i="8"/>
  <c r="AI13" i="8"/>
  <c r="AJ23" i="8"/>
  <c r="AE16" i="8"/>
  <c r="AJ14" i="8"/>
  <c r="AJ11" i="8"/>
  <c r="AI23" i="8" l="1"/>
  <c r="AD16" i="8" l="1"/>
  <c r="AI14" i="8"/>
  <c r="AI9" i="8"/>
  <c r="AN53" i="2"/>
  <c r="AO53" i="2"/>
  <c r="AP53" i="2"/>
  <c r="AM53" i="2"/>
  <c r="AK53" i="2"/>
  <c r="AH53" i="2"/>
  <c r="AI79" i="4"/>
  <c r="AJ79" i="4" s="1"/>
  <c r="AK79" i="4" s="1"/>
  <c r="AI71" i="4"/>
  <c r="AJ71" i="4" s="1"/>
  <c r="AK71" i="4" s="1"/>
  <c r="AI69" i="4"/>
  <c r="AJ69" i="4" s="1"/>
  <c r="AK69" i="4" s="1"/>
  <c r="AI67" i="4"/>
  <c r="AJ67" i="4" s="1"/>
  <c r="AK67" i="4" s="1"/>
  <c r="AI53" i="4"/>
  <c r="AI52" i="4"/>
  <c r="AI51" i="4"/>
  <c r="AI50" i="4"/>
  <c r="AI45" i="4"/>
  <c r="AJ45" i="4" s="1"/>
  <c r="AK45" i="4" s="1"/>
  <c r="AI43" i="4"/>
  <c r="AJ43" i="4" s="1"/>
  <c r="AK43" i="4" s="1"/>
  <c r="AI42" i="4"/>
  <c r="AJ42" i="4" s="1"/>
  <c r="AK42" i="4" s="1"/>
  <c r="AI41" i="4"/>
  <c r="AJ41" i="4" s="1"/>
  <c r="AK41" i="4" s="1"/>
  <c r="AI40" i="4"/>
  <c r="AJ40" i="4" s="1"/>
  <c r="AK40" i="4" s="1"/>
  <c r="AI39" i="4"/>
  <c r="AJ39" i="4" s="1"/>
  <c r="AK39" i="4" s="1"/>
  <c r="AI37" i="4"/>
  <c r="AJ37" i="4" s="1"/>
  <c r="AK37" i="4" s="1"/>
  <c r="AI36" i="4"/>
  <c r="AJ36" i="4" s="1"/>
  <c r="AK36" i="4" s="1"/>
  <c r="AI35" i="4"/>
  <c r="AJ35" i="4" s="1"/>
  <c r="AK35" i="4" s="1"/>
  <c r="AI34" i="4"/>
  <c r="AJ34" i="4" s="1"/>
  <c r="AK34" i="4" s="1"/>
  <c r="AI33" i="4"/>
  <c r="AJ33" i="4" s="1"/>
  <c r="AK33" i="4" s="1"/>
  <c r="AI44" i="4"/>
  <c r="AJ44" i="4" s="1"/>
  <c r="AK44" i="4" s="1"/>
  <c r="AI29" i="4"/>
  <c r="AJ29" i="4" s="1"/>
  <c r="AK29" i="4" s="1"/>
  <c r="AI27" i="4"/>
  <c r="AJ27" i="4" s="1"/>
  <c r="AK27" i="4" s="1"/>
  <c r="AI26" i="4"/>
  <c r="AJ26" i="4" s="1"/>
  <c r="AK26" i="4" s="1"/>
  <c r="AI24" i="4"/>
  <c r="AJ24" i="4" s="1"/>
  <c r="AK24" i="4" s="1"/>
  <c r="AI21" i="4"/>
  <c r="AJ21" i="4" s="1"/>
  <c r="AK21" i="4" s="1"/>
  <c r="AI19" i="4"/>
  <c r="AJ19" i="4" s="1"/>
  <c r="AK19" i="4" s="1"/>
  <c r="AI17" i="4"/>
  <c r="AJ17" i="4" s="1"/>
  <c r="AK17" i="4" s="1"/>
  <c r="AI16" i="4"/>
  <c r="AJ16" i="4" s="1"/>
  <c r="AK16" i="4" s="1"/>
  <c r="AI15" i="4"/>
  <c r="AJ15" i="4" s="1"/>
  <c r="AK15" i="4" s="1"/>
  <c r="AI12" i="4"/>
  <c r="AJ12" i="4" s="1"/>
  <c r="AK12" i="4" s="1"/>
  <c r="AI9" i="4"/>
  <c r="AJ9" i="4" s="1"/>
  <c r="AK9" i="4" s="1"/>
  <c r="AI6" i="4"/>
  <c r="AJ6" i="4" s="1"/>
  <c r="AI25" i="3"/>
  <c r="AI17" i="3"/>
  <c r="AI9" i="3"/>
  <c r="AI52" i="2"/>
  <c r="AI48" i="2"/>
  <c r="AI53" i="2" s="1"/>
  <c r="AI33" i="2"/>
  <c r="AI31" i="2"/>
  <c r="AI29" i="2"/>
  <c r="AI19" i="9"/>
  <c r="AI26" i="8"/>
  <c r="K22" i="5" l="1"/>
  <c r="AJ53" i="4"/>
  <c r="AK53" i="4" s="1"/>
  <c r="AJ50" i="4"/>
  <c r="AK50" i="4" s="1"/>
  <c r="AJ51" i="4"/>
  <c r="AK51" i="4" s="1"/>
  <c r="AJ52" i="4"/>
  <c r="AK52" i="4"/>
  <c r="AI32" i="8"/>
  <c r="AI29" i="8" s="1"/>
  <c r="AH32" i="8"/>
  <c r="AL46" i="2" l="1"/>
  <c r="AC16" i="8" l="1"/>
  <c r="AH14" i="8"/>
  <c r="AH9" i="8"/>
  <c r="AH11" i="8"/>
  <c r="AF8" i="8"/>
  <c r="AP13" i="8"/>
  <c r="AO13" i="8"/>
  <c r="AN13" i="8"/>
  <c r="AN14" i="8" s="1"/>
  <c r="AM13" i="8"/>
  <c r="AG13" i="8"/>
  <c r="AH52" i="2"/>
  <c r="AF53" i="2"/>
  <c r="D22" i="5" s="1"/>
  <c r="AH33" i="2"/>
  <c r="AH31" i="2"/>
  <c r="AH29" i="2"/>
  <c r="AH19" i="9"/>
  <c r="AH26" i="8"/>
  <c r="AH19" i="2" s="1"/>
  <c r="AH25" i="3"/>
  <c r="AH9" i="3"/>
  <c r="AH12" i="3" s="1"/>
  <c r="AH17" i="3"/>
  <c r="AH22" i="3" l="1"/>
  <c r="AQ13" i="8"/>
  <c r="AL13" i="8"/>
  <c r="AP14" i="8"/>
  <c r="AO14" i="8"/>
  <c r="AM14" i="8"/>
  <c r="AG14" i="8"/>
  <c r="C13" i="7"/>
  <c r="AL14" i="8" l="1"/>
  <c r="AQ14" i="8"/>
  <c r="AF13" i="9"/>
  <c r="AF16" i="9" s="1"/>
  <c r="AF17" i="9" s="1"/>
  <c r="AF14" i="9"/>
  <c r="AE11" i="9"/>
  <c r="AF11" i="9"/>
  <c r="AG10" i="9"/>
  <c r="AD14" i="9"/>
  <c r="AE14" i="9"/>
  <c r="AD16" i="9"/>
  <c r="AD17" i="9" s="1"/>
  <c r="AD11" i="9"/>
  <c r="Z6" i="8"/>
  <c r="AE16" i="9"/>
  <c r="AE17" i="9" s="1"/>
  <c r="E5" i="7" l="1"/>
  <c r="AG76" i="4"/>
  <c r="AG54" i="4"/>
  <c r="AG11" i="4"/>
  <c r="AG45" i="4"/>
  <c r="AG20" i="4"/>
  <c r="AG39" i="4"/>
  <c r="AG9" i="4"/>
  <c r="AG24" i="4"/>
  <c r="AG21" i="4"/>
  <c r="AG18" i="4"/>
  <c r="AF60" i="2"/>
  <c r="AF52" i="2"/>
  <c r="AF33" i="2"/>
  <c r="D16" i="5" s="1"/>
  <c r="AF31" i="2"/>
  <c r="D15" i="5" s="1"/>
  <c r="AF29" i="2"/>
  <c r="D14" i="5" s="1"/>
  <c r="AF21" i="2"/>
  <c r="AF19" i="2"/>
  <c r="AF31" i="9"/>
  <c r="AF47" i="8"/>
  <c r="AF39" i="3"/>
  <c r="AF25" i="3"/>
  <c r="AF17" i="3"/>
  <c r="AG16" i="3"/>
  <c r="AG15" i="3"/>
  <c r="AG14" i="3"/>
  <c r="AF9" i="3"/>
  <c r="AE53" i="2" l="1"/>
  <c r="AE52" i="2"/>
  <c r="AE69" i="4"/>
  <c r="AF69" i="4" s="1"/>
  <c r="AE65" i="4"/>
  <c r="AF65" i="4" s="1"/>
  <c r="AE64" i="4"/>
  <c r="AF64" i="4" s="1"/>
  <c r="AE28" i="4"/>
  <c r="AF28" i="4" s="1"/>
  <c r="AE25" i="4"/>
  <c r="AF25" i="4" s="1"/>
  <c r="AE24" i="4"/>
  <c r="AF24" i="4" s="1"/>
  <c r="AE39" i="3"/>
  <c r="AE30" i="3"/>
  <c r="AE29" i="3"/>
  <c r="AE28" i="3"/>
  <c r="AE26" i="3"/>
  <c r="AE25" i="3"/>
  <c r="AE17" i="3"/>
  <c r="AE9" i="3"/>
  <c r="AE33" i="2"/>
  <c r="AE31" i="2"/>
  <c r="AE29" i="2"/>
  <c r="AE21" i="2"/>
  <c r="AE19" i="2"/>
  <c r="AE31" i="9"/>
  <c r="AE47" i="8"/>
  <c r="AG84" i="2" l="1"/>
  <c r="AD53" i="2" l="1"/>
  <c r="AD77" i="2"/>
  <c r="AF77" i="2" s="1"/>
  <c r="AD33" i="2"/>
  <c r="AD31" i="2"/>
  <c r="AD29" i="2"/>
  <c r="AD21" i="2"/>
  <c r="AD31" i="9"/>
  <c r="AD32" i="9" s="1"/>
  <c r="AD19" i="2"/>
  <c r="AD47" i="8"/>
  <c r="AD48" i="8" s="1"/>
  <c r="AD79" i="4"/>
  <c r="AE79" i="4" s="1"/>
  <c r="AF79" i="4" s="1"/>
  <c r="AP77" i="4"/>
  <c r="AO77" i="4"/>
  <c r="AN77" i="4"/>
  <c r="AM77" i="4"/>
  <c r="AI77" i="4"/>
  <c r="AJ77" i="4"/>
  <c r="AK77" i="4"/>
  <c r="AH77" i="4"/>
  <c r="AD76" i="4"/>
  <c r="AE76" i="4" s="1"/>
  <c r="AF76" i="4" s="1"/>
  <c r="AD68" i="4"/>
  <c r="AE68" i="4" s="1"/>
  <c r="AF68" i="4" s="1"/>
  <c r="AD66" i="4"/>
  <c r="AE66" i="4" s="1"/>
  <c r="AF66" i="4" s="1"/>
  <c r="AD63" i="4"/>
  <c r="AE63" i="4" s="1"/>
  <c r="AF63" i="4" s="1"/>
  <c r="AD62" i="4"/>
  <c r="AE62" i="4" s="1"/>
  <c r="AF62" i="4" s="1"/>
  <c r="AD61" i="4"/>
  <c r="AD54" i="4"/>
  <c r="AE54" i="4" s="1"/>
  <c r="AF54" i="4" s="1"/>
  <c r="AD50" i="4"/>
  <c r="AE50" i="4" s="1"/>
  <c r="AF50" i="4" s="1"/>
  <c r="AD45" i="4"/>
  <c r="AE45" i="4" s="1"/>
  <c r="AF45" i="4" s="1"/>
  <c r="AD43" i="4"/>
  <c r="AE43" i="4" s="1"/>
  <c r="AF43" i="4" s="1"/>
  <c r="AD42" i="4"/>
  <c r="AE42" i="4" s="1"/>
  <c r="AF42" i="4" s="1"/>
  <c r="AD41" i="4"/>
  <c r="AE41" i="4" s="1"/>
  <c r="AF41" i="4" s="1"/>
  <c r="AD40" i="4"/>
  <c r="AE40" i="4" s="1"/>
  <c r="AF40" i="4" s="1"/>
  <c r="AD39" i="4"/>
  <c r="AE39" i="4" s="1"/>
  <c r="AF39" i="4" s="1"/>
  <c r="AD37" i="4"/>
  <c r="AE37" i="4" s="1"/>
  <c r="AF37" i="4" s="1"/>
  <c r="AD36" i="4"/>
  <c r="AE36" i="4" s="1"/>
  <c r="AF36" i="4" s="1"/>
  <c r="AD35" i="4"/>
  <c r="AE35" i="4" s="1"/>
  <c r="AF35" i="4" s="1"/>
  <c r="AD34" i="4"/>
  <c r="AE34" i="4" s="1"/>
  <c r="AF34" i="4" s="1"/>
  <c r="AD33" i="4"/>
  <c r="AE33" i="4" s="1"/>
  <c r="AF33" i="4" s="1"/>
  <c r="AD32" i="4"/>
  <c r="AE32" i="4" s="1"/>
  <c r="AF32" i="4" s="1"/>
  <c r="AD31" i="4"/>
  <c r="AE31" i="4" s="1"/>
  <c r="AF31" i="4" s="1"/>
  <c r="AD30" i="4"/>
  <c r="AE30" i="4" s="1"/>
  <c r="AF30" i="4" s="1"/>
  <c r="AD29" i="4"/>
  <c r="AE29" i="4" s="1"/>
  <c r="AF29" i="4" s="1"/>
  <c r="AD27" i="4"/>
  <c r="AE27" i="4" s="1"/>
  <c r="AF27" i="4" s="1"/>
  <c r="AD26" i="4"/>
  <c r="AE26" i="4" s="1"/>
  <c r="AF26" i="4" s="1"/>
  <c r="AD23" i="4"/>
  <c r="AE23" i="4" s="1"/>
  <c r="AF23" i="4" s="1"/>
  <c r="AD21" i="4"/>
  <c r="AE21" i="4" s="1"/>
  <c r="AF21" i="4" s="1"/>
  <c r="AD20" i="4"/>
  <c r="AE20" i="4" s="1"/>
  <c r="AF20" i="4" s="1"/>
  <c r="AD18" i="4"/>
  <c r="AE18" i="4" s="1"/>
  <c r="AF18" i="4" s="1"/>
  <c r="AD17" i="4"/>
  <c r="AE17" i="4" s="1"/>
  <c r="AF17" i="4" s="1"/>
  <c r="AD16" i="4"/>
  <c r="AE16" i="4" s="1"/>
  <c r="AF16" i="4" s="1"/>
  <c r="AD12" i="4"/>
  <c r="AE12" i="4" s="1"/>
  <c r="AF12" i="4" s="1"/>
  <c r="AD11" i="4"/>
  <c r="AE11" i="4" s="1"/>
  <c r="AF11" i="4" s="1"/>
  <c r="AD44" i="4"/>
  <c r="AE44" i="4" s="1"/>
  <c r="AF44" i="4" s="1"/>
  <c r="AD10" i="4"/>
  <c r="AE10" i="4" s="1"/>
  <c r="AF10" i="4" s="1"/>
  <c r="AD9" i="4"/>
  <c r="AE9" i="4" s="1"/>
  <c r="AF9" i="4" s="1"/>
  <c r="AD6" i="4"/>
  <c r="AE6" i="4" s="1"/>
  <c r="AF6" i="4" s="1"/>
  <c r="AD25" i="3"/>
  <c r="AD9" i="8"/>
  <c r="AD9" i="3"/>
  <c r="AD9" i="2"/>
  <c r="AD12" i="2"/>
  <c r="AD77" i="4" l="1"/>
  <c r="AE61" i="4"/>
  <c r="K42" i="5"/>
  <c r="AF61" i="4" l="1"/>
  <c r="AF77" i="4" s="1"/>
  <c r="AE77" i="4"/>
  <c r="AL84" i="2"/>
  <c r="AM84" i="2" l="1"/>
  <c r="AN84" i="2" s="1"/>
  <c r="AO84" i="2" s="1"/>
  <c r="AP84" i="2" s="1"/>
  <c r="AQ84" i="2" s="1"/>
  <c r="AC29" i="9"/>
  <c r="AC26" i="9"/>
  <c r="AC23" i="9"/>
  <c r="AC17" i="9"/>
  <c r="AC14" i="9"/>
  <c r="AC11" i="9"/>
  <c r="AC45" i="8"/>
  <c r="AC9" i="8"/>
  <c r="AC24" i="8"/>
  <c r="R64" i="11" l="1"/>
  <c r="K47" i="11"/>
  <c r="F11" i="11"/>
  <c r="F9" i="11"/>
  <c r="F10" i="11"/>
  <c r="G32" i="11"/>
  <c r="G30" i="11"/>
  <c r="G28" i="11"/>
  <c r="K64" i="11"/>
  <c r="M64" i="11"/>
  <c r="L64" i="11"/>
  <c r="Q64" i="11"/>
  <c r="P64" i="11"/>
  <c r="O64" i="11"/>
  <c r="N64" i="11"/>
  <c r="J64" i="11"/>
  <c r="K38" i="11"/>
  <c r="L38" i="11" s="1"/>
  <c r="M38" i="11" s="1"/>
  <c r="N38" i="11" s="1"/>
  <c r="O38" i="11" s="1"/>
  <c r="P38" i="11" s="1"/>
  <c r="Q38" i="11" s="1"/>
  <c r="Q52" i="11" s="1"/>
  <c r="K41" i="11"/>
  <c r="K55" i="11" s="1"/>
  <c r="F32" i="11"/>
  <c r="F30" i="11"/>
  <c r="F28" i="11"/>
  <c r="L41" i="11" l="1"/>
  <c r="M41" i="11" s="1"/>
  <c r="N41" i="11" s="1"/>
  <c r="O41" i="11" s="1"/>
  <c r="P41" i="11" s="1"/>
  <c r="Q41" i="11" s="1"/>
  <c r="R41" i="11" s="1"/>
  <c r="R55" i="11" s="1"/>
  <c r="N52" i="11"/>
  <c r="L52" i="11"/>
  <c r="M52" i="11"/>
  <c r="L47" i="11"/>
  <c r="M47" i="11" s="1"/>
  <c r="N47" i="11" s="1"/>
  <c r="O47" i="11" s="1"/>
  <c r="P47" i="11" s="1"/>
  <c r="Q47" i="11" s="1"/>
  <c r="O52" i="11"/>
  <c r="R38" i="11"/>
  <c r="P52" i="11"/>
  <c r="K52" i="11"/>
  <c r="L55" i="11" l="1"/>
  <c r="P55" i="11"/>
  <c r="O55" i="11"/>
  <c r="N55" i="11"/>
  <c r="M55" i="11"/>
  <c r="Q55" i="11"/>
  <c r="R52" i="11"/>
  <c r="P18" i="10" l="1"/>
  <c r="P19" i="10" s="1"/>
  <c r="AP44" i="4" l="1"/>
  <c r="AO44" i="4"/>
  <c r="AN44" i="4"/>
  <c r="AM44" i="4"/>
  <c r="AQ77" i="4"/>
  <c r="AP55" i="4"/>
  <c r="AO55" i="4"/>
  <c r="AN55" i="4"/>
  <c r="AM55" i="4"/>
  <c r="AQ54" i="4"/>
  <c r="AQ50" i="4"/>
  <c r="J60" i="11" s="1"/>
  <c r="AQ45" i="4"/>
  <c r="AQ33" i="4"/>
  <c r="AQ31" i="4"/>
  <c r="AQ30" i="4"/>
  <c r="AQ9" i="4"/>
  <c r="AL77" i="4"/>
  <c r="AK55" i="4"/>
  <c r="AJ55" i="4"/>
  <c r="AI55" i="4"/>
  <c r="AH55" i="4"/>
  <c r="I60" i="11"/>
  <c r="AM37" i="3"/>
  <c r="AN37" i="3" s="1"/>
  <c r="AO37" i="3" s="1"/>
  <c r="AP37" i="3" s="1"/>
  <c r="AL13" i="3"/>
  <c r="AQ44" i="3"/>
  <c r="AQ43" i="3"/>
  <c r="AQ24" i="3"/>
  <c r="AQ23" i="3"/>
  <c r="AL44" i="3"/>
  <c r="AL43" i="3"/>
  <c r="AL24" i="3"/>
  <c r="AL23" i="3"/>
  <c r="AL55" i="4" l="1"/>
  <c r="AL8" i="3"/>
  <c r="AM8" i="3"/>
  <c r="AN8" i="3" s="1"/>
  <c r="AO8" i="3" s="1"/>
  <c r="AP8" i="3" s="1"/>
  <c r="AQ8" i="3" s="1"/>
  <c r="AQ44" i="4"/>
  <c r="AQ55" i="4"/>
  <c r="AM13" i="3"/>
  <c r="AO67" i="2"/>
  <c r="AN67" i="2"/>
  <c r="AM67" i="2"/>
  <c r="AC67" i="2"/>
  <c r="AA67" i="2"/>
  <c r="Z67" i="2"/>
  <c r="Y67" i="2"/>
  <c r="X67" i="2"/>
  <c r="V67" i="2"/>
  <c r="U67" i="2"/>
  <c r="T67" i="2"/>
  <c r="S67" i="2"/>
  <c r="Q67" i="2"/>
  <c r="P67" i="2"/>
  <c r="O67" i="2"/>
  <c r="N67" i="2"/>
  <c r="L67" i="2"/>
  <c r="K67" i="2"/>
  <c r="J67" i="2"/>
  <c r="I67" i="2"/>
  <c r="E67" i="2"/>
  <c r="F67" i="2"/>
  <c r="G67" i="2"/>
  <c r="D67" i="2"/>
  <c r="AQ52" i="2"/>
  <c r="J37" i="11" s="1"/>
  <c r="J51" i="11" s="1"/>
  <c r="AL52" i="2"/>
  <c r="I37" i="11" s="1"/>
  <c r="I51" i="11" s="1"/>
  <c r="AF22" i="9"/>
  <c r="AE22" i="9"/>
  <c r="AD22" i="9"/>
  <c r="AF25" i="9"/>
  <c r="AE25" i="9"/>
  <c r="AF28" i="9"/>
  <c r="AE28" i="9"/>
  <c r="AD28" i="9"/>
  <c r="AE8" i="8"/>
  <c r="AC53" i="2"/>
  <c r="AA53" i="2"/>
  <c r="Z53" i="2"/>
  <c r="Y53" i="2"/>
  <c r="X53" i="2"/>
  <c r="V53" i="2"/>
  <c r="U53" i="2"/>
  <c r="T53" i="2"/>
  <c r="S53" i="2"/>
  <c r="Q53" i="2"/>
  <c r="P53" i="2"/>
  <c r="O53" i="2"/>
  <c r="N53" i="2"/>
  <c r="L53" i="2"/>
  <c r="K53" i="2"/>
  <c r="J53" i="2"/>
  <c r="I53" i="2"/>
  <c r="G53" i="2"/>
  <c r="F53" i="2"/>
  <c r="E53" i="2"/>
  <c r="D53" i="2"/>
  <c r="AG52" i="2"/>
  <c r="AB52" i="2"/>
  <c r="W52" i="2"/>
  <c r="R52" i="2"/>
  <c r="M52" i="2"/>
  <c r="H52" i="2"/>
  <c r="H82" i="4"/>
  <c r="AB6" i="4"/>
  <c r="W6" i="4"/>
  <c r="R6" i="4"/>
  <c r="M6" i="4"/>
  <c r="H6" i="4"/>
  <c r="AG77" i="4"/>
  <c r="AB77" i="4"/>
  <c r="W77" i="4"/>
  <c r="R77" i="4"/>
  <c r="M77" i="4"/>
  <c r="H77" i="4"/>
  <c r="H60" i="11"/>
  <c r="AB54" i="4"/>
  <c r="AB50" i="4"/>
  <c r="G60" i="11" s="1"/>
  <c r="W54" i="4"/>
  <c r="W50" i="4"/>
  <c r="F60" i="11" s="1"/>
  <c r="R54" i="4"/>
  <c r="R50" i="4"/>
  <c r="M54" i="4"/>
  <c r="M50" i="4"/>
  <c r="H54" i="4"/>
  <c r="H50" i="4"/>
  <c r="G55" i="4"/>
  <c r="F55" i="4"/>
  <c r="E55" i="4"/>
  <c r="D55" i="4"/>
  <c r="AB45" i="4"/>
  <c r="AB44" i="4"/>
  <c r="AB39" i="4"/>
  <c r="AB37" i="4"/>
  <c r="AB34" i="4"/>
  <c r="AB33" i="4"/>
  <c r="AB32" i="4"/>
  <c r="AB31" i="4"/>
  <c r="AB30" i="4"/>
  <c r="AB9" i="4"/>
  <c r="W45" i="4"/>
  <c r="W44" i="4"/>
  <c r="W39" i="4"/>
  <c r="W37" i="4"/>
  <c r="W34" i="4"/>
  <c r="W33" i="4"/>
  <c r="W32" i="4"/>
  <c r="W31" i="4"/>
  <c r="W30" i="4"/>
  <c r="W9" i="4"/>
  <c r="R45" i="4"/>
  <c r="R44" i="4"/>
  <c r="R39" i="4"/>
  <c r="R37" i="4"/>
  <c r="R34" i="4"/>
  <c r="R33" i="4"/>
  <c r="R32" i="4"/>
  <c r="R31" i="4"/>
  <c r="R30" i="4"/>
  <c r="R9" i="4"/>
  <c r="M45" i="4"/>
  <c r="M44" i="4"/>
  <c r="M39" i="4"/>
  <c r="M37" i="4"/>
  <c r="M34" i="4"/>
  <c r="M33" i="4"/>
  <c r="M32" i="4"/>
  <c r="M31" i="4"/>
  <c r="M30" i="4"/>
  <c r="M9" i="4"/>
  <c r="H45" i="4"/>
  <c r="H44" i="4"/>
  <c r="H39" i="4"/>
  <c r="H37" i="4"/>
  <c r="H34" i="4"/>
  <c r="H33" i="4"/>
  <c r="H32" i="4"/>
  <c r="H31" i="4"/>
  <c r="H30" i="4"/>
  <c r="H9" i="4"/>
  <c r="E46" i="4"/>
  <c r="F46" i="4"/>
  <c r="G46" i="4"/>
  <c r="D46" i="4"/>
  <c r="AA42" i="3"/>
  <c r="Z42" i="3"/>
  <c r="Y42" i="3"/>
  <c r="X42" i="3"/>
  <c r="V42" i="3"/>
  <c r="W42" i="3" s="1"/>
  <c r="U42" i="3"/>
  <c r="T42" i="3"/>
  <c r="S42" i="3"/>
  <c r="Q42" i="3"/>
  <c r="R42" i="3" s="1"/>
  <c r="P42" i="3"/>
  <c r="O42" i="3"/>
  <c r="N42" i="3"/>
  <c r="L42" i="3"/>
  <c r="K42" i="3"/>
  <c r="J42" i="3"/>
  <c r="I42" i="3"/>
  <c r="V12" i="3"/>
  <c r="W12" i="3" s="1"/>
  <c r="U12" i="3"/>
  <c r="U22" i="3" s="1"/>
  <c r="T12" i="3"/>
  <c r="T22" i="3" s="1"/>
  <c r="S12" i="3"/>
  <c r="S22" i="3" s="1"/>
  <c r="Q12" i="3"/>
  <c r="R12" i="3" s="1"/>
  <c r="P12" i="3"/>
  <c r="P22" i="3" s="1"/>
  <c r="O12" i="3"/>
  <c r="O22" i="3" s="1"/>
  <c r="N12" i="3"/>
  <c r="N22" i="3" s="1"/>
  <c r="L12" i="3"/>
  <c r="M12" i="3" s="1"/>
  <c r="K12" i="3"/>
  <c r="K22" i="3" s="1"/>
  <c r="J12" i="3"/>
  <c r="J22" i="3" s="1"/>
  <c r="I12" i="3"/>
  <c r="I22" i="3" s="1"/>
  <c r="G42" i="3"/>
  <c r="H42" i="3" s="1"/>
  <c r="F42" i="3"/>
  <c r="E42" i="3"/>
  <c r="D42" i="3"/>
  <c r="G12" i="3"/>
  <c r="G22" i="3" s="1"/>
  <c r="H22" i="3" s="1"/>
  <c r="F12" i="3"/>
  <c r="F22" i="3" s="1"/>
  <c r="E12" i="3"/>
  <c r="E22" i="3" s="1"/>
  <c r="D12" i="3"/>
  <c r="D22" i="3" s="1"/>
  <c r="H41" i="3"/>
  <c r="H37" i="3"/>
  <c r="H33" i="3"/>
  <c r="H26" i="3"/>
  <c r="H25" i="3"/>
  <c r="H21" i="3"/>
  <c r="H17" i="3"/>
  <c r="H13" i="3"/>
  <c r="H11" i="3"/>
  <c r="H9" i="3"/>
  <c r="H8" i="3"/>
  <c r="H7" i="3"/>
  <c r="AQ48" i="2"/>
  <c r="AQ47" i="2"/>
  <c r="AQ44" i="2"/>
  <c r="AQ43" i="2"/>
  <c r="AQ42" i="2"/>
  <c r="J40" i="11" s="1"/>
  <c r="J54" i="11" s="1"/>
  <c r="AQ41" i="2"/>
  <c r="AL48" i="2"/>
  <c r="AL47" i="2"/>
  <c r="AL44" i="2"/>
  <c r="AL43" i="2"/>
  <c r="AL42" i="2"/>
  <c r="I40" i="11" s="1"/>
  <c r="I54" i="11" s="1"/>
  <c r="AL41" i="2"/>
  <c r="AG48" i="2"/>
  <c r="AG47" i="2"/>
  <c r="AG44" i="2"/>
  <c r="AG43" i="2"/>
  <c r="AG42" i="2"/>
  <c r="H40" i="11" s="1"/>
  <c r="H54" i="11" s="1"/>
  <c r="AG41" i="2"/>
  <c r="AB48" i="2"/>
  <c r="AB47" i="2"/>
  <c r="AB44" i="2"/>
  <c r="AB43" i="2"/>
  <c r="AB42" i="2"/>
  <c r="G40" i="11" s="1"/>
  <c r="G54" i="11" s="1"/>
  <c r="AB41" i="2"/>
  <c r="W48" i="2"/>
  <c r="W47" i="2"/>
  <c r="W44" i="2"/>
  <c r="W43" i="2"/>
  <c r="W42" i="2"/>
  <c r="F40" i="11" s="1"/>
  <c r="W41" i="2"/>
  <c r="R48" i="2"/>
  <c r="R47" i="2"/>
  <c r="R44" i="2"/>
  <c r="R43" i="2"/>
  <c r="R42" i="2"/>
  <c r="R41" i="2"/>
  <c r="M48" i="2"/>
  <c r="M47" i="2"/>
  <c r="M44" i="2"/>
  <c r="M43" i="2"/>
  <c r="M42" i="2"/>
  <c r="M41" i="2"/>
  <c r="H48" i="2"/>
  <c r="H47" i="2"/>
  <c r="H44" i="2"/>
  <c r="H43" i="2"/>
  <c r="H42" i="2"/>
  <c r="H41" i="2"/>
  <c r="AJ9" i="8" l="1"/>
  <c r="AE6" i="8"/>
  <c r="AM33" i="3"/>
  <c r="AN33" i="3" s="1"/>
  <c r="AO33" i="3" s="1"/>
  <c r="AP33" i="3" s="1"/>
  <c r="AQ33" i="3" s="1"/>
  <c r="C15" i="7"/>
  <c r="K10" i="11" s="1"/>
  <c r="AB67" i="2"/>
  <c r="K45" i="3"/>
  <c r="K46" i="3" s="1"/>
  <c r="K48" i="3" s="1"/>
  <c r="D45" i="3"/>
  <c r="D46" i="3" s="1"/>
  <c r="D48" i="3" s="1"/>
  <c r="F45" i="3"/>
  <c r="F46" i="3" s="1"/>
  <c r="F48" i="3" s="1"/>
  <c r="S45" i="3"/>
  <c r="S46" i="3" s="1"/>
  <c r="H55" i="4"/>
  <c r="AM32" i="4"/>
  <c r="AD25" i="9"/>
  <c r="AN32" i="4"/>
  <c r="F57" i="11"/>
  <c r="F37" i="11"/>
  <c r="F51" i="11" s="1"/>
  <c r="G37" i="11"/>
  <c r="G51" i="11" s="1"/>
  <c r="G57" i="11"/>
  <c r="O45" i="3"/>
  <c r="O46" i="3" s="1"/>
  <c r="O48" i="3" s="1"/>
  <c r="N45" i="3"/>
  <c r="N46" i="3" s="1"/>
  <c r="N48" i="3" s="1"/>
  <c r="E45" i="3"/>
  <c r="E46" i="3" s="1"/>
  <c r="E48" i="3" s="1"/>
  <c r="T45" i="3"/>
  <c r="T46" i="3" s="1"/>
  <c r="H37" i="11"/>
  <c r="H51" i="11" s="1"/>
  <c r="F54" i="11"/>
  <c r="W67" i="2"/>
  <c r="AP32" i="4"/>
  <c r="AO32" i="4"/>
  <c r="AN13" i="3"/>
  <c r="P45" i="3"/>
  <c r="P46" i="3" s="1"/>
  <c r="P48" i="3" s="1"/>
  <c r="J45" i="3"/>
  <c r="J46" i="3" s="1"/>
  <c r="J48" i="3" s="1"/>
  <c r="I45" i="3"/>
  <c r="I46" i="3" s="1"/>
  <c r="I48" i="3" s="1"/>
  <c r="G45" i="3"/>
  <c r="H12" i="3"/>
  <c r="M42" i="3"/>
  <c r="R67" i="2"/>
  <c r="M67" i="2"/>
  <c r="H67" i="2"/>
  <c r="AG53" i="2"/>
  <c r="M53" i="2"/>
  <c r="H53" i="2"/>
  <c r="R53" i="2"/>
  <c r="AB53" i="2"/>
  <c r="W53" i="2"/>
  <c r="G80" i="4"/>
  <c r="D80" i="4"/>
  <c r="D83" i="4" s="1"/>
  <c r="E82" i="4" s="1"/>
  <c r="E80" i="4"/>
  <c r="F80" i="4"/>
  <c r="D57" i="4"/>
  <c r="E57" i="4"/>
  <c r="F57" i="4"/>
  <c r="G57" i="4"/>
  <c r="H46" i="4"/>
  <c r="AB42" i="3"/>
  <c r="U45" i="3"/>
  <c r="U46" i="3" s="1"/>
  <c r="V22" i="3"/>
  <c r="Q22" i="3"/>
  <c r="R22" i="3" s="1"/>
  <c r="L22" i="3"/>
  <c r="M22" i="3" s="1"/>
  <c r="AQ53" i="2"/>
  <c r="AL53" i="2"/>
  <c r="E83" i="4" l="1"/>
  <c r="F82" i="4" s="1"/>
  <c r="F83" i="4" s="1"/>
  <c r="G82" i="4" s="1"/>
  <c r="G83" i="4" s="1"/>
  <c r="I82" i="4" s="1"/>
  <c r="AQ32" i="4"/>
  <c r="AO13" i="3"/>
  <c r="L45" i="3"/>
  <c r="G46" i="3"/>
  <c r="H45" i="3"/>
  <c r="Q45" i="3"/>
  <c r="Q46" i="3" s="1"/>
  <c r="H80" i="4"/>
  <c r="H83" i="4" s="1"/>
  <c r="H57" i="4"/>
  <c r="V45" i="3"/>
  <c r="W22" i="3"/>
  <c r="R45" i="3" l="1"/>
  <c r="M82" i="4"/>
  <c r="AP13" i="3"/>
  <c r="R46" i="3"/>
  <c r="Q48" i="3"/>
  <c r="H46" i="3"/>
  <c r="G48" i="3"/>
  <c r="M45" i="3"/>
  <c r="L46" i="3"/>
  <c r="M46" i="3" s="1"/>
  <c r="V46" i="3"/>
  <c r="W46" i="3" s="1"/>
  <c r="W45" i="3"/>
  <c r="AQ13" i="3" l="1"/>
  <c r="AA33" i="2" l="1"/>
  <c r="AA29" i="9"/>
  <c r="AA26" i="9"/>
  <c r="AA23" i="9"/>
  <c r="AA17" i="9"/>
  <c r="AA14" i="9"/>
  <c r="AA11" i="9"/>
  <c r="AA45" i="8" l="1"/>
  <c r="AA24" i="8"/>
  <c r="AA9" i="8"/>
  <c r="AP11" i="8" l="1"/>
  <c r="AO11" i="8"/>
  <c r="AN11" i="8"/>
  <c r="AM11" i="8"/>
  <c r="AK11" i="8"/>
  <c r="AI11" i="8"/>
  <c r="AF11" i="8"/>
  <c r="AE11" i="8"/>
  <c r="AD11" i="8"/>
  <c r="AA11" i="8"/>
  <c r="Z11" i="8"/>
  <c r="Y11" i="8"/>
  <c r="X11" i="8"/>
  <c r="V11" i="8"/>
  <c r="U11" i="8"/>
  <c r="T11" i="8"/>
  <c r="S11" i="8"/>
  <c r="Q11" i="8"/>
  <c r="P11" i="8"/>
  <c r="O11" i="8"/>
  <c r="N11" i="8"/>
  <c r="AP61" i="2" l="1"/>
  <c r="AO61" i="2"/>
  <c r="AN61" i="2"/>
  <c r="AM61" i="2"/>
  <c r="AQ60" i="2"/>
  <c r="AQ59" i="2"/>
  <c r="AQ58" i="2"/>
  <c r="AK61" i="2"/>
  <c r="AJ61" i="2"/>
  <c r="AI61" i="2"/>
  <c r="AH61" i="2"/>
  <c r="Z29" i="9"/>
  <c r="Y29" i="9"/>
  <c r="X29" i="9"/>
  <c r="V29" i="9"/>
  <c r="U29" i="9"/>
  <c r="T29" i="9"/>
  <c r="S29" i="9"/>
  <c r="Q29" i="9"/>
  <c r="P29" i="9"/>
  <c r="O29" i="9"/>
  <c r="Z26" i="9"/>
  <c r="Y26" i="9"/>
  <c r="X26" i="9"/>
  <c r="V26" i="9"/>
  <c r="U26" i="9"/>
  <c r="T26" i="9"/>
  <c r="S26" i="9"/>
  <c r="Q26" i="9"/>
  <c r="P26" i="9"/>
  <c r="O26" i="9"/>
  <c r="N26" i="9"/>
  <c r="L26" i="9"/>
  <c r="K26" i="9"/>
  <c r="J26" i="9"/>
  <c r="I26" i="9"/>
  <c r="F26" i="9"/>
  <c r="G26" i="9"/>
  <c r="Z23" i="9"/>
  <c r="Y23" i="9"/>
  <c r="X23" i="9"/>
  <c r="V23" i="9"/>
  <c r="U23" i="9"/>
  <c r="T23" i="9"/>
  <c r="S23" i="9"/>
  <c r="Q23" i="9"/>
  <c r="P23" i="9"/>
  <c r="O23" i="9"/>
  <c r="N23" i="9"/>
  <c r="L23" i="9"/>
  <c r="K23" i="9"/>
  <c r="J23" i="9"/>
  <c r="I23" i="9"/>
  <c r="G23" i="9"/>
  <c r="F23" i="9"/>
  <c r="E23" i="9"/>
  <c r="D23" i="9"/>
  <c r="AJ13" i="9"/>
  <c r="AJ25" i="9" s="1"/>
  <c r="AI13" i="9"/>
  <c r="AI25" i="9" s="1"/>
  <c r="AH13" i="9"/>
  <c r="AH25" i="9" s="1"/>
  <c r="K30" i="5" l="1"/>
  <c r="AM13" i="9"/>
  <c r="AM25" i="9" s="1"/>
  <c r="AQ61" i="2"/>
  <c r="AL61" i="2"/>
  <c r="AN13" i="9"/>
  <c r="AN25" i="9" s="1"/>
  <c r="AO13" i="9"/>
  <c r="AO25" i="9" s="1"/>
  <c r="I14" i="9"/>
  <c r="J14" i="9"/>
  <c r="AP40" i="8"/>
  <c r="AP37" i="8" s="1"/>
  <c r="AO40" i="8"/>
  <c r="AO37" i="8" s="1"/>
  <c r="AN40" i="8"/>
  <c r="AN37" i="8" s="1"/>
  <c r="AM40" i="8"/>
  <c r="AM37" i="8" s="1"/>
  <c r="AP18" i="8"/>
  <c r="AO18" i="8"/>
  <c r="AN18" i="8"/>
  <c r="AM18" i="8"/>
  <c r="AD18" i="8"/>
  <c r="AI18" i="8"/>
  <c r="AH18" i="8"/>
  <c r="AK40" i="8"/>
  <c r="AK37" i="8" s="1"/>
  <c r="AJ40" i="8"/>
  <c r="AJ37" i="8" s="1"/>
  <c r="AI40" i="8"/>
  <c r="AI37" i="8" s="1"/>
  <c r="AH40" i="8"/>
  <c r="AH37" i="8" s="1"/>
  <c r="AK18" i="8"/>
  <c r="AJ18" i="8"/>
  <c r="AC32" i="8"/>
  <c r="AC29" i="8" s="1"/>
  <c r="AD32" i="8"/>
  <c r="AD29" i="8" s="1"/>
  <c r="AE32" i="8"/>
  <c r="AE29" i="8" s="1"/>
  <c r="AF40" i="8"/>
  <c r="AF37" i="8" s="1"/>
  <c r="AE40" i="8"/>
  <c r="AE37" i="8" s="1"/>
  <c r="AD40" i="8"/>
  <c r="AD37" i="8" s="1"/>
  <c r="AC40" i="8"/>
  <c r="AC37" i="8" s="1"/>
  <c r="AF18" i="8"/>
  <c r="AE18" i="8"/>
  <c r="AB72" i="2"/>
  <c r="G46" i="11" s="1"/>
  <c r="W72" i="2"/>
  <c r="F46" i="11" s="1"/>
  <c r="R72" i="2"/>
  <c r="M72" i="2"/>
  <c r="H72" i="2"/>
  <c r="AF61" i="2"/>
  <c r="D30" i="5" s="1"/>
  <c r="AE61" i="2"/>
  <c r="AD61" i="2"/>
  <c r="AC61" i="2"/>
  <c r="AA61" i="2"/>
  <c r="Z61" i="2"/>
  <c r="Y61" i="2"/>
  <c r="X61" i="2"/>
  <c r="V61" i="2"/>
  <c r="U61" i="2"/>
  <c r="T61" i="2"/>
  <c r="S61" i="2"/>
  <c r="Q61" i="2"/>
  <c r="P61" i="2"/>
  <c r="O61" i="2"/>
  <c r="N61" i="2"/>
  <c r="AG60" i="2"/>
  <c r="AG59" i="2"/>
  <c r="AG58" i="2"/>
  <c r="AB60" i="2"/>
  <c r="AB59" i="2"/>
  <c r="AB58" i="2"/>
  <c r="W60" i="2"/>
  <c r="W59" i="2"/>
  <c r="W58" i="2"/>
  <c r="R60" i="2"/>
  <c r="R59" i="2"/>
  <c r="R58" i="2"/>
  <c r="M60" i="2"/>
  <c r="M59" i="2"/>
  <c r="M58" i="2"/>
  <c r="H60" i="2"/>
  <c r="H59" i="2"/>
  <c r="H58" i="2"/>
  <c r="G61" i="2"/>
  <c r="F61" i="2"/>
  <c r="E61" i="2"/>
  <c r="D61" i="2"/>
  <c r="J61" i="2"/>
  <c r="I61" i="2"/>
  <c r="L61" i="2"/>
  <c r="K61" i="2"/>
  <c r="G35" i="2"/>
  <c r="F35" i="2"/>
  <c r="E35" i="2"/>
  <c r="D35" i="2"/>
  <c r="J35" i="2"/>
  <c r="I35" i="2"/>
  <c r="Z19" i="9"/>
  <c r="Z21" i="2" s="1"/>
  <c r="Y19" i="9"/>
  <c r="Y21" i="2" s="1"/>
  <c r="X19" i="9"/>
  <c r="V19" i="9"/>
  <c r="U19" i="9"/>
  <c r="T19" i="9"/>
  <c r="T21" i="2" s="1"/>
  <c r="S19" i="9"/>
  <c r="S21" i="2" s="1"/>
  <c r="Q19" i="9"/>
  <c r="Q21" i="2" s="1"/>
  <c r="P19" i="9"/>
  <c r="P21" i="2" s="1"/>
  <c r="O19" i="9"/>
  <c r="O21" i="2" s="1"/>
  <c r="N19" i="9"/>
  <c r="N21" i="2" s="1"/>
  <c r="L19" i="9"/>
  <c r="K19" i="9"/>
  <c r="K21" i="2" s="1"/>
  <c r="J19" i="9"/>
  <c r="J21" i="2" s="1"/>
  <c r="I19" i="9"/>
  <c r="I21" i="2" s="1"/>
  <c r="E19" i="9"/>
  <c r="F19" i="9"/>
  <c r="G19" i="9"/>
  <c r="G21" i="2" s="1"/>
  <c r="D19" i="9"/>
  <c r="G29" i="9"/>
  <c r="F29" i="9"/>
  <c r="E29" i="9"/>
  <c r="D29" i="9"/>
  <c r="W28" i="9"/>
  <c r="R28" i="9"/>
  <c r="M28" i="9"/>
  <c r="H28" i="9"/>
  <c r="H29" i="9" s="1"/>
  <c r="W25" i="9"/>
  <c r="R25" i="9"/>
  <c r="M25" i="9"/>
  <c r="H25" i="9"/>
  <c r="W22" i="9"/>
  <c r="R22" i="9"/>
  <c r="M22" i="9"/>
  <c r="H22" i="9"/>
  <c r="Z17" i="9"/>
  <c r="Y17" i="9"/>
  <c r="X17" i="9"/>
  <c r="V17" i="9"/>
  <c r="U17" i="9"/>
  <c r="T17" i="9"/>
  <c r="S17" i="9"/>
  <c r="Q17" i="9"/>
  <c r="P17" i="9"/>
  <c r="O17" i="9"/>
  <c r="N17" i="9"/>
  <c r="L17" i="9"/>
  <c r="K17" i="9"/>
  <c r="J17" i="9"/>
  <c r="I17" i="9"/>
  <c r="AB28" i="9"/>
  <c r="W16" i="9"/>
  <c r="W29" i="9" s="1"/>
  <c r="R16" i="9"/>
  <c r="M16" i="9"/>
  <c r="H16" i="9"/>
  <c r="Z14" i="9"/>
  <c r="Y14" i="9"/>
  <c r="X14" i="9"/>
  <c r="V14" i="9"/>
  <c r="U14" i="9"/>
  <c r="T14" i="9"/>
  <c r="S14" i="9"/>
  <c r="Q14" i="9"/>
  <c r="P14" i="9"/>
  <c r="O14" i="9"/>
  <c r="N14" i="9"/>
  <c r="L14" i="9"/>
  <c r="K14" i="9"/>
  <c r="AB25" i="9"/>
  <c r="W13" i="9"/>
  <c r="W26" i="9" s="1"/>
  <c r="R13" i="9"/>
  <c r="R26" i="9" s="1"/>
  <c r="M13" i="9"/>
  <c r="M26" i="9" s="1"/>
  <c r="H13" i="9"/>
  <c r="Z11" i="9"/>
  <c r="Y11" i="9"/>
  <c r="X11" i="9"/>
  <c r="V11" i="9"/>
  <c r="U11" i="9"/>
  <c r="T11" i="9"/>
  <c r="S11" i="9"/>
  <c r="Q11" i="9"/>
  <c r="P11" i="9"/>
  <c r="O11" i="9"/>
  <c r="N11" i="9"/>
  <c r="L11" i="9"/>
  <c r="K11" i="9"/>
  <c r="J11" i="9"/>
  <c r="I11" i="9"/>
  <c r="W10" i="9"/>
  <c r="R10" i="9"/>
  <c r="M10" i="9"/>
  <c r="M23" i="9" s="1"/>
  <c r="H10" i="9"/>
  <c r="H23" i="9" s="1"/>
  <c r="Z7" i="9"/>
  <c r="Y7" i="9"/>
  <c r="Y12" i="2" s="1"/>
  <c r="X7" i="9"/>
  <c r="X12" i="2" s="1"/>
  <c r="V7" i="9"/>
  <c r="U7" i="9"/>
  <c r="T7" i="9"/>
  <c r="S7" i="9"/>
  <c r="Q7" i="9"/>
  <c r="P7" i="9"/>
  <c r="P12" i="2" s="1"/>
  <c r="O7" i="9"/>
  <c r="O12" i="2" s="1"/>
  <c r="N7" i="9"/>
  <c r="L7" i="9"/>
  <c r="K7" i="9"/>
  <c r="J7" i="9"/>
  <c r="J12" i="2" s="1"/>
  <c r="I7" i="9"/>
  <c r="G7" i="9"/>
  <c r="G12" i="2" s="1"/>
  <c r="F7" i="9"/>
  <c r="F12" i="2" s="1"/>
  <c r="E7" i="9"/>
  <c r="E12" i="2" s="1"/>
  <c r="D7" i="9"/>
  <c r="AJ38" i="8" l="1"/>
  <c r="T31" i="9"/>
  <c r="D31" i="9"/>
  <c r="U31" i="9"/>
  <c r="AM38" i="8"/>
  <c r="AP38" i="8"/>
  <c r="AO38" i="8"/>
  <c r="N31" i="9"/>
  <c r="AM19" i="8"/>
  <c r="M61" i="2"/>
  <c r="R61" i="2"/>
  <c r="W61" i="2"/>
  <c r="AB61" i="2"/>
  <c r="AL37" i="8"/>
  <c r="AK38" i="8"/>
  <c r="AP19" i="8"/>
  <c r="AG37" i="8"/>
  <c r="AJ19" i="8"/>
  <c r="AH19" i="8"/>
  <c r="AK19" i="8"/>
  <c r="AO19" i="8"/>
  <c r="AQ37" i="8"/>
  <c r="R29" i="9"/>
  <c r="I20" i="9"/>
  <c r="I32" i="9" s="1"/>
  <c r="Z31" i="9"/>
  <c r="R23" i="9"/>
  <c r="W23" i="9"/>
  <c r="V31" i="9"/>
  <c r="H26" i="9"/>
  <c r="AB16" i="9"/>
  <c r="AB29" i="9" s="1"/>
  <c r="AK16" i="9"/>
  <c r="AB10" i="9"/>
  <c r="AB11" i="9" s="1"/>
  <c r="AP10" i="9"/>
  <c r="P8" i="9"/>
  <c r="E31" i="9"/>
  <c r="AB13" i="9"/>
  <c r="AB26" i="9" s="1"/>
  <c r="J31" i="9"/>
  <c r="P31" i="9"/>
  <c r="K31" i="9"/>
  <c r="X31" i="9"/>
  <c r="L8" i="9"/>
  <c r="L31" i="9"/>
  <c r="Y31" i="9"/>
  <c r="V8" i="9"/>
  <c r="G31" i="9"/>
  <c r="I31" i="9"/>
  <c r="F31" i="9"/>
  <c r="O31" i="9"/>
  <c r="S31" i="9"/>
  <c r="Q31" i="9"/>
  <c r="Q20" i="9"/>
  <c r="Q32" i="9" s="1"/>
  <c r="AE38" i="8"/>
  <c r="AF38" i="8"/>
  <c r="AH38" i="8"/>
  <c r="AN8" i="8"/>
  <c r="AN32" i="8" s="1"/>
  <c r="AD6" i="8"/>
  <c r="AD23" i="8" s="1"/>
  <c r="AE23" i="8"/>
  <c r="AJ24" i="8" s="1"/>
  <c r="H61" i="2"/>
  <c r="AG61" i="2"/>
  <c r="H35" i="2"/>
  <c r="H7" i="9"/>
  <c r="R7" i="9"/>
  <c r="E20" i="9"/>
  <c r="E32" i="9" s="1"/>
  <c r="W14" i="9"/>
  <c r="U20" i="9"/>
  <c r="U32" i="9" s="1"/>
  <c r="T8" i="9"/>
  <c r="D20" i="9"/>
  <c r="D32" i="9" s="1"/>
  <c r="X20" i="9"/>
  <c r="X32" i="9" s="1"/>
  <c r="Z20" i="9"/>
  <c r="Z32" i="9" s="1"/>
  <c r="T12" i="2"/>
  <c r="Y13" i="2" s="1"/>
  <c r="T20" i="9"/>
  <c r="T32" i="9" s="1"/>
  <c r="L20" i="9"/>
  <c r="L32" i="9" s="1"/>
  <c r="U8" i="9"/>
  <c r="U21" i="2"/>
  <c r="S20" i="9"/>
  <c r="S32" i="9" s="1"/>
  <c r="K20" i="9"/>
  <c r="K32" i="9" s="1"/>
  <c r="Y20" i="9"/>
  <c r="Y32" i="9" s="1"/>
  <c r="W17" i="9"/>
  <c r="P20" i="9"/>
  <c r="P32" i="9" s="1"/>
  <c r="J20" i="9"/>
  <c r="J32" i="9" s="1"/>
  <c r="M19" i="9"/>
  <c r="O20" i="9"/>
  <c r="O32" i="9" s="1"/>
  <c r="G20" i="9"/>
  <c r="G32" i="9" s="1"/>
  <c r="W11" i="9"/>
  <c r="R17" i="9"/>
  <c r="N8" i="9"/>
  <c r="V20" i="9"/>
  <c r="V32" i="9" s="1"/>
  <c r="N20" i="9"/>
  <c r="N32" i="9" s="1"/>
  <c r="F20" i="9"/>
  <c r="F32" i="9" s="1"/>
  <c r="K12" i="2"/>
  <c r="K14" i="2" s="1"/>
  <c r="R21" i="2"/>
  <c r="R19" i="9"/>
  <c r="Y8" i="9"/>
  <c r="W19" i="9"/>
  <c r="L12" i="2"/>
  <c r="L13" i="2" s="1"/>
  <c r="V12" i="2"/>
  <c r="L21" i="2"/>
  <c r="M21" i="2" s="1"/>
  <c r="V21" i="2"/>
  <c r="R14" i="9"/>
  <c r="U12" i="2"/>
  <c r="Q8" i="9"/>
  <c r="Z8" i="9"/>
  <c r="M11" i="9"/>
  <c r="D12" i="2"/>
  <c r="E14" i="2" s="1"/>
  <c r="N12" i="2"/>
  <c r="O14" i="2" s="1"/>
  <c r="D21" i="2"/>
  <c r="X21" i="2"/>
  <c r="M14" i="9"/>
  <c r="W7" i="9"/>
  <c r="K8" i="9"/>
  <c r="R11" i="9"/>
  <c r="M17" i="9"/>
  <c r="Z12" i="2"/>
  <c r="F21" i="2"/>
  <c r="I8" i="9"/>
  <c r="AA7" i="9"/>
  <c r="J8" i="9"/>
  <c r="Q12" i="2"/>
  <c r="E21" i="2"/>
  <c r="I12" i="2"/>
  <c r="S12" i="2"/>
  <c r="X13" i="2" s="1"/>
  <c r="H19" i="9"/>
  <c r="P14" i="2"/>
  <c r="Y14" i="2"/>
  <c r="O13" i="2"/>
  <c r="S8" i="9"/>
  <c r="M7" i="9"/>
  <c r="X8" i="9"/>
  <c r="O8" i="9"/>
  <c r="AB44" i="8"/>
  <c r="D6" i="8"/>
  <c r="G14" i="2"/>
  <c r="F14" i="2"/>
  <c r="J13" i="2"/>
  <c r="Z45" i="8"/>
  <c r="Y45" i="8"/>
  <c r="X45" i="8"/>
  <c r="V45" i="8"/>
  <c r="U45" i="8"/>
  <c r="T45" i="8"/>
  <c r="S45" i="8"/>
  <c r="Q45" i="8"/>
  <c r="P45" i="8"/>
  <c r="O45" i="8"/>
  <c r="N45" i="8"/>
  <c r="L45" i="8"/>
  <c r="K45" i="8"/>
  <c r="J45" i="8"/>
  <c r="I45" i="8"/>
  <c r="G45" i="8"/>
  <c r="F45" i="8"/>
  <c r="E45" i="8"/>
  <c r="D45" i="8"/>
  <c r="W44" i="8"/>
  <c r="R44" i="8"/>
  <c r="M44" i="8"/>
  <c r="H44" i="8"/>
  <c r="AQ40" i="8"/>
  <c r="AL40" i="8"/>
  <c r="AG40" i="8"/>
  <c r="AA40" i="8"/>
  <c r="AA37" i="8" s="1"/>
  <c r="Z40" i="8"/>
  <c r="Y40" i="8"/>
  <c r="X40" i="8"/>
  <c r="X37" i="8" s="1"/>
  <c r="V40" i="8"/>
  <c r="V37" i="8" s="1"/>
  <c r="U40" i="8"/>
  <c r="U37" i="8" s="1"/>
  <c r="T40" i="8"/>
  <c r="T37" i="8" s="1"/>
  <c r="S40" i="8"/>
  <c r="S37" i="8" s="1"/>
  <c r="Q40" i="8"/>
  <c r="Q37" i="8" s="1"/>
  <c r="P40" i="8"/>
  <c r="P37" i="8" s="1"/>
  <c r="O40" i="8"/>
  <c r="O37" i="8" s="1"/>
  <c r="N40" i="8"/>
  <c r="N37" i="8" s="1"/>
  <c r="L40" i="8"/>
  <c r="L37" i="8" s="1"/>
  <c r="K40" i="8"/>
  <c r="K37" i="8" s="1"/>
  <c r="J40" i="8"/>
  <c r="J37" i="8" s="1"/>
  <c r="I40" i="8"/>
  <c r="G40" i="8"/>
  <c r="F40" i="8"/>
  <c r="E40" i="8"/>
  <c r="D40" i="8"/>
  <c r="Y38" i="8"/>
  <c r="H37" i="8"/>
  <c r="Z32" i="8"/>
  <c r="Z29" i="8" s="1"/>
  <c r="Y32" i="8"/>
  <c r="Y29" i="8" s="1"/>
  <c r="Y26" i="8" s="1"/>
  <c r="Y19" i="2" s="1"/>
  <c r="Y23" i="2" s="1"/>
  <c r="X32" i="8"/>
  <c r="X29" i="8" s="1"/>
  <c r="V32" i="8"/>
  <c r="V29" i="8" s="1"/>
  <c r="U32" i="8"/>
  <c r="U29" i="8" s="1"/>
  <c r="T32" i="8"/>
  <c r="T29" i="8" s="1"/>
  <c r="S32" i="8"/>
  <c r="S29" i="8" s="1"/>
  <c r="Q32" i="8"/>
  <c r="Q29" i="8" s="1"/>
  <c r="P32" i="8"/>
  <c r="P29" i="8" s="1"/>
  <c r="O32" i="8"/>
  <c r="O29" i="8" s="1"/>
  <c r="N32" i="8"/>
  <c r="N29" i="8" s="1"/>
  <c r="L32" i="8"/>
  <c r="L29" i="8" s="1"/>
  <c r="K32" i="8"/>
  <c r="K29" i="8" s="1"/>
  <c r="J32" i="8"/>
  <c r="J29" i="8" s="1"/>
  <c r="I32" i="8"/>
  <c r="I29" i="8" s="1"/>
  <c r="G32" i="8"/>
  <c r="G29" i="8" s="1"/>
  <c r="F32" i="8"/>
  <c r="F29" i="8" s="1"/>
  <c r="E32" i="8"/>
  <c r="E29" i="8" s="1"/>
  <c r="D32" i="8"/>
  <c r="D29" i="8" s="1"/>
  <c r="D26" i="8" s="1"/>
  <c r="D19" i="2" s="1"/>
  <c r="Z24" i="8"/>
  <c r="Y24" i="8"/>
  <c r="X24" i="8"/>
  <c r="V24" i="8"/>
  <c r="U24" i="8"/>
  <c r="T24" i="8"/>
  <c r="S24" i="8"/>
  <c r="Q24" i="8"/>
  <c r="P24" i="8"/>
  <c r="O24" i="8"/>
  <c r="N24" i="8"/>
  <c r="L24" i="8"/>
  <c r="K24" i="8"/>
  <c r="J24" i="8"/>
  <c r="I24" i="8"/>
  <c r="W23" i="8"/>
  <c r="R23" i="8"/>
  <c r="M23" i="8"/>
  <c r="H23" i="8"/>
  <c r="AB20" i="8"/>
  <c r="AB40" i="8" s="1"/>
  <c r="W20" i="8"/>
  <c r="W40" i="8" s="1"/>
  <c r="R20" i="8"/>
  <c r="R40" i="8" s="1"/>
  <c r="M20" i="8"/>
  <c r="M40" i="8" s="1"/>
  <c r="H20" i="8"/>
  <c r="H40" i="8" s="1"/>
  <c r="AQ18" i="8"/>
  <c r="AL18" i="8"/>
  <c r="AG18" i="8"/>
  <c r="AA18" i="8"/>
  <c r="Z18" i="8"/>
  <c r="Z38" i="8" s="1"/>
  <c r="X18" i="8"/>
  <c r="AC19" i="8" s="1"/>
  <c r="V18" i="8"/>
  <c r="U18" i="8"/>
  <c r="T18" i="8"/>
  <c r="S18" i="8"/>
  <c r="Q18" i="8"/>
  <c r="P18" i="8"/>
  <c r="O18" i="8"/>
  <c r="N18" i="8"/>
  <c r="L18" i="8"/>
  <c r="K18" i="8"/>
  <c r="J18" i="8"/>
  <c r="I18" i="8"/>
  <c r="I38" i="8" s="1"/>
  <c r="G18" i="8"/>
  <c r="G38" i="8" s="1"/>
  <c r="F18" i="8"/>
  <c r="F38" i="8" s="1"/>
  <c r="E18" i="8"/>
  <c r="E38" i="8" s="1"/>
  <c r="D18" i="8"/>
  <c r="Z9" i="8"/>
  <c r="Y9" i="8"/>
  <c r="X9" i="8"/>
  <c r="V9" i="8"/>
  <c r="U9" i="8"/>
  <c r="T9" i="8"/>
  <c r="S9" i="8"/>
  <c r="Q9" i="8"/>
  <c r="P9" i="8"/>
  <c r="O9" i="8"/>
  <c r="N9" i="8"/>
  <c r="L9" i="8"/>
  <c r="K9" i="8"/>
  <c r="J9" i="8"/>
  <c r="I9" i="8"/>
  <c r="W8" i="8"/>
  <c r="W32" i="8" s="1"/>
  <c r="R8" i="8"/>
  <c r="M8" i="8"/>
  <c r="M32" i="8" s="1"/>
  <c r="H8" i="8"/>
  <c r="H32" i="8" s="1"/>
  <c r="Y6" i="8"/>
  <c r="X6" i="8"/>
  <c r="V6" i="8"/>
  <c r="U6" i="8"/>
  <c r="T6" i="8"/>
  <c r="S6" i="8"/>
  <c r="Q6" i="8"/>
  <c r="P6" i="8"/>
  <c r="O6" i="8"/>
  <c r="N6" i="8"/>
  <c r="L6" i="8"/>
  <c r="K6" i="8"/>
  <c r="J6" i="8"/>
  <c r="I6" i="8"/>
  <c r="G6" i="8"/>
  <c r="F6" i="8"/>
  <c r="E6" i="8"/>
  <c r="W8" i="9" l="1"/>
  <c r="R20" i="9"/>
  <c r="R32" i="9" s="1"/>
  <c r="AI24" i="8"/>
  <c r="AD24" i="8"/>
  <c r="AD44" i="8"/>
  <c r="W31" i="9"/>
  <c r="AO8" i="8"/>
  <c r="AO32" i="8" s="1"/>
  <c r="AO29" i="8" s="1"/>
  <c r="AJ32" i="8"/>
  <c r="AJ29" i="8" s="1"/>
  <c r="AE24" i="8"/>
  <c r="AE44" i="8"/>
  <c r="AB14" i="9"/>
  <c r="AE19" i="8"/>
  <c r="AA38" i="8"/>
  <c r="AM8" i="8"/>
  <c r="AP22" i="9"/>
  <c r="AK28" i="9"/>
  <c r="AP16" i="9"/>
  <c r="AK13" i="9"/>
  <c r="AK12" i="2" s="1"/>
  <c r="K7" i="5" s="1"/>
  <c r="AK22" i="9"/>
  <c r="M31" i="9"/>
  <c r="AB17" i="9"/>
  <c r="AF12" i="2"/>
  <c r="D7" i="5" s="1"/>
  <c r="H31" i="9"/>
  <c r="M8" i="9"/>
  <c r="R31" i="9"/>
  <c r="H20" i="9"/>
  <c r="H32" i="9" s="1"/>
  <c r="AN6" i="8"/>
  <c r="AN29" i="8"/>
  <c r="AH6" i="8"/>
  <c r="AH23" i="8" s="1"/>
  <c r="AH24" i="8" s="1"/>
  <c r="AD7" i="8"/>
  <c r="AE30" i="8"/>
  <c r="AD30" i="8"/>
  <c r="AE7" i="8"/>
  <c r="AA32" i="8"/>
  <c r="AA29" i="8" s="1"/>
  <c r="AA26" i="8" s="1"/>
  <c r="AA19" i="2" s="1"/>
  <c r="AF19" i="8"/>
  <c r="H12" i="2"/>
  <c r="V13" i="2"/>
  <c r="T13" i="2"/>
  <c r="U14" i="2"/>
  <c r="Q14" i="2"/>
  <c r="P13" i="2"/>
  <c r="M12" i="2"/>
  <c r="M20" i="9"/>
  <c r="M32" i="9" s="1"/>
  <c r="W21" i="2"/>
  <c r="V14" i="2"/>
  <c r="K13" i="2"/>
  <c r="U13" i="2"/>
  <c r="Q13" i="2"/>
  <c r="W20" i="9"/>
  <c r="W32" i="9" s="1"/>
  <c r="AB7" i="9"/>
  <c r="AB8" i="9" s="1"/>
  <c r="S13" i="2"/>
  <c r="W12" i="2"/>
  <c r="J14" i="2"/>
  <c r="Z13" i="2"/>
  <c r="N14" i="2"/>
  <c r="D23" i="2"/>
  <c r="L14" i="2"/>
  <c r="X14" i="2"/>
  <c r="S14" i="2"/>
  <c r="R12" i="2"/>
  <c r="I14" i="2"/>
  <c r="Z14" i="2"/>
  <c r="N13" i="2"/>
  <c r="AA12" i="2"/>
  <c r="AB12" i="2" s="1"/>
  <c r="AA8" i="9"/>
  <c r="I13" i="2"/>
  <c r="H21" i="2"/>
  <c r="T14" i="2"/>
  <c r="R8" i="9"/>
  <c r="AA6" i="8"/>
  <c r="AA7" i="8" s="1"/>
  <c r="AB8" i="8"/>
  <c r="AB32" i="8" s="1"/>
  <c r="AB23" i="8"/>
  <c r="Y7" i="8"/>
  <c r="L4" i="8"/>
  <c r="D4" i="8"/>
  <c r="D47" i="8" s="1"/>
  <c r="AQ19" i="8"/>
  <c r="E4" i="8"/>
  <c r="O4" i="8"/>
  <c r="I4" i="8"/>
  <c r="U4" i="8"/>
  <c r="W24" i="8"/>
  <c r="R9" i="8"/>
  <c r="Q4" i="8"/>
  <c r="G4" i="8"/>
  <c r="R24" i="8"/>
  <c r="T38" i="8"/>
  <c r="N19" i="8"/>
  <c r="X19" i="8"/>
  <c r="T19" i="8"/>
  <c r="P19" i="8"/>
  <c r="F4" i="8"/>
  <c r="P4" i="8"/>
  <c r="Z7" i="8"/>
  <c r="V19" i="8"/>
  <c r="V38" i="8"/>
  <c r="H45" i="8"/>
  <c r="Q7" i="8"/>
  <c r="S19" i="8"/>
  <c r="I30" i="8"/>
  <c r="S7" i="8"/>
  <c r="J7" i="8"/>
  <c r="T30" i="8"/>
  <c r="K30" i="8"/>
  <c r="L26" i="8"/>
  <c r="L19" i="2" s="1"/>
  <c r="L23" i="2" s="1"/>
  <c r="Q30" i="8"/>
  <c r="N30" i="8"/>
  <c r="Z19" i="8"/>
  <c r="S30" i="8"/>
  <c r="P30" i="8"/>
  <c r="P26" i="8"/>
  <c r="P19" i="2" s="1"/>
  <c r="P23" i="2" s="1"/>
  <c r="O38" i="8"/>
  <c r="O26" i="8"/>
  <c r="O19" i="2" s="1"/>
  <c r="O23" i="2" s="1"/>
  <c r="Z30" i="8"/>
  <c r="Z26" i="8"/>
  <c r="Z19" i="2" s="1"/>
  <c r="Z23" i="2" s="1"/>
  <c r="X30" i="8"/>
  <c r="X26" i="8"/>
  <c r="X19" i="2" s="1"/>
  <c r="E30" i="8"/>
  <c r="E26" i="8"/>
  <c r="E19" i="2" s="1"/>
  <c r="E23" i="2" s="1"/>
  <c r="U19" i="8"/>
  <c r="I26" i="8"/>
  <c r="I19" i="2" s="1"/>
  <c r="J38" i="8"/>
  <c r="R45" i="8"/>
  <c r="M24" i="8"/>
  <c r="T4" i="8"/>
  <c r="M6" i="8"/>
  <c r="M10" i="8" s="1"/>
  <c r="X7" i="8"/>
  <c r="R18" i="8"/>
  <c r="AL19" i="8"/>
  <c r="U30" i="8"/>
  <c r="K38" i="8"/>
  <c r="AL38" i="8"/>
  <c r="W45" i="8"/>
  <c r="H29" i="8"/>
  <c r="H34" i="8" s="1"/>
  <c r="W9" i="8"/>
  <c r="M45" i="8"/>
  <c r="J30" i="8"/>
  <c r="L38" i="8"/>
  <c r="AQ38" i="8"/>
  <c r="Y4" i="8"/>
  <c r="Z4" i="8"/>
  <c r="K7" i="8"/>
  <c r="U7" i="8"/>
  <c r="K19" i="8"/>
  <c r="O7" i="8"/>
  <c r="X38" i="8"/>
  <c r="L30" i="8"/>
  <c r="V7" i="8"/>
  <c r="I7" i="8"/>
  <c r="Q19" i="8"/>
  <c r="L19" i="8"/>
  <c r="T26" i="8"/>
  <c r="T19" i="2" s="1"/>
  <c r="T23" i="2" s="1"/>
  <c r="O30" i="8"/>
  <c r="Y30" i="8"/>
  <c r="P38" i="8"/>
  <c r="P7" i="8"/>
  <c r="J19" i="8"/>
  <c r="D30" i="8"/>
  <c r="N7" i="8"/>
  <c r="X4" i="8"/>
  <c r="H18" i="8"/>
  <c r="H38" i="8" s="1"/>
  <c r="S38" i="8"/>
  <c r="R37" i="8"/>
  <c r="N26" i="8"/>
  <c r="N19" i="2" s="1"/>
  <c r="N38" i="8"/>
  <c r="V26" i="8"/>
  <c r="V19" i="2" s="1"/>
  <c r="V23" i="2" s="1"/>
  <c r="G26" i="8"/>
  <c r="G19" i="2" s="1"/>
  <c r="G23" i="2" s="1"/>
  <c r="G30" i="8"/>
  <c r="Q38" i="8"/>
  <c r="Q26" i="8"/>
  <c r="Q19" i="2" s="1"/>
  <c r="Q23" i="2" s="1"/>
  <c r="U26" i="8"/>
  <c r="U19" i="2" s="1"/>
  <c r="U23" i="2" s="1"/>
  <c r="U38" i="8"/>
  <c r="M18" i="8"/>
  <c r="O19" i="8"/>
  <c r="M37" i="8"/>
  <c r="D38" i="8"/>
  <c r="J4" i="8"/>
  <c r="H6" i="8"/>
  <c r="R6" i="8"/>
  <c r="J26" i="8"/>
  <c r="J19" i="2" s="1"/>
  <c r="J23" i="2" s="1"/>
  <c r="R29" i="8"/>
  <c r="F30" i="8"/>
  <c r="V30" i="8"/>
  <c r="R32" i="8"/>
  <c r="AG38" i="8"/>
  <c r="W29" i="8"/>
  <c r="S4" i="8"/>
  <c r="N4" i="8"/>
  <c r="V4" i="8"/>
  <c r="L7" i="8"/>
  <c r="T7" i="8"/>
  <c r="W18" i="8"/>
  <c r="I19" i="8"/>
  <c r="K26" i="8"/>
  <c r="K19" i="2" s="1"/>
  <c r="K23" i="2" s="1"/>
  <c r="S26" i="8"/>
  <c r="S19" i="2" s="1"/>
  <c r="W37" i="8"/>
  <c r="M9" i="8"/>
  <c r="W6" i="8"/>
  <c r="AB18" i="8"/>
  <c r="K4" i="8"/>
  <c r="AA19" i="8"/>
  <c r="M29" i="8"/>
  <c r="AB37" i="8"/>
  <c r="F26" i="8"/>
  <c r="F19" i="2" s="1"/>
  <c r="F23" i="2" s="1"/>
  <c r="AO6" i="8" l="1"/>
  <c r="AO30" i="8" s="1"/>
  <c r="AM6" i="8"/>
  <c r="AM7" i="8" s="1"/>
  <c r="AM32" i="8"/>
  <c r="AP28" i="9"/>
  <c r="AK13" i="2"/>
  <c r="AB29" i="8"/>
  <c r="AB34" i="8" s="1"/>
  <c r="AK32" i="8"/>
  <c r="AG8" i="8"/>
  <c r="AG9" i="8" s="1"/>
  <c r="AK25" i="9"/>
  <c r="AL25" i="9" s="1"/>
  <c r="AP13" i="9"/>
  <c r="AQ13" i="9" s="1"/>
  <c r="AL13" i="9"/>
  <c r="AK8" i="9"/>
  <c r="AG14" i="9"/>
  <c r="AF8" i="9"/>
  <c r="AH29" i="8"/>
  <c r="AO7" i="8"/>
  <c r="AN30" i="8"/>
  <c r="AN7" i="8"/>
  <c r="AI30" i="8"/>
  <c r="AI7" i="8"/>
  <c r="AJ7" i="8"/>
  <c r="AJ30" i="8"/>
  <c r="Y47" i="8"/>
  <c r="AF6" i="8"/>
  <c r="AF23" i="8" s="1"/>
  <c r="AK24" i="8" s="1"/>
  <c r="AF32" i="8"/>
  <c r="R21" i="8"/>
  <c r="E47" i="8"/>
  <c r="F47" i="8"/>
  <c r="Q47" i="8"/>
  <c r="U47" i="8"/>
  <c r="M13" i="2"/>
  <c r="R13" i="2"/>
  <c r="W13" i="2"/>
  <c r="AA13" i="2"/>
  <c r="AF13" i="2"/>
  <c r="AA14" i="2"/>
  <c r="AB13" i="2"/>
  <c r="N9" i="2"/>
  <c r="N15" i="2" s="1"/>
  <c r="N47" i="8"/>
  <c r="I9" i="2"/>
  <c r="I15" i="2" s="1"/>
  <c r="I47" i="8"/>
  <c r="X9" i="2"/>
  <c r="X47" i="8"/>
  <c r="V9" i="2"/>
  <c r="V15" i="2" s="1"/>
  <c r="V47" i="8"/>
  <c r="P47" i="8"/>
  <c r="O47" i="8"/>
  <c r="G9" i="2"/>
  <c r="G15" i="2" s="1"/>
  <c r="G47" i="8"/>
  <c r="S9" i="2"/>
  <c r="S15" i="2" s="1"/>
  <c r="S47" i="8"/>
  <c r="Z9" i="2"/>
  <c r="Z47" i="8"/>
  <c r="T9" i="2"/>
  <c r="T15" i="2" s="1"/>
  <c r="T47" i="8"/>
  <c r="K9" i="2"/>
  <c r="K15" i="2" s="1"/>
  <c r="K47" i="8"/>
  <c r="J9" i="2"/>
  <c r="J15" i="2" s="1"/>
  <c r="J47" i="8"/>
  <c r="L9" i="2"/>
  <c r="L15" i="2" s="1"/>
  <c r="L47" i="8"/>
  <c r="H23" i="2"/>
  <c r="R19" i="2"/>
  <c r="N23" i="2"/>
  <c r="R23" i="2" s="1"/>
  <c r="M19" i="2"/>
  <c r="I23" i="2"/>
  <c r="M23" i="2" s="1"/>
  <c r="W19" i="2"/>
  <c r="S23" i="2"/>
  <c r="W23" i="2" s="1"/>
  <c r="F25" i="11" s="1"/>
  <c r="X23" i="2"/>
  <c r="AB19" i="2"/>
  <c r="H19" i="2"/>
  <c r="Y27" i="8"/>
  <c r="Y48" i="8" s="1"/>
  <c r="Y9" i="2"/>
  <c r="AA4" i="8"/>
  <c r="AB6" i="8"/>
  <c r="AA30" i="8"/>
  <c r="AB9" i="8"/>
  <c r="E9" i="2"/>
  <c r="Q9" i="2"/>
  <c r="D27" i="8"/>
  <c r="D48" i="8" s="1"/>
  <c r="P9" i="2"/>
  <c r="U9" i="2"/>
  <c r="F9" i="2"/>
  <c r="F15" i="2" s="1"/>
  <c r="O9" i="2"/>
  <c r="AB45" i="8"/>
  <c r="AB24" i="8"/>
  <c r="M7" i="8"/>
  <c r="I5" i="8"/>
  <c r="L5" i="8"/>
  <c r="Q5" i="8"/>
  <c r="L27" i="8"/>
  <c r="L48" i="8" s="1"/>
  <c r="D9" i="2"/>
  <c r="D15" i="2" s="1"/>
  <c r="T5" i="8"/>
  <c r="X27" i="8"/>
  <c r="X48" i="8" s="1"/>
  <c r="P27" i="8"/>
  <c r="P48" i="8" s="1"/>
  <c r="R19" i="8"/>
  <c r="U5" i="8"/>
  <c r="M4" i="8"/>
  <c r="O27" i="8"/>
  <c r="O48" i="8" s="1"/>
  <c r="X5" i="8"/>
  <c r="Z27" i="8"/>
  <c r="Z48" i="8" s="1"/>
  <c r="E27" i="8"/>
  <c r="E48" i="8" s="1"/>
  <c r="H26" i="8"/>
  <c r="Z5" i="8"/>
  <c r="T27" i="8"/>
  <c r="T48" i="8" s="1"/>
  <c r="Y5" i="8"/>
  <c r="I27" i="8"/>
  <c r="I48" i="8" s="1"/>
  <c r="U27" i="8"/>
  <c r="U48" i="8" s="1"/>
  <c r="J27" i="8"/>
  <c r="J48" i="8" s="1"/>
  <c r="W4" i="8"/>
  <c r="W7" i="8"/>
  <c r="W10" i="8"/>
  <c r="G27" i="8"/>
  <c r="G48" i="8" s="1"/>
  <c r="H30" i="8"/>
  <c r="M26" i="8"/>
  <c r="M34" i="8"/>
  <c r="M30" i="8"/>
  <c r="W38" i="8"/>
  <c r="W42" i="8"/>
  <c r="W21" i="8"/>
  <c r="W19" i="8"/>
  <c r="V27" i="8"/>
  <c r="V48" i="8" s="1"/>
  <c r="R10" i="8"/>
  <c r="R11" i="8" s="1"/>
  <c r="R7" i="8"/>
  <c r="R4" i="8"/>
  <c r="F27" i="8"/>
  <c r="F48" i="8" s="1"/>
  <c r="AB21" i="8"/>
  <c r="AG19" i="8"/>
  <c r="AB19" i="8"/>
  <c r="S5" i="8"/>
  <c r="M38" i="8"/>
  <c r="M42" i="8"/>
  <c r="AB26" i="8"/>
  <c r="S27" i="8"/>
  <c r="S48" i="8" s="1"/>
  <c r="W26" i="8"/>
  <c r="W34" i="8"/>
  <c r="W30" i="8"/>
  <c r="K27" i="8"/>
  <c r="K48" i="8" s="1"/>
  <c r="H4" i="8"/>
  <c r="H10" i="8"/>
  <c r="M11" i="8" s="1"/>
  <c r="N27" i="8"/>
  <c r="N48" i="8" s="1"/>
  <c r="V5" i="8"/>
  <c r="J5" i="8"/>
  <c r="M21" i="8"/>
  <c r="Y19" i="8"/>
  <c r="M19" i="8"/>
  <c r="Q27" i="8"/>
  <c r="Q48" i="8" s="1"/>
  <c r="R42" i="8"/>
  <c r="R38" i="8"/>
  <c r="O5" i="8"/>
  <c r="AB42" i="8"/>
  <c r="AB38" i="8"/>
  <c r="K5" i="8"/>
  <c r="N5" i="8"/>
  <c r="R30" i="8"/>
  <c r="R34" i="8"/>
  <c r="R26" i="8"/>
  <c r="P5" i="8"/>
  <c r="W11" i="8" l="1"/>
  <c r="AF24" i="8"/>
  <c r="AF44" i="8"/>
  <c r="AQ14" i="9"/>
  <c r="F59" i="3"/>
  <c r="F64" i="3"/>
  <c r="F58" i="3"/>
  <c r="F57" i="3"/>
  <c r="F65" i="3"/>
  <c r="F63" i="3"/>
  <c r="F62" i="3"/>
  <c r="F50" i="3"/>
  <c r="F55" i="3"/>
  <c r="F56" i="3"/>
  <c r="F66" i="3"/>
  <c r="J63" i="3"/>
  <c r="J65" i="3"/>
  <c r="J57" i="3"/>
  <c r="J64" i="3"/>
  <c r="J56" i="3"/>
  <c r="J62" i="3"/>
  <c r="J58" i="3"/>
  <c r="J59" i="3"/>
  <c r="J66" i="3"/>
  <c r="J55" i="3"/>
  <c r="J50" i="3"/>
  <c r="D65" i="3"/>
  <c r="D63" i="3"/>
  <c r="D50" i="3"/>
  <c r="D58" i="3"/>
  <c r="D56" i="3"/>
  <c r="D66" i="3"/>
  <c r="D64" i="3"/>
  <c r="D62" i="3"/>
  <c r="D59" i="3"/>
  <c r="D57" i="3"/>
  <c r="D55" i="3"/>
  <c r="K66" i="3"/>
  <c r="K59" i="3"/>
  <c r="K62" i="3"/>
  <c r="K57" i="3"/>
  <c r="K65" i="3"/>
  <c r="K58" i="3"/>
  <c r="K55" i="3"/>
  <c r="K56" i="3"/>
  <c r="K64" i="3"/>
  <c r="K63" i="3"/>
  <c r="K50" i="3"/>
  <c r="G65" i="3"/>
  <c r="G63" i="3"/>
  <c r="G50" i="3"/>
  <c r="G58" i="3"/>
  <c r="G56" i="3"/>
  <c r="G66" i="3"/>
  <c r="G64" i="3"/>
  <c r="G62" i="3"/>
  <c r="G59" i="3"/>
  <c r="G57" i="3"/>
  <c r="G55" i="3"/>
  <c r="I64" i="3"/>
  <c r="I66" i="3"/>
  <c r="I57" i="3"/>
  <c r="I55" i="3"/>
  <c r="I63" i="3"/>
  <c r="I50" i="3"/>
  <c r="I56" i="3"/>
  <c r="I59" i="3"/>
  <c r="I65" i="3"/>
  <c r="I58" i="3"/>
  <c r="I62" i="3"/>
  <c r="L50" i="3"/>
  <c r="L57" i="3"/>
  <c r="L66" i="3"/>
  <c r="S65" i="3"/>
  <c r="S63" i="3"/>
  <c r="S58" i="3"/>
  <c r="S56" i="3"/>
  <c r="S66" i="3"/>
  <c r="S64" i="3"/>
  <c r="S62" i="3"/>
  <c r="S59" i="3"/>
  <c r="S57" i="3"/>
  <c r="S55" i="3"/>
  <c r="V65" i="3"/>
  <c r="V63" i="3"/>
  <c r="V66" i="3"/>
  <c r="V64" i="3"/>
  <c r="V62" i="3"/>
  <c r="V59" i="3"/>
  <c r="V57" i="3"/>
  <c r="V55" i="3"/>
  <c r="V58" i="3"/>
  <c r="V56" i="3"/>
  <c r="T65" i="3"/>
  <c r="T63" i="3"/>
  <c r="T58" i="3"/>
  <c r="T56" i="3"/>
  <c r="T66" i="3"/>
  <c r="T59" i="3"/>
  <c r="T64" i="3"/>
  <c r="T57" i="3"/>
  <c r="T55" i="3"/>
  <c r="T62" i="3"/>
  <c r="N66" i="3"/>
  <c r="N64" i="3"/>
  <c r="N62" i="3"/>
  <c r="N50" i="3"/>
  <c r="N59" i="3"/>
  <c r="N57" i="3"/>
  <c r="N55" i="3"/>
  <c r="N65" i="3"/>
  <c r="N63" i="3"/>
  <c r="N58" i="3"/>
  <c r="N56" i="3"/>
  <c r="D47" i="4"/>
  <c r="D58" i="4"/>
  <c r="F47" i="4"/>
  <c r="F58" i="4"/>
  <c r="G47" i="4"/>
  <c r="G58" i="4"/>
  <c r="AK31" i="9"/>
  <c r="AL26" i="9"/>
  <c r="AF29" i="8"/>
  <c r="AG29" i="8" s="1"/>
  <c r="AG32" i="8"/>
  <c r="AP8" i="8"/>
  <c r="AP32" i="8" s="1"/>
  <c r="AL8" i="8"/>
  <c r="AL9" i="8" s="1"/>
  <c r="AM29" i="8"/>
  <c r="AP25" i="9"/>
  <c r="AP7" i="9"/>
  <c r="AP12" i="2" s="1"/>
  <c r="AL14" i="9"/>
  <c r="AH30" i="8"/>
  <c r="AF7" i="8"/>
  <c r="AF9" i="2"/>
  <c r="D6" i="5" s="1"/>
  <c r="H47" i="8"/>
  <c r="W47" i="8"/>
  <c r="N10" i="2"/>
  <c r="N11" i="2"/>
  <c r="J25" i="2"/>
  <c r="J30" i="2"/>
  <c r="J34" i="2"/>
  <c r="J32" i="2"/>
  <c r="F25" i="2"/>
  <c r="F37" i="2" s="1"/>
  <c r="F32" i="2"/>
  <c r="F30" i="2"/>
  <c r="F34" i="2"/>
  <c r="G25" i="2"/>
  <c r="G32" i="2"/>
  <c r="G34" i="2"/>
  <c r="G30" i="2"/>
  <c r="I32" i="2"/>
  <c r="I30" i="2"/>
  <c r="I34" i="2"/>
  <c r="D25" i="2"/>
  <c r="D32" i="2"/>
  <c r="D30" i="2"/>
  <c r="D34" i="2"/>
  <c r="Z35" i="2"/>
  <c r="K25" i="2"/>
  <c r="X15" i="2"/>
  <c r="T25" i="2"/>
  <c r="I11" i="2"/>
  <c r="J11" i="2"/>
  <c r="S10" i="2"/>
  <c r="L25" i="2"/>
  <c r="V25" i="2"/>
  <c r="K11" i="2"/>
  <c r="L11" i="2"/>
  <c r="T11" i="2"/>
  <c r="Z15" i="2"/>
  <c r="M15" i="2"/>
  <c r="R47" i="8"/>
  <c r="X10" i="2"/>
  <c r="Z11" i="2"/>
  <c r="M9" i="2"/>
  <c r="V10" i="2"/>
  <c r="AA9" i="2"/>
  <c r="AB9" i="2" s="1"/>
  <c r="AA47" i="8"/>
  <c r="AB47" i="8" s="1"/>
  <c r="X11" i="2"/>
  <c r="M47" i="8"/>
  <c r="L10" i="2"/>
  <c r="N25" i="2"/>
  <c r="S25" i="2"/>
  <c r="I25" i="2"/>
  <c r="S11" i="2"/>
  <c r="O10" i="2"/>
  <c r="O15" i="2"/>
  <c r="O11" i="2"/>
  <c r="Y10" i="2"/>
  <c r="Y11" i="2"/>
  <c r="Y15" i="2"/>
  <c r="P10" i="2"/>
  <c r="P11" i="2"/>
  <c r="P15" i="2"/>
  <c r="J10" i="2"/>
  <c r="E15" i="2"/>
  <c r="U15" i="2"/>
  <c r="U11" i="2"/>
  <c r="U10" i="2"/>
  <c r="Z10" i="2"/>
  <c r="W9" i="2"/>
  <c r="T10" i="2"/>
  <c r="Q10" i="2"/>
  <c r="Q11" i="2"/>
  <c r="Q15" i="2"/>
  <c r="V11" i="2"/>
  <c r="AA5" i="8"/>
  <c r="AB4" i="8"/>
  <c r="AA27" i="8"/>
  <c r="AA48" i="8" s="1"/>
  <c r="AB7" i="8"/>
  <c r="AB30" i="8"/>
  <c r="AB10" i="8"/>
  <c r="AB11" i="8" s="1"/>
  <c r="F11" i="2"/>
  <c r="R9" i="2"/>
  <c r="E11" i="2"/>
  <c r="H9" i="2"/>
  <c r="K10" i="2"/>
  <c r="G11" i="2"/>
  <c r="I10" i="2"/>
  <c r="W27" i="8"/>
  <c r="W48" i="8" s="1"/>
  <c r="R5" i="8"/>
  <c r="W5" i="8"/>
  <c r="R27" i="8"/>
  <c r="R48" i="8" s="1"/>
  <c r="H27" i="8"/>
  <c r="H48" i="8" s="1"/>
  <c r="M27" i="8"/>
  <c r="M48" i="8" s="1"/>
  <c r="M5" i="8"/>
  <c r="AK44" i="8" l="1"/>
  <c r="AP23" i="8"/>
  <c r="AF15" i="2"/>
  <c r="D5" i="5" s="1"/>
  <c r="O66" i="3"/>
  <c r="O64" i="3"/>
  <c r="O62" i="3"/>
  <c r="O50" i="3"/>
  <c r="O59" i="3"/>
  <c r="O57" i="3"/>
  <c r="O55" i="3"/>
  <c r="O58" i="3"/>
  <c r="O65" i="3"/>
  <c r="O63" i="3"/>
  <c r="O56" i="3"/>
  <c r="Z32" i="2"/>
  <c r="Z59" i="3"/>
  <c r="Z58" i="3"/>
  <c r="Z66" i="3"/>
  <c r="Z65" i="3"/>
  <c r="Z64" i="3"/>
  <c r="Z57" i="3"/>
  <c r="Z63" i="3"/>
  <c r="Z56" i="3"/>
  <c r="Z62" i="3"/>
  <c r="Z55" i="3"/>
  <c r="P66" i="3"/>
  <c r="P50" i="3"/>
  <c r="P59" i="3"/>
  <c r="P58" i="3"/>
  <c r="P57" i="3"/>
  <c r="P63" i="3"/>
  <c r="P56" i="3"/>
  <c r="P65" i="3"/>
  <c r="P64" i="3"/>
  <c r="P62" i="3"/>
  <c r="P55" i="3"/>
  <c r="X25" i="2"/>
  <c r="X66" i="3"/>
  <c r="X64" i="3"/>
  <c r="X62" i="3"/>
  <c r="X59" i="3"/>
  <c r="X57" i="3"/>
  <c r="X55" i="3"/>
  <c r="X65" i="3"/>
  <c r="X63" i="3"/>
  <c r="X58" i="3"/>
  <c r="X56" i="3"/>
  <c r="Y66" i="3"/>
  <c r="Y64" i="3"/>
  <c r="Y62" i="3"/>
  <c r="Y59" i="3"/>
  <c r="Y57" i="3"/>
  <c r="Y55" i="3"/>
  <c r="Y65" i="3"/>
  <c r="Y58" i="3"/>
  <c r="Y63" i="3"/>
  <c r="Y56" i="3"/>
  <c r="F55" i="2"/>
  <c r="F66" i="2"/>
  <c r="Q66" i="3"/>
  <c r="Q64" i="3"/>
  <c r="Q62" i="3"/>
  <c r="Q50" i="3"/>
  <c r="Q65" i="3"/>
  <c r="Q63" i="3"/>
  <c r="Q58" i="3"/>
  <c r="Q56" i="3"/>
  <c r="Q59" i="3"/>
  <c r="Q57" i="3"/>
  <c r="Q55" i="3"/>
  <c r="U66" i="3"/>
  <c r="U59" i="3"/>
  <c r="U65" i="3"/>
  <c r="U64" i="3"/>
  <c r="U58" i="3"/>
  <c r="U57" i="3"/>
  <c r="U63" i="3"/>
  <c r="U56" i="3"/>
  <c r="U62" i="3"/>
  <c r="U55" i="3"/>
  <c r="E65" i="3"/>
  <c r="E63" i="3"/>
  <c r="E50" i="3"/>
  <c r="E58" i="3"/>
  <c r="E56" i="3"/>
  <c r="E66" i="3"/>
  <c r="E55" i="3"/>
  <c r="E59" i="3"/>
  <c r="E64" i="3"/>
  <c r="E57" i="3"/>
  <c r="E62" i="3"/>
  <c r="I37" i="2"/>
  <c r="F38" i="2"/>
  <c r="G37" i="2"/>
  <c r="J37" i="2"/>
  <c r="D37" i="2"/>
  <c r="AK20" i="9"/>
  <c r="AK32" i="9" s="1"/>
  <c r="AK21" i="2"/>
  <c r="AM30" i="8"/>
  <c r="E47" i="4"/>
  <c r="E58" i="4"/>
  <c r="AP19" i="9"/>
  <c r="AP21" i="2" s="1"/>
  <c r="AQ25" i="9"/>
  <c r="AP13" i="2"/>
  <c r="AF30" i="8"/>
  <c r="AK7" i="8"/>
  <c r="AL6" i="8"/>
  <c r="AL10" i="8" s="1"/>
  <c r="AP6" i="8"/>
  <c r="AQ8" i="8"/>
  <c r="AQ9" i="8" s="1"/>
  <c r="AK29" i="8"/>
  <c r="AL32" i="8"/>
  <c r="AP8" i="9"/>
  <c r="AF5" i="8"/>
  <c r="E25" i="2"/>
  <c r="E37" i="2" s="1"/>
  <c r="E30" i="2"/>
  <c r="E34" i="2"/>
  <c r="E32" i="2"/>
  <c r="M10" i="2"/>
  <c r="M25" i="2"/>
  <c r="Y25" i="2"/>
  <c r="AA11" i="2"/>
  <c r="Z25" i="2"/>
  <c r="Z37" i="2" s="1"/>
  <c r="Q25" i="2"/>
  <c r="Z30" i="2"/>
  <c r="Z34" i="2"/>
  <c r="P25" i="2"/>
  <c r="O25" i="2"/>
  <c r="R10" i="2"/>
  <c r="AA10" i="2"/>
  <c r="AF10" i="2"/>
  <c r="AA15" i="2"/>
  <c r="AB5" i="8"/>
  <c r="AB27" i="8"/>
  <c r="AB48" i="8" s="1"/>
  <c r="U25" i="2"/>
  <c r="R15" i="2"/>
  <c r="W15" i="2"/>
  <c r="F23" i="11" s="1"/>
  <c r="W10" i="2"/>
  <c r="AB10" i="2"/>
  <c r="AP44" i="8" l="1"/>
  <c r="AP4" i="8"/>
  <c r="AF55" i="3"/>
  <c r="AF63" i="3"/>
  <c r="AF56" i="3"/>
  <c r="AF62" i="3"/>
  <c r="AF58" i="3"/>
  <c r="AF59" i="3"/>
  <c r="AF66" i="3"/>
  <c r="AF34" i="2"/>
  <c r="AF32" i="2"/>
  <c r="AF30" i="2"/>
  <c r="AF57" i="3"/>
  <c r="AF64" i="3"/>
  <c r="AF65" i="3"/>
  <c r="F33" i="11"/>
  <c r="F29" i="11"/>
  <c r="F31" i="11"/>
  <c r="F61" i="11"/>
  <c r="F41" i="11"/>
  <c r="F55" i="11" s="1"/>
  <c r="F58" i="11"/>
  <c r="F38" i="11"/>
  <c r="F52" i="11" s="1"/>
  <c r="G55" i="2"/>
  <c r="G71" i="2" s="1"/>
  <c r="G66" i="2"/>
  <c r="D55" i="2"/>
  <c r="D71" i="2" s="1"/>
  <c r="D66" i="2"/>
  <c r="Z55" i="2"/>
  <c r="Z66" i="2"/>
  <c r="E55" i="2"/>
  <c r="E71" i="2" s="1"/>
  <c r="E66" i="2"/>
  <c r="I55" i="2"/>
  <c r="I66" i="2"/>
  <c r="F69" i="2"/>
  <c r="F68" i="2"/>
  <c r="J55" i="2"/>
  <c r="J71" i="2" s="1"/>
  <c r="J66" i="2"/>
  <c r="AA66" i="3"/>
  <c r="AA64" i="3"/>
  <c r="AA62" i="3"/>
  <c r="AA59" i="3"/>
  <c r="AA65" i="3"/>
  <c r="AA63" i="3"/>
  <c r="AA58" i="3"/>
  <c r="AA56" i="3"/>
  <c r="AA57" i="3"/>
  <c r="AA55" i="3"/>
  <c r="Z38" i="2"/>
  <c r="H37" i="2"/>
  <c r="D38" i="2"/>
  <c r="J38" i="2"/>
  <c r="I38" i="2"/>
  <c r="E38" i="2"/>
  <c r="G38" i="2"/>
  <c r="AP31" i="9"/>
  <c r="AP20" i="9"/>
  <c r="AP32" i="9" s="1"/>
  <c r="AA34" i="2"/>
  <c r="AA32" i="2"/>
  <c r="AA30" i="2"/>
  <c r="AQ26" i="9"/>
  <c r="AK5" i="8"/>
  <c r="AK9" i="2"/>
  <c r="K6" i="5" s="1"/>
  <c r="AK30" i="8"/>
  <c r="AK47" i="8"/>
  <c r="AL29" i="8"/>
  <c r="AL34" i="8" s="1"/>
  <c r="AP7" i="8"/>
  <c r="AQ6" i="8"/>
  <c r="Z26" i="2"/>
  <c r="AP29" i="8"/>
  <c r="AQ32" i="8"/>
  <c r="H25" i="2"/>
  <c r="AB15" i="2"/>
  <c r="G23" i="11" s="1"/>
  <c r="R25" i="2"/>
  <c r="W25" i="2"/>
  <c r="F26" i="11" s="1"/>
  <c r="AQ29" i="8" l="1"/>
  <c r="AP26" i="8"/>
  <c r="AQ7" i="8"/>
  <c r="AQ10" i="8"/>
  <c r="AQ11" i="8" s="1"/>
  <c r="F34" i="11"/>
  <c r="F27" i="11"/>
  <c r="G38" i="11"/>
  <c r="G52" i="11" s="1"/>
  <c r="G41" i="11"/>
  <c r="G55" i="11" s="1"/>
  <c r="G61" i="11"/>
  <c r="G29" i="11"/>
  <c r="G58" i="11"/>
  <c r="G33" i="11"/>
  <c r="G24" i="11"/>
  <c r="G31" i="11"/>
  <c r="Z68" i="2"/>
  <c r="Z69" i="2"/>
  <c r="Z70" i="2" s="1"/>
  <c r="I68" i="2"/>
  <c r="I69" i="2"/>
  <c r="H66" i="2"/>
  <c r="D68" i="2"/>
  <c r="D69" i="2"/>
  <c r="G68" i="2"/>
  <c r="G69" i="2"/>
  <c r="J68" i="2"/>
  <c r="J69" i="2"/>
  <c r="E68" i="2"/>
  <c r="E69" i="2"/>
  <c r="J73" i="2"/>
  <c r="J74" i="2"/>
  <c r="D74" i="2"/>
  <c r="D73" i="2"/>
  <c r="G74" i="2"/>
  <c r="G73" i="2"/>
  <c r="I71" i="2"/>
  <c r="AK19" i="2"/>
  <c r="AK23" i="2" s="1"/>
  <c r="K9" i="5" s="1"/>
  <c r="AK27" i="8"/>
  <c r="AK48" i="8" s="1"/>
  <c r="AP5" i="8"/>
  <c r="AP9" i="2"/>
  <c r="AP30" i="8"/>
  <c r="AP47" i="8"/>
  <c r="E73" i="2"/>
  <c r="E74" i="2"/>
  <c r="E63" i="2" s="1"/>
  <c r="AL26" i="8"/>
  <c r="AL30" i="8"/>
  <c r="AK10" i="2"/>
  <c r="AK15" i="2"/>
  <c r="Y34" i="2"/>
  <c r="Y32" i="2"/>
  <c r="K5" i="5" l="1"/>
  <c r="AK34" i="2"/>
  <c r="AK63" i="3"/>
  <c r="AK56" i="3"/>
  <c r="AK66" i="3"/>
  <c r="AK57" i="3"/>
  <c r="AK59" i="3"/>
  <c r="AK32" i="2"/>
  <c r="AK30" i="2"/>
  <c r="AK55" i="3"/>
  <c r="AK62" i="3"/>
  <c r="AK58" i="3"/>
  <c r="H69" i="2"/>
  <c r="F35" i="11"/>
  <c r="F43" i="11"/>
  <c r="AL41" i="3"/>
  <c r="AL17" i="3"/>
  <c r="G63" i="2"/>
  <c r="G78" i="2"/>
  <c r="G82" i="2" s="1"/>
  <c r="G80" i="2" s="1"/>
  <c r="D63" i="2"/>
  <c r="D78" i="2"/>
  <c r="D82" i="2" s="1"/>
  <c r="D80" i="2" s="1"/>
  <c r="J63" i="2"/>
  <c r="J78" i="2"/>
  <c r="J82" i="2" s="1"/>
  <c r="J80" i="2" s="1"/>
  <c r="I74" i="2"/>
  <c r="I73" i="2"/>
  <c r="AP10" i="2"/>
  <c r="AP15" i="2"/>
  <c r="AK16" i="2"/>
  <c r="K16" i="5"/>
  <c r="K15" i="5"/>
  <c r="K14" i="5"/>
  <c r="AK25" i="2"/>
  <c r="E78" i="2"/>
  <c r="E82" i="2" s="1"/>
  <c r="E80" i="2" s="1"/>
  <c r="AP27" i="8"/>
  <c r="AP48" i="8" s="1"/>
  <c r="AP19" i="2"/>
  <c r="AP23" i="2" s="1"/>
  <c r="Y30" i="2"/>
  <c r="Y35" i="2"/>
  <c r="Y37" i="2" s="1"/>
  <c r="Y26" i="2"/>
  <c r="X34" i="2"/>
  <c r="X32" i="2"/>
  <c r="X26" i="2"/>
  <c r="AK26" i="2" l="1"/>
  <c r="K11" i="5" s="1"/>
  <c r="K10" i="5"/>
  <c r="F49" i="11"/>
  <c r="F63" i="11" s="1"/>
  <c r="F66" i="11" s="1"/>
  <c r="F44" i="11"/>
  <c r="F47" i="11"/>
  <c r="J81" i="2"/>
  <c r="AL26" i="3"/>
  <c r="Y55" i="2"/>
  <c r="Y66" i="2"/>
  <c r="AL9" i="3"/>
  <c r="AP41" i="3"/>
  <c r="AQ41" i="3" s="1"/>
  <c r="AP25" i="3"/>
  <c r="AP26" i="3"/>
  <c r="AP21" i="3"/>
  <c r="AQ21" i="3" s="1"/>
  <c r="AP17" i="3"/>
  <c r="AQ17" i="3" s="1"/>
  <c r="AP9" i="3"/>
  <c r="AP11" i="3"/>
  <c r="AP57" i="3"/>
  <c r="AL25" i="3"/>
  <c r="AK42" i="3"/>
  <c r="AL11" i="3"/>
  <c r="Y38" i="2"/>
  <c r="I63" i="2"/>
  <c r="I78" i="2"/>
  <c r="I82" i="2" s="1"/>
  <c r="J83" i="2"/>
  <c r="AK35" i="2"/>
  <c r="AP33" i="2"/>
  <c r="AP31" i="2"/>
  <c r="AP29" i="2"/>
  <c r="AP25" i="2"/>
  <c r="AP26" i="2" s="1"/>
  <c r="AP16" i="2"/>
  <c r="X30" i="2"/>
  <c r="X35" i="2"/>
  <c r="X37" i="2" s="1"/>
  <c r="V34" i="2"/>
  <c r="V32" i="2"/>
  <c r="V26" i="2"/>
  <c r="AK37" i="2" l="1"/>
  <c r="K17" i="5"/>
  <c r="I83" i="2"/>
  <c r="I80" i="2"/>
  <c r="I81" i="2" s="1"/>
  <c r="AQ25" i="3"/>
  <c r="AQ9" i="3"/>
  <c r="X55" i="2"/>
  <c r="X66" i="2"/>
  <c r="AQ11" i="3"/>
  <c r="Y69" i="2"/>
  <c r="Y70" i="2" s="1"/>
  <c r="Y68" i="2"/>
  <c r="AQ26" i="3"/>
  <c r="X38" i="2"/>
  <c r="AP35" i="2"/>
  <c r="AP37" i="2" s="1"/>
  <c r="V30" i="2"/>
  <c r="V35" i="2"/>
  <c r="V37" i="2" s="1"/>
  <c r="AC55" i="4"/>
  <c r="AD55" i="4"/>
  <c r="AE55" i="4"/>
  <c r="AF55" i="4"/>
  <c r="AG23" i="3"/>
  <c r="AG24" i="3"/>
  <c r="AG43" i="3"/>
  <c r="AG44" i="3"/>
  <c r="K19" i="5" l="1"/>
  <c r="AK55" i="2"/>
  <c r="AK71" i="2" s="1"/>
  <c r="AK74" i="2" s="1"/>
  <c r="AK38" i="2"/>
  <c r="K20" i="5" s="1"/>
  <c r="AK66" i="2"/>
  <c r="AK73" i="2"/>
  <c r="X69" i="2"/>
  <c r="X68" i="2"/>
  <c r="AP66" i="2"/>
  <c r="V55" i="2"/>
  <c r="V66" i="2"/>
  <c r="V38" i="2"/>
  <c r="AP55" i="2"/>
  <c r="AP56" i="2" s="1"/>
  <c r="AP38" i="2"/>
  <c r="AG55" i="4"/>
  <c r="AK69" i="2" l="1"/>
  <c r="K32" i="5"/>
  <c r="K36" i="5"/>
  <c r="K37" i="5"/>
  <c r="AK56" i="2"/>
  <c r="K25" i="5" s="1"/>
  <c r="K24" i="5"/>
  <c r="AP71" i="2"/>
  <c r="AP72" i="2" s="1"/>
  <c r="V68" i="2"/>
  <c r="V69" i="2"/>
  <c r="V70" i="2" s="1"/>
  <c r="X70" i="2"/>
  <c r="U26" i="2"/>
  <c r="AK82" i="2" l="1"/>
  <c r="K40" i="5" s="1"/>
  <c r="AK67" i="2"/>
  <c r="AK63" i="2" s="1"/>
  <c r="I46" i="11"/>
  <c r="AQ72" i="2"/>
  <c r="J46" i="11" s="1"/>
  <c r="AP67" i="2"/>
  <c r="AP74" i="2"/>
  <c r="U35" i="2"/>
  <c r="U37" i="2" s="1"/>
  <c r="U30" i="2"/>
  <c r="U32" i="2"/>
  <c r="U34" i="2"/>
  <c r="T35" i="2"/>
  <c r="T37" i="2" s="1"/>
  <c r="T30" i="2"/>
  <c r="T34" i="2"/>
  <c r="T32" i="2"/>
  <c r="AP82" i="2" l="1"/>
  <c r="AP63" i="2"/>
  <c r="AP64" i="2" s="1"/>
  <c r="K33" i="5"/>
  <c r="AK68" i="2"/>
  <c r="AL67" i="2"/>
  <c r="AK80" i="2"/>
  <c r="AK75" i="2"/>
  <c r="AK78" i="2"/>
  <c r="AK6" i="4" s="1"/>
  <c r="AK46" i="4" s="1"/>
  <c r="K34" i="5"/>
  <c r="K38" i="5"/>
  <c r="K27" i="5"/>
  <c r="T55" i="2"/>
  <c r="T66" i="2"/>
  <c r="U55" i="2"/>
  <c r="U66" i="2"/>
  <c r="AP69" i="2"/>
  <c r="AP80" i="2" s="1"/>
  <c r="AQ67" i="2"/>
  <c r="AK70" i="2"/>
  <c r="T38" i="2"/>
  <c r="U38" i="2"/>
  <c r="AP78" i="2"/>
  <c r="AP75" i="2"/>
  <c r="T26" i="2"/>
  <c r="AK64" i="2" l="1"/>
  <c r="K28" i="5" s="1"/>
  <c r="U69" i="2"/>
  <c r="U70" i="2" s="1"/>
  <c r="U68" i="2"/>
  <c r="T68" i="2"/>
  <c r="T69" i="2"/>
  <c r="T70" i="2" s="1"/>
  <c r="AP6" i="4"/>
  <c r="AP70" i="2"/>
  <c r="AG8" i="3"/>
  <c r="AP83" i="2" l="1"/>
  <c r="AP81" i="2"/>
  <c r="AB8" i="3"/>
  <c r="AB23" i="3"/>
  <c r="AB24" i="3"/>
  <c r="AB43" i="3"/>
  <c r="AB44" i="3"/>
  <c r="W8" i="3"/>
  <c r="W23" i="3"/>
  <c r="W24" i="3"/>
  <c r="W43" i="3"/>
  <c r="W44" i="3"/>
  <c r="R8" i="3"/>
  <c r="R9" i="3"/>
  <c r="R11" i="3"/>
  <c r="R13" i="3"/>
  <c r="R17" i="3"/>
  <c r="R21" i="3"/>
  <c r="R23" i="3"/>
  <c r="R24" i="3"/>
  <c r="R25" i="3"/>
  <c r="R26" i="3"/>
  <c r="R33" i="3"/>
  <c r="R37" i="3"/>
  <c r="R41" i="3"/>
  <c r="R43" i="3"/>
  <c r="R44" i="3"/>
  <c r="R7" i="3"/>
  <c r="M8" i="3"/>
  <c r="M9" i="3"/>
  <c r="M11" i="3"/>
  <c r="M13" i="3"/>
  <c r="M17" i="3"/>
  <c r="M21" i="3"/>
  <c r="M25" i="3"/>
  <c r="M26" i="3"/>
  <c r="M33" i="3"/>
  <c r="M37" i="3"/>
  <c r="M41" i="3"/>
  <c r="M43" i="3"/>
  <c r="M44" i="3"/>
  <c r="M7" i="3"/>
  <c r="E7" i="7"/>
  <c r="E6" i="7"/>
  <c r="O5" i="7"/>
  <c r="M5" i="7"/>
  <c r="K5" i="7"/>
  <c r="I5" i="7"/>
  <c r="O6" i="7" l="1"/>
  <c r="M6" i="7"/>
  <c r="K6" i="7"/>
  <c r="G64" i="2" l="1"/>
  <c r="J64" i="2"/>
  <c r="I64" i="2"/>
  <c r="G56" i="2"/>
  <c r="D56" i="2"/>
  <c r="J56" i="2"/>
  <c r="I56" i="2"/>
  <c r="F17" i="2"/>
  <c r="E17" i="2"/>
  <c r="I17" i="2"/>
  <c r="G26" i="2"/>
  <c r="F26" i="2"/>
  <c r="E26" i="2"/>
  <c r="D26" i="2"/>
  <c r="J26" i="2"/>
  <c r="I26" i="2"/>
  <c r="L16" i="2"/>
  <c r="K16" i="2"/>
  <c r="J16" i="2"/>
  <c r="I16" i="2"/>
  <c r="H15" i="2"/>
  <c r="H38" i="2" s="1"/>
  <c r="H47" i="4" l="1"/>
  <c r="H58" i="4"/>
  <c r="H55" i="2"/>
  <c r="H56" i="2" s="1"/>
  <c r="F71" i="2"/>
  <c r="F74" i="2" s="1"/>
  <c r="F63" i="2" s="1"/>
  <c r="H30" i="2"/>
  <c r="F56" i="2"/>
  <c r="H34" i="2"/>
  <c r="D64" i="2"/>
  <c r="H32" i="2"/>
  <c r="E64" i="2"/>
  <c r="E56" i="2"/>
  <c r="G17" i="2"/>
  <c r="H26" i="2"/>
  <c r="F78" i="2" l="1"/>
  <c r="H74" i="2"/>
  <c r="H71" i="2"/>
  <c r="F73" i="2"/>
  <c r="L42" i="5"/>
  <c r="H4" i="5"/>
  <c r="E4" i="5"/>
  <c r="F82" i="2" l="1"/>
  <c r="F80" i="2" s="1"/>
  <c r="H78" i="2"/>
  <c r="H63" i="2"/>
  <c r="H64" i="2" s="1"/>
  <c r="F64" i="2"/>
  <c r="H42" i="5"/>
  <c r="I42" i="5" s="1"/>
  <c r="E42" i="5"/>
  <c r="F42" i="5" s="1"/>
  <c r="AA55" i="4" l="1"/>
  <c r="Z55" i="4"/>
  <c r="Y55" i="4"/>
  <c r="X55" i="4"/>
  <c r="V55" i="4"/>
  <c r="U55" i="4"/>
  <c r="T55" i="4"/>
  <c r="S55" i="4"/>
  <c r="L55" i="4"/>
  <c r="K55" i="4"/>
  <c r="J55" i="4"/>
  <c r="I55" i="4"/>
  <c r="J46" i="4"/>
  <c r="J80" i="4" s="1"/>
  <c r="I46" i="4"/>
  <c r="I80" i="4" s="1"/>
  <c r="I83" i="4" s="1"/>
  <c r="J82" i="4" s="1"/>
  <c r="J83" i="4" s="1"/>
  <c r="K82" i="4" s="1"/>
  <c r="N55" i="4"/>
  <c r="O55" i="4"/>
  <c r="Q55" i="4"/>
  <c r="P55" i="4"/>
  <c r="R55" i="4" l="1"/>
  <c r="W55" i="4"/>
  <c r="M55" i="4"/>
  <c r="AB55" i="4"/>
  <c r="J47" i="4"/>
  <c r="I47" i="4"/>
  <c r="W41" i="3"/>
  <c r="I57" i="4"/>
  <c r="I58" i="4" s="1"/>
  <c r="J57" i="4"/>
  <c r="J58" i="4" s="1"/>
  <c r="S50" i="3"/>
  <c r="L65" i="3"/>
  <c r="L64" i="3"/>
  <c r="L63" i="3"/>
  <c r="L62" i="3"/>
  <c r="L59" i="3"/>
  <c r="L58" i="3"/>
  <c r="L56" i="3"/>
  <c r="L55" i="3"/>
  <c r="AB41" i="3" l="1"/>
  <c r="S48" i="3"/>
  <c r="L48" i="3" l="1"/>
  <c r="AG41" i="3" l="1"/>
  <c r="E30" i="5" l="1"/>
  <c r="L30" i="5"/>
  <c r="H30" i="5"/>
  <c r="L22" i="5"/>
  <c r="H22" i="5"/>
  <c r="E22" i="5"/>
  <c r="N35" i="2" l="1"/>
  <c r="N37" i="2" s="1"/>
  <c r="T50" i="3"/>
  <c r="N26" i="2"/>
  <c r="N55" i="2" l="1"/>
  <c r="N66" i="2"/>
  <c r="N38" i="2"/>
  <c r="S32" i="2"/>
  <c r="S35" i="2"/>
  <c r="S37" i="2" s="1"/>
  <c r="S55" i="2" l="1"/>
  <c r="W55" i="2" s="1"/>
  <c r="S66" i="2"/>
  <c r="N68" i="2"/>
  <c r="N69" i="2"/>
  <c r="S38" i="2"/>
  <c r="W37" i="2"/>
  <c r="W38" i="2" s="1"/>
  <c r="W35" i="2"/>
  <c r="N71" i="2"/>
  <c r="S34" i="2"/>
  <c r="S30" i="2"/>
  <c r="I22" i="5"/>
  <c r="F30" i="5"/>
  <c r="I30" i="5"/>
  <c r="S69" i="2" l="1"/>
  <c r="S68" i="2"/>
  <c r="W66" i="2"/>
  <c r="S56" i="2"/>
  <c r="S71" i="2"/>
  <c r="S70" i="2" l="1"/>
  <c r="W69" i="2"/>
  <c r="W70" i="2" s="1"/>
  <c r="S73" i="2"/>
  <c r="S74" i="2" l="1"/>
  <c r="S63" i="2" s="1"/>
  <c r="S78" i="2" l="1"/>
  <c r="S82" i="2" s="1"/>
  <c r="S80" i="2" s="1"/>
  <c r="S75" i="2"/>
  <c r="S64" i="2"/>
  <c r="S46" i="4"/>
  <c r="S80" i="4" s="1"/>
  <c r="S26" i="2"/>
  <c r="Y16" i="2"/>
  <c r="W80" i="2" l="1"/>
  <c r="S57" i="4"/>
  <c r="S47" i="4"/>
  <c r="S58" i="4"/>
  <c r="N56" i="2" l="1"/>
  <c r="K26" i="2"/>
  <c r="L26" i="2"/>
  <c r="P26" i="2" l="1"/>
  <c r="F22" i="5"/>
  <c r="K34" i="2"/>
  <c r="K32" i="2"/>
  <c r="P34" i="2"/>
  <c r="P32" i="2"/>
  <c r="O32" i="2"/>
  <c r="Q34" i="2"/>
  <c r="L34" i="2"/>
  <c r="L32" i="2"/>
  <c r="L35" i="2"/>
  <c r="L37" i="2" s="1"/>
  <c r="N34" i="2"/>
  <c r="N32" i="2"/>
  <c r="N30" i="2"/>
  <c r="L55" i="2" l="1"/>
  <c r="L66" i="2"/>
  <c r="L38" i="2"/>
  <c r="P35" i="2"/>
  <c r="P37" i="2" s="1"/>
  <c r="K30" i="2"/>
  <c r="K35" i="2"/>
  <c r="K37" i="2" s="1"/>
  <c r="Q30" i="2"/>
  <c r="Q35" i="2"/>
  <c r="Q37" i="2" s="1"/>
  <c r="Q26" i="2"/>
  <c r="O34" i="2"/>
  <c r="P30" i="2"/>
  <c r="Q32" i="2"/>
  <c r="L30" i="2"/>
  <c r="Q55" i="2" l="1"/>
  <c r="Q56" i="2" s="1"/>
  <c r="Q66" i="2"/>
  <c r="P55" i="2"/>
  <c r="P66" i="2"/>
  <c r="L69" i="2"/>
  <c r="L68" i="2"/>
  <c r="K55" i="2"/>
  <c r="M55" i="2" s="1"/>
  <c r="K66" i="2"/>
  <c r="Q38" i="2"/>
  <c r="K38" i="2"/>
  <c r="M37" i="2"/>
  <c r="M38" i="2" s="1"/>
  <c r="P38" i="2"/>
  <c r="M35" i="2"/>
  <c r="L71" i="2"/>
  <c r="O35" i="2"/>
  <c r="O37" i="2" s="1"/>
  <c r="L56" i="2"/>
  <c r="O30" i="2"/>
  <c r="N74" i="2"/>
  <c r="N73" i="2"/>
  <c r="S17" i="2"/>
  <c r="N17" i="2"/>
  <c r="T17" i="2"/>
  <c r="Q17" i="2"/>
  <c r="P17" i="2"/>
  <c r="O17" i="2"/>
  <c r="L17" i="2"/>
  <c r="K17" i="2"/>
  <c r="J17" i="2"/>
  <c r="T16" i="2"/>
  <c r="S16" i="2"/>
  <c r="Q16" i="2"/>
  <c r="P16" i="2"/>
  <c r="O16" i="2"/>
  <c r="N16" i="2"/>
  <c r="K68" i="2" l="1"/>
  <c r="K69" i="2"/>
  <c r="M69" i="2" s="1"/>
  <c r="M66" i="2"/>
  <c r="Q69" i="2"/>
  <c r="Q70" i="2" s="1"/>
  <c r="Q68" i="2"/>
  <c r="P68" i="2"/>
  <c r="P69" i="2"/>
  <c r="P70" i="2" s="1"/>
  <c r="O55" i="2"/>
  <c r="R55" i="2" s="1"/>
  <c r="O66" i="2"/>
  <c r="Q71" i="2"/>
  <c r="Q73" i="2" s="1"/>
  <c r="K71" i="2"/>
  <c r="M71" i="2" s="1"/>
  <c r="R37" i="2"/>
  <c r="R38" i="2" s="1"/>
  <c r="O38" i="2"/>
  <c r="P71" i="2"/>
  <c r="P56" i="2"/>
  <c r="K56" i="2"/>
  <c r="N78" i="2"/>
  <c r="N82" i="2" s="1"/>
  <c r="N80" i="2" s="1"/>
  <c r="N63" i="2"/>
  <c r="R35" i="2"/>
  <c r="N46" i="4"/>
  <c r="N80" i="4" s="1"/>
  <c r="L46" i="4"/>
  <c r="L73" i="2"/>
  <c r="L74" i="2"/>
  <c r="R34" i="2"/>
  <c r="R32" i="2"/>
  <c r="R30" i="2"/>
  <c r="R26" i="2"/>
  <c r="M16" i="2"/>
  <c r="M30" i="2"/>
  <c r="M34" i="2"/>
  <c r="M32" i="2"/>
  <c r="M26" i="2"/>
  <c r="N75" i="2"/>
  <c r="K46" i="4"/>
  <c r="K80" i="4" s="1"/>
  <c r="K83" i="4" s="1"/>
  <c r="L82" i="4" s="1"/>
  <c r="R16" i="2"/>
  <c r="Q74" i="2" l="1"/>
  <c r="N81" i="2"/>
  <c r="R80" i="2"/>
  <c r="S81" i="2"/>
  <c r="O69" i="2"/>
  <c r="R69" i="2" s="1"/>
  <c r="R70" i="2" s="1"/>
  <c r="O68" i="2"/>
  <c r="R66" i="2"/>
  <c r="S83" i="2"/>
  <c r="N83" i="2"/>
  <c r="L63" i="2"/>
  <c r="L64" i="2" s="1"/>
  <c r="L78" i="2"/>
  <c r="L82" i="2" s="1"/>
  <c r="Q78" i="2"/>
  <c r="Q82" i="2" s="1"/>
  <c r="Q80" i="2" s="1"/>
  <c r="Q63" i="2"/>
  <c r="L47" i="4"/>
  <c r="L80" i="4"/>
  <c r="L83" i="4" s="1"/>
  <c r="N82" i="4" s="1"/>
  <c r="N57" i="4"/>
  <c r="K47" i="4"/>
  <c r="M46" i="4"/>
  <c r="M47" i="4" s="1"/>
  <c r="N47" i="4"/>
  <c r="O26" i="2"/>
  <c r="L75" i="2"/>
  <c r="M56" i="2"/>
  <c r="L57" i="4"/>
  <c r="L58" i="4" s="1"/>
  <c r="Q46" i="4"/>
  <c r="Q80" i="4" s="1"/>
  <c r="N58" i="4"/>
  <c r="K57" i="4"/>
  <c r="K58" i="4" s="1"/>
  <c r="N64" i="2"/>
  <c r="Q75" i="2"/>
  <c r="K73" i="2"/>
  <c r="K74" i="2"/>
  <c r="P73" i="2"/>
  <c r="P74" i="2"/>
  <c r="N83" i="4" l="1"/>
  <c r="O82" i="4" s="1"/>
  <c r="R82" i="4"/>
  <c r="M80" i="4"/>
  <c r="M83" i="4" s="1"/>
  <c r="L83" i="2"/>
  <c r="L80" i="2"/>
  <c r="L81" i="2" s="1"/>
  <c r="K63" i="2"/>
  <c r="M63" i="2" s="1"/>
  <c r="K78" i="2"/>
  <c r="K82" i="2" s="1"/>
  <c r="P78" i="2"/>
  <c r="P63" i="2"/>
  <c r="M74" i="2"/>
  <c r="Q83" i="2"/>
  <c r="Q47" i="4"/>
  <c r="Q57" i="4"/>
  <c r="Q58" i="4" s="1"/>
  <c r="Q64" i="2"/>
  <c r="P46" i="4"/>
  <c r="P80" i="4" s="1"/>
  <c r="W21" i="3"/>
  <c r="W25" i="3"/>
  <c r="W17" i="3"/>
  <c r="W26" i="3"/>
  <c r="W33" i="3"/>
  <c r="V16" i="2"/>
  <c r="K75" i="2"/>
  <c r="P75" i="2"/>
  <c r="K83" i="2" l="1"/>
  <c r="K80" i="2"/>
  <c r="K81" i="2" s="1"/>
  <c r="Q81" i="2"/>
  <c r="K64" i="2"/>
  <c r="O71" i="2"/>
  <c r="R71" i="2" s="1"/>
  <c r="R56" i="2"/>
  <c r="O56" i="2"/>
  <c r="M64" i="2"/>
  <c r="M75" i="2"/>
  <c r="M78" i="2"/>
  <c r="W37" i="3"/>
  <c r="P57" i="4"/>
  <c r="P58" i="4" s="1"/>
  <c r="P47" i="4"/>
  <c r="P64" i="2"/>
  <c r="W11" i="3"/>
  <c r="W9" i="3"/>
  <c r="U16" i="2"/>
  <c r="W16" i="2"/>
  <c r="F24" i="11" s="1"/>
  <c r="U17" i="2"/>
  <c r="V17" i="2"/>
  <c r="P82" i="2"/>
  <c r="P83" i="2" l="1"/>
  <c r="P80" i="2"/>
  <c r="P81" i="2" s="1"/>
  <c r="M57" i="4"/>
  <c r="M58" i="4" s="1"/>
  <c r="AB37" i="3"/>
  <c r="AB33" i="3"/>
  <c r="U6" i="11" s="1"/>
  <c r="AB17" i="3"/>
  <c r="AB21" i="3"/>
  <c r="AB26" i="3"/>
  <c r="AB11" i="3"/>
  <c r="AF16" i="2"/>
  <c r="W32" i="2"/>
  <c r="W34" i="2"/>
  <c r="W30" i="2"/>
  <c r="U50" i="3"/>
  <c r="V50" i="3"/>
  <c r="AA16" i="2"/>
  <c r="AA17" i="2"/>
  <c r="Y17" i="2"/>
  <c r="X17" i="2"/>
  <c r="X16" i="2"/>
  <c r="Z16" i="2"/>
  <c r="Z17" i="2"/>
  <c r="R82" i="2"/>
  <c r="V71" i="2" l="1"/>
  <c r="V73" i="2" s="1"/>
  <c r="AA35" i="2"/>
  <c r="AB35" i="2" s="1"/>
  <c r="O73" i="2"/>
  <c r="O74" i="2"/>
  <c r="AB25" i="3"/>
  <c r="AG26" i="3"/>
  <c r="AG21" i="3"/>
  <c r="AF42" i="3"/>
  <c r="AG42" i="3" s="1"/>
  <c r="AG17" i="3"/>
  <c r="AG37" i="3"/>
  <c r="V56" i="2"/>
  <c r="AB16" i="2"/>
  <c r="AB9" i="3"/>
  <c r="W26" i="2"/>
  <c r="AA50" i="3"/>
  <c r="W13" i="3"/>
  <c r="Z50" i="3"/>
  <c r="AB30" i="2"/>
  <c r="Y50" i="3"/>
  <c r="X50" i="3"/>
  <c r="AB32" i="2"/>
  <c r="AB34" i="2"/>
  <c r="O78" i="2" l="1"/>
  <c r="O82" i="2" s="1"/>
  <c r="O63" i="2"/>
  <c r="R63" i="2" s="1"/>
  <c r="T71" i="2"/>
  <c r="U71" i="2"/>
  <c r="U56" i="2"/>
  <c r="O75" i="2"/>
  <c r="R74" i="2"/>
  <c r="R78" i="2" s="1"/>
  <c r="AG33" i="3"/>
  <c r="U7" i="11" s="1"/>
  <c r="AG25" i="3"/>
  <c r="AG11" i="3"/>
  <c r="AG9" i="3"/>
  <c r="T56" i="2"/>
  <c r="W56" i="2"/>
  <c r="O83" i="2" l="1"/>
  <c r="O80" i="2"/>
  <c r="O81" i="2" s="1"/>
  <c r="W71" i="2"/>
  <c r="R75" i="2"/>
  <c r="O46" i="4"/>
  <c r="O64" i="2"/>
  <c r="R64" i="2"/>
  <c r="AB13" i="3"/>
  <c r="V74" i="2"/>
  <c r="V63" i="2" s="1"/>
  <c r="V78" i="2" l="1"/>
  <c r="V82" i="2" s="1"/>
  <c r="V80" i="2" s="1"/>
  <c r="V81" i="2" s="1"/>
  <c r="R46" i="4"/>
  <c r="O80" i="4"/>
  <c r="U73" i="2"/>
  <c r="O47" i="4"/>
  <c r="O57" i="4"/>
  <c r="V46" i="4"/>
  <c r="V80" i="4" s="1"/>
  <c r="V75" i="2"/>
  <c r="U74" i="2"/>
  <c r="U63" i="2" s="1"/>
  <c r="T73" i="2"/>
  <c r="R80" i="4" l="1"/>
  <c r="R83" i="4" s="1"/>
  <c r="O83" i="4"/>
  <c r="P82" i="4" s="1"/>
  <c r="P83" i="4" s="1"/>
  <c r="Q82" i="4" s="1"/>
  <c r="Q83" i="4" s="1"/>
  <c r="S82" i="4" s="1"/>
  <c r="U78" i="2"/>
  <c r="U82" i="2" s="1"/>
  <c r="U80" i="2" s="1"/>
  <c r="U81" i="2" s="1"/>
  <c r="X71" i="2"/>
  <c r="Y56" i="2"/>
  <c r="Y71" i="2"/>
  <c r="R57" i="4"/>
  <c r="R58" i="4" s="1"/>
  <c r="O58" i="4"/>
  <c r="R47" i="4"/>
  <c r="X56" i="2"/>
  <c r="V64" i="2"/>
  <c r="V57" i="4"/>
  <c r="V58" i="4" s="1"/>
  <c r="V47" i="4"/>
  <c r="V83" i="2"/>
  <c r="U46" i="4"/>
  <c r="U80" i="4" s="1"/>
  <c r="U75" i="2"/>
  <c r="T74" i="2"/>
  <c r="T63" i="2" s="1"/>
  <c r="W82" i="4" l="1"/>
  <c r="S83" i="4"/>
  <c r="T82" i="4" s="1"/>
  <c r="W63" i="2"/>
  <c r="T78" i="2"/>
  <c r="Z71" i="2"/>
  <c r="Z56" i="2"/>
  <c r="Y73" i="2"/>
  <c r="X73" i="2"/>
  <c r="U64" i="2"/>
  <c r="U47" i="4"/>
  <c r="U57" i="4"/>
  <c r="U58" i="4" s="1"/>
  <c r="U83" i="2"/>
  <c r="T46" i="4"/>
  <c r="T80" i="4" s="1"/>
  <c r="W80" i="4" s="1"/>
  <c r="T75" i="2"/>
  <c r="W74" i="2"/>
  <c r="W78" i="2" s="1"/>
  <c r="T83" i="4" l="1"/>
  <c r="U82" i="4" s="1"/>
  <c r="U83" i="4" s="1"/>
  <c r="V82" i="4" s="1"/>
  <c r="V83" i="4" s="1"/>
  <c r="X82" i="4" s="1"/>
  <c r="W83" i="4"/>
  <c r="T47" i="4"/>
  <c r="W46" i="4"/>
  <c r="W47" i="4" s="1"/>
  <c r="Y74" i="2"/>
  <c r="T57" i="4"/>
  <c r="T58" i="4" s="1"/>
  <c r="W75" i="2"/>
  <c r="T64" i="2"/>
  <c r="W64" i="2"/>
  <c r="T82" i="2"/>
  <c r="AB82" i="4" l="1"/>
  <c r="T83" i="2"/>
  <c r="T80" i="2"/>
  <c r="T81" i="2" s="1"/>
  <c r="Y63" i="2"/>
  <c r="Y78" i="2"/>
  <c r="Y82" i="2" s="1"/>
  <c r="Y80" i="2" s="1"/>
  <c r="Y46" i="4"/>
  <c r="Z73" i="2"/>
  <c r="Y75" i="2"/>
  <c r="X74" i="2"/>
  <c r="X63" i="2" s="1"/>
  <c r="W57" i="4"/>
  <c r="W58" i="4" s="1"/>
  <c r="T48" i="3"/>
  <c r="W82" i="2"/>
  <c r="Y81" i="2" l="1"/>
  <c r="Y83" i="2"/>
  <c r="X78" i="2"/>
  <c r="Y47" i="4"/>
  <c r="Y80" i="4"/>
  <c r="Y57" i="4"/>
  <c r="Y58" i="4" s="1"/>
  <c r="Z74" i="2"/>
  <c r="Y64" i="2"/>
  <c r="X46" i="4"/>
  <c r="X80" i="4" s="1"/>
  <c r="X83" i="4" s="1"/>
  <c r="Y82" i="4" s="1"/>
  <c r="Y83" i="4" s="1"/>
  <c r="Z82" i="4" s="1"/>
  <c r="X75" i="2"/>
  <c r="Z63" i="2" l="1"/>
  <c r="Z78" i="2"/>
  <c r="Z82" i="2" s="1"/>
  <c r="Z46" i="4"/>
  <c r="Z80" i="4" s="1"/>
  <c r="Z83" i="4" s="1"/>
  <c r="AA82" i="4" s="1"/>
  <c r="Z75" i="2"/>
  <c r="X82" i="2"/>
  <c r="X80" i="2" s="1"/>
  <c r="X64" i="2"/>
  <c r="X57" i="4"/>
  <c r="X47" i="4"/>
  <c r="W7" i="3"/>
  <c r="U48" i="3"/>
  <c r="Z80" i="2" l="1"/>
  <c r="Z81" i="2" s="1"/>
  <c r="X81" i="2"/>
  <c r="AB80" i="2"/>
  <c r="Z83" i="2"/>
  <c r="Z64" i="2"/>
  <c r="Z47" i="4"/>
  <c r="Z57" i="4"/>
  <c r="Z58" i="4" s="1"/>
  <c r="X58" i="4"/>
  <c r="AB82" i="2"/>
  <c r="X83" i="2"/>
  <c r="X12" i="3" l="1"/>
  <c r="X22" i="3" s="1"/>
  <c r="Y12" i="3"/>
  <c r="Y22" i="3" s="1"/>
  <c r="Y45" i="3" l="1"/>
  <c r="Y46" i="3" s="1"/>
  <c r="Y48" i="3" s="1"/>
  <c r="X45" i="3"/>
  <c r="X46" i="3" s="1"/>
  <c r="X48" i="3" s="1"/>
  <c r="Z12" i="3"/>
  <c r="Z22" i="3" s="1"/>
  <c r="Z45" i="3" l="1"/>
  <c r="Z46" i="3" s="1"/>
  <c r="Z48" i="3" s="1"/>
  <c r="V48" i="3"/>
  <c r="AG13" i="3" l="1"/>
  <c r="AM23" i="8" l="1"/>
  <c r="AM4" i="8" s="1"/>
  <c r="AH44" i="8"/>
  <c r="AH9" i="2"/>
  <c r="AH11" i="2" l="1"/>
  <c r="AM44" i="8"/>
  <c r="AM9" i="2"/>
  <c r="AH27" i="8"/>
  <c r="AH48" i="8" s="1"/>
  <c r="AH47" i="8"/>
  <c r="AO23" i="8"/>
  <c r="AO4" i="8" s="1"/>
  <c r="AM26" i="8" l="1"/>
  <c r="AM19" i="2" s="1"/>
  <c r="AM10" i="2"/>
  <c r="AM11" i="2"/>
  <c r="AO44" i="8"/>
  <c r="AO9" i="2"/>
  <c r="AM5" i="8"/>
  <c r="AD5" i="8"/>
  <c r="AJ44" i="8"/>
  <c r="AJ9" i="2"/>
  <c r="AG23" i="8"/>
  <c r="AG24" i="8" s="1"/>
  <c r="AI9" i="2"/>
  <c r="AD10" i="2"/>
  <c r="AE9" i="2"/>
  <c r="AM47" i="8" l="1"/>
  <c r="AM27" i="8"/>
  <c r="AM48" i="8" s="1"/>
  <c r="AO26" i="8"/>
  <c r="AO19" i="2" s="1"/>
  <c r="AJ19" i="2"/>
  <c r="L6" i="5"/>
  <c r="H6" i="5"/>
  <c r="I6" i="5" s="1"/>
  <c r="E6" i="5"/>
  <c r="AJ10" i="2"/>
  <c r="AJ11" i="2"/>
  <c r="AK11" i="2"/>
  <c r="AO10" i="2"/>
  <c r="AP11" i="2"/>
  <c r="AI10" i="2"/>
  <c r="AI11" i="2"/>
  <c r="AL9" i="2"/>
  <c r="AO5" i="8"/>
  <c r="AJ27" i="8"/>
  <c r="AJ48" i="8" s="1"/>
  <c r="AI27" i="8"/>
  <c r="AI48" i="8" s="1"/>
  <c r="AI5" i="8"/>
  <c r="AI47" i="8"/>
  <c r="AJ5" i="8"/>
  <c r="AJ47" i="8"/>
  <c r="AE11" i="2"/>
  <c r="AF11" i="2"/>
  <c r="AE10" i="2"/>
  <c r="AE5" i="8"/>
  <c r="AO47" i="8" l="1"/>
  <c r="AO27" i="8"/>
  <c r="AO48" i="8" s="1"/>
  <c r="AC26" i="8"/>
  <c r="AG44" i="8"/>
  <c r="AE27" i="8"/>
  <c r="AE48" i="8" s="1"/>
  <c r="AD27" i="8"/>
  <c r="AF27" i="8"/>
  <c r="AF48" i="8" s="1"/>
  <c r="AG34" i="8"/>
  <c r="AG26" i="8" l="1"/>
  <c r="AG45" i="8"/>
  <c r="AC19" i="2"/>
  <c r="AG19" i="2" l="1"/>
  <c r="AH10" i="9" l="1"/>
  <c r="AM10" i="9" s="1"/>
  <c r="AM22" i="9" l="1"/>
  <c r="AH22" i="9"/>
  <c r="AI10" i="9"/>
  <c r="AN10" i="9" s="1"/>
  <c r="AN22" i="9" l="1"/>
  <c r="AI22" i="9"/>
  <c r="AJ10" i="9"/>
  <c r="AL10" i="9" s="1"/>
  <c r="AO10" i="9" l="1"/>
  <c r="AQ10" i="9" s="1"/>
  <c r="AJ22" i="9"/>
  <c r="AL22" i="9" s="1"/>
  <c r="AQ11" i="9" l="1"/>
  <c r="AG11" i="9"/>
  <c r="AO22" i="9"/>
  <c r="AQ22" i="9" s="1"/>
  <c r="AL23" i="9"/>
  <c r="AL11" i="9"/>
  <c r="AC7" i="9"/>
  <c r="AC12" i="2" s="1"/>
  <c r="AC13" i="2" l="1"/>
  <c r="AC14" i="2"/>
  <c r="AQ23" i="9"/>
  <c r="AH16" i="9"/>
  <c r="AC8" i="9"/>
  <c r="AI16" i="9"/>
  <c r="AN16" i="9" s="1"/>
  <c r="AD14" i="2" l="1"/>
  <c r="AD13" i="2"/>
  <c r="AD15" i="2"/>
  <c r="AN28" i="9"/>
  <c r="AN19" i="9" s="1"/>
  <c r="AN21" i="2" s="1"/>
  <c r="AN7" i="9"/>
  <c r="AN12" i="2" s="1"/>
  <c r="AM16" i="9"/>
  <c r="AI28" i="9"/>
  <c r="AI21" i="2" s="1"/>
  <c r="AI12" i="2"/>
  <c r="AH28" i="9"/>
  <c r="AH12" i="2"/>
  <c r="AD8" i="9"/>
  <c r="AD56" i="3" l="1"/>
  <c r="AD55" i="3"/>
  <c r="AD66" i="3"/>
  <c r="AD58" i="3"/>
  <c r="AD59" i="3"/>
  <c r="AD62" i="3"/>
  <c r="AD30" i="2"/>
  <c r="AD63" i="3"/>
  <c r="AD34" i="2"/>
  <c r="AD32" i="2"/>
  <c r="AD50" i="3"/>
  <c r="AD57" i="3"/>
  <c r="AD65" i="3"/>
  <c r="AD64" i="3"/>
  <c r="AC42" i="3"/>
  <c r="AN13" i="2"/>
  <c r="AD16" i="2"/>
  <c r="AH13" i="2"/>
  <c r="AH14" i="2"/>
  <c r="AH15" i="2"/>
  <c r="AI14" i="2"/>
  <c r="AI13" i="2"/>
  <c r="AI15" i="2"/>
  <c r="AN31" i="9"/>
  <c r="AN8" i="9"/>
  <c r="AH20" i="9"/>
  <c r="AH32" i="9" s="1"/>
  <c r="AM28" i="9"/>
  <c r="AM7" i="9"/>
  <c r="AM12" i="2" s="1"/>
  <c r="AN20" i="9"/>
  <c r="AN32" i="9" s="1"/>
  <c r="AI31" i="9"/>
  <c r="AI8" i="9"/>
  <c r="AH8" i="9"/>
  <c r="AJ16" i="9"/>
  <c r="AG16" i="9"/>
  <c r="AG7" i="9" s="1"/>
  <c r="AI20" i="9"/>
  <c r="AI32" i="9" s="1"/>
  <c r="AA19" i="9"/>
  <c r="AI55" i="3" l="1"/>
  <c r="AI32" i="2"/>
  <c r="AI56" i="3"/>
  <c r="AI59" i="3"/>
  <c r="AI66" i="3"/>
  <c r="AI30" i="2"/>
  <c r="AI62" i="3"/>
  <c r="AI34" i="2"/>
  <c r="AI63" i="3"/>
  <c r="AI58" i="3"/>
  <c r="AH62" i="3"/>
  <c r="AH56" i="3"/>
  <c r="AH32" i="2"/>
  <c r="AH63" i="3"/>
  <c r="AH34" i="2"/>
  <c r="AH30" i="2"/>
  <c r="AH58" i="3"/>
  <c r="AH55" i="3"/>
  <c r="AH66" i="3"/>
  <c r="AH59" i="3"/>
  <c r="H57" i="11"/>
  <c r="AI57" i="3"/>
  <c r="AH50" i="3"/>
  <c r="AH57" i="3"/>
  <c r="AM19" i="9"/>
  <c r="AM21" i="2" s="1"/>
  <c r="AM23" i="2" s="1"/>
  <c r="AD42" i="3"/>
  <c r="AI16" i="2"/>
  <c r="AI17" i="2"/>
  <c r="AM13" i="2"/>
  <c r="AM14" i="2"/>
  <c r="AM15" i="2"/>
  <c r="AH31" i="9"/>
  <c r="AH21" i="2"/>
  <c r="AE8" i="9"/>
  <c r="AE12" i="2"/>
  <c r="AH17" i="2"/>
  <c r="AN14" i="2"/>
  <c r="AO16" i="9"/>
  <c r="AQ16" i="9" s="1"/>
  <c r="AL16" i="9"/>
  <c r="AM8" i="9"/>
  <c r="AG17" i="9"/>
  <c r="AG8" i="9"/>
  <c r="AJ28" i="9"/>
  <c r="AJ12" i="2"/>
  <c r="AB19" i="9"/>
  <c r="AB20" i="9" s="1"/>
  <c r="AB32" i="9" s="1"/>
  <c r="AA31" i="9"/>
  <c r="AB31" i="9" s="1"/>
  <c r="AA20" i="9"/>
  <c r="AA32" i="9" s="1"/>
  <c r="AA21" i="2"/>
  <c r="AB22" i="9"/>
  <c r="AB23" i="9" s="1"/>
  <c r="AM20" i="9" l="1"/>
  <c r="AM32" i="9" s="1"/>
  <c r="L7" i="5"/>
  <c r="E7" i="5"/>
  <c r="F7" i="5" s="1"/>
  <c r="H7" i="5"/>
  <c r="I7" i="5" s="1"/>
  <c r="AM31" i="9"/>
  <c r="AI50" i="3"/>
  <c r="AI42" i="3"/>
  <c r="AM17" i="3"/>
  <c r="AM9" i="3"/>
  <c r="AM50" i="3" s="1"/>
  <c r="AM26" i="3"/>
  <c r="AM39" i="4" s="1"/>
  <c r="AM21" i="3"/>
  <c r="AM11" i="3"/>
  <c r="AM34" i="4" s="1"/>
  <c r="AM41" i="3"/>
  <c r="AM25" i="3"/>
  <c r="AM37" i="4" s="1"/>
  <c r="AM57" i="3"/>
  <c r="AH42" i="3"/>
  <c r="AQ17" i="9"/>
  <c r="AI35" i="2"/>
  <c r="AJ13" i="2"/>
  <c r="AJ14" i="2"/>
  <c r="AK14" i="2"/>
  <c r="AJ15" i="2"/>
  <c r="AL12" i="2"/>
  <c r="AH23" i="2"/>
  <c r="AE14" i="2"/>
  <c r="AE13" i="2"/>
  <c r="AF14" i="2"/>
  <c r="AE15" i="2"/>
  <c r="AG12" i="2"/>
  <c r="AM17" i="2"/>
  <c r="AM33" i="2"/>
  <c r="AM16" i="2"/>
  <c r="AM31" i="2"/>
  <c r="AM29" i="2"/>
  <c r="AM25" i="2"/>
  <c r="AH35" i="2"/>
  <c r="AJ21" i="2"/>
  <c r="AJ23" i="2" s="1"/>
  <c r="AL28" i="9"/>
  <c r="AL19" i="9" s="1"/>
  <c r="AL17" i="9"/>
  <c r="AO28" i="9"/>
  <c r="AO7" i="9"/>
  <c r="AO12" i="2" s="1"/>
  <c r="AJ8" i="9"/>
  <c r="AQ7" i="9"/>
  <c r="AL7" i="9"/>
  <c r="AB21" i="2"/>
  <c r="AA23" i="2"/>
  <c r="AJ66" i="3" l="1"/>
  <c r="AJ34" i="2"/>
  <c r="AJ62" i="3"/>
  <c r="AJ32" i="2"/>
  <c r="AJ63" i="3"/>
  <c r="AJ58" i="3"/>
  <c r="AJ59" i="3"/>
  <c r="AJ55" i="3"/>
  <c r="AJ56" i="3"/>
  <c r="AJ30" i="2"/>
  <c r="AL15" i="2"/>
  <c r="L5" i="5"/>
  <c r="AE63" i="3"/>
  <c r="AE30" i="2"/>
  <c r="AE64" i="3"/>
  <c r="AE32" i="2"/>
  <c r="AE55" i="3"/>
  <c r="AE65" i="3"/>
  <c r="AE66" i="3"/>
  <c r="AE34" i="2"/>
  <c r="AE62" i="3"/>
  <c r="AE56" i="3"/>
  <c r="AE58" i="3"/>
  <c r="AE57" i="3"/>
  <c r="AE59" i="3"/>
  <c r="E5" i="5"/>
  <c r="H5" i="5"/>
  <c r="I5" i="5" s="1"/>
  <c r="AG13" i="2"/>
  <c r="L21" i="10"/>
  <c r="Q19" i="10"/>
  <c r="AJ57" i="3"/>
  <c r="AL29" i="9"/>
  <c r="AO19" i="9"/>
  <c r="AO21" i="2" s="1"/>
  <c r="AO23" i="2" s="1"/>
  <c r="AQ28" i="9"/>
  <c r="AL21" i="2"/>
  <c r="AJ31" i="9"/>
  <c r="AO13" i="2"/>
  <c r="AO14" i="2"/>
  <c r="AP14" i="2"/>
  <c r="AO15" i="2"/>
  <c r="AQ12" i="2"/>
  <c r="AQ13" i="2" s="1"/>
  <c r="AH25" i="2"/>
  <c r="AL13" i="2"/>
  <c r="AE16" i="2"/>
  <c r="AF17" i="2"/>
  <c r="AE17" i="2"/>
  <c r="AJ25" i="2"/>
  <c r="AK17" i="2"/>
  <c r="AJ16" i="2"/>
  <c r="AJ17" i="2"/>
  <c r="AJ20" i="9"/>
  <c r="AJ32" i="9" s="1"/>
  <c r="AM26" i="2"/>
  <c r="AM35" i="2"/>
  <c r="AM37" i="2" s="1"/>
  <c r="AO8" i="9"/>
  <c r="AL20" i="9"/>
  <c r="AL32" i="9" s="1"/>
  <c r="AL31" i="9"/>
  <c r="AL8" i="9"/>
  <c r="AQ8" i="9"/>
  <c r="AB23" i="2"/>
  <c r="G25" i="11" s="1"/>
  <c r="AA25" i="2"/>
  <c r="AA37" i="2" s="1"/>
  <c r="AA66" i="2" s="1"/>
  <c r="AL33" i="2" l="1"/>
  <c r="I32" i="11" s="1"/>
  <c r="AL31" i="2"/>
  <c r="I30" i="11" s="1"/>
  <c r="H15" i="5"/>
  <c r="I15" i="5" s="1"/>
  <c r="AJ26" i="2"/>
  <c r="AO20" i="9"/>
  <c r="AO32" i="9" s="1"/>
  <c r="AH37" i="2"/>
  <c r="AG33" i="2"/>
  <c r="H32" i="11" s="1"/>
  <c r="L14" i="5"/>
  <c r="H14" i="5"/>
  <c r="I23" i="11"/>
  <c r="AA55" i="2"/>
  <c r="AM66" i="2"/>
  <c r="AJ50" i="3"/>
  <c r="AK50" i="3"/>
  <c r="AO26" i="3"/>
  <c r="AO21" i="3"/>
  <c r="AO11" i="3"/>
  <c r="AO25" i="3"/>
  <c r="AO41" i="3"/>
  <c r="AO9" i="3"/>
  <c r="AO17" i="3"/>
  <c r="AO57" i="3"/>
  <c r="AA38" i="2"/>
  <c r="AB37" i="2"/>
  <c r="AB38" i="2" s="1"/>
  <c r="AQ21" i="2"/>
  <c r="AM55" i="2"/>
  <c r="AM38" i="2"/>
  <c r="AO31" i="9"/>
  <c r="AQ19" i="9"/>
  <c r="AQ29" i="9"/>
  <c r="AO25" i="2"/>
  <c r="AO31" i="2"/>
  <c r="AO29" i="2"/>
  <c r="AP17" i="2"/>
  <c r="AO16" i="2"/>
  <c r="AO33" i="2"/>
  <c r="AE42" i="3"/>
  <c r="AG29" i="2"/>
  <c r="AJ35" i="2"/>
  <c r="AL29" i="2"/>
  <c r="AH26" i="2"/>
  <c r="AF50" i="3"/>
  <c r="AE50" i="3"/>
  <c r="AA26" i="2"/>
  <c r="AB25" i="2"/>
  <c r="AL34" i="2" l="1"/>
  <c r="I31" i="11"/>
  <c r="AL32" i="2"/>
  <c r="E15" i="5"/>
  <c r="F15" i="5" s="1"/>
  <c r="L15" i="5"/>
  <c r="AJ37" i="2"/>
  <c r="M17" i="5"/>
  <c r="AH66" i="2"/>
  <c r="AH55" i="2"/>
  <c r="AH71" i="2" s="1"/>
  <c r="AH38" i="2"/>
  <c r="AB55" i="2"/>
  <c r="AB56" i="2" s="1"/>
  <c r="H16" i="5"/>
  <c r="I16" i="5" s="1"/>
  <c r="E16" i="5"/>
  <c r="F16" i="5" s="1"/>
  <c r="L16" i="5"/>
  <c r="I14" i="5"/>
  <c r="E14" i="5"/>
  <c r="F14" i="5" s="1"/>
  <c r="J57" i="11"/>
  <c r="AB26" i="2"/>
  <c r="G26" i="11"/>
  <c r="I61" i="11"/>
  <c r="I38" i="11"/>
  <c r="I52" i="11" s="1"/>
  <c r="I41" i="11"/>
  <c r="I55" i="11" s="1"/>
  <c r="H28" i="11"/>
  <c r="AL30" i="2"/>
  <c r="I28" i="11"/>
  <c r="I29" i="11" s="1"/>
  <c r="I33" i="11"/>
  <c r="AM69" i="2"/>
  <c r="AM80" i="2" s="1"/>
  <c r="AP50" i="3"/>
  <c r="AA68" i="2"/>
  <c r="AA69" i="2"/>
  <c r="AB66" i="2"/>
  <c r="AP37" i="4"/>
  <c r="AP34" i="4"/>
  <c r="AP39" i="4"/>
  <c r="AA56" i="2"/>
  <c r="AA71" i="2"/>
  <c r="AQ31" i="9"/>
  <c r="AQ20" i="9"/>
  <c r="AQ32" i="9" s="1"/>
  <c r="AL35" i="2"/>
  <c r="AM56" i="2"/>
  <c r="AM71" i="2"/>
  <c r="AO35" i="2"/>
  <c r="AO37" i="2" s="1"/>
  <c r="AO26" i="2"/>
  <c r="AG22" i="9"/>
  <c r="AG23" i="9" s="1"/>
  <c r="AJ55" i="2" l="1"/>
  <c r="AJ38" i="2"/>
  <c r="AJ66" i="2"/>
  <c r="AH74" i="2"/>
  <c r="AH68" i="2"/>
  <c r="AH56" i="2"/>
  <c r="AA73" i="2"/>
  <c r="AP46" i="4"/>
  <c r="AP47" i="4" s="1"/>
  <c r="G34" i="11"/>
  <c r="G27" i="11"/>
  <c r="AO66" i="2"/>
  <c r="AA70" i="2"/>
  <c r="AB69" i="2"/>
  <c r="AB70" i="2" s="1"/>
  <c r="AM70" i="2"/>
  <c r="AI46" i="4"/>
  <c r="AB71" i="2"/>
  <c r="AA74" i="2"/>
  <c r="AO38" i="2"/>
  <c r="AO55" i="2"/>
  <c r="AM74" i="2"/>
  <c r="AM63" i="2" s="1"/>
  <c r="AA46" i="4"/>
  <c r="AA80" i="4" s="1"/>
  <c r="AM82" i="2" l="1"/>
  <c r="AH69" i="2"/>
  <c r="AH82" i="2"/>
  <c r="AJ71" i="2"/>
  <c r="AJ74" i="2" s="1"/>
  <c r="AJ56" i="2"/>
  <c r="AJ68" i="2"/>
  <c r="AB80" i="4"/>
  <c r="AB83" i="4" s="1"/>
  <c r="AA83" i="4"/>
  <c r="AC82" i="4" s="1"/>
  <c r="AH63" i="2"/>
  <c r="AH73" i="2"/>
  <c r="AH75" i="2"/>
  <c r="AA63" i="2"/>
  <c r="AA64" i="2" s="1"/>
  <c r="AP57" i="4"/>
  <c r="AP58" i="4" s="1"/>
  <c r="AP80" i="4"/>
  <c r="G43" i="11"/>
  <c r="G35" i="11"/>
  <c r="AA75" i="2"/>
  <c r="AO69" i="2"/>
  <c r="AO80" i="2" s="1"/>
  <c r="AI47" i="4"/>
  <c r="AI57" i="4"/>
  <c r="AI58" i="4" s="1"/>
  <c r="AI80" i="4"/>
  <c r="AA78" i="2"/>
  <c r="AA82" i="2" s="1"/>
  <c r="AB74" i="2"/>
  <c r="AB78" i="2" s="1"/>
  <c r="AM75" i="2"/>
  <c r="AM78" i="2"/>
  <c r="AO56" i="2"/>
  <c r="AO71" i="2"/>
  <c r="AB46" i="4"/>
  <c r="AB47" i="4" s="1"/>
  <c r="AA57" i="4"/>
  <c r="AA47" i="4"/>
  <c r="AJ69" i="2" l="1"/>
  <c r="AJ63" i="2"/>
  <c r="AJ82" i="2"/>
  <c r="AJ73" i="2"/>
  <c r="AG82" i="4"/>
  <c r="AJ75" i="2"/>
  <c r="AH80" i="2"/>
  <c r="AH78" i="2"/>
  <c r="AB63" i="2"/>
  <c r="AB64" i="2" s="1"/>
  <c r="AA83" i="2"/>
  <c r="AA80" i="2"/>
  <c r="AA81" i="2" s="1"/>
  <c r="G47" i="11"/>
  <c r="G44" i="11"/>
  <c r="G49" i="11"/>
  <c r="G63" i="11" s="1"/>
  <c r="G66" i="11" s="1"/>
  <c r="AB75" i="2"/>
  <c r="AO70" i="2"/>
  <c r="AM6" i="4"/>
  <c r="AJ46" i="4"/>
  <c r="AO74" i="2"/>
  <c r="AM64" i="2"/>
  <c r="AH64" i="2"/>
  <c r="AA58" i="4"/>
  <c r="AB57" i="4"/>
  <c r="AO82" i="2" l="1"/>
  <c r="AO63" i="2"/>
  <c r="AJ64" i="2"/>
  <c r="AJ78" i="2"/>
  <c r="AM81" i="2"/>
  <c r="AM83" i="2"/>
  <c r="AH46" i="4"/>
  <c r="AM46" i="4"/>
  <c r="AJ47" i="4"/>
  <c r="AJ80" i="4"/>
  <c r="AJ57" i="4"/>
  <c r="AJ58" i="4" s="1"/>
  <c r="AO78" i="2"/>
  <c r="AO75" i="2"/>
  <c r="AB58" i="4"/>
  <c r="AA12" i="3"/>
  <c r="AB7" i="3"/>
  <c r="AG25" i="9"/>
  <c r="AJ70" i="2" l="1"/>
  <c r="AJ80" i="2"/>
  <c r="AM57" i="4"/>
  <c r="AM80" i="4"/>
  <c r="AM47" i="4"/>
  <c r="AO6" i="4"/>
  <c r="AH47" i="4"/>
  <c r="AH80" i="4"/>
  <c r="AH57" i="4"/>
  <c r="AO64" i="2"/>
  <c r="AA22" i="3"/>
  <c r="AA45" i="3" s="1"/>
  <c r="AB12" i="3"/>
  <c r="AG26" i="9"/>
  <c r="AC19" i="9"/>
  <c r="AC31" i="9" s="1"/>
  <c r="AD23" i="2"/>
  <c r="AO81" i="2" l="1"/>
  <c r="AD25" i="2"/>
  <c r="AO83" i="2"/>
  <c r="AH58" i="4"/>
  <c r="AM58" i="4"/>
  <c r="AC20" i="9"/>
  <c r="AC32" i="9" s="1"/>
  <c r="AC21" i="2"/>
  <c r="AC23" i="2" s="1"/>
  <c r="AA46" i="3"/>
  <c r="AB46" i="3" s="1"/>
  <c r="AB45" i="3"/>
  <c r="AB22" i="3"/>
  <c r="AD20" i="9"/>
  <c r="AD26" i="2" l="1"/>
  <c r="AE23" i="2"/>
  <c r="AE20" i="9"/>
  <c r="AE32" i="9" s="1"/>
  <c r="AE25" i="2" l="1"/>
  <c r="AE26" i="2" s="1"/>
  <c r="AG21" i="2"/>
  <c r="AF23" i="2"/>
  <c r="D9" i="5" s="1"/>
  <c r="AA48" i="3"/>
  <c r="AG28" i="9"/>
  <c r="AF20" i="9"/>
  <c r="AF32" i="9" s="1"/>
  <c r="E9" i="5" l="1"/>
  <c r="F9" i="5" s="1"/>
  <c r="H9" i="5"/>
  <c r="I9" i="5" s="1"/>
  <c r="L9" i="5"/>
  <c r="AF25" i="2"/>
  <c r="D10" i="5" s="1"/>
  <c r="AG23" i="2"/>
  <c r="H25" i="11" s="1"/>
  <c r="AG29" i="9"/>
  <c r="AG19" i="9"/>
  <c r="L10" i="5" l="1"/>
  <c r="H10" i="5"/>
  <c r="I10" i="5" s="1"/>
  <c r="E10" i="5"/>
  <c r="AF26" i="2"/>
  <c r="D11" i="5" s="1"/>
  <c r="AG31" i="9"/>
  <c r="L22" i="10" s="1"/>
  <c r="AG20" i="9"/>
  <c r="AG32" i="9" s="1"/>
  <c r="L11" i="5" l="1"/>
  <c r="H11" i="5"/>
  <c r="I11" i="5" s="1"/>
  <c r="E11" i="5"/>
  <c r="AQ30" i="8"/>
  <c r="AQ34" i="8"/>
  <c r="AQ26" i="8"/>
  <c r="AH65" i="3" l="1"/>
  <c r="AI65" i="3"/>
  <c r="AJ65" i="3"/>
  <c r="AL37" i="3"/>
  <c r="AK65" i="3"/>
  <c r="AM65" i="3"/>
  <c r="AQ37" i="3"/>
  <c r="AP65" i="3"/>
  <c r="AO65" i="3"/>
  <c r="AH64" i="3"/>
  <c r="AI64" i="3"/>
  <c r="AJ64" i="3"/>
  <c r="AL33" i="3"/>
  <c r="AK64" i="3"/>
  <c r="AL42" i="3" l="1"/>
  <c r="AM42" i="3" l="1"/>
  <c r="AM64" i="3"/>
  <c r="AO64" i="3"/>
  <c r="AO42" i="3"/>
  <c r="AP64" i="3"/>
  <c r="AP42" i="3"/>
  <c r="AQ42" i="3" s="1"/>
  <c r="AG31" i="2"/>
  <c r="AD35" i="2"/>
  <c r="AE35" i="2"/>
  <c r="AF35" i="2"/>
  <c r="D17" i="5" s="1"/>
  <c r="AC35" i="2"/>
  <c r="AF37" i="2" l="1"/>
  <c r="D19" i="5" s="1"/>
  <c r="AE37" i="2"/>
  <c r="AE38" i="2" s="1"/>
  <c r="AD37" i="2"/>
  <c r="H30" i="11"/>
  <c r="AG35" i="2"/>
  <c r="AE66" i="2" l="1"/>
  <c r="AE55" i="2"/>
  <c r="AF66" i="2"/>
  <c r="D32" i="5" s="1"/>
  <c r="AF55" i="2"/>
  <c r="AF38" i="2"/>
  <c r="D20" i="5" s="1"/>
  <c r="AD55" i="2"/>
  <c r="AD66" i="2"/>
  <c r="E19" i="5"/>
  <c r="AD38" i="2"/>
  <c r="H17" i="5"/>
  <c r="I17" i="5" s="1"/>
  <c r="E17" i="5"/>
  <c r="F17" i="5" s="1"/>
  <c r="L17" i="5"/>
  <c r="AE56" i="2"/>
  <c r="AE69" i="2"/>
  <c r="AE68" i="2"/>
  <c r="AF71" i="2" l="1"/>
  <c r="D24" i="5"/>
  <c r="AE71" i="2"/>
  <c r="E20" i="5"/>
  <c r="AF56" i="2"/>
  <c r="H32" i="5"/>
  <c r="I32" i="5" s="1"/>
  <c r="AE73" i="2"/>
  <c r="AD68" i="2"/>
  <c r="AE70" i="2"/>
  <c r="AE80" i="2"/>
  <c r="AD56" i="2"/>
  <c r="AD71" i="2"/>
  <c r="E32" i="5"/>
  <c r="L32" i="5"/>
  <c r="L19" i="5"/>
  <c r="H19" i="5"/>
  <c r="I19" i="5" s="1"/>
  <c r="H20" i="5"/>
  <c r="I20" i="5" s="1"/>
  <c r="L20" i="5"/>
  <c r="E25" i="5"/>
  <c r="L25" i="5"/>
  <c r="H25" i="5" l="1"/>
  <c r="I25" i="5" s="1"/>
  <c r="D25" i="5"/>
  <c r="AF74" i="2"/>
  <c r="D36" i="5"/>
  <c r="AE74" i="2"/>
  <c r="AE75" i="2" s="1"/>
  <c r="AF73" i="2"/>
  <c r="AD74" i="2"/>
  <c r="AD73" i="2"/>
  <c r="E24" i="5"/>
  <c r="L24" i="5"/>
  <c r="H24" i="5"/>
  <c r="I24" i="5" s="1"/>
  <c r="L36" i="5"/>
  <c r="E36" i="5"/>
  <c r="H36" i="5"/>
  <c r="I36" i="5" s="1"/>
  <c r="AE46" i="4"/>
  <c r="AE80" i="4" s="1"/>
  <c r="AD46" i="4"/>
  <c r="AD80" i="4" s="1"/>
  <c r="AG72" i="2"/>
  <c r="H46" i="11" s="1"/>
  <c r="AF67" i="2"/>
  <c r="D33" i="5" s="1"/>
  <c r="AE78" i="2" l="1"/>
  <c r="AE82" i="2" s="1"/>
  <c r="D34" i="5"/>
  <c r="D38" i="5"/>
  <c r="AE63" i="2"/>
  <c r="AD78" i="2"/>
  <c r="AD82" i="2" s="1"/>
  <c r="AD83" i="2" s="1"/>
  <c r="AF63" i="2"/>
  <c r="D27" i="5" s="1"/>
  <c r="AF75" i="2"/>
  <c r="AF78" i="2"/>
  <c r="AF82" i="2" s="1"/>
  <c r="D40" i="5" s="1"/>
  <c r="H33" i="5"/>
  <c r="I33" i="5" s="1"/>
  <c r="E33" i="5"/>
  <c r="F33" i="5" s="1"/>
  <c r="L33" i="5"/>
  <c r="E37" i="5"/>
  <c r="F37" i="5" s="1"/>
  <c r="H37" i="5"/>
  <c r="I37" i="5" s="1"/>
  <c r="L37" i="5"/>
  <c r="L34" i="5"/>
  <c r="L38" i="5"/>
  <c r="AD69" i="2"/>
  <c r="AD80" i="2" s="1"/>
  <c r="AC80" i="2" s="1"/>
  <c r="AD63" i="2"/>
  <c r="AD75" i="2"/>
  <c r="AE81" i="2"/>
  <c r="AJ81" i="2"/>
  <c r="AG67" i="2"/>
  <c r="AF68" i="2"/>
  <c r="AF69" i="2"/>
  <c r="AF80" i="2" s="1"/>
  <c r="AF46" i="4"/>
  <c r="AF80" i="4" s="1"/>
  <c r="AC82" i="2"/>
  <c r="AE47" i="4"/>
  <c r="AE57" i="4"/>
  <c r="AE58" i="4" s="1"/>
  <c r="AD57" i="4"/>
  <c r="AD58" i="4" s="1"/>
  <c r="AD47" i="4"/>
  <c r="AE83" i="2"/>
  <c r="AJ83" i="2"/>
  <c r="AE64" i="2" l="1"/>
  <c r="AD64" i="2"/>
  <c r="AD70" i="2"/>
  <c r="H27" i="5"/>
  <c r="I27" i="5" s="1"/>
  <c r="AF64" i="2"/>
  <c r="H38" i="5"/>
  <c r="I38" i="5" s="1"/>
  <c r="E38" i="5"/>
  <c r="H34" i="5"/>
  <c r="I34" i="5" s="1"/>
  <c r="E34" i="5"/>
  <c r="L28" i="5"/>
  <c r="E28" i="5"/>
  <c r="L27" i="5"/>
  <c r="E27" i="5"/>
  <c r="E40" i="5"/>
  <c r="F40" i="5" s="1"/>
  <c r="AF81" i="2"/>
  <c r="AK81" i="2"/>
  <c r="AC81" i="2"/>
  <c r="AG80" i="2"/>
  <c r="AH81" i="2"/>
  <c r="AC46" i="4"/>
  <c r="AC80" i="4" s="1"/>
  <c r="AC83" i="4" s="1"/>
  <c r="AF83" i="2"/>
  <c r="AK83" i="2"/>
  <c r="AF70" i="2"/>
  <c r="AF57" i="4"/>
  <c r="AF58" i="4" s="1"/>
  <c r="AF47" i="4"/>
  <c r="AG82" i="2"/>
  <c r="AH83" i="2"/>
  <c r="AC83" i="2"/>
  <c r="H28" i="5" l="1"/>
  <c r="I28" i="5" s="1"/>
  <c r="D28" i="5"/>
  <c r="H40" i="5"/>
  <c r="I40" i="5" s="1"/>
  <c r="L40" i="5"/>
  <c r="AD81" i="2"/>
  <c r="AC57" i="4"/>
  <c r="AG46" i="4"/>
  <c r="AG57" i="4" l="1"/>
  <c r="AD82" i="4"/>
  <c r="AG80" i="4"/>
  <c r="AG83" i="4" s="1"/>
  <c r="AD83" i="4" l="1"/>
  <c r="AE82" i="4" s="1"/>
  <c r="AE83" i="4" s="1"/>
  <c r="AF82" i="4" s="1"/>
  <c r="AF83" i="4" s="1"/>
  <c r="AC12" i="3"/>
  <c r="AC22" i="3" s="1"/>
  <c r="AC45" i="3" s="1"/>
  <c r="AC46" i="3" s="1"/>
  <c r="AC48" i="3" s="1"/>
  <c r="AL82" i="4"/>
  <c r="AH83" i="4"/>
  <c r="AI82" i="4" s="1"/>
  <c r="AI83" i="4" s="1"/>
  <c r="AJ82" i="4" s="1"/>
  <c r="AJ83" i="4" s="1"/>
  <c r="AK82" i="4" s="1"/>
  <c r="AD12" i="3" l="1"/>
  <c r="AD22" i="3" s="1"/>
  <c r="AD45" i="3" s="1"/>
  <c r="AD46" i="3" s="1"/>
  <c r="AD48" i="3" s="1"/>
  <c r="AE12" i="3" l="1"/>
  <c r="AE22" i="3" s="1"/>
  <c r="AE45" i="3" s="1"/>
  <c r="AE46" i="3" s="1"/>
  <c r="AE48" i="3" s="1"/>
  <c r="AG7" i="3" l="1"/>
  <c r="AF12" i="3"/>
  <c r="AH45" i="3" l="1"/>
  <c r="AH46" i="3" s="1"/>
  <c r="AH48" i="3" s="1"/>
  <c r="AF22" i="3"/>
  <c r="AG12" i="3"/>
  <c r="AI12" i="3" l="1"/>
  <c r="AI22" i="3" s="1"/>
  <c r="AI45" i="3" s="1"/>
  <c r="AI46" i="3" s="1"/>
  <c r="AI48" i="3" s="1"/>
  <c r="AG22" i="3"/>
  <c r="AF45" i="3"/>
  <c r="AJ12" i="3" l="1"/>
  <c r="AJ22" i="3" s="1"/>
  <c r="AJ45" i="3" s="1"/>
  <c r="AJ46" i="3" s="1"/>
  <c r="AJ48" i="3" s="1"/>
  <c r="C16" i="7"/>
  <c r="AG45" i="3"/>
  <c r="AF46" i="3"/>
  <c r="K11" i="11" l="1"/>
  <c r="D16" i="7"/>
  <c r="AM7" i="3"/>
  <c r="AL7" i="3"/>
  <c r="AK12" i="3"/>
  <c r="AF48" i="3"/>
  <c r="AG46" i="3"/>
  <c r="AL12" i="3" l="1"/>
  <c r="AM12" i="3"/>
  <c r="AM22" i="3" s="1"/>
  <c r="AM45" i="3" s="1"/>
  <c r="AM46" i="3" s="1"/>
  <c r="AM48" i="3" s="1"/>
  <c r="AC11" i="8" l="1"/>
  <c r="AC6" i="8"/>
  <c r="AG6" i="8" s="1"/>
  <c r="AG7" i="8" s="1"/>
  <c r="AC4" i="8" l="1"/>
  <c r="AC5" i="8" s="1"/>
  <c r="AC9" i="2"/>
  <c r="AD11" i="2" s="1"/>
  <c r="F6" i="5"/>
  <c r="AG4" i="8"/>
  <c r="AG27" i="8" s="1"/>
  <c r="AG48" i="8" s="1"/>
  <c r="AC27" i="8"/>
  <c r="AC48" i="8" s="1"/>
  <c r="AG10" i="8"/>
  <c r="AL7" i="8"/>
  <c r="AC30" i="8"/>
  <c r="AC11" i="2"/>
  <c r="AH7" i="8"/>
  <c r="AC7" i="8"/>
  <c r="AG9" i="2"/>
  <c r="AC47" i="8"/>
  <c r="AG30" i="8"/>
  <c r="AH5" i="8"/>
  <c r="AC15" i="2"/>
  <c r="F5" i="5" s="1"/>
  <c r="AH10" i="2"/>
  <c r="AH70" i="2" s="1"/>
  <c r="AC10" i="2" l="1"/>
  <c r="AG5" i="8"/>
  <c r="AG47" i="8"/>
  <c r="F11" i="10" s="1"/>
  <c r="AC58" i="4"/>
  <c r="AC17" i="2"/>
  <c r="AH16" i="2"/>
  <c r="AC30" i="2"/>
  <c r="AC64" i="3"/>
  <c r="AC16" i="2"/>
  <c r="AC32" i="2"/>
  <c r="AC50" i="3"/>
  <c r="AC47" i="4"/>
  <c r="AC25" i="2"/>
  <c r="F10" i="5" s="1"/>
  <c r="AD17" i="2"/>
  <c r="AC63" i="3"/>
  <c r="AC59" i="3"/>
  <c r="AC34" i="2"/>
  <c r="AC62" i="3"/>
  <c r="AC66" i="3"/>
  <c r="AC55" i="3"/>
  <c r="AC65" i="3"/>
  <c r="AG15" i="2"/>
  <c r="AC56" i="3"/>
  <c r="AC58" i="3"/>
  <c r="AC57" i="3"/>
  <c r="AL11" i="8"/>
  <c r="AG11" i="8"/>
  <c r="AG10" i="2"/>
  <c r="F10" i="10"/>
  <c r="AL10" i="2"/>
  <c r="AG58" i="4" l="1"/>
  <c r="AG34" i="2"/>
  <c r="AG47" i="4"/>
  <c r="AL16" i="2"/>
  <c r="H23" i="11"/>
  <c r="AG16" i="2"/>
  <c r="AG32" i="2"/>
  <c r="AG30" i="2"/>
  <c r="H24" i="10"/>
  <c r="H25" i="10" s="1"/>
  <c r="Q20" i="10"/>
  <c r="Q21" i="10" s="1"/>
  <c r="AC37" i="2"/>
  <c r="F19" i="5" s="1"/>
  <c r="AC26" i="2"/>
  <c r="F11" i="5" s="1"/>
  <c r="AG25" i="2"/>
  <c r="AG26" i="2" l="1"/>
  <c r="H26" i="11"/>
  <c r="AC38" i="2"/>
  <c r="F20" i="5" s="1"/>
  <c r="AG37" i="2"/>
  <c r="AG38" i="2" s="1"/>
  <c r="AC66" i="2"/>
  <c r="F32" i="5" s="1"/>
  <c r="AC55" i="2"/>
  <c r="F24" i="5" s="1"/>
  <c r="H29" i="11"/>
  <c r="H31" i="11"/>
  <c r="H61" i="11"/>
  <c r="H38" i="11"/>
  <c r="H52" i="11" s="1"/>
  <c r="H24" i="11"/>
  <c r="I24" i="11"/>
  <c r="H41" i="11"/>
  <c r="H55" i="11" s="1"/>
  <c r="H58" i="11"/>
  <c r="H33" i="11"/>
  <c r="AC71" i="2" l="1"/>
  <c r="F36" i="5" s="1"/>
  <c r="AC56" i="2"/>
  <c r="F25" i="5" s="1"/>
  <c r="AG55" i="2"/>
  <c r="AG56" i="2" s="1"/>
  <c r="AC68" i="2"/>
  <c r="AC69" i="2"/>
  <c r="AG66" i="2"/>
  <c r="H34" i="11"/>
  <c r="H27" i="11"/>
  <c r="H43" i="11" l="1"/>
  <c r="H35" i="11"/>
  <c r="AC70" i="2"/>
  <c r="AG69" i="2"/>
  <c r="AG70" i="2" s="1"/>
  <c r="AC74" i="2"/>
  <c r="AG71" i="2"/>
  <c r="AC73" i="2"/>
  <c r="F38" i="5" l="1"/>
  <c r="F34" i="5"/>
  <c r="AG74" i="2"/>
  <c r="AC63" i="2"/>
  <c r="F27" i="5" s="1"/>
  <c r="AC75" i="2"/>
  <c r="H47" i="11"/>
  <c r="H49" i="11"/>
  <c r="H63" i="11" s="1"/>
  <c r="H66" i="11" s="1"/>
  <c r="H44" i="11"/>
  <c r="AC64" i="2" l="1"/>
  <c r="F28" i="5" s="1"/>
  <c r="AG63" i="2"/>
  <c r="AG64" i="2" s="1"/>
  <c r="AG78" i="2"/>
  <c r="AG75" i="2"/>
  <c r="AI19" i="2"/>
  <c r="AL23" i="8"/>
  <c r="AN23" i="8"/>
  <c r="AN44" i="8" s="1"/>
  <c r="AN26" i="8" s="1"/>
  <c r="AL19" i="2" l="1"/>
  <c r="AI23" i="2"/>
  <c r="AN4" i="8"/>
  <c r="AN9" i="2" s="1"/>
  <c r="AO11" i="2" s="1"/>
  <c r="AN19" i="2"/>
  <c r="AL45" i="8"/>
  <c r="AL4" i="8"/>
  <c r="AL24" i="8"/>
  <c r="AI44" i="8"/>
  <c r="AQ23" i="8"/>
  <c r="AQ9" i="2" l="1"/>
  <c r="AQ10" i="2" s="1"/>
  <c r="AN15" i="2"/>
  <c r="AN64" i="3" s="1"/>
  <c r="AN27" i="8"/>
  <c r="AN48" i="8" s="1"/>
  <c r="AN5" i="8"/>
  <c r="AN11" i="2"/>
  <c r="AN47" i="8"/>
  <c r="AN10" i="2"/>
  <c r="AI25" i="2"/>
  <c r="AL23" i="2"/>
  <c r="I25" i="11" s="1"/>
  <c r="AN65" i="3"/>
  <c r="AN26" i="3"/>
  <c r="AN25" i="3"/>
  <c r="AN57" i="3"/>
  <c r="AN29" i="2"/>
  <c r="AN41" i="3"/>
  <c r="AN17" i="3"/>
  <c r="AQ45" i="8"/>
  <c r="AQ4" i="8"/>
  <c r="AQ24" i="8"/>
  <c r="AL47" i="8"/>
  <c r="AL27" i="8"/>
  <c r="AL48" i="8" s="1"/>
  <c r="AL5" i="8"/>
  <c r="AN23" i="2"/>
  <c r="AQ23" i="2" s="1"/>
  <c r="J25" i="11" s="1"/>
  <c r="AQ19" i="2"/>
  <c r="AQ15" i="2" l="1"/>
  <c r="AO17" i="2"/>
  <c r="AN9" i="3"/>
  <c r="AN50" i="3" s="1"/>
  <c r="AN21" i="3"/>
  <c r="AN17" i="2"/>
  <c r="AN11" i="3"/>
  <c r="AO34" i="4" s="1"/>
  <c r="AN33" i="2"/>
  <c r="AQ33" i="2" s="1"/>
  <c r="AQ34" i="2" s="1"/>
  <c r="AN16" i="2"/>
  <c r="AN31" i="2"/>
  <c r="AQ31" i="2" s="1"/>
  <c r="J30" i="11" s="1"/>
  <c r="AI26" i="2"/>
  <c r="AI37" i="2"/>
  <c r="AL25" i="2"/>
  <c r="AQ29" i="2"/>
  <c r="AQ27" i="8"/>
  <c r="AQ48" i="8" s="1"/>
  <c r="AQ5" i="8"/>
  <c r="AQ47" i="8"/>
  <c r="AN37" i="4"/>
  <c r="AO37" i="4"/>
  <c r="AN42" i="3"/>
  <c r="J23" i="11"/>
  <c r="C14" i="7"/>
  <c r="AQ16" i="2"/>
  <c r="AN39" i="4"/>
  <c r="AO39" i="4"/>
  <c r="AN25" i="2"/>
  <c r="AO50" i="3" l="1"/>
  <c r="AN34" i="4"/>
  <c r="J32" i="11"/>
  <c r="AQ32" i="2"/>
  <c r="AN35" i="2"/>
  <c r="AQ35" i="2" s="1"/>
  <c r="J31" i="11"/>
  <c r="J33" i="11"/>
  <c r="AL26" i="2"/>
  <c r="I26" i="11"/>
  <c r="AI38" i="2"/>
  <c r="AI55" i="2"/>
  <c r="AI66" i="2"/>
  <c r="AL37" i="2"/>
  <c r="AL38" i="2" s="1"/>
  <c r="AQ34" i="4"/>
  <c r="AQ25" i="2"/>
  <c r="AN26" i="2"/>
  <c r="AQ39" i="4"/>
  <c r="AQ30" i="2"/>
  <c r="J28" i="11"/>
  <c r="J29" i="11" s="1"/>
  <c r="K7" i="7"/>
  <c r="K8" i="7" s="1"/>
  <c r="I7" i="7"/>
  <c r="I8" i="7" s="1"/>
  <c r="M7" i="7"/>
  <c r="M8" i="7" s="1"/>
  <c r="O7" i="7"/>
  <c r="O8" i="7" s="1"/>
  <c r="AO46" i="4"/>
  <c r="AQ37" i="4"/>
  <c r="J61" i="11"/>
  <c r="J38" i="11"/>
  <c r="J52" i="11" s="1"/>
  <c r="K23" i="11"/>
  <c r="J24" i="11"/>
  <c r="J58" i="11"/>
  <c r="J41" i="11"/>
  <c r="J55" i="11" s="1"/>
  <c r="AN37" i="2" l="1"/>
  <c r="AN55" i="2" s="1"/>
  <c r="AI68" i="2"/>
  <c r="AL66" i="2"/>
  <c r="AI71" i="2"/>
  <c r="AI74" i="2" s="1"/>
  <c r="AI82" i="2" s="1"/>
  <c r="AI56" i="2"/>
  <c r="AL55" i="2"/>
  <c r="AL56" i="2" s="1"/>
  <c r="I27" i="11"/>
  <c r="I34" i="11"/>
  <c r="K57" i="11"/>
  <c r="K32" i="11"/>
  <c r="K30" i="11"/>
  <c r="L23" i="11"/>
  <c r="K25" i="11"/>
  <c r="K26" i="11" s="1"/>
  <c r="K28" i="11"/>
  <c r="K40" i="11"/>
  <c r="K54" i="11" s="1"/>
  <c r="K60" i="11"/>
  <c r="K37" i="11"/>
  <c r="K51" i="11" s="1"/>
  <c r="AO47" i="4"/>
  <c r="AO57" i="4"/>
  <c r="AO58" i="4" s="1"/>
  <c r="AO80" i="4"/>
  <c r="AQ26" i="2"/>
  <c r="J26" i="11"/>
  <c r="AN38" i="2" l="1"/>
  <c r="AN66" i="2"/>
  <c r="AQ37" i="2"/>
  <c r="AQ38" i="2" s="1"/>
  <c r="AI73" i="2"/>
  <c r="AL71" i="2"/>
  <c r="I43" i="11"/>
  <c r="I35" i="11"/>
  <c r="K34" i="11"/>
  <c r="K43" i="11" s="1"/>
  <c r="L32" i="11"/>
  <c r="L40" i="11"/>
  <c r="L54" i="11" s="1"/>
  <c r="L60" i="11"/>
  <c r="L57" i="11"/>
  <c r="L28" i="11"/>
  <c r="M23" i="11"/>
  <c r="L25" i="11"/>
  <c r="L26" i="11" s="1"/>
  <c r="L37" i="11"/>
  <c r="L51" i="11" s="1"/>
  <c r="L30" i="11"/>
  <c r="AN69" i="2"/>
  <c r="AQ66" i="2"/>
  <c r="J27" i="11"/>
  <c r="J34" i="11"/>
  <c r="AQ55" i="2"/>
  <c r="AQ56" i="2" s="1"/>
  <c r="AN56" i="2"/>
  <c r="AN71" i="2"/>
  <c r="K35" i="11" l="1"/>
  <c r="I49" i="11"/>
  <c r="I47" i="11"/>
  <c r="I44" i="11"/>
  <c r="AI75" i="2"/>
  <c r="AI78" i="2"/>
  <c r="AI69" i="2"/>
  <c r="AI63" i="2"/>
  <c r="AL74" i="2"/>
  <c r="L34" i="11"/>
  <c r="L43" i="11" s="1"/>
  <c r="M60" i="11"/>
  <c r="M32" i="11"/>
  <c r="M25" i="11"/>
  <c r="M26" i="11" s="1"/>
  <c r="N23" i="11"/>
  <c r="M30" i="11"/>
  <c r="M57" i="11"/>
  <c r="M37" i="11"/>
  <c r="M51" i="11" s="1"/>
  <c r="M28" i="11"/>
  <c r="M40" i="11"/>
  <c r="M54" i="11" s="1"/>
  <c r="AQ69" i="2"/>
  <c r="AQ70" i="2" s="1"/>
  <c r="AN80" i="2"/>
  <c r="AN70" i="2"/>
  <c r="AQ71" i="2"/>
  <c r="AN74" i="2"/>
  <c r="J43" i="11"/>
  <c r="J35" i="11"/>
  <c r="K44" i="11"/>
  <c r="K46" i="11"/>
  <c r="K49" i="11" s="1"/>
  <c r="K63" i="11" s="1"/>
  <c r="AN82" i="2" l="1"/>
  <c r="AQ82" i="2" s="1"/>
  <c r="AN63" i="2"/>
  <c r="L35" i="11"/>
  <c r="AI64" i="2"/>
  <c r="AL63" i="2"/>
  <c r="AL64" i="2" s="1"/>
  <c r="AL75" i="2"/>
  <c r="AL78" i="2"/>
  <c r="AI80" i="2"/>
  <c r="AI70" i="2"/>
  <c r="AL69" i="2"/>
  <c r="AL70" i="2" s="1"/>
  <c r="AL82" i="2"/>
  <c r="AI83" i="2"/>
  <c r="AQ80" i="2"/>
  <c r="N60" i="11"/>
  <c r="O23" i="11"/>
  <c r="N25" i="11"/>
  <c r="N26" i="11" s="1"/>
  <c r="N32" i="11"/>
  <c r="N40" i="11"/>
  <c r="N54" i="11" s="1"/>
  <c r="N57" i="11"/>
  <c r="N28" i="11"/>
  <c r="N37" i="11"/>
  <c r="N51" i="11" s="1"/>
  <c r="N30" i="11"/>
  <c r="M34" i="11"/>
  <c r="K66" i="11"/>
  <c r="K65" i="11"/>
  <c r="J49" i="11"/>
  <c r="J63" i="11" s="1"/>
  <c r="J44" i="11"/>
  <c r="J47" i="11"/>
  <c r="AN75" i="2"/>
  <c r="AQ74" i="2"/>
  <c r="AN78" i="2"/>
  <c r="L46" i="11"/>
  <c r="L49" i="11" s="1"/>
  <c r="L63" i="11" s="1"/>
  <c r="L44" i="11"/>
  <c r="AN64" i="2" l="1"/>
  <c r="AQ63" i="2"/>
  <c r="AQ64" i="2" s="1"/>
  <c r="AL80" i="2"/>
  <c r="AI81" i="2"/>
  <c r="AN81" i="2"/>
  <c r="N34" i="11"/>
  <c r="L65" i="11"/>
  <c r="L66" i="11"/>
  <c r="M43" i="11"/>
  <c r="M35" i="11"/>
  <c r="J65" i="11"/>
  <c r="J66" i="11"/>
  <c r="AN6" i="4"/>
  <c r="AQ78" i="2"/>
  <c r="AQ75" i="2"/>
  <c r="O25" i="11"/>
  <c r="O26" i="11" s="1"/>
  <c r="O40" i="11"/>
  <c r="O54" i="11" s="1"/>
  <c r="O57" i="11"/>
  <c r="O32" i="11"/>
  <c r="O60" i="11"/>
  <c r="O30" i="11"/>
  <c r="P23" i="11"/>
  <c r="O28" i="11"/>
  <c r="O37" i="11"/>
  <c r="O51" i="11" s="1"/>
  <c r="AN46" i="4" l="1"/>
  <c r="AQ6" i="4"/>
  <c r="O34" i="11"/>
  <c r="M46" i="11"/>
  <c r="M49" i="11" s="1"/>
  <c r="M63" i="11" s="1"/>
  <c r="M44" i="11"/>
  <c r="P28" i="11"/>
  <c r="P32" i="11"/>
  <c r="P30" i="11"/>
  <c r="P37" i="11"/>
  <c r="P51" i="11" s="1"/>
  <c r="P60" i="11"/>
  <c r="P40" i="11"/>
  <c r="P54" i="11" s="1"/>
  <c r="P25" i="11"/>
  <c r="P26" i="11" s="1"/>
  <c r="Q23" i="11"/>
  <c r="P57" i="11"/>
  <c r="AN83" i="2"/>
  <c r="C17" i="7"/>
  <c r="N35" i="11"/>
  <c r="N43" i="11"/>
  <c r="P34" i="11" l="1"/>
  <c r="P35" i="11" s="1"/>
  <c r="M66" i="11"/>
  <c r="M65" i="11"/>
  <c r="Q30" i="11"/>
  <c r="Q57" i="11"/>
  <c r="R23" i="11"/>
  <c r="Q60" i="11"/>
  <c r="Q40" i="11"/>
  <c r="Q54" i="11" s="1"/>
  <c r="Q37" i="11"/>
  <c r="Q51" i="11" s="1"/>
  <c r="Q32" i="11"/>
  <c r="Q25" i="11"/>
  <c r="Q26" i="11" s="1"/>
  <c r="Q28" i="11"/>
  <c r="N44" i="11"/>
  <c r="N46" i="11"/>
  <c r="N49" i="11" s="1"/>
  <c r="N63" i="11" s="1"/>
  <c r="M9" i="7"/>
  <c r="O9" i="7"/>
  <c r="I9" i="7"/>
  <c r="K9" i="7"/>
  <c r="O35" i="11"/>
  <c r="O43" i="11"/>
  <c r="AQ46" i="4"/>
  <c r="AQ47" i="4" s="1"/>
  <c r="AN47" i="4"/>
  <c r="AN80" i="4"/>
  <c r="AN57" i="4"/>
  <c r="P43" i="11" l="1"/>
  <c r="P46" i="11" s="1"/>
  <c r="P49" i="11" s="1"/>
  <c r="P63" i="11" s="1"/>
  <c r="Q34" i="11"/>
  <c r="Q43" i="11" s="1"/>
  <c r="N66" i="11"/>
  <c r="N65" i="11"/>
  <c r="O44" i="11"/>
  <c r="O46" i="11"/>
  <c r="O49" i="11" s="1"/>
  <c r="O63" i="11" s="1"/>
  <c r="AN58" i="4"/>
  <c r="AQ57" i="4"/>
  <c r="R30" i="11"/>
  <c r="R40" i="11"/>
  <c r="R54" i="11" s="1"/>
  <c r="R25" i="11"/>
  <c r="R26" i="11" s="1"/>
  <c r="R37" i="11"/>
  <c r="R51" i="11" s="1"/>
  <c r="R57" i="11"/>
  <c r="R28" i="11"/>
  <c r="R60" i="11"/>
  <c r="R32" i="11"/>
  <c r="AQ80" i="4"/>
  <c r="AN7" i="3"/>
  <c r="Q35" i="11" l="1"/>
  <c r="P44" i="11"/>
  <c r="P66" i="11"/>
  <c r="P65" i="11"/>
  <c r="Q44" i="11"/>
  <c r="Q46" i="11"/>
  <c r="Q49" i="11" s="1"/>
  <c r="Q63" i="11" s="1"/>
  <c r="O66" i="11"/>
  <c r="O65" i="11"/>
  <c r="AQ58" i="4"/>
  <c r="C18" i="7"/>
  <c r="R34" i="11"/>
  <c r="AO7" i="3"/>
  <c r="AN12" i="3"/>
  <c r="AN22" i="3" s="1"/>
  <c r="AN45" i="3" s="1"/>
  <c r="AN46" i="3" s="1"/>
  <c r="AN48" i="3" s="1"/>
  <c r="Q65" i="11" l="1"/>
  <c r="K8" i="11" s="1"/>
  <c r="K5" i="11"/>
  <c r="K6" i="11" s="1"/>
  <c r="Q66" i="11"/>
  <c r="R43" i="11"/>
  <c r="R35" i="11"/>
  <c r="AP7" i="3"/>
  <c r="AO12" i="3"/>
  <c r="AO22" i="3" s="1"/>
  <c r="AO45" i="3" s="1"/>
  <c r="AO46" i="3" s="1"/>
  <c r="AO48" i="3" s="1"/>
  <c r="K10" i="7"/>
  <c r="M10" i="7"/>
  <c r="O10" i="7"/>
  <c r="I10" i="7"/>
  <c r="K9" i="11" l="1"/>
  <c r="K12" i="11" s="1"/>
  <c r="K14" i="11" s="1"/>
  <c r="K17" i="11" s="1"/>
  <c r="R46" i="11"/>
  <c r="R49" i="11" s="1"/>
  <c r="R63" i="11" s="1"/>
  <c r="R44" i="11"/>
  <c r="AQ7" i="3"/>
  <c r="AP12" i="3"/>
  <c r="R65" i="11" l="1"/>
  <c r="R66" i="11"/>
  <c r="AQ12" i="3"/>
  <c r="AP22" i="3"/>
  <c r="AQ22" i="3" l="1"/>
  <c r="AP45" i="3"/>
  <c r="AP46" i="3" l="1"/>
  <c r="AQ45" i="3"/>
  <c r="AQ46" i="3" l="1"/>
  <c r="AP48" i="3"/>
  <c r="AL21" i="3"/>
  <c r="AK22" i="3" l="1"/>
  <c r="AL22" i="3" l="1"/>
  <c r="AK45" i="3"/>
  <c r="AL45" i="3" l="1"/>
  <c r="AK46" i="3"/>
  <c r="AK48" i="3" l="1"/>
  <c r="AL46" i="3"/>
  <c r="I57" i="11"/>
  <c r="I63" i="11" s="1"/>
  <c r="I66" i="11" s="1"/>
  <c r="I58" i="11" l="1"/>
  <c r="AL46" i="4"/>
  <c r="AL47" i="4" l="1"/>
  <c r="AK57" i="4"/>
  <c r="AK47" i="4"/>
  <c r="AK80" i="4"/>
  <c r="AL80" i="4" l="1"/>
  <c r="AL83" i="4" s="1"/>
  <c r="AK83" i="4"/>
  <c r="AM82" i="4" s="1"/>
  <c r="AK58" i="4"/>
  <c r="AL57" i="4"/>
  <c r="AL58" i="4" s="1"/>
  <c r="AM83" i="4" l="1"/>
  <c r="AN82" i="4" s="1"/>
  <c r="AN83" i="4" s="1"/>
  <c r="AO82" i="4" s="1"/>
  <c r="AO83" i="4" s="1"/>
  <c r="AP82" i="4" s="1"/>
  <c r="AP83" i="4" s="1"/>
  <c r="AQ82" i="4"/>
  <c r="AQ83" i="4" s="1"/>
</calcChain>
</file>

<file path=xl/sharedStrings.xml><?xml version="1.0" encoding="utf-8"?>
<sst xmlns="http://schemas.openxmlformats.org/spreadsheetml/2006/main" count="635" uniqueCount="390">
  <si>
    <t>1Q20</t>
  </si>
  <si>
    <t>2Q20</t>
  </si>
  <si>
    <t>3Q20</t>
  </si>
  <si>
    <t>4Q20</t>
  </si>
  <si>
    <t>FY20</t>
  </si>
  <si>
    <t>1Q21</t>
  </si>
  <si>
    <t>2Q21</t>
  </si>
  <si>
    <t>3Q21</t>
  </si>
  <si>
    <t>4Q21</t>
  </si>
  <si>
    <t>FY21</t>
  </si>
  <si>
    <t>Income Statement</t>
  </si>
  <si>
    <t>Total Revenues</t>
  </si>
  <si>
    <t>Y/y Growth</t>
  </si>
  <si>
    <t xml:space="preserve">Q/q Growth </t>
  </si>
  <si>
    <t>FY19</t>
  </si>
  <si>
    <t xml:space="preserve">General &amp; Administrative </t>
  </si>
  <si>
    <t>Total Operating Expenses</t>
  </si>
  <si>
    <t>Non-GAAP Operating Income</t>
  </si>
  <si>
    <t>Operating Margins</t>
  </si>
  <si>
    <t>% of Revenue</t>
  </si>
  <si>
    <t>Non-GAAP Gross Profit</t>
  </si>
  <si>
    <t>GAAP Operating Income</t>
  </si>
  <si>
    <t>Total Other Income (expense)</t>
  </si>
  <si>
    <t>Adjusted EBITDA</t>
  </si>
  <si>
    <t>EBITDA Margins</t>
  </si>
  <si>
    <t>GAAP Pre-Tax Income</t>
  </si>
  <si>
    <t>Income Tax</t>
  </si>
  <si>
    <t>Tax Rate %</t>
  </si>
  <si>
    <t>GAAP Net Income (loss)</t>
  </si>
  <si>
    <t>GAAP Net margin</t>
  </si>
  <si>
    <t>GAAP EPS</t>
  </si>
  <si>
    <t>Y/Y Growth %</t>
  </si>
  <si>
    <t>Fully Diluted Shares Outstanding</t>
  </si>
  <si>
    <t>1Q22</t>
  </si>
  <si>
    <t>Gross Margin</t>
  </si>
  <si>
    <t>Operating Expenses</t>
  </si>
  <si>
    <t>Balance Sheet</t>
  </si>
  <si>
    <t>Assets:</t>
  </si>
  <si>
    <t>Total Current Assets</t>
  </si>
  <si>
    <t>PP&amp;E</t>
  </si>
  <si>
    <t>Total Assets</t>
  </si>
  <si>
    <t>Liabilities:</t>
  </si>
  <si>
    <t>Total Liabilities</t>
  </si>
  <si>
    <t>Shareholders Equity:</t>
  </si>
  <si>
    <t>Total Shareholder Equity</t>
  </si>
  <si>
    <t>Total Liabilities &amp; Shareholders Equity</t>
  </si>
  <si>
    <t>Other assets</t>
  </si>
  <si>
    <t xml:space="preserve">Deferred revenue </t>
  </si>
  <si>
    <t>check</t>
  </si>
  <si>
    <t>DSO</t>
  </si>
  <si>
    <t>Deferred Revenues</t>
  </si>
  <si>
    <t>Drivers of Revenue % - Assets</t>
  </si>
  <si>
    <t>Drivers of Revenue % - Liabilities</t>
  </si>
  <si>
    <t>Statement of Cash Flows</t>
  </si>
  <si>
    <t>Operating Activities</t>
  </si>
  <si>
    <t>Net Income</t>
  </si>
  <si>
    <t>Deferred revenue</t>
  </si>
  <si>
    <t>Cash Flow from Operating Activites</t>
  </si>
  <si>
    <t>OCF Margins</t>
  </si>
  <si>
    <t>Investing Activites</t>
  </si>
  <si>
    <t>Cash Used in Investing Activites</t>
  </si>
  <si>
    <t>Free Cash Flow</t>
  </si>
  <si>
    <t xml:space="preserve">FCF Margin </t>
  </si>
  <si>
    <t>Financing Activities</t>
  </si>
  <si>
    <t>Cash used in Financing Activites</t>
  </si>
  <si>
    <t>Net change in cash &amp; cash equivalents</t>
  </si>
  <si>
    <t>Beginning cash &amp; cash equivalents</t>
  </si>
  <si>
    <t>Total Cash and ST Investments, Ending</t>
  </si>
  <si>
    <t>Y/Y Change</t>
  </si>
  <si>
    <t>Q/Q Change</t>
  </si>
  <si>
    <t xml:space="preserve">Estimate vs Actual </t>
  </si>
  <si>
    <t>Variance Analysis</t>
  </si>
  <si>
    <t>% Change</t>
  </si>
  <si>
    <t>Cost of revenue</t>
  </si>
  <si>
    <t>Total Operating Expense</t>
  </si>
  <si>
    <t>GAAP &amp; Non-Cash Charges</t>
  </si>
  <si>
    <t>Adjusted EBITDA Margin</t>
  </si>
  <si>
    <t>Other income (expense)</t>
  </si>
  <si>
    <t>GAAP Net Income</t>
  </si>
  <si>
    <t>Source: Company reports and Needham &amp; Company, LLC, estimates</t>
  </si>
  <si>
    <t>2Q22</t>
  </si>
  <si>
    <t>Non-GAAP Net Income</t>
  </si>
  <si>
    <t>Non-GAAP Income Before Taxes</t>
  </si>
  <si>
    <t>Non-GAAP Income Tax</t>
  </si>
  <si>
    <t>GAAP Income Before Taxes</t>
  </si>
  <si>
    <t>GAAP Income Tax</t>
  </si>
  <si>
    <t>1Q19</t>
  </si>
  <si>
    <t>2Q19</t>
  </si>
  <si>
    <t>3Q19</t>
  </si>
  <si>
    <t>4Q19</t>
  </si>
  <si>
    <t>Current Level</t>
  </si>
  <si>
    <t>Upside Scenario</t>
  </si>
  <si>
    <t>Base case (Target Price)</t>
  </si>
  <si>
    <t>Downside Scenario</t>
  </si>
  <si>
    <t>Current Price</t>
  </si>
  <si>
    <t>Price Target</t>
  </si>
  <si>
    <t>Price</t>
  </si>
  <si>
    <t>Variance From Current Price</t>
  </si>
  <si>
    <t>NA</t>
  </si>
  <si>
    <t>Sales</t>
  </si>
  <si>
    <t>FY2020 EV/S</t>
  </si>
  <si>
    <t>Period</t>
  </si>
  <si>
    <t>FY2020 P/E</t>
  </si>
  <si>
    <t>Column</t>
  </si>
  <si>
    <t>FY2020 EV/FCF</t>
  </si>
  <si>
    <t>Shares</t>
  </si>
  <si>
    <t>Mkt Cap</t>
  </si>
  <si>
    <t>Debt</t>
  </si>
  <si>
    <t>Cash</t>
  </si>
  <si>
    <t>3Q22</t>
  </si>
  <si>
    <t>4Q22</t>
  </si>
  <si>
    <t>FY22</t>
  </si>
  <si>
    <t>1Q23</t>
  </si>
  <si>
    <t>2Q23</t>
  </si>
  <si>
    <t>3Q23</t>
  </si>
  <si>
    <t>YoY Growth (%)</t>
  </si>
  <si>
    <t>Volume</t>
  </si>
  <si>
    <t>Average Revenue Per Test</t>
  </si>
  <si>
    <t>Margin (%)</t>
  </si>
  <si>
    <t>Cost Per Test</t>
  </si>
  <si>
    <t>Genomics Revenue</t>
  </si>
  <si>
    <t>Data and Other Revenue</t>
  </si>
  <si>
    <t>Clinical Oncology Revenue</t>
  </si>
  <si>
    <t>Infectious Disease Revenue</t>
  </si>
  <si>
    <t>FY25E</t>
  </si>
  <si>
    <t>FY26E</t>
  </si>
  <si>
    <t>Other Genomics Revenue (Life Sci Research + Neuro)</t>
  </si>
  <si>
    <t>Insights Revenue</t>
  </si>
  <si>
    <t>AI Application Revenue</t>
  </si>
  <si>
    <t>Total Data &amp; Other Revenue</t>
  </si>
  <si>
    <t>Clinical Oncology Cost of Revenue</t>
  </si>
  <si>
    <t>Infectious Disease Cost of Revenue</t>
  </si>
  <si>
    <t xml:space="preserve">Total Genomics Cost of Revenue </t>
  </si>
  <si>
    <t>Other Genomics Cost of Revenue</t>
  </si>
  <si>
    <t>Data &amp; Other Cost of Revenue</t>
  </si>
  <si>
    <t>Total Cost of Revenue</t>
  </si>
  <si>
    <t>Genomics Gross Profit</t>
  </si>
  <si>
    <t>Data &amp; Other Segment</t>
  </si>
  <si>
    <t>Total Data &amp; Other Cost of Revenue</t>
  </si>
  <si>
    <t>Insights Cost of Revenue</t>
  </si>
  <si>
    <t>Trials Cost of Revenue</t>
  </si>
  <si>
    <t>AI Application Cost of Revenue</t>
  </si>
  <si>
    <t>Data &amp; Other Gross Profit</t>
  </si>
  <si>
    <t>Technology</t>
  </si>
  <si>
    <t>Research &amp; Development</t>
  </si>
  <si>
    <t>GAAP Operating Margins</t>
  </si>
  <si>
    <t>Interest Income</t>
  </si>
  <si>
    <t>Interest Expense</t>
  </si>
  <si>
    <t>Other Income (expense), net</t>
  </si>
  <si>
    <t>Earnings from Equity Method Investments</t>
  </si>
  <si>
    <t>Net Income (loss) Attributable to Tempus Labs</t>
  </si>
  <si>
    <t>4Q25E</t>
  </si>
  <si>
    <t>1Q26E</t>
  </si>
  <si>
    <t>2Q26E</t>
  </si>
  <si>
    <t>3Q26E</t>
  </si>
  <si>
    <t>4Q26E</t>
  </si>
  <si>
    <t>Trials Revenue</t>
  </si>
  <si>
    <t>4Q23</t>
  </si>
  <si>
    <t>FY23</t>
  </si>
  <si>
    <t xml:space="preserve">GAAP Adjustments: </t>
  </si>
  <si>
    <t xml:space="preserve"> Change in fair value of warrant</t>
  </si>
  <si>
    <t xml:space="preserve"> Stock-based compensation expense</t>
  </si>
  <si>
    <t xml:space="preserve"> Change in fair value of contingent consideration</t>
  </si>
  <si>
    <t xml:space="preserve"> Unrealized Gain/Loss on Stock</t>
  </si>
  <si>
    <t xml:space="preserve"> Settlement Costs</t>
  </si>
  <si>
    <t xml:space="preserve"> Transaction Costs</t>
  </si>
  <si>
    <t>Total GAAP and non-cash adjustments</t>
  </si>
  <si>
    <t xml:space="preserve">Cash </t>
  </si>
  <si>
    <t>Marketable equity securities</t>
  </si>
  <si>
    <t>Accounts receivable/ pre-paid expenses</t>
  </si>
  <si>
    <t>Inventory</t>
  </si>
  <si>
    <t>Acquisition</t>
  </si>
  <si>
    <t>Accounts payable/ accrued expenses</t>
  </si>
  <si>
    <t>Convertible promissory note</t>
  </si>
  <si>
    <t>Term loan debt</t>
  </si>
  <si>
    <t>Other liabilities</t>
  </si>
  <si>
    <t>Depreciation</t>
  </si>
  <si>
    <t>Interest payable - Google</t>
  </si>
  <si>
    <t>Interest payable - Ares</t>
  </si>
  <si>
    <t>Stock compensation</t>
  </si>
  <si>
    <t>Other</t>
  </si>
  <si>
    <t>Fixed asset purchase</t>
  </si>
  <si>
    <t>Investments &amp; other</t>
  </si>
  <si>
    <t>Amortization</t>
  </si>
  <si>
    <t xml:space="preserve"> Gross Profit</t>
  </si>
  <si>
    <t>Non-GAAP Operating Margin</t>
  </si>
  <si>
    <t>Non-GAAP Pre-Tax Income</t>
  </si>
  <si>
    <t>Non-GAAP Net Income (loss)</t>
  </si>
  <si>
    <t>Tempus Labs</t>
  </si>
  <si>
    <t>Tempus</t>
  </si>
  <si>
    <t>net debt</t>
  </si>
  <si>
    <t>FY24 FCF</t>
  </si>
  <si>
    <t>FY24 Earnings</t>
  </si>
  <si>
    <t>Genomics</t>
  </si>
  <si>
    <t>Tech</t>
  </si>
  <si>
    <t>GH</t>
  </si>
  <si>
    <t>Ticker</t>
  </si>
  <si>
    <t>Growth</t>
  </si>
  <si>
    <t>GM</t>
  </si>
  <si>
    <t>multiple</t>
  </si>
  <si>
    <t xml:space="preserve">Growth </t>
  </si>
  <si>
    <t>Multiple</t>
  </si>
  <si>
    <t>MYGN</t>
  </si>
  <si>
    <t>NTRA</t>
  </si>
  <si>
    <t>VCYT</t>
  </si>
  <si>
    <t>NEO</t>
  </si>
  <si>
    <t>RVTY</t>
  </si>
  <si>
    <t>SDGR</t>
  </si>
  <si>
    <t>DH</t>
  </si>
  <si>
    <t>DOCS</t>
  </si>
  <si>
    <t>PLTR</t>
  </si>
  <si>
    <t>SNOW</t>
  </si>
  <si>
    <t>ZETA</t>
  </si>
  <si>
    <t>IQV</t>
  </si>
  <si>
    <t>DDOG</t>
  </si>
  <si>
    <t>DUOL</t>
  </si>
  <si>
    <t>was trading around 9x when growing fast at breakeven</t>
  </si>
  <si>
    <t>GLBE</t>
  </si>
  <si>
    <t>MNDY</t>
  </si>
  <si>
    <t>KYVO</t>
  </si>
  <si>
    <t>BRZE</t>
  </si>
  <si>
    <t>SPT</t>
  </si>
  <si>
    <t>CLVT</t>
  </si>
  <si>
    <t>Total AV</t>
  </si>
  <si>
    <t>base case SOTP comp valuation multiple</t>
  </si>
  <si>
    <t>bull case SOTP comp valuation multiple</t>
  </si>
  <si>
    <t>Historical Period</t>
  </si>
  <si>
    <t>2022A</t>
  </si>
  <si>
    <t>2023A</t>
  </si>
  <si>
    <t>Model Period</t>
  </si>
  <si>
    <t>2024E</t>
  </si>
  <si>
    <t>2025E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</si>
  <si>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</si>
  <si>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</si>
  <si>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</si>
  <si>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</si>
  <si>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</si>
  <si>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</si>
  <si>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</si>
  <si>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</si>
  <si>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</si>
  <si>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Projection Period</t>
  </si>
  <si>
    <t>Revenue</t>
  </si>
  <si>
    <t>Y/Y Growth</t>
  </si>
  <si>
    <t>Operating COGS</t>
  </si>
  <si>
    <t>Gross Profit</t>
  </si>
  <si>
    <t xml:space="preserve"> Gross Margin</t>
  </si>
  <si>
    <t>W</t>
  </si>
  <si>
    <t>AB</t>
  </si>
  <si>
    <t>AG</t>
  </si>
  <si>
    <t>AL</t>
  </si>
  <si>
    <t>AQ</t>
  </si>
  <si>
    <t>Terminal Value</t>
  </si>
  <si>
    <t>PV Terminal Value</t>
  </si>
  <si>
    <t>PV of FCFs</t>
  </si>
  <si>
    <t>Enterprise Value</t>
  </si>
  <si>
    <t>Less Debt</t>
  </si>
  <si>
    <t>Plus Cash</t>
  </si>
  <si>
    <t>Equity Value</t>
  </si>
  <si>
    <t>Diluted Shares</t>
  </si>
  <si>
    <t>Implied Price/Share</t>
  </si>
  <si>
    <t>Implied Equity Value</t>
  </si>
  <si>
    <t>Key Assumptions</t>
  </si>
  <si>
    <t>Terminal Growth Rate</t>
  </si>
  <si>
    <t>WACC</t>
  </si>
  <si>
    <t>Projection Period Assumptions</t>
  </si>
  <si>
    <t>S&amp;M % of Revenue</t>
  </si>
  <si>
    <t>R&amp;D % of Revenue</t>
  </si>
  <si>
    <t>G&amp;A % of Revenue</t>
  </si>
  <si>
    <t>D&amp;A % of Revenue</t>
  </si>
  <si>
    <t>SBC % of Revenue</t>
  </si>
  <si>
    <t>Tax Rate</t>
  </si>
  <si>
    <t xml:space="preserve">   % of Revenue</t>
  </si>
  <si>
    <t>R&amp;D</t>
  </si>
  <si>
    <t>G&amp;A</t>
  </si>
  <si>
    <t xml:space="preserve">Technology </t>
  </si>
  <si>
    <t>Operating Income</t>
  </si>
  <si>
    <t>Operating Margin</t>
  </si>
  <si>
    <t>Upside to Current Price</t>
  </si>
  <si>
    <t>Less D&amp;A</t>
  </si>
  <si>
    <t>Less SBC</t>
  </si>
  <si>
    <t xml:space="preserve"> GAAP Operating Margin</t>
  </si>
  <si>
    <t>Less Taxes</t>
  </si>
  <si>
    <t xml:space="preserve">   Tax Rate</t>
  </si>
  <si>
    <t>NOPAT</t>
  </si>
  <si>
    <t>+ D&amp;A</t>
  </si>
  <si>
    <t>+ SBC</t>
  </si>
  <si>
    <t>Change in NWC</t>
  </si>
  <si>
    <t>CapEx</t>
  </si>
  <si>
    <t>Unlevered Free Cash Flow</t>
  </si>
  <si>
    <t>Discount Factor</t>
  </si>
  <si>
    <t>PV of Free Cash Flow</t>
  </si>
  <si>
    <t>FCF Margins</t>
  </si>
  <si>
    <t xml:space="preserve">WACC calculation </t>
  </si>
  <si>
    <t xml:space="preserve">2024 Cost of debt </t>
  </si>
  <si>
    <t>2023 debt</t>
  </si>
  <si>
    <t xml:space="preserve">2024 debt </t>
  </si>
  <si>
    <t xml:space="preserve">2023 Cost of debt </t>
  </si>
  <si>
    <t>Rev</t>
  </si>
  <si>
    <t>GP</t>
  </si>
  <si>
    <t>1Q24</t>
  </si>
  <si>
    <t>Tempus Labs (NASDAQ: TEM)</t>
  </si>
  <si>
    <t>*based on factset share count</t>
  </si>
  <si>
    <t>FY25 Sales</t>
  </si>
  <si>
    <t>Data &amp; Other Revenue</t>
  </si>
  <si>
    <t>General &amp; Administrative</t>
  </si>
  <si>
    <t>2Q24</t>
  </si>
  <si>
    <t>Warrant asset</t>
  </si>
  <si>
    <t>Prepaid expenses and other current assets</t>
  </si>
  <si>
    <t>Goodwill</t>
  </si>
  <si>
    <t>Intangible assets, net</t>
  </si>
  <si>
    <t>Warrant asset, less current portion</t>
  </si>
  <si>
    <t>Investments and other assets</t>
  </si>
  <si>
    <t>Warrant contract asset, less current portion</t>
  </si>
  <si>
    <t>Operating lease right-of-use assets</t>
  </si>
  <si>
    <t>Restricted cash</t>
  </si>
  <si>
    <t>Other current liabilities</t>
  </si>
  <si>
    <t>Operating lease liabilities</t>
  </si>
  <si>
    <t>Accrued data licensing fees</t>
  </si>
  <si>
    <t>Accrued dividends</t>
  </si>
  <si>
    <t>Operating lease liabilities, less current portion</t>
  </si>
  <si>
    <t>Warrant liability</t>
  </si>
  <si>
    <t>Interest payable</t>
  </si>
  <si>
    <t>Deferred revenue, less current portion</t>
  </si>
  <si>
    <t>Other long-term liabilities</t>
  </si>
  <si>
    <t>Change in fair value of warrant liability</t>
  </si>
  <si>
    <t>Gain on warrant exercise</t>
  </si>
  <si>
    <t>Gain on marketable securities</t>
  </si>
  <si>
    <t>Amortization of original issue discount</t>
  </si>
  <si>
    <t>Amortization of deferred financing fees</t>
  </si>
  <si>
    <t>Change in fair value of contingent consideration</t>
  </si>
  <si>
    <t>Amortization of warrant contract asset</t>
  </si>
  <si>
    <t>Provision for bad debt expense</t>
  </si>
  <si>
    <t>Change in fair value of warrant asset</t>
  </si>
  <si>
    <t>Loss from equity-method investments</t>
  </si>
  <si>
    <t>Amortization of finance right-of-use lease assets</t>
  </si>
  <si>
    <t>Non-cash operating lease costs</t>
  </si>
  <si>
    <t>Minimum accretion expense</t>
  </si>
  <si>
    <t>Impairment of intangible assets</t>
  </si>
  <si>
    <t>PIK interest added to principal</t>
  </si>
  <si>
    <t>Accounts receivable</t>
  </si>
  <si>
    <t>Accounts payable</t>
  </si>
  <si>
    <t>Accrued expenses &amp; other</t>
  </si>
  <si>
    <t>Proceeds from issuance of common stock in connection with IPO, net of underwriting discounts and commissions</t>
  </si>
  <si>
    <t>Tax withholding related to net share settlement of RSUs</t>
  </si>
  <si>
    <t>Issuance of Series G-5 Preferred Stock</t>
  </si>
  <si>
    <t>Principal payments on finance lease liabilities</t>
  </si>
  <si>
    <t>Purchase of treasury stock</t>
  </si>
  <si>
    <t>Payment of deferred offering costs</t>
  </si>
  <si>
    <t>Dividends paid</t>
  </si>
  <si>
    <t>Proceeds from long-term debt, net of original issue discount</t>
  </si>
  <si>
    <t>Payment of indemnity holdback related to acquisition</t>
  </si>
  <si>
    <t>Effects of foreign exchange rates on cash</t>
  </si>
  <si>
    <t>Non-GAAP EPS</t>
  </si>
  <si>
    <t>Employer payroll tax related to SBC</t>
  </si>
  <si>
    <t>G-4 Special Payment</t>
  </si>
  <si>
    <t>3Q24</t>
  </si>
  <si>
    <t>4Q24</t>
  </si>
  <si>
    <t>FY24</t>
  </si>
  <si>
    <t>1Q25</t>
  </si>
  <si>
    <t>Deferred other income</t>
  </si>
  <si>
    <t>Revolving credit facility</t>
  </si>
  <si>
    <t>Deferred other income, less current portion</t>
  </si>
  <si>
    <t>Change in fair value of holdback liability</t>
  </si>
  <si>
    <t>Deferred income taxes</t>
  </si>
  <si>
    <t>Proceeds from sale of marketable equity securities</t>
  </si>
  <si>
    <t>Business combinations, net of cash acquired</t>
  </si>
  <si>
    <t>Purchases of capitalized software</t>
  </si>
  <si>
    <t>Proceeds from revolving credit facility</t>
  </si>
  <si>
    <t>Payment of deferred financing fees</t>
  </si>
  <si>
    <t xml:space="preserve"> Amortization of intangibles</t>
  </si>
  <si>
    <t>Hereditary</t>
  </si>
  <si>
    <t>2Q25</t>
  </si>
  <si>
    <t>3Q25</t>
  </si>
  <si>
    <t>Convertible senior notes</t>
  </si>
  <si>
    <t>Loss on debt extinguishment</t>
  </si>
  <si>
    <t>Provision for obsolete inventory</t>
  </si>
  <si>
    <t>Related party asset</t>
  </si>
  <si>
    <t>Proceeds from issuance of common stock in connection with ATM</t>
  </si>
  <si>
    <t>Proceeds from convertible senior notes</t>
  </si>
  <si>
    <t>Principal payments on long-term debt</t>
  </si>
  <si>
    <t>Prepayment premium on long-term debt</t>
  </si>
  <si>
    <t>4Q25</t>
  </si>
  <si>
    <t xml:space="preserve">Purchase of capped call </t>
  </si>
  <si>
    <t>Loss on disposal of property and equipment</t>
  </si>
  <si>
    <t>FY25</t>
  </si>
  <si>
    <t>Diagnostics Revenue</t>
  </si>
  <si>
    <t xml:space="preserve">Diagnostics Cost of Revenue </t>
  </si>
  <si>
    <t>Diagnostics Segment</t>
  </si>
  <si>
    <t>Total Diagnostics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</si>
</sst>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_(* #,##0.000_);_(* \(#,##0.000\);_(* &quot;-&quot;???_);_(@_)"/>
    <numFmt numFmtId="168" formatCode="_(* #,##0.0_);_(* \(#,##0.0\);_(* &quot;-&quot;??_);_(@_)"/>
    <numFmt numFmtId="169" formatCode="_(&quot;$&quot;* #,##0_);_(&quot;$&quot;* \(#,##0\);_(&quot;$&quot;* &quot;-&quot;??_);_(@_)"/>
    <numFmt numFmtId="170" formatCode="0.000"/>
    <numFmt numFmtId="171" formatCode="&quot;$&quot;#,##0.00_);\(&quot;$&quot;#,##0.00\);&quot;$&quot;&quot;-&quot;_)"/>
    <numFmt numFmtId="172" formatCode="0%_);\(0%\);0%_);@_)"/>
    <numFmt numFmtId="173" formatCode="&quot;$&quot;#,##0_);\(&quot;$&quot;#,##0\);&quot;$&quot;&quot;-&quot;_)"/>
    <numFmt numFmtId="174" formatCode="&quot;$&quot;#,##0.00"/>
    <numFmt numFmtId="175" formatCode="&quot;$&quot;#,##0"/>
    <numFmt numFmtId="176" formatCode="&quot;$&quot;#,##0.0"/>
    <numFmt numFmtId="177" formatCode="#.#\x"/>
    <numFmt numFmtId="178" formatCode="yyyy"/>
    <numFmt numFmtId="179" formatCode="0.000%"/>
    <numFmt numFmtId="180" formatCode="#.0\x"/>
    <numFmt numFmtId="181" formatCode="&quot;$&quot;#,##0.0_);[Red]\(&quot;$&quot;#,##0.0\)"/>
    <numFmt numFmtId="182" formatCode="&quot;$&quot;#,##0.000_);[Red]\(&quot;$&quot;#,##0.000\)"/>
    <numFmt numFmtId="183" formatCode="&quot;$&quot;#,##0.00000_);[Red]\(&quot;$&quot;#,##0.00000\)"/>
    <numFmt numFmtId="184" formatCode="&quot;$&quot;#,##0.0_);\(&quot;$&quot;#,##0.0\)"/>
    <numFmt numFmtId="185" formatCode="0&quot;A&quot;"/>
    <numFmt numFmtId="186" formatCode="0&quot;E&quot;"/>
    <numFmt numFmtId="187" formatCode="_(* #,##0.000_);_(* \(#,##0.000\);_(* &quot;-&quot;??_);_(@_)"/>
    <numFmt numFmtId="188" formatCode="#,##0.0_);\(#,##0.0\)"/>
    <numFmt numFmtId="189" formatCode="_(&quot;$&quot;* #,##0.000_);_(&quot;$&quot;* \(#,##0.000\);_(&quot;$&quot;* &quot;-&quot;??_);_(@_)"/>
    <numFmt numFmtId="190" formatCode="_(* #,##0.0_);_(* \(#,##0.0\);_(* &quot;-&quot;?_);_(@_)"/>
    <numFmt numFmtId="191" formatCode="&quot;$&quot;#,##0.0000_);[Red]\(&quot;$&quot;#,##0.0000\)"/>
  </numFmts>
  <fonts count="6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8"/>
      <color rgb="FF0000FF"/>
      <name val="Arial"/>
      <family val="2"/>
    </font>
    <font>
      <sz val="10"/>
      <color rgb="FF0000FF"/>
      <name val="Arial"/>
      <family val="2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u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ril"/>
    </font>
    <font>
      <i/>
      <sz val="11"/>
      <color rgb="FF000000"/>
      <name val="Calibri"/>
      <family val="2"/>
      <scheme val="minor"/>
    </font>
    <font>
      <b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i/>
      <sz val="11"/>
      <name val="Arial"/>
      <family val="2"/>
    </font>
    <font>
      <i/>
      <sz val="11"/>
      <color indexed="10"/>
      <name val="Arial"/>
      <family val="2"/>
    </font>
    <font>
      <sz val="10"/>
      <color theme="1"/>
      <name val="Georgia"/>
      <family val="2"/>
    </font>
    <font>
      <sz val="9"/>
      <color theme="1"/>
      <name val="Segoe UI"/>
      <family val="2"/>
    </font>
    <font>
      <b/>
      <sz val="9"/>
      <color indexed="8"/>
      <name val="Segoe UI"/>
      <family val="2"/>
    </font>
    <font>
      <sz val="9"/>
      <color indexed="8"/>
      <name val="Segoe UI"/>
      <family val="2"/>
    </font>
    <font>
      <b/>
      <sz val="9"/>
      <color rgb="FF3737F1"/>
      <name val="Segoe UI"/>
      <family val="2"/>
    </font>
    <font>
      <b/>
      <sz val="9"/>
      <color theme="0"/>
      <name val="Segoe UI"/>
      <family val="2"/>
    </font>
    <font>
      <sz val="9"/>
      <color theme="0"/>
      <name val="Segoe UI"/>
      <family val="2"/>
    </font>
    <font>
      <sz val="9"/>
      <color theme="6" tint="-0.249977111117893"/>
      <name val="Segoe UI"/>
      <family val="2"/>
    </font>
    <font>
      <sz val="9"/>
      <color indexed="9"/>
      <name val="Segoe UI"/>
      <family val="2"/>
    </font>
    <font>
      <sz val="9"/>
      <name val="Segoe UI"/>
      <family val="2"/>
    </font>
    <font>
      <sz val="9"/>
      <color rgb="FF3737F1"/>
      <name val="Segoe UI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1"/>
      <color theme="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rgb="FF0000FF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8"/>
      <color rgb="FF000000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7"/>
      <color theme="0"/>
      <name val="Arial"/>
      <family val="2"/>
    </font>
    <font>
      <b/>
      <u/>
      <sz val="10"/>
      <color theme="0"/>
      <name val="Arial"/>
      <family val="2"/>
    </font>
    <font>
      <b/>
      <sz val="10"/>
      <color indexed="8"/>
      <name val="Arial"/>
      <family val="2"/>
    </font>
    <font>
      <i/>
      <sz val="8"/>
      <color indexed="8"/>
      <name val="Arial"/>
      <family val="2"/>
    </font>
    <font>
      <u/>
      <sz val="10"/>
      <color theme="1"/>
      <name val="Arial"/>
      <family val="2"/>
    </font>
    <font>
      <u/>
      <sz val="10"/>
      <color rgb="FF000000"/>
      <name val="Arial"/>
      <family val="2"/>
    </font>
    <font>
      <b/>
      <sz val="10"/>
      <color rgb="FF000000"/>
      <name val="Arial"/>
      <family val="2"/>
    </font>
    <font>
      <u val="singleAccounting"/>
      <sz val="10"/>
      <color rgb="FF000000"/>
      <name val="Arial"/>
      <family val="2"/>
    </font>
    <font>
      <i/>
      <sz val="9"/>
      <color theme="1"/>
      <name val="Arial"/>
      <family val="2"/>
    </font>
    <font>
      <i/>
      <sz val="9"/>
      <color rgb="FF000000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i/>
      <sz val="8"/>
      <color rgb="FF000000"/>
      <name val="Calibri"/>
      <family val="2"/>
      <scheme val="minor"/>
    </font>
    <font>
      <i/>
      <sz val="8"/>
      <name val="Arial"/>
      <family val="2"/>
    </font>
    <font>
      <i/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5" fillId="0" borderId="0"/>
    <xf numFmtId="9" fontId="2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417">
    <xf numFmtId="0" fontId="0" fillId="0" borderId="0" xfId="0"/>
    <xf numFmtId="164" fontId="3" fillId="0" borderId="1" xfId="1" applyNumberFormat="1" applyFont="1" applyBorder="1"/>
    <xf numFmtId="0" fontId="3" fillId="0" borderId="0" xfId="0" applyFont="1"/>
    <xf numFmtId="0" fontId="3" fillId="0" borderId="1" xfId="0" applyFont="1" applyBorder="1"/>
    <xf numFmtId="0" fontId="5" fillId="0" borderId="0" xfId="0" applyFont="1"/>
    <xf numFmtId="0" fontId="6" fillId="0" borderId="1" xfId="0" applyFont="1" applyBorder="1"/>
    <xf numFmtId="165" fontId="7" fillId="0" borderId="1" xfId="2" applyNumberFormat="1" applyFont="1" applyBorder="1"/>
    <xf numFmtId="164" fontId="3" fillId="0" borderId="1" xfId="0" applyNumberFormat="1" applyFont="1" applyBorder="1"/>
    <xf numFmtId="0" fontId="5" fillId="0" borderId="3" xfId="0" applyFont="1" applyBorder="1"/>
    <xf numFmtId="0" fontId="3" fillId="0" borderId="8" xfId="0" applyFont="1" applyBorder="1" applyAlignment="1">
      <alignment horizontal="left"/>
    </xf>
    <xf numFmtId="0" fontId="7" fillId="0" borderId="8" xfId="0" applyFont="1" applyBorder="1" applyAlignment="1">
      <alignment horizontal="left" indent="1"/>
    </xf>
    <xf numFmtId="165" fontId="7" fillId="0" borderId="0" xfId="2" applyNumberFormat="1" applyFont="1" applyBorder="1" applyAlignment="1">
      <alignment horizontal="right"/>
    </xf>
    <xf numFmtId="165" fontId="7" fillId="0" borderId="0" xfId="2" applyNumberFormat="1" applyFont="1" applyBorder="1"/>
    <xf numFmtId="0" fontId="3" fillId="0" borderId="8" xfId="0" applyFont="1" applyBorder="1"/>
    <xf numFmtId="164" fontId="3" fillId="0" borderId="0" xfId="0" applyNumberFormat="1" applyFont="1"/>
    <xf numFmtId="9" fontId="7" fillId="0" borderId="0" xfId="2" applyFont="1" applyBorder="1"/>
    <xf numFmtId="0" fontId="5" fillId="0" borderId="8" xfId="0" applyFont="1" applyBorder="1"/>
    <xf numFmtId="0" fontId="3" fillId="0" borderId="8" xfId="0" applyFont="1" applyBorder="1" applyAlignment="1">
      <alignment horizontal="left" indent="1"/>
    </xf>
    <xf numFmtId="0" fontId="3" fillId="0" borderId="9" xfId="0" applyFont="1" applyBorder="1"/>
    <xf numFmtId="164" fontId="3" fillId="0" borderId="10" xfId="0" applyNumberFormat="1" applyFont="1" applyBorder="1"/>
    <xf numFmtId="0" fontId="3" fillId="0" borderId="11" xfId="0" applyFont="1" applyBorder="1"/>
    <xf numFmtId="0" fontId="3" fillId="0" borderId="10" xfId="0" applyFont="1" applyBorder="1"/>
    <xf numFmtId="0" fontId="7" fillId="0" borderId="8" xfId="0" applyFont="1" applyBorder="1" applyAlignment="1">
      <alignment horizontal="left" indent="2"/>
    </xf>
    <xf numFmtId="0" fontId="3" fillId="0" borderId="3" xfId="0" applyFont="1" applyBorder="1"/>
    <xf numFmtId="0" fontId="3" fillId="0" borderId="4" xfId="0" applyFont="1" applyBorder="1"/>
    <xf numFmtId="9" fontId="7" fillId="0" borderId="1" xfId="2" applyFont="1" applyBorder="1"/>
    <xf numFmtId="165" fontId="9" fillId="0" borderId="0" xfId="2" applyNumberFormat="1" applyFont="1" applyBorder="1"/>
    <xf numFmtId="165" fontId="9" fillId="0" borderId="0" xfId="0" applyNumberFormat="1" applyFont="1"/>
    <xf numFmtId="164" fontId="10" fillId="0" borderId="10" xfId="0" applyNumberFormat="1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1" xfId="0" applyBorder="1"/>
    <xf numFmtId="0" fontId="8" fillId="0" borderId="1" xfId="0" applyFont="1" applyBorder="1"/>
    <xf numFmtId="0" fontId="11" fillId="0" borderId="0" xfId="0" applyFont="1"/>
    <xf numFmtId="165" fontId="0" fillId="0" borderId="0" xfId="2" applyNumberFormat="1" applyFont="1"/>
    <xf numFmtId="165" fontId="12" fillId="0" borderId="0" xfId="2" applyNumberFormat="1" applyFont="1"/>
    <xf numFmtId="166" fontId="0" fillId="0" borderId="0" xfId="0" applyNumberFormat="1"/>
    <xf numFmtId="0" fontId="13" fillId="0" borderId="5" xfId="0" applyFont="1" applyBorder="1"/>
    <xf numFmtId="0" fontId="3" fillId="0" borderId="6" xfId="0" applyFont="1" applyBorder="1"/>
    <xf numFmtId="165" fontId="7" fillId="0" borderId="8" xfId="2" applyNumberFormat="1" applyFont="1" applyBorder="1"/>
    <xf numFmtId="0" fontId="13" fillId="0" borderId="8" xfId="0" applyFont="1" applyBorder="1"/>
    <xf numFmtId="0" fontId="7" fillId="0" borderId="8" xfId="0" applyFont="1" applyBorder="1"/>
    <xf numFmtId="0" fontId="14" fillId="0" borderId="0" xfId="0" applyFont="1"/>
    <xf numFmtId="0" fontId="15" fillId="0" borderId="0" xfId="0" applyFont="1"/>
    <xf numFmtId="0" fontId="16" fillId="0" borderId="0" xfId="0" applyFont="1"/>
    <xf numFmtId="164" fontId="5" fillId="0" borderId="0" xfId="1" applyNumberFormat="1" applyFont="1" applyBorder="1"/>
    <xf numFmtId="164" fontId="3" fillId="0" borderId="0" xfId="1" applyNumberFormat="1" applyFont="1" applyBorder="1"/>
    <xf numFmtId="165" fontId="11" fillId="0" borderId="0" xfId="2" applyNumberFormat="1" applyFont="1" applyBorder="1"/>
    <xf numFmtId="165" fontId="17" fillId="0" borderId="0" xfId="2" applyNumberFormat="1" applyFont="1" applyFill="1" applyBorder="1" applyAlignment="1"/>
    <xf numFmtId="165" fontId="17" fillId="0" borderId="1" xfId="2" applyNumberFormat="1" applyFont="1" applyFill="1" applyBorder="1" applyAlignment="1"/>
    <xf numFmtId="0" fontId="18" fillId="0" borderId="0" xfId="0" applyFont="1" applyAlignment="1">
      <alignment horizontal="left"/>
    </xf>
    <xf numFmtId="0" fontId="20" fillId="0" borderId="0" xfId="3" applyFont="1"/>
    <xf numFmtId="0" fontId="21" fillId="0" borderId="0" xfId="0" applyFont="1"/>
    <xf numFmtId="0" fontId="18" fillId="0" borderId="8" xfId="4" applyNumberFormat="1" applyFont="1" applyFill="1" applyBorder="1" applyAlignment="1">
      <alignment horizontal="left"/>
    </xf>
    <xf numFmtId="0" fontId="21" fillId="2" borderId="0" xfId="0" applyFont="1" applyFill="1"/>
    <xf numFmtId="164" fontId="18" fillId="0" borderId="0" xfId="1" applyNumberFormat="1" applyFont="1" applyBorder="1"/>
    <xf numFmtId="165" fontId="23" fillId="0" borderId="0" xfId="1" applyNumberFormat="1" applyFont="1" applyBorder="1" applyAlignment="1">
      <alignment horizontal="center"/>
    </xf>
    <xf numFmtId="165" fontId="23" fillId="0" borderId="13" xfId="1" applyNumberFormat="1" applyFont="1" applyBorder="1" applyAlignment="1">
      <alignment horizontal="center"/>
    </xf>
    <xf numFmtId="164" fontId="20" fillId="0" borderId="0" xfId="3" applyNumberFormat="1" applyFont="1"/>
    <xf numFmtId="0" fontId="20" fillId="0" borderId="8" xfId="4" applyNumberFormat="1" applyFont="1" applyFill="1" applyBorder="1" applyAlignment="1">
      <alignment horizontal="left"/>
    </xf>
    <xf numFmtId="0" fontId="20" fillId="0" borderId="0" xfId="3" applyFont="1" applyAlignment="1">
      <alignment horizontal="left"/>
    </xf>
    <xf numFmtId="38" fontId="18" fillId="0" borderId="8" xfId="1" applyNumberFormat="1" applyFont="1" applyFill="1" applyBorder="1" applyAlignment="1">
      <alignment horizontal="left"/>
    </xf>
    <xf numFmtId="167" fontId="20" fillId="0" borderId="0" xfId="4" applyNumberFormat="1" applyFont="1" applyFill="1" applyBorder="1"/>
    <xf numFmtId="167" fontId="23" fillId="0" borderId="14" xfId="4" applyNumberFormat="1" applyFont="1" applyFill="1" applyBorder="1"/>
    <xf numFmtId="0" fontId="23" fillId="0" borderId="15" xfId="0" applyFont="1" applyBorder="1"/>
    <xf numFmtId="165" fontId="23" fillId="0" borderId="15" xfId="5" applyNumberFormat="1" applyFont="1" applyFill="1" applyBorder="1"/>
    <xf numFmtId="165" fontId="23" fillId="0" borderId="15" xfId="5" applyNumberFormat="1" applyFont="1" applyFill="1" applyBorder="1" applyAlignment="1">
      <alignment horizontal="center"/>
    </xf>
    <xf numFmtId="165" fontId="23" fillId="0" borderId="16" xfId="5" applyNumberFormat="1" applyFont="1" applyFill="1" applyBorder="1" applyAlignment="1">
      <alignment horizontal="center"/>
    </xf>
    <xf numFmtId="10" fontId="20" fillId="0" borderId="0" xfId="3" applyNumberFormat="1" applyFont="1" applyAlignment="1">
      <alignment horizontal="left"/>
    </xf>
    <xf numFmtId="10" fontId="21" fillId="0" borderId="0" xfId="0" applyNumberFormat="1" applyFont="1"/>
    <xf numFmtId="0" fontId="7" fillId="0" borderId="0" xfId="0" applyFont="1"/>
    <xf numFmtId="38" fontId="20" fillId="0" borderId="0" xfId="0" applyNumberFormat="1" applyFont="1"/>
    <xf numFmtId="165" fontId="23" fillId="0" borderId="0" xfId="0" applyNumberFormat="1" applyFont="1" applyAlignment="1">
      <alignment horizontal="center"/>
    </xf>
    <xf numFmtId="165" fontId="23" fillId="0" borderId="13" xfId="0" applyNumberFormat="1" applyFont="1" applyBorder="1" applyAlignment="1">
      <alignment horizontal="center"/>
    </xf>
    <xf numFmtId="38" fontId="20" fillId="0" borderId="0" xfId="3" applyNumberFormat="1" applyFont="1" applyAlignment="1">
      <alignment horizontal="left"/>
    </xf>
    <xf numFmtId="164" fontId="20" fillId="0" borderId="0" xfId="1" applyNumberFormat="1" applyFont="1" applyFill="1" applyBorder="1"/>
    <xf numFmtId="165" fontId="23" fillId="0" borderId="0" xfId="3" applyNumberFormat="1" applyFont="1" applyAlignment="1">
      <alignment horizontal="center"/>
    </xf>
    <xf numFmtId="165" fontId="23" fillId="0" borderId="13" xfId="3" applyNumberFormat="1" applyFont="1" applyBorder="1" applyAlignment="1">
      <alignment horizontal="center"/>
    </xf>
    <xf numFmtId="0" fontId="20" fillId="0" borderId="14" xfId="0" applyFont="1" applyBorder="1"/>
    <xf numFmtId="167" fontId="20" fillId="0" borderId="15" xfId="4" applyNumberFormat="1" applyFont="1" applyFill="1" applyBorder="1"/>
    <xf numFmtId="165" fontId="23" fillId="0" borderId="15" xfId="0" applyNumberFormat="1" applyFont="1" applyBorder="1" applyAlignment="1">
      <alignment horizontal="center"/>
    </xf>
    <xf numFmtId="165" fontId="23" fillId="0" borderId="16" xfId="0" applyNumberFormat="1" applyFont="1" applyBorder="1" applyAlignment="1">
      <alignment horizontal="center"/>
    </xf>
    <xf numFmtId="167" fontId="20" fillId="0" borderId="8" xfId="4" applyNumberFormat="1" applyFont="1" applyFill="1" applyBorder="1"/>
    <xf numFmtId="165" fontId="20" fillId="0" borderId="0" xfId="5" applyNumberFormat="1" applyFont="1" applyFill="1" applyBorder="1"/>
    <xf numFmtId="165" fontId="23" fillId="0" borderId="0" xfId="5" applyNumberFormat="1" applyFont="1" applyFill="1" applyBorder="1" applyAlignment="1">
      <alignment horizontal="center"/>
    </xf>
    <xf numFmtId="165" fontId="23" fillId="0" borderId="13" xfId="5" applyNumberFormat="1" applyFont="1" applyFill="1" applyBorder="1" applyAlignment="1">
      <alignment horizontal="center"/>
    </xf>
    <xf numFmtId="164" fontId="18" fillId="0" borderId="0" xfId="0" applyNumberFormat="1" applyFont="1"/>
    <xf numFmtId="167" fontId="23" fillId="0" borderId="8" xfId="4" applyNumberFormat="1" applyFont="1" applyFill="1" applyBorder="1"/>
    <xf numFmtId="0" fontId="23" fillId="0" borderId="0" xfId="0" applyFont="1"/>
    <xf numFmtId="165" fontId="23" fillId="0" borderId="0" xfId="5" applyNumberFormat="1" applyFont="1" applyFill="1" applyBorder="1"/>
    <xf numFmtId="165" fontId="23" fillId="0" borderId="0" xfId="1" applyNumberFormat="1" applyFont="1" applyFill="1" applyBorder="1" applyAlignment="1">
      <alignment horizontal="center"/>
    </xf>
    <xf numFmtId="165" fontId="23" fillId="0" borderId="13" xfId="1" applyNumberFormat="1" applyFont="1" applyFill="1" applyBorder="1" applyAlignment="1">
      <alignment horizontal="center"/>
    </xf>
    <xf numFmtId="0" fontId="20" fillId="0" borderId="0" xfId="0" applyFont="1"/>
    <xf numFmtId="167" fontId="18" fillId="0" borderId="8" xfId="4" applyNumberFormat="1" applyFont="1" applyFill="1" applyBorder="1"/>
    <xf numFmtId="37" fontId="20" fillId="0" borderId="0" xfId="3" applyNumberFormat="1" applyFont="1" applyAlignment="1">
      <alignment horizontal="left"/>
    </xf>
    <xf numFmtId="167" fontId="23" fillId="0" borderId="0" xfId="4" applyNumberFormat="1" applyFont="1" applyFill="1" applyBorder="1"/>
    <xf numFmtId="165" fontId="23" fillId="0" borderId="0" xfId="0" applyNumberFormat="1" applyFont="1"/>
    <xf numFmtId="0" fontId="18" fillId="2" borderId="0" xfId="0" applyFont="1" applyFill="1"/>
    <xf numFmtId="165" fontId="24" fillId="0" borderId="0" xfId="1" applyNumberFormat="1" applyFont="1" applyFill="1" applyBorder="1" applyAlignment="1">
      <alignment horizontal="center"/>
    </xf>
    <xf numFmtId="165" fontId="24" fillId="0" borderId="13" xfId="1" applyNumberFormat="1" applyFont="1" applyFill="1" applyBorder="1" applyAlignment="1">
      <alignment horizontal="center"/>
    </xf>
    <xf numFmtId="0" fontId="18" fillId="0" borderId="8" xfId="0" applyFont="1" applyBorder="1" applyAlignment="1">
      <alignment horizontal="left"/>
    </xf>
    <xf numFmtId="0" fontId="18" fillId="0" borderId="17" xfId="4" applyNumberFormat="1" applyFont="1" applyFill="1" applyBorder="1" applyAlignment="1">
      <alignment horizontal="left"/>
    </xf>
    <xf numFmtId="169" fontId="20" fillId="0" borderId="18" xfId="4" applyNumberFormat="1" applyFont="1" applyFill="1" applyBorder="1"/>
    <xf numFmtId="44" fontId="18" fillId="0" borderId="18" xfId="3" applyNumberFormat="1" applyFont="1" applyBorder="1"/>
    <xf numFmtId="165" fontId="23" fillId="0" borderId="18" xfId="3" applyNumberFormat="1" applyFont="1" applyBorder="1" applyAlignment="1">
      <alignment horizontal="center"/>
    </xf>
    <xf numFmtId="169" fontId="18" fillId="0" borderId="8" xfId="4" applyNumberFormat="1" applyFont="1" applyFill="1" applyBorder="1" applyAlignment="1">
      <alignment horizontal="left"/>
    </xf>
    <xf numFmtId="169" fontId="18" fillId="0" borderId="0" xfId="4" applyNumberFormat="1" applyFont="1" applyFill="1" applyBorder="1" applyAlignment="1">
      <alignment horizontal="right"/>
    </xf>
    <xf numFmtId="0" fontId="20" fillId="0" borderId="9" xfId="4" applyNumberFormat="1" applyFont="1" applyFill="1" applyBorder="1" applyAlignment="1">
      <alignment horizontal="left"/>
    </xf>
    <xf numFmtId="0" fontId="21" fillId="2" borderId="10" xfId="0" applyFont="1" applyFill="1" applyBorder="1"/>
    <xf numFmtId="165" fontId="23" fillId="0" borderId="10" xfId="1" applyNumberFormat="1" applyFont="1" applyFill="1" applyBorder="1" applyAlignment="1">
      <alignment horizontal="center"/>
    </xf>
    <xf numFmtId="165" fontId="23" fillId="0" borderId="20" xfId="1" applyNumberFormat="1" applyFont="1" applyFill="1" applyBorder="1" applyAlignment="1">
      <alignment horizontal="center"/>
    </xf>
    <xf numFmtId="43" fontId="21" fillId="0" borderId="0" xfId="0" applyNumberFormat="1" applyFont="1"/>
    <xf numFmtId="170" fontId="21" fillId="0" borderId="0" xfId="0" applyNumberFormat="1" applyFont="1"/>
    <xf numFmtId="169" fontId="20" fillId="0" borderId="0" xfId="4" applyNumberFormat="1" applyFont="1" applyFill="1" applyBorder="1"/>
    <xf numFmtId="44" fontId="18" fillId="0" borderId="0" xfId="3" applyNumberFormat="1" applyFont="1"/>
    <xf numFmtId="0" fontId="20" fillId="0" borderId="0" xfId="3" applyFont="1" applyAlignment="1">
      <alignment horizontal="center"/>
    </xf>
    <xf numFmtId="165" fontId="23" fillId="0" borderId="19" xfId="1" applyNumberFormat="1" applyFont="1" applyBorder="1" applyAlignment="1">
      <alignment horizontal="center"/>
    </xf>
    <xf numFmtId="0" fontId="3" fillId="0" borderId="20" xfId="0" applyFont="1" applyBorder="1"/>
    <xf numFmtId="0" fontId="3" fillId="0" borderId="21" xfId="0" applyFont="1" applyBorder="1"/>
    <xf numFmtId="0" fontId="7" fillId="0" borderId="0" xfId="0" applyFont="1" applyAlignment="1">
      <alignment horizontal="left" indent="1"/>
    </xf>
    <xf numFmtId="165" fontId="3" fillId="0" borderId="0" xfId="0" applyNumberFormat="1" applyFont="1"/>
    <xf numFmtId="164" fontId="0" fillId="0" borderId="0" xfId="0" applyNumberFormat="1"/>
    <xf numFmtId="0" fontId="26" fillId="0" borderId="0" xfId="6" applyFont="1"/>
    <xf numFmtId="171" fontId="27" fillId="0" borderId="0" xfId="6" applyNumberFormat="1" applyFont="1"/>
    <xf numFmtId="171" fontId="28" fillId="0" borderId="0" xfId="6" applyNumberFormat="1" applyFont="1"/>
    <xf numFmtId="172" fontId="28" fillId="0" borderId="0" xfId="6" applyNumberFormat="1" applyFont="1"/>
    <xf numFmtId="0" fontId="28" fillId="0" borderId="0" xfId="6" applyFont="1"/>
    <xf numFmtId="173" fontId="29" fillId="0" borderId="0" xfId="6" applyNumberFormat="1" applyFont="1"/>
    <xf numFmtId="0" fontId="27" fillId="3" borderId="0" xfId="6" applyFont="1" applyFill="1" applyAlignment="1">
      <alignment horizontal="center"/>
    </xf>
    <xf numFmtId="171" fontId="29" fillId="3" borderId="0" xfId="6" applyNumberFormat="1" applyFont="1" applyFill="1" applyAlignment="1">
      <alignment horizontal="center"/>
    </xf>
    <xf numFmtId="2" fontId="32" fillId="3" borderId="0" xfId="6" applyNumberFormat="1" applyFont="1" applyFill="1" applyAlignment="1">
      <alignment horizontal="center"/>
    </xf>
    <xf numFmtId="171" fontId="33" fillId="0" borderId="0" xfId="6" applyNumberFormat="1" applyFont="1"/>
    <xf numFmtId="0" fontId="28" fillId="0" borderId="0" xfId="6" applyFont="1" applyAlignment="1">
      <alignment horizontal="left"/>
    </xf>
    <xf numFmtId="174" fontId="34" fillId="0" borderId="0" xfId="6" applyNumberFormat="1" applyFont="1" applyAlignment="1">
      <alignment horizontal="center"/>
    </xf>
    <xf numFmtId="175" fontId="34" fillId="0" borderId="0" xfId="6" applyNumberFormat="1" applyFont="1" applyAlignment="1">
      <alignment horizontal="center"/>
    </xf>
    <xf numFmtId="175" fontId="26" fillId="0" borderId="0" xfId="6" applyNumberFormat="1" applyFont="1"/>
    <xf numFmtId="2" fontId="35" fillId="0" borderId="0" xfId="6" applyNumberFormat="1" applyFont="1" applyAlignment="1">
      <alignment horizontal="center"/>
    </xf>
    <xf numFmtId="9" fontId="26" fillId="0" borderId="0" xfId="6" applyNumberFormat="1" applyFont="1" applyAlignment="1">
      <alignment horizontal="center"/>
    </xf>
    <xf numFmtId="176" fontId="34" fillId="0" borderId="0" xfId="6" applyNumberFormat="1" applyFont="1" applyAlignment="1">
      <alignment horizontal="center"/>
    </xf>
    <xf numFmtId="1" fontId="28" fillId="0" borderId="0" xfId="6" applyNumberFormat="1" applyFont="1" applyAlignment="1">
      <alignment horizontal="left"/>
    </xf>
    <xf numFmtId="177" fontId="34" fillId="0" borderId="0" xfId="6" applyNumberFormat="1" applyFont="1" applyAlignment="1">
      <alignment horizontal="center"/>
    </xf>
    <xf numFmtId="178" fontId="34" fillId="4" borderId="0" xfId="6" applyNumberFormat="1" applyFont="1" applyFill="1" applyAlignment="1">
      <alignment horizontal="left"/>
    </xf>
    <xf numFmtId="1" fontId="35" fillId="3" borderId="0" xfId="6" applyNumberFormat="1" applyFont="1" applyFill="1" applyAlignment="1">
      <alignment horizontal="left"/>
    </xf>
    <xf numFmtId="166" fontId="28" fillId="0" borderId="0" xfId="6" applyNumberFormat="1" applyFont="1" applyAlignment="1">
      <alignment horizontal="left"/>
    </xf>
    <xf numFmtId="175" fontId="28" fillId="0" borderId="0" xfId="6" applyNumberFormat="1" applyFont="1" applyAlignment="1">
      <alignment horizontal="left"/>
    </xf>
    <xf numFmtId="43" fontId="28" fillId="0" borderId="0" xfId="6" applyNumberFormat="1" applyFont="1" applyAlignment="1">
      <alignment horizontal="left"/>
    </xf>
    <xf numFmtId="176" fontId="26" fillId="0" borderId="0" xfId="6" applyNumberFormat="1" applyFont="1"/>
    <xf numFmtId="0" fontId="5" fillId="0" borderId="8" xfId="0" applyFont="1" applyBorder="1" applyAlignment="1">
      <alignment horizontal="left"/>
    </xf>
    <xf numFmtId="164" fontId="0" fillId="0" borderId="1" xfId="0" applyNumberFormat="1" applyBorder="1"/>
    <xf numFmtId="0" fontId="8" fillId="0" borderId="0" xfId="0" applyFont="1"/>
    <xf numFmtId="175" fontId="28" fillId="0" borderId="0" xfId="6" applyNumberFormat="1" applyFont="1"/>
    <xf numFmtId="43" fontId="3" fillId="0" borderId="0" xfId="0" applyNumberFormat="1" applyFont="1"/>
    <xf numFmtId="164" fontId="2" fillId="0" borderId="10" xfId="0" applyNumberFormat="1" applyFont="1" applyBorder="1"/>
    <xf numFmtId="179" fontId="20" fillId="0" borderId="0" xfId="3" applyNumberFormat="1" applyFont="1" applyAlignment="1">
      <alignment horizontal="left"/>
    </xf>
    <xf numFmtId="171" fontId="34" fillId="0" borderId="0" xfId="6" applyNumberFormat="1" applyFont="1" applyAlignment="1">
      <alignment horizontal="centerContinuous"/>
    </xf>
    <xf numFmtId="180" fontId="34" fillId="0" borderId="0" xfId="6" applyNumberFormat="1" applyFont="1" applyAlignment="1">
      <alignment horizontal="center"/>
    </xf>
    <xf numFmtId="164" fontId="37" fillId="0" borderId="10" xfId="0" applyNumberFormat="1" applyFont="1" applyBorder="1"/>
    <xf numFmtId="0" fontId="22" fillId="6" borderId="3" xfId="0" applyFont="1" applyFill="1" applyBorder="1"/>
    <xf numFmtId="0" fontId="22" fillId="6" borderId="4" xfId="3" applyFont="1" applyFill="1" applyBorder="1" applyAlignment="1">
      <alignment horizontal="left"/>
    </xf>
    <xf numFmtId="0" fontId="22" fillId="6" borderId="4" xfId="3" applyFont="1" applyFill="1" applyBorder="1" applyAlignment="1">
      <alignment horizontal="center"/>
    </xf>
    <xf numFmtId="0" fontId="22" fillId="6" borderId="12" xfId="3" applyFont="1" applyFill="1" applyBorder="1" applyAlignment="1">
      <alignment horizontal="center"/>
    </xf>
    <xf numFmtId="0" fontId="4" fillId="6" borderId="5" xfId="0" applyFont="1" applyFill="1" applyBorder="1"/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181" fontId="8" fillId="0" borderId="4" xfId="0" applyNumberFormat="1" applyFont="1" applyBorder="1"/>
    <xf numFmtId="0" fontId="0" fillId="0" borderId="10" xfId="0" applyBorder="1"/>
    <xf numFmtId="2" fontId="11" fillId="0" borderId="0" xfId="2" applyNumberFormat="1" applyFont="1" applyBorder="1"/>
    <xf numFmtId="9" fontId="11" fillId="0" borderId="0" xfId="0" applyNumberFormat="1" applyFont="1"/>
    <xf numFmtId="9" fontId="0" fillId="0" borderId="0" xfId="2" applyFont="1" applyBorder="1"/>
    <xf numFmtId="0" fontId="4" fillId="0" borderId="1" xfId="0" applyFont="1" applyBorder="1" applyAlignment="1">
      <alignment horizontal="center"/>
    </xf>
    <xf numFmtId="168" fontId="36" fillId="0" borderId="0" xfId="1" applyNumberFormat="1" applyFont="1" applyBorder="1"/>
    <xf numFmtId="0" fontId="40" fillId="0" borderId="0" xfId="0" applyFont="1"/>
    <xf numFmtId="0" fontId="39" fillId="0" borderId="0" xfId="0" applyFont="1"/>
    <xf numFmtId="6" fontId="0" fillId="0" borderId="1" xfId="0" applyNumberFormat="1" applyBorder="1"/>
    <xf numFmtId="181" fontId="8" fillId="0" borderId="2" xfId="0" applyNumberFormat="1" applyFont="1" applyBorder="1"/>
    <xf numFmtId="0" fontId="40" fillId="0" borderId="1" xfId="0" applyFont="1" applyBorder="1"/>
    <xf numFmtId="181" fontId="8" fillId="0" borderId="1" xfId="0" applyNumberFormat="1" applyFont="1" applyBorder="1"/>
    <xf numFmtId="37" fontId="0" fillId="0" borderId="1" xfId="0" applyNumberFormat="1" applyBorder="1"/>
    <xf numFmtId="0" fontId="0" fillId="0" borderId="11" xfId="0" applyBorder="1"/>
    <xf numFmtId="182" fontId="0" fillId="0" borderId="1" xfId="0" applyNumberFormat="1" applyBorder="1"/>
    <xf numFmtId="9" fontId="11" fillId="0" borderId="1" xfId="2" applyFont="1" applyBorder="1"/>
    <xf numFmtId="170" fontId="11" fillId="0" borderId="1" xfId="0" applyNumberFormat="1" applyFont="1" applyBorder="1"/>
    <xf numFmtId="0" fontId="39" fillId="0" borderId="1" xfId="0" applyFont="1" applyBorder="1" applyAlignment="1">
      <alignment horizontal="left" indent="1"/>
    </xf>
    <xf numFmtId="0" fontId="8" fillId="0" borderId="2" xfId="0" applyFont="1" applyBorder="1"/>
    <xf numFmtId="0" fontId="8" fillId="0" borderId="1" xfId="0" applyFont="1" applyBorder="1" applyAlignment="1">
      <alignment horizontal="left"/>
    </xf>
    <xf numFmtId="0" fontId="0" fillId="0" borderId="1" xfId="0" applyBorder="1" applyAlignment="1">
      <alignment horizontal="left" indent="1"/>
    </xf>
    <xf numFmtId="0" fontId="39" fillId="0" borderId="1" xfId="0" applyFont="1" applyBorder="1" applyAlignment="1">
      <alignment horizontal="left" indent="2"/>
    </xf>
    <xf numFmtId="0" fontId="11" fillId="0" borderId="1" xfId="0" applyFont="1" applyBorder="1" applyAlignment="1">
      <alignment horizontal="left" indent="2"/>
    </xf>
    <xf numFmtId="0" fontId="11" fillId="0" borderId="1" xfId="0" applyFont="1" applyBorder="1" applyAlignment="1">
      <alignment horizontal="left" indent="1"/>
    </xf>
    <xf numFmtId="9" fontId="11" fillId="0" borderId="1" xfId="0" applyNumberFormat="1" applyFont="1" applyBorder="1" applyAlignment="1">
      <alignment horizontal="left" indent="1"/>
    </xf>
    <xf numFmtId="0" fontId="38" fillId="6" borderId="5" xfId="9" applyFont="1" applyFill="1" applyBorder="1"/>
    <xf numFmtId="0" fontId="4" fillId="6" borderId="4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9" fontId="39" fillId="0" borderId="1" xfId="2" applyFont="1" applyBorder="1"/>
    <xf numFmtId="44" fontId="11" fillId="0" borderId="1" xfId="8" applyFont="1" applyBorder="1"/>
    <xf numFmtId="6" fontId="12" fillId="0" borderId="1" xfId="0" applyNumberFormat="1" applyFont="1" applyBorder="1"/>
    <xf numFmtId="37" fontId="12" fillId="0" borderId="1" xfId="0" applyNumberFormat="1" applyFont="1" applyBorder="1"/>
    <xf numFmtId="168" fontId="5" fillId="0" borderId="1" xfId="1" applyNumberFormat="1" applyFont="1" applyBorder="1"/>
    <xf numFmtId="0" fontId="0" fillId="0" borderId="1" xfId="0" applyBorder="1" applyAlignment="1">
      <alignment horizontal="left" indent="2"/>
    </xf>
    <xf numFmtId="183" fontId="0" fillId="0" borderId="1" xfId="0" applyNumberFormat="1" applyBorder="1"/>
    <xf numFmtId="9" fontId="11" fillId="0" borderId="1" xfId="2" applyFont="1" applyFill="1" applyBorder="1"/>
    <xf numFmtId="0" fontId="0" fillId="0" borderId="1" xfId="0" applyBorder="1" applyAlignment="1">
      <alignment horizontal="left" indent="3"/>
    </xf>
    <xf numFmtId="9" fontId="39" fillId="0" borderId="1" xfId="0" applyNumberFormat="1" applyFont="1" applyBorder="1" applyAlignment="1">
      <alignment horizontal="left" indent="1"/>
    </xf>
    <xf numFmtId="0" fontId="42" fillId="0" borderId="0" xfId="0" applyFont="1"/>
    <xf numFmtId="168" fontId="3" fillId="0" borderId="0" xfId="0" applyNumberFormat="1" applyFont="1"/>
    <xf numFmtId="168" fontId="3" fillId="0" borderId="1" xfId="0" applyNumberFormat="1" applyFont="1" applyBorder="1"/>
    <xf numFmtId="168" fontId="5" fillId="0" borderId="0" xfId="0" applyNumberFormat="1" applyFont="1"/>
    <xf numFmtId="168" fontId="5" fillId="0" borderId="1" xfId="0" applyNumberFormat="1" applyFont="1" applyBorder="1"/>
    <xf numFmtId="168" fontId="5" fillId="0" borderId="4" xfId="0" applyNumberFormat="1" applyFont="1" applyBorder="1"/>
    <xf numFmtId="168" fontId="5" fillId="0" borderId="2" xfId="0" applyNumberFormat="1" applyFont="1" applyBorder="1"/>
    <xf numFmtId="9" fontId="39" fillId="0" borderId="2" xfId="0" applyNumberFormat="1" applyFont="1" applyBorder="1" applyAlignment="1">
      <alignment horizontal="left" indent="1"/>
    </xf>
    <xf numFmtId="6" fontId="0" fillId="0" borderId="0" xfId="0" applyNumberFormat="1"/>
    <xf numFmtId="9" fontId="39" fillId="0" borderId="0" xfId="2" applyFont="1" applyBorder="1"/>
    <xf numFmtId="181" fontId="8" fillId="0" borderId="0" xfId="0" applyNumberFormat="1" applyFont="1"/>
    <xf numFmtId="182" fontId="40" fillId="0" borderId="0" xfId="0" applyNumberFormat="1" applyFont="1"/>
    <xf numFmtId="37" fontId="0" fillId="0" borderId="0" xfId="0" applyNumberFormat="1"/>
    <xf numFmtId="6" fontId="12" fillId="0" borderId="0" xfId="0" applyNumberFormat="1" applyFont="1"/>
    <xf numFmtId="37" fontId="12" fillId="0" borderId="0" xfId="0" applyNumberFormat="1" applyFont="1"/>
    <xf numFmtId="0" fontId="0" fillId="0" borderId="0" xfId="0" applyAlignment="1">
      <alignment horizontal="right"/>
    </xf>
    <xf numFmtId="8" fontId="0" fillId="0" borderId="0" xfId="0" applyNumberFormat="1"/>
    <xf numFmtId="9" fontId="11" fillId="0" borderId="0" xfId="2" applyFont="1" applyBorder="1"/>
    <xf numFmtId="9" fontId="41" fillId="0" borderId="0" xfId="2" applyFont="1" applyBorder="1"/>
    <xf numFmtId="182" fontId="0" fillId="0" borderId="0" xfId="0" applyNumberFormat="1"/>
    <xf numFmtId="170" fontId="11" fillId="0" borderId="0" xfId="0" applyNumberFormat="1" applyFont="1"/>
    <xf numFmtId="9" fontId="39" fillId="0" borderId="11" xfId="0" applyNumberFormat="1" applyFont="1" applyBorder="1" applyAlignment="1">
      <alignment horizontal="left" indent="1"/>
    </xf>
    <xf numFmtId="9" fontId="39" fillId="0" borderId="10" xfId="0" applyNumberFormat="1" applyFont="1" applyBorder="1"/>
    <xf numFmtId="9" fontId="39" fillId="0" borderId="11" xfId="0" applyNumberFormat="1" applyFont="1" applyBorder="1"/>
    <xf numFmtId="183" fontId="0" fillId="0" borderId="0" xfId="0" applyNumberFormat="1"/>
    <xf numFmtId="9" fontId="11" fillId="0" borderId="0" xfId="2" applyFont="1" applyFill="1" applyBorder="1"/>
    <xf numFmtId="0" fontId="38" fillId="6" borderId="7" xfId="9" applyFont="1" applyFill="1" applyBorder="1"/>
    <xf numFmtId="9" fontId="39" fillId="0" borderId="7" xfId="0" applyNumberFormat="1" applyFont="1" applyBorder="1" applyAlignment="1">
      <alignment horizontal="left" indent="1"/>
    </xf>
    <xf numFmtId="166" fontId="3" fillId="0" borderId="1" xfId="1" applyNumberFormat="1" applyFont="1" applyBorder="1"/>
    <xf numFmtId="166" fontId="3" fillId="0" borderId="0" xfId="0" applyNumberFormat="1" applyFont="1"/>
    <xf numFmtId="166" fontId="3" fillId="0" borderId="1" xfId="0" applyNumberFormat="1" applyFont="1" applyBorder="1"/>
    <xf numFmtId="168" fontId="3" fillId="0" borderId="1" xfId="1" applyNumberFormat="1" applyFont="1" applyBorder="1"/>
    <xf numFmtId="0" fontId="3" fillId="0" borderId="23" xfId="0" applyFont="1" applyBorder="1"/>
    <xf numFmtId="43" fontId="3" fillId="0" borderId="22" xfId="0" applyNumberFormat="1" applyFont="1" applyBorder="1"/>
    <xf numFmtId="43" fontId="3" fillId="0" borderId="23" xfId="0" applyNumberFormat="1" applyFont="1" applyBorder="1"/>
    <xf numFmtId="0" fontId="3" fillId="0" borderId="3" xfId="0" applyFont="1" applyBorder="1" applyAlignment="1">
      <alignment horizontal="left"/>
    </xf>
    <xf numFmtId="168" fontId="3" fillId="0" borderId="4" xfId="0" applyNumberFormat="1" applyFont="1" applyBorder="1"/>
    <xf numFmtId="168" fontId="3" fillId="0" borderId="2" xfId="0" applyNumberFormat="1" applyFont="1" applyBorder="1"/>
    <xf numFmtId="168" fontId="10" fillId="0" borderId="0" xfId="0" applyNumberFormat="1" applyFont="1"/>
    <xf numFmtId="168" fontId="3" fillId="0" borderId="12" xfId="0" applyNumberFormat="1" applyFont="1" applyBorder="1"/>
    <xf numFmtId="0" fontId="7" fillId="0" borderId="13" xfId="0" applyFont="1" applyBorder="1" applyAlignment="1">
      <alignment horizontal="left" indent="1"/>
    </xf>
    <xf numFmtId="168" fontId="3" fillId="0" borderId="13" xfId="0" applyNumberFormat="1" applyFont="1" applyBorder="1"/>
    <xf numFmtId="168" fontId="3" fillId="0" borderId="4" xfId="2" applyNumberFormat="1" applyFont="1" applyBorder="1"/>
    <xf numFmtId="165" fontId="41" fillId="0" borderId="0" xfId="2" applyNumberFormat="1" applyFont="1" applyBorder="1"/>
    <xf numFmtId="0" fontId="12" fillId="0" borderId="0" xfId="0" applyFont="1"/>
    <xf numFmtId="184" fontId="8" fillId="0" borderId="4" xfId="0" applyNumberFormat="1" applyFont="1" applyBorder="1"/>
    <xf numFmtId="184" fontId="8" fillId="0" borderId="2" xfId="0" applyNumberFormat="1" applyFont="1" applyBorder="1"/>
    <xf numFmtId="184" fontId="8" fillId="0" borderId="0" xfId="0" applyNumberFormat="1" applyFont="1"/>
    <xf numFmtId="0" fontId="39" fillId="0" borderId="1" xfId="0" applyFont="1" applyBorder="1"/>
    <xf numFmtId="9" fontId="39" fillId="0" borderId="0" xfId="2" applyFont="1" applyFill="1" applyBorder="1"/>
    <xf numFmtId="9" fontId="39" fillId="0" borderId="1" xfId="2" applyFont="1" applyFill="1" applyBorder="1"/>
    <xf numFmtId="9" fontId="41" fillId="0" borderId="0" xfId="2" applyFont="1" applyFill="1" applyBorder="1"/>
    <xf numFmtId="184" fontId="8" fillId="0" borderId="13" xfId="0" applyNumberFormat="1" applyFont="1" applyBorder="1"/>
    <xf numFmtId="181" fontId="43" fillId="0" borderId="1" xfId="0" applyNumberFormat="1" applyFont="1" applyBorder="1"/>
    <xf numFmtId="9" fontId="39" fillId="0" borderId="13" xfId="2" applyFont="1" applyBorder="1"/>
    <xf numFmtId="181" fontId="43" fillId="0" borderId="0" xfId="0" applyNumberFormat="1" applyFont="1"/>
    <xf numFmtId="0" fontId="5" fillId="0" borderId="3" xfId="0" applyFont="1" applyBorder="1" applyAlignment="1">
      <alignment horizontal="left"/>
    </xf>
    <xf numFmtId="168" fontId="36" fillId="0" borderId="4" xfId="1" applyNumberFormat="1" applyFont="1" applyBorder="1"/>
    <xf numFmtId="168" fontId="5" fillId="0" borderId="2" xfId="1" applyNumberFormat="1" applyFont="1" applyBorder="1"/>
    <xf numFmtId="6" fontId="44" fillId="0" borderId="0" xfId="0" applyNumberFormat="1" applyFont="1"/>
    <xf numFmtId="37" fontId="44" fillId="0" borderId="0" xfId="0" applyNumberFormat="1" applyFont="1"/>
    <xf numFmtId="0" fontId="44" fillId="0" borderId="0" xfId="0" applyFont="1"/>
    <xf numFmtId="168" fontId="37" fillId="0" borderId="0" xfId="0" applyNumberFormat="1" applyFont="1"/>
    <xf numFmtId="168" fontId="0" fillId="0" borderId="1" xfId="0" applyNumberFormat="1" applyBorder="1"/>
    <xf numFmtId="168" fontId="8" fillId="0" borderId="1" xfId="0" applyNumberFormat="1" applyFont="1" applyBorder="1"/>
    <xf numFmtId="168" fontId="8" fillId="0" borderId="0" xfId="0" applyNumberFormat="1" applyFont="1"/>
    <xf numFmtId="168" fontId="44" fillId="0" borderId="1" xfId="0" applyNumberFormat="1" applyFont="1" applyBorder="1"/>
    <xf numFmtId="168" fontId="5" fillId="0" borderId="10" xfId="0" applyNumberFormat="1" applyFont="1" applyBorder="1"/>
    <xf numFmtId="168" fontId="8" fillId="0" borderId="11" xfId="0" applyNumberFormat="1" applyFont="1" applyBorder="1"/>
    <xf numFmtId="0" fontId="4" fillId="6" borderId="3" xfId="0" applyFont="1" applyFill="1" applyBorder="1"/>
    <xf numFmtId="0" fontId="3" fillId="6" borderId="3" xfId="0" applyFont="1" applyFill="1" applyBorder="1"/>
    <xf numFmtId="168" fontId="3" fillId="0" borderId="0" xfId="1" applyNumberFormat="1" applyFont="1" applyBorder="1"/>
    <xf numFmtId="168" fontId="5" fillId="0" borderId="0" xfId="1" applyNumberFormat="1" applyFont="1" applyBorder="1"/>
    <xf numFmtId="168" fontId="10" fillId="0" borderId="0" xfId="1" applyNumberFormat="1" applyFont="1" applyBorder="1"/>
    <xf numFmtId="168" fontId="2" fillId="0" borderId="0" xfId="1" applyNumberFormat="1" applyFont="1" applyBorder="1"/>
    <xf numFmtId="168" fontId="37" fillId="0" borderId="0" xfId="1" applyNumberFormat="1" applyFont="1" applyBorder="1"/>
    <xf numFmtId="165" fontId="45" fillId="0" borderId="0" xfId="2" applyNumberFormat="1" applyFont="1" applyFill="1" applyBorder="1" applyAlignment="1"/>
    <xf numFmtId="165" fontId="45" fillId="0" borderId="1" xfId="2" applyNumberFormat="1" applyFont="1" applyFill="1" applyBorder="1" applyAlignment="1"/>
    <xf numFmtId="168" fontId="0" fillId="0" borderId="4" xfId="0" applyNumberFormat="1" applyBorder="1"/>
    <xf numFmtId="168" fontId="0" fillId="0" borderId="2" xfId="0" applyNumberFormat="1" applyBorder="1"/>
    <xf numFmtId="168" fontId="5" fillId="0" borderId="10" xfId="1" applyNumberFormat="1" applyFont="1" applyBorder="1"/>
    <xf numFmtId="168" fontId="5" fillId="0" borderId="11" xfId="1" applyNumberFormat="1" applyFont="1" applyBorder="1"/>
    <xf numFmtId="168" fontId="3" fillId="0" borderId="0" xfId="2" applyNumberFormat="1" applyFont="1" applyBorder="1"/>
    <xf numFmtId="43" fontId="0" fillId="0" borderId="0" xfId="0" applyNumberFormat="1"/>
    <xf numFmtId="168" fontId="37" fillId="0" borderId="1" xfId="1" applyNumberFormat="1" applyFont="1" applyBorder="1"/>
    <xf numFmtId="0" fontId="30" fillId="6" borderId="10" xfId="6" applyFont="1" applyFill="1" applyBorder="1"/>
    <xf numFmtId="0" fontId="30" fillId="6" borderId="0" xfId="6" applyFont="1" applyFill="1"/>
    <xf numFmtId="165" fontId="30" fillId="6" borderId="0" xfId="7" applyNumberFormat="1" applyFont="1" applyFill="1" applyBorder="1" applyAlignment="1">
      <alignment horizontal="center"/>
    </xf>
    <xf numFmtId="0" fontId="30" fillId="6" borderId="0" xfId="6" applyFont="1" applyFill="1" applyAlignment="1">
      <alignment horizontal="center"/>
    </xf>
    <xf numFmtId="0" fontId="31" fillId="6" borderId="0" xfId="6" applyFont="1" applyFill="1" applyAlignment="1">
      <alignment horizontal="center"/>
    </xf>
    <xf numFmtId="0" fontId="31" fillId="6" borderId="0" xfId="6" applyFont="1" applyFill="1"/>
    <xf numFmtId="2" fontId="31" fillId="6" borderId="0" xfId="6" applyNumberFormat="1" applyFont="1" applyFill="1" applyAlignment="1">
      <alignment horizontal="center"/>
    </xf>
    <xf numFmtId="165" fontId="0" fillId="0" borderId="0" xfId="0" applyNumberFormat="1"/>
    <xf numFmtId="0" fontId="46" fillId="0" borderId="24" xfId="0" applyFont="1" applyBorder="1"/>
    <xf numFmtId="0" fontId="47" fillId="0" borderId="25" xfId="0" applyFont="1" applyBorder="1"/>
    <xf numFmtId="0" fontId="47" fillId="0" borderId="26" xfId="0" applyFont="1" applyBorder="1"/>
    <xf numFmtId="165" fontId="49" fillId="0" borderId="27" xfId="5" applyNumberFormat="1" applyFont="1" applyBorder="1" applyAlignment="1">
      <alignment horizontal="center"/>
    </xf>
    <xf numFmtId="0" fontId="47" fillId="0" borderId="0" xfId="0" applyFont="1"/>
    <xf numFmtId="164" fontId="50" fillId="0" borderId="27" xfId="1" applyNumberFormat="1" applyFont="1" applyFill="1" applyBorder="1" applyAlignment="1">
      <alignment horizontal="right"/>
    </xf>
    <xf numFmtId="0" fontId="47" fillId="0" borderId="28" xfId="0" applyFont="1" applyBorder="1"/>
    <xf numFmtId="165" fontId="49" fillId="0" borderId="29" xfId="5" applyNumberFormat="1" applyFont="1" applyBorder="1" applyAlignment="1">
      <alignment horizontal="center"/>
    </xf>
    <xf numFmtId="0" fontId="47" fillId="0" borderId="27" xfId="0" applyFont="1" applyBorder="1"/>
    <xf numFmtId="0" fontId="51" fillId="0" borderId="26" xfId="0" applyFont="1" applyBorder="1"/>
    <xf numFmtId="0" fontId="51" fillId="0" borderId="0" xfId="0" applyFont="1"/>
    <xf numFmtId="164" fontId="52" fillId="0" borderId="27" xfId="1" applyNumberFormat="1" applyFont="1" applyFill="1" applyBorder="1" applyAlignment="1">
      <alignment horizontal="right"/>
    </xf>
    <xf numFmtId="0" fontId="47" fillId="0" borderId="26" xfId="0" quotePrefix="1" applyFont="1" applyBorder="1" applyAlignment="1">
      <alignment horizontal="left" indent="1"/>
    </xf>
    <xf numFmtId="164" fontId="49" fillId="0" borderId="27" xfId="1" applyNumberFormat="1" applyFont="1" applyFill="1" applyBorder="1" applyAlignment="1">
      <alignment horizontal="right"/>
    </xf>
    <xf numFmtId="0" fontId="2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7" fillId="0" borderId="26" xfId="0" applyFont="1" applyBorder="1" applyAlignment="1">
      <alignment horizontal="left" indent="1"/>
    </xf>
    <xf numFmtId="0" fontId="47" fillId="0" borderId="0" xfId="0" applyFont="1" applyAlignment="1">
      <alignment horizontal="center"/>
    </xf>
    <xf numFmtId="0" fontId="51" fillId="7" borderId="28" xfId="0" applyFont="1" applyFill="1" applyBorder="1"/>
    <xf numFmtId="0" fontId="51" fillId="7" borderId="22" xfId="0" applyFont="1" applyFill="1" applyBorder="1" applyAlignment="1">
      <alignment horizontal="center"/>
    </xf>
    <xf numFmtId="44" fontId="51" fillId="7" borderId="29" xfId="4" applyFont="1" applyFill="1" applyBorder="1" applyAlignment="1">
      <alignment horizontal="center"/>
    </xf>
    <xf numFmtId="44" fontId="52" fillId="0" borderId="0" xfId="4" applyFont="1" applyFill="1" applyBorder="1" applyAlignment="1">
      <alignment horizontal="right"/>
    </xf>
    <xf numFmtId="165" fontId="49" fillId="0" borderId="0" xfId="5" applyNumberFormat="1" applyFont="1" applyBorder="1" applyAlignment="1">
      <alignment horizontal="center"/>
    </xf>
    <xf numFmtId="165" fontId="47" fillId="8" borderId="0" xfId="5" applyNumberFormat="1" applyFont="1" applyFill="1" applyAlignment="1">
      <alignment horizontal="center"/>
    </xf>
    <xf numFmtId="0" fontId="53" fillId="0" borderId="0" xfId="0" applyFont="1" applyAlignment="1">
      <alignment horizontal="center"/>
    </xf>
    <xf numFmtId="0" fontId="2" fillId="0" borderId="0" xfId="0" applyFont="1"/>
    <xf numFmtId="0" fontId="54" fillId="0" borderId="0" xfId="0" applyFont="1"/>
    <xf numFmtId="185" fontId="5" fillId="9" borderId="0" xfId="0" applyNumberFormat="1" applyFont="1" applyFill="1" applyAlignment="1">
      <alignment horizontal="center"/>
    </xf>
    <xf numFmtId="186" fontId="5" fillId="9" borderId="0" xfId="0" applyNumberFormat="1" applyFont="1" applyFill="1" applyAlignment="1">
      <alignment horizontal="center"/>
    </xf>
    <xf numFmtId="185" fontId="5" fillId="0" borderId="0" xfId="0" applyNumberFormat="1" applyFont="1" applyAlignment="1">
      <alignment horizontal="center"/>
    </xf>
    <xf numFmtId="186" fontId="5" fillId="0" borderId="0" xfId="0" applyNumberFormat="1" applyFont="1" applyAlignment="1">
      <alignment horizontal="center"/>
    </xf>
    <xf numFmtId="164" fontId="55" fillId="0" borderId="0" xfId="1" applyNumberFormat="1" applyFont="1" applyFill="1" applyBorder="1"/>
    <xf numFmtId="0" fontId="7" fillId="0" borderId="0" xfId="0" applyFont="1" applyAlignment="1">
      <alignment horizontal="left"/>
    </xf>
    <xf numFmtId="165" fontId="56" fillId="0" borderId="0" xfId="1" applyNumberFormat="1" applyFont="1" applyFill="1" applyBorder="1"/>
    <xf numFmtId="165" fontId="9" fillId="0" borderId="0" xfId="1" applyNumberFormat="1" applyFont="1" applyFill="1" applyBorder="1"/>
    <xf numFmtId="0" fontId="57" fillId="0" borderId="0" xfId="0" applyFont="1"/>
    <xf numFmtId="164" fontId="58" fillId="0" borderId="0" xfId="1" applyNumberFormat="1" applyFont="1" applyFill="1" applyBorder="1" applyAlignment="1">
      <alignment horizontal="right"/>
    </xf>
    <xf numFmtId="164" fontId="59" fillId="0" borderId="0" xfId="1" applyNumberFormat="1" applyFont="1" applyFill="1" applyBorder="1" applyAlignment="1">
      <alignment horizontal="right"/>
    </xf>
    <xf numFmtId="164" fontId="36" fillId="0" borderId="0" xfId="1" applyNumberFormat="1" applyFont="1" applyFill="1" applyBorder="1"/>
    <xf numFmtId="165" fontId="45" fillId="0" borderId="0" xfId="1" applyNumberFormat="1" applyFont="1" applyFill="1" applyBorder="1"/>
    <xf numFmtId="0" fontId="3" fillId="0" borderId="0" xfId="0" applyFont="1" applyAlignment="1">
      <alignment horizontal="left"/>
    </xf>
    <xf numFmtId="164" fontId="37" fillId="0" borderId="0" xfId="1" applyNumberFormat="1" applyFont="1" applyFill="1" applyBorder="1" applyAlignment="1">
      <alignment horizontal="right"/>
    </xf>
    <xf numFmtId="165" fontId="56" fillId="0" borderId="0" xfId="5" applyNumberFormat="1" applyFont="1" applyFill="1" applyBorder="1" applyAlignment="1">
      <alignment horizontal="left"/>
    </xf>
    <xf numFmtId="165" fontId="45" fillId="0" borderId="0" xfId="5" applyNumberFormat="1" applyFont="1" applyFill="1" applyBorder="1"/>
    <xf numFmtId="165" fontId="9" fillId="0" borderId="0" xfId="5" applyNumberFormat="1" applyFont="1" applyFill="1" applyBorder="1"/>
    <xf numFmtId="165" fontId="56" fillId="0" borderId="0" xfId="5" applyNumberFormat="1" applyFont="1" applyFill="1" applyBorder="1"/>
    <xf numFmtId="164" fontId="2" fillId="0" borderId="0" xfId="1" applyNumberFormat="1" applyFont="1" applyFill="1" applyBorder="1" applyAlignment="1">
      <alignment horizontal="right"/>
    </xf>
    <xf numFmtId="164" fontId="60" fillId="0" borderId="0" xfId="1" applyNumberFormat="1" applyFont="1" applyFill="1" applyBorder="1" applyAlignment="1">
      <alignment horizontal="right"/>
    </xf>
    <xf numFmtId="0" fontId="3" fillId="0" borderId="0" xfId="0" quotePrefix="1" applyFont="1"/>
    <xf numFmtId="0" fontId="5" fillId="0" borderId="0" xfId="0" quotePrefix="1" applyFont="1"/>
    <xf numFmtId="0" fontId="61" fillId="0" borderId="0" xfId="0" quotePrefix="1" applyFont="1"/>
    <xf numFmtId="0" fontId="61" fillId="0" borderId="0" xfId="0" applyFont="1"/>
    <xf numFmtId="43" fontId="62" fillId="0" borderId="0" xfId="1" applyFont="1" applyFill="1" applyBorder="1" applyAlignment="1">
      <alignment horizontal="right"/>
    </xf>
    <xf numFmtId="0" fontId="5" fillId="8" borderId="0" xfId="0" quotePrefix="1" applyFont="1" applyFill="1"/>
    <xf numFmtId="164" fontId="63" fillId="8" borderId="0" xfId="0" applyNumberFormat="1" applyFont="1" applyFill="1"/>
    <xf numFmtId="164" fontId="59" fillId="8" borderId="0" xfId="1" applyNumberFormat="1" applyFont="1" applyFill="1" applyBorder="1" applyAlignment="1">
      <alignment horizontal="right"/>
    </xf>
    <xf numFmtId="165" fontId="61" fillId="0" borderId="0" xfId="5" applyNumberFormat="1" applyFont="1" applyBorder="1"/>
    <xf numFmtId="0" fontId="0" fillId="0" borderId="0" xfId="0" applyAlignment="1">
      <alignment horizontal="center"/>
    </xf>
    <xf numFmtId="165" fontId="37" fillId="0" borderId="0" xfId="5" applyNumberFormat="1" applyFont="1" applyFill="1" applyBorder="1" applyAlignment="1">
      <alignment horizontal="right"/>
    </xf>
    <xf numFmtId="165" fontId="10" fillId="0" borderId="0" xfId="5" applyNumberFormat="1" applyFont="1" applyBorder="1"/>
    <xf numFmtId="179" fontId="3" fillId="0" borderId="0" xfId="5" applyNumberFormat="1" applyFont="1" applyBorder="1"/>
    <xf numFmtId="165" fontId="3" fillId="0" borderId="0" xfId="5" applyNumberFormat="1" applyFont="1" applyBorder="1"/>
    <xf numFmtId="179" fontId="0" fillId="0" borderId="0" xfId="0" applyNumberFormat="1"/>
    <xf numFmtId="165" fontId="0" fillId="0" borderId="0" xfId="5" applyNumberFormat="1" applyFont="1"/>
    <xf numFmtId="187" fontId="10" fillId="0" borderId="10" xfId="0" applyNumberFormat="1" applyFont="1" applyBorder="1"/>
    <xf numFmtId="187" fontId="3" fillId="0" borderId="11" xfId="0" applyNumberFormat="1" applyFont="1" applyBorder="1"/>
    <xf numFmtId="0" fontId="21" fillId="0" borderId="0" xfId="0" applyFont="1" applyAlignment="1">
      <alignment horizontal="left"/>
    </xf>
    <xf numFmtId="176" fontId="28" fillId="0" borderId="0" xfId="6" applyNumberFormat="1" applyFont="1" applyAlignment="1">
      <alignment horizontal="left"/>
    </xf>
    <xf numFmtId="9" fontId="0" fillId="0" borderId="1" xfId="2" applyFont="1" applyBorder="1"/>
    <xf numFmtId="43" fontId="3" fillId="0" borderId="0" xfId="2" applyNumberFormat="1" applyFont="1" applyBorder="1"/>
    <xf numFmtId="168" fontId="18" fillId="0" borderId="0" xfId="1" applyNumberFormat="1" applyFont="1" applyBorder="1"/>
    <xf numFmtId="168" fontId="20" fillId="0" borderId="0" xfId="1" applyNumberFormat="1" applyFont="1" applyBorder="1"/>
    <xf numFmtId="188" fontId="20" fillId="0" borderId="0" xfId="0" applyNumberFormat="1" applyFont="1"/>
    <xf numFmtId="168" fontId="20" fillId="0" borderId="15" xfId="0" applyNumberFormat="1" applyFont="1" applyBorder="1"/>
    <xf numFmtId="188" fontId="18" fillId="0" borderId="0" xfId="0" applyNumberFormat="1" applyFont="1"/>
    <xf numFmtId="168" fontId="20" fillId="0" borderId="0" xfId="0" applyNumberFormat="1" applyFont="1"/>
    <xf numFmtId="43" fontId="18" fillId="0" borderId="0" xfId="1" applyFont="1" applyFill="1" applyBorder="1"/>
    <xf numFmtId="168" fontId="18" fillId="0" borderId="0" xfId="0" applyNumberFormat="1" applyFont="1"/>
    <xf numFmtId="189" fontId="20" fillId="0" borderId="0" xfId="3" applyNumberFormat="1" applyFont="1"/>
    <xf numFmtId="189" fontId="18" fillId="0" borderId="0" xfId="3" applyNumberFormat="1" applyFont="1"/>
    <xf numFmtId="168" fontId="20" fillId="0" borderId="0" xfId="1" applyNumberFormat="1" applyFont="1" applyFill="1" applyBorder="1"/>
    <xf numFmtId="168" fontId="20" fillId="0" borderId="10" xfId="1" applyNumberFormat="1" applyFont="1" applyFill="1" applyBorder="1"/>
    <xf numFmtId="6" fontId="64" fillId="0" borderId="0" xfId="0" applyNumberFormat="1" applyFont="1"/>
    <xf numFmtId="187" fontId="0" fillId="0" borderId="0" xfId="0" applyNumberFormat="1"/>
    <xf numFmtId="165" fontId="39" fillId="0" borderId="10" xfId="0" applyNumberFormat="1" applyFont="1" applyBorder="1"/>
    <xf numFmtId="187" fontId="2" fillId="0" borderId="10" xfId="0" applyNumberFormat="1" applyFont="1" applyBorder="1"/>
    <xf numFmtId="168" fontId="2" fillId="0" borderId="0" xfId="0" applyNumberFormat="1" applyFont="1"/>
    <xf numFmtId="181" fontId="0" fillId="0" borderId="0" xfId="0" applyNumberFormat="1"/>
    <xf numFmtId="165" fontId="65" fillId="0" borderId="0" xfId="2" applyNumberFormat="1" applyFont="1" applyBorder="1"/>
    <xf numFmtId="167" fontId="0" fillId="0" borderId="0" xfId="0" applyNumberFormat="1"/>
    <xf numFmtId="190" fontId="0" fillId="0" borderId="0" xfId="0" applyNumberFormat="1"/>
    <xf numFmtId="168" fontId="0" fillId="0" borderId="0" xfId="0" applyNumberFormat="1"/>
    <xf numFmtId="187" fontId="37" fillId="0" borderId="10" xfId="0" applyNumberFormat="1" applyFont="1" applyBorder="1"/>
    <xf numFmtId="165" fontId="39" fillId="0" borderId="0" xfId="2" applyNumberFormat="1" applyFont="1" applyBorder="1"/>
    <xf numFmtId="187" fontId="3" fillId="0" borderId="0" xfId="0" applyNumberFormat="1" applyFont="1"/>
    <xf numFmtId="9" fontId="34" fillId="0" borderId="0" xfId="2" applyFont="1" applyFill="1" applyBorder="1"/>
    <xf numFmtId="176" fontId="26" fillId="5" borderId="0" xfId="6" applyNumberFormat="1" applyFont="1" applyFill="1"/>
    <xf numFmtId="165" fontId="66" fillId="0" borderId="1" xfId="2" applyNumberFormat="1" applyFont="1" applyBorder="1"/>
    <xf numFmtId="165" fontId="66" fillId="0" borderId="0" xfId="2" applyNumberFormat="1" applyFont="1" applyBorder="1"/>
    <xf numFmtId="165" fontId="66" fillId="0" borderId="0" xfId="0" applyNumberFormat="1" applyFont="1"/>
    <xf numFmtId="0" fontId="64" fillId="0" borderId="0" xfId="0" applyFont="1"/>
    <xf numFmtId="9" fontId="67" fillId="0" borderId="1" xfId="2" applyFont="1" applyBorder="1"/>
    <xf numFmtId="165" fontId="67" fillId="0" borderId="0" xfId="2" applyNumberFormat="1" applyFont="1" applyBorder="1"/>
    <xf numFmtId="37" fontId="64" fillId="0" borderId="0" xfId="0" applyNumberFormat="1" applyFont="1"/>
    <xf numFmtId="9" fontId="67" fillId="0" borderId="0" xfId="2" applyFont="1" applyFill="1" applyBorder="1"/>
    <xf numFmtId="164" fontId="2" fillId="0" borderId="0" xfId="1" applyNumberFormat="1" applyFont="1" applyBorder="1"/>
    <xf numFmtId="191" fontId="0" fillId="0" borderId="0" xfId="0" applyNumberFormat="1"/>
    <xf numFmtId="165" fontId="67" fillId="0" borderId="0" xfId="2" applyNumberFormat="1" applyFont="1" applyFill="1" applyBorder="1"/>
    <xf numFmtId="168" fontId="2" fillId="0" borderId="1" xfId="1" applyNumberFormat="1" applyFont="1" applyBorder="1"/>
    <xf numFmtId="0" fontId="64" fillId="0" borderId="1" xfId="0" applyFont="1" applyBorder="1"/>
    <xf numFmtId="168" fontId="5" fillId="3" borderId="1" xfId="1" applyNumberFormat="1" applyFont="1" applyFill="1" applyBorder="1"/>
    <xf numFmtId="9" fontId="12" fillId="0" borderId="0" xfId="2" applyFont="1" applyBorder="1"/>
    <xf numFmtId="0" fontId="20" fillId="0" borderId="0" xfId="3" applyFont="1" applyAlignment="1">
      <alignment horizontal="center"/>
    </xf>
    <xf numFmtId="0" fontId="20" fillId="0" borderId="0" xfId="3" applyFont="1" applyAlignment="1">
      <alignment horizontal="left"/>
    </xf>
    <xf numFmtId="43" fontId="20" fillId="0" borderId="0" xfId="3" applyNumberFormat="1" applyFont="1" applyAlignment="1">
      <alignment horizontal="left"/>
    </xf>
    <xf numFmtId="164" fontId="20" fillId="0" borderId="0" xfId="3" applyNumberFormat="1" applyFont="1" applyAlignment="1">
      <alignment horizontal="left"/>
    </xf>
    <xf numFmtId="0" fontId="48" fillId="6" borderId="24" xfId="0" quotePrefix="1" applyFont="1" applyFill="1" applyBorder="1" applyAlignment="1">
      <alignment horizontal="center"/>
    </xf>
    <xf numFmtId="0" fontId="48" fillId="6" borderId="15" xfId="0" quotePrefix="1" applyFont="1" applyFill="1" applyBorder="1" applyAlignment="1">
      <alignment horizontal="center"/>
    </xf>
    <xf numFmtId="0" fontId="48" fillId="6" borderId="25" xfId="0" quotePrefix="1" applyFont="1" applyFill="1" applyBorder="1" applyAlignment="1">
      <alignment horizontal="center"/>
    </xf>
    <xf numFmtId="0" fontId="54" fillId="6" borderId="0" xfId="0" applyFont="1" applyFill="1" applyAlignment="1">
      <alignment horizontal="center"/>
    </xf>
    <xf numFmtId="9" fontId="0" fillId="0" borderId="1" xfId="0" applyNumberFormat="1" applyBorder="1"/>
  </cellXfs>
  <cellStyles count="10">
    <cellStyle name="Comma" xfId="1" builtinId="3"/>
    <cellStyle name="Currency" xfId="8" builtinId="4"/>
    <cellStyle name="Currency 5 2" xfId="4" xr:uid="{C830083E-C1EF-4689-AFC4-0C0DA5E8DCFF}"/>
    <cellStyle name="Normal" xfId="0" builtinId="0"/>
    <cellStyle name="Normal 11 13" xfId="6" xr:uid="{6A9FE014-D3C8-4D16-9E68-E5E09916CCF0}"/>
    <cellStyle name="Normal 3" xfId="9" xr:uid="{0C884059-BEEA-49DB-BE88-0143B3AF759E}"/>
    <cellStyle name="Normal_GIGM test" xfId="3" xr:uid="{06F4917D-3240-47E3-949F-4139839916B1}"/>
    <cellStyle name="Percent" xfId="2" builtinId="5"/>
    <cellStyle name="Percent 10" xfId="5" xr:uid="{D191AB25-A0E2-4C26-97F7-67FD3BBC9B40}"/>
    <cellStyle name="Percent 11 5" xfId="7" xr:uid="{161327E5-6D44-4499-AFFA-42FDE3C9BA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ymail.thinkequity.com/Documents%20and%20Settings/tmadda/Local%20Settings/Temporary%20Internet%20Files/OLK2/Companies/cmrc/Model/cmr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lfile01\Users\Documents%20and%20Settings\admin\My%20Documents\Stew's%20Portfolio\Suresh\XPRT\AMAT%20-%20XPR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lfile01\Users\Research\Sbalaraman\Stks\NVL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ssumptions"/>
      <sheetName val="Income Statement"/>
      <sheetName val="Balance Sheet"/>
      <sheetName val="Quickview"/>
      <sheetName val="Estimate Changes"/>
      <sheetName val="Report Statistics"/>
      <sheetName val="Universe"/>
      <sheetName val="Competitors"/>
      <sheetName val="Calculations"/>
      <sheetName val="Macros"/>
    </sheetNames>
    <sheetDataSet>
      <sheetData sheetId="0"/>
      <sheetData sheetId="1"/>
      <sheetData sheetId="2">
        <row r="3">
          <cell r="D3" t="str">
            <v>N</v>
          </cell>
          <cell r="E3" t="str">
            <v>N</v>
          </cell>
          <cell r="F3" t="str">
            <v>N</v>
          </cell>
          <cell r="G3" t="str">
            <v>N</v>
          </cell>
          <cell r="H3" t="str">
            <v>N</v>
          </cell>
          <cell r="I3" t="str">
            <v>N</v>
          </cell>
          <cell r="J3" t="str">
            <v>N</v>
          </cell>
          <cell r="K3" t="str">
            <v>N</v>
          </cell>
          <cell r="L3" t="str">
            <v>T</v>
          </cell>
          <cell r="M3" t="str">
            <v>N</v>
          </cell>
          <cell r="N3" t="str">
            <v>N</v>
          </cell>
          <cell r="O3" t="str">
            <v>N</v>
          </cell>
          <cell r="P3" t="str">
            <v>N</v>
          </cell>
          <cell r="Q3" t="str">
            <v>N</v>
          </cell>
          <cell r="R3" t="str">
            <v>N</v>
          </cell>
          <cell r="S3" t="str">
            <v>N</v>
          </cell>
          <cell r="T3" t="str">
            <v>N</v>
          </cell>
          <cell r="U3" t="str">
            <v>T</v>
          </cell>
          <cell r="V3" t="str">
            <v>N</v>
          </cell>
          <cell r="W3" t="str">
            <v>N</v>
          </cell>
          <cell r="X3" t="str">
            <v>N</v>
          </cell>
          <cell r="Y3" t="str">
            <v>N</v>
          </cell>
          <cell r="Z3" t="str">
            <v>N</v>
          </cell>
          <cell r="AA3" t="str">
            <v>N</v>
          </cell>
          <cell r="AB3" t="str">
            <v>N</v>
          </cell>
          <cell r="AC3" t="str">
            <v>Y</v>
          </cell>
          <cell r="AD3" t="str">
            <v>T</v>
          </cell>
          <cell r="AE3" t="str">
            <v>N</v>
          </cell>
          <cell r="AF3" t="str">
            <v>P</v>
          </cell>
          <cell r="AG3" t="str">
            <v>N</v>
          </cell>
          <cell r="AH3" t="str">
            <v>P</v>
          </cell>
          <cell r="AI3" t="str">
            <v>N</v>
          </cell>
          <cell r="AJ3" t="str">
            <v>P</v>
          </cell>
          <cell r="AK3" t="str">
            <v>N</v>
          </cell>
          <cell r="AL3" t="str">
            <v>P</v>
          </cell>
          <cell r="AM3" t="str">
            <v>T</v>
          </cell>
          <cell r="AN3" t="str">
            <v>N</v>
          </cell>
          <cell r="AO3" t="str">
            <v>P</v>
          </cell>
          <cell r="AP3" t="str">
            <v>N</v>
          </cell>
          <cell r="AQ3" t="str">
            <v>P</v>
          </cell>
          <cell r="AR3" t="str">
            <v>N</v>
          </cell>
          <cell r="AS3" t="str">
            <v>P</v>
          </cell>
          <cell r="AT3" t="str">
            <v>N</v>
          </cell>
          <cell r="AU3" t="str">
            <v>P</v>
          </cell>
          <cell r="AV3" t="str">
            <v>T</v>
          </cell>
          <cell r="AW3" t="str">
            <v>N</v>
          </cell>
          <cell r="AX3" t="str">
            <v>P</v>
          </cell>
          <cell r="AY3" t="str">
            <v>N</v>
          </cell>
          <cell r="AZ3" t="str">
            <v>P</v>
          </cell>
          <cell r="BA3" t="str">
            <v>N</v>
          </cell>
          <cell r="BB3" t="str">
            <v>P</v>
          </cell>
          <cell r="BC3" t="str">
            <v>N</v>
          </cell>
          <cell r="BD3" t="str">
            <v>P</v>
          </cell>
          <cell r="BE3" t="str">
            <v>T</v>
          </cell>
        </row>
        <row r="4">
          <cell r="D4" t="str">
            <v>Y1Q1E</v>
          </cell>
          <cell r="E4" t="str">
            <v>Y1Q1A</v>
          </cell>
          <cell r="F4" t="str">
            <v>Y1Q2E</v>
          </cell>
          <cell r="G4" t="str">
            <v>Y1Q2A</v>
          </cell>
          <cell r="H4" t="str">
            <v>Y1Q3E</v>
          </cell>
          <cell r="I4" t="str">
            <v>Y1Q3A</v>
          </cell>
          <cell r="J4" t="str">
            <v>Y1Q4E</v>
          </cell>
          <cell r="K4" t="str">
            <v>Y1Q4A</v>
          </cell>
          <cell r="L4" t="str">
            <v>Y1T</v>
          </cell>
          <cell r="M4" t="str">
            <v>Y2Q1E</v>
          </cell>
          <cell r="N4" t="str">
            <v>Y2Q1A</v>
          </cell>
          <cell r="O4" t="str">
            <v>Y2Q2E</v>
          </cell>
          <cell r="P4" t="str">
            <v>Y2Q2A</v>
          </cell>
          <cell r="Q4" t="str">
            <v>Y2Q3E</v>
          </cell>
          <cell r="R4" t="str">
            <v>Y2Q3A</v>
          </cell>
          <cell r="S4" t="str">
            <v>Y2Q4E</v>
          </cell>
          <cell r="T4" t="str">
            <v>Y2Q4A</v>
          </cell>
          <cell r="U4" t="str">
            <v>Y2T</v>
          </cell>
          <cell r="V4" t="str">
            <v>Y3Q1E</v>
          </cell>
          <cell r="W4" t="str">
            <v>Y3Q1A</v>
          </cell>
          <cell r="X4" t="str">
            <v>Y3Q2E</v>
          </cell>
          <cell r="Y4" t="str">
            <v>Y3Q2A</v>
          </cell>
          <cell r="Z4" t="str">
            <v>Y3Q3E</v>
          </cell>
          <cell r="AA4" t="str">
            <v>Y3Q3A</v>
          </cell>
          <cell r="AB4" t="str">
            <v>Y3Q4E</v>
          </cell>
          <cell r="AC4" t="str">
            <v>Y3Q4A</v>
          </cell>
          <cell r="AD4" t="str">
            <v>Y3T</v>
          </cell>
          <cell r="AE4" t="str">
            <v>Y4Q1E</v>
          </cell>
          <cell r="AF4" t="str">
            <v>Y4Q1A</v>
          </cell>
          <cell r="AG4" t="str">
            <v>Y4Q2E</v>
          </cell>
          <cell r="AH4" t="str">
            <v>Y4Q2A</v>
          </cell>
          <cell r="AI4" t="str">
            <v>Y4Q3E</v>
          </cell>
          <cell r="AJ4" t="str">
            <v>Y4Q3A</v>
          </cell>
          <cell r="AK4" t="str">
            <v>Y4Q4E</v>
          </cell>
          <cell r="AL4" t="str">
            <v>Y4Q4A</v>
          </cell>
          <cell r="AM4" t="str">
            <v>Y4T</v>
          </cell>
          <cell r="AN4" t="str">
            <v>Y5Q1E</v>
          </cell>
          <cell r="AO4" t="str">
            <v>Y5Q1A</v>
          </cell>
          <cell r="AP4" t="str">
            <v>Y5Q2E</v>
          </cell>
          <cell r="AQ4" t="str">
            <v>Y5Q2A</v>
          </cell>
          <cell r="AR4" t="str">
            <v>Y5Q3E</v>
          </cell>
          <cell r="AS4" t="str">
            <v>Y5Q3A</v>
          </cell>
          <cell r="AT4" t="str">
            <v>Y5Q4E</v>
          </cell>
          <cell r="AU4" t="str">
            <v>Y5Q4A</v>
          </cell>
          <cell r="AV4" t="str">
            <v>Y5T</v>
          </cell>
          <cell r="AW4" t="str">
            <v>Y6Q1E</v>
          </cell>
          <cell r="AX4" t="str">
            <v>Y6Q1A</v>
          </cell>
          <cell r="AY4" t="str">
            <v>Y6Q2E</v>
          </cell>
          <cell r="AZ4" t="str">
            <v>Y6Q2A</v>
          </cell>
          <cell r="BA4" t="str">
            <v>Y6Q3E</v>
          </cell>
          <cell r="BB4" t="str">
            <v>Y6Q3A</v>
          </cell>
          <cell r="BC4" t="str">
            <v>Y6Q4E</v>
          </cell>
          <cell r="BD4" t="str">
            <v>Y6Q4A</v>
          </cell>
          <cell r="BE4" t="str">
            <v>Y6T</v>
          </cell>
        </row>
        <row r="6">
          <cell r="D6">
            <v>35885</v>
          </cell>
          <cell r="E6">
            <v>35885</v>
          </cell>
          <cell r="F6">
            <v>35976</v>
          </cell>
          <cell r="G6">
            <v>35976</v>
          </cell>
          <cell r="H6">
            <v>36068</v>
          </cell>
          <cell r="I6">
            <v>36068</v>
          </cell>
          <cell r="J6">
            <v>36160</v>
          </cell>
          <cell r="K6">
            <v>36160</v>
          </cell>
          <cell r="L6">
            <v>36160</v>
          </cell>
          <cell r="M6">
            <v>36250</v>
          </cell>
          <cell r="N6">
            <v>36250</v>
          </cell>
          <cell r="O6">
            <v>36341</v>
          </cell>
          <cell r="P6">
            <v>36341</v>
          </cell>
          <cell r="Q6">
            <v>36433</v>
          </cell>
          <cell r="R6">
            <v>36433</v>
          </cell>
          <cell r="S6">
            <v>36525</v>
          </cell>
          <cell r="T6">
            <v>36525</v>
          </cell>
          <cell r="U6">
            <v>36525</v>
          </cell>
          <cell r="V6">
            <v>36616</v>
          </cell>
          <cell r="W6">
            <v>36616</v>
          </cell>
          <cell r="X6">
            <v>36707</v>
          </cell>
          <cell r="Y6">
            <v>36707</v>
          </cell>
          <cell r="Z6">
            <v>36799</v>
          </cell>
          <cell r="AA6">
            <v>36799</v>
          </cell>
          <cell r="AB6">
            <v>36891</v>
          </cell>
          <cell r="AC6">
            <v>36891</v>
          </cell>
          <cell r="AD6">
            <v>36891</v>
          </cell>
          <cell r="AE6">
            <v>36981</v>
          </cell>
          <cell r="AF6">
            <v>36981</v>
          </cell>
          <cell r="AG6">
            <v>37072</v>
          </cell>
          <cell r="AH6">
            <v>37072</v>
          </cell>
          <cell r="AI6">
            <v>37164</v>
          </cell>
          <cell r="AJ6">
            <v>37164</v>
          </cell>
          <cell r="AK6">
            <v>37256</v>
          </cell>
          <cell r="AL6">
            <v>37256</v>
          </cell>
          <cell r="AM6">
            <v>37256</v>
          </cell>
          <cell r="AN6">
            <v>37346</v>
          </cell>
          <cell r="AO6">
            <v>37346</v>
          </cell>
          <cell r="AP6">
            <v>37437</v>
          </cell>
          <cell r="AQ6">
            <v>37437</v>
          </cell>
          <cell r="AR6">
            <v>37529</v>
          </cell>
          <cell r="AS6">
            <v>37529</v>
          </cell>
          <cell r="AT6">
            <v>37621</v>
          </cell>
          <cell r="AU6">
            <v>37621</v>
          </cell>
          <cell r="AV6">
            <v>37621</v>
          </cell>
          <cell r="AW6">
            <v>37711</v>
          </cell>
          <cell r="AX6">
            <v>37711</v>
          </cell>
          <cell r="AY6">
            <v>37802</v>
          </cell>
          <cell r="AZ6">
            <v>37802</v>
          </cell>
          <cell r="BA6">
            <v>37894</v>
          </cell>
          <cell r="BB6">
            <v>37894</v>
          </cell>
          <cell r="BC6">
            <v>37986</v>
          </cell>
          <cell r="BD6">
            <v>37986</v>
          </cell>
          <cell r="BE6">
            <v>37986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PRT New"/>
      <sheetName val="AMAT_Balance"/>
      <sheetName val="AMAT_CFlow"/>
      <sheetName val="Cap IQ Formulas"/>
      <sheetName val="Revenue Model"/>
      <sheetName val="AMAT_Income"/>
      <sheetName val="Sheet1"/>
      <sheetName val="ModelToWizard"/>
      <sheetName val="XPRT"/>
      <sheetName val="Chart1"/>
      <sheetName val="Quarterly Figures"/>
      <sheetName val="AMAT_FC"/>
      <sheetName val="AMAT_Q"/>
      <sheetName val="Earnings Report"/>
      <sheetName val="AMAT_EPS"/>
      <sheetName val="Partners Upload Sheet"/>
      <sheetName val="__FDSCACHE__"/>
      <sheetName val="Competitors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ToWizard"/>
      <sheetName val="XPRT"/>
      <sheetName val="Sheet1"/>
      <sheetName val="Revenue Model"/>
      <sheetName val="NVLS_FC"/>
      <sheetName val="NVLS_Eps"/>
      <sheetName val="NVLS_Q"/>
      <sheetName val="NVLS_Income"/>
      <sheetName val="NVLS_Balance"/>
      <sheetName val="__FDSCACHE__"/>
      <sheetName val="NVLS_CFlow"/>
      <sheetName val="Chart_Data"/>
      <sheetName val="Earnings Report"/>
      <sheetName val="Admin"/>
      <sheetName val="Module2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G11">
            <v>0.10651732279141272</v>
          </cell>
        </row>
        <row r="15">
          <cell r="G15">
            <v>136.08802571917045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3C715-CE63-4626-A80F-F2DB0D7EF2DF}">
  <sheetPr>
    <pageSetUpPr fitToPage="1"/>
  </sheetPr>
  <dimension ref="B2:O45"/>
  <sheetViews>
    <sheetView showGridLines="0" topLeftCell="A3" workbookViewId="0">
      <selection activeCell="A4" sqref="A4"/>
    </sheetView>
  </sheetViews>
  <sheetFormatPr defaultColWidth="9.140625" defaultRowHeight="14.25"/>
  <cols>
    <col min="1" max="1" width="9.140625" style="52"/>
    <col min="2" max="2" width="3.140625" style="52" customWidth="1"/>
    <col min="3" max="3" width="31.5703125" style="52" customWidth="1"/>
    <col min="4" max="4" width="9.85546875" style="52" bestFit="1" customWidth="1"/>
    <col min="5" max="5" width="10.5703125" style="52" bestFit="1" customWidth="1"/>
    <col min="6" max="6" width="12.7109375" style="52" bestFit="1" customWidth="1"/>
    <col min="7" max="8" width="10.5703125" style="52" bestFit="1" customWidth="1"/>
    <col min="9" max="9" width="12.7109375" style="52" bestFit="1" customWidth="1"/>
    <col min="10" max="10" width="9.85546875" style="52" bestFit="1" customWidth="1"/>
    <col min="11" max="11" width="10.5703125" style="52" bestFit="1" customWidth="1"/>
    <col min="12" max="12" width="11.5703125" style="52" bestFit="1" customWidth="1"/>
    <col min="13" max="13" width="11.5703125" style="52" customWidth="1"/>
    <col min="14" max="16384" width="9.140625" style="52"/>
  </cols>
  <sheetData>
    <row r="2" spans="2:15" ht="15">
      <c r="B2" s="50" t="s">
        <v>188</v>
      </c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2:15" ht="15" thickBot="1">
      <c r="B3" s="51"/>
      <c r="C3" s="51"/>
      <c r="D3" s="408" t="s">
        <v>68</v>
      </c>
      <c r="E3" s="408"/>
      <c r="F3" s="51"/>
      <c r="G3" s="408" t="s">
        <v>69</v>
      </c>
      <c r="H3" s="408"/>
      <c r="I3" s="51"/>
      <c r="J3" s="408" t="s">
        <v>70</v>
      </c>
      <c r="K3" s="408"/>
      <c r="L3" s="51"/>
      <c r="M3" s="408"/>
      <c r="N3" s="408"/>
    </row>
    <row r="4" spans="2:15" ht="15.75" thickBot="1">
      <c r="B4" s="157" t="s">
        <v>71</v>
      </c>
      <c r="C4" s="158"/>
      <c r="D4" s="159" t="s">
        <v>357</v>
      </c>
      <c r="E4" s="159" t="str">
        <f>K4</f>
        <v>4Q25</v>
      </c>
      <c r="F4" s="159" t="s">
        <v>72</v>
      </c>
      <c r="G4" s="159" t="s">
        <v>373</v>
      </c>
      <c r="H4" s="159" t="str">
        <f>K4</f>
        <v>4Q25</v>
      </c>
      <c r="I4" s="159" t="s">
        <v>72</v>
      </c>
      <c r="J4" s="159" t="s">
        <v>151</v>
      </c>
      <c r="K4" s="159" t="s">
        <v>382</v>
      </c>
      <c r="L4" s="160" t="s">
        <v>72</v>
      </c>
      <c r="M4" s="409"/>
      <c r="N4" s="409"/>
    </row>
    <row r="5" spans="2:15" ht="15">
      <c r="B5" s="53" t="s">
        <v>11</v>
      </c>
      <c r="C5" s="54"/>
      <c r="D5" s="366">
        <f>IS!AF15</f>
        <v>200.68</v>
      </c>
      <c r="E5" s="366">
        <f>K5</f>
        <v>367.21100000000001</v>
      </c>
      <c r="F5" s="56">
        <f>E5/D5-1</f>
        <v>0.82983356587602142</v>
      </c>
      <c r="G5" s="366">
        <v>334.20600000000002</v>
      </c>
      <c r="H5" s="366">
        <f>K5</f>
        <v>367.21100000000001</v>
      </c>
      <c r="I5" s="56">
        <f t="shared" ref="I5:I42" si="0">H5/G5-1</f>
        <v>9.8756455599241066E-2</v>
      </c>
      <c r="J5" s="366">
        <v>360.44908049569995</v>
      </c>
      <c r="K5" s="366">
        <f>IS!AK15</f>
        <v>367.21100000000001</v>
      </c>
      <c r="L5" s="57">
        <f t="shared" ref="L5:L42" si="1">K5/J5-1</f>
        <v>1.875970801479343E-2</v>
      </c>
      <c r="M5" s="58"/>
      <c r="N5" s="51"/>
    </row>
    <row r="6" spans="2:15">
      <c r="B6" s="59" t="s">
        <v>120</v>
      </c>
      <c r="C6" s="54"/>
      <c r="D6" s="367">
        <f>IS!AF9</f>
        <v>120.434</v>
      </c>
      <c r="E6" s="367">
        <f t="shared" ref="E6:E7" si="2">K6</f>
        <v>266.85599999999999</v>
      </c>
      <c r="F6" s="56">
        <f t="shared" ref="F6:F7" si="3">E6/D6-1</f>
        <v>1.2157862397661789</v>
      </c>
      <c r="G6" s="367">
        <v>252.87799999999999</v>
      </c>
      <c r="H6" s="367">
        <f t="shared" ref="H6:H7" si="4">K6</f>
        <v>266.85599999999999</v>
      </c>
      <c r="I6" s="56">
        <f t="shared" si="0"/>
        <v>5.5275666526941825E-2</v>
      </c>
      <c r="J6" s="367">
        <v>258.65223911249996</v>
      </c>
      <c r="K6" s="367">
        <f>IS!AK9</f>
        <v>266.85599999999999</v>
      </c>
      <c r="L6" s="57">
        <f t="shared" si="1"/>
        <v>3.1717339527580268E-2</v>
      </c>
      <c r="M6" s="58"/>
      <c r="N6" s="51"/>
    </row>
    <row r="7" spans="2:15">
      <c r="B7" s="59" t="s">
        <v>304</v>
      </c>
      <c r="C7" s="54"/>
      <c r="D7" s="367">
        <f>IS!AF12</f>
        <v>80.245999999999995</v>
      </c>
      <c r="E7" s="367">
        <f t="shared" si="2"/>
        <v>100.355</v>
      </c>
      <c r="F7" s="56">
        <f t="shared" si="3"/>
        <v>0.25059192981581657</v>
      </c>
      <c r="G7" s="367">
        <v>81.328000000000003</v>
      </c>
      <c r="H7" s="367">
        <f t="shared" si="4"/>
        <v>100.355</v>
      </c>
      <c r="I7" s="56">
        <f t="shared" si="0"/>
        <v>0.23395386582726729</v>
      </c>
      <c r="J7" s="367">
        <v>101.79684138319999</v>
      </c>
      <c r="K7" s="367">
        <f>IS!AK12</f>
        <v>100.355</v>
      </c>
      <c r="L7" s="57">
        <f t="shared" si="1"/>
        <v>-1.4163910820890524E-2</v>
      </c>
      <c r="M7" s="58"/>
      <c r="N7" s="51"/>
    </row>
    <row r="8" spans="2:15">
      <c r="B8" s="59"/>
      <c r="C8" s="54"/>
      <c r="D8" s="367"/>
      <c r="E8" s="367"/>
      <c r="F8" s="56"/>
      <c r="G8" s="367"/>
      <c r="H8" s="367"/>
      <c r="I8" s="56"/>
      <c r="J8" s="367"/>
      <c r="K8" s="367"/>
      <c r="L8" s="57"/>
      <c r="M8" s="58"/>
      <c r="N8" s="60"/>
    </row>
    <row r="9" spans="2:15">
      <c r="B9" s="59" t="s">
        <v>73</v>
      </c>
      <c r="C9" s="54"/>
      <c r="D9" s="367">
        <f>IS!AF23</f>
        <v>76.521000000000001</v>
      </c>
      <c r="E9" s="367">
        <f t="shared" ref="E9:E11" si="5">K9</f>
        <v>126.384</v>
      </c>
      <c r="F9" s="56">
        <f t="shared" ref="F9:F11" si="6">E9/D9-1</f>
        <v>0.65162504410553956</v>
      </c>
      <c r="G9" s="367">
        <v>121.64099999999999</v>
      </c>
      <c r="H9" s="367">
        <f t="shared" ref="H9:H11" si="7">K9</f>
        <v>126.384</v>
      </c>
      <c r="I9" s="56">
        <f t="shared" ref="I9:I11" si="8">H9/G9-1</f>
        <v>3.8991787308555681E-2</v>
      </c>
      <c r="J9" s="367">
        <v>128.64999580207001</v>
      </c>
      <c r="K9" s="367">
        <f>IS!AK23</f>
        <v>126.384</v>
      </c>
      <c r="L9" s="57">
        <f t="shared" ref="L9:L11" si="9">K9/J9-1</f>
        <v>-1.761364847268454E-2</v>
      </c>
      <c r="M9" s="58"/>
      <c r="N9" s="60"/>
    </row>
    <row r="10" spans="2:15" ht="15">
      <c r="B10" s="61" t="s">
        <v>20</v>
      </c>
      <c r="C10" s="62"/>
      <c r="D10" s="366">
        <f>IS!AF25</f>
        <v>124.15900000000001</v>
      </c>
      <c r="E10" s="366">
        <f t="shared" si="5"/>
        <v>240.827</v>
      </c>
      <c r="F10" s="56">
        <f t="shared" si="6"/>
        <v>0.93966607334144103</v>
      </c>
      <c r="G10" s="366">
        <v>212.56500000000003</v>
      </c>
      <c r="H10" s="366">
        <f t="shared" si="7"/>
        <v>240.827</v>
      </c>
      <c r="I10" s="56">
        <f t="shared" si="8"/>
        <v>0.13295697786559391</v>
      </c>
      <c r="J10" s="366">
        <v>231.79908469362994</v>
      </c>
      <c r="K10" s="366">
        <f>IS!AK25</f>
        <v>240.827</v>
      </c>
      <c r="L10" s="57">
        <f t="shared" si="9"/>
        <v>3.8947156837578989E-2</v>
      </c>
      <c r="M10" s="58"/>
      <c r="N10" s="60"/>
    </row>
    <row r="11" spans="2:15">
      <c r="B11" s="63"/>
      <c r="C11" s="64" t="s">
        <v>34</v>
      </c>
      <c r="D11" s="65">
        <f>IS!AF26</f>
        <v>0.61869144907315132</v>
      </c>
      <c r="E11" s="65">
        <f t="shared" si="5"/>
        <v>0.65582730364831121</v>
      </c>
      <c r="F11" s="66">
        <f t="shared" si="6"/>
        <v>6.0023222610870564E-2</v>
      </c>
      <c r="G11" s="65">
        <v>0.63602987379041676</v>
      </c>
      <c r="H11" s="65">
        <f t="shared" si="7"/>
        <v>0.65582730364831121</v>
      </c>
      <c r="I11" s="66">
        <f t="shared" si="8"/>
        <v>3.1126572310057998E-2</v>
      </c>
      <c r="J11" s="65">
        <v>0.64308413375573925</v>
      </c>
      <c r="K11" s="65">
        <f>IS!AK26</f>
        <v>0.65582730364831121</v>
      </c>
      <c r="L11" s="67">
        <f t="shared" si="9"/>
        <v>1.9815711854293871E-2</v>
      </c>
      <c r="M11" s="68"/>
      <c r="N11" s="153"/>
      <c r="O11" s="69"/>
    </row>
    <row r="12" spans="2:15" ht="15">
      <c r="B12" s="41"/>
      <c r="C12" s="70"/>
      <c r="D12" s="55"/>
      <c r="E12" s="55"/>
      <c r="F12" s="56"/>
      <c r="G12" s="55"/>
      <c r="H12" s="55"/>
      <c r="I12" s="56"/>
      <c r="J12" s="55"/>
      <c r="K12" s="55"/>
      <c r="L12" s="57"/>
      <c r="M12" s="60"/>
      <c r="N12" s="60"/>
    </row>
    <row r="13" spans="2:15" ht="15">
      <c r="B13" s="53" t="s">
        <v>35</v>
      </c>
      <c r="C13" s="62"/>
      <c r="D13" s="71"/>
      <c r="E13" s="71"/>
      <c r="F13" s="72"/>
      <c r="G13" s="71"/>
      <c r="H13" s="71"/>
      <c r="I13" s="72"/>
      <c r="J13" s="71"/>
      <c r="K13" s="71"/>
      <c r="L13" s="73"/>
      <c r="M13" s="409"/>
      <c r="N13" s="409"/>
    </row>
    <row r="14" spans="2:15">
      <c r="B14" s="59" t="s">
        <v>143</v>
      </c>
      <c r="C14" s="54"/>
      <c r="D14" s="368">
        <f>IS!AF29</f>
        <v>26.448</v>
      </c>
      <c r="E14" s="368">
        <f t="shared" ref="E14" si="10">H14</f>
        <v>32.966000000000001</v>
      </c>
      <c r="F14" s="72">
        <f t="shared" ref="F14:F34" si="11">E14/D14-1</f>
        <v>0.24644585601935876</v>
      </c>
      <c r="G14" s="368">
        <v>32.346000000000004</v>
      </c>
      <c r="H14" s="368">
        <f t="shared" ref="H14:H42" si="12">K14</f>
        <v>32.966000000000001</v>
      </c>
      <c r="I14" s="72">
        <f t="shared" si="0"/>
        <v>1.9167748716997446E-2</v>
      </c>
      <c r="J14" s="368">
        <v>32.260192704365146</v>
      </c>
      <c r="K14" s="368">
        <f>IS!AK29</f>
        <v>32.966000000000001</v>
      </c>
      <c r="L14" s="73">
        <f t="shared" si="1"/>
        <v>2.1878582750665121E-2</v>
      </c>
      <c r="M14" s="74"/>
      <c r="N14" s="51"/>
    </row>
    <row r="15" spans="2:15">
      <c r="B15" s="59" t="s">
        <v>144</v>
      </c>
      <c r="C15" s="54"/>
      <c r="D15" s="368">
        <f>IS!AF31</f>
        <v>26.004999999999999</v>
      </c>
      <c r="E15" s="368">
        <f t="shared" ref="E15:E42" si="13">K15</f>
        <v>45.302</v>
      </c>
      <c r="F15" s="72">
        <f t="shared" si="11"/>
        <v>0.74204960584502988</v>
      </c>
      <c r="G15" s="368">
        <v>41.536999999999999</v>
      </c>
      <c r="H15" s="368">
        <f t="shared" si="12"/>
        <v>45.302</v>
      </c>
      <c r="I15" s="72">
        <f t="shared" si="0"/>
        <v>9.0642078147194161E-2</v>
      </c>
      <c r="J15" s="368">
        <v>41.451644257005498</v>
      </c>
      <c r="K15" s="368">
        <f>IS!AK31</f>
        <v>45.302</v>
      </c>
      <c r="L15" s="73">
        <f t="shared" si="1"/>
        <v>9.2887889298716386E-2</v>
      </c>
      <c r="M15" s="74"/>
      <c r="N15" s="51"/>
    </row>
    <row r="16" spans="2:15">
      <c r="B16" s="59" t="s">
        <v>305</v>
      </c>
      <c r="C16" s="54"/>
      <c r="D16" s="368">
        <f>IS!AF33</f>
        <v>90.039000000000001</v>
      </c>
      <c r="E16" s="368">
        <f t="shared" si="13"/>
        <v>158.27800000000002</v>
      </c>
      <c r="F16" s="76">
        <f t="shared" si="11"/>
        <v>0.75788269527649144</v>
      </c>
      <c r="G16" s="368">
        <v>147.34399999999999</v>
      </c>
      <c r="H16" s="368">
        <f>K16</f>
        <v>158.27800000000002</v>
      </c>
      <c r="I16" s="76">
        <f t="shared" si="0"/>
        <v>7.420729720925201E-2</v>
      </c>
      <c r="J16" s="368">
        <v>147.42367392274127</v>
      </c>
      <c r="K16" s="368">
        <f>IS!AK33</f>
        <v>158.27800000000002</v>
      </c>
      <c r="L16" s="77">
        <f t="shared" si="1"/>
        <v>7.3626750632649784E-2</v>
      </c>
      <c r="M16" s="74"/>
      <c r="N16" s="51"/>
    </row>
    <row r="17" spans="2:14">
      <c r="B17" s="78" t="s">
        <v>74</v>
      </c>
      <c r="C17" s="79"/>
      <c r="D17" s="369">
        <f>IS!AF35</f>
        <v>142.49200000000002</v>
      </c>
      <c r="E17" s="369">
        <f t="shared" si="13"/>
        <v>236.54600000000002</v>
      </c>
      <c r="F17" s="80">
        <f t="shared" si="11"/>
        <v>0.66006512646324</v>
      </c>
      <c r="G17" s="369">
        <v>221.227</v>
      </c>
      <c r="H17" s="369">
        <f t="shared" si="12"/>
        <v>236.54600000000002</v>
      </c>
      <c r="I17" s="80">
        <f t="shared" si="0"/>
        <v>6.9245616493466056E-2</v>
      </c>
      <c r="J17" s="369">
        <v>221.13551088411191</v>
      </c>
      <c r="K17" s="369">
        <f>IS!AK35</f>
        <v>236.54600000000002</v>
      </c>
      <c r="L17" s="81">
        <f t="shared" si="1"/>
        <v>6.9687989297947395E-2</v>
      </c>
      <c r="M17" s="410">
        <f>K17-J17</f>
        <v>15.410489115888112</v>
      </c>
      <c r="N17" s="409"/>
    </row>
    <row r="18" spans="2:14">
      <c r="B18" s="82"/>
      <c r="C18" s="62"/>
      <c r="D18" s="75"/>
      <c r="E18" s="75"/>
      <c r="F18" s="84"/>
      <c r="G18" s="75"/>
      <c r="H18" s="75"/>
      <c r="I18" s="84"/>
      <c r="J18" s="75"/>
      <c r="K18" s="75"/>
      <c r="L18" s="85"/>
      <c r="M18" s="411"/>
      <c r="N18" s="409"/>
    </row>
    <row r="19" spans="2:14" ht="15">
      <c r="B19" s="61" t="s">
        <v>17</v>
      </c>
      <c r="C19" s="62"/>
      <c r="D19" s="373">
        <f>IS!AF37</f>
        <v>-18.333000000000013</v>
      </c>
      <c r="E19" s="373">
        <f t="shared" si="13"/>
        <v>4.2809999999999775</v>
      </c>
      <c r="F19" s="72">
        <f t="shared" si="11"/>
        <v>-1.2335133366061188</v>
      </c>
      <c r="G19" s="373">
        <v>-8.6619999999999777</v>
      </c>
      <c r="H19" s="373">
        <f t="shared" si="12"/>
        <v>4.2809999999999775</v>
      </c>
      <c r="I19" s="72">
        <f t="shared" si="0"/>
        <v>-1.4942276610482554</v>
      </c>
      <c r="J19" s="373">
        <v>10.663573809518027</v>
      </c>
      <c r="K19" s="373">
        <f>IS!AK37</f>
        <v>4.2809999999999775</v>
      </c>
      <c r="L19" s="73">
        <f>K19/J19-1</f>
        <v>-0.59853984447701114</v>
      </c>
      <c r="M19" s="411"/>
      <c r="N19" s="409"/>
    </row>
    <row r="20" spans="2:14">
      <c r="B20" s="87"/>
      <c r="C20" s="88" t="s">
        <v>18</v>
      </c>
      <c r="D20" s="89">
        <f>IS!AF38</f>
        <v>-9.1354395056806911E-2</v>
      </c>
      <c r="E20" s="89">
        <f t="shared" si="13"/>
        <v>1.1658147495581498E-2</v>
      </c>
      <c r="F20" s="84">
        <f t="shared" si="11"/>
        <v>-1.1276145224138598</v>
      </c>
      <c r="G20" s="89">
        <v>-2.5918146293004846E-2</v>
      </c>
      <c r="H20" s="89">
        <f t="shared" si="12"/>
        <v>1.1658147495581498E-2</v>
      </c>
      <c r="I20" s="84">
        <f t="shared" si="0"/>
        <v>-1.4498063775003833</v>
      </c>
      <c r="J20" s="89">
        <v>2.9584133755739296E-2</v>
      </c>
      <c r="K20" s="89">
        <f>IS!AK38</f>
        <v>1.1658147495581498E-2</v>
      </c>
      <c r="L20" s="85">
        <f t="shared" si="1"/>
        <v>-0.6059324368988892</v>
      </c>
      <c r="M20" s="409"/>
      <c r="N20" s="409"/>
    </row>
    <row r="21" spans="2:14">
      <c r="B21" s="87"/>
      <c r="C21" s="88"/>
      <c r="D21" s="83"/>
      <c r="E21" s="83"/>
      <c r="F21" s="84"/>
      <c r="G21" s="83"/>
      <c r="H21" s="83"/>
      <c r="I21" s="84"/>
      <c r="J21" s="83"/>
      <c r="K21" s="83"/>
      <c r="L21" s="85"/>
      <c r="M21" s="409"/>
      <c r="N21" s="409"/>
    </row>
    <row r="22" spans="2:14">
      <c r="B22" s="82" t="s">
        <v>75</v>
      </c>
      <c r="C22" s="88"/>
      <c r="D22" s="376">
        <f>IS!AF53</f>
        <v>34.902999999999999</v>
      </c>
      <c r="E22" s="376">
        <f t="shared" si="13"/>
        <v>65.325999999999993</v>
      </c>
      <c r="F22" s="90">
        <f t="shared" si="11"/>
        <v>0.87164427126608013</v>
      </c>
      <c r="G22" s="376">
        <v>52.333999999999996</v>
      </c>
      <c r="H22" s="376">
        <f t="shared" si="12"/>
        <v>65.325999999999993</v>
      </c>
      <c r="I22" s="90">
        <f t="shared" si="0"/>
        <v>0.24825161462911294</v>
      </c>
      <c r="J22" s="376">
        <v>52.5</v>
      </c>
      <c r="K22" s="376">
        <f>IS!AK53</f>
        <v>65.325999999999993</v>
      </c>
      <c r="L22" s="91">
        <f t="shared" si="1"/>
        <v>0.2443047619047618</v>
      </c>
      <c r="M22" s="409"/>
      <c r="N22" s="409"/>
    </row>
    <row r="23" spans="2:14">
      <c r="B23" s="82"/>
      <c r="C23" s="88"/>
      <c r="D23" s="75"/>
      <c r="E23" s="75"/>
      <c r="F23" s="90"/>
      <c r="G23" s="75"/>
      <c r="H23" s="75"/>
      <c r="I23" s="90"/>
      <c r="J23" s="75"/>
      <c r="K23" s="75"/>
      <c r="L23" s="91"/>
      <c r="M23" s="60"/>
      <c r="N23" s="60"/>
    </row>
    <row r="24" spans="2:14" ht="15">
      <c r="B24" s="61" t="s">
        <v>21</v>
      </c>
      <c r="C24" s="62"/>
      <c r="D24" s="86">
        <f>IS!AF55</f>
        <v>-53.236000000000011</v>
      </c>
      <c r="E24" s="86">
        <f t="shared" ref="E24:E25" si="14">K24</f>
        <v>-61.045000000000016</v>
      </c>
      <c r="F24" s="72">
        <f t="shared" ref="F24:F25" si="15">E24/D24-1</f>
        <v>0.14668645277631676</v>
      </c>
      <c r="G24" s="86">
        <v>-60.995999999999974</v>
      </c>
      <c r="H24" s="86">
        <f t="shared" ref="H24:H25" si="16">K24</f>
        <v>-61.045000000000016</v>
      </c>
      <c r="I24" s="72">
        <f t="shared" ref="I24:I25" si="17">H24/G24-1</f>
        <v>8.0333136599186616E-4</v>
      </c>
      <c r="J24" s="86">
        <v>-41.836426190481973</v>
      </c>
      <c r="K24" s="86">
        <f>IS!AK55</f>
        <v>-61.045000000000016</v>
      </c>
      <c r="L24" s="73">
        <f>K24/J24-1</f>
        <v>0.45913514988257065</v>
      </c>
      <c r="M24" s="60"/>
      <c r="N24" s="60"/>
    </row>
    <row r="25" spans="2:14">
      <c r="B25" s="87"/>
      <c r="C25" s="88" t="s">
        <v>18</v>
      </c>
      <c r="D25" s="89">
        <f>IS!AF56</f>
        <v>-0.26527805461431136</v>
      </c>
      <c r="E25" s="89">
        <f t="shared" si="14"/>
        <v>-0.16623957343325776</v>
      </c>
      <c r="F25" s="84">
        <f t="shared" si="15"/>
        <v>-0.37333838762141847</v>
      </c>
      <c r="G25" s="89">
        <v>-0.18251018832695992</v>
      </c>
      <c r="H25" s="89">
        <f t="shared" si="16"/>
        <v>-0.16623957343325776</v>
      </c>
      <c r="I25" s="84">
        <f t="shared" si="17"/>
        <v>-8.9149077335638816E-2</v>
      </c>
      <c r="J25" s="89">
        <v>-0.11606750704689638</v>
      </c>
      <c r="K25" s="89">
        <f>IS!AK56</f>
        <v>-0.16623957343325776</v>
      </c>
      <c r="L25" s="85">
        <f t="shared" ref="L25" si="18">K25/J25-1</f>
        <v>0.43226625317359213</v>
      </c>
      <c r="M25" s="409"/>
      <c r="N25" s="409"/>
    </row>
    <row r="26" spans="2:14">
      <c r="B26" s="82"/>
      <c r="C26" s="62"/>
      <c r="D26" s="92"/>
      <c r="E26" s="92"/>
      <c r="F26" s="72"/>
      <c r="G26" s="92"/>
      <c r="H26" s="92"/>
      <c r="I26" s="72"/>
      <c r="J26" s="92"/>
      <c r="K26" s="92"/>
      <c r="L26" s="73"/>
      <c r="M26" s="409"/>
      <c r="N26" s="409"/>
    </row>
    <row r="27" spans="2:14" ht="15">
      <c r="B27" s="93" t="s">
        <v>23</v>
      </c>
      <c r="C27" s="62"/>
      <c r="D27" s="370">
        <f>IS!AF63</f>
        <v>-7.7515802630000152</v>
      </c>
      <c r="E27" s="370">
        <f>K27</f>
        <v>12.892999999999983</v>
      </c>
      <c r="F27" s="72">
        <f>E27/D27-1</f>
        <v>-2.663273753552045</v>
      </c>
      <c r="G27" s="370">
        <v>1.4760000000000399</v>
      </c>
      <c r="H27" s="370">
        <f>K27</f>
        <v>12.892999999999983</v>
      </c>
      <c r="I27" s="72">
        <f t="shared" si="0"/>
        <v>7.7350948509482613</v>
      </c>
      <c r="J27" s="370">
        <v>20.038573809518027</v>
      </c>
      <c r="K27" s="370">
        <f>IS!AK63</f>
        <v>12.892999999999983</v>
      </c>
      <c r="L27" s="73">
        <f t="shared" si="1"/>
        <v>-0.35659093693204869</v>
      </c>
      <c r="M27" s="94"/>
      <c r="N27" s="94"/>
    </row>
    <row r="28" spans="2:14" ht="15">
      <c r="B28" s="93"/>
      <c r="C28" s="95" t="s">
        <v>76</v>
      </c>
      <c r="D28" s="96">
        <f>IS!AF64</f>
        <v>-3.8626570973689531E-2</v>
      </c>
      <c r="E28" s="96">
        <f>K28</f>
        <v>3.5110603985174689E-2</v>
      </c>
      <c r="F28" s="72">
        <f t="shared" si="11"/>
        <v>-1.9089754306456626</v>
      </c>
      <c r="G28" s="96">
        <v>4.416437765928918E-3</v>
      </c>
      <c r="H28" s="96">
        <f>K28</f>
        <v>3.5110603985174689E-2</v>
      </c>
      <c r="I28" s="72">
        <f t="shared" si="0"/>
        <v>6.9499827340575706</v>
      </c>
      <c r="J28" s="96">
        <v>5.5593355327638524E-2</v>
      </c>
      <c r="K28" s="96">
        <f>IS!AK64</f>
        <v>3.5110603985174689E-2</v>
      </c>
      <c r="L28" s="73">
        <f t="shared" si="1"/>
        <v>-0.36843883988921122</v>
      </c>
      <c r="M28" s="60"/>
      <c r="N28" s="60"/>
    </row>
    <row r="29" spans="2:14">
      <c r="B29" s="82"/>
      <c r="C29" s="62"/>
      <c r="D29" s="92"/>
      <c r="E29" s="92"/>
      <c r="F29" s="72"/>
      <c r="G29" s="92"/>
      <c r="H29" s="92"/>
      <c r="I29" s="72"/>
      <c r="J29" s="92"/>
      <c r="K29" s="92"/>
      <c r="L29" s="73"/>
      <c r="M29" s="60"/>
      <c r="N29" s="60"/>
    </row>
    <row r="30" spans="2:14">
      <c r="B30" s="59" t="s">
        <v>77</v>
      </c>
      <c r="C30" s="54"/>
      <c r="D30" s="371">
        <f>IS!AF61</f>
        <v>40.344419736999996</v>
      </c>
      <c r="E30" s="371">
        <f t="shared" si="13"/>
        <v>4.4040000000000035</v>
      </c>
      <c r="F30" s="72">
        <f t="shared" si="11"/>
        <v>-0.89083992213274832</v>
      </c>
      <c r="G30" s="371">
        <v>-20.228000000000002</v>
      </c>
      <c r="H30" s="371">
        <f t="shared" si="12"/>
        <v>4.4040000000000035</v>
      </c>
      <c r="I30" s="72">
        <f t="shared" si="0"/>
        <v>-1.2177180146331819</v>
      </c>
      <c r="J30" s="371">
        <v>-11.4</v>
      </c>
      <c r="K30" s="371">
        <f>IS!AK61</f>
        <v>4.4040000000000035</v>
      </c>
      <c r="L30" s="73">
        <f t="shared" si="1"/>
        <v>-1.3863157894736844</v>
      </c>
      <c r="M30" s="409"/>
      <c r="N30" s="409"/>
    </row>
    <row r="31" spans="2:14" ht="15">
      <c r="B31" s="59"/>
      <c r="C31" s="97"/>
      <c r="D31" s="372"/>
      <c r="E31" s="372"/>
      <c r="F31" s="98"/>
      <c r="G31" s="372"/>
      <c r="H31" s="372"/>
      <c r="I31" s="98"/>
      <c r="J31" s="372"/>
      <c r="K31" s="372"/>
      <c r="L31" s="99"/>
      <c r="M31" s="409"/>
      <c r="N31" s="409"/>
    </row>
    <row r="32" spans="2:14">
      <c r="B32" s="59" t="s">
        <v>82</v>
      </c>
      <c r="C32" s="54"/>
      <c r="D32" s="371">
        <f>IS!AF66</f>
        <v>-29.576000000000015</v>
      </c>
      <c r="E32" s="371">
        <f t="shared" si="13"/>
        <v>8.684999999999981</v>
      </c>
      <c r="F32" s="56">
        <f t="shared" si="11"/>
        <v>-1.293650256965106</v>
      </c>
      <c r="G32" s="371">
        <v>-28.889999999999979</v>
      </c>
      <c r="H32" s="371">
        <f t="shared" si="12"/>
        <v>8.684999999999981</v>
      </c>
      <c r="I32" s="56">
        <f t="shared" si="0"/>
        <v>-1.3006230529595011</v>
      </c>
      <c r="J32" s="371">
        <v>-0.73642619048197311</v>
      </c>
      <c r="K32" s="371">
        <f>IS!AK66</f>
        <v>8.684999999999981</v>
      </c>
      <c r="L32" s="57">
        <f t="shared" si="1"/>
        <v>-12.793442591057033</v>
      </c>
      <c r="M32" s="409"/>
      <c r="N32" s="409"/>
    </row>
    <row r="33" spans="2:14">
      <c r="B33" s="59" t="s">
        <v>83</v>
      </c>
      <c r="C33" s="54"/>
      <c r="D33" s="371">
        <f>IS!AF67</f>
        <v>-0.122</v>
      </c>
      <c r="E33" s="371">
        <f t="shared" si="13"/>
        <v>5.9920000000000044</v>
      </c>
      <c r="F33" s="56">
        <f t="shared" si="11"/>
        <v>-50.114754098360692</v>
      </c>
      <c r="G33" s="371">
        <v>-0.27600000000000002</v>
      </c>
      <c r="H33" s="371">
        <f t="shared" si="12"/>
        <v>5.9920000000000044</v>
      </c>
      <c r="I33" s="56">
        <f t="shared" si="0"/>
        <v>-22.710144927536245</v>
      </c>
      <c r="J33" s="371">
        <v>0</v>
      </c>
      <c r="K33" s="371">
        <f>IS!AK67</f>
        <v>5.9920000000000044</v>
      </c>
      <c r="L33" s="57" t="e">
        <f t="shared" si="1"/>
        <v>#DIV/0!</v>
      </c>
      <c r="M33" s="409"/>
      <c r="N33" s="409"/>
    </row>
    <row r="34" spans="2:14" ht="15">
      <c r="B34" s="100" t="s">
        <v>81</v>
      </c>
      <c r="C34" s="62"/>
      <c r="D34" s="373">
        <f>IS!AF74</f>
        <v>-13.013580263000016</v>
      </c>
      <c r="E34" s="373">
        <f t="shared" si="13"/>
        <v>-54.166000000000011</v>
      </c>
      <c r="F34" s="90">
        <f t="shared" si="11"/>
        <v>3.162267331919705</v>
      </c>
      <c r="G34" s="373">
        <v>-79.981999999999971</v>
      </c>
      <c r="H34" s="373">
        <f t="shared" si="12"/>
        <v>-54.166000000000011</v>
      </c>
      <c r="I34" s="90">
        <f t="shared" si="0"/>
        <v>-0.32277262384036365</v>
      </c>
      <c r="J34" s="373">
        <v>-53.236426190481971</v>
      </c>
      <c r="K34" s="373">
        <f>IS!AK74</f>
        <v>-54.166000000000011</v>
      </c>
      <c r="L34" s="91">
        <f t="shared" si="1"/>
        <v>1.7461236150450699E-2</v>
      </c>
      <c r="M34" s="409"/>
      <c r="N34" s="409"/>
    </row>
    <row r="35" spans="2:14" ht="15">
      <c r="B35" s="53"/>
      <c r="C35" s="62"/>
      <c r="D35" s="374"/>
      <c r="E35" s="374"/>
      <c r="F35" s="76"/>
      <c r="G35" s="374"/>
      <c r="H35" s="374"/>
      <c r="I35" s="76"/>
      <c r="J35" s="374"/>
      <c r="K35" s="374"/>
      <c r="L35" s="77"/>
      <c r="M35" s="408"/>
      <c r="N35" s="408"/>
    </row>
    <row r="36" spans="2:14">
      <c r="B36" s="59" t="s">
        <v>84</v>
      </c>
      <c r="C36" s="113"/>
      <c r="D36" s="371">
        <f>IS!AF71</f>
        <v>-12.891580263000016</v>
      </c>
      <c r="E36" s="371">
        <f t="shared" si="13"/>
        <v>-56.641000000000012</v>
      </c>
      <c r="F36" s="56">
        <f t="shared" ref="F36:F38" si="19">E36/D36-1</f>
        <v>3.3936428928395017</v>
      </c>
      <c r="G36" s="371">
        <v>-81.223999999999975</v>
      </c>
      <c r="H36" s="371">
        <f t="shared" si="12"/>
        <v>-56.641000000000012</v>
      </c>
      <c r="I36" s="56">
        <f t="shared" si="0"/>
        <v>-0.30265685019206112</v>
      </c>
      <c r="J36" s="371">
        <v>-53.236426190481971</v>
      </c>
      <c r="K36" s="371">
        <f>IS!AK71</f>
        <v>-56.641000000000012</v>
      </c>
      <c r="L36" s="57">
        <f t="shared" si="1"/>
        <v>6.3951960211159564E-2</v>
      </c>
      <c r="M36" s="115"/>
      <c r="N36" s="115"/>
    </row>
    <row r="37" spans="2:14">
      <c r="B37" s="59" t="s">
        <v>85</v>
      </c>
      <c r="C37" s="113"/>
      <c r="D37" s="371">
        <f>IS!AF72</f>
        <v>-0.122</v>
      </c>
      <c r="E37" s="371">
        <f t="shared" si="13"/>
        <v>5.9920000000000044</v>
      </c>
      <c r="F37" s="56">
        <f>IFERROR(E37/D37-1, 0)</f>
        <v>-50.114754098360692</v>
      </c>
      <c r="G37" s="371">
        <v>-0.27600000000000002</v>
      </c>
      <c r="H37" s="371">
        <f t="shared" si="12"/>
        <v>5.9920000000000044</v>
      </c>
      <c r="I37" s="56">
        <f t="shared" si="0"/>
        <v>-22.710144927536245</v>
      </c>
      <c r="J37" s="371">
        <v>0</v>
      </c>
      <c r="K37" s="371">
        <f>IS!AK72</f>
        <v>5.9920000000000044</v>
      </c>
      <c r="L37" s="57" t="e">
        <f t="shared" si="1"/>
        <v>#DIV/0!</v>
      </c>
      <c r="M37" s="115"/>
      <c r="N37" s="115"/>
    </row>
    <row r="38" spans="2:14" ht="15">
      <c r="B38" s="53" t="s">
        <v>78</v>
      </c>
      <c r="C38" s="113"/>
      <c r="D38" s="373">
        <f>IS!AF74</f>
        <v>-13.013580263000016</v>
      </c>
      <c r="E38" s="373">
        <f>K38</f>
        <v>-54.166000000000011</v>
      </c>
      <c r="F38" s="90">
        <f t="shared" si="19"/>
        <v>3.162267331919705</v>
      </c>
      <c r="G38" s="373">
        <v>-79.981999999999971</v>
      </c>
      <c r="H38" s="373">
        <f t="shared" si="12"/>
        <v>-54.166000000000011</v>
      </c>
      <c r="I38" s="90">
        <f t="shared" si="0"/>
        <v>-0.32277262384036365</v>
      </c>
      <c r="J38" s="373">
        <v>-53.236426190481971</v>
      </c>
      <c r="K38" s="373">
        <f>IS!AK74</f>
        <v>-54.166000000000011</v>
      </c>
      <c r="L38" s="57">
        <f t="shared" si="1"/>
        <v>1.7461236150450699E-2</v>
      </c>
      <c r="M38" s="115"/>
      <c r="N38" s="115"/>
    </row>
    <row r="39" spans="2:14" ht="15">
      <c r="B39" s="53"/>
      <c r="C39" s="113"/>
      <c r="D39" s="114"/>
      <c r="E39" s="114"/>
      <c r="F39" s="76"/>
      <c r="G39" s="375"/>
      <c r="H39" s="375"/>
      <c r="I39" s="76"/>
      <c r="J39" s="375"/>
      <c r="K39" s="375"/>
      <c r="L39" s="77"/>
      <c r="M39" s="115"/>
      <c r="N39" s="115"/>
    </row>
    <row r="40" spans="2:14" ht="15">
      <c r="B40" s="101" t="s">
        <v>30</v>
      </c>
      <c r="C40" s="102"/>
      <c r="D40" s="103">
        <f>IS!AF82</f>
        <v>-0.18715116926285183</v>
      </c>
      <c r="E40" s="103">
        <f>K40</f>
        <v>-0.3041444638475404</v>
      </c>
      <c r="F40" s="104">
        <f>IFERROR(E40/D40-1, 0)</f>
        <v>0.62512724363678829</v>
      </c>
      <c r="G40" s="103">
        <v>-0.45718368630140888</v>
      </c>
      <c r="H40" s="103">
        <f t="shared" si="12"/>
        <v>-0.3041444638475404</v>
      </c>
      <c r="I40" s="104">
        <f t="shared" si="0"/>
        <v>-0.33474340191783192</v>
      </c>
      <c r="J40" s="103">
        <v>-0.30351171168626168</v>
      </c>
      <c r="K40" s="103">
        <f>IS!AK82</f>
        <v>-0.3041444638475404</v>
      </c>
      <c r="L40" s="116">
        <f t="shared" si="1"/>
        <v>2.0847701650894557E-3</v>
      </c>
      <c r="M40" s="115"/>
      <c r="N40" s="115"/>
    </row>
    <row r="41" spans="2:14" ht="15">
      <c r="B41" s="105"/>
      <c r="C41" s="106"/>
      <c r="D41" s="83"/>
      <c r="E41" s="83"/>
      <c r="F41" s="84"/>
      <c r="G41" s="83"/>
      <c r="H41" s="83"/>
      <c r="I41" s="84"/>
      <c r="J41" s="83"/>
      <c r="K41" s="83"/>
      <c r="L41" s="85"/>
      <c r="M41" s="408"/>
      <c r="N41" s="408"/>
    </row>
    <row r="42" spans="2:14" ht="15" thickBot="1">
      <c r="B42" s="107" t="s">
        <v>32</v>
      </c>
      <c r="C42" s="108"/>
      <c r="D42" s="377">
        <f>IS!AF84</f>
        <v>166.398</v>
      </c>
      <c r="E42" s="377">
        <f t="shared" si="13"/>
        <v>178.09299999999999</v>
      </c>
      <c r="F42" s="109">
        <f>IFERROR(E42/D42-1, 0)</f>
        <v>7.0283296674238827E-2</v>
      </c>
      <c r="G42" s="377">
        <v>174.94499999999999</v>
      </c>
      <c r="H42" s="377">
        <f t="shared" si="12"/>
        <v>178.09299999999999</v>
      </c>
      <c r="I42" s="109">
        <f t="shared" si="0"/>
        <v>1.7994226756980813E-2</v>
      </c>
      <c r="J42" s="377">
        <v>175.401555</v>
      </c>
      <c r="K42" s="377">
        <f>IS!AK84</f>
        <v>178.09299999999999</v>
      </c>
      <c r="L42" s="110">
        <f t="shared" si="1"/>
        <v>1.5344476279015806E-2</v>
      </c>
      <c r="M42" s="408"/>
      <c r="N42" s="408"/>
    </row>
    <row r="43" spans="2:14">
      <c r="B43" s="88" t="s">
        <v>79</v>
      </c>
      <c r="M43" s="408"/>
      <c r="N43" s="408"/>
    </row>
    <row r="44" spans="2:14">
      <c r="J44" s="111"/>
    </row>
    <row r="45" spans="2:14">
      <c r="J45" s="112"/>
    </row>
  </sheetData>
  <mergeCells count="23">
    <mergeCell ref="M22:N22"/>
    <mergeCell ref="D3:E3"/>
    <mergeCell ref="G3:H3"/>
    <mergeCell ref="J3:K3"/>
    <mergeCell ref="M3:N3"/>
    <mergeCell ref="M4:N4"/>
    <mergeCell ref="M13:N13"/>
    <mergeCell ref="M17:N17"/>
    <mergeCell ref="M18:N18"/>
    <mergeCell ref="M19:N19"/>
    <mergeCell ref="M20:N20"/>
    <mergeCell ref="M21:N21"/>
    <mergeCell ref="M43:N43"/>
    <mergeCell ref="M25:N25"/>
    <mergeCell ref="M26:N26"/>
    <mergeCell ref="M30:N30"/>
    <mergeCell ref="M31:N31"/>
    <mergeCell ref="M32:N32"/>
    <mergeCell ref="M33:N33"/>
    <mergeCell ref="M34:N34"/>
    <mergeCell ref="M35:N35"/>
    <mergeCell ref="M41:N41"/>
    <mergeCell ref="M42:N42"/>
  </mergeCells>
  <pageMargins left="0.7" right="0.7" top="0.75" bottom="0.75" header="0.3" footer="0.3"/>
  <pageSetup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6D2A-AC31-4A1B-BA7D-76AFBFB0CDB7}">
  <sheetPr>
    <pageSetUpPr fitToPage="1"/>
  </sheetPr>
  <dimension ref="C2:AV89"/>
  <sheetViews>
    <sheetView showGridLines="0" tabSelected="1" zoomScaleNormal="100" workbookViewId="0">
      <pane xSplit="3" ySplit="8" topLeftCell="R9" activePane="bottomRight" state="frozen"/>
      <selection pane="topRight" activeCell="C1" sqref="C1"/>
      <selection pane="bottomLeft" activeCell="A8" sqref="A8"/>
      <selection pane="bottomRight" activeCell="AI56" sqref="AI56"/>
    </sheetView>
  </sheetViews>
  <sheetFormatPr defaultColWidth="9.140625" defaultRowHeight="12.75" outlineLevelRow="1" outlineLevelCol="1"/>
  <cols>
    <col min="1" max="1" width="9.140625" style="2"/>
    <col min="2" max="2" width="2.42578125" style="2" customWidth="1"/>
    <col min="3" max="3" width="40.42578125" style="2" bestFit="1" customWidth="1"/>
    <col min="4" max="7" width="9.140625" style="2" hidden="1" customWidth="1" outlineLevel="1"/>
    <col min="8" max="8" width="9.140625" style="2" customWidth="1" collapsed="1"/>
    <col min="9" max="12" width="9.140625" style="2" hidden="1" customWidth="1" outlineLevel="1"/>
    <col min="13" max="13" width="9.140625" style="2" collapsed="1"/>
    <col min="14" max="17" width="9.140625" style="2" hidden="1" customWidth="1" outlineLevel="1"/>
    <col min="18" max="18" width="9.140625" style="2" collapsed="1"/>
    <col min="19" max="22" width="9.140625" style="2" hidden="1" customWidth="1" outlineLevel="1"/>
    <col min="23" max="23" width="9.140625" style="2" collapsed="1"/>
    <col min="24" max="27" width="9.140625" style="2" customWidth="1" outlineLevel="1"/>
    <col min="28" max="28" width="9.140625" style="2"/>
    <col min="29" max="29" width="9.140625" style="2" outlineLevel="1"/>
    <col min="30" max="30" width="10.28515625" style="2" bestFit="1" customWidth="1" outlineLevel="1"/>
    <col min="31" max="31" width="9.140625" style="2" outlineLevel="1"/>
    <col min="32" max="32" width="8.5703125" style="2" bestFit="1" customWidth="1" outlineLevel="1"/>
    <col min="33" max="33" width="8.7109375" style="2" bestFit="1" customWidth="1"/>
    <col min="34" max="37" width="9.140625" style="2" customWidth="1" outlineLevel="1"/>
    <col min="38" max="38" width="8.7109375" style="2" bestFit="1" customWidth="1"/>
    <col min="39" max="42" width="9.140625" style="2" customWidth="1" outlineLevel="1"/>
    <col min="43" max="16384" width="9.140625" style="2"/>
  </cols>
  <sheetData>
    <row r="2" spans="3:43" ht="15.75">
      <c r="C2" s="43" t="s">
        <v>301</v>
      </c>
      <c r="D2" s="43"/>
      <c r="E2" s="43"/>
      <c r="F2" s="43"/>
      <c r="G2" s="43"/>
      <c r="H2" s="43"/>
    </row>
    <row r="3" spans="3:43">
      <c r="M3" s="120"/>
      <c r="R3" s="120"/>
      <c r="W3" s="151"/>
      <c r="AK3" s="151"/>
      <c r="AL3" s="2">
        <f>+Diagnostics!AL13</f>
        <v>362.78</v>
      </c>
    </row>
    <row r="4" spans="3:43">
      <c r="M4" s="120"/>
      <c r="R4" s="120"/>
      <c r="W4" s="151"/>
      <c r="AK4" s="151"/>
      <c r="AL4" s="151">
        <f>+AL3/AG15</f>
        <v>0.52319155587742761</v>
      </c>
    </row>
    <row r="5" spans="3:43">
      <c r="AL5" s="151">
        <f>+AL16-AL4</f>
        <v>0.31094832409886042</v>
      </c>
    </row>
    <row r="6" spans="3:43" ht="3" customHeight="1"/>
    <row r="7" spans="3:43" ht="3.75" customHeight="1" thickBot="1"/>
    <row r="8" spans="3:43">
      <c r="C8" s="161" t="s">
        <v>10</v>
      </c>
      <c r="D8" s="162" t="s">
        <v>86</v>
      </c>
      <c r="E8" s="162" t="s">
        <v>87</v>
      </c>
      <c r="F8" s="162" t="s">
        <v>88</v>
      </c>
      <c r="G8" s="162" t="s">
        <v>89</v>
      </c>
      <c r="H8" s="163" t="s">
        <v>14</v>
      </c>
      <c r="I8" s="162" t="s">
        <v>0</v>
      </c>
      <c r="J8" s="162" t="s">
        <v>1</v>
      </c>
      <c r="K8" s="162" t="s">
        <v>2</v>
      </c>
      <c r="L8" s="162" t="s">
        <v>3</v>
      </c>
      <c r="M8" s="163" t="s">
        <v>4</v>
      </c>
      <c r="N8" s="162" t="s">
        <v>5</v>
      </c>
      <c r="O8" s="162" t="s">
        <v>6</v>
      </c>
      <c r="P8" s="162" t="s">
        <v>7</v>
      </c>
      <c r="Q8" s="162" t="s">
        <v>8</v>
      </c>
      <c r="R8" s="163" t="s">
        <v>9</v>
      </c>
      <c r="S8" s="162" t="s">
        <v>33</v>
      </c>
      <c r="T8" s="162" t="s">
        <v>80</v>
      </c>
      <c r="U8" s="162" t="s">
        <v>109</v>
      </c>
      <c r="V8" s="162" t="s">
        <v>110</v>
      </c>
      <c r="W8" s="163" t="s">
        <v>111</v>
      </c>
      <c r="X8" s="162" t="s">
        <v>112</v>
      </c>
      <c r="Y8" s="162" t="s">
        <v>113</v>
      </c>
      <c r="Z8" s="162" t="s">
        <v>114</v>
      </c>
      <c r="AA8" s="162" t="s">
        <v>157</v>
      </c>
      <c r="AB8" s="163" t="s">
        <v>158</v>
      </c>
      <c r="AC8" s="162" t="s">
        <v>300</v>
      </c>
      <c r="AD8" s="162" t="s">
        <v>306</v>
      </c>
      <c r="AE8" s="162" t="s">
        <v>356</v>
      </c>
      <c r="AF8" s="162" t="s">
        <v>357</v>
      </c>
      <c r="AG8" s="163" t="s">
        <v>358</v>
      </c>
      <c r="AH8" s="162" t="s">
        <v>359</v>
      </c>
      <c r="AI8" s="162" t="s">
        <v>372</v>
      </c>
      <c r="AJ8" s="162" t="s">
        <v>373</v>
      </c>
      <c r="AK8" s="162" t="s">
        <v>382</v>
      </c>
      <c r="AL8" s="163" t="s">
        <v>385</v>
      </c>
      <c r="AM8" s="162" t="s">
        <v>152</v>
      </c>
      <c r="AN8" s="162" t="s">
        <v>153</v>
      </c>
      <c r="AO8" s="162" t="s">
        <v>154</v>
      </c>
      <c r="AP8" s="162" t="s">
        <v>155</v>
      </c>
      <c r="AQ8" s="163" t="s">
        <v>125</v>
      </c>
    </row>
    <row r="9" spans="3:43" outlineLevel="1">
      <c r="C9" s="147" t="s">
        <v>386</v>
      </c>
      <c r="D9" s="170">
        <f>Diagnostics!D4</f>
        <v>4.487445697000001</v>
      </c>
      <c r="E9" s="170">
        <f>Diagnostics!E4</f>
        <v>5.874036102999999</v>
      </c>
      <c r="F9" s="170">
        <f>Diagnostics!F4</f>
        <v>8.7568856489999991</v>
      </c>
      <c r="G9" s="170">
        <f>Diagnostics!G4</f>
        <v>8.7716656280000009</v>
      </c>
      <c r="H9" s="197">
        <f>SUM(D9:G9)</f>
        <v>27.890033076999998</v>
      </c>
      <c r="I9" s="170">
        <f>Diagnostics!I4</f>
        <v>13.645173413</v>
      </c>
      <c r="J9" s="170">
        <f>Diagnostics!J4</f>
        <v>12.499903207999999</v>
      </c>
      <c r="K9" s="170">
        <f>Diagnostics!K4</f>
        <v>47.078495089</v>
      </c>
      <c r="L9" s="170">
        <f>Diagnostics!L4</f>
        <v>78.687212439000007</v>
      </c>
      <c r="M9" s="197">
        <f>SUM(I9:L9)</f>
        <v>151.91078414899999</v>
      </c>
      <c r="N9" s="170">
        <f>Diagnostics!N4</f>
        <v>59.830028591999998</v>
      </c>
      <c r="O9" s="170">
        <f>Diagnostics!O4</f>
        <v>53.070445641999996</v>
      </c>
      <c r="P9" s="170">
        <f>Diagnostics!P4</f>
        <v>41.613708979000002</v>
      </c>
      <c r="Q9" s="170">
        <f>Diagnostics!Q4</f>
        <v>40.498048453000003</v>
      </c>
      <c r="R9" s="197">
        <f>SUM(N9:Q9)</f>
        <v>195.01223166599999</v>
      </c>
      <c r="S9" s="170">
        <f>Diagnostics!S4</f>
        <v>37.901848487000002</v>
      </c>
      <c r="T9" s="170">
        <f>Diagnostics!T4</f>
        <v>47.421608740000003</v>
      </c>
      <c r="U9" s="170">
        <f>Diagnostics!U4</f>
        <v>54.731760135000002</v>
      </c>
      <c r="V9" s="170">
        <f>Diagnostics!V4</f>
        <v>57.929274149999998</v>
      </c>
      <c r="W9" s="197">
        <f>SUM(S9:V9)</f>
        <v>197.98449151200001</v>
      </c>
      <c r="X9" s="170">
        <f>Diagnostics!X4</f>
        <v>82.058167726999997</v>
      </c>
      <c r="Y9" s="170">
        <f>Diagnostics!Y4</f>
        <v>91.923547666999994</v>
      </c>
      <c r="Z9" s="170">
        <f>Diagnostics!Z4</f>
        <v>96.784311825000003</v>
      </c>
      <c r="AA9" s="170">
        <f>Diagnostics!AA4</f>
        <v>92.191474376000244</v>
      </c>
      <c r="AB9" s="197">
        <f>SUM(X9:AA9)</f>
        <v>362.95750159500022</v>
      </c>
      <c r="AC9" s="170">
        <f>Diagnostics!AC4</f>
        <v>102.56941878699976</v>
      </c>
      <c r="AD9" s="170">
        <f>Diagnostics!AD4</f>
        <v>112.324</v>
      </c>
      <c r="AE9" s="170">
        <f>Diagnostics!AE4</f>
        <v>116.422</v>
      </c>
      <c r="AF9" s="170">
        <f>Diagnostics!AF4</f>
        <v>120.434</v>
      </c>
      <c r="AG9" s="197">
        <f>SUM(AC9:AF9)</f>
        <v>451.74941878699974</v>
      </c>
      <c r="AH9" s="170">
        <f>Diagnostics!AH4</f>
        <v>193.804</v>
      </c>
      <c r="AI9" s="170">
        <f>Diagnostics!AI4</f>
        <v>241.84299999999999</v>
      </c>
      <c r="AJ9" s="170">
        <f>Diagnostics!AJ4</f>
        <v>252.87799999999999</v>
      </c>
      <c r="AK9" s="170">
        <f>Diagnostics!AK4</f>
        <v>266.85599999999999</v>
      </c>
      <c r="AL9" s="197">
        <f>SUM(AH9:AK9)</f>
        <v>955.38099999999997</v>
      </c>
      <c r="AM9" s="170">
        <f>Diagnostics!AM4</f>
        <v>258.24970000000002</v>
      </c>
      <c r="AN9" s="170">
        <f>Diagnostics!AN4</f>
        <v>298.36928</v>
      </c>
      <c r="AO9" s="170">
        <f>Diagnostics!AO4</f>
        <v>307.97813000000002</v>
      </c>
      <c r="AP9" s="170">
        <f>Diagnostics!AP4</f>
        <v>314.34735999999998</v>
      </c>
      <c r="AQ9" s="197">
        <f>SUM(AM9:AP9)</f>
        <v>1178.9444699999999</v>
      </c>
    </row>
    <row r="10" spans="3:43" outlineLevel="1">
      <c r="C10" s="10" t="s">
        <v>12</v>
      </c>
      <c r="D10" s="11"/>
      <c r="E10" s="12"/>
      <c r="F10" s="12"/>
      <c r="G10" s="12"/>
      <c r="H10" s="169"/>
      <c r="I10" s="11">
        <f>I9/D9-1</f>
        <v>2.0407439631241062</v>
      </c>
      <c r="J10" s="12">
        <f t="shared" ref="J10" si="0">J9/E9-1</f>
        <v>1.1279922337583224</v>
      </c>
      <c r="K10" s="12">
        <f t="shared" ref="K10" si="1">K9/F9-1</f>
        <v>4.3761687631922168</v>
      </c>
      <c r="L10" s="12">
        <f t="shared" ref="L10:M10" si="2">L9/G9-1</f>
        <v>7.9706123986102302</v>
      </c>
      <c r="M10" s="6">
        <f t="shared" si="2"/>
        <v>4.4467767653626726</v>
      </c>
      <c r="N10" s="11">
        <f>N9/I9-1</f>
        <v>3.3847026916491121</v>
      </c>
      <c r="O10" s="12">
        <f t="shared" ref="O10" si="3">O9/J9-1</f>
        <v>3.2456685270998458</v>
      </c>
      <c r="P10" s="12">
        <f t="shared" ref="P10" si="4">P9/K9-1</f>
        <v>-0.11607818176152485</v>
      </c>
      <c r="Q10" s="12">
        <f t="shared" ref="Q10:R10" si="5">Q9/L9-1</f>
        <v>-0.4853287186352554</v>
      </c>
      <c r="R10" s="6">
        <f t="shared" si="5"/>
        <v>0.28372868824588804</v>
      </c>
      <c r="S10" s="11">
        <f>S9/N9-1</f>
        <v>-0.36650793290665518</v>
      </c>
      <c r="T10" s="12">
        <f t="shared" ref="T10" si="6">T9/O9-1</f>
        <v>-0.10644035175633604</v>
      </c>
      <c r="U10" s="12">
        <f t="shared" ref="U10" si="7">U9/P9-1</f>
        <v>0.31523388512713235</v>
      </c>
      <c r="V10" s="12">
        <f t="shared" ref="V10:W10" si="8">V9/Q9-1</f>
        <v>0.43042137492698695</v>
      </c>
      <c r="W10" s="6">
        <f t="shared" si="8"/>
        <v>1.5241402144920979E-2</v>
      </c>
      <c r="X10" s="11">
        <f>X9/S9-1</f>
        <v>1.1650175651761474</v>
      </c>
      <c r="Y10" s="12">
        <f t="shared" ref="Y10" si="9">Y9/T9-1</f>
        <v>0.93843165825504182</v>
      </c>
      <c r="Z10" s="12">
        <f t="shared" ref="Z10" si="10">Z9/U9-1</f>
        <v>0.7683391066955314</v>
      </c>
      <c r="AA10" s="12">
        <f t="shared" ref="AA10:AB10" si="11">AA9/V9-1</f>
        <v>0.59144880940995259</v>
      </c>
      <c r="AB10" s="6">
        <f t="shared" si="11"/>
        <v>0.83326228647055967</v>
      </c>
      <c r="AC10" s="11">
        <f>AC9/X9-1</f>
        <v>0.24995989586604983</v>
      </c>
      <c r="AD10" s="12">
        <f t="shared" ref="AD10" si="12">AD9/Y9-1</f>
        <v>0.22192847046006303</v>
      </c>
      <c r="AE10" s="12">
        <f t="shared" ref="AE10" si="13">AE9/Z9-1</f>
        <v>0.202901563328856</v>
      </c>
      <c r="AF10" s="12">
        <f t="shared" ref="AF10:AG10" si="14">AF9/AA9-1</f>
        <v>0.30634639282167719</v>
      </c>
      <c r="AG10" s="6">
        <f t="shared" si="14"/>
        <v>0.24463447318710174</v>
      </c>
      <c r="AH10" s="11">
        <f>AH9/AC9-1</f>
        <v>0.88949106168244985</v>
      </c>
      <c r="AI10" s="12">
        <f t="shared" ref="AI10" si="15">AI9/AD9-1</f>
        <v>1.1530839357572735</v>
      </c>
      <c r="AJ10" s="12">
        <f t="shared" ref="AJ10" si="16">AJ9/AE9-1</f>
        <v>1.1720808781845355</v>
      </c>
      <c r="AK10" s="12">
        <f t="shared" ref="AK10" si="17">AK9/AF9-1</f>
        <v>1.2157862397661789</v>
      </c>
      <c r="AL10" s="6">
        <f t="shared" ref="AL10" si="18">AL9/AG9-1</f>
        <v>1.1148472145582615</v>
      </c>
      <c r="AM10" s="11">
        <f>AM9/AH9-1</f>
        <v>0.33253028833254228</v>
      </c>
      <c r="AN10" s="12">
        <f t="shared" ref="AN10" si="19">AN9/AI9-1</f>
        <v>0.23373130502019923</v>
      </c>
      <c r="AO10" s="12">
        <f t="shared" ref="AO10" si="20">AO9/AJ9-1</f>
        <v>0.217892145619627</v>
      </c>
      <c r="AP10" s="12">
        <f t="shared" ref="AP10" si="21">AP9/AK9-1</f>
        <v>0.17796624396678351</v>
      </c>
      <c r="AQ10" s="6">
        <f t="shared" ref="AQ10" si="22">AQ9/AL9-1</f>
        <v>0.2340045175694303</v>
      </c>
    </row>
    <row r="11" spans="3:43" outlineLevel="1">
      <c r="C11" s="10" t="s">
        <v>13</v>
      </c>
      <c r="D11" s="11"/>
      <c r="E11" s="12">
        <f>E9/D9-1</f>
        <v>0.30899324462621958</v>
      </c>
      <c r="F11" s="12">
        <f t="shared" ref="F11" si="23">F9/E9-1</f>
        <v>0.4907783158717165</v>
      </c>
      <c r="G11" s="12">
        <f t="shared" ref="G11" si="24">G9/F9-1</f>
        <v>1.6878122648191773E-3</v>
      </c>
      <c r="H11" s="169"/>
      <c r="I11" s="11">
        <f>I9/G9-1</f>
        <v>0.55559662117571995</v>
      </c>
      <c r="J11" s="12">
        <f>J9/I9-1</f>
        <v>-8.3932257241148833E-2</v>
      </c>
      <c r="K11" s="12">
        <f t="shared" ref="K11" si="25">K9/J9-1</f>
        <v>2.7663087710046854</v>
      </c>
      <c r="L11" s="12">
        <f t="shared" ref="L11" si="26">L9/K9-1</f>
        <v>0.67140458271329617</v>
      </c>
      <c r="M11" s="169"/>
      <c r="N11" s="11">
        <f>N9/L9-1</f>
        <v>-0.2396473742365508</v>
      </c>
      <c r="O11" s="12">
        <f>O9/N9-1</f>
        <v>-0.11297977134685577</v>
      </c>
      <c r="P11" s="12">
        <f t="shared" ref="P11" si="27">P9/O9-1</f>
        <v>-0.21587790576103849</v>
      </c>
      <c r="Q11" s="12">
        <f t="shared" ref="Q11" si="28">Q9/P9-1</f>
        <v>-2.6809927626566754E-2</v>
      </c>
      <c r="R11" s="169"/>
      <c r="S11" s="11">
        <f>S9/Q9-1</f>
        <v>-6.4106791936234142E-2</v>
      </c>
      <c r="T11" s="12">
        <f>T9/S9-1</f>
        <v>0.25116875912437875</v>
      </c>
      <c r="U11" s="12">
        <f t="shared" ref="U11" si="29">U9/T9-1</f>
        <v>0.15415232821559477</v>
      </c>
      <c r="V11" s="12">
        <f t="shared" ref="V11" si="30">V9/U9-1</f>
        <v>5.8421545499598215E-2</v>
      </c>
      <c r="W11" s="169"/>
      <c r="X11" s="11">
        <f>X9/V9-1</f>
        <v>0.41652331970398082</v>
      </c>
      <c r="Y11" s="12">
        <f>Y9/X9-1</f>
        <v>0.12022422890090856</v>
      </c>
      <c r="Z11" s="12">
        <f t="shared" ref="Z11" si="31">Z9/Y9-1</f>
        <v>5.2878335109611818E-2</v>
      </c>
      <c r="AA11" s="12">
        <f t="shared" ref="AA11" si="32">AA9/Z9-1</f>
        <v>-4.7454358690944387E-2</v>
      </c>
      <c r="AB11" s="169"/>
      <c r="AC11" s="11">
        <f>AC9/AA9-1</f>
        <v>0.1125694591744284</v>
      </c>
      <c r="AD11" s="12">
        <f>AD9/AC9-1</f>
        <v>9.5102237376006205E-2</v>
      </c>
      <c r="AE11" s="12">
        <f t="shared" ref="AE11" si="33">AE9/AD9-1</f>
        <v>3.6483743456429574E-2</v>
      </c>
      <c r="AF11" s="12">
        <f t="shared" ref="AF11" si="34">AF9/AE9-1</f>
        <v>3.4460840734569009E-2</v>
      </c>
      <c r="AG11" s="169"/>
      <c r="AH11" s="11">
        <f>AH9/AF9-1</f>
        <v>0.60921334506866831</v>
      </c>
      <c r="AI11" s="12">
        <f>AI9/AH9-1</f>
        <v>0.24787414088460502</v>
      </c>
      <c r="AJ11" s="12">
        <f t="shared" ref="AJ11" si="35">AJ9/AI9-1</f>
        <v>4.5628775693321799E-2</v>
      </c>
      <c r="AK11" s="12">
        <f t="shared" ref="AK11" si="36">AK9/AJ9-1</f>
        <v>5.5275666526941825E-2</v>
      </c>
      <c r="AL11" s="169"/>
      <c r="AM11" s="11">
        <f>AM9/AK9-1</f>
        <v>-3.2250726983841349E-2</v>
      </c>
      <c r="AN11" s="12">
        <f>AN9/AM9-1</f>
        <v>0.15535189392281956</v>
      </c>
      <c r="AO11" s="12">
        <f t="shared" ref="AO11" si="37">AO9/AN9-1</f>
        <v>3.2204555375137778E-2</v>
      </c>
      <c r="AP11" s="12">
        <f t="shared" ref="AP11" si="38">AP9/AO9-1</f>
        <v>2.0680786651961158E-2</v>
      </c>
      <c r="AQ11" s="169"/>
    </row>
    <row r="12" spans="3:43" outlineLevel="1">
      <c r="C12" s="147" t="s">
        <v>121</v>
      </c>
      <c r="D12" s="170">
        <f>'Data &amp; Other'!D7</f>
        <v>3.1913215330000004</v>
      </c>
      <c r="E12" s="170">
        <f>'Data &amp; Other'!E7</f>
        <v>4.7110225199999993</v>
      </c>
      <c r="F12" s="170">
        <f>'Data &amp; Other'!F7</f>
        <v>6.5473935299999999</v>
      </c>
      <c r="G12" s="170">
        <f>'Data &amp; Other'!G7</f>
        <v>19.717319109999998</v>
      </c>
      <c r="H12" s="197">
        <f>SUM(D12:G12)</f>
        <v>34.167056692999999</v>
      </c>
      <c r="I12" s="170">
        <f>'Data &amp; Other'!I7</f>
        <v>4.5969502999999996</v>
      </c>
      <c r="J12" s="170">
        <f>'Data &amp; Other'!J7</f>
        <v>5.6771732500000001</v>
      </c>
      <c r="K12" s="170">
        <f>'Data &amp; Other'!K7</f>
        <v>3.6541379500000004</v>
      </c>
      <c r="L12" s="170">
        <f>'Data &amp; Other'!L7</f>
        <v>22.16438325</v>
      </c>
      <c r="M12" s="197">
        <f>SUM(I12:L12)</f>
        <v>36.092644749999998</v>
      </c>
      <c r="N12" s="170">
        <f>'Data &amp; Other'!N7</f>
        <v>10.280028379999997</v>
      </c>
      <c r="O12" s="170">
        <f>'Data &amp; Other'!O7</f>
        <v>8.9152628000000007</v>
      </c>
      <c r="P12" s="170">
        <f>'Data &amp; Other'!P7</f>
        <v>10.83394509</v>
      </c>
      <c r="Q12" s="170">
        <f>'Data &amp; Other'!Q7</f>
        <v>32.811488329999996</v>
      </c>
      <c r="R12" s="197">
        <f>SUM(N12:Q12)</f>
        <v>62.840724599999994</v>
      </c>
      <c r="S12" s="170">
        <f>'Data &amp; Other'!S7</f>
        <v>22.849919580000002</v>
      </c>
      <c r="T12" s="170">
        <f>'Data &amp; Other'!T7</f>
        <v>26.297224569999997</v>
      </c>
      <c r="U12" s="170">
        <f>'Data &amp; Other'!U7</f>
        <v>30.839768249999999</v>
      </c>
      <c r="V12" s="170">
        <f>'Data &amp; Other'!V7</f>
        <v>42.697508337000002</v>
      </c>
      <c r="W12" s="197">
        <f>SUM(S12:V12)</f>
        <v>122.684420737</v>
      </c>
      <c r="X12" s="170">
        <f>'Data &amp; Other'!X7</f>
        <v>33.566249803000005</v>
      </c>
      <c r="Y12" s="170">
        <f>'Data &amp; Other'!Y7</f>
        <v>40.492786998000007</v>
      </c>
      <c r="Z12" s="170">
        <f>'Data &amp; Other'!Z7</f>
        <v>39.241916821000004</v>
      </c>
      <c r="AA12" s="170">
        <f>'Data &amp; Other'!AA7</f>
        <v>55.498724937999995</v>
      </c>
      <c r="AB12" s="197">
        <f>SUM(X12:AA12)</f>
        <v>168.79967856000002</v>
      </c>
      <c r="AC12" s="170">
        <f>'Data &amp; Other'!AC7</f>
        <v>43.250622378999999</v>
      </c>
      <c r="AD12" s="170">
        <f>'Data &amp; Other'!AD7</f>
        <v>53.645000000000003</v>
      </c>
      <c r="AE12" s="170">
        <f>'Data &amp; Other'!AE7</f>
        <v>64.507000000000005</v>
      </c>
      <c r="AF12" s="170">
        <f>'Data &amp; Other'!AF7</f>
        <v>80.245999999999995</v>
      </c>
      <c r="AG12" s="197">
        <f>SUM(AC12:AF12)</f>
        <v>241.64862237900002</v>
      </c>
      <c r="AH12" s="170">
        <f>'Data &amp; Other'!AH7</f>
        <v>61.933</v>
      </c>
      <c r="AI12" s="170">
        <f>'Data &amp; Other'!AI7</f>
        <v>72.792000000000002</v>
      </c>
      <c r="AJ12" s="170">
        <f>'Data &amp; Other'!AJ7</f>
        <v>81.328000000000003</v>
      </c>
      <c r="AK12" s="170">
        <f>'Data &amp; Other'!AK7</f>
        <v>100.355</v>
      </c>
      <c r="AL12" s="197">
        <f>SUM(AH12:AK12)</f>
        <v>316.40800000000002</v>
      </c>
      <c r="AM12" s="170">
        <f>'Data &amp; Other'!AM7</f>
        <v>86.708248170878505</v>
      </c>
      <c r="AN12" s="170">
        <f>'Data &amp; Other'!AN7</f>
        <v>96.613063499999996</v>
      </c>
      <c r="AO12" s="170">
        <f>'Data &amp; Other'!AO7</f>
        <v>107.1876608</v>
      </c>
      <c r="AP12" s="170">
        <f>'Data &amp; Other'!AP7</f>
        <v>120.53202680700798</v>
      </c>
      <c r="AQ12" s="197">
        <f>SUM(AM12:AP12)</f>
        <v>411.0409992778865</v>
      </c>
    </row>
    <row r="13" spans="3:43" outlineLevel="1">
      <c r="C13" s="10" t="s">
        <v>12</v>
      </c>
      <c r="D13" s="11"/>
      <c r="E13" s="12"/>
      <c r="F13" s="12"/>
      <c r="G13" s="12"/>
      <c r="H13" s="169"/>
      <c r="I13" s="11">
        <f>I12/D12-1</f>
        <v>0.44045350882542955</v>
      </c>
      <c r="J13" s="12">
        <f t="shared" ref="J13" si="39">J12/E12-1</f>
        <v>0.20508302091495856</v>
      </c>
      <c r="K13" s="12">
        <f t="shared" ref="K13" si="40">K12/F12-1</f>
        <v>-0.44189425406357075</v>
      </c>
      <c r="L13" s="12">
        <f t="shared" ref="L13:M13" si="41">L12/G12-1</f>
        <v>0.12410734574757321</v>
      </c>
      <c r="M13" s="6">
        <f t="shared" si="41"/>
        <v>5.6358031489276872E-2</v>
      </c>
      <c r="N13" s="11">
        <f>N12/I12-1</f>
        <v>1.2362713775696026</v>
      </c>
      <c r="O13" s="12">
        <f t="shared" ref="O13" si="42">O12/J12-1</f>
        <v>0.57037004287300919</v>
      </c>
      <c r="P13" s="12">
        <f t="shared" ref="P13" si="43">P12/K12-1</f>
        <v>1.9648429364851974</v>
      </c>
      <c r="Q13" s="12">
        <f t="shared" ref="Q13:R13" si="44">Q12/L12-1</f>
        <v>0.4803700134539044</v>
      </c>
      <c r="R13" s="6">
        <f t="shared" si="44"/>
        <v>0.74109503571361302</v>
      </c>
      <c r="S13" s="11">
        <f>S12/N12-1</f>
        <v>1.2227486866140351</v>
      </c>
      <c r="T13" s="12">
        <f t="shared" ref="T13" si="45">T12/O12-1</f>
        <v>1.9496858544652205</v>
      </c>
      <c r="U13" s="12">
        <f t="shared" ref="U13" si="46">U12/P12-1</f>
        <v>1.8465870921263825</v>
      </c>
      <c r="V13" s="12">
        <f t="shared" ref="V13:W13" si="47">V12/Q12-1</f>
        <v>0.3012975183439357</v>
      </c>
      <c r="W13" s="6">
        <f t="shared" si="47"/>
        <v>0.95230754447729593</v>
      </c>
      <c r="X13" s="11">
        <f>X12/S12-1</f>
        <v>0.46898765597318581</v>
      </c>
      <c r="Y13" s="12">
        <f t="shared" ref="Y13" si="48">Y12/T12-1</f>
        <v>0.53981219159509242</v>
      </c>
      <c r="Z13" s="12">
        <f t="shared" ref="Z13" si="49">Z12/U12-1</f>
        <v>0.27244525649118678</v>
      </c>
      <c r="AA13" s="12">
        <f t="shared" ref="AA13:AB13" si="50">AA12/V12-1</f>
        <v>0.29981179463596375</v>
      </c>
      <c r="AB13" s="6">
        <f t="shared" si="50"/>
        <v>0.37588519834851586</v>
      </c>
      <c r="AC13" s="11">
        <f>AC12/X12-1</f>
        <v>0.28851517917066949</v>
      </c>
      <c r="AD13" s="12">
        <f t="shared" ref="AD13" si="51">AD12/Y12-1</f>
        <v>0.32480384722962152</v>
      </c>
      <c r="AE13" s="12">
        <f t="shared" ref="AE13" si="52">AE12/Z12-1</f>
        <v>0.64382897742343692</v>
      </c>
      <c r="AF13" s="12">
        <f t="shared" ref="AF13:AG13" si="53">AF12/AA12-1</f>
        <v>0.44590709227367364</v>
      </c>
      <c r="AG13" s="6">
        <f t="shared" si="53"/>
        <v>0.43157039421201127</v>
      </c>
      <c r="AH13" s="11">
        <f>AH12/AC12-1</f>
        <v>0.43195627238120582</v>
      </c>
      <c r="AI13" s="12">
        <f t="shared" ref="AI13" si="54">AI12/AD12-1</f>
        <v>0.35692049585236263</v>
      </c>
      <c r="AJ13" s="12">
        <f t="shared" ref="AJ13" si="55">AJ12/AE12-1</f>
        <v>0.26076239787929989</v>
      </c>
      <c r="AK13" s="12">
        <f t="shared" ref="AK13" si="56">AK12/AF12-1</f>
        <v>0.25059192981581657</v>
      </c>
      <c r="AL13" s="6">
        <f t="shared" ref="AL13" si="57">AL12/AG12-1</f>
        <v>0.30937224837039579</v>
      </c>
      <c r="AM13" s="11">
        <f>AM12/AH12-1</f>
        <v>0.40003307075191752</v>
      </c>
      <c r="AN13" s="12">
        <f t="shared" ref="AN13" si="58">AN12/AI12-1</f>
        <v>0.32724837207385415</v>
      </c>
      <c r="AO13" s="12">
        <f t="shared" ref="AO13" si="59">AO12/AJ12-1</f>
        <v>0.3179674995081645</v>
      </c>
      <c r="AP13" s="12">
        <f t="shared" ref="AP13" si="60">AP12/AK12-1</f>
        <v>0.20105651743319197</v>
      </c>
      <c r="AQ13" s="6">
        <f t="shared" ref="AQ13" si="61">AQ12/AL12-1</f>
        <v>0.29908535586295693</v>
      </c>
    </row>
    <row r="14" spans="3:43" ht="13.5" outlineLevel="1" thickBot="1">
      <c r="C14" s="10" t="s">
        <v>13</v>
      </c>
      <c r="D14" s="11"/>
      <c r="E14" s="12">
        <f>E12/D12-1</f>
        <v>0.47619801743116885</v>
      </c>
      <c r="F14" s="12">
        <f t="shared" ref="F14" si="62">F12/E12-1</f>
        <v>0.38980306339100257</v>
      </c>
      <c r="G14" s="12">
        <f t="shared" ref="G14" si="63">G12/F12-1</f>
        <v>2.0114760965040079</v>
      </c>
      <c r="H14" s="169"/>
      <c r="I14" s="11">
        <f>I12/G12-1</f>
        <v>-0.76685723478154943</v>
      </c>
      <c r="J14" s="12">
        <f>J12/I12-1</f>
        <v>0.23498686727154761</v>
      </c>
      <c r="K14" s="12">
        <f t="shared" ref="K14" si="64">K12/J12-1</f>
        <v>-0.35634552812000231</v>
      </c>
      <c r="L14" s="12">
        <f t="shared" ref="L14" si="65">L12/K12-1</f>
        <v>5.0655573361700803</v>
      </c>
      <c r="M14" s="169"/>
      <c r="N14" s="11">
        <f>N12/L12-1</f>
        <v>-0.53619154370108646</v>
      </c>
      <c r="O14" s="12">
        <f>O12/N12-1</f>
        <v>-0.1327589311577364</v>
      </c>
      <c r="P14" s="12">
        <f t="shared" ref="P14" si="66">P12/O12-1</f>
        <v>0.21521320605377992</v>
      </c>
      <c r="Q14" s="12">
        <f t="shared" ref="Q14" si="67">Q12/P12-1</f>
        <v>2.0285817453778505</v>
      </c>
      <c r="R14" s="169"/>
      <c r="S14" s="11">
        <f>S12/Q12-1</f>
        <v>-0.30360002721644286</v>
      </c>
      <c r="T14" s="12">
        <f>T12/S12-1</f>
        <v>0.15086727014205081</v>
      </c>
      <c r="U14" s="12">
        <f t="shared" ref="U14" si="68">U12/T12-1</f>
        <v>0.17273852105222387</v>
      </c>
      <c r="V14" s="12">
        <f t="shared" ref="V14" si="69">V12/U12-1</f>
        <v>0.384495110043507</v>
      </c>
      <c r="W14" s="169"/>
      <c r="X14" s="11">
        <f>X12/V12-1</f>
        <v>-0.21385928335511806</v>
      </c>
      <c r="Y14" s="12">
        <f>Y12/X12-1</f>
        <v>0.20635421697841672</v>
      </c>
      <c r="Z14" s="12">
        <f t="shared" ref="Z14" si="70">Z12/Y12-1</f>
        <v>-3.0891185066164617E-2</v>
      </c>
      <c r="AA14" s="12">
        <f t="shared" ref="AA14" si="71">AA12/Z12-1</f>
        <v>0.41427150949721936</v>
      </c>
      <c r="AB14" s="169"/>
      <c r="AC14" s="11">
        <f>AC12/AA12-1</f>
        <v>-0.22069160278335898</v>
      </c>
      <c r="AD14" s="12">
        <f>AD12/AC12-1</f>
        <v>0.24032897214554105</v>
      </c>
      <c r="AE14" s="12">
        <f t="shared" ref="AE14" si="72">AE12/AD12-1</f>
        <v>0.20247926181377585</v>
      </c>
      <c r="AF14" s="12">
        <f t="shared" ref="AF14" si="73">AF12/AE12-1</f>
        <v>0.24398902444695914</v>
      </c>
      <c r="AG14" s="169"/>
      <c r="AH14" s="11">
        <f>AH12/AF12-1</f>
        <v>-0.22821075193779128</v>
      </c>
      <c r="AI14" s="12">
        <f>AI12/AH12-1</f>
        <v>0.17533463581612385</v>
      </c>
      <c r="AJ14" s="12">
        <f t="shared" ref="AJ14" si="74">AJ12/AI12-1</f>
        <v>0.11726563358610842</v>
      </c>
      <c r="AK14" s="12">
        <f t="shared" ref="AK14" si="75">AK12/AJ12-1</f>
        <v>0.23395386582726729</v>
      </c>
      <c r="AL14" s="169"/>
      <c r="AM14" s="11">
        <f>AM12/AK12-1</f>
        <v>-0.13598477234937467</v>
      </c>
      <c r="AN14" s="12">
        <f>AN12/AM12-1</f>
        <v>0.11423152396761349</v>
      </c>
      <c r="AO14" s="12">
        <f t="shared" ref="AO14" si="76">AO12/AN12-1</f>
        <v>0.1094530792929469</v>
      </c>
      <c r="AP14" s="12">
        <f t="shared" ref="AP14" si="77">AP12/AO12-1</f>
        <v>0.12449535615771157</v>
      </c>
      <c r="AQ14" s="169"/>
    </row>
    <row r="15" spans="3:43" s="4" customFormat="1" ht="13.5" thickBot="1">
      <c r="C15" s="259" t="s">
        <v>11</v>
      </c>
      <c r="D15" s="260">
        <f>D12+D9</f>
        <v>7.6787672300000018</v>
      </c>
      <c r="E15" s="260">
        <f t="shared" ref="E15:G15" si="78">E12+E9</f>
        <v>10.585058622999998</v>
      </c>
      <c r="F15" s="260">
        <f t="shared" si="78"/>
        <v>15.304279178999998</v>
      </c>
      <c r="G15" s="260">
        <f t="shared" si="78"/>
        <v>28.488984737999999</v>
      </c>
      <c r="H15" s="261">
        <f>SUM(D15:G15)</f>
        <v>62.057089769999997</v>
      </c>
      <c r="I15" s="260">
        <f>I12+I9</f>
        <v>18.242123712999998</v>
      </c>
      <c r="J15" s="260">
        <f t="shared" ref="J15:L15" si="79">J12+J9</f>
        <v>18.177076457999998</v>
      </c>
      <c r="K15" s="260">
        <f t="shared" si="79"/>
        <v>50.732633039</v>
      </c>
      <c r="L15" s="260">
        <f t="shared" si="79"/>
        <v>100.85159568900001</v>
      </c>
      <c r="M15" s="261">
        <f>SUM(I15:L15)</f>
        <v>188.00342889900003</v>
      </c>
      <c r="N15" s="260">
        <f>N12+N9</f>
        <v>70.110056971999995</v>
      </c>
      <c r="O15" s="260">
        <f t="shared" ref="O15:Q15" si="80">O12+O9</f>
        <v>61.985708441999996</v>
      </c>
      <c r="P15" s="260">
        <f t="shared" si="80"/>
        <v>52.447654069000002</v>
      </c>
      <c r="Q15" s="260">
        <f t="shared" si="80"/>
        <v>73.309536782999999</v>
      </c>
      <c r="R15" s="261">
        <f>SUM(N15:Q15)</f>
        <v>257.85295626599998</v>
      </c>
      <c r="S15" s="260">
        <f>S12+S9</f>
        <v>60.751768067</v>
      </c>
      <c r="T15" s="260">
        <f t="shared" ref="T15:V15" si="81">T12+T9</f>
        <v>73.718833310000008</v>
      </c>
      <c r="U15" s="260">
        <f t="shared" si="81"/>
        <v>85.571528384999993</v>
      </c>
      <c r="V15" s="260">
        <f t="shared" si="81"/>
        <v>100.626782487</v>
      </c>
      <c r="W15" s="261">
        <f>SUM(S15:V15)</f>
        <v>320.66891224900002</v>
      </c>
      <c r="X15" s="260">
        <f>X12+X9</f>
        <v>115.62441753</v>
      </c>
      <c r="Y15" s="260">
        <f t="shared" ref="Y15:AA15" si="82">Y12+Y9</f>
        <v>132.41633466499999</v>
      </c>
      <c r="Z15" s="260">
        <f t="shared" si="82"/>
        <v>136.02622864599999</v>
      </c>
      <c r="AA15" s="260">
        <f t="shared" si="82"/>
        <v>147.69019931400024</v>
      </c>
      <c r="AB15" s="261">
        <f>SUM(X15:AA15)</f>
        <v>531.75718015500024</v>
      </c>
      <c r="AC15" s="260">
        <f>AC12+AC9</f>
        <v>145.82004116599975</v>
      </c>
      <c r="AD15" s="260">
        <f t="shared" ref="AD15:AF15" si="83">AD12+AD9</f>
        <v>165.96899999999999</v>
      </c>
      <c r="AE15" s="260">
        <f t="shared" si="83"/>
        <v>180.929</v>
      </c>
      <c r="AF15" s="260">
        <f t="shared" si="83"/>
        <v>200.68</v>
      </c>
      <c r="AG15" s="261">
        <f>SUM(AC15:AF15)</f>
        <v>693.39804116599976</v>
      </c>
      <c r="AH15" s="260">
        <f>AH12+AH9</f>
        <v>255.73699999999999</v>
      </c>
      <c r="AI15" s="260">
        <f t="shared" ref="AI15:AK15" si="84">AI12+AI9</f>
        <v>314.63499999999999</v>
      </c>
      <c r="AJ15" s="260">
        <f t="shared" si="84"/>
        <v>334.20600000000002</v>
      </c>
      <c r="AK15" s="260">
        <f t="shared" si="84"/>
        <v>367.21100000000001</v>
      </c>
      <c r="AL15" s="261">
        <f>SUM(AH15:AK15)</f>
        <v>1271.789</v>
      </c>
      <c r="AM15" s="260">
        <f>AM12+AM9</f>
        <v>344.95794817087852</v>
      </c>
      <c r="AN15" s="260">
        <f t="shared" ref="AN15:AP15" si="85">AN12+AN9</f>
        <v>394.98234350000001</v>
      </c>
      <c r="AO15" s="260">
        <f t="shared" si="85"/>
        <v>415.16579080000002</v>
      </c>
      <c r="AP15" s="260">
        <f t="shared" si="85"/>
        <v>434.87938680700796</v>
      </c>
      <c r="AQ15" s="261">
        <f>SUM(AM15:AP15)</f>
        <v>1589.9854692778865</v>
      </c>
    </row>
    <row r="16" spans="3:43">
      <c r="C16" s="10" t="s">
        <v>12</v>
      </c>
      <c r="D16" s="119"/>
      <c r="E16" s="119"/>
      <c r="F16" s="119"/>
      <c r="G16" s="119"/>
      <c r="H16" s="5"/>
      <c r="I16" s="11">
        <f>I15/D15-1</f>
        <v>1.3756578584294439</v>
      </c>
      <c r="J16" s="12">
        <f t="shared" ref="J16" si="86">J15/E15-1</f>
        <v>0.71723909195018543</v>
      </c>
      <c r="K16" s="12">
        <f t="shared" ref="K16" si="87">K15/F15-1</f>
        <v>2.3149312323453666</v>
      </c>
      <c r="L16" s="12">
        <f t="shared" ref="L16" si="88">L15/G15-1</f>
        <v>2.5400206998068002</v>
      </c>
      <c r="M16" s="6">
        <f t="shared" ref="M16" si="89">M15/H15-1</f>
        <v>2.0295237755394346</v>
      </c>
      <c r="N16" s="11">
        <f>N15/I15-1</f>
        <v>2.843305641110033</v>
      </c>
      <c r="O16" s="12">
        <f t="shared" ref="O16:R16" si="90">O15/J15-1</f>
        <v>2.410103301552609</v>
      </c>
      <c r="P16" s="12">
        <f t="shared" si="90"/>
        <v>3.3805086140149765E-2</v>
      </c>
      <c r="Q16" s="12">
        <f t="shared" si="90"/>
        <v>-0.27309492445645112</v>
      </c>
      <c r="R16" s="6">
        <f t="shared" si="90"/>
        <v>0.37153326285620469</v>
      </c>
      <c r="S16" s="11">
        <f>S15/N15-1</f>
        <v>-0.13347997861045002</v>
      </c>
      <c r="T16" s="12">
        <f t="shared" ref="T16" si="91">T15/O15-1</f>
        <v>0.18928758197510476</v>
      </c>
      <c r="U16" s="12">
        <f t="shared" ref="U16" si="92">U15/P15-1</f>
        <v>0.63156064659102396</v>
      </c>
      <c r="V16" s="12">
        <f t="shared" ref="V16" si="93">V15/Q15-1</f>
        <v>0.37262881342246712</v>
      </c>
      <c r="W16" s="6">
        <f t="shared" ref="W16" si="94">W15/R15-1</f>
        <v>0.24361154082794134</v>
      </c>
      <c r="X16" s="11">
        <f>X15/S15-1</f>
        <v>0.90322720159327341</v>
      </c>
      <c r="Y16" s="12">
        <f t="shared" ref="Y16" si="95">Y15/T15-1</f>
        <v>0.7962348116412421</v>
      </c>
      <c r="Z16" s="12">
        <f t="shared" ref="Z16" si="96">Z15/U15-1</f>
        <v>0.58962018340955913</v>
      </c>
      <c r="AA16" s="12">
        <f t="shared" ref="AA16" si="97">AA15/V15-1</f>
        <v>0.46770268971961193</v>
      </c>
      <c r="AB16" s="6">
        <f t="shared" ref="AB16" si="98">AB15/W15-1</f>
        <v>0.65827481194088988</v>
      </c>
      <c r="AC16" s="11">
        <f>AC15/X15-1</f>
        <v>0.2611526551315615</v>
      </c>
      <c r="AD16" s="12">
        <f t="shared" ref="AD16" si="99">AD15/Y15-1</f>
        <v>0.25338766112115141</v>
      </c>
      <c r="AE16" s="12">
        <f t="shared" ref="AE16" si="100">AE15/Z15-1</f>
        <v>0.33010377337488905</v>
      </c>
      <c r="AF16" s="12">
        <f t="shared" ref="AF16" si="101">AF15/AA15-1</f>
        <v>0.35879023071354621</v>
      </c>
      <c r="AG16" s="6">
        <f t="shared" ref="AG16" si="102">AG15/AB15-1</f>
        <v>0.30397494767044475</v>
      </c>
      <c r="AH16" s="11">
        <f>AH15/AC15-1</f>
        <v>0.75378499385329434</v>
      </c>
      <c r="AI16" s="12">
        <f t="shared" ref="AI16" si="103">AI15/AD15-1</f>
        <v>0.89574559104411056</v>
      </c>
      <c r="AJ16" s="12">
        <f t="shared" ref="AJ16" si="104">AJ15/AE15-1</f>
        <v>0.84716656810129942</v>
      </c>
      <c r="AK16" s="12">
        <f t="shared" ref="AK16" si="105">AK15/AF15-1</f>
        <v>0.82983356587602142</v>
      </c>
      <c r="AL16" s="6">
        <f t="shared" ref="AL16" si="106">AL15/AG15-1</f>
        <v>0.83413987997628802</v>
      </c>
      <c r="AM16" s="11">
        <f>AM15/AH15-1</f>
        <v>0.34887774616453049</v>
      </c>
      <c r="AN16" s="12">
        <f t="shared" ref="AN16" si="107">AN15/AI15-1</f>
        <v>0.25536683299696472</v>
      </c>
      <c r="AO16" s="12">
        <f t="shared" ref="AO16" si="108">AO15/AJ15-1</f>
        <v>0.24224517453307248</v>
      </c>
      <c r="AP16" s="12">
        <f t="shared" ref="AP16" si="109">AP15/AK15-1</f>
        <v>0.18427657887973936</v>
      </c>
      <c r="AQ16" s="6">
        <f t="shared" ref="AQ16" si="110">AQ15/AL15-1</f>
        <v>0.25019595961113561</v>
      </c>
    </row>
    <row r="17" spans="3:43">
      <c r="C17" s="10" t="s">
        <v>13</v>
      </c>
      <c r="D17" s="119"/>
      <c r="E17" s="12">
        <f>E15/D15-1</f>
        <v>0.37848411157008011</v>
      </c>
      <c r="F17" s="12">
        <f t="shared" ref="F17" si="111">F15/E15-1</f>
        <v>0.44583792344292994</v>
      </c>
      <c r="G17" s="12">
        <f t="shared" ref="G17" si="112">G15/F15-1</f>
        <v>0.8615045115676927</v>
      </c>
      <c r="H17" s="6"/>
      <c r="I17" s="11">
        <f>I15/G15-1</f>
        <v>-0.35967799903140241</v>
      </c>
      <c r="J17" s="12">
        <f>J15/I15-1</f>
        <v>-3.5657720572108698E-3</v>
      </c>
      <c r="K17" s="12">
        <f t="shared" ref="K17:V17" si="113">K15/J15-1</f>
        <v>1.7910227013801125</v>
      </c>
      <c r="L17" s="12">
        <f t="shared" si="113"/>
        <v>0.98790383324815334</v>
      </c>
      <c r="M17" s="6"/>
      <c r="N17" s="11">
        <f>N15/L15-1</f>
        <v>-0.30481955696366858</v>
      </c>
      <c r="O17" s="12">
        <f t="shared" si="113"/>
        <v>-0.11587993051046352</v>
      </c>
      <c r="P17" s="12">
        <f t="shared" si="113"/>
        <v>-0.15387505624663056</v>
      </c>
      <c r="Q17" s="12">
        <f t="shared" si="113"/>
        <v>0.39776579304298632</v>
      </c>
      <c r="R17" s="6"/>
      <c r="S17" s="11">
        <f>S15/Q15-1</f>
        <v>-0.17129788656517686</v>
      </c>
      <c r="T17" s="12">
        <f t="shared" si="113"/>
        <v>0.21344342157580165</v>
      </c>
      <c r="U17" s="12">
        <f t="shared" si="113"/>
        <v>0.16078245602663599</v>
      </c>
      <c r="V17" s="12">
        <f t="shared" si="113"/>
        <v>0.17593765573829656</v>
      </c>
      <c r="W17" s="6"/>
      <c r="X17" s="11">
        <f>X15/V15-1</f>
        <v>0.1490421801465982</v>
      </c>
      <c r="Y17" s="12">
        <f t="shared" ref="Y17" si="114">Y15/X15-1</f>
        <v>0.14522812303589028</v>
      </c>
      <c r="Z17" s="12">
        <f t="shared" ref="Z17" si="115">Z15/Y15-1</f>
        <v>2.7261696905692689E-2</v>
      </c>
      <c r="AA17" s="12">
        <f t="shared" ref="AA17" si="116">AA15/Z15-1</f>
        <v>8.574795305363514E-2</v>
      </c>
      <c r="AB17" s="6"/>
      <c r="AC17" s="11">
        <f>AC15/AA15-1</f>
        <v>-1.2662709893324631E-2</v>
      </c>
      <c r="AD17" s="12">
        <f t="shared" ref="AD17" si="117">AD15/AC15-1</f>
        <v>0.1381768834577608</v>
      </c>
      <c r="AE17" s="12">
        <f t="shared" ref="AE17" si="118">AE15/AD15-1</f>
        <v>9.0137314799751733E-2</v>
      </c>
      <c r="AF17" s="12">
        <f t="shared" ref="AF17" si="119">AF15/AE15-1</f>
        <v>0.10916436834338339</v>
      </c>
      <c r="AG17" s="6"/>
      <c r="AH17" s="11">
        <f>AH15/AF15-1</f>
        <v>0.27435220251146086</v>
      </c>
      <c r="AI17" s="12">
        <f t="shared" ref="AI17" si="120">AI15/AH15-1</f>
        <v>0.23030691687162985</v>
      </c>
      <c r="AJ17" s="12">
        <f t="shared" ref="AJ17" si="121">AJ15/AI15-1</f>
        <v>6.2202234335023254E-2</v>
      </c>
      <c r="AK17" s="12">
        <f t="shared" ref="AK17" si="122">AK15/AJ15-1</f>
        <v>9.8756455599241066E-2</v>
      </c>
      <c r="AL17" s="6"/>
      <c r="AM17" s="11">
        <f>AM15/AK15-1</f>
        <v>-6.0600177633898467E-2</v>
      </c>
      <c r="AN17" s="12">
        <f t="shared" ref="AN17" si="123">AN15/AM15-1</f>
        <v>0.14501592322882617</v>
      </c>
      <c r="AO17" s="12">
        <f t="shared" ref="AO17" si="124">AO15/AN15-1</f>
        <v>5.1099619089682191E-2</v>
      </c>
      <c r="AP17" s="12">
        <f t="shared" ref="AP17" si="125">AP15/AO15-1</f>
        <v>4.7483671448509845E-2</v>
      </c>
      <c r="AQ17" s="6"/>
    </row>
    <row r="18" spans="3:43">
      <c r="C18" s="13"/>
      <c r="H18" s="3"/>
      <c r="M18" s="3"/>
      <c r="R18" s="3"/>
      <c r="W18" s="3"/>
      <c r="AB18" s="3"/>
      <c r="AG18" s="3"/>
      <c r="AL18" s="3"/>
      <c r="AQ18" s="3"/>
    </row>
    <row r="19" spans="3:43" hidden="1" outlineLevel="1">
      <c r="C19" s="13" t="s">
        <v>387</v>
      </c>
      <c r="D19" s="204">
        <f>Diagnostics!D26</f>
        <v>6.16173533</v>
      </c>
      <c r="E19" s="204">
        <f>Diagnostics!E26</f>
        <v>8.899974150000002</v>
      </c>
      <c r="F19" s="204">
        <f>Diagnostics!F26</f>
        <v>10.816277946000001</v>
      </c>
      <c r="G19" s="204">
        <f>Diagnostics!G26</f>
        <v>13.807413689000002</v>
      </c>
      <c r="H19" s="205">
        <f>SUM(D19:G19)</f>
        <v>39.685401115000005</v>
      </c>
      <c r="I19" s="204">
        <f>Diagnostics!I26</f>
        <v>16.832318125999997</v>
      </c>
      <c r="J19" s="204">
        <f>Diagnostics!J26</f>
        <v>17.227103360000001</v>
      </c>
      <c r="K19" s="204">
        <f>Diagnostics!K26</f>
        <v>46.356053290000006</v>
      </c>
      <c r="L19" s="204">
        <f>Diagnostics!L26</f>
        <v>71.782608772999993</v>
      </c>
      <c r="M19" s="205">
        <f>SUM(I19:L19)</f>
        <v>152.19808354899999</v>
      </c>
      <c r="N19" s="204">
        <f>Diagnostics!N26</f>
        <v>58.15209977</v>
      </c>
      <c r="O19" s="204">
        <f>Diagnostics!O26</f>
        <v>39.350143785000007</v>
      </c>
      <c r="P19" s="204">
        <f>Diagnostics!P26</f>
        <v>31.780713589999998</v>
      </c>
      <c r="Q19" s="204">
        <f>Diagnostics!Q26</f>
        <v>32.992516822000006</v>
      </c>
      <c r="R19" s="205">
        <f>SUM(N19:Q19)</f>
        <v>162.27547396700001</v>
      </c>
      <c r="S19" s="204">
        <f>Diagnostics!S26</f>
        <v>39.083505278000004</v>
      </c>
      <c r="T19" s="204">
        <f>Diagnostics!T26</f>
        <v>34.266353574999997</v>
      </c>
      <c r="U19" s="204">
        <f>Diagnostics!U26</f>
        <v>35.401600678999998</v>
      </c>
      <c r="V19" s="204">
        <f>Diagnostics!V26</f>
        <v>41.503107325999991</v>
      </c>
      <c r="W19" s="205">
        <f>SUM(S19:V19)</f>
        <v>150.25456685799998</v>
      </c>
      <c r="X19" s="204">
        <f>Diagnostics!X26</f>
        <v>45.280277962000014</v>
      </c>
      <c r="Y19" s="204">
        <f>Diagnostics!Y26</f>
        <v>46.961029611999997</v>
      </c>
      <c r="Z19" s="204">
        <f>Diagnostics!Z26</f>
        <v>46.540149183000004</v>
      </c>
      <c r="AA19" s="204">
        <f>Diagnostics!AA26</f>
        <v>50.336733724000005</v>
      </c>
      <c r="AB19" s="205">
        <f>SUM(X19:AA19)</f>
        <v>189.11819048100003</v>
      </c>
      <c r="AC19" s="204">
        <f>Diagnostics!AC26</f>
        <v>52.834756942000013</v>
      </c>
      <c r="AD19" s="204">
        <f>Diagnostics!AD26-11.327-0.136</f>
        <v>56.860999999999997</v>
      </c>
      <c r="AE19" s="204">
        <f>Diagnostics!AE26-1.083-0.026</f>
        <v>59.016999999999996</v>
      </c>
      <c r="AF19" s="204">
        <f>Diagnostics!AF26-1.215-0.293</f>
        <v>60.673999999999999</v>
      </c>
      <c r="AG19" s="205">
        <f>SUM(AC19:AF19)</f>
        <v>229.38675694200001</v>
      </c>
      <c r="AH19" s="204">
        <f>Diagnostics!AH26</f>
        <v>83.7</v>
      </c>
      <c r="AI19" s="204">
        <f>Diagnostics!AI26</f>
        <v>98.081999999999994</v>
      </c>
      <c r="AJ19" s="204">
        <f>Diagnostics!AJ26</f>
        <v>96.975999999999999</v>
      </c>
      <c r="AK19" s="204">
        <f>Diagnostics!AK26</f>
        <v>100.747</v>
      </c>
      <c r="AL19" s="205">
        <f>SUM(AH19:AK19)</f>
        <v>379.505</v>
      </c>
      <c r="AM19" s="204">
        <f>Diagnostics!AM26</f>
        <v>101.809618</v>
      </c>
      <c r="AN19" s="204">
        <f>Diagnostics!AN26</f>
        <v>118.8394112</v>
      </c>
      <c r="AO19" s="204">
        <f>Diagnostics!AO26</f>
        <v>120.2998152</v>
      </c>
      <c r="AP19" s="204">
        <f>Diagnostics!AP26</f>
        <v>118.25090399999999</v>
      </c>
      <c r="AQ19" s="205">
        <f>SUM(AM19:AP19)</f>
        <v>459.19974839999998</v>
      </c>
    </row>
    <row r="20" spans="3:43" hidden="1" outlineLevel="1">
      <c r="C20" s="13"/>
      <c r="D20" s="14"/>
      <c r="E20" s="14"/>
      <c r="F20" s="14"/>
      <c r="G20" s="14"/>
      <c r="H20" s="7"/>
      <c r="I20" s="14"/>
      <c r="J20" s="14"/>
      <c r="K20" s="14"/>
      <c r="L20" s="14"/>
      <c r="M20" s="7"/>
      <c r="N20" s="14"/>
      <c r="O20" s="14"/>
      <c r="P20" s="14"/>
      <c r="Q20" s="14"/>
      <c r="R20" s="1"/>
      <c r="S20" s="14"/>
      <c r="T20" s="14"/>
      <c r="U20" s="14"/>
      <c r="V20" s="14"/>
      <c r="W20" s="1"/>
      <c r="X20" s="14"/>
      <c r="Y20" s="14"/>
      <c r="Z20" s="14"/>
      <c r="AA20" s="14"/>
      <c r="AB20" s="1"/>
      <c r="AC20" s="14"/>
      <c r="AD20" s="14"/>
      <c r="AE20" s="14"/>
      <c r="AF20" s="14"/>
      <c r="AG20" s="1"/>
      <c r="AH20" s="14"/>
      <c r="AI20" s="14"/>
      <c r="AJ20" s="14"/>
      <c r="AK20" s="14"/>
      <c r="AL20" s="1"/>
      <c r="AM20" s="14"/>
      <c r="AN20" s="14"/>
      <c r="AO20" s="14"/>
      <c r="AP20" s="14"/>
      <c r="AQ20" s="1"/>
    </row>
    <row r="21" spans="3:43" hidden="1" outlineLevel="1">
      <c r="C21" s="13" t="s">
        <v>134</v>
      </c>
      <c r="D21" s="204">
        <f>'Data &amp; Other'!D19</f>
        <v>1.8783008499999998</v>
      </c>
      <c r="E21" s="204">
        <f>'Data &amp; Other'!E19</f>
        <v>1.77943249</v>
      </c>
      <c r="F21" s="204">
        <f>'Data &amp; Other'!F19</f>
        <v>1.2114378000000001</v>
      </c>
      <c r="G21" s="204">
        <f>'Data &amp; Other'!G19</f>
        <v>1.4606136599999999</v>
      </c>
      <c r="H21" s="205">
        <f>SUM(D21:G21)</f>
        <v>6.3297848000000005</v>
      </c>
      <c r="I21" s="204">
        <f>'Data &amp; Other'!I19</f>
        <v>1.4114719700000002</v>
      </c>
      <c r="J21" s="204">
        <f>'Data &amp; Other'!J19</f>
        <v>1.4778680399999999</v>
      </c>
      <c r="K21" s="204">
        <f>'Data &amp; Other'!K19</f>
        <v>2.1382458999999998</v>
      </c>
      <c r="L21" s="204">
        <f>'Data &amp; Other'!L19</f>
        <v>2.0641283500000003</v>
      </c>
      <c r="M21" s="205">
        <f>SUM(I21:L21)</f>
        <v>7.0917142599999998</v>
      </c>
      <c r="N21" s="204">
        <f>'Data &amp; Other'!N19</f>
        <v>2.24948799</v>
      </c>
      <c r="O21" s="204">
        <f>'Data &amp; Other'!O19</f>
        <v>2.6678312100000001</v>
      </c>
      <c r="P21" s="204">
        <f>'Data &amp; Other'!P19</f>
        <v>3.0303307099999999</v>
      </c>
      <c r="Q21" s="204">
        <f>'Data &amp; Other'!Q19</f>
        <v>3.9851527300000003</v>
      </c>
      <c r="R21" s="205">
        <f>SUM(N21:Q21)</f>
        <v>11.932802639999998</v>
      </c>
      <c r="S21" s="204">
        <f>'Data &amp; Other'!S19</f>
        <v>7.7879838499999998</v>
      </c>
      <c r="T21" s="204">
        <f>'Data &amp; Other'!T19</f>
        <v>10.6132113</v>
      </c>
      <c r="U21" s="204">
        <f>'Data &amp; Other'!U19</f>
        <v>11.101333100000002</v>
      </c>
      <c r="V21" s="204">
        <f>'Data &amp; Other'!V19</f>
        <v>10.724350715</v>
      </c>
      <c r="W21" s="205">
        <f>SUM(S21:V21)</f>
        <v>40.226878964999997</v>
      </c>
      <c r="X21" s="204">
        <f>'Data &amp; Other'!X19</f>
        <v>11.392877174999999</v>
      </c>
      <c r="Y21" s="204">
        <f>'Data &amp; Other'!Y19</f>
        <v>13.806998400000001</v>
      </c>
      <c r="Z21" s="204">
        <f>'Data &amp; Other'!Z19</f>
        <v>15.489290577000002</v>
      </c>
      <c r="AA21" s="204">
        <f>'Data &amp; Other'!AA19</f>
        <v>15.792870279999999</v>
      </c>
      <c r="AB21" s="205">
        <f>SUM(X21:AA21)</f>
        <v>56.482036432000001</v>
      </c>
      <c r="AC21" s="204">
        <f>'Data &amp; Other'!AC19</f>
        <v>15.288271279000002</v>
      </c>
      <c r="AD21" s="204">
        <f>'Data &amp; Other'!AD19-7.229-0.119</f>
        <v>14.784000000000002</v>
      </c>
      <c r="AE21" s="204">
        <f>'Data &amp; Other'!AE19-0.916-0.043</f>
        <v>14.005000000000001</v>
      </c>
      <c r="AF21" s="204">
        <f>'Data &amp; Other'!AF19-0.385-0.202</f>
        <v>15.847</v>
      </c>
      <c r="AG21" s="205">
        <f>SUM(AC21:AF21)</f>
        <v>59.92427127900001</v>
      </c>
      <c r="AH21" s="204">
        <f>'Data &amp; Other'!AH19</f>
        <v>15.095999999999998</v>
      </c>
      <c r="AI21" s="204">
        <f>'Data &amp; Other'!AI19</f>
        <v>19.032999999999998</v>
      </c>
      <c r="AJ21" s="204">
        <f>'Data &amp; Other'!AJ19</f>
        <v>24.664999999999999</v>
      </c>
      <c r="AK21" s="204">
        <f>'Data &amp; Other'!AK19</f>
        <v>25.637</v>
      </c>
      <c r="AL21" s="205">
        <f>SUM(AH21:AK21)</f>
        <v>84.430999999999997</v>
      </c>
      <c r="AM21" s="204">
        <f>'Data &amp; Other'!AM19</f>
        <v>21.112614005214446</v>
      </c>
      <c r="AN21" s="204">
        <f>'Data &amp; Other'!AN19</f>
        <v>23.097934199999997</v>
      </c>
      <c r="AO21" s="204">
        <f>'Data &amp; Other'!AO19</f>
        <v>23.672625375999996</v>
      </c>
      <c r="AP21" s="204">
        <f>'Data &amp; Other'!AP19</f>
        <v>25.339939367400792</v>
      </c>
      <c r="AQ21" s="205">
        <f>SUM(AM21:AP21)</f>
        <v>93.223112948615224</v>
      </c>
    </row>
    <row r="22" spans="3:43" hidden="1" outlineLevel="1">
      <c r="C22" s="13"/>
      <c r="D22" s="14"/>
      <c r="E22" s="14"/>
      <c r="F22" s="14"/>
      <c r="G22" s="14"/>
      <c r="H22" s="7"/>
      <c r="I22" s="14"/>
      <c r="J22" s="14"/>
      <c r="K22" s="14"/>
      <c r="L22" s="14"/>
      <c r="M22" s="7"/>
      <c r="N22" s="14"/>
      <c r="O22" s="14"/>
      <c r="P22" s="14"/>
      <c r="Q22" s="14"/>
      <c r="R22" s="1"/>
      <c r="S22" s="14"/>
      <c r="T22" s="14"/>
      <c r="U22" s="14"/>
      <c r="V22" s="14"/>
      <c r="W22" s="1"/>
      <c r="X22" s="14"/>
      <c r="Y22" s="14"/>
      <c r="Z22" s="14"/>
      <c r="AA22" s="14"/>
      <c r="AB22" s="1"/>
      <c r="AC22" s="14"/>
      <c r="AD22" s="14"/>
      <c r="AE22" s="14"/>
      <c r="AF22" s="14"/>
      <c r="AG22" s="1"/>
      <c r="AH22" s="14"/>
      <c r="AI22" s="14"/>
      <c r="AJ22" s="14"/>
      <c r="AK22" s="14"/>
      <c r="AL22" s="1"/>
      <c r="AM22" s="14"/>
      <c r="AN22" s="14"/>
      <c r="AO22" s="14"/>
      <c r="AP22" s="14"/>
      <c r="AQ22" s="1"/>
    </row>
    <row r="23" spans="3:43" collapsed="1">
      <c r="C23" s="16" t="s">
        <v>135</v>
      </c>
      <c r="D23" s="206">
        <f>D19+D21</f>
        <v>8.0400361799999995</v>
      </c>
      <c r="E23" s="206">
        <f t="shared" ref="E23:G23" si="126">E19+E21</f>
        <v>10.679406640000002</v>
      </c>
      <c r="F23" s="206">
        <f t="shared" si="126"/>
        <v>12.027715746000002</v>
      </c>
      <c r="G23" s="206">
        <f t="shared" si="126"/>
        <v>15.268027349000002</v>
      </c>
      <c r="H23" s="207">
        <f>SUM(D23:G23)</f>
        <v>46.015185915000004</v>
      </c>
      <c r="I23" s="206">
        <f>I19+I21</f>
        <v>18.243790095999998</v>
      </c>
      <c r="J23" s="206">
        <f t="shared" ref="J23:L23" si="127">J19+J21</f>
        <v>18.704971400000002</v>
      </c>
      <c r="K23" s="206">
        <f t="shared" si="127"/>
        <v>48.494299190000007</v>
      </c>
      <c r="L23" s="206">
        <f t="shared" si="127"/>
        <v>73.846737122999997</v>
      </c>
      <c r="M23" s="207">
        <f>SUM(I23:L23)</f>
        <v>159.28979780899999</v>
      </c>
      <c r="N23" s="206">
        <f>N19+N21</f>
        <v>60.401587759999998</v>
      </c>
      <c r="O23" s="206">
        <f t="shared" ref="O23:Q23" si="128">O19+O21</f>
        <v>42.01797499500001</v>
      </c>
      <c r="P23" s="206">
        <f t="shared" si="128"/>
        <v>34.811044299999999</v>
      </c>
      <c r="Q23" s="206">
        <f t="shared" si="128"/>
        <v>36.977669552000009</v>
      </c>
      <c r="R23" s="207">
        <f>SUM(N23:Q23)</f>
        <v>174.20827660700002</v>
      </c>
      <c r="S23" s="206">
        <f>S19+S21</f>
        <v>46.871489128000007</v>
      </c>
      <c r="T23" s="206">
        <f t="shared" ref="T23:V23" si="129">T19+T21</f>
        <v>44.879564875</v>
      </c>
      <c r="U23" s="206">
        <f t="shared" si="129"/>
        <v>46.502933779000003</v>
      </c>
      <c r="V23" s="206">
        <f t="shared" si="129"/>
        <v>52.227458040999991</v>
      </c>
      <c r="W23" s="207">
        <f>SUM(S23:V23)</f>
        <v>190.481445823</v>
      </c>
      <c r="X23" s="206">
        <f>X19+X21</f>
        <v>56.673155137000009</v>
      </c>
      <c r="Y23" s="206">
        <f t="shared" ref="Y23:AA23" si="130">Y19+Y21</f>
        <v>60.768028012000002</v>
      </c>
      <c r="Z23" s="206">
        <f t="shared" si="130"/>
        <v>62.029439760000002</v>
      </c>
      <c r="AA23" s="206">
        <f t="shared" si="130"/>
        <v>66.129604004000001</v>
      </c>
      <c r="AB23" s="207">
        <f>SUM(X23:AA23)</f>
        <v>245.60022691300003</v>
      </c>
      <c r="AC23" s="206">
        <f>AC19+AC21</f>
        <v>68.123028221000013</v>
      </c>
      <c r="AD23" s="206">
        <f t="shared" ref="AD23:AF23" si="131">AD19+AD21</f>
        <v>71.644999999999996</v>
      </c>
      <c r="AE23" s="206">
        <f t="shared" si="131"/>
        <v>73.021999999999991</v>
      </c>
      <c r="AF23" s="206">
        <f t="shared" si="131"/>
        <v>76.521000000000001</v>
      </c>
      <c r="AG23" s="207">
        <f>SUM(AC23:AF23)</f>
        <v>289.31102822100002</v>
      </c>
      <c r="AH23" s="206">
        <f>AH19+AH21</f>
        <v>98.796000000000006</v>
      </c>
      <c r="AI23" s="206">
        <f t="shared" ref="AI23:AK23" si="132">AI19+AI21</f>
        <v>117.11499999999999</v>
      </c>
      <c r="AJ23" s="206">
        <f t="shared" si="132"/>
        <v>121.64099999999999</v>
      </c>
      <c r="AK23" s="206">
        <f t="shared" si="132"/>
        <v>126.384</v>
      </c>
      <c r="AL23" s="207">
        <f>SUM(AH23:AK23)</f>
        <v>463.93600000000004</v>
      </c>
      <c r="AM23" s="206">
        <f>AM19+AM21</f>
        <v>122.92223200521445</v>
      </c>
      <c r="AN23" s="206">
        <f t="shared" ref="AN23:AP23" si="133">AN19+AN21</f>
        <v>141.9373454</v>
      </c>
      <c r="AO23" s="206">
        <f t="shared" si="133"/>
        <v>143.972440576</v>
      </c>
      <c r="AP23" s="206">
        <f t="shared" si="133"/>
        <v>143.59084336740079</v>
      </c>
      <c r="AQ23" s="207">
        <f>SUM(AM23:AP23)</f>
        <v>552.42286134861524</v>
      </c>
    </row>
    <row r="24" spans="3:43" ht="13.5" thickBot="1">
      <c r="C24" s="13"/>
      <c r="D24" s="14"/>
      <c r="E24" s="14"/>
      <c r="F24" s="14"/>
      <c r="G24" s="14"/>
      <c r="H24" s="7"/>
      <c r="I24" s="14"/>
      <c r="J24" s="14"/>
      <c r="K24" s="14"/>
      <c r="L24" s="14"/>
      <c r="M24" s="7"/>
      <c r="N24" s="14"/>
      <c r="O24" s="14"/>
      <c r="P24" s="14"/>
      <c r="Q24" s="14"/>
      <c r="R24" s="1"/>
      <c r="S24" s="14"/>
      <c r="T24" s="14"/>
      <c r="U24" s="14"/>
      <c r="V24" s="14"/>
      <c r="W24" s="1"/>
      <c r="X24" s="14"/>
      <c r="Y24" s="14"/>
      <c r="Z24" s="14"/>
      <c r="AA24" s="14"/>
      <c r="AB24" s="1"/>
      <c r="AC24" s="14"/>
      <c r="AD24" s="14"/>
      <c r="AE24" s="14"/>
      <c r="AF24" s="14"/>
      <c r="AG24" s="1"/>
      <c r="AH24" s="14"/>
      <c r="AI24" s="14"/>
      <c r="AJ24" s="14"/>
      <c r="AK24" s="14"/>
      <c r="AL24" s="1"/>
      <c r="AM24" s="14"/>
      <c r="AN24" s="14"/>
      <c r="AO24" s="14"/>
      <c r="AP24" s="14"/>
      <c r="AQ24" s="1"/>
    </row>
    <row r="25" spans="3:43" ht="13.5" thickBot="1">
      <c r="C25" s="8" t="s">
        <v>184</v>
      </c>
      <c r="D25" s="208">
        <f>D15-D23</f>
        <v>-0.3612689499999977</v>
      </c>
      <c r="E25" s="208">
        <f t="shared" ref="E25:G25" si="134">E15-E23</f>
        <v>-9.4348017000003281E-2</v>
      </c>
      <c r="F25" s="208">
        <f t="shared" si="134"/>
        <v>3.2765634329999962</v>
      </c>
      <c r="G25" s="208">
        <f t="shared" si="134"/>
        <v>13.220957388999997</v>
      </c>
      <c r="H25" s="209">
        <f>SUM(D25:G25)</f>
        <v>16.041903854999994</v>
      </c>
      <c r="I25" s="208">
        <f>I15-I23</f>
        <v>-1.6663829999998825E-3</v>
      </c>
      <c r="J25" s="208">
        <f t="shared" ref="J25:L25" si="135">J15-J23</f>
        <v>-0.5278949420000032</v>
      </c>
      <c r="K25" s="208">
        <f t="shared" si="135"/>
        <v>2.2383338489999929</v>
      </c>
      <c r="L25" s="208">
        <f t="shared" si="135"/>
        <v>27.00485856600001</v>
      </c>
      <c r="M25" s="209">
        <f>SUM(I25:L25)</f>
        <v>28.71363109</v>
      </c>
      <c r="N25" s="208">
        <f>N15-N23</f>
        <v>9.7084692119999971</v>
      </c>
      <c r="O25" s="208">
        <f t="shared" ref="O25:Q25" si="136">O15-O23</f>
        <v>19.967733446999986</v>
      </c>
      <c r="P25" s="208">
        <f t="shared" si="136"/>
        <v>17.636609769000003</v>
      </c>
      <c r="Q25" s="208">
        <f t="shared" si="136"/>
        <v>36.33186723099999</v>
      </c>
      <c r="R25" s="209">
        <f>SUM(N25:Q25)</f>
        <v>83.644679658999976</v>
      </c>
      <c r="S25" s="208">
        <f>S15-S23</f>
        <v>13.880278938999993</v>
      </c>
      <c r="T25" s="208">
        <f t="shared" ref="T25:V25" si="137">T15-T23</f>
        <v>28.839268435000008</v>
      </c>
      <c r="U25" s="208">
        <f t="shared" si="137"/>
        <v>39.068594605999991</v>
      </c>
      <c r="V25" s="208">
        <f t="shared" si="137"/>
        <v>48.399324446000008</v>
      </c>
      <c r="W25" s="209">
        <f>SUM(S25:V25)</f>
        <v>130.18746642600001</v>
      </c>
      <c r="X25" s="208">
        <f>X15-X23</f>
        <v>58.951262392999993</v>
      </c>
      <c r="Y25" s="208">
        <f t="shared" ref="Y25:AA25" si="138">Y15-Y23</f>
        <v>71.648306652999992</v>
      </c>
      <c r="Z25" s="208">
        <f t="shared" si="138"/>
        <v>73.99678888599999</v>
      </c>
      <c r="AA25" s="208">
        <f t="shared" si="138"/>
        <v>81.560595310000238</v>
      </c>
      <c r="AB25" s="209">
        <f>SUM(X25:AA25)</f>
        <v>286.15695324200021</v>
      </c>
      <c r="AC25" s="208">
        <f>AC15-AC23</f>
        <v>77.697012944999742</v>
      </c>
      <c r="AD25" s="208">
        <f t="shared" ref="AD25:AF25" si="139">AD15-AD23</f>
        <v>94.323999999999998</v>
      </c>
      <c r="AE25" s="208">
        <f t="shared" si="139"/>
        <v>107.90700000000001</v>
      </c>
      <c r="AF25" s="208">
        <f t="shared" si="139"/>
        <v>124.15900000000001</v>
      </c>
      <c r="AG25" s="209">
        <f>SUM(AC25:AF25)</f>
        <v>404.08701294499974</v>
      </c>
      <c r="AH25" s="208">
        <f>AH15-AH23</f>
        <v>156.94099999999997</v>
      </c>
      <c r="AI25" s="208">
        <f t="shared" ref="AI25:AK25" si="140">AI15-AI23</f>
        <v>197.51999999999998</v>
      </c>
      <c r="AJ25" s="208">
        <f t="shared" si="140"/>
        <v>212.56500000000003</v>
      </c>
      <c r="AK25" s="208">
        <f t="shared" si="140"/>
        <v>240.827</v>
      </c>
      <c r="AL25" s="209">
        <f>SUM(AH25:AK25)</f>
        <v>807.85299999999995</v>
      </c>
      <c r="AM25" s="208">
        <f>AM15-AM23</f>
        <v>222.03571616566407</v>
      </c>
      <c r="AN25" s="208">
        <f t="shared" ref="AN25:AP25" si="141">AN15-AN23</f>
        <v>253.04499810000002</v>
      </c>
      <c r="AO25" s="208">
        <f t="shared" si="141"/>
        <v>271.19335022400003</v>
      </c>
      <c r="AP25" s="208">
        <f t="shared" si="141"/>
        <v>291.28854343960717</v>
      </c>
      <c r="AQ25" s="209">
        <f>SUM(AM25:AP25)</f>
        <v>1037.5626079292713</v>
      </c>
    </row>
    <row r="26" spans="3:43">
      <c r="C26" s="10" t="s">
        <v>34</v>
      </c>
      <c r="D26" s="12">
        <f t="shared" ref="D26:AG26" si="142">D25/D15</f>
        <v>-4.7047779829627365E-2</v>
      </c>
      <c r="E26" s="12">
        <f t="shared" si="142"/>
        <v>-8.9133202148731546E-3</v>
      </c>
      <c r="F26" s="12">
        <f t="shared" si="142"/>
        <v>0.21409459371964301</v>
      </c>
      <c r="G26" s="12">
        <f t="shared" si="142"/>
        <v>0.46407260597690719</v>
      </c>
      <c r="H26" s="6">
        <f t="shared" si="142"/>
        <v>0.25850235508070935</v>
      </c>
      <c r="I26" s="12">
        <f t="shared" si="142"/>
        <v>-9.1348081298909167E-5</v>
      </c>
      <c r="J26" s="12">
        <f t="shared" si="142"/>
        <v>-2.9041795759607365E-2</v>
      </c>
      <c r="K26" s="12">
        <f t="shared" si="142"/>
        <v>4.4120198675264996E-2</v>
      </c>
      <c r="L26" s="12">
        <f t="shared" si="142"/>
        <v>0.26776828250963863</v>
      </c>
      <c r="M26" s="6">
        <f t="shared" si="142"/>
        <v>0.15272929466316093</v>
      </c>
      <c r="N26" s="12">
        <f t="shared" si="142"/>
        <v>0.13847470150933253</v>
      </c>
      <c r="O26" s="12">
        <f t="shared" si="142"/>
        <v>0.32213447178205257</v>
      </c>
      <c r="P26" s="12">
        <f t="shared" si="142"/>
        <v>0.33627070804343934</v>
      </c>
      <c r="Q26" s="12">
        <f t="shared" si="142"/>
        <v>0.49559537306236412</v>
      </c>
      <c r="R26" s="6">
        <f t="shared" si="142"/>
        <v>0.32438906604085038</v>
      </c>
      <c r="S26" s="12">
        <f t="shared" si="142"/>
        <v>0.22847530830200938</v>
      </c>
      <c r="T26" s="12">
        <f t="shared" si="142"/>
        <v>0.39120625137576537</v>
      </c>
      <c r="U26" s="12">
        <f t="shared" si="142"/>
        <v>0.45656067319756327</v>
      </c>
      <c r="V26" s="12">
        <f t="shared" si="142"/>
        <v>0.48097855511034282</v>
      </c>
      <c r="W26" s="6">
        <f t="shared" si="142"/>
        <v>0.40598717696996212</v>
      </c>
      <c r="X26" s="12">
        <f t="shared" si="142"/>
        <v>0.50985132424735846</v>
      </c>
      <c r="Y26" s="12">
        <f t="shared" si="142"/>
        <v>0.54108359693132269</v>
      </c>
      <c r="Z26" s="12">
        <f t="shared" si="142"/>
        <v>0.54398912344009875</v>
      </c>
      <c r="AA26" s="12">
        <f t="shared" si="142"/>
        <v>0.55224108091692936</v>
      </c>
      <c r="AB26" s="6">
        <f t="shared" si="142"/>
        <v>0.5381346297168742</v>
      </c>
      <c r="AC26" s="12">
        <f t="shared" si="142"/>
        <v>0.53282808264023473</v>
      </c>
      <c r="AD26" s="12">
        <f t="shared" si="142"/>
        <v>0.56832300007832792</v>
      </c>
      <c r="AE26" s="12">
        <f t="shared" si="142"/>
        <v>0.59640521972707528</v>
      </c>
      <c r="AF26" s="12">
        <f t="shared" si="142"/>
        <v>0.61869144907315132</v>
      </c>
      <c r="AG26" s="6">
        <f t="shared" si="142"/>
        <v>0.58276341863541714</v>
      </c>
      <c r="AH26" s="12">
        <f t="shared" ref="AH26" si="143">AH25/AH15</f>
        <v>0.61368124283932313</v>
      </c>
      <c r="AI26" s="12">
        <f t="shared" ref="AI26" si="144">AI25/AI15</f>
        <v>0.62777504092043157</v>
      </c>
      <c r="AJ26" s="12">
        <f t="shared" ref="AJ26" si="145">AJ25/AJ15</f>
        <v>0.63602987379041676</v>
      </c>
      <c r="AK26" s="12">
        <f t="shared" ref="AK26" si="146">AK25/AK15</f>
        <v>0.65582730364831121</v>
      </c>
      <c r="AL26" s="6">
        <f t="shared" ref="AL26" si="147">AL25/AL15</f>
        <v>0.63520992869100135</v>
      </c>
      <c r="AM26" s="12">
        <f t="shared" ref="AM26" si="148">AM25/AM15</f>
        <v>0.64366024132215782</v>
      </c>
      <c r="AN26" s="12">
        <f t="shared" ref="AN26" si="149">AN25/AN15</f>
        <v>0.64064888535960596</v>
      </c>
      <c r="AO26" s="12">
        <f t="shared" ref="AO26" si="150">AO25/AO15</f>
        <v>0.65321699483338069</v>
      </c>
      <c r="AP26" s="12">
        <f t="shared" ref="AP26" si="151">AP25/AP15</f>
        <v>0.66981455611938678</v>
      </c>
      <c r="AQ26" s="6">
        <f t="shared" ref="AQ26" si="152">AQ25/AQ15</f>
        <v>0.65256106296398697</v>
      </c>
    </row>
    <row r="27" spans="3:43">
      <c r="C27" s="13"/>
      <c r="H27" s="3"/>
      <c r="M27" s="3"/>
      <c r="N27" s="14"/>
      <c r="R27" s="3"/>
      <c r="W27" s="3"/>
      <c r="AB27" s="3"/>
      <c r="AG27" s="3"/>
      <c r="AL27" s="3"/>
      <c r="AQ27" s="3"/>
    </row>
    <row r="28" spans="3:43">
      <c r="C28" s="16" t="s">
        <v>35</v>
      </c>
      <c r="D28" s="4"/>
      <c r="E28" s="4"/>
      <c r="F28" s="4"/>
      <c r="G28" s="4"/>
      <c r="H28" s="3"/>
      <c r="M28" s="3"/>
      <c r="R28" s="3"/>
      <c r="W28" s="3"/>
      <c r="AB28" s="3"/>
      <c r="AG28" s="3"/>
      <c r="AL28" s="3"/>
      <c r="AQ28" s="3"/>
    </row>
    <row r="29" spans="3:43">
      <c r="C29" s="17" t="s">
        <v>143</v>
      </c>
      <c r="D29" s="232">
        <v>4.7624655799999998</v>
      </c>
      <c r="E29" s="232">
        <v>6.0944847799999993</v>
      </c>
      <c r="F29" s="232">
        <v>6.911935950000001</v>
      </c>
      <c r="G29" s="232">
        <v>7.8389730599999998</v>
      </c>
      <c r="H29" s="231">
        <v>25.607859369999996</v>
      </c>
      <c r="I29" s="232">
        <v>9.5086660400000014</v>
      </c>
      <c r="J29" s="232">
        <v>11.38650251</v>
      </c>
      <c r="K29" s="232">
        <v>11.904751800000001</v>
      </c>
      <c r="L29" s="232">
        <v>13.06149387</v>
      </c>
      <c r="M29" s="231">
        <v>45.861414220000007</v>
      </c>
      <c r="N29" s="232">
        <v>15.568638699999999</v>
      </c>
      <c r="O29" s="232">
        <v>16.7245518</v>
      </c>
      <c r="P29" s="232">
        <v>17.249761149999998</v>
      </c>
      <c r="Q29" s="232">
        <v>17.647215955292747</v>
      </c>
      <c r="R29" s="231">
        <v>67.190167605292743</v>
      </c>
      <c r="S29" s="232">
        <v>18.376444604999996</v>
      </c>
      <c r="T29" s="232">
        <v>19.492076599000001</v>
      </c>
      <c r="U29" s="232">
        <v>20.389382750999999</v>
      </c>
      <c r="V29" s="232">
        <v>20.822456535999997</v>
      </c>
      <c r="W29" s="233">
        <v>79.080360490999993</v>
      </c>
      <c r="X29" s="232">
        <v>22.902142730000001</v>
      </c>
      <c r="Y29" s="232">
        <v>23.417788534999996</v>
      </c>
      <c r="Z29" s="232">
        <v>24.156428486000003</v>
      </c>
      <c r="AA29" s="232">
        <v>24.669380585999999</v>
      </c>
      <c r="AB29" s="233">
        <v>95.556287033563905</v>
      </c>
      <c r="AC29" s="204">
        <v>27.050990458000001</v>
      </c>
      <c r="AD29" s="204">
        <f>77.908-50.434-1.248</f>
        <v>26.226000000000003</v>
      </c>
      <c r="AE29" s="204">
        <f>30.68-3.929-0.192</f>
        <v>26.559000000000001</v>
      </c>
      <c r="AF29" s="204">
        <f>31.864-4.11-1.306</f>
        <v>26.448</v>
      </c>
      <c r="AG29" s="205">
        <f>SUM(AC29:AF29)</f>
        <v>106.28399045800001</v>
      </c>
      <c r="AH29" s="204">
        <f>33.391-3.319-0.261</f>
        <v>29.811</v>
      </c>
      <c r="AI29" s="204">
        <f>34.482-3.285-0.495</f>
        <v>30.701999999999998</v>
      </c>
      <c r="AJ29" s="204">
        <f>38.087-5.463-0.278</f>
        <v>32.346000000000004</v>
      </c>
      <c r="AK29" s="204">
        <f>40.147-6.995-0.186</f>
        <v>32.966000000000001</v>
      </c>
      <c r="AL29" s="205">
        <f>SUM(AH29:AK29)</f>
        <v>125.82500000000002</v>
      </c>
      <c r="AM29" s="204">
        <f>AM15*AM30</f>
        <v>37.945374298796636</v>
      </c>
      <c r="AN29" s="204">
        <f t="shared" ref="AN29:AP29" si="153">AN15*AN30</f>
        <v>39.498234350000004</v>
      </c>
      <c r="AO29" s="204">
        <f t="shared" si="153"/>
        <v>41.516579080000007</v>
      </c>
      <c r="AP29" s="204">
        <f t="shared" si="153"/>
        <v>43.4879386807008</v>
      </c>
      <c r="AQ29" s="205">
        <f>SUM(AM29:AP29)</f>
        <v>162.44812640949746</v>
      </c>
    </row>
    <row r="30" spans="3:43">
      <c r="C30" s="22" t="s">
        <v>19</v>
      </c>
      <c r="D30" s="12">
        <f t="shared" ref="D30" si="154">D29/D15</f>
        <v>0.6202122602953285</v>
      </c>
      <c r="E30" s="12">
        <f t="shared" ref="E30" si="155">E29/E15</f>
        <v>0.57576296901723834</v>
      </c>
      <c r="F30" s="12">
        <f>F29/F15</f>
        <v>0.45163420433968038</v>
      </c>
      <c r="G30" s="12">
        <f>G29/G15</f>
        <v>0.27515803501217767</v>
      </c>
      <c r="H30" s="6">
        <f>H29/H15</f>
        <v>0.41265002056831063</v>
      </c>
      <c r="I30" s="12">
        <f t="shared" ref="I30:J30" si="156">I29/I15</f>
        <v>0.52124775544767199</v>
      </c>
      <c r="J30" s="12">
        <f t="shared" si="156"/>
        <v>0.62642100539708256</v>
      </c>
      <c r="K30" s="12">
        <f t="shared" ref="K30:AF30" si="157">K29/K15</f>
        <v>0.23465669110547427</v>
      </c>
      <c r="L30" s="12">
        <f t="shared" si="157"/>
        <v>0.12951201992161074</v>
      </c>
      <c r="M30" s="6">
        <f t="shared" si="157"/>
        <v>0.2439392434945315</v>
      </c>
      <c r="N30" s="12">
        <f t="shared" si="157"/>
        <v>0.22205999213804206</v>
      </c>
      <c r="O30" s="12">
        <f t="shared" si="157"/>
        <v>0.26981302981556077</v>
      </c>
      <c r="P30" s="12">
        <f t="shared" si="157"/>
        <v>0.32889480866591775</v>
      </c>
      <c r="Q30" s="12">
        <f t="shared" si="157"/>
        <v>0.24072196783249927</v>
      </c>
      <c r="R30" s="6">
        <f t="shared" si="157"/>
        <v>0.26057551783885563</v>
      </c>
      <c r="S30" s="12">
        <f t="shared" si="157"/>
        <v>0.3024841118160308</v>
      </c>
      <c r="T30" s="12">
        <f t="shared" si="157"/>
        <v>0.26441108362407967</v>
      </c>
      <c r="U30" s="12">
        <f t="shared" si="157"/>
        <v>0.23827297625519678</v>
      </c>
      <c r="V30" s="12">
        <f t="shared" si="157"/>
        <v>0.20692757953072838</v>
      </c>
      <c r="W30" s="6">
        <f t="shared" si="157"/>
        <v>0.24661062382496854</v>
      </c>
      <c r="X30" s="12">
        <f t="shared" si="157"/>
        <v>0.19807358358417498</v>
      </c>
      <c r="Y30" s="12">
        <f t="shared" si="157"/>
        <v>0.17684969603066453</v>
      </c>
      <c r="Z30" s="12">
        <f t="shared" si="157"/>
        <v>0.17758654875939878</v>
      </c>
      <c r="AA30" s="12">
        <f t="shared" si="157"/>
        <v>0.16703464888385097</v>
      </c>
      <c r="AB30" s="6">
        <f>AB29/AB15</f>
        <v>0.17969910064159453</v>
      </c>
      <c r="AC30" s="12">
        <f t="shared" si="157"/>
        <v>0.18550941449265868</v>
      </c>
      <c r="AD30" s="12">
        <f t="shared" si="157"/>
        <v>0.15801746109213169</v>
      </c>
      <c r="AE30" s="12">
        <f t="shared" si="157"/>
        <v>0.14679238817436674</v>
      </c>
      <c r="AF30" s="12">
        <f t="shared" si="157"/>
        <v>0.13179190751445086</v>
      </c>
      <c r="AG30" s="393">
        <f t="shared" ref="AG30:AL30" si="158">AG29/AG15</f>
        <v>0.15327991160643556</v>
      </c>
      <c r="AH30" s="394">
        <f t="shared" si="158"/>
        <v>0.11656897515807255</v>
      </c>
      <c r="AI30" s="394">
        <f t="shared" si="158"/>
        <v>9.757973524878033E-2</v>
      </c>
      <c r="AJ30" s="394">
        <f t="shared" si="158"/>
        <v>9.6784617870415257E-2</v>
      </c>
      <c r="AK30" s="394">
        <f t="shared" si="158"/>
        <v>8.9773999144905789E-2</v>
      </c>
      <c r="AL30" s="6">
        <f t="shared" si="158"/>
        <v>9.8935436617237624E-2</v>
      </c>
      <c r="AM30" s="26">
        <v>0.11</v>
      </c>
      <c r="AN30" s="26">
        <v>0.1</v>
      </c>
      <c r="AO30" s="26">
        <v>0.1</v>
      </c>
      <c r="AP30" s="26">
        <v>0.1</v>
      </c>
      <c r="AQ30" s="6">
        <f>AQ29/AQ15</f>
        <v>0.102169566671119</v>
      </c>
    </row>
    <row r="31" spans="3:43">
      <c r="C31" s="17" t="s">
        <v>144</v>
      </c>
      <c r="D31" s="232">
        <v>6.7716533799999992</v>
      </c>
      <c r="E31" s="232">
        <v>7.6130874130000006</v>
      </c>
      <c r="F31" s="232">
        <v>8.3112564800000008</v>
      </c>
      <c r="G31" s="232">
        <v>8.5567343690000008</v>
      </c>
      <c r="H31" s="231">
        <v>31.252731642000004</v>
      </c>
      <c r="I31" s="232">
        <v>9.4118219060000001</v>
      </c>
      <c r="J31" s="232">
        <v>11.211381380000001</v>
      </c>
      <c r="K31" s="232">
        <v>11.685697129999999</v>
      </c>
      <c r="L31" s="232">
        <v>13.105902990000002</v>
      </c>
      <c r="M31" s="231">
        <v>45.414803406000004</v>
      </c>
      <c r="N31" s="232">
        <v>14.028101980000001</v>
      </c>
      <c r="O31" s="232">
        <v>13.762827594999999</v>
      </c>
      <c r="P31" s="232">
        <v>14.734902099999999</v>
      </c>
      <c r="Q31" s="232">
        <v>18.635596149999998</v>
      </c>
      <c r="R31" s="231">
        <v>61.161427824999997</v>
      </c>
      <c r="S31" s="232">
        <v>17.961026704000005</v>
      </c>
      <c r="T31" s="232">
        <v>20.609997861</v>
      </c>
      <c r="U31" s="232">
        <v>22.98084914</v>
      </c>
      <c r="V31" s="232">
        <v>21.605941947999998</v>
      </c>
      <c r="W31" s="233">
        <v>83.157815653000014</v>
      </c>
      <c r="X31" s="232">
        <v>20.862529630000001</v>
      </c>
      <c r="Y31" s="232">
        <v>22.17136532</v>
      </c>
      <c r="Z31" s="232">
        <v>23.234179166000001</v>
      </c>
      <c r="AA31" s="232">
        <v>24.07541144</v>
      </c>
      <c r="AB31" s="233">
        <v>90.025955881708924</v>
      </c>
      <c r="AC31" s="204">
        <v>24.339651852999999</v>
      </c>
      <c r="AD31" s="204">
        <f>68.025-42.233-0.676</f>
        <v>25.11600000000001</v>
      </c>
      <c r="AE31" s="204">
        <f>27.348-2.554-0.134</f>
        <v>24.66</v>
      </c>
      <c r="AF31" s="204">
        <f>29.612-2.851-0.756</f>
        <v>26.004999999999999</v>
      </c>
      <c r="AG31" s="205">
        <f>SUM(AC31:AF31)</f>
        <v>100.120651853</v>
      </c>
      <c r="AH31" s="204">
        <f>35.874-1.982-0.176</f>
        <v>33.716000000000001</v>
      </c>
      <c r="AI31" s="204">
        <f>41.619-2.335-0.235</f>
        <v>39.048999999999999</v>
      </c>
      <c r="AJ31" s="204">
        <f>44.96-3.301-0.122</f>
        <v>41.536999999999999</v>
      </c>
      <c r="AK31" s="204">
        <f>50.471-5.07-0.099</f>
        <v>45.302</v>
      </c>
      <c r="AL31" s="205">
        <f>SUM(AH31:AK31)</f>
        <v>159.60399999999998</v>
      </c>
      <c r="AM31" s="204">
        <f>AM15*AM32</f>
        <v>53.123524018315294</v>
      </c>
      <c r="AN31" s="204">
        <f t="shared" ref="AN31:AP31" si="159">AN15*AN32</f>
        <v>59.247351524999999</v>
      </c>
      <c r="AO31" s="204">
        <f t="shared" si="159"/>
        <v>62.274868619999999</v>
      </c>
      <c r="AP31" s="204">
        <f t="shared" si="159"/>
        <v>63.057511087016152</v>
      </c>
      <c r="AQ31" s="205">
        <f>SUM(AM31:AP31)</f>
        <v>237.70325525033144</v>
      </c>
    </row>
    <row r="32" spans="3:43">
      <c r="C32" s="22" t="s">
        <v>19</v>
      </c>
      <c r="D32" s="12">
        <f t="shared" ref="D32" si="160">D31/D15</f>
        <v>0.8818672551427239</v>
      </c>
      <c r="E32" s="12">
        <f t="shared" ref="E32" si="161">E31/E15</f>
        <v>0.71922959372730555</v>
      </c>
      <c r="F32" s="12">
        <f>F31/F15</f>
        <v>0.54306749000007914</v>
      </c>
      <c r="G32" s="12">
        <f>G31/G15</f>
        <v>0.30035237997044556</v>
      </c>
      <c r="H32" s="6">
        <f>H31/H15</f>
        <v>0.50361258895366989</v>
      </c>
      <c r="I32" s="12">
        <f t="shared" ref="I32:J32" si="162">I31/I15</f>
        <v>0.51593893639109545</v>
      </c>
      <c r="J32" s="12">
        <f t="shared" si="162"/>
        <v>0.61678683070432416</v>
      </c>
      <c r="K32" s="12">
        <f t="shared" ref="K32:AF32" si="163">K31/K15</f>
        <v>0.23033886534169798</v>
      </c>
      <c r="L32" s="12">
        <f t="shared" si="163"/>
        <v>0.12995236119431552</v>
      </c>
      <c r="M32" s="6">
        <f t="shared" si="163"/>
        <v>0.24156369738552977</v>
      </c>
      <c r="N32" s="12">
        <f t="shared" si="163"/>
        <v>0.20008687178220999</v>
      </c>
      <c r="O32" s="12">
        <f t="shared" si="163"/>
        <v>0.22203227067861733</v>
      </c>
      <c r="P32" s="12">
        <f t="shared" si="163"/>
        <v>0.28094492235276719</v>
      </c>
      <c r="Q32" s="12">
        <f t="shared" si="163"/>
        <v>0.25420425455916223</v>
      </c>
      <c r="R32" s="6">
        <f t="shared" si="163"/>
        <v>0.23719498395785751</v>
      </c>
      <c r="S32" s="12">
        <f t="shared" si="163"/>
        <v>0.29564615607881095</v>
      </c>
      <c r="T32" s="12">
        <f t="shared" si="163"/>
        <v>0.27957574659831519</v>
      </c>
      <c r="U32" s="12">
        <f t="shared" si="163"/>
        <v>0.26855718921608462</v>
      </c>
      <c r="V32" s="12">
        <f t="shared" si="163"/>
        <v>0.21471363203718927</v>
      </c>
      <c r="W32" s="6">
        <f t="shared" si="163"/>
        <v>0.25932609141863994</v>
      </c>
      <c r="X32" s="12">
        <f t="shared" si="163"/>
        <v>0.18043359764028211</v>
      </c>
      <c r="Y32" s="12">
        <f t="shared" si="163"/>
        <v>0.16743678471459977</v>
      </c>
      <c r="Z32" s="12">
        <f t="shared" si="163"/>
        <v>0.17080661132247915</v>
      </c>
      <c r="AA32" s="12">
        <f t="shared" si="163"/>
        <v>0.16301292537911674</v>
      </c>
      <c r="AB32" s="6">
        <f>AB31/AB15</f>
        <v>0.16929899443100616</v>
      </c>
      <c r="AC32" s="12">
        <f t="shared" si="163"/>
        <v>0.16691568359449327</v>
      </c>
      <c r="AD32" s="12">
        <f t="shared" si="163"/>
        <v>0.15132946514108064</v>
      </c>
      <c r="AE32" s="12">
        <f t="shared" si="163"/>
        <v>0.13629655831845641</v>
      </c>
      <c r="AF32" s="12">
        <f t="shared" si="163"/>
        <v>0.12958441299581422</v>
      </c>
      <c r="AG32" s="393">
        <f t="shared" ref="AG32:AL32" si="164">AG31/AG15</f>
        <v>0.14439131048688825</v>
      </c>
      <c r="AH32" s="395">
        <f t="shared" si="164"/>
        <v>0.13183856852938761</v>
      </c>
      <c r="AI32" s="395">
        <f t="shared" si="164"/>
        <v>0.12410888807666026</v>
      </c>
      <c r="AJ32" s="395">
        <f t="shared" si="164"/>
        <v>0.12428562024619545</v>
      </c>
      <c r="AK32" s="395">
        <f t="shared" si="164"/>
        <v>0.12336776403756967</v>
      </c>
      <c r="AL32" s="6">
        <f t="shared" si="164"/>
        <v>0.12549566005052723</v>
      </c>
      <c r="AM32" s="27">
        <v>0.154</v>
      </c>
      <c r="AN32" s="27">
        <v>0.15</v>
      </c>
      <c r="AO32" s="27">
        <v>0.15</v>
      </c>
      <c r="AP32" s="27">
        <v>0.14499999999999999</v>
      </c>
      <c r="AQ32" s="6">
        <f>AQ31/AQ15</f>
        <v>0.14950026892905355</v>
      </c>
    </row>
    <row r="33" spans="3:43">
      <c r="C33" s="17" t="s">
        <v>15</v>
      </c>
      <c r="D33" s="232">
        <v>13.395202648999998</v>
      </c>
      <c r="E33" s="232">
        <v>17.570621899999999</v>
      </c>
      <c r="F33" s="232">
        <v>23.223092940000001</v>
      </c>
      <c r="G33" s="232">
        <v>24.773480516999999</v>
      </c>
      <c r="H33" s="231">
        <v>78.962398006000001</v>
      </c>
      <c r="I33" s="232">
        <v>28.752381085</v>
      </c>
      <c r="J33" s="232">
        <v>28.305386202000008</v>
      </c>
      <c r="K33" s="232">
        <v>30.947840439</v>
      </c>
      <c r="L33" s="232">
        <v>42.886876031999996</v>
      </c>
      <c r="M33" s="231">
        <v>130.892483758</v>
      </c>
      <c r="N33" s="232">
        <v>41.545114258999995</v>
      </c>
      <c r="O33" s="232">
        <v>52.353457848000005</v>
      </c>
      <c r="P33" s="232">
        <v>50.259130828999993</v>
      </c>
      <c r="Q33" s="232">
        <v>54.845885247557973</v>
      </c>
      <c r="R33" s="231">
        <v>199.00358818355795</v>
      </c>
      <c r="S33" s="232">
        <v>54.635153579000004</v>
      </c>
      <c r="T33" s="232">
        <v>55.292461619000001</v>
      </c>
      <c r="U33" s="232">
        <v>58.876205032000016</v>
      </c>
      <c r="V33" s="232">
        <v>64.585735649000014</v>
      </c>
      <c r="W33" s="233">
        <v>233.38955587900003</v>
      </c>
      <c r="X33" s="232">
        <v>69.046574318999987</v>
      </c>
      <c r="Y33" s="232">
        <v>71.198036699999989</v>
      </c>
      <c r="Z33" s="232">
        <v>71.426541806999992</v>
      </c>
      <c r="AA33" s="232">
        <f>81.347648493+3.75</f>
        <v>85.097648492999994</v>
      </c>
      <c r="AB33" s="233">
        <v>284.3656977162791</v>
      </c>
      <c r="AC33" s="204">
        <v>79.580612859999988</v>
      </c>
      <c r="AD33" s="204">
        <f>463.072-377.09-2.582</f>
        <v>83.400000000000034</v>
      </c>
      <c r="AE33" s="204">
        <f>101.427-12.556-0.806</f>
        <v>88.065000000000012</v>
      </c>
      <c r="AF33" s="204">
        <f>111.288-16.226-5.023</f>
        <v>90.039000000000001</v>
      </c>
      <c r="AG33" s="205">
        <f>SUM(AC33:AF33)</f>
        <v>341.08461285999999</v>
      </c>
      <c r="AH33" s="204">
        <f>154.627-16.027-4.725-3.529-11.156</f>
        <v>119.19000000000003</v>
      </c>
      <c r="AI33" s="204">
        <f>180.712-14.722-0.774-1.992-16.771-1.647</f>
        <v>144.80599999999998</v>
      </c>
      <c r="AJ33" s="204">
        <f>187.891-22.69-0.541-0.552-16.764</f>
        <v>147.34399999999999</v>
      </c>
      <c r="AK33" s="204">
        <f>208.508-30.243-3.006-0.143-16.838</f>
        <v>158.27800000000002</v>
      </c>
      <c r="AL33" s="205">
        <f>SUM(AH33:AK33)</f>
        <v>569.61799999999994</v>
      </c>
      <c r="AM33" s="204">
        <f>AM15*AM34</f>
        <v>173.85880587812278</v>
      </c>
      <c r="AN33" s="204">
        <f>AN15*AN34</f>
        <v>181.69187801000001</v>
      </c>
      <c r="AO33" s="204">
        <f>AO15*AO34</f>
        <v>182.67294795200002</v>
      </c>
      <c r="AP33" s="204">
        <f>AP15*AP34</f>
        <v>185.9109378599959</v>
      </c>
      <c r="AQ33" s="205">
        <f>SUM(AM33:AP33)</f>
        <v>724.13456970011873</v>
      </c>
    </row>
    <row r="34" spans="3:43">
      <c r="C34" s="22" t="s">
        <v>19</v>
      </c>
      <c r="D34" s="12">
        <f t="shared" ref="D34" si="165">D33/D15</f>
        <v>1.7444470248644319</v>
      </c>
      <c r="E34" s="12">
        <f t="shared" ref="E34" si="166">E33/E15</f>
        <v>1.6599456390181204</v>
      </c>
      <c r="F34" s="12">
        <f>F33/F15</f>
        <v>1.5174248109552213</v>
      </c>
      <c r="G34" s="12">
        <f>G33/G15</f>
        <v>0.86958102385291114</v>
      </c>
      <c r="H34" s="6">
        <f>H33/H15</f>
        <v>1.2724154210043614</v>
      </c>
      <c r="I34" s="12">
        <f t="shared" ref="I34:J34" si="167">I33/I15</f>
        <v>1.5761531682032182</v>
      </c>
      <c r="J34" s="12">
        <f t="shared" si="167"/>
        <v>1.5572023514013658</v>
      </c>
      <c r="K34" s="12">
        <f t="shared" ref="K34:AF34" si="168">K33/K15</f>
        <v>0.61001841586280925</v>
      </c>
      <c r="L34" s="12">
        <f t="shared" si="168"/>
        <v>0.42524737203218804</v>
      </c>
      <c r="M34" s="6">
        <f t="shared" si="168"/>
        <v>0.69622391742822198</v>
      </c>
      <c r="N34" s="12">
        <f t="shared" si="168"/>
        <v>0.5925699686079553</v>
      </c>
      <c r="O34" s="12">
        <f t="shared" si="168"/>
        <v>0.84460529957461272</v>
      </c>
      <c r="P34" s="12">
        <f t="shared" si="168"/>
        <v>0.95827223774163872</v>
      </c>
      <c r="Q34" s="12">
        <f t="shared" si="168"/>
        <v>0.74814120582843968</v>
      </c>
      <c r="R34" s="6">
        <f t="shared" si="168"/>
        <v>0.77177159829909692</v>
      </c>
      <c r="S34" s="12">
        <f t="shared" si="168"/>
        <v>0.89931791810150619</v>
      </c>
      <c r="T34" s="12">
        <f t="shared" si="168"/>
        <v>0.75004526165635266</v>
      </c>
      <c r="U34" s="12">
        <f t="shared" si="168"/>
        <v>0.68803498246644079</v>
      </c>
      <c r="V34" s="12">
        <f t="shared" si="168"/>
        <v>0.64183445055836763</v>
      </c>
      <c r="W34" s="6">
        <f t="shared" si="168"/>
        <v>0.72782096100969274</v>
      </c>
      <c r="X34" s="12">
        <f t="shared" si="168"/>
        <v>0.59716256993108841</v>
      </c>
      <c r="Y34" s="12">
        <f t="shared" si="168"/>
        <v>0.53768318599154596</v>
      </c>
      <c r="Z34" s="12">
        <f t="shared" si="168"/>
        <v>0.52509389194993583</v>
      </c>
      <c r="AA34" s="12">
        <f t="shared" si="168"/>
        <v>0.57619022039557366</v>
      </c>
      <c r="AB34" s="6">
        <f>AB33/AB15</f>
        <v>0.53476607054631631</v>
      </c>
      <c r="AC34" s="12">
        <f t="shared" si="168"/>
        <v>0.54574537370625475</v>
      </c>
      <c r="AD34" s="12">
        <f t="shared" si="168"/>
        <v>0.50250347956546126</v>
      </c>
      <c r="AE34" s="12">
        <f t="shared" si="168"/>
        <v>0.48673789165915921</v>
      </c>
      <c r="AF34" s="12">
        <f t="shared" si="168"/>
        <v>0.44866952361969303</v>
      </c>
      <c r="AG34" s="393">
        <f t="shared" ref="AG34:AL34" si="169">AG33/AG15</f>
        <v>0.49190305223020409</v>
      </c>
      <c r="AH34" s="394">
        <f t="shared" si="169"/>
        <v>0.46606474620410826</v>
      </c>
      <c r="AI34" s="394">
        <f t="shared" si="169"/>
        <v>0.46023487533173357</v>
      </c>
      <c r="AJ34" s="394">
        <f t="shared" si="169"/>
        <v>0.44087778196681082</v>
      </c>
      <c r="AK34" s="394">
        <f t="shared" si="169"/>
        <v>0.43102739297025422</v>
      </c>
      <c r="AL34" s="6">
        <f t="shared" si="169"/>
        <v>0.44788718883399681</v>
      </c>
      <c r="AM34" s="26">
        <v>0.504</v>
      </c>
      <c r="AN34" s="26">
        <v>0.46</v>
      </c>
      <c r="AO34" s="26">
        <v>0.44</v>
      </c>
      <c r="AP34" s="26">
        <v>0.42749999999999999</v>
      </c>
      <c r="AQ34" s="6">
        <f>AQ33/AQ15</f>
        <v>0.45543470911655204</v>
      </c>
    </row>
    <row r="35" spans="3:43">
      <c r="C35" s="13" t="s">
        <v>16</v>
      </c>
      <c r="D35" s="204">
        <f>D29+D31+D33</f>
        <v>24.929321608999999</v>
      </c>
      <c r="E35" s="204">
        <f>E29+E31+E33</f>
        <v>31.278194093</v>
      </c>
      <c r="F35" s="204">
        <f>F29+F31+F33</f>
        <v>38.446285369999998</v>
      </c>
      <c r="G35" s="204">
        <f>G29+G31+G33</f>
        <v>41.169187946000001</v>
      </c>
      <c r="H35" s="1">
        <f>SUM(D35:G35)</f>
        <v>135.82298901799999</v>
      </c>
      <c r="I35" s="204">
        <f>I29+I31+I33</f>
        <v>47.672869031000005</v>
      </c>
      <c r="J35" s="204">
        <f>J29+J31+J33</f>
        <v>50.903270092000007</v>
      </c>
      <c r="K35" s="204">
        <f>K29+K31+K33</f>
        <v>54.538289368999997</v>
      </c>
      <c r="L35" s="204">
        <f>L29+L31+L33</f>
        <v>69.054272892</v>
      </c>
      <c r="M35" s="234">
        <f>SUM(I35:L35)</f>
        <v>222.168701384</v>
      </c>
      <c r="N35" s="204">
        <f>N29+N31+N33</f>
        <v>71.141854938999998</v>
      </c>
      <c r="O35" s="204">
        <f>O29+O31+O33</f>
        <v>82.84083724300001</v>
      </c>
      <c r="P35" s="204">
        <f>P29+P31+P33</f>
        <v>82.243794078999997</v>
      </c>
      <c r="Q35" s="204">
        <f>Q29+Q31+Q33</f>
        <v>91.128697352850722</v>
      </c>
      <c r="R35" s="234">
        <f>SUM(N35:Q35)</f>
        <v>327.35518361385073</v>
      </c>
      <c r="S35" s="204">
        <f>S29+S31+S33</f>
        <v>90.972624888000013</v>
      </c>
      <c r="T35" s="204">
        <f>T29+T31+T33</f>
        <v>95.394536079000005</v>
      </c>
      <c r="U35" s="204">
        <f>U29+U31+U33</f>
        <v>102.24643692300002</v>
      </c>
      <c r="V35" s="204">
        <f>V29+V31+V33</f>
        <v>107.01413413300001</v>
      </c>
      <c r="W35" s="234">
        <f>SUM(S35:V35)</f>
        <v>395.62773202300008</v>
      </c>
      <c r="X35" s="204">
        <f>X29+X31+X33</f>
        <v>112.81124667899999</v>
      </c>
      <c r="Y35" s="204">
        <f>Y29+Y31+Y33</f>
        <v>116.78719055499998</v>
      </c>
      <c r="Z35" s="204">
        <f>Z29+Z31+Z33</f>
        <v>118.81714945899999</v>
      </c>
      <c r="AA35" s="204">
        <f>AA29+AA31+AA33</f>
        <v>133.84244051899998</v>
      </c>
      <c r="AB35" s="234">
        <f>SUM(X35:AA35)</f>
        <v>482.25802721199994</v>
      </c>
      <c r="AC35" s="204">
        <f>AC29+AC31+AC33</f>
        <v>130.971255171</v>
      </c>
      <c r="AD35" s="204">
        <f>AD29+AD31+AD33</f>
        <v>134.74200000000005</v>
      </c>
      <c r="AE35" s="204">
        <f>AE29+AE31+AE33</f>
        <v>139.28400000000002</v>
      </c>
      <c r="AF35" s="204">
        <f>AF29+AF31+AF33</f>
        <v>142.49200000000002</v>
      </c>
      <c r="AG35" s="234">
        <f>SUM(AC35:AF35)</f>
        <v>547.48925517099997</v>
      </c>
      <c r="AH35" s="204">
        <f>AH29+AH31+AH33</f>
        <v>182.71700000000004</v>
      </c>
      <c r="AI35" s="204">
        <f>AI29+AI31+AI33</f>
        <v>214.55699999999999</v>
      </c>
      <c r="AJ35" s="204">
        <f>AJ29+AJ31+AJ33</f>
        <v>221.227</v>
      </c>
      <c r="AK35" s="204">
        <f>AK29+AK31+AK33</f>
        <v>236.54600000000002</v>
      </c>
      <c r="AL35" s="234">
        <f>SUM(AH35:AK35)</f>
        <v>855.04700000000003</v>
      </c>
      <c r="AM35" s="204">
        <f>AM29+AM31+AM33</f>
        <v>264.9277041952347</v>
      </c>
      <c r="AN35" s="204">
        <f>AN29+AN31+AN33</f>
        <v>280.437463885</v>
      </c>
      <c r="AO35" s="204">
        <f>AO29+AO31+AO33</f>
        <v>286.46439565200001</v>
      </c>
      <c r="AP35" s="204">
        <f>AP29+AP31+AP33</f>
        <v>292.45638762771284</v>
      </c>
      <c r="AQ35" s="234">
        <f>SUM(AM35:AP35)</f>
        <v>1124.2859513599476</v>
      </c>
    </row>
    <row r="36" spans="3:43">
      <c r="C36" s="13"/>
      <c r="D36" s="204"/>
      <c r="E36" s="204"/>
      <c r="F36" s="204"/>
      <c r="G36" s="204"/>
      <c r="H36" s="1"/>
      <c r="I36" s="204"/>
      <c r="J36" s="204"/>
      <c r="K36" s="204"/>
      <c r="L36" s="204"/>
      <c r="M36" s="234"/>
      <c r="N36" s="204"/>
      <c r="O36" s="204"/>
      <c r="P36" s="204"/>
      <c r="Q36" s="204"/>
      <c r="R36" s="234"/>
      <c r="S36" s="204"/>
      <c r="T36" s="204"/>
      <c r="U36" s="204"/>
      <c r="V36" s="204"/>
      <c r="W36" s="234"/>
      <c r="X36" s="204"/>
      <c r="Y36" s="204"/>
      <c r="Z36" s="204"/>
      <c r="AA36" s="204"/>
      <c r="AB36" s="234"/>
      <c r="AC36" s="204"/>
      <c r="AD36" s="204"/>
      <c r="AE36" s="204"/>
      <c r="AF36" s="204"/>
      <c r="AG36" s="234"/>
      <c r="AH36" s="204"/>
      <c r="AI36" s="204"/>
      <c r="AJ36" s="204"/>
      <c r="AK36" s="204"/>
      <c r="AL36" s="234"/>
      <c r="AM36" s="204"/>
      <c r="AN36" s="204"/>
      <c r="AO36" s="204"/>
      <c r="AP36" s="204"/>
      <c r="AQ36" s="234"/>
    </row>
    <row r="37" spans="3:43">
      <c r="C37" s="13" t="s">
        <v>17</v>
      </c>
      <c r="D37" s="204">
        <f>D25-D35</f>
        <v>-25.290590558999995</v>
      </c>
      <c r="E37" s="204">
        <f t="shared" ref="E37:G37" si="170">E25-E35</f>
        <v>-31.372542110000005</v>
      </c>
      <c r="F37" s="204">
        <f t="shared" si="170"/>
        <v>-35.169721937000006</v>
      </c>
      <c r="G37" s="204">
        <f t="shared" si="170"/>
        <v>-27.948230557000002</v>
      </c>
      <c r="H37" s="234">
        <f>SUM(D37:G37)</f>
        <v>-119.78108516300001</v>
      </c>
      <c r="I37" s="204">
        <f>I25-I35</f>
        <v>-47.674535414000005</v>
      </c>
      <c r="J37" s="204">
        <f t="shared" ref="J37:L37" si="171">J25-J35</f>
        <v>-51.43116503400001</v>
      </c>
      <c r="K37" s="204">
        <f t="shared" si="171"/>
        <v>-52.299955520000005</v>
      </c>
      <c r="L37" s="204">
        <f t="shared" si="171"/>
        <v>-42.04941432599999</v>
      </c>
      <c r="M37" s="234">
        <f>SUM(I37:L37)</f>
        <v>-193.455070294</v>
      </c>
      <c r="N37" s="204">
        <f>N25-N35</f>
        <v>-61.433385727000001</v>
      </c>
      <c r="O37" s="204">
        <f t="shared" ref="O37:Q37" si="172">O25-O35</f>
        <v>-62.873103796000024</v>
      </c>
      <c r="P37" s="204">
        <f t="shared" si="172"/>
        <v>-64.607184309999994</v>
      </c>
      <c r="Q37" s="204">
        <f t="shared" si="172"/>
        <v>-54.796830121850732</v>
      </c>
      <c r="R37" s="234">
        <f>SUM(N37:Q37)</f>
        <v>-243.71050395485076</v>
      </c>
      <c r="S37" s="204">
        <f>S25-S35</f>
        <v>-77.09234594900002</v>
      </c>
      <c r="T37" s="204">
        <f t="shared" ref="T37:V37" si="173">T25-T35</f>
        <v>-66.555267643999997</v>
      </c>
      <c r="U37" s="204">
        <f t="shared" si="173"/>
        <v>-63.177842317000028</v>
      </c>
      <c r="V37" s="204">
        <f t="shared" si="173"/>
        <v>-58.614809687000005</v>
      </c>
      <c r="W37" s="234">
        <f>SUM(S37:V37)</f>
        <v>-265.44026559700006</v>
      </c>
      <c r="X37" s="204">
        <f>X25-X35</f>
        <v>-53.859984286</v>
      </c>
      <c r="Y37" s="204">
        <f t="shared" ref="Y37:AA37" si="174">Y25-Y35</f>
        <v>-45.138883901999989</v>
      </c>
      <c r="Z37" s="204">
        <f t="shared" si="174"/>
        <v>-44.820360573000002</v>
      </c>
      <c r="AA37" s="204">
        <f t="shared" si="174"/>
        <v>-52.281845208999741</v>
      </c>
      <c r="AB37" s="234">
        <f>SUM(X37:AA37)</f>
        <v>-196.10107396999973</v>
      </c>
      <c r="AC37" s="204">
        <f>AC25-AC35</f>
        <v>-53.274242226000254</v>
      </c>
      <c r="AD37" s="204">
        <f t="shared" ref="AD37:AF37" si="175">AD25-AD35</f>
        <v>-40.418000000000049</v>
      </c>
      <c r="AE37" s="204">
        <f t="shared" si="175"/>
        <v>-31.37700000000001</v>
      </c>
      <c r="AF37" s="204">
        <f t="shared" si="175"/>
        <v>-18.333000000000013</v>
      </c>
      <c r="AG37" s="234">
        <f>SUM(AC37:AF37)</f>
        <v>-143.40224222600034</v>
      </c>
      <c r="AH37" s="204">
        <f>AH25-AH35</f>
        <v>-25.776000000000067</v>
      </c>
      <c r="AI37" s="204">
        <f t="shared" ref="AI37:AK37" si="176">AI25-AI35</f>
        <v>-17.037000000000006</v>
      </c>
      <c r="AJ37" s="204">
        <f t="shared" si="176"/>
        <v>-8.6619999999999777</v>
      </c>
      <c r="AK37" s="204">
        <f t="shared" si="176"/>
        <v>4.2809999999999775</v>
      </c>
      <c r="AL37" s="234">
        <f>SUM(AH37:AK37)</f>
        <v>-47.194000000000074</v>
      </c>
      <c r="AM37" s="204">
        <f>AM25-AM35</f>
        <v>-42.891988029570626</v>
      </c>
      <c r="AN37" s="204">
        <f t="shared" ref="AN37:AP37" si="177">AN25-AN35</f>
        <v>-27.392465784999985</v>
      </c>
      <c r="AO37" s="204">
        <f t="shared" si="177"/>
        <v>-15.271045427999979</v>
      </c>
      <c r="AP37" s="204">
        <f t="shared" si="177"/>
        <v>-1.1678441881056756</v>
      </c>
      <c r="AQ37" s="234">
        <f>SUM(AM37:AP37)</f>
        <v>-86.723343430676266</v>
      </c>
    </row>
    <row r="38" spans="3:43">
      <c r="C38" s="10" t="s">
        <v>185</v>
      </c>
      <c r="D38" s="12">
        <f>D37/D15</f>
        <v>-3.2935743201321115</v>
      </c>
      <c r="E38" s="12">
        <f t="shared" ref="E38:H38" si="178">E37/E15</f>
        <v>-2.9638515219775377</v>
      </c>
      <c r="F38" s="12">
        <f t="shared" si="178"/>
        <v>-2.2980319115753378</v>
      </c>
      <c r="G38" s="12">
        <f t="shared" si="178"/>
        <v>-0.98101883285862723</v>
      </c>
      <c r="H38" s="6">
        <f t="shared" si="178"/>
        <v>-1.9301756754456327</v>
      </c>
      <c r="I38" s="12">
        <f>I37/I15</f>
        <v>-2.6134312081232847</v>
      </c>
      <c r="J38" s="12">
        <f t="shared" ref="J38" si="179">J37/J15</f>
        <v>-2.8294519832623797</v>
      </c>
      <c r="K38" s="12">
        <f t="shared" ref="K38" si="180">K37/K15</f>
        <v>-1.0308937736347166</v>
      </c>
      <c r="L38" s="12">
        <f t="shared" ref="L38" si="181">L37/L15</f>
        <v>-0.41694347063847564</v>
      </c>
      <c r="M38" s="6">
        <f t="shared" ref="M38" si="182">M37/M15</f>
        <v>-1.0289975636451223</v>
      </c>
      <c r="N38" s="12">
        <f>N37/N15</f>
        <v>-0.87624213101887483</v>
      </c>
      <c r="O38" s="12">
        <f t="shared" ref="O38" si="183">O37/O15</f>
        <v>-1.0143161282867383</v>
      </c>
      <c r="P38" s="12">
        <f t="shared" ref="P38" si="184">P37/P15</f>
        <v>-1.2318412607168845</v>
      </c>
      <c r="Q38" s="12">
        <f t="shared" ref="Q38" si="185">Q37/Q15</f>
        <v>-0.74747205515773707</v>
      </c>
      <c r="R38" s="6">
        <f t="shared" ref="R38" si="186">R37/R15</f>
        <v>-0.94515303405495987</v>
      </c>
      <c r="S38" s="12">
        <f>S37/S15</f>
        <v>-1.2689728776943388</v>
      </c>
      <c r="T38" s="12">
        <f t="shared" ref="T38" si="187">T37/T15</f>
        <v>-0.9028258405029822</v>
      </c>
      <c r="U38" s="12">
        <f t="shared" ref="U38" si="188">U37/U15</f>
        <v>-0.73830447474015903</v>
      </c>
      <c r="V38" s="12">
        <f t="shared" ref="V38" si="189">V37/V15</f>
        <v>-0.58249710701594248</v>
      </c>
      <c r="W38" s="6">
        <f t="shared" ref="W38" si="190">W37/W15</f>
        <v>-0.82777049928333934</v>
      </c>
      <c r="X38" s="12">
        <f>X37/X15</f>
        <v>-0.46581842690818698</v>
      </c>
      <c r="Y38" s="12">
        <f t="shared" ref="Y38" si="191">Y37/Y15</f>
        <v>-0.34088606980548758</v>
      </c>
      <c r="Z38" s="12">
        <f t="shared" ref="Z38" si="192">Z37/Z15</f>
        <v>-0.32949792859171501</v>
      </c>
      <c r="AA38" s="12">
        <f t="shared" ref="AA38" si="193">AA37/AA15</f>
        <v>-0.35399671374161185</v>
      </c>
      <c r="AB38" s="6">
        <f t="shared" ref="AB38" si="194">AB37/AB15</f>
        <v>-0.36877936262720296</v>
      </c>
      <c r="AC38" s="12">
        <f>AC37/AC15</f>
        <v>-0.36534238915317208</v>
      </c>
      <c r="AD38" s="12">
        <f t="shared" ref="AD38" si="195">AD37/AD15</f>
        <v>-0.24352740572034567</v>
      </c>
      <c r="AE38" s="12">
        <f t="shared" ref="AE38" si="196">AE37/AE15</f>
        <v>-0.17342161842490705</v>
      </c>
      <c r="AF38" s="12">
        <f t="shared" ref="AF38" si="197">AF37/AF15</f>
        <v>-9.1354395056806911E-2</v>
      </c>
      <c r="AG38" s="6">
        <f t="shared" ref="AG38" si="198">AG37/AG15</f>
        <v>-0.20681085568811086</v>
      </c>
      <c r="AH38" s="12">
        <f>AH37/AH15</f>
        <v>-0.10079104705224534</v>
      </c>
      <c r="AI38" s="12">
        <f t="shared" ref="AI38" si="199">AI37/AI15</f>
        <v>-5.4148457736742595E-2</v>
      </c>
      <c r="AJ38" s="12">
        <f t="shared" ref="AJ38" si="200">AJ37/AJ15</f>
        <v>-2.5918146293004846E-2</v>
      </c>
      <c r="AK38" s="12">
        <f t="shared" ref="AK38" si="201">AK37/AK15</f>
        <v>1.1658147495581498E-2</v>
      </c>
      <c r="AL38" s="6">
        <f t="shared" ref="AL38" si="202">AL37/AL15</f>
        <v>-3.7108356810760336E-2</v>
      </c>
      <c r="AM38" s="12">
        <f>AM37/AM15</f>
        <v>-0.12433975867784218</v>
      </c>
      <c r="AN38" s="12">
        <f t="shared" ref="AN38" si="203">AN37/AN15</f>
        <v>-6.9351114640394007E-2</v>
      </c>
      <c r="AO38" s="12">
        <f t="shared" ref="AO38" si="204">AO37/AO15</f>
        <v>-3.6783005166619281E-2</v>
      </c>
      <c r="AP38" s="12">
        <f t="shared" ref="AP38" si="205">AP37/AP15</f>
        <v>-2.6854438806131432E-3</v>
      </c>
      <c r="AQ38" s="6">
        <f t="shared" ref="AQ38" si="206">AQ37/AQ15</f>
        <v>-5.4543481752737558E-2</v>
      </c>
    </row>
    <row r="39" spans="3:43">
      <c r="C39" s="13"/>
      <c r="D39" s="204"/>
      <c r="E39" s="204"/>
      <c r="F39" s="204"/>
      <c r="G39" s="204"/>
      <c r="H39" s="1"/>
      <c r="I39" s="204"/>
      <c r="J39" s="204"/>
      <c r="K39" s="204"/>
      <c r="L39" s="204"/>
      <c r="M39" s="234"/>
      <c r="N39" s="204"/>
      <c r="O39" s="204"/>
      <c r="P39" s="204"/>
      <c r="Q39" s="204"/>
      <c r="R39" s="234"/>
      <c r="S39" s="204"/>
      <c r="T39" s="204"/>
      <c r="U39" s="204"/>
      <c r="V39" s="204"/>
      <c r="W39" s="234"/>
      <c r="X39" s="204"/>
      <c r="Y39" s="204"/>
      <c r="Z39" s="204"/>
      <c r="AA39" s="204"/>
      <c r="AB39" s="234"/>
      <c r="AC39" s="204"/>
      <c r="AD39" s="204"/>
      <c r="AE39" s="204"/>
      <c r="AF39" s="204"/>
      <c r="AG39" s="234"/>
      <c r="AH39" s="204"/>
      <c r="AI39" s="204"/>
      <c r="AJ39" s="204"/>
      <c r="AK39" s="204"/>
      <c r="AL39" s="234"/>
      <c r="AM39" s="204"/>
      <c r="AN39" s="204"/>
      <c r="AO39" s="204"/>
      <c r="AP39" s="204"/>
      <c r="AQ39" s="234"/>
    </row>
    <row r="40" spans="3:43" hidden="1" outlineLevel="1">
      <c r="C40" s="16" t="s">
        <v>159</v>
      </c>
      <c r="D40" s="204"/>
      <c r="E40" s="204"/>
      <c r="F40" s="204"/>
      <c r="G40" s="204"/>
      <c r="H40" s="1"/>
      <c r="I40" s="204"/>
      <c r="J40" s="204"/>
      <c r="K40" s="204"/>
      <c r="L40" s="204"/>
      <c r="M40" s="234"/>
      <c r="N40" s="204"/>
      <c r="O40" s="204"/>
      <c r="P40" s="204"/>
      <c r="Q40" s="204"/>
      <c r="R40" s="234"/>
      <c r="S40" s="204"/>
      <c r="T40" s="204"/>
      <c r="U40" s="204"/>
      <c r="V40" s="204"/>
      <c r="W40" s="234"/>
      <c r="X40" s="204"/>
      <c r="Y40" s="204"/>
      <c r="Z40" s="204"/>
      <c r="AA40" s="204"/>
      <c r="AB40" s="234"/>
      <c r="AC40" s="204"/>
      <c r="AD40" s="204"/>
      <c r="AE40" s="204"/>
      <c r="AF40" s="204"/>
      <c r="AG40" s="234"/>
      <c r="AH40" s="204"/>
      <c r="AI40" s="204"/>
      <c r="AJ40" s="204"/>
      <c r="AK40" s="204"/>
      <c r="AL40" s="234"/>
      <c r="AM40" s="204"/>
      <c r="AN40" s="204"/>
      <c r="AO40" s="204"/>
      <c r="AP40" s="204"/>
      <c r="AQ40" s="234"/>
    </row>
    <row r="41" spans="3:43" hidden="1" outlineLevel="1">
      <c r="C41" s="17" t="s">
        <v>160</v>
      </c>
      <c r="D41" s="204">
        <v>0</v>
      </c>
      <c r="E41" s="204">
        <v>0</v>
      </c>
      <c r="F41" s="204">
        <v>0</v>
      </c>
      <c r="G41" s="204">
        <v>0</v>
      </c>
      <c r="H41" s="205">
        <f>SUM(D41:G41)</f>
        <v>0</v>
      </c>
      <c r="I41" s="204">
        <v>0</v>
      </c>
      <c r="J41" s="204">
        <v>0</v>
      </c>
      <c r="K41" s="204">
        <v>0</v>
      </c>
      <c r="L41" s="204">
        <v>0</v>
      </c>
      <c r="M41" s="205">
        <f>SUM(I41:L41)</f>
        <v>0</v>
      </c>
      <c r="N41" s="204">
        <v>0</v>
      </c>
      <c r="O41" s="204">
        <v>0</v>
      </c>
      <c r="P41" s="204">
        <v>0</v>
      </c>
      <c r="Q41" s="204">
        <v>0</v>
      </c>
      <c r="R41" s="205">
        <f>SUM(N41:Q41)</f>
        <v>0</v>
      </c>
      <c r="S41" s="204">
        <v>-0.2</v>
      </c>
      <c r="T41" s="204">
        <v>3.2</v>
      </c>
      <c r="U41" s="204">
        <v>1.2</v>
      </c>
      <c r="V41" s="204">
        <v>0.5</v>
      </c>
      <c r="W41" s="205">
        <f>SUM(S41:V41)</f>
        <v>4.7</v>
      </c>
      <c r="X41" s="204">
        <v>-6.4</v>
      </c>
      <c r="Y41" s="204">
        <v>0.7</v>
      </c>
      <c r="Z41" s="204">
        <v>-2.2999999999999998</v>
      </c>
      <c r="AA41" s="204">
        <v>-4.0999999999999996</v>
      </c>
      <c r="AB41" s="205">
        <f>SUM(X41:AA41)</f>
        <v>-12.1</v>
      </c>
      <c r="AC41" s="265">
        <v>5.5</v>
      </c>
      <c r="AD41" s="382">
        <v>4.87</v>
      </c>
      <c r="AE41" s="265">
        <v>15.605</v>
      </c>
      <c r="AF41" s="265">
        <v>-47.753</v>
      </c>
      <c r="AG41" s="205">
        <f>SUM(AC41:AF41)</f>
        <v>-21.777999999999999</v>
      </c>
      <c r="AH41" s="382">
        <v>31.85</v>
      </c>
      <c r="AI41" s="382">
        <v>-37.545999999999999</v>
      </c>
      <c r="AJ41" s="382">
        <v>1.2549999999999999</v>
      </c>
      <c r="AK41" s="382">
        <v>-13.366</v>
      </c>
      <c r="AL41" s="205">
        <f>SUM(AH41:AK41)</f>
        <v>-17.806999999999999</v>
      </c>
      <c r="AM41" s="241">
        <v>0</v>
      </c>
      <c r="AN41" s="241">
        <v>0</v>
      </c>
      <c r="AO41" s="241">
        <v>0</v>
      </c>
      <c r="AP41" s="241">
        <v>0</v>
      </c>
      <c r="AQ41" s="205">
        <f>SUM(AM41:AP41)</f>
        <v>0</v>
      </c>
    </row>
    <row r="42" spans="3:43" hidden="1" outlineLevel="1">
      <c r="C42" s="17" t="s">
        <v>161</v>
      </c>
      <c r="D42" s="204">
        <v>0.13238493000000001</v>
      </c>
      <c r="E42" s="204">
        <v>0.13238492999999998</v>
      </c>
      <c r="F42" s="204">
        <v>3.0243849300000001</v>
      </c>
      <c r="G42" s="204">
        <v>0.13202260999999998</v>
      </c>
      <c r="H42" s="205">
        <f t="shared" ref="H42:H53" si="207">SUM(D42:G42)</f>
        <v>3.4211773999999999</v>
      </c>
      <c r="I42" s="204">
        <v>9.9656670000000003E-2</v>
      </c>
      <c r="J42" s="204">
        <v>9.9656670000000003E-2</v>
      </c>
      <c r="K42" s="204">
        <v>9.9656670000000003E-2</v>
      </c>
      <c r="L42" s="204">
        <v>9.9656670000000003E-2</v>
      </c>
      <c r="M42" s="205">
        <f t="shared" ref="M42:M53" si="208">SUM(I42:L42)</f>
        <v>0.39862668000000001</v>
      </c>
      <c r="N42" s="204">
        <v>0</v>
      </c>
      <c r="O42" s="204">
        <v>0.55874900000000005</v>
      </c>
      <c r="P42" s="204">
        <v>0</v>
      </c>
      <c r="Q42" s="204">
        <v>0</v>
      </c>
      <c r="R42" s="205">
        <f t="shared" ref="R42:R53" si="209">SUM(N42:Q42)</f>
        <v>0.55874900000000005</v>
      </c>
      <c r="S42" s="204">
        <v>0</v>
      </c>
      <c r="T42" s="204">
        <v>0</v>
      </c>
      <c r="U42" s="204">
        <v>0</v>
      </c>
      <c r="V42" s="204">
        <v>0</v>
      </c>
      <c r="W42" s="205">
        <f t="shared" ref="W42:W53" si="210">SUM(S42:V42)</f>
        <v>0</v>
      </c>
      <c r="X42" s="204">
        <v>0</v>
      </c>
      <c r="Y42" s="204">
        <v>0</v>
      </c>
      <c r="Z42" s="204">
        <v>0</v>
      </c>
      <c r="AA42" s="204">
        <v>0</v>
      </c>
      <c r="AB42" s="205">
        <f t="shared" ref="AB42:AB53" si="211">SUM(X42:AA42)</f>
        <v>0</v>
      </c>
      <c r="AC42" s="265">
        <v>0</v>
      </c>
      <c r="AD42" s="382">
        <v>488.31299999999999</v>
      </c>
      <c r="AE42" s="265">
        <v>21.038</v>
      </c>
      <c r="AF42" s="265">
        <v>24.786999999999999</v>
      </c>
      <c r="AG42" s="205">
        <f t="shared" ref="AG42:AG53" si="212">SUM(AC42:AF42)</f>
        <v>534.13800000000003</v>
      </c>
      <c r="AH42" s="382">
        <v>21.327999999999999</v>
      </c>
      <c r="AI42" s="382">
        <v>22.454999999999998</v>
      </c>
      <c r="AJ42" s="382">
        <v>33.978999999999999</v>
      </c>
      <c r="AK42" s="382">
        <v>45.338999999999999</v>
      </c>
      <c r="AL42" s="205">
        <f t="shared" ref="AL42:AL53" si="213">SUM(AH42:AK42)</f>
        <v>123.101</v>
      </c>
      <c r="AM42" s="241">
        <v>55</v>
      </c>
      <c r="AN42" s="241">
        <v>48.33</v>
      </c>
      <c r="AO42" s="241">
        <v>48.33</v>
      </c>
      <c r="AP42" s="241">
        <v>48.33</v>
      </c>
      <c r="AQ42" s="205">
        <f t="shared" ref="AQ42:AQ53" si="214">SUM(AM42:AP42)</f>
        <v>199.99</v>
      </c>
    </row>
    <row r="43" spans="3:43" hidden="1" outlineLevel="1">
      <c r="C43" s="17" t="s">
        <v>162</v>
      </c>
      <c r="D43" s="204">
        <v>0</v>
      </c>
      <c r="E43" s="204">
        <v>0</v>
      </c>
      <c r="F43" s="204">
        <v>0</v>
      </c>
      <c r="G43" s="204">
        <v>0</v>
      </c>
      <c r="H43" s="205">
        <f t="shared" si="207"/>
        <v>0</v>
      </c>
      <c r="I43" s="204">
        <v>0</v>
      </c>
      <c r="J43" s="204">
        <v>0</v>
      </c>
      <c r="K43" s="204">
        <v>0</v>
      </c>
      <c r="L43" s="204">
        <v>6.891</v>
      </c>
      <c r="M43" s="205">
        <f t="shared" si="208"/>
        <v>6.891</v>
      </c>
      <c r="N43" s="204">
        <v>0</v>
      </c>
      <c r="O43" s="204">
        <v>4.1488116899999996</v>
      </c>
      <c r="P43" s="204">
        <v>0.44500000000000001</v>
      </c>
      <c r="Q43" s="204">
        <v>0.64017595999999999</v>
      </c>
      <c r="R43" s="205">
        <f t="shared" si="209"/>
        <v>5.2339876499999995</v>
      </c>
      <c r="S43" s="204">
        <v>-2.2343573599999997</v>
      </c>
      <c r="T43" s="204">
        <v>-1.6117632800000001</v>
      </c>
      <c r="U43" s="204">
        <v>-3.491184E-2</v>
      </c>
      <c r="V43" s="204">
        <v>0.18039239000000001</v>
      </c>
      <c r="W43" s="205">
        <f t="shared" si="210"/>
        <v>-3.7006400899999994</v>
      </c>
      <c r="X43" s="204">
        <v>0</v>
      </c>
      <c r="Y43" s="204">
        <v>4.3009319999999997E-2</v>
      </c>
      <c r="Z43" s="204">
        <v>-0.39807103000000005</v>
      </c>
      <c r="AA43" s="204">
        <v>0.16396916</v>
      </c>
      <c r="AB43" s="205">
        <f t="shared" si="211"/>
        <v>-0.19109255000000003</v>
      </c>
      <c r="AC43" s="265">
        <v>0.15597064999999999</v>
      </c>
      <c r="AD43" s="382">
        <v>0</v>
      </c>
      <c r="AE43" s="265">
        <v>0</v>
      </c>
      <c r="AF43" s="265">
        <v>0</v>
      </c>
      <c r="AG43" s="205">
        <f t="shared" si="212"/>
        <v>0.15597064999999999</v>
      </c>
      <c r="AH43" s="382">
        <v>0</v>
      </c>
      <c r="AI43" s="382">
        <v>0</v>
      </c>
      <c r="AJ43" s="382">
        <v>0</v>
      </c>
      <c r="AK43" s="241">
        <v>0</v>
      </c>
      <c r="AL43" s="205">
        <f t="shared" si="213"/>
        <v>0</v>
      </c>
      <c r="AM43" s="241">
        <v>0</v>
      </c>
      <c r="AN43" s="241">
        <v>0</v>
      </c>
      <c r="AO43" s="241">
        <v>0</v>
      </c>
      <c r="AP43" s="241">
        <v>0</v>
      </c>
      <c r="AQ43" s="205">
        <f t="shared" si="214"/>
        <v>0</v>
      </c>
    </row>
    <row r="44" spans="3:43" hidden="1" outlineLevel="1">
      <c r="C44" s="17" t="s">
        <v>163</v>
      </c>
      <c r="D44" s="204">
        <v>0</v>
      </c>
      <c r="E44" s="204">
        <v>0</v>
      </c>
      <c r="F44" s="204">
        <v>0</v>
      </c>
      <c r="G44" s="204">
        <v>0</v>
      </c>
      <c r="H44" s="205">
        <f t="shared" si="207"/>
        <v>0</v>
      </c>
      <c r="I44" s="204">
        <v>0</v>
      </c>
      <c r="J44" s="204">
        <v>0</v>
      </c>
      <c r="K44" s="204">
        <v>0</v>
      </c>
      <c r="L44" s="204">
        <v>0</v>
      </c>
      <c r="M44" s="205">
        <f t="shared" si="208"/>
        <v>0</v>
      </c>
      <c r="N44" s="204">
        <v>0</v>
      </c>
      <c r="O44" s="204">
        <v>0</v>
      </c>
      <c r="P44" s="204">
        <v>0</v>
      </c>
      <c r="Q44" s="204">
        <v>0</v>
      </c>
      <c r="R44" s="205">
        <f t="shared" si="209"/>
        <v>0</v>
      </c>
      <c r="S44" s="204">
        <v>0</v>
      </c>
      <c r="T44" s="204">
        <v>0</v>
      </c>
      <c r="U44" s="204">
        <v>0</v>
      </c>
      <c r="V44" s="204">
        <v>0</v>
      </c>
      <c r="W44" s="205">
        <f t="shared" si="210"/>
        <v>0</v>
      </c>
      <c r="X44" s="204">
        <v>0</v>
      </c>
      <c r="Y44" s="204">
        <v>0</v>
      </c>
      <c r="Z44" s="204">
        <v>0</v>
      </c>
      <c r="AA44" s="204">
        <v>-9.8073937200000003</v>
      </c>
      <c r="AB44" s="205">
        <f t="shared" si="211"/>
        <v>-9.8073937200000003</v>
      </c>
      <c r="AC44" s="265">
        <v>-0.16500000000000001</v>
      </c>
      <c r="AD44" s="382">
        <v>0</v>
      </c>
      <c r="AE44" s="265">
        <v>0</v>
      </c>
      <c r="AF44" s="265">
        <v>0</v>
      </c>
      <c r="AG44" s="205">
        <f t="shared" si="212"/>
        <v>-0.16500000000000001</v>
      </c>
      <c r="AH44" s="382">
        <v>1.6</v>
      </c>
      <c r="AI44" s="382">
        <v>0</v>
      </c>
      <c r="AJ44" s="382">
        <v>0</v>
      </c>
      <c r="AK44" s="241">
        <v>0</v>
      </c>
      <c r="AL44" s="205">
        <f t="shared" si="213"/>
        <v>1.6</v>
      </c>
      <c r="AM44" s="241">
        <v>0</v>
      </c>
      <c r="AN44" s="241">
        <v>0</v>
      </c>
      <c r="AO44" s="241">
        <v>0</v>
      </c>
      <c r="AP44" s="241">
        <v>0</v>
      </c>
      <c r="AQ44" s="205">
        <f t="shared" si="214"/>
        <v>0</v>
      </c>
    </row>
    <row r="45" spans="3:43" hidden="1" outlineLevel="1">
      <c r="C45" s="17" t="s">
        <v>375</v>
      </c>
      <c r="D45" s="204"/>
      <c r="E45" s="204"/>
      <c r="F45" s="204"/>
      <c r="G45" s="204"/>
      <c r="H45" s="205"/>
      <c r="I45" s="204"/>
      <c r="J45" s="204"/>
      <c r="K45" s="204"/>
      <c r="L45" s="204"/>
      <c r="M45" s="205"/>
      <c r="N45" s="204"/>
      <c r="O45" s="204"/>
      <c r="P45" s="204"/>
      <c r="Q45" s="204"/>
      <c r="R45" s="205"/>
      <c r="S45" s="204"/>
      <c r="T45" s="204"/>
      <c r="U45" s="204"/>
      <c r="V45" s="204"/>
      <c r="W45" s="205"/>
      <c r="X45" s="204"/>
      <c r="Y45" s="204"/>
      <c r="Z45" s="204"/>
      <c r="AA45" s="204"/>
      <c r="AB45" s="205"/>
      <c r="AC45" s="265"/>
      <c r="AD45" s="382"/>
      <c r="AE45" s="265"/>
      <c r="AF45" s="265"/>
      <c r="AG45" s="205"/>
      <c r="AH45" s="382"/>
      <c r="AI45" s="382"/>
      <c r="AJ45" s="382"/>
      <c r="AK45" s="241">
        <v>0</v>
      </c>
      <c r="AL45" s="205"/>
      <c r="AM45" s="241"/>
      <c r="AN45" s="241"/>
      <c r="AO45" s="241"/>
      <c r="AP45" s="241"/>
      <c r="AQ45" s="205"/>
    </row>
    <row r="46" spans="3:43" hidden="1" outlineLevel="1">
      <c r="C46" s="17" t="s">
        <v>370</v>
      </c>
      <c r="D46" s="204"/>
      <c r="E46" s="204"/>
      <c r="F46" s="204"/>
      <c r="G46" s="204"/>
      <c r="H46" s="205"/>
      <c r="I46" s="204"/>
      <c r="J46" s="204"/>
      <c r="K46" s="204"/>
      <c r="L46" s="204"/>
      <c r="M46" s="205"/>
      <c r="N46" s="204"/>
      <c r="O46" s="204"/>
      <c r="P46" s="204"/>
      <c r="Q46" s="204"/>
      <c r="R46" s="205"/>
      <c r="S46" s="204"/>
      <c r="T46" s="204"/>
      <c r="U46" s="204"/>
      <c r="V46" s="204"/>
      <c r="W46" s="205"/>
      <c r="X46" s="204"/>
      <c r="Y46" s="204"/>
      <c r="Z46" s="204"/>
      <c r="AA46" s="204"/>
      <c r="AB46" s="205"/>
      <c r="AC46" s="265"/>
      <c r="AD46" s="382"/>
      <c r="AE46" s="265"/>
      <c r="AF46" s="265"/>
      <c r="AG46" s="205"/>
      <c r="AH46" s="382">
        <v>11.156000000000001</v>
      </c>
      <c r="AI46" s="382">
        <v>16.771000000000001</v>
      </c>
      <c r="AJ46" s="382">
        <v>16.763999999999999</v>
      </c>
      <c r="AK46" s="382">
        <v>16.838000000000001</v>
      </c>
      <c r="AL46" s="205">
        <f t="shared" si="213"/>
        <v>61.529000000000003</v>
      </c>
      <c r="AM46" s="241"/>
      <c r="AN46" s="241"/>
      <c r="AO46" s="241"/>
      <c r="AP46" s="241"/>
      <c r="AQ46" s="205"/>
    </row>
    <row r="47" spans="3:43" hidden="1" outlineLevel="1">
      <c r="C47" s="17" t="s">
        <v>164</v>
      </c>
      <c r="D47" s="204">
        <v>0</v>
      </c>
      <c r="E47" s="204">
        <v>0</v>
      </c>
      <c r="F47" s="204">
        <v>0</v>
      </c>
      <c r="G47" s="204">
        <v>0</v>
      </c>
      <c r="H47" s="205">
        <f t="shared" si="207"/>
        <v>0</v>
      </c>
      <c r="I47" s="204">
        <v>0</v>
      </c>
      <c r="J47" s="204">
        <v>0</v>
      </c>
      <c r="K47" s="204">
        <v>0</v>
      </c>
      <c r="L47" s="204">
        <v>0</v>
      </c>
      <c r="M47" s="205">
        <f t="shared" si="208"/>
        <v>0</v>
      </c>
      <c r="N47" s="204">
        <v>0</v>
      </c>
      <c r="O47" s="204">
        <v>0</v>
      </c>
      <c r="P47" s="204">
        <v>0</v>
      </c>
      <c r="Q47" s="204">
        <v>0</v>
      </c>
      <c r="R47" s="205">
        <f t="shared" si="209"/>
        <v>0</v>
      </c>
      <c r="S47" s="204">
        <v>0</v>
      </c>
      <c r="T47" s="204">
        <v>0</v>
      </c>
      <c r="U47" s="204">
        <v>0</v>
      </c>
      <c r="V47" s="204">
        <v>0</v>
      </c>
      <c r="W47" s="205">
        <f t="shared" si="210"/>
        <v>0</v>
      </c>
      <c r="X47" s="204">
        <v>0</v>
      </c>
      <c r="Y47" s="204">
        <v>0</v>
      </c>
      <c r="Z47" s="204">
        <v>0</v>
      </c>
      <c r="AA47" s="204">
        <v>8.625</v>
      </c>
      <c r="AB47" s="205">
        <f t="shared" si="211"/>
        <v>8.625</v>
      </c>
      <c r="AC47" s="265">
        <v>-6.0798897570000001</v>
      </c>
      <c r="AD47" s="382">
        <v>0</v>
      </c>
      <c r="AE47" s="265">
        <v>0</v>
      </c>
      <c r="AF47" s="265">
        <v>0</v>
      </c>
      <c r="AG47" s="205">
        <f t="shared" si="212"/>
        <v>-6.0798897570000001</v>
      </c>
      <c r="AH47" s="382">
        <v>0</v>
      </c>
      <c r="AI47" s="382">
        <v>1.647</v>
      </c>
      <c r="AJ47" s="382">
        <v>0</v>
      </c>
      <c r="AK47" s="241">
        <v>0</v>
      </c>
      <c r="AL47" s="205">
        <f t="shared" si="213"/>
        <v>1.647</v>
      </c>
      <c r="AM47" s="241">
        <v>0</v>
      </c>
      <c r="AN47" s="241">
        <v>0</v>
      </c>
      <c r="AO47" s="241">
        <v>0</v>
      </c>
      <c r="AP47" s="241">
        <v>0</v>
      </c>
      <c r="AQ47" s="205">
        <f t="shared" si="214"/>
        <v>0</v>
      </c>
    </row>
    <row r="48" spans="3:43" hidden="1" outlineLevel="1">
      <c r="C48" s="17" t="s">
        <v>165</v>
      </c>
      <c r="D48" s="204">
        <v>0</v>
      </c>
      <c r="E48" s="204">
        <v>0</v>
      </c>
      <c r="F48" s="204">
        <v>0</v>
      </c>
      <c r="G48" s="204">
        <v>0</v>
      </c>
      <c r="H48" s="205">
        <f t="shared" si="207"/>
        <v>0</v>
      </c>
      <c r="I48" s="204">
        <v>0</v>
      </c>
      <c r="J48" s="204">
        <v>0</v>
      </c>
      <c r="K48" s="204">
        <v>0</v>
      </c>
      <c r="L48" s="204">
        <v>0</v>
      </c>
      <c r="M48" s="205">
        <f t="shared" si="208"/>
        <v>0</v>
      </c>
      <c r="N48" s="204">
        <v>0</v>
      </c>
      <c r="O48" s="204">
        <v>0</v>
      </c>
      <c r="P48" s="204">
        <v>0</v>
      </c>
      <c r="Q48" s="204">
        <v>0.19409100000000001</v>
      </c>
      <c r="R48" s="205">
        <f t="shared" si="209"/>
        <v>0.19409100000000001</v>
      </c>
      <c r="S48" s="204">
        <v>6.6863000000000001E-3</v>
      </c>
      <c r="T48" s="204">
        <v>0</v>
      </c>
      <c r="U48" s="204">
        <v>0.47499999999999998</v>
      </c>
      <c r="V48" s="204">
        <v>0</v>
      </c>
      <c r="W48" s="205">
        <f t="shared" si="210"/>
        <v>0.48168629999999996</v>
      </c>
      <c r="X48" s="204">
        <v>0</v>
      </c>
      <c r="Y48" s="204">
        <v>0</v>
      </c>
      <c r="Z48" s="204">
        <v>0.671906</v>
      </c>
      <c r="AA48" s="204">
        <v>-1.4579599999999998E-2</v>
      </c>
      <c r="AB48" s="205">
        <f t="shared" si="211"/>
        <v>0.65732639999999998</v>
      </c>
      <c r="AC48" s="265">
        <v>0</v>
      </c>
      <c r="AD48" s="382">
        <v>0</v>
      </c>
      <c r="AE48" s="265">
        <v>0</v>
      </c>
      <c r="AF48" s="265">
        <v>2.536</v>
      </c>
      <c r="AG48" s="205">
        <f t="shared" si="212"/>
        <v>2.536</v>
      </c>
      <c r="AH48" s="382">
        <v>3.5289999999999999</v>
      </c>
      <c r="AI48" s="382">
        <f>1.992+1.647</f>
        <v>3.6390000000000002</v>
      </c>
      <c r="AJ48" s="382">
        <v>0.55200000000000005</v>
      </c>
      <c r="AK48" s="382">
        <v>3.149</v>
      </c>
      <c r="AL48" s="205">
        <f t="shared" si="213"/>
        <v>10.869</v>
      </c>
      <c r="AM48" s="241">
        <v>0</v>
      </c>
      <c r="AN48" s="241">
        <v>0</v>
      </c>
      <c r="AO48" s="241">
        <v>0</v>
      </c>
      <c r="AP48" s="241">
        <v>0</v>
      </c>
      <c r="AQ48" s="205">
        <f t="shared" si="214"/>
        <v>0</v>
      </c>
    </row>
    <row r="49" spans="3:43" hidden="1" outlineLevel="1">
      <c r="C49" s="17" t="s">
        <v>354</v>
      </c>
      <c r="D49" s="204"/>
      <c r="E49" s="204"/>
      <c r="F49" s="204"/>
      <c r="G49" s="204"/>
      <c r="H49" s="205"/>
      <c r="I49" s="204"/>
      <c r="J49" s="204"/>
      <c r="K49" s="204"/>
      <c r="L49" s="204"/>
      <c r="M49" s="205"/>
      <c r="N49" s="204"/>
      <c r="O49" s="204"/>
      <c r="P49" s="204"/>
      <c r="Q49" s="204"/>
      <c r="R49" s="205"/>
      <c r="S49" s="204"/>
      <c r="T49" s="204"/>
      <c r="U49" s="204"/>
      <c r="V49" s="204"/>
      <c r="W49" s="205"/>
      <c r="X49" s="204"/>
      <c r="Y49" s="204"/>
      <c r="Z49" s="204"/>
      <c r="AA49" s="204"/>
      <c r="AB49" s="205"/>
      <c r="AC49" s="265"/>
      <c r="AD49" s="382">
        <v>4.7619999999999996</v>
      </c>
      <c r="AE49" s="265">
        <v>1.2010000000000001</v>
      </c>
      <c r="AF49" s="265">
        <v>7.58</v>
      </c>
      <c r="AG49" s="205"/>
      <c r="AH49" s="382">
        <v>5.1619999999999999</v>
      </c>
      <c r="AI49" s="382">
        <v>1.873</v>
      </c>
      <c r="AJ49" s="382">
        <v>1.0389999999999999</v>
      </c>
      <c r="AK49" s="382">
        <v>3.3740000000000001</v>
      </c>
      <c r="AL49" s="205">
        <f t="shared" si="213"/>
        <v>11.448</v>
      </c>
      <c r="AM49" s="241"/>
      <c r="AN49" s="241"/>
      <c r="AO49" s="241"/>
      <c r="AP49" s="241"/>
      <c r="AQ49" s="205"/>
    </row>
    <row r="50" spans="3:43" hidden="1" outlineLevel="1">
      <c r="C50" s="17" t="s">
        <v>355</v>
      </c>
      <c r="D50" s="204"/>
      <c r="E50" s="204"/>
      <c r="F50" s="204"/>
      <c r="G50" s="204"/>
      <c r="H50" s="205"/>
      <c r="I50" s="204"/>
      <c r="J50" s="204"/>
      <c r="K50" s="204"/>
      <c r="L50" s="204"/>
      <c r="M50" s="205"/>
      <c r="N50" s="204"/>
      <c r="O50" s="204"/>
      <c r="P50" s="204"/>
      <c r="Q50" s="204"/>
      <c r="R50" s="205"/>
      <c r="S50" s="204"/>
      <c r="T50" s="204"/>
      <c r="U50" s="204"/>
      <c r="V50" s="204"/>
      <c r="W50" s="205"/>
      <c r="X50" s="204"/>
      <c r="Y50" s="204"/>
      <c r="Z50" s="204"/>
      <c r="AA50" s="204"/>
      <c r="AB50" s="205"/>
      <c r="AC50" s="265"/>
      <c r="AD50" s="382">
        <v>2.25</v>
      </c>
      <c r="AE50" s="265">
        <v>0</v>
      </c>
      <c r="AF50" s="265">
        <v>0</v>
      </c>
      <c r="AG50" s="205"/>
      <c r="AH50" s="382"/>
      <c r="AI50" s="382">
        <v>0</v>
      </c>
      <c r="AJ50" s="382"/>
      <c r="AK50" s="241">
        <v>0</v>
      </c>
      <c r="AL50" s="205">
        <f t="shared" si="213"/>
        <v>0</v>
      </c>
      <c r="AM50" s="241"/>
      <c r="AN50" s="241"/>
      <c r="AO50" s="241"/>
      <c r="AP50" s="241"/>
      <c r="AQ50" s="205"/>
    </row>
    <row r="51" spans="3:43" hidden="1" outlineLevel="1">
      <c r="C51" s="17" t="s">
        <v>176</v>
      </c>
      <c r="D51" s="204"/>
      <c r="E51" s="204"/>
      <c r="F51" s="204"/>
      <c r="G51" s="204"/>
      <c r="H51" s="205"/>
      <c r="I51" s="204"/>
      <c r="J51" s="204"/>
      <c r="K51" s="204"/>
      <c r="L51" s="204"/>
      <c r="M51" s="205"/>
      <c r="N51" s="204"/>
      <c r="O51" s="204"/>
      <c r="P51" s="204"/>
      <c r="Q51" s="204"/>
      <c r="R51" s="205"/>
      <c r="S51" s="204"/>
      <c r="T51" s="204"/>
      <c r="U51" s="204"/>
      <c r="V51" s="204"/>
      <c r="W51" s="205"/>
      <c r="X51" s="204"/>
      <c r="Y51" s="204"/>
      <c r="Z51" s="204"/>
      <c r="AA51" s="204"/>
      <c r="AB51" s="205"/>
      <c r="AC51" s="265"/>
      <c r="AD51" s="382">
        <v>6.415</v>
      </c>
      <c r="AE51" s="265">
        <v>6.7880000000000003</v>
      </c>
      <c r="AF51" s="265">
        <v>6.8840000000000003</v>
      </c>
      <c r="AG51" s="205"/>
      <c r="AH51" s="382">
        <v>7.883</v>
      </c>
      <c r="AI51" s="382">
        <v>8.3409999999999993</v>
      </c>
      <c r="AJ51" s="382"/>
      <c r="AK51" s="382">
        <v>7.7039999999999997</v>
      </c>
      <c r="AL51" s="205">
        <f t="shared" si="213"/>
        <v>23.928000000000001</v>
      </c>
      <c r="AM51" s="241"/>
      <c r="AN51" s="241"/>
      <c r="AO51" s="241"/>
      <c r="AP51" s="241"/>
      <c r="AQ51" s="205"/>
    </row>
    <row r="52" spans="3:43" hidden="1" outlineLevel="1">
      <c r="C52" s="17" t="s">
        <v>183</v>
      </c>
      <c r="D52" s="204">
        <v>0</v>
      </c>
      <c r="E52" s="204">
        <v>0</v>
      </c>
      <c r="F52" s="204">
        <v>0</v>
      </c>
      <c r="G52" s="204">
        <v>0</v>
      </c>
      <c r="H52" s="205">
        <f t="shared" si="207"/>
        <v>0</v>
      </c>
      <c r="I52" s="204">
        <v>0.61785714000000003</v>
      </c>
      <c r="J52" s="204">
        <v>0.61785714000000003</v>
      </c>
      <c r="K52" s="204">
        <v>0.61785713999999992</v>
      </c>
      <c r="L52" s="204">
        <v>21.592694560000002</v>
      </c>
      <c r="M52" s="205">
        <f t="shared" si="208"/>
        <v>23.446265980000003</v>
      </c>
      <c r="N52" s="204">
        <v>2.4935756400000004</v>
      </c>
      <c r="O52" s="204">
        <v>2.4935756400000004</v>
      </c>
      <c r="P52" s="204">
        <v>2.4935756400000004</v>
      </c>
      <c r="Q52" s="204">
        <v>2.6410054199999982</v>
      </c>
      <c r="R52" s="205">
        <f t="shared" si="209"/>
        <v>10.121732339999999</v>
      </c>
      <c r="S52" s="204">
        <v>3.1598592699999957</v>
      </c>
      <c r="T52" s="204">
        <v>3.2492120000000075</v>
      </c>
      <c r="U52" s="204">
        <v>3.4565432599999979</v>
      </c>
      <c r="V52" s="204">
        <v>3.4688393499999939</v>
      </c>
      <c r="W52" s="205">
        <f t="shared" si="210"/>
        <v>13.334453879999996</v>
      </c>
      <c r="X52" s="204">
        <v>2.8879792000000029</v>
      </c>
      <c r="Y52" s="204">
        <v>3.0444669299999996</v>
      </c>
      <c r="Z52" s="204">
        <v>2.9194669200000019</v>
      </c>
      <c r="AA52" s="204">
        <v>2.9194669200000019</v>
      </c>
      <c r="AB52" s="205">
        <f t="shared" si="211"/>
        <v>11.771379970000005</v>
      </c>
      <c r="AC52" s="265">
        <v>2.9194669199999979</v>
      </c>
      <c r="AD52" s="382">
        <v>2.7440000000000002</v>
      </c>
      <c r="AE52" s="265">
        <f>2.652+-3.989</f>
        <v>-1.3369999999999997</v>
      </c>
      <c r="AF52" s="265">
        <f>2.573-3.988</f>
        <v>-1.415</v>
      </c>
      <c r="AG52" s="205">
        <f t="shared" si="212"/>
        <v>2.9114669199999978</v>
      </c>
      <c r="AH52" s="382">
        <f>12.47-3.989</f>
        <v>8.4810000000000016</v>
      </c>
      <c r="AI52" s="382">
        <f>19.685-3.988</f>
        <v>15.696999999999999</v>
      </c>
      <c r="AJ52" s="382">
        <v>-3.9889999999999999</v>
      </c>
      <c r="AK52" s="382">
        <f>19.204-3.989</f>
        <v>15.215</v>
      </c>
      <c r="AL52" s="205">
        <f t="shared" si="213"/>
        <v>35.403999999999996</v>
      </c>
      <c r="AM52" s="241">
        <v>2.9249999999999998</v>
      </c>
      <c r="AN52" s="241">
        <v>2.9249999999999998</v>
      </c>
      <c r="AO52" s="241">
        <v>2.9249999999999998</v>
      </c>
      <c r="AP52" s="241">
        <v>2.9249999999999998</v>
      </c>
      <c r="AQ52" s="205">
        <f t="shared" si="214"/>
        <v>11.7</v>
      </c>
    </row>
    <row r="53" spans="3:43" collapsed="1">
      <c r="C53" s="13" t="s">
        <v>166</v>
      </c>
      <c r="D53" s="204">
        <f>SUM(D41:D52)</f>
        <v>0.13238493000000001</v>
      </c>
      <c r="E53" s="204">
        <f>SUM(E41:E52)</f>
        <v>0.13238492999999998</v>
      </c>
      <c r="F53" s="204">
        <f>SUM(F41:F52)</f>
        <v>3.0243849300000001</v>
      </c>
      <c r="G53" s="204">
        <f>SUM(G41:G52)</f>
        <v>0.13202260999999998</v>
      </c>
      <c r="H53" s="205">
        <f t="shared" si="207"/>
        <v>3.4211773999999999</v>
      </c>
      <c r="I53" s="204">
        <f>SUM(I41:I52)</f>
        <v>0.71751381000000003</v>
      </c>
      <c r="J53" s="204">
        <f>SUM(J41:J52)</f>
        <v>0.71751381000000003</v>
      </c>
      <c r="K53" s="204">
        <f>SUM(K41:K52)</f>
        <v>0.71751380999999992</v>
      </c>
      <c r="L53" s="204">
        <f>SUM(L41:L52)</f>
        <v>28.583351230000002</v>
      </c>
      <c r="M53" s="205">
        <f t="shared" si="208"/>
        <v>30.735892660000001</v>
      </c>
      <c r="N53" s="204">
        <f>SUM(N41:N52)</f>
        <v>2.4935756400000004</v>
      </c>
      <c r="O53" s="204">
        <f>SUM(O41:O52)</f>
        <v>7.2011363299999998</v>
      </c>
      <c r="P53" s="204">
        <f>SUM(P41:P52)</f>
        <v>2.9385756400000003</v>
      </c>
      <c r="Q53" s="204">
        <f>SUM(Q41:Q52)</f>
        <v>3.4752723799999981</v>
      </c>
      <c r="R53" s="205">
        <f t="shared" si="209"/>
        <v>16.108559989999996</v>
      </c>
      <c r="S53" s="204">
        <f>SUM(S41:S52)</f>
        <v>0.7321882099999959</v>
      </c>
      <c r="T53" s="204">
        <f>SUM(T41:T52)</f>
        <v>4.8374487200000074</v>
      </c>
      <c r="U53" s="204">
        <f>SUM(U41:U52)</f>
        <v>5.0966314199999978</v>
      </c>
      <c r="V53" s="204">
        <f>SUM(V41:V52)</f>
        <v>4.1492317399999941</v>
      </c>
      <c r="W53" s="205">
        <f t="shared" si="210"/>
        <v>14.815500089999995</v>
      </c>
      <c r="X53" s="204">
        <f>SUM(X41:X52)</f>
        <v>-3.5120207999999975</v>
      </c>
      <c r="Y53" s="204">
        <f>SUM(Y41:Y52)</f>
        <v>3.7874762499999997</v>
      </c>
      <c r="Z53" s="204">
        <f>SUM(Z41:Z52)</f>
        <v>0.89330189000000182</v>
      </c>
      <c r="AA53" s="204">
        <f>SUM(AA41:AA52)</f>
        <v>-2.2135372399999977</v>
      </c>
      <c r="AB53" s="205">
        <f t="shared" si="211"/>
        <v>-1.0447798999999938</v>
      </c>
      <c r="AC53" s="204">
        <f>SUM(AC41:AC52)</f>
        <v>2.3305478129999981</v>
      </c>
      <c r="AD53" s="204">
        <f>SUM(AD41:AD48)</f>
        <v>493.18299999999999</v>
      </c>
      <c r="AE53" s="204">
        <f>SUM(AE42:AE49)</f>
        <v>22.239000000000001</v>
      </c>
      <c r="AF53" s="204">
        <f>SUM(AF42:AF49)</f>
        <v>34.902999999999999</v>
      </c>
      <c r="AG53" s="205">
        <f t="shared" si="212"/>
        <v>552.655547813</v>
      </c>
      <c r="AH53" s="204">
        <f>SUM(AH42:AH49)</f>
        <v>42.774999999999999</v>
      </c>
      <c r="AI53" s="204">
        <f>SUM(AI42:AI48)</f>
        <v>44.512</v>
      </c>
      <c r="AJ53" s="204">
        <f>SUM(AJ42:AJ49)</f>
        <v>52.333999999999996</v>
      </c>
      <c r="AK53" s="204">
        <f>SUM(AK42:AK48)</f>
        <v>65.325999999999993</v>
      </c>
      <c r="AL53" s="205">
        <f t="shared" si="213"/>
        <v>204.947</v>
      </c>
      <c r="AM53" s="204">
        <f>SUM(AM42:AM48)</f>
        <v>55</v>
      </c>
      <c r="AN53" s="204">
        <f t="shared" ref="AN53:AP53" si="215">SUM(AN42:AN48)</f>
        <v>48.33</v>
      </c>
      <c r="AO53" s="204">
        <f t="shared" si="215"/>
        <v>48.33</v>
      </c>
      <c r="AP53" s="204">
        <f t="shared" si="215"/>
        <v>48.33</v>
      </c>
      <c r="AQ53" s="205">
        <f t="shared" si="214"/>
        <v>199.99</v>
      </c>
    </row>
    <row r="54" spans="3:43">
      <c r="C54" s="13"/>
      <c r="H54" s="3"/>
      <c r="M54" s="3"/>
      <c r="R54" s="3"/>
      <c r="W54" s="3"/>
      <c r="AB54" s="3"/>
      <c r="AE54" s="151"/>
      <c r="AG54" s="3"/>
      <c r="AI54" s="151"/>
      <c r="AL54" s="3"/>
      <c r="AQ54" s="3"/>
    </row>
    <row r="55" spans="3:43">
      <c r="C55" s="16" t="s">
        <v>21</v>
      </c>
      <c r="D55" s="204">
        <f>D37-D42</f>
        <v>-25.422975488999995</v>
      </c>
      <c r="E55" s="204">
        <f>E37-E42</f>
        <v>-31.504927040000005</v>
      </c>
      <c r="F55" s="204">
        <f>F37-F42</f>
        <v>-38.194106867000002</v>
      </c>
      <c r="G55" s="204">
        <f>G37-G42</f>
        <v>-28.080253167000002</v>
      </c>
      <c r="H55" s="234">
        <f>SUM(D55:G55)</f>
        <v>-123.20226256300001</v>
      </c>
      <c r="I55" s="204">
        <f>I37-I42</f>
        <v>-47.774192084000006</v>
      </c>
      <c r="J55" s="204">
        <f>J37-J42</f>
        <v>-51.530821704000012</v>
      </c>
      <c r="K55" s="204">
        <f>K37-K42</f>
        <v>-52.399612190000006</v>
      </c>
      <c r="L55" s="204">
        <f>L37-L42</f>
        <v>-42.149070995999992</v>
      </c>
      <c r="M55" s="234">
        <f>SUM(I55:L55)</f>
        <v>-193.853696974</v>
      </c>
      <c r="N55" s="204">
        <f>N37-N42</f>
        <v>-61.433385727000001</v>
      </c>
      <c r="O55" s="204">
        <f>O37-O42</f>
        <v>-63.431852796000022</v>
      </c>
      <c r="P55" s="204">
        <f>P37-P42</f>
        <v>-64.607184309999994</v>
      </c>
      <c r="Q55" s="204">
        <f>Q37-Q42</f>
        <v>-54.796830121850732</v>
      </c>
      <c r="R55" s="234">
        <f>SUM(N55:Q55)</f>
        <v>-244.26925295485074</v>
      </c>
      <c r="S55" s="204">
        <f>S37-S42</f>
        <v>-77.09234594900002</v>
      </c>
      <c r="T55" s="204">
        <f>T37-T42</f>
        <v>-66.555267643999997</v>
      </c>
      <c r="U55" s="204">
        <f>U37-U42</f>
        <v>-63.177842317000028</v>
      </c>
      <c r="V55" s="204">
        <f>V37-V42</f>
        <v>-58.614809687000005</v>
      </c>
      <c r="W55" s="234">
        <f>SUM(S55:V55)</f>
        <v>-265.44026559700006</v>
      </c>
      <c r="X55" s="204">
        <f>X37-X42</f>
        <v>-53.859984286</v>
      </c>
      <c r="Y55" s="204">
        <f>Y37-Y42</f>
        <v>-45.138883901999989</v>
      </c>
      <c r="Z55" s="204">
        <f>Z37-Z42</f>
        <v>-44.820360573000002</v>
      </c>
      <c r="AA55" s="204">
        <f>AA37-AA42</f>
        <v>-52.281845208999741</v>
      </c>
      <c r="AB55" s="234">
        <f>SUM(X55:AA55)</f>
        <v>-196.10107396999973</v>
      </c>
      <c r="AC55" s="204">
        <f>AC37-AC42</f>
        <v>-53.274242226000254</v>
      </c>
      <c r="AD55" s="204">
        <f>AD37-AD53</f>
        <v>-533.601</v>
      </c>
      <c r="AE55" s="204">
        <f>AE37-AE53</f>
        <v>-53.616000000000014</v>
      </c>
      <c r="AF55" s="204">
        <f>AF37-AF53</f>
        <v>-53.236000000000011</v>
      </c>
      <c r="AG55" s="234">
        <f>SUM(AC55:AF55)</f>
        <v>-693.72724222600027</v>
      </c>
      <c r="AH55" s="204">
        <f>AH37-AH53</f>
        <v>-68.551000000000073</v>
      </c>
      <c r="AI55" s="204">
        <f>AI37-AI53-0.225</f>
        <v>-61.774000000000008</v>
      </c>
      <c r="AJ55" s="204">
        <f>AJ37-AJ53</f>
        <v>-60.995999999999974</v>
      </c>
      <c r="AK55" s="204">
        <f>AK37-AK53</f>
        <v>-61.045000000000016</v>
      </c>
      <c r="AL55" s="234">
        <f>SUM(AH55:AK55)</f>
        <v>-252.36600000000007</v>
      </c>
      <c r="AM55" s="204">
        <f>AM37-AM53</f>
        <v>-97.891988029570626</v>
      </c>
      <c r="AN55" s="204">
        <f>AN37-AN53</f>
        <v>-75.722465784999983</v>
      </c>
      <c r="AO55" s="204">
        <f>AO37-AO53</f>
        <v>-63.601045427999978</v>
      </c>
      <c r="AP55" s="204">
        <f>AP37-AP53</f>
        <v>-49.497844188105674</v>
      </c>
      <c r="AQ55" s="234">
        <f>SUM(AM55:AP55)</f>
        <v>-286.71334343067622</v>
      </c>
    </row>
    <row r="56" spans="3:43">
      <c r="C56" s="10" t="s">
        <v>145</v>
      </c>
      <c r="D56" s="12">
        <f t="shared" ref="D56:AQ56" si="216">D55/D15</f>
        <v>-3.3108147086000406</v>
      </c>
      <c r="E56" s="12">
        <f t="shared" si="216"/>
        <v>-2.9763582954130996</v>
      </c>
      <c r="F56" s="12">
        <f t="shared" si="216"/>
        <v>-2.4956488587459011</v>
      </c>
      <c r="G56" s="12">
        <f t="shared" si="216"/>
        <v>-0.98565299624542912</v>
      </c>
      <c r="H56" s="6">
        <f t="shared" si="216"/>
        <v>-1.9853051926801628</v>
      </c>
      <c r="I56" s="12">
        <f t="shared" si="216"/>
        <v>-2.6188942052812845</v>
      </c>
      <c r="J56" s="12">
        <f t="shared" si="216"/>
        <v>-2.8349345299320969</v>
      </c>
      <c r="K56" s="12">
        <f t="shared" si="216"/>
        <v>-1.0328581240740755</v>
      </c>
      <c r="L56" s="12">
        <f t="shared" si="216"/>
        <v>-0.41793162228168135</v>
      </c>
      <c r="M56" s="6">
        <f t="shared" si="216"/>
        <v>-1.0311178796539018</v>
      </c>
      <c r="N56" s="12">
        <f t="shared" si="216"/>
        <v>-0.87624213101887483</v>
      </c>
      <c r="O56" s="12">
        <f t="shared" si="216"/>
        <v>-1.0233302867765588</v>
      </c>
      <c r="P56" s="12">
        <f t="shared" si="216"/>
        <v>-1.2318412607168845</v>
      </c>
      <c r="Q56" s="12">
        <f t="shared" si="216"/>
        <v>-0.74747205515773707</v>
      </c>
      <c r="R56" s="6">
        <f t="shared" si="216"/>
        <v>-0.94731996286621456</v>
      </c>
      <c r="S56" s="12">
        <f t="shared" si="216"/>
        <v>-1.2689728776943388</v>
      </c>
      <c r="T56" s="12">
        <f t="shared" si="216"/>
        <v>-0.9028258405029822</v>
      </c>
      <c r="U56" s="12">
        <f t="shared" si="216"/>
        <v>-0.73830447474015903</v>
      </c>
      <c r="V56" s="12">
        <f t="shared" si="216"/>
        <v>-0.58249710701594248</v>
      </c>
      <c r="W56" s="6">
        <f t="shared" si="216"/>
        <v>-0.82777049928333934</v>
      </c>
      <c r="X56" s="12">
        <f t="shared" si="216"/>
        <v>-0.46581842690818698</v>
      </c>
      <c r="Y56" s="12">
        <f t="shared" si="216"/>
        <v>-0.34088606980548758</v>
      </c>
      <c r="Z56" s="12">
        <f t="shared" si="216"/>
        <v>-0.32949792859171501</v>
      </c>
      <c r="AA56" s="12">
        <f t="shared" si="216"/>
        <v>-0.35399671374161185</v>
      </c>
      <c r="AB56" s="6">
        <f t="shared" si="216"/>
        <v>-0.36877936262720296</v>
      </c>
      <c r="AC56" s="12">
        <f t="shared" si="216"/>
        <v>-0.36534238915317208</v>
      </c>
      <c r="AD56" s="12">
        <f t="shared" si="216"/>
        <v>-3.2150642589881242</v>
      </c>
      <c r="AE56" s="12">
        <f t="shared" si="216"/>
        <v>-0.29633723725881428</v>
      </c>
      <c r="AF56" s="12">
        <f t="shared" si="216"/>
        <v>-0.26527805461431136</v>
      </c>
      <c r="AG56" s="6">
        <f t="shared" si="216"/>
        <v>-1.0004747649120078</v>
      </c>
      <c r="AH56" s="12">
        <f t="shared" si="216"/>
        <v>-0.26805272604277081</v>
      </c>
      <c r="AI56" s="12">
        <f t="shared" si="216"/>
        <v>-0.19633543629920386</v>
      </c>
      <c r="AJ56" s="12">
        <f t="shared" si="216"/>
        <v>-0.18251018832695992</v>
      </c>
      <c r="AK56" s="12">
        <f t="shared" si="216"/>
        <v>-0.16623957343325776</v>
      </c>
      <c r="AL56" s="6">
        <f t="shared" si="216"/>
        <v>-0.19843385970471522</v>
      </c>
      <c r="AM56" s="12">
        <f t="shared" si="216"/>
        <v>-0.28377948253877833</v>
      </c>
      <c r="AN56" s="12">
        <f t="shared" si="216"/>
        <v>-0.1917110145076649</v>
      </c>
      <c r="AO56" s="12">
        <f t="shared" si="216"/>
        <v>-0.15319433064425783</v>
      </c>
      <c r="AP56" s="12">
        <f t="shared" si="216"/>
        <v>-0.11381970654330409</v>
      </c>
      <c r="AQ56" s="6">
        <f t="shared" si="216"/>
        <v>-0.18032450545657563</v>
      </c>
    </row>
    <row r="57" spans="3:43">
      <c r="C57" s="13"/>
      <c r="H57" s="3"/>
      <c r="M57" s="3"/>
      <c r="R57" s="3"/>
      <c r="W57" s="3"/>
      <c r="AB57" s="3"/>
      <c r="AG57" s="3"/>
      <c r="AL57" s="3"/>
      <c r="AQ57" s="3"/>
    </row>
    <row r="58" spans="3:43" hidden="1" outlineLevel="1">
      <c r="C58" s="13" t="s">
        <v>146</v>
      </c>
      <c r="D58" s="204">
        <v>0.9072149100000001</v>
      </c>
      <c r="E58" s="204">
        <v>1.1767600300000001</v>
      </c>
      <c r="F58" s="204">
        <v>1.62071787</v>
      </c>
      <c r="G58" s="204">
        <v>1.1552621200000002</v>
      </c>
      <c r="H58" s="205">
        <f t="shared" ref="H58:H60" si="217">SUM(D58:G58)</f>
        <v>4.8599549300000007</v>
      </c>
      <c r="I58" s="204">
        <v>0.73021817999999994</v>
      </c>
      <c r="J58" s="204">
        <v>0.18887579000000002</v>
      </c>
      <c r="K58" s="204">
        <v>0.30532132000000001</v>
      </c>
      <c r="L58" s="204">
        <v>0.27049952999999999</v>
      </c>
      <c r="M58" s="205">
        <f t="shared" ref="M58:M60" si="218">SUM(I58:L58)</f>
        <v>1.49491482</v>
      </c>
      <c r="N58" s="204">
        <v>0.19284473000000002</v>
      </c>
      <c r="O58" s="204">
        <v>0.16318166000000001</v>
      </c>
      <c r="P58" s="204">
        <v>0.15381932000000001</v>
      </c>
      <c r="Q58" s="204">
        <v>0.11269541000000001</v>
      </c>
      <c r="R58" s="205">
        <f t="shared" ref="R58:R60" si="219">SUM(N58:Q58)</f>
        <v>0.62254112000000006</v>
      </c>
      <c r="S58" s="204">
        <v>7.4452309999999994E-2</v>
      </c>
      <c r="T58" s="204">
        <v>0.14660335999999999</v>
      </c>
      <c r="U58" s="204">
        <v>0.66837597999999998</v>
      </c>
      <c r="V58" s="204">
        <v>2.14247232</v>
      </c>
      <c r="W58" s="205">
        <f t="shared" ref="W58:W60" si="220">SUM(S58:V58)</f>
        <v>3.0319039700000001</v>
      </c>
      <c r="X58" s="204">
        <v>2.4242114400000001</v>
      </c>
      <c r="Y58" s="204">
        <v>1.9568569300000003</v>
      </c>
      <c r="Z58" s="204">
        <v>1.4825416100000002</v>
      </c>
      <c r="AA58" s="265">
        <v>1.73737333</v>
      </c>
      <c r="AB58" s="205">
        <f t="shared" ref="AB58:AB60" si="221">SUM(X58:AA58)</f>
        <v>7.6009833100000002</v>
      </c>
      <c r="AC58" s="265">
        <v>1.0312548500000001</v>
      </c>
      <c r="AD58" s="265">
        <v>1.718</v>
      </c>
      <c r="AE58" s="265">
        <v>4.7889999999999997</v>
      </c>
      <c r="AF58" s="265">
        <v>3.5459999999999998</v>
      </c>
      <c r="AG58" s="205">
        <f t="shared" ref="AG58:AG60" si="222">SUM(AC58:AF58)</f>
        <v>11.084254849999999</v>
      </c>
      <c r="AH58" s="382">
        <v>1.8129999999999999</v>
      </c>
      <c r="AI58" s="382">
        <v>1.093</v>
      </c>
      <c r="AJ58" s="382">
        <v>4.5999999999999996</v>
      </c>
      <c r="AK58" s="382">
        <f>AL58-AJ58-AI58-AH58</f>
        <v>5.1220000000000008</v>
      </c>
      <c r="AL58" s="205">
        <v>12.628</v>
      </c>
      <c r="AM58" s="241">
        <v>3.4</v>
      </c>
      <c r="AN58" s="241">
        <v>3.4</v>
      </c>
      <c r="AO58" s="241">
        <v>3.3</v>
      </c>
      <c r="AP58" s="241">
        <v>3.3</v>
      </c>
      <c r="AQ58" s="205">
        <f t="shared" ref="AQ58:AQ60" si="223">SUM(AM58:AP58)</f>
        <v>13.399999999999999</v>
      </c>
    </row>
    <row r="59" spans="3:43" hidden="1" outlineLevel="1">
      <c r="C59" s="13" t="s">
        <v>147</v>
      </c>
      <c r="D59" s="204">
        <v>-1.0211870000000001E-2</v>
      </c>
      <c r="E59" s="204">
        <v>-7.603040000000001E-3</v>
      </c>
      <c r="F59" s="204">
        <v>-5.7987999999999998E-3</v>
      </c>
      <c r="G59" s="204">
        <v>-4.8116599999999997E-3</v>
      </c>
      <c r="H59" s="205">
        <f t="shared" si="217"/>
        <v>-2.8425370000000002E-2</v>
      </c>
      <c r="I59" s="204">
        <v>-0.14312638</v>
      </c>
      <c r="J59" s="204">
        <v>0.13652573999999998</v>
      </c>
      <c r="K59" s="204">
        <v>-5.5213460799999998</v>
      </c>
      <c r="L59" s="204">
        <v>-13.400724990000001</v>
      </c>
      <c r="M59" s="205">
        <f t="shared" si="218"/>
        <v>-18.92867171</v>
      </c>
      <c r="N59" s="204">
        <v>-3.7722974200000001</v>
      </c>
      <c r="O59" s="204">
        <v>-3.7897429500000004</v>
      </c>
      <c r="P59" s="204">
        <v>-3.7892903100000002</v>
      </c>
      <c r="Q59" s="204">
        <v>-3.8321984299999996</v>
      </c>
      <c r="R59" s="205">
        <f t="shared" si="219"/>
        <v>-15.18352911</v>
      </c>
      <c r="S59" s="204">
        <v>-4.29039226</v>
      </c>
      <c r="T59" s="204">
        <v>-3.8553121399999997</v>
      </c>
      <c r="U59" s="204">
        <v>-4.5259342520000008</v>
      </c>
      <c r="V59" s="204">
        <v>-9.2220986899999993</v>
      </c>
      <c r="W59" s="205">
        <f t="shared" si="220"/>
        <v>-21.893737342000001</v>
      </c>
      <c r="X59" s="204">
        <v>-9.1909410700000009</v>
      </c>
      <c r="Y59" s="204">
        <v>-11.71168709</v>
      </c>
      <c r="Z59" s="204">
        <v>-12.342421609999999</v>
      </c>
      <c r="AA59" s="265">
        <v>-13.623888689999999</v>
      </c>
      <c r="AB59" s="205">
        <f t="shared" si="221"/>
        <v>-46.868938459999995</v>
      </c>
      <c r="AC59" s="265">
        <v>-13.238358980000001</v>
      </c>
      <c r="AD59" s="265">
        <v>-13.295</v>
      </c>
      <c r="AE59" s="265">
        <v>-13.760999999999999</v>
      </c>
      <c r="AF59" s="265">
        <v>-13.359</v>
      </c>
      <c r="AG59" s="205">
        <f t="shared" si="222"/>
        <v>-53.65335898</v>
      </c>
      <c r="AH59" s="382">
        <v>-18.003</v>
      </c>
      <c r="AI59" s="382">
        <v>-21.579000000000001</v>
      </c>
      <c r="AJ59" s="382">
        <v>-15.398999999999999</v>
      </c>
      <c r="AK59" s="382">
        <f>AL59-AJ59-AI59-AH59</f>
        <v>-15.285999999999994</v>
      </c>
      <c r="AL59" s="205">
        <f>-70.267</f>
        <v>-70.266999999999996</v>
      </c>
      <c r="AM59" s="241">
        <v>-15</v>
      </c>
      <c r="AN59" s="241">
        <v>-15</v>
      </c>
      <c r="AO59" s="241">
        <v>-15</v>
      </c>
      <c r="AP59" s="241">
        <v>-15</v>
      </c>
      <c r="AQ59" s="205">
        <f t="shared" si="223"/>
        <v>-60</v>
      </c>
    </row>
    <row r="60" spans="3:43" hidden="1" outlineLevel="1">
      <c r="C60" s="13" t="s">
        <v>148</v>
      </c>
      <c r="D60" s="204">
        <v>2.2169499999999994E-4</v>
      </c>
      <c r="E60" s="204">
        <v>-1.5624079999999995E-3</v>
      </c>
      <c r="F60" s="204">
        <v>-5.9836889999999995E-3</v>
      </c>
      <c r="G60" s="204">
        <v>5.552299000000001E-3</v>
      </c>
      <c r="H60" s="205">
        <f t="shared" si="217"/>
        <v>-1.772102999999998E-3</v>
      </c>
      <c r="I60" s="204">
        <v>-1.5472958E-2</v>
      </c>
      <c r="J60" s="204">
        <v>7.1508439999999991E-3</v>
      </c>
      <c r="K60" s="204">
        <v>6.5811779999999983E-3</v>
      </c>
      <c r="L60" s="204">
        <v>-0.46387823399999994</v>
      </c>
      <c r="M60" s="205">
        <f t="shared" si="218"/>
        <v>-0.46561916999999997</v>
      </c>
      <c r="N60" s="204">
        <v>-7.2709179999999995E-3</v>
      </c>
      <c r="O60" s="204">
        <v>2.2989499999999862E-4</v>
      </c>
      <c r="P60" s="204">
        <v>5.7599309999999994E-3</v>
      </c>
      <c r="Q60" s="204">
        <v>-0.31440045531257077</v>
      </c>
      <c r="R60" s="205">
        <f t="shared" si="219"/>
        <v>-0.31568154731257075</v>
      </c>
      <c r="S60" s="204">
        <v>0.18349746800000002</v>
      </c>
      <c r="T60" s="204">
        <v>-3.2613014470000001</v>
      </c>
      <c r="U60" s="204">
        <v>-1.3755354229999996</v>
      </c>
      <c r="V60" s="204">
        <v>-0.45818710499999998</v>
      </c>
      <c r="W60" s="205">
        <f t="shared" si="220"/>
        <v>-4.9115265069999996</v>
      </c>
      <c r="X60" s="204">
        <v>6.3824135650000002</v>
      </c>
      <c r="Y60" s="204">
        <v>-0.76983403500000003</v>
      </c>
      <c r="Z60" s="204">
        <v>2.2875760359999999</v>
      </c>
      <c r="AA60" s="265">
        <v>13.912100775000001</v>
      </c>
      <c r="AB60" s="205">
        <f t="shared" si="221"/>
        <v>21.812256341000001</v>
      </c>
      <c r="AC60" s="204">
        <v>0.74858026300000213</v>
      </c>
      <c r="AD60" s="204">
        <v>-7.048</v>
      </c>
      <c r="AE60" s="265">
        <v>-11.522</v>
      </c>
      <c r="AF60" s="204">
        <f>32.336-AE60-AD60-AC60</f>
        <v>50.157419736999998</v>
      </c>
      <c r="AG60" s="205">
        <f t="shared" si="222"/>
        <v>32.335999999999999</v>
      </c>
      <c r="AH60" s="382">
        <v>-27.454999999999998</v>
      </c>
      <c r="AI60" s="382">
        <v>41.728999999999999</v>
      </c>
      <c r="AJ60" s="204">
        <f>-12.034+2.605</f>
        <v>-9.4290000000000003</v>
      </c>
      <c r="AK60" s="204">
        <f>AL60-AJ60-AI60-AH60</f>
        <v>14.567999999999998</v>
      </c>
      <c r="AL60" s="205">
        <f>31.447-12.034</f>
        <v>19.412999999999997</v>
      </c>
      <c r="AM60" s="204">
        <v>0</v>
      </c>
      <c r="AN60" s="204">
        <v>0</v>
      </c>
      <c r="AO60" s="204">
        <v>0</v>
      </c>
      <c r="AP60" s="204">
        <v>0</v>
      </c>
      <c r="AQ60" s="205">
        <f t="shared" si="223"/>
        <v>0</v>
      </c>
    </row>
    <row r="61" spans="3:43" collapsed="1">
      <c r="C61" s="13" t="s">
        <v>22</v>
      </c>
      <c r="D61" s="204">
        <f>SUM(D58:D60)</f>
        <v>0.89722473500000011</v>
      </c>
      <c r="E61" s="204">
        <f>SUM(E58:E60)</f>
        <v>1.167594582</v>
      </c>
      <c r="F61" s="204">
        <f>SUM(F58:F60)</f>
        <v>1.608935381</v>
      </c>
      <c r="G61" s="204">
        <f>SUM(G58:G60)</f>
        <v>1.1560027590000002</v>
      </c>
      <c r="H61" s="205">
        <f>SUM(D61:G61)</f>
        <v>4.8297574569999995</v>
      </c>
      <c r="I61" s="204">
        <f>SUM(I58:I60)</f>
        <v>0.5716188419999999</v>
      </c>
      <c r="J61" s="204">
        <f>SUM(J58:J60)</f>
        <v>0.33255237399999998</v>
      </c>
      <c r="K61" s="204">
        <f>SUM(K58:K60)</f>
        <v>-5.2094435819999996</v>
      </c>
      <c r="L61" s="204">
        <f>SUM(L58:L60)</f>
        <v>-13.594103693999999</v>
      </c>
      <c r="M61" s="205">
        <f>SUM(I61:L61)</f>
        <v>-17.899376059999998</v>
      </c>
      <c r="N61" s="204">
        <f>SUM(N58:N60)</f>
        <v>-3.5867236080000002</v>
      </c>
      <c r="O61" s="204">
        <f>SUM(O58:O60)</f>
        <v>-3.6263313950000007</v>
      </c>
      <c r="P61" s="204">
        <f>SUM(P58:P60)</f>
        <v>-3.6297110589999999</v>
      </c>
      <c r="Q61" s="204">
        <f>SUM(Q58:Q60)</f>
        <v>-4.0339034753125702</v>
      </c>
      <c r="R61" s="205">
        <f>SUM(N61:Q61)</f>
        <v>-14.876669537312571</v>
      </c>
      <c r="S61" s="204">
        <f>SUM(S58:S60)</f>
        <v>-4.0324424820000004</v>
      </c>
      <c r="T61" s="204">
        <f>SUM(T58:T60)</f>
        <v>-6.9700102269999995</v>
      </c>
      <c r="U61" s="204">
        <f>SUM(U58:U60)</f>
        <v>-5.2330936950000009</v>
      </c>
      <c r="V61" s="204">
        <f>SUM(V58:V60)</f>
        <v>-7.5378134750000001</v>
      </c>
      <c r="W61" s="205">
        <f>SUM(S61:V61)</f>
        <v>-23.773359879000001</v>
      </c>
      <c r="X61" s="204">
        <f>SUM(X58:X60)</f>
        <v>-0.38431606500000015</v>
      </c>
      <c r="Y61" s="204">
        <f>SUM(Y58:Y60)</f>
        <v>-10.524664195</v>
      </c>
      <c r="Z61" s="204">
        <f>SUM(Z58:Z60)</f>
        <v>-8.5723039639999996</v>
      </c>
      <c r="AA61" s="204">
        <f>SUM(AA58:AA60)</f>
        <v>2.0255854150000019</v>
      </c>
      <c r="AB61" s="205">
        <f>SUM(X61:AA61)</f>
        <v>-17.455698808999998</v>
      </c>
      <c r="AC61" s="204">
        <f>SUM(AC58:AC60)</f>
        <v>-11.458523866999998</v>
      </c>
      <c r="AD61" s="204">
        <f>SUM(AD58:AD60)</f>
        <v>-18.625</v>
      </c>
      <c r="AE61" s="204">
        <f>SUM(AE58:AE60)</f>
        <v>-20.494</v>
      </c>
      <c r="AF61" s="204">
        <f>SUM(AF58:AF60)</f>
        <v>40.344419736999996</v>
      </c>
      <c r="AG61" s="205">
        <f>SUM(AC61:AF61)</f>
        <v>-10.233104130000001</v>
      </c>
      <c r="AH61" s="204">
        <f>SUM(AH58:AH60)</f>
        <v>-43.644999999999996</v>
      </c>
      <c r="AI61" s="204">
        <f>SUM(AI58:AI60)</f>
        <v>21.242999999999999</v>
      </c>
      <c r="AJ61" s="204">
        <f>SUM(AJ58:AJ60)</f>
        <v>-20.228000000000002</v>
      </c>
      <c r="AK61" s="204">
        <f>SUM(AK58:AK60)</f>
        <v>4.4040000000000035</v>
      </c>
      <c r="AL61" s="205">
        <f>SUM(AH61:AK61)</f>
        <v>-38.225999999999992</v>
      </c>
      <c r="AM61" s="204">
        <f>SUM(AM58:AM60)</f>
        <v>-11.6</v>
      </c>
      <c r="AN61" s="204">
        <f>SUM(AN58:AN60)</f>
        <v>-11.6</v>
      </c>
      <c r="AO61" s="204">
        <f>SUM(AO58:AO60)</f>
        <v>-11.7</v>
      </c>
      <c r="AP61" s="204">
        <f>SUM(AP58:AP60)</f>
        <v>-11.7</v>
      </c>
      <c r="AQ61" s="205">
        <f>SUM(AM61:AP61)</f>
        <v>-46.599999999999994</v>
      </c>
    </row>
    <row r="62" spans="3:43">
      <c r="C62" s="13"/>
      <c r="H62" s="3"/>
      <c r="M62" s="3"/>
      <c r="R62" s="3"/>
      <c r="W62" s="3"/>
      <c r="AB62" s="3"/>
      <c r="AF62" s="390"/>
      <c r="AG62" s="3"/>
      <c r="AL62" s="3"/>
      <c r="AQ62" s="3"/>
    </row>
    <row r="63" spans="3:43">
      <c r="C63" s="16" t="s">
        <v>23</v>
      </c>
      <c r="D63" s="206">
        <f>D74-D58-D59-D72+CF!D9+D53</f>
        <v>-23.497643783999994</v>
      </c>
      <c r="E63" s="206">
        <f>E74-E58-E59-E72+CF!E9+E53</f>
        <v>-29.471326258000005</v>
      </c>
      <c r="F63" s="206">
        <f>F74-F58-F59-F72+CF!F9+F53</f>
        <v>-33.237772825999997</v>
      </c>
      <c r="G63" s="206">
        <f>G74-G58-G59-G72+CF!G9+G53</f>
        <v>-25.492394437999998</v>
      </c>
      <c r="H63" s="197">
        <f>SUM(D63:G63)</f>
        <v>-111.69913730599998</v>
      </c>
      <c r="I63" s="206">
        <f>I74-I58-I59-I72+CF!I9+I53</f>
        <v>-43.749326902000014</v>
      </c>
      <c r="J63" s="206">
        <f>J74-J58-J59-J72+CF!J9+J53</f>
        <v>-47.842139439999997</v>
      </c>
      <c r="K63" s="206">
        <f>K74-K58-K59-K72+CF!K9+K53</f>
        <v>-48.403612312000007</v>
      </c>
      <c r="L63" s="206">
        <f>L74-L58-L59-L72+CF!L9+L53</f>
        <v>-10.509204839999992</v>
      </c>
      <c r="M63" s="197">
        <f>SUM(I63:L63)</f>
        <v>-150.50428349400002</v>
      </c>
      <c r="N63" s="206">
        <f>N74-N58-N59-N72+CF!N9+N53</f>
        <v>-55.352261804999998</v>
      </c>
      <c r="O63" s="206">
        <f>O74-O58-O59-O72+CF!O9+O53</f>
        <v>-52.633936631000033</v>
      </c>
      <c r="P63" s="206">
        <f>P74-P58-P59-P72+CF!P9+P53</f>
        <v>-58.184304708999989</v>
      </c>
      <c r="Q63" s="206">
        <f>Q74-Q58-Q59-Q72+CF!Q9+Q53</f>
        <v>-48.547110987163308</v>
      </c>
      <c r="R63" s="197">
        <f>SUM(N63:Q63)</f>
        <v>-214.71761413216331</v>
      </c>
      <c r="S63" s="206">
        <f>S74-S58-S59-S72+CF!S9+S53</f>
        <v>-73.772060381000017</v>
      </c>
      <c r="T63" s="206">
        <f>T74-T58-T59-T72+CF!T9+T53</f>
        <v>-61.088752891000006</v>
      </c>
      <c r="U63" s="206">
        <f>U74-U58-U59-U72+CF!U9+U53</f>
        <v>-54.930240700000041</v>
      </c>
      <c r="V63" s="206">
        <f>V74-V58-V59-V72+CF!V9+V53</f>
        <v>-50.143459871999994</v>
      </c>
      <c r="W63" s="197">
        <f>SUM(S63:V63)</f>
        <v>-239.93451384400007</v>
      </c>
      <c r="X63" s="206">
        <f>X74-X58-X59-X72+CF!X9+X53</f>
        <v>-45.930334600999998</v>
      </c>
      <c r="Y63" s="206">
        <f>Y74-Y58-Y59-Y72+CF!Y9+Y53</f>
        <v>-36.927258826999989</v>
      </c>
      <c r="Z63" s="206">
        <f>Z74-Z58-Z59-Z72+CF!Z9+Z53</f>
        <v>-36.235084746999995</v>
      </c>
      <c r="AA63" s="206">
        <f>AA74-AA58-AA59-AA72+CF!AA9+AA53</f>
        <v>-35.445742643999736</v>
      </c>
      <c r="AB63" s="197">
        <f>SUM(X63:AA63)</f>
        <v>-154.53842081899973</v>
      </c>
      <c r="AC63" s="206">
        <f>AC74-AC58-AC59-AC72+CF!AC9+AC53</f>
        <v>-43.925489460000257</v>
      </c>
      <c r="AD63" s="206">
        <f>AD74-AD58-AD59+AD51+AD52-AD67+AD49+AD50+AD41+AD42</f>
        <v>-31.295000000000073</v>
      </c>
      <c r="AE63" s="206">
        <f>AE74-AE58-AE59+AE51+AE52-AE67+AE49+AE50+AE41+AE42</f>
        <v>-21.843000000000028</v>
      </c>
      <c r="AF63" s="206">
        <f>AF74-AF58-AF59+AF51+AF52-AF67+AF49+AF50+AF41+AF42+5.244</f>
        <v>-7.7515802630000152</v>
      </c>
      <c r="AG63" s="197">
        <f>SUM(AC63:AF63)</f>
        <v>-104.81506972300036</v>
      </c>
      <c r="AH63" s="206">
        <f>AH74-AH58-AH59+AH51+AH52-AH72-AH77+AH41+AH42+AH49+AH48+0.091+1.646</f>
        <v>-16.153000000000084</v>
      </c>
      <c r="AI63" s="206">
        <f>AI74-AI58-AI59+AI51+AI52-AI72-AI77+AI41+AI42+AI49+AI48</f>
        <v>-5.5860000000000065</v>
      </c>
      <c r="AJ63" s="206">
        <f>AJ74-AJ58-AJ59+CF!AJ9-IS!AJ67-IS!AJ77+IS!AJ41+IS!AJ42+IS!AJ49+IS!AJ48+IS!AJ52+12.034</f>
        <v>1.4760000000000399</v>
      </c>
      <c r="AK63" s="206">
        <f>AK74-AK58-AK59+AK51+19.204-AK67-AK77+AK41+AK42+AK49-0.136-3.989+1.608</f>
        <v>12.892999999999983</v>
      </c>
      <c r="AL63" s="197">
        <f>SUM(AH63:AK63)</f>
        <v>-7.3700000000000649</v>
      </c>
      <c r="AM63" s="206">
        <f>AM74-AM58-AM59+CF!AM9-IS!AM67-IS!AM77+IS!AM41+IS!AM42+IS!AM49+IS!AM48+IS!AM52</f>
        <v>-4.9669880295706266</v>
      </c>
      <c r="AN63" s="206">
        <f>AN74-AN58-AN59+CF!AN9-IS!AN67-IS!AN77+IS!AN41+IS!AN42+IS!AN49+IS!AN48+IS!AN52</f>
        <v>10.532534215000016</v>
      </c>
      <c r="AO63" s="206">
        <f>AO74-AO58-AO59+CF!AO9-IS!AO67-IS!AO77+IS!AO41+IS!AO42+IS!AO49+IS!AO48+IS!AO52</f>
        <v>22.653954572000021</v>
      </c>
      <c r="AP63" s="206">
        <f>AP74-AP58-AP59+CF!AP9-IS!AP67-IS!AP77+IS!AP41+IS!AP42+IS!AP49+IS!AP48+IS!AP52</f>
        <v>36.757155811894322</v>
      </c>
      <c r="AQ63" s="197">
        <f>SUM(AM63:AP63)</f>
        <v>64.976656569323737</v>
      </c>
    </row>
    <row r="64" spans="3:43">
      <c r="C64" s="10" t="s">
        <v>24</v>
      </c>
      <c r="D64" s="12">
        <f t="shared" ref="D64:AQ64" si="224">D63/D15</f>
        <v>-3.0600802290499942</v>
      </c>
      <c r="E64" s="12">
        <f t="shared" si="224"/>
        <v>-2.7842383597160745</v>
      </c>
      <c r="F64" s="12">
        <f t="shared" si="224"/>
        <v>-2.1717960341188571</v>
      </c>
      <c r="G64" s="12">
        <f t="shared" si="224"/>
        <v>-0.89481582697459194</v>
      </c>
      <c r="H64" s="6">
        <f t="shared" si="224"/>
        <v>-1.7999415976480133</v>
      </c>
      <c r="I64" s="12">
        <f t="shared" si="224"/>
        <v>-2.3982584259541371</v>
      </c>
      <c r="J64" s="12">
        <f t="shared" si="224"/>
        <v>-2.6320040822045376</v>
      </c>
      <c r="K64" s="12">
        <f t="shared" si="224"/>
        <v>-0.95409225605914061</v>
      </c>
      <c r="L64" s="12">
        <f t="shared" si="224"/>
        <v>-0.10420464612585442</v>
      </c>
      <c r="M64" s="6">
        <f t="shared" si="224"/>
        <v>-0.80054009852583352</v>
      </c>
      <c r="N64" s="12">
        <f t="shared" si="224"/>
        <v>-0.78950530345605263</v>
      </c>
      <c r="O64" s="12">
        <f t="shared" si="224"/>
        <v>-0.84913019394219857</v>
      </c>
      <c r="P64" s="12">
        <f t="shared" si="224"/>
        <v>-1.1093785936059763</v>
      </c>
      <c r="Q64" s="12">
        <f t="shared" si="224"/>
        <v>-0.66222094856314884</v>
      </c>
      <c r="R64" s="6">
        <f t="shared" si="224"/>
        <v>-0.8327134086089808</v>
      </c>
      <c r="S64" s="12">
        <f t="shared" si="224"/>
        <v>-1.2143195618544074</v>
      </c>
      <c r="T64" s="12">
        <f t="shared" si="224"/>
        <v>-0.82867226932514781</v>
      </c>
      <c r="U64" s="12">
        <f t="shared" si="224"/>
        <v>-0.64192193053815871</v>
      </c>
      <c r="V64" s="12">
        <f t="shared" si="224"/>
        <v>-0.49831127094298222</v>
      </c>
      <c r="W64" s="6">
        <f t="shared" si="224"/>
        <v>-0.74823128990343302</v>
      </c>
      <c r="X64" s="12">
        <f t="shared" si="224"/>
        <v>-0.39723732739309048</v>
      </c>
      <c r="Y64" s="12">
        <f t="shared" si="224"/>
        <v>-0.27887238323294661</v>
      </c>
      <c r="Z64" s="12">
        <f t="shared" si="224"/>
        <v>-0.26638307264475886</v>
      </c>
      <c r="AA64" s="12">
        <f t="shared" si="224"/>
        <v>-0.24000064194266185</v>
      </c>
      <c r="AB64" s="6">
        <f t="shared" si="224"/>
        <v>-0.29061839987558569</v>
      </c>
      <c r="AC64" s="12">
        <f t="shared" si="224"/>
        <v>-0.30123081236821225</v>
      </c>
      <c r="AD64" s="12">
        <f t="shared" si="224"/>
        <v>-0.18855930926859879</v>
      </c>
      <c r="AE64" s="12">
        <f t="shared" si="224"/>
        <v>-0.12072691497769859</v>
      </c>
      <c r="AF64" s="12">
        <f t="shared" si="224"/>
        <v>-3.8626570973689531E-2</v>
      </c>
      <c r="AG64" s="6">
        <f t="shared" si="224"/>
        <v>-0.1511614736418149</v>
      </c>
      <c r="AH64" s="12">
        <f t="shared" si="224"/>
        <v>-6.3162545896761457E-2</v>
      </c>
      <c r="AI64" s="12">
        <f t="shared" si="224"/>
        <v>-1.7753905318861559E-2</v>
      </c>
      <c r="AJ64" s="12">
        <f t="shared" si="224"/>
        <v>4.416437765928918E-3</v>
      </c>
      <c r="AK64" s="12">
        <f t="shared" si="224"/>
        <v>3.5110603985174689E-2</v>
      </c>
      <c r="AL64" s="6">
        <f t="shared" si="224"/>
        <v>-5.7949864324978945E-3</v>
      </c>
      <c r="AM64" s="12">
        <f t="shared" si="224"/>
        <v>-1.4398821815551202E-2</v>
      </c>
      <c r="AN64" s="12">
        <f t="shared" si="224"/>
        <v>2.6665835545127387E-2</v>
      </c>
      <c r="AO64" s="12">
        <f t="shared" si="224"/>
        <v>5.456604343134145E-2</v>
      </c>
      <c r="AP64" s="12">
        <f t="shared" si="224"/>
        <v>8.4522644500983249E-2</v>
      </c>
      <c r="AQ64" s="6">
        <f t="shared" si="224"/>
        <v>4.0866195210471808E-2</v>
      </c>
    </row>
    <row r="65" spans="3:48">
      <c r="C65" s="10"/>
      <c r="D65" s="12"/>
      <c r="E65" s="12"/>
      <c r="F65" s="12"/>
      <c r="G65" s="12"/>
      <c r="H65" s="6"/>
      <c r="I65" s="12"/>
      <c r="J65" s="12"/>
      <c r="K65" s="12"/>
      <c r="L65" s="12"/>
      <c r="M65" s="6"/>
      <c r="N65" s="12"/>
      <c r="O65" s="12"/>
      <c r="P65" s="12"/>
      <c r="Q65" s="12"/>
      <c r="R65" s="6"/>
      <c r="S65" s="12"/>
      <c r="T65" s="12"/>
      <c r="U65" s="12"/>
      <c r="V65" s="12"/>
      <c r="W65" s="6"/>
      <c r="X65" s="12"/>
      <c r="Y65" s="12"/>
      <c r="Z65" s="12"/>
      <c r="AA65" s="12"/>
      <c r="AB65" s="6"/>
      <c r="AC65" s="12"/>
      <c r="AD65" s="12"/>
      <c r="AE65" s="12"/>
      <c r="AF65" s="12"/>
      <c r="AG65" s="6"/>
      <c r="AH65" s="12"/>
      <c r="AI65" s="12"/>
      <c r="AJ65" s="12"/>
      <c r="AK65" s="12"/>
      <c r="AL65" s="6"/>
      <c r="AM65" s="12"/>
      <c r="AN65" s="12"/>
      <c r="AO65" s="12"/>
      <c r="AP65" s="12"/>
      <c r="AQ65" s="6"/>
    </row>
    <row r="66" spans="3:48" ht="15">
      <c r="C66" s="13" t="s">
        <v>186</v>
      </c>
      <c r="D66" s="204">
        <f>D37+D61</f>
        <v>-24.393365823999993</v>
      </c>
      <c r="E66" s="204">
        <f>E37+E61</f>
        <v>-30.204947528000005</v>
      </c>
      <c r="F66" s="204">
        <f>F37+F61</f>
        <v>-33.560786556000004</v>
      </c>
      <c r="G66" s="204">
        <f>G37+G61</f>
        <v>-26.792227798000003</v>
      </c>
      <c r="H66" s="205">
        <f>SUM(D66:G66)</f>
        <v>-114.951327706</v>
      </c>
      <c r="I66" s="204">
        <f>I37+I61</f>
        <v>-47.102916572000005</v>
      </c>
      <c r="J66" s="204">
        <f>J37+J61</f>
        <v>-51.098612660000008</v>
      </c>
      <c r="K66" s="204">
        <f>K37+K61</f>
        <v>-57.509399102000003</v>
      </c>
      <c r="L66" s="204">
        <f>L37+L61</f>
        <v>-55.643518019999988</v>
      </c>
      <c r="M66" s="205">
        <f>SUM(I66:L66)</f>
        <v>-211.354446354</v>
      </c>
      <c r="N66" s="204">
        <f>N37+N61</f>
        <v>-65.020109335000001</v>
      </c>
      <c r="O66" s="204">
        <f>O37+O61</f>
        <v>-66.499435191000018</v>
      </c>
      <c r="P66" s="204">
        <f>P37+P61</f>
        <v>-68.236895368999996</v>
      </c>
      <c r="Q66" s="204">
        <f>Q37+Q61</f>
        <v>-58.830733597163302</v>
      </c>
      <c r="R66" s="205">
        <f>SUM(N66:Q66)</f>
        <v>-258.58717349216329</v>
      </c>
      <c r="S66" s="204">
        <f>S37+S61</f>
        <v>-81.124788431000013</v>
      </c>
      <c r="T66" s="204">
        <f>T37+T61</f>
        <v>-73.525277871</v>
      </c>
      <c r="U66" s="204">
        <f>U37+U61</f>
        <v>-68.410936012000036</v>
      </c>
      <c r="V66" s="204">
        <f>V37+V61</f>
        <v>-66.152623161999998</v>
      </c>
      <c r="W66" s="205">
        <f>SUM(S66:V66)</f>
        <v>-289.21362547600006</v>
      </c>
      <c r="X66" s="204">
        <f>X37+X61</f>
        <v>-54.244300351</v>
      </c>
      <c r="Y66" s="204">
        <f>Y37+Y61</f>
        <v>-55.663548096999989</v>
      </c>
      <c r="Z66" s="204">
        <f>Z37+Z61</f>
        <v>-53.392664537000002</v>
      </c>
      <c r="AA66" s="204">
        <f>AA37+AA61</f>
        <v>-50.256259793999739</v>
      </c>
      <c r="AB66" s="205">
        <f>SUM(X66:AA66)</f>
        <v>-213.55677277899972</v>
      </c>
      <c r="AC66" s="204">
        <f>AC37+AC61</f>
        <v>-64.732766093000251</v>
      </c>
      <c r="AD66" s="204">
        <f>AD37+AD61</f>
        <v>-59.043000000000049</v>
      </c>
      <c r="AE66" s="204">
        <f>AE37+AE61</f>
        <v>-51.871000000000009</v>
      </c>
      <c r="AF66" s="204">
        <f>AF37+AF58+AF59-3.988+2.708-0.15</f>
        <v>-29.576000000000015</v>
      </c>
      <c r="AG66" s="205">
        <f>SUM(AC66:AF66)</f>
        <v>-205.22276609300033</v>
      </c>
      <c r="AH66" s="204">
        <f>AH37+AH61-3.989+3.529</f>
        <v>-69.881000000000071</v>
      </c>
      <c r="AI66" s="204">
        <f>AI37+AI61-3.988+1.992</f>
        <v>2.2099999999999924</v>
      </c>
      <c r="AJ66" s="204">
        <f>AJ37+AJ61</f>
        <v>-28.889999999999979</v>
      </c>
      <c r="AK66" s="204">
        <f>AK37+AK61</f>
        <v>8.684999999999981</v>
      </c>
      <c r="AL66" s="205">
        <f>SUM(AH66:AK66)</f>
        <v>-87.87600000000009</v>
      </c>
      <c r="AM66" s="204">
        <f>AM37+AM61</f>
        <v>-54.491988029570628</v>
      </c>
      <c r="AN66" s="204">
        <f>AN37+AN61</f>
        <v>-38.992465784999986</v>
      </c>
      <c r="AO66" s="204">
        <f>AO37+AO61</f>
        <v>-26.971045427999979</v>
      </c>
      <c r="AP66" s="204">
        <f>AP37+AP61</f>
        <v>-12.867844188105675</v>
      </c>
      <c r="AQ66" s="205">
        <f>SUM(AM66:AP66)</f>
        <v>-133.32334343067626</v>
      </c>
      <c r="AR66"/>
      <c r="AS66"/>
      <c r="AT66"/>
      <c r="AU66"/>
      <c r="AV66"/>
    </row>
    <row r="67" spans="3:48" ht="15">
      <c r="C67" s="17" t="s">
        <v>26</v>
      </c>
      <c r="D67" s="204">
        <f>D72</f>
        <v>0</v>
      </c>
      <c r="E67" s="204">
        <f t="shared" ref="E67:G67" si="225">E72</f>
        <v>0</v>
      </c>
      <c r="F67" s="204">
        <f t="shared" si="225"/>
        <v>0</v>
      </c>
      <c r="G67" s="204">
        <f t="shared" si="225"/>
        <v>0</v>
      </c>
      <c r="H67" s="205">
        <f>SUM(D67:G67)</f>
        <v>0</v>
      </c>
      <c r="I67" s="204">
        <f>I72</f>
        <v>1.890819E-3</v>
      </c>
      <c r="J67" s="204">
        <f t="shared" ref="J67:L67" si="226">J72</f>
        <v>0</v>
      </c>
      <c r="K67" s="204">
        <f t="shared" si="226"/>
        <v>0</v>
      </c>
      <c r="L67" s="204">
        <f t="shared" si="226"/>
        <v>2.3653630000017582E-3</v>
      </c>
      <c r="M67" s="205">
        <f>SUM(I67:L67)</f>
        <v>4.256182000001758E-3</v>
      </c>
      <c r="N67" s="204">
        <f>N72</f>
        <v>0</v>
      </c>
      <c r="O67" s="204">
        <f t="shared" ref="O67:Q67" si="227">O72</f>
        <v>0</v>
      </c>
      <c r="P67" s="204">
        <f t="shared" si="227"/>
        <v>0</v>
      </c>
      <c r="Q67" s="204">
        <f t="shared" si="227"/>
        <v>0</v>
      </c>
      <c r="R67" s="205">
        <f>SUM(N67:Q67)</f>
        <v>0</v>
      </c>
      <c r="S67" s="204">
        <f>S72</f>
        <v>-4.8487500000000001E-4</v>
      </c>
      <c r="T67" s="204">
        <f t="shared" ref="T67:V67" si="228">T72</f>
        <v>5.4740000000000001E-5</v>
      </c>
      <c r="U67" s="204">
        <f t="shared" si="228"/>
        <v>-4.6780599999999997E-4</v>
      </c>
      <c r="V67" s="204">
        <f t="shared" si="228"/>
        <v>-7.1677389000000008E-2</v>
      </c>
      <c r="W67" s="205">
        <f>SUM(S67:V67)</f>
        <v>-7.2575330000000007E-2</v>
      </c>
      <c r="X67" s="204">
        <f>X72</f>
        <v>-5.5994570000000004E-3</v>
      </c>
      <c r="Y67" s="204">
        <f t="shared" ref="Y67:AA67" si="229">Y72</f>
        <v>-3.6866000000000004E-3</v>
      </c>
      <c r="Z67" s="204">
        <f t="shared" si="229"/>
        <v>-6.4770124999999998E-2</v>
      </c>
      <c r="AA67" s="204">
        <f t="shared" si="229"/>
        <v>-0.21415508100000002</v>
      </c>
      <c r="AB67" s="205">
        <f>SUM(X67:AA67)</f>
        <v>-0.288211263</v>
      </c>
      <c r="AC67" s="204">
        <f>AC72</f>
        <v>-1.1289509E-2</v>
      </c>
      <c r="AD67" s="204">
        <v>-9.5000000000000001E-2</v>
      </c>
      <c r="AE67" s="204">
        <v>-3.7999999999999999E-2</v>
      </c>
      <c r="AF67" s="204">
        <f t="shared" ref="AF67" si="230">AF72</f>
        <v>-0.122</v>
      </c>
      <c r="AG67" s="205">
        <f>SUM(AC67:AF67)</f>
        <v>-0.26628950900000004</v>
      </c>
      <c r="AH67" s="204">
        <v>46.18</v>
      </c>
      <c r="AI67" s="204">
        <v>-0.21199999999999999</v>
      </c>
      <c r="AJ67" s="204">
        <f>-0.276</f>
        <v>-0.27600000000000002</v>
      </c>
      <c r="AK67" s="204">
        <f t="shared" ref="AK67" si="231">AK72</f>
        <v>5.9920000000000044</v>
      </c>
      <c r="AL67" s="205">
        <f>SUM(AH67:AK67)</f>
        <v>51.683999999999997</v>
      </c>
      <c r="AM67" s="204">
        <f>AM72</f>
        <v>0</v>
      </c>
      <c r="AN67" s="204">
        <f t="shared" ref="AN67:AP67" si="232">AN72</f>
        <v>0</v>
      </c>
      <c r="AO67" s="204">
        <f t="shared" si="232"/>
        <v>0</v>
      </c>
      <c r="AP67" s="204">
        <f t="shared" si="232"/>
        <v>0</v>
      </c>
      <c r="AQ67" s="7">
        <f>SUM(AM67:AP67)</f>
        <v>0</v>
      </c>
      <c r="AR67"/>
      <c r="AS67"/>
      <c r="AT67"/>
      <c r="AU67"/>
      <c r="AV67"/>
    </row>
    <row r="68" spans="3:48" ht="15.75" thickBot="1">
      <c r="C68" s="10" t="s">
        <v>27</v>
      </c>
      <c r="D68" s="15">
        <f t="shared" ref="D68:G68" si="233">D67/D66</f>
        <v>0</v>
      </c>
      <c r="E68" s="15">
        <f t="shared" si="233"/>
        <v>0</v>
      </c>
      <c r="F68" s="15">
        <f t="shared" si="233"/>
        <v>0</v>
      </c>
      <c r="G68" s="15">
        <f t="shared" si="233"/>
        <v>0</v>
      </c>
      <c r="H68" s="5"/>
      <c r="I68" s="15">
        <f t="shared" ref="I68:L68" si="234">I67/I66</f>
        <v>-4.0142291340064998E-5</v>
      </c>
      <c r="J68" s="15">
        <f t="shared" si="234"/>
        <v>0</v>
      </c>
      <c r="K68" s="15">
        <f t="shared" si="234"/>
        <v>0</v>
      </c>
      <c r="L68" s="15">
        <f t="shared" si="234"/>
        <v>-4.2509228103650351E-5</v>
      </c>
      <c r="M68" s="5"/>
      <c r="N68" s="15">
        <f t="shared" ref="N68:P68" si="235">N67/N66</f>
        <v>0</v>
      </c>
      <c r="O68" s="15">
        <f t="shared" si="235"/>
        <v>0</v>
      </c>
      <c r="P68" s="15">
        <f t="shared" si="235"/>
        <v>0</v>
      </c>
      <c r="Q68" s="15">
        <f>Q67/Q66</f>
        <v>0</v>
      </c>
      <c r="R68" s="5"/>
      <c r="S68" s="12">
        <f t="shared" ref="S68:U68" si="236">S67/S66</f>
        <v>5.976903106655326E-6</v>
      </c>
      <c r="T68" s="12">
        <f t="shared" si="236"/>
        <v>-7.4450585682982737E-7</v>
      </c>
      <c r="U68" s="12">
        <f t="shared" si="236"/>
        <v>6.8381756963234886E-6</v>
      </c>
      <c r="V68" s="12">
        <f>V67/V66</f>
        <v>1.0835154461595652E-3</v>
      </c>
      <c r="W68" s="5"/>
      <c r="X68" s="12">
        <f>X67/X66</f>
        <v>1.0322664250008663E-4</v>
      </c>
      <c r="Y68" s="12">
        <f>Y67/Y66</f>
        <v>6.6230057659559996E-5</v>
      </c>
      <c r="Z68" s="12">
        <f t="shared" ref="Z68:AA68" si="237">Z67/Z66</f>
        <v>1.2130903291989793E-3</v>
      </c>
      <c r="AA68" s="12">
        <f t="shared" si="237"/>
        <v>4.2612618184843251E-3</v>
      </c>
      <c r="AB68" s="5"/>
      <c r="AC68" s="12">
        <f t="shared" ref="AC68:AK68" si="238">AC67/AC66</f>
        <v>1.7440177025311403E-4</v>
      </c>
      <c r="AD68" s="12">
        <f t="shared" si="238"/>
        <v>1.6089968328167593E-3</v>
      </c>
      <c r="AE68" s="12">
        <f t="shared" si="238"/>
        <v>7.3258660908792953E-4</v>
      </c>
      <c r="AF68" s="12">
        <f t="shared" si="238"/>
        <v>4.1249661888017293E-3</v>
      </c>
      <c r="AG68" s="5"/>
      <c r="AH68" s="394">
        <f t="shared" si="238"/>
        <v>-0.66083770982098067</v>
      </c>
      <c r="AI68" s="394">
        <f t="shared" si="238"/>
        <v>-9.5927601809955076E-2</v>
      </c>
      <c r="AJ68" s="394">
        <f t="shared" si="238"/>
        <v>9.5534787123572242E-3</v>
      </c>
      <c r="AK68" s="394">
        <f t="shared" si="238"/>
        <v>0.68992515831894274</v>
      </c>
      <c r="AL68" s="5"/>
      <c r="AM68" s="26">
        <v>0</v>
      </c>
      <c r="AN68" s="26">
        <v>0</v>
      </c>
      <c r="AO68" s="26">
        <v>0</v>
      </c>
      <c r="AP68" s="26">
        <v>0</v>
      </c>
      <c r="AQ68" s="5"/>
      <c r="AR68"/>
      <c r="AS68"/>
      <c r="AT68"/>
      <c r="AU68"/>
      <c r="AV68"/>
    </row>
    <row r="69" spans="3:48" ht="15.75" thickBot="1">
      <c r="C69" s="23" t="s">
        <v>187</v>
      </c>
      <c r="D69" s="239">
        <f t="shared" ref="D69:G69" si="239">D66+D67</f>
        <v>-24.393365823999993</v>
      </c>
      <c r="E69" s="239">
        <f t="shared" si="239"/>
        <v>-30.204947528000005</v>
      </c>
      <c r="F69" s="239">
        <f t="shared" si="239"/>
        <v>-33.560786556000004</v>
      </c>
      <c r="G69" s="239">
        <f t="shared" si="239"/>
        <v>-26.792227798000003</v>
      </c>
      <c r="H69" s="240">
        <f>SUM(D69:G69)</f>
        <v>-114.951327706</v>
      </c>
      <c r="I69" s="239">
        <f t="shared" ref="I69:J69" si="240">I66+I67</f>
        <v>-47.101025753000002</v>
      </c>
      <c r="J69" s="239">
        <f t="shared" si="240"/>
        <v>-51.098612660000008</v>
      </c>
      <c r="K69" s="239">
        <f>K66+K67</f>
        <v>-57.509399102000003</v>
      </c>
      <c r="L69" s="242">
        <f>L66+L67</f>
        <v>-55.641152656999985</v>
      </c>
      <c r="M69" s="240">
        <f>SUM(I69:L69)</f>
        <v>-211.350190172</v>
      </c>
      <c r="N69" s="239">
        <f t="shared" ref="N69:O69" si="241">N66+N67</f>
        <v>-65.020109335000001</v>
      </c>
      <c r="O69" s="239">
        <f t="shared" si="241"/>
        <v>-66.499435191000018</v>
      </c>
      <c r="P69" s="239">
        <f>P66+P67</f>
        <v>-68.236895368999996</v>
      </c>
      <c r="Q69" s="239">
        <f>Q66+Q67</f>
        <v>-58.830733597163302</v>
      </c>
      <c r="R69" s="240">
        <f>SUM(N69:Q69)</f>
        <v>-258.58717349216329</v>
      </c>
      <c r="S69" s="239">
        <f t="shared" ref="S69:U69" si="242">S66+S67</f>
        <v>-81.125273306000011</v>
      </c>
      <c r="T69" s="239">
        <f t="shared" si="242"/>
        <v>-73.525223131000004</v>
      </c>
      <c r="U69" s="239">
        <f t="shared" si="242"/>
        <v>-68.411403818000039</v>
      </c>
      <c r="V69" s="239">
        <f>V66+V67</f>
        <v>-66.224300550999999</v>
      </c>
      <c r="W69" s="240">
        <f>SUM(S69:V69)</f>
        <v>-289.28620080600007</v>
      </c>
      <c r="X69" s="239">
        <f>X66+X67</f>
        <v>-54.249899808000002</v>
      </c>
      <c r="Y69" s="239">
        <f t="shared" ref="Y69:AA69" si="243">Y66+Y67</f>
        <v>-55.667234696999991</v>
      </c>
      <c r="Z69" s="239">
        <f t="shared" si="243"/>
        <v>-53.457434662000004</v>
      </c>
      <c r="AA69" s="239">
        <f t="shared" si="243"/>
        <v>-50.47041487499974</v>
      </c>
      <c r="AB69" s="240">
        <f>SUM(X69:AA69)</f>
        <v>-213.84498404199974</v>
      </c>
      <c r="AC69" s="239">
        <f>AC66+AC67</f>
        <v>-64.744055602000245</v>
      </c>
      <c r="AD69" s="239">
        <f>AD74+AD41+AD42+AD49+AD50</f>
        <v>-52.126000000000033</v>
      </c>
      <c r="AE69" s="239">
        <f t="shared" ref="AE69:AF69" si="244">AE66+AE67</f>
        <v>-51.909000000000006</v>
      </c>
      <c r="AF69" s="239">
        <f t="shared" si="244"/>
        <v>-29.698000000000015</v>
      </c>
      <c r="AG69" s="240">
        <f>SUM(AC69:AF69)</f>
        <v>-198.47705560200029</v>
      </c>
      <c r="AH69" s="239">
        <f>AH74+AH41+AH42+AH49+AH48+AH46-AH77-AH67-3.989+0.091+1.646</f>
        <v>-41.54000000000007</v>
      </c>
      <c r="AI69" s="239">
        <f>AI74+AI41+AI42+AI49+AI48+AI46-AI77-AI67-3.988</f>
        <v>-37.327000000000005</v>
      </c>
      <c r="AJ69" s="239">
        <f>AJ74+AJ41+AJ42+AJ49+AJ48+AJ46-AJ77-AJ67+AJ52+12.034</f>
        <v>-19.589999999999975</v>
      </c>
      <c r="AK69" s="239">
        <f>AK74+AK41+AK42+AK49-0.136+AK46-AK77-AK72+1.608-3.989</f>
        <v>-7.3410000000000153</v>
      </c>
      <c r="AL69" s="240">
        <f>SUM(AH69:AK69)</f>
        <v>-105.79800000000006</v>
      </c>
      <c r="AM69" s="239">
        <f>AM66+AM67</f>
        <v>-54.491988029570628</v>
      </c>
      <c r="AN69" s="239">
        <f t="shared" ref="AN69:AP69" si="245">AN66+AN67</f>
        <v>-38.992465784999986</v>
      </c>
      <c r="AO69" s="239">
        <f t="shared" si="245"/>
        <v>-26.971045427999979</v>
      </c>
      <c r="AP69" s="239">
        <f t="shared" si="245"/>
        <v>-12.867844188105675</v>
      </c>
      <c r="AQ69" s="240">
        <f>SUM(AM69:AP69)</f>
        <v>-133.32334343067626</v>
      </c>
      <c r="AR69"/>
      <c r="AS69"/>
      <c r="AT69"/>
      <c r="AU69"/>
      <c r="AV69"/>
    </row>
    <row r="70" spans="3:48" ht="15">
      <c r="C70" s="10"/>
      <c r="D70" s="12"/>
      <c r="E70" s="12"/>
      <c r="F70" s="12"/>
      <c r="G70" s="12"/>
      <c r="H70" s="6"/>
      <c r="I70" s="119"/>
      <c r="J70" s="119"/>
      <c r="K70" s="119"/>
      <c r="L70" s="243"/>
      <c r="M70" s="25"/>
      <c r="N70" s="15"/>
      <c r="O70" s="15"/>
      <c r="P70" s="15">
        <f t="shared" ref="P70:AQ70" si="246">P69/P10</f>
        <v>587.85289650029415</v>
      </c>
      <c r="Q70" s="15">
        <f t="shared" si="246"/>
        <v>121.21832345424635</v>
      </c>
      <c r="R70" s="25">
        <f t="shared" si="246"/>
        <v>-911.38888735869978</v>
      </c>
      <c r="S70" s="15">
        <f t="shared" si="246"/>
        <v>221.34656857935343</v>
      </c>
      <c r="T70" s="15">
        <f t="shared" si="246"/>
        <v>690.76456360567499</v>
      </c>
      <c r="U70" s="15">
        <f t="shared" si="246"/>
        <v>-217.01792556472805</v>
      </c>
      <c r="V70" s="15">
        <f t="shared" si="246"/>
        <v>-153.85922820917926</v>
      </c>
      <c r="W70" s="25">
        <f t="shared" si="246"/>
        <v>-18980.287906280417</v>
      </c>
      <c r="X70" s="15">
        <f t="shared" si="246"/>
        <v>-46.565735513007112</v>
      </c>
      <c r="Y70" s="15">
        <f t="shared" si="246"/>
        <v>-59.319433873863467</v>
      </c>
      <c r="Z70" s="15">
        <f t="shared" si="246"/>
        <v>-69.575314071815825</v>
      </c>
      <c r="AA70" s="15">
        <f t="shared" si="246"/>
        <v>-85.333530259957016</v>
      </c>
      <c r="AB70" s="25">
        <f t="shared" si="246"/>
        <v>-256.63586065772961</v>
      </c>
      <c r="AC70" s="15">
        <f t="shared" si="246"/>
        <v>-259.01777314187922</v>
      </c>
      <c r="AD70" s="15">
        <f t="shared" si="246"/>
        <v>-234.87748053209032</v>
      </c>
      <c r="AE70" s="15">
        <f t="shared" si="246"/>
        <v>-255.83341571335086</v>
      </c>
      <c r="AF70" s="15">
        <f t="shared" si="246"/>
        <v>-96.942548356647634</v>
      </c>
      <c r="AG70" s="25">
        <f t="shared" si="246"/>
        <v>-811.32087810944267</v>
      </c>
      <c r="AH70" s="15">
        <f t="shared" si="246"/>
        <v>-46.70086276238483</v>
      </c>
      <c r="AI70" s="15">
        <f t="shared" si="246"/>
        <v>-32.371450891375019</v>
      </c>
      <c r="AJ70" s="15">
        <f t="shared" si="246"/>
        <v>-16.713863663012233</v>
      </c>
      <c r="AK70" s="15">
        <f t="shared" si="246"/>
        <v>-6.0380680089057783</v>
      </c>
      <c r="AL70" s="25">
        <f t="shared" si="246"/>
        <v>-94.899102422676492</v>
      </c>
      <c r="AM70" s="15">
        <f t="shared" si="246"/>
        <v>-163.87075085045089</v>
      </c>
      <c r="AN70" s="15">
        <f t="shared" si="246"/>
        <v>-166.82603034980798</v>
      </c>
      <c r="AO70" s="15">
        <f t="shared" si="246"/>
        <v>-123.78163219835913</v>
      </c>
      <c r="AP70" s="15">
        <f t="shared" si="246"/>
        <v>-72.304971444513896</v>
      </c>
      <c r="AQ70" s="25">
        <f t="shared" si="246"/>
        <v>-569.74687845980816</v>
      </c>
      <c r="AR70"/>
      <c r="AS70"/>
      <c r="AT70"/>
      <c r="AU70"/>
      <c r="AV70"/>
    </row>
    <row r="71" spans="3:48">
      <c r="C71" s="13" t="s">
        <v>25</v>
      </c>
      <c r="D71" s="204">
        <f>D55+D61</f>
        <v>-24.525750753999993</v>
      </c>
      <c r="E71" s="204">
        <f>E55+E61</f>
        <v>-30.337332458000006</v>
      </c>
      <c r="F71" s="204">
        <f>F55+F61</f>
        <v>-36.585171486</v>
      </c>
      <c r="G71" s="204">
        <f>G55+G61</f>
        <v>-26.924250408000002</v>
      </c>
      <c r="H71" s="205">
        <f>SUM(D71:G71)</f>
        <v>-118.37250510600001</v>
      </c>
      <c r="I71" s="204">
        <f>I55+I61</f>
        <v>-47.202573242000007</v>
      </c>
      <c r="J71" s="204">
        <f>J55+J61</f>
        <v>-51.198269330000009</v>
      </c>
      <c r="K71" s="204">
        <f>K55+K61</f>
        <v>-57.609055772000005</v>
      </c>
      <c r="L71" s="204">
        <f>L55+L61</f>
        <v>-55.743174689999989</v>
      </c>
      <c r="M71" s="205">
        <f>SUM(I71:L71)</f>
        <v>-211.75307303400001</v>
      </c>
      <c r="N71" s="204">
        <f>N55+N61</f>
        <v>-65.020109335000001</v>
      </c>
      <c r="O71" s="204">
        <f>O55+O61</f>
        <v>-67.058184191000024</v>
      </c>
      <c r="P71" s="204">
        <f>P55+P61</f>
        <v>-68.236895368999996</v>
      </c>
      <c r="Q71" s="204">
        <f>Q55+Q61</f>
        <v>-58.830733597163302</v>
      </c>
      <c r="R71" s="205">
        <f>SUM(N71:Q71)</f>
        <v>-259.14592249216332</v>
      </c>
      <c r="S71" s="204">
        <f>S55+S61</f>
        <v>-81.124788431000013</v>
      </c>
      <c r="T71" s="204">
        <f>T55+T61</f>
        <v>-73.525277871</v>
      </c>
      <c r="U71" s="204">
        <f>U55+U61</f>
        <v>-68.410936012000036</v>
      </c>
      <c r="V71" s="204">
        <f>V55+V61</f>
        <v>-66.152623161999998</v>
      </c>
      <c r="W71" s="205">
        <f>SUM(S71:V71)</f>
        <v>-289.21362547600006</v>
      </c>
      <c r="X71" s="204">
        <f>X55+X61</f>
        <v>-54.244300351</v>
      </c>
      <c r="Y71" s="204">
        <f>Y55+Y61</f>
        <v>-55.663548096999989</v>
      </c>
      <c r="Z71" s="204">
        <f>Z55+Z61</f>
        <v>-53.392664537000002</v>
      </c>
      <c r="AA71" s="204">
        <f>AA55+AA61</f>
        <v>-50.256259793999739</v>
      </c>
      <c r="AB71" s="205">
        <f>SUM(X71:AA71)</f>
        <v>-213.55677277899972</v>
      </c>
      <c r="AC71" s="204">
        <f>AC55+AC61</f>
        <v>-64.732766093000251</v>
      </c>
      <c r="AD71" s="204">
        <f>AD55+AD61</f>
        <v>-552.226</v>
      </c>
      <c r="AE71" s="204">
        <f>AE55+AE61</f>
        <v>-74.110000000000014</v>
      </c>
      <c r="AF71" s="204">
        <f>AF55+AF61</f>
        <v>-12.891580263000016</v>
      </c>
      <c r="AG71" s="205">
        <f>SUM(AC71:AF71)</f>
        <v>-703.96034635600029</v>
      </c>
      <c r="AH71" s="204">
        <f>AH55+AH61</f>
        <v>-112.19600000000007</v>
      </c>
      <c r="AI71" s="204">
        <f>AI55+AI61</f>
        <v>-40.531000000000006</v>
      </c>
      <c r="AJ71" s="204">
        <f>AJ55+AJ61</f>
        <v>-81.223999999999975</v>
      </c>
      <c r="AK71" s="204">
        <f>AK55+AK61</f>
        <v>-56.641000000000012</v>
      </c>
      <c r="AL71" s="205">
        <f>SUM(AH71:AK71)</f>
        <v>-290.5920000000001</v>
      </c>
      <c r="AM71" s="204">
        <f>AM55+AM61</f>
        <v>-109.49198802957062</v>
      </c>
      <c r="AN71" s="204">
        <f>AN55+AN61</f>
        <v>-87.322465784999977</v>
      </c>
      <c r="AO71" s="204">
        <f>AO55+AO61</f>
        <v>-75.301045427999981</v>
      </c>
      <c r="AP71" s="204">
        <f>AP55+AP61</f>
        <v>-61.197844188105677</v>
      </c>
      <c r="AQ71" s="205">
        <f>SUM(AM71:AP71)</f>
        <v>-333.31334343067624</v>
      </c>
    </row>
    <row r="72" spans="3:48">
      <c r="C72" s="17" t="s">
        <v>26</v>
      </c>
      <c r="D72" s="14">
        <v>0</v>
      </c>
      <c r="E72" s="14">
        <v>0</v>
      </c>
      <c r="F72" s="14">
        <v>0</v>
      </c>
      <c r="G72" s="14">
        <v>0</v>
      </c>
      <c r="H72" s="7">
        <f>SUM(D72:G72)</f>
        <v>0</v>
      </c>
      <c r="I72" s="204">
        <v>1.890819E-3</v>
      </c>
      <c r="J72" s="204">
        <v>0</v>
      </c>
      <c r="K72" s="204">
        <v>0</v>
      </c>
      <c r="L72" s="204">
        <v>2.3653630000017582E-3</v>
      </c>
      <c r="M72" s="7">
        <f>SUM(I72:L72)</f>
        <v>4.256182000001758E-3</v>
      </c>
      <c r="N72" s="14">
        <v>0</v>
      </c>
      <c r="O72" s="14">
        <v>0</v>
      </c>
      <c r="P72" s="14">
        <v>0</v>
      </c>
      <c r="Q72" s="14">
        <v>0</v>
      </c>
      <c r="R72" s="7">
        <f>SUM(N72:Q72)</f>
        <v>0</v>
      </c>
      <c r="S72" s="204">
        <v>-4.8487500000000001E-4</v>
      </c>
      <c r="T72" s="204">
        <v>5.4740000000000001E-5</v>
      </c>
      <c r="U72" s="204">
        <v>-4.6780599999999997E-4</v>
      </c>
      <c r="V72" s="204">
        <v>-7.1677389000000008E-2</v>
      </c>
      <c r="W72" s="205">
        <f>SUM(S72:V72)</f>
        <v>-7.2575330000000007E-2</v>
      </c>
      <c r="X72" s="204">
        <v>-5.5994570000000004E-3</v>
      </c>
      <c r="Y72" s="204">
        <v>-3.6866000000000004E-3</v>
      </c>
      <c r="Z72" s="204">
        <v>-6.4770124999999998E-2</v>
      </c>
      <c r="AA72" s="204">
        <v>-0.21415508100000002</v>
      </c>
      <c r="AB72" s="205">
        <f>SUM(X72:AA72)</f>
        <v>-0.288211263</v>
      </c>
      <c r="AC72" s="204">
        <v>-1.1289509E-2</v>
      </c>
      <c r="AD72" s="204">
        <v>-9.5000000000000001E-2</v>
      </c>
      <c r="AE72" s="204">
        <v>-3.7999999999999999E-2</v>
      </c>
      <c r="AF72" s="204">
        <v>-0.122</v>
      </c>
      <c r="AG72" s="205">
        <f>SUM(AC72:AF72)</f>
        <v>-0.26628950900000004</v>
      </c>
      <c r="AH72" s="204">
        <v>46.18</v>
      </c>
      <c r="AI72" s="14">
        <v>-0.21199999999999999</v>
      </c>
      <c r="AJ72" s="14">
        <f>-0.276</f>
        <v>-0.27600000000000002</v>
      </c>
      <c r="AK72" s="14">
        <f>AL72-AJ72-AI72-AH72</f>
        <v>5.9920000000000044</v>
      </c>
      <c r="AL72" s="7">
        <v>51.683999999999997</v>
      </c>
      <c r="AM72" s="14">
        <v>0</v>
      </c>
      <c r="AN72" s="14">
        <v>0</v>
      </c>
      <c r="AO72" s="14">
        <v>0</v>
      </c>
      <c r="AP72" s="14">
        <f t="shared" ref="AP72" si="247">AP71*AP73</f>
        <v>0</v>
      </c>
      <c r="AQ72" s="7">
        <f>SUM(AM72:AP72)</f>
        <v>0</v>
      </c>
    </row>
    <row r="73" spans="3:48" ht="13.5" thickBot="1">
      <c r="C73" s="10" t="s">
        <v>27</v>
      </c>
      <c r="D73" s="15">
        <f t="shared" ref="D73:G73" si="248">D72/D71</f>
        <v>0</v>
      </c>
      <c r="E73" s="15">
        <f t="shared" si="248"/>
        <v>0</v>
      </c>
      <c r="F73" s="15">
        <f t="shared" si="248"/>
        <v>0</v>
      </c>
      <c r="G73" s="15">
        <f t="shared" si="248"/>
        <v>0</v>
      </c>
      <c r="H73" s="5"/>
      <c r="I73" s="15">
        <f t="shared" ref="I73:K73" si="249">I72/I71</f>
        <v>-4.0057540725715837E-5</v>
      </c>
      <c r="J73" s="15">
        <f t="shared" si="249"/>
        <v>0</v>
      </c>
      <c r="K73" s="15">
        <f t="shared" si="249"/>
        <v>0</v>
      </c>
      <c r="L73" s="15">
        <f>L72/L71</f>
        <v>-4.2433230851239822E-5</v>
      </c>
      <c r="M73" s="5"/>
      <c r="N73" s="12">
        <f t="shared" ref="N73:P73" si="250">N72/N71</f>
        <v>0</v>
      </c>
      <c r="O73" s="12">
        <f t="shared" si="250"/>
        <v>0</v>
      </c>
      <c r="P73" s="12">
        <f t="shared" si="250"/>
        <v>0</v>
      </c>
      <c r="Q73" s="12">
        <f>Q72/Q71</f>
        <v>0</v>
      </c>
      <c r="R73" s="5"/>
      <c r="S73" s="12">
        <f>S72/S71</f>
        <v>5.976903106655326E-6</v>
      </c>
      <c r="T73" s="12">
        <f>T72/T71</f>
        <v>-7.4450585682982737E-7</v>
      </c>
      <c r="U73" s="12">
        <f t="shared" ref="U73:V73" si="251">U72/U71</f>
        <v>6.8381756963234886E-6</v>
      </c>
      <c r="V73" s="12">
        <f t="shared" si="251"/>
        <v>1.0835154461595652E-3</v>
      </c>
      <c r="W73" s="5"/>
      <c r="X73" s="12">
        <f t="shared" ref="X73:AK73" si="252">X72/X71</f>
        <v>1.0322664250008663E-4</v>
      </c>
      <c r="Y73" s="12">
        <f t="shared" si="252"/>
        <v>6.6230057659559996E-5</v>
      </c>
      <c r="Z73" s="12">
        <f t="shared" si="252"/>
        <v>1.2130903291989793E-3</v>
      </c>
      <c r="AA73" s="12">
        <f t="shared" si="252"/>
        <v>4.2612618184843251E-3</v>
      </c>
      <c r="AB73" s="5"/>
      <c r="AC73" s="12">
        <f t="shared" si="252"/>
        <v>1.7440177025311403E-4</v>
      </c>
      <c r="AD73" s="12">
        <f t="shared" si="252"/>
        <v>1.7203101628681012E-4</v>
      </c>
      <c r="AE73" s="12">
        <f t="shared" si="252"/>
        <v>5.1275131561192807E-4</v>
      </c>
      <c r="AF73" s="12">
        <f t="shared" si="252"/>
        <v>9.4635411261527712E-3</v>
      </c>
      <c r="AG73" s="5"/>
      <c r="AH73" s="394">
        <f t="shared" si="252"/>
        <v>-0.41160112659987852</v>
      </c>
      <c r="AI73" s="394">
        <f t="shared" si="252"/>
        <v>5.2305642594557243E-3</v>
      </c>
      <c r="AJ73" s="394">
        <f t="shared" si="252"/>
        <v>3.3980104402639628E-3</v>
      </c>
      <c r="AK73" s="394">
        <f t="shared" si="252"/>
        <v>-0.10578909270669662</v>
      </c>
      <c r="AL73" s="5"/>
      <c r="AM73" s="26">
        <v>0</v>
      </c>
      <c r="AN73" s="26">
        <v>0</v>
      </c>
      <c r="AO73" s="26">
        <v>0</v>
      </c>
      <c r="AP73" s="26">
        <v>0</v>
      </c>
      <c r="AQ73" s="5"/>
    </row>
    <row r="74" spans="3:48" ht="13.5" thickBot="1">
      <c r="C74" s="23" t="s">
        <v>28</v>
      </c>
      <c r="D74" s="239">
        <f t="shared" ref="D74:E74" si="253">D71+D72</f>
        <v>-24.525750753999993</v>
      </c>
      <c r="E74" s="239">
        <f t="shared" si="253"/>
        <v>-30.337332458000006</v>
      </c>
      <c r="F74" s="239">
        <f>F71+F72</f>
        <v>-36.585171486</v>
      </c>
      <c r="G74" s="242">
        <f>G71+G72</f>
        <v>-26.924250408000002</v>
      </c>
      <c r="H74" s="240">
        <f>SUM(D74:G74)</f>
        <v>-118.37250510600001</v>
      </c>
      <c r="I74" s="239">
        <f t="shared" ref="I74:J74" si="254">I71+I72</f>
        <v>-47.200682423000003</v>
      </c>
      <c r="J74" s="239">
        <f t="shared" si="254"/>
        <v>-51.198269330000009</v>
      </c>
      <c r="K74" s="239">
        <f>K71+K72</f>
        <v>-57.609055772000005</v>
      </c>
      <c r="L74" s="239">
        <f>L71+L72</f>
        <v>-55.740809326999987</v>
      </c>
      <c r="M74" s="240">
        <f>SUM(I74:L74)</f>
        <v>-211.748816852</v>
      </c>
      <c r="N74" s="239">
        <f t="shared" ref="N74:P74" si="255">N71+N72</f>
        <v>-65.020109335000001</v>
      </c>
      <c r="O74" s="239">
        <f t="shared" si="255"/>
        <v>-67.058184191000024</v>
      </c>
      <c r="P74" s="239">
        <f t="shared" si="255"/>
        <v>-68.236895368999996</v>
      </c>
      <c r="Q74" s="239">
        <f>Q71+Q72</f>
        <v>-58.830733597163302</v>
      </c>
      <c r="R74" s="240">
        <f>SUM(N74:Q74)</f>
        <v>-259.14592249216332</v>
      </c>
      <c r="S74" s="239">
        <f>S71+S72</f>
        <v>-81.125273306000011</v>
      </c>
      <c r="T74" s="239">
        <f t="shared" ref="T74:V74" si="256">T71+T72</f>
        <v>-73.525223131000004</v>
      </c>
      <c r="U74" s="239">
        <f t="shared" si="256"/>
        <v>-68.411403818000039</v>
      </c>
      <c r="V74" s="239">
        <f t="shared" si="256"/>
        <v>-66.224300550999999</v>
      </c>
      <c r="W74" s="240">
        <f>SUM(S74:V74)</f>
        <v>-289.28620080600007</v>
      </c>
      <c r="X74" s="239">
        <f>X71+X72</f>
        <v>-54.249899808000002</v>
      </c>
      <c r="Y74" s="239">
        <f>Y71+Y72</f>
        <v>-55.667234696999991</v>
      </c>
      <c r="Z74" s="239">
        <f t="shared" ref="Z74:AA74" si="257">Z71+Z72</f>
        <v>-53.457434662000004</v>
      </c>
      <c r="AA74" s="239">
        <f t="shared" si="257"/>
        <v>-50.47041487499974</v>
      </c>
      <c r="AB74" s="240">
        <f>SUM(X74:AA74)</f>
        <v>-213.84498404199974</v>
      </c>
      <c r="AC74" s="239">
        <f>AC71+AC72</f>
        <v>-64.744055602000245</v>
      </c>
      <c r="AD74" s="239">
        <f>AD71+AD72</f>
        <v>-552.32100000000003</v>
      </c>
      <c r="AE74" s="239">
        <f t="shared" ref="AE74" si="258">AE71+AE72</f>
        <v>-74.14800000000001</v>
      </c>
      <c r="AF74" s="239">
        <f>AF71+AF72</f>
        <v>-13.013580263000016</v>
      </c>
      <c r="AG74" s="240">
        <f>SUM(AC74:AF74)</f>
        <v>-704.22663586500028</v>
      </c>
      <c r="AH74" s="239">
        <f>AH71+AH72-2</f>
        <v>-68.016000000000076</v>
      </c>
      <c r="AI74" s="239">
        <f>AI71+AI72+AI77</f>
        <v>-42.843000000000011</v>
      </c>
      <c r="AJ74" s="239">
        <f>AJ71+AJ72+AJ77</f>
        <v>-79.981999999999971</v>
      </c>
      <c r="AK74" s="239">
        <f>AK71+AK72+AK77-0.368</f>
        <v>-54.166000000000011</v>
      </c>
      <c r="AL74" s="240">
        <f>SUM(AH74:AK74)</f>
        <v>-245.00700000000006</v>
      </c>
      <c r="AM74" s="239">
        <f>AM71+AM72</f>
        <v>-109.49198802957062</v>
      </c>
      <c r="AN74" s="239">
        <f t="shared" ref="AN74:AP74" si="259">AN71+AN72</f>
        <v>-87.322465784999977</v>
      </c>
      <c r="AO74" s="239">
        <f t="shared" si="259"/>
        <v>-75.301045427999981</v>
      </c>
      <c r="AP74" s="239">
        <f t="shared" si="259"/>
        <v>-61.197844188105677</v>
      </c>
      <c r="AQ74" s="240">
        <f>SUM(AM74:AP74)</f>
        <v>-333.31334343067624</v>
      </c>
    </row>
    <row r="75" spans="3:48">
      <c r="C75" s="10" t="s">
        <v>29</v>
      </c>
      <c r="D75" s="119"/>
      <c r="E75" s="119"/>
      <c r="F75" s="119"/>
      <c r="G75" s="243"/>
      <c r="H75" s="25"/>
      <c r="I75" s="15"/>
      <c r="J75" s="15"/>
      <c r="K75" s="15">
        <f t="shared" ref="K75:AQ75" si="260">K74/K15</f>
        <v>-1.1355423978825196</v>
      </c>
      <c r="L75" s="15">
        <f t="shared" si="260"/>
        <v>-0.55270131271784817</v>
      </c>
      <c r="M75" s="25">
        <f t="shared" si="260"/>
        <v>-1.1263029514517875</v>
      </c>
      <c r="N75" s="15">
        <f t="shared" si="260"/>
        <v>-0.92740060617790143</v>
      </c>
      <c r="O75" s="15">
        <f t="shared" si="260"/>
        <v>-1.081832988224154</v>
      </c>
      <c r="P75" s="15">
        <f t="shared" si="260"/>
        <v>-1.3010476174821415</v>
      </c>
      <c r="Q75" s="15">
        <f t="shared" si="260"/>
        <v>-0.80249768555086221</v>
      </c>
      <c r="R75" s="25">
        <f t="shared" si="260"/>
        <v>-1.0050143548667696</v>
      </c>
      <c r="S75" s="15">
        <f t="shared" si="260"/>
        <v>-1.3353565811702981</v>
      </c>
      <c r="T75" s="15">
        <f t="shared" si="260"/>
        <v>-0.99737366734785615</v>
      </c>
      <c r="U75" s="15">
        <f t="shared" si="260"/>
        <v>-0.79946455449768516</v>
      </c>
      <c r="V75" s="15">
        <f t="shared" si="260"/>
        <v>-0.65811803691085458</v>
      </c>
      <c r="W75" s="25">
        <f t="shared" si="260"/>
        <v>-0.90213360184216673</v>
      </c>
      <c r="X75" s="15">
        <f t="shared" si="260"/>
        <v>-0.46919068624864019</v>
      </c>
      <c r="Y75" s="15">
        <f t="shared" si="260"/>
        <v>-0.42039552626065729</v>
      </c>
      <c r="Z75" s="15">
        <f t="shared" si="260"/>
        <v>-0.39299358068008877</v>
      </c>
      <c r="AA75" s="15">
        <f t="shared" si="260"/>
        <v>-0.34173164576544396</v>
      </c>
      <c r="AB75" s="25">
        <f t="shared" si="260"/>
        <v>-0.40214780735008926</v>
      </c>
      <c r="AC75" s="15">
        <f t="shared" si="260"/>
        <v>-0.44399970733992866</v>
      </c>
      <c r="AD75" s="15">
        <f t="shared" si="260"/>
        <v>-3.3278564069193646</v>
      </c>
      <c r="AE75" s="15">
        <f t="shared" si="260"/>
        <v>-0.40981821598527607</v>
      </c>
      <c r="AF75" s="15">
        <f t="shared" si="260"/>
        <v>-6.4847420086705285E-2</v>
      </c>
      <c r="AG75" s="25">
        <f t="shared" si="260"/>
        <v>-1.0156167079456866</v>
      </c>
      <c r="AH75" s="15">
        <f t="shared" si="260"/>
        <v>-0.26596073309689283</v>
      </c>
      <c r="AI75" s="15">
        <f t="shared" si="260"/>
        <v>-0.1361673049724284</v>
      </c>
      <c r="AJ75" s="15">
        <f t="shared" si="260"/>
        <v>-0.23931946164940177</v>
      </c>
      <c r="AK75" s="15">
        <f t="shared" si="260"/>
        <v>-0.14750647447925039</v>
      </c>
      <c r="AL75" s="25">
        <f t="shared" si="260"/>
        <v>-0.19264752250569872</v>
      </c>
      <c r="AM75" s="15">
        <f t="shared" si="260"/>
        <v>-0.31740676975308485</v>
      </c>
      <c r="AN75" s="15">
        <f t="shared" si="260"/>
        <v>-0.22107941588280128</v>
      </c>
      <c r="AO75" s="15">
        <f t="shared" si="260"/>
        <v>-0.18137584332971968</v>
      </c>
      <c r="AP75" s="15">
        <f t="shared" si="260"/>
        <v>-0.14072371798864827</v>
      </c>
      <c r="AQ75" s="25">
        <f t="shared" si="260"/>
        <v>-0.20963294940176719</v>
      </c>
    </row>
    <row r="76" spans="3:48">
      <c r="C76" s="10"/>
      <c r="D76" s="119"/>
      <c r="E76" s="119"/>
      <c r="F76" s="119"/>
      <c r="G76" s="243"/>
      <c r="H76" s="25"/>
      <c r="I76" s="15"/>
      <c r="J76" s="15"/>
      <c r="K76" s="15"/>
      <c r="L76" s="15"/>
      <c r="M76" s="25"/>
      <c r="N76" s="15"/>
      <c r="O76" s="15"/>
      <c r="P76" s="15"/>
      <c r="Q76" s="15"/>
      <c r="R76" s="25"/>
      <c r="S76" s="15"/>
      <c r="T76" s="15"/>
      <c r="U76" s="15"/>
      <c r="V76" s="15"/>
      <c r="W76" s="25"/>
      <c r="X76" s="15"/>
      <c r="Y76" s="15"/>
      <c r="Z76" s="15"/>
      <c r="AA76" s="15"/>
      <c r="AB76" s="25"/>
      <c r="AC76" s="15"/>
      <c r="AD76" s="15"/>
      <c r="AE76" s="15"/>
      <c r="AF76" s="15"/>
      <c r="AG76" s="25"/>
      <c r="AH76" s="15"/>
      <c r="AI76" s="15"/>
      <c r="AJ76" s="15"/>
      <c r="AK76" s="15"/>
      <c r="AL76" s="25"/>
      <c r="AM76" s="15"/>
      <c r="AN76" s="15"/>
      <c r="AO76" s="15"/>
      <c r="AP76" s="15"/>
      <c r="AQ76" s="25"/>
    </row>
    <row r="77" spans="3:48" ht="13.5" thickBot="1">
      <c r="C77" s="9" t="s">
        <v>149</v>
      </c>
      <c r="D77" s="204">
        <v>0</v>
      </c>
      <c r="E77" s="204">
        <v>0</v>
      </c>
      <c r="F77" s="204">
        <v>0</v>
      </c>
      <c r="G77" s="244">
        <v>0</v>
      </c>
      <c r="H77" s="233">
        <v>0</v>
      </c>
      <c r="I77" s="204">
        <v>0</v>
      </c>
      <c r="J77" s="204">
        <v>0</v>
      </c>
      <c r="K77" s="204">
        <v>0</v>
      </c>
      <c r="L77" s="204">
        <v>1.5</v>
      </c>
      <c r="M77" s="205">
        <v>1.5</v>
      </c>
      <c r="N77" s="204">
        <v>0</v>
      </c>
      <c r="O77" s="204">
        <v>-0.34763517999999999</v>
      </c>
      <c r="P77" s="204">
        <v>-0.1059884</v>
      </c>
      <c r="Q77" s="204">
        <v>-0.15029899999999999</v>
      </c>
      <c r="R77" s="205">
        <v>-0.60392257999999999</v>
      </c>
      <c r="S77" s="204">
        <v>-0.16453300000000001</v>
      </c>
      <c r="T77" s="204">
        <v>-0.16577900000000001</v>
      </c>
      <c r="U77" s="204">
        <v>-0.13392899999999999</v>
      </c>
      <c r="V77" s="204">
        <v>-0.131189</v>
      </c>
      <c r="W77" s="205">
        <v>-0.59543000000000001</v>
      </c>
      <c r="X77" s="204">
        <v>-0.13097400000000001</v>
      </c>
      <c r="Y77" s="204">
        <v>-0.16967342000000002</v>
      </c>
      <c r="Z77" s="204">
        <v>0</v>
      </c>
      <c r="AA77" s="204">
        <v>0</v>
      </c>
      <c r="AB77" s="205">
        <v>-0.30064742</v>
      </c>
      <c r="AC77" s="204">
        <v>0</v>
      </c>
      <c r="AD77" s="204">
        <f>11.54+0.668</f>
        <v>12.207999999999998</v>
      </c>
      <c r="AE77" s="204">
        <v>1.6919999999999999</v>
      </c>
      <c r="AF77" s="204">
        <f>-4.228-AE77-AD77-AC77</f>
        <v>-18.128</v>
      </c>
      <c r="AG77" s="205"/>
      <c r="AH77" s="204">
        <v>-1.883</v>
      </c>
      <c r="AI77" s="204">
        <v>-2.1</v>
      </c>
      <c r="AJ77" s="204">
        <v>1.518</v>
      </c>
      <c r="AK77" s="204">
        <f>AL77-AJ77-AI77-AH77</f>
        <v>-3.149</v>
      </c>
      <c r="AL77" s="205">
        <v>-5.6139999999999999</v>
      </c>
      <c r="AM77" s="204">
        <v>-5</v>
      </c>
      <c r="AN77" s="204">
        <v>-5</v>
      </c>
      <c r="AO77" s="204">
        <v>-5</v>
      </c>
      <c r="AP77" s="204">
        <v>-5</v>
      </c>
      <c r="AQ77" s="205">
        <f>SUM(AM77:AP77)</f>
        <v>-20</v>
      </c>
    </row>
    <row r="78" spans="3:48" ht="13.5" thickBot="1">
      <c r="C78" s="238" t="s">
        <v>150</v>
      </c>
      <c r="D78" s="245">
        <f t="shared" ref="D78" si="261">D74-SUM(D77:D77)</f>
        <v>-24.525750753999993</v>
      </c>
      <c r="E78" s="245">
        <f t="shared" ref="E78" si="262">E74-SUM(E77:E77)</f>
        <v>-30.337332458000006</v>
      </c>
      <c r="F78" s="245">
        <f>F74-SUM(F77:F77)</f>
        <v>-36.585171486</v>
      </c>
      <c r="G78" s="245">
        <f>G74-SUM(G77:G77)</f>
        <v>-26.924250408000002</v>
      </c>
      <c r="H78" s="240">
        <f>SUM(D78:G78)</f>
        <v>-118.37250510600001</v>
      </c>
      <c r="I78" s="245">
        <f t="shared" ref="I78:L78" si="263">I74+SUM(I77:I77)</f>
        <v>-47.200682423000003</v>
      </c>
      <c r="J78" s="245">
        <f t="shared" si="263"/>
        <v>-51.198269330000009</v>
      </c>
      <c r="K78" s="245">
        <f t="shared" si="263"/>
        <v>-57.609055772000005</v>
      </c>
      <c r="L78" s="245">
        <f t="shared" si="263"/>
        <v>-54.240809326999987</v>
      </c>
      <c r="M78" s="240">
        <f>M74-SUM(M77:M77)</f>
        <v>-213.248816852</v>
      </c>
      <c r="N78" s="245">
        <f t="shared" ref="N78:Q78" si="264">N74+SUM(N77:N77)</f>
        <v>-65.020109335000001</v>
      </c>
      <c r="O78" s="245">
        <f>O74-SUM(O77:O77)</f>
        <v>-66.710549011000026</v>
      </c>
      <c r="P78" s="245">
        <f t="shared" si="264"/>
        <v>-68.342883768999997</v>
      </c>
      <c r="Q78" s="245">
        <f t="shared" si="264"/>
        <v>-58.981032597163299</v>
      </c>
      <c r="R78" s="240">
        <f>R74-SUM(R77:R77)</f>
        <v>-258.54199991216331</v>
      </c>
      <c r="S78" s="245">
        <f t="shared" ref="S78:V78" si="265">S74+SUM(S77:S77)</f>
        <v>-81.289806306000017</v>
      </c>
      <c r="T78" s="245">
        <f t="shared" si="265"/>
        <v>-73.691002131000005</v>
      </c>
      <c r="U78" s="245">
        <f t="shared" si="265"/>
        <v>-68.545332818000034</v>
      </c>
      <c r="V78" s="245">
        <f t="shared" si="265"/>
        <v>-66.355489551000005</v>
      </c>
      <c r="W78" s="240">
        <f>W74-SUM(W77:W77)</f>
        <v>-288.69077080600005</v>
      </c>
      <c r="X78" s="245">
        <f>X74+SUM(X77:X77)</f>
        <v>-54.380873808000004</v>
      </c>
      <c r="Y78" s="245">
        <f t="shared" ref="Y78:AA78" si="266">Y74+SUM(Y77:Y77)</f>
        <v>-55.836908116999993</v>
      </c>
      <c r="Z78" s="245">
        <f t="shared" si="266"/>
        <v>-53.457434662000004</v>
      </c>
      <c r="AA78" s="245">
        <f t="shared" si="266"/>
        <v>-50.47041487499974</v>
      </c>
      <c r="AB78" s="240">
        <f>AB74-SUM(AB77:AB77)</f>
        <v>-213.54433662199975</v>
      </c>
      <c r="AC78" s="245">
        <v>-93.055999999999997</v>
      </c>
      <c r="AD78" s="245">
        <f t="shared" ref="AD78" si="267">AD74-SUM(AD77:AD77)</f>
        <v>-564.529</v>
      </c>
      <c r="AE78" s="245">
        <f>AE74-SUM(AE77:AE77)</f>
        <v>-75.84</v>
      </c>
      <c r="AF78" s="245">
        <f>AF74+AF77</f>
        <v>-31.141580263000016</v>
      </c>
      <c r="AG78" s="240">
        <f>AG74-SUM(AG77:AG77)</f>
        <v>-704.22663586500028</v>
      </c>
      <c r="AH78" s="245">
        <f t="shared" ref="AH78:AI78" si="268">AH74-SUM(AH77:AH77)</f>
        <v>-66.133000000000081</v>
      </c>
      <c r="AI78" s="245">
        <f t="shared" si="268"/>
        <v>-40.743000000000009</v>
      </c>
      <c r="AJ78" s="245">
        <f>AJ74-SUM(AJ77:AJ77)</f>
        <v>-81.499999999999972</v>
      </c>
      <c r="AK78" s="245">
        <f>AK74-SUM(AK77:AK77)</f>
        <v>-51.01700000000001</v>
      </c>
      <c r="AL78" s="240">
        <f>AL74-SUM(AL77:AL77)</f>
        <v>-239.39300000000006</v>
      </c>
      <c r="AM78" s="245">
        <f t="shared" ref="AM78:AN78" si="269">AM74-SUM(AM77:AM77)</f>
        <v>-104.49198802957062</v>
      </c>
      <c r="AN78" s="245">
        <f t="shared" si="269"/>
        <v>-82.322465784999977</v>
      </c>
      <c r="AO78" s="245">
        <f>AO74-SUM(AO77:AO77)</f>
        <v>-70.301045427999981</v>
      </c>
      <c r="AP78" s="245">
        <f>AP74-SUM(AP77:AP77)</f>
        <v>-56.197844188105677</v>
      </c>
      <c r="AQ78" s="240">
        <f>AQ74-SUM(AQ77:AQ77)</f>
        <v>-313.31334343067624</v>
      </c>
    </row>
    <row r="79" spans="3:48">
      <c r="C79" s="9"/>
      <c r="D79" s="285"/>
      <c r="E79" s="285"/>
      <c r="F79" s="285"/>
      <c r="G79" s="285"/>
      <c r="H79" s="205"/>
      <c r="I79" s="285"/>
      <c r="J79" s="285"/>
      <c r="K79" s="285"/>
      <c r="L79" s="285"/>
      <c r="M79" s="205"/>
      <c r="N79" s="285"/>
      <c r="O79" s="285"/>
      <c r="P79" s="285"/>
      <c r="Q79" s="285"/>
      <c r="R79" s="205"/>
      <c r="S79" s="285"/>
      <c r="T79" s="285"/>
      <c r="U79" s="285"/>
      <c r="V79" s="285"/>
      <c r="W79" s="205"/>
      <c r="X79" s="285"/>
      <c r="Y79" s="285"/>
      <c r="Z79" s="285"/>
      <c r="AA79" s="285"/>
      <c r="AB79" s="205"/>
      <c r="AC79" s="285"/>
      <c r="AD79" s="365"/>
      <c r="AE79" s="285"/>
      <c r="AF79" s="285"/>
      <c r="AG79" s="205"/>
      <c r="AH79" s="285"/>
      <c r="AI79" s="285"/>
      <c r="AJ79" s="285"/>
      <c r="AK79" s="285"/>
      <c r="AL79" s="205"/>
      <c r="AM79" s="285"/>
      <c r="AN79" s="285"/>
      <c r="AO79" s="285"/>
      <c r="AP79" s="285"/>
      <c r="AQ79" s="205"/>
    </row>
    <row r="80" spans="3:48">
      <c r="C80" s="118" t="s">
        <v>353</v>
      </c>
      <c r="D80" s="236" t="e">
        <f>D76/D82</f>
        <v>#DIV/0!</v>
      </c>
      <c r="E80" s="236" t="e">
        <f>E76/E82</f>
        <v>#DIV/0!</v>
      </c>
      <c r="F80" s="236" t="e">
        <f>F76/F82</f>
        <v>#DIV/0!</v>
      </c>
      <c r="G80" s="236" t="e">
        <f>G76/G82</f>
        <v>#DIV/0!</v>
      </c>
      <c r="H80" s="235"/>
      <c r="I80" s="236" t="e">
        <f>I76/I82</f>
        <v>#DIV/0!</v>
      </c>
      <c r="J80" s="236" t="e">
        <f>J76/J82</f>
        <v>#DIV/0!</v>
      </c>
      <c r="K80" s="236" t="e">
        <f>K76/K82</f>
        <v>#DIV/0!</v>
      </c>
      <c r="L80" s="236" t="e">
        <f>L76/L82</f>
        <v>#DIV/0!</v>
      </c>
      <c r="M80" s="235"/>
      <c r="N80" s="236" t="e">
        <f>N76/N82</f>
        <v>#DIV/0!</v>
      </c>
      <c r="O80" s="236" t="e">
        <f>O76/O82</f>
        <v>#DIV/0!</v>
      </c>
      <c r="P80" s="236" t="e">
        <f>P76/P82</f>
        <v>#DIV/0!</v>
      </c>
      <c r="Q80" s="236" t="e">
        <f>Q76/Q82</f>
        <v>#DIV/0!</v>
      </c>
      <c r="R80" s="237" t="e">
        <f>SUM(N80:Q80)</f>
        <v>#DIV/0!</v>
      </c>
      <c r="S80" s="236" t="e">
        <f>S76/S82</f>
        <v>#DIV/0!</v>
      </c>
      <c r="T80" s="236" t="e">
        <f t="shared" ref="T80:V80" si="270">T76/T82</f>
        <v>#DIV/0!</v>
      </c>
      <c r="U80" s="236" t="e">
        <f t="shared" si="270"/>
        <v>#DIV/0!</v>
      </c>
      <c r="V80" s="236" t="e">
        <f t="shared" si="270"/>
        <v>#DIV/0!</v>
      </c>
      <c r="W80" s="237" t="e">
        <f>SUM(S80:V80)</f>
        <v>#DIV/0!</v>
      </c>
      <c r="X80" s="236" t="e">
        <f>X76/X82</f>
        <v>#DIV/0!</v>
      </c>
      <c r="Y80" s="236" t="e">
        <f t="shared" ref="Y80:Y82" si="271">Y76/Y82</f>
        <v>#DIV/0!</v>
      </c>
      <c r="Z80" s="236" t="e">
        <f t="shared" ref="Z80:Z82" si="272">Z76/Z82</f>
        <v>#DIV/0!</v>
      </c>
      <c r="AA80" s="236" t="e">
        <f t="shared" ref="AA80:AA82" si="273">AA76/AA82</f>
        <v>#DIV/0!</v>
      </c>
      <c r="AB80" s="237" t="e">
        <f>SUM(X80:AA80)</f>
        <v>#DIV/0!</v>
      </c>
      <c r="AC80" s="236">
        <f>-1.61-AD80</f>
        <v>-0.97682660188278136</v>
      </c>
      <c r="AD80" s="236">
        <f>AD69/AD84</f>
        <v>-0.63317339811721873</v>
      </c>
      <c r="AE80" s="236">
        <f t="shared" ref="AE80:AF80" si="274">AE69/AE84</f>
        <v>-0.31393706955479017</v>
      </c>
      <c r="AF80" s="236">
        <f t="shared" si="274"/>
        <v>-0.17847570283296682</v>
      </c>
      <c r="AG80" s="237">
        <f>SUM(AC80:AF80)</f>
        <v>-2.102412772387757</v>
      </c>
      <c r="AH80" s="236">
        <f>AH69/AH84</f>
        <v>-0.24362779022439135</v>
      </c>
      <c r="AI80" s="236">
        <f t="shared" ref="AI80:AJ80" si="275">AI69/AI84</f>
        <v>-0.2152888724831441</v>
      </c>
      <c r="AJ80" s="236">
        <f t="shared" si="275"/>
        <v>-0.11197805024436237</v>
      </c>
      <c r="AK80" s="236">
        <f>AK69/AK84</f>
        <v>-4.1220036722386708E-2</v>
      </c>
      <c r="AL80" s="237">
        <f>SUM(AH80:AK80)</f>
        <v>-0.61211474967428459</v>
      </c>
      <c r="AM80" s="236">
        <f>AM69/AM84</f>
        <v>-0.30523813918097392</v>
      </c>
      <c r="AN80" s="236">
        <f t="shared" ref="AN80:AO80" si="276">AN69/AN84</f>
        <v>-0.21789253775365575</v>
      </c>
      <c r="AO80" s="236">
        <f t="shared" si="276"/>
        <v>-0.15035485507836635</v>
      </c>
      <c r="AP80" s="236">
        <f>AP69/AP84</f>
        <v>-7.1562578752077194E-2</v>
      </c>
      <c r="AQ80" s="237">
        <f>SUM(AM80:AP80)</f>
        <v>-0.74504811076507316</v>
      </c>
    </row>
    <row r="81" spans="3:43">
      <c r="C81" s="10" t="s">
        <v>31</v>
      </c>
      <c r="D81" s="119"/>
      <c r="E81" s="119"/>
      <c r="F81" s="119"/>
      <c r="G81" s="243"/>
      <c r="H81" s="5"/>
      <c r="I81" s="15" t="e">
        <f t="shared" ref="I81" si="277">I80/D80-1</f>
        <v>#DIV/0!</v>
      </c>
      <c r="J81" s="15" t="e">
        <f t="shared" ref="J81" si="278">J80/E80-1</f>
        <v>#DIV/0!</v>
      </c>
      <c r="K81" s="15" t="e">
        <f t="shared" ref="K81" si="279">K80/F80-1</f>
        <v>#DIV/0!</v>
      </c>
      <c r="L81" s="15" t="e">
        <f t="shared" ref="L81" si="280">L80/G80-1</f>
        <v>#DIV/0!</v>
      </c>
      <c r="M81" s="5"/>
      <c r="N81" s="15" t="e">
        <f t="shared" ref="N81" si="281">N80/I80-1</f>
        <v>#DIV/0!</v>
      </c>
      <c r="O81" s="15" t="e">
        <f t="shared" ref="O81" si="282">O80/J80-1</f>
        <v>#DIV/0!</v>
      </c>
      <c r="P81" s="15" t="e">
        <f t="shared" ref="P81" si="283">P80/K80-1</f>
        <v>#DIV/0!</v>
      </c>
      <c r="Q81" s="15" t="e">
        <f t="shared" ref="Q81" si="284">Q80/L80-1</f>
        <v>#DIV/0!</v>
      </c>
      <c r="R81" s="5"/>
      <c r="S81" s="15" t="e">
        <f t="shared" ref="S81" si="285">S80/N80-1</f>
        <v>#DIV/0!</v>
      </c>
      <c r="T81" s="15" t="e">
        <f t="shared" ref="T81" si="286">T80/O80-1</f>
        <v>#DIV/0!</v>
      </c>
      <c r="U81" s="15" t="e">
        <f t="shared" ref="U81" si="287">U80/P80-1</f>
        <v>#DIV/0!</v>
      </c>
      <c r="V81" s="15" t="e">
        <f t="shared" ref="V81" si="288">V80/Q80-1</f>
        <v>#DIV/0!</v>
      </c>
      <c r="W81" s="5"/>
      <c r="X81" s="15" t="e">
        <f>X80/S80-1</f>
        <v>#DIV/0!</v>
      </c>
      <c r="Y81" s="15" t="e">
        <f t="shared" ref="Y81" si="289">Y80/T80-1</f>
        <v>#DIV/0!</v>
      </c>
      <c r="Z81" s="15" t="e">
        <f t="shared" ref="Z81" si="290">Z80/U80-1</f>
        <v>#DIV/0!</v>
      </c>
      <c r="AA81" s="15" t="e">
        <f t="shared" ref="AA81" si="291">AA80/V80-1</f>
        <v>#DIV/0!</v>
      </c>
      <c r="AB81" s="5"/>
      <c r="AC81" s="15" t="e">
        <f>AC80/X80-1</f>
        <v>#DIV/0!</v>
      </c>
      <c r="AD81" s="15" t="e">
        <f t="shared" ref="AD81" si="292">AD80/Y80-1</f>
        <v>#DIV/0!</v>
      </c>
      <c r="AE81" s="15" t="e">
        <f t="shared" ref="AE81" si="293">AE80/Z80-1</f>
        <v>#DIV/0!</v>
      </c>
      <c r="AF81" s="15" t="e">
        <f t="shared" ref="AF81" si="294">AF80/AA80-1</f>
        <v>#DIV/0!</v>
      </c>
      <c r="AG81" s="5"/>
      <c r="AH81" s="15">
        <f>AH80/AC80-1</f>
        <v>-0.75059259263126976</v>
      </c>
      <c r="AI81" s="15">
        <f t="shared" ref="AI81" si="295">AI80/AD80-1</f>
        <v>-0.65998433742902152</v>
      </c>
      <c r="AJ81" s="15">
        <f t="shared" ref="AJ81" si="296">AJ80/AE80-1</f>
        <v>-0.64331051951537921</v>
      </c>
      <c r="AK81" s="15">
        <f t="shared" ref="AK81" si="297">AK80/AF80-1</f>
        <v>-0.76904398711927735</v>
      </c>
      <c r="AL81" s="5"/>
      <c r="AM81" s="15">
        <f>AM80/AH80-1</f>
        <v>0.25288719689915862</v>
      </c>
      <c r="AN81" s="15">
        <f t="shared" ref="AN81" si="298">AN80/AI80-1</f>
        <v>1.2093821851918873E-2</v>
      </c>
      <c r="AO81" s="15">
        <f t="shared" ref="AO81" si="299">AO80/AJ80-1</f>
        <v>0.34271720886599466</v>
      </c>
      <c r="AP81" s="15">
        <f t="shared" ref="AP81" si="300">AP80/AK80-1</f>
        <v>0.73611147496167506</v>
      </c>
      <c r="AQ81" s="5"/>
    </row>
    <row r="82" spans="3:43">
      <c r="C82" s="118" t="s">
        <v>30</v>
      </c>
      <c r="D82" s="236" t="e">
        <f>D78/D84</f>
        <v>#DIV/0!</v>
      </c>
      <c r="E82" s="236" t="e">
        <f>E78/E84</f>
        <v>#DIV/0!</v>
      </c>
      <c r="F82" s="236" t="e">
        <f>F78/F84</f>
        <v>#DIV/0!</v>
      </c>
      <c r="G82" s="236" t="e">
        <f>G78/G84</f>
        <v>#DIV/0!</v>
      </c>
      <c r="H82" s="235"/>
      <c r="I82" s="236" t="e">
        <f>I78/I84</f>
        <v>#DIV/0!</v>
      </c>
      <c r="J82" s="236" t="e">
        <f>J78/J84</f>
        <v>#DIV/0!</v>
      </c>
      <c r="K82" s="236" t="e">
        <f>K78/K84</f>
        <v>#DIV/0!</v>
      </c>
      <c r="L82" s="236" t="e">
        <f>L78/L84</f>
        <v>#DIV/0!</v>
      </c>
      <c r="M82" s="235"/>
      <c r="N82" s="236" t="e">
        <f>N78/N84</f>
        <v>#DIV/0!</v>
      </c>
      <c r="O82" s="236" t="e">
        <f>O78/O84</f>
        <v>#DIV/0!</v>
      </c>
      <c r="P82" s="236" t="e">
        <f>P78/P84</f>
        <v>#DIV/0!</v>
      </c>
      <c r="Q82" s="236" t="e">
        <f>Q78/Q84</f>
        <v>#DIV/0!</v>
      </c>
      <c r="R82" s="237" t="e">
        <f>SUM(N82:Q82)</f>
        <v>#DIV/0!</v>
      </c>
      <c r="S82" s="236" t="e">
        <f>S78/S84</f>
        <v>#DIV/0!</v>
      </c>
      <c r="T82" s="236" t="e">
        <f t="shared" ref="T82:V82" si="301">T78/T84</f>
        <v>#DIV/0!</v>
      </c>
      <c r="U82" s="236" t="e">
        <f t="shared" si="301"/>
        <v>#DIV/0!</v>
      </c>
      <c r="V82" s="236" t="e">
        <f t="shared" si="301"/>
        <v>#DIV/0!</v>
      </c>
      <c r="W82" s="237" t="e">
        <f>SUM(S82:V82)</f>
        <v>#DIV/0!</v>
      </c>
      <c r="X82" s="236" t="e">
        <f>X78/X84</f>
        <v>#DIV/0!</v>
      </c>
      <c r="Y82" s="236" t="e">
        <f t="shared" si="271"/>
        <v>#DIV/0!</v>
      </c>
      <c r="Z82" s="236" t="e">
        <f t="shared" si="272"/>
        <v>#DIV/0!</v>
      </c>
      <c r="AA82" s="236" t="e">
        <f t="shared" si="273"/>
        <v>#DIV/0!</v>
      </c>
      <c r="AB82" s="237" t="e">
        <f>SUM(X82:AA82)</f>
        <v>#DIV/0!</v>
      </c>
      <c r="AC82" s="236">
        <f>AC78/AC84</f>
        <v>-2.1600241405724101</v>
      </c>
      <c r="AD82" s="236">
        <f>AD78/AD84</f>
        <v>-6.8573215912541752</v>
      </c>
      <c r="AE82" s="236">
        <f t="shared" ref="AE82:AF82" si="302">AE78/AE84</f>
        <v>-0.45866781011067997</v>
      </c>
      <c r="AF82" s="236">
        <f t="shared" si="302"/>
        <v>-0.18715116926285183</v>
      </c>
      <c r="AG82" s="237">
        <f>SUM(AC82:AF82)</f>
        <v>-9.6631647112001176</v>
      </c>
      <c r="AH82" s="236">
        <f>AH74/AH84</f>
        <v>-0.3989067833390032</v>
      </c>
      <c r="AI82" s="236">
        <f>AI74/AI84</f>
        <v>-0.24710320046602574</v>
      </c>
      <c r="AJ82" s="236">
        <f>AJ74/AJ84</f>
        <v>-0.45718368630140888</v>
      </c>
      <c r="AK82" s="236">
        <f>AK74/AK84</f>
        <v>-0.3041444638475404</v>
      </c>
      <c r="AL82" s="237">
        <f>SUM(AH82:AK82)</f>
        <v>-1.4073381339539781</v>
      </c>
      <c r="AM82" s="236">
        <f>AM74/AM84</f>
        <v>-0.61332191923765544</v>
      </c>
      <c r="AN82" s="236">
        <f>AN74/AN84</f>
        <v>-0.48796384864995851</v>
      </c>
      <c r="AO82" s="236">
        <f>AO74/AO84</f>
        <v>-0.4197789738184422</v>
      </c>
      <c r="AP82" s="236">
        <f>AP74/AP84</f>
        <v>-0.34034259975084308</v>
      </c>
      <c r="AQ82" s="237">
        <f>SUM(AM82:AP82)</f>
        <v>-1.8614073414568992</v>
      </c>
    </row>
    <row r="83" spans="3:43">
      <c r="C83" s="10" t="s">
        <v>31</v>
      </c>
      <c r="D83" s="119"/>
      <c r="E83" s="119"/>
      <c r="F83" s="119"/>
      <c r="G83" s="243"/>
      <c r="H83" s="5"/>
      <c r="I83" s="15" t="e">
        <f t="shared" ref="I83" si="303">I82/D82-1</f>
        <v>#DIV/0!</v>
      </c>
      <c r="J83" s="15" t="e">
        <f t="shared" ref="J83" si="304">J82/E82-1</f>
        <v>#DIV/0!</v>
      </c>
      <c r="K83" s="15" t="e">
        <f t="shared" ref="K83" si="305">K82/F82-1</f>
        <v>#DIV/0!</v>
      </c>
      <c r="L83" s="15" t="e">
        <f t="shared" ref="L83" si="306">L82/G82-1</f>
        <v>#DIV/0!</v>
      </c>
      <c r="M83" s="5"/>
      <c r="N83" s="15" t="e">
        <f t="shared" ref="N83" si="307">N82/I82-1</f>
        <v>#DIV/0!</v>
      </c>
      <c r="O83" s="15" t="e">
        <f t="shared" ref="O83" si="308">O82/J82-1</f>
        <v>#DIV/0!</v>
      </c>
      <c r="P83" s="15" t="e">
        <f t="shared" ref="P83" si="309">P82/K82-1</f>
        <v>#DIV/0!</v>
      </c>
      <c r="Q83" s="15" t="e">
        <f t="shared" ref="Q83" si="310">Q82/L82-1</f>
        <v>#DIV/0!</v>
      </c>
      <c r="R83" s="5"/>
      <c r="S83" s="15" t="e">
        <f t="shared" ref="S83" si="311">S82/N82-1</f>
        <v>#DIV/0!</v>
      </c>
      <c r="T83" s="15" t="e">
        <f t="shared" ref="T83" si="312">T82/O82-1</f>
        <v>#DIV/0!</v>
      </c>
      <c r="U83" s="15" t="e">
        <f t="shared" ref="U83:V83" si="313">U82/P82-1</f>
        <v>#DIV/0!</v>
      </c>
      <c r="V83" s="15" t="e">
        <f t="shared" si="313"/>
        <v>#DIV/0!</v>
      </c>
      <c r="W83" s="5"/>
      <c r="X83" s="15" t="e">
        <f>X82/S82-1</f>
        <v>#DIV/0!</v>
      </c>
      <c r="Y83" s="15" t="e">
        <f t="shared" ref="Y83" si="314">Y82/T82-1</f>
        <v>#DIV/0!</v>
      </c>
      <c r="Z83" s="15" t="e">
        <f t="shared" ref="Z83" si="315">Z82/U82-1</f>
        <v>#DIV/0!</v>
      </c>
      <c r="AA83" s="15" t="e">
        <f t="shared" ref="AA83" si="316">AA82/V82-1</f>
        <v>#DIV/0!</v>
      </c>
      <c r="AB83" s="5"/>
      <c r="AC83" s="15" t="e">
        <f>AC82/X82-1</f>
        <v>#DIV/0!</v>
      </c>
      <c r="AD83" s="15" t="e">
        <f t="shared" ref="AD83" si="317">AD82/Y82-1</f>
        <v>#DIV/0!</v>
      </c>
      <c r="AE83" s="15" t="e">
        <f t="shared" ref="AE83" si="318">AE82/Z82-1</f>
        <v>#DIV/0!</v>
      </c>
      <c r="AF83" s="15" t="e">
        <f t="shared" ref="AF83" si="319">AF82/AA82-1</f>
        <v>#DIV/0!</v>
      </c>
      <c r="AG83" s="5"/>
      <c r="AH83" s="15">
        <f>AH82/AC82-1</f>
        <v>-0.81532299762478944</v>
      </c>
      <c r="AI83" s="15">
        <f t="shared" ref="AI83" si="320">AI82/AD82-1</f>
        <v>-0.96396505586362158</v>
      </c>
      <c r="AJ83" s="15">
        <f t="shared" ref="AJ83" si="321">AJ82/AE82-1</f>
        <v>-3.2357269827001378E-3</v>
      </c>
      <c r="AK83" s="15">
        <f t="shared" ref="AK83" si="322">AK82/AF82-1</f>
        <v>0.62512724363678829</v>
      </c>
      <c r="AL83" s="5"/>
      <c r="AM83" s="15">
        <f>AM82/AH82-1</f>
        <v>0.53750686840648609</v>
      </c>
      <c r="AN83" s="15">
        <f t="shared" ref="AN83" si="323">AN82/AI82-1</f>
        <v>0.97473706422935935</v>
      </c>
      <c r="AO83" s="15">
        <f t="shared" ref="AO83" si="324">AO82/AJ82-1</f>
        <v>-8.1815501304451033E-2</v>
      </c>
      <c r="AP83" s="15">
        <f t="shared" ref="AP83" si="325">AP82/AK82-1</f>
        <v>0.11901625775259173</v>
      </c>
      <c r="AQ83" s="5"/>
    </row>
    <row r="84" spans="3:43" ht="13.5" thickBot="1">
      <c r="C84" s="18" t="s">
        <v>32</v>
      </c>
      <c r="D84" s="21"/>
      <c r="E84" s="21"/>
      <c r="F84" s="21"/>
      <c r="G84" s="117"/>
      <c r="H84" s="20"/>
      <c r="I84" s="19"/>
      <c r="J84" s="19"/>
      <c r="K84" s="19"/>
      <c r="L84" s="19"/>
      <c r="M84" s="20"/>
      <c r="N84" s="19"/>
      <c r="O84" s="19"/>
      <c r="P84" s="19"/>
      <c r="Q84" s="19"/>
      <c r="R84" s="20"/>
      <c r="S84" s="19"/>
      <c r="T84" s="152"/>
      <c r="U84" s="152"/>
      <c r="V84" s="156"/>
      <c r="W84" s="20"/>
      <c r="X84" s="156"/>
      <c r="Y84" s="152"/>
      <c r="Z84" s="156"/>
      <c r="AA84" s="28"/>
      <c r="AB84" s="20"/>
      <c r="AC84" s="381">
        <v>43.081000000000003</v>
      </c>
      <c r="AD84" s="381">
        <v>82.325000000000003</v>
      </c>
      <c r="AE84" s="388">
        <v>165.34842499999999</v>
      </c>
      <c r="AF84" s="388">
        <v>166.398</v>
      </c>
      <c r="AG84" s="361">
        <f>AF84</f>
        <v>166.398</v>
      </c>
      <c r="AH84" s="381">
        <v>170.506</v>
      </c>
      <c r="AI84" s="381">
        <v>173.381</v>
      </c>
      <c r="AJ84" s="381">
        <v>174.94499999999999</v>
      </c>
      <c r="AK84" s="381">
        <v>178.09299999999999</v>
      </c>
      <c r="AL84" s="361">
        <f>AK84</f>
        <v>178.09299999999999</v>
      </c>
      <c r="AM84" s="360">
        <f>AL84+0.429868</f>
        <v>178.52286799999999</v>
      </c>
      <c r="AN84" s="360">
        <f>AM84+0.429868</f>
        <v>178.95273599999999</v>
      </c>
      <c r="AO84" s="360">
        <f>AN84+0.429868</f>
        <v>179.38260399999999</v>
      </c>
      <c r="AP84" s="360">
        <f>AO84+0.429868</f>
        <v>179.81247199999999</v>
      </c>
      <c r="AQ84" s="361">
        <f>AP84</f>
        <v>179.81247199999999</v>
      </c>
    </row>
    <row r="85" spans="3:43">
      <c r="AD85" s="151"/>
    </row>
    <row r="86" spans="3:43">
      <c r="AD86" s="151"/>
    </row>
    <row r="87" spans="3:43">
      <c r="AD87" s="151"/>
    </row>
    <row r="88" spans="3:43">
      <c r="AD88" s="151"/>
    </row>
    <row r="89" spans="3:43">
      <c r="AD89" s="151"/>
    </row>
  </sheetData>
  <pageMargins left="0.7" right="0.7" top="0.75" bottom="0.75" header="0.3" footer="0.3"/>
  <pageSetup scale="54" orientation="landscape" r:id="rId1"/>
  <ignoredErrors>
    <ignoredError sqref="M56:N56 K27:W28 AB34 AB30 AB32 R83 U83:W83 K26:S26 W26 K30:S30 W30 O74:W75 P82:W82 W73 X75:AB75 K62:AB62 X82:AB83 X74 Z74:AB74 K57:N57 AB73 K32:S32 W32 K34:S34 W34 K73:S73 K84:O84 K75:N75 K74:L74 N74 M82:M83 O56:AB57 AB64 M78" formula="1"/>
    <ignoredError sqref="N64:AA64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D2703-D41C-4F4F-9F01-65E1B8EBB94E}">
  <sheetPr>
    <pageSetUpPr fitToPage="1"/>
  </sheetPr>
  <dimension ref="B1:AQ66"/>
  <sheetViews>
    <sheetView showGridLines="0" workbookViewId="0">
      <pane xSplit="3" ySplit="5" topLeftCell="AA6" activePane="bottomRight" state="frozen"/>
      <selection pane="topRight" activeCell="D1" sqref="D1"/>
      <selection pane="bottomLeft" activeCell="A5" sqref="A5"/>
      <selection pane="bottomRight" activeCell="AK6" sqref="AK6"/>
    </sheetView>
  </sheetViews>
  <sheetFormatPr defaultRowHeight="15" outlineLevelCol="1"/>
  <cols>
    <col min="2" max="2" width="2.42578125" customWidth="1"/>
    <col min="3" max="3" width="36" customWidth="1"/>
    <col min="4" max="7" width="9.140625" hidden="1" customWidth="1" outlineLevel="1"/>
    <col min="8" max="8" width="10.5703125" customWidth="1" collapsed="1"/>
    <col min="9" max="11" width="9.140625" hidden="1" customWidth="1" outlineLevel="1"/>
    <col min="12" max="12" width="10.28515625" hidden="1" customWidth="1" outlineLevel="1"/>
    <col min="13" max="13" width="10.5703125" customWidth="1" collapsed="1"/>
    <col min="14" max="15" width="9.140625" hidden="1" customWidth="1" outlineLevel="1"/>
    <col min="16" max="17" width="10.28515625" hidden="1" customWidth="1" outlineLevel="1"/>
    <col min="18" max="18" width="10.5703125" bestFit="1" customWidth="1" collapsed="1"/>
    <col min="19" max="22" width="10.28515625" hidden="1" customWidth="1" outlineLevel="1"/>
    <col min="23" max="23" width="10.5703125" bestFit="1" customWidth="1" collapsed="1"/>
    <col min="24" max="25" width="10.28515625" bestFit="1" customWidth="1"/>
    <col min="26" max="26" width="10.28515625" customWidth="1"/>
    <col min="27" max="27" width="10.28515625" bestFit="1" customWidth="1"/>
    <col min="28" max="28" width="10.5703125" bestFit="1" customWidth="1"/>
    <col min="29" max="32" width="10.28515625" bestFit="1" customWidth="1"/>
    <col min="33" max="33" width="10.5703125" bestFit="1" customWidth="1"/>
    <col min="34" max="37" width="10.28515625" bestFit="1" customWidth="1"/>
    <col min="38" max="38" width="10.5703125" bestFit="1" customWidth="1"/>
    <col min="39" max="42" width="10.28515625" bestFit="1" customWidth="1"/>
    <col min="43" max="43" width="10.5703125" bestFit="1" customWidth="1"/>
  </cols>
  <sheetData>
    <row r="1" spans="2:43">
      <c r="S1" s="121"/>
    </row>
    <row r="2" spans="2:43" ht="15.75">
      <c r="C2" s="43" t="s">
        <v>301</v>
      </c>
      <c r="D2" s="43"/>
      <c r="E2" s="43"/>
      <c r="F2" s="43"/>
      <c r="G2" s="43"/>
      <c r="S2" s="121"/>
    </row>
    <row r="3" spans="2:43" ht="15.75">
      <c r="C3" s="43"/>
      <c r="D3" s="43"/>
      <c r="E3" s="43"/>
      <c r="F3" s="43"/>
      <c r="G3" s="43"/>
      <c r="S3" s="121"/>
    </row>
    <row r="4" spans="2:43" ht="3" customHeight="1" thickBot="1"/>
    <row r="5" spans="2:43" ht="15.75" thickBot="1">
      <c r="B5" s="272" t="s">
        <v>36</v>
      </c>
      <c r="C5" s="273"/>
      <c r="D5" s="191" t="s">
        <v>86</v>
      </c>
      <c r="E5" s="191" t="s">
        <v>87</v>
      </c>
      <c r="F5" s="191" t="s">
        <v>88</v>
      </c>
      <c r="G5" s="191" t="s">
        <v>89</v>
      </c>
      <c r="H5" s="192" t="s">
        <v>14</v>
      </c>
      <c r="I5" s="191" t="s">
        <v>0</v>
      </c>
      <c r="J5" s="191" t="s">
        <v>1</v>
      </c>
      <c r="K5" s="191" t="s">
        <v>2</v>
      </c>
      <c r="L5" s="191" t="s">
        <v>3</v>
      </c>
      <c r="M5" s="192" t="s">
        <v>4</v>
      </c>
      <c r="N5" s="191" t="s">
        <v>5</v>
      </c>
      <c r="O5" s="191" t="s">
        <v>6</v>
      </c>
      <c r="P5" s="191" t="s">
        <v>7</v>
      </c>
      <c r="Q5" s="191" t="s">
        <v>8</v>
      </c>
      <c r="R5" s="192" t="s">
        <v>9</v>
      </c>
      <c r="S5" s="191" t="s">
        <v>33</v>
      </c>
      <c r="T5" s="191" t="s">
        <v>80</v>
      </c>
      <c r="U5" s="191" t="s">
        <v>109</v>
      </c>
      <c r="V5" s="191" t="s">
        <v>110</v>
      </c>
      <c r="W5" s="192" t="s">
        <v>111</v>
      </c>
      <c r="X5" s="191" t="s">
        <v>112</v>
      </c>
      <c r="Y5" s="191" t="s">
        <v>113</v>
      </c>
      <c r="Z5" s="191" t="s">
        <v>114</v>
      </c>
      <c r="AA5" s="191" t="s">
        <v>157</v>
      </c>
      <c r="AB5" s="192" t="s">
        <v>158</v>
      </c>
      <c r="AC5" s="191" t="s">
        <v>300</v>
      </c>
      <c r="AD5" s="191" t="s">
        <v>306</v>
      </c>
      <c r="AE5" s="191" t="s">
        <v>356</v>
      </c>
      <c r="AF5" s="191" t="s">
        <v>357</v>
      </c>
      <c r="AG5" s="192" t="s">
        <v>358</v>
      </c>
      <c r="AH5" s="191" t="s">
        <v>359</v>
      </c>
      <c r="AI5" s="191" t="s">
        <v>372</v>
      </c>
      <c r="AJ5" s="191" t="s">
        <v>373</v>
      </c>
      <c r="AK5" s="191" t="s">
        <v>382</v>
      </c>
      <c r="AL5" s="192" t="s">
        <v>385</v>
      </c>
      <c r="AM5" s="191" t="s">
        <v>152</v>
      </c>
      <c r="AN5" s="191" t="s">
        <v>153</v>
      </c>
      <c r="AO5" s="191" t="s">
        <v>154</v>
      </c>
      <c r="AP5" s="191" t="s">
        <v>155</v>
      </c>
      <c r="AQ5" s="192" t="s">
        <v>125</v>
      </c>
    </row>
    <row r="6" spans="2:43">
      <c r="B6" s="16" t="s">
        <v>37</v>
      </c>
      <c r="C6" s="2"/>
      <c r="H6" s="31"/>
      <c r="M6" s="31"/>
      <c r="R6" s="31"/>
      <c r="W6" s="31"/>
      <c r="AB6" s="31"/>
      <c r="AG6" s="31"/>
      <c r="AL6" s="31"/>
      <c r="AQ6" s="31"/>
    </row>
    <row r="7" spans="2:43">
      <c r="B7" s="13"/>
      <c r="C7" s="2" t="s">
        <v>167</v>
      </c>
      <c r="D7" s="204">
        <v>162.63118965558192</v>
      </c>
      <c r="E7" s="204">
        <v>322.80265039206978</v>
      </c>
      <c r="F7" s="204">
        <v>296.20918156883096</v>
      </c>
      <c r="G7" s="204">
        <v>228.10010054668641</v>
      </c>
      <c r="H7" s="266">
        <f>G7</f>
        <v>228.10010054668641</v>
      </c>
      <c r="I7" s="204">
        <v>268.08669674318145</v>
      </c>
      <c r="J7" s="204">
        <v>532.96033765313973</v>
      </c>
      <c r="K7" s="204">
        <v>465.50433669</v>
      </c>
      <c r="L7" s="204">
        <v>514.21600000000001</v>
      </c>
      <c r="M7" s="266">
        <f>L7</f>
        <v>514.21600000000001</v>
      </c>
      <c r="N7" s="204">
        <v>471.93099999999998</v>
      </c>
      <c r="O7" s="204">
        <v>423.178</v>
      </c>
      <c r="P7" s="204">
        <v>345.72499999999997</v>
      </c>
      <c r="Q7" s="204">
        <v>278.46599999999995</v>
      </c>
      <c r="R7" s="266">
        <f>Q7</f>
        <v>278.46599999999995</v>
      </c>
      <c r="S7" s="204">
        <v>178.44294801469522</v>
      </c>
      <c r="T7" s="204">
        <v>197.90376770365503</v>
      </c>
      <c r="U7" s="204">
        <v>369.80595654954845</v>
      </c>
      <c r="V7" s="204">
        <v>303.73118037264049</v>
      </c>
      <c r="W7" s="266">
        <f>V7</f>
        <v>303.73118037264049</v>
      </c>
      <c r="X7" s="204">
        <v>224.55793828457365</v>
      </c>
      <c r="Y7" s="204">
        <v>203.07741417949583</v>
      </c>
      <c r="Z7" s="204">
        <v>133.52737306760318</v>
      </c>
      <c r="AA7" s="204">
        <v>166.60702584797545</v>
      </c>
      <c r="AB7" s="266">
        <f>AA7</f>
        <v>166.60702584797545</v>
      </c>
      <c r="AC7" s="204">
        <v>80.792300027620627</v>
      </c>
      <c r="AD7" s="204">
        <v>478.81099999999998</v>
      </c>
      <c r="AE7" s="204">
        <v>388.00599999999997</v>
      </c>
      <c r="AF7" s="204">
        <v>340.95400000000001</v>
      </c>
      <c r="AG7" s="266">
        <f>AF7</f>
        <v>340.95400000000001</v>
      </c>
      <c r="AH7" s="204">
        <v>151.60300000000001</v>
      </c>
      <c r="AI7" s="204">
        <v>186.31</v>
      </c>
      <c r="AJ7" s="204">
        <v>655.91800000000001</v>
      </c>
      <c r="AK7" s="204">
        <v>604.78700000000003</v>
      </c>
      <c r="AL7" s="266">
        <f>AK7</f>
        <v>604.78700000000003</v>
      </c>
      <c r="AM7" s="204">
        <f>AK7+CF!AM80</f>
        <v>662.2392021733184</v>
      </c>
      <c r="AN7" s="204">
        <f>AM7+CF!AN80</f>
        <v>658.89784277908552</v>
      </c>
      <c r="AO7" s="204">
        <f>AN7+CF!AO80</f>
        <v>640.95473045858546</v>
      </c>
      <c r="AP7" s="204">
        <f>AO7+CF!AP80</f>
        <v>659.00933319243029</v>
      </c>
      <c r="AQ7" s="266">
        <f>AP7</f>
        <v>659.00933319243029</v>
      </c>
    </row>
    <row r="8" spans="2:43">
      <c r="B8" s="13"/>
      <c r="C8" s="2" t="s">
        <v>168</v>
      </c>
      <c r="D8" s="204">
        <v>0</v>
      </c>
      <c r="E8" s="204">
        <v>0</v>
      </c>
      <c r="F8" s="204">
        <v>0</v>
      </c>
      <c r="G8" s="204">
        <v>0</v>
      </c>
      <c r="H8" s="266">
        <f t="shared" ref="H8:H46" si="0">G8</f>
        <v>0</v>
      </c>
      <c r="I8" s="204">
        <v>0</v>
      </c>
      <c r="J8" s="204">
        <v>0</v>
      </c>
      <c r="K8" s="204">
        <v>0</v>
      </c>
      <c r="L8" s="204">
        <v>0</v>
      </c>
      <c r="M8" s="266">
        <f t="shared" ref="M8:M46" si="1">L8</f>
        <v>0</v>
      </c>
      <c r="N8" s="204">
        <v>0</v>
      </c>
      <c r="O8" s="204">
        <v>0</v>
      </c>
      <c r="P8" s="204">
        <v>0</v>
      </c>
      <c r="Q8" s="204">
        <v>0</v>
      </c>
      <c r="R8" s="266">
        <f t="shared" ref="R8:R46" si="2">Q8</f>
        <v>0</v>
      </c>
      <c r="S8" s="204">
        <v>0</v>
      </c>
      <c r="T8" s="204">
        <v>0</v>
      </c>
      <c r="U8" s="204">
        <v>0</v>
      </c>
      <c r="V8" s="204">
        <v>0</v>
      </c>
      <c r="W8" s="266">
        <f t="shared" ref="W8:W46" si="3">V8</f>
        <v>0</v>
      </c>
      <c r="X8" s="204">
        <v>0</v>
      </c>
      <c r="Y8" s="204">
        <v>0</v>
      </c>
      <c r="Z8" s="204">
        <v>0</v>
      </c>
      <c r="AA8" s="204">
        <v>31.80739372</v>
      </c>
      <c r="AB8" s="266">
        <f t="shared" ref="AB8:AB46" si="4">AA8</f>
        <v>31.80739372</v>
      </c>
      <c r="AC8" s="204">
        <v>14.956497779999999</v>
      </c>
      <c r="AD8" s="204">
        <v>11.255000000000001</v>
      </c>
      <c r="AE8" s="204">
        <v>78.316999999999993</v>
      </c>
      <c r="AF8" s="204">
        <v>107.309</v>
      </c>
      <c r="AG8" s="266">
        <f t="shared" ref="AG8:AG46" si="5">AF8</f>
        <v>107.309</v>
      </c>
      <c r="AH8" s="204">
        <v>67.183000000000007</v>
      </c>
      <c r="AI8" s="204">
        <v>104.996</v>
      </c>
      <c r="AJ8" s="204">
        <v>103.72</v>
      </c>
      <c r="AK8" s="204">
        <v>150.21100000000001</v>
      </c>
      <c r="AL8" s="266">
        <f t="shared" ref="AL8:AL46" si="6">AK8</f>
        <v>150.21100000000001</v>
      </c>
      <c r="AM8" s="204">
        <f>AK8</f>
        <v>150.21100000000001</v>
      </c>
      <c r="AN8" s="204">
        <f>AM8</f>
        <v>150.21100000000001</v>
      </c>
      <c r="AO8" s="204">
        <f>AN8</f>
        <v>150.21100000000001</v>
      </c>
      <c r="AP8" s="204">
        <f>AO8</f>
        <v>150.21100000000001</v>
      </c>
      <c r="AQ8" s="266">
        <f t="shared" ref="AQ8:AQ46" si="7">AP8</f>
        <v>150.21100000000001</v>
      </c>
    </row>
    <row r="9" spans="2:43">
      <c r="B9" s="13"/>
      <c r="C9" s="2" t="s">
        <v>169</v>
      </c>
      <c r="D9" s="204">
        <v>16.203311444374791</v>
      </c>
      <c r="E9" s="204">
        <v>20.730173604108479</v>
      </c>
      <c r="F9" s="204">
        <v>22.028856126093718</v>
      </c>
      <c r="G9" s="204">
        <v>39.825619842872676</v>
      </c>
      <c r="H9" s="266">
        <f t="shared" si="0"/>
        <v>39.825619842872676</v>
      </c>
      <c r="I9" s="204">
        <v>27.820867768607719</v>
      </c>
      <c r="J9" s="204">
        <v>32.032857397884001</v>
      </c>
      <c r="K9" s="204">
        <v>63.332999999999998</v>
      </c>
      <c r="L9" s="204">
        <v>98.736999999999995</v>
      </c>
      <c r="M9" s="266">
        <f t="shared" si="1"/>
        <v>98.736999999999995</v>
      </c>
      <c r="N9" s="204">
        <v>78.197999999999993</v>
      </c>
      <c r="O9" s="204">
        <v>9.2629999999999999</v>
      </c>
      <c r="P9" s="204">
        <v>85.623000000000005</v>
      </c>
      <c r="Q9" s="204">
        <v>99.534999999999997</v>
      </c>
      <c r="R9" s="266">
        <f t="shared" si="2"/>
        <v>99.534999999999997</v>
      </c>
      <c r="S9" s="204">
        <v>99.751542183047164</v>
      </c>
      <c r="T9" s="204">
        <v>95.903162177673607</v>
      </c>
      <c r="U9" s="204">
        <v>97.190442282407403</v>
      </c>
      <c r="V9" s="204">
        <v>113.40835722667524</v>
      </c>
      <c r="W9" s="266">
        <f t="shared" si="3"/>
        <v>113.40835722667524</v>
      </c>
      <c r="X9" s="204">
        <v>123.60366771229309</v>
      </c>
      <c r="Y9" s="204">
        <v>120.26195806452331</v>
      </c>
      <c r="Z9" s="204">
        <v>140.99740926800982</v>
      </c>
      <c r="AA9" s="204">
        <v>128.84205857115614</v>
      </c>
      <c r="AB9" s="266">
        <f t="shared" si="4"/>
        <v>128.84205857115614</v>
      </c>
      <c r="AC9" s="204">
        <v>144.33614152306222</v>
      </c>
      <c r="AD9" s="204">
        <f>118.106+29.704</f>
        <v>147.81</v>
      </c>
      <c r="AE9" s="204">
        <f>31.335+145.616</f>
        <v>176.95100000000002</v>
      </c>
      <c r="AF9" s="204">
        <f>154.819+26.135</f>
        <v>180.95399999999998</v>
      </c>
      <c r="AG9" s="266">
        <f t="shared" si="5"/>
        <v>180.95399999999998</v>
      </c>
      <c r="AH9" s="204">
        <f>262.613+42.086</f>
        <v>304.69900000000001</v>
      </c>
      <c r="AI9" s="204">
        <f>266.284+36.476</f>
        <v>302.76</v>
      </c>
      <c r="AJ9" s="204">
        <f>283.626+42.611</f>
        <v>326.23699999999997</v>
      </c>
      <c r="AK9" s="204">
        <f>311.17+40.498</f>
        <v>351.66800000000001</v>
      </c>
      <c r="AL9" s="266">
        <f t="shared" si="6"/>
        <v>351.66800000000001</v>
      </c>
      <c r="AM9" s="204">
        <f>AM55*IS!AM15</f>
        <v>275.96635853670284</v>
      </c>
      <c r="AN9" s="204">
        <f>AN55*IS!AN15</f>
        <v>296.236757625</v>
      </c>
      <c r="AO9" s="204">
        <f>AO55*IS!AO15</f>
        <v>269.85776402000005</v>
      </c>
      <c r="AP9" s="204">
        <f>AP55*IS!AP15</f>
        <v>239.61854213066141</v>
      </c>
      <c r="AQ9" s="266">
        <f t="shared" si="7"/>
        <v>239.61854213066141</v>
      </c>
    </row>
    <row r="10" spans="2:43">
      <c r="B10" s="13"/>
      <c r="C10" s="2" t="s">
        <v>307</v>
      </c>
      <c r="D10" s="204"/>
      <c r="E10" s="204"/>
      <c r="F10" s="204"/>
      <c r="G10" s="204"/>
      <c r="H10" s="266"/>
      <c r="I10" s="204"/>
      <c r="J10" s="204"/>
      <c r="K10" s="204"/>
      <c r="L10" s="204"/>
      <c r="M10" s="266"/>
      <c r="N10" s="204"/>
      <c r="O10" s="204"/>
      <c r="P10" s="204"/>
      <c r="Q10" s="204"/>
      <c r="R10" s="266"/>
      <c r="S10" s="204"/>
      <c r="T10" s="204"/>
      <c r="U10" s="204"/>
      <c r="V10" s="204"/>
      <c r="W10" s="266"/>
      <c r="X10" s="204"/>
      <c r="Y10" s="204"/>
      <c r="Z10" s="204"/>
      <c r="AA10" s="204"/>
      <c r="AB10" s="266"/>
      <c r="AC10" s="204"/>
      <c r="AD10" s="204">
        <v>0.8</v>
      </c>
      <c r="AE10" s="204">
        <v>0</v>
      </c>
      <c r="AF10" s="204">
        <v>0</v>
      </c>
      <c r="AG10" s="266">
        <f t="shared" si="5"/>
        <v>0</v>
      </c>
      <c r="AH10" s="204">
        <v>0</v>
      </c>
      <c r="AI10" s="204">
        <v>2.5350000000000001</v>
      </c>
      <c r="AJ10" s="204">
        <v>5.66</v>
      </c>
      <c r="AK10" s="204">
        <v>8.7850000000000001</v>
      </c>
      <c r="AL10" s="266">
        <f t="shared" si="6"/>
        <v>8.7850000000000001</v>
      </c>
      <c r="AM10" s="204"/>
      <c r="AN10" s="204"/>
      <c r="AO10" s="204"/>
      <c r="AP10" s="204"/>
      <c r="AQ10" s="266"/>
    </row>
    <row r="11" spans="2:43">
      <c r="B11" s="13"/>
      <c r="C11" s="2" t="s">
        <v>170</v>
      </c>
      <c r="D11" s="204">
        <v>5.4685583499999995</v>
      </c>
      <c r="E11" s="204">
        <v>6.8028627899999998</v>
      </c>
      <c r="F11" s="204">
        <v>6.4940060299999995</v>
      </c>
      <c r="G11" s="204">
        <v>8.2786811999999994</v>
      </c>
      <c r="H11" s="266">
        <f t="shared" si="0"/>
        <v>8.2786811999999994</v>
      </c>
      <c r="I11" s="204">
        <v>8.3697620300000004</v>
      </c>
      <c r="J11" s="204">
        <v>25.423183390000002</v>
      </c>
      <c r="K11" s="204">
        <v>32.600999999999999</v>
      </c>
      <c r="L11" s="204">
        <v>37.557000000000002</v>
      </c>
      <c r="M11" s="266">
        <f t="shared" si="1"/>
        <v>37.557000000000002</v>
      </c>
      <c r="N11" s="204">
        <v>30.731999999999999</v>
      </c>
      <c r="O11" s="204">
        <v>27.704000000000001</v>
      </c>
      <c r="P11" s="204">
        <v>21.998000000000001</v>
      </c>
      <c r="Q11" s="204">
        <v>22.908000000000001</v>
      </c>
      <c r="R11" s="266">
        <f t="shared" si="2"/>
        <v>22.908000000000001</v>
      </c>
      <c r="S11" s="204">
        <v>17.299142660000001</v>
      </c>
      <c r="T11" s="204">
        <v>20.646459710000002</v>
      </c>
      <c r="U11" s="204">
        <v>21.028571900000003</v>
      </c>
      <c r="V11" s="204">
        <v>22.281781080000002</v>
      </c>
      <c r="W11" s="266">
        <f t="shared" si="3"/>
        <v>22.281781080000002</v>
      </c>
      <c r="X11" s="204">
        <v>25.211479249999996</v>
      </c>
      <c r="Y11" s="204">
        <v>27.382671730000002</v>
      </c>
      <c r="Z11" s="204">
        <v>27.157110500000002</v>
      </c>
      <c r="AA11" s="204">
        <v>28.845248369999997</v>
      </c>
      <c r="AB11" s="266">
        <f t="shared" si="4"/>
        <v>28.845248369999997</v>
      </c>
      <c r="AC11" s="204">
        <v>30.129188500000001</v>
      </c>
      <c r="AD11" s="204">
        <v>32.69</v>
      </c>
      <c r="AE11" s="204">
        <v>36.137999999999998</v>
      </c>
      <c r="AF11" s="204">
        <v>38.386000000000003</v>
      </c>
      <c r="AG11" s="266">
        <f t="shared" si="5"/>
        <v>38.386000000000003</v>
      </c>
      <c r="AH11" s="204">
        <v>50.484999999999999</v>
      </c>
      <c r="AI11" s="204">
        <v>47.6</v>
      </c>
      <c r="AJ11" s="204">
        <v>54.975999999999999</v>
      </c>
      <c r="AK11" s="204">
        <v>51.723999999999997</v>
      </c>
      <c r="AL11" s="266">
        <f t="shared" si="6"/>
        <v>51.723999999999997</v>
      </c>
      <c r="AM11" s="204">
        <f>AM56*IS!AM15</f>
        <v>50.018902484777385</v>
      </c>
      <c r="AN11" s="204">
        <f>AN56*IS!AN15</f>
        <v>53.322616372500008</v>
      </c>
      <c r="AO11" s="204">
        <f>AO56*IS!AO15</f>
        <v>51.895723850000003</v>
      </c>
      <c r="AP11" s="204">
        <f>AP56*IS!AP15</f>
        <v>52.402966110244456</v>
      </c>
      <c r="AQ11" s="266">
        <f t="shared" si="7"/>
        <v>52.402966110244456</v>
      </c>
    </row>
    <row r="12" spans="2:43" s="149" customFormat="1">
      <c r="B12" s="16" t="s">
        <v>38</v>
      </c>
      <c r="C12" s="4"/>
      <c r="D12" s="206">
        <f>SUM(D7:D11)</f>
        <v>184.30305944995669</v>
      </c>
      <c r="E12" s="206">
        <f>SUM(E7:E11)</f>
        <v>350.33568678617826</v>
      </c>
      <c r="F12" s="206">
        <f>SUM(F7:F11)</f>
        <v>324.73204372492467</v>
      </c>
      <c r="G12" s="206">
        <f>SUM(G7:G11)</f>
        <v>276.2044015895591</v>
      </c>
      <c r="H12" s="267">
        <f t="shared" si="0"/>
        <v>276.2044015895591</v>
      </c>
      <c r="I12" s="206">
        <f>SUM(I7:I11)</f>
        <v>304.27732654178919</v>
      </c>
      <c r="J12" s="206">
        <f>SUM(J7:J11)</f>
        <v>590.41637844102365</v>
      </c>
      <c r="K12" s="206">
        <f>SUM(K7:K11)</f>
        <v>561.43833669000003</v>
      </c>
      <c r="L12" s="206">
        <f>SUM(L7:L11)</f>
        <v>650.51</v>
      </c>
      <c r="M12" s="267">
        <f t="shared" si="1"/>
        <v>650.51</v>
      </c>
      <c r="N12" s="206">
        <f>SUM(N7:N11)</f>
        <v>580.86099999999999</v>
      </c>
      <c r="O12" s="206">
        <f>SUM(O7:O11)</f>
        <v>460.14499999999998</v>
      </c>
      <c r="P12" s="206">
        <f>SUM(P7:P11)</f>
        <v>453.34599999999995</v>
      </c>
      <c r="Q12" s="206">
        <f>SUM(Q7:Q11)</f>
        <v>400.90899999999999</v>
      </c>
      <c r="R12" s="267">
        <f t="shared" si="2"/>
        <v>400.90899999999999</v>
      </c>
      <c r="S12" s="206">
        <f>SUM(S7:S11)</f>
        <v>295.49363285774234</v>
      </c>
      <c r="T12" s="206">
        <f>SUM(T7:T11)</f>
        <v>314.45338959132863</v>
      </c>
      <c r="U12" s="206">
        <f>SUM(U7:U11)</f>
        <v>488.02497073195582</v>
      </c>
      <c r="V12" s="206">
        <f>SUM(V7:V11)</f>
        <v>439.42131867931573</v>
      </c>
      <c r="W12" s="267">
        <f t="shared" si="3"/>
        <v>439.42131867931573</v>
      </c>
      <c r="X12" s="206">
        <f>SUM(X7:X11)</f>
        <v>373.37308524686671</v>
      </c>
      <c r="Y12" s="206">
        <f>SUM(Y7:Y11)</f>
        <v>350.72204397401919</v>
      </c>
      <c r="Z12" s="206">
        <f>SUM(Z7:Z11)</f>
        <v>301.68189283561298</v>
      </c>
      <c r="AA12" s="206">
        <f>SUM(AA7:AA11)</f>
        <v>356.10172650913154</v>
      </c>
      <c r="AB12" s="267">
        <f t="shared" si="4"/>
        <v>356.10172650913154</v>
      </c>
      <c r="AC12" s="206">
        <f>SUM(AC7:AC11)</f>
        <v>270.21412783068286</v>
      </c>
      <c r="AD12" s="206">
        <f>SUM(AD7:AD11)</f>
        <v>671.36599999999999</v>
      </c>
      <c r="AE12" s="206">
        <f>SUM(AE7:AE11)</f>
        <v>679.41200000000003</v>
      </c>
      <c r="AF12" s="206">
        <f>SUM(AF7:AF11)</f>
        <v>667.60299999999995</v>
      </c>
      <c r="AG12" s="267">
        <f t="shared" si="5"/>
        <v>667.60299999999995</v>
      </c>
      <c r="AH12" s="206">
        <f>SUM(AH7:AH11)</f>
        <v>573.97</v>
      </c>
      <c r="AI12" s="206">
        <f>SUM(AI7:AI11)</f>
        <v>644.20100000000002</v>
      </c>
      <c r="AJ12" s="206">
        <f>SUM(AJ7:AJ11)</f>
        <v>1146.511</v>
      </c>
      <c r="AK12" s="206">
        <f>SUM(AK7:AK11)</f>
        <v>1167.1750000000002</v>
      </c>
      <c r="AL12" s="267">
        <f t="shared" si="6"/>
        <v>1167.1750000000002</v>
      </c>
      <c r="AM12" s="206">
        <f>SUM(AM7:AM11)</f>
        <v>1138.4354631947986</v>
      </c>
      <c r="AN12" s="206">
        <f>SUM(AN7:AN11)</f>
        <v>1158.6682167765855</v>
      </c>
      <c r="AO12" s="206">
        <f>SUM(AO7:AO11)</f>
        <v>1112.9192183285854</v>
      </c>
      <c r="AP12" s="206">
        <f>SUM(AP7:AP11)</f>
        <v>1101.2418414333363</v>
      </c>
      <c r="AQ12" s="267">
        <f t="shared" si="7"/>
        <v>1101.2418414333363</v>
      </c>
    </row>
    <row r="13" spans="2:43">
      <c r="B13" s="13"/>
      <c r="C13" s="2" t="s">
        <v>39</v>
      </c>
      <c r="D13" s="204">
        <v>20.596057979999998</v>
      </c>
      <c r="E13" s="204">
        <v>23.187417349999997</v>
      </c>
      <c r="F13" s="204">
        <v>25.607426080000003</v>
      </c>
      <c r="G13" s="204">
        <v>36.065027559999997</v>
      </c>
      <c r="H13" s="266">
        <f t="shared" si="0"/>
        <v>36.065027559999997</v>
      </c>
      <c r="I13" s="204">
        <v>34.408000000000001</v>
      </c>
      <c r="J13" s="204">
        <v>36.980960019999998</v>
      </c>
      <c r="K13" s="204">
        <v>36.86</v>
      </c>
      <c r="L13" s="204">
        <v>38.435000000000002</v>
      </c>
      <c r="M13" s="266">
        <f t="shared" si="1"/>
        <v>38.435000000000002</v>
      </c>
      <c r="N13" s="204">
        <v>36.300000000000004</v>
      </c>
      <c r="O13" s="204">
        <v>35.215000000000011</v>
      </c>
      <c r="P13" s="204">
        <v>35.998999999999995</v>
      </c>
      <c r="Q13" s="204">
        <v>35.394999999999996</v>
      </c>
      <c r="R13" s="266">
        <f t="shared" si="2"/>
        <v>35.394999999999996</v>
      </c>
      <c r="S13" s="204">
        <v>39.460914599999995</v>
      </c>
      <c r="T13" s="204">
        <v>46.010089869999995</v>
      </c>
      <c r="U13" s="204">
        <v>45.205556890000004</v>
      </c>
      <c r="V13" s="204">
        <v>44.105478019999993</v>
      </c>
      <c r="W13" s="266">
        <f t="shared" si="3"/>
        <v>44.105478019999993</v>
      </c>
      <c r="X13" s="204">
        <v>45.203758719999982</v>
      </c>
      <c r="Y13" s="204">
        <v>50.451767139999987</v>
      </c>
      <c r="Z13" s="204">
        <v>63.138070779999978</v>
      </c>
      <c r="AA13" s="204">
        <v>61.680691109999984</v>
      </c>
      <c r="AB13" s="266">
        <f t="shared" si="4"/>
        <v>61.680691109999984</v>
      </c>
      <c r="AC13" s="204">
        <v>59.217121660000004</v>
      </c>
      <c r="AD13" s="204">
        <v>60.539000000000001</v>
      </c>
      <c r="AE13" s="204">
        <v>59.362000000000002</v>
      </c>
      <c r="AF13" s="204">
        <v>58.055999999999997</v>
      </c>
      <c r="AG13" s="266">
        <f t="shared" si="5"/>
        <v>58.055999999999997</v>
      </c>
      <c r="AH13" s="204">
        <v>93.536000000000001</v>
      </c>
      <c r="AI13" s="204">
        <v>92.563000000000002</v>
      </c>
      <c r="AJ13" s="204">
        <v>90.71</v>
      </c>
      <c r="AK13" s="204">
        <v>89.156000000000006</v>
      </c>
      <c r="AL13" s="266">
        <f t="shared" si="6"/>
        <v>89.156000000000006</v>
      </c>
      <c r="AM13" s="204">
        <f>AK13-CF!AM9-CF!AM50</f>
        <v>61.656000000000034</v>
      </c>
      <c r="AN13" s="204">
        <f>AM13-CF!AN9-CF!AN50</f>
        <v>34.156000000000091</v>
      </c>
      <c r="AO13" s="204">
        <f>AN13-CF!AO9-CF!AO50</f>
        <v>6.6560000000001196</v>
      </c>
      <c r="AP13" s="204">
        <f>AO13-CF!AP9-CF!AP50</f>
        <v>-20.843999999999852</v>
      </c>
      <c r="AQ13" s="266">
        <f t="shared" si="7"/>
        <v>-20.843999999999852</v>
      </c>
    </row>
    <row r="14" spans="2:43">
      <c r="B14" s="13"/>
      <c r="C14" s="2" t="s">
        <v>309</v>
      </c>
      <c r="D14" s="204"/>
      <c r="E14" s="204"/>
      <c r="F14" s="204"/>
      <c r="G14" s="204"/>
      <c r="H14" s="266"/>
      <c r="I14" s="204"/>
      <c r="J14" s="204"/>
      <c r="K14" s="204"/>
      <c r="L14" s="204"/>
      <c r="M14" s="266"/>
      <c r="N14" s="204"/>
      <c r="O14" s="204"/>
      <c r="P14" s="204"/>
      <c r="Q14" s="204"/>
      <c r="R14" s="266"/>
      <c r="S14" s="204"/>
      <c r="T14" s="204"/>
      <c r="U14" s="204"/>
      <c r="V14" s="204"/>
      <c r="W14" s="266"/>
      <c r="X14" s="204"/>
      <c r="Y14" s="204"/>
      <c r="Z14" s="204"/>
      <c r="AA14" s="204"/>
      <c r="AB14" s="266"/>
      <c r="AC14" s="204"/>
      <c r="AD14" s="204">
        <v>73.344999999999999</v>
      </c>
      <c r="AE14" s="204">
        <v>73.364999999999995</v>
      </c>
      <c r="AF14" s="204">
        <v>73.343000000000004</v>
      </c>
      <c r="AG14" s="266">
        <f t="shared" si="5"/>
        <v>73.343000000000004</v>
      </c>
      <c r="AH14" s="204">
        <v>325.774</v>
      </c>
      <c r="AI14" s="204">
        <v>325.79300000000001</v>
      </c>
      <c r="AJ14" s="204">
        <v>465.14</v>
      </c>
      <c r="AK14" s="204">
        <v>470.21100000000001</v>
      </c>
      <c r="AL14" s="266">
        <f t="shared" si="6"/>
        <v>470.21100000000001</v>
      </c>
      <c r="AM14" s="204"/>
      <c r="AN14" s="204"/>
      <c r="AO14" s="204"/>
      <c r="AP14" s="204"/>
      <c r="AQ14" s="266"/>
    </row>
    <row r="15" spans="2:43">
      <c r="B15" s="13"/>
      <c r="C15" s="2" t="s">
        <v>311</v>
      </c>
      <c r="D15" s="204"/>
      <c r="E15" s="204"/>
      <c r="F15" s="204"/>
      <c r="G15" s="204"/>
      <c r="H15" s="266"/>
      <c r="I15" s="204"/>
      <c r="J15" s="204"/>
      <c r="K15" s="204"/>
      <c r="L15" s="204"/>
      <c r="M15" s="266"/>
      <c r="N15" s="204"/>
      <c r="O15" s="204"/>
      <c r="P15" s="204"/>
      <c r="Q15" s="204"/>
      <c r="R15" s="266"/>
      <c r="S15" s="204"/>
      <c r="T15" s="204"/>
      <c r="U15" s="204"/>
      <c r="V15" s="204"/>
      <c r="W15" s="266"/>
      <c r="X15" s="204"/>
      <c r="Y15" s="204"/>
      <c r="Z15" s="204"/>
      <c r="AA15" s="204"/>
      <c r="AB15" s="266"/>
      <c r="AC15" s="204"/>
      <c r="AD15" s="204">
        <v>1.5</v>
      </c>
      <c r="AE15" s="204">
        <v>0</v>
      </c>
      <c r="AF15" s="204">
        <v>0</v>
      </c>
      <c r="AG15" s="266">
        <f t="shared" si="5"/>
        <v>0</v>
      </c>
      <c r="AH15" s="204">
        <v>0</v>
      </c>
      <c r="AI15" s="204">
        <v>0</v>
      </c>
      <c r="AJ15" s="204">
        <v>0</v>
      </c>
      <c r="AK15" s="204">
        <v>0</v>
      </c>
      <c r="AL15" s="266">
        <f t="shared" si="6"/>
        <v>0</v>
      </c>
      <c r="AM15" s="204"/>
      <c r="AN15" s="204"/>
      <c r="AO15" s="204"/>
      <c r="AP15" s="204"/>
      <c r="AQ15" s="266"/>
    </row>
    <row r="16" spans="2:43">
      <c r="B16" s="13"/>
      <c r="C16" s="2" t="s">
        <v>310</v>
      </c>
      <c r="D16" s="204"/>
      <c r="E16" s="204"/>
      <c r="F16" s="204"/>
      <c r="G16" s="204"/>
      <c r="H16" s="266"/>
      <c r="I16" s="204"/>
      <c r="J16" s="204"/>
      <c r="K16" s="204"/>
      <c r="L16" s="204"/>
      <c r="M16" s="266"/>
      <c r="N16" s="204"/>
      <c r="O16" s="204"/>
      <c r="P16" s="204"/>
      <c r="Q16" s="204"/>
      <c r="R16" s="266"/>
      <c r="S16" s="204"/>
      <c r="T16" s="204"/>
      <c r="U16" s="204"/>
      <c r="V16" s="204"/>
      <c r="W16" s="266"/>
      <c r="X16" s="204"/>
      <c r="Y16" s="204"/>
      <c r="Z16" s="204"/>
      <c r="AA16" s="204"/>
      <c r="AB16" s="266"/>
      <c r="AC16" s="204"/>
      <c r="AD16" s="204">
        <v>16.251999999999999</v>
      </c>
      <c r="AE16" s="204">
        <v>14.289</v>
      </c>
      <c r="AF16" s="204">
        <v>11.715999999999999</v>
      </c>
      <c r="AG16" s="266">
        <f t="shared" si="5"/>
        <v>11.715999999999999</v>
      </c>
      <c r="AH16" s="204">
        <v>399.54399999999998</v>
      </c>
      <c r="AI16" s="204">
        <v>387.56400000000002</v>
      </c>
      <c r="AJ16" s="204">
        <v>372.87599999999998</v>
      </c>
      <c r="AK16" s="204">
        <v>355.25299999999999</v>
      </c>
      <c r="AL16" s="266">
        <f>AK16</f>
        <v>355.25299999999999</v>
      </c>
      <c r="AM16" s="204"/>
      <c r="AN16" s="204"/>
      <c r="AO16" s="204"/>
      <c r="AP16" s="204"/>
      <c r="AQ16" s="266"/>
    </row>
    <row r="17" spans="2:43">
      <c r="B17" s="13"/>
      <c r="C17" s="2" t="s">
        <v>312</v>
      </c>
      <c r="D17" s="204">
        <v>27.05628253240809</v>
      </c>
      <c r="E17" s="204">
        <v>25.422761077760356</v>
      </c>
      <c r="F17" s="204">
        <v>28.424601330532255</v>
      </c>
      <c r="G17" s="204">
        <v>57.901800130699257</v>
      </c>
      <c r="H17" s="266">
        <f t="shared" si="0"/>
        <v>57.901800130699257</v>
      </c>
      <c r="I17" s="204">
        <v>68.945167781239604</v>
      </c>
      <c r="J17" s="204">
        <v>66.463479328231188</v>
      </c>
      <c r="K17" s="204">
        <v>64.407000000000039</v>
      </c>
      <c r="L17" s="204">
        <v>62.97300000000007</v>
      </c>
      <c r="M17" s="266">
        <f t="shared" si="1"/>
        <v>62.97300000000007</v>
      </c>
      <c r="N17" s="204">
        <v>59.975999999999885</v>
      </c>
      <c r="O17" s="204">
        <v>108.82600000000002</v>
      </c>
      <c r="P17" s="204">
        <v>62.001999999999953</v>
      </c>
      <c r="Q17" s="204">
        <v>95.050000000000068</v>
      </c>
      <c r="R17" s="266">
        <f t="shared" si="2"/>
        <v>95.050000000000068</v>
      </c>
      <c r="S17" s="204">
        <v>149.50383349766577</v>
      </c>
      <c r="T17" s="204">
        <v>145.34536242271417</v>
      </c>
      <c r="U17" s="204">
        <v>139.73293192977962</v>
      </c>
      <c r="V17" s="204">
        <v>147.83799265365849</v>
      </c>
      <c r="W17" s="266">
        <f t="shared" si="3"/>
        <v>147.83799265365849</v>
      </c>
      <c r="X17" s="204">
        <v>150.52988609569945</v>
      </c>
      <c r="Y17" s="204">
        <v>144.86559183983201</v>
      </c>
      <c r="Z17" s="204">
        <v>139.24961808272349</v>
      </c>
      <c r="AA17" s="204">
        <v>146.26981299979428</v>
      </c>
      <c r="AB17" s="266">
        <f t="shared" si="4"/>
        <v>146.26981299979428</v>
      </c>
      <c r="AC17" s="204">
        <v>139.84196282948</v>
      </c>
      <c r="AD17" s="204">
        <v>7.6769999999999996</v>
      </c>
      <c r="AE17" s="204">
        <f>8.692+103.699</f>
        <v>112.39099999999999</v>
      </c>
      <c r="AF17" s="204">
        <f>8.305+91.45</f>
        <v>99.754999999999995</v>
      </c>
      <c r="AG17" s="266">
        <f t="shared" si="5"/>
        <v>99.754999999999995</v>
      </c>
      <c r="AH17" s="204">
        <f>14.811+94.153</f>
        <v>108.964</v>
      </c>
      <c r="AI17" s="204">
        <f>16.669+95.718</f>
        <v>112.387</v>
      </c>
      <c r="AJ17" s="204">
        <f>20.948+94.367</f>
        <v>115.315</v>
      </c>
      <c r="AK17" s="204">
        <f>86.557+21.111</f>
        <v>107.66800000000001</v>
      </c>
      <c r="AL17" s="266">
        <f t="shared" si="6"/>
        <v>107.66800000000001</v>
      </c>
      <c r="AM17" s="204">
        <f>AM58*IS!AM15</f>
        <v>189.7268714939832</v>
      </c>
      <c r="AN17" s="204">
        <f>AN58*IS!AN15</f>
        <v>177.742054575</v>
      </c>
      <c r="AO17" s="204">
        <f>AO58*IS!AO15</f>
        <v>145.30802678000001</v>
      </c>
      <c r="AP17" s="204">
        <f>AP58*IS!AP15</f>
        <v>107.41520854133097</v>
      </c>
      <c r="AQ17" s="266">
        <f t="shared" si="7"/>
        <v>107.41520854133097</v>
      </c>
    </row>
    <row r="18" spans="2:43">
      <c r="B18" s="13"/>
      <c r="C18" s="2" t="s">
        <v>313</v>
      </c>
      <c r="D18" s="204"/>
      <c r="E18" s="204"/>
      <c r="F18" s="204"/>
      <c r="G18" s="204"/>
      <c r="H18" s="266"/>
      <c r="I18" s="204"/>
      <c r="J18" s="204"/>
      <c r="K18" s="204"/>
      <c r="L18" s="204"/>
      <c r="M18" s="266"/>
      <c r="N18" s="204"/>
      <c r="O18" s="204"/>
      <c r="P18" s="204"/>
      <c r="Q18" s="204"/>
      <c r="R18" s="266"/>
      <c r="S18" s="204"/>
      <c r="T18" s="204"/>
      <c r="U18" s="204"/>
      <c r="V18" s="204"/>
      <c r="W18" s="266"/>
      <c r="X18" s="204"/>
      <c r="Y18" s="204"/>
      <c r="Z18" s="204"/>
      <c r="AA18" s="204"/>
      <c r="AB18" s="266"/>
      <c r="AC18" s="204"/>
      <c r="AD18" s="204">
        <v>19.077000000000002</v>
      </c>
      <c r="AE18" s="204">
        <v>17.866</v>
      </c>
      <c r="AF18" s="204">
        <v>0</v>
      </c>
      <c r="AG18" s="266"/>
      <c r="AH18" s="204">
        <v>0</v>
      </c>
      <c r="AI18" s="204">
        <v>22.465</v>
      </c>
      <c r="AJ18" s="204">
        <v>19.34</v>
      </c>
      <c r="AK18" s="204">
        <v>16.215</v>
      </c>
      <c r="AL18" s="266">
        <f t="shared" si="6"/>
        <v>16.215</v>
      </c>
      <c r="AM18" s="204"/>
      <c r="AN18" s="204"/>
      <c r="AO18" s="204"/>
      <c r="AP18" s="204"/>
      <c r="AQ18" s="266"/>
    </row>
    <row r="19" spans="2:43">
      <c r="B19" s="13"/>
      <c r="C19" s="2" t="s">
        <v>314</v>
      </c>
      <c r="D19" s="204"/>
      <c r="E19" s="204"/>
      <c r="F19" s="204"/>
      <c r="G19" s="204"/>
      <c r="H19" s="266"/>
      <c r="I19" s="204"/>
      <c r="J19" s="204"/>
      <c r="K19" s="204"/>
      <c r="L19" s="204"/>
      <c r="M19" s="266"/>
      <c r="N19" s="204"/>
      <c r="O19" s="204"/>
      <c r="P19" s="204"/>
      <c r="Q19" s="204"/>
      <c r="R19" s="266"/>
      <c r="S19" s="204"/>
      <c r="T19" s="204"/>
      <c r="U19" s="204"/>
      <c r="V19" s="204"/>
      <c r="W19" s="266"/>
      <c r="X19" s="204"/>
      <c r="Y19" s="204"/>
      <c r="Z19" s="204"/>
      <c r="AA19" s="204"/>
      <c r="AB19" s="266"/>
      <c r="AC19" s="204"/>
      <c r="AD19" s="204">
        <v>13.994</v>
      </c>
      <c r="AE19" s="204">
        <v>14.141</v>
      </c>
      <c r="AF19" s="204">
        <v>14.762</v>
      </c>
      <c r="AG19" s="266"/>
      <c r="AH19" s="204">
        <v>39.625999999999998</v>
      </c>
      <c r="AI19" s="204">
        <v>38.651000000000003</v>
      </c>
      <c r="AJ19" s="204">
        <v>66.900999999999996</v>
      </c>
      <c r="AK19" s="204">
        <v>64.495999999999995</v>
      </c>
      <c r="AL19" s="266">
        <f t="shared" si="6"/>
        <v>64.495999999999995</v>
      </c>
      <c r="AM19" s="204"/>
      <c r="AN19" s="204"/>
      <c r="AO19" s="204"/>
      <c r="AP19" s="204"/>
      <c r="AQ19" s="266"/>
    </row>
    <row r="20" spans="2:43">
      <c r="B20" s="13"/>
      <c r="C20" s="2" t="s">
        <v>315</v>
      </c>
      <c r="D20" s="204"/>
      <c r="E20" s="204"/>
      <c r="F20" s="204"/>
      <c r="G20" s="204"/>
      <c r="H20" s="266"/>
      <c r="I20" s="204"/>
      <c r="J20" s="204"/>
      <c r="K20" s="204"/>
      <c r="L20" s="204"/>
      <c r="M20" s="266"/>
      <c r="N20" s="204"/>
      <c r="O20" s="204"/>
      <c r="P20" s="204"/>
      <c r="Q20" s="204"/>
      <c r="R20" s="266"/>
      <c r="S20" s="204"/>
      <c r="T20" s="204"/>
      <c r="U20" s="204"/>
      <c r="V20" s="204"/>
      <c r="W20" s="266"/>
      <c r="X20" s="204"/>
      <c r="Y20" s="204"/>
      <c r="Z20" s="204"/>
      <c r="AA20" s="204"/>
      <c r="AB20" s="266"/>
      <c r="AC20" s="204"/>
      <c r="AD20" s="204">
        <v>0.86099999999999999</v>
      </c>
      <c r="AE20" s="204">
        <v>0.872</v>
      </c>
      <c r="AF20" s="204">
        <v>0.88100000000000001</v>
      </c>
      <c r="AG20" s="266"/>
      <c r="AH20" s="204">
        <v>1.7230000000000001</v>
      </c>
      <c r="AI20" s="204">
        <v>1.7410000000000001</v>
      </c>
      <c r="AJ20" s="204">
        <v>4.6310000000000002</v>
      </c>
      <c r="AK20" s="204">
        <v>4.6639999999999997</v>
      </c>
      <c r="AL20" s="266">
        <f t="shared" si="6"/>
        <v>4.6639999999999997</v>
      </c>
      <c r="AM20" s="204"/>
      <c r="AN20" s="204"/>
      <c r="AO20" s="204"/>
      <c r="AP20" s="204"/>
      <c r="AQ20" s="266"/>
    </row>
    <row r="21" spans="2:43">
      <c r="B21" s="13"/>
      <c r="C21" s="2" t="s">
        <v>171</v>
      </c>
      <c r="D21" s="204">
        <v>0</v>
      </c>
      <c r="E21" s="204">
        <v>0</v>
      </c>
      <c r="F21" s="204">
        <v>0</v>
      </c>
      <c r="G21" s="204">
        <v>0</v>
      </c>
      <c r="H21" s="266">
        <f t="shared" si="0"/>
        <v>0</v>
      </c>
      <c r="I21" s="204">
        <v>0</v>
      </c>
      <c r="J21" s="204">
        <v>0</v>
      </c>
      <c r="K21" s="204">
        <v>0</v>
      </c>
      <c r="L21" s="204">
        <v>0</v>
      </c>
      <c r="M21" s="266">
        <f t="shared" si="1"/>
        <v>0</v>
      </c>
      <c r="N21" s="204">
        <v>0</v>
      </c>
      <c r="O21" s="204">
        <v>0</v>
      </c>
      <c r="P21" s="204">
        <v>0</v>
      </c>
      <c r="Q21" s="204">
        <v>0</v>
      </c>
      <c r="R21" s="266">
        <f t="shared" si="2"/>
        <v>0</v>
      </c>
      <c r="S21" s="204">
        <v>0</v>
      </c>
      <c r="T21" s="204">
        <v>0</v>
      </c>
      <c r="U21" s="204">
        <v>0</v>
      </c>
      <c r="V21" s="204">
        <v>0</v>
      </c>
      <c r="W21" s="266">
        <f t="shared" si="3"/>
        <v>0</v>
      </c>
      <c r="X21" s="204">
        <v>0</v>
      </c>
      <c r="Y21" s="204">
        <v>0</v>
      </c>
      <c r="Z21" s="204">
        <v>0</v>
      </c>
      <c r="AA21" s="204">
        <v>0</v>
      </c>
      <c r="AB21" s="266">
        <f t="shared" si="4"/>
        <v>0</v>
      </c>
      <c r="AC21" s="204">
        <v>0</v>
      </c>
      <c r="AD21" s="204">
        <v>0</v>
      </c>
      <c r="AE21" s="204">
        <v>0</v>
      </c>
      <c r="AF21" s="204">
        <v>0</v>
      </c>
      <c r="AG21" s="148">
        <f t="shared" si="5"/>
        <v>0</v>
      </c>
      <c r="AH21" s="204">
        <v>0</v>
      </c>
      <c r="AI21" s="204">
        <v>0</v>
      </c>
      <c r="AJ21" s="204">
        <v>0</v>
      </c>
      <c r="AK21" s="204">
        <v>0</v>
      </c>
      <c r="AL21" s="266">
        <f t="shared" si="6"/>
        <v>0</v>
      </c>
      <c r="AM21" s="204">
        <f>AM59*IS!AM15</f>
        <v>0</v>
      </c>
      <c r="AN21" s="204">
        <f>AN59*IS!AN15</f>
        <v>0</v>
      </c>
      <c r="AO21" s="204">
        <f>AO59*IS!AO15</f>
        <v>0</v>
      </c>
      <c r="AP21" s="204">
        <f>AP59*IS!AP15</f>
        <v>0</v>
      </c>
      <c r="AQ21" s="148">
        <f t="shared" si="7"/>
        <v>0</v>
      </c>
    </row>
    <row r="22" spans="2:43" s="149" customFormat="1">
      <c r="B22" s="16" t="s">
        <v>40</v>
      </c>
      <c r="C22" s="4"/>
      <c r="D22" s="206">
        <f t="shared" ref="D22:G22" si="8">SUM(D12:D21)</f>
        <v>231.95539996236477</v>
      </c>
      <c r="E22" s="206">
        <f t="shared" si="8"/>
        <v>398.94586521393859</v>
      </c>
      <c r="F22" s="206">
        <f t="shared" si="8"/>
        <v>378.7640711354569</v>
      </c>
      <c r="G22" s="206">
        <f t="shared" si="8"/>
        <v>370.17122928025833</v>
      </c>
      <c r="H22" s="267">
        <f t="shared" si="0"/>
        <v>370.17122928025833</v>
      </c>
      <c r="I22" s="206">
        <f t="shared" ref="I22" si="9">SUM(I12:I21)</f>
        <v>407.63049432302881</v>
      </c>
      <c r="J22" s="206">
        <f t="shared" ref="J22" si="10">SUM(J12:J21)</f>
        <v>693.86081778925484</v>
      </c>
      <c r="K22" s="206">
        <f t="shared" ref="K22" si="11">SUM(K12:K21)</f>
        <v>662.70533669000008</v>
      </c>
      <c r="L22" s="206">
        <f t="shared" ref="L22" si="12">SUM(L12:L21)</f>
        <v>751.91800000000001</v>
      </c>
      <c r="M22" s="267">
        <f t="shared" si="1"/>
        <v>751.91800000000001</v>
      </c>
      <c r="N22" s="206">
        <f t="shared" ref="N22" si="13">SUM(N12:N21)</f>
        <v>677.13699999999983</v>
      </c>
      <c r="O22" s="206">
        <f t="shared" ref="O22" si="14">SUM(O12:O21)</f>
        <v>604.18600000000004</v>
      </c>
      <c r="P22" s="206">
        <f t="shared" ref="P22" si="15">SUM(P12:P21)</f>
        <v>551.34699999999987</v>
      </c>
      <c r="Q22" s="206">
        <f t="shared" ref="Q22" si="16">SUM(Q12:Q21)</f>
        <v>531.35400000000004</v>
      </c>
      <c r="R22" s="267">
        <f t="shared" si="2"/>
        <v>531.35400000000004</v>
      </c>
      <c r="S22" s="206">
        <f t="shared" ref="S22" si="17">SUM(S12:S21)</f>
        <v>484.45838095540813</v>
      </c>
      <c r="T22" s="206">
        <f t="shared" ref="T22" si="18">SUM(T12:T21)</f>
        <v>505.80884188404281</v>
      </c>
      <c r="U22" s="206">
        <f t="shared" ref="U22" si="19">SUM(U12:U21)</f>
        <v>672.96345955173547</v>
      </c>
      <c r="V22" s="206">
        <f t="shared" ref="V22" si="20">SUM(V12:V21)</f>
        <v>631.36478935297419</v>
      </c>
      <c r="W22" s="267">
        <f t="shared" si="3"/>
        <v>631.36478935297419</v>
      </c>
      <c r="X22" s="206">
        <f>SUM(X12:X21)</f>
        <v>569.10673006256616</v>
      </c>
      <c r="Y22" s="206">
        <f>SUM(Y12:Y21)</f>
        <v>546.03940295385109</v>
      </c>
      <c r="Z22" s="206">
        <f>SUM(Z12:Z21)</f>
        <v>504.06958169833644</v>
      </c>
      <c r="AA22" s="206">
        <f>SUM(AA12:AA21)</f>
        <v>564.05223061892582</v>
      </c>
      <c r="AB22" s="267">
        <f t="shared" si="4"/>
        <v>564.05223061892582</v>
      </c>
      <c r="AC22" s="206">
        <f>SUM(AC12:AC21)</f>
        <v>469.27321232016283</v>
      </c>
      <c r="AD22" s="206">
        <f>SUM(AD12:AD21)</f>
        <v>864.61099999999999</v>
      </c>
      <c r="AE22" s="206">
        <f>SUM(AE12:AE21)</f>
        <v>971.69799999999987</v>
      </c>
      <c r="AF22" s="206">
        <f>SUM(AF12:AF21)</f>
        <v>926.11599999999987</v>
      </c>
      <c r="AG22" s="267">
        <f t="shared" si="5"/>
        <v>926.11599999999987</v>
      </c>
      <c r="AH22" s="206">
        <f>SUM(AH12:AH21)</f>
        <v>1543.1369999999999</v>
      </c>
      <c r="AI22" s="206">
        <f>SUM(AI12:AI21)</f>
        <v>1625.365</v>
      </c>
      <c r="AJ22" s="206">
        <f>SUM(AJ12:AJ21)</f>
        <v>2281.424</v>
      </c>
      <c r="AK22" s="206">
        <f>SUM(AK12:AK21)</f>
        <v>2274.8380000000006</v>
      </c>
      <c r="AL22" s="267">
        <f t="shared" si="6"/>
        <v>2274.8380000000006</v>
      </c>
      <c r="AM22" s="206">
        <f>SUM(AM12:AM21)</f>
        <v>1389.8183346887818</v>
      </c>
      <c r="AN22" s="206">
        <f>SUM(AN12:AN21)</f>
        <v>1370.5662713515858</v>
      </c>
      <c r="AO22" s="206">
        <f>SUM(AO12:AO21)</f>
        <v>1264.8832451085857</v>
      </c>
      <c r="AP22" s="206">
        <f>SUM(AP12:AP21)</f>
        <v>1187.8130499746674</v>
      </c>
      <c r="AQ22" s="267">
        <f t="shared" si="7"/>
        <v>1187.8130499746674</v>
      </c>
    </row>
    <row r="23" spans="2:43">
      <c r="B23" s="13"/>
      <c r="C23" s="2"/>
      <c r="G23" s="14"/>
      <c r="H23" s="148"/>
      <c r="L23" s="14"/>
      <c r="M23" s="148"/>
      <c r="Q23" s="14"/>
      <c r="R23" s="148">
        <f t="shared" si="2"/>
        <v>0</v>
      </c>
      <c r="V23" s="14"/>
      <c r="W23" s="148">
        <f t="shared" si="3"/>
        <v>0</v>
      </c>
      <c r="AA23" s="14"/>
      <c r="AB23" s="148">
        <f t="shared" si="4"/>
        <v>0</v>
      </c>
      <c r="AF23" s="14"/>
      <c r="AG23" s="148">
        <f t="shared" si="5"/>
        <v>0</v>
      </c>
      <c r="AK23" s="14"/>
      <c r="AL23" s="148">
        <f t="shared" si="6"/>
        <v>0</v>
      </c>
      <c r="AP23" s="14"/>
      <c r="AQ23" s="148">
        <f t="shared" si="7"/>
        <v>0</v>
      </c>
    </row>
    <row r="24" spans="2:43">
      <c r="B24" s="16" t="s">
        <v>41</v>
      </c>
      <c r="C24" s="2"/>
      <c r="G24" s="14"/>
      <c r="H24" s="148"/>
      <c r="L24" s="14"/>
      <c r="M24" s="148"/>
      <c r="Q24" s="14"/>
      <c r="R24" s="148">
        <f t="shared" si="2"/>
        <v>0</v>
      </c>
      <c r="V24" s="14"/>
      <c r="W24" s="148">
        <f t="shared" si="3"/>
        <v>0</v>
      </c>
      <c r="AA24" s="14"/>
      <c r="AB24" s="148">
        <f t="shared" si="4"/>
        <v>0</v>
      </c>
      <c r="AF24" s="14"/>
      <c r="AG24" s="148">
        <f t="shared" si="5"/>
        <v>0</v>
      </c>
      <c r="AK24" s="14"/>
      <c r="AL24" s="148">
        <f t="shared" si="6"/>
        <v>0</v>
      </c>
      <c r="AP24" s="14"/>
      <c r="AQ24" s="148">
        <f t="shared" si="7"/>
        <v>0</v>
      </c>
    </row>
    <row r="25" spans="2:43">
      <c r="B25" s="16"/>
      <c r="C25" s="2" t="s">
        <v>172</v>
      </c>
      <c r="D25" s="204">
        <v>13.352295936183161</v>
      </c>
      <c r="E25" s="204">
        <v>15.746837817024957</v>
      </c>
      <c r="F25" s="204">
        <v>14.896404661199949</v>
      </c>
      <c r="G25" s="204">
        <v>21.365342402238568</v>
      </c>
      <c r="H25" s="266">
        <f t="shared" si="0"/>
        <v>21.365342402238568</v>
      </c>
      <c r="I25" s="204">
        <v>26.627931994400221</v>
      </c>
      <c r="J25" s="204">
        <v>24.180251028212162</v>
      </c>
      <c r="K25" s="204">
        <v>52.010728411130941</v>
      </c>
      <c r="L25" s="204">
        <v>73.748999999999995</v>
      </c>
      <c r="M25" s="266">
        <f t="shared" si="1"/>
        <v>73.748999999999995</v>
      </c>
      <c r="N25" s="204">
        <v>63.233000000000004</v>
      </c>
      <c r="O25" s="204">
        <v>59.033000000000001</v>
      </c>
      <c r="P25" s="204">
        <v>72.501999999999995</v>
      </c>
      <c r="Q25" s="204">
        <v>74.447000000000003</v>
      </c>
      <c r="R25" s="266">
        <f t="shared" si="2"/>
        <v>74.447000000000003</v>
      </c>
      <c r="S25" s="204">
        <v>82.93042539634979</v>
      </c>
      <c r="T25" s="204">
        <v>85.82649961634327</v>
      </c>
      <c r="U25" s="204">
        <v>91.386371596102506</v>
      </c>
      <c r="V25" s="204">
        <v>106.19236570837694</v>
      </c>
      <c r="W25" s="266">
        <f t="shared" si="3"/>
        <v>106.19236570837694</v>
      </c>
      <c r="X25" s="204">
        <v>105.82692608926916</v>
      </c>
      <c r="Y25" s="204">
        <v>115.2883710974935</v>
      </c>
      <c r="Z25" s="204">
        <v>128.2307396442545</v>
      </c>
      <c r="AA25" s="204">
        <v>132.42166211297643</v>
      </c>
      <c r="AB25" s="266">
        <f t="shared" si="4"/>
        <v>132.42166211297643</v>
      </c>
      <c r="AC25" s="204">
        <v>117.4241197037006</v>
      </c>
      <c r="AD25" s="204">
        <f>28.646+85.185</f>
        <v>113.831</v>
      </c>
      <c r="AE25" s="204">
        <f>49.027+101.985</f>
        <v>151.012</v>
      </c>
      <c r="AF25" s="204">
        <f>53.804+130.407</f>
        <v>184.21100000000001</v>
      </c>
      <c r="AG25" s="266">
        <f t="shared" si="5"/>
        <v>184.21100000000001</v>
      </c>
      <c r="AH25" s="204">
        <f>88.732+129.238</f>
        <v>217.97</v>
      </c>
      <c r="AI25" s="204">
        <f>79.323+165.903+25</f>
        <v>270.226</v>
      </c>
      <c r="AJ25" s="204">
        <f>59.553+160.773</f>
        <v>220.32599999999999</v>
      </c>
      <c r="AK25" s="204">
        <f>81.994+155.37</f>
        <v>237.364</v>
      </c>
      <c r="AL25" s="266">
        <f t="shared" si="6"/>
        <v>237.364</v>
      </c>
      <c r="AM25" s="204">
        <f>IS!AM15*BS!AM62</f>
        <v>241.47056371961494</v>
      </c>
      <c r="AN25" s="204">
        <f>IS!AN15*BS!AN62</f>
        <v>256.73852327500003</v>
      </c>
      <c r="AO25" s="204">
        <f>IS!AO15*BS!AO62</f>
        <v>249.09947448</v>
      </c>
      <c r="AP25" s="204">
        <f>IS!AP15*BS!AP62</f>
        <v>247.22893139978402</v>
      </c>
      <c r="AQ25" s="266">
        <f t="shared" si="7"/>
        <v>247.22893139978402</v>
      </c>
    </row>
    <row r="26" spans="2:43">
      <c r="B26" s="16"/>
      <c r="C26" s="2" t="s">
        <v>47</v>
      </c>
      <c r="D26" s="204">
        <v>1.996371376306</v>
      </c>
      <c r="E26" s="204">
        <v>5.2181112254720006</v>
      </c>
      <c r="F26" s="204">
        <v>4.8041793276260005</v>
      </c>
      <c r="G26" s="204">
        <v>5.5704541796420006</v>
      </c>
      <c r="H26" s="266">
        <f t="shared" si="0"/>
        <v>5.5704541796420006</v>
      </c>
      <c r="I26" s="204">
        <v>4.3301905112060002</v>
      </c>
      <c r="J26" s="204">
        <v>4.5862765011520006</v>
      </c>
      <c r="K26" s="204">
        <v>4.179354903578</v>
      </c>
      <c r="L26" s="204">
        <v>6.9649999999999999</v>
      </c>
      <c r="M26" s="266">
        <f t="shared" si="1"/>
        <v>6.9649999999999999</v>
      </c>
      <c r="N26" s="204">
        <v>5.8449999999999998</v>
      </c>
      <c r="O26" s="204">
        <v>5.9169999999999998</v>
      </c>
      <c r="P26" s="204">
        <v>15.416</v>
      </c>
      <c r="Q26" s="204">
        <v>16.454000000000001</v>
      </c>
      <c r="R26" s="266">
        <f t="shared" si="2"/>
        <v>16.454000000000001</v>
      </c>
      <c r="S26" s="204">
        <v>17.344227630311998</v>
      </c>
      <c r="T26" s="204">
        <v>12.14624786009</v>
      </c>
      <c r="U26" s="204">
        <v>82.148637420435989</v>
      </c>
      <c r="V26" s="204">
        <v>85.27814952707358</v>
      </c>
      <c r="W26" s="266">
        <f t="shared" si="3"/>
        <v>85.27814952707358</v>
      </c>
      <c r="X26" s="204">
        <v>82.208316612499203</v>
      </c>
      <c r="Y26" s="204">
        <v>66.065963942540051</v>
      </c>
      <c r="Z26" s="204">
        <v>69.396068470222716</v>
      </c>
      <c r="AA26" s="204">
        <v>81.627423611880005</v>
      </c>
      <c r="AB26" s="266">
        <f t="shared" si="4"/>
        <v>81.627423611880005</v>
      </c>
      <c r="AC26" s="204">
        <v>65.655672422163306</v>
      </c>
      <c r="AD26" s="204">
        <v>50.905000000000001</v>
      </c>
      <c r="AE26" s="204">
        <f>67.604+15.955</f>
        <v>83.558999999999997</v>
      </c>
      <c r="AF26" s="204">
        <v>75.980999999999995</v>
      </c>
      <c r="AG26" s="266">
        <f t="shared" si="5"/>
        <v>75.980999999999995</v>
      </c>
      <c r="AH26" s="204">
        <v>73.430999999999997</v>
      </c>
      <c r="AI26" s="204">
        <v>100.477</v>
      </c>
      <c r="AJ26" s="204">
        <v>84.718999999999994</v>
      </c>
      <c r="AK26" s="204">
        <v>92.673000000000002</v>
      </c>
      <c r="AL26" s="266">
        <f t="shared" si="6"/>
        <v>92.673000000000002</v>
      </c>
      <c r="AM26" s="204">
        <f>IS!AM15*BS!AM63</f>
        <v>155.23107667689533</v>
      </c>
      <c r="AN26" s="204">
        <f>IS!AN15*BS!AN63</f>
        <v>157.99293740000002</v>
      </c>
      <c r="AO26" s="204">
        <f>IS!AO15*BS!AO63</f>
        <v>145.30802678000001</v>
      </c>
      <c r="AP26" s="204">
        <f>IS!AP15*BS!AP63</f>
        <v>139.68325904241095</v>
      </c>
      <c r="AQ26" s="266">
        <f t="shared" si="7"/>
        <v>139.68325904241095</v>
      </c>
    </row>
    <row r="27" spans="2:43">
      <c r="B27" s="16"/>
      <c r="C27" s="2" t="s">
        <v>360</v>
      </c>
      <c r="D27" s="204"/>
      <c r="E27" s="204"/>
      <c r="F27" s="204"/>
      <c r="G27" s="204"/>
      <c r="H27" s="266"/>
      <c r="I27" s="204"/>
      <c r="J27" s="204"/>
      <c r="K27" s="204"/>
      <c r="L27" s="204"/>
      <c r="M27" s="266"/>
      <c r="N27" s="204"/>
      <c r="O27" s="204"/>
      <c r="P27" s="204"/>
      <c r="Q27" s="204"/>
      <c r="R27" s="266"/>
      <c r="S27" s="204"/>
      <c r="T27" s="204"/>
      <c r="U27" s="204"/>
      <c r="V27" s="204"/>
      <c r="W27" s="266"/>
      <c r="X27" s="204"/>
      <c r="Y27" s="204"/>
      <c r="Z27" s="204"/>
      <c r="AA27" s="204"/>
      <c r="AB27" s="266"/>
      <c r="AC27" s="204"/>
      <c r="AD27" s="204"/>
      <c r="AE27" s="204"/>
      <c r="AF27" s="204"/>
      <c r="AG27" s="266"/>
      <c r="AH27" s="204">
        <v>15.955</v>
      </c>
      <c r="AI27" s="204">
        <v>15.955</v>
      </c>
      <c r="AJ27" s="204">
        <v>15.955</v>
      </c>
      <c r="AK27" s="204">
        <v>15.955</v>
      </c>
      <c r="AL27" s="266">
        <f t="shared" si="6"/>
        <v>15.955</v>
      </c>
      <c r="AM27" s="204"/>
      <c r="AN27" s="204"/>
      <c r="AO27" s="204"/>
      <c r="AP27" s="204"/>
      <c r="AQ27" s="266"/>
    </row>
    <row r="28" spans="2:43">
      <c r="B28" s="16"/>
      <c r="C28" s="2" t="s">
        <v>316</v>
      </c>
      <c r="D28" s="204"/>
      <c r="E28" s="204"/>
      <c r="F28" s="204"/>
      <c r="G28" s="204"/>
      <c r="H28" s="266"/>
      <c r="I28" s="204"/>
      <c r="J28" s="204"/>
      <c r="K28" s="204"/>
      <c r="L28" s="204"/>
      <c r="M28" s="266"/>
      <c r="N28" s="204"/>
      <c r="O28" s="204"/>
      <c r="P28" s="204"/>
      <c r="Q28" s="204"/>
      <c r="R28" s="266"/>
      <c r="S28" s="204"/>
      <c r="T28" s="204"/>
      <c r="U28" s="204"/>
      <c r="V28" s="204"/>
      <c r="W28" s="266"/>
      <c r="X28" s="204"/>
      <c r="Y28" s="204"/>
      <c r="Z28" s="204"/>
      <c r="AA28" s="204"/>
      <c r="AB28" s="266"/>
      <c r="AC28" s="204"/>
      <c r="AD28" s="204">
        <v>7.2729999999999997</v>
      </c>
      <c r="AE28" s="204">
        <f>9.913</f>
        <v>9.9130000000000003</v>
      </c>
      <c r="AF28" s="204">
        <v>6.9640000000000004</v>
      </c>
      <c r="AG28" s="266"/>
      <c r="AH28" s="204">
        <v>18.193999999999999</v>
      </c>
      <c r="AI28" s="204">
        <v>16.553999999999998</v>
      </c>
      <c r="AJ28" s="204">
        <v>11.819000000000001</v>
      </c>
      <c r="AK28" s="204">
        <v>8.68</v>
      </c>
      <c r="AL28" s="266">
        <f t="shared" si="6"/>
        <v>8.68</v>
      </c>
      <c r="AM28" s="204"/>
      <c r="AN28" s="204"/>
      <c r="AO28" s="204"/>
      <c r="AP28" s="204"/>
      <c r="AQ28" s="266"/>
    </row>
    <row r="29" spans="2:43">
      <c r="B29" s="16"/>
      <c r="C29" s="2" t="s">
        <v>317</v>
      </c>
      <c r="D29" s="204"/>
      <c r="E29" s="204"/>
      <c r="F29" s="204"/>
      <c r="G29" s="204"/>
      <c r="H29" s="266"/>
      <c r="I29" s="204"/>
      <c r="J29" s="204"/>
      <c r="K29" s="204"/>
      <c r="L29" s="204"/>
      <c r="M29" s="266"/>
      <c r="N29" s="204"/>
      <c r="O29" s="204"/>
      <c r="P29" s="204"/>
      <c r="Q29" s="204"/>
      <c r="R29" s="266"/>
      <c r="S29" s="204"/>
      <c r="T29" s="204"/>
      <c r="U29" s="204"/>
      <c r="V29" s="204"/>
      <c r="W29" s="266"/>
      <c r="X29" s="204"/>
      <c r="Y29" s="204"/>
      <c r="Z29" s="204"/>
      <c r="AA29" s="204"/>
      <c r="AB29" s="266"/>
      <c r="AC29" s="204"/>
      <c r="AD29" s="204">
        <v>5.8280000000000003</v>
      </c>
      <c r="AE29" s="204">
        <f>5.894</f>
        <v>5.8940000000000001</v>
      </c>
      <c r="AF29" s="204">
        <v>6.4589999999999996</v>
      </c>
      <c r="AG29" s="266"/>
      <c r="AH29" s="204">
        <v>9.42</v>
      </c>
      <c r="AI29" s="204">
        <v>9.3810000000000002</v>
      </c>
      <c r="AJ29" s="204">
        <v>12.417</v>
      </c>
      <c r="AK29" s="204">
        <v>13.355</v>
      </c>
      <c r="AL29" s="266">
        <f t="shared" si="6"/>
        <v>13.355</v>
      </c>
      <c r="AM29" s="204"/>
      <c r="AN29" s="204"/>
      <c r="AO29" s="204"/>
      <c r="AP29" s="204"/>
      <c r="AQ29" s="266"/>
    </row>
    <row r="30" spans="2:43">
      <c r="B30" s="16"/>
      <c r="C30" s="2" t="s">
        <v>318</v>
      </c>
      <c r="D30" s="204"/>
      <c r="E30" s="204"/>
      <c r="F30" s="204"/>
      <c r="G30" s="204"/>
      <c r="H30" s="266"/>
      <c r="I30" s="204"/>
      <c r="J30" s="204"/>
      <c r="K30" s="204"/>
      <c r="L30" s="204"/>
      <c r="M30" s="266"/>
      <c r="N30" s="204"/>
      <c r="O30" s="204"/>
      <c r="P30" s="204"/>
      <c r="Q30" s="204"/>
      <c r="R30" s="266"/>
      <c r="S30" s="204"/>
      <c r="T30" s="204"/>
      <c r="U30" s="204"/>
      <c r="V30" s="204"/>
      <c r="W30" s="266"/>
      <c r="X30" s="204"/>
      <c r="Y30" s="204"/>
      <c r="Z30" s="204"/>
      <c r="AA30" s="204"/>
      <c r="AB30" s="266"/>
      <c r="AC30" s="204"/>
      <c r="AD30" s="204">
        <v>3.7269999999999999</v>
      </c>
      <c r="AE30" s="204">
        <f>2.242</f>
        <v>2.242</v>
      </c>
      <c r="AF30" s="204">
        <v>1.5</v>
      </c>
      <c r="AG30" s="266"/>
      <c r="AH30" s="204">
        <v>1.5</v>
      </c>
      <c r="AI30" s="204">
        <v>5.5670000000000002</v>
      </c>
      <c r="AJ30" s="204">
        <v>4.7919999999999998</v>
      </c>
      <c r="AK30" s="204">
        <v>4.3609999999999998</v>
      </c>
      <c r="AL30" s="266">
        <f t="shared" si="6"/>
        <v>4.3609999999999998</v>
      </c>
      <c r="AM30" s="204"/>
      <c r="AN30" s="204"/>
      <c r="AO30" s="204"/>
      <c r="AP30" s="204"/>
      <c r="AQ30" s="266"/>
    </row>
    <row r="31" spans="2:43">
      <c r="B31" s="16"/>
      <c r="C31" s="2" t="s">
        <v>319</v>
      </c>
      <c r="D31" s="204"/>
      <c r="E31" s="204"/>
      <c r="F31" s="204"/>
      <c r="G31" s="204"/>
      <c r="H31" s="266"/>
      <c r="I31" s="204"/>
      <c r="J31" s="204"/>
      <c r="K31" s="204"/>
      <c r="L31" s="204"/>
      <c r="M31" s="266"/>
      <c r="N31" s="204"/>
      <c r="O31" s="204"/>
      <c r="P31" s="204"/>
      <c r="Q31" s="204"/>
      <c r="R31" s="266"/>
      <c r="S31" s="204"/>
      <c r="T31" s="204"/>
      <c r="U31" s="204"/>
      <c r="V31" s="204"/>
      <c r="W31" s="266"/>
      <c r="X31" s="204"/>
      <c r="Y31" s="204"/>
      <c r="Z31" s="204"/>
      <c r="AA31" s="204"/>
      <c r="AB31" s="266"/>
      <c r="AC31" s="204"/>
      <c r="AD31" s="204">
        <v>0</v>
      </c>
      <c r="AE31" s="204">
        <v>0</v>
      </c>
      <c r="AF31" s="204">
        <v>0</v>
      </c>
      <c r="AG31" s="266"/>
      <c r="AH31" s="204">
        <v>0</v>
      </c>
      <c r="AI31" s="204">
        <v>0</v>
      </c>
      <c r="AJ31" s="204">
        <v>0</v>
      </c>
      <c r="AK31" s="204">
        <v>0</v>
      </c>
      <c r="AL31" s="266">
        <f t="shared" si="6"/>
        <v>0</v>
      </c>
      <c r="AM31" s="204"/>
      <c r="AN31" s="204"/>
      <c r="AO31" s="204"/>
      <c r="AP31" s="204"/>
      <c r="AQ31" s="266"/>
    </row>
    <row r="32" spans="2:43">
      <c r="B32" s="16"/>
      <c r="C32" s="2" t="s">
        <v>320</v>
      </c>
      <c r="D32" s="204"/>
      <c r="E32" s="204"/>
      <c r="F32" s="204"/>
      <c r="G32" s="204"/>
      <c r="H32" s="266"/>
      <c r="I32" s="204"/>
      <c r="J32" s="204"/>
      <c r="K32" s="204"/>
      <c r="L32" s="204"/>
      <c r="M32" s="266"/>
      <c r="N32" s="204"/>
      <c r="O32" s="204"/>
      <c r="P32" s="204"/>
      <c r="Q32" s="204"/>
      <c r="R32" s="266"/>
      <c r="S32" s="204"/>
      <c r="T32" s="204"/>
      <c r="U32" s="204"/>
      <c r="V32" s="204"/>
      <c r="W32" s="266"/>
      <c r="X32" s="204"/>
      <c r="Y32" s="204"/>
      <c r="Z32" s="204"/>
      <c r="AA32" s="204"/>
      <c r="AB32" s="266"/>
      <c r="AC32" s="204"/>
      <c r="AD32" s="204">
        <v>27.238</v>
      </c>
      <c r="AE32" s="204">
        <v>26.664000000000001</v>
      </c>
      <c r="AF32" s="204">
        <v>26.199000000000002</v>
      </c>
      <c r="AG32" s="266"/>
      <c r="AH32" s="204">
        <v>47.567</v>
      </c>
      <c r="AI32" s="204">
        <v>45.866</v>
      </c>
      <c r="AJ32" s="204">
        <v>77.722999999999999</v>
      </c>
      <c r="AK32" s="204">
        <v>74.272000000000006</v>
      </c>
      <c r="AL32" s="266">
        <f t="shared" si="6"/>
        <v>74.272000000000006</v>
      </c>
      <c r="AM32" s="204"/>
      <c r="AN32" s="204"/>
      <c r="AO32" s="204"/>
      <c r="AP32" s="204"/>
      <c r="AQ32" s="266"/>
    </row>
    <row r="33" spans="2:43">
      <c r="B33" s="13"/>
      <c r="C33" s="2" t="s">
        <v>173</v>
      </c>
      <c r="D33" s="204">
        <v>0</v>
      </c>
      <c r="E33" s="204">
        <v>0</v>
      </c>
      <c r="F33" s="204">
        <v>0</v>
      </c>
      <c r="G33" s="204">
        <v>0</v>
      </c>
      <c r="H33" s="266">
        <f t="shared" si="0"/>
        <v>0</v>
      </c>
      <c r="I33" s="204">
        <v>0</v>
      </c>
      <c r="J33" s="204">
        <v>330</v>
      </c>
      <c r="K33" s="204">
        <v>330</v>
      </c>
      <c r="L33" s="204">
        <v>250</v>
      </c>
      <c r="M33" s="266">
        <f t="shared" si="1"/>
        <v>250</v>
      </c>
      <c r="N33" s="204">
        <v>249.05799999999999</v>
      </c>
      <c r="O33" s="204">
        <v>246.58099999999999</v>
      </c>
      <c r="P33" s="204">
        <v>243.42</v>
      </c>
      <c r="Q33" s="204">
        <v>238.23599999999999</v>
      </c>
      <c r="R33" s="266">
        <f t="shared" si="2"/>
        <v>238.23599999999999</v>
      </c>
      <c r="S33" s="204">
        <v>235.05403200000001</v>
      </c>
      <c r="T33" s="204">
        <v>231.76279700000001</v>
      </c>
      <c r="U33" s="204">
        <v>228.01513256000001</v>
      </c>
      <c r="V33" s="204">
        <v>221.09384316000001</v>
      </c>
      <c r="W33" s="266">
        <f t="shared" si="3"/>
        <v>221.09384316000001</v>
      </c>
      <c r="X33" s="204">
        <v>216.03447316</v>
      </c>
      <c r="Y33" s="204">
        <v>207.16752516</v>
      </c>
      <c r="Z33" s="204">
        <v>198.87365566999998</v>
      </c>
      <c r="AA33" s="204">
        <v>193.12379430999999</v>
      </c>
      <c r="AB33" s="266">
        <f t="shared" si="4"/>
        <v>193.12379430999999</v>
      </c>
      <c r="AC33" s="204">
        <v>186.73266074</v>
      </c>
      <c r="AD33" s="204">
        <v>180.648</v>
      </c>
      <c r="AE33" s="204">
        <v>174.46</v>
      </c>
      <c r="AF33" s="204">
        <v>168.19200000000001</v>
      </c>
      <c r="AG33" s="266">
        <f t="shared" si="5"/>
        <v>168.19200000000001</v>
      </c>
      <c r="AH33" s="204">
        <v>233.62</v>
      </c>
      <c r="AI33" s="204">
        <v>226.34200000000001</v>
      </c>
      <c r="AJ33" s="204">
        <v>217.959</v>
      </c>
      <c r="AK33" s="204">
        <v>208.672</v>
      </c>
      <c r="AL33" s="266">
        <f t="shared" si="6"/>
        <v>208.672</v>
      </c>
      <c r="AM33" s="204">
        <f>AK33-8.9</f>
        <v>199.77199999999999</v>
      </c>
      <c r="AN33" s="204">
        <f>AM33-8.9</f>
        <v>190.87199999999999</v>
      </c>
      <c r="AO33" s="204">
        <f>AN33-8.9</f>
        <v>181.97199999999998</v>
      </c>
      <c r="AP33" s="204">
        <f>AO33-8.9</f>
        <v>173.07199999999997</v>
      </c>
      <c r="AQ33" s="266">
        <f t="shared" si="7"/>
        <v>173.07199999999997</v>
      </c>
    </row>
    <row r="34" spans="2:43">
      <c r="B34" s="13"/>
      <c r="C34" s="2" t="s">
        <v>321</v>
      </c>
      <c r="D34" s="204"/>
      <c r="E34" s="204"/>
      <c r="F34" s="204"/>
      <c r="G34" s="204"/>
      <c r="H34" s="266"/>
      <c r="I34" s="204"/>
      <c r="J34" s="204"/>
      <c r="K34" s="204"/>
      <c r="L34" s="204"/>
      <c r="M34" s="266"/>
      <c r="N34" s="204"/>
      <c r="O34" s="204"/>
      <c r="P34" s="204"/>
      <c r="Q34" s="204"/>
      <c r="R34" s="266"/>
      <c r="S34" s="204"/>
      <c r="T34" s="204"/>
      <c r="U34" s="204"/>
      <c r="V34" s="204"/>
      <c r="W34" s="266"/>
      <c r="X34" s="204"/>
      <c r="Y34" s="204"/>
      <c r="Z34" s="204"/>
      <c r="AA34" s="204"/>
      <c r="AB34" s="266"/>
      <c r="AC34" s="204"/>
      <c r="AD34" s="204">
        <v>33.6</v>
      </c>
      <c r="AE34" s="204">
        <v>76.900000000000006</v>
      </c>
      <c r="AF34" s="204">
        <v>0</v>
      </c>
      <c r="AG34" s="266"/>
      <c r="AH34" s="204">
        <v>0</v>
      </c>
      <c r="AI34" s="204">
        <v>0</v>
      </c>
      <c r="AJ34" s="204">
        <v>0</v>
      </c>
      <c r="AK34" s="204">
        <v>0</v>
      </c>
      <c r="AL34" s="266">
        <f t="shared" si="6"/>
        <v>0</v>
      </c>
      <c r="AM34" s="204"/>
      <c r="AN34" s="204"/>
      <c r="AO34" s="204"/>
      <c r="AP34" s="204"/>
      <c r="AQ34" s="266"/>
    </row>
    <row r="35" spans="2:43">
      <c r="B35" s="13"/>
      <c r="C35" s="2" t="s">
        <v>322</v>
      </c>
      <c r="D35" s="204"/>
      <c r="E35" s="204"/>
      <c r="F35" s="204"/>
      <c r="G35" s="204"/>
      <c r="H35" s="266"/>
      <c r="I35" s="204"/>
      <c r="J35" s="204"/>
      <c r="K35" s="204"/>
      <c r="L35" s="204"/>
      <c r="M35" s="266"/>
      <c r="N35" s="204"/>
      <c r="O35" s="204"/>
      <c r="P35" s="204"/>
      <c r="Q35" s="204"/>
      <c r="R35" s="266"/>
      <c r="S35" s="204"/>
      <c r="T35" s="204"/>
      <c r="U35" s="204"/>
      <c r="V35" s="204"/>
      <c r="W35" s="266"/>
      <c r="X35" s="204"/>
      <c r="Y35" s="204"/>
      <c r="Z35" s="204"/>
      <c r="AA35" s="204"/>
      <c r="AB35" s="266"/>
      <c r="AC35" s="204"/>
      <c r="AD35" s="204">
        <v>62.607999999999997</v>
      </c>
      <c r="AE35" s="204">
        <v>66.528999999999996</v>
      </c>
      <c r="AF35" s="204">
        <v>70.45</v>
      </c>
      <c r="AG35" s="266"/>
      <c r="AH35" s="204">
        <v>1.47</v>
      </c>
      <c r="AI35" s="204">
        <v>5.0839999999999996</v>
      </c>
      <c r="AJ35" s="204">
        <v>8.7390000000000008</v>
      </c>
      <c r="AK35" s="204">
        <v>12.393000000000001</v>
      </c>
      <c r="AL35" s="266">
        <f t="shared" si="6"/>
        <v>12.393000000000001</v>
      </c>
      <c r="AM35" s="204"/>
      <c r="AN35" s="204"/>
      <c r="AO35" s="204"/>
      <c r="AP35" s="204"/>
      <c r="AQ35" s="266"/>
    </row>
    <row r="36" spans="2:43">
      <c r="B36" s="13"/>
      <c r="C36" s="2" t="s">
        <v>361</v>
      </c>
      <c r="D36" s="204"/>
      <c r="E36" s="204"/>
      <c r="F36" s="204"/>
      <c r="G36" s="204"/>
      <c r="H36" s="266"/>
      <c r="I36" s="204"/>
      <c r="J36" s="204"/>
      <c r="K36" s="204"/>
      <c r="L36" s="204"/>
      <c r="M36" s="266"/>
      <c r="N36" s="204"/>
      <c r="O36" s="204"/>
      <c r="P36" s="204"/>
      <c r="Q36" s="204"/>
      <c r="R36" s="266"/>
      <c r="S36" s="204"/>
      <c r="T36" s="204"/>
      <c r="U36" s="204"/>
      <c r="V36" s="204"/>
      <c r="W36" s="266"/>
      <c r="X36" s="204"/>
      <c r="Y36" s="204"/>
      <c r="Z36" s="204"/>
      <c r="AA36" s="204"/>
      <c r="AB36" s="266"/>
      <c r="AC36" s="204"/>
      <c r="AD36" s="204"/>
      <c r="AE36" s="204"/>
      <c r="AF36" s="204"/>
      <c r="AG36" s="266"/>
      <c r="AH36" s="204">
        <v>100</v>
      </c>
      <c r="AI36" s="204">
        <v>100</v>
      </c>
      <c r="AJ36" s="204">
        <v>100</v>
      </c>
      <c r="AK36" s="204">
        <v>100</v>
      </c>
      <c r="AL36" s="266">
        <f t="shared" si="6"/>
        <v>100</v>
      </c>
      <c r="AM36" s="204"/>
      <c r="AN36" s="204"/>
      <c r="AO36" s="204"/>
      <c r="AP36" s="204"/>
      <c r="AQ36" s="266"/>
    </row>
    <row r="37" spans="2:43">
      <c r="B37" s="13"/>
      <c r="C37" s="2" t="s">
        <v>174</v>
      </c>
      <c r="D37" s="204">
        <v>0</v>
      </c>
      <c r="E37" s="204">
        <v>0</v>
      </c>
      <c r="F37" s="204">
        <v>0</v>
      </c>
      <c r="G37" s="204">
        <v>0</v>
      </c>
      <c r="H37" s="266">
        <f t="shared" si="0"/>
        <v>0</v>
      </c>
      <c r="I37" s="204">
        <v>0</v>
      </c>
      <c r="J37" s="204">
        <v>0</v>
      </c>
      <c r="K37" s="204">
        <v>0</v>
      </c>
      <c r="L37" s="204">
        <v>0</v>
      </c>
      <c r="M37" s="266">
        <f t="shared" si="1"/>
        <v>0</v>
      </c>
      <c r="N37" s="204">
        <v>0</v>
      </c>
      <c r="O37" s="204">
        <v>0</v>
      </c>
      <c r="P37" s="204">
        <v>0</v>
      </c>
      <c r="Q37" s="204">
        <v>0</v>
      </c>
      <c r="R37" s="266">
        <f t="shared" si="2"/>
        <v>0</v>
      </c>
      <c r="S37" s="204">
        <v>0</v>
      </c>
      <c r="T37" s="204">
        <v>-1.4999999999999999E-2</v>
      </c>
      <c r="U37" s="204">
        <v>168.07475119999998</v>
      </c>
      <c r="V37" s="204">
        <v>168.45179253999999</v>
      </c>
      <c r="W37" s="266">
        <f t="shared" si="3"/>
        <v>168.45179253999999</v>
      </c>
      <c r="X37" s="204">
        <v>168.79805500000001</v>
      </c>
      <c r="Y37" s="204">
        <v>218.24333469999999</v>
      </c>
      <c r="Z37" s="204">
        <v>220.48450069999998</v>
      </c>
      <c r="AA37" s="204">
        <v>256.54135409000003</v>
      </c>
      <c r="AB37" s="266">
        <f t="shared" si="4"/>
        <v>256.54135409000003</v>
      </c>
      <c r="AC37" s="204">
        <v>259.19649548000001</v>
      </c>
      <c r="AD37" s="204">
        <v>261.85300000000001</v>
      </c>
      <c r="AE37" s="204">
        <v>264.52699999999999</v>
      </c>
      <c r="AF37" s="204">
        <v>267.24400000000003</v>
      </c>
      <c r="AG37" s="266">
        <f t="shared" si="5"/>
        <v>267.24400000000003</v>
      </c>
      <c r="AH37" s="204">
        <v>467.14400000000001</v>
      </c>
      <c r="AI37" s="204">
        <v>471.66300000000001</v>
      </c>
      <c r="AJ37" s="204">
        <v>200.85900000000001</v>
      </c>
      <c r="AK37" s="204">
        <v>202.75299999999999</v>
      </c>
      <c r="AL37" s="266">
        <f t="shared" si="6"/>
        <v>202.75299999999999</v>
      </c>
      <c r="AM37" s="204">
        <f>AK37</f>
        <v>202.75299999999999</v>
      </c>
      <c r="AN37" s="204">
        <f>AM37</f>
        <v>202.75299999999999</v>
      </c>
      <c r="AO37" s="204">
        <f>AN37</f>
        <v>202.75299999999999</v>
      </c>
      <c r="AP37" s="204">
        <f>AO37</f>
        <v>202.75299999999999</v>
      </c>
      <c r="AQ37" s="266">
        <f t="shared" si="7"/>
        <v>202.75299999999999</v>
      </c>
    </row>
    <row r="38" spans="2:43">
      <c r="B38" s="13"/>
      <c r="C38" s="2" t="s">
        <v>374</v>
      </c>
      <c r="D38" s="204"/>
      <c r="E38" s="204"/>
      <c r="F38" s="204"/>
      <c r="G38" s="204"/>
      <c r="H38" s="266"/>
      <c r="I38" s="204"/>
      <c r="J38" s="204"/>
      <c r="K38" s="204"/>
      <c r="L38" s="204"/>
      <c r="M38" s="266"/>
      <c r="N38" s="204"/>
      <c r="O38" s="204"/>
      <c r="P38" s="204"/>
      <c r="Q38" s="204"/>
      <c r="R38" s="266"/>
      <c r="S38" s="204"/>
      <c r="T38" s="204"/>
      <c r="U38" s="204"/>
      <c r="V38" s="204"/>
      <c r="W38" s="266"/>
      <c r="X38" s="204"/>
      <c r="Y38" s="204"/>
      <c r="Z38" s="204"/>
      <c r="AA38" s="204"/>
      <c r="AB38" s="266"/>
      <c r="AC38" s="204"/>
      <c r="AD38" s="204"/>
      <c r="AE38" s="204"/>
      <c r="AF38" s="204"/>
      <c r="AG38" s="266"/>
      <c r="AH38" s="204"/>
      <c r="AI38" s="204"/>
      <c r="AJ38" s="204">
        <v>726.86300000000006</v>
      </c>
      <c r="AK38" s="204">
        <v>728.07799999999997</v>
      </c>
      <c r="AL38" s="266">
        <f t="shared" si="6"/>
        <v>728.07799999999997</v>
      </c>
      <c r="AM38" s="204"/>
      <c r="AN38" s="204"/>
      <c r="AO38" s="204"/>
      <c r="AP38" s="204"/>
      <c r="AQ38" s="266"/>
    </row>
    <row r="39" spans="2:43">
      <c r="B39" s="13"/>
      <c r="C39" s="2" t="s">
        <v>323</v>
      </c>
      <c r="D39" s="204"/>
      <c r="E39" s="204"/>
      <c r="F39" s="204"/>
      <c r="G39" s="204"/>
      <c r="H39" s="266"/>
      <c r="I39" s="204"/>
      <c r="J39" s="204"/>
      <c r="K39" s="204"/>
      <c r="L39" s="204"/>
      <c r="M39" s="266"/>
      <c r="N39" s="204"/>
      <c r="O39" s="204"/>
      <c r="P39" s="204"/>
      <c r="Q39" s="204"/>
      <c r="R39" s="266"/>
      <c r="S39" s="204"/>
      <c r="T39" s="204"/>
      <c r="U39" s="204"/>
      <c r="V39" s="204"/>
      <c r="W39" s="266"/>
      <c r="X39" s="204"/>
      <c r="Y39" s="204"/>
      <c r="Z39" s="204"/>
      <c r="AA39" s="204"/>
      <c r="AB39" s="266"/>
      <c r="AC39" s="204"/>
      <c r="AD39" s="204">
        <v>2.0590000000000002</v>
      </c>
      <c r="AE39" s="204">
        <f>12.976+27.921</f>
        <v>40.896999999999998</v>
      </c>
      <c r="AF39" s="204">
        <f>6.71+23.932+15.955</f>
        <v>46.597000000000001</v>
      </c>
      <c r="AG39" s="266"/>
      <c r="AH39" s="204">
        <v>1.0580000000000001</v>
      </c>
      <c r="AI39" s="204">
        <v>23.225000000000001</v>
      </c>
      <c r="AJ39" s="204">
        <v>20.690999999999999</v>
      </c>
      <c r="AK39" s="204">
        <v>20.379000000000001</v>
      </c>
      <c r="AL39" s="266">
        <f t="shared" si="6"/>
        <v>20.379000000000001</v>
      </c>
      <c r="AM39" s="204"/>
      <c r="AN39" s="204"/>
      <c r="AO39" s="204"/>
      <c r="AP39" s="204"/>
      <c r="AQ39" s="266"/>
    </row>
    <row r="40" spans="2:43">
      <c r="B40" s="13"/>
      <c r="C40" s="2" t="s">
        <v>362</v>
      </c>
      <c r="D40" s="204"/>
      <c r="E40" s="204"/>
      <c r="F40" s="204"/>
      <c r="G40" s="204"/>
      <c r="H40" s="266"/>
      <c r="I40" s="204"/>
      <c r="J40" s="204"/>
      <c r="K40" s="204"/>
      <c r="L40" s="204"/>
      <c r="M40" s="266"/>
      <c r="N40" s="204"/>
      <c r="O40" s="204"/>
      <c r="P40" s="204"/>
      <c r="Q40" s="204"/>
      <c r="R40" s="266"/>
      <c r="S40" s="204"/>
      <c r="T40" s="204"/>
      <c r="U40" s="204"/>
      <c r="V40" s="204"/>
      <c r="W40" s="266"/>
      <c r="X40" s="204"/>
      <c r="Y40" s="204"/>
      <c r="Z40" s="204"/>
      <c r="AA40" s="204"/>
      <c r="AB40" s="266"/>
      <c r="AC40" s="204"/>
      <c r="AD40" s="204"/>
      <c r="AE40" s="204"/>
      <c r="AF40" s="204"/>
      <c r="AG40" s="266"/>
      <c r="AH40" s="204">
        <v>19.943999999999999</v>
      </c>
      <c r="AI40" s="204">
        <v>15.955</v>
      </c>
      <c r="AJ40" s="204">
        <v>11.965999999999999</v>
      </c>
      <c r="AK40" s="204">
        <v>7.9770000000000003</v>
      </c>
      <c r="AL40" s="266">
        <f t="shared" si="6"/>
        <v>7.9770000000000003</v>
      </c>
      <c r="AM40" s="204"/>
      <c r="AN40" s="204"/>
      <c r="AO40" s="204"/>
      <c r="AP40" s="204"/>
      <c r="AQ40" s="266"/>
    </row>
    <row r="41" spans="2:43">
      <c r="B41" s="13"/>
      <c r="C41" s="2" t="s">
        <v>324</v>
      </c>
      <c r="D41" s="204">
        <v>45.750416360000003</v>
      </c>
      <c r="E41" s="204">
        <v>50.383915820000013</v>
      </c>
      <c r="F41" s="204">
        <v>61.395560780000004</v>
      </c>
      <c r="G41" s="204">
        <v>81.378557430000015</v>
      </c>
      <c r="H41" s="266">
        <f t="shared" si="0"/>
        <v>81.378557430000015</v>
      </c>
      <c r="I41" s="204">
        <v>63.527681489999999</v>
      </c>
      <c r="J41" s="204">
        <v>59.356796549999956</v>
      </c>
      <c r="K41" s="204">
        <v>59.695985360000009</v>
      </c>
      <c r="L41" s="204">
        <v>75.031999999999982</v>
      </c>
      <c r="M41" s="266">
        <f t="shared" si="1"/>
        <v>75.031999999999982</v>
      </c>
      <c r="N41" s="204">
        <v>70.349000000000046</v>
      </c>
      <c r="O41" s="204">
        <v>71.699000000000012</v>
      </c>
      <c r="P41" s="204">
        <v>68.351000000000056</v>
      </c>
      <c r="Q41" s="204">
        <v>111.41699999999997</v>
      </c>
      <c r="R41" s="266">
        <f t="shared" si="2"/>
        <v>111.41699999999997</v>
      </c>
      <c r="S41" s="204">
        <v>140.74676088999996</v>
      </c>
      <c r="T41" s="204">
        <v>150.56594954000002</v>
      </c>
      <c r="U41" s="204">
        <v>147.71515139999997</v>
      </c>
      <c r="V41" s="204">
        <v>153.23250761191377</v>
      </c>
      <c r="W41" s="266">
        <f t="shared" si="3"/>
        <v>153.23250761191377</v>
      </c>
      <c r="X41" s="204">
        <v>154.47764442988057</v>
      </c>
      <c r="Y41" s="204">
        <v>156.43129642458871</v>
      </c>
      <c r="Z41" s="204">
        <v>160.14372248573773</v>
      </c>
      <c r="AA41" s="204">
        <v>176.95759965656001</v>
      </c>
      <c r="AB41" s="266">
        <f t="shared" si="4"/>
        <v>176.95759965656001</v>
      </c>
      <c r="AC41" s="204">
        <v>179.88672004798229</v>
      </c>
      <c r="AD41" s="204">
        <v>16.79</v>
      </c>
      <c r="AE41" s="204">
        <v>15.403</v>
      </c>
      <c r="AF41" s="204">
        <v>15.98</v>
      </c>
      <c r="AG41" s="266">
        <f t="shared" si="5"/>
        <v>15.98</v>
      </c>
      <c r="AH41" s="204">
        <v>9.67</v>
      </c>
      <c r="AI41" s="204">
        <v>9.5079999999999991</v>
      </c>
      <c r="AJ41" s="204">
        <v>58.771999999999998</v>
      </c>
      <c r="AK41" s="204">
        <v>56.6</v>
      </c>
      <c r="AL41" s="266">
        <f t="shared" si="6"/>
        <v>56.6</v>
      </c>
      <c r="AM41" s="204">
        <f>IS!AM15*BS!AM66</f>
        <v>310.46215335379065</v>
      </c>
      <c r="AN41" s="204">
        <f>IS!AN15*BS!AN66</f>
        <v>315.98587480000003</v>
      </c>
      <c r="AO41" s="204">
        <f>IS!AO15*BS!AO66</f>
        <v>290.61605356000001</v>
      </c>
      <c r="AP41" s="204">
        <f>IS!AP15*BS!AP66</f>
        <v>249.44681627249977</v>
      </c>
      <c r="AQ41" s="266">
        <f t="shared" si="7"/>
        <v>249.44681627249977</v>
      </c>
    </row>
    <row r="42" spans="2:43" s="149" customFormat="1">
      <c r="B42" s="16" t="s">
        <v>42</v>
      </c>
      <c r="C42" s="4"/>
      <c r="D42" s="268">
        <f>SUM(D25:D41)</f>
        <v>61.099083672489165</v>
      </c>
      <c r="E42" s="268">
        <f t="shared" ref="E42:G42" si="21">SUM(E25:E41)</f>
        <v>71.348864862496967</v>
      </c>
      <c r="F42" s="268">
        <f t="shared" si="21"/>
        <v>81.096144768825951</v>
      </c>
      <c r="G42" s="268">
        <f t="shared" si="21"/>
        <v>108.31435401188058</v>
      </c>
      <c r="H42" s="267">
        <f t="shared" si="0"/>
        <v>108.31435401188058</v>
      </c>
      <c r="I42" s="268">
        <f>SUM(I25:I41)</f>
        <v>94.485803995606219</v>
      </c>
      <c r="J42" s="268">
        <f t="shared" ref="J42" si="22">SUM(J25:J41)</f>
        <v>418.12332407936412</v>
      </c>
      <c r="K42" s="268">
        <f t="shared" ref="K42" si="23">SUM(K25:K41)</f>
        <v>445.88606867470895</v>
      </c>
      <c r="L42" s="268">
        <f t="shared" ref="L42" si="24">SUM(L25:L41)</f>
        <v>405.74599999999998</v>
      </c>
      <c r="M42" s="267">
        <f t="shared" si="1"/>
        <v>405.74599999999998</v>
      </c>
      <c r="N42" s="268">
        <f>SUM(N25:N41)</f>
        <v>388.48500000000001</v>
      </c>
      <c r="O42" s="268">
        <f t="shared" ref="O42" si="25">SUM(O25:O41)</f>
        <v>383.23</v>
      </c>
      <c r="P42" s="268">
        <f t="shared" ref="P42" si="26">SUM(P25:P41)</f>
        <v>399.68900000000002</v>
      </c>
      <c r="Q42" s="268">
        <f t="shared" ref="Q42" si="27">SUM(Q25:Q41)</f>
        <v>440.55399999999997</v>
      </c>
      <c r="R42" s="267">
        <f t="shared" si="2"/>
        <v>440.55399999999997</v>
      </c>
      <c r="S42" s="268">
        <f>SUM(S25:S41)</f>
        <v>476.07544591666175</v>
      </c>
      <c r="T42" s="268">
        <f t="shared" ref="T42" si="28">SUM(T25:T41)</f>
        <v>480.28649401643332</v>
      </c>
      <c r="U42" s="268">
        <f t="shared" ref="U42" si="29">SUM(U25:U41)</f>
        <v>717.34004417653841</v>
      </c>
      <c r="V42" s="268">
        <f t="shared" ref="V42" si="30">SUM(V25:V41)</f>
        <v>734.24865854736424</v>
      </c>
      <c r="W42" s="267">
        <f t="shared" si="3"/>
        <v>734.24865854736424</v>
      </c>
      <c r="X42" s="268">
        <f>SUM(X25:X41)</f>
        <v>727.34541529164892</v>
      </c>
      <c r="Y42" s="268">
        <f t="shared" ref="Y42" si="31">SUM(Y25:Y41)</f>
        <v>763.19649132462223</v>
      </c>
      <c r="Z42" s="268">
        <f t="shared" ref="Z42" si="32">SUM(Z25:Z41)</f>
        <v>777.12868697021497</v>
      </c>
      <c r="AA42" s="268">
        <f t="shared" ref="AA42" si="33">SUM(AA25:AA41)</f>
        <v>840.67183378141647</v>
      </c>
      <c r="AB42" s="267">
        <f t="shared" si="4"/>
        <v>840.67183378141647</v>
      </c>
      <c r="AC42" s="268">
        <f>SUM(AC25:AC41)</f>
        <v>808.89566839384622</v>
      </c>
      <c r="AD42" s="268">
        <f t="shared" ref="AD42" si="34">SUM(AD25:AD41)</f>
        <v>766.3599999999999</v>
      </c>
      <c r="AE42" s="268">
        <f t="shared" ref="AE42" si="35">SUM(AE25:AE41)</f>
        <v>918.00000000000011</v>
      </c>
      <c r="AF42" s="268">
        <f t="shared" ref="AF42" si="36">SUM(AF25:AF41)</f>
        <v>869.77700000000004</v>
      </c>
      <c r="AG42" s="267">
        <f t="shared" si="5"/>
        <v>869.77700000000004</v>
      </c>
      <c r="AH42" s="268">
        <f>SUM(AH25:AH41)</f>
        <v>1216.9430000000002</v>
      </c>
      <c r="AI42" s="268">
        <f t="shared" ref="AI42" si="37">SUM(AI25:AI41)</f>
        <v>1315.8029999999997</v>
      </c>
      <c r="AJ42" s="268">
        <f>SUM(AJ25:AJ41)</f>
        <v>1773.6</v>
      </c>
      <c r="AK42" s="268">
        <f t="shared" ref="AK42" si="38">SUM(AK25:AK41)</f>
        <v>1783.5119999999999</v>
      </c>
      <c r="AL42" s="267">
        <f t="shared" si="6"/>
        <v>1783.5119999999999</v>
      </c>
      <c r="AM42" s="268">
        <f>SUM(AM25:AM41)</f>
        <v>1109.6887937503009</v>
      </c>
      <c r="AN42" s="268">
        <f t="shared" ref="AN42" si="39">SUM(AN25:AN41)</f>
        <v>1124.3423354750003</v>
      </c>
      <c r="AO42" s="268">
        <f t="shared" ref="AO42" si="40">SUM(AO25:AO41)</f>
        <v>1069.74855482</v>
      </c>
      <c r="AP42" s="268">
        <f t="shared" ref="AP42" si="41">SUM(AP25:AP41)</f>
        <v>1012.1840067146948</v>
      </c>
      <c r="AQ42" s="267">
        <f t="shared" si="7"/>
        <v>1012.1840067146948</v>
      </c>
    </row>
    <row r="43" spans="2:43">
      <c r="B43" s="13"/>
      <c r="C43" s="2"/>
      <c r="G43" s="14"/>
      <c r="H43" s="148"/>
      <c r="L43" s="14"/>
      <c r="M43" s="148">
        <f t="shared" si="1"/>
        <v>0</v>
      </c>
      <c r="Q43" s="14"/>
      <c r="R43" s="148">
        <f t="shared" si="2"/>
        <v>0</v>
      </c>
      <c r="V43" s="14"/>
      <c r="W43" s="148">
        <f t="shared" si="3"/>
        <v>0</v>
      </c>
      <c r="AA43" s="14"/>
      <c r="AB43" s="148">
        <f t="shared" si="4"/>
        <v>0</v>
      </c>
      <c r="AF43" s="14"/>
      <c r="AG43" s="148">
        <f t="shared" si="5"/>
        <v>0</v>
      </c>
      <c r="AK43" s="14"/>
      <c r="AL43" s="148">
        <f t="shared" si="6"/>
        <v>0</v>
      </c>
      <c r="AP43" s="14"/>
      <c r="AQ43" s="148">
        <f t="shared" si="7"/>
        <v>0</v>
      </c>
    </row>
    <row r="44" spans="2:43">
      <c r="B44" s="16" t="s">
        <v>43</v>
      </c>
      <c r="C44" s="2"/>
      <c r="G44" s="14"/>
      <c r="H44" s="148"/>
      <c r="L44" s="14"/>
      <c r="M44" s="148">
        <f t="shared" si="1"/>
        <v>0</v>
      </c>
      <c r="Q44" s="14"/>
      <c r="R44" s="148">
        <f t="shared" si="2"/>
        <v>0</v>
      </c>
      <c r="V44" s="14"/>
      <c r="W44" s="148">
        <f t="shared" si="3"/>
        <v>0</v>
      </c>
      <c r="AA44" s="14"/>
      <c r="AB44" s="148">
        <f t="shared" si="4"/>
        <v>0</v>
      </c>
      <c r="AF44" s="14"/>
      <c r="AG44" s="148">
        <f t="shared" si="5"/>
        <v>0</v>
      </c>
      <c r="AK44" s="14"/>
      <c r="AL44" s="148">
        <f t="shared" si="6"/>
        <v>0</v>
      </c>
      <c r="AP44" s="14"/>
      <c r="AQ44" s="148">
        <f t="shared" si="7"/>
        <v>0</v>
      </c>
    </row>
    <row r="45" spans="2:43">
      <c r="B45" s="13"/>
      <c r="C45" s="4" t="s">
        <v>44</v>
      </c>
      <c r="D45" s="265">
        <f t="shared" ref="D45:G45" si="42">D22-D42</f>
        <v>170.85631628987559</v>
      </c>
      <c r="E45" s="265">
        <f t="shared" si="42"/>
        <v>327.59700035144164</v>
      </c>
      <c r="F45" s="265">
        <f t="shared" si="42"/>
        <v>297.66792636663092</v>
      </c>
      <c r="G45" s="265">
        <f t="shared" si="42"/>
        <v>261.85687526837773</v>
      </c>
      <c r="H45" s="269">
        <f t="shared" si="0"/>
        <v>261.85687526837773</v>
      </c>
      <c r="I45" s="265">
        <f t="shared" ref="I45:L45" si="43">I22-I42</f>
        <v>313.14469032742261</v>
      </c>
      <c r="J45" s="265">
        <f t="shared" si="43"/>
        <v>275.73749370989071</v>
      </c>
      <c r="K45" s="265">
        <f t="shared" si="43"/>
        <v>216.81926801529113</v>
      </c>
      <c r="L45" s="265">
        <f t="shared" si="43"/>
        <v>346.17200000000003</v>
      </c>
      <c r="M45" s="269">
        <f t="shared" si="1"/>
        <v>346.17200000000003</v>
      </c>
      <c r="N45" s="265">
        <f t="shared" ref="N45:Q45" si="44">N22-N42</f>
        <v>288.65199999999982</v>
      </c>
      <c r="O45" s="265">
        <f t="shared" si="44"/>
        <v>220.95600000000002</v>
      </c>
      <c r="P45" s="265">
        <f t="shared" si="44"/>
        <v>151.65799999999984</v>
      </c>
      <c r="Q45" s="265">
        <f t="shared" si="44"/>
        <v>90.800000000000068</v>
      </c>
      <c r="R45" s="269">
        <f t="shared" si="2"/>
        <v>90.800000000000068</v>
      </c>
      <c r="S45" s="265">
        <f t="shared" ref="S45:V45" si="45">S22-S42</f>
        <v>8.3829350387463819</v>
      </c>
      <c r="T45" s="265">
        <f t="shared" si="45"/>
        <v>25.522347867609483</v>
      </c>
      <c r="U45" s="265">
        <f t="shared" si="45"/>
        <v>-44.376584624802945</v>
      </c>
      <c r="V45" s="265">
        <f t="shared" si="45"/>
        <v>-102.88386919439006</v>
      </c>
      <c r="W45" s="269">
        <f t="shared" si="3"/>
        <v>-102.88386919439006</v>
      </c>
      <c r="X45" s="265">
        <f t="shared" ref="X45:AA45" si="46">X22-X42</f>
        <v>-158.23868522908276</v>
      </c>
      <c r="Y45" s="265">
        <f t="shared" si="46"/>
        <v>-217.15708837077113</v>
      </c>
      <c r="Z45" s="265">
        <f t="shared" si="46"/>
        <v>-273.05910527187854</v>
      </c>
      <c r="AA45" s="265">
        <f t="shared" si="46"/>
        <v>-276.61960316249065</v>
      </c>
      <c r="AB45" s="269">
        <f t="shared" si="4"/>
        <v>-276.61960316249065</v>
      </c>
      <c r="AC45" s="265">
        <f t="shared" ref="AC45:AF45" si="47">AC22-AC42</f>
        <v>-339.6224560736834</v>
      </c>
      <c r="AD45" s="265">
        <f t="shared" si="47"/>
        <v>98.25100000000009</v>
      </c>
      <c r="AE45" s="265">
        <f t="shared" si="47"/>
        <v>53.697999999999752</v>
      </c>
      <c r="AF45" s="265">
        <f t="shared" si="47"/>
        <v>56.338999999999828</v>
      </c>
      <c r="AG45" s="269">
        <f t="shared" si="5"/>
        <v>56.338999999999828</v>
      </c>
      <c r="AH45" s="265">
        <f t="shared" ref="AH45:AK45" si="48">AH22-AH42</f>
        <v>326.19399999999973</v>
      </c>
      <c r="AI45" s="265">
        <f t="shared" si="48"/>
        <v>309.56200000000035</v>
      </c>
      <c r="AJ45" s="265">
        <f t="shared" si="48"/>
        <v>507.82400000000007</v>
      </c>
      <c r="AK45" s="265">
        <f t="shared" si="48"/>
        <v>491.3260000000007</v>
      </c>
      <c r="AL45" s="269">
        <f t="shared" si="6"/>
        <v>491.3260000000007</v>
      </c>
      <c r="AM45" s="265">
        <f t="shared" ref="AM45:AP45" si="49">AM22-AM42</f>
        <v>280.12954093848089</v>
      </c>
      <c r="AN45" s="265">
        <f t="shared" si="49"/>
        <v>246.22393587658553</v>
      </c>
      <c r="AO45" s="265">
        <f t="shared" si="49"/>
        <v>195.13469028858572</v>
      </c>
      <c r="AP45" s="265">
        <f t="shared" si="49"/>
        <v>175.6290432599726</v>
      </c>
      <c r="AQ45" s="269">
        <f t="shared" si="7"/>
        <v>175.6290432599726</v>
      </c>
    </row>
    <row r="46" spans="2:43" s="149" customFormat="1" ht="15.75" thickBot="1">
      <c r="B46" s="29" t="s">
        <v>45</v>
      </c>
      <c r="C46" s="30"/>
      <c r="D46" s="270">
        <f t="shared" ref="D46:G46" si="50">D45+D42</f>
        <v>231.95539996236477</v>
      </c>
      <c r="E46" s="270">
        <f t="shared" si="50"/>
        <v>398.94586521393859</v>
      </c>
      <c r="F46" s="270">
        <f t="shared" si="50"/>
        <v>378.7640711354569</v>
      </c>
      <c r="G46" s="270">
        <f t="shared" si="50"/>
        <v>370.17122928025833</v>
      </c>
      <c r="H46" s="271">
        <f t="shared" si="0"/>
        <v>370.17122928025833</v>
      </c>
      <c r="I46" s="270">
        <f t="shared" ref="I46:L46" si="51">I45+I42</f>
        <v>407.63049432302881</v>
      </c>
      <c r="J46" s="270">
        <f t="shared" si="51"/>
        <v>693.86081778925484</v>
      </c>
      <c r="K46" s="270">
        <f t="shared" si="51"/>
        <v>662.70533669000008</v>
      </c>
      <c r="L46" s="270">
        <f t="shared" si="51"/>
        <v>751.91800000000001</v>
      </c>
      <c r="M46" s="271">
        <f t="shared" si="1"/>
        <v>751.91800000000001</v>
      </c>
      <c r="N46" s="270">
        <f t="shared" ref="N46:Q46" si="52">N45+N42</f>
        <v>677.13699999999983</v>
      </c>
      <c r="O46" s="270">
        <f t="shared" si="52"/>
        <v>604.18600000000004</v>
      </c>
      <c r="P46" s="270">
        <f t="shared" si="52"/>
        <v>551.34699999999987</v>
      </c>
      <c r="Q46" s="270">
        <f t="shared" si="52"/>
        <v>531.35400000000004</v>
      </c>
      <c r="R46" s="271">
        <f t="shared" si="2"/>
        <v>531.35400000000004</v>
      </c>
      <c r="S46" s="270">
        <f t="shared" ref="S46:V46" si="53">S45+S42</f>
        <v>484.45838095540813</v>
      </c>
      <c r="T46" s="270">
        <f t="shared" si="53"/>
        <v>505.80884188404281</v>
      </c>
      <c r="U46" s="270">
        <f t="shared" si="53"/>
        <v>672.96345955173547</v>
      </c>
      <c r="V46" s="270">
        <f t="shared" si="53"/>
        <v>631.36478935297419</v>
      </c>
      <c r="W46" s="271">
        <f t="shared" si="3"/>
        <v>631.36478935297419</v>
      </c>
      <c r="X46" s="270">
        <f t="shared" ref="X46:AA46" si="54">X45+X42</f>
        <v>569.10673006256616</v>
      </c>
      <c r="Y46" s="270">
        <f t="shared" si="54"/>
        <v>546.03940295385109</v>
      </c>
      <c r="Z46" s="270">
        <f t="shared" si="54"/>
        <v>504.06958169833644</v>
      </c>
      <c r="AA46" s="270">
        <f t="shared" si="54"/>
        <v>564.05223061892582</v>
      </c>
      <c r="AB46" s="271">
        <f t="shared" si="4"/>
        <v>564.05223061892582</v>
      </c>
      <c r="AC46" s="270">
        <f t="shared" ref="AC46:AF46" si="55">AC45+AC42</f>
        <v>469.27321232016283</v>
      </c>
      <c r="AD46" s="270">
        <f t="shared" si="55"/>
        <v>864.61099999999999</v>
      </c>
      <c r="AE46" s="270">
        <f t="shared" si="55"/>
        <v>971.69799999999987</v>
      </c>
      <c r="AF46" s="270">
        <f t="shared" si="55"/>
        <v>926.11599999999987</v>
      </c>
      <c r="AG46" s="271">
        <f t="shared" si="5"/>
        <v>926.11599999999987</v>
      </c>
      <c r="AH46" s="270">
        <f t="shared" ref="AH46:AK46" si="56">AH45+AH42</f>
        <v>1543.1369999999999</v>
      </c>
      <c r="AI46" s="270">
        <f t="shared" si="56"/>
        <v>1625.365</v>
      </c>
      <c r="AJ46" s="270">
        <f t="shared" si="56"/>
        <v>2281.424</v>
      </c>
      <c r="AK46" s="270">
        <f t="shared" si="56"/>
        <v>2274.8380000000006</v>
      </c>
      <c r="AL46" s="271">
        <f t="shared" si="6"/>
        <v>2274.8380000000006</v>
      </c>
      <c r="AM46" s="270">
        <f t="shared" ref="AM46:AP46" si="57">AM45+AM42</f>
        <v>1389.8183346887818</v>
      </c>
      <c r="AN46" s="270">
        <f t="shared" si="57"/>
        <v>1370.5662713515858</v>
      </c>
      <c r="AO46" s="270">
        <f t="shared" si="57"/>
        <v>1264.8832451085857</v>
      </c>
      <c r="AP46" s="270">
        <f t="shared" si="57"/>
        <v>1187.8130499746674</v>
      </c>
      <c r="AQ46" s="271">
        <f t="shared" si="7"/>
        <v>1187.8130499746674</v>
      </c>
    </row>
    <row r="47" spans="2:43">
      <c r="AL47" s="286"/>
      <c r="AQ47" s="286"/>
    </row>
    <row r="48" spans="2:43">
      <c r="B48" s="33" t="s">
        <v>48</v>
      </c>
      <c r="C48" s="33"/>
      <c r="D48" s="33" t="b">
        <f t="shared" ref="D48:F48" si="58">D46=D22</f>
        <v>1</v>
      </c>
      <c r="E48" s="33" t="b">
        <f t="shared" si="58"/>
        <v>1</v>
      </c>
      <c r="F48" s="33" t="b">
        <f t="shared" si="58"/>
        <v>1</v>
      </c>
      <c r="G48" s="33" t="b">
        <f>G46=G22</f>
        <v>1</v>
      </c>
      <c r="H48" s="33"/>
      <c r="I48" s="33" t="b">
        <f t="shared" ref="I48:K48" si="59">I46=I22</f>
        <v>1</v>
      </c>
      <c r="J48" s="33" t="b">
        <f t="shared" si="59"/>
        <v>1</v>
      </c>
      <c r="K48" s="33" t="b">
        <f t="shared" si="59"/>
        <v>1</v>
      </c>
      <c r="L48" s="33" t="b">
        <f>L46=L22</f>
        <v>1</v>
      </c>
      <c r="M48" s="33"/>
      <c r="N48" s="33" t="b">
        <f t="shared" ref="N48:P48" si="60">N46=N22</f>
        <v>1</v>
      </c>
      <c r="O48" s="33" t="b">
        <f t="shared" si="60"/>
        <v>1</v>
      </c>
      <c r="P48" s="33" t="b">
        <f t="shared" si="60"/>
        <v>1</v>
      </c>
      <c r="Q48" s="33" t="b">
        <f>Q46=Q22</f>
        <v>1</v>
      </c>
      <c r="R48" s="33"/>
      <c r="S48" s="33" t="b">
        <f>S46=S22</f>
        <v>1</v>
      </c>
      <c r="T48" s="33" t="b">
        <f>T46=T22</f>
        <v>1</v>
      </c>
      <c r="U48" s="33" t="b">
        <f>U46=U22</f>
        <v>1</v>
      </c>
      <c r="V48" s="33" t="b">
        <f>V46=V22</f>
        <v>1</v>
      </c>
      <c r="W48" s="33"/>
      <c r="X48" s="33" t="b">
        <f>X46=X22</f>
        <v>1</v>
      </c>
      <c r="Y48" s="33" t="b">
        <f>Y46=Y22</f>
        <v>1</v>
      </c>
      <c r="Z48" s="33" t="b">
        <f>Z46=Z22</f>
        <v>1</v>
      </c>
      <c r="AA48" s="33" t="b">
        <f>AA46=AA22</f>
        <v>1</v>
      </c>
      <c r="AB48" s="33"/>
      <c r="AC48" s="33" t="b">
        <f>AC46=AC22</f>
        <v>1</v>
      </c>
      <c r="AD48" s="33" t="b">
        <f>AD46=AD22</f>
        <v>1</v>
      </c>
      <c r="AE48" s="33" t="b">
        <f>AE46=AE22</f>
        <v>1</v>
      </c>
      <c r="AF48" s="33" t="b">
        <f>AF46=AF22</f>
        <v>1</v>
      </c>
      <c r="AH48" s="33" t="b">
        <f>AH46=AH22</f>
        <v>1</v>
      </c>
      <c r="AI48" s="33" t="b">
        <f>AI46=AI22</f>
        <v>1</v>
      </c>
      <c r="AJ48" s="33" t="b">
        <f>AJ46=AJ22</f>
        <v>1</v>
      </c>
      <c r="AK48" s="33" t="b">
        <f>AK46=AK22</f>
        <v>1</v>
      </c>
      <c r="AM48" s="33" t="b">
        <f>AM46=AM22</f>
        <v>1</v>
      </c>
      <c r="AN48" s="33" t="b">
        <f>AN46=AN22</f>
        <v>1</v>
      </c>
      <c r="AO48" s="33" t="b">
        <f>AO46=AO22</f>
        <v>1</v>
      </c>
      <c r="AP48" s="33" t="b">
        <f>AP46=AP22</f>
        <v>1</v>
      </c>
    </row>
    <row r="50" spans="2:43">
      <c r="C50" t="s">
        <v>49</v>
      </c>
      <c r="D50" s="36">
        <f>((D9+B9)/2)/IS!D15*91</f>
        <v>96.011592569013558</v>
      </c>
      <c r="E50" s="36">
        <f>((E9+D9)/2)/IS!E15*91</f>
        <v>158.7590234081965</v>
      </c>
      <c r="F50" s="36">
        <f>((F9+E9)/2)/IS!F15*91</f>
        <v>127.12365149440015</v>
      </c>
      <c r="G50" s="36">
        <f>((G9+F9)/2)/IS!G15*91</f>
        <v>98.788310024751965</v>
      </c>
      <c r="I50" s="36">
        <f>((I9+G9)/2)/IS!I15*91</f>
        <v>168.72570511781609</v>
      </c>
      <c r="J50" s="36">
        <f>((J9+I9)/2)/IS!J15*91</f>
        <v>149.82302029525707</v>
      </c>
      <c r="K50" s="36">
        <f>((K9+J9)/2)/IS!K15*91</f>
        <v>85.529692658925541</v>
      </c>
      <c r="L50" s="36">
        <f>((L9+K9)/2)/IS!L15*91</f>
        <v>73.119170297910415</v>
      </c>
      <c r="N50" s="36">
        <f>((N9+L9)/2)/IS!N15*91</f>
        <v>114.82721377926083</v>
      </c>
      <c r="O50" s="36">
        <f>((O9+N9)/2)/IS!O15*91</f>
        <v>64.199887361513248</v>
      </c>
      <c r="P50" s="36">
        <f>((P9+O9)/2)/IS!P15*91</f>
        <v>82.316608371466032</v>
      </c>
      <c r="Q50" s="36">
        <f>((Q9+P9)/2)/IS!Q15*91</f>
        <v>114.91941389477762</v>
      </c>
      <c r="S50" s="36">
        <f>((S9+Q9)/2)/IS!S15*91</f>
        <v>149.25553539986728</v>
      </c>
      <c r="T50" s="36">
        <f>((T9+S9)/2)/IS!T15*91</f>
        <v>120.76003713972494</v>
      </c>
      <c r="U50" s="36">
        <f>((U9+T9)/2)/IS!U15*91</f>
        <v>102.67152134300034</v>
      </c>
      <c r="V50" s="36">
        <f>((V9+U9)/2)/IS!V15*91</f>
        <v>95.225596415161064</v>
      </c>
      <c r="X50" s="36">
        <f>((X9+V9)/2)/IS!X15*91</f>
        <v>93.267904523065141</v>
      </c>
      <c r="Y50" s="36">
        <f>((Y9+X9)/2)/IS!Y15*91</f>
        <v>83.795447147186337</v>
      </c>
      <c r="Z50" s="36">
        <f>((Z9+Y9)/2)/IS!Z15*91</f>
        <v>87.389772780999749</v>
      </c>
      <c r="AA50" s="36">
        <f>((AA9+Z9)/2)/IS!AA15*91</f>
        <v>83.131418629741077</v>
      </c>
      <c r="AC50" s="36">
        <f>((AC9+AA9)/2)/IS!AC15*91</f>
        <v>85.239367681546753</v>
      </c>
      <c r="AD50" s="36">
        <f>((AD9+AC9)/2)/IS!AD15*91</f>
        <v>80.091158224122168</v>
      </c>
      <c r="AE50" s="36">
        <f>((AE9+AD9)/2)/IS!AE15*91</f>
        <v>81.670851549502856</v>
      </c>
      <c r="AF50" s="36">
        <f>((AF9+AE9)/2)/IS!AF15*91</f>
        <v>81.14748604743869</v>
      </c>
      <c r="AH50" s="36">
        <f>((AH9+AF9)/2)/IS!AH15*91</f>
        <v>86.406001087054292</v>
      </c>
      <c r="AI50" s="36">
        <f>((AI9+AH9)/2)/IS!AI15*91</f>
        <v>87.845867433693016</v>
      </c>
      <c r="AJ50" s="36">
        <f>((AJ9+AI9)/2)/IS!AJ15*91</f>
        <v>85.633900947319901</v>
      </c>
      <c r="AK50" s="36">
        <f>((AK9+AJ9)/2)/IS!AK15*91</f>
        <v>83.997150139837856</v>
      </c>
      <c r="AM50" s="36">
        <f>((AM9+AK9)/2)/IS!AM15*91</f>
        <v>82.785056743420199</v>
      </c>
      <c r="AN50" s="36">
        <f>((AN9+AM9)/2)/IS!AN15*91</f>
        <v>65.914950918198386</v>
      </c>
      <c r="AO50" s="36">
        <f>((AO9+AN9)/2)/IS!AO15*91</f>
        <v>62.040999777979536</v>
      </c>
      <c r="AP50" s="36">
        <f>((AP9+AO9)/2)/IS!AP15*91</f>
        <v>53.304830334813055</v>
      </c>
    </row>
    <row r="52" spans="2:43">
      <c r="C52" t="s">
        <v>50</v>
      </c>
    </row>
    <row r="54" spans="2:43">
      <c r="B54" t="s">
        <v>51</v>
      </c>
    </row>
    <row r="55" spans="2:43">
      <c r="C55" s="2" t="s">
        <v>169</v>
      </c>
      <c r="D55" s="34">
        <f>D9/IS!D15</f>
        <v>2.1101448916266716</v>
      </c>
      <c r="E55" s="34">
        <f>E9/IS!E15</f>
        <v>1.9584372975568056</v>
      </c>
      <c r="F55" s="34">
        <f>F9/IS!F15</f>
        <v>1.4393919418512013</v>
      </c>
      <c r="G55" s="34">
        <f>G9/IS!G15</f>
        <v>1.3979304706408622</v>
      </c>
      <c r="I55" s="34">
        <f>I9/IS!I15</f>
        <v>1.5250893046395448</v>
      </c>
      <c r="J55" s="34">
        <f>J9/IS!J15</f>
        <v>1.7622667469050486</v>
      </c>
      <c r="K55" s="34">
        <f>K9/IS!K15</f>
        <v>1.2483680859086033</v>
      </c>
      <c r="L55" s="34">
        <f>L9/IS!L15</f>
        <v>0.97903260057955976</v>
      </c>
      <c r="N55" s="34">
        <f>N9/IS!N15</f>
        <v>1.1153606683165311</v>
      </c>
      <c r="O55" s="34">
        <f>O9/IS!O15</f>
        <v>0.14943767253490997</v>
      </c>
      <c r="P55" s="34">
        <f>P9/IS!P15</f>
        <v>1.6325420368154999</v>
      </c>
      <c r="Q55" s="34">
        <f>Q9/IS!Q15</f>
        <v>1.3577360377358367</v>
      </c>
      <c r="S55" s="34">
        <f>S9/IS!S15</f>
        <v>1.6419529070007695</v>
      </c>
      <c r="T55" s="34">
        <f>T9/IS!T15</f>
        <v>1.3009316326858402</v>
      </c>
      <c r="U55" s="34">
        <f>U9/IS!U15</f>
        <v>1.1357801375842214</v>
      </c>
      <c r="V55" s="34">
        <f>V9/IS!V15</f>
        <v>1.1270196107216932</v>
      </c>
      <c r="W55" s="34"/>
      <c r="X55" s="34">
        <f>X9/IS!X15</f>
        <v>1.0690100789500001</v>
      </c>
      <c r="Y55" s="34">
        <f>Y9/IS!Y15</f>
        <v>0.90821089685629774</v>
      </c>
      <c r="Z55" s="34">
        <f>Z9/IS!Z15</f>
        <v>1.0365457505621729</v>
      </c>
      <c r="AA55" s="34">
        <f>AA9/IS!AA15</f>
        <v>0.87238055855844865</v>
      </c>
      <c r="AC55" s="34">
        <f>AC9/IS!AC15</f>
        <v>0.989823760636247</v>
      </c>
      <c r="AD55" s="34">
        <f>AD9/IS!AD15</f>
        <v>0.8905880013737506</v>
      </c>
      <c r="AE55" s="34">
        <f>AE9/IS!AE15</f>
        <v>0.9780134748989936</v>
      </c>
      <c r="AF55" s="34">
        <f>AF9/IS!AF15</f>
        <v>0.90170420570061771</v>
      </c>
      <c r="AG55" s="34"/>
      <c r="AH55" s="34">
        <f>AH9/IS!AH15</f>
        <v>1.1914545020861276</v>
      </c>
      <c r="AI55" s="34">
        <f>AI9/IS!AI15</f>
        <v>0.96225785433915489</v>
      </c>
      <c r="AJ55" s="34">
        <f>AJ9/IS!AJ15</f>
        <v>0.97615542509709563</v>
      </c>
      <c r="AK55" s="34">
        <f>AK9/IS!AK15</f>
        <v>0.95767283659803215</v>
      </c>
      <c r="AM55" s="35">
        <v>0.8</v>
      </c>
      <c r="AN55" s="35">
        <v>0.75</v>
      </c>
      <c r="AO55" s="35">
        <v>0.65</v>
      </c>
      <c r="AP55" s="35">
        <v>0.55100000000000005</v>
      </c>
    </row>
    <row r="56" spans="2:43">
      <c r="C56" s="2" t="s">
        <v>170</v>
      </c>
      <c r="D56" s="34">
        <f>D11/IS!D15</f>
        <v>0.71216618321688574</v>
      </c>
      <c r="E56" s="34">
        <f>E11/IS!E15</f>
        <v>0.64268541462946993</v>
      </c>
      <c r="F56" s="34">
        <f>F11/IS!F15</f>
        <v>0.42432616094136927</v>
      </c>
      <c r="G56" s="34">
        <f>G11/IS!G15</f>
        <v>0.29059235617327878</v>
      </c>
      <c r="I56" s="34">
        <f>I11/IS!I15</f>
        <v>0.45881511175343059</v>
      </c>
      <c r="J56" s="34">
        <f>J11/IS!J15</f>
        <v>1.3986398444624952</v>
      </c>
      <c r="K56" s="34">
        <f>K11/IS!K15</f>
        <v>0.64260413952767714</v>
      </c>
      <c r="L56" s="34">
        <f>L11/IS!L15</f>
        <v>0.37239866898899632</v>
      </c>
      <c r="N56" s="34">
        <f>N11/IS!N15</f>
        <v>0.43833939562013913</v>
      </c>
      <c r="O56" s="34">
        <f>O11/IS!O15</f>
        <v>0.44694173376952889</v>
      </c>
      <c r="P56" s="34">
        <f>P11/IS!P15</f>
        <v>0.41942772065761963</v>
      </c>
      <c r="Q56" s="34">
        <f>Q11/IS!Q15</f>
        <v>0.31248321849050636</v>
      </c>
      <c r="S56" s="34">
        <f>S11/IS!S15</f>
        <v>0.28475126256278938</v>
      </c>
      <c r="T56" s="34">
        <f>T11/IS!T15</f>
        <v>0.28007035357136201</v>
      </c>
      <c r="U56" s="34">
        <f>U11/IS!U15</f>
        <v>0.2457426237076086</v>
      </c>
      <c r="V56" s="34">
        <f>V11/IS!V15</f>
        <v>0.22142992679785414</v>
      </c>
      <c r="W56" s="34"/>
      <c r="X56" s="34">
        <f>X11/IS!X15</f>
        <v>0.21804632437139504</v>
      </c>
      <c r="Y56" s="34">
        <f>Y11/IS!Y15</f>
        <v>0.20679224960632997</v>
      </c>
      <c r="Z56" s="34">
        <f>Z11/IS!Z15</f>
        <v>0.19964613273719978</v>
      </c>
      <c r="AA56" s="34">
        <f>AA11/IS!AA15</f>
        <v>0.19530915730347737</v>
      </c>
      <c r="AC56" s="34">
        <f>AC11/IS!AC15</f>
        <v>0.20661898226802242</v>
      </c>
      <c r="AD56" s="34">
        <f>AD11/IS!AD15</f>
        <v>0.19696449336924365</v>
      </c>
      <c r="AE56" s="34">
        <f>AE11/IS!AE15</f>
        <v>0.19973580796887175</v>
      </c>
      <c r="AF56" s="34">
        <f>AF11/IS!AF15</f>
        <v>0.19127964919274468</v>
      </c>
      <c r="AG56" s="34"/>
      <c r="AH56" s="34">
        <f>AH11/IS!AH15</f>
        <v>0.19740983901429984</v>
      </c>
      <c r="AI56" s="34">
        <f>AI11/IS!AI15</f>
        <v>0.15128641123841913</v>
      </c>
      <c r="AJ56" s="34">
        <f>AJ11/IS!AJ15</f>
        <v>0.16449734594830731</v>
      </c>
      <c r="AK56" s="34">
        <f>AK11/IS!AK15</f>
        <v>0.1408563468959263</v>
      </c>
      <c r="AM56" s="35">
        <v>0.14499999999999999</v>
      </c>
      <c r="AN56" s="35">
        <v>0.13500000000000001</v>
      </c>
      <c r="AO56" s="35">
        <v>0.125</v>
      </c>
      <c r="AP56" s="35">
        <v>0.1205</v>
      </c>
    </row>
    <row r="57" spans="2:43">
      <c r="C57" s="2" t="s">
        <v>39</v>
      </c>
      <c r="D57" s="34">
        <f>D13/IS!D15</f>
        <v>2.682208922746574</v>
      </c>
      <c r="E57" s="34">
        <f>E13/IS!E15</f>
        <v>2.1905799651989324</v>
      </c>
      <c r="F57" s="34">
        <f>F13/IS!F15</f>
        <v>1.6732200047119909</v>
      </c>
      <c r="G57" s="34">
        <f>G13/IS!G15</f>
        <v>1.2659288455405959</v>
      </c>
      <c r="I57" s="34">
        <f>I13/IS!I15</f>
        <v>1.8861838972991734</v>
      </c>
      <c r="J57" s="34">
        <f>J13/IS!J15</f>
        <v>2.0344833838075282</v>
      </c>
      <c r="K57" s="34">
        <f>K13/IS!K15</f>
        <v>0.72655404996749118</v>
      </c>
      <c r="L57" s="34">
        <f>L13/IS!L15</f>
        <v>0.38110453024980895</v>
      </c>
      <c r="N57" s="34">
        <f>N13/IS!N15</f>
        <v>0.51775738842285091</v>
      </c>
      <c r="O57" s="34">
        <f>O13/IS!O15</f>
        <v>0.56811482654829493</v>
      </c>
      <c r="P57" s="34">
        <f>P13/IS!P15</f>
        <v>0.68637960341638549</v>
      </c>
      <c r="Q57" s="34">
        <f>Q13/IS!Q15</f>
        <v>0.48281576385854158</v>
      </c>
      <c r="S57" s="34">
        <f>S13/IS!S15</f>
        <v>0.64954347594428163</v>
      </c>
      <c r="T57" s="34">
        <f>T13/IS!T15</f>
        <v>0.62412938192496725</v>
      </c>
      <c r="U57" s="34">
        <f>U13/IS!U15</f>
        <v>0.52827801189448165</v>
      </c>
      <c r="V57" s="34">
        <f>V13/IS!V15</f>
        <v>0.43830754526706633</v>
      </c>
      <c r="W57" s="34"/>
      <c r="X57" s="34">
        <f>X13/IS!X15</f>
        <v>0.39095339622594316</v>
      </c>
      <c r="Y57" s="34">
        <f>Y13/IS!Y15</f>
        <v>0.38100863664318968</v>
      </c>
      <c r="Z57" s="34">
        <f>Z13/IS!Z15</f>
        <v>0.46416100342172228</v>
      </c>
      <c r="AA57" s="34">
        <f>AA13/IS!AA15</f>
        <v>0.41763564133908637</v>
      </c>
      <c r="AC57" s="34">
        <f>AC13/IS!AC15</f>
        <v>0.40609727707172949</v>
      </c>
      <c r="AD57" s="34">
        <f>AD13/IS!AD15</f>
        <v>0.36476088908169602</v>
      </c>
      <c r="AE57" s="34">
        <f>AE13/IS!AE15</f>
        <v>0.32809555129360135</v>
      </c>
      <c r="AF57" s="34">
        <f>AF13/IS!AF15</f>
        <v>0.28929639226629456</v>
      </c>
      <c r="AH57" s="34">
        <f>AH13/IS!AH15</f>
        <v>0.36575075174886701</v>
      </c>
      <c r="AI57" s="34">
        <f>AI13/IS!AI15</f>
        <v>0.29419168242566784</v>
      </c>
      <c r="AJ57" s="34">
        <f>AJ13/IS!AJ15</f>
        <v>0.27141942394810381</v>
      </c>
      <c r="AK57" s="34">
        <f>AK13/IS!AK15</f>
        <v>0.24279229108060491</v>
      </c>
      <c r="AM57" s="34">
        <f>AM13/IS!AM15</f>
        <v>0.17873482935217974</v>
      </c>
      <c r="AN57" s="34">
        <f>AN13/IS!AN15</f>
        <v>8.6474751497341532E-2</v>
      </c>
      <c r="AO57" s="34">
        <f>AO13/IS!AO15</f>
        <v>1.6032149438840806E-2</v>
      </c>
      <c r="AP57" s="34">
        <f>AP13/IS!AP15</f>
        <v>-4.7930531159551287E-2</v>
      </c>
    </row>
    <row r="58" spans="2:43">
      <c r="C58" s="2" t="s">
        <v>46</v>
      </c>
      <c r="D58" s="34">
        <f>D17/IS!D15</f>
        <v>3.5235190391893263</v>
      </c>
      <c r="E58" s="34">
        <f>E17/IS!E15</f>
        <v>2.4017591194554084</v>
      </c>
      <c r="F58" s="34">
        <f>F17/IS!F15</f>
        <v>1.8572976223235333</v>
      </c>
      <c r="G58" s="34">
        <f>G17/IS!G15</f>
        <v>2.0324276439892577</v>
      </c>
      <c r="I58" s="34">
        <f>I17/IS!I15</f>
        <v>3.7794485371298507</v>
      </c>
      <c r="J58" s="34">
        <f>J17/IS!J15</f>
        <v>3.6564449449174008</v>
      </c>
      <c r="K58" s="34">
        <f>K17/IS!K15</f>
        <v>1.269537891922307</v>
      </c>
      <c r="L58" s="34">
        <f>L17/IS!L15</f>
        <v>0.62441252981452433</v>
      </c>
      <c r="N58" s="34">
        <f>N17/IS!N15</f>
        <v>0.85545501730162088</v>
      </c>
      <c r="O58" s="34">
        <f>O17/IS!O15</f>
        <v>1.7556627605834088</v>
      </c>
      <c r="P58" s="34">
        <f>P17/IS!P15</f>
        <v>1.182169176116634</v>
      </c>
      <c r="Q58" s="34">
        <f>Q17/IS!Q15</f>
        <v>1.2965570943566722</v>
      </c>
      <c r="S58" s="34">
        <f>S17/IS!S15</f>
        <v>2.4608968307356203</v>
      </c>
      <c r="T58" s="34">
        <f>T17/IS!T15</f>
        <v>1.9716177792927438</v>
      </c>
      <c r="U58" s="34">
        <f>U17/IS!U15</f>
        <v>1.6329371996383986</v>
      </c>
      <c r="V58" s="34">
        <f>V17/IS!V15</f>
        <v>1.4691714173883847</v>
      </c>
      <c r="W58" s="34"/>
      <c r="X58" s="34">
        <f>X17/IS!X15</f>
        <v>1.301886654318867</v>
      </c>
      <c r="Y58" s="34">
        <f>Y17/IS!Y15</f>
        <v>1.0940160230709253</v>
      </c>
      <c r="Z58" s="34">
        <f>Z17/IS!Z15</f>
        <v>1.0236968228025507</v>
      </c>
      <c r="AA58" s="34">
        <f>AA17/IS!AA15</f>
        <v>0.99038266370549</v>
      </c>
      <c r="AC58" s="34">
        <f>AC17/IS!AC15</f>
        <v>0.95900372617701857</v>
      </c>
      <c r="AD58" s="34">
        <f>AD17/IS!AD15</f>
        <v>4.6255626050648015E-2</v>
      </c>
      <c r="AE58" s="34">
        <f>AE17/IS!AE15</f>
        <v>0.62118842197768176</v>
      </c>
      <c r="AF58" s="34">
        <f>AF17/IS!AF15</f>
        <v>0.49708491130157462</v>
      </c>
      <c r="AG58" s="34"/>
      <c r="AH58" s="34">
        <f>AH17/IS!AH15</f>
        <v>0.42607835393392429</v>
      </c>
      <c r="AI58" s="34">
        <f>AI17/IS!AI15</f>
        <v>0.35719802310613885</v>
      </c>
      <c r="AJ58" s="34">
        <f>AJ17/IS!AJ15</f>
        <v>0.34504168087945758</v>
      </c>
      <c r="AK58" s="34">
        <f>AK17/IS!AK15</f>
        <v>0.29320472425934951</v>
      </c>
      <c r="AM58" s="35">
        <v>0.55000000000000004</v>
      </c>
      <c r="AN58" s="35">
        <v>0.45</v>
      </c>
      <c r="AO58" s="35">
        <v>0.35</v>
      </c>
      <c r="AP58" s="35">
        <v>0.247</v>
      </c>
      <c r="AQ58" s="35"/>
    </row>
    <row r="59" spans="2:43">
      <c r="C59" s="2" t="s">
        <v>171</v>
      </c>
      <c r="D59" s="34">
        <f>D21/IS!D15</f>
        <v>0</v>
      </c>
      <c r="E59" s="34">
        <f>E21/IS!E15</f>
        <v>0</v>
      </c>
      <c r="F59" s="34">
        <f>F21/IS!F15</f>
        <v>0</v>
      </c>
      <c r="G59" s="34">
        <f>G21/IS!G15</f>
        <v>0</v>
      </c>
      <c r="I59" s="34">
        <f>I21/IS!I15</f>
        <v>0</v>
      </c>
      <c r="J59" s="34">
        <f>J21/IS!J15</f>
        <v>0</v>
      </c>
      <c r="K59" s="34">
        <f>K21/IS!K15</f>
        <v>0</v>
      </c>
      <c r="L59" s="34">
        <f>L21/IS!L15</f>
        <v>0</v>
      </c>
      <c r="N59" s="34">
        <f>N21/IS!N15</f>
        <v>0</v>
      </c>
      <c r="O59" s="34">
        <f>O21/IS!O15</f>
        <v>0</v>
      </c>
      <c r="P59" s="34">
        <f>P21/IS!P15</f>
        <v>0</v>
      </c>
      <c r="Q59" s="34">
        <f>Q21/IS!Q15</f>
        <v>0</v>
      </c>
      <c r="S59" s="34">
        <f>S21/IS!S15</f>
        <v>0</v>
      </c>
      <c r="T59" s="34">
        <f>T21/IS!T15</f>
        <v>0</v>
      </c>
      <c r="U59" s="34">
        <f>U21/IS!U15</f>
        <v>0</v>
      </c>
      <c r="V59" s="34">
        <f>V21/IS!V15</f>
        <v>0</v>
      </c>
      <c r="W59" s="34"/>
      <c r="X59" s="34">
        <f>X21/IS!X15</f>
        <v>0</v>
      </c>
      <c r="Y59" s="34">
        <f>Y21/IS!Y15</f>
        <v>0</v>
      </c>
      <c r="Z59" s="34">
        <f>Z21/IS!Z15</f>
        <v>0</v>
      </c>
      <c r="AA59" s="34">
        <f>AA21/IS!AA15</f>
        <v>0</v>
      </c>
      <c r="AC59" s="34">
        <f>AC21/IS!AC15</f>
        <v>0</v>
      </c>
      <c r="AD59" s="34">
        <f>AD21/IS!AD15</f>
        <v>0</v>
      </c>
      <c r="AE59" s="34">
        <f>AE21/IS!AE15</f>
        <v>0</v>
      </c>
      <c r="AF59" s="34">
        <f>AF21/IS!AF15</f>
        <v>0</v>
      </c>
      <c r="AG59" s="34"/>
      <c r="AH59" s="34">
        <f>AH21/IS!AH15</f>
        <v>0</v>
      </c>
      <c r="AI59" s="34">
        <f>AI21/IS!AI15</f>
        <v>0</v>
      </c>
      <c r="AJ59" s="34">
        <f>AJ21/IS!AJ15</f>
        <v>0</v>
      </c>
      <c r="AK59" s="34">
        <f>AK21/IS!AK15</f>
        <v>0</v>
      </c>
      <c r="AM59" s="35">
        <v>0</v>
      </c>
      <c r="AN59" s="35">
        <v>0</v>
      </c>
      <c r="AO59" s="35">
        <v>0</v>
      </c>
      <c r="AP59" s="35">
        <v>0</v>
      </c>
    </row>
    <row r="60" spans="2:43">
      <c r="N60" s="34"/>
      <c r="O60" s="34"/>
      <c r="P60" s="34"/>
      <c r="Q60" s="34"/>
    </row>
    <row r="61" spans="2:43">
      <c r="B61" t="s">
        <v>52</v>
      </c>
      <c r="N61" s="34"/>
      <c r="O61" s="34"/>
      <c r="P61" s="34"/>
      <c r="Q61" s="34"/>
    </row>
    <row r="62" spans="2:43">
      <c r="C62" s="2" t="s">
        <v>172</v>
      </c>
      <c r="D62" s="34">
        <f>D25/IS!D15</f>
        <v>1.738859316377944</v>
      </c>
      <c r="E62" s="34">
        <f>E25/IS!E15</f>
        <v>1.4876476718616432</v>
      </c>
      <c r="F62" s="34">
        <f>F25/IS!F15</f>
        <v>0.97334898866980157</v>
      </c>
      <c r="G62" s="34">
        <f>G25/IS!G15</f>
        <v>0.74995099329532899</v>
      </c>
      <c r="H62" s="34"/>
      <c r="I62" s="34">
        <f>I25/IS!I15</f>
        <v>1.4596947380322935</v>
      </c>
      <c r="J62" s="34">
        <f>J25/IS!J15</f>
        <v>1.3302607316464292</v>
      </c>
      <c r="K62" s="34">
        <f>K25/IS!K15</f>
        <v>1.0251927663827034</v>
      </c>
      <c r="L62" s="34">
        <f>L25/IS!L15</f>
        <v>0.7312625992296905</v>
      </c>
      <c r="M62" s="34"/>
      <c r="N62" s="34">
        <f>N25/IS!N15</f>
        <v>0.90191054937030646</v>
      </c>
      <c r="O62" s="34">
        <f>O25/IS!O15</f>
        <v>0.95236468992263201</v>
      </c>
      <c r="P62" s="34">
        <f>P25/IS!P15</f>
        <v>1.3823687882134166</v>
      </c>
      <c r="Q62" s="34">
        <f>Q25/IS!Q15</f>
        <v>1.0155158969339413</v>
      </c>
      <c r="R62" s="34"/>
      <c r="S62" s="34">
        <f>S25/IS!S15</f>
        <v>1.365070154088192</v>
      </c>
      <c r="T62" s="34">
        <f>T25/IS!T15</f>
        <v>1.1642411547050466</v>
      </c>
      <c r="U62" s="34">
        <f>U25/IS!U15</f>
        <v>1.0679530133544022</v>
      </c>
      <c r="V62" s="34">
        <f>V25/IS!V15</f>
        <v>1.055309164059737</v>
      </c>
      <c r="W62" s="34"/>
      <c r="X62" s="34">
        <f>X25/IS!X15</f>
        <v>0.91526451202931447</v>
      </c>
      <c r="Y62" s="34">
        <f>Y25/IS!Y15</f>
        <v>0.87065067454979383</v>
      </c>
      <c r="Z62" s="34">
        <f>Z25/IS!Z15</f>
        <v>0.94269128035569683</v>
      </c>
      <c r="AA62" s="34">
        <f>AA25/IS!AA15</f>
        <v>0.89661780353778409</v>
      </c>
      <c r="AC62" s="34">
        <f>AC25/IS!AC15</f>
        <v>0.80526736081514616</v>
      </c>
      <c r="AD62" s="34">
        <f>AD25/IS!AD15</f>
        <v>0.68585699739107908</v>
      </c>
      <c r="AE62" s="34">
        <f>AE25/IS!AE15</f>
        <v>0.8346478452873779</v>
      </c>
      <c r="AF62" s="34">
        <f>AF25/IS!AF15</f>
        <v>0.91793402431732118</v>
      </c>
      <c r="AG62" s="34"/>
      <c r="AH62" s="34">
        <f>AH25/IS!AH15</f>
        <v>0.85232093908976803</v>
      </c>
      <c r="AI62" s="34">
        <f>AI25/IS!AI15</f>
        <v>0.85885549922926563</v>
      </c>
      <c r="AJ62" s="34">
        <f>AJ25/IS!AJ15</f>
        <v>0.65925207805963981</v>
      </c>
      <c r="AK62" s="34">
        <f>AK25/IS!AK15</f>
        <v>0.64639675826704535</v>
      </c>
      <c r="AM62" s="35">
        <v>0.7</v>
      </c>
      <c r="AN62" s="35">
        <v>0.65</v>
      </c>
      <c r="AO62" s="35">
        <v>0.6</v>
      </c>
      <c r="AP62" s="35">
        <v>0.56850000000000001</v>
      </c>
    </row>
    <row r="63" spans="2:43">
      <c r="C63" s="2" t="s">
        <v>47</v>
      </c>
      <c r="D63" s="34">
        <f>D26/IS!D15</f>
        <v>0.25998592176442359</v>
      </c>
      <c r="E63" s="34">
        <f>E26/IS!E15</f>
        <v>0.49296951593009625</v>
      </c>
      <c r="F63" s="34">
        <f>F26/IS!F15</f>
        <v>0.31391085273837194</v>
      </c>
      <c r="G63" s="34">
        <f>G26/IS!G15</f>
        <v>0.19553010508696214</v>
      </c>
      <c r="H63" s="34"/>
      <c r="I63" s="34">
        <f>I26/IS!I15</f>
        <v>0.23737315782592514</v>
      </c>
      <c r="J63" s="34">
        <f>J26/IS!J15</f>
        <v>0.25231100896500397</v>
      </c>
      <c r="K63" s="34">
        <f>K26/IS!K15</f>
        <v>8.2380011704994288E-2</v>
      </c>
      <c r="L63" s="34">
        <f>L26/IS!L15</f>
        <v>6.906187207466942E-2</v>
      </c>
      <c r="M63" s="34"/>
      <c r="N63" s="34">
        <f>N26/IS!N15</f>
        <v>8.3368923838335066E-2</v>
      </c>
      <c r="O63" s="34">
        <f>O26/IS!O15</f>
        <v>9.5457487680995601E-2</v>
      </c>
      <c r="P63" s="34">
        <f>P26/IS!P15</f>
        <v>0.29393116381752271</v>
      </c>
      <c r="Q63" s="34">
        <f>Q26/IS!Q15</f>
        <v>0.224445559500733</v>
      </c>
      <c r="R63" s="34"/>
      <c r="S63" s="34">
        <f>S26/IS!S15</f>
        <v>0.28549338039320832</v>
      </c>
      <c r="T63" s="34">
        <f>T26/IS!T15</f>
        <v>0.16476451558875055</v>
      </c>
      <c r="U63" s="34">
        <f>U26/IS!U15</f>
        <v>0.95999965141251342</v>
      </c>
      <c r="V63" s="34">
        <f>V26/IS!V15</f>
        <v>0.8474697035860278</v>
      </c>
      <c r="W63" s="34"/>
      <c r="X63" s="34">
        <f>X26/IS!X15</f>
        <v>0.71099442806852942</v>
      </c>
      <c r="Y63" s="34">
        <f>Y26/IS!Y15</f>
        <v>0.4989260887614832</v>
      </c>
      <c r="Z63" s="34">
        <f>Z26/IS!Z15</f>
        <v>0.51016681974490208</v>
      </c>
      <c r="AA63" s="34">
        <f>AA26/IS!AA15</f>
        <v>0.55269357067041458</v>
      </c>
      <c r="AC63" s="34">
        <f>AC26/IS!AC15</f>
        <v>0.45025136392206672</v>
      </c>
      <c r="AD63" s="34">
        <f>AD26/IS!AD15</f>
        <v>0.30671390440383445</v>
      </c>
      <c r="AE63" s="34">
        <f>AE26/IS!AE15</f>
        <v>0.46183309474987422</v>
      </c>
      <c r="AF63" s="34">
        <f>AF26/IS!AF15</f>
        <v>0.37861769982060989</v>
      </c>
      <c r="AG63" s="34"/>
      <c r="AH63" s="34">
        <f>AH26/IS!AH15</f>
        <v>0.2871348299229286</v>
      </c>
      <c r="AI63" s="34">
        <f>AI26/IS!AI15</f>
        <v>0.31934463743703023</v>
      </c>
      <c r="AJ63" s="34">
        <f>AJ26/IS!AJ15</f>
        <v>0.25349335439818554</v>
      </c>
      <c r="AK63" s="34">
        <f>AK26/IS!AK15</f>
        <v>0.25236989088017514</v>
      </c>
      <c r="AM63" s="35">
        <v>0.45</v>
      </c>
      <c r="AN63" s="35">
        <v>0.4</v>
      </c>
      <c r="AO63" s="35">
        <v>0.35</v>
      </c>
      <c r="AP63" s="35">
        <v>0.32119999999999999</v>
      </c>
    </row>
    <row r="64" spans="2:43">
      <c r="C64" s="2" t="s">
        <v>173</v>
      </c>
      <c r="D64" s="34">
        <f>D33/IS!D15</f>
        <v>0</v>
      </c>
      <c r="E64" s="34">
        <f>E33/IS!E15</f>
        <v>0</v>
      </c>
      <c r="F64" s="34">
        <f>F33/IS!F15</f>
        <v>0</v>
      </c>
      <c r="G64" s="34">
        <f>G33/IS!G15</f>
        <v>0</v>
      </c>
      <c r="H64" s="34"/>
      <c r="I64" s="34">
        <f>I33/IS!I15</f>
        <v>0</v>
      </c>
      <c r="J64" s="34">
        <f>J33/IS!J15</f>
        <v>18.154734660576406</v>
      </c>
      <c r="K64" s="34">
        <f>K33/IS!K15</f>
        <v>6.5046889986237684</v>
      </c>
      <c r="L64" s="34">
        <f>L33/IS!L15</f>
        <v>2.4788898806414004</v>
      </c>
      <c r="M64" s="34"/>
      <c r="N64" s="34">
        <f>N33/IS!N15</f>
        <v>3.5523862161382471</v>
      </c>
      <c r="O64" s="34">
        <f>O33/IS!O15</f>
        <v>3.9780298749142431</v>
      </c>
      <c r="P64" s="34">
        <f>P33/IS!P15</f>
        <v>4.641199007295107</v>
      </c>
      <c r="Q64" s="34">
        <f>Q33/IS!Q15</f>
        <v>3.2497272586128978</v>
      </c>
      <c r="R64" s="34"/>
      <c r="S64" s="34">
        <f>S33/IS!S15</f>
        <v>3.8690895669204393</v>
      </c>
      <c r="T64" s="34">
        <f>T33/IS!T15</f>
        <v>3.1438749990168553</v>
      </c>
      <c r="U64" s="34">
        <f>U33/IS!U15</f>
        <v>2.6646144677248658</v>
      </c>
      <c r="V64" s="34">
        <f>V33/IS!V15</f>
        <v>2.1971669737980859</v>
      </c>
      <c r="W64" s="34"/>
      <c r="X64" s="34">
        <f>X33/IS!X15</f>
        <v>1.8684156666471208</v>
      </c>
      <c r="Y64" s="34">
        <f>Y33/IS!Y15</f>
        <v>1.5645163845088523</v>
      </c>
      <c r="Z64" s="34">
        <f>Z33/IS!Z15</f>
        <v>1.4620243290546311</v>
      </c>
      <c r="AA64" s="34">
        <f>AA33/IS!AA15</f>
        <v>1.3076276909844544</v>
      </c>
      <c r="AC64" s="34">
        <f>AC33/IS!AC15</f>
        <v>1.2805692499251582</v>
      </c>
      <c r="AD64" s="34">
        <f>AD33/IS!AD15</f>
        <v>1.0884442275364676</v>
      </c>
      <c r="AE64" s="34">
        <f>AE33/IS!AE15</f>
        <v>0.96424564331864993</v>
      </c>
      <c r="AF64" s="34">
        <f>AF33/IS!AF15</f>
        <v>0.83811042455650786</v>
      </c>
      <c r="AH64" s="34">
        <f>AH33/IS!AH15</f>
        <v>0.91351662059068495</v>
      </c>
      <c r="AI64" s="34">
        <f>AI33/IS!AI15</f>
        <v>0.71937959858248457</v>
      </c>
      <c r="AJ64" s="34">
        <f>AJ33/IS!AJ15</f>
        <v>0.6521696199350101</v>
      </c>
      <c r="AK64" s="34">
        <f>AK33/IS!AK15</f>
        <v>0.56826184400794089</v>
      </c>
      <c r="AM64" s="34">
        <f>AM33/IS!AM15</f>
        <v>0.57911986391176251</v>
      </c>
      <c r="AN64" s="34">
        <f>AN33/IS!AN15</f>
        <v>0.48324185407543407</v>
      </c>
      <c r="AO64" s="34">
        <f>AO33/IS!AO15</f>
        <v>0.43831164328195404</v>
      </c>
      <c r="AP64" s="34">
        <f>AP33/IS!AP15</f>
        <v>0.39797701443321426</v>
      </c>
    </row>
    <row r="65" spans="3:42">
      <c r="C65" s="2" t="s">
        <v>174</v>
      </c>
      <c r="D65" s="34">
        <f>D37/IS!D15</f>
        <v>0</v>
      </c>
      <c r="E65" s="34">
        <f>E37/IS!E15</f>
        <v>0</v>
      </c>
      <c r="F65" s="34">
        <f>F37/IS!F15</f>
        <v>0</v>
      </c>
      <c r="G65" s="34">
        <f>G37/IS!G15</f>
        <v>0</v>
      </c>
      <c r="H65" s="34"/>
      <c r="I65" s="34">
        <f>I37/IS!I15</f>
        <v>0</v>
      </c>
      <c r="J65" s="34">
        <f>J37/IS!J15</f>
        <v>0</v>
      </c>
      <c r="K65" s="34">
        <f>K37/IS!K15</f>
        <v>0</v>
      </c>
      <c r="L65" s="34">
        <f>L37/IS!L15</f>
        <v>0</v>
      </c>
      <c r="M65" s="34"/>
      <c r="N65" s="34">
        <f>N37/IS!N15</f>
        <v>0</v>
      </c>
      <c r="O65" s="34">
        <f>O37/IS!O15</f>
        <v>0</v>
      </c>
      <c r="P65" s="34">
        <f>P37/IS!P15</f>
        <v>0</v>
      </c>
      <c r="Q65" s="34">
        <f>Q37/IS!Q15</f>
        <v>0</v>
      </c>
      <c r="R65" s="34"/>
      <c r="S65" s="34">
        <f>S37/IS!S15</f>
        <v>0</v>
      </c>
      <c r="T65" s="34">
        <f>T37/IS!T15</f>
        <v>-2.0347581922413902E-4</v>
      </c>
      <c r="U65" s="34">
        <f>U37/IS!U15</f>
        <v>1.9641433824087469</v>
      </c>
      <c r="V65" s="34">
        <f>V37/IS!V15</f>
        <v>1.6740254271944184</v>
      </c>
      <c r="W65" s="34"/>
      <c r="X65" s="34">
        <f>X37/IS!X15</f>
        <v>1.4598824245424071</v>
      </c>
      <c r="Y65" s="34">
        <f>Y37/IS!Y15</f>
        <v>1.6481602156722861</v>
      </c>
      <c r="Z65" s="34">
        <f>Z37/IS!Z15</f>
        <v>1.6208969615249536</v>
      </c>
      <c r="AA65" s="34">
        <f>AA37/IS!AA15</f>
        <v>1.7370235484927081</v>
      </c>
      <c r="AC65" s="34">
        <f>AC37/IS!AC15</f>
        <v>1.7775094109659033</v>
      </c>
      <c r="AD65" s="34">
        <f>AD37/IS!AD15</f>
        <v>1.5777223457392646</v>
      </c>
      <c r="AE65" s="34">
        <f>AE37/IS!AE15</f>
        <v>1.4620486489175311</v>
      </c>
      <c r="AF65" s="34">
        <f>AF37/IS!AF15</f>
        <v>1.3316922463623679</v>
      </c>
      <c r="AH65" s="34">
        <f>AH37/IS!AH15</f>
        <v>1.8266578555312685</v>
      </c>
      <c r="AI65" s="34">
        <f>AI37/IS!AI15</f>
        <v>1.4990798862173631</v>
      </c>
      <c r="AJ65" s="34">
        <f>AJ37/IS!AJ15</f>
        <v>0.60100357264681059</v>
      </c>
      <c r="AK65" s="34">
        <f>AK37/IS!AK15</f>
        <v>0.55214304582379059</v>
      </c>
      <c r="AM65" s="34">
        <f>AM37/IS!AM15</f>
        <v>0.58776149694502522</v>
      </c>
      <c r="AN65" s="34">
        <f>AN37/IS!AN15</f>
        <v>0.51332167965629583</v>
      </c>
      <c r="AO65" s="34">
        <f>AO37/IS!AO15</f>
        <v>0.48836634542867052</v>
      </c>
      <c r="AP65" s="34">
        <f>AP37/IS!AP15</f>
        <v>0.46622812244255279</v>
      </c>
    </row>
    <row r="66" spans="3:42">
      <c r="C66" s="2" t="s">
        <v>175</v>
      </c>
      <c r="D66" s="34">
        <f>D41/IS!D15</f>
        <v>5.9580418301076685</v>
      </c>
      <c r="E66" s="34">
        <f>E41/IS!E15</f>
        <v>4.7599090014033658</v>
      </c>
      <c r="F66" s="34">
        <f>F41/IS!F15</f>
        <v>4.0116597496630133</v>
      </c>
      <c r="G66" s="34">
        <f>G41/IS!G15</f>
        <v>2.8564920153666735</v>
      </c>
      <c r="H66" s="34"/>
      <c r="I66" s="34">
        <f>I41/IS!I15</f>
        <v>3.4824718047892569</v>
      </c>
      <c r="J66" s="34">
        <f>J41/IS!J15</f>
        <v>3.2654754292941401</v>
      </c>
      <c r="K66" s="34">
        <f>K41/IS!K15</f>
        <v>1.1766782401005986</v>
      </c>
      <c r="L66" s="34">
        <f>L41/IS!L15</f>
        <v>0.74398426209714208</v>
      </c>
      <c r="M66" s="34"/>
      <c r="N66" s="34">
        <f>N41/IS!N15</f>
        <v>1.0034081134479107</v>
      </c>
      <c r="O66" s="34">
        <f>O41/IS!O15</f>
        <v>1.1567021141185914</v>
      </c>
      <c r="P66" s="34">
        <f>P41/IS!P15</f>
        <v>1.3032232082311566</v>
      </c>
      <c r="Q66" s="34">
        <f>Q41/IS!Q15</f>
        <v>1.5198159051229587</v>
      </c>
      <c r="R66" s="34"/>
      <c r="S66" s="34">
        <f>S41/IS!S15</f>
        <v>2.3167516825975762</v>
      </c>
      <c r="T66" s="34">
        <f>T41/IS!T15</f>
        <v>2.0424353286607921</v>
      </c>
      <c r="U66" s="34">
        <f>U41/IS!U15</f>
        <v>1.7262184535889773</v>
      </c>
      <c r="V66" s="34">
        <f>V41/IS!V15</f>
        <v>1.5227805542894102</v>
      </c>
      <c r="W66" s="34"/>
      <c r="X66" s="34">
        <f>X41/IS!X15</f>
        <v>1.3360296010987445</v>
      </c>
      <c r="Y66" s="34">
        <f>Y41/IS!Y15</f>
        <v>1.1813595114254156</v>
      </c>
      <c r="Z66" s="34">
        <f>Z41/IS!Z15</f>
        <v>1.1773003197971623</v>
      </c>
      <c r="AA66" s="34">
        <f>AA41/IS!AA15</f>
        <v>1.1981675187554939</v>
      </c>
      <c r="AC66" s="34">
        <f>AC41/IS!AC15</f>
        <v>1.2336213774840554</v>
      </c>
      <c r="AD66" s="34">
        <f>AD41/IS!AD15</f>
        <v>0.10116347028661979</v>
      </c>
      <c r="AE66" s="34">
        <f>AE41/IS!AE15</f>
        <v>8.513284216460601E-2</v>
      </c>
      <c r="AF66" s="34">
        <f>AF41/IS!AF15</f>
        <v>7.9629260514251538E-2</v>
      </c>
      <c r="AG66" s="34"/>
      <c r="AH66" s="34">
        <f>AH41/IS!AH15</f>
        <v>3.7812283713346134E-2</v>
      </c>
      <c r="AI66" s="34">
        <f>AI41/IS!AI15</f>
        <v>3.0219142816279177E-2</v>
      </c>
      <c r="AJ66" s="34">
        <f>AJ41/IS!AJ15</f>
        <v>0.175855610012986</v>
      </c>
      <c r="AK66" s="34">
        <f>AK41/IS!AK15</f>
        <v>0.15413481622282557</v>
      </c>
      <c r="AM66" s="35">
        <v>0.9</v>
      </c>
      <c r="AN66" s="35">
        <v>0.8</v>
      </c>
      <c r="AO66" s="35">
        <v>0.7</v>
      </c>
      <c r="AP66" s="35">
        <v>0.5736</v>
      </c>
    </row>
  </sheetData>
  <pageMargins left="0.7" right="0.7" top="0.75" bottom="0.75" header="0.3" footer="0.3"/>
  <pageSetup scale="4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85B5-D6E2-448A-81EF-5E4F900F4264}">
  <sheetPr>
    <pageSetUpPr fitToPage="1"/>
  </sheetPr>
  <dimension ref="B2:AQ83"/>
  <sheetViews>
    <sheetView showGridLines="0" workbookViewId="0">
      <pane xSplit="3" ySplit="4" topLeftCell="W5" activePane="bottomRight" state="frozen"/>
      <selection pane="topRight" activeCell="D1" sqref="D1"/>
      <selection pane="bottomLeft" activeCell="A5" sqref="A5"/>
      <selection pane="bottomRight" activeCell="AM10" sqref="AM10"/>
    </sheetView>
  </sheetViews>
  <sheetFormatPr defaultRowHeight="15" outlineLevelCol="1"/>
  <cols>
    <col min="2" max="2" width="3.140625" customWidth="1"/>
    <col min="3" max="3" width="47" bestFit="1" customWidth="1"/>
    <col min="4" max="7" width="9.140625" hidden="1" customWidth="1" outlineLevel="1"/>
    <col min="8" max="8" width="9.140625" customWidth="1" collapsed="1"/>
    <col min="9" max="10" width="9.140625" hidden="1" customWidth="1" outlineLevel="1"/>
    <col min="11" max="12" width="0" hidden="1" customWidth="1" outlineLevel="1"/>
    <col min="13" max="13" width="9.140625" collapsed="1"/>
    <col min="14" max="16" width="0" hidden="1" customWidth="1" outlineLevel="1"/>
    <col min="17" max="17" width="9.28515625" hidden="1" customWidth="1" outlineLevel="1"/>
    <col min="18" max="18" width="9.140625" collapsed="1"/>
    <col min="19" max="19" width="9.7109375" hidden="1" customWidth="1" outlineLevel="1"/>
    <col min="20" max="22" width="0" hidden="1" customWidth="1" outlineLevel="1"/>
    <col min="23" max="23" width="9.7109375" bestFit="1" customWidth="1" collapsed="1"/>
    <col min="26" max="26" width="9.7109375" bestFit="1" customWidth="1"/>
    <col min="28" max="28" width="9.7109375" bestFit="1" customWidth="1"/>
    <col min="30" max="30" width="9.28515625" bestFit="1" customWidth="1"/>
    <col min="33" max="33" width="9.28515625" bestFit="1" customWidth="1"/>
    <col min="38" max="38" width="9.28515625" bestFit="1" customWidth="1"/>
    <col min="43" max="43" width="9.28515625" bestFit="1" customWidth="1"/>
  </cols>
  <sheetData>
    <row r="2" spans="2:43" ht="15.75">
      <c r="C2" s="44" t="s">
        <v>301</v>
      </c>
      <c r="D2" s="44"/>
      <c r="E2" s="44"/>
      <c r="F2" s="44"/>
      <c r="G2" s="44"/>
      <c r="H2" s="44"/>
      <c r="AK2" s="286"/>
    </row>
    <row r="3" spans="2:43" ht="15.75" thickBot="1"/>
    <row r="4" spans="2:43" ht="15.75" thickBot="1">
      <c r="B4" s="272" t="s">
        <v>53</v>
      </c>
      <c r="C4" s="273"/>
      <c r="D4" s="191" t="s">
        <v>86</v>
      </c>
      <c r="E4" s="191" t="s">
        <v>87</v>
      </c>
      <c r="F4" s="191" t="s">
        <v>88</v>
      </c>
      <c r="G4" s="191" t="s">
        <v>89</v>
      </c>
      <c r="H4" s="192" t="s">
        <v>14</v>
      </c>
      <c r="I4" s="191" t="s">
        <v>0</v>
      </c>
      <c r="J4" s="191" t="s">
        <v>1</v>
      </c>
      <c r="K4" s="191" t="s">
        <v>2</v>
      </c>
      <c r="L4" s="191" t="s">
        <v>3</v>
      </c>
      <c r="M4" s="192" t="s">
        <v>4</v>
      </c>
      <c r="N4" s="191" t="s">
        <v>5</v>
      </c>
      <c r="O4" s="191" t="s">
        <v>6</v>
      </c>
      <c r="P4" s="191" t="s">
        <v>7</v>
      </c>
      <c r="Q4" s="191" t="s">
        <v>8</v>
      </c>
      <c r="R4" s="192" t="s">
        <v>9</v>
      </c>
      <c r="S4" s="191" t="s">
        <v>33</v>
      </c>
      <c r="T4" s="191" t="s">
        <v>80</v>
      </c>
      <c r="U4" s="191" t="s">
        <v>109</v>
      </c>
      <c r="V4" s="191" t="s">
        <v>110</v>
      </c>
      <c r="W4" s="192" t="s">
        <v>111</v>
      </c>
      <c r="X4" s="191" t="s">
        <v>112</v>
      </c>
      <c r="Y4" s="191" t="s">
        <v>113</v>
      </c>
      <c r="Z4" s="191" t="s">
        <v>114</v>
      </c>
      <c r="AA4" s="191" t="s">
        <v>157</v>
      </c>
      <c r="AB4" s="192" t="s">
        <v>158</v>
      </c>
      <c r="AC4" s="191" t="s">
        <v>300</v>
      </c>
      <c r="AD4" s="191" t="s">
        <v>306</v>
      </c>
      <c r="AE4" s="191" t="s">
        <v>356</v>
      </c>
      <c r="AF4" s="191" t="s">
        <v>357</v>
      </c>
      <c r="AG4" s="192" t="s">
        <v>358</v>
      </c>
      <c r="AH4" s="191" t="s">
        <v>359</v>
      </c>
      <c r="AI4" s="191" t="s">
        <v>372</v>
      </c>
      <c r="AJ4" s="191" t="s">
        <v>373</v>
      </c>
      <c r="AK4" s="191" t="s">
        <v>382</v>
      </c>
      <c r="AL4" s="192" t="s">
        <v>385</v>
      </c>
      <c r="AM4" s="191" t="s">
        <v>152</v>
      </c>
      <c r="AN4" s="191" t="s">
        <v>153</v>
      </c>
      <c r="AO4" s="191" t="s">
        <v>154</v>
      </c>
      <c r="AP4" s="191" t="s">
        <v>155</v>
      </c>
      <c r="AQ4" s="192" t="s">
        <v>125</v>
      </c>
    </row>
    <row r="5" spans="2:43">
      <c r="B5" s="37"/>
      <c r="C5" s="38"/>
      <c r="H5" s="31"/>
      <c r="M5" s="31"/>
      <c r="R5" s="31"/>
      <c r="W5" s="31"/>
      <c r="AB5" s="31"/>
      <c r="AG5" s="31"/>
      <c r="AL5" s="31"/>
      <c r="AQ5" s="31"/>
    </row>
    <row r="6" spans="2:43">
      <c r="B6" s="13" t="s">
        <v>55</v>
      </c>
      <c r="C6" s="2"/>
      <c r="D6" s="274">
        <v>-24.393365823999993</v>
      </c>
      <c r="E6" s="274">
        <v>-30.204947528000005</v>
      </c>
      <c r="F6" s="274">
        <v>-33.560786556000004</v>
      </c>
      <c r="G6" s="274">
        <v>-26.792227798000003</v>
      </c>
      <c r="H6" s="234">
        <f>SUM(D6:G6)</f>
        <v>-114.951327706</v>
      </c>
      <c r="I6" s="274">
        <v>-47.102916571999998</v>
      </c>
      <c r="J6" s="274">
        <v>-51.098612660000008</v>
      </c>
      <c r="K6" s="274">
        <v>-57.509399102000003</v>
      </c>
      <c r="L6" s="274">
        <v>-54.143518019999988</v>
      </c>
      <c r="M6" s="234">
        <f>SUM(I6:L6)</f>
        <v>-209.854446354</v>
      </c>
      <c r="N6" s="274">
        <v>-65.020109335000001</v>
      </c>
      <c r="O6" s="274">
        <v>-66.847070371000015</v>
      </c>
      <c r="P6" s="274">
        <v>-68.342883768999997</v>
      </c>
      <c r="Q6" s="274">
        <v>-58.981032597163299</v>
      </c>
      <c r="R6" s="234">
        <f>SUM(N6:Q6)</f>
        <v>-259.1910960721633</v>
      </c>
      <c r="S6" s="274">
        <v>-81.289321431000019</v>
      </c>
      <c r="T6" s="274">
        <v>-73.691056871000001</v>
      </c>
      <c r="U6" s="274">
        <v>-68.544865012000031</v>
      </c>
      <c r="V6" s="274">
        <v>-66.283812162000018</v>
      </c>
      <c r="W6" s="234">
        <f>SUM(S6:V6)</f>
        <v>-289.80905547600008</v>
      </c>
      <c r="X6" s="274">
        <v>-54.375274350999987</v>
      </c>
      <c r="Y6" s="274">
        <v>-55.833221516999991</v>
      </c>
      <c r="Z6" s="274">
        <v>-53.425996441999992</v>
      </c>
      <c r="AA6" s="274">
        <v>-50.484901134999753</v>
      </c>
      <c r="AB6" s="234">
        <f>SUM(X6:AA6)</f>
        <v>-214.1193934449997</v>
      </c>
      <c r="AC6" s="278">
        <v>-64.744055602000245</v>
      </c>
      <c r="AD6" s="278">
        <f>-616.955-AC6</f>
        <v>-552.21094439799981</v>
      </c>
      <c r="AE6" s="278">
        <f>-692.795-AD6-AC6</f>
        <v>-75.839999999999904</v>
      </c>
      <c r="AF6" s="278">
        <f>AG6-AE6-AD6-AC6</f>
        <v>-13.013999999999996</v>
      </c>
      <c r="AG6" s="234">
        <v>-705.80899999999997</v>
      </c>
      <c r="AH6" s="278">
        <v>-68.037000000000006</v>
      </c>
      <c r="AI6" s="278">
        <f>-110.88-AH6</f>
        <v>-42.842999999999989</v>
      </c>
      <c r="AJ6" s="278">
        <f>-190.862-AI6-AH6</f>
        <v>-79.981999999999999</v>
      </c>
      <c r="AK6" s="278">
        <f>IS!AK78</f>
        <v>-51.01700000000001</v>
      </c>
      <c r="AL6" s="404">
        <v>-245.02799999999999</v>
      </c>
      <c r="AM6" s="278">
        <f>IS!AM78</f>
        <v>-104.49198802957062</v>
      </c>
      <c r="AN6" s="278">
        <f>IS!AN78</f>
        <v>-82.322465784999977</v>
      </c>
      <c r="AO6" s="278">
        <f>IS!AO78</f>
        <v>-70.301045427999981</v>
      </c>
      <c r="AP6" s="278">
        <f>IS!AP78</f>
        <v>-56.197844188105677</v>
      </c>
      <c r="AQ6" s="287">
        <f>SUM(AM6:AP6)</f>
        <v>-313.31334343067624</v>
      </c>
    </row>
    <row r="7" spans="2:43">
      <c r="B7" s="13"/>
      <c r="C7" s="2"/>
      <c r="D7" s="46"/>
      <c r="E7" s="46"/>
      <c r="F7" s="46"/>
      <c r="G7" s="46"/>
      <c r="H7" s="1"/>
      <c r="I7" s="46"/>
      <c r="J7" s="46"/>
      <c r="K7" s="46"/>
      <c r="L7" s="46"/>
      <c r="M7" s="1"/>
      <c r="N7" s="46"/>
      <c r="O7" s="46"/>
      <c r="P7" s="46"/>
      <c r="Q7" s="46"/>
      <c r="R7" s="1"/>
      <c r="S7" s="46"/>
      <c r="T7" s="46"/>
      <c r="U7" s="46"/>
      <c r="V7" s="46"/>
      <c r="W7" s="31"/>
      <c r="X7" s="46"/>
      <c r="Y7" s="46"/>
      <c r="Z7" s="46"/>
      <c r="AA7" s="46"/>
      <c r="AB7" s="31"/>
      <c r="AC7" s="46"/>
      <c r="AD7" s="46"/>
      <c r="AE7" s="46"/>
      <c r="AF7" s="46"/>
      <c r="AG7" s="31"/>
      <c r="AH7" s="46"/>
      <c r="AI7" s="46"/>
      <c r="AJ7" s="46"/>
      <c r="AK7" s="46"/>
      <c r="AL7" s="405"/>
      <c r="AM7" s="46"/>
      <c r="AN7" s="46"/>
      <c r="AO7" s="46"/>
      <c r="AP7" s="46"/>
      <c r="AQ7" s="31"/>
    </row>
    <row r="8" spans="2:43">
      <c r="B8" s="40" t="s">
        <v>54</v>
      </c>
      <c r="C8" s="2"/>
      <c r="D8" s="46"/>
      <c r="E8" s="46"/>
      <c r="F8" s="46"/>
      <c r="G8" s="46"/>
      <c r="H8" s="1"/>
      <c r="I8" s="46"/>
      <c r="J8" s="46"/>
      <c r="K8" s="46"/>
      <c r="L8" s="46"/>
      <c r="M8" s="1"/>
      <c r="N8" s="46"/>
      <c r="O8" s="46"/>
      <c r="P8" s="46"/>
      <c r="Q8" s="46"/>
      <c r="R8" s="1"/>
      <c r="S8" s="46"/>
      <c r="T8" s="46"/>
      <c r="U8" s="46"/>
      <c r="V8" s="46"/>
      <c r="W8" s="31"/>
      <c r="X8" s="46"/>
      <c r="Y8" s="46"/>
      <c r="Z8" s="46"/>
      <c r="AA8" s="46"/>
      <c r="AB8" s="31"/>
      <c r="AC8" s="46"/>
      <c r="AD8" s="46"/>
      <c r="AE8" s="46"/>
      <c r="AF8" s="46"/>
      <c r="AG8" s="31"/>
      <c r="AH8" s="46"/>
      <c r="AI8" s="46"/>
      <c r="AJ8" s="401"/>
      <c r="AK8" s="46"/>
      <c r="AL8" s="405"/>
      <c r="AM8" s="46"/>
      <c r="AN8" s="46"/>
      <c r="AO8" s="46"/>
      <c r="AP8" s="46"/>
      <c r="AQ8" s="31"/>
    </row>
    <row r="9" spans="2:43">
      <c r="B9" s="13"/>
      <c r="C9" s="2" t="s">
        <v>176</v>
      </c>
      <c r="D9" s="274">
        <v>1.7927250800000012</v>
      </c>
      <c r="E9" s="274">
        <v>1.9027782599999998</v>
      </c>
      <c r="F9" s="274">
        <v>1.9379327999999987</v>
      </c>
      <c r="G9" s="274">
        <v>2.4502838200000028</v>
      </c>
      <c r="H9" s="234">
        <f t="shared" ref="H9:H46" si="0">SUM(D9:G9)</f>
        <v>8.0837199600000034</v>
      </c>
      <c r="I9" s="274">
        <v>3.322824329999996</v>
      </c>
      <c r="J9" s="274">
        <v>2.9640176100000097</v>
      </c>
      <c r="K9" s="274">
        <v>3.2719048899999947</v>
      </c>
      <c r="L9" s="274">
        <v>3.5203931599999976</v>
      </c>
      <c r="M9" s="234">
        <f t="shared" ref="M9:M46" si="1">SUM(I9:L9)</f>
        <v>13.079139989999998</v>
      </c>
      <c r="N9" s="274">
        <v>3.5948191999999999</v>
      </c>
      <c r="O9" s="274">
        <v>3.5965499400000027</v>
      </c>
      <c r="P9" s="274">
        <v>3.4785440300000019</v>
      </c>
      <c r="Q9" s="274">
        <v>3.0888472099999973</v>
      </c>
      <c r="R9" s="234">
        <f t="shared" ref="R9:R46" si="2">SUM(N9:Q9)</f>
        <v>13.758760380000002</v>
      </c>
      <c r="S9" s="274">
        <v>2.4045998900000001</v>
      </c>
      <c r="T9" s="274">
        <v>3.8903674800000019</v>
      </c>
      <c r="U9" s="274">
        <v>4.5265056199999947</v>
      </c>
      <c r="V9" s="274">
        <v>4.7803051800000063</v>
      </c>
      <c r="W9" s="234">
        <f t="shared" ref="W9:W46" si="3">SUM(S9:V9)</f>
        <v>15.601778170000003</v>
      </c>
      <c r="X9" s="274">
        <v>5.0592569199999957</v>
      </c>
      <c r="Y9" s="274">
        <v>5.1939828600000055</v>
      </c>
      <c r="Z9" s="274">
        <v>5.4043979000000064</v>
      </c>
      <c r="AA9" s="274">
        <v>5.1375390299999992</v>
      </c>
      <c r="AB9" s="234">
        <f t="shared" ref="AB9:AB46" si="4">SUM(X9:AA9)</f>
        <v>20.795176710000007</v>
      </c>
      <c r="AC9" s="278">
        <v>6.2696246899999863</v>
      </c>
      <c r="AD9" s="277">
        <f>18.348-AC9</f>
        <v>12.078375310000013</v>
      </c>
      <c r="AE9" s="278">
        <f>27.788-AD9-AC9</f>
        <v>9.4400000000000013</v>
      </c>
      <c r="AF9" s="278">
        <f t="shared" ref="AF9:AF45" si="5">AG9-AE9-AD9-AC9</f>
        <v>9.4569999999999972</v>
      </c>
      <c r="AG9" s="234">
        <f>37.245</f>
        <v>37.244999999999997</v>
      </c>
      <c r="AH9" s="277">
        <v>20.353000000000002</v>
      </c>
      <c r="AI9" s="277">
        <f>48.385-AH9</f>
        <v>28.031999999999996</v>
      </c>
      <c r="AJ9" s="277">
        <f>75.416-AI9-AH9</f>
        <v>27.030999999999999</v>
      </c>
      <c r="AK9" s="277">
        <f t="shared" ref="AK9:AK29" si="6">AL9-AJ9-AI9-AH9</f>
        <v>26.908000000000008</v>
      </c>
      <c r="AL9" s="404">
        <v>102.324</v>
      </c>
      <c r="AM9" s="276">
        <v>30</v>
      </c>
      <c r="AN9" s="276">
        <v>30</v>
      </c>
      <c r="AO9" s="276">
        <v>30</v>
      </c>
      <c r="AP9" s="276">
        <v>30</v>
      </c>
      <c r="AQ9" s="234">
        <f t="shared" ref="AQ9:AQ46" si="7">SUM(AM9:AP9)</f>
        <v>120</v>
      </c>
    </row>
    <row r="10" spans="2:43">
      <c r="B10" s="13"/>
      <c r="C10" s="2" t="s">
        <v>325</v>
      </c>
      <c r="D10" s="274"/>
      <c r="E10" s="274"/>
      <c r="F10" s="274"/>
      <c r="G10" s="274"/>
      <c r="H10" s="234"/>
      <c r="I10" s="274"/>
      <c r="J10" s="274"/>
      <c r="K10" s="274"/>
      <c r="L10" s="274"/>
      <c r="M10" s="234"/>
      <c r="N10" s="274"/>
      <c r="O10" s="274"/>
      <c r="P10" s="274"/>
      <c r="Q10" s="274"/>
      <c r="R10" s="234"/>
      <c r="S10" s="274"/>
      <c r="T10" s="274"/>
      <c r="U10" s="274"/>
      <c r="V10" s="274"/>
      <c r="W10" s="234"/>
      <c r="X10" s="274"/>
      <c r="Y10" s="274"/>
      <c r="Z10" s="274"/>
      <c r="AA10" s="274"/>
      <c r="AB10" s="234"/>
      <c r="AC10" s="278"/>
      <c r="AD10" s="277">
        <f>-0.9-AC10</f>
        <v>-0.9</v>
      </c>
      <c r="AE10" s="278">
        <f>42.4-AD10</f>
        <v>43.3</v>
      </c>
      <c r="AF10" s="278">
        <f t="shared" si="5"/>
        <v>1.4432899320127035E-15</v>
      </c>
      <c r="AG10" s="234">
        <v>42.4</v>
      </c>
      <c r="AH10" s="277">
        <v>0</v>
      </c>
      <c r="AI10" s="277">
        <v>0</v>
      </c>
      <c r="AJ10" s="277">
        <v>0</v>
      </c>
      <c r="AK10" s="277">
        <f t="shared" si="6"/>
        <v>0</v>
      </c>
      <c r="AL10" s="404">
        <v>0</v>
      </c>
      <c r="AM10" s="276"/>
      <c r="AN10" s="276"/>
      <c r="AO10" s="276"/>
      <c r="AP10" s="276"/>
      <c r="AQ10" s="234"/>
    </row>
    <row r="11" spans="2:43">
      <c r="B11" s="13"/>
      <c r="C11" s="2" t="s">
        <v>326</v>
      </c>
      <c r="D11" s="274"/>
      <c r="E11" s="274"/>
      <c r="F11" s="274"/>
      <c r="G11" s="274"/>
      <c r="H11" s="234"/>
      <c r="I11" s="274"/>
      <c r="J11" s="274"/>
      <c r="K11" s="274"/>
      <c r="L11" s="274"/>
      <c r="M11" s="234"/>
      <c r="N11" s="274"/>
      <c r="O11" s="274"/>
      <c r="P11" s="274"/>
      <c r="Q11" s="274"/>
      <c r="R11" s="234"/>
      <c r="S11" s="274"/>
      <c r="T11" s="274"/>
      <c r="U11" s="274"/>
      <c r="V11" s="274"/>
      <c r="W11" s="234"/>
      <c r="X11" s="274"/>
      <c r="Y11" s="274"/>
      <c r="Z11" s="274"/>
      <c r="AA11" s="274"/>
      <c r="AB11" s="234"/>
      <c r="AC11" s="278"/>
      <c r="AD11" s="277">
        <f>-0.173-AC11</f>
        <v>-0.17299999999999999</v>
      </c>
      <c r="AE11" s="278">
        <f>-0.173-AD11</f>
        <v>0</v>
      </c>
      <c r="AF11" s="278">
        <f t="shared" si="5"/>
        <v>-39.1</v>
      </c>
      <c r="AG11" s="234">
        <f>-39.1-0.173</f>
        <v>-39.273000000000003</v>
      </c>
      <c r="AH11" s="277">
        <v>0</v>
      </c>
      <c r="AI11" s="277">
        <v>0</v>
      </c>
      <c r="AJ11" s="277">
        <v>0</v>
      </c>
      <c r="AK11" s="277">
        <f t="shared" si="6"/>
        <v>0</v>
      </c>
      <c r="AL11" s="404">
        <v>0</v>
      </c>
      <c r="AM11" s="276"/>
      <c r="AN11" s="276"/>
      <c r="AO11" s="276"/>
      <c r="AP11" s="276"/>
      <c r="AQ11" s="234"/>
    </row>
    <row r="12" spans="2:43">
      <c r="B12" s="13"/>
      <c r="C12" s="2" t="s">
        <v>327</v>
      </c>
      <c r="D12" s="274"/>
      <c r="E12" s="274"/>
      <c r="F12" s="274"/>
      <c r="G12" s="274"/>
      <c r="H12" s="234"/>
      <c r="I12" s="274"/>
      <c r="J12" s="274"/>
      <c r="K12" s="274"/>
      <c r="L12" s="274"/>
      <c r="M12" s="234"/>
      <c r="N12" s="274"/>
      <c r="O12" s="274"/>
      <c r="P12" s="274"/>
      <c r="Q12" s="274"/>
      <c r="R12" s="234"/>
      <c r="S12" s="274"/>
      <c r="T12" s="274"/>
      <c r="U12" s="274"/>
      <c r="V12" s="274"/>
      <c r="W12" s="234"/>
      <c r="X12" s="274"/>
      <c r="Y12" s="274"/>
      <c r="Z12" s="274"/>
      <c r="AA12" s="274"/>
      <c r="AB12" s="234"/>
      <c r="AC12" s="278"/>
      <c r="AD12" s="277">
        <f>-2.541-AC12</f>
        <v>-2.5409999999999999</v>
      </c>
      <c r="AE12" s="278">
        <f>-5.119-AD12</f>
        <v>-2.5779999999999998</v>
      </c>
      <c r="AF12" s="278">
        <f t="shared" si="5"/>
        <v>-6.9909999999999997</v>
      </c>
      <c r="AG12" s="234">
        <v>-12.11</v>
      </c>
      <c r="AH12" s="277">
        <v>31.805</v>
      </c>
      <c r="AI12" s="277">
        <f>-6.007-AH12</f>
        <v>-37.811999999999998</v>
      </c>
      <c r="AJ12" s="277">
        <f>-4.731-AI12-AH12</f>
        <v>1.2759999999999962</v>
      </c>
      <c r="AK12" s="277">
        <f t="shared" si="6"/>
        <v>-11.739999999999998</v>
      </c>
      <c r="AL12" s="404">
        <v>-16.471</v>
      </c>
      <c r="AM12" s="276"/>
      <c r="AN12" s="276"/>
      <c r="AO12" s="276"/>
      <c r="AP12" s="276"/>
      <c r="AQ12" s="234"/>
    </row>
    <row r="13" spans="2:43">
      <c r="B13" s="13"/>
      <c r="C13" s="2" t="s">
        <v>384</v>
      </c>
      <c r="D13" s="274"/>
      <c r="E13" s="274"/>
      <c r="F13" s="274"/>
      <c r="G13" s="274"/>
      <c r="H13" s="234"/>
      <c r="I13" s="274"/>
      <c r="J13" s="274"/>
      <c r="K13" s="274"/>
      <c r="L13" s="274"/>
      <c r="M13" s="234"/>
      <c r="N13" s="274"/>
      <c r="O13" s="274"/>
      <c r="P13" s="274"/>
      <c r="Q13" s="274"/>
      <c r="R13" s="234"/>
      <c r="S13" s="274"/>
      <c r="T13" s="274"/>
      <c r="U13" s="274"/>
      <c r="V13" s="274"/>
      <c r="W13" s="234"/>
      <c r="X13" s="274"/>
      <c r="Y13" s="274"/>
      <c r="Z13" s="274"/>
      <c r="AA13" s="274"/>
      <c r="AB13" s="234"/>
      <c r="AC13" s="278"/>
      <c r="AD13" s="277"/>
      <c r="AE13" s="278"/>
      <c r="AF13" s="278"/>
      <c r="AG13" s="234"/>
      <c r="AH13" s="277"/>
      <c r="AI13" s="277"/>
      <c r="AJ13" s="277"/>
      <c r="AK13" s="277">
        <f t="shared" si="6"/>
        <v>0.41499999999999998</v>
      </c>
      <c r="AL13" s="404">
        <v>0.41499999999999998</v>
      </c>
      <c r="AM13" s="276"/>
      <c r="AN13" s="276"/>
      <c r="AO13" s="276"/>
      <c r="AP13" s="276"/>
      <c r="AQ13" s="234"/>
    </row>
    <row r="14" spans="2:43">
      <c r="B14" s="13"/>
      <c r="C14" s="2" t="s">
        <v>375</v>
      </c>
      <c r="D14" s="274"/>
      <c r="E14" s="274"/>
      <c r="F14" s="274"/>
      <c r="G14" s="274"/>
      <c r="H14" s="234"/>
      <c r="I14" s="274"/>
      <c r="J14" s="274"/>
      <c r="K14" s="274"/>
      <c r="L14" s="274"/>
      <c r="M14" s="234"/>
      <c r="N14" s="274"/>
      <c r="O14" s="274"/>
      <c r="P14" s="274"/>
      <c r="Q14" s="274"/>
      <c r="R14" s="234"/>
      <c r="S14" s="274"/>
      <c r="T14" s="274"/>
      <c r="U14" s="274"/>
      <c r="V14" s="274"/>
      <c r="W14" s="234"/>
      <c r="X14" s="274"/>
      <c r="Y14" s="274"/>
      <c r="Z14" s="274"/>
      <c r="AA14" s="274"/>
      <c r="AB14" s="234"/>
      <c r="AC14" s="278"/>
      <c r="AD14" s="277"/>
      <c r="AE14" s="278"/>
      <c r="AF14" s="278"/>
      <c r="AG14" s="234"/>
      <c r="AH14" s="277">
        <v>0</v>
      </c>
      <c r="AI14" s="277">
        <v>0</v>
      </c>
      <c r="AJ14" s="277">
        <f>12.034-AI14-AH14</f>
        <v>12.034000000000001</v>
      </c>
      <c r="AK14" s="277">
        <f>AL14-AJ14-AI14-AH14</f>
        <v>0</v>
      </c>
      <c r="AL14" s="404">
        <v>12.034000000000001</v>
      </c>
      <c r="AM14" s="276"/>
      <c r="AN14" s="276"/>
      <c r="AO14" s="276"/>
      <c r="AP14" s="276"/>
      <c r="AQ14" s="234"/>
    </row>
    <row r="15" spans="2:43">
      <c r="B15" s="13"/>
      <c r="C15" s="2" t="s">
        <v>364</v>
      </c>
      <c r="D15" s="274"/>
      <c r="E15" s="274"/>
      <c r="F15" s="274"/>
      <c r="G15" s="274"/>
      <c r="H15" s="234"/>
      <c r="I15" s="274"/>
      <c r="J15" s="274"/>
      <c r="K15" s="274"/>
      <c r="L15" s="274"/>
      <c r="M15" s="234"/>
      <c r="N15" s="274"/>
      <c r="O15" s="274"/>
      <c r="P15" s="274"/>
      <c r="Q15" s="274"/>
      <c r="R15" s="234"/>
      <c r="S15" s="274"/>
      <c r="T15" s="274"/>
      <c r="U15" s="274"/>
      <c r="V15" s="274"/>
      <c r="W15" s="234"/>
      <c r="X15" s="274"/>
      <c r="Y15" s="274"/>
      <c r="Z15" s="274"/>
      <c r="AA15" s="274"/>
      <c r="AB15" s="234"/>
      <c r="AC15" s="278"/>
      <c r="AD15" s="277"/>
      <c r="AE15" s="278"/>
      <c r="AF15" s="278"/>
      <c r="AG15" s="234"/>
      <c r="AH15" s="277">
        <v>-46.216000000000001</v>
      </c>
      <c r="AI15" s="277">
        <f>-46.216-AH15</f>
        <v>0</v>
      </c>
      <c r="AJ15" s="277">
        <f>-46.216-AI15-AH15</f>
        <v>0</v>
      </c>
      <c r="AK15" s="277">
        <f t="shared" si="6"/>
        <v>-6.4489999999999981</v>
      </c>
      <c r="AL15" s="404">
        <f>-52.665</f>
        <v>-52.664999999999999</v>
      </c>
      <c r="AM15" s="276"/>
      <c r="AN15" s="276"/>
      <c r="AO15" s="276"/>
      <c r="AP15" s="276"/>
      <c r="AQ15" s="234"/>
    </row>
    <row r="16" spans="2:43">
      <c r="B16" s="13"/>
      <c r="C16" s="2" t="s">
        <v>328</v>
      </c>
      <c r="D16" s="274"/>
      <c r="E16" s="274"/>
      <c r="F16" s="274"/>
      <c r="G16" s="274"/>
      <c r="H16" s="234"/>
      <c r="I16" s="274"/>
      <c r="J16" s="274"/>
      <c r="K16" s="274"/>
      <c r="L16" s="274"/>
      <c r="M16" s="234"/>
      <c r="N16" s="274"/>
      <c r="O16" s="274"/>
      <c r="P16" s="274"/>
      <c r="Q16" s="274"/>
      <c r="R16" s="234"/>
      <c r="S16" s="274"/>
      <c r="T16" s="274"/>
      <c r="U16" s="274"/>
      <c r="V16" s="274"/>
      <c r="W16" s="234"/>
      <c r="X16" s="274"/>
      <c r="Y16" s="274"/>
      <c r="Z16" s="274"/>
      <c r="AA16" s="274"/>
      <c r="AB16" s="234"/>
      <c r="AC16" s="278"/>
      <c r="AD16" s="277">
        <f>0.691-AC16</f>
        <v>0.69099999999999995</v>
      </c>
      <c r="AE16" s="278">
        <f>1.036-AD16</f>
        <v>0.34500000000000008</v>
      </c>
      <c r="AF16" s="278">
        <f t="shared" si="5"/>
        <v>0.34599999999999997</v>
      </c>
      <c r="AG16" s="234">
        <v>1.3819999999999999</v>
      </c>
      <c r="AH16" s="277">
        <v>0.56000000000000005</v>
      </c>
      <c r="AI16" s="277">
        <f>1.169-AH16</f>
        <v>0.60899999999999999</v>
      </c>
      <c r="AJ16" s="277">
        <f>2.615-AI16-AH16</f>
        <v>1.4460000000000002</v>
      </c>
      <c r="AK16" s="277">
        <f t="shared" si="6"/>
        <v>1.4729999999999999</v>
      </c>
      <c r="AL16" s="404">
        <f>4.088</f>
        <v>4.0880000000000001</v>
      </c>
      <c r="AM16" s="276"/>
      <c r="AN16" s="276"/>
      <c r="AO16" s="276"/>
      <c r="AP16" s="276"/>
      <c r="AQ16" s="234"/>
    </row>
    <row r="17" spans="2:43">
      <c r="B17" s="13"/>
      <c r="C17" s="2" t="s">
        <v>329</v>
      </c>
      <c r="D17" s="274"/>
      <c r="E17" s="274"/>
      <c r="F17" s="274"/>
      <c r="G17" s="274"/>
      <c r="H17" s="234"/>
      <c r="I17" s="274"/>
      <c r="J17" s="274"/>
      <c r="K17" s="274"/>
      <c r="L17" s="274"/>
      <c r="M17" s="234"/>
      <c r="N17" s="274"/>
      <c r="O17" s="274"/>
      <c r="P17" s="274"/>
      <c r="Q17" s="274"/>
      <c r="R17" s="234"/>
      <c r="S17" s="274"/>
      <c r="T17" s="274"/>
      <c r="U17" s="274"/>
      <c r="V17" s="274"/>
      <c r="W17" s="234"/>
      <c r="X17" s="274"/>
      <c r="Y17" s="274"/>
      <c r="Z17" s="274"/>
      <c r="AA17" s="274"/>
      <c r="AB17" s="234"/>
      <c r="AC17" s="278"/>
      <c r="AD17" s="277">
        <f>0.255-AC17</f>
        <v>0.255</v>
      </c>
      <c r="AE17" s="278">
        <f>0.383-AD17</f>
        <v>0.128</v>
      </c>
      <c r="AF17" s="278">
        <f t="shared" si="5"/>
        <v>0.127</v>
      </c>
      <c r="AG17" s="234">
        <v>0.51</v>
      </c>
      <c r="AH17" s="277">
        <v>0.157</v>
      </c>
      <c r="AI17" s="277">
        <f>0.332-AH17</f>
        <v>0.17500000000000002</v>
      </c>
      <c r="AJ17" s="277">
        <f>0.398-AI17-AH17</f>
        <v>6.6000000000000003E-2</v>
      </c>
      <c r="AK17" s="277">
        <f t="shared" si="6"/>
        <v>8.5999999999999965E-2</v>
      </c>
      <c r="AL17" s="404">
        <v>0.48399999999999999</v>
      </c>
      <c r="AM17" s="276"/>
      <c r="AN17" s="276"/>
      <c r="AO17" s="276"/>
      <c r="AP17" s="276"/>
      <c r="AQ17" s="234"/>
    </row>
    <row r="18" spans="2:43">
      <c r="B18" s="13"/>
      <c r="C18" s="2" t="s">
        <v>330</v>
      </c>
      <c r="D18" s="274"/>
      <c r="E18" s="274"/>
      <c r="F18" s="274"/>
      <c r="G18" s="274"/>
      <c r="H18" s="234"/>
      <c r="I18" s="274"/>
      <c r="J18" s="274"/>
      <c r="K18" s="274"/>
      <c r="L18" s="274"/>
      <c r="M18" s="234"/>
      <c r="N18" s="274"/>
      <c r="O18" s="274"/>
      <c r="P18" s="274"/>
      <c r="Q18" s="274"/>
      <c r="R18" s="234"/>
      <c r="S18" s="274"/>
      <c r="T18" s="274"/>
      <c r="U18" s="274"/>
      <c r="V18" s="274"/>
      <c r="W18" s="234"/>
      <c r="X18" s="274"/>
      <c r="Y18" s="274"/>
      <c r="Z18" s="274"/>
      <c r="AA18" s="274"/>
      <c r="AB18" s="234"/>
      <c r="AC18" s="278"/>
      <c r="AD18" s="277">
        <f>0.165-AC18</f>
        <v>0.16500000000000001</v>
      </c>
      <c r="AE18" s="278">
        <f>0.165-AD18</f>
        <v>0</v>
      </c>
      <c r="AF18" s="278">
        <f t="shared" si="5"/>
        <v>-9.3000000000000013E-2</v>
      </c>
      <c r="AG18" s="234">
        <f>0.072</f>
        <v>7.1999999999999995E-2</v>
      </c>
      <c r="AH18" s="277">
        <v>0</v>
      </c>
      <c r="AI18" s="277">
        <v>0</v>
      </c>
      <c r="AJ18" s="277">
        <v>0</v>
      </c>
      <c r="AK18" s="277">
        <f t="shared" si="6"/>
        <v>0</v>
      </c>
      <c r="AL18" s="404">
        <v>0</v>
      </c>
      <c r="AM18" s="276"/>
      <c r="AN18" s="276"/>
      <c r="AO18" s="276"/>
      <c r="AP18" s="276"/>
      <c r="AQ18" s="234"/>
    </row>
    <row r="19" spans="2:43">
      <c r="B19" s="13"/>
      <c r="C19" s="2" t="s">
        <v>363</v>
      </c>
      <c r="D19" s="274"/>
      <c r="E19" s="274"/>
      <c r="F19" s="274"/>
      <c r="G19" s="274"/>
      <c r="H19" s="234"/>
      <c r="I19" s="274"/>
      <c r="J19" s="274"/>
      <c r="K19" s="274"/>
      <c r="L19" s="274"/>
      <c r="M19" s="234"/>
      <c r="N19" s="274"/>
      <c r="O19" s="274"/>
      <c r="P19" s="274"/>
      <c r="Q19" s="274"/>
      <c r="R19" s="234"/>
      <c r="S19" s="274"/>
      <c r="T19" s="274"/>
      <c r="U19" s="274"/>
      <c r="V19" s="274"/>
      <c r="W19" s="234"/>
      <c r="X19" s="274"/>
      <c r="Y19" s="274"/>
      <c r="Z19" s="274"/>
      <c r="AA19" s="274"/>
      <c r="AB19" s="234"/>
      <c r="AC19" s="278"/>
      <c r="AD19" s="277"/>
      <c r="AE19" s="278"/>
      <c r="AF19" s="278"/>
      <c r="AG19" s="234"/>
      <c r="AH19" s="277">
        <v>4.5999999999999999E-2</v>
      </c>
      <c r="AI19" s="277">
        <f>0.312-AH19</f>
        <v>0.26600000000000001</v>
      </c>
      <c r="AJ19" s="277">
        <f>0.291-AI19-AH19</f>
        <v>-2.1000000000000033E-2</v>
      </c>
      <c r="AK19" s="277">
        <f t="shared" si="6"/>
        <v>-1.6279999999999999</v>
      </c>
      <c r="AL19" s="404">
        <v>-1.337</v>
      </c>
      <c r="AM19" s="276"/>
      <c r="AN19" s="276"/>
      <c r="AO19" s="276"/>
      <c r="AP19" s="276"/>
      <c r="AQ19" s="234"/>
    </row>
    <row r="20" spans="2:43">
      <c r="B20" s="13"/>
      <c r="C20" s="2" t="s">
        <v>331</v>
      </c>
      <c r="D20" s="274"/>
      <c r="E20" s="274"/>
      <c r="F20" s="274"/>
      <c r="G20" s="274"/>
      <c r="H20" s="234"/>
      <c r="I20" s="274"/>
      <c r="J20" s="274"/>
      <c r="K20" s="274"/>
      <c r="L20" s="274"/>
      <c r="M20" s="234"/>
      <c r="N20" s="274"/>
      <c r="O20" s="274"/>
      <c r="P20" s="274"/>
      <c r="Q20" s="274"/>
      <c r="R20" s="234"/>
      <c r="S20" s="274"/>
      <c r="T20" s="274"/>
      <c r="U20" s="274"/>
      <c r="V20" s="274"/>
      <c r="W20" s="234"/>
      <c r="X20" s="274"/>
      <c r="Y20" s="274"/>
      <c r="Z20" s="274"/>
      <c r="AA20" s="274"/>
      <c r="AB20" s="234"/>
      <c r="AC20" s="278"/>
      <c r="AD20" s="277">
        <f>2.422-AC20</f>
        <v>2.4220000000000002</v>
      </c>
      <c r="AE20" s="278">
        <f>3.633-AD20</f>
        <v>1.2109999999999999</v>
      </c>
      <c r="AF20" s="278">
        <f t="shared" si="5"/>
        <v>-15.090999999999999</v>
      </c>
      <c r="AG20" s="234">
        <f>-16.301+4.843</f>
        <v>-11.457999999999998</v>
      </c>
      <c r="AH20" s="277">
        <v>0</v>
      </c>
      <c r="AI20" s="277">
        <v>0</v>
      </c>
      <c r="AJ20" s="277">
        <v>0</v>
      </c>
      <c r="AK20" s="277">
        <f t="shared" si="6"/>
        <v>0</v>
      </c>
      <c r="AL20" s="404">
        <v>0</v>
      </c>
      <c r="AM20" s="276"/>
      <c r="AN20" s="276"/>
      <c r="AO20" s="276"/>
      <c r="AP20" s="276"/>
      <c r="AQ20" s="234"/>
    </row>
    <row r="21" spans="2:43">
      <c r="B21" s="13"/>
      <c r="C21" s="2" t="s">
        <v>332</v>
      </c>
      <c r="D21" s="274"/>
      <c r="E21" s="274"/>
      <c r="F21" s="274"/>
      <c r="G21" s="274"/>
      <c r="H21" s="234"/>
      <c r="I21" s="274"/>
      <c r="J21" s="274"/>
      <c r="K21" s="274"/>
      <c r="L21" s="274"/>
      <c r="M21" s="234"/>
      <c r="N21" s="274"/>
      <c r="O21" s="274"/>
      <c r="P21" s="274"/>
      <c r="Q21" s="274"/>
      <c r="R21" s="234"/>
      <c r="S21" s="274"/>
      <c r="T21" s="274"/>
      <c r="U21" s="274"/>
      <c r="V21" s="274"/>
      <c r="W21" s="234"/>
      <c r="X21" s="274"/>
      <c r="Y21" s="274"/>
      <c r="Z21" s="274"/>
      <c r="AA21" s="274"/>
      <c r="AB21" s="234"/>
      <c r="AC21" s="278"/>
      <c r="AD21" s="277">
        <f>0.327-AC21</f>
        <v>0.32700000000000001</v>
      </c>
      <c r="AE21" s="278">
        <f>0.545-AD21</f>
        <v>0.21800000000000003</v>
      </c>
      <c r="AF21" s="278">
        <f t="shared" si="5"/>
        <v>0.13500000000000001</v>
      </c>
      <c r="AG21" s="234">
        <f>0.68</f>
        <v>0.68</v>
      </c>
      <c r="AH21" s="277">
        <v>0.316</v>
      </c>
      <c r="AI21" s="277">
        <f>0.625-AH21</f>
        <v>0.309</v>
      </c>
      <c r="AJ21" s="277">
        <f>0.767-AI21-AH21</f>
        <v>0.14200000000000002</v>
      </c>
      <c r="AK21" s="277">
        <f t="shared" si="6"/>
        <v>1.7909999999999997</v>
      </c>
      <c r="AL21" s="404">
        <v>2.5579999999999998</v>
      </c>
      <c r="AM21" s="276"/>
      <c r="AN21" s="276"/>
      <c r="AO21" s="276"/>
      <c r="AP21" s="276"/>
      <c r="AQ21" s="234"/>
    </row>
    <row r="22" spans="2:43">
      <c r="B22" s="13"/>
      <c r="C22" s="2" t="s">
        <v>376</v>
      </c>
      <c r="D22" s="274"/>
      <c r="E22" s="274"/>
      <c r="F22" s="274"/>
      <c r="G22" s="274"/>
      <c r="H22" s="234"/>
      <c r="I22" s="274"/>
      <c r="J22" s="274"/>
      <c r="K22" s="274"/>
      <c r="L22" s="274"/>
      <c r="M22" s="234"/>
      <c r="N22" s="274"/>
      <c r="O22" s="274"/>
      <c r="P22" s="274"/>
      <c r="Q22" s="274"/>
      <c r="R22" s="234"/>
      <c r="S22" s="274"/>
      <c r="T22" s="274"/>
      <c r="U22" s="274"/>
      <c r="V22" s="274"/>
      <c r="W22" s="234"/>
      <c r="X22" s="274"/>
      <c r="Y22" s="274"/>
      <c r="Z22" s="274"/>
      <c r="AA22" s="274"/>
      <c r="AB22" s="234"/>
      <c r="AC22" s="278"/>
      <c r="AD22" s="277"/>
      <c r="AE22" s="278"/>
      <c r="AF22" s="278"/>
      <c r="AG22" s="234"/>
      <c r="AH22" s="277">
        <v>0</v>
      </c>
      <c r="AI22" s="277">
        <v>0</v>
      </c>
      <c r="AJ22" s="277">
        <f>1.135-AI22-AH22</f>
        <v>1.135</v>
      </c>
      <c r="AK22" s="277">
        <f t="shared" si="6"/>
        <v>0.19999999999999996</v>
      </c>
      <c r="AL22" s="404">
        <v>1.335</v>
      </c>
      <c r="AM22" s="276"/>
      <c r="AN22" s="276"/>
      <c r="AO22" s="276"/>
      <c r="AP22" s="276"/>
      <c r="AQ22" s="234"/>
    </row>
    <row r="23" spans="2:43">
      <c r="B23" s="13"/>
      <c r="C23" s="2" t="s">
        <v>333</v>
      </c>
      <c r="D23" s="274"/>
      <c r="E23" s="274"/>
      <c r="F23" s="274"/>
      <c r="G23" s="274"/>
      <c r="H23" s="234"/>
      <c r="I23" s="274"/>
      <c r="J23" s="274"/>
      <c r="K23" s="274"/>
      <c r="L23" s="274"/>
      <c r="M23" s="234"/>
      <c r="N23" s="274"/>
      <c r="O23" s="274"/>
      <c r="P23" s="274"/>
      <c r="Q23" s="274"/>
      <c r="R23" s="234"/>
      <c r="S23" s="274"/>
      <c r="T23" s="274"/>
      <c r="U23" s="274"/>
      <c r="V23" s="274"/>
      <c r="W23" s="234"/>
      <c r="X23" s="274"/>
      <c r="Y23" s="274"/>
      <c r="Z23" s="274"/>
      <c r="AA23" s="274"/>
      <c r="AB23" s="234"/>
      <c r="AC23" s="278"/>
      <c r="AD23" s="277">
        <f>7.7-AC23</f>
        <v>7.7</v>
      </c>
      <c r="AE23" s="278">
        <f>-18.302-AD23</f>
        <v>-26.001999999999999</v>
      </c>
      <c r="AF23" s="278">
        <f t="shared" si="5"/>
        <v>-8.8817841970012523E-16</v>
      </c>
      <c r="AG23" s="234">
        <v>-18.302</v>
      </c>
      <c r="AH23" s="277">
        <v>0</v>
      </c>
      <c r="AI23" s="277">
        <v>0</v>
      </c>
      <c r="AJ23" s="277">
        <v>0</v>
      </c>
      <c r="AK23" s="277">
        <f t="shared" si="6"/>
        <v>0</v>
      </c>
      <c r="AL23" s="404">
        <v>0</v>
      </c>
      <c r="AM23" s="276"/>
      <c r="AN23" s="276"/>
      <c r="AO23" s="276"/>
      <c r="AP23" s="276"/>
      <c r="AQ23" s="234"/>
    </row>
    <row r="24" spans="2:43">
      <c r="B24" s="13"/>
      <c r="C24" s="2" t="s">
        <v>334</v>
      </c>
      <c r="D24" s="274"/>
      <c r="E24" s="274"/>
      <c r="F24" s="274"/>
      <c r="G24" s="274"/>
      <c r="H24" s="234"/>
      <c r="I24" s="274"/>
      <c r="J24" s="274"/>
      <c r="K24" s="274"/>
      <c r="L24" s="274"/>
      <c r="M24" s="234"/>
      <c r="N24" s="274"/>
      <c r="O24" s="274"/>
      <c r="P24" s="274"/>
      <c r="Q24" s="274"/>
      <c r="R24" s="234"/>
      <c r="S24" s="274"/>
      <c r="T24" s="274"/>
      <c r="U24" s="274"/>
      <c r="V24" s="274"/>
      <c r="W24" s="234"/>
      <c r="X24" s="274"/>
      <c r="Y24" s="274"/>
      <c r="Z24" s="274"/>
      <c r="AA24" s="274"/>
      <c r="AB24" s="234"/>
      <c r="AC24" s="278"/>
      <c r="AD24" s="277">
        <v>0</v>
      </c>
      <c r="AE24" s="278">
        <f>1.692-AD24</f>
        <v>1.6919999999999999</v>
      </c>
      <c r="AF24" s="278">
        <f t="shared" si="5"/>
        <v>2.5359999999999996</v>
      </c>
      <c r="AG24" s="234">
        <f>4.228</f>
        <v>4.2279999999999998</v>
      </c>
      <c r="AH24" s="277">
        <v>1.883</v>
      </c>
      <c r="AI24" s="277">
        <f>3.983-AH24</f>
        <v>2.1</v>
      </c>
      <c r="AJ24" s="277">
        <f>2.465-AI24-AH24</f>
        <v>-1.5180000000000002</v>
      </c>
      <c r="AK24" s="277">
        <f t="shared" si="6"/>
        <v>3.149</v>
      </c>
      <c r="AL24" s="404">
        <v>5.6139999999999999</v>
      </c>
      <c r="AM24" s="276"/>
      <c r="AN24" s="276"/>
      <c r="AO24" s="276"/>
      <c r="AP24" s="276"/>
      <c r="AQ24" s="234"/>
    </row>
    <row r="25" spans="2:43">
      <c r="B25" s="13"/>
      <c r="C25" s="2" t="s">
        <v>335</v>
      </c>
      <c r="D25" s="274"/>
      <c r="E25" s="274"/>
      <c r="F25" s="274"/>
      <c r="G25" s="274"/>
      <c r="H25" s="234"/>
      <c r="I25" s="274"/>
      <c r="J25" s="274"/>
      <c r="K25" s="274"/>
      <c r="L25" s="274"/>
      <c r="M25" s="234"/>
      <c r="N25" s="274"/>
      <c r="O25" s="274"/>
      <c r="P25" s="274"/>
      <c r="Q25" s="274"/>
      <c r="R25" s="234"/>
      <c r="S25" s="274"/>
      <c r="T25" s="274"/>
      <c r="U25" s="274"/>
      <c r="V25" s="274"/>
      <c r="W25" s="234"/>
      <c r="X25" s="274"/>
      <c r="Y25" s="274"/>
      <c r="Z25" s="274"/>
      <c r="AA25" s="274"/>
      <c r="AB25" s="234"/>
      <c r="AC25" s="278"/>
      <c r="AD25" s="277">
        <v>0</v>
      </c>
      <c r="AE25" s="278">
        <f>0-AD25</f>
        <v>0</v>
      </c>
      <c r="AF25" s="278">
        <f t="shared" si="5"/>
        <v>0</v>
      </c>
      <c r="AG25" s="234">
        <v>0</v>
      </c>
      <c r="AH25" s="277">
        <v>0</v>
      </c>
      <c r="AI25" s="277">
        <v>0</v>
      </c>
      <c r="AJ25" s="277">
        <v>0</v>
      </c>
      <c r="AK25" s="277">
        <f t="shared" si="6"/>
        <v>0</v>
      </c>
      <c r="AL25" s="404">
        <v>0</v>
      </c>
      <c r="AM25" s="276"/>
      <c r="AN25" s="276"/>
      <c r="AO25" s="276"/>
      <c r="AP25" s="276"/>
      <c r="AQ25" s="234"/>
    </row>
    <row r="26" spans="2:43">
      <c r="B26" s="13"/>
      <c r="C26" s="2" t="s">
        <v>336</v>
      </c>
      <c r="D26" s="274"/>
      <c r="E26" s="274"/>
      <c r="F26" s="274"/>
      <c r="G26" s="274"/>
      <c r="H26" s="234"/>
      <c r="I26" s="274"/>
      <c r="J26" s="274"/>
      <c r="K26" s="274"/>
      <c r="L26" s="274"/>
      <c r="M26" s="234"/>
      <c r="N26" s="274"/>
      <c r="O26" s="274"/>
      <c r="P26" s="274"/>
      <c r="Q26" s="274"/>
      <c r="R26" s="234"/>
      <c r="S26" s="274"/>
      <c r="T26" s="274"/>
      <c r="U26" s="274"/>
      <c r="V26" s="274"/>
      <c r="W26" s="234"/>
      <c r="X26" s="274"/>
      <c r="Y26" s="274"/>
      <c r="Z26" s="274"/>
      <c r="AA26" s="274"/>
      <c r="AB26" s="234"/>
      <c r="AC26" s="278"/>
      <c r="AD26" s="277">
        <f>3.252-AC26</f>
        <v>3.2519999999999998</v>
      </c>
      <c r="AE26" s="278">
        <f>4.67-AD26</f>
        <v>1.4180000000000001</v>
      </c>
      <c r="AF26" s="278">
        <f t="shared" si="5"/>
        <v>1.3769999999999998</v>
      </c>
      <c r="AG26" s="234">
        <v>6.0469999999999997</v>
      </c>
      <c r="AH26" s="277">
        <v>2.089</v>
      </c>
      <c r="AI26" s="277">
        <f>4.573-AH26</f>
        <v>2.4840000000000004</v>
      </c>
      <c r="AJ26" s="277">
        <f>7.866-AI26-AH26</f>
        <v>3.2929999999999997</v>
      </c>
      <c r="AK26" s="277">
        <f t="shared" si="6"/>
        <v>3.6880000000000011</v>
      </c>
      <c r="AL26" s="404">
        <v>11.554</v>
      </c>
      <c r="AM26" s="276"/>
      <c r="AN26" s="276"/>
      <c r="AO26" s="276"/>
      <c r="AP26" s="276"/>
      <c r="AQ26" s="234"/>
    </row>
    <row r="27" spans="2:43">
      <c r="B27" s="13"/>
      <c r="C27" s="2" t="s">
        <v>337</v>
      </c>
      <c r="D27" s="274"/>
      <c r="E27" s="274"/>
      <c r="F27" s="274"/>
      <c r="G27" s="274"/>
      <c r="H27" s="234"/>
      <c r="I27" s="274"/>
      <c r="J27" s="274"/>
      <c r="K27" s="274"/>
      <c r="L27" s="274"/>
      <c r="M27" s="234"/>
      <c r="N27" s="274"/>
      <c r="O27" s="274"/>
      <c r="P27" s="274"/>
      <c r="Q27" s="274"/>
      <c r="R27" s="234"/>
      <c r="S27" s="274"/>
      <c r="T27" s="274"/>
      <c r="U27" s="274"/>
      <c r="V27" s="274"/>
      <c r="W27" s="234"/>
      <c r="X27" s="274"/>
      <c r="Y27" s="274"/>
      <c r="Z27" s="274"/>
      <c r="AA27" s="274"/>
      <c r="AB27" s="234"/>
      <c r="AC27" s="278"/>
      <c r="AD27" s="277">
        <f>0.092-AC27</f>
        <v>9.1999999999999998E-2</v>
      </c>
      <c r="AE27" s="278">
        <f>0.085-AD27</f>
        <v>-6.9999999999999923E-3</v>
      </c>
      <c r="AF27" s="278">
        <f t="shared" si="5"/>
        <v>0.11200000000000002</v>
      </c>
      <c r="AG27" s="234">
        <v>0.19700000000000001</v>
      </c>
      <c r="AH27" s="277">
        <v>0.248</v>
      </c>
      <c r="AI27" s="277">
        <f>0.108-AH27</f>
        <v>-0.14000000000000001</v>
      </c>
      <c r="AJ27" s="277">
        <f>0.109-AI27-AH27</f>
        <v>1.0000000000000009E-3</v>
      </c>
      <c r="AK27" s="277">
        <f t="shared" si="6"/>
        <v>0.15900000000000003</v>
      </c>
      <c r="AL27" s="404">
        <v>0.26800000000000002</v>
      </c>
      <c r="AM27" s="276"/>
      <c r="AN27" s="276"/>
      <c r="AO27" s="276"/>
      <c r="AP27" s="276"/>
      <c r="AQ27" s="234"/>
    </row>
    <row r="28" spans="2:43">
      <c r="B28" s="13"/>
      <c r="C28" s="2" t="s">
        <v>338</v>
      </c>
      <c r="D28" s="274"/>
      <c r="E28" s="274"/>
      <c r="F28" s="274"/>
      <c r="G28" s="274"/>
      <c r="H28" s="234"/>
      <c r="I28" s="274"/>
      <c r="J28" s="274"/>
      <c r="K28" s="274"/>
      <c r="L28" s="274"/>
      <c r="M28" s="234"/>
      <c r="N28" s="274"/>
      <c r="O28" s="274"/>
      <c r="P28" s="274"/>
      <c r="Q28" s="274"/>
      <c r="R28" s="234"/>
      <c r="S28" s="274"/>
      <c r="T28" s="274"/>
      <c r="U28" s="274"/>
      <c r="V28" s="274"/>
      <c r="W28" s="234"/>
      <c r="X28" s="274"/>
      <c r="Y28" s="274"/>
      <c r="Z28" s="274"/>
      <c r="AA28" s="274"/>
      <c r="AB28" s="234"/>
      <c r="AC28" s="278"/>
      <c r="AD28" s="277">
        <v>0</v>
      </c>
      <c r="AE28" s="278">
        <f>0-AD28</f>
        <v>0</v>
      </c>
      <c r="AF28" s="278">
        <f t="shared" si="5"/>
        <v>0</v>
      </c>
      <c r="AG28" s="234">
        <v>0</v>
      </c>
      <c r="AH28" s="277">
        <v>0</v>
      </c>
      <c r="AI28" s="277">
        <v>0</v>
      </c>
      <c r="AJ28" s="277">
        <v>0</v>
      </c>
      <c r="AK28" s="277">
        <f t="shared" si="6"/>
        <v>0</v>
      </c>
      <c r="AL28" s="404">
        <v>0</v>
      </c>
      <c r="AM28" s="276"/>
      <c r="AN28" s="276"/>
      <c r="AO28" s="276"/>
      <c r="AP28" s="276"/>
      <c r="AQ28" s="234"/>
    </row>
    <row r="29" spans="2:43">
      <c r="B29" s="13"/>
      <c r="C29" s="2" t="s">
        <v>339</v>
      </c>
      <c r="D29" s="274"/>
      <c r="E29" s="274"/>
      <c r="F29" s="274"/>
      <c r="G29" s="274"/>
      <c r="H29" s="234"/>
      <c r="I29" s="274"/>
      <c r="J29" s="274"/>
      <c r="K29" s="274"/>
      <c r="L29" s="274"/>
      <c r="M29" s="234"/>
      <c r="N29" s="274"/>
      <c r="O29" s="274"/>
      <c r="P29" s="274"/>
      <c r="Q29" s="274"/>
      <c r="R29" s="234"/>
      <c r="S29" s="274"/>
      <c r="T29" s="274"/>
      <c r="U29" s="274"/>
      <c r="V29" s="274"/>
      <c r="W29" s="234"/>
      <c r="X29" s="274"/>
      <c r="Y29" s="274"/>
      <c r="Z29" s="274"/>
      <c r="AA29" s="274"/>
      <c r="AB29" s="234"/>
      <c r="AC29" s="278"/>
      <c r="AD29" s="277">
        <f>4.366-AC29</f>
        <v>4.3659999999999997</v>
      </c>
      <c r="AE29" s="278">
        <f>6.567-AD29</f>
        <v>2.2010000000000005</v>
      </c>
      <c r="AF29" s="278">
        <f t="shared" si="5"/>
        <v>2.2439999999999998</v>
      </c>
      <c r="AG29" s="234">
        <v>8.8109999999999999</v>
      </c>
      <c r="AH29" s="277">
        <v>3.274</v>
      </c>
      <c r="AI29" s="277">
        <f>7.157-AH29</f>
        <v>3.883</v>
      </c>
      <c r="AJ29" s="277">
        <f>8.839-AI29-AH29</f>
        <v>1.6820000000000004</v>
      </c>
      <c r="AK29" s="277">
        <f t="shared" si="6"/>
        <v>1.6980000000000004</v>
      </c>
      <c r="AL29" s="404">
        <v>10.537000000000001</v>
      </c>
      <c r="AM29" s="276"/>
      <c r="AN29" s="276"/>
      <c r="AO29" s="276"/>
      <c r="AP29" s="276"/>
      <c r="AQ29" s="234"/>
    </row>
    <row r="30" spans="2:43">
      <c r="B30" s="13"/>
      <c r="C30" s="2" t="s">
        <v>177</v>
      </c>
      <c r="D30" s="274">
        <v>1.0211870000000001E-2</v>
      </c>
      <c r="E30" s="274">
        <v>7.603040000000001E-3</v>
      </c>
      <c r="F30" s="274">
        <v>5.7987999999999998E-3</v>
      </c>
      <c r="G30" s="274">
        <v>4.8116599999999997E-3</v>
      </c>
      <c r="H30" s="234">
        <f t="shared" si="0"/>
        <v>2.8425370000000002E-2</v>
      </c>
      <c r="I30" s="274">
        <v>0.14312638</v>
      </c>
      <c r="J30" s="274">
        <v>-0.13652573999999998</v>
      </c>
      <c r="K30" s="274">
        <v>5.5213460799999998</v>
      </c>
      <c r="L30" s="274">
        <v>13.400724990000001</v>
      </c>
      <c r="M30" s="234">
        <f t="shared" si="1"/>
        <v>18.92867171</v>
      </c>
      <c r="N30" s="274">
        <v>3.7722974200000001</v>
      </c>
      <c r="O30" s="274">
        <v>3.7897429500000004</v>
      </c>
      <c r="P30" s="274">
        <v>3.7892903100000002</v>
      </c>
      <c r="Q30" s="274">
        <v>3.8321984299999996</v>
      </c>
      <c r="R30" s="234">
        <f t="shared" si="2"/>
        <v>15.18352911</v>
      </c>
      <c r="S30" s="274">
        <v>4.29039226</v>
      </c>
      <c r="T30" s="274">
        <v>3.8553121399999997</v>
      </c>
      <c r="U30" s="274">
        <v>4.5259342520000008</v>
      </c>
      <c r="V30" s="274">
        <v>4.1316870499999974</v>
      </c>
      <c r="W30" s="234">
        <f t="shared" si="3"/>
        <v>16.803325701999999</v>
      </c>
      <c r="X30" s="274">
        <v>3.7847313800000029</v>
      </c>
      <c r="Y30" s="274">
        <v>3.8267839499999954</v>
      </c>
      <c r="Z30" s="274">
        <v>4.1122514800000038</v>
      </c>
      <c r="AA30" s="274">
        <v>4.1122514899999949</v>
      </c>
      <c r="AB30" s="234">
        <f t="shared" si="4"/>
        <v>15.836018299999996</v>
      </c>
      <c r="AC30" s="278">
        <v>3.6433407000000031</v>
      </c>
      <c r="AD30" s="277">
        <f>0-AC30</f>
        <v>-3.6433407000000031</v>
      </c>
      <c r="AE30" s="278">
        <f>0-AD30-AC30</f>
        <v>0</v>
      </c>
      <c r="AF30" s="278">
        <f t="shared" si="5"/>
        <v>0</v>
      </c>
      <c r="AG30" s="234">
        <v>0</v>
      </c>
      <c r="AH30" s="277">
        <v>0</v>
      </c>
      <c r="AI30" s="277">
        <v>0</v>
      </c>
      <c r="AJ30" s="277">
        <v>0</v>
      </c>
      <c r="AK30" s="277">
        <f t="shared" ref="AK30:AK45" si="8">AL30-AJ30-AI30-AH30</f>
        <v>0</v>
      </c>
      <c r="AL30" s="404">
        <v>0</v>
      </c>
      <c r="AM30" s="276">
        <v>3.2749999999999999</v>
      </c>
      <c r="AN30" s="276">
        <v>3.2749999999999999</v>
      </c>
      <c r="AO30" s="276">
        <v>3.2749999999999999</v>
      </c>
      <c r="AP30" s="276">
        <v>3.2749999999999999</v>
      </c>
      <c r="AQ30" s="234">
        <f t="shared" si="7"/>
        <v>13.1</v>
      </c>
    </row>
    <row r="31" spans="2:43">
      <c r="B31" s="13"/>
      <c r="C31" s="2" t="s">
        <v>178</v>
      </c>
      <c r="D31" s="274">
        <v>0</v>
      </c>
      <c r="E31" s="274">
        <v>0</v>
      </c>
      <c r="F31" s="274">
        <v>0</v>
      </c>
      <c r="G31" s="274">
        <v>0</v>
      </c>
      <c r="H31" s="234">
        <f t="shared" si="0"/>
        <v>0</v>
      </c>
      <c r="I31" s="274">
        <v>0</v>
      </c>
      <c r="J31" s="274">
        <v>0</v>
      </c>
      <c r="K31" s="274">
        <v>0</v>
      </c>
      <c r="L31" s="274">
        <v>0</v>
      </c>
      <c r="M31" s="234">
        <f t="shared" si="1"/>
        <v>0</v>
      </c>
      <c r="N31" s="274">
        <v>0</v>
      </c>
      <c r="O31" s="274">
        <v>0</v>
      </c>
      <c r="P31" s="274">
        <v>0</v>
      </c>
      <c r="Q31" s="274">
        <v>0</v>
      </c>
      <c r="R31" s="234">
        <f t="shared" si="2"/>
        <v>0</v>
      </c>
      <c r="S31" s="274">
        <v>0</v>
      </c>
      <c r="T31" s="274">
        <v>0</v>
      </c>
      <c r="U31" s="274">
        <v>0</v>
      </c>
      <c r="V31" s="274">
        <v>5.0904116400000019</v>
      </c>
      <c r="W31" s="234">
        <f t="shared" si="3"/>
        <v>5.0904116400000019</v>
      </c>
      <c r="X31" s="274">
        <v>4.44386233</v>
      </c>
      <c r="Y31" s="274">
        <v>1.6144166500000003</v>
      </c>
      <c r="Z31" s="274">
        <v>-0.61172438999999967</v>
      </c>
      <c r="AA31" s="274">
        <v>2.9575012700000003</v>
      </c>
      <c r="AB31" s="234">
        <f t="shared" si="4"/>
        <v>8.4040558600000015</v>
      </c>
      <c r="AC31" s="278">
        <v>-4.1110350000001489E-2</v>
      </c>
      <c r="AD31" s="277">
        <f>0-AC31</f>
        <v>4.1110350000001489E-2</v>
      </c>
      <c r="AE31" s="278">
        <f>0-AD31-AC31</f>
        <v>0</v>
      </c>
      <c r="AF31" s="278">
        <f t="shared" si="5"/>
        <v>0</v>
      </c>
      <c r="AG31" s="234">
        <v>0</v>
      </c>
      <c r="AH31" s="277">
        <v>0</v>
      </c>
      <c r="AI31" s="277">
        <v>0</v>
      </c>
      <c r="AJ31" s="276">
        <v>0</v>
      </c>
      <c r="AK31" s="277">
        <f t="shared" si="8"/>
        <v>0</v>
      </c>
      <c r="AL31" s="404">
        <v>0</v>
      </c>
      <c r="AM31" s="276">
        <v>2.2999999999999998</v>
      </c>
      <c r="AN31" s="276">
        <v>2.2999999999999998</v>
      </c>
      <c r="AO31" s="276">
        <v>2.2999999999999998</v>
      </c>
      <c r="AP31" s="276">
        <v>2.2999999999999998</v>
      </c>
      <c r="AQ31" s="234">
        <f t="shared" si="7"/>
        <v>9.1999999999999993</v>
      </c>
    </row>
    <row r="32" spans="2:43">
      <c r="B32" s="13"/>
      <c r="C32" s="2" t="s">
        <v>173</v>
      </c>
      <c r="D32" s="274">
        <v>0</v>
      </c>
      <c r="E32" s="274">
        <v>0</v>
      </c>
      <c r="F32" s="274">
        <v>0</v>
      </c>
      <c r="G32" s="274">
        <v>0</v>
      </c>
      <c r="H32" s="234">
        <f t="shared" si="0"/>
        <v>0</v>
      </c>
      <c r="I32" s="274">
        <v>0</v>
      </c>
      <c r="J32" s="274">
        <v>330</v>
      </c>
      <c r="K32" s="274">
        <v>0</v>
      </c>
      <c r="L32" s="274">
        <v>-80</v>
      </c>
      <c r="M32" s="234">
        <f t="shared" si="1"/>
        <v>250</v>
      </c>
      <c r="N32" s="274">
        <v>-0.94200000000000728</v>
      </c>
      <c r="O32" s="274">
        <v>-2.4770000000000039</v>
      </c>
      <c r="P32" s="274">
        <v>-3.1610000000000014</v>
      </c>
      <c r="Q32" s="274">
        <v>-5.1839999999999975</v>
      </c>
      <c r="R32" s="234">
        <f t="shared" si="2"/>
        <v>-11.76400000000001</v>
      </c>
      <c r="S32" s="274">
        <v>-3.1819679999999835</v>
      </c>
      <c r="T32" s="274">
        <v>-3.2912350000000004</v>
      </c>
      <c r="U32" s="274">
        <v>-3.7476644399999941</v>
      </c>
      <c r="V32" s="274">
        <v>-6.9212894000000063</v>
      </c>
      <c r="W32" s="234">
        <f t="shared" si="3"/>
        <v>-17.142156839999984</v>
      </c>
      <c r="X32" s="274">
        <v>-5.0593700000000013</v>
      </c>
      <c r="Y32" s="274">
        <v>-8.8669480000000078</v>
      </c>
      <c r="Z32" s="274">
        <v>-8.2938694900000201</v>
      </c>
      <c r="AA32" s="274">
        <v>-5.7498613599999828</v>
      </c>
      <c r="AB32" s="234">
        <f t="shared" si="4"/>
        <v>-27.970048850000012</v>
      </c>
      <c r="AC32" s="278">
        <v>-6.3911335699999938</v>
      </c>
      <c r="AD32" s="277">
        <f>0-AC32</f>
        <v>6.3911335699999938</v>
      </c>
      <c r="AE32" s="278">
        <f>0-AD32-AC32</f>
        <v>0</v>
      </c>
      <c r="AF32" s="278">
        <f t="shared" si="5"/>
        <v>0</v>
      </c>
      <c r="AG32" s="234">
        <v>0</v>
      </c>
      <c r="AH32" s="277">
        <v>0</v>
      </c>
      <c r="AI32" s="277">
        <v>0</v>
      </c>
      <c r="AJ32" s="278">
        <v>0</v>
      </c>
      <c r="AK32" s="277">
        <f t="shared" si="8"/>
        <v>0</v>
      </c>
      <c r="AL32" s="404">
        <v>0</v>
      </c>
      <c r="AM32" s="278">
        <f>BS!AM33-BS!AK33</f>
        <v>-8.9000000000000057</v>
      </c>
      <c r="AN32" s="278">
        <f>BS!AN33-BS!AM33</f>
        <v>-8.9000000000000057</v>
      </c>
      <c r="AO32" s="278">
        <f>BS!AO33-BS!AN33</f>
        <v>-8.9000000000000057</v>
      </c>
      <c r="AP32" s="278">
        <f>BS!AP33-BS!AO33</f>
        <v>-8.9000000000000057</v>
      </c>
      <c r="AQ32" s="234">
        <f t="shared" si="7"/>
        <v>-35.600000000000023</v>
      </c>
    </row>
    <row r="33" spans="2:43">
      <c r="B33" s="13"/>
      <c r="C33" s="2" t="s">
        <v>340</v>
      </c>
      <c r="D33" s="274">
        <v>3.2635307261105702</v>
      </c>
      <c r="E33" s="274">
        <v>-4.5268621597336889</v>
      </c>
      <c r="F33" s="274">
        <v>-1.2986825219852385</v>
      </c>
      <c r="G33" s="274">
        <v>-17.796763716778958</v>
      </c>
      <c r="H33" s="234">
        <f t="shared" si="0"/>
        <v>-20.358777672387316</v>
      </c>
      <c r="I33" s="274">
        <v>12.533397904264952</v>
      </c>
      <c r="J33" s="274">
        <v>-4.2119896292762817</v>
      </c>
      <c r="K33" s="274">
        <v>-31.300142602115997</v>
      </c>
      <c r="L33" s="274">
        <v>-35.403999999999996</v>
      </c>
      <c r="M33" s="234">
        <f t="shared" si="1"/>
        <v>-58.382734327127324</v>
      </c>
      <c r="N33" s="274">
        <v>20.539000000000001</v>
      </c>
      <c r="O33" s="274">
        <v>68.934999999999988</v>
      </c>
      <c r="P33" s="274">
        <v>-76.36</v>
      </c>
      <c r="Q33" s="274">
        <v>-13.911999999999992</v>
      </c>
      <c r="R33" s="234">
        <f t="shared" si="2"/>
        <v>-0.79800000000000182</v>
      </c>
      <c r="S33" s="274">
        <v>-0.21654218304716721</v>
      </c>
      <c r="T33" s="274">
        <v>3.8483800053735564</v>
      </c>
      <c r="U33" s="274">
        <v>-1.2872801047337958</v>
      </c>
      <c r="V33" s="274">
        <v>-16.217914944267832</v>
      </c>
      <c r="W33" s="234">
        <f t="shared" si="3"/>
        <v>-13.873357226675239</v>
      </c>
      <c r="X33" s="274">
        <v>-10.195310485617853</v>
      </c>
      <c r="Y33" s="274">
        <v>3.3417096477697754</v>
      </c>
      <c r="Z33" s="274">
        <v>-20.735451203486505</v>
      </c>
      <c r="AA33" s="274">
        <v>-19.652043023146327</v>
      </c>
      <c r="AB33" s="234">
        <f t="shared" si="4"/>
        <v>-47.241095064480909</v>
      </c>
      <c r="AC33" s="278">
        <v>-15.49408295190608</v>
      </c>
      <c r="AD33" s="277">
        <f>-23.971-AC33</f>
        <v>-8.4769170480939202</v>
      </c>
      <c r="AE33" s="278">
        <f>-51.699-AD33-AC33</f>
        <v>-27.727999999999994</v>
      </c>
      <c r="AF33" s="278">
        <f t="shared" si="5"/>
        <v>-9.3380000000000045</v>
      </c>
      <c r="AG33" s="234">
        <v>-61.036999999999999</v>
      </c>
      <c r="AH33" s="277">
        <v>-45.174999999999997</v>
      </c>
      <c r="AI33" s="277">
        <f>-49.155-AH33</f>
        <v>-3.980000000000004</v>
      </c>
      <c r="AJ33" s="277">
        <f>-63.199-AI33-AH33</f>
        <v>-14.043999999999997</v>
      </c>
      <c r="AK33" s="277">
        <f t="shared" si="8"/>
        <v>-27.203000000000003</v>
      </c>
      <c r="AL33" s="404">
        <v>-90.402000000000001</v>
      </c>
      <c r="AM33" s="276">
        <v>10.649452291156145</v>
      </c>
      <c r="AN33" s="276">
        <v>-12</v>
      </c>
      <c r="AO33" s="276">
        <v>-5</v>
      </c>
      <c r="AP33" s="276">
        <v>6</v>
      </c>
      <c r="AQ33" s="234">
        <f t="shared" si="7"/>
        <v>-0.35054770884385533</v>
      </c>
    </row>
    <row r="34" spans="2:43">
      <c r="B34" s="13"/>
      <c r="C34" s="2" t="s">
        <v>170</v>
      </c>
      <c r="D34" s="274">
        <v>-1.1643969999999992</v>
      </c>
      <c r="E34" s="274">
        <v>-1.3343044400000004</v>
      </c>
      <c r="F34" s="274">
        <v>0.30885676000000029</v>
      </c>
      <c r="G34" s="274">
        <v>-1.7846751699999999</v>
      </c>
      <c r="H34" s="234">
        <f t="shared" si="0"/>
        <v>-3.9745198499999992</v>
      </c>
      <c r="I34" s="274">
        <v>-9.1080830000001001E-2</v>
      </c>
      <c r="J34" s="274">
        <v>-17.053421360000002</v>
      </c>
      <c r="K34" s="274">
        <v>-7.1778166099999972</v>
      </c>
      <c r="L34" s="274">
        <v>-4.9560000000000031</v>
      </c>
      <c r="M34" s="234">
        <f t="shared" si="1"/>
        <v>-29.278318800000005</v>
      </c>
      <c r="N34" s="274">
        <v>6.8250000000000028</v>
      </c>
      <c r="O34" s="274">
        <v>3.0279999999999987</v>
      </c>
      <c r="P34" s="274">
        <v>5.7059999999999995</v>
      </c>
      <c r="Q34" s="274">
        <v>-0.91000000000000014</v>
      </c>
      <c r="R34" s="234">
        <f t="shared" si="2"/>
        <v>14.649000000000001</v>
      </c>
      <c r="S34" s="274">
        <v>5.6088573400000001</v>
      </c>
      <c r="T34" s="274">
        <v>-3.3473170500000009</v>
      </c>
      <c r="U34" s="274">
        <v>-0.38211219000000085</v>
      </c>
      <c r="V34" s="274">
        <v>-1.2532091799999989</v>
      </c>
      <c r="W34" s="234">
        <f t="shared" si="3"/>
        <v>0.62621891999999946</v>
      </c>
      <c r="X34" s="274">
        <v>-2.9296981699999947</v>
      </c>
      <c r="Y34" s="274">
        <v>-2.1711924800000055</v>
      </c>
      <c r="Z34" s="274">
        <v>0.22556123000000028</v>
      </c>
      <c r="AA34" s="274">
        <v>-1.6881378699999949</v>
      </c>
      <c r="AB34" s="234">
        <f t="shared" si="4"/>
        <v>-6.5634672899999948</v>
      </c>
      <c r="AC34" s="278">
        <v>-1.2839401300000048</v>
      </c>
      <c r="AD34" s="277">
        <f>-3.845-AC34</f>
        <v>-2.5610598699999954</v>
      </c>
      <c r="AE34" s="278">
        <f>-7.293-AD34-AC34</f>
        <v>-3.4480000000000004</v>
      </c>
      <c r="AF34" s="278">
        <f t="shared" si="5"/>
        <v>-2.2479999999999998</v>
      </c>
      <c r="AG34" s="234">
        <v>-9.5410000000000004</v>
      </c>
      <c r="AH34" s="277">
        <v>-0.91100000000000003</v>
      </c>
      <c r="AI34" s="277">
        <f>1.974-AH34</f>
        <v>2.8849999999999998</v>
      </c>
      <c r="AJ34" s="278">
        <f>-6.537-AI34-AH34</f>
        <v>-8.511000000000001</v>
      </c>
      <c r="AK34" s="277">
        <f t="shared" si="8"/>
        <v>3.1680000000000015</v>
      </c>
      <c r="AL34" s="404">
        <v>-3.3690000000000002</v>
      </c>
      <c r="AM34" s="278">
        <f>-(BS!AM11-BS!AK11)</f>
        <v>1.7050975152226115</v>
      </c>
      <c r="AN34" s="278">
        <f>-(BS!AN11-BS!AM11)</f>
        <v>-3.3037138877226226</v>
      </c>
      <c r="AO34" s="278">
        <f>-(BS!AO11-BS!AN11)</f>
        <v>1.4268925225000046</v>
      </c>
      <c r="AP34" s="278">
        <f>-(BS!AP11-BS!AO11)</f>
        <v>-0.50724226024445329</v>
      </c>
      <c r="AQ34" s="234">
        <f t="shared" si="7"/>
        <v>-0.67896611024445974</v>
      </c>
    </row>
    <row r="35" spans="2:43">
      <c r="B35" s="13"/>
      <c r="C35" s="2" t="s">
        <v>308</v>
      </c>
      <c r="D35" s="274"/>
      <c r="E35" s="274"/>
      <c r="F35" s="274"/>
      <c r="G35" s="274"/>
      <c r="H35" s="234"/>
      <c r="I35" s="274"/>
      <c r="J35" s="274"/>
      <c r="K35" s="274"/>
      <c r="L35" s="274"/>
      <c r="M35" s="234"/>
      <c r="N35" s="274"/>
      <c r="O35" s="274"/>
      <c r="P35" s="274"/>
      <c r="Q35" s="274"/>
      <c r="R35" s="234"/>
      <c r="S35" s="274"/>
      <c r="T35" s="274"/>
      <c r="U35" s="274"/>
      <c r="V35" s="274"/>
      <c r="W35" s="234"/>
      <c r="X35" s="274"/>
      <c r="Y35" s="274"/>
      <c r="Z35" s="274"/>
      <c r="AA35" s="274"/>
      <c r="AB35" s="234"/>
      <c r="AC35" s="278"/>
      <c r="AD35" s="277">
        <f>-12.409-AC35</f>
        <v>-12.409000000000001</v>
      </c>
      <c r="AE35" s="278">
        <f>-14.04-AD35</f>
        <v>-1.6309999999999985</v>
      </c>
      <c r="AF35" s="278">
        <f t="shared" si="5"/>
        <v>0.35699999999999932</v>
      </c>
      <c r="AG35" s="234">
        <v>-13.683</v>
      </c>
      <c r="AH35" s="277">
        <v>-5.798</v>
      </c>
      <c r="AI35" s="277">
        <f>-0.188-AH35</f>
        <v>5.61</v>
      </c>
      <c r="AJ35" s="278">
        <f>-3.991-AI35-AH35</f>
        <v>-3.8030000000000008</v>
      </c>
      <c r="AK35" s="278">
        <f t="shared" si="8"/>
        <v>2.2920000000000007</v>
      </c>
      <c r="AL35" s="404">
        <v>-1.6990000000000001</v>
      </c>
      <c r="AM35" s="278"/>
      <c r="AN35" s="278"/>
      <c r="AO35" s="278"/>
      <c r="AP35" s="278"/>
      <c r="AQ35" s="234"/>
    </row>
    <row r="36" spans="2:43">
      <c r="B36" s="13"/>
      <c r="C36" s="2" t="s">
        <v>312</v>
      </c>
      <c r="D36" s="274"/>
      <c r="E36" s="274"/>
      <c r="F36" s="274"/>
      <c r="G36" s="274"/>
      <c r="H36" s="234"/>
      <c r="I36" s="274"/>
      <c r="J36" s="274"/>
      <c r="K36" s="274"/>
      <c r="L36" s="274"/>
      <c r="M36" s="234"/>
      <c r="N36" s="274"/>
      <c r="O36" s="274"/>
      <c r="P36" s="274"/>
      <c r="Q36" s="274"/>
      <c r="R36" s="234"/>
      <c r="S36" s="274"/>
      <c r="T36" s="274"/>
      <c r="U36" s="274"/>
      <c r="V36" s="274"/>
      <c r="W36" s="234"/>
      <c r="X36" s="274"/>
      <c r="Y36" s="274"/>
      <c r="Z36" s="274"/>
      <c r="AA36" s="274"/>
      <c r="AB36" s="234"/>
      <c r="AC36" s="278"/>
      <c r="AD36" s="277">
        <f>1.294-AC36</f>
        <v>1.294</v>
      </c>
      <c r="AE36" s="278">
        <f>-0.41-AD36</f>
        <v>-1.704</v>
      </c>
      <c r="AF36" s="278">
        <f t="shared" si="5"/>
        <v>-0.34100000000000008</v>
      </c>
      <c r="AG36" s="234">
        <v>-0.751</v>
      </c>
      <c r="AH36" s="277">
        <v>-3.3580000000000001</v>
      </c>
      <c r="AI36" s="277">
        <f>-11.073-AH36</f>
        <v>-7.7149999999999999</v>
      </c>
      <c r="AJ36" s="278">
        <f>-16.7-AI36-AH36</f>
        <v>-5.6269999999999989</v>
      </c>
      <c r="AK36" s="278">
        <f t="shared" si="8"/>
        <v>-0.60099999999999953</v>
      </c>
      <c r="AL36" s="404">
        <v>-17.300999999999998</v>
      </c>
      <c r="AM36" s="278"/>
      <c r="AN36" s="278"/>
      <c r="AO36" s="278"/>
      <c r="AP36" s="278"/>
      <c r="AQ36" s="234"/>
    </row>
    <row r="37" spans="2:43">
      <c r="B37" s="13"/>
      <c r="C37" s="2" t="s">
        <v>341</v>
      </c>
      <c r="D37" s="274">
        <v>-0.66146185741075669</v>
      </c>
      <c r="E37" s="274">
        <v>2.3945418808417962</v>
      </c>
      <c r="F37" s="274">
        <v>-0.85043315582500867</v>
      </c>
      <c r="G37" s="274">
        <v>6.4689377410386193</v>
      </c>
      <c r="H37" s="234">
        <f t="shared" si="0"/>
        <v>7.3515846086446501</v>
      </c>
      <c r="I37" s="274">
        <v>5.5093696651097304</v>
      </c>
      <c r="J37" s="274">
        <v>-2.4476809661880594</v>
      </c>
      <c r="K37" s="274">
        <v>27.830477382918779</v>
      </c>
      <c r="L37" s="274">
        <v>21.738271588869054</v>
      </c>
      <c r="M37" s="234">
        <f t="shared" si="1"/>
        <v>52.630437670709505</v>
      </c>
      <c r="N37" s="274">
        <v>-10.515999999999991</v>
      </c>
      <c r="O37" s="274">
        <v>-4.2000000000000028</v>
      </c>
      <c r="P37" s="274">
        <v>13.468999999999994</v>
      </c>
      <c r="Q37" s="274">
        <v>1.9450000000000074</v>
      </c>
      <c r="R37" s="234">
        <f t="shared" si="2"/>
        <v>0.6980000000000075</v>
      </c>
      <c r="S37" s="274">
        <v>8.4834253963497872</v>
      </c>
      <c r="T37" s="274">
        <v>2.8960742199934799</v>
      </c>
      <c r="U37" s="274">
        <v>5.5598719797592366</v>
      </c>
      <c r="V37" s="274">
        <v>14.805994112274433</v>
      </c>
      <c r="W37" s="234">
        <f t="shared" si="3"/>
        <v>31.745365708376937</v>
      </c>
      <c r="X37" s="274">
        <v>-0.36543961910777512</v>
      </c>
      <c r="Y37" s="274">
        <v>9.4614450082243309</v>
      </c>
      <c r="Z37" s="274">
        <v>12.942368546761003</v>
      </c>
      <c r="AA37" s="274">
        <v>4.1909224687219364</v>
      </c>
      <c r="AB37" s="234">
        <f t="shared" si="4"/>
        <v>26.229296404599495</v>
      </c>
      <c r="AC37" s="278">
        <v>-10.663084159275826</v>
      </c>
      <c r="AD37" s="277">
        <f>-33.371-AC37</f>
        <v>-22.707915840724176</v>
      </c>
      <c r="AE37" s="278">
        <f>-24.776-AD37-AC37</f>
        <v>8.5950000000000024</v>
      </c>
      <c r="AF37" s="278">
        <f t="shared" si="5"/>
        <v>0.92399999999999949</v>
      </c>
      <c r="AG37" s="234">
        <v>-23.852</v>
      </c>
      <c r="AH37" s="277">
        <v>23.571999999999999</v>
      </c>
      <c r="AI37" s="277">
        <f>7.025-AH37</f>
        <v>-16.546999999999997</v>
      </c>
      <c r="AJ37" s="278">
        <f>-18.528-AI37-AH37</f>
        <v>-25.553000000000001</v>
      </c>
      <c r="AK37" s="278">
        <f t="shared" si="8"/>
        <v>11.286999999999995</v>
      </c>
      <c r="AL37" s="404">
        <v>-7.2409999999999997</v>
      </c>
      <c r="AM37" s="278">
        <f>BS!AM25-BS!AK25</f>
        <v>4.1065637196149396</v>
      </c>
      <c r="AN37" s="278">
        <f>BS!AN25-BS!AM25</f>
        <v>15.26795955538509</v>
      </c>
      <c r="AO37" s="278">
        <f>BS!AO25-BS!AN25</f>
        <v>-7.6390487950000363</v>
      </c>
      <c r="AP37" s="278">
        <f>BS!AP25-BS!AO25</f>
        <v>-1.870543080215981</v>
      </c>
      <c r="AQ37" s="234">
        <f t="shared" si="7"/>
        <v>9.8649313997840125</v>
      </c>
    </row>
    <row r="38" spans="2:43">
      <c r="B38" s="13"/>
      <c r="C38" s="2" t="s">
        <v>377</v>
      </c>
      <c r="D38" s="274"/>
      <c r="E38" s="274"/>
      <c r="F38" s="274"/>
      <c r="G38" s="274"/>
      <c r="H38" s="234"/>
      <c r="I38" s="274"/>
      <c r="J38" s="274"/>
      <c r="K38" s="274"/>
      <c r="L38" s="274"/>
      <c r="M38" s="234"/>
      <c r="N38" s="274"/>
      <c r="O38" s="274"/>
      <c r="P38" s="274"/>
      <c r="Q38" s="274"/>
      <c r="R38" s="234"/>
      <c r="S38" s="274"/>
      <c r="T38" s="274"/>
      <c r="U38" s="274"/>
      <c r="V38" s="274"/>
      <c r="W38" s="234"/>
      <c r="X38" s="274"/>
      <c r="Y38" s="274"/>
      <c r="Z38" s="274"/>
      <c r="AA38" s="274"/>
      <c r="AB38" s="234"/>
      <c r="AC38" s="278"/>
      <c r="AD38" s="277"/>
      <c r="AE38" s="278"/>
      <c r="AF38" s="278"/>
      <c r="AG38" s="234"/>
      <c r="AH38" s="277"/>
      <c r="AI38" s="277"/>
      <c r="AJ38" s="278">
        <f>-25-AI38-AH38</f>
        <v>-25</v>
      </c>
      <c r="AK38" s="278">
        <f t="shared" si="8"/>
        <v>0</v>
      </c>
      <c r="AL38" s="404">
        <v>-25</v>
      </c>
      <c r="AM38" s="278"/>
      <c r="AN38" s="278"/>
      <c r="AO38" s="278"/>
      <c r="AP38" s="278"/>
      <c r="AQ38" s="234"/>
    </row>
    <row r="39" spans="2:43">
      <c r="B39" s="13"/>
      <c r="C39" s="2" t="s">
        <v>56</v>
      </c>
      <c r="D39" s="274">
        <v>-9.6789223694000004E-2</v>
      </c>
      <c r="E39" s="274">
        <v>3.2217398491660005</v>
      </c>
      <c r="F39" s="274">
        <v>-0.41393189784600004</v>
      </c>
      <c r="G39" s="274">
        <v>0.7662748520160001</v>
      </c>
      <c r="H39" s="234">
        <f t="shared" si="0"/>
        <v>3.4772935796420006</v>
      </c>
      <c r="I39" s="274">
        <v>-1.2402636684359996</v>
      </c>
      <c r="J39" s="274">
        <v>0.2560859899460004</v>
      </c>
      <c r="K39" s="274">
        <v>-0.40692159757400059</v>
      </c>
      <c r="L39" s="274">
        <v>2.7856450964219999</v>
      </c>
      <c r="M39" s="234">
        <f t="shared" si="1"/>
        <v>1.3945458203580001</v>
      </c>
      <c r="N39" s="274">
        <v>-1.1200000000000001</v>
      </c>
      <c r="O39" s="274">
        <v>7.2000000000000064E-2</v>
      </c>
      <c r="P39" s="274">
        <v>9.4990000000000006</v>
      </c>
      <c r="Q39" s="274">
        <v>1.0380000000000003</v>
      </c>
      <c r="R39" s="234">
        <f t="shared" si="2"/>
        <v>9.4890000000000008</v>
      </c>
      <c r="S39" s="274">
        <v>0.89022763031199759</v>
      </c>
      <c r="T39" s="274">
        <v>-5.1979797702219983</v>
      </c>
      <c r="U39" s="274">
        <v>70.002389560345989</v>
      </c>
      <c r="V39" s="274">
        <v>3.1295121066375913</v>
      </c>
      <c r="W39" s="234">
        <f t="shared" si="3"/>
        <v>68.824149527073573</v>
      </c>
      <c r="X39" s="274">
        <v>-3.069832914574377</v>
      </c>
      <c r="Y39" s="274">
        <v>-16.142352669959152</v>
      </c>
      <c r="Z39" s="274">
        <v>3.3301045276826642</v>
      </c>
      <c r="AA39" s="274">
        <v>12.231355141657289</v>
      </c>
      <c r="AB39" s="234">
        <f t="shared" si="4"/>
        <v>-3.6507259151935756</v>
      </c>
      <c r="AC39" s="278">
        <v>-15.971751189716699</v>
      </c>
      <c r="AD39" s="277">
        <f>-28.669-AC39</f>
        <v>-12.697248810283302</v>
      </c>
      <c r="AE39" s="278">
        <f>43.876-1.52-AD39-AC39</f>
        <v>71.024999999999991</v>
      </c>
      <c r="AF39" s="278">
        <f t="shared" si="5"/>
        <v>-63.297999999999988</v>
      </c>
      <c r="AG39" s="234">
        <f>-20.942</f>
        <v>-20.942</v>
      </c>
      <c r="AH39" s="277">
        <v>-12.377000000000001</v>
      </c>
      <c r="AI39" s="277">
        <f>36.836-AH39</f>
        <v>49.213000000000001</v>
      </c>
      <c r="AJ39" s="278">
        <f>17.398-AI39-AH39</f>
        <v>-19.438000000000002</v>
      </c>
      <c r="AK39" s="278">
        <f t="shared" si="8"/>
        <v>-24.357999999999997</v>
      </c>
      <c r="AL39" s="404">
        <v>-6.96</v>
      </c>
      <c r="AM39" s="278">
        <f>BS!AM26-BS!AK26</f>
        <v>62.558076676895325</v>
      </c>
      <c r="AN39" s="278">
        <f>BS!AN26-BS!AM26</f>
        <v>2.7618607231046894</v>
      </c>
      <c r="AO39" s="278">
        <f>BS!AO26-BS!AN26</f>
        <v>-12.684910620000011</v>
      </c>
      <c r="AP39" s="278">
        <f>BS!AP26-BS!AO26</f>
        <v>-5.6247677375890532</v>
      </c>
      <c r="AQ39" s="234">
        <f t="shared" si="7"/>
        <v>47.010259042410951</v>
      </c>
    </row>
    <row r="40" spans="2:43">
      <c r="B40" s="13"/>
      <c r="C40" s="2" t="s">
        <v>318</v>
      </c>
      <c r="D40" s="274"/>
      <c r="E40" s="274"/>
      <c r="F40" s="274"/>
      <c r="G40" s="274"/>
      <c r="H40" s="234"/>
      <c r="I40" s="274"/>
      <c r="J40" s="274"/>
      <c r="K40" s="274"/>
      <c r="L40" s="274"/>
      <c r="M40" s="234"/>
      <c r="N40" s="274"/>
      <c r="O40" s="274"/>
      <c r="P40" s="274"/>
      <c r="Q40" s="274"/>
      <c r="R40" s="234"/>
      <c r="S40" s="274"/>
      <c r="T40" s="274"/>
      <c r="U40" s="274"/>
      <c r="V40" s="274"/>
      <c r="W40" s="234"/>
      <c r="X40" s="274"/>
      <c r="Y40" s="274"/>
      <c r="Z40" s="274"/>
      <c r="AA40" s="274"/>
      <c r="AB40" s="234"/>
      <c r="AC40" s="278"/>
      <c r="AD40" s="277">
        <f>-2.749-AC40</f>
        <v>-2.7490000000000001</v>
      </c>
      <c r="AE40" s="278">
        <f>-4.25-AD40</f>
        <v>-1.5009999999999999</v>
      </c>
      <c r="AF40" s="278">
        <f t="shared" si="5"/>
        <v>-0.75</v>
      </c>
      <c r="AG40" s="234">
        <v>-5</v>
      </c>
      <c r="AH40" s="277">
        <v>-0.25</v>
      </c>
      <c r="AI40" s="277">
        <f>3.957-AH40</f>
        <v>4.2069999999999999</v>
      </c>
      <c r="AJ40" s="278">
        <f>3.73-AI40-AH40</f>
        <v>-0.22699999999999987</v>
      </c>
      <c r="AK40" s="278">
        <f t="shared" si="8"/>
        <v>-0.76399999999999979</v>
      </c>
      <c r="AL40" s="404">
        <v>2.9660000000000002</v>
      </c>
      <c r="AM40" s="278"/>
      <c r="AN40" s="278"/>
      <c r="AO40" s="278"/>
      <c r="AP40" s="278"/>
      <c r="AQ40" s="234"/>
    </row>
    <row r="41" spans="2:43">
      <c r="B41" s="13"/>
      <c r="C41" s="2" t="s">
        <v>342</v>
      </c>
      <c r="D41" s="274"/>
      <c r="E41" s="274"/>
      <c r="F41" s="274"/>
      <c r="G41" s="274"/>
      <c r="H41" s="234"/>
      <c r="I41" s="274"/>
      <c r="J41" s="274"/>
      <c r="K41" s="274"/>
      <c r="L41" s="274"/>
      <c r="M41" s="234"/>
      <c r="N41" s="274"/>
      <c r="O41" s="274"/>
      <c r="P41" s="274"/>
      <c r="Q41" s="274"/>
      <c r="R41" s="234"/>
      <c r="S41" s="274"/>
      <c r="T41" s="274"/>
      <c r="U41" s="274"/>
      <c r="V41" s="274"/>
      <c r="W41" s="234"/>
      <c r="X41" s="274"/>
      <c r="Y41" s="274"/>
      <c r="Z41" s="274"/>
      <c r="AA41" s="274"/>
      <c r="AB41" s="234"/>
      <c r="AC41" s="278"/>
      <c r="AD41" s="277">
        <f>-2.805-AC41</f>
        <v>-2.8050000000000002</v>
      </c>
      <c r="AE41" s="278">
        <f>23.371-AD41</f>
        <v>26.175999999999998</v>
      </c>
      <c r="AF41" s="278">
        <f t="shared" si="5"/>
        <v>27.169</v>
      </c>
      <c r="AG41" s="234">
        <v>50.54</v>
      </c>
      <c r="AH41" s="277">
        <v>-27.606000000000002</v>
      </c>
      <c r="AI41" s="277">
        <f>6.991-AH41</f>
        <v>34.597000000000001</v>
      </c>
      <c r="AJ41" s="278">
        <f>-5.179-AI41-AH41</f>
        <v>-12.170000000000002</v>
      </c>
      <c r="AK41" s="278">
        <f t="shared" si="8"/>
        <v>-7.6649999999999991</v>
      </c>
      <c r="AL41" s="404">
        <v>-12.843999999999999</v>
      </c>
      <c r="AM41" s="278"/>
      <c r="AN41" s="278"/>
      <c r="AO41" s="278"/>
      <c r="AP41" s="278"/>
      <c r="AQ41" s="234"/>
    </row>
    <row r="42" spans="2:43">
      <c r="B42" s="13"/>
      <c r="C42" s="2" t="s">
        <v>322</v>
      </c>
      <c r="D42" s="274"/>
      <c r="E42" s="274"/>
      <c r="F42" s="274"/>
      <c r="G42" s="274"/>
      <c r="H42" s="234"/>
      <c r="I42" s="274"/>
      <c r="J42" s="274"/>
      <c r="K42" s="274"/>
      <c r="L42" s="274"/>
      <c r="M42" s="234"/>
      <c r="N42" s="274"/>
      <c r="O42" s="274"/>
      <c r="P42" s="274"/>
      <c r="Q42" s="274"/>
      <c r="R42" s="234"/>
      <c r="S42" s="274"/>
      <c r="T42" s="274"/>
      <c r="U42" s="274"/>
      <c r="V42" s="274"/>
      <c r="W42" s="234"/>
      <c r="X42" s="274"/>
      <c r="Y42" s="274"/>
      <c r="Z42" s="274"/>
      <c r="AA42" s="274"/>
      <c r="AB42" s="234"/>
      <c r="AC42" s="278"/>
      <c r="AD42" s="277">
        <f>7.287-AC42</f>
        <v>7.2869999999999999</v>
      </c>
      <c r="AE42" s="278">
        <f>11.208-AD42</f>
        <v>3.9210000000000003</v>
      </c>
      <c r="AF42" s="278">
        <f t="shared" si="5"/>
        <v>3.9209999999999985</v>
      </c>
      <c r="AG42" s="234">
        <v>15.129</v>
      </c>
      <c r="AH42" s="277">
        <v>3.508</v>
      </c>
      <c r="AI42" s="277">
        <f>7.122-AH42</f>
        <v>3.6139999999999999</v>
      </c>
      <c r="AJ42" s="278">
        <f>10.288-AI42-AH42</f>
        <v>3.1660000000000004</v>
      </c>
      <c r="AK42" s="278">
        <f t="shared" si="8"/>
        <v>3.9179999999999993</v>
      </c>
      <c r="AL42" s="404">
        <v>14.206</v>
      </c>
      <c r="AM42" s="278"/>
      <c r="AN42" s="278"/>
      <c r="AO42" s="278"/>
      <c r="AP42" s="278"/>
      <c r="AQ42" s="234"/>
    </row>
    <row r="43" spans="2:43">
      <c r="B43" s="13"/>
      <c r="C43" s="2" t="s">
        <v>317</v>
      </c>
      <c r="D43" s="274"/>
      <c r="E43" s="274"/>
      <c r="F43" s="274"/>
      <c r="G43" s="274"/>
      <c r="H43" s="234"/>
      <c r="I43" s="274"/>
      <c r="J43" s="274"/>
      <c r="K43" s="274"/>
      <c r="L43" s="274"/>
      <c r="M43" s="234"/>
      <c r="N43" s="274"/>
      <c r="O43" s="274"/>
      <c r="P43" s="274"/>
      <c r="Q43" s="274"/>
      <c r="R43" s="234"/>
      <c r="S43" s="274"/>
      <c r="T43" s="274"/>
      <c r="U43" s="274"/>
      <c r="V43" s="274"/>
      <c r="W43" s="234"/>
      <c r="X43" s="274"/>
      <c r="Y43" s="274"/>
      <c r="Z43" s="274"/>
      <c r="AA43" s="274"/>
      <c r="AB43" s="234"/>
      <c r="AC43" s="278"/>
      <c r="AD43" s="277">
        <f>-4.582-AC43</f>
        <v>-4.5819999999999999</v>
      </c>
      <c r="AE43" s="278">
        <f>-6.655-AD43</f>
        <v>-2.0730000000000004</v>
      </c>
      <c r="AF43" s="278">
        <f t="shared" si="5"/>
        <v>-1.8980000000000006</v>
      </c>
      <c r="AG43" s="234">
        <v>-8.5530000000000008</v>
      </c>
      <c r="AH43" s="277">
        <v>-2.6930000000000001</v>
      </c>
      <c r="AI43" s="277">
        <f>-5.942-AH43</f>
        <v>-3.2490000000000001</v>
      </c>
      <c r="AJ43" s="278">
        <f>-11.152-AI43-AH43</f>
        <v>-5.2099999999999991</v>
      </c>
      <c r="AK43" s="278">
        <f t="shared" si="8"/>
        <v>-3.7960000000000007</v>
      </c>
      <c r="AL43" s="404">
        <v>-14.948</v>
      </c>
      <c r="AM43" s="278"/>
      <c r="AN43" s="278"/>
      <c r="AO43" s="278"/>
      <c r="AP43" s="278"/>
      <c r="AQ43" s="234"/>
    </row>
    <row r="44" spans="2:43">
      <c r="B44" s="13"/>
      <c r="C44" s="2" t="s">
        <v>179</v>
      </c>
      <c r="D44" s="274">
        <v>0</v>
      </c>
      <c r="E44" s="274">
        <v>0</v>
      </c>
      <c r="F44" s="274">
        <v>0</v>
      </c>
      <c r="G44" s="274">
        <v>0</v>
      </c>
      <c r="H44" s="234">
        <f t="shared" si="0"/>
        <v>0</v>
      </c>
      <c r="I44" s="274">
        <v>0</v>
      </c>
      <c r="J44" s="274">
        <v>0</v>
      </c>
      <c r="K44" s="274">
        <v>0</v>
      </c>
      <c r="L44" s="274">
        <v>0</v>
      </c>
      <c r="M44" s="234">
        <f t="shared" si="1"/>
        <v>0</v>
      </c>
      <c r="N44" s="274">
        <v>0</v>
      </c>
      <c r="O44" s="274">
        <v>0</v>
      </c>
      <c r="P44" s="274">
        <v>0</v>
      </c>
      <c r="Q44" s="274">
        <v>0</v>
      </c>
      <c r="R44" s="234">
        <f t="shared" si="2"/>
        <v>0</v>
      </c>
      <c r="S44" s="274">
        <v>0</v>
      </c>
      <c r="T44" s="274">
        <v>0</v>
      </c>
      <c r="U44" s="274">
        <v>0</v>
      </c>
      <c r="V44" s="274">
        <v>0</v>
      </c>
      <c r="W44" s="234">
        <f t="shared" si="3"/>
        <v>0</v>
      </c>
      <c r="X44" s="274">
        <v>0</v>
      </c>
      <c r="Y44" s="274">
        <v>0</v>
      </c>
      <c r="Z44" s="274">
        <v>0</v>
      </c>
      <c r="AA44" s="274">
        <v>0</v>
      </c>
      <c r="AB44" s="234">
        <f t="shared" si="4"/>
        <v>0</v>
      </c>
      <c r="AC44" s="278">
        <v>0</v>
      </c>
      <c r="AD44" s="277">
        <f>488.313-AC44</f>
        <v>488.31299999999999</v>
      </c>
      <c r="AE44" s="278">
        <f>509.351-AD44-AC44</f>
        <v>21.038000000000011</v>
      </c>
      <c r="AF44" s="278">
        <f t="shared" si="5"/>
        <v>24.787000000000035</v>
      </c>
      <c r="AG44" s="234">
        <v>534.13800000000003</v>
      </c>
      <c r="AH44" s="277">
        <v>22.974</v>
      </c>
      <c r="AI44" s="277">
        <f>45.429-AH44</f>
        <v>22.455000000000002</v>
      </c>
      <c r="AJ44" s="278">
        <f>79.408-AI44-AH44</f>
        <v>33.978999999999999</v>
      </c>
      <c r="AK44" s="278">
        <f t="shared" si="8"/>
        <v>45.338999999999999</v>
      </c>
      <c r="AL44" s="404">
        <v>124.747</v>
      </c>
      <c r="AM44" s="278">
        <f>IS!AM42</f>
        <v>55</v>
      </c>
      <c r="AN44" s="278">
        <f>IS!AN42</f>
        <v>48.33</v>
      </c>
      <c r="AO44" s="278">
        <f>IS!AO42</f>
        <v>48.33</v>
      </c>
      <c r="AP44" s="278">
        <f>IS!AP42</f>
        <v>48.33</v>
      </c>
      <c r="AQ44" s="234">
        <f t="shared" si="7"/>
        <v>199.99</v>
      </c>
    </row>
    <row r="45" spans="2:43">
      <c r="B45" s="13"/>
      <c r="C45" s="2" t="s">
        <v>180</v>
      </c>
      <c r="D45" s="274">
        <v>-0.97261510101163751</v>
      </c>
      <c r="E45" s="274">
        <v>0.72961570421381339</v>
      </c>
      <c r="F45" s="274">
        <v>11.706680658417476</v>
      </c>
      <c r="G45" s="274">
        <v>5.2545633895797863</v>
      </c>
      <c r="H45" s="234">
        <f t="shared" si="0"/>
        <v>16.718244651199438</v>
      </c>
      <c r="I45" s="274">
        <v>-2.9180535324436292</v>
      </c>
      <c r="J45" s="274">
        <v>-4.2767572045233919</v>
      </c>
      <c r="K45" s="274">
        <v>-4.2498360743685026</v>
      </c>
      <c r="L45" s="274">
        <v>2.4424014947088892</v>
      </c>
      <c r="M45" s="234">
        <f t="shared" si="1"/>
        <v>-9.0022453166266345</v>
      </c>
      <c r="N45" s="274">
        <v>-1.0437200850001176</v>
      </c>
      <c r="O45" s="274">
        <v>-42.554656208999987</v>
      </c>
      <c r="P45" s="274">
        <v>43.613570138999975</v>
      </c>
      <c r="Q45" s="274">
        <v>4.8658772171632734</v>
      </c>
      <c r="R45" s="234">
        <f t="shared" si="2"/>
        <v>4.8810710621631443</v>
      </c>
      <c r="S45" s="274">
        <v>5.0941560920806523</v>
      </c>
      <c r="T45" s="274">
        <v>4.164837594814756</v>
      </c>
      <c r="U45" s="274">
        <v>2.7963181205220451</v>
      </c>
      <c r="V45" s="274">
        <v>1.8915347704477399</v>
      </c>
      <c r="W45" s="234">
        <f t="shared" si="3"/>
        <v>13.946846577865193</v>
      </c>
      <c r="X45" s="274">
        <v>-3.7300850677668365</v>
      </c>
      <c r="Y45" s="274">
        <v>5.6473661958872903</v>
      </c>
      <c r="Z45" s="274">
        <v>2.3487995191502002</v>
      </c>
      <c r="AA45" s="274">
        <v>9.6552070381389186</v>
      </c>
      <c r="AB45" s="234">
        <f t="shared" si="4"/>
        <v>13.921287685409572</v>
      </c>
      <c r="AC45" s="278">
        <v>3.2508185825442695</v>
      </c>
      <c r="AD45" s="277">
        <f>0-AC45</f>
        <v>-3.2508185825442695</v>
      </c>
      <c r="AE45" s="278">
        <f>0.468-AD45-AC45</f>
        <v>0.46799999999999997</v>
      </c>
      <c r="AF45" s="278">
        <f t="shared" si="5"/>
        <v>39.418999999999997</v>
      </c>
      <c r="AG45" s="234">
        <f>39.887</f>
        <v>39.887</v>
      </c>
      <c r="AH45" s="277">
        <v>-3.988</v>
      </c>
      <c r="AI45" s="277">
        <f>-7.977-AH45</f>
        <v>-3.9890000000000003</v>
      </c>
      <c r="AJ45" s="277">
        <f>-11.966-AI45-AH45</f>
        <v>-3.9889999999999985</v>
      </c>
      <c r="AK45" s="278">
        <f t="shared" si="8"/>
        <v>-3.9890000000000003</v>
      </c>
      <c r="AL45" s="404">
        <v>-15.955</v>
      </c>
      <c r="AM45" s="276">
        <v>3.75</v>
      </c>
      <c r="AN45" s="276">
        <v>3.75</v>
      </c>
      <c r="AO45" s="276">
        <v>3.75</v>
      </c>
      <c r="AP45" s="276">
        <v>3.75</v>
      </c>
      <c r="AQ45" s="234">
        <f t="shared" si="7"/>
        <v>15</v>
      </c>
    </row>
    <row r="46" spans="2:43">
      <c r="B46" s="16" t="s">
        <v>57</v>
      </c>
      <c r="C46" s="4"/>
      <c r="D46" s="275">
        <f>SUM(D6:D45)</f>
        <v>-22.222161330005818</v>
      </c>
      <c r="E46" s="275">
        <f>SUM(E6:E45)</f>
        <v>-27.809835393512092</v>
      </c>
      <c r="F46" s="275">
        <f>SUM(F6:F45)</f>
        <v>-22.16456511323878</v>
      </c>
      <c r="G46" s="275">
        <f>SUM(G6:G45)</f>
        <v>-31.428795222144558</v>
      </c>
      <c r="H46" s="197">
        <f t="shared" si="0"/>
        <v>-103.62535705890124</v>
      </c>
      <c r="I46" s="45">
        <f>SUM(I6:I45)</f>
        <v>-29.843596323504954</v>
      </c>
      <c r="J46" s="45">
        <f>SUM(J6:J45)</f>
        <v>253.99511603995825</v>
      </c>
      <c r="K46" s="45">
        <f>SUM(K6:K45)</f>
        <v>-64.020387633139734</v>
      </c>
      <c r="L46" s="45">
        <f>SUM(L6:L45)</f>
        <v>-130.61608169000007</v>
      </c>
      <c r="M46" s="197">
        <f t="shared" si="1"/>
        <v>29.515050393313487</v>
      </c>
      <c r="N46" s="45">
        <f>SUM(N6:N45)</f>
        <v>-43.910712800000105</v>
      </c>
      <c r="O46" s="45">
        <f>SUM(O6:O45)</f>
        <v>-36.657433690000019</v>
      </c>
      <c r="P46" s="45">
        <f>SUM(P6:P45)</f>
        <v>-68.308479290000051</v>
      </c>
      <c r="Q46" s="45">
        <f>SUM(Q6:Q45)</f>
        <v>-64.217109740000012</v>
      </c>
      <c r="R46" s="197">
        <f t="shared" si="2"/>
        <v>-213.09373552000017</v>
      </c>
      <c r="S46" s="45">
        <f>SUM(S6:S45)</f>
        <v>-57.916173005304728</v>
      </c>
      <c r="T46" s="45">
        <f>SUM(T6:T45)</f>
        <v>-66.872617251040211</v>
      </c>
      <c r="U46" s="45">
        <f>SUM(U6:U45)</f>
        <v>13.449097785893443</v>
      </c>
      <c r="V46" s="45">
        <f>SUM(V6:V45)</f>
        <v>-56.846780826908095</v>
      </c>
      <c r="W46" s="197">
        <f t="shared" si="3"/>
        <v>-168.18647329735958</v>
      </c>
      <c r="X46" s="45">
        <f>SUM(X6:X45)</f>
        <v>-66.43715997806683</v>
      </c>
      <c r="Y46" s="45">
        <f>SUM(Y6:Y45)</f>
        <v>-53.92801035507776</v>
      </c>
      <c r="Z46" s="45">
        <f>SUM(Z6:Z45)</f>
        <v>-54.70355832189265</v>
      </c>
      <c r="AA46" s="45">
        <f>SUM(AA6:AA45)</f>
        <v>-39.29016694962791</v>
      </c>
      <c r="AB46" s="197">
        <f t="shared" si="4"/>
        <v>-214.35889560466515</v>
      </c>
      <c r="AC46" s="275">
        <f>SUM(AC6:AC45)</f>
        <v>-101.42537398035459</v>
      </c>
      <c r="AD46" s="275">
        <f>SUM(AD6:AD45)</f>
        <v>-97.032626019645448</v>
      </c>
      <c r="AE46" s="275">
        <f>SUM(AE6:AE45)</f>
        <v>48.664000000000115</v>
      </c>
      <c r="AF46" s="275">
        <f>SUM(AF6:AF45)</f>
        <v>-39.250999999999976</v>
      </c>
      <c r="AG46" s="197">
        <f t="shared" ref="AG46" si="9">SUM(AC46:AF46)</f>
        <v>-189.0449999999999</v>
      </c>
      <c r="AH46" s="170">
        <f>SUM(AH6:AH45)</f>
        <v>-105.62400000000001</v>
      </c>
      <c r="AI46" s="275">
        <f>SUM(AI6:AI45)</f>
        <v>44.164000000000009</v>
      </c>
      <c r="AJ46" s="275">
        <f>SUM(AJ6:AJ45)</f>
        <v>-119.84200000000003</v>
      </c>
      <c r="AK46" s="275">
        <f>SUM(AK6:AK45)-6.67</f>
        <v>-40.309000000000019</v>
      </c>
      <c r="AL46" s="406">
        <f>SUM(AH46:AK46)</f>
        <v>-221.61100000000005</v>
      </c>
      <c r="AM46" s="275">
        <f>SUM(AM6:AM45)</f>
        <v>59.952202173318398</v>
      </c>
      <c r="AN46" s="275">
        <f>SUM(AN6:AN45)</f>
        <v>-0.8413593942328248</v>
      </c>
      <c r="AO46" s="275">
        <f>SUM(AO6:AO45)</f>
        <v>-15.443112320500035</v>
      </c>
      <c r="AP46" s="275">
        <f>SUM(AP6:AP45)</f>
        <v>20.554602733844828</v>
      </c>
      <c r="AQ46" s="197">
        <f t="shared" si="7"/>
        <v>64.222333192430369</v>
      </c>
    </row>
    <row r="47" spans="2:43">
      <c r="B47" s="39"/>
      <c r="C47" s="12" t="s">
        <v>58</v>
      </c>
      <c r="D47" s="12">
        <f>D46/IS!D15</f>
        <v>-2.8939751218381198</v>
      </c>
      <c r="E47" s="12">
        <f>E46/IS!E15</f>
        <v>-2.6272726853949417</v>
      </c>
      <c r="F47" s="12">
        <f>F46/IS!F15</f>
        <v>-1.4482593302174094</v>
      </c>
      <c r="G47" s="12">
        <f>G46/IS!G15</f>
        <v>-1.1031911284723073</v>
      </c>
      <c r="H47" s="6">
        <f>H46/IS!H15</f>
        <v>-1.6698391343030143</v>
      </c>
      <c r="I47" s="12">
        <f>I46/IS!I15</f>
        <v>-1.6359716002932996</v>
      </c>
      <c r="J47" s="12">
        <f>J46/IS!J15</f>
        <v>13.973375566023504</v>
      </c>
      <c r="K47" s="12">
        <f>K46/IS!K15</f>
        <v>-1.2619173064391307</v>
      </c>
      <c r="L47" s="12">
        <f>L46/IS!L15</f>
        <v>-1.2951315326014867</v>
      </c>
      <c r="M47" s="6">
        <f>M46/IS!M15</f>
        <v>0.15699208554951241</v>
      </c>
      <c r="N47" s="12">
        <f>N46/IS!N15</f>
        <v>-0.62631118410782094</v>
      </c>
      <c r="O47" s="12">
        <f>O46/IS!O15</f>
        <v>-0.59138525010648813</v>
      </c>
      <c r="P47" s="12">
        <f>P46/IS!P15</f>
        <v>-1.302412481598006</v>
      </c>
      <c r="Q47" s="12">
        <f>Q46/IS!Q15</f>
        <v>-0.87597211165152988</v>
      </c>
      <c r="R47" s="6">
        <f>R46/IS!R15</f>
        <v>-0.82641571617342091</v>
      </c>
      <c r="S47" s="12">
        <f>S46/IS!S15</f>
        <v>-0.95332489651053376</v>
      </c>
      <c r="T47" s="12">
        <f>T46/IS!T15</f>
        <v>-0.90713070525451323</v>
      </c>
      <c r="U47" s="12">
        <f>U46/IS!U15</f>
        <v>0.15716790432191186</v>
      </c>
      <c r="V47" s="12">
        <f>V46/IS!V15</f>
        <v>-0.56492694511276997</v>
      </c>
      <c r="W47" s="6">
        <f>W46/IS!W15</f>
        <v>-0.5244863685656016</v>
      </c>
      <c r="X47" s="12">
        <f>X46/IS!X15</f>
        <v>-0.57459454842943525</v>
      </c>
      <c r="Y47" s="12">
        <f>Y46/IS!Y15</f>
        <v>-0.4072610112000925</v>
      </c>
      <c r="Z47" s="12">
        <f>Z46/IS!Z15</f>
        <v>-0.40215448789847247</v>
      </c>
      <c r="AA47" s="12">
        <f>AA46/IS!AA15</f>
        <v>-0.26603096977406143</v>
      </c>
      <c r="AB47" s="6">
        <f>AB46/IS!AB15</f>
        <v>-0.40311424763871045</v>
      </c>
      <c r="AC47" s="12">
        <f>AC46/IS!AC15</f>
        <v>-0.69555167567737264</v>
      </c>
      <c r="AD47" s="12">
        <f>AD46/IS!AD15</f>
        <v>-0.58464307201733734</v>
      </c>
      <c r="AE47" s="12">
        <f>AE46/IS!AE15</f>
        <v>0.26896738499632517</v>
      </c>
      <c r="AF47" s="12">
        <f>AF46/IS!AF15</f>
        <v>-0.19558999402033075</v>
      </c>
      <c r="AG47" s="6">
        <f>AG46/IS!AG15</f>
        <v>-0.27263561299092631</v>
      </c>
      <c r="AH47" s="394">
        <f>AH46/IS!AH15</f>
        <v>-0.413018061524144</v>
      </c>
      <c r="AI47" s="12">
        <f>AI46/IS!AI15</f>
        <v>0.14036582071288958</v>
      </c>
      <c r="AJ47" s="12">
        <f>AJ46/IS!AJ15</f>
        <v>-0.35858721866154414</v>
      </c>
      <c r="AK47" s="12">
        <f>AK46/IS!AK15</f>
        <v>-0.10977067680434414</v>
      </c>
      <c r="AL47" s="6">
        <f>AL46/IS!AL15</f>
        <v>-0.17425138918484123</v>
      </c>
      <c r="AM47" s="12">
        <f>AM46/IS!AM15</f>
        <v>0.1737956828976164</v>
      </c>
      <c r="AN47" s="12">
        <f>AN46/IS!AN15</f>
        <v>-2.1301189991871743E-3</v>
      </c>
      <c r="AO47" s="12">
        <f>AO46/IS!AO15</f>
        <v>-3.7197458612237937E-2</v>
      </c>
      <c r="AP47" s="12">
        <f>AP46/IS!AP15</f>
        <v>4.7265065573150765E-2</v>
      </c>
      <c r="AQ47" s="6">
        <f>AQ46/IS!AQ15</f>
        <v>4.0391773656647201E-2</v>
      </c>
    </row>
    <row r="48" spans="2:43">
      <c r="B48" s="13"/>
      <c r="C48" s="2"/>
      <c r="H48" s="364"/>
      <c r="M48" s="364"/>
      <c r="R48" s="364"/>
      <c r="W48" s="31"/>
      <c r="AB48" s="31"/>
      <c r="AD48" s="379"/>
      <c r="AE48" s="379"/>
      <c r="AG48" s="31"/>
      <c r="AH48" s="396"/>
      <c r="AI48" s="286"/>
      <c r="AJ48" s="286"/>
      <c r="AL48" s="31"/>
      <c r="AQ48" s="31"/>
    </row>
    <row r="49" spans="2:43">
      <c r="B49" s="40" t="s">
        <v>59</v>
      </c>
      <c r="C49" s="2"/>
      <c r="H49" s="31"/>
      <c r="M49" s="31"/>
      <c r="R49" s="31"/>
      <c r="W49" s="31"/>
      <c r="AB49" s="31"/>
      <c r="AG49" s="31"/>
      <c r="AH49" s="396"/>
      <c r="AJ49" s="286"/>
      <c r="AL49" s="31"/>
      <c r="AQ49" s="31"/>
    </row>
    <row r="50" spans="2:43">
      <c r="B50" s="13"/>
      <c r="C50" s="2" t="s">
        <v>181</v>
      </c>
      <c r="D50" s="274">
        <v>-1.0797036200000001</v>
      </c>
      <c r="E50" s="274">
        <v>-4.4941376299999973</v>
      </c>
      <c r="F50" s="274">
        <v>-4.3579415300000051</v>
      </c>
      <c r="G50" s="274">
        <v>-12.907885299999997</v>
      </c>
      <c r="H50" s="234">
        <f>SUM(D50:G50)</f>
        <v>-22.839668079999999</v>
      </c>
      <c r="I50" s="274">
        <v>-1.66579677</v>
      </c>
      <c r="J50" s="274">
        <v>-5.5369776300000026</v>
      </c>
      <c r="K50" s="274">
        <v>-3.1509448700000036</v>
      </c>
      <c r="L50" s="274">
        <v>-5.0953931600000004</v>
      </c>
      <c r="M50" s="234">
        <f>SUM(I50:L50)</f>
        <v>-15.449112430000007</v>
      </c>
      <c r="N50" s="274">
        <v>-1.4598191999999983</v>
      </c>
      <c r="O50" s="274">
        <v>-2.511549940000009</v>
      </c>
      <c r="P50" s="274">
        <v>-4.2625440299999866</v>
      </c>
      <c r="Q50" s="274">
        <v>-2.4848472099999981</v>
      </c>
      <c r="R50" s="234">
        <f>SUM(N50:Q50)</f>
        <v>-10.718760379999992</v>
      </c>
      <c r="S50" s="274">
        <v>-6.4705144899999993</v>
      </c>
      <c r="T50" s="277">
        <v>-4.5042865600000006</v>
      </c>
      <c r="U50" s="277">
        <v>-3.7219726400000042</v>
      </c>
      <c r="V50" s="278">
        <v>-3.6802263099999948</v>
      </c>
      <c r="W50" s="234">
        <f>SUM(S50:V50)</f>
        <v>-18.376999999999999</v>
      </c>
      <c r="X50" s="278">
        <v>-6.1575376199999852</v>
      </c>
      <c r="Y50" s="278">
        <v>-10.441991280000011</v>
      </c>
      <c r="Z50" s="278">
        <v>-14.328311739999998</v>
      </c>
      <c r="AA50" s="278">
        <v>-3.6801593600000047</v>
      </c>
      <c r="AB50" s="234">
        <f>SUM(X50:AA50)</f>
        <v>-34.607999999999997</v>
      </c>
      <c r="AC50" s="278">
        <v>-6.1097552400000072</v>
      </c>
      <c r="AD50" s="277">
        <f>-14.116-AC50</f>
        <v>-8.0062447599999924</v>
      </c>
      <c r="AE50" s="278">
        <f>-14.159-AD50-AC50</f>
        <v>-4.3000000000001037E-2</v>
      </c>
      <c r="AF50" s="278">
        <f t="shared" ref="AF50:AF54" si="10">AG50-AE50-AD50-AC50</f>
        <v>-7.9619999999999962</v>
      </c>
      <c r="AG50" s="234">
        <v>-22.120999999999999</v>
      </c>
      <c r="AH50" s="277">
        <v>-2.0739999999999998</v>
      </c>
      <c r="AI50" s="277">
        <f>-9.588-AH50</f>
        <v>-7.5139999999999993</v>
      </c>
      <c r="AJ50" s="277">
        <f>-16.294-AI50-AH50</f>
        <v>-6.7060000000000013</v>
      </c>
      <c r="AK50" s="277">
        <f>AL50-AH50-AI50-AJ50</f>
        <v>-4.7550000000000008</v>
      </c>
      <c r="AL50" s="234">
        <v>-21.048999999999999</v>
      </c>
      <c r="AM50" s="276">
        <v>-2.5000000000000284</v>
      </c>
      <c r="AN50" s="276">
        <v>-2.5000000000000568</v>
      </c>
      <c r="AO50" s="276">
        <v>-2.5000000000000284</v>
      </c>
      <c r="AP50" s="276">
        <v>-2.5000000000000284</v>
      </c>
      <c r="AQ50" s="234">
        <f>SUM(AM50:AP50)</f>
        <v>-10.000000000000142</v>
      </c>
    </row>
    <row r="51" spans="2:43">
      <c r="B51" s="13"/>
      <c r="C51" s="2" t="s">
        <v>365</v>
      </c>
      <c r="D51" s="274"/>
      <c r="E51" s="274"/>
      <c r="F51" s="274"/>
      <c r="G51" s="274"/>
      <c r="H51" s="234"/>
      <c r="I51" s="274"/>
      <c r="J51" s="274"/>
      <c r="K51" s="274"/>
      <c r="L51" s="274"/>
      <c r="M51" s="234"/>
      <c r="N51" s="274"/>
      <c r="O51" s="274"/>
      <c r="P51" s="274"/>
      <c r="Q51" s="274"/>
      <c r="R51" s="234"/>
      <c r="S51" s="274"/>
      <c r="T51" s="277"/>
      <c r="U51" s="277"/>
      <c r="V51" s="278"/>
      <c r="W51" s="234"/>
      <c r="X51" s="278"/>
      <c r="Y51" s="278"/>
      <c r="Z51" s="278"/>
      <c r="AA51" s="278"/>
      <c r="AB51" s="234"/>
      <c r="AC51" s="278"/>
      <c r="AD51" s="277"/>
      <c r="AE51" s="278"/>
      <c r="AF51" s="278"/>
      <c r="AG51" s="234"/>
      <c r="AH51" s="277">
        <v>8.3160000000000007</v>
      </c>
      <c r="AI51" s="277">
        <f>8.316-AH51</f>
        <v>0</v>
      </c>
      <c r="AJ51" s="277">
        <f>8.316-AI51-AH51</f>
        <v>0</v>
      </c>
      <c r="AK51" s="277">
        <f>AL51-AH51-AI51-AJ51</f>
        <v>0</v>
      </c>
      <c r="AL51" s="234">
        <v>8.3160000000000007</v>
      </c>
      <c r="AM51" s="276"/>
      <c r="AN51" s="276"/>
      <c r="AO51" s="276"/>
      <c r="AP51" s="276"/>
      <c r="AQ51" s="234"/>
    </row>
    <row r="52" spans="2:43">
      <c r="B52" s="13"/>
      <c r="C52" s="2" t="s">
        <v>366</v>
      </c>
      <c r="D52" s="274"/>
      <c r="E52" s="274"/>
      <c r="F52" s="274"/>
      <c r="G52" s="274"/>
      <c r="H52" s="234"/>
      <c r="I52" s="274"/>
      <c r="J52" s="274"/>
      <c r="K52" s="274"/>
      <c r="L52" s="274"/>
      <c r="M52" s="234"/>
      <c r="N52" s="274"/>
      <c r="O52" s="274"/>
      <c r="P52" s="274"/>
      <c r="Q52" s="274"/>
      <c r="R52" s="234"/>
      <c r="S52" s="274"/>
      <c r="T52" s="277"/>
      <c r="U52" s="277"/>
      <c r="V52" s="278"/>
      <c r="W52" s="234"/>
      <c r="X52" s="278"/>
      <c r="Y52" s="278"/>
      <c r="Z52" s="278"/>
      <c r="AA52" s="278"/>
      <c r="AB52" s="234"/>
      <c r="AC52" s="278"/>
      <c r="AD52" s="277"/>
      <c r="AE52" s="278"/>
      <c r="AF52" s="278"/>
      <c r="AG52" s="234"/>
      <c r="AH52" s="277">
        <v>-380.762</v>
      </c>
      <c r="AI52" s="277">
        <f>-380.762-AH52</f>
        <v>0</v>
      </c>
      <c r="AJ52" s="277">
        <f>-375.025-AI52-AH52</f>
        <v>5.7370000000000232</v>
      </c>
      <c r="AK52" s="277">
        <f>AL52-AH52-AI52-AJ52</f>
        <v>-1.6410000000000196</v>
      </c>
      <c r="AL52" s="234">
        <f>-376.666</f>
        <v>-376.666</v>
      </c>
      <c r="AM52" s="276"/>
      <c r="AN52" s="276"/>
      <c r="AO52" s="276"/>
      <c r="AP52" s="276"/>
      <c r="AQ52" s="234"/>
    </row>
    <row r="53" spans="2:43">
      <c r="B53" s="13"/>
      <c r="C53" s="2" t="s">
        <v>367</v>
      </c>
      <c r="D53" s="274"/>
      <c r="E53" s="274"/>
      <c r="F53" s="274"/>
      <c r="G53" s="274"/>
      <c r="H53" s="234"/>
      <c r="I53" s="274"/>
      <c r="J53" s="274"/>
      <c r="K53" s="274"/>
      <c r="L53" s="274"/>
      <c r="M53" s="234"/>
      <c r="N53" s="274"/>
      <c r="O53" s="274"/>
      <c r="P53" s="274"/>
      <c r="Q53" s="274"/>
      <c r="R53" s="234"/>
      <c r="S53" s="274"/>
      <c r="T53" s="277"/>
      <c r="U53" s="277"/>
      <c r="V53" s="278"/>
      <c r="W53" s="234"/>
      <c r="X53" s="278"/>
      <c r="Y53" s="278"/>
      <c r="Z53" s="278"/>
      <c r="AA53" s="278"/>
      <c r="AB53" s="234"/>
      <c r="AC53" s="278"/>
      <c r="AD53" s="277"/>
      <c r="AE53" s="278"/>
      <c r="AF53" s="278"/>
      <c r="AG53" s="234"/>
      <c r="AH53" s="277">
        <v>-1.298</v>
      </c>
      <c r="AI53" s="277">
        <f>-3.295-AH53</f>
        <v>-1.9969999999999999</v>
      </c>
      <c r="AJ53" s="277">
        <f>-4.635-AI53-AH53</f>
        <v>-1.3399999999999999</v>
      </c>
      <c r="AK53" s="277">
        <f>AL53-AH53-AI53-AJ53</f>
        <v>-1.5810000000000004</v>
      </c>
      <c r="AL53" s="234">
        <v>-6.2160000000000002</v>
      </c>
      <c r="AM53" s="276"/>
      <c r="AN53" s="276"/>
      <c r="AO53" s="276"/>
      <c r="AP53" s="276"/>
      <c r="AQ53" s="234"/>
    </row>
    <row r="54" spans="2:43">
      <c r="B54" s="13"/>
      <c r="C54" s="2" t="s">
        <v>182</v>
      </c>
      <c r="D54" s="274">
        <v>0</v>
      </c>
      <c r="E54" s="274">
        <v>0</v>
      </c>
      <c r="F54" s="274">
        <v>0</v>
      </c>
      <c r="G54" s="274">
        <v>-25.994</v>
      </c>
      <c r="H54" s="234">
        <f t="shared" ref="H54:H55" si="11">SUM(D54:G54)</f>
        <v>-25.994</v>
      </c>
      <c r="I54" s="274">
        <v>0</v>
      </c>
      <c r="J54" s="274">
        <v>0</v>
      </c>
      <c r="K54" s="274">
        <v>0</v>
      </c>
      <c r="L54" s="274">
        <v>0</v>
      </c>
      <c r="M54" s="234">
        <f t="shared" ref="M54:M55" si="12">SUM(I54:L54)</f>
        <v>0</v>
      </c>
      <c r="N54" s="274">
        <v>0</v>
      </c>
      <c r="O54" s="274">
        <v>-5.9566456399999996</v>
      </c>
      <c r="P54" s="274">
        <v>-4</v>
      </c>
      <c r="Q54" s="274">
        <v>0</v>
      </c>
      <c r="R54" s="234">
        <f t="shared" ref="R54:R55" si="13">SUM(N54:Q54)</f>
        <v>-9.9566456399999996</v>
      </c>
      <c r="S54" s="274">
        <v>-35.048999999999999</v>
      </c>
      <c r="T54" s="274">
        <v>0</v>
      </c>
      <c r="U54" s="277">
        <v>-0.5</v>
      </c>
      <c r="V54" s="274">
        <v>-4.0129999999999999</v>
      </c>
      <c r="W54" s="234">
        <f t="shared" ref="W54:W55" si="14">SUM(S54:V54)</f>
        <v>-39.561999999999998</v>
      </c>
      <c r="X54" s="274">
        <v>-2.8690000000000002</v>
      </c>
      <c r="Y54" s="274">
        <v>0</v>
      </c>
      <c r="Z54" s="274">
        <v>0</v>
      </c>
      <c r="AA54" s="274">
        <v>-2.8359999999999999</v>
      </c>
      <c r="AB54" s="234">
        <f t="shared" ref="AB54:AB55" si="15">SUM(X54:AA54)</f>
        <v>-5.7050000000000001</v>
      </c>
      <c r="AC54" s="278">
        <v>22.285331399999997</v>
      </c>
      <c r="AD54" s="277">
        <f>23.098-AC54</f>
        <v>0.81266860000000207</v>
      </c>
      <c r="AE54" s="278">
        <f>23.098+-95.186-36.183-AD54-AC54</f>
        <v>-131.369</v>
      </c>
      <c r="AF54" s="278">
        <f t="shared" si="10"/>
        <v>0</v>
      </c>
      <c r="AG54" s="234">
        <f>23.098-36.183-95.186</f>
        <v>-108.27100000000002</v>
      </c>
      <c r="AH54" s="277">
        <v>0</v>
      </c>
      <c r="AI54" s="277">
        <v>0</v>
      </c>
      <c r="AJ54" s="277">
        <v>0</v>
      </c>
      <c r="AK54" s="277">
        <f>AL54-AH54-AI54-AJ54</f>
        <v>-2.74</v>
      </c>
      <c r="AL54" s="234">
        <f>-2.74</f>
        <v>-2.74</v>
      </c>
      <c r="AM54" s="276">
        <v>0</v>
      </c>
      <c r="AN54" s="276">
        <v>0</v>
      </c>
      <c r="AO54" s="276">
        <v>0</v>
      </c>
      <c r="AP54" s="276">
        <v>0</v>
      </c>
      <c r="AQ54" s="234">
        <f t="shared" ref="AQ54:AQ55" si="16">SUM(AM54:AP54)</f>
        <v>0</v>
      </c>
    </row>
    <row r="55" spans="2:43">
      <c r="B55" s="16" t="s">
        <v>60</v>
      </c>
      <c r="C55" s="4"/>
      <c r="D55" s="275">
        <f>SUM(D50:D54)</f>
        <v>-1.0797036200000001</v>
      </c>
      <c r="E55" s="275">
        <f t="shared" ref="E55:G55" si="17">SUM(E50:E54)</f>
        <v>-4.4941376299999973</v>
      </c>
      <c r="F55" s="275">
        <f t="shared" si="17"/>
        <v>-4.3579415300000051</v>
      </c>
      <c r="G55" s="275">
        <f t="shared" si="17"/>
        <v>-38.901885299999996</v>
      </c>
      <c r="H55" s="197">
        <f t="shared" si="11"/>
        <v>-48.833668079999995</v>
      </c>
      <c r="I55" s="275">
        <f>SUM(I50:I54)</f>
        <v>-1.66579677</v>
      </c>
      <c r="J55" s="275">
        <f>SUM(J50:J54)</f>
        <v>-5.5369776300000026</v>
      </c>
      <c r="K55" s="275">
        <f>SUM(K50:K54)</f>
        <v>-3.1509448700000036</v>
      </c>
      <c r="L55" s="275">
        <f>SUM(L50:L54)</f>
        <v>-5.0953931600000004</v>
      </c>
      <c r="M55" s="197">
        <f t="shared" si="12"/>
        <v>-15.449112430000007</v>
      </c>
      <c r="N55" s="275">
        <f>SUM(N50:N54)</f>
        <v>-1.4598191999999983</v>
      </c>
      <c r="O55" s="275">
        <f>SUM(O50:O54)</f>
        <v>-8.4681955800000086</v>
      </c>
      <c r="P55" s="275">
        <f>SUM(P50:P54)</f>
        <v>-8.2625440299999866</v>
      </c>
      <c r="Q55" s="275">
        <f>SUM(Q50:Q54)</f>
        <v>-2.4848472099999981</v>
      </c>
      <c r="R55" s="197">
        <f t="shared" si="13"/>
        <v>-20.67540601999999</v>
      </c>
      <c r="S55" s="275">
        <f>SUM(S50:S54)</f>
        <v>-41.519514489999999</v>
      </c>
      <c r="T55" s="275">
        <f>SUM(T50:T54)</f>
        <v>-4.5042865600000006</v>
      </c>
      <c r="U55" s="275">
        <f>SUM(U50:U54)</f>
        <v>-4.2219726400000042</v>
      </c>
      <c r="V55" s="275">
        <f>SUM(V50:V54)</f>
        <v>-7.6932263099999947</v>
      </c>
      <c r="W55" s="197">
        <f t="shared" si="14"/>
        <v>-57.939</v>
      </c>
      <c r="X55" s="275">
        <f>SUM(X50:X54)</f>
        <v>-9.0265376199999849</v>
      </c>
      <c r="Y55" s="275">
        <f>SUM(Y50:Y54)</f>
        <v>-10.441991280000011</v>
      </c>
      <c r="Z55" s="275">
        <f>SUM(Z50:Z54)</f>
        <v>-14.328311739999998</v>
      </c>
      <c r="AA55" s="275">
        <f>SUM(AA50:AA54)</f>
        <v>-6.516159360000005</v>
      </c>
      <c r="AB55" s="197">
        <f t="shared" si="15"/>
        <v>-40.312999999999995</v>
      </c>
      <c r="AC55" s="275">
        <f>SUM(AC50:AC54)</f>
        <v>16.175576159999991</v>
      </c>
      <c r="AD55" s="275">
        <f>SUM(AD50:AD54)</f>
        <v>-7.1935761599999903</v>
      </c>
      <c r="AE55" s="275">
        <f>SUM(AE50:AE54)</f>
        <v>-131.41200000000001</v>
      </c>
      <c r="AF55" s="275">
        <f>SUM(AF50:AF54)</f>
        <v>-7.9619999999999962</v>
      </c>
      <c r="AG55" s="197">
        <f t="shared" ref="AG55" si="18">SUM(AC55:AF55)</f>
        <v>-130.392</v>
      </c>
      <c r="AH55" s="275">
        <f>SUM(AH50:AH54)</f>
        <v>-375.81799999999998</v>
      </c>
      <c r="AI55" s="275">
        <f>SUM(AI50:AI54)</f>
        <v>-9.5109999999999992</v>
      </c>
      <c r="AJ55" s="275">
        <f>SUM(AJ50:AJ54)</f>
        <v>-2.308999999999978</v>
      </c>
      <c r="AK55" s="275">
        <f>SUM(AK50:AK54)</f>
        <v>-10.71700000000002</v>
      </c>
      <c r="AL55" s="406">
        <f t="shared" ref="AL55" si="19">SUM(AH55:AK55)</f>
        <v>-398.35500000000002</v>
      </c>
      <c r="AM55" s="275">
        <f>SUM(AM50:AM54)</f>
        <v>-2.5000000000000284</v>
      </c>
      <c r="AN55" s="275">
        <f>SUM(AN50:AN54)</f>
        <v>-2.5000000000000568</v>
      </c>
      <c r="AO55" s="275">
        <f>SUM(AO50:AO54)</f>
        <v>-2.5000000000000284</v>
      </c>
      <c r="AP55" s="275">
        <f>SUM(AP50:AP54)</f>
        <v>-2.5000000000000284</v>
      </c>
      <c r="AQ55" s="197">
        <f t="shared" si="16"/>
        <v>-10.000000000000142</v>
      </c>
    </row>
    <row r="56" spans="2:43">
      <c r="B56" s="16"/>
      <c r="C56" s="2"/>
      <c r="H56" s="31"/>
      <c r="M56" s="31"/>
      <c r="R56" s="31"/>
      <c r="W56" s="31"/>
      <c r="AB56" s="31"/>
      <c r="AD56" s="286"/>
      <c r="AG56" s="31"/>
      <c r="AJ56" s="286"/>
      <c r="AL56" s="31"/>
      <c r="AQ56" s="31"/>
    </row>
    <row r="57" spans="2:43">
      <c r="B57" s="16" t="s">
        <v>61</v>
      </c>
      <c r="C57" s="4"/>
      <c r="D57" s="275">
        <f t="shared" ref="D57:G57" si="20">D46+D50</f>
        <v>-23.301864950005818</v>
      </c>
      <c r="E57" s="275">
        <f t="shared" si="20"/>
        <v>-32.303973023512086</v>
      </c>
      <c r="F57" s="275">
        <f t="shared" si="20"/>
        <v>-26.522506643238785</v>
      </c>
      <c r="G57" s="275">
        <f t="shared" si="20"/>
        <v>-44.336680522144555</v>
      </c>
      <c r="H57" s="197">
        <f t="shared" ref="H57:Q57" si="21">H46+H50</f>
        <v>-126.46502513890124</v>
      </c>
      <c r="I57" s="275">
        <f t="shared" si="21"/>
        <v>-31.509393093504954</v>
      </c>
      <c r="J57" s="275">
        <f t="shared" si="21"/>
        <v>248.45813840995825</v>
      </c>
      <c r="K57" s="275">
        <f t="shared" si="21"/>
        <v>-67.171332503139737</v>
      </c>
      <c r="L57" s="275">
        <f t="shared" si="21"/>
        <v>-135.71147485000006</v>
      </c>
      <c r="M57" s="197">
        <f t="shared" si="21"/>
        <v>14.06593796331348</v>
      </c>
      <c r="N57" s="275">
        <f t="shared" si="21"/>
        <v>-45.370532000000104</v>
      </c>
      <c r="O57" s="275">
        <f t="shared" si="21"/>
        <v>-39.168983630000028</v>
      </c>
      <c r="P57" s="275">
        <f t="shared" si="21"/>
        <v>-72.571023320000037</v>
      </c>
      <c r="Q57" s="275">
        <f t="shared" si="21"/>
        <v>-66.70195695000001</v>
      </c>
      <c r="R57" s="197">
        <f>SUM(N57:Q57)</f>
        <v>-223.81249590000016</v>
      </c>
      <c r="S57" s="275">
        <f>S46+S50</f>
        <v>-64.386687495304727</v>
      </c>
      <c r="T57" s="275">
        <f>T46+T50</f>
        <v>-71.376903811040208</v>
      </c>
      <c r="U57" s="275">
        <f>U46+U50</f>
        <v>9.7271251458934387</v>
      </c>
      <c r="V57" s="275">
        <f>V46+V50</f>
        <v>-60.52700713690809</v>
      </c>
      <c r="W57" s="197">
        <f>SUM(S57:V57)</f>
        <v>-186.56347329735959</v>
      </c>
      <c r="X57" s="275">
        <f>X46+X50</f>
        <v>-72.594697598066816</v>
      </c>
      <c r="Y57" s="275">
        <f>Y46+Y50</f>
        <v>-64.37000163507777</v>
      </c>
      <c r="Z57" s="275">
        <f>Z46+Z50</f>
        <v>-69.031870061892647</v>
      </c>
      <c r="AA57" s="275">
        <f>AA46+AA50</f>
        <v>-42.970326309627914</v>
      </c>
      <c r="AB57" s="197">
        <f>SUM(X57:AA57)</f>
        <v>-248.96689560466515</v>
      </c>
      <c r="AC57" s="275">
        <f>AC46+AC50</f>
        <v>-107.53512922035461</v>
      </c>
      <c r="AD57" s="275">
        <f>AD46+AD50</f>
        <v>-105.03887077964544</v>
      </c>
      <c r="AE57" s="275">
        <f>AE46+AE50</f>
        <v>48.621000000000116</v>
      </c>
      <c r="AF57" s="275">
        <f>AF46+AF50</f>
        <v>-47.212999999999973</v>
      </c>
      <c r="AG57" s="197">
        <f>SUM(AC57:AF57)</f>
        <v>-211.16599999999988</v>
      </c>
      <c r="AH57" s="275">
        <f>AH46+AH50</f>
        <v>-107.69800000000001</v>
      </c>
      <c r="AI57" s="275">
        <f>AI46+AI50</f>
        <v>36.650000000000006</v>
      </c>
      <c r="AJ57" s="275">
        <f>AJ46+AJ50</f>
        <v>-126.54800000000003</v>
      </c>
      <c r="AK57" s="275">
        <f>AK46+AK50</f>
        <v>-45.064000000000021</v>
      </c>
      <c r="AL57" s="197">
        <f>SUM(AH57:AK57)</f>
        <v>-242.66000000000005</v>
      </c>
      <c r="AM57" s="275">
        <f>AM46+AM50</f>
        <v>57.452202173318369</v>
      </c>
      <c r="AN57" s="275">
        <f>AN46+AN50</f>
        <v>-3.3413593942328816</v>
      </c>
      <c r="AO57" s="275">
        <f>AO46+AO50</f>
        <v>-17.943112320500063</v>
      </c>
      <c r="AP57" s="275">
        <f>AP46+AP50</f>
        <v>18.054602733844799</v>
      </c>
      <c r="AQ57" s="197">
        <f>SUM(AM57:AP57)</f>
        <v>54.222333192430227</v>
      </c>
    </row>
    <row r="58" spans="2:43" ht="15" customHeight="1">
      <c r="B58" s="41"/>
      <c r="C58" s="70" t="s">
        <v>62</v>
      </c>
      <c r="D58" s="12">
        <f>D57/IS!D15</f>
        <v>-3.0345841008135119</v>
      </c>
      <c r="E58" s="12">
        <f>E57/IS!E15</f>
        <v>-3.0518463972716812</v>
      </c>
      <c r="F58" s="12">
        <f>F57/IS!F15</f>
        <v>-1.7330124688023236</v>
      </c>
      <c r="G58" s="279">
        <f>G57/IS!G15</f>
        <v>-1.5562745015271158</v>
      </c>
      <c r="H58" s="280">
        <f>H57/IS!H15</f>
        <v>-2.0378819826648993</v>
      </c>
      <c r="I58" s="12">
        <f>I57/IS!I15</f>
        <v>-1.7272875455312378</v>
      </c>
      <c r="J58" s="12">
        <f>J57/IS!J15</f>
        <v>13.668762354828967</v>
      </c>
      <c r="K58" s="12">
        <f>K57/IS!K15</f>
        <v>-1.3240261441093097</v>
      </c>
      <c r="L58" s="279">
        <f>L57/IS!L15</f>
        <v>-1.3456552067703402</v>
      </c>
      <c r="M58" s="280">
        <f>M57/IS!M15</f>
        <v>7.481745437137767E-2</v>
      </c>
      <c r="N58" s="12">
        <f>N57/IS!N15</f>
        <v>-0.64713300715359323</v>
      </c>
      <c r="O58" s="12">
        <f>O57/IS!O15</f>
        <v>-0.63190345991851382</v>
      </c>
      <c r="P58" s="12">
        <f>P57/IS!P15</f>
        <v>-1.3836848302981442</v>
      </c>
      <c r="Q58" s="279">
        <f>Q57/IS!Q15</f>
        <v>-0.90986739075219147</v>
      </c>
      <c r="R58" s="280">
        <f>R57/IS!R15</f>
        <v>-0.86798499090743864</v>
      </c>
      <c r="S58" s="12">
        <f>S57/IS!S15</f>
        <v>-1.0598323233044997</v>
      </c>
      <c r="T58" s="12">
        <f>T57/IS!T15</f>
        <v>-0.96823159844226514</v>
      </c>
      <c r="U58" s="12">
        <f>U57/IS!U15</f>
        <v>0.11367244841215815</v>
      </c>
      <c r="V58" s="279">
        <f>V57/IS!V15</f>
        <v>-0.60149997486730322</v>
      </c>
      <c r="W58" s="280">
        <f>W57/IS!W15</f>
        <v>-0.58179469905237557</v>
      </c>
      <c r="X58" s="12">
        <f>X57/IS!X15</f>
        <v>-0.62784919612011314</v>
      </c>
      <c r="Y58" s="12">
        <f>Y57/IS!Y15</f>
        <v>-0.48611828591938749</v>
      </c>
      <c r="Z58" s="12">
        <f>Z57/IS!Z15</f>
        <v>-0.50748940663159825</v>
      </c>
      <c r="AA58" s="279">
        <f>AA57/IS!AA15</f>
        <v>-0.29094907115853935</v>
      </c>
      <c r="AB58" s="280">
        <f>AB57/IS!AB15</f>
        <v>-0.46819658463679714</v>
      </c>
      <c r="AC58" s="12">
        <f>AC57/IS!AC15</f>
        <v>-0.73745095914448366</v>
      </c>
      <c r="AD58" s="12">
        <f>AD57/IS!AD15</f>
        <v>-0.63288247070022374</v>
      </c>
      <c r="AE58" s="12">
        <f>AE57/IS!AE15</f>
        <v>0.26872972270890855</v>
      </c>
      <c r="AF58" s="279">
        <f>AF57/IS!AF15</f>
        <v>-0.23526509866454043</v>
      </c>
      <c r="AG58" s="280">
        <f>AG57/IS!AG15</f>
        <v>-0.30453792405428309</v>
      </c>
      <c r="AH58" s="12">
        <f>AH57/IS!AH15</f>
        <v>-0.42112795567321121</v>
      </c>
      <c r="AI58" s="12">
        <f>AI57/IS!AI15</f>
        <v>0.11648418008168197</v>
      </c>
      <c r="AJ58" s="12">
        <f>AJ57/IS!AJ15</f>
        <v>-0.37865268726474099</v>
      </c>
      <c r="AK58" s="279">
        <f>AK57/IS!AK15</f>
        <v>-0.12271963530504267</v>
      </c>
      <c r="AL58" s="280">
        <f>AL57/IS!AL15</f>
        <v>-0.19080209059836187</v>
      </c>
      <c r="AM58" s="12">
        <f>AM57/IS!AM15</f>
        <v>0.16654842272211923</v>
      </c>
      <c r="AN58" s="12">
        <f>AN57/IS!AN15</f>
        <v>-8.4595158472770601E-3</v>
      </c>
      <c r="AO58" s="12">
        <f>AO57/IS!AO15</f>
        <v>-4.3219149356994807E-2</v>
      </c>
      <c r="AP58" s="279">
        <f>AP57/IS!AP15</f>
        <v>4.1516345178846392E-2</v>
      </c>
      <c r="AQ58" s="280">
        <f>AQ57/IS!AQ15</f>
        <v>3.4102408003172532E-2</v>
      </c>
    </row>
    <row r="59" spans="2:43" ht="15" customHeight="1">
      <c r="B59" s="41"/>
      <c r="C59" s="42"/>
      <c r="D59" s="47"/>
      <c r="E59" s="47"/>
      <c r="F59" s="47"/>
      <c r="G59" s="48"/>
      <c r="H59" s="49"/>
      <c r="I59" s="47"/>
      <c r="J59" s="47"/>
      <c r="K59" s="47"/>
      <c r="L59" s="48"/>
      <c r="M59" s="49"/>
      <c r="N59" s="47"/>
      <c r="O59" s="47"/>
      <c r="P59" s="47"/>
      <c r="Q59" s="48"/>
      <c r="R59" s="49"/>
      <c r="S59" s="47"/>
      <c r="T59" s="47"/>
      <c r="U59" s="47"/>
      <c r="V59" s="48"/>
      <c r="W59" s="49"/>
      <c r="X59" s="47"/>
      <c r="Y59" s="47"/>
      <c r="Z59" s="47"/>
      <c r="AA59" s="48"/>
      <c r="AB59" s="49"/>
      <c r="AC59" s="47"/>
      <c r="AD59" s="47"/>
      <c r="AE59" s="47"/>
      <c r="AF59" s="48"/>
      <c r="AG59" s="49"/>
      <c r="AH59" s="47"/>
      <c r="AI59" s="47"/>
      <c r="AJ59" s="47"/>
      <c r="AK59" s="48"/>
      <c r="AL59" s="49"/>
      <c r="AM59" s="47"/>
      <c r="AN59" s="47"/>
      <c r="AO59" s="47"/>
      <c r="AP59" s="48"/>
      <c r="AQ59" s="49"/>
    </row>
    <row r="60" spans="2:43">
      <c r="B60" s="40" t="s">
        <v>63</v>
      </c>
      <c r="C60" s="2"/>
      <c r="H60" s="31"/>
      <c r="M60" s="31"/>
      <c r="R60" s="31"/>
      <c r="W60" s="31"/>
      <c r="AB60" s="31"/>
      <c r="AG60" s="31"/>
      <c r="AL60" s="31"/>
      <c r="AQ60" s="31"/>
    </row>
    <row r="61" spans="2:43">
      <c r="B61" s="40"/>
      <c r="C61" s="2" t="s">
        <v>343</v>
      </c>
      <c r="H61" s="31"/>
      <c r="M61" s="31"/>
      <c r="R61" s="31"/>
      <c r="W61" s="31"/>
      <c r="AB61" s="31"/>
      <c r="AD61" s="277">
        <f>381.951-AC61</f>
        <v>381.95100000000002</v>
      </c>
      <c r="AE61" s="385">
        <f>381.951-AD61</f>
        <v>0</v>
      </c>
      <c r="AF61" s="278">
        <f t="shared" ref="AF61:AF76" si="22">AG61-AE61-AD61-AC61</f>
        <v>0</v>
      </c>
      <c r="AG61" s="31">
        <v>381.95100000000002</v>
      </c>
      <c r="AL61" s="31"/>
      <c r="AQ61" s="31"/>
    </row>
    <row r="62" spans="2:43">
      <c r="B62" s="40"/>
      <c r="C62" s="2" t="s">
        <v>344</v>
      </c>
      <c r="H62" s="31"/>
      <c r="M62" s="31"/>
      <c r="R62" s="31"/>
      <c r="W62" s="31"/>
      <c r="AB62" s="31"/>
      <c r="AD62" s="277">
        <f>-69.918-AC62</f>
        <v>-69.918000000000006</v>
      </c>
      <c r="AE62" s="385">
        <f>-69.918-AD62</f>
        <v>0</v>
      </c>
      <c r="AF62" s="278">
        <f t="shared" si="22"/>
        <v>0</v>
      </c>
      <c r="AG62" s="31">
        <v>-69.918000000000006</v>
      </c>
      <c r="AL62" s="31"/>
      <c r="AQ62" s="31"/>
    </row>
    <row r="63" spans="2:43">
      <c r="B63" s="40"/>
      <c r="C63" s="2" t="s">
        <v>345</v>
      </c>
      <c r="H63" s="31"/>
      <c r="M63" s="31"/>
      <c r="R63" s="31"/>
      <c r="W63" s="31"/>
      <c r="AB63" s="31"/>
      <c r="AD63" s="277">
        <f>199.75-AC63</f>
        <v>199.75</v>
      </c>
      <c r="AE63" s="286">
        <f>199.75-AD63</f>
        <v>0</v>
      </c>
      <c r="AF63" s="278">
        <f t="shared" si="22"/>
        <v>0</v>
      </c>
      <c r="AG63" s="31">
        <v>199.75</v>
      </c>
      <c r="AL63" s="31"/>
      <c r="AQ63" s="31"/>
    </row>
    <row r="64" spans="2:43">
      <c r="B64" s="40"/>
      <c r="C64" s="2" t="s">
        <v>346</v>
      </c>
      <c r="H64" s="31"/>
      <c r="M64" s="31"/>
      <c r="R64" s="31"/>
      <c r="W64" s="31"/>
      <c r="AB64" s="31"/>
      <c r="AD64" s="277">
        <v>0</v>
      </c>
      <c r="AE64" s="386">
        <f>0-AD64</f>
        <v>0</v>
      </c>
      <c r="AF64" s="278">
        <f t="shared" si="22"/>
        <v>0</v>
      </c>
      <c r="AG64" s="31">
        <v>0</v>
      </c>
      <c r="AL64" s="31"/>
      <c r="AQ64" s="31"/>
    </row>
    <row r="65" spans="2:43">
      <c r="B65" s="40"/>
      <c r="C65" s="2" t="s">
        <v>347</v>
      </c>
      <c r="H65" s="31"/>
      <c r="M65" s="31"/>
      <c r="R65" s="31"/>
      <c r="W65" s="31"/>
      <c r="AB65" s="31"/>
      <c r="AD65" s="277">
        <v>0</v>
      </c>
      <c r="AE65" s="386">
        <f>0-AD65</f>
        <v>0</v>
      </c>
      <c r="AF65" s="278">
        <f t="shared" si="22"/>
        <v>0</v>
      </c>
      <c r="AG65" s="31">
        <v>0</v>
      </c>
      <c r="AK65">
        <f>AL65-AH65-AI65-AJ65</f>
        <v>-3.04</v>
      </c>
      <c r="AL65" s="31">
        <v>-3.04</v>
      </c>
      <c r="AQ65" s="31"/>
    </row>
    <row r="66" spans="2:43">
      <c r="B66" s="40"/>
      <c r="C66" s="2" t="s">
        <v>348</v>
      </c>
      <c r="H66" s="31"/>
      <c r="M66" s="31"/>
      <c r="R66" s="31"/>
      <c r="W66" s="31"/>
      <c r="AB66" s="31"/>
      <c r="AD66" s="277">
        <f>-2.714-AC66</f>
        <v>-2.714</v>
      </c>
      <c r="AE66" s="387">
        <f>-8.587-AD66</f>
        <v>-5.8729999999999993</v>
      </c>
      <c r="AF66" s="278">
        <f t="shared" si="22"/>
        <v>-0.17900000000000071</v>
      </c>
      <c r="AG66" s="31">
        <v>-8.766</v>
      </c>
      <c r="AH66">
        <v>0</v>
      </c>
      <c r="AI66">
        <v>0</v>
      </c>
      <c r="AJ66">
        <f>-0.501-AI66-AH66</f>
        <v>-0.501</v>
      </c>
      <c r="AK66">
        <f t="shared" ref="AK66:AK76" si="23">AL66-AJ66-AI66-AH66</f>
        <v>-0.30500000000000005</v>
      </c>
      <c r="AL66" s="31">
        <v>-0.80600000000000005</v>
      </c>
      <c r="AQ66" s="31"/>
    </row>
    <row r="67" spans="2:43">
      <c r="B67" s="40"/>
      <c r="C67" s="2" t="s">
        <v>368</v>
      </c>
      <c r="H67" s="31"/>
      <c r="M67" s="31"/>
      <c r="R67" s="31"/>
      <c r="W67" s="31"/>
      <c r="AB67" s="31"/>
      <c r="AD67" s="277"/>
      <c r="AE67" s="387"/>
      <c r="AF67" s="278"/>
      <c r="AG67" s="31"/>
      <c r="AH67">
        <v>98</v>
      </c>
      <c r="AI67">
        <f>98-AH67</f>
        <v>0</v>
      </c>
      <c r="AJ67">
        <f>98-AI67-AH67</f>
        <v>0</v>
      </c>
      <c r="AK67">
        <f t="shared" si="23"/>
        <v>0</v>
      </c>
      <c r="AL67" s="31">
        <v>98</v>
      </c>
      <c r="AQ67" s="31"/>
    </row>
    <row r="68" spans="2:43">
      <c r="B68" s="40"/>
      <c r="C68" s="2" t="s">
        <v>349</v>
      </c>
      <c r="H68" s="31"/>
      <c r="M68" s="31"/>
      <c r="R68" s="31"/>
      <c r="W68" s="31"/>
      <c r="AB68" s="31"/>
      <c r="AD68" s="277">
        <f>-5.625-AC68</f>
        <v>-5.625</v>
      </c>
      <c r="AE68" s="385">
        <f>-5.625-AD68</f>
        <v>0</v>
      </c>
      <c r="AF68" s="278">
        <f t="shared" si="22"/>
        <v>0</v>
      </c>
      <c r="AG68" s="31">
        <v>-5.625</v>
      </c>
      <c r="AI68">
        <v>0</v>
      </c>
      <c r="AJ68">
        <v>0</v>
      </c>
      <c r="AK68">
        <f t="shared" si="23"/>
        <v>0</v>
      </c>
      <c r="AL68" s="31">
        <v>0</v>
      </c>
      <c r="AQ68" s="31"/>
    </row>
    <row r="69" spans="2:43">
      <c r="B69" s="40"/>
      <c r="C69" s="2" t="s">
        <v>350</v>
      </c>
      <c r="H69" s="31"/>
      <c r="M69" s="31"/>
      <c r="R69" s="31"/>
      <c r="W69" s="31"/>
      <c r="AB69" s="31"/>
      <c r="AD69" s="277">
        <v>0</v>
      </c>
      <c r="AE69" s="386">
        <f>0-AD69</f>
        <v>0</v>
      </c>
      <c r="AF69" s="278">
        <f t="shared" si="22"/>
        <v>0</v>
      </c>
      <c r="AG69" s="31">
        <v>0</v>
      </c>
      <c r="AH69">
        <v>196</v>
      </c>
      <c r="AI69">
        <f>196-AH69</f>
        <v>0</v>
      </c>
      <c r="AJ69">
        <f>196-AI69-AH69</f>
        <v>0</v>
      </c>
      <c r="AK69">
        <f t="shared" si="23"/>
        <v>-196</v>
      </c>
      <c r="AL69" s="31">
        <v>0</v>
      </c>
      <c r="AQ69" s="31"/>
    </row>
    <row r="70" spans="2:43">
      <c r="B70" s="40"/>
      <c r="C70" s="2" t="s">
        <v>379</v>
      </c>
      <c r="H70" s="31"/>
      <c r="M70" s="31"/>
      <c r="R70" s="31"/>
      <c r="W70" s="31"/>
      <c r="AB70" s="31"/>
      <c r="AD70" s="277"/>
      <c r="AE70" s="386"/>
      <c r="AF70" s="278"/>
      <c r="AG70" s="31"/>
      <c r="AJ70">
        <f>726.497-AI70-AH70</f>
        <v>726.49699999999996</v>
      </c>
      <c r="AK70">
        <f t="shared" si="23"/>
        <v>196</v>
      </c>
      <c r="AL70" s="31">
        <f>726.497+196</f>
        <v>922.49699999999996</v>
      </c>
      <c r="AQ70" s="31"/>
    </row>
    <row r="71" spans="2:43">
      <c r="B71" s="40"/>
      <c r="C71" s="2" t="s">
        <v>369</v>
      </c>
      <c r="H71" s="31"/>
      <c r="M71" s="31"/>
      <c r="R71" s="31"/>
      <c r="W71" s="31"/>
      <c r="AB71" s="31"/>
      <c r="AD71" s="277"/>
      <c r="AE71" s="386"/>
      <c r="AF71" s="278"/>
      <c r="AG71" s="31"/>
      <c r="AH71">
        <v>-0.95799999999999996</v>
      </c>
      <c r="AI71">
        <f>-0.958-AH71</f>
        <v>0</v>
      </c>
      <c r="AJ71">
        <f>-1.255-AI71-AH71</f>
        <v>-0.29699999999999993</v>
      </c>
      <c r="AK71">
        <f t="shared" si="23"/>
        <v>-0.26400000000000001</v>
      </c>
      <c r="AL71" s="31">
        <v>-1.5189999999999999</v>
      </c>
      <c r="AQ71" s="31"/>
    </row>
    <row r="72" spans="2:43">
      <c r="B72" s="40"/>
      <c r="C72" s="2" t="s">
        <v>380</v>
      </c>
      <c r="H72" s="31"/>
      <c r="M72" s="31"/>
      <c r="R72" s="31"/>
      <c r="W72" s="31"/>
      <c r="AB72" s="31"/>
      <c r="AD72" s="277"/>
      <c r="AE72" s="386"/>
      <c r="AF72" s="278"/>
      <c r="AG72" s="31"/>
      <c r="AJ72">
        <f>-276.892-AI72-AH72</f>
        <v>-276.892</v>
      </c>
      <c r="AK72">
        <f t="shared" si="23"/>
        <v>0</v>
      </c>
      <c r="AL72" s="31">
        <v>-276.892</v>
      </c>
      <c r="AQ72" s="31"/>
    </row>
    <row r="73" spans="2:43">
      <c r="B73" s="40"/>
      <c r="C73" s="2" t="s">
        <v>381</v>
      </c>
      <c r="H73" s="31"/>
      <c r="M73" s="31"/>
      <c r="R73" s="31"/>
      <c r="W73" s="31"/>
      <c r="AB73" s="31"/>
      <c r="AD73" s="277"/>
      <c r="AE73" s="386"/>
      <c r="AF73" s="278"/>
      <c r="AG73" s="31"/>
      <c r="AJ73">
        <f>-7.841-AI73-AH73</f>
        <v>-7.8410000000000002</v>
      </c>
      <c r="AK73">
        <f t="shared" si="23"/>
        <v>0</v>
      </c>
      <c r="AL73" s="31">
        <v>-7.8410000000000002</v>
      </c>
      <c r="AQ73" s="31"/>
    </row>
    <row r="74" spans="2:43">
      <c r="B74" s="40"/>
      <c r="C74" s="2" t="s">
        <v>383</v>
      </c>
      <c r="H74" s="31"/>
      <c r="M74" s="31"/>
      <c r="R74" s="31"/>
      <c r="W74" s="31"/>
      <c r="AB74" s="31"/>
      <c r="AD74" s="277"/>
      <c r="AE74" s="386"/>
      <c r="AF74" s="278"/>
      <c r="AG74" s="31"/>
      <c r="AJ74">
        <f>-41.775-AI74-AH74</f>
        <v>-41.774999999999999</v>
      </c>
      <c r="AK74">
        <f t="shared" si="23"/>
        <v>0</v>
      </c>
      <c r="AL74" s="31">
        <v>-41.774999999999999</v>
      </c>
      <c r="AQ74" s="31"/>
    </row>
    <row r="75" spans="2:43">
      <c r="B75" s="40"/>
      <c r="C75" s="2" t="s">
        <v>378</v>
      </c>
      <c r="H75" s="31"/>
      <c r="M75" s="31"/>
      <c r="R75" s="31"/>
      <c r="W75" s="31"/>
      <c r="AB75" s="31"/>
      <c r="AD75" s="277"/>
      <c r="AE75" s="386"/>
      <c r="AF75" s="278"/>
      <c r="AG75" s="31"/>
      <c r="AJ75">
        <f>195.499-AI75-AH75</f>
        <v>195.499</v>
      </c>
      <c r="AK75">
        <f t="shared" si="23"/>
        <v>0</v>
      </c>
      <c r="AL75" s="31">
        <v>195.499</v>
      </c>
      <c r="AQ75" s="31"/>
    </row>
    <row r="76" spans="2:43">
      <c r="B76" s="40"/>
      <c r="C76" s="2" t="s">
        <v>351</v>
      </c>
      <c r="H76" s="31"/>
      <c r="M76" s="31"/>
      <c r="R76" s="31"/>
      <c r="W76" s="31"/>
      <c r="AB76" s="31"/>
      <c r="AD76" s="277">
        <f>-0.813-AC76</f>
        <v>-0.81299999999999994</v>
      </c>
      <c r="AE76" s="286">
        <f>-2.25-0.813-AD76</f>
        <v>-2.25</v>
      </c>
      <c r="AF76" s="278">
        <f t="shared" si="22"/>
        <v>2.2204460492503131E-16</v>
      </c>
      <c r="AG76" s="31">
        <f>-0.813-2.25</f>
        <v>-3.0629999999999997</v>
      </c>
      <c r="AH76">
        <v>0</v>
      </c>
      <c r="AI76">
        <v>0</v>
      </c>
      <c r="AJ76">
        <v>0</v>
      </c>
      <c r="AK76">
        <f t="shared" si="23"/>
        <v>0</v>
      </c>
      <c r="AL76" s="31">
        <v>0</v>
      </c>
      <c r="AQ76" s="31"/>
    </row>
    <row r="77" spans="2:43">
      <c r="B77" s="16" t="s">
        <v>64</v>
      </c>
      <c r="C77" s="4"/>
      <c r="D77" s="275">
        <v>-5.6227196000000008</v>
      </c>
      <c r="E77" s="275">
        <v>192.47543375999996</v>
      </c>
      <c r="F77" s="275">
        <v>-7.0962180000038941E-2</v>
      </c>
      <c r="G77" s="275">
        <v>2.2215995000000048</v>
      </c>
      <c r="H77" s="197">
        <f>SUM(D77:G77)</f>
        <v>189.00335147999991</v>
      </c>
      <c r="I77" s="275">
        <v>71.495989289999997</v>
      </c>
      <c r="J77" s="275">
        <v>16.415502500000056</v>
      </c>
      <c r="K77" s="275">
        <v>-0.28466846000000018</v>
      </c>
      <c r="L77" s="275">
        <v>184.42313816000009</v>
      </c>
      <c r="M77" s="197">
        <f>SUM(I77:L77)</f>
        <v>272.04996149000016</v>
      </c>
      <c r="N77" s="275">
        <v>3.0855320000000765</v>
      </c>
      <c r="O77" s="275">
        <v>-3.6273707299999578</v>
      </c>
      <c r="P77" s="275">
        <v>-0.88197667999999996</v>
      </c>
      <c r="Q77" s="275">
        <v>-0.5570430500000001</v>
      </c>
      <c r="R77" s="197">
        <f>SUM(N77:Q77)</f>
        <v>-1.9808584599998813</v>
      </c>
      <c r="S77" s="275">
        <v>-0.58736448999999991</v>
      </c>
      <c r="T77" s="275">
        <v>90.837723500000024</v>
      </c>
      <c r="U77" s="275">
        <v>162.67506369999998</v>
      </c>
      <c r="V77" s="275">
        <v>-1.53476904</v>
      </c>
      <c r="W77" s="197">
        <f>SUM(S77:V77)</f>
        <v>251.39065367000003</v>
      </c>
      <c r="X77" s="275">
        <v>-3.7095444900000301</v>
      </c>
      <c r="Y77" s="275">
        <v>42.889477529999958</v>
      </c>
      <c r="Z77" s="275">
        <v>-0.51817104999999997</v>
      </c>
      <c r="AA77" s="275">
        <v>78.885979090000191</v>
      </c>
      <c r="AB77" s="197">
        <f>SUM(X77:AA77)</f>
        <v>117.54774108000012</v>
      </c>
      <c r="AC77" s="275">
        <v>-0.56492799999999299</v>
      </c>
      <c r="AD77" s="275">
        <f>SUM(AD61:AD76)-AC77</f>
        <v>503.19592800000004</v>
      </c>
      <c r="AE77" s="275">
        <f>SUM(AE61:AE76)</f>
        <v>-8.1229999999999993</v>
      </c>
      <c r="AF77" s="275">
        <f>SUM(AF61:AF76)</f>
        <v>-0.17900000000000049</v>
      </c>
      <c r="AG77" s="197">
        <f>SUM(AC77:AF77)</f>
        <v>494.32900000000006</v>
      </c>
      <c r="AH77" s="275">
        <f>SUM(AH61:AH76)</f>
        <v>293.04199999999997</v>
      </c>
      <c r="AI77" s="275">
        <f>SUM(AI61:AI76)</f>
        <v>0</v>
      </c>
      <c r="AJ77" s="275">
        <f>SUM(AJ61:AJ76)</f>
        <v>594.68999999999994</v>
      </c>
      <c r="AK77" s="275">
        <f>SUM(AK61:AK76)</f>
        <v>-3.6089999999999991</v>
      </c>
      <c r="AL77" s="197">
        <f>SUM(AH77:AK77)</f>
        <v>884.12299999999993</v>
      </c>
      <c r="AM77" s="275">
        <f>SUM(AM61:AM76)</f>
        <v>0</v>
      </c>
      <c r="AN77" s="275">
        <f>SUM(AN61:AN76)</f>
        <v>0</v>
      </c>
      <c r="AO77" s="275">
        <f>SUM(AO61:AO76)</f>
        <v>0</v>
      </c>
      <c r="AP77" s="275">
        <f>SUM(AP61:AP76)</f>
        <v>0</v>
      </c>
      <c r="AQ77" s="197">
        <f>SUM(AM77:AP77)</f>
        <v>0</v>
      </c>
    </row>
    <row r="78" spans="2:43">
      <c r="B78" s="16"/>
      <c r="C78" s="4"/>
      <c r="H78" s="31"/>
      <c r="M78" s="31"/>
      <c r="R78" s="31"/>
      <c r="W78" s="31"/>
      <c r="AB78" s="31"/>
      <c r="AG78" s="31"/>
      <c r="AJ78" s="286"/>
      <c r="AL78" s="31"/>
      <c r="AQ78" s="31"/>
    </row>
    <row r="79" spans="2:43" ht="15.75" thickBot="1">
      <c r="B79" s="13"/>
      <c r="C79" s="2" t="s">
        <v>352</v>
      </c>
      <c r="H79" s="31"/>
      <c r="M79" s="31"/>
      <c r="R79" s="31"/>
      <c r="W79" s="31"/>
      <c r="AB79" s="31"/>
      <c r="AD79">
        <f>-0.09-AC79</f>
        <v>-0.09</v>
      </c>
      <c r="AE79">
        <f>-0.013-AD79</f>
        <v>7.6999999999999999E-2</v>
      </c>
      <c r="AF79" s="278">
        <f t="shared" ref="AF79" si="24">AG79-AE79-AD79-AC79</f>
        <v>0.34899999999999998</v>
      </c>
      <c r="AG79" s="31">
        <v>0.33600000000000002</v>
      </c>
      <c r="AH79">
        <v>0.109</v>
      </c>
      <c r="AI79">
        <f>-0.037-AH79</f>
        <v>-0.14599999999999999</v>
      </c>
      <c r="AJ79">
        <f>-0.078-AI79-AH79</f>
        <v>-4.1000000000000009E-2</v>
      </c>
      <c r="AK79">
        <f>AL79-AJ79-AI79-AH79</f>
        <v>1.6E-2</v>
      </c>
      <c r="AL79" s="31">
        <v>-6.2E-2</v>
      </c>
      <c r="AQ79" s="31"/>
    </row>
    <row r="80" spans="2:43" ht="15.75" thickBot="1">
      <c r="B80" s="23" t="s">
        <v>65</v>
      </c>
      <c r="C80" s="24"/>
      <c r="D80" s="281">
        <f>D77+D55+D46</f>
        <v>-28.924584550005818</v>
      </c>
      <c r="E80" s="281">
        <f>E77+E55+E46</f>
        <v>160.17146073648789</v>
      </c>
      <c r="F80" s="281">
        <f>F77+F55+F46</f>
        <v>-26.593468823238823</v>
      </c>
      <c r="G80" s="281">
        <f>G77+G55+G46</f>
        <v>-68.109081022144551</v>
      </c>
      <c r="H80" s="282">
        <f>SUM(D80:G80)</f>
        <v>36.544326341098696</v>
      </c>
      <c r="I80" s="281">
        <f>I77+I55+I46</f>
        <v>39.986596196495043</v>
      </c>
      <c r="J80" s="281">
        <f>J77+J55+J46</f>
        <v>264.87364090995828</v>
      </c>
      <c r="K80" s="281">
        <f>K77+K55+K46</f>
        <v>-67.456000963139743</v>
      </c>
      <c r="L80" s="281">
        <f>L77+L55+L46</f>
        <v>48.711663310000034</v>
      </c>
      <c r="M80" s="282">
        <f>SUM(I80:L80)</f>
        <v>286.11589945331366</v>
      </c>
      <c r="N80" s="281">
        <f>N77+N55+N46</f>
        <v>-42.285000000000025</v>
      </c>
      <c r="O80" s="281">
        <f>O77+O55+O46</f>
        <v>-48.752999999999986</v>
      </c>
      <c r="P80" s="281">
        <f>P77+P55+P46</f>
        <v>-77.453000000000031</v>
      </c>
      <c r="Q80" s="281">
        <f>Q77+Q55+Q46</f>
        <v>-67.259000000000015</v>
      </c>
      <c r="R80" s="282">
        <f>SUM(N80:Q80)</f>
        <v>-235.75000000000006</v>
      </c>
      <c r="S80" s="281">
        <f>S77+S55+S46</f>
        <v>-100.02305198530473</v>
      </c>
      <c r="T80" s="281">
        <f>T77+T55+T46</f>
        <v>19.460819688959816</v>
      </c>
      <c r="U80" s="281">
        <f>U77+U55+U46</f>
        <v>171.90218884589342</v>
      </c>
      <c r="V80" s="281">
        <f>V77+V55+V46</f>
        <v>-66.074776176908088</v>
      </c>
      <c r="W80" s="282">
        <f>SUM(S80:V80)</f>
        <v>25.265180372640415</v>
      </c>
      <c r="X80" s="281">
        <f>X77+X55+X46</f>
        <v>-79.173242088066843</v>
      </c>
      <c r="Y80" s="281">
        <f>Y77+Y55+Y46</f>
        <v>-21.480524105077812</v>
      </c>
      <c r="Z80" s="281">
        <f>Z77+Z55+Z46</f>
        <v>-69.550041111892654</v>
      </c>
      <c r="AA80" s="281">
        <f>AA77+AA55+AA46</f>
        <v>33.079652780372278</v>
      </c>
      <c r="AB80" s="282">
        <f>SUM(X80:AA80)</f>
        <v>-137.12415452466504</v>
      </c>
      <c r="AC80" s="281">
        <f>AC77+AC55+AC46</f>
        <v>-85.814725820354596</v>
      </c>
      <c r="AD80" s="281">
        <f>AD77+AD55+AD46+AD79</f>
        <v>398.87972582035462</v>
      </c>
      <c r="AE80" s="281">
        <f>AE77+AE55+AE46+AE79</f>
        <v>-90.793999999999883</v>
      </c>
      <c r="AF80" s="281">
        <f>AF77+AF55+AF46+AF79</f>
        <v>-47.042999999999978</v>
      </c>
      <c r="AG80" s="282">
        <f>SUM(AC80:AF80)</f>
        <v>175.22800000000021</v>
      </c>
      <c r="AH80" s="281">
        <f>AH77+AH55+AH46</f>
        <v>-188.40000000000003</v>
      </c>
      <c r="AI80" s="281">
        <f>AI77+AI55+AI46</f>
        <v>34.653000000000006</v>
      </c>
      <c r="AJ80" s="281">
        <f>AJ77+AJ55+AJ46</f>
        <v>472.53899999999993</v>
      </c>
      <c r="AK80" s="281">
        <f>AK77+AK55+AK46</f>
        <v>-54.635000000000034</v>
      </c>
      <c r="AL80" s="282">
        <f>SUM(AH80:AK80)</f>
        <v>264.15699999999987</v>
      </c>
      <c r="AM80" s="281">
        <f>AM77+AM55+AM46</f>
        <v>57.452202173318369</v>
      </c>
      <c r="AN80" s="281">
        <f>AN77+AN55+AN46</f>
        <v>-3.3413593942328816</v>
      </c>
      <c r="AO80" s="281">
        <f>AO77+AO55+AO46</f>
        <v>-17.943112320500063</v>
      </c>
      <c r="AP80" s="281">
        <f>AP77+AP55+AP46</f>
        <v>18.054602733844799</v>
      </c>
      <c r="AQ80" s="282">
        <f>SUM(AM80:AP80)</f>
        <v>54.222333192430227</v>
      </c>
    </row>
    <row r="81" spans="2:43">
      <c r="B81" s="13"/>
      <c r="C81" s="2"/>
      <c r="H81" s="31"/>
      <c r="M81" s="31"/>
      <c r="R81" s="31"/>
      <c r="W81" s="31"/>
      <c r="AB81" s="31"/>
      <c r="AG81" s="31"/>
      <c r="AL81" s="31"/>
      <c r="AQ81" s="31"/>
    </row>
    <row r="82" spans="2:43">
      <c r="B82" s="13" t="s">
        <v>66</v>
      </c>
      <c r="C82" s="2"/>
      <c r="D82" s="274">
        <v>191.55577420558774</v>
      </c>
      <c r="E82" s="274">
        <f>D83</f>
        <v>162.63118965558192</v>
      </c>
      <c r="F82" s="274">
        <f t="shared" ref="F82:G82" si="25">E83</f>
        <v>322.80265039206984</v>
      </c>
      <c r="G82" s="274">
        <f t="shared" si="25"/>
        <v>296.20918156883101</v>
      </c>
      <c r="H82" s="234">
        <f>D82</f>
        <v>191.55577420558774</v>
      </c>
      <c r="I82" s="274">
        <f>G83</f>
        <v>228.10010054668646</v>
      </c>
      <c r="J82" s="274">
        <f>I83</f>
        <v>268.08669674318151</v>
      </c>
      <c r="K82" s="274">
        <f t="shared" ref="K82:L82" si="26">J83</f>
        <v>532.96033765313973</v>
      </c>
      <c r="L82" s="274">
        <f t="shared" si="26"/>
        <v>465.50433669</v>
      </c>
      <c r="M82" s="234">
        <f>I82</f>
        <v>228.10010054668646</v>
      </c>
      <c r="N82" s="274">
        <f>L83</f>
        <v>514.21600000000001</v>
      </c>
      <c r="O82" s="274">
        <f>N83</f>
        <v>471.93099999999998</v>
      </c>
      <c r="P82" s="274">
        <f t="shared" ref="P82:Q82" si="27">O83</f>
        <v>423.178</v>
      </c>
      <c r="Q82" s="274">
        <f t="shared" si="27"/>
        <v>345.72499999999997</v>
      </c>
      <c r="R82" s="234">
        <f>N82</f>
        <v>514.21600000000001</v>
      </c>
      <c r="S82" s="274">
        <f>Q83</f>
        <v>278.46599999999995</v>
      </c>
      <c r="T82" s="274">
        <f>S83</f>
        <v>178.44294801469522</v>
      </c>
      <c r="U82" s="274">
        <f t="shared" ref="U82:V82" si="28">T83</f>
        <v>197.90376770365503</v>
      </c>
      <c r="V82" s="274">
        <f t="shared" si="28"/>
        <v>369.80595654954845</v>
      </c>
      <c r="W82" s="234">
        <f>S82</f>
        <v>278.46599999999995</v>
      </c>
      <c r="X82" s="274">
        <f>V83</f>
        <v>303.73118037264038</v>
      </c>
      <c r="Y82" s="274">
        <f>X83</f>
        <v>224.55793828457354</v>
      </c>
      <c r="Z82" s="274">
        <f t="shared" ref="Z82:AA82" si="29">Y83</f>
        <v>203.07741417949572</v>
      </c>
      <c r="AA82" s="274">
        <f t="shared" si="29"/>
        <v>133.52737306760307</v>
      </c>
      <c r="AB82" s="234">
        <f>X82</f>
        <v>303.73118037264038</v>
      </c>
      <c r="AC82" s="274">
        <f>AA83</f>
        <v>166.60702584797534</v>
      </c>
      <c r="AD82" s="274">
        <f>AC83</f>
        <v>80.79230002762074</v>
      </c>
      <c r="AE82" s="274">
        <f t="shared" ref="AE82:AF82" si="30">AD83</f>
        <v>479.67202584797536</v>
      </c>
      <c r="AF82" s="274">
        <f t="shared" si="30"/>
        <v>388.87802584797549</v>
      </c>
      <c r="AG82" s="234">
        <f>AC82</f>
        <v>166.60702584797534</v>
      </c>
      <c r="AH82" s="274">
        <v>341.83499999999998</v>
      </c>
      <c r="AI82" s="274">
        <f>AH83</f>
        <v>153.43499999999995</v>
      </c>
      <c r="AJ82" s="274">
        <f t="shared" ref="AJ82:AK82" si="31">AI83</f>
        <v>188.08799999999997</v>
      </c>
      <c r="AK82" s="274">
        <f t="shared" si="31"/>
        <v>660.62699999999995</v>
      </c>
      <c r="AL82" s="234">
        <f>AH82</f>
        <v>341.83499999999998</v>
      </c>
      <c r="AM82" s="274">
        <f>AK83</f>
        <v>605.99199999999996</v>
      </c>
      <c r="AN82" s="274">
        <f>AM83</f>
        <v>663.44420217331833</v>
      </c>
      <c r="AO82" s="274">
        <f t="shared" ref="AO82:AP82" si="32">AN83</f>
        <v>660.10284277908545</v>
      </c>
      <c r="AP82" s="274">
        <f t="shared" si="32"/>
        <v>642.15973045858539</v>
      </c>
      <c r="AQ82" s="234">
        <f>AM82</f>
        <v>605.99199999999996</v>
      </c>
    </row>
    <row r="83" spans="2:43" ht="15.75" thickBot="1">
      <c r="B83" s="29" t="s">
        <v>67</v>
      </c>
      <c r="C83" s="21"/>
      <c r="D83" s="283">
        <f>D82+D80</f>
        <v>162.63118965558192</v>
      </c>
      <c r="E83" s="283">
        <f>E82+E80</f>
        <v>322.80265039206984</v>
      </c>
      <c r="F83" s="283">
        <f t="shared" ref="F83:G83" si="33">F82+F80</f>
        <v>296.20918156883101</v>
      </c>
      <c r="G83" s="283">
        <f t="shared" si="33"/>
        <v>228.10010054668646</v>
      </c>
      <c r="H83" s="284">
        <f>H80+H82</f>
        <v>228.10010054668643</v>
      </c>
      <c r="I83" s="283">
        <f>I82+I80</f>
        <v>268.08669674318151</v>
      </c>
      <c r="J83" s="283">
        <f>J82+J80</f>
        <v>532.96033765313973</v>
      </c>
      <c r="K83" s="283">
        <f t="shared" ref="K83" si="34">K82+K80</f>
        <v>465.50433669</v>
      </c>
      <c r="L83" s="283">
        <f t="shared" ref="L83" si="35">L82+L80</f>
        <v>514.21600000000001</v>
      </c>
      <c r="M83" s="284">
        <f>M80+M82</f>
        <v>514.21600000000012</v>
      </c>
      <c r="N83" s="283">
        <f>N82+N80</f>
        <v>471.93099999999998</v>
      </c>
      <c r="O83" s="283">
        <f>O82+O80</f>
        <v>423.178</v>
      </c>
      <c r="P83" s="283">
        <f t="shared" ref="P83" si="36">P82+P80</f>
        <v>345.72499999999997</v>
      </c>
      <c r="Q83" s="283">
        <f t="shared" ref="Q83" si="37">Q82+Q80</f>
        <v>278.46599999999995</v>
      </c>
      <c r="R83" s="284">
        <f>R80+R82</f>
        <v>278.46599999999995</v>
      </c>
      <c r="S83" s="283">
        <f>S82+S80</f>
        <v>178.44294801469522</v>
      </c>
      <c r="T83" s="283">
        <f>T82+T80</f>
        <v>197.90376770365503</v>
      </c>
      <c r="U83" s="283">
        <f t="shared" ref="U83" si="38">U82+U80</f>
        <v>369.80595654954845</v>
      </c>
      <c r="V83" s="283">
        <f t="shared" ref="V83" si="39">V82+V80</f>
        <v>303.73118037264038</v>
      </c>
      <c r="W83" s="284">
        <f>W80+W82</f>
        <v>303.73118037264038</v>
      </c>
      <c r="X83" s="283">
        <f>X82+X80</f>
        <v>224.55793828457354</v>
      </c>
      <c r="Y83" s="283">
        <f>Y82+Y80</f>
        <v>203.07741417949572</v>
      </c>
      <c r="Z83" s="283">
        <f t="shared" ref="Z83" si="40">Z82+Z80</f>
        <v>133.52737306760307</v>
      </c>
      <c r="AA83" s="283">
        <f t="shared" ref="AA83" si="41">AA82+AA80</f>
        <v>166.60702584797534</v>
      </c>
      <c r="AB83" s="284">
        <f>AB80+AB82</f>
        <v>166.60702584797534</v>
      </c>
      <c r="AC83" s="283">
        <f>AC82+AC80</f>
        <v>80.79230002762074</v>
      </c>
      <c r="AD83" s="283">
        <f>AD82+AD80</f>
        <v>479.67202584797536</v>
      </c>
      <c r="AE83" s="283">
        <f t="shared" ref="AE83" si="42">AE82+AE80</f>
        <v>388.87802584797549</v>
      </c>
      <c r="AF83" s="283">
        <f t="shared" ref="AF83" si="43">AF82+AF80</f>
        <v>341.83502584797554</v>
      </c>
      <c r="AG83" s="284">
        <f>AG80+AG82</f>
        <v>341.83502584797554</v>
      </c>
      <c r="AH83" s="283">
        <f>AH82+AH80</f>
        <v>153.43499999999995</v>
      </c>
      <c r="AI83" s="283">
        <f>AI82+AI80</f>
        <v>188.08799999999997</v>
      </c>
      <c r="AJ83" s="283">
        <f t="shared" ref="AJ83" si="44">AJ82+AJ80</f>
        <v>660.62699999999995</v>
      </c>
      <c r="AK83" s="283">
        <f t="shared" ref="AK83" si="45">AK82+AK80</f>
        <v>605.99199999999996</v>
      </c>
      <c r="AL83" s="284">
        <f>AL80+AL82</f>
        <v>605.99199999999985</v>
      </c>
      <c r="AM83" s="283">
        <f>AM82+AM80</f>
        <v>663.44420217331833</v>
      </c>
      <c r="AN83" s="283">
        <f>AN82+AN80</f>
        <v>660.10284277908545</v>
      </c>
      <c r="AO83" s="283">
        <f t="shared" ref="AO83" si="46">AO82+AO80</f>
        <v>642.15973045858539</v>
      </c>
      <c r="AP83" s="283">
        <f t="shared" ref="AP83" si="47">AP82+AP80</f>
        <v>660.21433319243022</v>
      </c>
      <c r="AQ83" s="284">
        <f>AQ80+AQ82</f>
        <v>660.21433319243022</v>
      </c>
    </row>
  </sheetData>
  <pageMargins left="0.7" right="0.7" top="0.75" bottom="0.75" header="0.3" footer="0.3"/>
  <pageSetup scale="43" orientation="landscape" r:id="rId1"/>
  <ignoredErrors>
    <ignoredError sqref="X78:AB78 X56:AB57 W48:AB49 X46:AA46 W60:AB60 X58:AB58 X79:AB79 X55:AA55 X81:AB81" formulaRange="1"/>
    <ignoredError sqref="W78 W56:W57 W79 W81" formula="1" formulaRange="1"/>
    <ignoredError sqref="R78:V78 R56:V56 N46:Q46 S57:V57 R79:V79 S46:V46 S55:V55 R81:V81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F958-2816-4659-98B2-5BB548759723}">
  <dimension ref="C1:AQ48"/>
  <sheetViews>
    <sheetView showGridLines="0" zoomScaleNormal="100" workbookViewId="0">
      <pane xSplit="3" ySplit="2" topLeftCell="Y3" activePane="bottomRight" state="frozen"/>
      <selection pane="topRight" activeCell="D1" sqref="D1"/>
      <selection pane="bottomLeft" activeCell="A3" sqref="A3"/>
      <selection pane="bottomRight" activeCell="AI26" sqref="AI26"/>
    </sheetView>
  </sheetViews>
  <sheetFormatPr defaultColWidth="8.85546875" defaultRowHeight="15" outlineLevelCol="1"/>
  <cols>
    <col min="3" max="3" width="48.85546875" bestFit="1" customWidth="1"/>
    <col min="4" max="7" width="10.5703125" customWidth="1" outlineLevel="1"/>
    <col min="8" max="8" width="10.5703125" customWidth="1"/>
    <col min="9" max="12" width="10.5703125" customWidth="1" outlineLevel="1"/>
    <col min="13" max="13" width="10.5703125" customWidth="1"/>
    <col min="14" max="17" width="10.5703125" hidden="1" customWidth="1" outlineLevel="1"/>
    <col min="18" max="18" width="10.5703125" customWidth="1" collapsed="1"/>
    <col min="19" max="22" width="10.5703125" customWidth="1" outlineLevel="1"/>
    <col min="23" max="23" width="10.5703125" customWidth="1"/>
    <col min="24" max="27" width="10.5703125" customWidth="1" outlineLevel="1"/>
    <col min="28" max="28" width="10.5703125" customWidth="1"/>
    <col min="29" max="32" width="10.5703125" customWidth="1" outlineLevel="1"/>
    <col min="33" max="33" width="10.5703125" customWidth="1"/>
    <col min="34" max="37" width="10.5703125" customWidth="1" outlineLevel="1"/>
    <col min="38" max="38" width="10.5703125" customWidth="1"/>
    <col min="39" max="42" width="10.5703125" customWidth="1" outlineLevel="1"/>
    <col min="43" max="43" width="10.5703125" customWidth="1"/>
  </cols>
  <sheetData>
    <row r="1" spans="3:43" ht="15.75" thickBot="1">
      <c r="AD1" s="219"/>
      <c r="AE1" s="215"/>
      <c r="AF1" s="215"/>
      <c r="AG1" s="219"/>
      <c r="AI1" s="219"/>
      <c r="AL1" s="219"/>
      <c r="AQ1" s="219"/>
    </row>
    <row r="2" spans="3:43" ht="15.75" thickBot="1">
      <c r="C2" s="190" t="s">
        <v>388</v>
      </c>
      <c r="D2" s="191" t="s">
        <v>86</v>
      </c>
      <c r="E2" s="191" t="s">
        <v>87</v>
      </c>
      <c r="F2" s="191" t="s">
        <v>88</v>
      </c>
      <c r="G2" s="191" t="s">
        <v>89</v>
      </c>
      <c r="H2" s="192" t="s">
        <v>14</v>
      </c>
      <c r="I2" s="191" t="s">
        <v>0</v>
      </c>
      <c r="J2" s="191" t="s">
        <v>1</v>
      </c>
      <c r="K2" s="191" t="s">
        <v>2</v>
      </c>
      <c r="L2" s="191" t="s">
        <v>3</v>
      </c>
      <c r="M2" s="192" t="s">
        <v>4</v>
      </c>
      <c r="N2" s="191" t="s">
        <v>5</v>
      </c>
      <c r="O2" s="191" t="s">
        <v>6</v>
      </c>
      <c r="P2" s="191" t="s">
        <v>7</v>
      </c>
      <c r="Q2" s="191" t="s">
        <v>8</v>
      </c>
      <c r="R2" s="192" t="s">
        <v>9</v>
      </c>
      <c r="S2" s="191" t="s">
        <v>33</v>
      </c>
      <c r="T2" s="191" t="s">
        <v>80</v>
      </c>
      <c r="U2" s="191" t="s">
        <v>109</v>
      </c>
      <c r="V2" s="191" t="s">
        <v>110</v>
      </c>
      <c r="W2" s="192" t="s">
        <v>111</v>
      </c>
      <c r="X2" s="191" t="s">
        <v>112</v>
      </c>
      <c r="Y2" s="191" t="s">
        <v>113</v>
      </c>
      <c r="Z2" s="191" t="s">
        <v>114</v>
      </c>
      <c r="AA2" s="191" t="s">
        <v>157</v>
      </c>
      <c r="AB2" s="192" t="s">
        <v>158</v>
      </c>
      <c r="AC2" s="191" t="s">
        <v>300</v>
      </c>
      <c r="AD2" s="191" t="s">
        <v>306</v>
      </c>
      <c r="AE2" s="191" t="s">
        <v>356</v>
      </c>
      <c r="AF2" s="191" t="s">
        <v>357</v>
      </c>
      <c r="AG2" s="192" t="s">
        <v>358</v>
      </c>
      <c r="AH2" s="191" t="s">
        <v>359</v>
      </c>
      <c r="AI2" s="191" t="s">
        <v>372</v>
      </c>
      <c r="AJ2" s="191" t="s">
        <v>373</v>
      </c>
      <c r="AK2" s="191" t="s">
        <v>382</v>
      </c>
      <c r="AL2" s="192" t="s">
        <v>124</v>
      </c>
      <c r="AM2" s="191" t="s">
        <v>152</v>
      </c>
      <c r="AN2" s="191" t="s">
        <v>153</v>
      </c>
      <c r="AO2" s="191" t="s">
        <v>154</v>
      </c>
      <c r="AP2" s="191" t="s">
        <v>155</v>
      </c>
      <c r="AQ2" s="192" t="s">
        <v>125</v>
      </c>
    </row>
    <row r="3" spans="3:43" s="172" customFormat="1" ht="15" customHeight="1" thickBot="1">
      <c r="C3" s="31"/>
      <c r="D3"/>
      <c r="E3"/>
      <c r="F3"/>
      <c r="G3"/>
      <c r="H3" s="173"/>
      <c r="I3" s="211"/>
      <c r="J3" s="211"/>
      <c r="K3" s="211"/>
      <c r="L3" s="211"/>
      <c r="M3" s="173"/>
      <c r="N3" s="211"/>
      <c r="O3" s="211"/>
      <c r="P3" s="211"/>
      <c r="Q3" s="211"/>
      <c r="R3" s="173"/>
      <c r="S3" s="211"/>
      <c r="T3" s="211"/>
      <c r="U3" s="211"/>
      <c r="V3" s="211"/>
      <c r="W3" s="173"/>
      <c r="X3" s="211"/>
      <c r="Y3" s="211"/>
      <c r="Z3" s="211"/>
      <c r="AA3" s="211"/>
      <c r="AB3" s="173"/>
      <c r="AC3" s="211"/>
      <c r="AD3" s="211"/>
      <c r="AE3" s="211"/>
      <c r="AF3" s="211"/>
      <c r="AG3" s="173"/>
      <c r="AH3" s="383"/>
      <c r="AI3" s="383"/>
      <c r="AJ3" s="383"/>
      <c r="AK3" s="416">
        <f>+AK13/IS!AK15</f>
        <v>0.27068905887895517</v>
      </c>
      <c r="AL3" s="416">
        <f>+AL6/IS!AL15</f>
        <v>0.43951473082405967</v>
      </c>
      <c r="AM3" s="211"/>
      <c r="AN3" s="211"/>
      <c r="AO3" s="211"/>
      <c r="AP3" s="211"/>
      <c r="AQ3" s="173"/>
    </row>
    <row r="4" spans="3:43" ht="15.75" thickBot="1">
      <c r="C4" s="183" t="s">
        <v>389</v>
      </c>
      <c r="D4" s="164">
        <f t="shared" ref="D4:AQ4" si="0">D6+D18+D23</f>
        <v>4.487445697000001</v>
      </c>
      <c r="E4" s="164">
        <f t="shared" si="0"/>
        <v>5.874036102999999</v>
      </c>
      <c r="F4" s="164">
        <f t="shared" si="0"/>
        <v>8.7568856489999991</v>
      </c>
      <c r="G4" s="164">
        <f t="shared" si="0"/>
        <v>8.7716656280000009</v>
      </c>
      <c r="H4" s="174">
        <f t="shared" si="0"/>
        <v>27.890033076999998</v>
      </c>
      <c r="I4" s="164">
        <f t="shared" si="0"/>
        <v>13.645173413</v>
      </c>
      <c r="J4" s="164">
        <f t="shared" si="0"/>
        <v>12.499903207999999</v>
      </c>
      <c r="K4" s="164">
        <f t="shared" si="0"/>
        <v>47.078495089</v>
      </c>
      <c r="L4" s="164">
        <f t="shared" si="0"/>
        <v>78.687212439000007</v>
      </c>
      <c r="M4" s="174">
        <f t="shared" si="0"/>
        <v>151.91078414899999</v>
      </c>
      <c r="N4" s="164">
        <f t="shared" si="0"/>
        <v>59.830028591999998</v>
      </c>
      <c r="O4" s="164">
        <f t="shared" si="0"/>
        <v>53.070445641999996</v>
      </c>
      <c r="P4" s="164">
        <f t="shared" si="0"/>
        <v>41.613708979000002</v>
      </c>
      <c r="Q4" s="164">
        <f t="shared" si="0"/>
        <v>40.498048453000003</v>
      </c>
      <c r="R4" s="174">
        <f t="shared" si="0"/>
        <v>195.01223166599999</v>
      </c>
      <c r="S4" s="164">
        <f t="shared" si="0"/>
        <v>37.901848487000002</v>
      </c>
      <c r="T4" s="164">
        <f t="shared" si="0"/>
        <v>47.421608740000003</v>
      </c>
      <c r="U4" s="164">
        <f t="shared" si="0"/>
        <v>54.731760135000002</v>
      </c>
      <c r="V4" s="164">
        <f t="shared" si="0"/>
        <v>57.929274149999998</v>
      </c>
      <c r="W4" s="174">
        <f t="shared" si="0"/>
        <v>197.98449151200001</v>
      </c>
      <c r="X4" s="164">
        <f t="shared" si="0"/>
        <v>82.058167726999997</v>
      </c>
      <c r="Y4" s="164">
        <f t="shared" si="0"/>
        <v>91.923547666999994</v>
      </c>
      <c r="Z4" s="164">
        <f t="shared" si="0"/>
        <v>96.784311825000003</v>
      </c>
      <c r="AA4" s="164">
        <f t="shared" si="0"/>
        <v>92.191474376000244</v>
      </c>
      <c r="AB4" s="174">
        <f t="shared" si="0"/>
        <v>362.95750159500028</v>
      </c>
      <c r="AC4" s="164">
        <f t="shared" si="0"/>
        <v>102.56941878699976</v>
      </c>
      <c r="AD4" s="164">
        <v>112.324</v>
      </c>
      <c r="AE4" s="164">
        <v>116.422</v>
      </c>
      <c r="AF4" s="164">
        <v>120.434</v>
      </c>
      <c r="AG4" s="174">
        <f t="shared" si="0"/>
        <v>451.61836067699977</v>
      </c>
      <c r="AH4" s="164">
        <v>193.804</v>
      </c>
      <c r="AI4" s="164">
        <v>241.84299999999999</v>
      </c>
      <c r="AJ4" s="164">
        <v>252.87799999999999</v>
      </c>
      <c r="AK4" s="164">
        <v>266.85599999999999</v>
      </c>
      <c r="AL4" s="174">
        <f t="shared" si="0"/>
        <v>592.601</v>
      </c>
      <c r="AM4" s="164">
        <f>AM6+AM13+AM23</f>
        <v>258.24970000000002</v>
      </c>
      <c r="AN4" s="164">
        <f t="shared" ref="AN4:AO4" si="1">AN6+AN13+AN23</f>
        <v>298.36928</v>
      </c>
      <c r="AO4" s="164">
        <f t="shared" si="1"/>
        <v>307.97813000000002</v>
      </c>
      <c r="AP4" s="164">
        <f>AP6+AP13+AP23</f>
        <v>314.34735999999998</v>
      </c>
      <c r="AQ4" s="174">
        <f t="shared" si="0"/>
        <v>758.9014699999999</v>
      </c>
    </row>
    <row r="5" spans="3:43" s="149" customFormat="1">
      <c r="C5" s="182" t="s">
        <v>115</v>
      </c>
      <c r="D5" s="171"/>
      <c r="E5" s="171"/>
      <c r="F5" s="171"/>
      <c r="G5" s="171"/>
      <c r="H5" s="175"/>
      <c r="I5" s="212">
        <f t="shared" ref="I5:AB5" si="2">IFERROR((I4/D4)-1,"")</f>
        <v>2.0407439631241062</v>
      </c>
      <c r="J5" s="212">
        <f t="shared" si="2"/>
        <v>1.1279922337583224</v>
      </c>
      <c r="K5" s="212">
        <f t="shared" si="2"/>
        <v>4.3761687631922168</v>
      </c>
      <c r="L5" s="212">
        <f t="shared" si="2"/>
        <v>7.9706123986102302</v>
      </c>
      <c r="M5" s="193">
        <f t="shared" si="2"/>
        <v>4.4467767653626726</v>
      </c>
      <c r="N5" s="212">
        <f t="shared" si="2"/>
        <v>3.3847026916491121</v>
      </c>
      <c r="O5" s="212">
        <f t="shared" si="2"/>
        <v>3.2456685270998458</v>
      </c>
      <c r="P5" s="212">
        <f t="shared" si="2"/>
        <v>-0.11607818176152485</v>
      </c>
      <c r="Q5" s="212">
        <f t="shared" si="2"/>
        <v>-0.4853287186352554</v>
      </c>
      <c r="R5" s="193">
        <f t="shared" si="2"/>
        <v>0.28372868824588804</v>
      </c>
      <c r="S5" s="212">
        <f t="shared" si="2"/>
        <v>-0.36650793290665518</v>
      </c>
      <c r="T5" s="212">
        <f t="shared" si="2"/>
        <v>-0.10644035175633604</v>
      </c>
      <c r="U5" s="212">
        <f t="shared" si="2"/>
        <v>0.31523388512713235</v>
      </c>
      <c r="V5" s="212">
        <f t="shared" si="2"/>
        <v>0.43042137492698695</v>
      </c>
      <c r="W5" s="193">
        <f t="shared" si="2"/>
        <v>1.5241402144920979E-2</v>
      </c>
      <c r="X5" s="212">
        <f t="shared" si="2"/>
        <v>1.1650175651761474</v>
      </c>
      <c r="Y5" s="212">
        <f t="shared" si="2"/>
        <v>0.93843165825504182</v>
      </c>
      <c r="Z5" s="212">
        <f t="shared" si="2"/>
        <v>0.7683391066955314</v>
      </c>
      <c r="AA5" s="212">
        <f t="shared" si="2"/>
        <v>0.59144880940995259</v>
      </c>
      <c r="AB5" s="193">
        <f t="shared" si="2"/>
        <v>0.83326228647055989</v>
      </c>
      <c r="AC5" s="212">
        <f t="shared" ref="AC5" si="3">IFERROR((AC4/X4)-1,"")</f>
        <v>0.24995989586604983</v>
      </c>
      <c r="AD5" s="212">
        <f t="shared" ref="AD5" si="4">IFERROR((AD4/Y4)-1,"")</f>
        <v>0.22192847046006303</v>
      </c>
      <c r="AE5" s="212">
        <f t="shared" ref="AE5" si="5">IFERROR((AE4/Z4)-1,"")</f>
        <v>0.202901563328856</v>
      </c>
      <c r="AF5" s="212">
        <f t="shared" ref="AF5" si="6">IFERROR((AF4/AA4)-1,"")</f>
        <v>0.30634639282167719</v>
      </c>
      <c r="AG5" s="193">
        <f>IFERROR((AG4/AB4)-1,"")</f>
        <v>0.24427338928768072</v>
      </c>
      <c r="AH5" s="212">
        <f t="shared" ref="AH5" si="7">IFERROR((AH4/AC4)-1,"")</f>
        <v>0.88949106168244985</v>
      </c>
      <c r="AI5" s="212">
        <f t="shared" ref="AI5" si="8">IFERROR((AI4/AD4)-1,"")</f>
        <v>1.1530839357572735</v>
      </c>
      <c r="AJ5" s="212">
        <f t="shared" ref="AJ5" si="9">IFERROR((AJ4/AE4)-1,"")</f>
        <v>1.1720808781845355</v>
      </c>
      <c r="AK5" s="212">
        <f t="shared" ref="AK5" si="10">IFERROR((AK4/AF4)-1,"")</f>
        <v>1.2157862397661789</v>
      </c>
      <c r="AL5" s="193">
        <f>IFERROR((AL4/AG4)-1,"")</f>
        <v>0.31217207181669893</v>
      </c>
      <c r="AM5" s="212">
        <f t="shared" ref="AM5" si="11">IFERROR((AM4/AH4)-1,"")</f>
        <v>0.33253028833254228</v>
      </c>
      <c r="AN5" s="212">
        <f t="shared" ref="AN5" si="12">IFERROR((AN4/AI4)-1,"")</f>
        <v>0.23373130502019923</v>
      </c>
      <c r="AO5" s="212">
        <f t="shared" ref="AO5" si="13">IFERROR((AO4/AJ4)-1,"")</f>
        <v>0.217892145619627</v>
      </c>
      <c r="AP5" s="212">
        <f t="shared" ref="AP5" si="14">IFERROR((AP4/AK4)-1,"")</f>
        <v>0.17796624396678351</v>
      </c>
      <c r="AQ5" s="193">
        <f>IFERROR((AQ4/AL4)-1,"")</f>
        <v>0.28062806171437438</v>
      </c>
    </row>
    <row r="6" spans="3:43" s="171" customFormat="1">
      <c r="C6" s="184" t="s">
        <v>122</v>
      </c>
      <c r="D6" s="213">
        <f>(D8*D10)/1000000</f>
        <v>4.2726456970000006</v>
      </c>
      <c r="E6" s="213">
        <f>(E8*E10)/1000000</f>
        <v>5.7144361029999988</v>
      </c>
      <c r="F6" s="213">
        <f>(F8*F10)/1000000</f>
        <v>7.8431589789999991</v>
      </c>
      <c r="G6" s="213">
        <f>(G8*G10)/1000000</f>
        <v>7.8686055380000015</v>
      </c>
      <c r="H6" s="176">
        <f>SUM(D6:G6)</f>
        <v>25.698846316999997</v>
      </c>
      <c r="I6" s="213">
        <f>(I8*I10)/1000000</f>
        <v>10.335528843000001</v>
      </c>
      <c r="J6" s="213">
        <f>(J8*J10)/1000000</f>
        <v>9.4108689779999999</v>
      </c>
      <c r="K6" s="213">
        <f>(K8*K10)/1000000</f>
        <v>13.223688349</v>
      </c>
      <c r="L6" s="213">
        <f>(L8*L10)/1000000</f>
        <v>14.301035369000001</v>
      </c>
      <c r="M6" s="176">
        <f>SUM(I6:L6)</f>
        <v>47.271121539000006</v>
      </c>
      <c r="N6" s="213">
        <f>(N8*N10)/1000000</f>
        <v>14.186111824870091</v>
      </c>
      <c r="O6" s="213">
        <f>(O8*O10)/1000000</f>
        <v>15.209976452000001</v>
      </c>
      <c r="P6" s="213">
        <f>(P8*P10)/1000000</f>
        <v>18.785737672333333</v>
      </c>
      <c r="Q6" s="213">
        <f>(Q8*Q10)/1000000</f>
        <v>21.106911866991489</v>
      </c>
      <c r="R6" s="176">
        <f>SUM(N6:Q6)</f>
        <v>69.288737816194924</v>
      </c>
      <c r="S6" s="213">
        <f>(S8*S10)/1000000</f>
        <v>20.367999327</v>
      </c>
      <c r="T6" s="213">
        <f>(T8*T10)/1000000</f>
        <v>34.414370090000006</v>
      </c>
      <c r="U6" s="213">
        <f>(U8*U10)/1000000</f>
        <v>38.989695765</v>
      </c>
      <c r="V6" s="213">
        <f>(V8*V10)/1000000</f>
        <v>41.792015679999999</v>
      </c>
      <c r="W6" s="176">
        <f>SUM(S6:V6)</f>
        <v>135.564080862</v>
      </c>
      <c r="X6" s="213">
        <f>(X8*X10)/1000000</f>
        <v>69.088165576999998</v>
      </c>
      <c r="Y6" s="213">
        <f>(Y8*Y10)/1000000</f>
        <v>80.188974516999991</v>
      </c>
      <c r="Z6" s="213">
        <f>(Z8*Z10)/1000000</f>
        <v>86.188423624999999</v>
      </c>
      <c r="AA6" s="213">
        <f>(AA8*AA10)/1000000</f>
        <v>82.098981886000246</v>
      </c>
      <c r="AB6" s="176">
        <f>SUM(X6:AA6)</f>
        <v>317.56454560500026</v>
      </c>
      <c r="AC6" s="213">
        <f>(AC8*AC10)/1000000</f>
        <v>90.777101486999769</v>
      </c>
      <c r="AD6" s="213">
        <f>(AD8*AD10)/1000000</f>
        <v>99.75</v>
      </c>
      <c r="AE6" s="213">
        <f>(AE8*AE10)/1000000</f>
        <v>105.64189775999999</v>
      </c>
      <c r="AF6" s="213">
        <f>(AF8*AF10)/1000000</f>
        <v>111.03244425000001</v>
      </c>
      <c r="AG6" s="176">
        <f>SUM(AC6:AF6)</f>
        <v>407.20144349699979</v>
      </c>
      <c r="AH6" s="213">
        <f>(AH8*AH10)/1000000</f>
        <v>119.25</v>
      </c>
      <c r="AI6" s="213">
        <f>(AI8*AI10)/1000000</f>
        <v>132.72</v>
      </c>
      <c r="AJ6" s="213">
        <v>139.5</v>
      </c>
      <c r="AK6" s="213">
        <v>167.5</v>
      </c>
      <c r="AL6" s="176">
        <f>SUM(AH6:AK6)</f>
        <v>558.97</v>
      </c>
      <c r="AM6" s="213">
        <f>(AM8*AM10)/1000000</f>
        <v>158.4</v>
      </c>
      <c r="AN6" s="213">
        <f>(AN8*AN10)/1000000</f>
        <v>176.4</v>
      </c>
      <c r="AO6" s="213">
        <f>(AO8*AO10)/1000000</f>
        <v>187.03125</v>
      </c>
      <c r="AP6" s="213">
        <f>(AP8*AP10)/1000000</f>
        <v>203.79576</v>
      </c>
      <c r="AQ6" s="176">
        <f>SUM(AM6:AP6)</f>
        <v>725.62700999999993</v>
      </c>
    </row>
    <row r="7" spans="3:43" s="149" customFormat="1">
      <c r="C7" s="182" t="s">
        <v>115</v>
      </c>
      <c r="D7" s="214"/>
      <c r="E7" s="171"/>
      <c r="F7" s="171"/>
      <c r="G7" s="171"/>
      <c r="H7" s="175"/>
      <c r="I7" s="212">
        <f t="shared" ref="I7:AB7" si="15">IFERROR((I6/D6)-1,"")</f>
        <v>1.4189997430063062</v>
      </c>
      <c r="J7" s="212">
        <f t="shared" si="15"/>
        <v>0.646858729080797</v>
      </c>
      <c r="K7" s="212">
        <f t="shared" si="15"/>
        <v>0.68601559453357108</v>
      </c>
      <c r="L7" s="212">
        <f t="shared" si="15"/>
        <v>0.81748027651605448</v>
      </c>
      <c r="M7" s="193">
        <f t="shared" si="15"/>
        <v>0.8394258230856757</v>
      </c>
      <c r="N7" s="212">
        <f t="shared" si="15"/>
        <v>0.37255790587609794</v>
      </c>
      <c r="O7" s="212">
        <f t="shared" si="15"/>
        <v>0.61621381485139204</v>
      </c>
      <c r="P7" s="212">
        <f t="shared" si="15"/>
        <v>0.4206125535130254</v>
      </c>
      <c r="Q7" s="212">
        <f t="shared" si="15"/>
        <v>0.47590096257956382</v>
      </c>
      <c r="R7" s="193">
        <f t="shared" si="15"/>
        <v>0.46577308852360866</v>
      </c>
      <c r="S7" s="212">
        <f t="shared" si="15"/>
        <v>0.43577039138323026</v>
      </c>
      <c r="T7" s="212">
        <f t="shared" si="15"/>
        <v>1.2626182360377531</v>
      </c>
      <c r="U7" s="212">
        <f t="shared" si="15"/>
        <v>1.0754945291513369</v>
      </c>
      <c r="V7" s="212">
        <f t="shared" si="15"/>
        <v>0.98001564337592018</v>
      </c>
      <c r="W7" s="193">
        <f t="shared" si="15"/>
        <v>0.95650960220427739</v>
      </c>
      <c r="X7" s="212">
        <f t="shared" si="15"/>
        <v>2.3919956726145468</v>
      </c>
      <c r="Y7" s="212">
        <f t="shared" si="15"/>
        <v>1.3301014752642821</v>
      </c>
      <c r="Z7" s="212">
        <f t="shared" si="15"/>
        <v>1.2105436304114234</v>
      </c>
      <c r="AA7" s="212">
        <f t="shared" si="15"/>
        <v>0.96446571313117024</v>
      </c>
      <c r="AB7" s="193">
        <f t="shared" si="15"/>
        <v>1.3425419446340734</v>
      </c>
      <c r="AC7" s="212">
        <f t="shared" ref="AC7" si="16">IFERROR((AC6/X6)-1,"")</f>
        <v>0.31393127504343799</v>
      </c>
      <c r="AD7" s="212">
        <f t="shared" ref="AD7" si="17">IFERROR((AD6/Y6)-1,"")</f>
        <v>0.2439365960323272</v>
      </c>
      <c r="AE7" s="212">
        <f t="shared" ref="AE7" si="18">IFERROR((AE6/Z6)-1,"")</f>
        <v>0.22570866616195162</v>
      </c>
      <c r="AF7" s="212">
        <f t="shared" ref="AF7" si="19">IFERROR((AF6/AA6)-1,"")</f>
        <v>0.35242169512133237</v>
      </c>
      <c r="AG7" s="193">
        <f>IFERROR((AG6/AB6)-1,"")</f>
        <v>0.28226355596853536</v>
      </c>
      <c r="AH7" s="212">
        <f t="shared" ref="AH7" si="20">IFERROR((AH6/AC6)-1,"")</f>
        <v>0.3136572775137334</v>
      </c>
      <c r="AI7" s="212">
        <f t="shared" ref="AI7" si="21">IFERROR((AI6/AD6)-1,"")</f>
        <v>0.33052631578947378</v>
      </c>
      <c r="AJ7" s="389">
        <f t="shared" ref="AJ7" si="22">IFERROR((AJ6/AE6)-1,"")</f>
        <v>0.32049880736637015</v>
      </c>
      <c r="AK7" s="212">
        <f t="shared" ref="AK7" si="23">IFERROR((AK6/AF6)-1,"")</f>
        <v>0.50856806883272743</v>
      </c>
      <c r="AL7" s="193">
        <f>IFERROR((AL6/AG6)-1,"")</f>
        <v>0.37271124384930743</v>
      </c>
      <c r="AM7" s="212">
        <f t="shared" ref="AM7" si="24">IFERROR((AM6/AH6)-1,"")</f>
        <v>0.32830188679245298</v>
      </c>
      <c r="AN7" s="212">
        <f t="shared" ref="AN7" si="25">IFERROR((AN6/AI6)-1,"")</f>
        <v>0.32911392405063289</v>
      </c>
      <c r="AO7" s="212">
        <f t="shared" ref="AO7" si="26">IFERROR((AO6/AJ6)-1,"")</f>
        <v>0.34072580645161299</v>
      </c>
      <c r="AP7" s="212">
        <f t="shared" ref="AP7" si="27">IFERROR((AP6/AK6)-1,"")</f>
        <v>0.21669110447761186</v>
      </c>
      <c r="AQ7" s="193">
        <f>IFERROR((AQ6/AL6)-1,"")</f>
        <v>0.29815018695099904</v>
      </c>
    </row>
    <row r="8" spans="3:43" s="171" customFormat="1">
      <c r="C8" s="185" t="s">
        <v>116</v>
      </c>
      <c r="D8" s="215">
        <v>7003</v>
      </c>
      <c r="E8" s="215">
        <v>9198</v>
      </c>
      <c r="F8" s="215">
        <v>11102</v>
      </c>
      <c r="G8" s="215">
        <v>13265</v>
      </c>
      <c r="H8" s="177">
        <f>SUM(D8:G8)</f>
        <v>40568</v>
      </c>
      <c r="I8" s="215">
        <v>14066</v>
      </c>
      <c r="J8" s="215">
        <v>12201</v>
      </c>
      <c r="K8" s="215">
        <v>17052</v>
      </c>
      <c r="L8" s="215">
        <v>20931</v>
      </c>
      <c r="M8" s="177">
        <f>SUM(I8:L8)</f>
        <v>64250</v>
      </c>
      <c r="N8" s="215">
        <v>15894</v>
      </c>
      <c r="O8" s="215">
        <v>25669</v>
      </c>
      <c r="P8" s="215">
        <v>26867</v>
      </c>
      <c r="Q8" s="215">
        <v>28566</v>
      </c>
      <c r="R8" s="177">
        <f>SUM(N8:Q8)</f>
        <v>96996</v>
      </c>
      <c r="S8" s="215">
        <v>30561</v>
      </c>
      <c r="T8" s="215">
        <v>35545</v>
      </c>
      <c r="U8" s="215">
        <v>37661</v>
      </c>
      <c r="V8" s="215">
        <v>44199</v>
      </c>
      <c r="W8" s="177">
        <f>SUM(S8:V8)</f>
        <v>147966</v>
      </c>
      <c r="X8" s="215">
        <v>48419.9</v>
      </c>
      <c r="Y8" s="215">
        <v>55300</v>
      </c>
      <c r="Z8" s="215">
        <v>55728</v>
      </c>
      <c r="AA8" s="215">
        <v>59241</v>
      </c>
      <c r="AB8" s="177">
        <f>SUM(X8:AA8)</f>
        <v>218688.9</v>
      </c>
      <c r="AC8" s="215">
        <v>62718</v>
      </c>
      <c r="AD8" s="215">
        <v>66500</v>
      </c>
      <c r="AE8" s="215">
        <f t="shared" ref="AE8" si="28">Z8*(1+AE9)</f>
        <v>69046.991999999998</v>
      </c>
      <c r="AF8" s="215">
        <f>AA8*(1+AF9)</f>
        <v>72570.225000000006</v>
      </c>
      <c r="AG8" s="177">
        <f>SUM(AC8:AF8)</f>
        <v>270835.217</v>
      </c>
      <c r="AH8" s="215">
        <v>75000</v>
      </c>
      <c r="AI8" s="215">
        <v>84000</v>
      </c>
      <c r="AJ8" s="215">
        <v>87500</v>
      </c>
      <c r="AK8" s="215">
        <v>94000</v>
      </c>
      <c r="AL8" s="177">
        <f>SUM(AH8:AK8)</f>
        <v>340500</v>
      </c>
      <c r="AM8" s="215">
        <f t="shared" ref="AM8" si="29">AH8*(1+AM9)</f>
        <v>96000</v>
      </c>
      <c r="AN8" s="215">
        <f t="shared" ref="AN8" si="30">AI8*(1+AN9)</f>
        <v>105000</v>
      </c>
      <c r="AO8" s="215">
        <f t="shared" ref="AO8" si="31">AJ8*(1+AO9)</f>
        <v>109375</v>
      </c>
      <c r="AP8" s="215">
        <f>AK8*(1+AP9)</f>
        <v>117124</v>
      </c>
      <c r="AQ8" s="177">
        <f>SUM(AM8:AP8)</f>
        <v>427499</v>
      </c>
    </row>
    <row r="9" spans="3:43">
      <c r="C9" s="186" t="s">
        <v>115</v>
      </c>
      <c r="D9" s="171"/>
      <c r="E9" s="171"/>
      <c r="F9" s="171"/>
      <c r="G9" s="171"/>
      <c r="H9" s="175"/>
      <c r="I9" s="212">
        <f t="shared" ref="I9:AD9" si="32">IFERROR((I8/D8)-1,"")</f>
        <v>1.0085677566757103</v>
      </c>
      <c r="J9" s="212">
        <f t="shared" si="32"/>
        <v>0.32648401826484008</v>
      </c>
      <c r="K9" s="212">
        <f t="shared" si="32"/>
        <v>0.53593947036569989</v>
      </c>
      <c r="L9" s="212">
        <f t="shared" si="32"/>
        <v>0.57791179796456849</v>
      </c>
      <c r="M9" s="193">
        <f t="shared" si="32"/>
        <v>0.58376059948728054</v>
      </c>
      <c r="N9" s="212">
        <f t="shared" si="32"/>
        <v>0.12995876581828525</v>
      </c>
      <c r="O9" s="212">
        <f t="shared" si="32"/>
        <v>1.1038439472174413</v>
      </c>
      <c r="P9" s="212">
        <f t="shared" si="32"/>
        <v>0.57559230588787247</v>
      </c>
      <c r="Q9" s="212">
        <f t="shared" si="32"/>
        <v>0.36476995843485738</v>
      </c>
      <c r="R9" s="193">
        <f t="shared" si="32"/>
        <v>0.50966536964980547</v>
      </c>
      <c r="S9" s="212">
        <f t="shared" si="32"/>
        <v>0.92280105700264259</v>
      </c>
      <c r="T9" s="212">
        <f t="shared" si="32"/>
        <v>0.38474424402976348</v>
      </c>
      <c r="U9" s="212">
        <f t="shared" si="32"/>
        <v>0.40175680202478881</v>
      </c>
      <c r="V9" s="212">
        <f t="shared" si="32"/>
        <v>0.54725897920604916</v>
      </c>
      <c r="W9" s="193">
        <f t="shared" si="32"/>
        <v>0.52548558703451698</v>
      </c>
      <c r="X9" s="212">
        <f t="shared" si="32"/>
        <v>0.5843689669840646</v>
      </c>
      <c r="Y9" s="212">
        <f t="shared" si="32"/>
        <v>0.55577437051624701</v>
      </c>
      <c r="Z9" s="212">
        <f t="shared" si="32"/>
        <v>0.4797270385810255</v>
      </c>
      <c r="AA9" s="212">
        <f t="shared" si="32"/>
        <v>0.34032444172945087</v>
      </c>
      <c r="AB9" s="193">
        <f t="shared" si="32"/>
        <v>0.47796723571631317</v>
      </c>
      <c r="AC9" s="212">
        <f t="shared" si="32"/>
        <v>0.29529387710424837</v>
      </c>
      <c r="AD9" s="212">
        <f t="shared" si="32"/>
        <v>0.20253164556962022</v>
      </c>
      <c r="AE9" s="384">
        <v>0.23899999999999999</v>
      </c>
      <c r="AF9" s="384">
        <v>0.22500000000000001</v>
      </c>
      <c r="AG9" s="397">
        <f>IFERROR((AG8/AB8)-1,"")</f>
        <v>0.23844976585459987</v>
      </c>
      <c r="AH9" s="398">
        <f>IFERROR((AH8/AC8)-1,"")</f>
        <v>0.19582894862718847</v>
      </c>
      <c r="AI9" s="398">
        <f>IFERROR((AI8/AD8)-1,"")</f>
        <v>0.26315789473684204</v>
      </c>
      <c r="AJ9" s="398">
        <f>IFERROR((AJ8/AE8)-1,"")</f>
        <v>0.2672528877145004</v>
      </c>
      <c r="AK9" s="398">
        <v>0.28999999999999998</v>
      </c>
      <c r="AL9" s="193">
        <f>IFERROR((AL8/AG8)-1,"")</f>
        <v>0.25722202515487491</v>
      </c>
      <c r="AM9" s="246">
        <v>0.28000000000000003</v>
      </c>
      <c r="AN9" s="246">
        <v>0.25</v>
      </c>
      <c r="AO9" s="246">
        <v>0.25</v>
      </c>
      <c r="AP9" s="246">
        <v>0.246</v>
      </c>
      <c r="AQ9" s="193">
        <f>IFERROR((AQ8/AL8)-1,"")</f>
        <v>0.25550367107195293</v>
      </c>
    </row>
    <row r="10" spans="3:43" s="171" customFormat="1">
      <c r="C10" s="185" t="s">
        <v>117</v>
      </c>
      <c r="D10" s="211">
        <v>610.11647822361851</v>
      </c>
      <c r="E10" s="211">
        <v>621.26941759078056</v>
      </c>
      <c r="F10" s="211">
        <v>706.46360826878038</v>
      </c>
      <c r="G10" s="211">
        <v>593.18549099133065</v>
      </c>
      <c r="H10" s="173">
        <f>(H6*1000000)/H8</f>
        <v>633.4758015430881</v>
      </c>
      <c r="I10" s="211">
        <v>734.78805936300296</v>
      </c>
      <c r="J10" s="211">
        <v>771.31948020654045</v>
      </c>
      <c r="K10" s="211">
        <v>775.49192757447804</v>
      </c>
      <c r="L10" s="211">
        <v>683.24663747551483</v>
      </c>
      <c r="M10" s="173">
        <f>(M6*1000000)/M8</f>
        <v>735.73730021789891</v>
      </c>
      <c r="N10" s="211">
        <v>892.5451003441608</v>
      </c>
      <c r="O10" s="211">
        <v>592.54261763216334</v>
      </c>
      <c r="P10" s="211">
        <v>699.21233008275328</v>
      </c>
      <c r="Q10" s="211">
        <v>738.88230298226881</v>
      </c>
      <c r="R10" s="173">
        <f>(R6*1000000)/R8</f>
        <v>714.34634228416553</v>
      </c>
      <c r="S10" s="211">
        <v>666.47031599096886</v>
      </c>
      <c r="T10" s="211">
        <v>968.19159065972724</v>
      </c>
      <c r="U10" s="211">
        <v>1035.2804164785853</v>
      </c>
      <c r="V10" s="211">
        <v>945.54210909749088</v>
      </c>
      <c r="W10" s="173">
        <f>(W6*1000000)/W8</f>
        <v>916.18399403917113</v>
      </c>
      <c r="X10" s="211">
        <v>1426.854776176737</v>
      </c>
      <c r="Y10" s="211">
        <v>1450.0718719168171</v>
      </c>
      <c r="Z10" s="211">
        <v>1546.5910067650013</v>
      </c>
      <c r="AA10" s="262">
        <v>1385.8473335358999</v>
      </c>
      <c r="AB10" s="173">
        <f>(AB6*1000000)/AB8</f>
        <v>1452.1292374921647</v>
      </c>
      <c r="AC10" s="262">
        <v>1447.3851444083</v>
      </c>
      <c r="AD10" s="378">
        <v>1500</v>
      </c>
      <c r="AE10" s="262">
        <v>1530</v>
      </c>
      <c r="AF10" s="262">
        <v>1530</v>
      </c>
      <c r="AG10" s="173">
        <f>(AG6*1000000)/AG8</f>
        <v>1503.5025651667736</v>
      </c>
      <c r="AH10" s="378">
        <v>1590</v>
      </c>
      <c r="AI10" s="378">
        <v>1580</v>
      </c>
      <c r="AJ10" s="378">
        <v>1600</v>
      </c>
      <c r="AK10" s="378">
        <v>1640</v>
      </c>
      <c r="AL10" s="173">
        <f>(AL6*1000000)/AL8</f>
        <v>1641.6152716593244</v>
      </c>
      <c r="AM10" s="216">
        <v>1650</v>
      </c>
      <c r="AN10" s="216">
        <v>1680</v>
      </c>
      <c r="AO10" s="216">
        <v>1710</v>
      </c>
      <c r="AP10" s="216">
        <v>1740</v>
      </c>
      <c r="AQ10" s="173">
        <f>(AQ6*1000000)/AQ8</f>
        <v>1697.3770932797502</v>
      </c>
    </row>
    <row r="11" spans="3:43" s="171" customFormat="1">
      <c r="C11" s="186" t="s">
        <v>115</v>
      </c>
      <c r="D11" s="211"/>
      <c r="E11" s="211"/>
      <c r="F11" s="211"/>
      <c r="G11" s="211"/>
      <c r="H11" s="173"/>
      <c r="I11" s="211"/>
      <c r="J11" s="211"/>
      <c r="K11" s="211"/>
      <c r="L11" s="211"/>
      <c r="M11" s="193">
        <f t="shared" ref="M11" si="33">IFERROR((M10/H10)-1,"")</f>
        <v>0.16142921075392502</v>
      </c>
      <c r="N11" s="212">
        <f t="shared" ref="N11" si="34">IFERROR((N10/I10)-1,"")</f>
        <v>0.21469733887336084</v>
      </c>
      <c r="O11" s="212">
        <f t="shared" ref="O11" si="35">IFERROR((O10/J10)-1,"")</f>
        <v>-0.23178056196182817</v>
      </c>
      <c r="P11" s="212">
        <f t="shared" ref="P11" si="36">IFERROR((P10/K10)-1,"")</f>
        <v>-9.8362851732455847E-2</v>
      </c>
      <c r="Q11" s="212">
        <f t="shared" ref="Q11" si="37">IFERROR((Q10/L10)-1,"")</f>
        <v>8.1428378063181928E-2</v>
      </c>
      <c r="R11" s="193">
        <f t="shared" ref="R11" si="38">IFERROR((R10/M10)-1,"")</f>
        <v>-2.9074178959525576E-2</v>
      </c>
      <c r="S11" s="212">
        <f t="shared" ref="S11" si="39">IFERROR((S10/N10)-1,"")</f>
        <v>-0.25329228099063972</v>
      </c>
      <c r="T11" s="212">
        <f t="shared" ref="T11" si="40">IFERROR((T10/O10)-1,"")</f>
        <v>0.63396110566473718</v>
      </c>
      <c r="U11" s="212">
        <f t="shared" ref="U11" si="41">IFERROR((U10/P10)-1,"")</f>
        <v>0.4806381008127496</v>
      </c>
      <c r="V11" s="212">
        <f t="shared" ref="V11" si="42">IFERROR((V10/Q10)-1,"")</f>
        <v>0.27969245613422333</v>
      </c>
      <c r="W11" s="193">
        <f t="shared" ref="W11" si="43">IFERROR((W10/R10)-1,"")</f>
        <v>0.28254872994746161</v>
      </c>
      <c r="X11" s="212">
        <f t="shared" ref="X11" si="44">IFERROR((X10/S10)-1,"")</f>
        <v>1.1409127187535115</v>
      </c>
      <c r="Y11" s="212">
        <f t="shared" ref="Y11" si="45">IFERROR((Y10/T10)-1,"")</f>
        <v>0.49771169870287335</v>
      </c>
      <c r="Z11" s="212">
        <f t="shared" ref="Z11" si="46">IFERROR((Z10/U10)-1,"")</f>
        <v>0.49388608356525654</v>
      </c>
      <c r="AA11" s="212">
        <f t="shared" ref="AA11" si="47">IFERROR((AA10/V10)-1,"")</f>
        <v>0.46566432124178503</v>
      </c>
      <c r="AB11" s="193">
        <f t="shared" ref="AB11" si="48">IFERROR((AB10/W10)-1,"")</f>
        <v>0.5849755583375531</v>
      </c>
      <c r="AC11" s="212">
        <f t="shared" ref="AC11" si="49">IFERROR((AC10/X10)-1,"")</f>
        <v>1.4388547856688083E-2</v>
      </c>
      <c r="AD11" s="212">
        <f t="shared" ref="AD11" si="50">IFERROR((AD10/Y10)-1,"")</f>
        <v>3.4431485121619421E-2</v>
      </c>
      <c r="AE11" s="212">
        <f t="shared" ref="AE11" si="51">IFERROR((AE10/Z10)-1,"")</f>
        <v>-1.0727468795841966E-2</v>
      </c>
      <c r="AF11" s="212">
        <f t="shared" ref="AF11" si="52">IFERROR((AF10/AA10)-1,"")</f>
        <v>0.10401771030312834</v>
      </c>
      <c r="AG11" s="193">
        <f t="shared" ref="AG11" si="53">IFERROR((AG10/AB10)-1,"")</f>
        <v>3.5377930798591306E-2</v>
      </c>
      <c r="AH11" s="212">
        <f>IFERROR((AH10/AC10)-1,"")</f>
        <v>9.8532761748084674E-2</v>
      </c>
      <c r="AI11" s="212">
        <f t="shared" ref="AI11" si="54">IFERROR((AI10/AD10)-1,"")</f>
        <v>5.3333333333333233E-2</v>
      </c>
      <c r="AJ11" s="389">
        <f>IFERROR((AJ10/AE10)-1,"")</f>
        <v>4.5751633986928164E-2</v>
      </c>
      <c r="AK11" s="212">
        <f t="shared" ref="AK11" si="55">IFERROR((AK10/AF10)-1,"")</f>
        <v>7.1895424836601274E-2</v>
      </c>
      <c r="AL11" s="193">
        <f t="shared" ref="AL11" si="56">IFERROR((AL10/AG10)-1,"")</f>
        <v>9.1860639078610973E-2</v>
      </c>
      <c r="AM11" s="212">
        <f t="shared" ref="AM11" si="57">IFERROR((AM10/AH10)-1,"")</f>
        <v>3.7735849056603765E-2</v>
      </c>
      <c r="AN11" s="212">
        <f t="shared" ref="AN11" si="58">IFERROR((AN10/AI10)-1,"")</f>
        <v>6.3291139240506222E-2</v>
      </c>
      <c r="AO11" s="212">
        <f t="shared" ref="AO11" si="59">IFERROR((AO10/AJ10)-1,"")</f>
        <v>6.8750000000000089E-2</v>
      </c>
      <c r="AP11" s="212">
        <f t="shared" ref="AP11" si="60">IFERROR((AP10/AK10)-1,"")</f>
        <v>6.0975609756097615E-2</v>
      </c>
      <c r="AQ11" s="193">
        <f t="shared" ref="AQ11" si="61">IFERROR((AQ10/AL10)-1,"")</f>
        <v>3.396765526191925E-2</v>
      </c>
    </row>
    <row r="12" spans="3:43">
      <c r="C12" s="187"/>
      <c r="H12" s="31"/>
      <c r="I12" s="215"/>
      <c r="J12" s="215"/>
      <c r="K12" s="215"/>
      <c r="L12" s="215"/>
      <c r="M12" s="180"/>
      <c r="N12" s="215"/>
      <c r="O12" s="215"/>
      <c r="P12" s="215"/>
      <c r="Q12" s="215"/>
      <c r="R12" s="180"/>
      <c r="S12" s="166"/>
      <c r="T12" s="166"/>
      <c r="U12" s="166"/>
      <c r="V12" s="166"/>
      <c r="W12" s="180"/>
      <c r="X12" s="166"/>
      <c r="Y12" s="166"/>
      <c r="Z12" s="166"/>
      <c r="AA12" s="166"/>
      <c r="AB12" s="180"/>
      <c r="AC12" s="166"/>
      <c r="AD12" s="166"/>
      <c r="AE12" s="166"/>
      <c r="AF12" s="166"/>
      <c r="AG12" s="194"/>
      <c r="AH12" s="166"/>
      <c r="AI12" s="166"/>
      <c r="AJ12" s="166"/>
      <c r="AK12" s="166"/>
      <c r="AL12" s="194"/>
      <c r="AM12" s="166"/>
      <c r="AN12" s="166"/>
      <c r="AO12" s="166"/>
      <c r="AP12" s="166"/>
      <c r="AQ12" s="194"/>
    </row>
    <row r="13" spans="3:43">
      <c r="C13" s="184" t="s">
        <v>371</v>
      </c>
      <c r="D13" s="213"/>
      <c r="E13" s="213"/>
      <c r="F13" s="213"/>
      <c r="G13" s="213"/>
      <c r="H13" s="176"/>
      <c r="I13" s="213"/>
      <c r="J13" s="213"/>
      <c r="K13" s="213"/>
      <c r="L13" s="213"/>
      <c r="M13" s="176"/>
      <c r="N13" s="213"/>
      <c r="O13" s="213"/>
      <c r="P13" s="213"/>
      <c r="Q13" s="213"/>
      <c r="R13" s="176"/>
      <c r="S13" s="213"/>
      <c r="T13" s="213"/>
      <c r="U13" s="213"/>
      <c r="V13" s="213"/>
      <c r="W13" s="176"/>
      <c r="X13" s="213"/>
      <c r="Y13" s="213"/>
      <c r="Z13" s="213"/>
      <c r="AA13" s="213"/>
      <c r="AB13" s="176"/>
      <c r="AC13" s="213">
        <v>51.64</v>
      </c>
      <c r="AD13" s="213">
        <v>72.8</v>
      </c>
      <c r="AE13" s="213">
        <v>77.25</v>
      </c>
      <c r="AF13" s="213">
        <v>86.2</v>
      </c>
      <c r="AG13" s="176">
        <f>(AG15*AG16)/1000000</f>
        <v>0</v>
      </c>
      <c r="AH13" s="213">
        <v>63.5</v>
      </c>
      <c r="AI13" s="213">
        <f>(AI15*AI16)/1000000</f>
        <v>97.28</v>
      </c>
      <c r="AJ13" s="213">
        <v>102.6</v>
      </c>
      <c r="AK13" s="213">
        <v>99.4</v>
      </c>
      <c r="AL13" s="176">
        <f>SUM(AH13:AK13)</f>
        <v>362.78</v>
      </c>
      <c r="AM13" s="213">
        <f t="shared" ref="AM13:AN13" si="62">(AM15*AM16)/1000000</f>
        <v>88.242999999999995</v>
      </c>
      <c r="AN13" s="213">
        <f t="shared" si="62"/>
        <v>110.6</v>
      </c>
      <c r="AO13" s="213">
        <f>(AO15*AO16)/1000000</f>
        <v>110.6</v>
      </c>
      <c r="AP13" s="213">
        <f>(AP15*AP16)/1000000</f>
        <v>110.6</v>
      </c>
      <c r="AQ13" s="176">
        <f>SUM(AM13:AP13)</f>
        <v>420.04300000000001</v>
      </c>
    </row>
    <row r="14" spans="3:43" s="149" customFormat="1">
      <c r="C14" s="182" t="s">
        <v>115</v>
      </c>
      <c r="D14" s="171"/>
      <c r="E14" s="171"/>
      <c r="F14" s="171"/>
      <c r="G14" s="171"/>
      <c r="H14" s="175"/>
      <c r="I14" s="212"/>
      <c r="J14" s="212"/>
      <c r="K14" s="212"/>
      <c r="L14" s="212"/>
      <c r="M14" s="193"/>
      <c r="N14" s="212"/>
      <c r="O14" s="212"/>
      <c r="P14" s="212"/>
      <c r="Q14" s="212"/>
      <c r="R14" s="193"/>
      <c r="S14" s="212"/>
      <c r="T14" s="212"/>
      <c r="U14" s="212"/>
      <c r="V14" s="212"/>
      <c r="W14" s="193"/>
      <c r="X14" s="212"/>
      <c r="Y14" s="212"/>
      <c r="Z14" s="212"/>
      <c r="AA14" s="212"/>
      <c r="AB14" s="193"/>
      <c r="AC14" s="212"/>
      <c r="AD14" s="212"/>
      <c r="AE14" s="212"/>
      <c r="AF14" s="212"/>
      <c r="AG14" s="193" t="str">
        <f t="shared" ref="AG14:AL14" si="63">IFERROR((AG13/AB13)-1,"")</f>
        <v/>
      </c>
      <c r="AH14" s="389">
        <f t="shared" si="63"/>
        <v>0.22966692486444606</v>
      </c>
      <c r="AI14" s="389">
        <f t="shared" si="63"/>
        <v>0.3362637362637364</v>
      </c>
      <c r="AJ14" s="389">
        <f t="shared" si="63"/>
        <v>0.32815533980582523</v>
      </c>
      <c r="AK14" s="389">
        <f t="shared" si="63"/>
        <v>0.15313225058004654</v>
      </c>
      <c r="AL14" s="193" t="str">
        <f t="shared" si="63"/>
        <v/>
      </c>
      <c r="AM14" s="212">
        <f t="shared" ref="AM14:AN14" si="64">IFERROR((AM13/AH13)-1,"")</f>
        <v>0.38965354330708646</v>
      </c>
      <c r="AN14" s="212">
        <f t="shared" si="64"/>
        <v>0.13692434210526305</v>
      </c>
      <c r="AO14" s="212">
        <f t="shared" ref="AO14" si="65">IFERROR((AO13/AJ13)-1,"")</f>
        <v>7.7972709551656916E-2</v>
      </c>
      <c r="AP14" s="212">
        <f t="shared" ref="AP14" si="66">IFERROR((AP13/AK13)-1,"")</f>
        <v>0.11267605633802802</v>
      </c>
      <c r="AQ14" s="193">
        <f>IFERROR((AQ13/AL13)-1,"")</f>
        <v>0.15784497491592719</v>
      </c>
    </row>
    <row r="15" spans="3:43" s="171" customFormat="1">
      <c r="C15" s="185" t="s">
        <v>116</v>
      </c>
      <c r="D15" s="215"/>
      <c r="E15" s="215"/>
      <c r="F15" s="215"/>
      <c r="G15" s="215"/>
      <c r="H15" s="177"/>
      <c r="I15" s="215"/>
      <c r="J15" s="215"/>
      <c r="K15" s="215"/>
      <c r="L15" s="215"/>
      <c r="M15" s="177"/>
      <c r="N15" s="215"/>
      <c r="O15" s="215"/>
      <c r="P15" s="215"/>
      <c r="Q15" s="215"/>
      <c r="R15" s="177"/>
      <c r="S15" s="215"/>
      <c r="T15" s="215"/>
      <c r="U15" s="215"/>
      <c r="V15" s="215"/>
      <c r="W15" s="177"/>
      <c r="X15" s="215"/>
      <c r="Y15" s="215"/>
      <c r="Z15" s="215"/>
      <c r="AA15" s="263"/>
      <c r="AB15" s="177"/>
      <c r="AC15" s="263">
        <v>63500</v>
      </c>
      <c r="AD15" s="399">
        <v>97000</v>
      </c>
      <c r="AE15" s="399">
        <v>94500</v>
      </c>
      <c r="AF15" s="399">
        <v>101500</v>
      </c>
      <c r="AG15" s="196">
        <v>0</v>
      </c>
      <c r="AH15" s="399">
        <v>78000</v>
      </c>
      <c r="AI15" s="399">
        <v>128000</v>
      </c>
      <c r="AJ15" s="399">
        <v>129500</v>
      </c>
      <c r="AK15" s="399">
        <v>125000</v>
      </c>
      <c r="AL15" s="196">
        <v>0</v>
      </c>
      <c r="AM15" s="217">
        <v>111700</v>
      </c>
      <c r="AN15" s="217">
        <v>140000</v>
      </c>
      <c r="AO15" s="217">
        <v>140000</v>
      </c>
      <c r="AP15" s="217">
        <v>140000</v>
      </c>
      <c r="AQ15" s="196">
        <v>0</v>
      </c>
    </row>
    <row r="16" spans="3:43">
      <c r="C16" s="185" t="s">
        <v>117</v>
      </c>
      <c r="D16" s="211"/>
      <c r="E16" s="211"/>
      <c r="F16" s="211"/>
      <c r="G16" s="211"/>
      <c r="H16" s="173"/>
      <c r="I16" s="211"/>
      <c r="J16" s="211"/>
      <c r="K16" s="211"/>
      <c r="L16" s="211"/>
      <c r="M16" s="173"/>
      <c r="N16" s="211"/>
      <c r="O16" s="211"/>
      <c r="P16" s="211"/>
      <c r="Q16" s="211"/>
      <c r="R16" s="173"/>
      <c r="S16" s="211"/>
      <c r="T16" s="211"/>
      <c r="U16" s="211"/>
      <c r="V16" s="211"/>
      <c r="W16" s="173"/>
      <c r="X16" s="211"/>
      <c r="Y16" s="218"/>
      <c r="Z16" s="211"/>
      <c r="AA16" s="262"/>
      <c r="AB16" s="173"/>
      <c r="AC16" s="262">
        <f>(AC13*1000000)/AC15</f>
        <v>813.22834645669286</v>
      </c>
      <c r="AD16" s="262">
        <f>(AD13*1000000)/AD15</f>
        <v>750.51546391752572</v>
      </c>
      <c r="AE16" s="262">
        <f>(AE13*1000000)/AE15</f>
        <v>817.46031746031747</v>
      </c>
      <c r="AF16" s="262">
        <f>(AF13*1000000)/AF15</f>
        <v>849.26108374384239</v>
      </c>
      <c r="AG16" s="195">
        <v>0</v>
      </c>
      <c r="AH16" s="378">
        <v>770</v>
      </c>
      <c r="AI16" s="378">
        <v>760</v>
      </c>
      <c r="AJ16" s="378">
        <v>790</v>
      </c>
      <c r="AK16" s="378">
        <v>800</v>
      </c>
      <c r="AL16" s="195">
        <v>0</v>
      </c>
      <c r="AM16" s="216">
        <v>790</v>
      </c>
      <c r="AN16" s="216">
        <v>790</v>
      </c>
      <c r="AO16" s="216">
        <v>790</v>
      </c>
      <c r="AP16" s="216">
        <v>790</v>
      </c>
      <c r="AQ16" s="195">
        <v>0</v>
      </c>
    </row>
    <row r="17" spans="3:43">
      <c r="C17" s="185"/>
      <c r="D17" s="211"/>
      <c r="E17" s="211"/>
      <c r="F17" s="211"/>
      <c r="G17" s="211"/>
      <c r="H17" s="173"/>
      <c r="I17" s="211"/>
      <c r="J17" s="211"/>
      <c r="K17" s="211"/>
      <c r="L17" s="211"/>
      <c r="M17" s="173"/>
      <c r="N17" s="211"/>
      <c r="O17" s="211"/>
      <c r="P17" s="211"/>
      <c r="Q17" s="211"/>
      <c r="R17" s="173"/>
      <c r="S17" s="211"/>
      <c r="T17" s="211"/>
      <c r="U17" s="211"/>
      <c r="V17" s="211"/>
      <c r="W17" s="173"/>
      <c r="X17" s="211"/>
      <c r="Y17" s="218"/>
      <c r="Z17" s="211"/>
      <c r="AA17" s="262"/>
      <c r="AB17" s="173"/>
      <c r="AC17" s="262"/>
      <c r="AD17" s="216"/>
      <c r="AE17" s="216"/>
      <c r="AF17" s="216"/>
      <c r="AG17" s="195"/>
      <c r="AH17" s="216"/>
      <c r="AI17" s="216"/>
      <c r="AJ17" s="216"/>
      <c r="AK17" s="216"/>
      <c r="AL17" s="195"/>
      <c r="AM17" s="407"/>
      <c r="AN17" s="407">
        <f>AN15/AI15-1</f>
        <v>9.375E-2</v>
      </c>
      <c r="AO17" s="407">
        <f t="shared" ref="AO17:AP17" si="67">AO15/AJ15-1</f>
        <v>8.1081081081081141E-2</v>
      </c>
      <c r="AP17" s="407">
        <f t="shared" si="67"/>
        <v>0.12000000000000011</v>
      </c>
      <c r="AQ17" s="195"/>
    </row>
    <row r="18" spans="3:43">
      <c r="C18" s="184" t="s">
        <v>123</v>
      </c>
      <c r="D18" s="213">
        <f>(D20*D21)/1000000</f>
        <v>0</v>
      </c>
      <c r="E18" s="213">
        <f>(E20*E21)/1000000</f>
        <v>0</v>
      </c>
      <c r="F18" s="213">
        <f>(F20*F21)/1000000</f>
        <v>0</v>
      </c>
      <c r="G18" s="213">
        <f>(G20*G21)/1000000</f>
        <v>0</v>
      </c>
      <c r="H18" s="176">
        <f>SUM(D18:G18)</f>
        <v>0</v>
      </c>
      <c r="I18" s="213">
        <f>(I20*I21)/1000000</f>
        <v>0</v>
      </c>
      <c r="J18" s="213">
        <f>(J20*J21)/1000000</f>
        <v>0.24076</v>
      </c>
      <c r="K18" s="213">
        <f>(K20*K21)/1000000</f>
        <v>29.489336000000002</v>
      </c>
      <c r="L18" s="213">
        <f>(L20*L21)/1000000</f>
        <v>60.015141999999997</v>
      </c>
      <c r="M18" s="176">
        <f>SUM(I18:L18)</f>
        <v>89.745238000000001</v>
      </c>
      <c r="N18" s="213">
        <f>(N20*N21)/1000000</f>
        <v>38.88664</v>
      </c>
      <c r="O18" s="213">
        <f>(O20*O21)/1000000</f>
        <v>32.679646429999998</v>
      </c>
      <c r="P18" s="213">
        <f>(P20*P21)/1000000</f>
        <v>13.372755740000001</v>
      </c>
      <c r="Q18" s="213">
        <f>(Q20*Q21)/1000000</f>
        <v>9.7834072400000007</v>
      </c>
      <c r="R18" s="176">
        <f>SUM(N18:Q18)</f>
        <v>94.722449409999996</v>
      </c>
      <c r="S18" s="213">
        <f>(S20*S21)/1000000</f>
        <v>8.9822822099999993</v>
      </c>
      <c r="T18" s="213">
        <f>(T20*T21)/1000000</f>
        <v>3.6182245099999997</v>
      </c>
      <c r="U18" s="213">
        <f>(U20*U21)/1000000</f>
        <v>4.89114337</v>
      </c>
      <c r="V18" s="213">
        <f>(V20*V21)/1000000</f>
        <v>4.6742693099999997</v>
      </c>
      <c r="W18" s="176">
        <f>SUM(S18:V18)</f>
        <v>22.1659194</v>
      </c>
      <c r="X18" s="213">
        <f>(X20*X21)/1000000</f>
        <v>2.6384504200000003</v>
      </c>
      <c r="Y18" s="213">
        <v>7.3048219999999997E-2</v>
      </c>
      <c r="Z18" s="213">
        <f>(Z20*Z21)/1000000</f>
        <v>0</v>
      </c>
      <c r="AA18" s="213">
        <f>(AA20*AA21)/1000000</f>
        <v>0</v>
      </c>
      <c r="AB18" s="176">
        <f>SUM(X18:AA18)</f>
        <v>2.7114986400000003</v>
      </c>
      <c r="AC18" s="213">
        <v>0.13105811000000001</v>
      </c>
      <c r="AD18" s="213">
        <f t="shared" ref="AD18" si="68">(AD20*AD21)/1000000</f>
        <v>0</v>
      </c>
      <c r="AE18" s="213">
        <f>(AE20*AE21)/1000000</f>
        <v>0</v>
      </c>
      <c r="AF18" s="213">
        <f>(AF20*AF21)/1000000</f>
        <v>0</v>
      </c>
      <c r="AG18" s="176">
        <f>(AG20*AG21)/1000000</f>
        <v>0</v>
      </c>
      <c r="AH18" s="213">
        <f t="shared" ref="AH18:AI18" si="69">(AH20*AH21)/1000000</f>
        <v>0</v>
      </c>
      <c r="AI18" s="213">
        <f t="shared" si="69"/>
        <v>0</v>
      </c>
      <c r="AJ18" s="213">
        <f>(AJ20*AJ21)/1000000</f>
        <v>0</v>
      </c>
      <c r="AK18" s="213">
        <f>(AK20*AK21)/1000000</f>
        <v>0</v>
      </c>
      <c r="AL18" s="176">
        <f>(AL20*AL21)/1000000</f>
        <v>0</v>
      </c>
      <c r="AM18" s="213">
        <f t="shared" ref="AM18:AN18" si="70">(AM20*AM21)/1000000</f>
        <v>0</v>
      </c>
      <c r="AN18" s="213">
        <f t="shared" si="70"/>
        <v>0</v>
      </c>
      <c r="AO18" s="213">
        <f>(AO20*AO21)/1000000</f>
        <v>0</v>
      </c>
      <c r="AP18" s="213">
        <f>(AP20*AP21)/1000000</f>
        <v>0</v>
      </c>
      <c r="AQ18" s="176">
        <f>(AQ20*AQ21)/1000000</f>
        <v>0</v>
      </c>
    </row>
    <row r="19" spans="3:43" s="149" customFormat="1">
      <c r="C19" s="182" t="s">
        <v>115</v>
      </c>
      <c r="D19" s="171"/>
      <c r="E19" s="171"/>
      <c r="F19" s="171"/>
      <c r="G19" s="171"/>
      <c r="H19" s="175"/>
      <c r="I19" s="212" t="str">
        <f t="shared" ref="I19:AC19" si="71">IFERROR((I18/D18)-1,"")</f>
        <v/>
      </c>
      <c r="J19" s="212" t="str">
        <f t="shared" si="71"/>
        <v/>
      </c>
      <c r="K19" s="212" t="str">
        <f t="shared" si="71"/>
        <v/>
      </c>
      <c r="L19" s="212" t="str">
        <f t="shared" si="71"/>
        <v/>
      </c>
      <c r="M19" s="193" t="str">
        <f t="shared" si="71"/>
        <v/>
      </c>
      <c r="N19" s="212" t="str">
        <f t="shared" si="71"/>
        <v/>
      </c>
      <c r="O19" s="212">
        <f t="shared" si="71"/>
        <v>134.73536480312345</v>
      </c>
      <c r="P19" s="212">
        <f t="shared" si="71"/>
        <v>-0.5465223177625973</v>
      </c>
      <c r="Q19" s="212">
        <f t="shared" si="71"/>
        <v>-0.83698435238227042</v>
      </c>
      <c r="R19" s="193">
        <f t="shared" si="71"/>
        <v>5.5459337129397213E-2</v>
      </c>
      <c r="S19" s="212">
        <f t="shared" si="71"/>
        <v>-0.76901367127630471</v>
      </c>
      <c r="T19" s="212">
        <f t="shared" si="71"/>
        <v>-0.88928201785321459</v>
      </c>
      <c r="U19" s="212">
        <f t="shared" si="71"/>
        <v>-0.63424566595725462</v>
      </c>
      <c r="V19" s="212">
        <f t="shared" si="71"/>
        <v>-0.52222480416751016</v>
      </c>
      <c r="W19" s="193">
        <f t="shared" si="71"/>
        <v>-0.7659908549866965</v>
      </c>
      <c r="X19" s="212">
        <f t="shared" si="71"/>
        <v>-0.70626057405960752</v>
      </c>
      <c r="Y19" s="212">
        <f>IFERROR((Y18/M18)-1,"")</f>
        <v>-0.99918604906925534</v>
      </c>
      <c r="Z19" s="212">
        <f t="shared" si="71"/>
        <v>-1</v>
      </c>
      <c r="AA19" s="212">
        <f t="shared" si="71"/>
        <v>-1</v>
      </c>
      <c r="AB19" s="193">
        <f t="shared" si="71"/>
        <v>-0.87767262927068113</v>
      </c>
      <c r="AC19" s="212">
        <f t="shared" si="71"/>
        <v>-0.95032762071003785</v>
      </c>
      <c r="AD19" s="212"/>
      <c r="AE19" s="212" t="str">
        <f t="shared" ref="AE19" si="72">IFERROR((AE18/Z18)-1,"")</f>
        <v/>
      </c>
      <c r="AF19" s="212" t="str">
        <f t="shared" ref="AF19" si="73">IFERROR((AF18/AA18)-1,"")</f>
        <v/>
      </c>
      <c r="AG19" s="193">
        <f>IFERROR((AG18/AB18)-1,"")</f>
        <v>-1</v>
      </c>
      <c r="AH19" s="212">
        <f t="shared" ref="AH19" si="74">IFERROR((AH18/AC18)-1,"")</f>
        <v>-1</v>
      </c>
      <c r="AI19" s="212"/>
      <c r="AJ19" s="212" t="str">
        <f t="shared" ref="AJ19" si="75">IFERROR((AJ18/AE18)-1,"")</f>
        <v/>
      </c>
      <c r="AK19" s="212" t="str">
        <f t="shared" ref="AK19" si="76">IFERROR((AK18/AF18)-1,"")</f>
        <v/>
      </c>
      <c r="AL19" s="193" t="str">
        <f>IFERROR((AL18/AG18)-1,"")</f>
        <v/>
      </c>
      <c r="AM19" s="212" t="str">
        <f t="shared" ref="AM19" si="77">IFERROR((AM18/AH18)-1,"")</f>
        <v/>
      </c>
      <c r="AN19" s="212"/>
      <c r="AO19" s="212" t="str">
        <f t="shared" ref="AO19" si="78">IFERROR((AO18/AJ18)-1,"")</f>
        <v/>
      </c>
      <c r="AP19" s="212" t="str">
        <f t="shared" ref="AP19" si="79">IFERROR((AP18/AK18)-1,"")</f>
        <v/>
      </c>
      <c r="AQ19" s="193" t="str">
        <f>IFERROR((AQ18/AL18)-1,"")</f>
        <v/>
      </c>
    </row>
    <row r="20" spans="3:43" s="171" customFormat="1">
      <c r="C20" s="185" t="s">
        <v>116</v>
      </c>
      <c r="D20" s="215">
        <v>0</v>
      </c>
      <c r="E20" s="215">
        <v>0</v>
      </c>
      <c r="F20" s="215">
        <v>0</v>
      </c>
      <c r="G20" s="215">
        <v>0</v>
      </c>
      <c r="H20" s="177">
        <f>SUM(D20:G20)</f>
        <v>0</v>
      </c>
      <c r="I20" s="215">
        <v>0</v>
      </c>
      <c r="J20" s="215">
        <v>3999</v>
      </c>
      <c r="K20" s="215">
        <v>438918</v>
      </c>
      <c r="L20" s="215">
        <v>898253</v>
      </c>
      <c r="M20" s="177">
        <f>SUM(I20:L20)</f>
        <v>1341170</v>
      </c>
      <c r="N20" s="215">
        <v>557953</v>
      </c>
      <c r="O20" s="215">
        <v>257861</v>
      </c>
      <c r="P20" s="215">
        <v>70396</v>
      </c>
      <c r="Q20" s="215">
        <v>86497</v>
      </c>
      <c r="R20" s="177">
        <f>SUM(N20:Q20)</f>
        <v>972707</v>
      </c>
      <c r="S20" s="215">
        <v>143694</v>
      </c>
      <c r="T20" s="215">
        <v>87155</v>
      </c>
      <c r="U20" s="215">
        <v>104614</v>
      </c>
      <c r="V20" s="215">
        <v>101768</v>
      </c>
      <c r="W20" s="177">
        <f>SUM(S20:V20)</f>
        <v>437231</v>
      </c>
      <c r="X20" s="215">
        <v>59856</v>
      </c>
      <c r="Y20" s="215">
        <v>0</v>
      </c>
      <c r="Z20" s="215">
        <v>0</v>
      </c>
      <c r="AA20" s="263">
        <v>0</v>
      </c>
      <c r="AB20" s="177">
        <f>SUM(X20:AA20)</f>
        <v>59856</v>
      </c>
      <c r="AC20" s="263">
        <v>0</v>
      </c>
      <c r="AD20" s="217">
        <v>0</v>
      </c>
      <c r="AE20" s="217">
        <v>0</v>
      </c>
      <c r="AF20" s="217">
        <v>0</v>
      </c>
      <c r="AG20" s="196">
        <v>0</v>
      </c>
      <c r="AH20" s="217">
        <v>0</v>
      </c>
      <c r="AI20" s="217">
        <v>0</v>
      </c>
      <c r="AJ20" s="217">
        <v>0</v>
      </c>
      <c r="AK20" s="217">
        <v>0</v>
      </c>
      <c r="AL20" s="196">
        <v>0</v>
      </c>
      <c r="AM20" s="217">
        <v>0</v>
      </c>
      <c r="AN20" s="217">
        <v>0</v>
      </c>
      <c r="AO20" s="217">
        <v>0</v>
      </c>
      <c r="AP20" s="217">
        <v>0</v>
      </c>
      <c r="AQ20" s="196">
        <v>0</v>
      </c>
    </row>
    <row r="21" spans="3:43">
      <c r="C21" s="185" t="s">
        <v>117</v>
      </c>
      <c r="D21" s="211">
        <v>0</v>
      </c>
      <c r="E21" s="211">
        <v>0</v>
      </c>
      <c r="F21" s="211">
        <v>0</v>
      </c>
      <c r="G21" s="211">
        <v>0</v>
      </c>
      <c r="H21" s="173">
        <v>0</v>
      </c>
      <c r="I21" s="211">
        <v>0</v>
      </c>
      <c r="J21" s="211">
        <v>60.205051262815701</v>
      </c>
      <c r="K21" s="211">
        <v>67.186435735148706</v>
      </c>
      <c r="L21" s="211">
        <v>66.813182922851354</v>
      </c>
      <c r="M21" s="173">
        <f>(M18*1000000)/M20</f>
        <v>66.915631873662548</v>
      </c>
      <c r="N21" s="211">
        <v>69.69518937975063</v>
      </c>
      <c r="O21" s="211">
        <v>126.73357518197788</v>
      </c>
      <c r="P21" s="211">
        <v>189.96471021080743</v>
      </c>
      <c r="Q21" s="211">
        <v>113.10689665537534</v>
      </c>
      <c r="R21" s="173">
        <f>(R18*1000000)/R20</f>
        <v>97.380248533217085</v>
      </c>
      <c r="S21" s="211">
        <v>62.50979310200843</v>
      </c>
      <c r="T21" s="211">
        <v>41.514824278584129</v>
      </c>
      <c r="U21" s="211">
        <v>46.754195136406217</v>
      </c>
      <c r="V21" s="211">
        <v>45.930639395487773</v>
      </c>
      <c r="W21" s="173">
        <f>(W18*1000000)/W20</f>
        <v>50.696129505913348</v>
      </c>
      <c r="X21" s="211">
        <v>44.079965584068439</v>
      </c>
      <c r="Y21" s="218" t="s">
        <v>98</v>
      </c>
      <c r="Z21" s="211">
        <v>0</v>
      </c>
      <c r="AA21" s="262">
        <v>0</v>
      </c>
      <c r="AB21" s="173">
        <f>IFERROR((AB18*1000000)/AB20,0)</f>
        <v>45.300364875701689</v>
      </c>
      <c r="AC21" s="262">
        <v>0</v>
      </c>
      <c r="AD21" s="216">
        <v>0</v>
      </c>
      <c r="AE21" s="216">
        <v>0</v>
      </c>
      <c r="AF21" s="216">
        <v>0</v>
      </c>
      <c r="AG21" s="195">
        <v>0</v>
      </c>
      <c r="AH21" s="216">
        <v>0</v>
      </c>
      <c r="AI21" s="216">
        <v>0</v>
      </c>
      <c r="AJ21" s="216">
        <v>0</v>
      </c>
      <c r="AK21" s="216">
        <v>0</v>
      </c>
      <c r="AL21" s="195">
        <v>0</v>
      </c>
      <c r="AM21" s="216">
        <v>0</v>
      </c>
      <c r="AN21" s="216">
        <v>0</v>
      </c>
      <c r="AO21" s="216">
        <v>0</v>
      </c>
      <c r="AP21" s="216">
        <v>0</v>
      </c>
      <c r="AQ21" s="195">
        <v>0</v>
      </c>
    </row>
    <row r="22" spans="3:43">
      <c r="C22" s="188"/>
      <c r="H22" s="31"/>
      <c r="L22" s="219"/>
      <c r="M22" s="180"/>
      <c r="Q22" s="219"/>
      <c r="R22" s="180"/>
      <c r="S22" s="220"/>
      <c r="T22" s="220"/>
      <c r="U22" s="220"/>
      <c r="V22" s="220"/>
      <c r="W22" s="180"/>
      <c r="X22" s="220"/>
      <c r="Y22" s="220"/>
      <c r="Z22" s="220"/>
      <c r="AA22" s="220"/>
      <c r="AB22" s="180"/>
      <c r="AC22" s="220"/>
      <c r="AD22" s="220"/>
      <c r="AE22" s="220"/>
      <c r="AF22" s="220"/>
      <c r="AG22" s="180"/>
      <c r="AH22" s="220"/>
      <c r="AI22" s="220"/>
      <c r="AJ22" s="220"/>
      <c r="AK22" s="220"/>
      <c r="AL22" s="180"/>
      <c r="AM22" s="220"/>
      <c r="AN22" s="220"/>
      <c r="AO22" s="220"/>
      <c r="AP22" s="220"/>
      <c r="AQ22" s="180"/>
    </row>
    <row r="23" spans="3:43">
      <c r="C23" s="184" t="s">
        <v>126</v>
      </c>
      <c r="D23" s="213">
        <v>0.21479999999999999</v>
      </c>
      <c r="E23" s="213">
        <v>0.15959999999999999</v>
      </c>
      <c r="F23" s="213">
        <v>0.91372667000000007</v>
      </c>
      <c r="G23" s="213">
        <v>0.90306009000000009</v>
      </c>
      <c r="H23" s="176">
        <f>SUM(D23:G23)</f>
        <v>2.1911867599999999</v>
      </c>
      <c r="I23" s="213">
        <v>3.3096445699999997</v>
      </c>
      <c r="J23" s="213">
        <v>2.8482742300000004</v>
      </c>
      <c r="K23" s="213">
        <v>4.3654707399999992</v>
      </c>
      <c r="L23" s="213">
        <v>4.3710350699999996</v>
      </c>
      <c r="M23" s="176">
        <f t="shared" ref="M23" si="80">SUM(I23:L23)</f>
        <v>14.89442461</v>
      </c>
      <c r="N23" s="213">
        <v>6.757276767129909</v>
      </c>
      <c r="O23" s="213">
        <v>5.1808227599999999</v>
      </c>
      <c r="P23" s="213">
        <v>9.4552155666666664</v>
      </c>
      <c r="Q23" s="213">
        <v>9.6077293460085098</v>
      </c>
      <c r="R23" s="176">
        <f t="shared" ref="R23" si="81">SUM(N23:Q23)</f>
        <v>31.001044439805085</v>
      </c>
      <c r="S23" s="213">
        <v>8.5515669499999998</v>
      </c>
      <c r="T23" s="213">
        <v>9.3890141400000005</v>
      </c>
      <c r="U23" s="213">
        <v>10.850921</v>
      </c>
      <c r="V23" s="213">
        <v>11.462989159999999</v>
      </c>
      <c r="W23" s="176">
        <f t="shared" ref="W23" si="82">SUM(S23:V23)</f>
        <v>40.254491250000001</v>
      </c>
      <c r="X23" s="213">
        <v>10.331551730000001</v>
      </c>
      <c r="Y23" s="213">
        <v>11.661524929999999</v>
      </c>
      <c r="Z23" s="213">
        <v>10.595888200000001</v>
      </c>
      <c r="AA23" s="213">
        <v>10.09249249</v>
      </c>
      <c r="AB23" s="176">
        <f t="shared" ref="AB23" si="83">SUM(X23:AA23)</f>
        <v>42.681457350000002</v>
      </c>
      <c r="AC23" s="213">
        <v>11.661259190000001</v>
      </c>
      <c r="AD23" s="213">
        <f>AD4-AD6</f>
        <v>12.573999999999998</v>
      </c>
      <c r="AE23" s="213">
        <f>AE4-AE6</f>
        <v>10.780102240000005</v>
      </c>
      <c r="AF23" s="213">
        <f>AF4-AF6</f>
        <v>9.4015557499999858</v>
      </c>
      <c r="AG23" s="176">
        <f>SUM(AC23:AF23)</f>
        <v>44.416917179999992</v>
      </c>
      <c r="AH23" s="213">
        <f>AH4-AH6-AH13</f>
        <v>11.054000000000002</v>
      </c>
      <c r="AI23" s="213">
        <f>AI4-AI6-AI13</f>
        <v>11.842999999999989</v>
      </c>
      <c r="AJ23" s="213">
        <f>AJ4-AJ6-AJ13</f>
        <v>10.777999999999992</v>
      </c>
      <c r="AK23" s="213">
        <f>AK4-AK6-AK13</f>
        <v>-4.4000000000011141E-2</v>
      </c>
      <c r="AL23" s="176">
        <f>SUM(AH23:AK23)</f>
        <v>33.630999999999972</v>
      </c>
      <c r="AM23" s="213">
        <f t="shared" ref="AM23" si="84">AH23*(1+AM24)</f>
        <v>11.606700000000002</v>
      </c>
      <c r="AN23" s="213">
        <f t="shared" ref="AN23" si="85">AI23*(1+AN24)</f>
        <v>11.369279999999989</v>
      </c>
      <c r="AO23" s="213">
        <f t="shared" ref="AO23" si="86">AJ23*(1+AO24)</f>
        <v>10.346879999999992</v>
      </c>
      <c r="AP23" s="213">
        <f>AK23*(1+AP24)</f>
        <v>-4.840000000001226E-2</v>
      </c>
      <c r="AQ23" s="176">
        <f>SUM(AM23:AP23)</f>
        <v>33.274459999999969</v>
      </c>
    </row>
    <row r="24" spans="3:43" s="171" customFormat="1" ht="11.25">
      <c r="C24" s="182" t="s">
        <v>115</v>
      </c>
      <c r="H24" s="175"/>
      <c r="I24" s="212">
        <f t="shared" ref="I24:AF24" si="87">IFERROR((I23/D23)-1,"")</f>
        <v>14.408028724394786</v>
      </c>
      <c r="J24" s="212">
        <f t="shared" si="87"/>
        <v>16.846329761904766</v>
      </c>
      <c r="K24" s="212">
        <f t="shared" si="87"/>
        <v>3.7776549413841654</v>
      </c>
      <c r="L24" s="212">
        <f t="shared" si="87"/>
        <v>3.8402483050712597</v>
      </c>
      <c r="M24" s="193">
        <f t="shared" si="87"/>
        <v>5.7974236071050376</v>
      </c>
      <c r="N24" s="212">
        <f t="shared" si="87"/>
        <v>1.0416925818502345</v>
      </c>
      <c r="O24" s="212">
        <f t="shared" si="87"/>
        <v>0.81893397251991407</v>
      </c>
      <c r="P24" s="212">
        <f t="shared" si="87"/>
        <v>1.1659097334063606</v>
      </c>
      <c r="Q24" s="212">
        <f t="shared" si="87"/>
        <v>1.1980444430541963</v>
      </c>
      <c r="R24" s="193">
        <f t="shared" si="87"/>
        <v>1.0813858374220935</v>
      </c>
      <c r="S24" s="212">
        <f t="shared" si="87"/>
        <v>0.26553451112114201</v>
      </c>
      <c r="T24" s="212">
        <f t="shared" si="87"/>
        <v>0.81226314331587002</v>
      </c>
      <c r="U24" s="212">
        <f t="shared" si="87"/>
        <v>0.14761222771628191</v>
      </c>
      <c r="V24" s="212">
        <f t="shared" si="87"/>
        <v>0.19310075743986777</v>
      </c>
      <c r="W24" s="193">
        <f t="shared" si="87"/>
        <v>0.29848822765189054</v>
      </c>
      <c r="X24" s="212">
        <f t="shared" si="87"/>
        <v>0.2081472074541848</v>
      </c>
      <c r="Y24" s="212">
        <f t="shared" si="87"/>
        <v>0.24203934045837938</v>
      </c>
      <c r="Z24" s="212">
        <f t="shared" si="87"/>
        <v>-2.3503332113467446E-2</v>
      </c>
      <c r="AA24" s="212">
        <f t="shared" si="87"/>
        <v>-0.11955840233909809</v>
      </c>
      <c r="AB24" s="193">
        <f t="shared" si="87"/>
        <v>6.0290566956302083E-2</v>
      </c>
      <c r="AC24" s="389">
        <f t="shared" si="87"/>
        <v>0.12870355729225968</v>
      </c>
      <c r="AD24" s="389">
        <f t="shared" si="87"/>
        <v>7.8246633735919113E-2</v>
      </c>
      <c r="AE24" s="389">
        <f t="shared" si="87"/>
        <v>1.7385426924380276E-2</v>
      </c>
      <c r="AF24" s="389">
        <f t="shared" si="87"/>
        <v>-6.8460466102364559E-2</v>
      </c>
      <c r="AG24" s="397">
        <f t="shared" ref="AG24:AH24" si="88">IFERROR((AG23/AB23)-1,"")</f>
        <v>4.0660744448548947E-2</v>
      </c>
      <c r="AH24" s="398">
        <f t="shared" si="88"/>
        <v>-5.207492433756622E-2</v>
      </c>
      <c r="AI24" s="398">
        <f>IFERROR((AI23/AD23)-1,"")</f>
        <v>-5.81358358517583E-2</v>
      </c>
      <c r="AJ24" s="398">
        <f t="shared" ref="AJ24:AK24" si="89">IFERROR((AJ23/AE23)-1,"")</f>
        <v>-1.950111374837693E-4</v>
      </c>
      <c r="AK24" s="398">
        <f t="shared" si="89"/>
        <v>-1.0046800764862784</v>
      </c>
      <c r="AL24" s="193">
        <f t="shared" ref="AL24" si="90">IFERROR((AL23/AG23)-1,"")</f>
        <v>-0.24283353876834779</v>
      </c>
      <c r="AM24" s="246">
        <v>0.05</v>
      </c>
      <c r="AN24" s="246">
        <v>-0.04</v>
      </c>
      <c r="AO24" s="246">
        <v>-0.04</v>
      </c>
      <c r="AP24" s="246">
        <v>0.1</v>
      </c>
      <c r="AQ24" s="193">
        <f t="shared" ref="AQ24" si="91">IFERROR((AQ23/AL23)-1,"")</f>
        <v>-1.0601528351818379E-2</v>
      </c>
    </row>
    <row r="25" spans="3:43" ht="15.75" thickBot="1">
      <c r="C25" s="188"/>
      <c r="H25" s="179"/>
      <c r="I25" s="222"/>
      <c r="J25" s="222"/>
      <c r="K25" s="222"/>
      <c r="L25" s="222"/>
      <c r="M25" s="179"/>
      <c r="N25" s="222"/>
      <c r="O25" s="222"/>
      <c r="P25" s="222"/>
      <c r="Q25" s="222"/>
      <c r="R25" s="179"/>
      <c r="S25" s="222"/>
      <c r="T25" s="222"/>
      <c r="U25" s="222"/>
      <c r="V25" s="222"/>
      <c r="W25" s="179"/>
      <c r="X25" s="222"/>
      <c r="Y25" s="222"/>
      <c r="Z25" s="222"/>
      <c r="AA25" s="222"/>
      <c r="AB25" s="179"/>
      <c r="AC25" s="222"/>
      <c r="AD25" s="222"/>
      <c r="AE25" s="222"/>
      <c r="AF25" s="222"/>
      <c r="AG25" s="179"/>
      <c r="AH25" s="222"/>
      <c r="AI25" s="222"/>
      <c r="AJ25" s="222"/>
      <c r="AK25" s="222"/>
      <c r="AL25" s="179"/>
      <c r="AM25" s="222"/>
      <c r="AN25" s="222"/>
      <c r="AO25" s="402"/>
      <c r="AP25" s="222"/>
      <c r="AQ25" s="179"/>
    </row>
    <row r="26" spans="3:43" ht="15.75" thickBot="1">
      <c r="C26" s="183" t="s">
        <v>132</v>
      </c>
      <c r="D26" s="164">
        <f t="shared" ref="D26:AQ26" si="92">D29+D37+D44</f>
        <v>6.16173533</v>
      </c>
      <c r="E26" s="164">
        <f t="shared" si="92"/>
        <v>8.899974150000002</v>
      </c>
      <c r="F26" s="164">
        <f t="shared" si="92"/>
        <v>10.816277946000001</v>
      </c>
      <c r="G26" s="164">
        <f t="shared" si="92"/>
        <v>13.807413689000002</v>
      </c>
      <c r="H26" s="174">
        <f t="shared" si="92"/>
        <v>39.685401115000005</v>
      </c>
      <c r="I26" s="164">
        <f t="shared" si="92"/>
        <v>16.832318125999997</v>
      </c>
      <c r="J26" s="164">
        <f t="shared" si="92"/>
        <v>17.227103360000001</v>
      </c>
      <c r="K26" s="164">
        <f t="shared" si="92"/>
        <v>46.356053290000006</v>
      </c>
      <c r="L26" s="164">
        <f t="shared" si="92"/>
        <v>71.782608772999993</v>
      </c>
      <c r="M26" s="174">
        <f t="shared" si="92"/>
        <v>152.19808354899999</v>
      </c>
      <c r="N26" s="164">
        <f t="shared" si="92"/>
        <v>58.15209977</v>
      </c>
      <c r="O26" s="164">
        <f t="shared" si="92"/>
        <v>39.350143785000007</v>
      </c>
      <c r="P26" s="164">
        <f t="shared" si="92"/>
        <v>31.780713589999998</v>
      </c>
      <c r="Q26" s="164">
        <f t="shared" si="92"/>
        <v>32.992516822000006</v>
      </c>
      <c r="R26" s="174">
        <f t="shared" si="92"/>
        <v>162.27547396700001</v>
      </c>
      <c r="S26" s="164">
        <f t="shared" si="92"/>
        <v>39.083505278000004</v>
      </c>
      <c r="T26" s="164">
        <f t="shared" si="92"/>
        <v>34.266353574999997</v>
      </c>
      <c r="U26" s="164">
        <f t="shared" si="92"/>
        <v>35.401600678999998</v>
      </c>
      <c r="V26" s="164">
        <f t="shared" si="92"/>
        <v>41.503107325999991</v>
      </c>
      <c r="W26" s="174">
        <f t="shared" si="92"/>
        <v>150.254566858</v>
      </c>
      <c r="X26" s="164">
        <f t="shared" si="92"/>
        <v>45.280277962000014</v>
      </c>
      <c r="Y26" s="164">
        <f t="shared" si="92"/>
        <v>46.961029611999997</v>
      </c>
      <c r="Z26" s="164">
        <f t="shared" si="92"/>
        <v>46.540149183000004</v>
      </c>
      <c r="AA26" s="164">
        <f t="shared" si="92"/>
        <v>50.336733724000005</v>
      </c>
      <c r="AB26" s="174">
        <f t="shared" si="92"/>
        <v>189.11819048100003</v>
      </c>
      <c r="AC26" s="164">
        <f t="shared" si="92"/>
        <v>52.834756942000013</v>
      </c>
      <c r="AD26" s="164">
        <v>68.323999999999998</v>
      </c>
      <c r="AE26" s="164">
        <v>60.125999999999998</v>
      </c>
      <c r="AF26" s="164">
        <v>62.182000000000002</v>
      </c>
      <c r="AG26" s="174">
        <f t="shared" si="92"/>
        <v>227.0010928792</v>
      </c>
      <c r="AH26" s="164">
        <f>84.783-1.035-0.048</f>
        <v>83.7</v>
      </c>
      <c r="AI26" s="164">
        <f>99.756-1.42-0.254</f>
        <v>98.081999999999994</v>
      </c>
      <c r="AJ26" s="164">
        <f>98.643-1.631-0.036</f>
        <v>96.975999999999999</v>
      </c>
      <c r="AK26" s="164">
        <f>102.92-2.138-0.035</f>
        <v>100.747</v>
      </c>
      <c r="AL26" s="174">
        <f t="shared" si="92"/>
        <v>447.51470260541981</v>
      </c>
      <c r="AM26" s="164">
        <f>AM29+AM37+AM44</f>
        <v>101.809618</v>
      </c>
      <c r="AN26" s="164">
        <f t="shared" ref="AN26:AP26" si="93">AN29+AN37+AN44</f>
        <v>118.8394112</v>
      </c>
      <c r="AO26" s="164">
        <f t="shared" si="93"/>
        <v>120.2998152</v>
      </c>
      <c r="AP26" s="164">
        <f t="shared" si="93"/>
        <v>118.25090399999999</v>
      </c>
      <c r="AQ26" s="174">
        <f t="shared" si="92"/>
        <v>488.03207505000006</v>
      </c>
    </row>
    <row r="27" spans="3:43" s="171" customFormat="1" ht="11.25">
      <c r="C27" s="202" t="s">
        <v>118</v>
      </c>
      <c r="D27" s="212">
        <f t="shared" ref="D27:AQ27" si="94">IFERROR(1-(D26/D4),"")</f>
        <v>-0.37310526879897732</v>
      </c>
      <c r="E27" s="212">
        <f t="shared" si="94"/>
        <v>-0.51513780200543713</v>
      </c>
      <c r="F27" s="212">
        <f t="shared" si="94"/>
        <v>-0.23517405382987699</v>
      </c>
      <c r="G27" s="212">
        <f t="shared" si="94"/>
        <v>-0.5740925697082444</v>
      </c>
      <c r="H27" s="193">
        <f t="shared" si="94"/>
        <v>-0.42292413226742509</v>
      </c>
      <c r="I27" s="212">
        <f t="shared" si="94"/>
        <v>-0.23357304568687609</v>
      </c>
      <c r="J27" s="212">
        <f t="shared" si="94"/>
        <v>-0.37817894053568124</v>
      </c>
      <c r="K27" s="212">
        <f t="shared" si="94"/>
        <v>1.5345473504075446E-2</v>
      </c>
      <c r="L27" s="212">
        <f t="shared" si="94"/>
        <v>8.7747468133435369E-2</v>
      </c>
      <c r="M27" s="193">
        <f t="shared" si="94"/>
        <v>-1.8912376867081804E-3</v>
      </c>
      <c r="N27" s="212">
        <f t="shared" si="94"/>
        <v>2.8044927630610506E-2</v>
      </c>
      <c r="O27" s="212">
        <f t="shared" si="94"/>
        <v>0.25852999142976352</v>
      </c>
      <c r="P27" s="212">
        <f t="shared" si="94"/>
        <v>0.23629221307723713</v>
      </c>
      <c r="Q27" s="212">
        <f t="shared" si="94"/>
        <v>0.18533069907579713</v>
      </c>
      <c r="R27" s="193">
        <f t="shared" si="94"/>
        <v>0.16787027879906868</v>
      </c>
      <c r="S27" s="212">
        <f t="shared" si="94"/>
        <v>-3.1176758869829291E-2</v>
      </c>
      <c r="T27" s="212">
        <f t="shared" si="94"/>
        <v>0.27741056270627074</v>
      </c>
      <c r="U27" s="212">
        <f t="shared" si="94"/>
        <v>0.35317993443515638</v>
      </c>
      <c r="V27" s="212">
        <f t="shared" si="94"/>
        <v>0.2835555436352728</v>
      </c>
      <c r="W27" s="193">
        <f t="shared" si="94"/>
        <v>0.24107910821442824</v>
      </c>
      <c r="X27" s="212">
        <f t="shared" si="94"/>
        <v>0.44819291953186979</v>
      </c>
      <c r="Y27" s="212">
        <f t="shared" si="94"/>
        <v>0.48912949071417611</v>
      </c>
      <c r="Z27" s="212">
        <f t="shared" si="94"/>
        <v>0.51913540215948117</v>
      </c>
      <c r="AA27" s="212">
        <f t="shared" si="94"/>
        <v>0.45399795301349555</v>
      </c>
      <c r="AB27" s="193">
        <f t="shared" si="94"/>
        <v>0.47895224743963494</v>
      </c>
      <c r="AC27" s="212">
        <f t="shared" si="94"/>
        <v>0.48488781971438266</v>
      </c>
      <c r="AD27" s="212">
        <f t="shared" si="94"/>
        <v>0.39172394145507639</v>
      </c>
      <c r="AE27" s="389">
        <f t="shared" si="94"/>
        <v>0.48355121884179963</v>
      </c>
      <c r="AF27" s="212">
        <f t="shared" si="94"/>
        <v>0.48368400949897872</v>
      </c>
      <c r="AG27" s="193">
        <f t="shared" si="94"/>
        <v>0.49736079698151914</v>
      </c>
      <c r="AH27" s="212">
        <f t="shared" si="94"/>
        <v>0.56812036903263086</v>
      </c>
      <c r="AI27" s="212">
        <f t="shared" si="94"/>
        <v>0.59443936768895522</v>
      </c>
      <c r="AJ27" s="389">
        <f t="shared" si="94"/>
        <v>0.61651072849358179</v>
      </c>
      <c r="AK27" s="212">
        <f t="shared" si="94"/>
        <v>0.62246679857301324</v>
      </c>
      <c r="AL27" s="193">
        <f t="shared" si="94"/>
        <v>0.24482965333264739</v>
      </c>
      <c r="AM27" s="212">
        <f t="shared" si="94"/>
        <v>0.60577062432211926</v>
      </c>
      <c r="AN27" s="212">
        <f t="shared" si="94"/>
        <v>0.60170359629516823</v>
      </c>
      <c r="AO27" s="212">
        <f t="shared" si="94"/>
        <v>0.60938844845898643</v>
      </c>
      <c r="AP27" s="212">
        <f t="shared" si="94"/>
        <v>0.62382090945506907</v>
      </c>
      <c r="AQ27" s="193">
        <f t="shared" si="94"/>
        <v>0.35692300734375948</v>
      </c>
    </row>
    <row r="28" spans="3:43">
      <c r="C28" s="188"/>
      <c r="H28" s="180"/>
      <c r="M28" s="180"/>
      <c r="R28" s="180"/>
      <c r="S28" s="220"/>
      <c r="T28" s="220"/>
      <c r="U28" s="220"/>
      <c r="V28" s="220"/>
      <c r="W28" s="180"/>
      <c r="X28" s="220"/>
      <c r="Y28" s="220"/>
      <c r="Z28" s="220"/>
      <c r="AA28" s="220"/>
      <c r="AB28" s="180"/>
      <c r="AC28" s="220"/>
      <c r="AD28" s="220"/>
      <c r="AE28" s="220"/>
      <c r="AF28" s="220"/>
      <c r="AG28" s="180"/>
      <c r="AH28" s="220"/>
      <c r="AI28" s="220"/>
      <c r="AJ28" s="220"/>
      <c r="AK28" s="220"/>
      <c r="AL28" s="180"/>
      <c r="AM28" s="220"/>
      <c r="AN28" s="220"/>
      <c r="AO28" s="220"/>
      <c r="AP28" s="220"/>
      <c r="AQ28" s="180"/>
    </row>
    <row r="29" spans="3:43">
      <c r="C29" s="184" t="s">
        <v>130</v>
      </c>
      <c r="D29" s="213">
        <f>(D32*D34)/1000000</f>
        <v>5.5885261213442883</v>
      </c>
      <c r="E29" s="213">
        <f>(E32*E34)/1000000</f>
        <v>7.9259287658404469</v>
      </c>
      <c r="F29" s="213">
        <f>(F32*F34)/1000000</f>
        <v>10.018052815969996</v>
      </c>
      <c r="G29" s="213">
        <f>(G32*G34)/1000000</f>
        <v>12.147459042972729</v>
      </c>
      <c r="H29" s="176">
        <f>SUM(D29:G29)</f>
        <v>35.679966746127462</v>
      </c>
      <c r="I29" s="213">
        <f>(I32*I34)/1000000</f>
        <v>13.215356053136654</v>
      </c>
      <c r="J29" s="213">
        <f>(J32*J34)/1000000</f>
        <v>12.475363130458419</v>
      </c>
      <c r="K29" s="213">
        <f>(K32*K34)/1000000</f>
        <v>15.36985088935724</v>
      </c>
      <c r="L29" s="213">
        <f>(L32*L34)/1000000</f>
        <v>17.04464391479506</v>
      </c>
      <c r="M29" s="176">
        <f>SUM(I29:L29)</f>
        <v>58.105213987747369</v>
      </c>
      <c r="N29" s="213">
        <f>(N32*N34)/1000000</f>
        <v>16.638107426210222</v>
      </c>
      <c r="O29" s="213">
        <f>(O32*O34)/1000000</f>
        <v>16.507631589414508</v>
      </c>
      <c r="P29" s="213">
        <f>(P32*P34)/1000000</f>
        <v>18.761066446551883</v>
      </c>
      <c r="Q29" s="213">
        <f>(Q32*Q34)/1000000</f>
        <v>21.025491507433561</v>
      </c>
      <c r="R29" s="176">
        <f>SUM(N29:Q29)</f>
        <v>72.932296969610164</v>
      </c>
      <c r="S29" s="213">
        <f>(S32*S34)/1000000</f>
        <v>21.6092419112572</v>
      </c>
      <c r="T29" s="213">
        <f>(T32*T34)/1000000</f>
        <v>22.892284695584422</v>
      </c>
      <c r="U29" s="213">
        <f>(U32*U34)/1000000</f>
        <v>25.149735339197118</v>
      </c>
      <c r="V29" s="213">
        <f>(V32*V34)/1000000</f>
        <v>30.514610987371007</v>
      </c>
      <c r="W29" s="176">
        <f>SUM(S29:V29)</f>
        <v>100.16587293340976</v>
      </c>
      <c r="X29" s="213">
        <f>(X32*X34)/1000000</f>
        <v>35.675230316900056</v>
      </c>
      <c r="Y29" s="213">
        <f>(Y32*Y34)/1000000</f>
        <v>39.101812725088088</v>
      </c>
      <c r="Z29" s="213">
        <f>(Z32*Z34)/1000000</f>
        <v>39.83609030730657</v>
      </c>
      <c r="AA29" s="213">
        <f>(AA32*AA34)/1000000</f>
        <v>44.609080665993027</v>
      </c>
      <c r="AB29" s="176">
        <f>SUM(X29:AA29)</f>
        <v>159.22221401528773</v>
      </c>
      <c r="AC29" s="213">
        <f>(AC32*AC34)/1000000</f>
        <v>45.487881516082794</v>
      </c>
      <c r="AD29" s="213">
        <f>(AD32*AD34)/1000000</f>
        <v>48.877499999999998</v>
      </c>
      <c r="AE29" s="213">
        <f>(AE32*AE34)/1000000</f>
        <v>51.785243999999999</v>
      </c>
      <c r="AF29" s="213">
        <f>(AF32*AF34)/1000000</f>
        <v>54.790519875000008</v>
      </c>
      <c r="AG29" s="176">
        <f>SUM(AC29:AF29)</f>
        <v>200.94114539108278</v>
      </c>
      <c r="AH29" s="213">
        <f>(AH32*AH34)/1000000</f>
        <v>112.30200000000001</v>
      </c>
      <c r="AI29" s="213">
        <f>(AI32*AI34)/1000000</f>
        <v>97.52</v>
      </c>
      <c r="AJ29" s="213">
        <f>(AJ32*AJ34)/1000000</f>
        <v>99.82</v>
      </c>
      <c r="AK29" s="213">
        <f>(AK32*AK34)/1000000</f>
        <v>100.74</v>
      </c>
      <c r="AL29" s="176">
        <f>SUM(AH29:AK29)</f>
        <v>410.38200000000001</v>
      </c>
      <c r="AM29" s="213">
        <f>(AM32*AM34)/1000000</f>
        <v>95.542000000000002</v>
      </c>
      <c r="AN29" s="213">
        <f>(AN32*AN34)/1000000</f>
        <v>112.7</v>
      </c>
      <c r="AO29" s="213">
        <f>(AO32*AO34)/1000000</f>
        <v>114.71250000000001</v>
      </c>
      <c r="AP29" s="213">
        <f>(AP32*AP34)/1000000</f>
        <v>118.27704</v>
      </c>
      <c r="AQ29" s="176">
        <f>SUM(AM29:AP29)</f>
        <v>441.23154000000005</v>
      </c>
    </row>
    <row r="30" spans="3:43" s="203" customFormat="1" ht="11.25">
      <c r="C30" s="202" t="s">
        <v>118</v>
      </c>
      <c r="D30" s="212">
        <f t="shared" ref="D30:AQ30" si="95">IFERROR(1-(D29/D6),"")</f>
        <v>-0.30797789418116772</v>
      </c>
      <c r="E30" s="212">
        <f t="shared" si="95"/>
        <v>-0.3870010308942724</v>
      </c>
      <c r="F30" s="212">
        <f t="shared" si="95"/>
        <v>-0.27729819614689188</v>
      </c>
      <c r="G30" s="212">
        <f t="shared" si="95"/>
        <v>-0.54378803007836418</v>
      </c>
      <c r="H30" s="193">
        <f t="shared" si="95"/>
        <v>-0.38838787959616972</v>
      </c>
      <c r="I30" s="212">
        <f t="shared" si="95"/>
        <v>-0.27863375487429365</v>
      </c>
      <c r="J30" s="212">
        <f t="shared" si="95"/>
        <v>-0.32563349459251389</v>
      </c>
      <c r="K30" s="212">
        <f t="shared" si="95"/>
        <v>-0.16229681793124962</v>
      </c>
      <c r="L30" s="212">
        <f t="shared" si="95"/>
        <v>-0.19184684709907862</v>
      </c>
      <c r="M30" s="193">
        <f t="shared" si="95"/>
        <v>-0.22919050989321099</v>
      </c>
      <c r="N30" s="212">
        <f t="shared" si="95"/>
        <v>-0.17284479578410394</v>
      </c>
      <c r="O30" s="212">
        <f t="shared" si="95"/>
        <v>-8.5316051705252693E-2</v>
      </c>
      <c r="P30" s="212">
        <f t="shared" si="95"/>
        <v>1.3132955549456371E-3</v>
      </c>
      <c r="Q30" s="212">
        <f t="shared" si="95"/>
        <v>3.8575211793658859E-3</v>
      </c>
      <c r="R30" s="193">
        <f t="shared" si="95"/>
        <v>-5.2585156956974188E-2</v>
      </c>
      <c r="S30" s="212">
        <f t="shared" si="95"/>
        <v>-6.0940820172347365E-2</v>
      </c>
      <c r="T30" s="212">
        <f t="shared" si="95"/>
        <v>0.33480448325171075</v>
      </c>
      <c r="U30" s="212">
        <f t="shared" si="95"/>
        <v>0.35496456574628221</v>
      </c>
      <c r="V30" s="212">
        <f t="shared" si="95"/>
        <v>0.26984591456367368</v>
      </c>
      <c r="W30" s="193">
        <f t="shared" si="95"/>
        <v>0.26111789866096247</v>
      </c>
      <c r="X30" s="212">
        <f t="shared" si="95"/>
        <v>0.4836274777459626</v>
      </c>
      <c r="Y30" s="212">
        <f t="shared" si="95"/>
        <v>0.51237918977504149</v>
      </c>
      <c r="Z30" s="212">
        <f t="shared" si="95"/>
        <v>0.53780230996414669</v>
      </c>
      <c r="AA30" s="212">
        <f t="shared" si="95"/>
        <v>0.45664270565577014</v>
      </c>
      <c r="AB30" s="193">
        <f t="shared" si="95"/>
        <v>0.49861464001924571</v>
      </c>
      <c r="AC30" s="212">
        <f t="shared" si="95"/>
        <v>0.49890577281103055</v>
      </c>
      <c r="AD30" s="212">
        <f t="shared" si="95"/>
        <v>0.51</v>
      </c>
      <c r="AE30" s="212">
        <f t="shared" si="95"/>
        <v>0.50980392156862742</v>
      </c>
      <c r="AF30" s="212">
        <f t="shared" si="95"/>
        <v>0.50653594771241828</v>
      </c>
      <c r="AG30" s="193">
        <f t="shared" si="95"/>
        <v>0.50653135297010976</v>
      </c>
      <c r="AH30" s="212">
        <f t="shared" si="95"/>
        <v>5.8264150943396209E-2</v>
      </c>
      <c r="AI30" s="212">
        <f t="shared" si="95"/>
        <v>0.26522001205545509</v>
      </c>
      <c r="AJ30" s="212">
        <f t="shared" si="95"/>
        <v>0.2844444444444445</v>
      </c>
      <c r="AK30" s="212">
        <f t="shared" si="95"/>
        <v>0.39856716417910454</v>
      </c>
      <c r="AL30" s="193">
        <f t="shared" si="95"/>
        <v>0.26582464175179354</v>
      </c>
      <c r="AM30" s="212">
        <f t="shared" si="95"/>
        <v>0.39683080808080806</v>
      </c>
      <c r="AN30" s="212">
        <f t="shared" si="95"/>
        <v>0.36111111111111116</v>
      </c>
      <c r="AO30" s="212">
        <f t="shared" si="95"/>
        <v>0.3866666666666666</v>
      </c>
      <c r="AP30" s="212">
        <f t="shared" si="95"/>
        <v>0.41962953498149325</v>
      </c>
      <c r="AQ30" s="193">
        <f t="shared" si="95"/>
        <v>0.39193065594402265</v>
      </c>
    </row>
    <row r="31" spans="3:43" s="167" customFormat="1">
      <c r="C31" s="189"/>
      <c r="D31" s="223"/>
      <c r="E31" s="223"/>
      <c r="F31" s="223"/>
      <c r="G31" s="223"/>
      <c r="H31" s="181"/>
      <c r="I31" s="223"/>
      <c r="J31" s="223"/>
      <c r="K31" s="223"/>
      <c r="L31" s="223"/>
      <c r="M31" s="181"/>
      <c r="N31" s="223"/>
      <c r="O31" s="223"/>
      <c r="P31" s="223"/>
      <c r="Q31" s="223"/>
      <c r="R31" s="181"/>
      <c r="S31" s="223"/>
      <c r="T31" s="223"/>
      <c r="U31" s="223"/>
      <c r="V31" s="223"/>
      <c r="W31" s="181"/>
      <c r="X31" s="223"/>
      <c r="Y31" s="223"/>
      <c r="Z31" s="223"/>
      <c r="AA31" s="223"/>
      <c r="AB31" s="181"/>
      <c r="AC31" s="223"/>
      <c r="AD31" s="223"/>
      <c r="AE31" s="223"/>
      <c r="AF31" s="223"/>
      <c r="AG31" s="181"/>
      <c r="AH31" s="223"/>
      <c r="AI31" s="223"/>
      <c r="AJ31" s="223"/>
      <c r="AK31" s="223"/>
      <c r="AL31" s="181"/>
      <c r="AM31" s="223"/>
      <c r="AN31" s="223"/>
      <c r="AO31" s="223"/>
      <c r="AP31" s="223"/>
      <c r="AQ31" s="181"/>
    </row>
    <row r="32" spans="3:43">
      <c r="C32" s="185" t="s">
        <v>116</v>
      </c>
      <c r="D32" s="215">
        <f t="shared" ref="D32:AF32" si="96">D8</f>
        <v>7003</v>
      </c>
      <c r="E32" s="215">
        <f t="shared" si="96"/>
        <v>9198</v>
      </c>
      <c r="F32" s="215">
        <f t="shared" si="96"/>
        <v>11102</v>
      </c>
      <c r="G32" s="215">
        <f t="shared" si="96"/>
        <v>13265</v>
      </c>
      <c r="H32" s="177">
        <f t="shared" si="96"/>
        <v>40568</v>
      </c>
      <c r="I32" s="215">
        <f t="shared" si="96"/>
        <v>14066</v>
      </c>
      <c r="J32" s="215">
        <f t="shared" si="96"/>
        <v>12201</v>
      </c>
      <c r="K32" s="215">
        <f t="shared" si="96"/>
        <v>17052</v>
      </c>
      <c r="L32" s="215">
        <f t="shared" si="96"/>
        <v>20931</v>
      </c>
      <c r="M32" s="177">
        <f t="shared" si="96"/>
        <v>64250</v>
      </c>
      <c r="N32" s="215">
        <f t="shared" si="96"/>
        <v>15894</v>
      </c>
      <c r="O32" s="215">
        <f t="shared" si="96"/>
        <v>25669</v>
      </c>
      <c r="P32" s="215">
        <f t="shared" si="96"/>
        <v>26867</v>
      </c>
      <c r="Q32" s="215">
        <f t="shared" si="96"/>
        <v>28566</v>
      </c>
      <c r="R32" s="177">
        <f t="shared" si="96"/>
        <v>96996</v>
      </c>
      <c r="S32" s="215">
        <f t="shared" si="96"/>
        <v>30561</v>
      </c>
      <c r="T32" s="215">
        <f t="shared" si="96"/>
        <v>35545</v>
      </c>
      <c r="U32" s="215">
        <f t="shared" si="96"/>
        <v>37661</v>
      </c>
      <c r="V32" s="215">
        <f t="shared" si="96"/>
        <v>44199</v>
      </c>
      <c r="W32" s="177">
        <f t="shared" si="96"/>
        <v>147966</v>
      </c>
      <c r="X32" s="215">
        <f t="shared" si="96"/>
        <v>48419.9</v>
      </c>
      <c r="Y32" s="215">
        <f t="shared" si="96"/>
        <v>55300</v>
      </c>
      <c r="Z32" s="215">
        <f t="shared" si="96"/>
        <v>55728</v>
      </c>
      <c r="AA32" s="215">
        <f t="shared" si="96"/>
        <v>59241</v>
      </c>
      <c r="AB32" s="177">
        <f t="shared" si="96"/>
        <v>218688.9</v>
      </c>
      <c r="AC32" s="215">
        <f t="shared" si="96"/>
        <v>62718</v>
      </c>
      <c r="AD32" s="215">
        <f t="shared" si="96"/>
        <v>66500</v>
      </c>
      <c r="AE32" s="215">
        <f t="shared" si="96"/>
        <v>69046.991999999998</v>
      </c>
      <c r="AF32" s="215">
        <f t="shared" si="96"/>
        <v>72570.225000000006</v>
      </c>
      <c r="AG32" s="177">
        <f>SUM(AC32:AF32)</f>
        <v>270835.217</v>
      </c>
      <c r="AH32" s="215">
        <f>AH8+AH15</f>
        <v>153000</v>
      </c>
      <c r="AI32" s="215">
        <f t="shared" ref="AI32:AK32" si="97">AI8+AI15</f>
        <v>212000</v>
      </c>
      <c r="AJ32" s="215">
        <f t="shared" si="97"/>
        <v>217000</v>
      </c>
      <c r="AK32" s="215">
        <f t="shared" si="97"/>
        <v>219000</v>
      </c>
      <c r="AL32" s="177">
        <f>SUM(AH32:AK32)</f>
        <v>801000</v>
      </c>
      <c r="AM32" s="215">
        <f>AM8+AM15</f>
        <v>207700</v>
      </c>
      <c r="AN32" s="215">
        <f t="shared" ref="AN32:AP32" si="98">AN8+AN15</f>
        <v>245000</v>
      </c>
      <c r="AO32" s="215">
        <f t="shared" si="98"/>
        <v>249375</v>
      </c>
      <c r="AP32" s="215">
        <f t="shared" si="98"/>
        <v>257124</v>
      </c>
      <c r="AQ32" s="177">
        <f>SUM(AM32:AP32)</f>
        <v>959199</v>
      </c>
    </row>
    <row r="33" spans="3:43">
      <c r="C33" s="31"/>
      <c r="G33" s="215"/>
      <c r="H33" s="31"/>
      <c r="L33" s="215"/>
      <c r="M33" s="31"/>
      <c r="Q33" s="215"/>
      <c r="R33" s="31"/>
      <c r="S33" s="168"/>
      <c r="T33" s="168"/>
      <c r="U33" s="168"/>
      <c r="V33" s="168"/>
      <c r="W33" s="31"/>
      <c r="X33" s="168"/>
      <c r="Y33" s="168"/>
      <c r="Z33" s="168"/>
      <c r="AA33" s="168"/>
      <c r="AB33" s="31"/>
      <c r="AC33" s="168"/>
      <c r="AD33" s="168"/>
      <c r="AE33" s="168"/>
      <c r="AF33" s="168"/>
      <c r="AG33" s="31"/>
      <c r="AH33" s="168"/>
      <c r="AI33" s="168"/>
      <c r="AJ33" s="168"/>
      <c r="AK33" s="168"/>
      <c r="AL33" s="31"/>
      <c r="AM33" s="168"/>
      <c r="AN33" s="168"/>
      <c r="AO33" s="168"/>
      <c r="AP33" s="168"/>
      <c r="AQ33" s="31"/>
    </row>
    <row r="34" spans="3:43">
      <c r="C34" s="185" t="s">
        <v>119</v>
      </c>
      <c r="D34" s="211">
        <v>798.01886639215877</v>
      </c>
      <c r="E34" s="211">
        <v>861.70132266149665</v>
      </c>
      <c r="F34" s="211">
        <v>902.36469248513743</v>
      </c>
      <c r="G34" s="211">
        <v>915.75266060857359</v>
      </c>
      <c r="H34" s="173">
        <f>(H29*1000000)/H32</f>
        <v>879.51012487989215</v>
      </c>
      <c r="I34" s="211">
        <v>939.52481538011193</v>
      </c>
      <c r="J34" s="211">
        <v>1022.4869379934775</v>
      </c>
      <c r="K34" s="211">
        <v>901.35179975118695</v>
      </c>
      <c r="L34" s="211">
        <v>814.3253506662395</v>
      </c>
      <c r="M34" s="173">
        <f>(M29*1000000)/M32</f>
        <v>904.36130720229369</v>
      </c>
      <c r="N34" s="211">
        <v>1046.8168759412497</v>
      </c>
      <c r="O34" s="211">
        <v>643.0960142356347</v>
      </c>
      <c r="P34" s="211">
        <v>698.29405763769239</v>
      </c>
      <c r="Q34" s="211">
        <v>736.03204884945603</v>
      </c>
      <c r="R34" s="173">
        <f>(R29*1000000)/R32</f>
        <v>751.9103568148189</v>
      </c>
      <c r="S34" s="211">
        <v>707.08556366798211</v>
      </c>
      <c r="T34" s="211">
        <v>644.03670546024546</v>
      </c>
      <c r="U34" s="211">
        <v>667.79255301763408</v>
      </c>
      <c r="V34" s="211">
        <v>690.39143390961351</v>
      </c>
      <c r="W34" s="173">
        <f>(W29*1000000)/W32</f>
        <v>676.95195472885507</v>
      </c>
      <c r="X34" s="211">
        <v>736.78859966460175</v>
      </c>
      <c r="Y34" s="211">
        <v>707.08522106850069</v>
      </c>
      <c r="Z34" s="211">
        <v>714.83079075700857</v>
      </c>
      <c r="AA34" s="262">
        <v>753.01025752423197</v>
      </c>
      <c r="AB34" s="173">
        <f>(AB29*1000000)/AB32</f>
        <v>728.07634047858733</v>
      </c>
      <c r="AC34" s="262">
        <v>725.27634038207202</v>
      </c>
      <c r="AD34" s="216">
        <v>735</v>
      </c>
      <c r="AE34" s="216">
        <v>750</v>
      </c>
      <c r="AF34" s="216">
        <v>755</v>
      </c>
      <c r="AG34" s="173">
        <f>(AG29*1000000)/AG32</f>
        <v>741.93137663881726</v>
      </c>
      <c r="AH34" s="216">
        <v>734</v>
      </c>
      <c r="AI34" s="216">
        <v>460</v>
      </c>
      <c r="AJ34" s="216">
        <v>460</v>
      </c>
      <c r="AK34" s="216">
        <v>460</v>
      </c>
      <c r="AL34" s="173">
        <f>(AL29*1000000)/AL32</f>
        <v>512.33707865168537</v>
      </c>
      <c r="AM34" s="216">
        <v>460</v>
      </c>
      <c r="AN34" s="216">
        <v>460</v>
      </c>
      <c r="AO34" s="216">
        <v>460</v>
      </c>
      <c r="AP34" s="216">
        <v>460</v>
      </c>
      <c r="AQ34" s="173">
        <f>(AQ29*1000000)/AQ32</f>
        <v>460.00000000000006</v>
      </c>
    </row>
    <row r="35" spans="3:43">
      <c r="C35" s="31"/>
      <c r="H35" s="31"/>
      <c r="M35" s="31"/>
      <c r="R35" s="31"/>
      <c r="W35" s="31"/>
      <c r="AB35" s="31"/>
      <c r="AG35" s="31"/>
      <c r="AL35" s="31"/>
      <c r="AQ35" s="31"/>
    </row>
    <row r="36" spans="3:43">
      <c r="C36" s="31"/>
      <c r="H36" s="31"/>
      <c r="M36" s="31"/>
      <c r="R36" s="31"/>
      <c r="W36" s="31"/>
      <c r="AB36" s="31"/>
      <c r="AG36" s="31"/>
      <c r="AL36" s="31"/>
      <c r="AQ36" s="31"/>
    </row>
    <row r="37" spans="3:43">
      <c r="C37" s="32" t="s">
        <v>131</v>
      </c>
      <c r="D37" s="213">
        <v>0</v>
      </c>
      <c r="E37" s="213">
        <v>0</v>
      </c>
      <c r="F37" s="213">
        <v>0</v>
      </c>
      <c r="G37" s="213">
        <v>0</v>
      </c>
      <c r="H37" s="176">
        <f>SUM(D37:G37)</f>
        <v>0</v>
      </c>
      <c r="I37" s="213">
        <v>0</v>
      </c>
      <c r="J37" s="213">
        <f>(J40*J42)/1000000</f>
        <v>0.17917545999999998</v>
      </c>
      <c r="K37" s="213">
        <f>(K40*K42)/1000000</f>
        <v>26.187444469999999</v>
      </c>
      <c r="L37" s="213">
        <f>(L40*L42)/1000000</f>
        <v>50.119841539999996</v>
      </c>
      <c r="M37" s="176">
        <f>SUM(I37:L37)</f>
        <v>76.486461469999995</v>
      </c>
      <c r="N37" s="213">
        <f>(N40*N42)/1000000</f>
        <v>36.094652250000003</v>
      </c>
      <c r="O37" s="213">
        <f>(O40*O42)/1000000</f>
        <v>17.771925170000003</v>
      </c>
      <c r="P37" s="213">
        <f>(P40*P42)/1000000</f>
        <v>6.4980189800000003</v>
      </c>
      <c r="Q37" s="213">
        <f>(Q40*Q42)/1000000</f>
        <v>5.3292811599999999</v>
      </c>
      <c r="R37" s="176">
        <f>SUM(N37:Q37)</f>
        <v>65.693877560000004</v>
      </c>
      <c r="S37" s="213">
        <f>(S40*S42)/1000000</f>
        <v>10.008739480000001</v>
      </c>
      <c r="T37" s="213">
        <f>(T40*T42)/1000000</f>
        <v>3.96209693</v>
      </c>
      <c r="U37" s="213">
        <f>(U40*U42)/1000000</f>
        <v>2.8131078299999994</v>
      </c>
      <c r="V37" s="213">
        <f>(V40*V42)/1000000</f>
        <v>2.1694887199999999</v>
      </c>
      <c r="W37" s="176">
        <f>SUM(S37:V37)</f>
        <v>18.953432960000001</v>
      </c>
      <c r="X37" s="213">
        <f>(X40*X42)/1000000</f>
        <v>1.44384019</v>
      </c>
      <c r="Y37" s="250">
        <v>-3.7964020000000001E-2</v>
      </c>
      <c r="Z37" s="213">
        <v>3.0140890000000004E-2</v>
      </c>
      <c r="AA37" s="213">
        <f>(AA40*AA42)/1000000</f>
        <v>0</v>
      </c>
      <c r="AB37" s="176">
        <f>SUM(X37:AA37)</f>
        <v>1.43601706</v>
      </c>
      <c r="AC37" s="213">
        <f t="shared" ref="AC37:AF37" si="99">(AC40*AC42)/1000000</f>
        <v>0</v>
      </c>
      <c r="AD37" s="213">
        <f t="shared" si="99"/>
        <v>0</v>
      </c>
      <c r="AE37" s="213">
        <f t="shared" si="99"/>
        <v>0</v>
      </c>
      <c r="AF37" s="213">
        <f t="shared" si="99"/>
        <v>0</v>
      </c>
      <c r="AG37" s="176">
        <f>SUM(AC37:AF37)</f>
        <v>0</v>
      </c>
      <c r="AH37" s="213">
        <f t="shared" ref="AH37:AK37" si="100">(AH40*AH42)/1000000</f>
        <v>0</v>
      </c>
      <c r="AI37" s="213">
        <f t="shared" si="100"/>
        <v>0</v>
      </c>
      <c r="AJ37" s="213">
        <f t="shared" si="100"/>
        <v>0</v>
      </c>
      <c r="AK37" s="213">
        <f t="shared" si="100"/>
        <v>0</v>
      </c>
      <c r="AL37" s="176">
        <f>SUM(AH37:AK37)</f>
        <v>0</v>
      </c>
      <c r="AM37" s="213">
        <f t="shared" ref="AM37:AP37" si="101">(AM40*AM42)/1000000</f>
        <v>0</v>
      </c>
      <c r="AN37" s="213">
        <f t="shared" si="101"/>
        <v>0</v>
      </c>
      <c r="AO37" s="213">
        <f t="shared" si="101"/>
        <v>0</v>
      </c>
      <c r="AP37" s="213">
        <f t="shared" si="101"/>
        <v>0</v>
      </c>
      <c r="AQ37" s="176">
        <f>SUM(AM37:AP37)</f>
        <v>0</v>
      </c>
    </row>
    <row r="38" spans="3:43" s="171" customFormat="1" ht="11.25">
      <c r="C38" s="202" t="s">
        <v>118</v>
      </c>
      <c r="D38" s="212" t="str">
        <f t="shared" ref="D38:Y38" si="102">IFERROR(1-(D37/D18),"")</f>
        <v/>
      </c>
      <c r="E38" s="212" t="str">
        <f t="shared" si="102"/>
        <v/>
      </c>
      <c r="F38" s="212" t="str">
        <f t="shared" si="102"/>
        <v/>
      </c>
      <c r="G38" s="212" t="str">
        <f t="shared" si="102"/>
        <v/>
      </c>
      <c r="H38" s="193" t="str">
        <f t="shared" si="102"/>
        <v/>
      </c>
      <c r="I38" s="212" t="str">
        <f t="shared" si="102"/>
        <v/>
      </c>
      <c r="J38" s="212">
        <f t="shared" si="102"/>
        <v>0.25579224123608579</v>
      </c>
      <c r="K38" s="212">
        <f t="shared" si="102"/>
        <v>0.11196900228611462</v>
      </c>
      <c r="L38" s="212">
        <f t="shared" si="102"/>
        <v>0.16488006410115641</v>
      </c>
      <c r="M38" s="193">
        <f t="shared" si="102"/>
        <v>0.14773793936565194</v>
      </c>
      <c r="N38" s="212">
        <f t="shared" si="102"/>
        <v>7.1798122697152467E-2</v>
      </c>
      <c r="O38" s="212">
        <f t="shared" si="102"/>
        <v>0.45617755663092696</v>
      </c>
      <c r="P38" s="212">
        <f t="shared" si="102"/>
        <v>0.51408527110359081</v>
      </c>
      <c r="Q38" s="212">
        <f t="shared" si="102"/>
        <v>0.45527350244494169</v>
      </c>
      <c r="R38" s="193">
        <f t="shared" si="102"/>
        <v>0.30645926103907739</v>
      </c>
      <c r="S38" s="212">
        <f t="shared" si="102"/>
        <v>-0.11427577602240602</v>
      </c>
      <c r="T38" s="212">
        <f t="shared" si="102"/>
        <v>-9.5038994691902134E-2</v>
      </c>
      <c r="U38" s="212">
        <f t="shared" si="102"/>
        <v>0.42485680398282832</v>
      </c>
      <c r="V38" s="212">
        <f t="shared" si="102"/>
        <v>0.53586569876094714</v>
      </c>
      <c r="W38" s="193">
        <f t="shared" si="102"/>
        <v>0.14492908604549015</v>
      </c>
      <c r="X38" s="212">
        <f t="shared" si="102"/>
        <v>0.45276963362457279</v>
      </c>
      <c r="Y38" s="212">
        <f t="shared" si="102"/>
        <v>1.5197117739487698</v>
      </c>
      <c r="Z38" s="212" t="str">
        <f t="shared" ref="Z38:AA38" si="103">IFERROR(1-(Z37/Z18),"")</f>
        <v/>
      </c>
      <c r="AA38" s="212" t="str">
        <f t="shared" si="103"/>
        <v/>
      </c>
      <c r="AB38" s="193">
        <f>IFERROR(1-(AB37/AB18),"")</f>
        <v>0.47039727816348831</v>
      </c>
      <c r="AC38" s="212"/>
      <c r="AD38" s="212"/>
      <c r="AE38" s="212" t="str">
        <f>IFERROR(1-(AE37/AE18),"")</f>
        <v/>
      </c>
      <c r="AF38" s="212" t="str">
        <f>IFERROR(1-(AF37/AF18),"")</f>
        <v/>
      </c>
      <c r="AG38" s="193" t="str">
        <f>IFERROR(1-(AG37/AG18),"")</f>
        <v/>
      </c>
      <c r="AH38" s="212" t="str">
        <f>IFERROR(1-(AH37/AH18),"")</f>
        <v/>
      </c>
      <c r="AI38" s="212"/>
      <c r="AJ38" s="212" t="str">
        <f>IFERROR(1-(AJ37/AJ18),"")</f>
        <v/>
      </c>
      <c r="AK38" s="212" t="str">
        <f>IFERROR(1-(AK37/AK18),"")</f>
        <v/>
      </c>
      <c r="AL38" s="193" t="str">
        <f>IFERROR(1-(AL37/AL18),"")</f>
        <v/>
      </c>
      <c r="AM38" s="212" t="str">
        <f>IFERROR(1-(AM37/AM18),"")</f>
        <v/>
      </c>
      <c r="AN38" s="212"/>
      <c r="AO38" s="212" t="str">
        <f>IFERROR(1-(AO37/AO18),"")</f>
        <v/>
      </c>
      <c r="AP38" s="212" t="str">
        <f>IFERROR(1-(AP37/AP18),"")</f>
        <v/>
      </c>
      <c r="AQ38" s="193" t="str">
        <f>IFERROR(1-(AQ37/AQ18),"")</f>
        <v/>
      </c>
    </row>
    <row r="39" spans="3:43" s="167" customFormat="1">
      <c r="C39" s="189"/>
      <c r="D39" s="223"/>
      <c r="E39" s="223"/>
      <c r="F39" s="223"/>
      <c r="G39" s="223"/>
      <c r="H39" s="181"/>
      <c r="I39" s="223"/>
      <c r="J39" s="223"/>
      <c r="K39" s="223"/>
      <c r="L39" s="223"/>
      <c r="M39" s="181"/>
      <c r="N39" s="223"/>
      <c r="O39" s="223"/>
      <c r="P39" s="223"/>
      <c r="Q39" s="223"/>
      <c r="R39" s="181"/>
      <c r="S39" s="223"/>
      <c r="T39" s="223"/>
      <c r="U39" s="223"/>
      <c r="V39" s="223"/>
      <c r="W39" s="181"/>
      <c r="X39" s="223"/>
      <c r="Y39" s="223"/>
      <c r="Z39" s="223"/>
      <c r="AA39" s="223"/>
      <c r="AB39" s="181"/>
      <c r="AC39" s="223"/>
      <c r="AD39" s="223"/>
      <c r="AE39" s="223"/>
      <c r="AF39" s="223"/>
      <c r="AG39" s="181"/>
      <c r="AH39" s="223"/>
      <c r="AI39" s="223"/>
      <c r="AJ39" s="223"/>
      <c r="AK39" s="223"/>
      <c r="AL39" s="181"/>
      <c r="AM39" s="223"/>
      <c r="AN39" s="223"/>
      <c r="AO39" s="223"/>
      <c r="AP39" s="223"/>
      <c r="AQ39" s="181"/>
    </row>
    <row r="40" spans="3:43">
      <c r="C40" s="185" t="s">
        <v>116</v>
      </c>
      <c r="D40" s="215">
        <f t="shared" ref="D40:AQ40" si="104">D20</f>
        <v>0</v>
      </c>
      <c r="E40" s="215">
        <f t="shared" si="104"/>
        <v>0</v>
      </c>
      <c r="F40" s="215">
        <f t="shared" si="104"/>
        <v>0</v>
      </c>
      <c r="G40" s="215">
        <f t="shared" si="104"/>
        <v>0</v>
      </c>
      <c r="H40" s="177">
        <f t="shared" si="104"/>
        <v>0</v>
      </c>
      <c r="I40" s="215">
        <f t="shared" si="104"/>
        <v>0</v>
      </c>
      <c r="J40" s="215">
        <f t="shared" si="104"/>
        <v>3999</v>
      </c>
      <c r="K40" s="215">
        <f t="shared" si="104"/>
        <v>438918</v>
      </c>
      <c r="L40" s="215">
        <f t="shared" si="104"/>
        <v>898253</v>
      </c>
      <c r="M40" s="177">
        <f t="shared" si="104"/>
        <v>1341170</v>
      </c>
      <c r="N40" s="215">
        <f t="shared" si="104"/>
        <v>557953</v>
      </c>
      <c r="O40" s="215">
        <f t="shared" si="104"/>
        <v>257861</v>
      </c>
      <c r="P40" s="215">
        <f t="shared" si="104"/>
        <v>70396</v>
      </c>
      <c r="Q40" s="215">
        <f t="shared" si="104"/>
        <v>86497</v>
      </c>
      <c r="R40" s="177">
        <f t="shared" si="104"/>
        <v>972707</v>
      </c>
      <c r="S40" s="215">
        <f t="shared" si="104"/>
        <v>143694</v>
      </c>
      <c r="T40" s="215">
        <f t="shared" si="104"/>
        <v>87155</v>
      </c>
      <c r="U40" s="215">
        <f t="shared" si="104"/>
        <v>104614</v>
      </c>
      <c r="V40" s="215">
        <f t="shared" si="104"/>
        <v>101768</v>
      </c>
      <c r="W40" s="177">
        <f t="shared" si="104"/>
        <v>437231</v>
      </c>
      <c r="X40" s="215">
        <f t="shared" si="104"/>
        <v>59856</v>
      </c>
      <c r="Y40" s="215">
        <f t="shared" si="104"/>
        <v>0</v>
      </c>
      <c r="Z40" s="215">
        <f t="shared" si="104"/>
        <v>0</v>
      </c>
      <c r="AA40" s="263">
        <f t="shared" si="104"/>
        <v>0</v>
      </c>
      <c r="AB40" s="177">
        <f t="shared" si="104"/>
        <v>59856</v>
      </c>
      <c r="AC40" s="263">
        <f t="shared" si="104"/>
        <v>0</v>
      </c>
      <c r="AD40" s="217">
        <f t="shared" si="104"/>
        <v>0</v>
      </c>
      <c r="AE40" s="217">
        <f t="shared" si="104"/>
        <v>0</v>
      </c>
      <c r="AF40" s="217">
        <f t="shared" si="104"/>
        <v>0</v>
      </c>
      <c r="AG40" s="196">
        <f t="shared" si="104"/>
        <v>0</v>
      </c>
      <c r="AH40" s="217">
        <f t="shared" si="104"/>
        <v>0</v>
      </c>
      <c r="AI40" s="217">
        <f t="shared" si="104"/>
        <v>0</v>
      </c>
      <c r="AJ40" s="217">
        <f t="shared" si="104"/>
        <v>0</v>
      </c>
      <c r="AK40" s="217">
        <f t="shared" si="104"/>
        <v>0</v>
      </c>
      <c r="AL40" s="196">
        <f t="shared" si="104"/>
        <v>0</v>
      </c>
      <c r="AM40" s="217">
        <f t="shared" si="104"/>
        <v>0</v>
      </c>
      <c r="AN40" s="217">
        <f t="shared" si="104"/>
        <v>0</v>
      </c>
      <c r="AO40" s="217">
        <f t="shared" si="104"/>
        <v>0</v>
      </c>
      <c r="AP40" s="217">
        <f t="shared" si="104"/>
        <v>0</v>
      </c>
      <c r="AQ40" s="196">
        <f t="shared" si="104"/>
        <v>0</v>
      </c>
    </row>
    <row r="41" spans="3:43">
      <c r="C41" s="31"/>
      <c r="H41" s="31"/>
      <c r="M41" s="31"/>
      <c r="R41" s="31"/>
      <c r="W41" s="31"/>
      <c r="AA41" s="264"/>
      <c r="AB41" s="31"/>
      <c r="AC41" s="264"/>
      <c r="AD41" s="247"/>
      <c r="AE41" s="247"/>
      <c r="AG41" s="31"/>
      <c r="AH41" s="247"/>
      <c r="AI41" s="247"/>
      <c r="AJ41" s="247"/>
      <c r="AL41" s="31"/>
      <c r="AM41" s="247"/>
      <c r="AN41" s="247"/>
      <c r="AO41" s="247"/>
      <c r="AQ41" s="31"/>
    </row>
    <row r="42" spans="3:43">
      <c r="C42" s="185" t="s">
        <v>119</v>
      </c>
      <c r="D42" s="211">
        <v>0</v>
      </c>
      <c r="E42" s="211">
        <v>0</v>
      </c>
      <c r="F42" s="211">
        <v>0</v>
      </c>
      <c r="G42" s="211">
        <v>0</v>
      </c>
      <c r="H42" s="173">
        <v>0</v>
      </c>
      <c r="I42" s="211">
        <v>0</v>
      </c>
      <c r="J42" s="211">
        <v>44.805066266566641</v>
      </c>
      <c r="K42" s="211">
        <v>59.663637558723948</v>
      </c>
      <c r="L42" s="211">
        <v>55.797021039729337</v>
      </c>
      <c r="M42" s="173">
        <f>(M37*1000000)/M40</f>
        <v>57.029654309297108</v>
      </c>
      <c r="N42" s="211">
        <v>64.691205621262</v>
      </c>
      <c r="O42" s="211">
        <v>68.920562512361315</v>
      </c>
      <c r="P42" s="211">
        <v>92.306650661969442</v>
      </c>
      <c r="Q42" s="211">
        <v>61.612323664404549</v>
      </c>
      <c r="R42" s="173">
        <f>(R37*1000000)/R40</f>
        <v>67.537169527925684</v>
      </c>
      <c r="S42" s="211">
        <v>69.65314821774048</v>
      </c>
      <c r="T42" s="211">
        <v>45.460351442831737</v>
      </c>
      <c r="U42" s="211">
        <v>26.890357217963174</v>
      </c>
      <c r="V42" s="211">
        <v>21.317985221287632</v>
      </c>
      <c r="W42" s="173">
        <f>(W37*1000000)/W40</f>
        <v>43.348785790577523</v>
      </c>
      <c r="X42" s="211">
        <v>24.121895716385993</v>
      </c>
      <c r="Y42" s="211">
        <v>0</v>
      </c>
      <c r="Z42" s="211">
        <v>0</v>
      </c>
      <c r="AA42" s="262">
        <v>0</v>
      </c>
      <c r="AB42" s="173">
        <f>IFERROR((AB37*1000000)/AB40,0)</f>
        <v>23.991196538358729</v>
      </c>
      <c r="AC42" s="262">
        <v>0</v>
      </c>
      <c r="AD42" s="216">
        <v>0</v>
      </c>
      <c r="AE42" s="216">
        <v>0</v>
      </c>
      <c r="AF42" s="216">
        <v>0</v>
      </c>
      <c r="AG42" s="195">
        <v>0</v>
      </c>
      <c r="AH42" s="216">
        <v>0</v>
      </c>
      <c r="AI42" s="216">
        <v>0</v>
      </c>
      <c r="AJ42" s="216">
        <v>0</v>
      </c>
      <c r="AK42" s="216">
        <v>0</v>
      </c>
      <c r="AL42" s="195">
        <v>0</v>
      </c>
      <c r="AM42" s="216">
        <v>0</v>
      </c>
      <c r="AN42" s="216">
        <v>0</v>
      </c>
      <c r="AO42" s="216">
        <v>0</v>
      </c>
      <c r="AP42" s="216">
        <v>0</v>
      </c>
      <c r="AQ42" s="195">
        <v>0</v>
      </c>
    </row>
    <row r="43" spans="3:43">
      <c r="C43" s="31"/>
      <c r="H43" s="31"/>
      <c r="M43" s="31"/>
      <c r="R43" s="31"/>
      <c r="W43" s="31"/>
      <c r="AB43" s="31"/>
      <c r="AG43" s="31"/>
      <c r="AL43" s="31"/>
      <c r="AQ43" s="31"/>
    </row>
    <row r="44" spans="3:43">
      <c r="C44" s="32" t="s">
        <v>133</v>
      </c>
      <c r="D44" s="213">
        <v>0.57320920865571168</v>
      </c>
      <c r="E44" s="213">
        <v>0.97404538415955488</v>
      </c>
      <c r="F44" s="213">
        <v>0.79822513003000428</v>
      </c>
      <c r="G44" s="213">
        <v>1.6599546460272738</v>
      </c>
      <c r="H44" s="176">
        <f>SUM(D44:G44)</f>
        <v>4.0054343688725442</v>
      </c>
      <c r="I44" s="213">
        <v>3.6169620728633438</v>
      </c>
      <c r="J44" s="213">
        <v>4.5725647695415832</v>
      </c>
      <c r="K44" s="213">
        <v>4.7987579306427612</v>
      </c>
      <c r="L44" s="213">
        <v>4.6181233182049422</v>
      </c>
      <c r="M44" s="176">
        <f t="shared" ref="M44" si="105">SUM(I44:L44)</f>
        <v>17.606408091252632</v>
      </c>
      <c r="N44" s="213">
        <v>5.419340093789776</v>
      </c>
      <c r="O44" s="213">
        <v>5.0705870255854952</v>
      </c>
      <c r="P44" s="213">
        <v>6.5216281634481152</v>
      </c>
      <c r="Q44" s="213">
        <v>6.637744154566442</v>
      </c>
      <c r="R44" s="176">
        <f t="shared" ref="R44" si="106">SUM(N44:Q44)</f>
        <v>23.649299437389828</v>
      </c>
      <c r="S44" s="213">
        <v>7.4655238867427984</v>
      </c>
      <c r="T44" s="213">
        <v>7.4119719494155749</v>
      </c>
      <c r="U44" s="213">
        <v>7.4387575098028815</v>
      </c>
      <c r="V44" s="213">
        <v>8.819007618628989</v>
      </c>
      <c r="W44" s="176">
        <f t="shared" ref="W44" si="107">SUM(S44:V44)</f>
        <v>31.135260964590245</v>
      </c>
      <c r="X44" s="213">
        <v>8.1612074550999552</v>
      </c>
      <c r="Y44" s="213">
        <v>7.8971809069119043</v>
      </c>
      <c r="Z44" s="213">
        <v>6.6739179856934348</v>
      </c>
      <c r="AA44" s="213">
        <v>5.7276530580069798</v>
      </c>
      <c r="AB44" s="176">
        <f t="shared" ref="AB44" si="108">SUM(X44:AA44)</f>
        <v>28.459959405712276</v>
      </c>
      <c r="AC44" s="213">
        <v>7.3468754259172204</v>
      </c>
      <c r="AD44" s="213">
        <f t="shared" ref="AD44:AF44" si="109">AD23*(1-AD45)</f>
        <v>8.2988399999999984</v>
      </c>
      <c r="AE44" s="213">
        <f t="shared" si="109"/>
        <v>5.7134541872000026</v>
      </c>
      <c r="AF44" s="213">
        <f t="shared" si="109"/>
        <v>4.7007778749999929</v>
      </c>
      <c r="AG44" s="176">
        <f>SUM(AC44:AF44)</f>
        <v>26.059947488117214</v>
      </c>
      <c r="AH44" s="213">
        <f t="shared" ref="AH44" si="110">AH23*(1-AH45)</f>
        <v>5.9691600000000014</v>
      </c>
      <c r="AI44" s="213">
        <f t="shared" ref="AI44" si="111">AI23*(1-AI45)</f>
        <v>6.3952199999999948</v>
      </c>
      <c r="AJ44" s="213">
        <f t="shared" ref="AJ44" si="112">AJ23*(1-AJ45)</f>
        <v>5.8201199999999957</v>
      </c>
      <c r="AK44" s="213">
        <f t="shared" ref="AK44" si="113">AK23*(1-AK45)</f>
        <v>-2.3760000000006019E-2</v>
      </c>
      <c r="AL44" s="176">
        <v>37.132702605419823</v>
      </c>
      <c r="AM44" s="213">
        <f t="shared" ref="AM44" si="114">AM23*(1-AM45)</f>
        <v>6.2676180000000015</v>
      </c>
      <c r="AN44" s="213">
        <f t="shared" ref="AN44" si="115">AN23*(1-AN45)</f>
        <v>6.1394111999999943</v>
      </c>
      <c r="AO44" s="213">
        <f t="shared" ref="AO44" si="116">AO23*(1-AO45)</f>
        <v>5.5873151999999955</v>
      </c>
      <c r="AP44" s="213">
        <f t="shared" ref="AP44" si="117">AP23*(1-AP45)</f>
        <v>-2.6136000000006623E-2</v>
      </c>
      <c r="AQ44" s="176">
        <v>46.800535050000001</v>
      </c>
    </row>
    <row r="45" spans="3:43" s="171" customFormat="1" ht="15" customHeight="1">
      <c r="C45" s="202" t="s">
        <v>118</v>
      </c>
      <c r="D45" s="212">
        <f t="shared" ref="D45:AC45" si="118">IFERROR(1-(D44/D23),"")</f>
        <v>-1.6685717348962368</v>
      </c>
      <c r="E45" s="212">
        <f t="shared" si="118"/>
        <v>-5.1030412541325498</v>
      </c>
      <c r="F45" s="212">
        <f t="shared" si="118"/>
        <v>0.12640710155696322</v>
      </c>
      <c r="G45" s="212">
        <f t="shared" si="118"/>
        <v>-0.83814417712477329</v>
      </c>
      <c r="H45" s="193">
        <f t="shared" si="118"/>
        <v>-0.82797488648231177</v>
      </c>
      <c r="I45" s="212">
        <f t="shared" si="118"/>
        <v>-9.2855137874622073E-2</v>
      </c>
      <c r="J45" s="212">
        <f t="shared" si="118"/>
        <v>-0.60538080265592353</v>
      </c>
      <c r="K45" s="212">
        <f t="shared" si="118"/>
        <v>-9.9253257311435306E-2</v>
      </c>
      <c r="L45" s="212">
        <f t="shared" si="118"/>
        <v>-5.6528543982819812E-2</v>
      </c>
      <c r="M45" s="193">
        <f t="shared" si="118"/>
        <v>-0.18208044635922538</v>
      </c>
      <c r="N45" s="212">
        <f t="shared" si="118"/>
        <v>0.19799938931736394</v>
      </c>
      <c r="O45" s="212">
        <f t="shared" si="118"/>
        <v>2.1277650195951625E-2</v>
      </c>
      <c r="P45" s="212">
        <f t="shared" si="118"/>
        <v>0.31026129256752155</v>
      </c>
      <c r="Q45" s="212">
        <f t="shared" si="118"/>
        <v>0.3091245688218659</v>
      </c>
      <c r="R45" s="193">
        <f t="shared" si="118"/>
        <v>0.23714507479546965</v>
      </c>
      <c r="S45" s="212">
        <f t="shared" si="118"/>
        <v>0.12699930546146299</v>
      </c>
      <c r="T45" s="212">
        <f t="shared" si="118"/>
        <v>0.21056973193400963</v>
      </c>
      <c r="U45" s="212">
        <f t="shared" si="118"/>
        <v>0.31445842156597748</v>
      </c>
      <c r="V45" s="212">
        <f t="shared" si="118"/>
        <v>0.23065375919547759</v>
      </c>
      <c r="W45" s="193">
        <f t="shared" si="118"/>
        <v>0.22653944944366311</v>
      </c>
      <c r="X45" s="212">
        <f t="shared" si="118"/>
        <v>0.21006953569210318</v>
      </c>
      <c r="Y45" s="212">
        <f t="shared" si="118"/>
        <v>0.32280032377275847</v>
      </c>
      <c r="Z45" s="212">
        <f t="shared" si="118"/>
        <v>0.37014076972863552</v>
      </c>
      <c r="AA45" s="212">
        <f t="shared" si="118"/>
        <v>0.432483792910211</v>
      </c>
      <c r="AB45" s="193">
        <f>IFERROR(1-(AB44/AB23),"")</f>
        <v>0.33320085178131165</v>
      </c>
      <c r="AC45" s="212">
        <f t="shared" si="118"/>
        <v>0.36997580568164867</v>
      </c>
      <c r="AD45" s="221">
        <v>0.34</v>
      </c>
      <c r="AE45" s="221">
        <v>0.47</v>
      </c>
      <c r="AF45" s="221">
        <v>0.5</v>
      </c>
      <c r="AG45" s="193">
        <f>IFERROR(1-(AG44/AG23),"")</f>
        <v>0.41328779342093869</v>
      </c>
      <c r="AH45" s="221">
        <v>0.46</v>
      </c>
      <c r="AI45" s="221">
        <v>0.46</v>
      </c>
      <c r="AJ45" s="221">
        <v>0.46</v>
      </c>
      <c r="AK45" s="221">
        <v>0.46</v>
      </c>
      <c r="AL45" s="193">
        <f>IFERROR(1-(AL44/AL23),"")</f>
        <v>-0.10412127517528047</v>
      </c>
      <c r="AM45" s="221">
        <v>0.46</v>
      </c>
      <c r="AN45" s="221">
        <v>0.46</v>
      </c>
      <c r="AO45" s="221">
        <v>0.46</v>
      </c>
      <c r="AP45" s="221">
        <v>0.46</v>
      </c>
      <c r="AQ45" s="193">
        <f>IFERROR(1-(AQ44/AQ23),"")</f>
        <v>-0.4065002121747443</v>
      </c>
    </row>
    <row r="46" spans="3:43" s="167" customFormat="1" ht="15.75" thickBot="1">
      <c r="C46" s="189"/>
      <c r="D46" s="223"/>
      <c r="E46" s="223"/>
      <c r="F46" s="223"/>
      <c r="G46" s="223"/>
      <c r="H46" s="181"/>
      <c r="I46" s="223"/>
      <c r="J46" s="223"/>
      <c r="K46" s="223"/>
      <c r="L46" s="223"/>
      <c r="M46" s="181"/>
      <c r="N46" s="223"/>
      <c r="O46" s="223"/>
      <c r="P46" s="223"/>
      <c r="Q46" s="223"/>
      <c r="R46" s="181"/>
      <c r="S46" s="223"/>
      <c r="T46" s="223"/>
      <c r="U46" s="223"/>
      <c r="V46" s="223"/>
      <c r="W46" s="181"/>
      <c r="X46" s="223"/>
      <c r="Y46" s="223"/>
      <c r="Z46" s="223"/>
      <c r="AA46" s="223"/>
      <c r="AB46" s="181"/>
      <c r="AC46" s="223"/>
      <c r="AD46" s="223"/>
      <c r="AE46" s="223"/>
      <c r="AF46" s="223"/>
      <c r="AG46" s="181"/>
      <c r="AH46" s="223"/>
      <c r="AI46" s="223"/>
      <c r="AJ46" s="223"/>
      <c r="AK46" s="223"/>
      <c r="AL46" s="181"/>
      <c r="AM46" s="223"/>
      <c r="AN46" s="223"/>
      <c r="AO46" s="223"/>
      <c r="AP46" s="223"/>
      <c r="AQ46" s="181"/>
    </row>
    <row r="47" spans="3:43" s="167" customFormat="1" ht="15.75" thickBot="1">
      <c r="C47" s="183" t="s">
        <v>136</v>
      </c>
      <c r="D47" s="248">
        <f>D4-D26</f>
        <v>-1.674289632999999</v>
      </c>
      <c r="E47" s="248">
        <f>E4-E26</f>
        <v>-3.025938047000003</v>
      </c>
      <c r="F47" s="248">
        <f>F4-F26</f>
        <v>-2.0593922970000023</v>
      </c>
      <c r="G47" s="248">
        <f>G4-G26</f>
        <v>-5.0357480610000014</v>
      </c>
      <c r="H47" s="249">
        <f>SUM(D47:G47)</f>
        <v>-11.795368038000007</v>
      </c>
      <c r="I47" s="248">
        <f>I4-I26</f>
        <v>-3.1871447129999968</v>
      </c>
      <c r="J47" s="248">
        <f>J4-J26</f>
        <v>-4.7272001520000018</v>
      </c>
      <c r="K47" s="248">
        <f>K4-K26</f>
        <v>0.72244179899999494</v>
      </c>
      <c r="L47" s="248">
        <f>L4-L26</f>
        <v>6.9046036660000141</v>
      </c>
      <c r="M47" s="249">
        <f>SUM(I47:L47)</f>
        <v>-0.28729939999998955</v>
      </c>
      <c r="N47" s="248">
        <f>N4-N26</f>
        <v>1.6779288219999984</v>
      </c>
      <c r="O47" s="248">
        <f>O4-O26</f>
        <v>13.720301856999988</v>
      </c>
      <c r="P47" s="248">
        <f>P4-P26</f>
        <v>9.8329953890000041</v>
      </c>
      <c r="Q47" s="248">
        <f>Q4-Q26</f>
        <v>7.5055316309999967</v>
      </c>
      <c r="R47" s="249">
        <f>SUM(N47:Q47)</f>
        <v>32.736757698999988</v>
      </c>
      <c r="S47" s="248">
        <f>S4-S26</f>
        <v>-1.1816567910000018</v>
      </c>
      <c r="T47" s="248">
        <f>T4-T26</f>
        <v>13.155255165000007</v>
      </c>
      <c r="U47" s="248">
        <f>U4-U26</f>
        <v>19.330159456000004</v>
      </c>
      <c r="V47" s="248">
        <f>V4-V26</f>
        <v>16.426166824000006</v>
      </c>
      <c r="W47" s="249">
        <f>SUM(S47:V47)</f>
        <v>47.729924654000015</v>
      </c>
      <c r="X47" s="248">
        <f>X4-X26</f>
        <v>36.777889764999983</v>
      </c>
      <c r="Y47" s="248">
        <f>Y4-Y26</f>
        <v>44.962518054999997</v>
      </c>
      <c r="Z47" s="248">
        <f>Z4-Z26</f>
        <v>50.244162641999999</v>
      </c>
      <c r="AA47" s="248">
        <f>AA4-AA26</f>
        <v>41.854740652000238</v>
      </c>
      <c r="AB47" s="249">
        <f>SUM(X47:AA47)</f>
        <v>173.8393111140002</v>
      </c>
      <c r="AC47" s="248">
        <f t="shared" ref="AC47:AQ47" si="119">AC4-AC26</f>
        <v>49.734661844999749</v>
      </c>
      <c r="AD47" s="248">
        <f>AD4-AD26+11.327+0.136</f>
        <v>55.463000000000001</v>
      </c>
      <c r="AE47" s="248">
        <f>AE4-AE26+1.083+0.026</f>
        <v>57.405000000000001</v>
      </c>
      <c r="AF47" s="248">
        <f>AF4-AF26+1.215+0.293</f>
        <v>59.76</v>
      </c>
      <c r="AG47" s="249">
        <f t="shared" si="119"/>
        <v>224.61726779779977</v>
      </c>
      <c r="AH47" s="248">
        <f t="shared" si="119"/>
        <v>110.104</v>
      </c>
      <c r="AI47" s="248">
        <f t="shared" si="119"/>
        <v>143.761</v>
      </c>
      <c r="AJ47" s="248">
        <f t="shared" si="119"/>
        <v>155.90199999999999</v>
      </c>
      <c r="AK47" s="248">
        <f t="shared" si="119"/>
        <v>166.10899999999998</v>
      </c>
      <c r="AL47" s="249">
        <f t="shared" si="119"/>
        <v>145.08629739458019</v>
      </c>
      <c r="AM47" s="248">
        <f t="shared" si="119"/>
        <v>156.44008200000002</v>
      </c>
      <c r="AN47" s="248">
        <f t="shared" si="119"/>
        <v>179.5298688</v>
      </c>
      <c r="AO47" s="248">
        <f t="shared" si="119"/>
        <v>187.67831480000001</v>
      </c>
      <c r="AP47" s="248">
        <f t="shared" si="119"/>
        <v>196.09645599999999</v>
      </c>
      <c r="AQ47" s="249">
        <f t="shared" si="119"/>
        <v>270.86939494999984</v>
      </c>
    </row>
    <row r="48" spans="3:43" ht="15.75" thickBot="1">
      <c r="C48" s="224" t="s">
        <v>118</v>
      </c>
      <c r="D48" s="225">
        <f>D27</f>
        <v>-0.37310526879897732</v>
      </c>
      <c r="E48" s="225">
        <f t="shared" ref="E48:AQ48" si="120">E27</f>
        <v>-0.51513780200543713</v>
      </c>
      <c r="F48" s="225">
        <f t="shared" si="120"/>
        <v>-0.23517405382987699</v>
      </c>
      <c r="G48" s="225">
        <f t="shared" si="120"/>
        <v>-0.5740925697082444</v>
      </c>
      <c r="H48" s="226">
        <f t="shared" si="120"/>
        <v>-0.42292413226742509</v>
      </c>
      <c r="I48" s="225">
        <f t="shared" si="120"/>
        <v>-0.23357304568687609</v>
      </c>
      <c r="J48" s="225">
        <f t="shared" si="120"/>
        <v>-0.37817894053568124</v>
      </c>
      <c r="K48" s="225">
        <f t="shared" si="120"/>
        <v>1.5345473504075446E-2</v>
      </c>
      <c r="L48" s="225">
        <f t="shared" si="120"/>
        <v>8.7747468133435369E-2</v>
      </c>
      <c r="M48" s="226">
        <f t="shared" si="120"/>
        <v>-1.8912376867081804E-3</v>
      </c>
      <c r="N48" s="225">
        <f t="shared" si="120"/>
        <v>2.8044927630610506E-2</v>
      </c>
      <c r="O48" s="225">
        <f t="shared" si="120"/>
        <v>0.25852999142976352</v>
      </c>
      <c r="P48" s="225">
        <f t="shared" si="120"/>
        <v>0.23629221307723713</v>
      </c>
      <c r="Q48" s="225">
        <f t="shared" si="120"/>
        <v>0.18533069907579713</v>
      </c>
      <c r="R48" s="226">
        <f t="shared" si="120"/>
        <v>0.16787027879906868</v>
      </c>
      <c r="S48" s="225">
        <f t="shared" si="120"/>
        <v>-3.1176758869829291E-2</v>
      </c>
      <c r="T48" s="225">
        <f t="shared" si="120"/>
        <v>0.27741056270627074</v>
      </c>
      <c r="U48" s="225">
        <f t="shared" si="120"/>
        <v>0.35317993443515638</v>
      </c>
      <c r="V48" s="225">
        <f t="shared" si="120"/>
        <v>0.2835555436352728</v>
      </c>
      <c r="W48" s="226">
        <f t="shared" si="120"/>
        <v>0.24107910821442824</v>
      </c>
      <c r="X48" s="225">
        <f t="shared" si="120"/>
        <v>0.44819291953186979</v>
      </c>
      <c r="Y48" s="225">
        <f t="shared" si="120"/>
        <v>0.48912949071417611</v>
      </c>
      <c r="Z48" s="225">
        <f t="shared" si="120"/>
        <v>0.51913540215948117</v>
      </c>
      <c r="AA48" s="225">
        <f t="shared" si="120"/>
        <v>0.45399795301349555</v>
      </c>
      <c r="AB48" s="226">
        <f t="shared" si="120"/>
        <v>0.47895224743963494</v>
      </c>
      <c r="AC48" s="225">
        <f t="shared" ref="AC48:AF48" si="121">AC27</f>
        <v>0.48488781971438266</v>
      </c>
      <c r="AD48" s="380">
        <f>AD47/AD4</f>
        <v>0.49377693102097503</v>
      </c>
      <c r="AE48" s="225">
        <f t="shared" si="121"/>
        <v>0.48355121884179963</v>
      </c>
      <c r="AF48" s="225">
        <f t="shared" si="121"/>
        <v>0.48368400949897872</v>
      </c>
      <c r="AG48" s="226">
        <f t="shared" si="120"/>
        <v>0.49736079698151914</v>
      </c>
      <c r="AH48" s="380">
        <f t="shared" si="120"/>
        <v>0.56812036903263086</v>
      </c>
      <c r="AI48" s="225">
        <f t="shared" si="120"/>
        <v>0.59443936768895522</v>
      </c>
      <c r="AJ48" s="225">
        <f t="shared" si="120"/>
        <v>0.61651072849358179</v>
      </c>
      <c r="AK48" s="225">
        <f t="shared" si="120"/>
        <v>0.62246679857301324</v>
      </c>
      <c r="AL48" s="226">
        <f t="shared" si="120"/>
        <v>0.24482965333264739</v>
      </c>
      <c r="AM48" s="225">
        <f t="shared" ref="AM48:AP48" si="122">AM27</f>
        <v>0.60577062432211926</v>
      </c>
      <c r="AN48" s="225">
        <f t="shared" si="122"/>
        <v>0.60170359629516823</v>
      </c>
      <c r="AO48" s="225">
        <f t="shared" si="122"/>
        <v>0.60938844845898643</v>
      </c>
      <c r="AP48" s="225">
        <f t="shared" si="122"/>
        <v>0.62382090945506907</v>
      </c>
      <c r="AQ48" s="226">
        <f t="shared" si="120"/>
        <v>0.35692300734375948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858E-D04E-48DE-A0DD-713C7766015F}">
  <dimension ref="C4:AQ32"/>
  <sheetViews>
    <sheetView showGridLines="0" workbookViewId="0">
      <pane xSplit="3" ySplit="5" topLeftCell="V6" activePane="bottomRight" state="frozen"/>
      <selection pane="topRight" activeCell="D1" sqref="D1"/>
      <selection pane="bottomLeft" activeCell="A6" sqref="A6"/>
      <selection pane="bottomRight" activeCell="AJ14" sqref="AJ14"/>
    </sheetView>
  </sheetViews>
  <sheetFormatPr defaultRowHeight="15" outlineLevelCol="1"/>
  <cols>
    <col min="3" max="3" width="33" bestFit="1" customWidth="1"/>
    <col min="4" max="7" width="9.140625" outlineLevel="1"/>
    <col min="9" max="12" width="9.140625" outlineLevel="1"/>
    <col min="14" max="17" width="9.140625" outlineLevel="1"/>
    <col min="19" max="22" width="9.140625" outlineLevel="1"/>
    <col min="24" max="27" width="9.140625" outlineLevel="1"/>
    <col min="29" max="32" width="9.140625" outlineLevel="1"/>
    <col min="34" max="37" width="9.140625" outlineLevel="1"/>
    <col min="39" max="42" width="9.140625" outlineLevel="1"/>
  </cols>
  <sheetData>
    <row r="4" spans="3:43" ht="15.75" thickBot="1"/>
    <row r="5" spans="3:43" ht="15.75" thickBot="1">
      <c r="C5" s="229" t="s">
        <v>137</v>
      </c>
      <c r="D5" s="191" t="s">
        <v>86</v>
      </c>
      <c r="E5" s="191" t="s">
        <v>87</v>
      </c>
      <c r="F5" s="191" t="s">
        <v>88</v>
      </c>
      <c r="G5" s="191" t="s">
        <v>89</v>
      </c>
      <c r="H5" s="192" t="s">
        <v>14</v>
      </c>
      <c r="I5" s="191" t="s">
        <v>0</v>
      </c>
      <c r="J5" s="191" t="s">
        <v>1</v>
      </c>
      <c r="K5" s="191" t="s">
        <v>2</v>
      </c>
      <c r="L5" s="191" t="s">
        <v>3</v>
      </c>
      <c r="M5" s="192" t="s">
        <v>4</v>
      </c>
      <c r="N5" s="191" t="s">
        <v>5</v>
      </c>
      <c r="O5" s="191" t="s">
        <v>6</v>
      </c>
      <c r="P5" s="191" t="s">
        <v>7</v>
      </c>
      <c r="Q5" s="191" t="s">
        <v>8</v>
      </c>
      <c r="R5" s="192" t="s">
        <v>9</v>
      </c>
      <c r="S5" s="191" t="s">
        <v>33</v>
      </c>
      <c r="T5" s="191" t="s">
        <v>80</v>
      </c>
      <c r="U5" s="191" t="s">
        <v>109</v>
      </c>
      <c r="V5" s="191" t="s">
        <v>110</v>
      </c>
      <c r="W5" s="192" t="s">
        <v>111</v>
      </c>
      <c r="X5" s="191" t="s">
        <v>112</v>
      </c>
      <c r="Y5" s="191" t="s">
        <v>113</v>
      </c>
      <c r="Z5" s="191" t="s">
        <v>114</v>
      </c>
      <c r="AA5" s="191" t="s">
        <v>157</v>
      </c>
      <c r="AB5" s="192" t="s">
        <v>158</v>
      </c>
      <c r="AC5" s="191" t="s">
        <v>300</v>
      </c>
      <c r="AD5" s="191" t="s">
        <v>306</v>
      </c>
      <c r="AE5" s="191" t="s">
        <v>356</v>
      </c>
      <c r="AF5" s="191" t="s">
        <v>357</v>
      </c>
      <c r="AG5" s="192" t="s">
        <v>358</v>
      </c>
      <c r="AH5" s="191" t="s">
        <v>359</v>
      </c>
      <c r="AI5" s="191" t="s">
        <v>372</v>
      </c>
      <c r="AJ5" s="191" t="s">
        <v>373</v>
      </c>
      <c r="AK5" s="191" t="s">
        <v>382</v>
      </c>
      <c r="AL5" s="192" t="s">
        <v>124</v>
      </c>
      <c r="AM5" s="191" t="s">
        <v>152</v>
      </c>
      <c r="AN5" s="191" t="s">
        <v>153</v>
      </c>
      <c r="AO5" s="191" t="s">
        <v>154</v>
      </c>
      <c r="AP5" s="191" t="s">
        <v>155</v>
      </c>
      <c r="AQ5" s="192" t="s">
        <v>125</v>
      </c>
    </row>
    <row r="6" spans="3:43" ht="15.75" thickBot="1">
      <c r="C6" s="31"/>
      <c r="H6" s="31"/>
      <c r="M6" s="31"/>
      <c r="R6" s="31"/>
      <c r="W6" s="31"/>
      <c r="AB6" s="31"/>
      <c r="AG6" s="31"/>
      <c r="AL6" s="31"/>
      <c r="AQ6" s="31"/>
    </row>
    <row r="7" spans="3:43" ht="15.75" thickBot="1">
      <c r="C7" s="183" t="s">
        <v>129</v>
      </c>
      <c r="D7" s="164">
        <f>SUM(D10,D13,D16)</f>
        <v>3.1913215330000004</v>
      </c>
      <c r="E7" s="164">
        <f>SUM(E10,E13,E16)</f>
        <v>4.7110225199999993</v>
      </c>
      <c r="F7" s="164">
        <f>SUM(F10,F13,F16)</f>
        <v>6.5473935299999999</v>
      </c>
      <c r="G7" s="164">
        <f>SUM(G10,G13,G16)</f>
        <v>19.717319109999998</v>
      </c>
      <c r="H7" s="174">
        <f>SUM(D7:G7)</f>
        <v>34.167056692999999</v>
      </c>
      <c r="I7" s="164">
        <f>SUM(I10,I13,I16)</f>
        <v>4.5969502999999996</v>
      </c>
      <c r="J7" s="164">
        <f>SUM(J10,J13,J16)</f>
        <v>5.6771732500000001</v>
      </c>
      <c r="K7" s="164">
        <f>SUM(K10,K13,K16)</f>
        <v>3.6541379500000004</v>
      </c>
      <c r="L7" s="164">
        <f>SUM(L10,L13,L16)</f>
        <v>22.16438325</v>
      </c>
      <c r="M7" s="174">
        <f>SUM(I7:L7)</f>
        <v>36.092644749999998</v>
      </c>
      <c r="N7" s="164">
        <f>SUM(N10,N13,N16)</f>
        <v>10.280028379999997</v>
      </c>
      <c r="O7" s="164">
        <f>SUM(O10,O13,O16)</f>
        <v>8.9152628000000007</v>
      </c>
      <c r="P7" s="164">
        <f>SUM(P10,P13,P16)</f>
        <v>10.83394509</v>
      </c>
      <c r="Q7" s="164">
        <f>SUM(Q10,Q13,Q16)</f>
        <v>32.811488329999996</v>
      </c>
      <c r="R7" s="174">
        <f>SUM(N7:Q7)</f>
        <v>62.840724599999994</v>
      </c>
      <c r="S7" s="164">
        <f>SUM(S10,S13,S16)</f>
        <v>22.849919580000002</v>
      </c>
      <c r="T7" s="164">
        <f>SUM(T10,T13,T16)</f>
        <v>26.297224569999997</v>
      </c>
      <c r="U7" s="164">
        <f>SUM(U10,U13,U16)</f>
        <v>30.839768249999999</v>
      </c>
      <c r="V7" s="164">
        <f>SUM(V10,V13,V16)</f>
        <v>42.697508337000002</v>
      </c>
      <c r="W7" s="174">
        <f>SUM(S7:V7)</f>
        <v>122.684420737</v>
      </c>
      <c r="X7" s="164">
        <f>SUM(X10,X13,X16)</f>
        <v>33.566249803000005</v>
      </c>
      <c r="Y7" s="164">
        <f>SUM(Y10,Y13,Y16)</f>
        <v>40.492786998000007</v>
      </c>
      <c r="Z7" s="164">
        <f>SUM(Z10,Z13,Z16)</f>
        <v>39.241916821000004</v>
      </c>
      <c r="AA7" s="164">
        <f>SUM(AA10,AA13,AA16)</f>
        <v>55.498724937999995</v>
      </c>
      <c r="AB7" s="174">
        <f>SUM(X7:AA7)</f>
        <v>168.79967856000002</v>
      </c>
      <c r="AC7" s="164">
        <f t="shared" ref="AC7:AQ7" si="0">SUM(AC10,AC13,AC16)</f>
        <v>43.250622378999999</v>
      </c>
      <c r="AD7" s="164">
        <v>53.645000000000003</v>
      </c>
      <c r="AE7" s="164">
        <v>64.507000000000005</v>
      </c>
      <c r="AF7" s="164">
        <v>80.245999999999995</v>
      </c>
      <c r="AG7" s="174">
        <f>SUM(AG10,AG13,AG16)</f>
        <v>241.64862237900002</v>
      </c>
      <c r="AH7" s="164">
        <v>61.933</v>
      </c>
      <c r="AI7" s="164">
        <v>72.792000000000002</v>
      </c>
      <c r="AJ7" s="164">
        <v>81.328000000000003</v>
      </c>
      <c r="AK7" s="164">
        <v>100.355</v>
      </c>
      <c r="AL7" s="174">
        <f t="shared" si="0"/>
        <v>316.57152113985001</v>
      </c>
      <c r="AM7" s="164">
        <f t="shared" si="0"/>
        <v>86.708248170878505</v>
      </c>
      <c r="AN7" s="164">
        <f t="shared" si="0"/>
        <v>96.613063499999996</v>
      </c>
      <c r="AO7" s="164">
        <f t="shared" si="0"/>
        <v>107.1876608</v>
      </c>
      <c r="AP7" s="164">
        <f t="shared" si="0"/>
        <v>120.53202680700798</v>
      </c>
      <c r="AQ7" s="174">
        <f t="shared" si="0"/>
        <v>411.04099927788644</v>
      </c>
    </row>
    <row r="8" spans="3:43">
      <c r="C8" s="182" t="s">
        <v>115</v>
      </c>
      <c r="D8" s="171"/>
      <c r="E8" s="171"/>
      <c r="F8" s="171"/>
      <c r="G8" s="171"/>
      <c r="H8" s="175"/>
      <c r="I8" s="212">
        <f t="shared" ref="I8:AB8" si="1">IFERROR((I7/D7)-1,"")</f>
        <v>0.44045350882542955</v>
      </c>
      <c r="J8" s="212">
        <f t="shared" si="1"/>
        <v>0.20508302091495856</v>
      </c>
      <c r="K8" s="212">
        <f t="shared" si="1"/>
        <v>-0.44189425406357075</v>
      </c>
      <c r="L8" s="212">
        <f t="shared" si="1"/>
        <v>0.12410734574757321</v>
      </c>
      <c r="M8" s="193">
        <f t="shared" si="1"/>
        <v>5.6358031489276872E-2</v>
      </c>
      <c r="N8" s="212">
        <f t="shared" si="1"/>
        <v>1.2362713775696026</v>
      </c>
      <c r="O8" s="212">
        <f t="shared" si="1"/>
        <v>0.57037004287300919</v>
      </c>
      <c r="P8" s="212">
        <f t="shared" si="1"/>
        <v>1.9648429364851974</v>
      </c>
      <c r="Q8" s="212">
        <f t="shared" si="1"/>
        <v>0.4803700134539044</v>
      </c>
      <c r="R8" s="193">
        <f t="shared" si="1"/>
        <v>0.74109503571361302</v>
      </c>
      <c r="S8" s="212">
        <f t="shared" si="1"/>
        <v>1.2227486866140351</v>
      </c>
      <c r="T8" s="212">
        <f t="shared" si="1"/>
        <v>1.9496858544652205</v>
      </c>
      <c r="U8" s="212">
        <f t="shared" si="1"/>
        <v>1.8465870921263825</v>
      </c>
      <c r="V8" s="212">
        <f t="shared" si="1"/>
        <v>0.3012975183439357</v>
      </c>
      <c r="W8" s="193">
        <f t="shared" si="1"/>
        <v>0.95230754447729593</v>
      </c>
      <c r="X8" s="212">
        <f t="shared" si="1"/>
        <v>0.46898765597318581</v>
      </c>
      <c r="Y8" s="212">
        <f t="shared" si="1"/>
        <v>0.53981219159509242</v>
      </c>
      <c r="Z8" s="212">
        <f t="shared" si="1"/>
        <v>0.27244525649118678</v>
      </c>
      <c r="AA8" s="212">
        <f t="shared" si="1"/>
        <v>0.29981179463596375</v>
      </c>
      <c r="AB8" s="193">
        <f t="shared" si="1"/>
        <v>0.37588519834851586</v>
      </c>
      <c r="AC8" s="212">
        <f t="shared" ref="AC8" si="2">IFERROR((AC7/X7)-1,"")</f>
        <v>0.28851517917066949</v>
      </c>
      <c r="AD8" s="212">
        <f t="shared" ref="AD8" si="3">IFERROR((AD7/Y7)-1,"")</f>
        <v>0.32480384722962152</v>
      </c>
      <c r="AE8" s="212">
        <f t="shared" ref="AE8" si="4">IFERROR((AE7/Z7)-1,"")</f>
        <v>0.64382897742343692</v>
      </c>
      <c r="AF8" s="212">
        <f t="shared" ref="AF8" si="5">IFERROR((AF7/AA7)-1,"")</f>
        <v>0.44590709227367364</v>
      </c>
      <c r="AG8" s="193">
        <f>IFERROR((AG7/AB7)-1,"")</f>
        <v>0.43157039421201127</v>
      </c>
      <c r="AH8" s="212">
        <f t="shared" ref="AH8" si="6">IFERROR((AH7/AC7)-1,"")</f>
        <v>0.43195627238120582</v>
      </c>
      <c r="AI8" s="212">
        <f t="shared" ref="AI8" si="7">IFERROR((AI7/AD7)-1,"")</f>
        <v>0.35692049585236263</v>
      </c>
      <c r="AJ8" s="389">
        <f t="shared" ref="AJ8" si="8">IFERROR((AJ7/AE7)-1,"")</f>
        <v>0.26076239787929989</v>
      </c>
      <c r="AK8" s="212">
        <f t="shared" ref="AK8" si="9">IFERROR((AK7/AF7)-1,"")</f>
        <v>0.25059192981581657</v>
      </c>
      <c r="AL8" s="193">
        <f>IFERROR((AL7/AG7)-1,"")</f>
        <v>0.31004893809550227</v>
      </c>
      <c r="AM8" s="212">
        <f t="shared" ref="AM8" si="10">IFERROR((AM7/AH7)-1,"")</f>
        <v>0.40003307075191752</v>
      </c>
      <c r="AN8" s="212">
        <f t="shared" ref="AN8" si="11">IFERROR((AN7/AI7)-1,"")</f>
        <v>0.32724837207385415</v>
      </c>
      <c r="AO8" s="212">
        <f t="shared" ref="AO8" si="12">IFERROR((AO7/AJ7)-1,"")</f>
        <v>0.3179674995081645</v>
      </c>
      <c r="AP8" s="212">
        <f t="shared" ref="AP8" si="13">IFERROR((AP7/AK7)-1,"")</f>
        <v>0.20105651743319197</v>
      </c>
      <c r="AQ8" s="193">
        <f>IFERROR((AQ7/AL7)-1,"")</f>
        <v>0.29841432924190037</v>
      </c>
    </row>
    <row r="9" spans="3:43">
      <c r="C9" s="198"/>
      <c r="D9" s="227"/>
      <c r="E9" s="227"/>
      <c r="F9" s="227"/>
      <c r="G9" s="227"/>
      <c r="H9" s="199"/>
      <c r="M9" s="31"/>
      <c r="R9" s="31"/>
      <c r="W9" s="31"/>
      <c r="AB9" s="31"/>
      <c r="AD9" s="219"/>
      <c r="AG9" s="31"/>
      <c r="AL9" s="31"/>
      <c r="AQ9" s="31"/>
    </row>
    <row r="10" spans="3:43">
      <c r="C10" s="184" t="s">
        <v>127</v>
      </c>
      <c r="D10" s="213">
        <v>3.1913215330000004</v>
      </c>
      <c r="E10" s="213">
        <v>4.7110225199999993</v>
      </c>
      <c r="F10" s="213">
        <v>6.3311435300000003</v>
      </c>
      <c r="G10" s="213">
        <v>18.81356911</v>
      </c>
      <c r="H10" s="176">
        <f>SUM(D10:G10)</f>
        <v>33.047056693000002</v>
      </c>
      <c r="I10" s="213">
        <v>3.8914502999999998</v>
      </c>
      <c r="J10" s="213">
        <v>5.2916732499999997</v>
      </c>
      <c r="K10" s="213">
        <v>2.8388229500000004</v>
      </c>
      <c r="L10" s="213">
        <v>21.127998250000001</v>
      </c>
      <c r="M10" s="176">
        <f>SUM(I10:L10)</f>
        <v>33.149944750000003</v>
      </c>
      <c r="N10" s="213">
        <v>9.0434283799999982</v>
      </c>
      <c r="O10" s="213">
        <v>6.7683623800000001</v>
      </c>
      <c r="P10" s="213">
        <v>9.2409262100000014</v>
      </c>
      <c r="Q10" s="213">
        <v>30.989683639999996</v>
      </c>
      <c r="R10" s="176">
        <f>SUM(N10:Q10)</f>
        <v>56.042400609999994</v>
      </c>
      <c r="S10" s="213">
        <v>16.080186600000001</v>
      </c>
      <c r="T10" s="213">
        <v>17.650796209999999</v>
      </c>
      <c r="U10" s="213">
        <v>22.013176080000001</v>
      </c>
      <c r="V10" s="213">
        <v>32.62238387</v>
      </c>
      <c r="W10" s="176">
        <f>SUM(S10:V10)</f>
        <v>88.366542760000002</v>
      </c>
      <c r="X10" s="213">
        <v>22.753743170000003</v>
      </c>
      <c r="Y10" s="213">
        <v>29.103124960000002</v>
      </c>
      <c r="Z10" s="213">
        <v>26.865775920000001</v>
      </c>
      <c r="AA10" s="213">
        <v>38.914232159999997</v>
      </c>
      <c r="AB10" s="176">
        <f>SUM(X10:AA10)</f>
        <v>117.63687621000001</v>
      </c>
      <c r="AC10" s="213">
        <v>31.332667480000001</v>
      </c>
      <c r="AD10" s="213">
        <v>40.700000000000003</v>
      </c>
      <c r="AE10" s="213">
        <v>50.1</v>
      </c>
      <c r="AF10" s="213">
        <f>64.7</f>
        <v>64.7</v>
      </c>
      <c r="AG10" s="176">
        <f>SUM(AC10:AF10)</f>
        <v>186.83266748</v>
      </c>
      <c r="AH10" s="213">
        <f t="shared" ref="AH10" si="14">AC10*(1+AH11)</f>
        <v>49.505614618400003</v>
      </c>
      <c r="AI10" s="213">
        <f t="shared" ref="AI10" si="15">AD10*(1+AI11)</f>
        <v>57.264900000000004</v>
      </c>
      <c r="AJ10" s="213">
        <f t="shared" ref="AJ10" si="16">AE10*(1+AJ11)</f>
        <v>68.937600000000003</v>
      </c>
      <c r="AK10" s="213">
        <v>82</v>
      </c>
      <c r="AL10" s="176">
        <f>SUM(AH10:AK10)</f>
        <v>257.70811461840003</v>
      </c>
      <c r="AM10" s="213">
        <f t="shared" ref="AM10" si="17">AH10*(1+AM11)</f>
        <v>73.763365781415999</v>
      </c>
      <c r="AN10" s="213">
        <f t="shared" ref="AN10" si="18">AI10*(1+AN11)</f>
        <v>82.461455999999998</v>
      </c>
      <c r="AO10" s="213">
        <f t="shared" ref="AO10" si="19">AJ10*(1+AO11)</f>
        <v>86.171999999999997</v>
      </c>
      <c r="AP10" s="213">
        <f>AK10*(1+AP11)</f>
        <v>102.5</v>
      </c>
      <c r="AQ10" s="176">
        <f>SUM(AM10:AP10)</f>
        <v>344.89682178141595</v>
      </c>
    </row>
    <row r="11" spans="3:43" s="171" customFormat="1" ht="11.25">
      <c r="C11" s="182" t="s">
        <v>115</v>
      </c>
      <c r="D11" s="172"/>
      <c r="E11" s="172"/>
      <c r="F11" s="172"/>
      <c r="G11" s="172"/>
      <c r="H11" s="251"/>
      <c r="I11" s="252">
        <f t="shared" ref="I11:AD11" si="20">IFERROR((I10/D10)-1,"")</f>
        <v>0.21938521698935287</v>
      </c>
      <c r="J11" s="252">
        <f t="shared" si="20"/>
        <v>0.12325365194815507</v>
      </c>
      <c r="K11" s="252">
        <f t="shared" si="20"/>
        <v>-0.5516097626679457</v>
      </c>
      <c r="L11" s="252">
        <f t="shared" si="20"/>
        <v>0.12301914253844637</v>
      </c>
      <c r="M11" s="253">
        <f t="shared" si="20"/>
        <v>3.1133803520178027E-3</v>
      </c>
      <c r="N11" s="252">
        <f t="shared" si="20"/>
        <v>1.3239223638549356</v>
      </c>
      <c r="O11" s="252">
        <f t="shared" si="20"/>
        <v>0.27905901597382265</v>
      </c>
      <c r="P11" s="252">
        <f t="shared" si="20"/>
        <v>2.2551963869391716</v>
      </c>
      <c r="Q11" s="252">
        <f t="shared" si="20"/>
        <v>0.46675909725617259</v>
      </c>
      <c r="R11" s="253">
        <f t="shared" si="20"/>
        <v>0.69057297176943222</v>
      </c>
      <c r="S11" s="252">
        <f t="shared" si="20"/>
        <v>0.77810736418968629</v>
      </c>
      <c r="T11" s="252">
        <f t="shared" si="20"/>
        <v>1.60783853154151</v>
      </c>
      <c r="U11" s="252">
        <f t="shared" si="20"/>
        <v>1.3821395799242073</v>
      </c>
      <c r="V11" s="252">
        <f t="shared" si="20"/>
        <v>5.2685282268986944E-2</v>
      </c>
      <c r="W11" s="253">
        <f t="shared" si="20"/>
        <v>0.57678011288174913</v>
      </c>
      <c r="X11" s="252">
        <f t="shared" si="20"/>
        <v>0.41501735869159639</v>
      </c>
      <c r="Y11" s="252">
        <f t="shared" si="20"/>
        <v>0.64882788366859767</v>
      </c>
      <c r="Z11" s="252">
        <f t="shared" si="20"/>
        <v>0.22044069526199883</v>
      </c>
      <c r="AA11" s="252">
        <f t="shared" si="20"/>
        <v>0.19286905319589676</v>
      </c>
      <c r="AB11" s="253">
        <f t="shared" si="20"/>
        <v>0.33123773473289631</v>
      </c>
      <c r="AC11" s="252">
        <f t="shared" si="20"/>
        <v>0.37703353887333146</v>
      </c>
      <c r="AD11" s="252">
        <f t="shared" si="20"/>
        <v>0.3984752515731218</v>
      </c>
      <c r="AE11" s="252">
        <f t="shared" ref="AE11" si="21">IFERROR((AE10/Z10)-1,"")</f>
        <v>0.86482609507300623</v>
      </c>
      <c r="AF11" s="252">
        <f t="shared" ref="AF11" si="22">IFERROR((AF10/AA10)-1,"")</f>
        <v>0.66263077564987238</v>
      </c>
      <c r="AG11" s="253">
        <f t="shared" ref="AG11" si="23">IFERROR((AG10/AB10)-1,"")</f>
        <v>0.58821513711801399</v>
      </c>
      <c r="AH11" s="254">
        <v>0.57999999999999996</v>
      </c>
      <c r="AI11" s="400">
        <v>0.40699999999999997</v>
      </c>
      <c r="AJ11" s="403">
        <v>0.376</v>
      </c>
      <c r="AK11" s="403">
        <v>0.376</v>
      </c>
      <c r="AL11" s="253">
        <f t="shared" ref="AL11" si="24">IFERROR((AL10/AG10)-1,"")</f>
        <v>0.3793525409360603</v>
      </c>
      <c r="AM11" s="254">
        <v>0.49</v>
      </c>
      <c r="AN11" s="254">
        <v>0.44</v>
      </c>
      <c r="AO11" s="254">
        <v>0.25</v>
      </c>
      <c r="AP11" s="254">
        <v>0.25</v>
      </c>
      <c r="AQ11" s="253">
        <f t="shared" ref="AQ11" si="25">IFERROR((AQ10/AL10)-1,"")</f>
        <v>0.33832348388454969</v>
      </c>
    </row>
    <row r="12" spans="3:43">
      <c r="C12" s="198"/>
      <c r="H12" s="31"/>
      <c r="M12" s="31"/>
      <c r="R12" s="31"/>
      <c r="W12" s="31"/>
      <c r="AB12" s="31"/>
      <c r="AG12" s="31"/>
      <c r="AL12" s="31"/>
      <c r="AQ12" s="31"/>
    </row>
    <row r="13" spans="3:43">
      <c r="C13" s="184" t="s">
        <v>156</v>
      </c>
      <c r="D13" s="213">
        <v>0</v>
      </c>
      <c r="E13" s="213">
        <v>0</v>
      </c>
      <c r="F13" s="213">
        <v>0.21625</v>
      </c>
      <c r="G13" s="213">
        <v>0.90375000000000005</v>
      </c>
      <c r="H13" s="176">
        <f>SUM(D13:G13)</f>
        <v>1.1200000000000001</v>
      </c>
      <c r="I13" s="213">
        <v>0.70550000000000002</v>
      </c>
      <c r="J13" s="213">
        <v>0.38550000000000001</v>
      </c>
      <c r="K13" s="213">
        <v>0.81531500000000001</v>
      </c>
      <c r="L13" s="213">
        <v>1.0363849999999999</v>
      </c>
      <c r="M13" s="176">
        <f>SUM(I13:L13)</f>
        <v>2.9426999999999999</v>
      </c>
      <c r="N13" s="213">
        <v>1.2365999999999999</v>
      </c>
      <c r="O13" s="213">
        <v>1.7165999999999999</v>
      </c>
      <c r="P13" s="213">
        <v>1.4293499999999999</v>
      </c>
      <c r="Q13" s="213">
        <v>1.5954999999999999</v>
      </c>
      <c r="R13" s="176">
        <f>SUM(N13:Q13)</f>
        <v>5.9780499999999996</v>
      </c>
      <c r="S13" s="213">
        <v>6.4831499399999997</v>
      </c>
      <c r="T13" s="213">
        <v>7.9085439600000011</v>
      </c>
      <c r="U13" s="213">
        <v>7.4796570400000011</v>
      </c>
      <c r="V13" s="213">
        <v>9.3793606399999998</v>
      </c>
      <c r="W13" s="176">
        <f>SUM(S13:V13)</f>
        <v>31.250711580000001</v>
      </c>
      <c r="X13" s="213">
        <v>10.282799760000001</v>
      </c>
      <c r="Y13" s="213">
        <v>10.63696371</v>
      </c>
      <c r="Z13" s="213">
        <v>10.609872900000001</v>
      </c>
      <c r="AA13" s="213">
        <v>14.09947236</v>
      </c>
      <c r="AB13" s="176">
        <f>SUM(X13:AA13)</f>
        <v>45.629108729999999</v>
      </c>
      <c r="AC13" s="213">
        <v>11.250034579999999</v>
      </c>
      <c r="AD13" s="213">
        <v>10.5</v>
      </c>
      <c r="AE13" s="213">
        <v>10.1</v>
      </c>
      <c r="AF13" s="213">
        <f>AG13-AE13-AD13-AC13</f>
        <v>10.549965419999998</v>
      </c>
      <c r="AG13" s="176">
        <v>42.4</v>
      </c>
      <c r="AH13" s="213">
        <f>AC13*(1+AH14)</f>
        <v>11.250034579999999</v>
      </c>
      <c r="AI13" s="213">
        <f t="shared" ref="AI13" si="26">AD13*(1+AI14)</f>
        <v>10.5</v>
      </c>
      <c r="AJ13" s="213">
        <f t="shared" ref="AJ13" si="27">AE13*(1+AJ14)</f>
        <v>10.1</v>
      </c>
      <c r="AK13" s="213">
        <f>AF13*(1+AK14)</f>
        <v>10.549965419999998</v>
      </c>
      <c r="AL13" s="176">
        <f>SUM(AH13:AK13)</f>
        <v>42.4</v>
      </c>
      <c r="AM13" s="213">
        <f>AH13*(1+AM14)</f>
        <v>11.250034579999999</v>
      </c>
      <c r="AN13" s="213">
        <f t="shared" ref="AN13" si="28">AI13*(1+AN14)</f>
        <v>10.5</v>
      </c>
      <c r="AO13" s="213">
        <f t="shared" ref="AO13" si="29">AJ13*(1+AO14)</f>
        <v>10.1</v>
      </c>
      <c r="AP13" s="213">
        <f>AK13*(1+AP14)</f>
        <v>10.549965419999998</v>
      </c>
      <c r="AQ13" s="176">
        <f>SUM(AM13:AP13)</f>
        <v>42.4</v>
      </c>
    </row>
    <row r="14" spans="3:43" s="171" customFormat="1" ht="11.25">
      <c r="C14" s="182" t="s">
        <v>115</v>
      </c>
      <c r="D14" s="172"/>
      <c r="E14" s="172"/>
      <c r="F14" s="172"/>
      <c r="G14" s="172"/>
      <c r="H14" s="251"/>
      <c r="I14" s="252" t="str">
        <f t="shared" ref="I14" si="30">IFERROR((I13/D13)-1,"")</f>
        <v/>
      </c>
      <c r="J14" s="252" t="str">
        <f t="shared" ref="J14" si="31">IFERROR((J13/E13)-1,"")</f>
        <v/>
      </c>
      <c r="K14" s="252">
        <f t="shared" ref="K14:AC14" si="32">IFERROR((K13/F13)-1,"")</f>
        <v>2.7702427745664742</v>
      </c>
      <c r="L14" s="252">
        <f t="shared" si="32"/>
        <v>0.14676071922544942</v>
      </c>
      <c r="M14" s="253">
        <f t="shared" si="32"/>
        <v>1.6274107142857139</v>
      </c>
      <c r="N14" s="252">
        <f t="shared" si="32"/>
        <v>0.75279943302622243</v>
      </c>
      <c r="O14" s="252">
        <f t="shared" si="32"/>
        <v>3.4529182879377425</v>
      </c>
      <c r="P14" s="252">
        <f t="shared" si="32"/>
        <v>0.75312609236920691</v>
      </c>
      <c r="Q14" s="252">
        <f t="shared" si="32"/>
        <v>0.53948580884516861</v>
      </c>
      <c r="R14" s="253">
        <f t="shared" si="32"/>
        <v>1.0314846909300983</v>
      </c>
      <c r="S14" s="252">
        <f t="shared" si="32"/>
        <v>4.2427219311014071</v>
      </c>
      <c r="T14" s="252">
        <f t="shared" si="32"/>
        <v>3.6070977280671102</v>
      </c>
      <c r="U14" s="252">
        <f t="shared" si="32"/>
        <v>4.2329079931437379</v>
      </c>
      <c r="V14" s="252">
        <f t="shared" si="32"/>
        <v>4.878634058288938</v>
      </c>
      <c r="W14" s="253">
        <f t="shared" si="32"/>
        <v>4.2275761460676984</v>
      </c>
      <c r="X14" s="252">
        <f t="shared" si="32"/>
        <v>0.58608081799200251</v>
      </c>
      <c r="Y14" s="252">
        <f t="shared" si="32"/>
        <v>0.3449964701214101</v>
      </c>
      <c r="Z14" s="252">
        <f t="shared" si="32"/>
        <v>0.41849724436028413</v>
      </c>
      <c r="AA14" s="252">
        <f t="shared" si="32"/>
        <v>0.50324450686651501</v>
      </c>
      <c r="AB14" s="253">
        <f t="shared" si="32"/>
        <v>0.46009823210559997</v>
      </c>
      <c r="AC14" s="252">
        <f t="shared" si="32"/>
        <v>9.4063372094683073E-2</v>
      </c>
      <c r="AD14" s="252">
        <f t="shared" ref="AD14" si="33">IFERROR((AD13/Y13)-1,"")</f>
        <v>-1.2876203560912569E-2</v>
      </c>
      <c r="AE14" s="252">
        <f t="shared" ref="AE14:AF14" si="34">IFERROR((AE13/Z13)-1,"")</f>
        <v>-4.8056456925134494E-2</v>
      </c>
      <c r="AF14" s="252">
        <f t="shared" si="34"/>
        <v>-0.25174750156395231</v>
      </c>
      <c r="AG14" s="253">
        <f t="shared" ref="AG14" si="35">IFERROR((AG13/AB13)-1,"")</f>
        <v>-7.076861284114766E-2</v>
      </c>
      <c r="AH14" s="254">
        <v>0</v>
      </c>
      <c r="AI14" s="254">
        <v>0</v>
      </c>
      <c r="AJ14" s="254">
        <v>0</v>
      </c>
      <c r="AK14" s="254">
        <v>0</v>
      </c>
      <c r="AL14" s="253">
        <f t="shared" ref="AL14" si="36">IFERROR((AL13/AG13)-1,"")</f>
        <v>0</v>
      </c>
      <c r="AM14" s="254">
        <v>0</v>
      </c>
      <c r="AN14" s="254">
        <v>0</v>
      </c>
      <c r="AO14" s="254">
        <v>0</v>
      </c>
      <c r="AP14" s="254">
        <v>0</v>
      </c>
      <c r="AQ14" s="253">
        <f t="shared" ref="AQ14" si="37">IFERROR((AQ13/AL13)-1,"")</f>
        <v>0</v>
      </c>
    </row>
    <row r="15" spans="3:43">
      <c r="C15" s="201"/>
      <c r="H15" s="31"/>
      <c r="M15" s="31"/>
      <c r="R15" s="31"/>
      <c r="W15" s="31"/>
      <c r="AB15" s="31"/>
      <c r="AG15" s="31"/>
      <c r="AL15" s="31"/>
      <c r="AQ15" s="31"/>
    </row>
    <row r="16" spans="3:43">
      <c r="C16" s="184" t="s">
        <v>128</v>
      </c>
      <c r="D16" s="213">
        <v>0</v>
      </c>
      <c r="E16" s="213">
        <v>0</v>
      </c>
      <c r="F16" s="213">
        <v>0</v>
      </c>
      <c r="G16" s="213">
        <v>0</v>
      </c>
      <c r="H16" s="176">
        <f>SUM(D16:G16)</f>
        <v>0</v>
      </c>
      <c r="I16" s="213">
        <v>0</v>
      </c>
      <c r="J16" s="213">
        <v>0</v>
      </c>
      <c r="K16" s="213">
        <v>0</v>
      </c>
      <c r="L16" s="213">
        <v>0</v>
      </c>
      <c r="M16" s="176">
        <f>SUM(I16:L16)</f>
        <v>0</v>
      </c>
      <c r="N16" s="213">
        <v>0</v>
      </c>
      <c r="O16" s="213">
        <v>0.43030042000000002</v>
      </c>
      <c r="P16" s="213">
        <v>0.16366888000000002</v>
      </c>
      <c r="Q16" s="213">
        <v>0.22630469</v>
      </c>
      <c r="R16" s="176">
        <f>SUM(N16:Q16)</f>
        <v>0.82027399000000001</v>
      </c>
      <c r="S16" s="213">
        <v>0.28658303999999996</v>
      </c>
      <c r="T16" s="213">
        <v>0.7378844</v>
      </c>
      <c r="U16" s="213">
        <v>1.3469351300000001</v>
      </c>
      <c r="V16" s="213">
        <v>0.69576382700000006</v>
      </c>
      <c r="W16" s="176">
        <f>SUM(S16:V16)</f>
        <v>3.0671663969999998</v>
      </c>
      <c r="X16" s="213">
        <v>0.52970687299999997</v>
      </c>
      <c r="Y16" s="213">
        <v>0.75269832800000014</v>
      </c>
      <c r="Z16" s="213">
        <v>1.7662680010000003</v>
      </c>
      <c r="AA16" s="213">
        <v>2.485020418</v>
      </c>
      <c r="AB16" s="176">
        <f>SUM(X16:AA16)</f>
        <v>5.5336936200000002</v>
      </c>
      <c r="AC16" s="213">
        <v>0.66792031900000004</v>
      </c>
      <c r="AD16" s="213">
        <f>AD7-AD10-AD13</f>
        <v>2.4450000000000003</v>
      </c>
      <c r="AE16" s="213">
        <f>AE7-AE10-AE13</f>
        <v>4.3070000000000039</v>
      </c>
      <c r="AF16" s="213">
        <f>AF7-AF10-AF13</f>
        <v>4.9960345799999946</v>
      </c>
      <c r="AG16" s="176">
        <f>SUM(AC16:AF16)</f>
        <v>12.415954898999999</v>
      </c>
      <c r="AH16" s="213">
        <f>AC16*(1+AH17)</f>
        <v>1.16886055825</v>
      </c>
      <c r="AI16" s="213">
        <f>AD16*(1+AI17)</f>
        <v>2.5183500000000003</v>
      </c>
      <c r="AJ16" s="213">
        <f>AE16*(1+AJ17)</f>
        <v>7.5803200000000066</v>
      </c>
      <c r="AK16" s="213">
        <f>AF16*(1+AK17)</f>
        <v>5.1958759631999945</v>
      </c>
      <c r="AL16" s="176">
        <f>SUM(AH16:AK16)</f>
        <v>16.46340652145</v>
      </c>
      <c r="AM16" s="213">
        <f>AH16*(1+AM17)</f>
        <v>1.6948478094624999</v>
      </c>
      <c r="AN16" s="213">
        <f>AI16*(1+AN17)</f>
        <v>3.6516075000000003</v>
      </c>
      <c r="AO16" s="213">
        <f>AJ16*(1+AO17)</f>
        <v>10.915660800000008</v>
      </c>
      <c r="AP16" s="213">
        <f>AK16*(1+AP17)</f>
        <v>7.4820613870079917</v>
      </c>
      <c r="AQ16" s="176">
        <f>SUM(AM16:AP16)</f>
        <v>23.744177496470503</v>
      </c>
    </row>
    <row r="17" spans="3:43" s="171" customFormat="1" ht="11.25">
      <c r="C17" s="182" t="s">
        <v>115</v>
      </c>
      <c r="D17" s="172"/>
      <c r="E17" s="172"/>
      <c r="F17" s="172"/>
      <c r="G17" s="172"/>
      <c r="H17" s="251"/>
      <c r="I17" s="252" t="str">
        <f t="shared" ref="I17:AC17" si="38">IFERROR((I16/D16)-1,"")</f>
        <v/>
      </c>
      <c r="J17" s="252" t="str">
        <f t="shared" si="38"/>
        <v/>
      </c>
      <c r="K17" s="252" t="str">
        <f t="shared" si="38"/>
        <v/>
      </c>
      <c r="L17" s="252" t="str">
        <f t="shared" si="38"/>
        <v/>
      </c>
      <c r="M17" s="253" t="str">
        <f t="shared" si="38"/>
        <v/>
      </c>
      <c r="N17" s="252" t="str">
        <f t="shared" si="38"/>
        <v/>
      </c>
      <c r="O17" s="252" t="str">
        <f t="shared" si="38"/>
        <v/>
      </c>
      <c r="P17" s="252" t="str">
        <f t="shared" si="38"/>
        <v/>
      </c>
      <c r="Q17" s="252" t="str">
        <f t="shared" si="38"/>
        <v/>
      </c>
      <c r="R17" s="253" t="str">
        <f t="shared" si="38"/>
        <v/>
      </c>
      <c r="S17" s="252" t="str">
        <f t="shared" si="38"/>
        <v/>
      </c>
      <c r="T17" s="252">
        <f t="shared" si="38"/>
        <v>0.71481217703668509</v>
      </c>
      <c r="U17" s="252">
        <f t="shared" si="38"/>
        <v>7.2296349189900972</v>
      </c>
      <c r="V17" s="252">
        <f t="shared" si="38"/>
        <v>2.0744560662883305</v>
      </c>
      <c r="W17" s="253">
        <f t="shared" si="38"/>
        <v>2.7391974320677899</v>
      </c>
      <c r="X17" s="252">
        <f t="shared" si="38"/>
        <v>0.84835387676814378</v>
      </c>
      <c r="Y17" s="252">
        <f t="shared" si="38"/>
        <v>2.0076217900798721E-2</v>
      </c>
      <c r="Z17" s="252">
        <f t="shared" si="38"/>
        <v>0.31132373167815452</v>
      </c>
      <c r="AA17" s="252">
        <f t="shared" si="38"/>
        <v>2.5716435973898362</v>
      </c>
      <c r="AB17" s="253">
        <f t="shared" si="38"/>
        <v>0.80417131115302865</v>
      </c>
      <c r="AC17" s="252">
        <f t="shared" si="38"/>
        <v>0.26092439619902774</v>
      </c>
      <c r="AD17" s="252">
        <f t="shared" ref="AD17" si="39">IFERROR((AD16/Y16)-1,"")</f>
        <v>2.2483133136440285</v>
      </c>
      <c r="AE17" s="252">
        <f t="shared" ref="AE17:AF17" si="40">IFERROR((AE16/Z16)-1,"")</f>
        <v>1.4384747940638274</v>
      </c>
      <c r="AF17" s="252">
        <f t="shared" si="40"/>
        <v>1.0104601732089247</v>
      </c>
      <c r="AG17" s="253">
        <f t="shared" ref="AG17" si="41">IFERROR((AG16/AB16)-1,"")</f>
        <v>1.2437011789243217</v>
      </c>
      <c r="AH17" s="254">
        <v>0.75</v>
      </c>
      <c r="AI17" s="254">
        <v>0.03</v>
      </c>
      <c r="AJ17" s="254">
        <v>0.76</v>
      </c>
      <c r="AK17" s="254">
        <v>0.04</v>
      </c>
      <c r="AL17" s="253">
        <f t="shared" ref="AL17" si="42">IFERROR((AL16/AG16)-1,"")</f>
        <v>0.32598794497682904</v>
      </c>
      <c r="AM17" s="254">
        <v>0.45</v>
      </c>
      <c r="AN17" s="254">
        <v>0.45</v>
      </c>
      <c r="AO17" s="254">
        <v>0.44</v>
      </c>
      <c r="AP17" s="254">
        <v>0.44</v>
      </c>
      <c r="AQ17" s="253">
        <f t="shared" ref="AQ17" si="43">IFERROR((AQ16/AL16)-1,"")</f>
        <v>0.44223964010938199</v>
      </c>
    </row>
    <row r="18" spans="3:43" ht="15.75" thickBot="1">
      <c r="C18" s="31"/>
      <c r="H18" s="31"/>
      <c r="M18" s="31"/>
      <c r="R18" s="31"/>
      <c r="W18" s="31"/>
      <c r="AB18" s="31"/>
      <c r="AG18" s="31"/>
      <c r="AH18" s="383"/>
      <c r="AL18" s="31"/>
      <c r="AQ18" s="31"/>
    </row>
    <row r="19" spans="3:43" ht="15.75" thickBot="1">
      <c r="C19" s="183" t="s">
        <v>138</v>
      </c>
      <c r="D19" s="164">
        <f>D22+D25+D28</f>
        <v>1.8783008499999998</v>
      </c>
      <c r="E19" s="164">
        <f>E22+E25+E28</f>
        <v>1.77943249</v>
      </c>
      <c r="F19" s="164">
        <f>F22+F25+F28</f>
        <v>1.2114378000000001</v>
      </c>
      <c r="G19" s="164">
        <f>G22+G25+G28</f>
        <v>1.4606136599999999</v>
      </c>
      <c r="H19" s="174">
        <f>SUM(D19:G19)</f>
        <v>6.3297848000000005</v>
      </c>
      <c r="I19" s="164">
        <f>I22+I25+I28</f>
        <v>1.4114719700000002</v>
      </c>
      <c r="J19" s="164">
        <f>J22+J25+J28</f>
        <v>1.4778680399999999</v>
      </c>
      <c r="K19" s="164">
        <f>K22+K25+K28</f>
        <v>2.1382458999999998</v>
      </c>
      <c r="L19" s="164">
        <f>L22+L25+L28</f>
        <v>2.0641283500000003</v>
      </c>
      <c r="M19" s="174">
        <f>SUM(I19:L19)</f>
        <v>7.0917142599999998</v>
      </c>
      <c r="N19" s="164">
        <f>N22+N25+N28</f>
        <v>2.24948799</v>
      </c>
      <c r="O19" s="164">
        <f>O22+O25+O28</f>
        <v>2.6678312100000001</v>
      </c>
      <c r="P19" s="164">
        <f>P22+P25+P28</f>
        <v>3.0303307099999999</v>
      </c>
      <c r="Q19" s="164">
        <f>Q22+Q25+Q28</f>
        <v>3.9851527300000003</v>
      </c>
      <c r="R19" s="174">
        <f>SUM(N19:Q19)</f>
        <v>11.932802639999998</v>
      </c>
      <c r="S19" s="164">
        <f>S22+S25+S28</f>
        <v>7.7879838499999998</v>
      </c>
      <c r="T19" s="164">
        <f>T22+T25+T28</f>
        <v>10.6132113</v>
      </c>
      <c r="U19" s="164">
        <f>U22+U25+U28</f>
        <v>11.101333100000002</v>
      </c>
      <c r="V19" s="164">
        <f>V22+V25+V28</f>
        <v>10.724350715</v>
      </c>
      <c r="W19" s="174">
        <f>SUM(S19:V19)</f>
        <v>40.226878964999997</v>
      </c>
      <c r="X19" s="164">
        <f>X22+X25+X28</f>
        <v>11.392877174999999</v>
      </c>
      <c r="Y19" s="164">
        <f>Y22+Y25+Y28</f>
        <v>13.806998400000001</v>
      </c>
      <c r="Z19" s="164">
        <f>Z22+Z25+Z28</f>
        <v>15.489290577000002</v>
      </c>
      <c r="AA19" s="164">
        <f>AA22+AA25+AA28</f>
        <v>15.792870279999999</v>
      </c>
      <c r="AB19" s="174">
        <f>SUM(X19:AA19)</f>
        <v>56.482036432000001</v>
      </c>
      <c r="AC19" s="164">
        <f>AC22+AC25+AC28</f>
        <v>15.288271279000002</v>
      </c>
      <c r="AD19" s="164">
        <v>22.132000000000001</v>
      </c>
      <c r="AE19" s="164">
        <v>14.964</v>
      </c>
      <c r="AF19" s="164">
        <v>16.434000000000001</v>
      </c>
      <c r="AG19" s="174">
        <f>SUM(AG22,AG25,AG28)</f>
        <v>65.020288484400012</v>
      </c>
      <c r="AH19" s="164">
        <f>15.751-0.611-0.044</f>
        <v>15.095999999999998</v>
      </c>
      <c r="AI19" s="164">
        <f>19.84-0.693-0.114</f>
        <v>19.032999999999998</v>
      </c>
      <c r="AJ19" s="164">
        <f>25.621-0.894-0.062</f>
        <v>24.664999999999999</v>
      </c>
      <c r="AK19" s="164">
        <f>26.578-0.893-0.048</f>
        <v>25.637</v>
      </c>
      <c r="AL19" s="174">
        <f>SUM(AL22,AL25,AL28)</f>
        <v>75.009328101920204</v>
      </c>
      <c r="AM19" s="164">
        <f>AM22+AM25+AM28</f>
        <v>21.112614005214446</v>
      </c>
      <c r="AN19" s="164">
        <f>AN22+AN25+AN28</f>
        <v>23.097934199999997</v>
      </c>
      <c r="AO19" s="164">
        <f>AO22+AO25+AO28</f>
        <v>23.672625375999996</v>
      </c>
      <c r="AP19" s="164">
        <f>AP22+AP25+AP28</f>
        <v>25.339939367400792</v>
      </c>
      <c r="AQ19" s="174">
        <f>SUM(AQ22,AQ25,AQ28)</f>
        <v>93.223112948615238</v>
      </c>
    </row>
    <row r="20" spans="3:43">
      <c r="C20" s="230" t="s">
        <v>118</v>
      </c>
      <c r="D20" s="212">
        <f>IFERROR(1-(D19/D7),"")</f>
        <v>0.41143478318391069</v>
      </c>
      <c r="E20" s="212">
        <f t="shared" ref="E20:AQ20" si="44">IFERROR(1-(E19/E7),"")</f>
        <v>0.62228317049097859</v>
      </c>
      <c r="F20" s="212">
        <f t="shared" si="44"/>
        <v>0.81497403593518225</v>
      </c>
      <c r="G20" s="212">
        <f t="shared" si="44"/>
        <v>0.92592229948445559</v>
      </c>
      <c r="H20" s="193">
        <f t="shared" si="44"/>
        <v>0.81474012067018875</v>
      </c>
      <c r="I20" s="212">
        <f t="shared" si="44"/>
        <v>0.69295470303431372</v>
      </c>
      <c r="J20" s="212">
        <f t="shared" si="44"/>
        <v>0.73968241325029149</v>
      </c>
      <c r="K20" s="212">
        <f t="shared" si="44"/>
        <v>0.41484258961816167</v>
      </c>
      <c r="L20" s="212">
        <f t="shared" si="44"/>
        <v>0.90687183456819176</v>
      </c>
      <c r="M20" s="193">
        <f t="shared" si="44"/>
        <v>0.8035135881805946</v>
      </c>
      <c r="N20" s="212">
        <f t="shared" si="44"/>
        <v>0.78117881518922416</v>
      </c>
      <c r="O20" s="212">
        <f t="shared" si="44"/>
        <v>0.70075686271413118</v>
      </c>
      <c r="P20" s="212">
        <f t="shared" si="44"/>
        <v>0.72029296024427247</v>
      </c>
      <c r="Q20" s="212">
        <f t="shared" si="44"/>
        <v>0.87854398161035807</v>
      </c>
      <c r="R20" s="193">
        <f t="shared" si="44"/>
        <v>0.81011035891206129</v>
      </c>
      <c r="S20" s="212">
        <f t="shared" si="44"/>
        <v>0.65916799738688625</v>
      </c>
      <c r="T20" s="212">
        <f t="shared" si="44"/>
        <v>0.59641325373524001</v>
      </c>
      <c r="U20" s="212">
        <f t="shared" si="44"/>
        <v>0.6400318896689503</v>
      </c>
      <c r="V20" s="212">
        <f t="shared" si="44"/>
        <v>0.74882958906277219</v>
      </c>
      <c r="W20" s="193">
        <f t="shared" si="44"/>
        <v>0.67211094348128508</v>
      </c>
      <c r="X20" s="212">
        <f t="shared" si="44"/>
        <v>0.66058534266220725</v>
      </c>
      <c r="Y20" s="212">
        <f t="shared" si="44"/>
        <v>0.65902573214627225</v>
      </c>
      <c r="Z20" s="212">
        <f t="shared" si="44"/>
        <v>0.60528710542724995</v>
      </c>
      <c r="AA20" s="212">
        <f t="shared" si="44"/>
        <v>0.715437241168281</v>
      </c>
      <c r="AB20" s="193">
        <f t="shared" si="44"/>
        <v>0.66539014224530413</v>
      </c>
      <c r="AC20" s="212">
        <f t="shared" ref="AC20:AF20" si="45">IFERROR(1-(AC19/AC7),"")</f>
        <v>0.64651904555197559</v>
      </c>
      <c r="AD20" s="212">
        <f t="shared" si="45"/>
        <v>0.58743592133470035</v>
      </c>
      <c r="AE20" s="389">
        <f t="shared" si="45"/>
        <v>0.76802517556234207</v>
      </c>
      <c r="AF20" s="212">
        <f t="shared" si="45"/>
        <v>0.79520474540787078</v>
      </c>
      <c r="AG20" s="193">
        <f t="shared" si="44"/>
        <v>0.73093044005679186</v>
      </c>
      <c r="AH20" s="212">
        <f t="shared" si="44"/>
        <v>0.75625272471864757</v>
      </c>
      <c r="AI20" s="212">
        <f t="shared" si="44"/>
        <v>0.73852895922628869</v>
      </c>
      <c r="AJ20" s="389">
        <f t="shared" si="44"/>
        <v>0.6967219161912257</v>
      </c>
      <c r="AK20" s="212">
        <f t="shared" si="44"/>
        <v>0.74453689402620693</v>
      </c>
      <c r="AL20" s="193">
        <f t="shared" si="44"/>
        <v>0.76305724585761536</v>
      </c>
      <c r="AM20" s="212">
        <f t="shared" ref="AM20:AP20" si="46">IFERROR(1-(AM19/AM7),"")</f>
        <v>0.75650973868590687</v>
      </c>
      <c r="AN20" s="212">
        <f t="shared" si="46"/>
        <v>0.76092328135314746</v>
      </c>
      <c r="AO20" s="212">
        <f t="shared" si="46"/>
        <v>0.77914784967487605</v>
      </c>
      <c r="AP20" s="212">
        <f t="shared" si="46"/>
        <v>0.78976592330954254</v>
      </c>
      <c r="AQ20" s="193">
        <f t="shared" si="44"/>
        <v>0.77320239802747448</v>
      </c>
    </row>
    <row r="21" spans="3:43">
      <c r="C21" s="198"/>
      <c r="D21" s="227"/>
      <c r="E21" s="227"/>
      <c r="F21" s="227"/>
      <c r="G21" s="227"/>
      <c r="H21" s="199"/>
      <c r="M21" s="31"/>
      <c r="R21" s="31"/>
      <c r="W21" s="31"/>
      <c r="AB21" s="31"/>
      <c r="AG21" s="31"/>
      <c r="AL21" s="31"/>
      <c r="AQ21" s="31"/>
    </row>
    <row r="22" spans="3:43">
      <c r="C22" s="184" t="s">
        <v>139</v>
      </c>
      <c r="D22" s="213">
        <v>1.8783008499999998</v>
      </c>
      <c r="E22" s="213">
        <v>1.77943249</v>
      </c>
      <c r="F22" s="213">
        <v>1.2114378000000001</v>
      </c>
      <c r="G22" s="213">
        <v>1.4606136599999999</v>
      </c>
      <c r="H22" s="176">
        <f>SUM(D22:G22)</f>
        <v>6.3297848000000005</v>
      </c>
      <c r="I22" s="213">
        <v>1.4114719700000002</v>
      </c>
      <c r="J22" s="213">
        <v>0.97366292999999993</v>
      </c>
      <c r="K22" s="213">
        <v>1.1370943599999999</v>
      </c>
      <c r="L22" s="213">
        <v>1.05747821</v>
      </c>
      <c r="M22" s="176">
        <f>SUM(I22:L22)</f>
        <v>4.5797074699999998</v>
      </c>
      <c r="N22" s="213">
        <v>1.1669592099999999</v>
      </c>
      <c r="O22" s="213">
        <v>1.2438754400000001</v>
      </c>
      <c r="P22" s="213">
        <v>1.64849461</v>
      </c>
      <c r="Q22" s="213">
        <v>5.4515580999999997</v>
      </c>
      <c r="R22" s="176">
        <f>SUM(N22:Q22)</f>
        <v>9.5108873599999999</v>
      </c>
      <c r="S22" s="213">
        <v>3.8355032799999997</v>
      </c>
      <c r="T22" s="213">
        <v>5.23051508</v>
      </c>
      <c r="U22" s="213">
        <v>5.7684513200000005</v>
      </c>
      <c r="V22" s="213">
        <v>5.1225321500000005</v>
      </c>
      <c r="W22" s="176">
        <f>SUM(S22:V22)</f>
        <v>19.957001829999999</v>
      </c>
      <c r="X22" s="213">
        <v>5.0183346099999993</v>
      </c>
      <c r="Y22" s="213">
        <v>6.6254354600000003</v>
      </c>
      <c r="Z22" s="213">
        <v>8.0227722799999999</v>
      </c>
      <c r="AA22" s="258">
        <v>8.3604932499999993</v>
      </c>
      <c r="AB22" s="176">
        <f>SUM(X22:AA22)</f>
        <v>28.027035599999998</v>
      </c>
      <c r="AC22" s="258">
        <v>8.4973870090000005</v>
      </c>
      <c r="AD22" s="258">
        <f t="shared" ref="AD22:AF22" si="47">AD10*(1-AD23)</f>
        <v>9.3610000000000007</v>
      </c>
      <c r="AE22" s="258">
        <f t="shared" si="47"/>
        <v>10.019999999999998</v>
      </c>
      <c r="AF22" s="258">
        <f t="shared" si="47"/>
        <v>10.999000000000002</v>
      </c>
      <c r="AG22" s="256">
        <f>SUM(AC22:AF22)</f>
        <v>38.877387009000003</v>
      </c>
      <c r="AH22" s="258">
        <f t="shared" ref="AH22" si="48">AH10*(1-AH23)</f>
        <v>8.8119994020752035</v>
      </c>
      <c r="AI22" s="258">
        <f t="shared" ref="AI22" si="49">AI10*(1-AI23)</f>
        <v>10.880330999999998</v>
      </c>
      <c r="AJ22" s="258">
        <f t="shared" ref="AJ22" si="50">AJ10*(1-AJ23)</f>
        <v>13.098143999999998</v>
      </c>
      <c r="AK22" s="258">
        <f t="shared" ref="AK22" si="51">AK10*(1-AK23)</f>
        <v>14.760000000000003</v>
      </c>
      <c r="AL22" s="256">
        <f>SUM(AH22:AK22)</f>
        <v>47.550474402075203</v>
      </c>
      <c r="AM22" s="258">
        <f t="shared" ref="AM22" si="52">AM10*(1-AM23)</f>
        <v>14.752673156283196</v>
      </c>
      <c r="AN22" s="258">
        <f t="shared" ref="AN22" si="53">AN10*(1-AN23)</f>
        <v>16.492291199999997</v>
      </c>
      <c r="AO22" s="258">
        <f t="shared" ref="AO22" si="54">AO10*(1-AO23)</f>
        <v>16.372679999999995</v>
      </c>
      <c r="AP22" s="258">
        <f t="shared" ref="AP22" si="55">AP10*(1-AP23)</f>
        <v>19.474999999999994</v>
      </c>
      <c r="AQ22" s="256">
        <f>SUM(AM22:AP22)</f>
        <v>67.092644356283188</v>
      </c>
    </row>
    <row r="23" spans="3:43">
      <c r="C23" s="186" t="s">
        <v>118</v>
      </c>
      <c r="D23" s="252">
        <f>(D10-D22)/D10</f>
        <v>0.41143478318391069</v>
      </c>
      <c r="E23" s="252">
        <f t="shared" ref="E23:AC23" si="56">(E10-E22)/E10</f>
        <v>0.62228317049097859</v>
      </c>
      <c r="F23" s="252">
        <f t="shared" si="56"/>
        <v>0.80865418794256894</v>
      </c>
      <c r="G23" s="252">
        <f t="shared" si="56"/>
        <v>0.92236381882353002</v>
      </c>
      <c r="H23" s="253">
        <f t="shared" si="56"/>
        <v>0.80846146575768219</v>
      </c>
      <c r="I23" s="252">
        <f t="shared" si="56"/>
        <v>0.63728896396287005</v>
      </c>
      <c r="J23" s="252">
        <f t="shared" si="56"/>
        <v>0.81600093505395488</v>
      </c>
      <c r="K23" s="252">
        <f t="shared" si="56"/>
        <v>0.59944865177308793</v>
      </c>
      <c r="L23" s="252">
        <f t="shared" si="56"/>
        <v>0.94994896357490943</v>
      </c>
      <c r="M23" s="253">
        <f t="shared" si="56"/>
        <v>0.86184871484589731</v>
      </c>
      <c r="N23" s="252">
        <f t="shared" si="56"/>
        <v>0.87096052946238955</v>
      </c>
      <c r="O23" s="252">
        <f t="shared" si="56"/>
        <v>0.81622209772993859</v>
      </c>
      <c r="P23" s="252">
        <f t="shared" si="56"/>
        <v>0.82160937415384905</v>
      </c>
      <c r="Q23" s="252">
        <f t="shared" si="56"/>
        <v>0.82408474499677076</v>
      </c>
      <c r="R23" s="253">
        <f t="shared" si="56"/>
        <v>0.8302912213524466</v>
      </c>
      <c r="S23" s="252">
        <f t="shared" si="56"/>
        <v>0.76147644455817454</v>
      </c>
      <c r="T23" s="252">
        <f t="shared" si="56"/>
        <v>0.7036669044404541</v>
      </c>
      <c r="U23" s="252">
        <f t="shared" si="56"/>
        <v>0.73795460959216563</v>
      </c>
      <c r="V23" s="252">
        <f t="shared" si="56"/>
        <v>0.84297492879694935</v>
      </c>
      <c r="W23" s="253">
        <f t="shared" si="56"/>
        <v>0.77415658453219771</v>
      </c>
      <c r="X23" s="252">
        <f t="shared" si="56"/>
        <v>0.77945015145391572</v>
      </c>
      <c r="Y23" s="252">
        <f t="shared" si="56"/>
        <v>0.77234625253796119</v>
      </c>
      <c r="Z23" s="252">
        <f t="shared" si="56"/>
        <v>0.70137574645564149</v>
      </c>
      <c r="AA23" s="252">
        <f t="shared" si="56"/>
        <v>0.78515589834523924</v>
      </c>
      <c r="AB23" s="253">
        <f t="shared" si="56"/>
        <v>0.76174957629810403</v>
      </c>
      <c r="AC23" s="252">
        <f t="shared" si="56"/>
        <v>0.72880103443398236</v>
      </c>
      <c r="AD23" s="254">
        <v>0.77</v>
      </c>
      <c r="AE23" s="254">
        <v>0.8</v>
      </c>
      <c r="AF23" s="254">
        <v>0.83</v>
      </c>
      <c r="AG23" s="253">
        <f t="shared" ref="AG23" si="57">(AG10-AG22)/AG10</f>
        <v>0.79191333328706148</v>
      </c>
      <c r="AH23" s="254">
        <v>0.82199999999999995</v>
      </c>
      <c r="AI23" s="254">
        <v>0.81</v>
      </c>
      <c r="AJ23" s="254">
        <v>0.81</v>
      </c>
      <c r="AK23" s="254">
        <v>0.82</v>
      </c>
      <c r="AL23" s="253">
        <f t="shared" ref="AL23" si="58">(AL10-AL22)/AL10</f>
        <v>0.81548708905621647</v>
      </c>
      <c r="AM23" s="254">
        <v>0.8</v>
      </c>
      <c r="AN23" s="254">
        <v>0.8</v>
      </c>
      <c r="AO23" s="254">
        <v>0.81</v>
      </c>
      <c r="AP23" s="254">
        <v>0.81</v>
      </c>
      <c r="AQ23" s="253">
        <f t="shared" ref="AQ23" si="59">(AQ10-AQ22)/AQ10</f>
        <v>0.80547038963784867</v>
      </c>
    </row>
    <row r="24" spans="3:43">
      <c r="C24" s="198"/>
      <c r="H24" s="31"/>
      <c r="M24" s="31"/>
      <c r="R24" s="31"/>
      <c r="W24" s="31"/>
      <c r="AB24" s="31"/>
      <c r="AG24" s="31"/>
      <c r="AL24" s="31"/>
      <c r="AQ24" s="31"/>
    </row>
    <row r="25" spans="3:43">
      <c r="C25" s="184" t="s">
        <v>140</v>
      </c>
      <c r="D25" s="213">
        <v>0</v>
      </c>
      <c r="E25" s="213">
        <v>0</v>
      </c>
      <c r="F25" s="213">
        <v>0</v>
      </c>
      <c r="G25" s="213">
        <v>0</v>
      </c>
      <c r="H25" s="176">
        <f>SUM(D25:G25)</f>
        <v>0</v>
      </c>
      <c r="I25" s="213">
        <v>0</v>
      </c>
      <c r="J25" s="213">
        <v>0.34762783999999997</v>
      </c>
      <c r="K25" s="213">
        <v>0.56694555000000002</v>
      </c>
      <c r="L25" s="213">
        <v>0.62389247999999997</v>
      </c>
      <c r="M25" s="176">
        <f>SUM(I25:L25)</f>
        <v>1.53846587</v>
      </c>
      <c r="N25" s="213">
        <v>0.85457930000000004</v>
      </c>
      <c r="O25" s="213">
        <v>0.84599395999999993</v>
      </c>
      <c r="P25" s="213">
        <v>0.88857844999999991</v>
      </c>
      <c r="Q25" s="255">
        <v>-0.49069354999999981</v>
      </c>
      <c r="R25" s="176">
        <f>SUM(N25:Q25)</f>
        <v>2.0984581599999999</v>
      </c>
      <c r="S25" s="213">
        <v>3.9971130900000005</v>
      </c>
      <c r="T25" s="213">
        <v>5.3092387199999997</v>
      </c>
      <c r="U25" s="213">
        <v>5.2758345000000002</v>
      </c>
      <c r="V25" s="213">
        <v>5.1756207600000002</v>
      </c>
      <c r="W25" s="176">
        <f>SUM(S25:V25)</f>
        <v>19.757807070000002</v>
      </c>
      <c r="X25" s="213">
        <v>6.0751707599999998</v>
      </c>
      <c r="Y25" s="213">
        <v>6.5549540000000004</v>
      </c>
      <c r="Z25" s="213">
        <v>7.0009332100000012</v>
      </c>
      <c r="AA25" s="258">
        <v>6.86660586</v>
      </c>
      <c r="AB25" s="176">
        <f>SUM(X25:AA25)</f>
        <v>26.49766383</v>
      </c>
      <c r="AC25" s="258">
        <v>6.3616324000000004</v>
      </c>
      <c r="AD25" s="258">
        <f t="shared" ref="AD25:AF25" si="60">AD13*(1-AD26)</f>
        <v>6.1950000000000012</v>
      </c>
      <c r="AE25" s="258">
        <f t="shared" si="60"/>
        <v>5.7570000000000006</v>
      </c>
      <c r="AF25" s="258">
        <f t="shared" si="60"/>
        <v>5.1694830557999989</v>
      </c>
      <c r="AG25" s="256">
        <f>SUM(AC25:AF25)</f>
        <v>23.483115455800004</v>
      </c>
      <c r="AH25" s="258">
        <f t="shared" ref="AH25" si="61">AH13*(1-AH26)</f>
        <v>7.6500235143999991</v>
      </c>
      <c r="AI25" s="258">
        <f t="shared" ref="AI25" si="62">AI13*(1-AI26)</f>
        <v>5.25</v>
      </c>
      <c r="AJ25" s="258">
        <f t="shared" ref="AJ25" si="63">AJ13*(1-AJ26)</f>
        <v>5.05</v>
      </c>
      <c r="AK25" s="258">
        <f t="shared" ref="AK25" si="64">AK13*(1-AK26)</f>
        <v>5.2749827099999989</v>
      </c>
      <c r="AL25" s="256">
        <f>SUM(AH25:AK25)</f>
        <v>23.225006224399998</v>
      </c>
      <c r="AM25" s="258">
        <f t="shared" ref="AM25" si="65">AM13*(1-AM26)</f>
        <v>5.5125169441999997</v>
      </c>
      <c r="AN25" s="258">
        <f t="shared" ref="AN25" si="66">AN13*(1-AN26)</f>
        <v>5.1449999999999996</v>
      </c>
      <c r="AO25" s="258">
        <f t="shared" ref="AO25" si="67">AO13*(1-AO26)</f>
        <v>4.8984999999999994</v>
      </c>
      <c r="AP25" s="258">
        <f t="shared" ref="AP25" si="68">AP13*(1-AP26)</f>
        <v>5.1167332286999985</v>
      </c>
      <c r="AQ25" s="256">
        <f>SUM(AM25:AP25)</f>
        <v>20.672750172899999</v>
      </c>
    </row>
    <row r="26" spans="3:43">
      <c r="C26" s="186" t="s">
        <v>118</v>
      </c>
      <c r="D26" s="252"/>
      <c r="E26" s="252"/>
      <c r="F26" s="252">
        <f t="shared" ref="F26:G26" si="69">(F13-F25)/F13</f>
        <v>1</v>
      </c>
      <c r="G26" s="252">
        <f t="shared" si="69"/>
        <v>1</v>
      </c>
      <c r="H26" s="253">
        <f t="shared" ref="H26" si="70">(H13-H25)/H13</f>
        <v>1</v>
      </c>
      <c r="I26" s="252">
        <f t="shared" ref="I26" si="71">(I13-I25)/I13</f>
        <v>1</v>
      </c>
      <c r="J26" s="252">
        <f t="shared" ref="J26" si="72">(J13-J25)/J13</f>
        <v>9.8241660181582466E-2</v>
      </c>
      <c r="K26" s="252">
        <f t="shared" ref="K26" si="73">(K13-K25)/K13</f>
        <v>0.30463005096189816</v>
      </c>
      <c r="L26" s="252">
        <f t="shared" ref="L26" si="74">(L13-L25)/L13</f>
        <v>0.39801089363508729</v>
      </c>
      <c r="M26" s="253">
        <f t="shared" ref="M26" si="75">(M13-M25)/M13</f>
        <v>0.4771924185272029</v>
      </c>
      <c r="N26" s="252">
        <f t="shared" ref="N26" si="76">(N13-N25)/N13</f>
        <v>0.3089282710658256</v>
      </c>
      <c r="O26" s="252">
        <f t="shared" ref="O26" si="77">(O13-O25)/O13</f>
        <v>0.50716884539205409</v>
      </c>
      <c r="P26" s="252">
        <f t="shared" ref="P26" si="78">(P13-P25)/P13</f>
        <v>0.37833389302829962</v>
      </c>
      <c r="Q26" s="257">
        <f t="shared" ref="Q26" si="79">(Q13-Q25)/Q13</f>
        <v>1.3075484487621436</v>
      </c>
      <c r="R26" s="253">
        <f t="shared" ref="R26" si="80">(R13-R25)/R13</f>
        <v>0.64897279882235848</v>
      </c>
      <c r="S26" s="252">
        <f t="shared" ref="S26" si="81">(S13-S25)/S13</f>
        <v>0.38346126080804471</v>
      </c>
      <c r="T26" s="252">
        <f t="shared" ref="T26" si="82">(T13-T25)/T13</f>
        <v>0.32867051800518804</v>
      </c>
      <c r="U26" s="252">
        <f t="shared" ref="U26" si="83">(U13-U25)/U13</f>
        <v>0.29464219124143165</v>
      </c>
      <c r="V26" s="252">
        <f t="shared" ref="V26" si="84">(V13-V25)/V13</f>
        <v>0.44819045149755538</v>
      </c>
      <c r="W26" s="253">
        <f t="shared" ref="W26" si="85">(W13-W25)/W13</f>
        <v>0.3677645701147903</v>
      </c>
      <c r="X26" s="252">
        <f t="shared" ref="X26" si="86">(X13-X25)/X13</f>
        <v>0.40919098866124387</v>
      </c>
      <c r="Y26" s="252">
        <f t="shared" ref="Y26" si="87">(Y13-Y25)/Y13</f>
        <v>0.38375704019394452</v>
      </c>
      <c r="Z26" s="252">
        <f t="shared" ref="Z26:AC26" si="88">(Z13-Z25)/Z13</f>
        <v>0.3401491916081294</v>
      </c>
      <c r="AA26" s="252">
        <f t="shared" si="88"/>
        <v>0.51298845200190168</v>
      </c>
      <c r="AB26" s="253">
        <f t="shared" ref="AB26" si="89">(AB13-AB25)/AB13</f>
        <v>0.41928158214104128</v>
      </c>
      <c r="AC26" s="252">
        <f t="shared" si="88"/>
        <v>0.43452330259415073</v>
      </c>
      <c r="AD26" s="254">
        <v>0.41</v>
      </c>
      <c r="AE26" s="254">
        <v>0.43</v>
      </c>
      <c r="AF26" s="254">
        <v>0.51</v>
      </c>
      <c r="AG26" s="253">
        <f t="shared" ref="AG26" si="90">(AG13-AG25)/AG13</f>
        <v>0.44615293736320744</v>
      </c>
      <c r="AH26" s="254">
        <v>0.32</v>
      </c>
      <c r="AI26" s="254">
        <v>0.5</v>
      </c>
      <c r="AJ26" s="254">
        <v>0.5</v>
      </c>
      <c r="AK26" s="254">
        <v>0.5</v>
      </c>
      <c r="AL26" s="253">
        <f t="shared" ref="AL26" si="91">(AL13-AL25)/AL13</f>
        <v>0.45224041923584907</v>
      </c>
      <c r="AM26" s="254">
        <v>0.51</v>
      </c>
      <c r="AN26" s="254">
        <v>0.51</v>
      </c>
      <c r="AO26" s="254">
        <v>0.51500000000000001</v>
      </c>
      <c r="AP26" s="254">
        <v>0.51500000000000001</v>
      </c>
      <c r="AQ26" s="253">
        <f t="shared" ref="AQ26" si="92">(AQ13-AQ25)/AQ13</f>
        <v>0.51243513743160374</v>
      </c>
    </row>
    <row r="27" spans="3:43">
      <c r="C27" s="32"/>
      <c r="H27" s="31"/>
      <c r="M27" s="31"/>
      <c r="Q27" s="255"/>
      <c r="R27" s="31"/>
      <c r="W27" s="31"/>
      <c r="AB27" s="31"/>
      <c r="AG27" s="31"/>
      <c r="AL27" s="31"/>
      <c r="AQ27" s="31"/>
    </row>
    <row r="28" spans="3:43">
      <c r="C28" s="184" t="s">
        <v>141</v>
      </c>
      <c r="D28" s="213">
        <v>0</v>
      </c>
      <c r="E28" s="213">
        <v>0</v>
      </c>
      <c r="F28" s="213">
        <v>0</v>
      </c>
      <c r="G28" s="213">
        <v>0</v>
      </c>
      <c r="H28" s="176">
        <f>SUM(D28:G28)</f>
        <v>0</v>
      </c>
      <c r="I28" s="213">
        <v>0</v>
      </c>
      <c r="J28" s="213">
        <v>0.15657727000000002</v>
      </c>
      <c r="K28" s="213">
        <v>0.43420598999999999</v>
      </c>
      <c r="L28" s="213">
        <v>0.38275766000000006</v>
      </c>
      <c r="M28" s="176">
        <f>SUM(I28:L28)</f>
        <v>0.97354092000000003</v>
      </c>
      <c r="N28" s="213">
        <v>0.22794947999999998</v>
      </c>
      <c r="O28" s="213">
        <v>0.57796181000000002</v>
      </c>
      <c r="P28" s="213">
        <v>0.49325765000000005</v>
      </c>
      <c r="Q28" s="255">
        <v>-0.97571182000000012</v>
      </c>
      <c r="R28" s="176">
        <f>SUM(N28:Q28)</f>
        <v>0.32345712000000004</v>
      </c>
      <c r="S28" s="250">
        <v>-4.463251999999996E-2</v>
      </c>
      <c r="T28" s="213">
        <v>7.3457499999999995E-2</v>
      </c>
      <c r="U28" s="213">
        <v>5.7047279999999999E-2</v>
      </c>
      <c r="V28" s="213">
        <v>0.42619780499999993</v>
      </c>
      <c r="W28" s="176">
        <f>SUM(S28:V28)</f>
        <v>0.51207006499999996</v>
      </c>
      <c r="X28" s="213">
        <v>0.29937180500000005</v>
      </c>
      <c r="Y28" s="213">
        <v>0.62660893999999989</v>
      </c>
      <c r="Z28" s="213">
        <v>0.46558508700000012</v>
      </c>
      <c r="AA28" s="258">
        <v>0.56577116999999999</v>
      </c>
      <c r="AB28" s="176">
        <f>SUM(X28:AA28)</f>
        <v>1.957337002</v>
      </c>
      <c r="AC28" s="258">
        <v>0.42925186999999998</v>
      </c>
      <c r="AD28" s="258">
        <f t="shared" ref="AD28:AF28" si="93">AD16*(1-AD29)</f>
        <v>0.85575000000000001</v>
      </c>
      <c r="AE28" s="258">
        <f t="shared" si="93"/>
        <v>0.77526000000000095</v>
      </c>
      <c r="AF28" s="258">
        <f t="shared" si="93"/>
        <v>0.59952414959999933</v>
      </c>
      <c r="AG28" s="256">
        <f>SUM(AC28:AF28)</f>
        <v>2.6597860195999998</v>
      </c>
      <c r="AH28" s="258">
        <f t="shared" ref="AH28" si="94">AH16*(1-AH29)</f>
        <v>0.58443027912500001</v>
      </c>
      <c r="AI28" s="258">
        <f t="shared" ref="AI28" si="95">AI16*(1-AI29)</f>
        <v>1.0073400000000001</v>
      </c>
      <c r="AJ28" s="258">
        <f t="shared" ref="AJ28" si="96">AJ16*(1-AJ29)</f>
        <v>2.122489600000002</v>
      </c>
      <c r="AK28" s="258">
        <f t="shared" ref="AK28" si="97">AK16*(1-AK29)</f>
        <v>0.51958759631999929</v>
      </c>
      <c r="AL28" s="256">
        <f>SUM(AH28:AK28)</f>
        <v>4.2338474754450015</v>
      </c>
      <c r="AM28" s="258">
        <f t="shared" ref="AM28" si="98">AM16*(1-AM29)</f>
        <v>0.84742390473124996</v>
      </c>
      <c r="AN28" s="258">
        <f t="shared" ref="AN28" si="99">AN16*(1-AN29)</f>
        <v>1.4606430000000001</v>
      </c>
      <c r="AO28" s="258">
        <f t="shared" ref="AO28" si="100">AO16*(1-AO29)</f>
        <v>2.4014453760000016</v>
      </c>
      <c r="AP28" s="258">
        <f t="shared" ref="AP28" si="101">AP16*(1-AP29)</f>
        <v>0.74820613870079899</v>
      </c>
      <c r="AQ28" s="256">
        <f>SUM(AM28:AP28)</f>
        <v>5.4577184194320507</v>
      </c>
    </row>
    <row r="29" spans="3:43">
      <c r="C29" s="186" t="s">
        <v>118</v>
      </c>
      <c r="D29" s="228" t="str">
        <f t="shared" ref="D29" si="102">IFERROR(1-(D28/#REF!),"")</f>
        <v/>
      </c>
      <c r="E29" s="228" t="str">
        <f t="shared" ref="E29" si="103">IFERROR(1-(E28/#REF!),"")</f>
        <v/>
      </c>
      <c r="F29" s="228" t="str">
        <f t="shared" ref="F29" si="104">IFERROR(1-(F28/#REF!),"")</f>
        <v/>
      </c>
      <c r="G29" s="228" t="str">
        <f t="shared" ref="G29" si="105">IFERROR(1-(G28/#REF!),"")</f>
        <v/>
      </c>
      <c r="H29" s="200" t="str">
        <f t="shared" ref="H29" si="106">IFERROR(1-(H28/#REF!),"")</f>
        <v/>
      </c>
      <c r="I29" s="252"/>
      <c r="J29" s="252"/>
      <c r="K29" s="252"/>
      <c r="L29" s="252"/>
      <c r="M29" s="253"/>
      <c r="N29" s="252"/>
      <c r="O29" s="252">
        <f t="shared" ref="O29" si="107">(O16-O28)/O16</f>
        <v>-0.34315883307759726</v>
      </c>
      <c r="P29" s="252">
        <f t="shared" ref="P29" si="108">(P16-P28)/P16</f>
        <v>-2.0137534392610252</v>
      </c>
      <c r="Q29" s="252">
        <f t="shared" ref="Q29:R29" si="109">(Q16-Q28)/Q16</f>
        <v>5.3114962398702392</v>
      </c>
      <c r="R29" s="253">
        <f t="shared" si="109"/>
        <v>0.60567185605872975</v>
      </c>
      <c r="S29" s="252">
        <f t="shared" ref="S29" si="110">(S16-S28)/S16</f>
        <v>1.1557402699057138</v>
      </c>
      <c r="T29" s="252">
        <f t="shared" ref="T29" si="111">(T16-T28)/T16</f>
        <v>0.90044849843688257</v>
      </c>
      <c r="U29" s="252">
        <f t="shared" ref="U29" si="112">(U16-U28)/U16</f>
        <v>0.95764660173352234</v>
      </c>
      <c r="V29" s="252">
        <f t="shared" ref="V29" si="113">(V16-V28)/V16</f>
        <v>0.38743897216145456</v>
      </c>
      <c r="W29" s="253">
        <f t="shared" ref="W29" si="114">(W16-W28)/W16</f>
        <v>0.83304783675875671</v>
      </c>
      <c r="X29" s="252">
        <f t="shared" ref="X29" si="115">(X16-X28)/X16</f>
        <v>0.43483496201492544</v>
      </c>
      <c r="Y29" s="252">
        <f t="shared" ref="Y29" si="116">(Y16-Y28)/Y16</f>
        <v>0.16751649805710772</v>
      </c>
      <c r="Z29" s="252">
        <f t="shared" ref="Z29:AC29" si="117">(Z16-Z28)/Z16</f>
        <v>0.73640178798664657</v>
      </c>
      <c r="AA29" s="252">
        <f t="shared" si="117"/>
        <v>0.77232735558151056</v>
      </c>
      <c r="AB29" s="253">
        <f t="shared" ref="AB29" si="118">(AB16-AB28)/AB16</f>
        <v>0.64628742817893847</v>
      </c>
      <c r="AC29" s="252">
        <f t="shared" si="117"/>
        <v>0.35733072076221722</v>
      </c>
      <c r="AD29" s="254">
        <v>0.65</v>
      </c>
      <c r="AE29" s="254">
        <v>0.82</v>
      </c>
      <c r="AF29" s="254">
        <v>0.88</v>
      </c>
      <c r="AG29" s="253">
        <f t="shared" ref="AG29" si="119">(AG16-AG28)/AG16</f>
        <v>0.78577676536065511</v>
      </c>
      <c r="AH29" s="254">
        <v>0.5</v>
      </c>
      <c r="AI29" s="254">
        <v>0.6</v>
      </c>
      <c r="AJ29" s="254">
        <v>0.72</v>
      </c>
      <c r="AK29" s="254">
        <v>0.9</v>
      </c>
      <c r="AL29" s="253">
        <f t="shared" ref="AL29" si="120">(AL16-AL28)/AL16</f>
        <v>0.74283284143358996</v>
      </c>
      <c r="AM29" s="254">
        <v>0.5</v>
      </c>
      <c r="AN29" s="254">
        <v>0.6</v>
      </c>
      <c r="AO29" s="254">
        <v>0.78</v>
      </c>
      <c r="AP29" s="254">
        <v>0.9</v>
      </c>
      <c r="AQ29" s="253">
        <f t="shared" ref="AQ29" si="121">(AQ16-AQ28)/AQ16</f>
        <v>0.77014497890089795</v>
      </c>
    </row>
    <row r="30" spans="3:43" ht="15.75" thickBot="1">
      <c r="C30" s="178"/>
      <c r="D30" s="165"/>
      <c r="E30" s="165"/>
      <c r="F30" s="165"/>
      <c r="G30" s="165"/>
      <c r="H30" s="178"/>
      <c r="I30" s="165"/>
      <c r="J30" s="165"/>
      <c r="K30" s="165"/>
      <c r="L30" s="165"/>
      <c r="M30" s="178"/>
      <c r="N30" s="165"/>
      <c r="O30" s="165"/>
      <c r="P30" s="165"/>
      <c r="Q30" s="165"/>
      <c r="R30" s="178"/>
      <c r="S30" s="165"/>
      <c r="T30" s="165"/>
      <c r="U30" s="165"/>
      <c r="V30" s="165"/>
      <c r="W30" s="178"/>
      <c r="X30" s="165"/>
      <c r="Y30" s="165"/>
      <c r="Z30" s="165"/>
      <c r="AA30" s="165"/>
      <c r="AB30" s="178"/>
      <c r="AC30" s="165"/>
      <c r="AD30" s="165"/>
      <c r="AE30" s="165"/>
      <c r="AF30" s="165"/>
      <c r="AG30" s="178"/>
      <c r="AH30" s="165"/>
      <c r="AI30" s="165"/>
      <c r="AJ30" s="165"/>
      <c r="AK30" s="165"/>
      <c r="AL30" s="178"/>
      <c r="AM30" s="165"/>
      <c r="AN30" s="165"/>
      <c r="AO30" s="165"/>
      <c r="AP30" s="165"/>
      <c r="AQ30" s="178"/>
    </row>
    <row r="31" spans="3:43" ht="15.75" thickBot="1">
      <c r="C31" s="183" t="s">
        <v>142</v>
      </c>
      <c r="D31" s="164">
        <f>D7-D19</f>
        <v>1.3130206830000006</v>
      </c>
      <c r="E31" s="164">
        <f t="shared" ref="E31:G31" si="122">E7-E19</f>
        <v>2.9315900299999993</v>
      </c>
      <c r="F31" s="164">
        <f t="shared" si="122"/>
        <v>5.3359557300000002</v>
      </c>
      <c r="G31" s="164">
        <f t="shared" si="122"/>
        <v>18.256705449999998</v>
      </c>
      <c r="H31" s="174">
        <f>SUM(D31:G31)</f>
        <v>27.837271893</v>
      </c>
      <c r="I31" s="164">
        <f>I7-I19</f>
        <v>3.1854783299999996</v>
      </c>
      <c r="J31" s="164">
        <f t="shared" ref="J31:L31" si="123">J7-J19</f>
        <v>4.1993052100000003</v>
      </c>
      <c r="K31" s="164">
        <f t="shared" si="123"/>
        <v>1.5158920500000006</v>
      </c>
      <c r="L31" s="164">
        <f t="shared" si="123"/>
        <v>20.100254899999999</v>
      </c>
      <c r="M31" s="174">
        <f>SUM(I31:L31)</f>
        <v>29.000930490000002</v>
      </c>
      <c r="N31" s="164">
        <f>N7-N19</f>
        <v>8.030540389999997</v>
      </c>
      <c r="O31" s="164">
        <f t="shared" ref="O31:Q31" si="124">O7-O19</f>
        <v>6.2474315900000006</v>
      </c>
      <c r="P31" s="164">
        <f t="shared" si="124"/>
        <v>7.8036143800000008</v>
      </c>
      <c r="Q31" s="164">
        <f t="shared" si="124"/>
        <v>28.826335599999997</v>
      </c>
      <c r="R31" s="174">
        <f>SUM(N31:Q31)</f>
        <v>50.907921959999996</v>
      </c>
      <c r="S31" s="164">
        <f>S7-S19</f>
        <v>15.061935730000002</v>
      </c>
      <c r="T31" s="164">
        <f t="shared" ref="T31:V31" si="125">T7-T19</f>
        <v>15.684013269999998</v>
      </c>
      <c r="U31" s="164">
        <f t="shared" si="125"/>
        <v>19.738435149999997</v>
      </c>
      <c r="V31" s="164">
        <f t="shared" si="125"/>
        <v>31.973157622000002</v>
      </c>
      <c r="W31" s="174">
        <f>SUM(S31:V31)</f>
        <v>82.457541771999999</v>
      </c>
      <c r="X31" s="164">
        <f>X7-X19</f>
        <v>22.173372628000006</v>
      </c>
      <c r="Y31" s="164">
        <f t="shared" ref="Y31:AQ31" si="126">Y7-Y19</f>
        <v>26.685788598000006</v>
      </c>
      <c r="Z31" s="164">
        <f t="shared" si="126"/>
        <v>23.752626244000002</v>
      </c>
      <c r="AA31" s="164">
        <f t="shared" si="126"/>
        <v>39.705854657999993</v>
      </c>
      <c r="AB31" s="174">
        <f>SUM(X31:AA31)</f>
        <v>112.317642128</v>
      </c>
      <c r="AC31" s="164">
        <f>AC7-AC19</f>
        <v>27.962351099999999</v>
      </c>
      <c r="AD31" s="164">
        <f>AD7-AD19+7.229+0.119</f>
        <v>38.861000000000004</v>
      </c>
      <c r="AE31" s="164">
        <f>AE7-AE19+0.916+0.043</f>
        <v>50.502000000000002</v>
      </c>
      <c r="AF31" s="164">
        <f>AF7-AF19+0.385+0.202</f>
        <v>64.399000000000001</v>
      </c>
      <c r="AG31" s="174">
        <f t="shared" si="126"/>
        <v>176.62833389460002</v>
      </c>
      <c r="AH31" s="164">
        <f>AH7-AH19</f>
        <v>46.837000000000003</v>
      </c>
      <c r="AI31" s="164">
        <f t="shared" ref="AI31:AK31" si="127">AI7-AI19</f>
        <v>53.759</v>
      </c>
      <c r="AJ31" s="164">
        <f t="shared" si="127"/>
        <v>56.663000000000004</v>
      </c>
      <c r="AK31" s="164">
        <f t="shared" si="127"/>
        <v>74.718000000000004</v>
      </c>
      <c r="AL31" s="174">
        <f t="shared" si="126"/>
        <v>241.5621930379298</v>
      </c>
      <c r="AM31" s="164">
        <f>AM7-AM19</f>
        <v>65.595634165664052</v>
      </c>
      <c r="AN31" s="164">
        <f t="shared" ref="AN31:AP31" si="128">AN7-AN19</f>
        <v>73.515129299999998</v>
      </c>
      <c r="AO31" s="164">
        <f t="shared" si="128"/>
        <v>83.515035424000004</v>
      </c>
      <c r="AP31" s="164">
        <f t="shared" si="128"/>
        <v>95.192087439607192</v>
      </c>
      <c r="AQ31" s="174">
        <f t="shared" si="126"/>
        <v>317.81788632927123</v>
      </c>
    </row>
    <row r="32" spans="3:43" ht="15.75" thickBot="1">
      <c r="C32" s="210" t="s">
        <v>118</v>
      </c>
      <c r="D32" s="225">
        <f>D20</f>
        <v>0.41143478318391069</v>
      </c>
      <c r="E32" s="225">
        <f t="shared" ref="E32:G32" si="129">E20</f>
        <v>0.62228317049097859</v>
      </c>
      <c r="F32" s="225">
        <f t="shared" si="129"/>
        <v>0.81497403593518225</v>
      </c>
      <c r="G32" s="225">
        <f t="shared" si="129"/>
        <v>0.92592229948445559</v>
      </c>
      <c r="H32" s="226">
        <f>H20</f>
        <v>0.81474012067018875</v>
      </c>
      <c r="I32" s="225">
        <f>I20</f>
        <v>0.69295470303431372</v>
      </c>
      <c r="J32" s="225">
        <f t="shared" ref="J32:L32" si="130">J20</f>
        <v>0.73968241325029149</v>
      </c>
      <c r="K32" s="225">
        <f t="shared" si="130"/>
        <v>0.41484258961816167</v>
      </c>
      <c r="L32" s="225">
        <f t="shared" si="130"/>
        <v>0.90687183456819176</v>
      </c>
      <c r="M32" s="226">
        <f>M20</f>
        <v>0.8035135881805946</v>
      </c>
      <c r="N32" s="225">
        <f>N20</f>
        <v>0.78117881518922416</v>
      </c>
      <c r="O32" s="225">
        <f t="shared" ref="O32:Q32" si="131">O20</f>
        <v>0.70075686271413118</v>
      </c>
      <c r="P32" s="225">
        <f t="shared" si="131"/>
        <v>0.72029296024427247</v>
      </c>
      <c r="Q32" s="225">
        <f t="shared" si="131"/>
        <v>0.87854398161035807</v>
      </c>
      <c r="R32" s="226">
        <f>R20</f>
        <v>0.81011035891206129</v>
      </c>
      <c r="S32" s="225">
        <f>S20</f>
        <v>0.65916799738688625</v>
      </c>
      <c r="T32" s="225">
        <f t="shared" ref="T32:V32" si="132">T20</f>
        <v>0.59641325373524001</v>
      </c>
      <c r="U32" s="225">
        <f t="shared" si="132"/>
        <v>0.6400318896689503</v>
      </c>
      <c r="V32" s="225">
        <f t="shared" si="132"/>
        <v>0.74882958906277219</v>
      </c>
      <c r="W32" s="226">
        <f>W20</f>
        <v>0.67211094348128508</v>
      </c>
      <c r="X32" s="225">
        <f>X20</f>
        <v>0.66058534266220725</v>
      </c>
      <c r="Y32" s="225">
        <f t="shared" ref="Y32:AA32" si="133">Y20</f>
        <v>0.65902573214627225</v>
      </c>
      <c r="Z32" s="225">
        <f t="shared" si="133"/>
        <v>0.60528710542724995</v>
      </c>
      <c r="AA32" s="225">
        <f t="shared" si="133"/>
        <v>0.715437241168281</v>
      </c>
      <c r="AB32" s="226">
        <f>AB20</f>
        <v>0.66539014224530413</v>
      </c>
      <c r="AC32" s="225">
        <f>AC20</f>
        <v>0.64651904555197559</v>
      </c>
      <c r="AD32" s="380">
        <f>AD31/AD7</f>
        <v>0.72441047627924315</v>
      </c>
      <c r="AE32" s="225">
        <f t="shared" ref="AE32:AF32" si="134">AE20</f>
        <v>0.76802517556234207</v>
      </c>
      <c r="AF32" s="225">
        <f t="shared" si="134"/>
        <v>0.79520474540787078</v>
      </c>
      <c r="AG32" s="226">
        <f t="shared" ref="AG32:AQ32" si="135">AG20</f>
        <v>0.73093044005679186</v>
      </c>
      <c r="AH32" s="380">
        <f>AH20</f>
        <v>0.75625272471864757</v>
      </c>
      <c r="AI32" s="225">
        <f>AI20</f>
        <v>0.73852895922628869</v>
      </c>
      <c r="AJ32" s="380">
        <f t="shared" ref="AJ32:AK32" si="136">AJ20</f>
        <v>0.6967219161912257</v>
      </c>
      <c r="AK32" s="225">
        <f t="shared" si="136"/>
        <v>0.74453689402620693</v>
      </c>
      <c r="AL32" s="226">
        <f t="shared" si="135"/>
        <v>0.76305724585761536</v>
      </c>
      <c r="AM32" s="225">
        <f>AM20</f>
        <v>0.75650973868590687</v>
      </c>
      <c r="AN32" s="225">
        <f t="shared" ref="AN32:AP32" si="137">AN20</f>
        <v>0.76092328135314746</v>
      </c>
      <c r="AO32" s="225">
        <f t="shared" si="137"/>
        <v>0.77914784967487605</v>
      </c>
      <c r="AP32" s="225">
        <f t="shared" si="137"/>
        <v>0.78976592330954254</v>
      </c>
      <c r="AQ32" s="226">
        <f t="shared" si="135"/>
        <v>0.77320239802747448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8EAA3-A0DC-445A-9A9B-BFB0456CF600}">
  <dimension ref="B2:P31"/>
  <sheetViews>
    <sheetView showGridLines="0" workbookViewId="0">
      <selection activeCell="C16" sqref="C16"/>
    </sheetView>
  </sheetViews>
  <sheetFormatPr defaultRowHeight="15"/>
  <sheetData>
    <row r="2" spans="2:16">
      <c r="B2" s="122"/>
      <c r="C2" s="123"/>
      <c r="D2" s="124"/>
      <c r="E2" s="125"/>
      <c r="F2" s="126"/>
      <c r="G2" s="122"/>
      <c r="H2" s="122"/>
      <c r="I2" s="122"/>
      <c r="J2" s="122"/>
      <c r="K2" s="122"/>
      <c r="L2" s="122"/>
      <c r="M2" s="126"/>
      <c r="N2" s="122"/>
      <c r="O2" s="122"/>
      <c r="P2" s="122"/>
    </row>
    <row r="3" spans="2:16" ht="15.75" thickBot="1">
      <c r="B3" s="127" t="s">
        <v>189</v>
      </c>
      <c r="C3" s="128"/>
      <c r="D3" s="128"/>
      <c r="E3" s="129"/>
      <c r="F3" s="288"/>
      <c r="G3" s="289"/>
      <c r="H3" s="290"/>
      <c r="I3" s="291" t="s">
        <v>90</v>
      </c>
      <c r="J3" s="292"/>
      <c r="K3" s="291" t="s">
        <v>91</v>
      </c>
      <c r="L3" s="290"/>
      <c r="M3" s="291" t="s">
        <v>92</v>
      </c>
      <c r="N3" s="292"/>
      <c r="O3" s="291" t="s">
        <v>93</v>
      </c>
      <c r="P3" s="293"/>
    </row>
    <row r="4" spans="2:16">
      <c r="B4" s="126" t="s">
        <v>94</v>
      </c>
      <c r="C4" s="122"/>
      <c r="D4" s="130">
        <v>86.66</v>
      </c>
      <c r="E4" s="154"/>
      <c r="F4" s="122"/>
      <c r="G4" s="122">
        <v>1</v>
      </c>
      <c r="H4" s="122"/>
      <c r="I4" s="122"/>
      <c r="J4" s="122"/>
      <c r="K4" s="122">
        <v>1</v>
      </c>
      <c r="L4" s="122"/>
      <c r="M4" s="122"/>
      <c r="N4" s="122"/>
      <c r="O4" s="122">
        <v>1</v>
      </c>
      <c r="P4" s="122"/>
    </row>
    <row r="5" spans="2:16">
      <c r="B5" s="293" t="s">
        <v>95</v>
      </c>
      <c r="C5" s="293"/>
      <c r="D5" s="294">
        <v>100</v>
      </c>
      <c r="E5" s="391">
        <f>D5/D4-1</f>
        <v>0.15393491807062087</v>
      </c>
      <c r="F5" s="132" t="s">
        <v>96</v>
      </c>
      <c r="G5" s="122"/>
      <c r="H5" s="122"/>
      <c r="I5" s="133">
        <f>D4</f>
        <v>86.66</v>
      </c>
      <c r="J5" s="122"/>
      <c r="K5" s="134">
        <f>D6</f>
        <v>100</v>
      </c>
      <c r="L5" s="135"/>
      <c r="M5" s="134">
        <f>D5</f>
        <v>100</v>
      </c>
      <c r="N5" s="135"/>
      <c r="O5" s="134">
        <f>D7</f>
        <v>30</v>
      </c>
      <c r="P5" s="122"/>
    </row>
    <row r="6" spans="2:16">
      <c r="B6" s="126" t="s">
        <v>91</v>
      </c>
      <c r="C6" s="122"/>
      <c r="D6" s="136">
        <v>100</v>
      </c>
      <c r="E6" s="131">
        <f>$D$4</f>
        <v>86.66</v>
      </c>
      <c r="F6" s="132" t="s">
        <v>97</v>
      </c>
      <c r="G6" s="122"/>
      <c r="H6" s="122"/>
      <c r="I6" s="137" t="s">
        <v>98</v>
      </c>
      <c r="J6" s="122"/>
      <c r="K6" s="137">
        <f>K5/$I$5-1</f>
        <v>0.15393491807062087</v>
      </c>
      <c r="L6" s="122"/>
      <c r="M6" s="137">
        <f>M5/$I$5-1</f>
        <v>0.15393491807062087</v>
      </c>
      <c r="N6" s="122"/>
      <c r="O6" s="137">
        <f>O5/$I$5-1</f>
        <v>-0.65381952457881376</v>
      </c>
      <c r="P6" s="122"/>
    </row>
    <row r="7" spans="2:16">
      <c r="B7" s="126" t="s">
        <v>93</v>
      </c>
      <c r="C7" s="122"/>
      <c r="D7" s="136">
        <v>30</v>
      </c>
      <c r="E7" s="131">
        <f>$D$4</f>
        <v>86.66</v>
      </c>
      <c r="F7" s="132" t="s">
        <v>99</v>
      </c>
      <c r="G7" s="122"/>
      <c r="H7" s="122"/>
      <c r="I7" s="138">
        <f>C14</f>
        <v>1589.9854692778865</v>
      </c>
      <c r="J7" s="122"/>
      <c r="K7" s="138">
        <f>C14</f>
        <v>1589.9854692778865</v>
      </c>
      <c r="L7" s="122"/>
      <c r="M7" s="138">
        <f>C14</f>
        <v>1589.9854692778865</v>
      </c>
      <c r="N7" s="122"/>
      <c r="O7" s="138">
        <f>C14</f>
        <v>1589.9854692778865</v>
      </c>
      <c r="P7" s="122"/>
    </row>
    <row r="8" spans="2:16">
      <c r="B8" s="122"/>
      <c r="C8" s="122"/>
      <c r="D8" s="122"/>
      <c r="E8" s="122"/>
      <c r="F8" s="139" t="s">
        <v>100</v>
      </c>
      <c r="G8" s="122"/>
      <c r="H8" s="122"/>
      <c r="I8" s="140">
        <f>(I5*C12+C15-C16)/I7</f>
        <v>9.8089838563639198</v>
      </c>
      <c r="J8" s="122"/>
      <c r="K8" s="140">
        <f>(K5*C12+C15-C16)/K7</f>
        <v>11.34251057538946</v>
      </c>
      <c r="L8" s="122"/>
      <c r="M8" s="155">
        <f>(M5*C12+C15-C16)/M7</f>
        <v>11.34251057538946</v>
      </c>
      <c r="N8" s="122"/>
      <c r="O8" s="140">
        <f>(O5*C12+C15-C16)/O7</f>
        <v>3.295518796394874</v>
      </c>
      <c r="P8" s="122"/>
    </row>
    <row r="9" spans="2:16">
      <c r="B9" s="132" t="s">
        <v>101</v>
      </c>
      <c r="C9" s="141"/>
      <c r="D9" s="122"/>
      <c r="E9" s="122"/>
      <c r="F9" s="139" t="s">
        <v>102</v>
      </c>
      <c r="G9" s="122"/>
      <c r="H9" s="122"/>
      <c r="I9" s="140">
        <f>I5/$C$17</f>
        <v>-46.556171811470534</v>
      </c>
      <c r="J9" s="140"/>
      <c r="K9" s="140">
        <f>K5/$C$17</f>
        <v>-53.722792304951</v>
      </c>
      <c r="L9" s="122"/>
      <c r="M9" s="140">
        <f>M5/$C$17</f>
        <v>-53.722792304951</v>
      </c>
      <c r="N9" s="122"/>
      <c r="O9" s="140">
        <f>O5/$C$17</f>
        <v>-16.116837691485298</v>
      </c>
      <c r="P9" s="122"/>
    </row>
    <row r="10" spans="2:16">
      <c r="B10" s="132" t="s">
        <v>103</v>
      </c>
      <c r="C10" s="142"/>
      <c r="D10" s="122"/>
      <c r="E10" s="126"/>
      <c r="F10" s="139" t="s">
        <v>104</v>
      </c>
      <c r="G10" s="122"/>
      <c r="H10" s="122"/>
      <c r="I10" s="140">
        <f>(I5*C12+C15-C16)/C18</f>
        <v>287.63317404012628</v>
      </c>
      <c r="J10" s="140"/>
      <c r="K10" s="140">
        <f>(K5*C12+C15-C16)/C18</f>
        <v>332.60145659902582</v>
      </c>
      <c r="L10" s="140"/>
      <c r="M10" s="140">
        <f>(M5*C12+C15-C16)/C18</f>
        <v>332.60145659902582</v>
      </c>
      <c r="N10" s="140"/>
      <c r="O10" s="140">
        <f>(O5*C12+C15-C16)/C18</f>
        <v>96.635955915145161</v>
      </c>
      <c r="P10" s="122"/>
    </row>
    <row r="11" spans="2:16">
      <c r="B11" s="122"/>
      <c r="C11" s="122"/>
      <c r="D11" s="122"/>
      <c r="E11" s="126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</row>
    <row r="12" spans="2:16">
      <c r="B12" s="132" t="s">
        <v>105</v>
      </c>
      <c r="C12" s="143">
        <v>182.78</v>
      </c>
      <c r="D12" s="122"/>
      <c r="E12" s="126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</row>
    <row r="13" spans="2:16">
      <c r="B13" s="132" t="s">
        <v>106</v>
      </c>
      <c r="C13" s="144">
        <f>C12*D4</f>
        <v>15839.7148</v>
      </c>
      <c r="D13" s="135"/>
      <c r="E13" s="150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</row>
    <row r="14" spans="2:16">
      <c r="B14" s="132" t="s">
        <v>303</v>
      </c>
      <c r="C14" s="144">
        <f>IS!AQ15</f>
        <v>1589.9854692778865</v>
      </c>
      <c r="D14" s="122"/>
      <c r="E14" s="126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</row>
    <row r="15" spans="2:16">
      <c r="B15" s="132" t="s">
        <v>107</v>
      </c>
      <c r="C15" s="363">
        <f>BS!AK33+BS!AK37+BS!AK36</f>
        <v>511.42499999999995</v>
      </c>
      <c r="D15" s="122"/>
      <c r="E15" s="126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</row>
    <row r="16" spans="2:16">
      <c r="B16" s="132" t="s">
        <v>108</v>
      </c>
      <c r="C16" s="363">
        <f>BS!AK7+BS!AK8</f>
        <v>754.99800000000005</v>
      </c>
      <c r="D16" s="392">
        <f>C16-C15</f>
        <v>243.57300000000009</v>
      </c>
      <c r="E16" s="122" t="s">
        <v>190</v>
      </c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</row>
    <row r="17" spans="2:16">
      <c r="B17" s="132" t="s">
        <v>192</v>
      </c>
      <c r="C17" s="145">
        <f>IS!AQ82</f>
        <v>-1.8614073414568992</v>
      </c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</row>
    <row r="18" spans="2:16">
      <c r="B18" s="122" t="s">
        <v>191</v>
      </c>
      <c r="C18" s="144">
        <f>CF!AQ57</f>
        <v>54.222333192430227</v>
      </c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</row>
    <row r="19" spans="2:16"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</row>
    <row r="20" spans="2:16"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46"/>
      <c r="M20" s="122"/>
      <c r="N20" s="122"/>
      <c r="O20" s="122"/>
      <c r="P20" s="122"/>
    </row>
    <row r="21" spans="2:16"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</row>
    <row r="22" spans="2:16"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</row>
    <row r="23" spans="2:16"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</row>
    <row r="24" spans="2:16">
      <c r="B24" s="122"/>
      <c r="C24" s="146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</row>
    <row r="25" spans="2:16"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</row>
    <row r="26" spans="2:16"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</row>
    <row r="27" spans="2:16"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</row>
    <row r="28" spans="2:16"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</row>
    <row r="29" spans="2:16"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</row>
    <row r="30" spans="2:16"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</row>
    <row r="31" spans="2:16"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50D1-5A98-47BA-A7B1-56E8D978B640}">
  <sheetPr>
    <pageSetUpPr fitToPage="1"/>
  </sheetPr>
  <dimension ref="E2:V91"/>
  <sheetViews>
    <sheetView showGridLines="0" topLeftCell="D1" workbookViewId="0">
      <selection activeCell="P11" sqref="P11"/>
    </sheetView>
  </sheetViews>
  <sheetFormatPr defaultColWidth="10.28515625" defaultRowHeight="15" outlineLevelRow="1"/>
  <cols>
    <col min="5" max="5" width="26.7109375" bestFit="1" customWidth="1"/>
    <col min="6" max="6" width="9.85546875" customWidth="1"/>
    <col min="8" max="10" width="9.85546875" customWidth="1"/>
    <col min="11" max="11" width="11" bestFit="1" customWidth="1"/>
    <col min="16" max="17" width="10.42578125" customWidth="1"/>
    <col min="20" max="20" width="17" bestFit="1" customWidth="1"/>
  </cols>
  <sheetData>
    <row r="2" spans="5:21">
      <c r="T2" t="s">
        <v>293</v>
      </c>
    </row>
    <row r="4" spans="5:21">
      <c r="E4" s="296" t="s">
        <v>262</v>
      </c>
      <c r="F4" s="297"/>
      <c r="G4" s="2"/>
      <c r="H4" s="412" t="s">
        <v>261</v>
      </c>
      <c r="I4" s="413"/>
      <c r="J4" s="413"/>
      <c r="K4" s="414"/>
      <c r="L4" s="2"/>
      <c r="M4" s="52"/>
      <c r="N4" s="52"/>
      <c r="T4" t="s">
        <v>297</v>
      </c>
      <c r="U4" s="295">
        <v>0.104</v>
      </c>
    </row>
    <row r="5" spans="5:21">
      <c r="E5" s="298" t="s">
        <v>263</v>
      </c>
      <c r="F5" s="299">
        <v>0.05</v>
      </c>
      <c r="G5" s="2"/>
      <c r="H5" s="298" t="s">
        <v>252</v>
      </c>
      <c r="I5" s="300"/>
      <c r="J5" s="300"/>
      <c r="K5" s="301">
        <f>Q63*(1+F5)/(F6-F5)</f>
        <v>27071.053767568854</v>
      </c>
      <c r="L5" s="2"/>
      <c r="M5" s="52"/>
      <c r="N5" s="52"/>
      <c r="T5" t="s">
        <v>294</v>
      </c>
      <c r="U5" s="295">
        <v>0.127</v>
      </c>
    </row>
    <row r="6" spans="5:21">
      <c r="E6" s="302" t="s">
        <v>264</v>
      </c>
      <c r="F6" s="303">
        <v>0.127</v>
      </c>
      <c r="G6" s="2"/>
      <c r="H6" s="298" t="s">
        <v>253</v>
      </c>
      <c r="I6" s="300"/>
      <c r="J6" s="300"/>
      <c r="K6" s="301">
        <f>K5/((1+F6)^R18)</f>
        <v>8189.6624309841736</v>
      </c>
      <c r="L6" s="2"/>
      <c r="M6" s="52"/>
      <c r="N6" s="52"/>
      <c r="T6" t="s">
        <v>295</v>
      </c>
      <c r="U6" s="36">
        <f>BS!AB33+BS!AB37</f>
        <v>449.66514840000002</v>
      </c>
    </row>
    <row r="7" spans="5:21">
      <c r="E7" s="300"/>
      <c r="F7" s="300"/>
      <c r="G7" s="2"/>
      <c r="H7" s="298"/>
      <c r="I7" s="300"/>
      <c r="J7" s="300"/>
      <c r="K7" s="304"/>
      <c r="L7" s="2"/>
      <c r="M7" s="52"/>
      <c r="N7" s="52"/>
      <c r="T7" t="s">
        <v>296</v>
      </c>
      <c r="U7" s="36">
        <f>BS!AG37+BS!AG33</f>
        <v>435.43600000000004</v>
      </c>
    </row>
    <row r="8" spans="5:21">
      <c r="E8" s="296" t="s">
        <v>265</v>
      </c>
      <c r="F8" s="297"/>
      <c r="G8" s="2"/>
      <c r="H8" s="298" t="s">
        <v>254</v>
      </c>
      <c r="I8" s="300"/>
      <c r="J8" s="300"/>
      <c r="K8" s="301">
        <f>SUM(H65:Q65)</f>
        <v>2066.6812899393767</v>
      </c>
      <c r="L8" s="2"/>
      <c r="M8" s="52"/>
      <c r="N8" s="52"/>
    </row>
    <row r="9" spans="5:21">
      <c r="E9" s="298" t="s">
        <v>266</v>
      </c>
      <c r="F9" s="299">
        <f>R29</f>
        <v>0.1</v>
      </c>
      <c r="G9" s="2"/>
      <c r="H9" s="305" t="s">
        <v>255</v>
      </c>
      <c r="I9" s="306"/>
      <c r="J9" s="306"/>
      <c r="K9" s="307">
        <f>K8+K6</f>
        <v>10256.343720923551</v>
      </c>
      <c r="L9" s="2"/>
      <c r="M9" s="52"/>
      <c r="N9" s="52"/>
    </row>
    <row r="10" spans="5:21">
      <c r="E10" s="298" t="s">
        <v>267</v>
      </c>
      <c r="F10" s="299">
        <f>R31</f>
        <v>0.1</v>
      </c>
      <c r="G10" s="2"/>
      <c r="H10" s="308" t="s">
        <v>256</v>
      </c>
      <c r="I10" s="300"/>
      <c r="J10" s="300"/>
      <c r="K10" s="309">
        <f>Valuation!C15</f>
        <v>511.42499999999995</v>
      </c>
      <c r="L10" s="52"/>
      <c r="M10" s="52"/>
      <c r="N10" s="52"/>
    </row>
    <row r="11" spans="5:21">
      <c r="E11" s="298" t="s">
        <v>268</v>
      </c>
      <c r="F11" s="299">
        <f>R33</f>
        <v>0.15</v>
      </c>
      <c r="G11" s="2"/>
      <c r="H11" s="308" t="s">
        <v>257</v>
      </c>
      <c r="I11" s="300"/>
      <c r="J11" s="300"/>
      <c r="K11" s="309">
        <f>Valuation!C16</f>
        <v>754.99800000000005</v>
      </c>
      <c r="L11" s="52"/>
      <c r="M11" s="52"/>
      <c r="N11" s="52"/>
    </row>
    <row r="12" spans="5:21">
      <c r="E12" s="298" t="s">
        <v>269</v>
      </c>
      <c r="F12" s="299">
        <v>0.03</v>
      </c>
      <c r="G12" s="2"/>
      <c r="H12" s="305" t="s">
        <v>258</v>
      </c>
      <c r="I12" s="306"/>
      <c r="J12" s="306"/>
      <c r="K12" s="307">
        <f>K9-K10+K11</f>
        <v>10499.916720923551</v>
      </c>
      <c r="L12" s="52"/>
      <c r="M12" s="52"/>
      <c r="N12" s="52"/>
    </row>
    <row r="13" spans="5:21">
      <c r="E13" s="298" t="s">
        <v>270</v>
      </c>
      <c r="F13" s="299">
        <v>0.11</v>
      </c>
      <c r="G13" s="311"/>
      <c r="H13" s="312" t="s">
        <v>259</v>
      </c>
      <c r="I13" s="313"/>
      <c r="J13" s="313"/>
      <c r="K13" s="309">
        <v>172.11</v>
      </c>
      <c r="L13" s="310"/>
      <c r="M13" s="362" t="s">
        <v>302</v>
      </c>
      <c r="N13" s="310"/>
    </row>
    <row r="14" spans="5:21">
      <c r="E14" s="302" t="s">
        <v>271</v>
      </c>
      <c r="F14" s="303">
        <v>0</v>
      </c>
      <c r="G14" s="310"/>
      <c r="H14" s="314" t="s">
        <v>260</v>
      </c>
      <c r="I14" s="315"/>
      <c r="J14" s="315"/>
      <c r="K14" s="316">
        <f>ROUNDUP(K12/K13,0)</f>
        <v>62</v>
      </c>
      <c r="N14" s="310"/>
    </row>
    <row r="15" spans="5:21">
      <c r="G15" s="310"/>
      <c r="H15" s="310"/>
      <c r="I15" s="310"/>
      <c r="J15" s="310"/>
      <c r="K15" s="310"/>
      <c r="L15" s="310"/>
      <c r="M15" s="310"/>
      <c r="N15" s="310"/>
    </row>
    <row r="16" spans="5:21">
      <c r="G16" s="310"/>
      <c r="H16" s="306" t="s">
        <v>94</v>
      </c>
      <c r="I16" s="306"/>
      <c r="J16" s="306"/>
      <c r="K16" s="317">
        <v>27.26</v>
      </c>
      <c r="L16" s="310"/>
      <c r="M16" s="310"/>
      <c r="N16" s="310"/>
    </row>
    <row r="17" spans="5:22">
      <c r="E17" s="300"/>
      <c r="F17" s="318"/>
      <c r="G17" s="310"/>
      <c r="H17" s="300" t="s">
        <v>278</v>
      </c>
      <c r="I17" s="310"/>
      <c r="J17" s="310"/>
      <c r="K17" s="319">
        <f>K14/K16-1</f>
        <v>1.2743947175348493</v>
      </c>
      <c r="L17" s="310"/>
      <c r="M17" s="310"/>
      <c r="N17" s="310"/>
      <c r="O17" s="310"/>
      <c r="P17" s="310"/>
      <c r="Q17" s="310"/>
      <c r="R17" s="310"/>
    </row>
    <row r="18" spans="5:22">
      <c r="G18" s="310"/>
      <c r="H18" s="310"/>
      <c r="I18" s="320">
        <v>1</v>
      </c>
      <c r="J18" s="320">
        <v>2</v>
      </c>
      <c r="K18" s="320">
        <v>3</v>
      </c>
      <c r="L18" s="320">
        <v>4</v>
      </c>
      <c r="M18" s="320">
        <v>5</v>
      </c>
      <c r="N18" s="320">
        <v>6</v>
      </c>
      <c r="O18" s="320">
        <v>7</v>
      </c>
      <c r="P18" s="320">
        <v>8</v>
      </c>
      <c r="Q18" s="320">
        <v>9</v>
      </c>
      <c r="R18" s="320">
        <v>10</v>
      </c>
      <c r="S18" s="320">
        <v>11</v>
      </c>
    </row>
    <row r="19" spans="5:22" hidden="1" outlineLevel="1">
      <c r="F19" s="321" t="s">
        <v>247</v>
      </c>
      <c r="G19" s="310" t="s">
        <v>248</v>
      </c>
      <c r="H19" s="310" t="s">
        <v>249</v>
      </c>
      <c r="I19" s="310" t="s">
        <v>250</v>
      </c>
      <c r="J19" s="310" t="s">
        <v>251</v>
      </c>
      <c r="K19" s="320"/>
      <c r="L19" s="320"/>
      <c r="M19" s="320"/>
      <c r="N19" s="320"/>
      <c r="O19" s="320"/>
      <c r="P19" s="320"/>
      <c r="Q19" s="320"/>
      <c r="R19" s="320"/>
      <c r="U19" s="322"/>
    </row>
    <row r="20" spans="5:22" collapsed="1">
      <c r="E20" s="2"/>
      <c r="F20" s="415" t="s">
        <v>226</v>
      </c>
      <c r="G20" s="415"/>
      <c r="H20" s="415" t="s">
        <v>229</v>
      </c>
      <c r="I20" s="415"/>
      <c r="J20" s="415"/>
      <c r="K20" s="415" t="s">
        <v>241</v>
      </c>
      <c r="L20" s="415"/>
      <c r="M20" s="415"/>
      <c r="N20" s="415"/>
      <c r="O20" s="415"/>
      <c r="P20" s="415"/>
      <c r="Q20" s="415"/>
      <c r="R20" s="415"/>
    </row>
    <row r="21" spans="5:22">
      <c r="E21" s="2"/>
      <c r="F21" s="323" t="s">
        <v>227</v>
      </c>
      <c r="G21" s="323" t="s">
        <v>228</v>
      </c>
      <c r="H21" s="324" t="s">
        <v>230</v>
      </c>
      <c r="I21" s="324" t="s">
        <v>231</v>
      </c>
      <c r="J21" s="324" t="s">
        <v>232</v>
      </c>
      <c r="K21" s="324" t="s">
        <v>233</v>
      </c>
      <c r="L21" s="324" t="s">
        <v>234</v>
      </c>
      <c r="M21" s="324" t="s">
        <v>235</v>
      </c>
      <c r="N21" s="324" t="s">
        <v>236</v>
      </c>
      <c r="O21" s="324" t="s">
        <v>237</v>
      </c>
      <c r="P21" s="324" t="s">
        <v>238</v>
      </c>
      <c r="Q21" s="324" t="s">
        <v>239</v>
      </c>
      <c r="R21" s="324" t="s">
        <v>240</v>
      </c>
    </row>
    <row r="22" spans="5:22">
      <c r="E22" s="4"/>
      <c r="F22" s="325"/>
      <c r="G22" s="325"/>
      <c r="H22" s="326"/>
      <c r="I22" s="326"/>
      <c r="J22" s="326"/>
      <c r="K22" s="326"/>
      <c r="L22" s="326"/>
      <c r="M22" s="326"/>
      <c r="N22" s="326"/>
      <c r="O22" s="326"/>
      <c r="P22" s="326"/>
      <c r="Q22" s="326"/>
      <c r="R22" s="326"/>
    </row>
    <row r="23" spans="5:22">
      <c r="E23" s="4" t="s">
        <v>242</v>
      </c>
      <c r="F23" s="327">
        <f>IS!W15</f>
        <v>320.66891224900002</v>
      </c>
      <c r="G23" s="327">
        <f>IS!AB15</f>
        <v>531.75718015500024</v>
      </c>
      <c r="H23" s="327">
        <f>IS!AG15</f>
        <v>693.39804116599976</v>
      </c>
      <c r="I23" s="327">
        <f>IS!AL15</f>
        <v>1271.789</v>
      </c>
      <c r="J23" s="327">
        <f>IS!AQ15</f>
        <v>1589.9854692778865</v>
      </c>
      <c r="K23" s="327">
        <f t="shared" ref="K23" si="0">J23*(1+K24)</f>
        <v>2066.9811100612524</v>
      </c>
      <c r="L23" s="327">
        <f t="shared" ref="L23" si="1">K23*(1+L24)</f>
        <v>2645.735820878403</v>
      </c>
      <c r="M23" s="327">
        <f t="shared" ref="M23" si="2">L23*(1+M24)</f>
        <v>3333.6271343067879</v>
      </c>
      <c r="N23" s="327">
        <f t="shared" ref="N23" si="3">M23*(1+N24)</f>
        <v>4133.6976465404168</v>
      </c>
      <c r="O23" s="327">
        <f t="shared" ref="O23" si="4">N23*(1+O24)</f>
        <v>5043.1111287793083</v>
      </c>
      <c r="P23" s="327">
        <f t="shared" ref="P23" si="5">O23*(1+P24)</f>
        <v>6051.7333545351694</v>
      </c>
      <c r="Q23" s="327">
        <f t="shared" ref="Q23" si="6">P23*(1+Q24)</f>
        <v>7141.0453583514991</v>
      </c>
      <c r="R23" s="327">
        <f t="shared" ref="R23" si="7">Q23*(1+R24)</f>
        <v>8283.6126156877381</v>
      </c>
      <c r="V23" s="310"/>
    </row>
    <row r="24" spans="5:22">
      <c r="E24" s="328" t="s">
        <v>243</v>
      </c>
      <c r="F24" s="329">
        <f>IS!W16</f>
        <v>0.24361154082794134</v>
      </c>
      <c r="G24" s="329">
        <f t="shared" ref="G24:J24" si="8">G23/F23-1</f>
        <v>0.65827481194088988</v>
      </c>
      <c r="H24" s="329">
        <f t="shared" si="8"/>
        <v>0.30397494767044475</v>
      </c>
      <c r="I24" s="329">
        <f t="shared" si="8"/>
        <v>0.83413987997628802</v>
      </c>
      <c r="J24" s="329">
        <f t="shared" si="8"/>
        <v>0.25019595961113561</v>
      </c>
      <c r="K24" s="330">
        <v>0.3</v>
      </c>
      <c r="L24" s="330">
        <v>0.28000000000000003</v>
      </c>
      <c r="M24" s="330">
        <v>0.26</v>
      </c>
      <c r="N24" s="330">
        <v>0.24</v>
      </c>
      <c r="O24" s="330">
        <v>0.22</v>
      </c>
      <c r="P24" s="330">
        <v>0.2</v>
      </c>
      <c r="Q24" s="330">
        <v>0.18</v>
      </c>
      <c r="R24" s="330">
        <v>0.16</v>
      </c>
    </row>
    <row r="25" spans="5:22">
      <c r="E25" s="331" t="s">
        <v>244</v>
      </c>
      <c r="F25" s="332">
        <f>IS!W23</f>
        <v>190.481445823</v>
      </c>
      <c r="G25" s="332">
        <f>IS!AB23</f>
        <v>245.60022691300003</v>
      </c>
      <c r="H25" s="332">
        <f>IS!AG23</f>
        <v>289.31102822100002</v>
      </c>
      <c r="I25" s="332">
        <f>IS!AL23</f>
        <v>463.93600000000004</v>
      </c>
      <c r="J25" s="332">
        <f>IS!AQ23</f>
        <v>552.42286134861524</v>
      </c>
      <c r="K25" s="332">
        <f t="shared" ref="K25:R25" si="9">(1-K27)*K23</f>
        <v>826.79244402450104</v>
      </c>
      <c r="L25" s="332">
        <f t="shared" si="9"/>
        <v>1018.6082910381851</v>
      </c>
      <c r="M25" s="332">
        <f t="shared" si="9"/>
        <v>1233.4420396935116</v>
      </c>
      <c r="N25" s="332">
        <f t="shared" si="9"/>
        <v>1467.462664521848</v>
      </c>
      <c r="O25" s="332">
        <f t="shared" si="9"/>
        <v>1714.6577837849647</v>
      </c>
      <c r="P25" s="332">
        <f t="shared" si="9"/>
        <v>1966.8133402239298</v>
      </c>
      <c r="Q25" s="332">
        <f t="shared" si="9"/>
        <v>2213.7240610889653</v>
      </c>
      <c r="R25" s="332">
        <f t="shared" si="9"/>
        <v>2485.0837847063217</v>
      </c>
    </row>
    <row r="26" spans="5:22">
      <c r="E26" s="4" t="s">
        <v>245</v>
      </c>
      <c r="F26" s="333">
        <f>IS!W25</f>
        <v>130.18746642600001</v>
      </c>
      <c r="G26" s="333">
        <f>IS!AB25</f>
        <v>286.15695324200021</v>
      </c>
      <c r="H26" s="333">
        <f>IS!AG25</f>
        <v>404.08701294499974</v>
      </c>
      <c r="I26" s="333">
        <f>IS!AL25</f>
        <v>807.85299999999995</v>
      </c>
      <c r="J26" s="333">
        <f>IS!AQ25</f>
        <v>1037.5626079292713</v>
      </c>
      <c r="K26" s="334">
        <f t="shared" ref="K26:R26" si="10">K23-K25</f>
        <v>1240.1886660367513</v>
      </c>
      <c r="L26" s="334">
        <f t="shared" si="10"/>
        <v>1627.1275298402179</v>
      </c>
      <c r="M26" s="334">
        <f t="shared" si="10"/>
        <v>2100.1850946132763</v>
      </c>
      <c r="N26" s="334">
        <f t="shared" si="10"/>
        <v>2666.2349820185691</v>
      </c>
      <c r="O26" s="334">
        <f t="shared" si="10"/>
        <v>3328.4533449943438</v>
      </c>
      <c r="P26" s="334">
        <f t="shared" si="10"/>
        <v>4084.9200143112394</v>
      </c>
      <c r="Q26" s="334">
        <f t="shared" si="10"/>
        <v>4927.3212972625333</v>
      </c>
      <c r="R26" s="334">
        <f t="shared" si="10"/>
        <v>5798.5288309814168</v>
      </c>
    </row>
    <row r="27" spans="5:22">
      <c r="E27" s="328" t="s">
        <v>246</v>
      </c>
      <c r="F27" s="335">
        <f>F26/F23</f>
        <v>0.40598717696996212</v>
      </c>
      <c r="G27" s="335">
        <f>G26/G23</f>
        <v>0.5381346297168742</v>
      </c>
      <c r="H27" s="335">
        <f>H26/H23</f>
        <v>0.58276341863541714</v>
      </c>
      <c r="I27" s="335">
        <f>I26/I23</f>
        <v>0.63520992869100135</v>
      </c>
      <c r="J27" s="335">
        <f>J26/J23</f>
        <v>0.65256106296398697</v>
      </c>
      <c r="K27" s="330">
        <v>0.6</v>
      </c>
      <c r="L27" s="330">
        <v>0.61499999999999999</v>
      </c>
      <c r="M27" s="330">
        <v>0.63</v>
      </c>
      <c r="N27" s="330">
        <v>0.64500000000000002</v>
      </c>
      <c r="O27" s="330">
        <v>0.66</v>
      </c>
      <c r="P27" s="330">
        <v>0.67500000000000004</v>
      </c>
      <c r="Q27" s="330">
        <v>0.69</v>
      </c>
      <c r="R27" s="330">
        <v>0.7</v>
      </c>
    </row>
    <row r="28" spans="5:22">
      <c r="E28" s="336" t="s">
        <v>275</v>
      </c>
      <c r="F28" s="337">
        <f>IS!W29</f>
        <v>79.080360490999993</v>
      </c>
      <c r="G28" s="337">
        <f>IS!AB29</f>
        <v>95.556287033563905</v>
      </c>
      <c r="H28" s="337">
        <f>IS!AG29</f>
        <v>106.28399045800001</v>
      </c>
      <c r="I28" s="337">
        <f>IS!AL29</f>
        <v>125.82500000000002</v>
      </c>
      <c r="J28" s="337">
        <f>IS!AQ29</f>
        <v>162.44812640949746</v>
      </c>
      <c r="K28" s="337">
        <f t="shared" ref="K28:R28" si="11">K23*K$29</f>
        <v>227.36792210673775</v>
      </c>
      <c r="L28" s="337">
        <f t="shared" si="11"/>
        <v>285.73946865486755</v>
      </c>
      <c r="M28" s="337">
        <f t="shared" si="11"/>
        <v>353.36447623651952</v>
      </c>
      <c r="N28" s="337">
        <f t="shared" si="11"/>
        <v>429.90455524020331</v>
      </c>
      <c r="O28" s="337">
        <f t="shared" si="11"/>
        <v>514.39733513548936</v>
      </c>
      <c r="P28" s="337">
        <f t="shared" si="11"/>
        <v>605.17333545351698</v>
      </c>
      <c r="Q28" s="337">
        <f t="shared" si="11"/>
        <v>714.10453583514993</v>
      </c>
      <c r="R28" s="337">
        <f t="shared" si="11"/>
        <v>828.3612615687739</v>
      </c>
    </row>
    <row r="29" spans="5:22">
      <c r="E29" s="338" t="s">
        <v>272</v>
      </c>
      <c r="F29" s="339">
        <f t="shared" ref="F29" si="12">F28/F23</f>
        <v>0.24661062382496854</v>
      </c>
      <c r="G29" s="339">
        <f t="shared" ref="G29:H29" si="13">G28/G23</f>
        <v>0.17969910064159453</v>
      </c>
      <c r="H29" s="339">
        <f t="shared" si="13"/>
        <v>0.15327991160643556</v>
      </c>
      <c r="I29" s="339">
        <f t="shared" ref="I29:J29" si="14">I28/I23</f>
        <v>9.8935436617237624E-2</v>
      </c>
      <c r="J29" s="339">
        <f t="shared" si="14"/>
        <v>0.102169566671119</v>
      </c>
      <c r="K29" s="340">
        <v>0.11</v>
      </c>
      <c r="L29" s="340">
        <v>0.108</v>
      </c>
      <c r="M29" s="340">
        <v>0.106</v>
      </c>
      <c r="N29" s="340">
        <v>0.104</v>
      </c>
      <c r="O29" s="340">
        <v>0.10199999999999999</v>
      </c>
      <c r="P29" s="340">
        <v>0.1</v>
      </c>
      <c r="Q29" s="340">
        <v>0.1</v>
      </c>
      <c r="R29" s="340">
        <v>0.1</v>
      </c>
    </row>
    <row r="30" spans="5:22">
      <c r="E30" s="2" t="s">
        <v>273</v>
      </c>
      <c r="F30" s="337">
        <f>IS!W31</f>
        <v>83.157815653000014</v>
      </c>
      <c r="G30" s="337">
        <f>IS!AB31</f>
        <v>90.025955881708924</v>
      </c>
      <c r="H30" s="337">
        <f>IS!AG31</f>
        <v>100.120651853</v>
      </c>
      <c r="I30" s="337">
        <f>IS!AL31</f>
        <v>159.60399999999998</v>
      </c>
      <c r="J30" s="337">
        <f>IS!AQ31</f>
        <v>237.70325525033144</v>
      </c>
      <c r="K30" s="337">
        <f t="shared" ref="K30:R30" si="15">K31*K23</f>
        <v>225.3009409966765</v>
      </c>
      <c r="L30" s="337">
        <f t="shared" si="15"/>
        <v>285.73946865486755</v>
      </c>
      <c r="M30" s="337">
        <f t="shared" si="15"/>
        <v>356.69810337082629</v>
      </c>
      <c r="N30" s="337">
        <f t="shared" si="15"/>
        <v>438.17195053328419</v>
      </c>
      <c r="O30" s="337">
        <f t="shared" si="15"/>
        <v>529.52666852182733</v>
      </c>
      <c r="P30" s="337">
        <f t="shared" si="15"/>
        <v>629.38026887165756</v>
      </c>
      <c r="Q30" s="337">
        <f t="shared" si="15"/>
        <v>728.38662655185283</v>
      </c>
      <c r="R30" s="337">
        <f t="shared" si="15"/>
        <v>828.3612615687739</v>
      </c>
    </row>
    <row r="31" spans="5:22">
      <c r="E31" s="341" t="s">
        <v>272</v>
      </c>
      <c r="F31" s="339">
        <f t="shared" ref="F31" si="16">F30/F23</f>
        <v>0.25932609141863994</v>
      </c>
      <c r="G31" s="339">
        <f t="shared" ref="G31:H31" si="17">G30/G23</f>
        <v>0.16929899443100616</v>
      </c>
      <c r="H31" s="339">
        <f t="shared" si="17"/>
        <v>0.14439131048688825</v>
      </c>
      <c r="I31" s="339">
        <f t="shared" ref="I31:J31" si="18">I30/I23</f>
        <v>0.12549566005052723</v>
      </c>
      <c r="J31" s="339">
        <f t="shared" si="18"/>
        <v>0.14950026892905355</v>
      </c>
      <c r="K31" s="340">
        <v>0.109</v>
      </c>
      <c r="L31" s="340">
        <v>0.108</v>
      </c>
      <c r="M31" s="340">
        <v>0.107</v>
      </c>
      <c r="N31" s="340">
        <v>0.106</v>
      </c>
      <c r="O31" s="340">
        <v>0.105</v>
      </c>
      <c r="P31" s="340">
        <v>0.104</v>
      </c>
      <c r="Q31" s="340">
        <v>0.10199999999999999</v>
      </c>
      <c r="R31" s="340">
        <v>0.1</v>
      </c>
    </row>
    <row r="32" spans="5:22">
      <c r="E32" s="2" t="s">
        <v>274</v>
      </c>
      <c r="F32" s="337">
        <f>IS!W33</f>
        <v>233.38955587900003</v>
      </c>
      <c r="G32" s="337">
        <f>IS!AB33</f>
        <v>284.3656977162791</v>
      </c>
      <c r="H32" s="337">
        <f>IS!AG33</f>
        <v>341.08461285999999</v>
      </c>
      <c r="I32" s="337">
        <f>IS!AL33</f>
        <v>569.61799999999994</v>
      </c>
      <c r="J32" s="337">
        <f>IS!AQ33</f>
        <v>724.13456970011873</v>
      </c>
      <c r="K32" s="337">
        <f>K33*K23</f>
        <v>620.09433301837566</v>
      </c>
      <c r="L32" s="337">
        <f t="shared" ref="L32:R32" si="19">L33*L23</f>
        <v>740.80602984595293</v>
      </c>
      <c r="M32" s="337">
        <f t="shared" si="19"/>
        <v>866.74305491976486</v>
      </c>
      <c r="N32" s="337">
        <f t="shared" si="19"/>
        <v>992.08743516970003</v>
      </c>
      <c r="O32" s="337">
        <f t="shared" si="19"/>
        <v>1109.4844483314478</v>
      </c>
      <c r="P32" s="337">
        <f t="shared" si="19"/>
        <v>1210.346670907034</v>
      </c>
      <c r="Q32" s="337">
        <f t="shared" si="19"/>
        <v>1285.3881645032698</v>
      </c>
      <c r="R32" s="337">
        <f t="shared" si="19"/>
        <v>1242.5418923531606</v>
      </c>
    </row>
    <row r="33" spans="5:18">
      <c r="E33" s="341" t="s">
        <v>272</v>
      </c>
      <c r="F33" s="339">
        <f>F32/F23</f>
        <v>0.72782096100969274</v>
      </c>
      <c r="G33" s="339">
        <f>G32/G23</f>
        <v>0.53476607054631631</v>
      </c>
      <c r="H33" s="339">
        <f>H32/H23</f>
        <v>0.49190305223020409</v>
      </c>
      <c r="I33" s="339">
        <f>I32/I23</f>
        <v>0.44788718883399681</v>
      </c>
      <c r="J33" s="339">
        <f>J32/J23</f>
        <v>0.45543470911655204</v>
      </c>
      <c r="K33" s="340">
        <v>0.3</v>
      </c>
      <c r="L33" s="340">
        <v>0.28000000000000003</v>
      </c>
      <c r="M33" s="340">
        <v>0.26</v>
      </c>
      <c r="N33" s="340">
        <v>0.24</v>
      </c>
      <c r="O33" s="340">
        <v>0.22</v>
      </c>
      <c r="P33" s="340">
        <v>0.2</v>
      </c>
      <c r="Q33" s="340">
        <v>0.18</v>
      </c>
      <c r="R33" s="340">
        <v>0.15</v>
      </c>
    </row>
    <row r="34" spans="5:18" ht="15" hidden="1" customHeight="1" outlineLevel="1">
      <c r="E34" s="2" t="s">
        <v>276</v>
      </c>
      <c r="F34" s="337">
        <f>F26-F28-F30-F32</f>
        <v>-265.44026559700001</v>
      </c>
      <c r="G34" s="337">
        <f>G26-G28-G30-G32</f>
        <v>-183.79098738955173</v>
      </c>
      <c r="H34" s="337">
        <f>H26-H28-H30-H32</f>
        <v>-143.40224222600025</v>
      </c>
      <c r="I34" s="337">
        <f>I26-I28-I30-I32</f>
        <v>-47.19399999999996</v>
      </c>
      <c r="J34" s="337">
        <f>J26-J28-J30-J32</f>
        <v>-86.723343430676437</v>
      </c>
      <c r="K34" s="337">
        <f t="shared" ref="K34:R34" si="20">K26-K28-K30-K32</f>
        <v>167.42546991496147</v>
      </c>
      <c r="L34" s="337">
        <f t="shared" si="20"/>
        <v>314.84256268452987</v>
      </c>
      <c r="M34" s="337">
        <f t="shared" si="20"/>
        <v>523.37946008616552</v>
      </c>
      <c r="N34" s="337">
        <f t="shared" si="20"/>
        <v>806.0710410753818</v>
      </c>
      <c r="O34" s="337">
        <f t="shared" si="20"/>
        <v>1175.0448930055795</v>
      </c>
      <c r="P34" s="337">
        <f t="shared" si="20"/>
        <v>1640.0197390790304</v>
      </c>
      <c r="Q34" s="337">
        <f t="shared" si="20"/>
        <v>2199.4419703722606</v>
      </c>
      <c r="R34" s="337">
        <f t="shared" si="20"/>
        <v>2899.2644154907075</v>
      </c>
    </row>
    <row r="35" spans="5:18" ht="15" hidden="1" customHeight="1" outlineLevel="1">
      <c r="E35" s="328" t="s">
        <v>277</v>
      </c>
      <c r="F35" s="339">
        <f t="shared" ref="F35:R35" si="21">F34/F23</f>
        <v>-0.82777049928333912</v>
      </c>
      <c r="G35" s="339">
        <f t="shared" ref="G35:H35" si="22">G34/G23</f>
        <v>-0.34562953590204287</v>
      </c>
      <c r="H35" s="339">
        <f t="shared" si="22"/>
        <v>-0.20681085568811075</v>
      </c>
      <c r="I35" s="339">
        <f t="shared" ref="I35:J35" si="23">I34/I23</f>
        <v>-3.7108356810760246E-2</v>
      </c>
      <c r="J35" s="339">
        <f t="shared" si="23"/>
        <v>-5.4543481752737662E-2</v>
      </c>
      <c r="K35" s="339">
        <f t="shared" si="21"/>
        <v>8.1000000000000016E-2</v>
      </c>
      <c r="L35" s="339">
        <f t="shared" si="21"/>
        <v>0.11899999999999997</v>
      </c>
      <c r="M35" s="339">
        <f t="shared" si="21"/>
        <v>0.15699999999999995</v>
      </c>
      <c r="N35" s="339">
        <f t="shared" si="21"/>
        <v>0.19500000000000012</v>
      </c>
      <c r="O35" s="339">
        <f t="shared" si="21"/>
        <v>0.23300000000000015</v>
      </c>
      <c r="P35" s="339">
        <f t="shared" si="21"/>
        <v>0.27099999999999991</v>
      </c>
      <c r="Q35" s="339">
        <f t="shared" si="21"/>
        <v>0.30799999999999983</v>
      </c>
      <c r="R35" s="339">
        <f t="shared" si="21"/>
        <v>0.34999999999999992</v>
      </c>
    </row>
    <row r="36" spans="5:18" ht="15" hidden="1" customHeight="1" outlineLevel="1">
      <c r="E36" s="328"/>
      <c r="F36" s="339"/>
      <c r="G36" s="339"/>
      <c r="H36" s="339"/>
      <c r="I36" s="339"/>
      <c r="J36" s="339"/>
      <c r="K36" s="52"/>
      <c r="L36" s="52"/>
      <c r="M36" s="52"/>
      <c r="N36" s="52"/>
      <c r="O36" s="52"/>
      <c r="P36" s="52"/>
      <c r="Q36" s="52"/>
      <c r="R36" s="52"/>
    </row>
    <row r="37" spans="5:18" ht="15" hidden="1" customHeight="1" outlineLevel="1">
      <c r="E37" s="2" t="s">
        <v>279</v>
      </c>
      <c r="F37" s="337">
        <f>CF!W9+IS!W52</f>
        <v>28.936232050000001</v>
      </c>
      <c r="G37" s="337">
        <f>CF!AB9+IS!AB52</f>
        <v>32.566556680000012</v>
      </c>
      <c r="H37" s="337">
        <f>CF!AG9+IS!AG52</f>
        <v>40.156466919999993</v>
      </c>
      <c r="I37" s="337">
        <f>CF!AL9+IS!AL52</f>
        <v>137.72800000000001</v>
      </c>
      <c r="J37" s="337">
        <f>CF!AQ9+IS!AQ52</f>
        <v>131.69999999999999</v>
      </c>
      <c r="K37" s="342">
        <f t="shared" ref="K37:R37" si="24">K38*K23</f>
        <v>62.009433301837568</v>
      </c>
      <c r="L37" s="342">
        <f t="shared" si="24"/>
        <v>79.372074626352088</v>
      </c>
      <c r="M37" s="342">
        <f t="shared" si="24"/>
        <v>100.00881402920363</v>
      </c>
      <c r="N37" s="342">
        <f t="shared" si="24"/>
        <v>124.0109293962125</v>
      </c>
      <c r="O37" s="342">
        <f t="shared" si="24"/>
        <v>151.29333386337925</v>
      </c>
      <c r="P37" s="342">
        <f t="shared" si="24"/>
        <v>181.55200063605508</v>
      </c>
      <c r="Q37" s="342">
        <f t="shared" si="24"/>
        <v>214.23136075054495</v>
      </c>
      <c r="R37" s="342">
        <f t="shared" si="24"/>
        <v>248.50837847063212</v>
      </c>
    </row>
    <row r="38" spans="5:18" ht="15" hidden="1" customHeight="1" outlineLevel="1">
      <c r="E38" s="341" t="s">
        <v>19</v>
      </c>
      <c r="F38" s="339">
        <f>F37/F23</f>
        <v>9.0237097968296223E-2</v>
      </c>
      <c r="G38" s="339">
        <f>G37/G23</f>
        <v>6.1243285272626291E-2</v>
      </c>
      <c r="H38" s="339">
        <f>H37/H23</f>
        <v>5.7912576234674593E-2</v>
      </c>
      <c r="I38" s="339">
        <f>I37/I23</f>
        <v>0.10829469353800042</v>
      </c>
      <c r="J38" s="339">
        <f>J37/J23</f>
        <v>8.2830945656260202E-2</v>
      </c>
      <c r="K38" s="339">
        <f>F12</f>
        <v>0.03</v>
      </c>
      <c r="L38" s="339">
        <f t="shared" ref="L38:R38" si="25">K38</f>
        <v>0.03</v>
      </c>
      <c r="M38" s="339">
        <f t="shared" si="25"/>
        <v>0.03</v>
      </c>
      <c r="N38" s="339">
        <f t="shared" si="25"/>
        <v>0.03</v>
      </c>
      <c r="O38" s="339">
        <f t="shared" si="25"/>
        <v>0.03</v>
      </c>
      <c r="P38" s="339">
        <f t="shared" si="25"/>
        <v>0.03</v>
      </c>
      <c r="Q38" s="339">
        <f t="shared" si="25"/>
        <v>0.03</v>
      </c>
      <c r="R38" s="339">
        <f t="shared" si="25"/>
        <v>0.03</v>
      </c>
    </row>
    <row r="39" spans="5:18" ht="15" hidden="1" customHeight="1" outlineLevel="1">
      <c r="E39" s="341"/>
      <c r="F39" s="339"/>
      <c r="G39" s="339"/>
      <c r="H39" s="339"/>
      <c r="I39" s="339"/>
      <c r="J39" s="339"/>
      <c r="K39" s="52"/>
      <c r="L39" s="52"/>
      <c r="M39" s="52"/>
      <c r="N39" s="52"/>
      <c r="O39" s="52"/>
      <c r="P39" s="52"/>
      <c r="Q39" s="52"/>
      <c r="R39" s="52"/>
    </row>
    <row r="40" spans="5:18" ht="15" hidden="1" customHeight="1" outlineLevel="1">
      <c r="E40" s="2" t="s">
        <v>280</v>
      </c>
      <c r="F40" s="337">
        <f>IS!W42</f>
        <v>0</v>
      </c>
      <c r="G40" s="337">
        <f>IS!AB42</f>
        <v>0</v>
      </c>
      <c r="H40" s="337">
        <f>IS!AG42</f>
        <v>534.13800000000003</v>
      </c>
      <c r="I40" s="337">
        <f>IS!AL42</f>
        <v>123.101</v>
      </c>
      <c r="J40" s="337">
        <f>IS!AQ42</f>
        <v>199.99</v>
      </c>
      <c r="K40" s="337">
        <f t="shared" ref="K40:R40" si="26">K41*K23</f>
        <v>227.36792210673775</v>
      </c>
      <c r="L40" s="337">
        <f t="shared" si="26"/>
        <v>291.03094029662435</v>
      </c>
      <c r="M40" s="337">
        <f t="shared" si="26"/>
        <v>366.69898477374664</v>
      </c>
      <c r="N40" s="337">
        <f t="shared" si="26"/>
        <v>454.70674111944584</v>
      </c>
      <c r="O40" s="337">
        <f t="shared" si="26"/>
        <v>554.74222416572388</v>
      </c>
      <c r="P40" s="337">
        <f t="shared" si="26"/>
        <v>665.69066899886866</v>
      </c>
      <c r="Q40" s="337">
        <f t="shared" si="26"/>
        <v>785.51498941866487</v>
      </c>
      <c r="R40" s="337">
        <f t="shared" si="26"/>
        <v>911.1973877256512</v>
      </c>
    </row>
    <row r="41" spans="5:18" ht="15" hidden="1" customHeight="1" outlineLevel="1">
      <c r="E41" s="341" t="s">
        <v>19</v>
      </c>
      <c r="F41" s="339">
        <f>F40/F23</f>
        <v>0</v>
      </c>
      <c r="G41" s="339">
        <f>G40/G23</f>
        <v>0</v>
      </c>
      <c r="H41" s="339">
        <f>H40/H23</f>
        <v>0.77031945331401241</v>
      </c>
      <c r="I41" s="339">
        <f>I40/I23</f>
        <v>9.6793571889676674E-2</v>
      </c>
      <c r="J41" s="339">
        <f>J40/J23</f>
        <v>0.12578102370383812</v>
      </c>
      <c r="K41" s="339">
        <f>F13</f>
        <v>0.11</v>
      </c>
      <c r="L41" s="339">
        <f t="shared" ref="L41:R41" si="27">K41</f>
        <v>0.11</v>
      </c>
      <c r="M41" s="339">
        <f t="shared" si="27"/>
        <v>0.11</v>
      </c>
      <c r="N41" s="339">
        <f t="shared" si="27"/>
        <v>0.11</v>
      </c>
      <c r="O41" s="339">
        <f t="shared" si="27"/>
        <v>0.11</v>
      </c>
      <c r="P41" s="339">
        <f t="shared" si="27"/>
        <v>0.11</v>
      </c>
      <c r="Q41" s="339">
        <f t="shared" si="27"/>
        <v>0.11</v>
      </c>
      <c r="R41" s="339">
        <f t="shared" si="27"/>
        <v>0.11</v>
      </c>
    </row>
    <row r="42" spans="5:18" collapsed="1">
      <c r="E42" s="341"/>
      <c r="F42" s="339"/>
      <c r="G42" s="339"/>
      <c r="H42" s="339"/>
      <c r="I42" s="339"/>
      <c r="J42" s="339"/>
      <c r="K42" s="339"/>
      <c r="L42" s="339"/>
      <c r="M42" s="339"/>
      <c r="N42" s="339"/>
      <c r="O42" s="339"/>
      <c r="P42" s="339"/>
      <c r="Q42" s="339"/>
      <c r="R42" s="339"/>
    </row>
    <row r="43" spans="5:18">
      <c r="E43" s="2" t="s">
        <v>21</v>
      </c>
      <c r="F43" s="337">
        <f t="shared" ref="F43:Q43" si="28">F34-F37-F40</f>
        <v>-294.37649764700001</v>
      </c>
      <c r="G43" s="337">
        <f t="shared" ref="G43:H43" si="29">G34-G37-G40</f>
        <v>-216.35754406955175</v>
      </c>
      <c r="H43" s="337">
        <f t="shared" si="29"/>
        <v>-717.69670914600033</v>
      </c>
      <c r="I43" s="337">
        <f t="shared" ref="I43:J43" si="30">I34-I37-I40</f>
        <v>-308.02299999999997</v>
      </c>
      <c r="J43" s="337">
        <f t="shared" si="30"/>
        <v>-418.41334343067643</v>
      </c>
      <c r="K43" s="337">
        <f t="shared" si="28"/>
        <v>-121.95188549361384</v>
      </c>
      <c r="L43" s="337">
        <f t="shared" si="28"/>
        <v>-55.560452238446572</v>
      </c>
      <c r="M43" s="337">
        <f t="shared" si="28"/>
        <v>56.671661283215258</v>
      </c>
      <c r="N43" s="337">
        <f t="shared" si="28"/>
        <v>227.35337055972343</v>
      </c>
      <c r="O43" s="337">
        <f t="shared" si="28"/>
        <v>469.00933497647634</v>
      </c>
      <c r="P43" s="337">
        <f t="shared" si="28"/>
        <v>792.7770694441067</v>
      </c>
      <c r="Q43" s="337">
        <f t="shared" si="28"/>
        <v>1199.6956202030506</v>
      </c>
      <c r="R43" s="337">
        <f t="shared" ref="R43" si="31">R34-R37-R40</f>
        <v>1739.5586492944242</v>
      </c>
    </row>
    <row r="44" spans="5:18">
      <c r="E44" s="328" t="s">
        <v>281</v>
      </c>
      <c r="F44" s="339">
        <f t="shared" ref="F44:Q44" si="32">F43/F23</f>
        <v>-0.91800759725163539</v>
      </c>
      <c r="G44" s="339">
        <f t="shared" ref="G44:H44" si="33">G43/G23</f>
        <v>-0.40687282117466916</v>
      </c>
      <c r="H44" s="339">
        <f t="shared" si="33"/>
        <v>-1.0350428852367979</v>
      </c>
      <c r="I44" s="339">
        <f t="shared" ref="I44:J44" si="34">I43/I23</f>
        <v>-0.24219662223843733</v>
      </c>
      <c r="J44" s="339">
        <f t="shared" si="34"/>
        <v>-0.263155451112836</v>
      </c>
      <c r="K44" s="339">
        <f t="shared" si="32"/>
        <v>-5.8999999999999976E-2</v>
      </c>
      <c r="L44" s="339">
        <f t="shared" si="32"/>
        <v>-2.1000000000000039E-2</v>
      </c>
      <c r="M44" s="339">
        <f t="shared" si="32"/>
        <v>1.699999999999996E-2</v>
      </c>
      <c r="N44" s="339">
        <f t="shared" si="32"/>
        <v>5.5000000000000125E-2</v>
      </c>
      <c r="O44" s="339">
        <f t="shared" si="32"/>
        <v>9.3000000000000138E-2</v>
      </c>
      <c r="P44" s="339">
        <f t="shared" si="32"/>
        <v>0.13099999999999992</v>
      </c>
      <c r="Q44" s="339">
        <f t="shared" si="32"/>
        <v>0.16799999999999982</v>
      </c>
      <c r="R44" s="339">
        <f t="shared" ref="R44" si="35">R43/R23</f>
        <v>0.20999999999999991</v>
      </c>
    </row>
    <row r="45" spans="5:18">
      <c r="E45" s="341"/>
      <c r="F45" s="339"/>
      <c r="G45" s="339"/>
      <c r="H45" s="339"/>
      <c r="I45" s="339"/>
      <c r="J45" s="339"/>
      <c r="K45" s="52"/>
      <c r="L45" s="52"/>
      <c r="M45" s="52"/>
      <c r="N45" s="52"/>
      <c r="O45" s="52"/>
      <c r="P45" s="52"/>
      <c r="Q45" s="52"/>
      <c r="R45" s="52"/>
    </row>
    <row r="46" spans="5:18" ht="16.5">
      <c r="E46" s="2" t="s">
        <v>282</v>
      </c>
      <c r="F46" s="343">
        <f>IS!W72</f>
        <v>-7.2575330000000007E-2</v>
      </c>
      <c r="G46" s="343">
        <f>IS!AB72</f>
        <v>-0.288211263</v>
      </c>
      <c r="H46" s="343">
        <f>IS!AG72</f>
        <v>-0.26628950900000004</v>
      </c>
      <c r="I46" s="343">
        <f>IS!AL72</f>
        <v>51.683999999999997</v>
      </c>
      <c r="J46" s="343">
        <f>IS!AQ72</f>
        <v>0</v>
      </c>
      <c r="K46" s="343">
        <f t="shared" ref="K46:R46" si="36">K43*K47</f>
        <v>0</v>
      </c>
      <c r="L46" s="343">
        <f t="shared" si="36"/>
        <v>0</v>
      </c>
      <c r="M46" s="343">
        <f t="shared" si="36"/>
        <v>0</v>
      </c>
      <c r="N46" s="343">
        <f t="shared" si="36"/>
        <v>0</v>
      </c>
      <c r="O46" s="343">
        <f t="shared" si="36"/>
        <v>0</v>
      </c>
      <c r="P46" s="343">
        <f t="shared" si="36"/>
        <v>0</v>
      </c>
      <c r="Q46" s="343">
        <f t="shared" si="36"/>
        <v>0</v>
      </c>
      <c r="R46" s="343">
        <f t="shared" si="36"/>
        <v>0</v>
      </c>
    </row>
    <row r="47" spans="5:18">
      <c r="E47" s="328" t="s">
        <v>283</v>
      </c>
      <c r="F47" s="341">
        <f t="shared" ref="F47" si="37">F46/F43</f>
        <v>2.4653914487096157E-4</v>
      </c>
      <c r="G47" s="341">
        <f t="shared" ref="G47:H47" si="38">G46/G43</f>
        <v>1.3321063716056495E-3</v>
      </c>
      <c r="H47" s="341">
        <f t="shared" si="38"/>
        <v>3.7103348197996131E-4</v>
      </c>
      <c r="I47" s="341">
        <f t="shared" ref="I47:J47" si="39">I46/I43</f>
        <v>-0.16779266483347025</v>
      </c>
      <c r="J47" s="341">
        <f t="shared" si="39"/>
        <v>0</v>
      </c>
      <c r="K47" s="340">
        <f>F14</f>
        <v>0</v>
      </c>
      <c r="L47" s="340">
        <f t="shared" ref="L47:Q47" si="40">K47</f>
        <v>0</v>
      </c>
      <c r="M47" s="340">
        <f t="shared" si="40"/>
        <v>0</v>
      </c>
      <c r="N47" s="340">
        <f t="shared" si="40"/>
        <v>0</v>
      </c>
      <c r="O47" s="340">
        <f t="shared" si="40"/>
        <v>0</v>
      </c>
      <c r="P47" s="340">
        <f t="shared" si="40"/>
        <v>0</v>
      </c>
      <c r="Q47" s="340">
        <f t="shared" si="40"/>
        <v>0</v>
      </c>
      <c r="R47" s="340">
        <v>0</v>
      </c>
    </row>
    <row r="48" spans="5:18">
      <c r="E48" s="328"/>
      <c r="F48" s="341"/>
      <c r="G48" s="341"/>
      <c r="H48" s="341"/>
      <c r="I48" s="341"/>
      <c r="J48" s="341"/>
      <c r="K48" s="52"/>
      <c r="L48" s="52"/>
      <c r="M48" s="52"/>
      <c r="N48" s="52"/>
      <c r="O48" s="52"/>
      <c r="P48" s="52"/>
      <c r="Q48" s="52"/>
      <c r="R48" s="52"/>
    </row>
    <row r="49" spans="5:18">
      <c r="E49" s="4" t="s">
        <v>284</v>
      </c>
      <c r="F49" s="333">
        <f t="shared" ref="F49:Q49" si="41">F43-F46</f>
        <v>-294.303922317</v>
      </c>
      <c r="G49" s="333">
        <f t="shared" ref="G49:H49" si="42">G43-G46</f>
        <v>-216.06933280655176</v>
      </c>
      <c r="H49" s="333">
        <f t="shared" si="42"/>
        <v>-717.43041963700034</v>
      </c>
      <c r="I49" s="333">
        <f t="shared" ref="I49:J49" si="43">I43-I46</f>
        <v>-359.70699999999999</v>
      </c>
      <c r="J49" s="333">
        <f t="shared" si="43"/>
        <v>-418.41334343067643</v>
      </c>
      <c r="K49" s="333">
        <f t="shared" si="41"/>
        <v>-121.95188549361384</v>
      </c>
      <c r="L49" s="333">
        <f t="shared" si="41"/>
        <v>-55.560452238446572</v>
      </c>
      <c r="M49" s="333">
        <f t="shared" si="41"/>
        <v>56.671661283215258</v>
      </c>
      <c r="N49" s="333">
        <f t="shared" si="41"/>
        <v>227.35337055972343</v>
      </c>
      <c r="O49" s="333">
        <f t="shared" si="41"/>
        <v>469.00933497647634</v>
      </c>
      <c r="P49" s="333">
        <f t="shared" si="41"/>
        <v>792.7770694441067</v>
      </c>
      <c r="Q49" s="333">
        <f t="shared" si="41"/>
        <v>1199.6956202030506</v>
      </c>
      <c r="R49" s="333">
        <f t="shared" ref="R49" si="44">R43-R46</f>
        <v>1739.5586492944242</v>
      </c>
    </row>
    <row r="50" spans="5:18">
      <c r="E50" s="4"/>
      <c r="F50" s="333"/>
      <c r="G50" s="333"/>
      <c r="H50" s="333"/>
      <c r="I50" s="333"/>
      <c r="J50" s="333"/>
      <c r="K50" s="52"/>
      <c r="L50" s="52"/>
      <c r="M50" s="52"/>
      <c r="N50" s="52"/>
      <c r="O50" s="52"/>
      <c r="P50" s="52"/>
      <c r="Q50" s="52"/>
      <c r="R50" s="52"/>
    </row>
    <row r="51" spans="5:18">
      <c r="E51" s="344" t="s">
        <v>285</v>
      </c>
      <c r="F51" s="337">
        <f t="shared" ref="F51:Q52" si="45">F37</f>
        <v>28.936232050000001</v>
      </c>
      <c r="G51" s="337">
        <f t="shared" ref="G51:H51" si="46">G37</f>
        <v>32.566556680000012</v>
      </c>
      <c r="H51" s="337">
        <f t="shared" si="46"/>
        <v>40.156466919999993</v>
      </c>
      <c r="I51" s="337">
        <f t="shared" ref="I51:J51" si="47">I37</f>
        <v>137.72800000000001</v>
      </c>
      <c r="J51" s="337">
        <f t="shared" si="47"/>
        <v>131.69999999999999</v>
      </c>
      <c r="K51" s="337">
        <f t="shared" si="45"/>
        <v>62.009433301837568</v>
      </c>
      <c r="L51" s="337">
        <f t="shared" si="45"/>
        <v>79.372074626352088</v>
      </c>
      <c r="M51" s="337">
        <f t="shared" si="45"/>
        <v>100.00881402920363</v>
      </c>
      <c r="N51" s="337">
        <f t="shared" si="45"/>
        <v>124.0109293962125</v>
      </c>
      <c r="O51" s="337">
        <f t="shared" si="45"/>
        <v>151.29333386337925</v>
      </c>
      <c r="P51" s="337">
        <f t="shared" si="45"/>
        <v>181.55200063605508</v>
      </c>
      <c r="Q51" s="337">
        <f t="shared" si="45"/>
        <v>214.23136075054495</v>
      </c>
      <c r="R51" s="337">
        <f t="shared" ref="R51" si="48">R37</f>
        <v>248.50837847063212</v>
      </c>
    </row>
    <row r="52" spans="5:18">
      <c r="E52" s="341" t="s">
        <v>272</v>
      </c>
      <c r="F52" s="341">
        <f t="shared" si="45"/>
        <v>9.0237097968296223E-2</v>
      </c>
      <c r="G52" s="341">
        <f t="shared" ref="G52:H52" si="49">G38</f>
        <v>6.1243285272626291E-2</v>
      </c>
      <c r="H52" s="341">
        <f t="shared" si="49"/>
        <v>5.7912576234674593E-2</v>
      </c>
      <c r="I52" s="341">
        <f t="shared" ref="I52:J52" si="50">I38</f>
        <v>0.10829469353800042</v>
      </c>
      <c r="J52" s="341">
        <f t="shared" si="50"/>
        <v>8.2830945656260202E-2</v>
      </c>
      <c r="K52" s="341">
        <f t="shared" si="45"/>
        <v>0.03</v>
      </c>
      <c r="L52" s="341">
        <f t="shared" si="45"/>
        <v>0.03</v>
      </c>
      <c r="M52" s="341">
        <f t="shared" si="45"/>
        <v>0.03</v>
      </c>
      <c r="N52" s="341">
        <f t="shared" si="45"/>
        <v>0.03</v>
      </c>
      <c r="O52" s="341">
        <f t="shared" si="45"/>
        <v>0.03</v>
      </c>
      <c r="P52" s="341">
        <f t="shared" si="45"/>
        <v>0.03</v>
      </c>
      <c r="Q52" s="341">
        <f t="shared" si="45"/>
        <v>0.03</v>
      </c>
      <c r="R52" s="341">
        <f t="shared" ref="R52" si="51">R38</f>
        <v>0.03</v>
      </c>
    </row>
    <row r="53" spans="5:18"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</row>
    <row r="54" spans="5:18">
      <c r="E54" s="344" t="s">
        <v>286</v>
      </c>
      <c r="F54" s="337">
        <f t="shared" ref="F54:Q55" si="52">F40</f>
        <v>0</v>
      </c>
      <c r="G54" s="337">
        <f t="shared" ref="G54:H54" si="53">G40</f>
        <v>0</v>
      </c>
      <c r="H54" s="337">
        <f t="shared" si="53"/>
        <v>534.13800000000003</v>
      </c>
      <c r="I54" s="337">
        <f t="shared" ref="I54:J54" si="54">I40</f>
        <v>123.101</v>
      </c>
      <c r="J54" s="337">
        <f t="shared" si="54"/>
        <v>199.99</v>
      </c>
      <c r="K54" s="337">
        <f t="shared" si="52"/>
        <v>227.36792210673775</v>
      </c>
      <c r="L54" s="337">
        <f t="shared" si="52"/>
        <v>291.03094029662435</v>
      </c>
      <c r="M54" s="337">
        <f t="shared" si="52"/>
        <v>366.69898477374664</v>
      </c>
      <c r="N54" s="337">
        <f t="shared" si="52"/>
        <v>454.70674111944584</v>
      </c>
      <c r="O54" s="337">
        <f t="shared" si="52"/>
        <v>554.74222416572388</v>
      </c>
      <c r="P54" s="337">
        <f t="shared" si="52"/>
        <v>665.69066899886866</v>
      </c>
      <c r="Q54" s="337">
        <f t="shared" si="52"/>
        <v>785.51498941866487</v>
      </c>
      <c r="R54" s="337">
        <f t="shared" ref="R54" si="55">R40</f>
        <v>911.1973877256512</v>
      </c>
    </row>
    <row r="55" spans="5:18">
      <c r="E55" s="341" t="s">
        <v>19</v>
      </c>
      <c r="F55" s="341">
        <f t="shared" si="52"/>
        <v>0</v>
      </c>
      <c r="G55" s="341">
        <f t="shared" ref="G55:H55" si="56">G41</f>
        <v>0</v>
      </c>
      <c r="H55" s="341">
        <f t="shared" si="56"/>
        <v>0.77031945331401241</v>
      </c>
      <c r="I55" s="341">
        <f t="shared" ref="I55:J55" si="57">I41</f>
        <v>9.6793571889676674E-2</v>
      </c>
      <c r="J55" s="341">
        <f t="shared" si="57"/>
        <v>0.12578102370383812</v>
      </c>
      <c r="K55" s="341">
        <f t="shared" si="52"/>
        <v>0.11</v>
      </c>
      <c r="L55" s="341">
        <f t="shared" si="52"/>
        <v>0.11</v>
      </c>
      <c r="M55" s="341">
        <f t="shared" si="52"/>
        <v>0.11</v>
      </c>
      <c r="N55" s="341">
        <f t="shared" si="52"/>
        <v>0.11</v>
      </c>
      <c r="O55" s="341">
        <f t="shared" si="52"/>
        <v>0.11</v>
      </c>
      <c r="P55" s="341">
        <f t="shared" si="52"/>
        <v>0.11</v>
      </c>
      <c r="Q55" s="341">
        <f t="shared" si="52"/>
        <v>0.11</v>
      </c>
      <c r="R55" s="341">
        <f t="shared" ref="R55" si="58">R41</f>
        <v>0.11</v>
      </c>
    </row>
    <row r="56" spans="5:18"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</row>
    <row r="57" spans="5:18">
      <c r="E57" s="344" t="s">
        <v>287</v>
      </c>
      <c r="F57" s="337">
        <f>SUM(CF!W33:W39,CF!W45)</f>
        <v>101.26922350664046</v>
      </c>
      <c r="G57" s="337">
        <f>SUM(CF!X33:AB39,CF!AB45)</f>
        <v>-48.530696044740388</v>
      </c>
      <c r="H57" s="337">
        <f>SUM(CF!Y33:AC39,CF!AG45)</f>
        <v>-49.417560971748571</v>
      </c>
      <c r="I57" s="337">
        <f>SUM(CF!Z33:AD39,CF!AL45)</f>
        <v>-157.30731204688493</v>
      </c>
      <c r="J57" s="337">
        <f>SUM(CF!AA33:AE39,CF!AQ45)</f>
        <v>-77.005895147842082</v>
      </c>
      <c r="K57" s="337">
        <f t="shared" ref="K57:R57" si="59">-K58*K23</f>
        <v>-41.339622201225048</v>
      </c>
      <c r="L57" s="337">
        <f t="shared" si="59"/>
        <v>-52.914716417568059</v>
      </c>
      <c r="M57" s="337">
        <f t="shared" si="59"/>
        <v>-66.672542686135756</v>
      </c>
      <c r="N57" s="337">
        <f t="shared" si="59"/>
        <v>-82.673952930808341</v>
      </c>
      <c r="O57" s="337">
        <f t="shared" si="59"/>
        <v>-100.86222257558617</v>
      </c>
      <c r="P57" s="337">
        <f t="shared" si="59"/>
        <v>-121.03466709070339</v>
      </c>
      <c r="Q57" s="337">
        <f t="shared" si="59"/>
        <v>-142.82090716702999</v>
      </c>
      <c r="R57" s="337">
        <f t="shared" si="59"/>
        <v>-165.67225231375477</v>
      </c>
    </row>
    <row r="58" spans="5:18">
      <c r="E58" s="341" t="s">
        <v>19</v>
      </c>
      <c r="F58" s="341">
        <f>-F57/F23</f>
        <v>-0.3158061777688157</v>
      </c>
      <c r="G58" s="341">
        <f>-G57/G23</f>
        <v>9.1264768687456796E-2</v>
      </c>
      <c r="H58" s="341">
        <f>-H57/H23</f>
        <v>7.1268676918454094E-2</v>
      </c>
      <c r="I58" s="341">
        <f>-I57/I23</f>
        <v>0.12368978820141151</v>
      </c>
      <c r="J58" s="341">
        <f>-J57/J23</f>
        <v>4.8431823205790273E-2</v>
      </c>
      <c r="K58" s="340">
        <v>0.02</v>
      </c>
      <c r="L58" s="340">
        <v>0.02</v>
      </c>
      <c r="M58" s="340">
        <v>0.02</v>
      </c>
      <c r="N58" s="340">
        <v>0.02</v>
      </c>
      <c r="O58" s="340">
        <v>0.02</v>
      </c>
      <c r="P58" s="340">
        <v>0.02</v>
      </c>
      <c r="Q58" s="340">
        <v>0.02</v>
      </c>
      <c r="R58" s="340">
        <v>0.02</v>
      </c>
    </row>
    <row r="59" spans="5:18"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spans="5:18">
      <c r="E60" s="344" t="s">
        <v>288</v>
      </c>
      <c r="F60" s="337">
        <f>CF!W50</f>
        <v>-18.376999999999999</v>
      </c>
      <c r="G60" s="337">
        <f>CF!AB50</f>
        <v>-34.607999999999997</v>
      </c>
      <c r="H60" s="337">
        <f>CF!AG50</f>
        <v>-22.120999999999999</v>
      </c>
      <c r="I60" s="337">
        <f>CF!AL50</f>
        <v>-21.048999999999999</v>
      </c>
      <c r="J60" s="337">
        <f>CF!AQ50</f>
        <v>-10.000000000000142</v>
      </c>
      <c r="K60" s="337">
        <f t="shared" ref="K60:R60" si="60">-K61*K23</f>
        <v>-20.669811100612524</v>
      </c>
      <c r="L60" s="337">
        <f t="shared" si="60"/>
        <v>-26.457358208784029</v>
      </c>
      <c r="M60" s="337">
        <f t="shared" si="60"/>
        <v>-33.336271343067878</v>
      </c>
      <c r="N60" s="337">
        <f t="shared" si="60"/>
        <v>-41.33697646540417</v>
      </c>
      <c r="O60" s="337">
        <f t="shared" si="60"/>
        <v>-50.431111287793087</v>
      </c>
      <c r="P60" s="337">
        <f t="shared" si="60"/>
        <v>-60.517333545351697</v>
      </c>
      <c r="Q60" s="337">
        <f t="shared" si="60"/>
        <v>-71.410453583514993</v>
      </c>
      <c r="R60" s="337">
        <f t="shared" si="60"/>
        <v>-82.836126156877384</v>
      </c>
    </row>
    <row r="61" spans="5:18">
      <c r="E61" s="341" t="s">
        <v>19</v>
      </c>
      <c r="F61" s="341">
        <f>-F60/F23</f>
        <v>5.7308330486773924E-2</v>
      </c>
      <c r="G61" s="341">
        <f t="shared" ref="G61:J61" si="61">-G60/G23</f>
        <v>6.5082336998086646E-2</v>
      </c>
      <c r="H61" s="341">
        <f t="shared" si="61"/>
        <v>3.1902311063356788E-2</v>
      </c>
      <c r="I61" s="341">
        <f t="shared" si="61"/>
        <v>1.6550701413520639E-2</v>
      </c>
      <c r="J61" s="341">
        <f t="shared" si="61"/>
        <v>6.2893656534746684E-3</v>
      </c>
      <c r="K61" s="340">
        <v>0.01</v>
      </c>
      <c r="L61" s="340">
        <v>0.01</v>
      </c>
      <c r="M61" s="340">
        <v>0.01</v>
      </c>
      <c r="N61" s="340">
        <v>0.01</v>
      </c>
      <c r="O61" s="340">
        <v>0.01</v>
      </c>
      <c r="P61" s="340">
        <v>0.01</v>
      </c>
      <c r="Q61" s="340">
        <v>0.01</v>
      </c>
      <c r="R61" s="340">
        <v>0.01</v>
      </c>
    </row>
    <row r="62" spans="5:18">
      <c r="E62" s="341"/>
      <c r="F62" s="341"/>
      <c r="G62" s="341"/>
      <c r="H62" s="341"/>
      <c r="I62" s="341"/>
      <c r="J62" s="52"/>
      <c r="K62" s="52"/>
      <c r="L62" s="52"/>
      <c r="M62" s="52"/>
      <c r="N62" s="52"/>
      <c r="O62" s="52"/>
      <c r="P62" s="52"/>
      <c r="Q62" s="52"/>
      <c r="R62" s="52"/>
    </row>
    <row r="63" spans="5:18">
      <c r="E63" s="345" t="s">
        <v>289</v>
      </c>
      <c r="F63" s="333">
        <f t="shared" ref="F63:Q63" si="62">F49+F51+F54+F57+F60</f>
        <v>-182.47546676035955</v>
      </c>
      <c r="G63" s="333">
        <f t="shared" si="62"/>
        <v>-266.64147217129209</v>
      </c>
      <c r="H63" s="333">
        <f t="shared" si="62"/>
        <v>-214.67451368874893</v>
      </c>
      <c r="I63" s="333">
        <f t="shared" si="62"/>
        <v>-277.2343120468849</v>
      </c>
      <c r="J63" s="333">
        <f t="shared" si="62"/>
        <v>-173.72923857851865</v>
      </c>
      <c r="K63" s="333">
        <f t="shared" si="62"/>
        <v>105.41603661312391</v>
      </c>
      <c r="L63" s="333">
        <f t="shared" si="62"/>
        <v>235.47048805817778</v>
      </c>
      <c r="M63" s="333">
        <f t="shared" si="62"/>
        <v>423.37064605696185</v>
      </c>
      <c r="N63" s="333">
        <f t="shared" si="62"/>
        <v>682.06011167916927</v>
      </c>
      <c r="O63" s="333">
        <f t="shared" si="62"/>
        <v>1023.7515591422002</v>
      </c>
      <c r="P63" s="333">
        <f t="shared" si="62"/>
        <v>1458.4677384429754</v>
      </c>
      <c r="Q63" s="333">
        <f t="shared" si="62"/>
        <v>1985.2106096217158</v>
      </c>
      <c r="R63" s="333">
        <f t="shared" ref="R63" si="63">R49+R51+R54+R57+R60</f>
        <v>2650.7560370200754</v>
      </c>
    </row>
    <row r="64" spans="5:18">
      <c r="E64" s="346" t="s">
        <v>290</v>
      </c>
      <c r="F64" s="347"/>
      <c r="G64" s="347"/>
      <c r="H64" s="347"/>
      <c r="I64" s="347"/>
      <c r="J64" s="348">
        <f t="shared" ref="J64:Q64" si="64">1/(1+$F$6)^K18</f>
        <v>0.69859947006773127</v>
      </c>
      <c r="K64" s="348">
        <f>1/(1+$F$6)^L18</f>
        <v>0.61987530618254771</v>
      </c>
      <c r="L64" s="348">
        <f>1/(1+$F$6)^M18</f>
        <v>0.55002245446543718</v>
      </c>
      <c r="M64" s="348">
        <f>1/(1+$F$6)^N18</f>
        <v>0.488041219578915</v>
      </c>
      <c r="N64" s="348">
        <f t="shared" si="64"/>
        <v>0.43304456040720046</v>
      </c>
      <c r="O64" s="348">
        <f t="shared" si="64"/>
        <v>0.38424539521490725</v>
      </c>
      <c r="P64" s="348">
        <f t="shared" si="64"/>
        <v>0.34094533736903926</v>
      </c>
      <c r="Q64" s="348">
        <f t="shared" si="64"/>
        <v>0.3025247004161839</v>
      </c>
      <c r="R64" s="348">
        <f>1/(1+$F$6)^S18</f>
        <v>0.26843362947310018</v>
      </c>
    </row>
    <row r="65" spans="5:18">
      <c r="E65" s="349" t="s">
        <v>291</v>
      </c>
      <c r="F65" s="350"/>
      <c r="G65" s="350"/>
      <c r="H65" s="350"/>
      <c r="I65" s="350"/>
      <c r="J65" s="351">
        <f t="shared" ref="J65:Q65" si="65">J63*J64</f>
        <v>-121.36715400622359</v>
      </c>
      <c r="K65" s="351">
        <f t="shared" si="65"/>
        <v>65.34479797211084</v>
      </c>
      <c r="L65" s="351">
        <f t="shared" si="65"/>
        <v>129.51405579593336</v>
      </c>
      <c r="M65" s="351">
        <f t="shared" si="65"/>
        <v>206.62232643555282</v>
      </c>
      <c r="N65" s="351">
        <f t="shared" si="65"/>
        <v>295.3624212333919</v>
      </c>
      <c r="O65" s="351">
        <f t="shared" si="65"/>
        <v>393.37182244447223</v>
      </c>
      <c r="P65" s="351">
        <f t="shared" si="65"/>
        <v>497.25777512529993</v>
      </c>
      <c r="Q65" s="351">
        <f t="shared" si="65"/>
        <v>600.57524493883932</v>
      </c>
      <c r="R65" s="351">
        <f t="shared" ref="R65" si="66">R63*R64</f>
        <v>711.55206386503028</v>
      </c>
    </row>
    <row r="66" spans="5:18">
      <c r="E66" s="347" t="s">
        <v>292</v>
      </c>
      <c r="F66" s="352">
        <f t="shared" ref="F66:Q66" si="67">F63/F23</f>
        <v>-0.56904632719328596</v>
      </c>
      <c r="G66" s="352">
        <f t="shared" si="67"/>
        <v>-0.5014346437100663</v>
      </c>
      <c r="H66" s="352">
        <f t="shared" si="67"/>
        <v>-0.30959780810421378</v>
      </c>
      <c r="I66" s="352">
        <f t="shared" si="67"/>
        <v>-0.2179876630847451</v>
      </c>
      <c r="J66" s="352">
        <f t="shared" si="67"/>
        <v>-0.1092646706120026</v>
      </c>
      <c r="K66" s="352">
        <f t="shared" si="67"/>
        <v>5.1000000000000018E-2</v>
      </c>
      <c r="L66" s="352">
        <f t="shared" si="67"/>
        <v>8.8999999999999968E-2</v>
      </c>
      <c r="M66" s="352">
        <f t="shared" si="67"/>
        <v>0.12699999999999995</v>
      </c>
      <c r="N66" s="352">
        <f t="shared" si="67"/>
        <v>0.16500000000000012</v>
      </c>
      <c r="O66" s="352">
        <f t="shared" si="67"/>
        <v>0.20300000000000012</v>
      </c>
      <c r="P66" s="352">
        <f t="shared" si="67"/>
        <v>0.24099999999999994</v>
      </c>
      <c r="Q66" s="352">
        <f t="shared" si="67"/>
        <v>0.27799999999999986</v>
      </c>
      <c r="R66" s="352">
        <f t="shared" ref="R66" si="68">R63/R23</f>
        <v>0.3199999999999999</v>
      </c>
    </row>
    <row r="72" spans="5:18">
      <c r="E72" s="149"/>
    </row>
    <row r="73" spans="5:18">
      <c r="E73" s="149"/>
    </row>
    <row r="74" spans="5:18">
      <c r="E74" s="149"/>
      <c r="F74" s="353"/>
      <c r="G74" s="321"/>
    </row>
    <row r="75" spans="5:18">
      <c r="G75" s="337"/>
    </row>
    <row r="76" spans="5:18">
      <c r="F76" s="337"/>
      <c r="G76" s="337"/>
    </row>
    <row r="77" spans="5:18">
      <c r="F77" s="337"/>
      <c r="G77" s="354"/>
    </row>
    <row r="79" spans="5:18">
      <c r="E79" s="149"/>
    </row>
    <row r="80" spans="5:18">
      <c r="F80" s="355"/>
    </row>
    <row r="81" spans="5:7">
      <c r="F81" s="355"/>
    </row>
    <row r="82" spans="5:7">
      <c r="F82" s="356"/>
    </row>
    <row r="84" spans="5:7">
      <c r="E84" s="149"/>
    </row>
    <row r="85" spans="5:7">
      <c r="F85" s="337"/>
      <c r="G85" s="337"/>
    </row>
    <row r="86" spans="5:7">
      <c r="F86" s="337"/>
      <c r="G86" s="337"/>
    </row>
    <row r="87" spans="5:7">
      <c r="F87" s="357"/>
      <c r="G87" s="357"/>
    </row>
    <row r="89" spans="5:7">
      <c r="F89" s="358"/>
    </row>
    <row r="91" spans="5:7">
      <c r="F91" s="359"/>
      <c r="G91" s="359"/>
    </row>
  </sheetData>
  <mergeCells count="4">
    <mergeCell ref="H4:K4"/>
    <mergeCell ref="F20:G20"/>
    <mergeCell ref="H20:J20"/>
    <mergeCell ref="K20:R20"/>
  </mergeCells>
  <pageMargins left="0.7" right="0.7" top="0.75" bottom="0.75" header="0.3" footer="0.3"/>
  <pageSetup scale="3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5873-8096-4677-A10A-18DA2760FAB7}">
  <dimension ref="B3:R25"/>
  <sheetViews>
    <sheetView workbookViewId="0">
      <selection activeCell="L21" sqref="L21"/>
    </sheetView>
  </sheetViews>
  <sheetFormatPr defaultRowHeight="15"/>
  <sheetData>
    <row r="3" spans="2:13">
      <c r="B3" t="s">
        <v>193</v>
      </c>
      <c r="H3" t="s">
        <v>194</v>
      </c>
    </row>
    <row r="4" spans="2:13">
      <c r="B4" t="s">
        <v>196</v>
      </c>
      <c r="C4" t="s">
        <v>197</v>
      </c>
      <c r="D4" t="s">
        <v>198</v>
      </c>
      <c r="E4" t="s">
        <v>199</v>
      </c>
      <c r="H4" t="s">
        <v>196</v>
      </c>
      <c r="I4" t="s">
        <v>200</v>
      </c>
      <c r="J4" t="s">
        <v>198</v>
      </c>
      <c r="K4" t="s">
        <v>201</v>
      </c>
    </row>
    <row r="5" spans="2:13">
      <c r="B5" t="s">
        <v>195</v>
      </c>
      <c r="C5" s="34">
        <v>0.17699999999999999</v>
      </c>
      <c r="D5" s="34">
        <v>0.59499999999999997</v>
      </c>
      <c r="E5">
        <v>3.44</v>
      </c>
      <c r="H5" t="s">
        <v>206</v>
      </c>
      <c r="I5" s="295">
        <v>2.4E-2</v>
      </c>
      <c r="J5" s="295">
        <v>0.61599999999999999</v>
      </c>
      <c r="K5">
        <v>5.45</v>
      </c>
    </row>
    <row r="6" spans="2:13">
      <c r="B6" t="s">
        <v>202</v>
      </c>
      <c r="C6" s="34">
        <v>9.7000000000000003E-2</v>
      </c>
      <c r="D6" s="34">
        <v>0.70399999999999996</v>
      </c>
      <c r="E6">
        <v>2.35</v>
      </c>
      <c r="H6" t="s">
        <v>207</v>
      </c>
      <c r="I6" s="295">
        <v>-0.01</v>
      </c>
      <c r="J6" s="295">
        <v>0.624</v>
      </c>
      <c r="K6">
        <v>6.56</v>
      </c>
    </row>
    <row r="7" spans="2:13">
      <c r="B7" t="s">
        <v>203</v>
      </c>
      <c r="C7" s="34">
        <v>0.23699999999999999</v>
      </c>
      <c r="D7" s="34">
        <v>0.51600000000000001</v>
      </c>
      <c r="E7">
        <v>8.92</v>
      </c>
      <c r="H7" t="s">
        <v>208</v>
      </c>
      <c r="I7" s="295">
        <v>5.8999999999999997E-2</v>
      </c>
      <c r="J7" s="295">
        <v>0.84</v>
      </c>
      <c r="K7">
        <v>4.7699999999999996</v>
      </c>
    </row>
    <row r="8" spans="2:13">
      <c r="B8" t="s">
        <v>204</v>
      </c>
      <c r="C8" s="34">
        <v>0.10299999999999999</v>
      </c>
      <c r="D8" s="34">
        <v>0.68500000000000005</v>
      </c>
      <c r="E8">
        <v>3.99</v>
      </c>
      <c r="H8" t="s">
        <v>209</v>
      </c>
      <c r="I8" s="295">
        <v>0.13100000000000001</v>
      </c>
      <c r="J8" s="295">
        <v>0.90600000000000003</v>
      </c>
      <c r="K8">
        <v>9.59</v>
      </c>
    </row>
    <row r="9" spans="2:13">
      <c r="B9" t="s">
        <v>205</v>
      </c>
      <c r="C9" s="34">
        <v>0.106</v>
      </c>
      <c r="D9" s="34">
        <v>0.43099999999999999</v>
      </c>
      <c r="E9">
        <v>3.06</v>
      </c>
      <c r="H9" t="s">
        <v>210</v>
      </c>
      <c r="I9" s="295">
        <v>0.20100000000000001</v>
      </c>
      <c r="J9" s="295">
        <v>0.82499999999999996</v>
      </c>
      <c r="K9">
        <v>21.15</v>
      </c>
    </row>
    <row r="10" spans="2:13">
      <c r="C10" s="34"/>
      <c r="D10" s="34" t="s">
        <v>298</v>
      </c>
      <c r="E10">
        <v>9.1999999999999993</v>
      </c>
      <c r="F10">
        <f>E10*IS!AG9</f>
        <v>4156.0946528403974</v>
      </c>
      <c r="H10" t="s">
        <v>211</v>
      </c>
      <c r="I10" s="295">
        <v>0.22399999999999998</v>
      </c>
      <c r="J10" s="295">
        <v>0.73199999999999998</v>
      </c>
      <c r="K10">
        <v>16.190000000000001</v>
      </c>
    </row>
    <row r="11" spans="2:13">
      <c r="C11" s="34"/>
      <c r="D11" s="34" t="s">
        <v>299</v>
      </c>
      <c r="E11">
        <v>8.1</v>
      </c>
      <c r="F11">
        <f>Diagnostics!AG47*E11</f>
        <v>1819.399869162178</v>
      </c>
      <c r="H11" t="s">
        <v>212</v>
      </c>
      <c r="I11" s="295">
        <v>0.2</v>
      </c>
      <c r="J11" s="295">
        <v>0.62</v>
      </c>
      <c r="K11">
        <v>2.84</v>
      </c>
    </row>
    <row r="12" spans="2:13">
      <c r="C12" s="34"/>
      <c r="D12" s="34"/>
      <c r="H12" t="s">
        <v>213</v>
      </c>
      <c r="I12" s="295">
        <v>3.5999999999999997E-2</v>
      </c>
      <c r="J12" s="295">
        <v>0.35399999999999998</v>
      </c>
      <c r="K12">
        <v>3.81</v>
      </c>
    </row>
    <row r="13" spans="2:13">
      <c r="C13" s="34"/>
      <c r="D13" s="34"/>
      <c r="H13" t="s">
        <v>214</v>
      </c>
      <c r="I13" s="295">
        <v>0.21</v>
      </c>
      <c r="J13" s="295">
        <v>0.82099999999999995</v>
      </c>
      <c r="K13">
        <v>16.28</v>
      </c>
    </row>
    <row r="14" spans="2:13">
      <c r="C14" s="34"/>
      <c r="D14" s="34"/>
      <c r="H14" t="s">
        <v>215</v>
      </c>
      <c r="I14" s="295">
        <v>0.37</v>
      </c>
      <c r="J14" s="295">
        <v>0.73199999999999998</v>
      </c>
      <c r="K14">
        <v>14.34</v>
      </c>
      <c r="M14" t="s">
        <v>216</v>
      </c>
    </row>
    <row r="15" spans="2:13">
      <c r="C15" s="34"/>
      <c r="D15" s="34"/>
      <c r="H15" t="s">
        <v>217</v>
      </c>
      <c r="I15" s="295">
        <v>0.318</v>
      </c>
      <c r="J15" s="295">
        <v>0.42200000000000004</v>
      </c>
      <c r="K15">
        <v>7.92</v>
      </c>
    </row>
    <row r="16" spans="2:13">
      <c r="C16" s="34"/>
      <c r="D16" s="34"/>
      <c r="H16" t="s">
        <v>218</v>
      </c>
      <c r="I16" s="295">
        <v>0.28100000000000003</v>
      </c>
      <c r="J16" s="295">
        <v>0.89</v>
      </c>
      <c r="K16">
        <v>11.35</v>
      </c>
    </row>
    <row r="17" spans="7:18">
      <c r="H17" t="s">
        <v>219</v>
      </c>
      <c r="I17" s="295">
        <v>0.28000000000000003</v>
      </c>
      <c r="J17" s="295">
        <v>0.76500000000000001</v>
      </c>
      <c r="K17">
        <v>7.92</v>
      </c>
    </row>
    <row r="18" spans="7:18">
      <c r="H18" t="s">
        <v>220</v>
      </c>
      <c r="I18" s="295">
        <v>0.31</v>
      </c>
      <c r="J18" s="295">
        <v>0.69700000000000006</v>
      </c>
      <c r="K18">
        <v>11.08</v>
      </c>
      <c r="P18">
        <f>11.08+14.34+16.19</f>
        <v>41.61</v>
      </c>
    </row>
    <row r="19" spans="7:18">
      <c r="H19" t="s">
        <v>221</v>
      </c>
      <c r="I19" s="295">
        <v>0.27600000000000002</v>
      </c>
      <c r="J19" s="295">
        <v>0.78299999999999992</v>
      </c>
      <c r="K19">
        <v>7.84</v>
      </c>
      <c r="P19">
        <f>P18/3</f>
        <v>13.87</v>
      </c>
      <c r="Q19">
        <f>P19*IS!AG12</f>
        <v>3351.6663923967299</v>
      </c>
    </row>
    <row r="20" spans="7:18">
      <c r="H20" t="s">
        <v>222</v>
      </c>
      <c r="I20" s="295">
        <v>0</v>
      </c>
      <c r="J20" s="295">
        <v>0.65900000000000003</v>
      </c>
      <c r="K20">
        <v>3.7</v>
      </c>
      <c r="Q20">
        <f>Q19+F10</f>
        <v>7507.7610452371273</v>
      </c>
    </row>
    <row r="21" spans="7:18">
      <c r="J21" t="s">
        <v>298</v>
      </c>
      <c r="K21">
        <v>9.8000000000000007</v>
      </c>
      <c r="L21">
        <f>K21*IS!AG12</f>
        <v>2368.1564993142001</v>
      </c>
      <c r="Q21">
        <f>Q20/IS!AG15</f>
        <v>10.827490992925615</v>
      </c>
      <c r="R21" t="s">
        <v>225</v>
      </c>
    </row>
    <row r="22" spans="7:18">
      <c r="J22" t="s">
        <v>299</v>
      </c>
      <c r="K22">
        <v>13.7</v>
      </c>
      <c r="L22">
        <f>'Data &amp; Other'!AG31*K22</f>
        <v>2419.8081743560201</v>
      </c>
    </row>
    <row r="24" spans="7:18">
      <c r="G24" t="s">
        <v>223</v>
      </c>
      <c r="H24">
        <f>F10+L21</f>
        <v>6524.2511521545975</v>
      </c>
    </row>
    <row r="25" spans="7:18">
      <c r="H25">
        <f>H24/IS!AG15</f>
        <v>9.4090994851724563</v>
      </c>
      <c r="I25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Comparison</vt:lpstr>
      <vt:lpstr>IS</vt:lpstr>
      <vt:lpstr>BS</vt:lpstr>
      <vt:lpstr>CF</vt:lpstr>
      <vt:lpstr>Diagnostics</vt:lpstr>
      <vt:lpstr>Data &amp; Other</vt:lpstr>
      <vt:lpstr>Valuation</vt:lpstr>
      <vt:lpstr>DCF</vt:lpstr>
      <vt:lpstr>Comps</vt:lpstr>
      <vt:lpstr>Comparison!Print_Area</vt:lpstr>
      <vt:lpstr>IS!Print_Area</vt:lpstr>
    </vt:vector>
  </TitlesOfParts>
  <Company>Needham and Company,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Shea, Matthew</dc:creator>
  <cp:lastModifiedBy>Yuuji Anderson</cp:lastModifiedBy>
  <cp:lastPrinted>2026-02-24T23:30:52Z</cp:lastPrinted>
  <dcterms:created xsi:type="dcterms:W3CDTF">2022-04-11T20:17:43Z</dcterms:created>
  <dcterms:modified xsi:type="dcterms:W3CDTF">2026-03-23T19:12:57Z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d">
    <vt:lpwstr>0b7cf797-4b38-4fd9-990a-456f1961f625</vt:lpwstr>
  </property>
</Properties>
</file>