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ujiAnderson\Dropbox\Kaissa Consumer\Mosaic\buckets\CANCER\GH\source\"/>
    </mc:Choice>
  </mc:AlternateContent>
  <xr:revisionPtr revIDLastSave="0" documentId="13_ncr:1_{77352989-18AB-4DB6-A3BD-D39BA1999A8D}" xr6:coauthVersionLast="47" xr6:coauthVersionMax="47" xr10:uidLastSave="{00000000-0000-0000-0000-000000000000}"/>
  <bookViews>
    <workbookView xWindow="-120" yWindow="-120" windowWidth="29040" windowHeight="15720" tabRatio="719" firstSheet="1" activeTab="3" xr2:uid="{FD122B69-D50B-481E-8D99-A2B8B8D0B6DD}"/>
  </bookViews>
  <sheets>
    <sheet name="__FDSCACHE__" sheetId="36" state="veryHidden" r:id="rId1"/>
    <sheet name="Disclaimer" sheetId="38" r:id="rId2"/>
    <sheet name="IS" sheetId="2" r:id="rId3"/>
    <sheet name="Rev" sheetId="3" r:id="rId4"/>
    <sheet name="BS" sheetId="4" r:id="rId5"/>
    <sheet name="CF" sheetId="5" r:id="rId6"/>
    <sheet name="Other Accts" sheetId="8" r:id="rId7"/>
    <sheet name="Valuation" sheetId="7" r:id="rId8"/>
  </sheets>
  <definedNames>
    <definedName name="__APW_RESTORE_DATA0__" hidden="1">#REF!</definedName>
    <definedName name="__APW_RESTORE_DATA1__" hidden="1">#REF!</definedName>
    <definedName name="__FDS_HYPERLINK_TOGGLE_STATE__" hidden="1">"ON"</definedName>
    <definedName name="__FDS_UNIQUE_RANGE_ID_GENERATOR_COUNTER" hidden="1">1</definedName>
    <definedName name="__FDS_USED_FOR_REUSING_RANGE_IDS_RECYCLE" hidden="1">{1}</definedName>
    <definedName name="_1__FDSAUDITLINK__" hidden="1">{"fdsup://directions/FAT Viewer?action=UPDATE&amp;creator=factset&amp;DYN_ARGS=TRUE&amp;DOC_NAME=FAT:FQL_AUDITING_CLIENT_TEMPLATE.FAT&amp;display_string=Audit&amp;VAR:KEY=EBGRMLSVGP&amp;VAR:QUERY=RkZfRUJJVERBX09QRVIoUVRSLE5PVyk=&amp;WINDOW=FIRST_POPUP&amp;HEIGHT=450&amp;WIDTH=450&amp;START_MAXIMI","ZED=FALSE&amp;VAR:CALENDAR=US&amp;VAR:SYMBOL=TRGP&amp;VAR:INDEX=0"}</definedName>
    <definedName name="_1994" localSheetId="1">#REF!</definedName>
    <definedName name="_1994">#REF!</definedName>
    <definedName name="_1995" localSheetId="1">#REF!</definedName>
    <definedName name="_1995">#REF!</definedName>
    <definedName name="_1996" localSheetId="1">#REF!</definedName>
    <definedName name="_1996">#REF!</definedName>
    <definedName name="_1997" localSheetId="1">#REF!</definedName>
    <definedName name="_1997">#REF!</definedName>
    <definedName name="_1998" localSheetId="1">#REF!</definedName>
    <definedName name="_1998">#REF!</definedName>
    <definedName name="_1999" localSheetId="1">#REF!</definedName>
    <definedName name="_1999">#REF!</definedName>
    <definedName name="_1Q94" localSheetId="1">#REF!</definedName>
    <definedName name="_1Q94">#REF!</definedName>
    <definedName name="_1Q95" localSheetId="1">#REF!</definedName>
    <definedName name="_1Q95">#REF!</definedName>
    <definedName name="_2007" localSheetId="1">#REF!</definedName>
    <definedName name="_2007">#REF!</definedName>
    <definedName name="_2008" localSheetId="1">#REF!</definedName>
    <definedName name="_2008">#REF!</definedName>
    <definedName name="_2Q94" localSheetId="1">#REF!</definedName>
    <definedName name="_2Q94">#REF!</definedName>
    <definedName name="_2Q95" localSheetId="1">#REF!</definedName>
    <definedName name="_2Q95">#REF!</definedName>
    <definedName name="_3Q94" localSheetId="1">#REF!</definedName>
    <definedName name="_3Q94">#REF!</definedName>
    <definedName name="_3Q95" localSheetId="1">#REF!</definedName>
    <definedName name="_3Q95">#REF!</definedName>
    <definedName name="_4Q94" localSheetId="1">#REF!</definedName>
    <definedName name="_4Q94">#REF!</definedName>
    <definedName name="_4Q95" localSheetId="1">#REF!</definedName>
    <definedName name="_4Q95">#REF!</definedName>
    <definedName name="_bdm.145E0E4D7DEE42ADB360E462874E1BE4.edm" hidden="1">#REF!</definedName>
    <definedName name="_bdm.2f8eb7e6a54f4750aec08d9289285971.edm" hidden="1">#REF!</definedName>
    <definedName name="_bdm.ce1bfab01bb149568da97ba79e8bdd28.edm" hidden="1">#REF!</definedName>
    <definedName name="_bdm.EAE148E967614464973C462DD0F27E07.edm" localSheetId="1" hidden="1">#REF!</definedName>
    <definedName name="_bdm.EAE148E967614464973C462DD0F27E07.edm" hidden="1">#REF!</definedName>
    <definedName name="_bdm.eb7a466e58a442c09e5103bbdc59e914.edm" hidden="1">#REF!</definedName>
    <definedName name="_Fill" hidden="1">#REF!</definedName>
    <definedName name="_Key1" localSheetId="1">#REF!</definedName>
    <definedName name="_Key1">#REF!</definedName>
    <definedName name="_marketsource">#REF!</definedName>
    <definedName name="_MatMult_A" hidden="1">#REF!</definedName>
    <definedName name="_MatMult_B" hidden="1">#REF!</definedName>
    <definedName name="_Order1">0</definedName>
    <definedName name="_Regression_Out" hidden="1">#REF!</definedName>
    <definedName name="_Regression_X" hidden="1">#REF!</definedName>
    <definedName name="_Regression_Y" hidden="1">#REF!</definedName>
    <definedName name="_Sort" localSheetId="1">#REF!</definedName>
    <definedName name="_Sort">#REF!</definedName>
    <definedName name="_strtyr">#REF!</definedName>
    <definedName name="_Table1_In1" localSheetId="1" hidden="1">#REF!</definedName>
    <definedName name="_Table1_In1" hidden="1">#REF!</definedName>
    <definedName name="_Table1_Out" localSheetId="1" hidden="1">#REF!</definedName>
    <definedName name="_Table1_Out" hidden="1">#REF!</definedName>
    <definedName name="a" localSheetId="1">#REF!</definedName>
    <definedName name="a">#REF!</definedName>
    <definedName name="aassas" localSheetId="1" hidden="1">{"PR1","pr1",TRUE,"Sch PR-1"}</definedName>
    <definedName name="aassas" hidden="1">{"PR1","pr1",TRUE,"Sch PR-1"}</definedName>
    <definedName name="Acc_payable" localSheetId="1">#REF!</definedName>
    <definedName name="Acc_payable">#REF!</definedName>
    <definedName name="Acc_payable_growth_fore" localSheetId="1">#REF!</definedName>
    <definedName name="Acc_payable_growth_fore">#REF!</definedName>
    <definedName name="Acc_Rec" localSheetId="1">#REF!</definedName>
    <definedName name="Acc_Rec">#REF!</definedName>
    <definedName name="Acc_Rec_growth_fore" localSheetId="1">#REF!</definedName>
    <definedName name="Acc_Rec_growth_fore">#REF!</definedName>
    <definedName name="Acc_Rec_turns" localSheetId="1">#REF!</definedName>
    <definedName name="Acc_Rec_turns">#REF!</definedName>
    <definedName name="Accel_Ratio" localSheetId="1">#REF!</definedName>
    <definedName name="Accel_Ratio">#REF!</definedName>
    <definedName name="Accrued_compensation" localSheetId="1">#REF!</definedName>
    <definedName name="Accrued_compensation">#REF!</definedName>
    <definedName name="Accrued_compensation_growth_fore" localSheetId="1">#REF!</definedName>
    <definedName name="Accrued_compensation_growth_fore">#REF!</definedName>
    <definedName name="Accrued_expenses" localSheetId="1">#REF!</definedName>
    <definedName name="Accrued_expenses">#REF!</definedName>
    <definedName name="Accrued_expenses_growth_fore" localSheetId="1">#REF!</definedName>
    <definedName name="Accrued_expenses_growth_fore">#REF!</definedName>
    <definedName name="Accum_Cap_Expenses" localSheetId="1">#REF!</definedName>
    <definedName name="Accum_Cap_Expenses">#REF!</definedName>
    <definedName name="Accum_Cap_Expenses_growth_fore" localSheetId="1">#REF!</definedName>
    <definedName name="Accum_Cap_Expenses_growth_fore">#REF!</definedName>
    <definedName name="Accum_Goodwill_Amort" localSheetId="1">#REF!</definedName>
    <definedName name="Accum_Goodwill_Amort">#REF!</definedName>
    <definedName name="Accum_Goodwill_Amort_growth_fore" localSheetId="1">#REF!</definedName>
    <definedName name="Accum_Goodwill_Amort_growth_fore">#REF!</definedName>
    <definedName name="Accum_Other_Amort." localSheetId="1">#REF!</definedName>
    <definedName name="Accum_Other_Amort.">#REF!</definedName>
    <definedName name="adasdasdasdasd" localSheetId="1" hidden="1">{"PR1","pr1",TRUE,"Sch PR-1"}</definedName>
    <definedName name="adasdasdasdasd" hidden="1">{"PR1","pr1",TRUE,"Sch PR-1"}</definedName>
    <definedName name="Adj_net_oper_fore" localSheetId="1">#REF!</definedName>
    <definedName name="Adj_net_oper_fore">#REF!</definedName>
    <definedName name="Adjusted_Common_Equity" localSheetId="1">#REF!</definedName>
    <definedName name="Adjusted_Common_Equity">#REF!</definedName>
    <definedName name="Adjusted_Income_Available_to_Common" localSheetId="1">#REF!</definedName>
    <definedName name="Adjusted_Income_Available_to_Common">#REF!</definedName>
    <definedName name="Adjusted_Net_Operating_Profit" localSheetId="1">#REF!</definedName>
    <definedName name="Adjusted_Net_Operating_Profit">#REF!</definedName>
    <definedName name="AEH_qtr_results">#REF!</definedName>
    <definedName name="AEH_qtrly_results" localSheetId="1">#REF!</definedName>
    <definedName name="AEH_qtrly_results">#REF!</definedName>
    <definedName name="After_tax_charge" localSheetId="1">#REF!</definedName>
    <definedName name="After_tax_charge">#REF!</definedName>
    <definedName name="After_Tax_charges_gains" localSheetId="1">#REF!</definedName>
    <definedName name="After_Tax_charges_gains">#REF!</definedName>
    <definedName name="Ag" localSheetId="1">#REF!</definedName>
    <definedName name="Ag">#REF!</definedName>
    <definedName name="AHC_CAPEX" localSheetId="1">#REF!</definedName>
    <definedName name="AHC_CAPEX">#REF!</definedName>
    <definedName name="AHC_CAPEX_2004" localSheetId="1">#REF!</definedName>
    <definedName name="AHC_CAPEX_2004">#REF!</definedName>
    <definedName name="AHC_CAPEX_2005" localSheetId="1">#REF!</definedName>
    <definedName name="AHC_CAPEX_2005">#REF!</definedName>
    <definedName name="AHC_CAPEX_2006" localSheetId="1">#REF!</definedName>
    <definedName name="AHC_CAPEX_2006">#REF!</definedName>
    <definedName name="AHC_CAPEX_2007" localSheetId="1">#REF!</definedName>
    <definedName name="AHC_CAPEX_2007">#REF!</definedName>
    <definedName name="AHC_CAPEX_Chems" localSheetId="1">#REF!</definedName>
    <definedName name="AHC_CAPEX_Chems">#REF!</definedName>
    <definedName name="AHC_CAPEX_EP" localSheetId="1">#REF!</definedName>
    <definedName name="AHC_CAPEX_EP">#REF!</definedName>
    <definedName name="AHC_CAPEX_EP_2004" localSheetId="1">#REF!</definedName>
    <definedName name="AHC_CAPEX_EP_2004">#REF!</definedName>
    <definedName name="AHC_CAPEX_EP_2005" localSheetId="1">#REF!</definedName>
    <definedName name="AHC_CAPEX_EP_2005">#REF!</definedName>
    <definedName name="AHC_CAPEX_EP_2006" localSheetId="1">#REF!</definedName>
    <definedName name="AHC_CAPEX_EP_2006">#REF!</definedName>
    <definedName name="AHC_CAPEX_EP_2007" localSheetId="1">#REF!</definedName>
    <definedName name="AHC_CAPEX_EP_2007">#REF!</definedName>
    <definedName name="AHC_CAPEX_Other" localSheetId="1">#REF!</definedName>
    <definedName name="AHC_CAPEX_Other">#REF!</definedName>
    <definedName name="AHC_CAPEX_Other_2004" localSheetId="1">#REF!</definedName>
    <definedName name="AHC_CAPEX_Other_2004">#REF!</definedName>
    <definedName name="AHC_CAPEX_Other_2005" localSheetId="1">#REF!</definedName>
    <definedName name="AHC_CAPEX_Other_2005">#REF!</definedName>
    <definedName name="AHC_CAPEX_Other_2006" localSheetId="1">#REF!</definedName>
    <definedName name="AHC_CAPEX_Other_2006">#REF!</definedName>
    <definedName name="AHC_CAPEX_Other_2007" localSheetId="1">#REF!</definedName>
    <definedName name="AHC_CAPEX_Other_2007">#REF!</definedName>
    <definedName name="AHC_CAPEX_RM" localSheetId="1">#REF!</definedName>
    <definedName name="AHC_CAPEX_RM">#REF!</definedName>
    <definedName name="AHC_CAPEX_RM_2004" localSheetId="1">#REF!</definedName>
    <definedName name="AHC_CAPEX_RM_2004">#REF!</definedName>
    <definedName name="AHC_CAPEX_RM_2005" localSheetId="1">#REF!</definedName>
    <definedName name="AHC_CAPEX_RM_2005">#REF!</definedName>
    <definedName name="AHC_CAPEX_RM_2006" localSheetId="1">#REF!</definedName>
    <definedName name="AHC_CAPEX_RM_2006">#REF!</definedName>
    <definedName name="AHC_CAPEX_RM_2007" localSheetId="1">#REF!</definedName>
    <definedName name="AHC_CAPEX_RM_2007">#REF!</definedName>
    <definedName name="Alt">#REF!</definedName>
    <definedName name="Annual" localSheetId="1">#REF!</definedName>
    <definedName name="Annual">#REF!</definedName>
    <definedName name="Annual_enrollment_print" localSheetId="1">#REF!</definedName>
    <definedName name="Annual_enrollment_print">#REF!</definedName>
    <definedName name="Annual_EPS_print" localSheetId="1">#REF!</definedName>
    <definedName name="Annual_EPS_print">#REF!</definedName>
    <definedName name="Annual_results" localSheetId="1">#REF!</definedName>
    <definedName name="Annual_results">#REF!</definedName>
    <definedName name="anscount" hidden="1">1</definedName>
    <definedName name="AS2DocOpenMode" hidden="1">"AS2DocumentEdit"</definedName>
    <definedName name="asasasasas" localSheetId="1" hidden="1">{"PR1","pr1",TRUE,"Sch PR-1"}</definedName>
    <definedName name="asasasasas" hidden="1">{"PR1","pr1",TRUE,"Sch PR-1"}</definedName>
    <definedName name="asdf">#REF!</definedName>
    <definedName name="asdf1">#REF!</definedName>
    <definedName name="asdf4">#REF!</definedName>
    <definedName name="assasdafsda" localSheetId="1" hidden="1">{"PR1","pr1",TRUE,"Sch PR-1"}</definedName>
    <definedName name="assasdafsda" hidden="1">{"PR1","pr1",TRUE,"Sch PR-1"}</definedName>
    <definedName name="Average_invested_capital" localSheetId="1">#REF!</definedName>
    <definedName name="Average_invested_capital">#REF!</definedName>
    <definedName name="Average_invested_capital_DCF" localSheetId="1">#REF!</definedName>
    <definedName name="Average_invested_capital_DCF">#REF!</definedName>
    <definedName name="Average_thereafter" localSheetId="1">#REF!</definedName>
    <definedName name="Average_thereafter">#REF!</definedName>
    <definedName name="b">#REF!</definedName>
    <definedName name="Balance_sheets" localSheetId="1">#REF!</definedName>
    <definedName name="Balance_sheets">#REF!</definedName>
    <definedName name="balsheet" localSheetId="1">#REF!</definedName>
    <definedName name="balsheet">#REF!</definedName>
    <definedName name="BAX_annual_results" localSheetId="1">#REF!</definedName>
    <definedName name="BAX_annual_results">#REF!</definedName>
    <definedName name="BAX_qtrly_results" localSheetId="1">#REF!</definedName>
    <definedName name="BAX_qtrly_results">#REF!</definedName>
    <definedName name="Beta" localSheetId="1">#REF!</definedName>
    <definedName name="Beta">#REF!</definedName>
    <definedName name="BHI" localSheetId="1">#REF!</definedName>
    <definedName name="BHI">#REF!</definedName>
    <definedName name="BJS" localSheetId="1">#REF!</definedName>
    <definedName name="BJS">#REF!</definedName>
    <definedName name="BLPH2000001" hidden="1">#REF!</definedName>
    <definedName name="BLPH2000002" hidden="1">#REF!</definedName>
    <definedName name="BLPH2000003" hidden="1">#REF!</definedName>
    <definedName name="BLPH2000004" hidden="1">#REF!</definedName>
    <definedName name="BLPH2000005" hidden="1">#REF!</definedName>
    <definedName name="BLPH2000006" hidden="1">#REF!</definedName>
    <definedName name="BLPH2000007" hidden="1">#REF!</definedName>
    <definedName name="BLPH2000008" hidden="1">#REF!</definedName>
    <definedName name="BLPH2000009" hidden="1">#REF!</definedName>
    <definedName name="BLPH2000010" hidden="1">#REF!</definedName>
    <definedName name="BLPH2000011" hidden="1">#REF!</definedName>
    <definedName name="BLPH6000137" hidden="1">#REF!</definedName>
    <definedName name="BLPH6000138" hidden="1">#REF!</definedName>
    <definedName name="BLPH6000139" hidden="1">#REF!</definedName>
    <definedName name="BLPH6000140" hidden="1">#REF!</definedName>
    <definedName name="BLPH6000141" hidden="1">#REF!</definedName>
    <definedName name="BLPH6000142" hidden="1">#REF!</definedName>
    <definedName name="BLPH6000143" hidden="1">#REF!</definedName>
    <definedName name="BLPH6000144" hidden="1">#REF!</definedName>
    <definedName name="BLPH6000145" hidden="1">#REF!</definedName>
    <definedName name="BLPH6000146" hidden="1">#REF!</definedName>
    <definedName name="BLPH6000147" hidden="1">#REF!</definedName>
    <definedName name="BLPH6000148" hidden="1">#REF!</definedName>
    <definedName name="BLPH6000149" hidden="1">#REF!</definedName>
    <definedName name="BLPH6000150" hidden="1">#REF!</definedName>
    <definedName name="BLPH6000151" hidden="1">#REF!</definedName>
    <definedName name="BLPH6000152" hidden="1">#REF!</definedName>
    <definedName name="BLPH6000153" hidden="1">#REF!</definedName>
    <definedName name="BLPH6000154" hidden="1">#REF!</definedName>
    <definedName name="BLPH6000155" hidden="1">#REF!</definedName>
    <definedName name="BLPH6000156" hidden="1">#REF!</definedName>
    <definedName name="BLPH6000157" hidden="1">#REF!</definedName>
    <definedName name="BLPH6000158" hidden="1">#REF!</definedName>
    <definedName name="BLPH6000159" hidden="1">#REF!</definedName>
    <definedName name="BLPH6000160" hidden="1">#REF!</definedName>
    <definedName name="BLPH6000161" hidden="1">#REF!</definedName>
    <definedName name="BLPH6000162" hidden="1">#REF!</definedName>
    <definedName name="BLPH6000163" hidden="1">#REF!</definedName>
    <definedName name="BLPH6000164" hidden="1">#REF!</definedName>
    <definedName name="BLPH6000165" hidden="1">#REF!</definedName>
    <definedName name="BLPH6000166" hidden="1">#REF!</definedName>
    <definedName name="BLPH6000167" hidden="1">#REF!</definedName>
    <definedName name="BLPH6000168" hidden="1">#REF!</definedName>
    <definedName name="BLPH6000169" hidden="1">#REF!</definedName>
    <definedName name="BLPH6000170" hidden="1">#REF!</definedName>
    <definedName name="BLPH6000171" hidden="1">#REF!</definedName>
    <definedName name="BLPH6000172" hidden="1">#REF!</definedName>
    <definedName name="BLPH6000173" hidden="1">#REF!</definedName>
    <definedName name="BLPH6000174" hidden="1">#REF!</definedName>
    <definedName name="BLPH6000175" hidden="1">#REF!</definedName>
    <definedName name="BLPH6000176" hidden="1">#REF!</definedName>
    <definedName name="BLPH6000177" hidden="1">#REF!</definedName>
    <definedName name="BLPH6000178" hidden="1">#REF!</definedName>
    <definedName name="BLPH6000179" hidden="1">#REF!</definedName>
    <definedName name="BLPH6000180" hidden="1">#REF!</definedName>
    <definedName name="BLPH6000181" hidden="1">#REF!</definedName>
    <definedName name="BLPH6000182" hidden="1">#REF!</definedName>
    <definedName name="BLPH6000183" hidden="1">#REF!</definedName>
    <definedName name="BLPH6000184" hidden="1">#REF!</definedName>
    <definedName name="BLPH6000185" hidden="1">#REF!</definedName>
    <definedName name="BLPH6000186" hidden="1">#REF!</definedName>
    <definedName name="BLPH6000187" hidden="1">#REF!</definedName>
    <definedName name="BLPH6000188" hidden="1">#REF!</definedName>
    <definedName name="BLPH6000189" hidden="1">#REF!</definedName>
    <definedName name="BLPH6000190" hidden="1">#REF!</definedName>
    <definedName name="BLPH6000191" hidden="1">#REF!</definedName>
    <definedName name="BLPH6000192" hidden="1">#REF!</definedName>
    <definedName name="BLPH6000193" hidden="1">#REF!</definedName>
    <definedName name="BLPH6000194" hidden="1">#REF!</definedName>
    <definedName name="BLPH6000195" hidden="1">#REF!</definedName>
    <definedName name="BLPH6000196" hidden="1">#REF!</definedName>
    <definedName name="BLPH6000197" hidden="1">#REF!</definedName>
    <definedName name="BLPH6000198" hidden="1">#REF!</definedName>
    <definedName name="BLPH6000199" hidden="1">#REF!</definedName>
    <definedName name="BLPH6000200" hidden="1">#REF!</definedName>
    <definedName name="BLPH6000201" hidden="1">#REF!</definedName>
    <definedName name="BLPH6000202" hidden="1">#REF!</definedName>
    <definedName name="BLPH6000203" hidden="1">#REF!</definedName>
    <definedName name="BLPH6000204" hidden="1">#REF!</definedName>
    <definedName name="BLPH6000205" hidden="1">#REF!</definedName>
    <definedName name="BLPH6000206" hidden="1">#REF!</definedName>
    <definedName name="BLPH6000207" hidden="1">#REF!</definedName>
    <definedName name="BLPH6000208" hidden="1">#REF!</definedName>
    <definedName name="BLPH6000209" hidden="1">#REF!</definedName>
    <definedName name="BLPH6000210" hidden="1">#REF!</definedName>
    <definedName name="BLPH6000211" hidden="1">#REF!</definedName>
    <definedName name="BLPH6000212" hidden="1">#REF!</definedName>
    <definedName name="BLPH6000213" hidden="1">#REF!</definedName>
    <definedName name="BLPH6000214" hidden="1">#REF!</definedName>
    <definedName name="BLPH6000215" hidden="1">#REF!</definedName>
    <definedName name="BLPH6000216" hidden="1">#REF!</definedName>
    <definedName name="BLPH6000217" hidden="1">#REF!</definedName>
    <definedName name="BLPH6000218" hidden="1">#REF!</definedName>
    <definedName name="BLPH6000219" hidden="1">#REF!</definedName>
    <definedName name="BLPH6000220" hidden="1">#REF!</definedName>
    <definedName name="BLPH6000221" hidden="1">#REF!</definedName>
    <definedName name="BLPH6000222" hidden="1">#REF!</definedName>
    <definedName name="BLPH6000428" hidden="1">#REF!</definedName>
    <definedName name="BLPH6000429" hidden="1">#REF!</definedName>
    <definedName name="BLPH6000430" hidden="1">#REF!</definedName>
    <definedName name="BLPH6000431" hidden="1">#REF!</definedName>
    <definedName name="BLPH6000432" hidden="1">#REF!</definedName>
    <definedName name="BLPH6000433" hidden="1">#REF!</definedName>
    <definedName name="BLPH6000434" hidden="1">#REF!</definedName>
    <definedName name="BLPH6000435" hidden="1">#REF!</definedName>
    <definedName name="BLPH6000436" hidden="1">#REF!</definedName>
    <definedName name="BLPH6000437" hidden="1">#REF!</definedName>
    <definedName name="BLPH6000438" hidden="1">#REF!</definedName>
    <definedName name="BLPH6000439" hidden="1">#REF!</definedName>
    <definedName name="BLPH6000440" hidden="1">#REF!</definedName>
    <definedName name="BLPH6000441" hidden="1">#REF!</definedName>
    <definedName name="BLPH6000442" hidden="1">#REF!</definedName>
    <definedName name="BLPH6000443" hidden="1">#REF!</definedName>
    <definedName name="BLPH6000444" hidden="1">#REF!</definedName>
    <definedName name="BLPH6000445" hidden="1">#REF!</definedName>
    <definedName name="BLPH6000446" hidden="1">#REF!</definedName>
    <definedName name="BLPH6000479" hidden="1">#REF!</definedName>
    <definedName name="BLPH6000480" hidden="1">#REF!</definedName>
    <definedName name="BLPH6000481" hidden="1">#REF!</definedName>
    <definedName name="BLPH6000482" hidden="1">#REF!</definedName>
    <definedName name="BLPH6000483" hidden="1">#REF!</definedName>
    <definedName name="BLPH6000484" hidden="1">#REF!</definedName>
    <definedName name="Bond_rating" localSheetId="1">#REF!</definedName>
    <definedName name="Bond_rating">#REF!</definedName>
    <definedName name="Book_value_per_share" localSheetId="1">#REF!</definedName>
    <definedName name="Book_value_per_share">#REF!</definedName>
    <definedName name="BRC" localSheetId="1">#REF!</definedName>
    <definedName name="BRC">#REF!</definedName>
    <definedName name="BS">#REF!</definedName>
    <definedName name="bsheet" localSheetId="1">#REF!</definedName>
    <definedName name="bsheet">#REF!</definedName>
    <definedName name="Business_segment_proforma" localSheetId="1">#REF!</definedName>
    <definedName name="Business_segment_proforma">#REF!</definedName>
    <definedName name="Cap" localSheetId="1">#REF!</definedName>
    <definedName name="Cap">#REF!</definedName>
    <definedName name="Cap._RnD_Asset_net_of_RnD_amort." localSheetId="1">#REF!</definedName>
    <definedName name="Cap._RnD_Asset_net_of_RnD_amort.">#REF!</definedName>
    <definedName name="Capacity" localSheetId="1">#REF!</definedName>
    <definedName name="Capacity">#REF!</definedName>
    <definedName name="Cash" localSheetId="1">#REF!</definedName>
    <definedName name="Cash">#REF!</definedName>
    <definedName name="Cash_DCF" localSheetId="1">#REF!</definedName>
    <definedName name="Cash_DCF">#REF!</definedName>
    <definedName name="Cash_fore" localSheetId="1">#REF!</definedName>
    <definedName name="Cash_fore">#REF!</definedName>
    <definedName name="Cash_growth" localSheetId="1">#REF!</definedName>
    <definedName name="Cash_growth">#REF!</definedName>
    <definedName name="Cash_growth_fore" localSheetId="1">#REF!</definedName>
    <definedName name="Cash_growth_fore">#REF!</definedName>
    <definedName name="Cash_Operating_Taxes" localSheetId="1">#REF!</definedName>
    <definedName name="Cash_Operating_Taxes">#REF!</definedName>
    <definedName name="Cash_operating_taxes_fore" localSheetId="1">#REF!</definedName>
    <definedName name="Cash_operating_taxes_fore">#REF!</definedName>
    <definedName name="cashflow" localSheetId="1">#REF!</definedName>
    <definedName name="cashflow">#REF!</definedName>
    <definedName name="CBWorkbookPriority" hidden="1">-1799127640</definedName>
    <definedName name="CF">#REF!</definedName>
    <definedName name="CF_BOE_1998" localSheetId="1">#REF!</definedName>
    <definedName name="CF_BOE_1998">#REF!</definedName>
    <definedName name="CF_BOE_1999" localSheetId="1">#REF!</definedName>
    <definedName name="CF_BOE_1999">#REF!</definedName>
    <definedName name="CF_BOE_2000" localSheetId="1">#REF!</definedName>
    <definedName name="CF_BOE_2000">#REF!</definedName>
    <definedName name="CF_BOE_2001" localSheetId="1">#REF!</definedName>
    <definedName name="CF_BOE_2001">#REF!</definedName>
    <definedName name="CF_BOE_2002" localSheetId="1">#REF!</definedName>
    <definedName name="CF_BOE_2002">#REF!</definedName>
    <definedName name="CF_BOE_2003" localSheetId="1">#REF!</definedName>
    <definedName name="CF_BOE_2003">#REF!</definedName>
    <definedName name="CF_BOE_2004" localSheetId="1">#REF!</definedName>
    <definedName name="CF_BOE_2004">#REF!</definedName>
    <definedName name="CF_BOE_2005" localSheetId="1">#REF!</definedName>
    <definedName name="CF_BOE_2005">#REF!</definedName>
    <definedName name="CF_BOE_2006" localSheetId="1">#REF!</definedName>
    <definedName name="CF_BOE_2006">#REF!</definedName>
    <definedName name="CF_BOE_2007" localSheetId="1">#REF!</definedName>
    <definedName name="CF_BOE_2007">#REF!</definedName>
    <definedName name="CF_BOE_2008" localSheetId="1">#REF!</definedName>
    <definedName name="CF_BOE_2008">#REF!</definedName>
    <definedName name="cflow" localSheetId="1">#REF!</definedName>
    <definedName name="cflow">#REF!</definedName>
    <definedName name="CFPS_Curr_Yr" localSheetId="1">#REF!</definedName>
    <definedName name="CFPS_Curr_Yr">#REF!</definedName>
    <definedName name="CFPS_Lst_Yr" localSheetId="1">#REF!</definedName>
    <definedName name="CFPS_Lst_Yr">#REF!</definedName>
    <definedName name="CFPS_Next_Yr" localSheetId="1">#REF!</definedName>
    <definedName name="CFPS_Next_Yr">#REF!</definedName>
    <definedName name="Chg_in_fixed_assets" localSheetId="1">#REF!</definedName>
    <definedName name="Chg_in_fixed_assets">#REF!</definedName>
    <definedName name="Chg_in_other_assets" localSheetId="1">#REF!</definedName>
    <definedName name="Chg_in_other_assets">#REF!</definedName>
    <definedName name="Chg_in_working_capital" localSheetId="1">#REF!</definedName>
    <definedName name="Chg_in_working_capital">#REF!</definedName>
    <definedName name="CIQWBGuid" hidden="1">"01574f8a-a556-4a09-8e0b-d9279891a6fb"</definedName>
    <definedName name="CIQWBInfo" hidden="1">"{ ""CIQVersion"":""9.45.614.5792"" }"</definedName>
    <definedName name="Closing_price" localSheetId="1">#REF!</definedName>
    <definedName name="Closing_price">#REF!</definedName>
    <definedName name="CNS" localSheetId="1">#REF!</definedName>
    <definedName name="CNS">#REF!</definedName>
    <definedName name="co" localSheetId="1">#REF!</definedName>
    <definedName name="co">#REF!</definedName>
    <definedName name="Combined_sales_by_segment" localSheetId="1">#REF!</definedName>
    <definedName name="Combined_sales_by_segment">#REF!</definedName>
    <definedName name="Commercial_paper" localSheetId="1">#REF!</definedName>
    <definedName name="Commercial_paper">#REF!</definedName>
    <definedName name="Company" localSheetId="1">#REF!</definedName>
    <definedName name="Company">#REF!</definedName>
    <definedName name="CONVERGE" localSheetId="1">#REF!</definedName>
    <definedName name="CONVERGE">#REF!</definedName>
    <definedName name="COP_BS_EP_2004" localSheetId="1">#REF!</definedName>
    <definedName name="COP_BS_EP_2004">#REF!</definedName>
    <definedName name="COP_BS_EP_2005" localSheetId="1">#REF!</definedName>
    <definedName name="COP_BS_EP_2005">#REF!</definedName>
    <definedName name="COP_BS_EP_2006" localSheetId="1">#REF!</definedName>
    <definedName name="COP_BS_EP_2006">#REF!</definedName>
    <definedName name="Cor" localSheetId="1">#REF!</definedName>
    <definedName name="Cor">#REF!</definedName>
    <definedName name="Corporate_Value" localSheetId="1">#REF!</definedName>
    <definedName name="Corporate_Value">#REF!</definedName>
    <definedName name="Cost_of_sales_net_of_D_A" localSheetId="1">#REF!</definedName>
    <definedName name="Cost_of_sales_net_of_D_A">#REF!</definedName>
    <definedName name="Cumulative_PV_of_EVA" localSheetId="1">#REF!</definedName>
    <definedName name="Cumulative_PV_of_EVA">#REF!</definedName>
    <definedName name="Cumulative_PV_of_FCF" localSheetId="1">#REF!</definedName>
    <definedName name="Cumulative_PV_of_FCF">#REF!</definedName>
    <definedName name="Current">#REF!</definedName>
    <definedName name="Current_assets" localSheetId="1">#REF!</definedName>
    <definedName name="Current_assets">#REF!</definedName>
    <definedName name="Customer_deposits" localSheetId="1">#REF!</definedName>
    <definedName name="Customer_deposits">#REF!</definedName>
    <definedName name="Customer_deposits_growth_fore" localSheetId="1">#REF!</definedName>
    <definedName name="Customer_deposits_growth_fore">#REF!</definedName>
    <definedName name="CysticF" localSheetId="1">#REF!</definedName>
    <definedName name="CysticF">#REF!</definedName>
    <definedName name="d" localSheetId="1">#REF!</definedName>
    <definedName name="d">#REF!</definedName>
    <definedName name="DAN" localSheetId="1">#REF!</definedName>
    <definedName name="DAN">#REF!</definedName>
    <definedName name="date" localSheetId="1">#REF!</definedName>
    <definedName name="date">#REF!</definedName>
    <definedName name="DCF_1995" localSheetId="1">#REF!</definedName>
    <definedName name="DCF_1995">#REF!</definedName>
    <definedName name="DCF_1996" localSheetId="1">#REF!</definedName>
    <definedName name="DCF_1996">#REF!</definedName>
    <definedName name="DCF_1997" localSheetId="1">#REF!</definedName>
    <definedName name="DCF_1997">#REF!</definedName>
    <definedName name="DCF_1998" localSheetId="1">#REF!</definedName>
    <definedName name="DCF_1998">#REF!</definedName>
    <definedName name="DCF_1999" localSheetId="1">#REF!</definedName>
    <definedName name="DCF_1999">#REF!</definedName>
    <definedName name="DCF_2000" localSheetId="1">#REF!</definedName>
    <definedName name="DCF_2000">#REF!</definedName>
    <definedName name="DCF_2001" localSheetId="1">#REF!</definedName>
    <definedName name="DCF_2001">#REF!</definedName>
    <definedName name="DCF_2002" localSheetId="1">#REF!</definedName>
    <definedName name="DCF_2002">#REF!</definedName>
    <definedName name="DCF_2003" localSheetId="1">#REF!</definedName>
    <definedName name="DCF_2003">#REF!</definedName>
    <definedName name="DCF_2004" localSheetId="1">#REF!</definedName>
    <definedName name="DCF_2004">#REF!</definedName>
    <definedName name="DCF_2005" localSheetId="1">#REF!</definedName>
    <definedName name="DCF_2005">#REF!</definedName>
    <definedName name="DCF_2006" localSheetId="1">#REF!</definedName>
    <definedName name="DCF_2006">#REF!</definedName>
    <definedName name="DCF_2007" localSheetId="1">#REF!</definedName>
    <definedName name="DCF_2007">#REF!</definedName>
    <definedName name="DCF_2008" localSheetId="1">#REF!</definedName>
    <definedName name="DCF_2008">#REF!</definedName>
    <definedName name="DCF_2009" localSheetId="1">#REF!</definedName>
    <definedName name="DCF_2009">#REF!</definedName>
    <definedName name="DCF_2010" localSheetId="1">#REF!</definedName>
    <definedName name="DCF_2010">#REF!</definedName>
    <definedName name="DCF_2011" localSheetId="1">#REF!</definedName>
    <definedName name="DCF_2011">#REF!</definedName>
    <definedName name="DCF_2012" localSheetId="1">#REF!</definedName>
    <definedName name="DCF_2012">#REF!</definedName>
    <definedName name="DCF_2013" localSheetId="1">#REF!</definedName>
    <definedName name="DCF_2013">#REF!</definedName>
    <definedName name="DCF_2014" localSheetId="1">#REF!</definedName>
    <definedName name="DCF_2014">#REF!</definedName>
    <definedName name="DCF_2015" localSheetId="1">#REF!</definedName>
    <definedName name="DCF_2015">#REF!</definedName>
    <definedName name="DCF_2016" localSheetId="1">#REF!</definedName>
    <definedName name="DCF_2016">#REF!</definedName>
    <definedName name="DCF_2017" localSheetId="1">#REF!</definedName>
    <definedName name="DCF_2017">#REF!</definedName>
    <definedName name="DCF_2018" localSheetId="1">#REF!</definedName>
    <definedName name="DCF_2018">#REF!</definedName>
    <definedName name="DCF_2019" localSheetId="1">#REF!</definedName>
    <definedName name="DCF_2019">#REF!</definedName>
    <definedName name="DCF_2020" localSheetId="1">#REF!</definedName>
    <definedName name="DCF_2020">#REF!</definedName>
    <definedName name="DCF_EY1" localSheetId="1">#REF!</definedName>
    <definedName name="DCF_EY1">#REF!</definedName>
    <definedName name="DCF_EY10" localSheetId="1">#REF!</definedName>
    <definedName name="DCF_EY10">#REF!</definedName>
    <definedName name="DCF_EY11" localSheetId="1">#REF!</definedName>
    <definedName name="DCF_EY11">#REF!</definedName>
    <definedName name="DCF_EY12" localSheetId="1">#REF!</definedName>
    <definedName name="DCF_EY12">#REF!</definedName>
    <definedName name="DCF_EY13" localSheetId="1">#REF!</definedName>
    <definedName name="DCF_EY13">#REF!</definedName>
    <definedName name="DCF_EY14" localSheetId="1">#REF!</definedName>
    <definedName name="DCF_EY14">#REF!</definedName>
    <definedName name="DCF_EY15" localSheetId="1">#REF!</definedName>
    <definedName name="DCF_EY15">#REF!</definedName>
    <definedName name="DCF_EY16" localSheetId="1">#REF!</definedName>
    <definedName name="DCF_EY16">#REF!</definedName>
    <definedName name="DCF_EY17" localSheetId="1">#REF!</definedName>
    <definedName name="DCF_EY17">#REF!</definedName>
    <definedName name="DCF_EY18" localSheetId="1">#REF!</definedName>
    <definedName name="DCF_EY18">#REF!</definedName>
    <definedName name="DCF_EY19" localSheetId="1">#REF!</definedName>
    <definedName name="DCF_EY19">#REF!</definedName>
    <definedName name="DCF_EY2" localSheetId="1">#REF!</definedName>
    <definedName name="DCF_EY2">#REF!</definedName>
    <definedName name="DCF_EY20" localSheetId="1">#REF!</definedName>
    <definedName name="DCF_EY20">#REF!</definedName>
    <definedName name="DCF_EY21" localSheetId="1">#REF!</definedName>
    <definedName name="DCF_EY21">#REF!</definedName>
    <definedName name="DCF_EY22" localSheetId="1">#REF!</definedName>
    <definedName name="DCF_EY22">#REF!</definedName>
    <definedName name="DCF_EY23" localSheetId="1">#REF!</definedName>
    <definedName name="DCF_EY23">#REF!</definedName>
    <definedName name="DCF_EY24" localSheetId="1">#REF!</definedName>
    <definedName name="DCF_EY24">#REF!</definedName>
    <definedName name="DCF_EY25" localSheetId="1">#REF!</definedName>
    <definedName name="DCF_EY25">#REF!</definedName>
    <definedName name="DCF_EY26" localSheetId="1">#REF!</definedName>
    <definedName name="DCF_EY26">#REF!</definedName>
    <definedName name="DCF_EY3" localSheetId="1">#REF!</definedName>
    <definedName name="DCF_EY3">#REF!</definedName>
    <definedName name="DCF_EY4" localSheetId="1">#REF!</definedName>
    <definedName name="DCF_EY4">#REF!</definedName>
    <definedName name="DCF_EY5" localSheetId="1">#REF!</definedName>
    <definedName name="DCF_EY5">#REF!</definedName>
    <definedName name="DCF_EY6" localSheetId="1">#REF!</definedName>
    <definedName name="DCF_EY6">#REF!</definedName>
    <definedName name="DCF_EY7" localSheetId="1">#REF!</definedName>
    <definedName name="DCF_EY7">#REF!</definedName>
    <definedName name="DCF_EY8" localSheetId="1">#REF!</definedName>
    <definedName name="DCF_EY8">#REF!</definedName>
    <definedName name="DCF_EY9" localSheetId="1">#REF!</definedName>
    <definedName name="DCF_EY9">#REF!</definedName>
    <definedName name="DCF_P" localSheetId="1">#REF!</definedName>
    <definedName name="DCF_P">#REF!</definedName>
    <definedName name="Debt_growth" localSheetId="1">#REF!</definedName>
    <definedName name="Debt_growth">#REF!</definedName>
    <definedName name="Debt_Market_Cap_Ratio" localSheetId="1">#REF!</definedName>
    <definedName name="Debt_Market_Cap_Ratio">#REF!</definedName>
    <definedName name="Deferred_tax_asset" localSheetId="1">#REF!</definedName>
    <definedName name="Deferred_tax_asset">#REF!</definedName>
    <definedName name="Deferred_tax_asset_growth_fore" localSheetId="1">#REF!</definedName>
    <definedName name="Deferred_tax_asset_growth_fore">#REF!</definedName>
    <definedName name="Deferred_tax_liability" localSheetId="1">#REF!</definedName>
    <definedName name="Deferred_tax_liability">#REF!</definedName>
    <definedName name="Deferred_tax_liability_growth_fore" localSheetId="1">#REF!</definedName>
    <definedName name="Deferred_tax_liability_growth_fore">#REF!</definedName>
    <definedName name="Deferred_taxes" localSheetId="1">#REF!</definedName>
    <definedName name="Deferred_taxes">#REF!</definedName>
    <definedName name="Dep_and_Amort" localSheetId="1">#REF!</definedName>
    <definedName name="Dep_and_Amort">#REF!</definedName>
    <definedName name="Dep_margin_fore" localSheetId="1">#REF!</definedName>
    <definedName name="Dep_margin_fore">#REF!</definedName>
    <definedName name="Depreciation" localSheetId="1">#REF!</definedName>
    <definedName name="Depreciation">#REF!</definedName>
    <definedName name="Depreciation_fore" localSheetId="1">#REF!</definedName>
    <definedName name="Depreciation_fore">#REF!</definedName>
    <definedName name="Depreciation_margin" localSheetId="1">#REF!</definedName>
    <definedName name="Depreciation_margin">#REF!</definedName>
    <definedName name="derm.other.total" localSheetId="1">#REF!</definedName>
    <definedName name="derm.other.total">#REF!</definedName>
    <definedName name="Detail1" localSheetId="1">#REF!</definedName>
    <definedName name="Detail1">#REF!</definedName>
    <definedName name="DI" localSheetId="1">#REF!</definedName>
    <definedName name="DI">#REF!</definedName>
    <definedName name="DIL_EPS" localSheetId="1">#REF!</definedName>
    <definedName name="DIL_EPS">#REF!</definedName>
    <definedName name="DIL_SHS" localSheetId="1">#REF!</definedName>
    <definedName name="DIL_SHS">#REF!</definedName>
    <definedName name="Dilution_factor" localSheetId="1">#REF!</definedName>
    <definedName name="Dilution_factor">#REF!</definedName>
    <definedName name="DnA_fore" localSheetId="1">#REF!</definedName>
    <definedName name="DnA_fore">#REF!</definedName>
    <definedName name="DnA_growth_fore" localSheetId="1">#REF!</definedName>
    <definedName name="DnA_growth_fore">#REF!</definedName>
    <definedName name="DPS_Curr_Yr" localSheetId="1">#REF!</definedName>
    <definedName name="DPS_Curr_Yr">#REF!</definedName>
    <definedName name="DPS_Lst_Yr" localSheetId="1">#REF!</definedName>
    <definedName name="DPS_Lst_Yr">#REF!</definedName>
    <definedName name="DPS_Next_Yr" localSheetId="1">#REF!</definedName>
    <definedName name="DPS_Next_Yr">#REF!</definedName>
    <definedName name="EBIT" localSheetId="1">#REF!</definedName>
    <definedName name="EBIT">#REF!</definedName>
    <definedName name="EBIT_fore" localSheetId="1">#REF!</definedName>
    <definedName name="EBIT_fore">#REF!</definedName>
    <definedName name="EBIT_growth" localSheetId="1">#REF!</definedName>
    <definedName name="EBIT_growth">#REF!</definedName>
    <definedName name="EBIT_margin" localSheetId="1">#REF!</definedName>
    <definedName name="EBIT_margin">#REF!</definedName>
    <definedName name="EBIT_margin_fore" localSheetId="1">#REF!</definedName>
    <definedName name="EBIT_margin_fore">#REF!</definedName>
    <definedName name="EBITA" localSheetId="1">#REF!</definedName>
    <definedName name="EBITA">#REF!</definedName>
    <definedName name="EBITA_fore" localSheetId="1">#REF!</definedName>
    <definedName name="EBITA_fore">#REF!</definedName>
    <definedName name="EBITDA" localSheetId="1">#REF!</definedName>
    <definedName name="EBITDA">#REF!</definedName>
    <definedName name="EBITDA_DCF" localSheetId="1">#REF!</definedName>
    <definedName name="EBITDA_DCF">#REF!</definedName>
    <definedName name="EBITDA_fore" localSheetId="1">#REF!</definedName>
    <definedName name="EBITDA_fore">#REF!</definedName>
    <definedName name="EBITDA_growth" localSheetId="1">#REF!</definedName>
    <definedName name="EBITDA_growth">#REF!</definedName>
    <definedName name="EBITDA_growth_avg" localSheetId="1">#REF!</definedName>
    <definedName name="EBITDA_growth_avg">#REF!</definedName>
    <definedName name="EBITDA_margin" localSheetId="1">#REF!</definedName>
    <definedName name="EBITDA_margin">#REF!</definedName>
    <definedName name="EBITDA_margin_fore" localSheetId="1">#REF!</definedName>
    <definedName name="EBITDA_margin_fore">#REF!</definedName>
    <definedName name="EBITDA_Share" localSheetId="1">#REF!</definedName>
    <definedName name="EBITDA_Share">#REF!</definedName>
    <definedName name="Economic_book_value" localSheetId="1">#REF!</definedName>
    <definedName name="Economic_book_value">#REF!</definedName>
    <definedName name="Economic_profit" localSheetId="1">#REF!</definedName>
    <definedName name="Economic_profit">#REF!</definedName>
    <definedName name="Economic_profit_dcf" localSheetId="1">#REF!</definedName>
    <definedName name="Economic_profit_dcf">#REF!</definedName>
    <definedName name="economic_profit2" localSheetId="1">#REF!</definedName>
    <definedName name="economic_profit2">#REF!</definedName>
    <definedName name="Effective_tax_rate" localSheetId="1">#REF!</definedName>
    <definedName name="Effective_tax_rate">#REF!</definedName>
    <definedName name="EN" localSheetId="1">#REF!</definedName>
    <definedName name="EN">#REF!</definedName>
    <definedName name="ENHANCEdass" localSheetId="1">#REF!</definedName>
    <definedName name="ENHANCEdass">#REF!</definedName>
    <definedName name="Enrollment_summary" localSheetId="1">#REF!</definedName>
    <definedName name="Enrollment_summary">#REF!</definedName>
    <definedName name="Enterprise_value" localSheetId="1">#REF!</definedName>
    <definedName name="Enterprise_value">#REF!</definedName>
    <definedName name="EOK" localSheetId="1">#REF!</definedName>
    <definedName name="EOK">#REF!</definedName>
    <definedName name="EPS" localSheetId="1">#REF!</definedName>
    <definedName name="EPS">#REF!</definedName>
    <definedName name="EPS_1996" localSheetId="1">#REF!</definedName>
    <definedName name="EPS_1996">#REF!</definedName>
    <definedName name="EPS_1997" localSheetId="1">#REF!</definedName>
    <definedName name="EPS_1997">#REF!</definedName>
    <definedName name="EPS_Curr_Qtr" localSheetId="1">#REF!</definedName>
    <definedName name="EPS_Curr_Qtr">#REF!</definedName>
    <definedName name="EPS_Curr_Yr" localSheetId="1">#REF!</definedName>
    <definedName name="EPS_Curr_Yr">#REF!</definedName>
    <definedName name="EPS_growth" localSheetId="1">#REF!</definedName>
    <definedName name="EPS_growth">#REF!</definedName>
    <definedName name="EPS_growth_avg" localSheetId="1">#REF!</definedName>
    <definedName name="EPS_growth_avg">#REF!</definedName>
    <definedName name="EPS_Growth_Rate" localSheetId="1">#REF!</definedName>
    <definedName name="EPS_Growth_Rate">#REF!</definedName>
    <definedName name="EPS_Lst_Yr" localSheetId="1">#REF!</definedName>
    <definedName name="EPS_Lst_Yr">#REF!</definedName>
    <definedName name="EPS_Next_Yr" localSheetId="1">#REF!</definedName>
    <definedName name="EPS_Next_Yr">#REF!</definedName>
    <definedName name="EPS_Qtr_Date" localSheetId="1">#REF!</definedName>
    <definedName name="EPS_Qtr_Date">#REF!</definedName>
    <definedName name="Equity_Equivalents" localSheetId="1">#REF!</definedName>
    <definedName name="Equity_Equivalents">#REF!</definedName>
    <definedName name="Equity_risk_premium" localSheetId="1">#REF!</definedName>
    <definedName name="Equity_risk_premium">#REF!</definedName>
    <definedName name="Equity_Ticker" localSheetId="1">#REF!</definedName>
    <definedName name="Equity_Ticker">#REF!</definedName>
    <definedName name="ESV" localSheetId="1">#REF!</definedName>
    <definedName name="ESV">#REF!</definedName>
    <definedName name="Excess_cash" localSheetId="1">#REF!</definedName>
    <definedName name="Excess_cash">#REF!</definedName>
    <definedName name="Expl_forecast_10th_yr" localSheetId="1">#REF!</definedName>
    <definedName name="Expl_forecast_10th_yr">#REF!</definedName>
    <definedName name="Expl_forecast_1st_yr" localSheetId="1">#REF!</definedName>
    <definedName name="Expl_forecast_1st_yr">#REF!</definedName>
    <definedName name="Expl_forecast_2nd_yr" localSheetId="1">#REF!</definedName>
    <definedName name="Expl_forecast_2nd_yr">#REF!</definedName>
    <definedName name="Expl_forecast_3rd_yr" localSheetId="1">#REF!</definedName>
    <definedName name="Expl_forecast_3rd_yr">#REF!</definedName>
    <definedName name="Expl_forecast_4th_yr" localSheetId="1">#REF!</definedName>
    <definedName name="Expl_forecast_4th_yr">#REF!</definedName>
    <definedName name="Expl_forecast_5th_yr" localSheetId="1">#REF!</definedName>
    <definedName name="Expl_forecast_5th_yr">#REF!</definedName>
    <definedName name="Expl_forecast_6th_yr" localSheetId="1">#REF!</definedName>
    <definedName name="Expl_forecast_6th_yr">#REF!</definedName>
    <definedName name="Expl_forecast_7th_yr" localSheetId="1">#REF!</definedName>
    <definedName name="Expl_forecast_7th_yr">#REF!</definedName>
    <definedName name="Expl_forecast_8th_yr" localSheetId="1">#REF!</definedName>
    <definedName name="Expl_forecast_8th_yr">#REF!</definedName>
    <definedName name="Expl_forecast_9th_yr" localSheetId="1">#REF!</definedName>
    <definedName name="Expl_forecast_9th_yr">#REF!</definedName>
    <definedName name="f" localSheetId="1" hidden="1">{"PR1","pr1",TRUE,"Sch PR-1"}</definedName>
    <definedName name="f" hidden="1">{"PR1","pr1",TRUE,"Sch PR-1"}</definedName>
    <definedName name="F.2002" localSheetId="1">#REF!</definedName>
    <definedName name="F.2002">#REF!</definedName>
    <definedName name="F.2003" localSheetId="1">#REF!</definedName>
    <definedName name="F.2003">#REF!</definedName>
    <definedName name="F.2004" localSheetId="1">#REF!</definedName>
    <definedName name="F.2004">#REF!</definedName>
    <definedName name="F.2005" localSheetId="1">#REF!</definedName>
    <definedName name="F.2005">#REF!</definedName>
    <definedName name="F.2006" localSheetId="1">#REF!</definedName>
    <definedName name="F.2006">#REF!</definedName>
    <definedName name="F.2007" localSheetId="1">#REF!</definedName>
    <definedName name="F.2007">#REF!</definedName>
    <definedName name="F.2008" localSheetId="1">#REF!</definedName>
    <definedName name="F.2008">#REF!</definedName>
    <definedName name="FAS_EPS" localSheetId="1">#REF!</definedName>
    <definedName name="FAS_EPS">#REF!</definedName>
    <definedName name="fasdfs" localSheetId="1" hidden="1">{#N/A,#N/A,FALSE,"Aging Summary";#N/A,#N/A,FALSE,"Ratio Analysis";#N/A,#N/A,FALSE,"Test 120 Day Accts";#N/A,#N/A,FALSE,"Tickmarks"}</definedName>
    <definedName name="fasdfs" hidden="1">{#N/A,#N/A,FALSE,"Aging Summary";#N/A,#N/A,FALSE,"Ratio Analysis";#N/A,#N/A,FALSE,"Test 120 Day Accts";#N/A,#N/A,FALSE,"Tickmarks"}</definedName>
    <definedName name="financial.trends" localSheetId="1">#REF!</definedName>
    <definedName name="financial.trends">#REF!</definedName>
    <definedName name="Finding_Costs" localSheetId="1">#REF!</definedName>
    <definedName name="Finding_Costs">#REF!</definedName>
    <definedName name="firm" localSheetId="1">#REF!</definedName>
    <definedName name="firm">#REF!</definedName>
    <definedName name="first" localSheetId="1">#REF!</definedName>
    <definedName name="first">#REF!</definedName>
    <definedName name="firstpage" localSheetId="1">#REF!</definedName>
    <definedName name="firstpage">#REF!</definedName>
    <definedName name="Fixed_asset_turns" localSheetId="1">#REF!</definedName>
    <definedName name="Fixed_asset_turns">#REF!</definedName>
    <definedName name="Fixed_asset_turns_DCF" localSheetId="1">#REF!</definedName>
    <definedName name="Fixed_asset_turns_DCF">#REF!</definedName>
    <definedName name="Fixed_asset_turns_fore" localSheetId="1">#REF!</definedName>
    <definedName name="Fixed_asset_turns_fore">#REF!</definedName>
    <definedName name="Fixed_assets" localSheetId="1">#REF!</definedName>
    <definedName name="Fixed_assets">#REF!</definedName>
    <definedName name="Fixed_assets_DCF" localSheetId="1">#REF!</definedName>
    <definedName name="Fixed_assets_DCF">#REF!</definedName>
    <definedName name="ForecastVersion" localSheetId="1">#REF!</definedName>
    <definedName name="ForecastVersion">#REF!</definedName>
    <definedName name="Free_cash_flow" localSheetId="1">#REF!</definedName>
    <definedName name="Free_cash_flow">#REF!</definedName>
    <definedName name="GLM" localSheetId="1">#REF!</definedName>
    <definedName name="GLM">#REF!</definedName>
    <definedName name="Goodwill" localSheetId="1">#REF!</definedName>
    <definedName name="Goodwill">#REF!</definedName>
    <definedName name="Goodwill_Amort" localSheetId="1">#REF!</definedName>
    <definedName name="Goodwill_Amort">#REF!</definedName>
    <definedName name="Goodwill_growth_fore" localSheetId="1">#REF!</definedName>
    <definedName name="Goodwill_growth_fore">#REF!</definedName>
    <definedName name="Gross_inc_growth" localSheetId="1">#REF!</definedName>
    <definedName name="Gross_inc_growth">#REF!</definedName>
    <definedName name="Gross_income" localSheetId="1">#REF!</definedName>
    <definedName name="Gross_income">#REF!</definedName>
    <definedName name="Gross_income_fore" localSheetId="1">#REF!</definedName>
    <definedName name="Gross_income_fore">#REF!</definedName>
    <definedName name="Gross_income_growth_avg" localSheetId="1">#REF!</definedName>
    <definedName name="Gross_income_growth_avg">#REF!</definedName>
    <definedName name="Gross_margin_fore" localSheetId="1">#REF!</definedName>
    <definedName name="Gross_margin_fore">#REF!</definedName>
    <definedName name="growth" localSheetId="1">#REF!</definedName>
    <definedName name="growth">#REF!</definedName>
    <definedName name="HAL" localSheetId="1">#REF!</definedName>
    <definedName name="HAL">#REF!</definedName>
    <definedName name="HAS_BEEN_UPDATED" localSheetId="1" hidden="1">#REF!</definedName>
    <definedName name="HAS_BEEN_UPDATED" hidden="1">#REF!</definedName>
    <definedName name="Hidden_Sheet" localSheetId="1">#REF!</definedName>
    <definedName name="Hidden_Sheet">#REF!</definedName>
    <definedName name="Historical_Economic_Profit" localSheetId="1">#REF!</definedName>
    <definedName name="Historical_Economic_Profit">#REF!</definedName>
    <definedName name="Historical_financials" localSheetId="1">#REF!</definedName>
    <definedName name="Historical_financials">#REF!</definedName>
    <definedName name="Historical_Incremental_ROIC" localSheetId="1">#REF!</definedName>
    <definedName name="Historical_Incremental_ROIC">#REF!</definedName>
    <definedName name="hmBS" localSheetId="1">#REF!</definedName>
    <definedName name="hmBS">#REF!</definedName>
    <definedName name="hmCF" localSheetId="1">#REF!</definedName>
    <definedName name="hmCF">#REF!</definedName>
    <definedName name="hmIS" localSheetId="1">#REF!</definedName>
    <definedName name="hmIS">#REF!</definedName>
    <definedName name="HPV" localSheetId="1">#REF!</definedName>
    <definedName name="HPV">#REF!</definedName>
    <definedName name="IC_1" localSheetId="1">#REF!</definedName>
    <definedName name="IC_1">#REF!</definedName>
    <definedName name="IC_10" localSheetId="1">#REF!</definedName>
    <definedName name="IC_10">#REF!</definedName>
    <definedName name="IC_11" localSheetId="1">#REF!</definedName>
    <definedName name="IC_11">#REF!</definedName>
    <definedName name="IC_12" localSheetId="1">#REF!</definedName>
    <definedName name="IC_12">#REF!</definedName>
    <definedName name="IC_13" localSheetId="1">#REF!</definedName>
    <definedName name="IC_13">#REF!</definedName>
    <definedName name="IC_14" localSheetId="1">#REF!</definedName>
    <definedName name="IC_14">#REF!</definedName>
    <definedName name="IC_2" localSheetId="1">#REF!</definedName>
    <definedName name="IC_2">#REF!</definedName>
    <definedName name="IC_3" localSheetId="1">#REF!</definedName>
    <definedName name="IC_3">#REF!</definedName>
    <definedName name="IC_4" localSheetId="1">#REF!</definedName>
    <definedName name="IC_4">#REF!</definedName>
    <definedName name="IC_5" localSheetId="1">#REF!</definedName>
    <definedName name="IC_5">#REF!</definedName>
    <definedName name="IC_6" localSheetId="1">#REF!</definedName>
    <definedName name="IC_6">#REF!</definedName>
    <definedName name="IC_7" localSheetId="1">#REF!</definedName>
    <definedName name="IC_7">#REF!</definedName>
    <definedName name="IC_8" localSheetId="1">#REF!</definedName>
    <definedName name="IC_8">#REF!</definedName>
    <definedName name="IC_9" localSheetId="1">#REF!</definedName>
    <definedName name="IC_9">#REF!</definedName>
    <definedName name="IC_P" localSheetId="1">#REF!</definedName>
    <definedName name="IC_P">#REF!</definedName>
    <definedName name="IC_P1" localSheetId="1">#REF!</definedName>
    <definedName name="IC_P1">#REF!</definedName>
    <definedName name="IC_P2" localSheetId="1">#REF!</definedName>
    <definedName name="IC_P2">#REF!</definedName>
    <definedName name="IC_P3" localSheetId="1">#REF!</definedName>
    <definedName name="IC_P3">#REF!</definedName>
    <definedName name="Img_ML_1y7a6c1t" hidden="1">"IMG_10"</definedName>
    <definedName name="Img_ML_3b3j3x9k" hidden="1">"IMG_6"</definedName>
    <definedName name="Img_ML_3c7g1a7g" hidden="1">"IMG_3"</definedName>
    <definedName name="Img_ML_3e2q4k7i" hidden="1">"IMG_10"</definedName>
    <definedName name="Img_ML_3p5d9q5j" hidden="1">"IMG_10"</definedName>
    <definedName name="Img_ML_5h6q3g8u" hidden="1">"IMG_10"</definedName>
    <definedName name="Img_ML_6f2p1m9g" hidden="1">"IMG_4"</definedName>
    <definedName name="Img_ML_6y9f7y3n" hidden="1">"IMG_10"</definedName>
    <definedName name="Img_ML_7g5e5e2b" hidden="1">"IMG_3"</definedName>
    <definedName name="Img_ML_7n6h3t1t" hidden="1">"IMG_10"</definedName>
    <definedName name="Img_ML_8b9j5t1p" hidden="1">"IMG_10"</definedName>
    <definedName name="Img_ML_8h7g4d4d" hidden="1">"IMG_3"</definedName>
    <definedName name="Img_ML_8r1k8t4y" hidden="1">"IMG_10"</definedName>
    <definedName name="Img_Production_Breakdown" hidden="1">"IMG_3"</definedName>
    <definedName name="impliedgrowth" localSheetId="1">#REF!</definedName>
    <definedName name="impliedgrowth">#REF!</definedName>
    <definedName name="Inc_cap_RnD_fore" localSheetId="1">#REF!</definedName>
    <definedName name="Inc_cap_RnD_fore">#REF!</definedName>
    <definedName name="Income_before_taxes" localSheetId="1">#REF!</definedName>
    <definedName name="Income_before_taxes">#REF!</definedName>
    <definedName name="Income_equivalents" localSheetId="1">#REF!</definedName>
    <definedName name="Income_equivalents">#REF!</definedName>
    <definedName name="Income_equivalents_fore" localSheetId="1">#REF!</definedName>
    <definedName name="Income_equivalents_fore">#REF!</definedName>
    <definedName name="Income_form_uncons_subs_fore" localSheetId="1">#REF!</definedName>
    <definedName name="Income_form_uncons_subs_fore">#REF!</definedName>
    <definedName name="Income_from_Unconsolidated_Subs" localSheetId="1">#REF!</definedName>
    <definedName name="Income_from_Unconsolidated_Subs">#REF!</definedName>
    <definedName name="Income_tax" localSheetId="1">#REF!</definedName>
    <definedName name="Income_tax">#REF!</definedName>
    <definedName name="Income_tax_fore" localSheetId="1">#REF!</definedName>
    <definedName name="Income_tax_fore">#REF!</definedName>
    <definedName name="Income_tax_growth_fore" localSheetId="1">#REF!</definedName>
    <definedName name="Income_tax_growth_fore">#REF!</definedName>
    <definedName name="Income_tax_rate" localSheetId="1">#REF!</definedName>
    <definedName name="Income_tax_rate">#REF!</definedName>
    <definedName name="Income_taxes_payable" localSheetId="1">#REF!</definedName>
    <definedName name="Income_taxes_payable">#REF!</definedName>
    <definedName name="Income_taxes_payable_growth_fore" localSheetId="1">#REF!</definedName>
    <definedName name="Income_taxes_payable_growth_fore">#REF!</definedName>
    <definedName name="income2000" localSheetId="1">#REF!</definedName>
    <definedName name="income2000">#REF!</definedName>
    <definedName name="income98" localSheetId="1">#REF!</definedName>
    <definedName name="income98">#REF!</definedName>
    <definedName name="Increase_cap_RnD_fore" localSheetId="1">#REF!</definedName>
    <definedName name="Increase_cap_RnD_fore">#REF!</definedName>
    <definedName name="Increase_Capitalized_R_D_net" localSheetId="1">#REF!</definedName>
    <definedName name="Increase_Capitalized_R_D_net">#REF!</definedName>
    <definedName name="Increase_Deferred_Taxes" localSheetId="1">#REF!</definedName>
    <definedName name="Increase_Deferred_Taxes">#REF!</definedName>
    <definedName name="Increase_in_other_liabilities" localSheetId="1">#REF!</definedName>
    <definedName name="Increase_in_other_liabilities">#REF!</definedName>
    <definedName name="Increase_in_other_reserves" localSheetId="1">#REF!</definedName>
    <definedName name="Increase_in_other_reserves">#REF!</definedName>
    <definedName name="Increase_LIFO_Reserve" localSheetId="1">#REF!</definedName>
    <definedName name="Increase_LIFO_Reserve">#REF!</definedName>
    <definedName name="Incremental_investment" localSheetId="1">#REF!</definedName>
    <definedName name="Incremental_investment">#REF!</definedName>
    <definedName name="Incremental_ROIC" localSheetId="1">#REF!</definedName>
    <definedName name="Incremental_ROIC">#REF!</definedName>
    <definedName name="Incremental_ROIC_DCF" localSheetId="1">#REF!</definedName>
    <definedName name="Incremental_ROIC_DCF">#REF!</definedName>
    <definedName name="Inst" localSheetId="1">#REF!</definedName>
    <definedName name="Inst">#REF!</definedName>
    <definedName name="Instruments" localSheetId="1">#REF!</definedName>
    <definedName name="Instruments">#REF!</definedName>
    <definedName name="Int_exp_OL" localSheetId="1">#REF!</definedName>
    <definedName name="Int_exp_OL">#REF!</definedName>
    <definedName name="Interest_exp_growth_fore" localSheetId="1">#REF!</definedName>
    <definedName name="Interest_exp_growth_fore">#REF!</definedName>
    <definedName name="Interest_exp_inc_fore" localSheetId="1">#REF!</definedName>
    <definedName name="Interest_exp_inc_fore">#REF!</definedName>
    <definedName name="Interest_expense_after_taxes" localSheetId="1">#REF!</definedName>
    <definedName name="Interest_expense_after_taxes">#REF!</definedName>
    <definedName name="Interest_expense_income" localSheetId="1">#REF!</definedName>
    <definedName name="Interest_expense_income">#REF!</definedName>
    <definedName name="Interest_expense_oper_leases" localSheetId="1">#REF!</definedName>
    <definedName name="Interest_expense_oper_leases">#REF!</definedName>
    <definedName name="Interest_oper_lease" localSheetId="1">#REF!</definedName>
    <definedName name="Interest_oper_lease">#REF!</definedName>
    <definedName name="Intl_EP_Depr_2004" localSheetId="1">#REF!</definedName>
    <definedName name="Intl_EP_Depr_2004">#REF!</definedName>
    <definedName name="Intl_EP_NI_2004" localSheetId="1">#REF!</definedName>
    <definedName name="Intl_EP_NI_2004">#REF!</definedName>
    <definedName name="IntlGasProd_2004" localSheetId="1">#REF!</definedName>
    <definedName name="IntlGasProd_2004">#REF!</definedName>
    <definedName name="IntlOilProd_2004" localSheetId="1">#REF!</definedName>
    <definedName name="IntlOilProd_2004">#REF!</definedName>
    <definedName name="IntlOtherCosts_2004" localSheetId="1">#REF!</definedName>
    <definedName name="IntlOtherCosts_2004">#REF!</definedName>
    <definedName name="IntlProd_2004" localSheetId="1">#REF!</definedName>
    <definedName name="IntlProd_2004">#REF!</definedName>
    <definedName name="IntlProdCosts_2004" localSheetId="1">#REF!</definedName>
    <definedName name="IntlProdCosts_2004">#REF!</definedName>
    <definedName name="Inventory" localSheetId="1">#REF!</definedName>
    <definedName name="Inventory">#REF!</definedName>
    <definedName name="Inventory_growth_fore" localSheetId="1">#REF!</definedName>
    <definedName name="Inventory_growth_fore">#REF!</definedName>
    <definedName name="Inventory_turns" localSheetId="1">#REF!</definedName>
    <definedName name="Inventory_turns">#REF!</definedName>
    <definedName name="Invested_capital" localSheetId="1">#REF!</definedName>
    <definedName name="Invested_capital">#REF!</definedName>
    <definedName name="Invested_capital_DCF" localSheetId="1">#REF!</definedName>
    <definedName name="Invested_capital_DCF">#REF!</definedName>
    <definedName name="Invested_capital_growth_fore" localSheetId="1">#REF!</definedName>
    <definedName name="Invested_capital_growth_fore">#REF!</definedName>
    <definedName name="Invested_capital_turns" localSheetId="1">#REF!</definedName>
    <definedName name="Invested_capital_turns">#REF!</definedName>
    <definedName name="Invested_capital_turns_DCF" localSheetId="1">#REF!</definedName>
    <definedName name="Invested_capital_turns_DCF">#REF!</definedName>
    <definedName name="Invested_capital_turns_fore" localSheetId="1">#REF!</definedName>
    <definedName name="Invested_capital_turns_fore">#REF!</definedName>
    <definedName name="Investments_in_Unconsolidated_Subs" localSheetId="1">#REF!</definedName>
    <definedName name="Investments_in_Unconsolidated_Subs">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localSheetId="1" hidden="1">"c413"</definedName>
    <definedName name="IQ_ACCOUNT_CHANGE" hidden="1">"c1449"</definedName>
    <definedName name="IQ_ACCOUNTS_PAY" localSheetId="1" hidden="1">"c32"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localSheetId="1" hidden="1">"c8"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localSheetId="1" hidden="1">"c7"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localSheetId="1" hidden="1">"c39"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localSheetId="1" hidden="1">"c16"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localSheetId="1" hidden="1">"c1471"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localSheetId="1" hidden="1">"c65"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localSheetId="1" hidden="1">"c88"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localSheetId="1" hidden="1">"c100"</definedName>
    <definedName name="IQ_BV_OVER_SHARES" hidden="1">"c1349"</definedName>
    <definedName name="IQ_BV_SHARE" hidden="1">"c100"</definedName>
    <definedName name="IQ_BV_SHARE_ACT_OR_EST" hidden="1">"c3587"</definedName>
    <definedName name="IQ_BV_SHARE_EST" hidden="1">"c3541"</definedName>
    <definedName name="IQ_BV_SHARE_HIGH_EST" hidden="1">"c3542"</definedName>
    <definedName name="IQ_BV_SHARE_LOW_EST" hidden="1">"c3543"</definedName>
    <definedName name="IQ_BV_SHARE_MEDIAN_EST" hidden="1">"c3544"</definedName>
    <definedName name="IQ_BV_SHARE_NUM_EST" hidden="1">"c3539"</definedName>
    <definedName name="IQ_BV_SHARE_STDDEV_EST" hidden="1">"c3540"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" hidden="1">"c3584"</definedName>
    <definedName name="IQ_CAPEX_BNK" hidden="1">"c110"</definedName>
    <definedName name="IQ_CAPEX_BR" hidden="1">"c111"</definedName>
    <definedName name="IQ_CAPEX_EST" hidden="1">"c3523"</definedName>
    <definedName name="IQ_CAPEX_FIN" hidden="1">"c112"</definedName>
    <definedName name="IQ_CAPEX_HIGH_EST" hidden="1">"c3524"</definedName>
    <definedName name="IQ_CAPEX_INS" hidden="1">"c113"</definedName>
    <definedName name="IQ_CAPEX_LOW_EST" hidden="1">"c3525"</definedName>
    <definedName name="IQ_CAPEX_MEDIAN_EST" hidden="1">"c3526"</definedName>
    <definedName name="IQ_CAPEX_NUM_EST" hidden="1">"c3521"</definedName>
    <definedName name="IQ_CAPEX_STDDEV_EST" hidden="1">"c3522"</definedName>
    <definedName name="IQ_CAPEX_UTI" hidden="1">"c114"</definedName>
    <definedName name="IQ_CAPITAL_LEASE" localSheetId="1" hidden="1">"c115"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localSheetId="1" hidden="1">"c118"</definedName>
    <definedName name="IQ_CASH" hidden="1">"c1458"</definedName>
    <definedName name="IQ_CASH_ACQUIRE_CF" localSheetId="1" hidden="1">"c1630"</definedName>
    <definedName name="IQ_CASH_ACQUIRE_CF" hidden="1">"c116"</definedName>
    <definedName name="IQ_CASH_CONVERSION" hidden="1">"c117"</definedName>
    <definedName name="IQ_CASH_DIVIDENDS_NET_INCOME_FDIC" hidden="1">"c6738"</definedName>
    <definedName name="IQ_CASH_DUE_BANKS" localSheetId="1" hidden="1">"c118"</definedName>
    <definedName name="IQ_CASH_DUE_BANKS" hidden="1">"c1351"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localSheetId="1" hidden="1">"c124"</definedName>
    <definedName name="IQ_CASH_ST" hidden="1">"c1355"</definedName>
    <definedName name="IQ_CASH_ST_INVEST" hidden="1">"c124"</definedName>
    <definedName name="IQ_CASH_TAXES" hidden="1">"c125"</definedName>
    <definedName name="IQ_CCE_FDIC" hidden="1">"c6296"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localSheetId="1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localSheetId="1" hidden="1">"c182"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" hidden="1">"c2936"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localSheetId="1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localSheetId="1" hidden="1">"c274"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localSheetId="1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localSheetId="1" hidden="1">"c301"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localSheetId="1" hidden="1">"c313"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localSheetId="1" hidden="1">"c315"</definedName>
    <definedName name="IQ_DEFERRED_INC_TAX" hidden="1">"c1447"</definedName>
    <definedName name="IQ_DEFERRED_TAXES" localSheetId="1" hidden="1">"c147"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localSheetId="1" hidden="1">"c247"</definedName>
    <definedName name="IQ_DEPRE_AMORT" hidden="1">"c1360"</definedName>
    <definedName name="IQ_DEPRE_AMORT_SUPPL" hidden="1">"c1593"</definedName>
    <definedName name="IQ_DEPRE_DEPLE" localSheetId="1" hidden="1">"c261"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localSheetId="1" hidden="1">"c322"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localSheetId="1" hidden="1">"c333"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localSheetId="1" hidden="1">"c330"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localSheetId="1" hidden="1">"c360"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localSheetId="1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XCL_SBC" hidden="1">"c3081"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localSheetId="1" hidden="1">"c373"</definedName>
    <definedName name="IQ_EBITDA_OVER_TOTAL_IE" hidden="1">"c1371"</definedName>
    <definedName name="IQ_EBITDA_STDDEV_EST" hidden="1">"c375"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localSheetId="1" hidden="1">"c84"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localSheetId="1" hidden="1">"c552"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localSheetId="1" hidden="1">"c739"</definedName>
    <definedName name="IQ_EQV_OVER_LTM_PRETAX_INC" hidden="1">"c1390"</definedName>
    <definedName name="IQ_ESOP_DEBT" hidden="1">"c1597"</definedName>
    <definedName name="IQ_EST_ACT_BV_SHARE" hidden="1">"c3549"</definedName>
    <definedName name="IQ_EST_ACT_CAPEX" hidden="1">"c3546"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ET_DEBT" hidden="1">"c3545"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TURN_ASSETS" hidden="1">"c3547"</definedName>
    <definedName name="IQ_EST_ACT_RETURN_EQUITY" hidden="1">"c3548"</definedName>
    <definedName name="IQ_EST_ACT_REV" hidden="1">"c2113"</definedName>
    <definedName name="IQ_EST_CAPEX_GROWTH_1YR" hidden="1">"c3588"</definedName>
    <definedName name="IQ_EST_CAPEX_GROWTH_2YR" hidden="1">"c3589"</definedName>
    <definedName name="IQ_EST_CAPEX_GROWTH_Q_1YR" hidden="1">"c3590"</definedName>
    <definedName name="IQ_EST_CAPEX_SEQ_GROWTH_Q" hidden="1">"c3591"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IMATED_ASSESSABLE_DEPOSITS_FDIC" hidden="1">"c6490"</definedName>
    <definedName name="IQ_ESTIMATED_INSURED_DEPOSITS_FDIC" hidden="1">"c6491"</definedName>
    <definedName name="IQ_EV_OVER_EMPLOYEE" localSheetId="1" hidden="1">"c1225"</definedName>
    <definedName name="IQ_EV_OVER_EMPLOYEE" hidden="1">"c1428"</definedName>
    <definedName name="IQ_EV_OVER_LTM_EBIT" localSheetId="1" hidden="1">"c1221"</definedName>
    <definedName name="IQ_EV_OVER_LTM_EBIT" hidden="1">"c1426"</definedName>
    <definedName name="IQ_EV_OVER_LTM_EBITDA" localSheetId="1" hidden="1">"c1223"</definedName>
    <definedName name="IQ_EV_OVER_LTM_EBITDA" hidden="1">"c1427"</definedName>
    <definedName name="IQ_EV_OVER_LTM_REVENUE" localSheetId="1" hidden="1">"c1227"</definedName>
    <definedName name="IQ_EV_OVER_LTM_REVENUE" hidden="1">"c1429"</definedName>
    <definedName name="IQ_EVAL_DATE" hidden="1">"c2180"</definedName>
    <definedName name="IQ_EXCHANGE" hidden="1">"c405"</definedName>
    <definedName name="IQ_EXERCISE_PRICE" localSheetId="1" hidden="1">"c406"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localSheetId="1" hidden="1">"c413"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PAYOUT_RATIO" hidden="1">"c3492"</definedName>
    <definedName name="IQ_FFO_STDDEV_EST" hidden="1">"c422"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localSheetId="1" hidden="1">"c893"</definedName>
    <definedName name="IQ_FINANCING_CASH" hidden="1">"c1405"</definedName>
    <definedName name="IQ_FINANCING_CASH_SUPPL" localSheetId="1" hidden="1">"c899"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localSheetId="1" hidden="1">"c451"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localSheetId="1" hidden="1">"c452"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localSheetId="1" hidden="1">"c530"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localSheetId="1" hidden="1">"c192"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localSheetId="1" hidden="1">"c511"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IGH_TARGET_PRICE" hidden="1">"c1651"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localSheetId="1" hidden="1">"c789"</definedName>
    <definedName name="IQ_INC_AVAIL_EXCL" hidden="1">"c1395"</definedName>
    <definedName name="IQ_INC_AVAIL_INCL" localSheetId="1" hidden="1">"c791"</definedName>
    <definedName name="IQ_INC_AVAIL_INCL" hidden="1">"c1396"</definedName>
    <definedName name="IQ_INC_BEFORE_TAX" localSheetId="1" hidden="1">"c386"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localSheetId="1" hidden="1">"c907"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localSheetId="1" hidden="1">"c618"</definedName>
    <definedName name="IQ_INTEREST_EXP_NON" hidden="1">"c1383"</definedName>
    <definedName name="IQ_INTEREST_EXP_SUPPL" hidden="1">"c1460"</definedName>
    <definedName name="IQ_INTEREST_INC" localSheetId="1" hidden="1">"c769"</definedName>
    <definedName name="IQ_INTEREST_INC" hidden="1">"c1393"</definedName>
    <definedName name="IQ_INTEREST_INC_NON" localSheetId="1" hidden="1">"c619"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localSheetId="1" hidden="1">"c751"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localSheetId="1" hidden="1">"c656"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localSheetId="1" hidden="1">"c674"</definedName>
    <definedName name="IQ_LONG_TERM_DEBT" hidden="1">"c1387"</definedName>
    <definedName name="IQ_LONG_TERM_DEBT_OVER_TOTAL_CAP" localSheetId="1" hidden="1">"c677"</definedName>
    <definedName name="IQ_LONG_TERM_DEBT_OVER_TOTAL_CAP" hidden="1">"c1388"</definedName>
    <definedName name="IQ_LONG_TERM_GROWTH" hidden="1">"c671"</definedName>
    <definedName name="IQ_LONG_TERM_INV" localSheetId="1" hidden="1">"c697"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localSheetId="1" hidden="1">"c1304"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RATIO" hidden="1">"c2783"</definedName>
    <definedName name="IQ_MC_STATUTORY_SURPLUS" hidden="1">"c2772"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localSheetId="1" hidden="1">40868.4277777778</definedName>
    <definedName name="IQ_NAMES_REVISION_DATE_" hidden="1">41312.2643865741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HIGH_EST" hidden="1">"c3518"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MEDIAN_EST" hidden="1">"c3520"</definedName>
    <definedName name="IQ_NET_DEBT_NUM_EST" hidden="1">"c3515"</definedName>
    <definedName name="IQ_NET_DEBT_STDDEV_EST" hidden="1">"c3516"</definedName>
    <definedName name="IQ_NET_EARNED" hidden="1">"c2734"</definedName>
    <definedName name="IQ_NET_INC" localSheetId="1" hidden="1">"c781"</definedName>
    <definedName name="IQ_NET_INC" hidden="1">"c1394"</definedName>
    <definedName name="IQ_NET_INC_BEFORE" localSheetId="1" hidden="1">"c344"</definedName>
    <definedName name="IQ_NET_INC_BEFORE" hidden="1">"c1368"</definedName>
    <definedName name="IQ_NET_INC_CF" localSheetId="1" hidden="1">"c793"</definedName>
    <definedName name="IQ_NET_INC_CF" hidden="1">"c1397"</definedName>
    <definedName name="IQ_NET_INC_MARGIN" localSheetId="1" hidden="1">"c794"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localSheetId="1" hidden="1">"c764"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localSheetId="1" hidden="1">"c797"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localSheetId="1" hidden="1">"c801"</definedName>
    <definedName name="IQ_NON_INTEREST_EXP" hidden="1">"c1400"</definedName>
    <definedName name="IQ_NON_INTEREST_INC" localSheetId="1" hidden="1">"c802"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localSheetId="1" hidden="1">"c1176"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localSheetId="1" hidden="1">"c362"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localSheetId="1" hidden="1">"c868"</definedName>
    <definedName name="IQ_OTHER_CURRENT_ASSETS" hidden="1">"c1403"</definedName>
    <definedName name="IQ_OTHER_CURRENT_LIAB" localSheetId="1" hidden="1">"c877"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localSheetId="1" hidden="1">"c916"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localSheetId="1" hidden="1">"c946"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localSheetId="1" hidden="1">"c959"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localSheetId="1" hidden="1">"c1010"</definedName>
    <definedName name="IQ_OTHER_REVENUE" hidden="1">"c1410"</definedName>
    <definedName name="IQ_OTHER_SAVINGS_DEPOSITS_FDIC" hidden="1">"c6554"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localSheetId="1" hidden="1">"c1022"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localSheetId="1" hidden="1">"c8"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CENT_INSURED_FDIC" hidden="1">"c6374"</definedName>
    <definedName name="IQ_PERIODDATE" localSheetId="1" hidden="1">"c1034"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localSheetId="1" hidden="1">"c1052"</definedName>
    <definedName name="IQ_PREF_STOCK" hidden="1">"c1416"</definedName>
    <definedName name="IQ_PREF_TOT" localSheetId="1" hidden="1">"c1044"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localSheetId="1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ICE_CFPS_FWD" hidden="1">"c2237"</definedName>
    <definedName name="IQ_PRICE_OVER_BVPS" localSheetId="1" hidden="1">"c1026"</definedName>
    <definedName name="IQ_PRICE_OVER_BVPS" hidden="1">"c1412"</definedName>
    <definedName name="IQ_PRICE_OVER_LTM_EPS" localSheetId="1" hidden="1">"c1029"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localSheetId="1" hidden="1">"c795"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localSheetId="1" hidden="1">"c518"</definedName>
    <definedName name="IQ_PROPERTY_GROSS" hidden="1">"c1379"</definedName>
    <definedName name="IQ_PROPERTY_MGMT_FEE" hidden="1">"c1074"</definedName>
    <definedName name="IQ_PROPERTY_NET" localSheetId="1" hidden="1">"c829"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localSheetId="1" hidden="1">"c1059"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localSheetId="1" hidden="1">"c1090"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localSheetId="1" hidden="1">"c1092"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" hidden="1">"c3585"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FDIC" hidden="1">"c6730"</definedName>
    <definedName name="IQ_RETURN_ASSETS_FS" hidden="1">"c1116"</definedName>
    <definedName name="IQ_RETURN_ASSETS_HIGH_EST" hidden="1">"c3530"</definedName>
    <definedName name="IQ_RETURN_ASSETS_LOW_EST" hidden="1">"c3531"</definedName>
    <definedName name="IQ_RETURN_ASSETS_MEDIAN_EST" hidden="1">"c3532"</definedName>
    <definedName name="IQ_RETURN_ASSETS_NUM_EST" hidden="1">"c3527"</definedName>
    <definedName name="IQ_RETURN_ASSETS_STDDEV_EST" hidden="1">"c3528"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FDIC" hidden="1">"c6732"</definedName>
    <definedName name="IQ_RETURN_EQUITY_FS" hidden="1">"c1121"</definedName>
    <definedName name="IQ_RETURN_EQUITY_HIGH_EST" hidden="1">"c3536"</definedName>
    <definedName name="IQ_RETURN_EQUITY_LOW_EST" hidden="1">"c3537"</definedName>
    <definedName name="IQ_RETURN_EQUITY_MEDIAN_EST" hidden="1">"c3538"</definedName>
    <definedName name="IQ_RETURN_EQUITY_NUM_EST" hidden="1">"c3533"</definedName>
    <definedName name="IQ_RETURN_EQUITY_STDDEV_EST" hidden="1">"c3534"</definedName>
    <definedName name="IQ_RETURN_INVESTMENT" localSheetId="1" hidden="1">"c1117"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localSheetId="1" hidden="1">"c1122"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localSheetId="1" hidden="1">39141.4277314815</definedName>
    <definedName name="IQ_REVISION_DATE_" hidden="1">39170.5951967593</definedName>
    <definedName name="IQ_REVISION_DATE__1" hidden="1">38831.7203703704</definedName>
    <definedName name="IQ_RISK_ADJ_BANK_ASSETS" hidden="1">"c2670"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localSheetId="1" hidden="1">"c83"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localSheetId="1" hidden="1">"c1197"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STDDEV" hidden="1">"c1654"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localSheetId="1" hidden="1">"c1266"</definedName>
    <definedName name="IQ_TOTAL_CASH_DIVID" hidden="1">"c1455"</definedName>
    <definedName name="IQ_TOTAL_CASH_FINAN" localSheetId="1" hidden="1">"c119"</definedName>
    <definedName name="IQ_TOTAL_CASH_FINAN" hidden="1">"c1352"</definedName>
    <definedName name="IQ_TOTAL_CASH_INVEST" localSheetId="1" hidden="1">"c121"</definedName>
    <definedName name="IQ_TOTAL_CASH_INVEST" hidden="1">"c1353"</definedName>
    <definedName name="IQ_TOTAL_CASH_OPER" localSheetId="1" hidden="1">"c122"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localSheetId="1" hidden="1">"c1022"</definedName>
    <definedName name="IQ_TOTAL_COMMON" hidden="1">"c1411"</definedName>
    <definedName name="IQ_TOTAL_COMMON_EQUITY" hidden="1">"c1246"</definedName>
    <definedName name="IQ_TOTAL_CURRENT_ASSETS" localSheetId="1" hidden="1">"c1243"</definedName>
    <definedName name="IQ_TOTAL_CURRENT_ASSETS" hidden="1">"c1430"</definedName>
    <definedName name="IQ_TOTAL_CURRENT_LIAB" localSheetId="1" hidden="1">"c1245"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localSheetId="1" hidden="1">"c1249"</definedName>
    <definedName name="IQ_TOTAL_DEBT_OVER_EBITDA" hidden="1">"c1433"</definedName>
    <definedName name="IQ_TOTAL_DEBT_OVER_TOTAL_BV" localSheetId="1" hidden="1">"c1250"</definedName>
    <definedName name="IQ_TOTAL_DEBT_OVER_TOTAL_BV" hidden="1">"c1434"</definedName>
    <definedName name="IQ_TOTAL_DEBT_OVER_TOTAL_CAP" localSheetId="1" hidden="1">"c1248"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localSheetId="1" hidden="1">"c1522"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localSheetId="1" hidden="1">"c591"</definedName>
    <definedName name="IQ_TOTAL_INTEREST_EXP" hidden="1">"c1382"</definedName>
    <definedName name="IQ_TOTAL_INVENTORY" localSheetId="1" hidden="1">"c622"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localSheetId="1" hidden="1">"c1279"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localSheetId="1" hidden="1">"c1294"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localSheetId="1" hidden="1">"c1177"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localSheetId="1" hidden="1">"c40"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localSheetId="1" hidden="1">"c1311"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E6" hidden="1">"$E$7"</definedName>
    <definedName name="iQShowHideColumns" hidden="1">"iQShowQuarterlyAnnual"</definedName>
    <definedName name="IS" localSheetId="1">#REF!</definedName>
    <definedName name="IS">#REF!</definedName>
    <definedName name="IS_1" localSheetId="1">#REF!</definedName>
    <definedName name="IS_1">#REF!</definedName>
    <definedName name="IS_10" localSheetId="1">#REF!</definedName>
    <definedName name="IS_10">#REF!</definedName>
    <definedName name="IS_11" localSheetId="1">#REF!</definedName>
    <definedName name="IS_11">#REF!</definedName>
    <definedName name="IS_12" localSheetId="1">#REF!</definedName>
    <definedName name="IS_12">#REF!</definedName>
    <definedName name="IS_13" localSheetId="1">#REF!</definedName>
    <definedName name="IS_13">#REF!</definedName>
    <definedName name="IS_14" localSheetId="1">#REF!</definedName>
    <definedName name="IS_14">#REF!</definedName>
    <definedName name="IS_2" localSheetId="1">#REF!</definedName>
    <definedName name="IS_2">#REF!</definedName>
    <definedName name="IS_3" localSheetId="1">#REF!</definedName>
    <definedName name="IS_3">#REF!</definedName>
    <definedName name="IS_4" localSheetId="1">#REF!</definedName>
    <definedName name="IS_4">#REF!</definedName>
    <definedName name="IS_5" localSheetId="1">#REF!</definedName>
    <definedName name="IS_5">#REF!</definedName>
    <definedName name="IS_6" localSheetId="1">#REF!</definedName>
    <definedName name="IS_6">#REF!</definedName>
    <definedName name="IS_7" localSheetId="1">#REF!</definedName>
    <definedName name="IS_7">#REF!</definedName>
    <definedName name="IS_8" localSheetId="1">#REF!</definedName>
    <definedName name="IS_8">#REF!</definedName>
    <definedName name="IS_9" localSheetId="1">#REF!</definedName>
    <definedName name="IS_9">#REF!</definedName>
    <definedName name="IS_p" localSheetId="1">#REF!</definedName>
    <definedName name="IS_p">#REF!</definedName>
    <definedName name="Kd" localSheetId="1">#REF!</definedName>
    <definedName name="Kd">#REF!</definedName>
    <definedName name="Ke" localSheetId="1">#REF!</definedName>
    <definedName name="Ke">#REF!</definedName>
    <definedName name="key.new.drug.trends" localSheetId="1">#REF!</definedName>
    <definedName name="key.new.drug.trends">#REF!</definedName>
    <definedName name="L_T_obligations_under_cap_leases" localSheetId="1">#REF!</definedName>
    <definedName name="L_T_obligations_under_cap_leases">#REF!</definedName>
    <definedName name="LastListUpdate">0</definedName>
    <definedName name="Lease_thereafter" localSheetId="1">#REF!</definedName>
    <definedName name="Lease_thereafter">#REF!</definedName>
    <definedName name="Lease_years" localSheetId="1">#REF!</definedName>
    <definedName name="Lease_years">#REF!</definedName>
    <definedName name="Lease_yr_1" localSheetId="1">#REF!</definedName>
    <definedName name="Lease_yr_1">#REF!</definedName>
    <definedName name="Lease_yr_2" localSheetId="1">#REF!</definedName>
    <definedName name="Lease_yr_2">#REF!</definedName>
    <definedName name="Lease_yr_3" localSheetId="1">#REF!</definedName>
    <definedName name="Lease_yr_3">#REF!</definedName>
    <definedName name="Lease_yr_4" localSheetId="1">#REF!</definedName>
    <definedName name="Lease_yr_4">#REF!</definedName>
    <definedName name="Lease_yr_5" localSheetId="1">#REF!</definedName>
    <definedName name="Lease_yr_5">#REF!</definedName>
    <definedName name="leerink" localSheetId="1">#REF!</definedName>
    <definedName name="leerink">#REF!</definedName>
    <definedName name="LIFO_Reserve" localSheetId="1">#REF!</definedName>
    <definedName name="LIFO_Reserve">#REF!</definedName>
    <definedName name="limcount" hidden="1">1</definedName>
    <definedName name="Loan_Loss_Provision_fore" localSheetId="1">#REF!</definedName>
    <definedName name="Loan_Loss_Provision_fore">#REF!</definedName>
    <definedName name="LT_debt" localSheetId="1">#REF!</definedName>
    <definedName name="LT_debt">#REF!</definedName>
    <definedName name="LT_debt_growth_fore" localSheetId="1">#REF!</definedName>
    <definedName name="LT_debt_growth_fore">#REF!</definedName>
    <definedName name="M_PlaceofPath" localSheetId="1" hidden="1">"g:\blabla"</definedName>
    <definedName name="M_PlaceofPath" hidden="1">"E:\ASWANSON\DATA\EXCELDAT\VDF Files\Willoughby VBA Models\drte_vdf.xls"</definedName>
    <definedName name="Market_capitalization" localSheetId="1">#REF!</definedName>
    <definedName name="Market_capitalization">#REF!</definedName>
    <definedName name="Market_Implied_CAP" localSheetId="1">#REF!</definedName>
    <definedName name="Market_Implied_CAP">#REF!</definedName>
    <definedName name="MDR" localSheetId="1">#REF!</definedName>
    <definedName name="MDR">#REF!</definedName>
    <definedName name="med.tech" localSheetId="1">#REF!</definedName>
    <definedName name="med.tech">#REF!</definedName>
    <definedName name="MIL_TMO" localSheetId="1">#REF!</definedName>
    <definedName name="MIL_TMO">#REF!</definedName>
    <definedName name="Minority_Interests" localSheetId="1">#REF!</definedName>
    <definedName name="Minority_Interests">#REF!</definedName>
    <definedName name="ML_6f2p1m9g" localSheetId="1">#REF!</definedName>
    <definedName name="ML_6f2p1m9g">#REF!</definedName>
    <definedName name="MM" localSheetId="1">#REF!</definedName>
    <definedName name="MM">#REF!</definedName>
    <definedName name="model" localSheetId="1">#REF!</definedName>
    <definedName name="model">#REF!</definedName>
    <definedName name="N_A" localSheetId="1">#REF!</definedName>
    <definedName name="N_A">#REF!</definedName>
    <definedName name="name" localSheetId="1">#REF!</definedName>
    <definedName name="name">#REF!</definedName>
    <definedName name="NameTar" localSheetId="1">#REF!</definedName>
    <definedName name="NameTar">#REF!</definedName>
    <definedName name="NAV" localSheetId="1">#REF!</definedName>
    <definedName name="NAV">#REF!</definedName>
    <definedName name="NAV_SENSE" localSheetId="1">#REF!</definedName>
    <definedName name="NAV_SENSE">#REF!</definedName>
    <definedName name="Net_Adj_capitalized_expenses" localSheetId="1">#REF!</definedName>
    <definedName name="Net_Adj_capitalized_expenses">#REF!</definedName>
    <definedName name="Net_adj_for_capitalized_expenses" localSheetId="1">#REF!</definedName>
    <definedName name="Net_adj_for_capitalized_expenses">#REF!</definedName>
    <definedName name="Net_Income" localSheetId="1">#REF!</definedName>
    <definedName name="Net_Income">#REF!</definedName>
    <definedName name="Net_income_adj_cap_expenses" localSheetId="1">#REF!</definedName>
    <definedName name="Net_income_adj_cap_expenses">#REF!</definedName>
    <definedName name="Net_income_fore" localSheetId="1">#REF!</definedName>
    <definedName name="Net_income_fore">#REF!</definedName>
    <definedName name="Net_income_growth" localSheetId="1">#REF!</definedName>
    <definedName name="Net_income_growth">#REF!</definedName>
    <definedName name="Net_income_growth_avg" localSheetId="1">#REF!</definedName>
    <definedName name="Net_income_growth_avg">#REF!</definedName>
    <definedName name="Net_margin" localSheetId="1">#REF!</definedName>
    <definedName name="Net_margin">#REF!</definedName>
    <definedName name="Net_margin_fore" localSheetId="1">#REF!</definedName>
    <definedName name="Net_margin_fore">#REF!</definedName>
    <definedName name="Net_PPE" localSheetId="1">#REF!</definedName>
    <definedName name="Net_PPE">#REF!</definedName>
    <definedName name="Net_PPE_DCF" localSheetId="1">#REF!</definedName>
    <definedName name="Net_PPE_DCF">#REF!</definedName>
    <definedName name="Net_PPE_growth_fore" localSheetId="1">#REF!</definedName>
    <definedName name="Net_PPE_growth_fore">#REF!</definedName>
    <definedName name="Net_property_under_capital_leases" localSheetId="1">#REF!</definedName>
    <definedName name="Net_property_under_capital_leases">#REF!</definedName>
    <definedName name="Net_sales" localSheetId="1">#REF!</definedName>
    <definedName name="Net_sales">#REF!</definedName>
    <definedName name="Net_sales_DCF" localSheetId="1">#REF!</definedName>
    <definedName name="Net_sales_DCF">#REF!</definedName>
    <definedName name="Net_sales_fore" localSheetId="1">#REF!</definedName>
    <definedName name="Net_sales_fore">#REF!</definedName>
    <definedName name="Net_sales_growth_fore" localSheetId="1">#REF!</definedName>
    <definedName name="Net_sales_growth_fore">#REF!</definedName>
    <definedName name="Net_Tax_Benefit_of_Non_Op_Charges_Gains" localSheetId="1">#REF!</definedName>
    <definedName name="Net_Tax_Benefit_of_Non_Op_Charges_Gains">#REF!</definedName>
    <definedName name="Net_Unrealized_Gains_Losses" localSheetId="1">#REF!</definedName>
    <definedName name="Net_Unrealized_Gains_Losses">#REF!</definedName>
    <definedName name="Net_working_capital" localSheetId="1">#REF!</definedName>
    <definedName name="Net_working_capital">#REF!</definedName>
    <definedName name="Net_working_capital_DCF" localSheetId="1">#REF!</definedName>
    <definedName name="Net_working_capital_DCF">#REF!</definedName>
    <definedName name="Net_working_capital_turns" localSheetId="1">#REF!</definedName>
    <definedName name="Net_working_capital_turns">#REF!</definedName>
    <definedName name="Net_working_capital_turns_DCF" localSheetId="1">#REF!</definedName>
    <definedName name="Net_working_capital_turns_DCF">#REF!</definedName>
    <definedName name="NetWC_turns_fore" localSheetId="1">#REF!</definedName>
    <definedName name="NetWC_turns_fore">#REF!</definedName>
    <definedName name="NI_BOE_1998" localSheetId="1">#REF!</definedName>
    <definedName name="NI_BOE_1998">#REF!</definedName>
    <definedName name="NI_BOE_1999" localSheetId="1">#REF!</definedName>
    <definedName name="NI_BOE_1999">#REF!</definedName>
    <definedName name="NI_BOE_2000" localSheetId="1">#REF!</definedName>
    <definedName name="NI_BOE_2000">#REF!</definedName>
    <definedName name="NI_BOE_2001" localSheetId="1">#REF!</definedName>
    <definedName name="NI_BOE_2001">#REF!</definedName>
    <definedName name="NI_BOE_2002" localSheetId="1">#REF!</definedName>
    <definedName name="NI_BOE_2002">#REF!</definedName>
    <definedName name="NI_BOE_2003" localSheetId="1">#REF!</definedName>
    <definedName name="NI_BOE_2003">#REF!</definedName>
    <definedName name="NI_BOE_2004" localSheetId="1">#REF!</definedName>
    <definedName name="NI_BOE_2004">#REF!</definedName>
    <definedName name="NI_BOE_2005" localSheetId="1">#REF!</definedName>
    <definedName name="NI_BOE_2005">#REF!</definedName>
    <definedName name="NI_BOE_2006" localSheetId="1">#REF!</definedName>
    <definedName name="NI_BOE_2006">#REF!</definedName>
    <definedName name="NI_BOE_2007" localSheetId="1">#REF!</definedName>
    <definedName name="NI_BOE_2007">#REF!</definedName>
    <definedName name="NI_BOE_2008" localSheetId="1">#REF!</definedName>
    <definedName name="NI_BOE_2008">#REF!</definedName>
    <definedName name="NI_Intl_EP_2004" localSheetId="1">#REF!</definedName>
    <definedName name="NI_Intl_EP_2004">#REF!</definedName>
    <definedName name="NI_Total_EP_2004" localSheetId="1">#REF!</definedName>
    <definedName name="NI_Total_EP_2004">#REF!</definedName>
    <definedName name="NI_US_EP_2004" localSheetId="1">#REF!</definedName>
    <definedName name="NI_US_EP_2004">#REF!</definedName>
    <definedName name="NIBCLs" localSheetId="1">#REF!</definedName>
    <definedName name="NIBCLs">#REF!</definedName>
    <definedName name="no" localSheetId="1" hidden="1">{"PR1","pr1",TRUE,"Sch PR-1"}</definedName>
    <definedName name="no" hidden="1">{"PR1","pr1",TRUE,"Sch PR-1"}</definedName>
    <definedName name="Non_Recurring_loss_gain" localSheetId="1">#REF!</definedName>
    <definedName name="Non_Recurring_loss_gain">#REF!</definedName>
    <definedName name="NOPAT" localSheetId="1">#REF!</definedName>
    <definedName name="NOPAT">#REF!</definedName>
    <definedName name="NOPAT_DCF" localSheetId="1">#REF!</definedName>
    <definedName name="NOPAT_DCF">#REF!</definedName>
    <definedName name="NOPAT_fore" localSheetId="1">#REF!</definedName>
    <definedName name="NOPAT_fore">#REF!</definedName>
    <definedName name="NOPAT_growth" localSheetId="1">#REF!</definedName>
    <definedName name="NOPAT_growth">#REF!</definedName>
    <definedName name="NOPAT_growth_avg" localSheetId="1">#REF!</definedName>
    <definedName name="NOPAT_growth_avg">#REF!</definedName>
    <definedName name="NOPAT_margin" localSheetId="1">#REF!</definedName>
    <definedName name="NOPAT_margin">#REF!</definedName>
    <definedName name="NOPAT_margin_fore" localSheetId="1">#REF!</definedName>
    <definedName name="NOPAT_margin_fore">#REF!</definedName>
    <definedName name="NOPAT_Share" localSheetId="1">#REF!</definedName>
    <definedName name="NOPAT_Share">#REF!</definedName>
    <definedName name="NOPBT" localSheetId="1">#REF!</definedName>
    <definedName name="NOPBT">#REF!</definedName>
    <definedName name="NOPBT_fore" localSheetId="1">#REF!</definedName>
    <definedName name="NOPBT_fore">#REF!</definedName>
    <definedName name="Norm_forecast_11_15" localSheetId="1">#REF!</definedName>
    <definedName name="Norm_forecast_11_15">#REF!</definedName>
    <definedName name="Norm_forecast_16_25" localSheetId="1">#REF!</definedName>
    <definedName name="Norm_forecast_16_25">#REF!</definedName>
    <definedName name="Norm_forecast_4_5" localSheetId="1">#REF!</definedName>
    <definedName name="Norm_forecast_4_5">#REF!</definedName>
    <definedName name="Norm_forecast_6_10" localSheetId="1">#REF!</definedName>
    <definedName name="Norm_forecast_6_10">#REF!</definedName>
    <definedName name="Norm_ROIC" localSheetId="1">#REF!</definedName>
    <definedName name="Norm_ROIC">#REF!</definedName>
    <definedName name="NPT_1" localSheetId="1">#REF!</definedName>
    <definedName name="NPT_1">#REF!</definedName>
    <definedName name="NPT_10" localSheetId="1">#REF!</definedName>
    <definedName name="NPT_10">#REF!</definedName>
    <definedName name="NPT_11" localSheetId="1">#REF!</definedName>
    <definedName name="NPT_11">#REF!</definedName>
    <definedName name="NPT_12" localSheetId="1">#REF!</definedName>
    <definedName name="NPT_12">#REF!</definedName>
    <definedName name="NPT_13" localSheetId="1">#REF!</definedName>
    <definedName name="NPT_13">#REF!</definedName>
    <definedName name="NPT_14" localSheetId="1">#REF!</definedName>
    <definedName name="NPT_14">#REF!</definedName>
    <definedName name="NPT_2" localSheetId="1">#REF!</definedName>
    <definedName name="NPT_2">#REF!</definedName>
    <definedName name="NPT_3" localSheetId="1">#REF!</definedName>
    <definedName name="NPT_3">#REF!</definedName>
    <definedName name="NPT_4" localSheetId="1">#REF!</definedName>
    <definedName name="NPT_4">#REF!</definedName>
    <definedName name="NPT_5" localSheetId="1">#REF!</definedName>
    <definedName name="NPT_5">#REF!</definedName>
    <definedName name="NPT_6" localSheetId="1">#REF!</definedName>
    <definedName name="NPT_6">#REF!</definedName>
    <definedName name="NPT_7" localSheetId="1">#REF!</definedName>
    <definedName name="NPT_7">#REF!</definedName>
    <definedName name="NPT_8" localSheetId="1">#REF!</definedName>
    <definedName name="NPT_8">#REF!</definedName>
    <definedName name="NPT_9" localSheetId="1">#REF!</definedName>
    <definedName name="NPT_9">#REF!</definedName>
    <definedName name="NPT_EY1" localSheetId="1">#REF!</definedName>
    <definedName name="NPT_EY1">#REF!</definedName>
    <definedName name="NPT_EY2" localSheetId="1">#REF!</definedName>
    <definedName name="NPT_EY2">#REF!</definedName>
    <definedName name="NPT_EY3" localSheetId="1">#REF!</definedName>
    <definedName name="NPT_EY3">#REF!</definedName>
    <definedName name="NPT_P" localSheetId="1">#REF!</definedName>
    <definedName name="NPT_P">#REF!</definedName>
    <definedName name="Number_of_Shares" localSheetId="1">#REF!</definedName>
    <definedName name="Number_of_Shares">#REF!</definedName>
    <definedName name="OCER" localSheetId="1">#REF!</definedName>
    <definedName name="OCER">#REF!</definedName>
    <definedName name="Off_B_S_Income" localSheetId="1">#REF!</definedName>
    <definedName name="Off_B_S_Income">#REF!</definedName>
    <definedName name="Off_B_S_Income_DCF" localSheetId="1">#REF!</definedName>
    <definedName name="Off_B_S_Income_DCF">#REF!</definedName>
    <definedName name="Off_B_S_Income_fore" localSheetId="1">#REF!</definedName>
    <definedName name="Off_B_S_Income_fore">#REF!</definedName>
    <definedName name="Off_B_S_Income_growth_fore" localSheetId="1">#REF!</definedName>
    <definedName name="Off_B_S_Income_growth_fore">#REF!</definedName>
    <definedName name="OGBASE_TRANSFER" localSheetId="1">#REF!</definedName>
    <definedName name="OGBASE_TRANSFER">#REF!</definedName>
    <definedName name="OilSands" localSheetId="1">#REF!</definedName>
    <definedName name="OilSands">#REF!</definedName>
    <definedName name="OL_1" localSheetId="1">#REF!</definedName>
    <definedName name="OL_1">#REF!</definedName>
    <definedName name="OL_10" localSheetId="1">#REF!</definedName>
    <definedName name="OL_10">#REF!</definedName>
    <definedName name="OL_11" localSheetId="1">#REF!</definedName>
    <definedName name="OL_11">#REF!</definedName>
    <definedName name="OL_12" localSheetId="1">#REF!</definedName>
    <definedName name="OL_12">#REF!</definedName>
    <definedName name="OL_13" localSheetId="1">#REF!</definedName>
    <definedName name="OL_13">#REF!</definedName>
    <definedName name="OL_14" localSheetId="1">#REF!</definedName>
    <definedName name="OL_14">#REF!</definedName>
    <definedName name="OL_2" localSheetId="1">#REF!</definedName>
    <definedName name="OL_2">#REF!</definedName>
    <definedName name="OL_3" localSheetId="1">#REF!</definedName>
    <definedName name="OL_3">#REF!</definedName>
    <definedName name="OL_4" localSheetId="1">#REF!</definedName>
    <definedName name="OL_4">#REF!</definedName>
    <definedName name="OL_5" localSheetId="1">#REF!</definedName>
    <definedName name="OL_5">#REF!</definedName>
    <definedName name="OL_6" localSheetId="1">#REF!</definedName>
    <definedName name="OL_6">#REF!</definedName>
    <definedName name="OL_7" localSheetId="1">#REF!</definedName>
    <definedName name="OL_7">#REF!</definedName>
    <definedName name="OL_8" localSheetId="1">#REF!</definedName>
    <definedName name="OL_8">#REF!</definedName>
    <definedName name="OL_9" localSheetId="1">#REF!</definedName>
    <definedName name="OL_9">#REF!</definedName>
    <definedName name="OL_P" localSheetId="1">#REF!</definedName>
    <definedName name="OL_P">#REF!</definedName>
    <definedName name="Op_Margin" localSheetId="1">#REF!</definedName>
    <definedName name="Op_Margin">#REF!</definedName>
    <definedName name="Operating_Expenses" localSheetId="1">#REF!</definedName>
    <definedName name="Operating_Expenses">#REF!</definedName>
    <definedName name="Operating_income" localSheetId="1">#REF!</definedName>
    <definedName name="Operating_income">#REF!</definedName>
    <definedName name="Operating_income_fore" localSheetId="1">#REF!</definedName>
    <definedName name="Operating_income_fore">#REF!</definedName>
    <definedName name="Operating_Lease_Expense" localSheetId="1">#REF!</definedName>
    <definedName name="Operating_Lease_Expense">#REF!</definedName>
    <definedName name="Operating_Lease_Expense_fore" localSheetId="1">#REF!</definedName>
    <definedName name="Operating_Lease_Expense_fore">#REF!</definedName>
    <definedName name="Other" localSheetId="1">#REF!</definedName>
    <definedName name="Other">#REF!</definedName>
    <definedName name="Other_asset_turns" localSheetId="1">#REF!</definedName>
    <definedName name="Other_asset_turns">#REF!</definedName>
    <definedName name="Other_asset_turns_DCF" localSheetId="1">#REF!</definedName>
    <definedName name="Other_asset_turns_DCF">#REF!</definedName>
    <definedName name="Other_asset_turns_fore" localSheetId="1">#REF!</definedName>
    <definedName name="Other_asset_turns_fore">#REF!</definedName>
    <definedName name="Other_assets" localSheetId="1">#REF!</definedName>
    <definedName name="Other_assets">#REF!</definedName>
    <definedName name="Other_assets_DCF" localSheetId="1">#REF!</definedName>
    <definedName name="Other_assets_DCF">#REF!</definedName>
    <definedName name="Other_Assets2" localSheetId="1">#REF!</definedName>
    <definedName name="Other_Assets2">#REF!</definedName>
    <definedName name="Other_current_assets" localSheetId="1">#REF!</definedName>
    <definedName name="Other_current_assets">#REF!</definedName>
    <definedName name="Other_current_assets_growth_fore" localSheetId="1">#REF!</definedName>
    <definedName name="Other_current_assets_growth_fore">#REF!</definedName>
    <definedName name="Other_Current_Assets2" localSheetId="1">#REF!</definedName>
    <definedName name="Other_Current_Assets2">#REF!</definedName>
    <definedName name="Other_current_liabilities" localSheetId="1">#REF!</definedName>
    <definedName name="Other_current_liabilities">#REF!</definedName>
    <definedName name="Other_current_liabilities_growth_fore" localSheetId="1">#REF!</definedName>
    <definedName name="Other_current_liabilities_growth_fore">#REF!</definedName>
    <definedName name="Other_Current_Liabilities2" localSheetId="1">#REF!</definedName>
    <definedName name="Other_Current_Liabilities2">#REF!</definedName>
    <definedName name="Other_DCF" localSheetId="1">#REF!</definedName>
    <definedName name="Other_DCF">#REF!</definedName>
    <definedName name="Other_dividends" localSheetId="1">#REF!</definedName>
    <definedName name="Other_dividends">#REF!</definedName>
    <definedName name="Other_Expenses" localSheetId="1">#REF!</definedName>
    <definedName name="Other_Expenses">#REF!</definedName>
    <definedName name="Other_Expenses_fore" localSheetId="1">#REF!</definedName>
    <definedName name="Other_Expenses_fore">#REF!</definedName>
    <definedName name="Other_expenses_gains" localSheetId="1">#REF!</definedName>
    <definedName name="Other_expenses_gains">#REF!</definedName>
    <definedName name="Other_expenses_gains_fore" localSheetId="1">#REF!</definedName>
    <definedName name="Other_expenses_gains_fore">#REF!</definedName>
    <definedName name="Other_expenses_growth_fore" localSheetId="1">#REF!</definedName>
    <definedName name="Other_expenses_growth_fore">#REF!</definedName>
    <definedName name="Other_fixed_asset_turns" localSheetId="1">#REF!</definedName>
    <definedName name="Other_fixed_asset_turns">#REF!</definedName>
    <definedName name="Other_fixed_asset_turns_fore" localSheetId="1">#REF!</definedName>
    <definedName name="Other_fixed_asset_turns_fore">#REF!</definedName>
    <definedName name="Other_fixed_assets" localSheetId="1">#REF!</definedName>
    <definedName name="Other_fixed_assets">#REF!</definedName>
    <definedName name="Other_fixed_assets_growth_fore" localSheetId="1">#REF!</definedName>
    <definedName name="Other_fixed_assets_growth_fore">#REF!</definedName>
    <definedName name="Other_fixed_assets2" localSheetId="1">#REF!</definedName>
    <definedName name="Other_fixed_assets2">#REF!</definedName>
    <definedName name="Other_growth_fore" localSheetId="1">#REF!</definedName>
    <definedName name="Other_growth_fore">#REF!</definedName>
    <definedName name="Other_inc_exp_fore" localSheetId="1">#REF!</definedName>
    <definedName name="Other_inc_exp_fore">#REF!</definedName>
    <definedName name="Other_Income" localSheetId="1">#REF!</definedName>
    <definedName name="Other_Income">#REF!</definedName>
    <definedName name="Other_income_growth_fore" localSheetId="1">#REF!</definedName>
    <definedName name="Other_income_growth_fore">#REF!</definedName>
    <definedName name="Other_Intangible_Assets" localSheetId="1">#REF!</definedName>
    <definedName name="Other_Intangible_Assets">#REF!</definedName>
    <definedName name="Other_liabilities" localSheetId="1">#REF!</definedName>
    <definedName name="Other_liabilities">#REF!</definedName>
    <definedName name="Other_liabilities_growth_fore" localSheetId="1">#REF!</definedName>
    <definedName name="Other_liabilities_growth_fore">#REF!</definedName>
    <definedName name="Other_liabilities2" localSheetId="1">#REF!</definedName>
    <definedName name="Other_liabilities2">#REF!</definedName>
    <definedName name="Other_LT_Debt" localSheetId="1">#REF!</definedName>
    <definedName name="Other_LT_Debt">#REF!</definedName>
    <definedName name="Other_ncome_expenses" localSheetId="1">#REF!</definedName>
    <definedName name="Other_ncome_expenses">#REF!</definedName>
    <definedName name="Other_reserves" localSheetId="1">#REF!</definedName>
    <definedName name="Other_reserves">#REF!</definedName>
    <definedName name="Other_Segment_Revenues" localSheetId="1">#REF!</definedName>
    <definedName name="Other_Segment_Revenues">#REF!</definedName>
    <definedName name="Other_ST_Debt" localSheetId="1">#REF!</definedName>
    <definedName name="Other_ST_Debt">#REF!</definedName>
    <definedName name="overlay" localSheetId="1">#REF!</definedName>
    <definedName name="overlay">#REF!</definedName>
    <definedName name="Page_1" localSheetId="1">#REF!</definedName>
    <definedName name="Page_1">#REF!</definedName>
    <definedName name="Page_2" localSheetId="1">#REF!</definedName>
    <definedName name="Page_2">#REF!</definedName>
    <definedName name="Page_3" localSheetId="1">#REF!</definedName>
    <definedName name="Page_3">#REF!</definedName>
    <definedName name="Page_4" localSheetId="1">#REF!</definedName>
    <definedName name="Page_4">#REF!</definedName>
    <definedName name="Partial_year" localSheetId="1">#REF!</definedName>
    <definedName name="Partial_year">#REF!</definedName>
    <definedName name="PESC" localSheetId="1">#REF!</definedName>
    <definedName name="PESC">#REF!</definedName>
    <definedName name="PKD" localSheetId="1">#REF!</definedName>
    <definedName name="PKD">#REF!</definedName>
    <definedName name="possibleoutcomes" localSheetId="1">#REF!</definedName>
    <definedName name="possibleoutcomes">#REF!</definedName>
    <definedName name="PPnE_turns_fore" localSheetId="1">#REF!</definedName>
    <definedName name="PPnE_turns_fore">#REF!</definedName>
    <definedName name="Preferred_book_value" localSheetId="1">#REF!</definedName>
    <definedName name="Preferred_book_value">#REF!</definedName>
    <definedName name="Preferred_Dividends" localSheetId="1">#REF!</definedName>
    <definedName name="Preferred_Dividends">#REF!</definedName>
    <definedName name="Preferred_stock" localSheetId="1">#REF!</definedName>
    <definedName name="Preferred_stock">#REF!</definedName>
    <definedName name="Preferred_stock_growth_fore" localSheetId="1">#REF!</definedName>
    <definedName name="Preferred_stock_growth_fore">#REF!</definedName>
    <definedName name="Present_Value_Oper_lease" localSheetId="1">#REF!</definedName>
    <definedName name="Present_Value_Oper_lease">#REF!</definedName>
    <definedName name="Pretax_income" localSheetId="1">#REF!</definedName>
    <definedName name="Pretax_income">#REF!</definedName>
    <definedName name="Pretax_income_fore" localSheetId="1">#REF!</definedName>
    <definedName name="Pretax_income_fore">#REF!</definedName>
    <definedName name="PRICE_SENSE" localSheetId="1">#REF!</definedName>
    <definedName name="PRICE_SENSE">#REF!</definedName>
    <definedName name="_xlnm.Print_Area" localSheetId="4">BS!$A$1:$AS$51</definedName>
    <definedName name="_xlnm.Print_Area" localSheetId="5">CF!$A$1:$AT$53</definedName>
    <definedName name="_xlnm.Print_Area" localSheetId="2">IS!$A$1:$AT$73</definedName>
    <definedName name="_xlnm.Print_Area" localSheetId="6">'Other Accts'!$A$1:$F$70</definedName>
    <definedName name="_xlnm.Print_Area" localSheetId="3">Rev!$A$1:$AT$331</definedName>
    <definedName name="_xlnm.Print_Area" localSheetId="7">Valuation!$A$1:$AL$69</definedName>
    <definedName name="_xlnm.Print_Area">#N/A</definedName>
    <definedName name="Print_Area_MI" localSheetId="1">#REF!</definedName>
    <definedName name="Print_Area_MI">#REF!</definedName>
    <definedName name="prod1" localSheetId="1">#REF!</definedName>
    <definedName name="prod1">#REF!</definedName>
    <definedName name="prodDO" localSheetId="1">#REF!</definedName>
    <definedName name="prodDO">#REF!</definedName>
    <definedName name="PROFILE_UPDATE" localSheetId="1">#REF!</definedName>
    <definedName name="PROFILE_UPDATE">#REF!</definedName>
    <definedName name="Proforma" localSheetId="1">#REF!</definedName>
    <definedName name="Proforma">#REF!</definedName>
    <definedName name="PSA" localSheetId="1">#REF!</definedName>
    <definedName name="PSA">#REF!</definedName>
    <definedName name="PV_of_Economic_Profit" localSheetId="1">#REF!</definedName>
    <definedName name="PV_of_Economic_Profit">#REF!</definedName>
    <definedName name="PV_of_FCF" localSheetId="1">#REF!</definedName>
    <definedName name="PV_of_FCF">#REF!</definedName>
    <definedName name="PV_of_Residual_Value" localSheetId="1">#REF!</definedName>
    <definedName name="PV_of_Residual_Value">#REF!</definedName>
    <definedName name="PV_Oper_lease" localSheetId="1">#REF!</definedName>
    <definedName name="PV_Oper_lease">#REF!</definedName>
    <definedName name="PVGO" localSheetId="1">#REF!</definedName>
    <definedName name="PVGO">#REF!</definedName>
    <definedName name="Q1.2002" localSheetId="1">#REF!</definedName>
    <definedName name="Q1.2002">#REF!</definedName>
    <definedName name="Q1.2003" localSheetId="1">#REF!</definedName>
    <definedName name="Q1.2003">#REF!</definedName>
    <definedName name="Q1.2004" localSheetId="1">#REF!</definedName>
    <definedName name="Q1.2004">#REF!</definedName>
    <definedName name="Q1.2005" localSheetId="1">#REF!</definedName>
    <definedName name="Q1.2005">#REF!</definedName>
    <definedName name="Q1.2006" localSheetId="1">#REF!</definedName>
    <definedName name="Q1.2006">#REF!</definedName>
    <definedName name="Q2.2002" localSheetId="1">#REF!</definedName>
    <definedName name="Q2.2002">#REF!</definedName>
    <definedName name="Q2.2003" localSheetId="1">#REF!</definedName>
    <definedName name="Q2.2003">#REF!</definedName>
    <definedName name="Q2.2004" localSheetId="1">#REF!</definedName>
    <definedName name="Q2.2004">#REF!</definedName>
    <definedName name="Q2.2005" localSheetId="1">#REF!</definedName>
    <definedName name="Q2.2005">#REF!</definedName>
    <definedName name="Q2.2006" localSheetId="1">#REF!</definedName>
    <definedName name="Q2.2006">#REF!</definedName>
    <definedName name="Q3.2002" localSheetId="1">#REF!</definedName>
    <definedName name="Q3.2002">#REF!</definedName>
    <definedName name="Q3.2003" localSheetId="1">#REF!</definedName>
    <definedName name="Q3.2003">#REF!</definedName>
    <definedName name="Q3.2004" localSheetId="1">#REF!</definedName>
    <definedName name="Q3.2004">#REF!</definedName>
    <definedName name="Q3.2005" localSheetId="1">#REF!</definedName>
    <definedName name="Q3.2005">#REF!</definedName>
    <definedName name="Q3.2006" localSheetId="1">#REF!</definedName>
    <definedName name="Q3.2006">#REF!</definedName>
    <definedName name="Q4.2002" localSheetId="1">#REF!</definedName>
    <definedName name="Q4.2002">#REF!</definedName>
    <definedName name="Q4.2003" localSheetId="1">#REF!</definedName>
    <definedName name="Q4.2003">#REF!</definedName>
    <definedName name="Q4.2004" localSheetId="1">#REF!</definedName>
    <definedName name="Q4.2004">#REF!</definedName>
    <definedName name="Q4.2005" localSheetId="1">#REF!</definedName>
    <definedName name="Q4.2005">#REF!</definedName>
    <definedName name="Q4.2006" localSheetId="1">#REF!</definedName>
    <definedName name="Q4.2006">#REF!</definedName>
    <definedName name="Qtrly_results" localSheetId="1">#REF!</definedName>
    <definedName name="Qtrly_results">#REF!</definedName>
    <definedName name="R_D_amort_years" localSheetId="1">#REF!</definedName>
    <definedName name="R_D_amort_years">#REF!</definedName>
    <definedName name="R_D_Amortization" localSheetId="1">#REF!</definedName>
    <definedName name="R_D_Amortization">#REF!</definedName>
    <definedName name="R_D_Capzed" localSheetId="1">#REF!</definedName>
    <definedName name="R_D_Capzed">#REF!</definedName>
    <definedName name="R_D_expense" localSheetId="1">#REF!</definedName>
    <definedName name="R_D_expense">#REF!</definedName>
    <definedName name="R_D_expense_IS" localSheetId="1">#REF!</definedName>
    <definedName name="R_D_expense_IS">#REF!</definedName>
    <definedName name="Range_Names" localSheetId="1">#REF!</definedName>
    <definedName name="Range_Names">#REF!</definedName>
    <definedName name="RDC" localSheetId="1">#REF!</definedName>
    <definedName name="RDC">#REF!</definedName>
    <definedName name="recent.patterns" localSheetId="1">#REF!</definedName>
    <definedName name="recent.patterns">#REF!</definedName>
    <definedName name="Regional" localSheetId="1">#REF!</definedName>
    <definedName name="Regional">#REF!</definedName>
    <definedName name="Required_cash" localSheetId="1">#REF!</definedName>
    <definedName name="Required_cash">#REF!</definedName>
    <definedName name="Required_cash_percent" localSheetId="1">#REF!</definedName>
    <definedName name="Required_cash_percent">#REF!</definedName>
    <definedName name="RESERVES" localSheetId="1">#REF!</definedName>
    <definedName name="RESERVES">#REF!</definedName>
    <definedName name="Residual_Value" localSheetId="1">#REF!</definedName>
    <definedName name="Residual_Value">#REF!</definedName>
    <definedName name="Restructuring_charges" localSheetId="1">#REF!</definedName>
    <definedName name="Restructuring_charges">#REF!</definedName>
    <definedName name="Restructuring_charges_growth_fore" localSheetId="1">#REF!</definedName>
    <definedName name="Restructuring_charges_growth_fore">#REF!</definedName>
    <definedName name="REV">#REF!</definedName>
    <definedName name="Revenue" localSheetId="1">#REF!</definedName>
    <definedName name="Revenue">#REF!</definedName>
    <definedName name="REVENUE_WORKSHEET_1" localSheetId="1">#REF!</definedName>
    <definedName name="REVENUE_WORKSHEET_1">#REF!</definedName>
    <definedName name="REVENUE_WORKSHEET_2" localSheetId="1">#REF!</definedName>
    <definedName name="REVENUE_WORKSHEET_2">#REF!</definedName>
    <definedName name="Revenue_Worksheet_3" localSheetId="1">#REF!</definedName>
    <definedName name="Revenue_Worksheet_3">#REF!</definedName>
    <definedName name="Revenue_Worksheet_4" localSheetId="1">#REF!</definedName>
    <definedName name="Revenue_Worksheet_4">#REF!</definedName>
    <definedName name="Revenue1" localSheetId="1">#REF!</definedName>
    <definedName name="Revenue1">#REF!</definedName>
    <definedName name="Revenue2" localSheetId="1">#REF!</definedName>
    <definedName name="Revenue2">#REF!</definedName>
    <definedName name="RIsk_free_30yr_Treas" localSheetId="1">#REF!</definedName>
    <definedName name="RIsk_free_30yr_Treas">#REF!</definedName>
    <definedName name="RM_DDA_2004" localSheetId="1">#REF!</definedName>
    <definedName name="RM_DDA_2004">#REF!</definedName>
    <definedName name="RM_DDA_2005" localSheetId="1">#REF!</definedName>
    <definedName name="RM_DDA_2005">#REF!</definedName>
    <definedName name="RM_DDA_2006" localSheetId="1">#REF!</definedName>
    <definedName name="RM_DDA_2006">#REF!</definedName>
    <definedName name="RM_DDA_2007" localSheetId="1">#REF!</definedName>
    <definedName name="RM_DDA_2007">#REF!</definedName>
    <definedName name="RM_DDA_2008" localSheetId="1">#REF!</definedName>
    <definedName name="RM_DDA_2008">#REF!</definedName>
    <definedName name="RnD_expense" localSheetId="1">#REF!</definedName>
    <definedName name="RnD_expense">#REF!</definedName>
    <definedName name="RnD_expense_fore" localSheetId="1">#REF!</definedName>
    <definedName name="RnD_expense_fore">#REF!</definedName>
    <definedName name="RnD_expense_growth_fore" localSheetId="1">#REF!</definedName>
    <definedName name="RnD_expense_growth_fore">#REF!</definedName>
    <definedName name="RnD_expenses_fore" localSheetId="1">#REF!</definedName>
    <definedName name="RnD_expenses_fore">#REF!</definedName>
    <definedName name="ROCC_Intl_2004" localSheetId="1">#REF!</definedName>
    <definedName name="ROCC_Intl_2004">#REF!</definedName>
    <definedName name="ROCC_US_2004" localSheetId="1">#REF!</definedName>
    <definedName name="ROCC_US_2004">#REF!</definedName>
    <definedName name="ROCC_WW_2004" localSheetId="1">#REF!</definedName>
    <definedName name="ROCC_WW_2004">#REF!</definedName>
    <definedName name="ROIC" localSheetId="1">#REF!</definedName>
    <definedName name="ROIC">#REF!</definedName>
    <definedName name="ROIC_DCF" localSheetId="1">#REF!</definedName>
    <definedName name="ROIC_DCF">#REF!</definedName>
    <definedName name="ROIC_WACC" localSheetId="1">#REF!</definedName>
    <definedName name="ROIC_WACC">#REF!</definedName>
    <definedName name="RORIC__3_yr_rolling" localSheetId="1">#REF!</definedName>
    <definedName name="RORIC__3_yr_rolling">#REF!</definedName>
    <definedName name="RXAnnual" localSheetId="1">#REF!</definedName>
    <definedName name="RXAnnual">#REF!</definedName>
    <definedName name="s">#REF!</definedName>
    <definedName name="S_T_obligations_under_cap_leases" localSheetId="1">#REF!</definedName>
    <definedName name="S_T_obligations_under_cap_leases">#REF!</definedName>
    <definedName name="Sales_growth" localSheetId="1">#REF!</definedName>
    <definedName name="Sales_growth">#REF!</definedName>
    <definedName name="Sales_growth_avg" localSheetId="1">#REF!</definedName>
    <definedName name="Sales_growth_avg">#REF!</definedName>
    <definedName name="sdsds" localSheetId="1" hidden="1">{"PR1","pr1",TRUE,"Sch PR-1"}</definedName>
    <definedName name="sdsds" hidden="1">{"PR1","pr1",TRUE,"Sch PR-1"}</definedName>
    <definedName name="segment" localSheetId="1">#REF!</definedName>
    <definedName name="segment">#REF!</definedName>
    <definedName name="segment.op.profit" localSheetId="1">#REF!</definedName>
    <definedName name="segment.op.profit">#REF!</definedName>
    <definedName name="Segment1_income" localSheetId="1">#REF!</definedName>
    <definedName name="Segment1_income">#REF!</definedName>
    <definedName name="Segment1_income_DCF" localSheetId="1">#REF!</definedName>
    <definedName name="Segment1_income_DCF">#REF!</definedName>
    <definedName name="Segment1_income_fore" localSheetId="1">#REF!</definedName>
    <definedName name="Segment1_income_fore">#REF!</definedName>
    <definedName name="Segment1_income_growth_fore" localSheetId="1">#REF!</definedName>
    <definedName name="Segment1_income_growth_fore">#REF!</definedName>
    <definedName name="Segment2_income" localSheetId="1">#REF!</definedName>
    <definedName name="Segment2_income">#REF!</definedName>
    <definedName name="Segment2_income_DCF" localSheetId="1">#REF!</definedName>
    <definedName name="Segment2_income_DCF">#REF!</definedName>
    <definedName name="Segment2_income_fore" localSheetId="1">#REF!</definedName>
    <definedName name="Segment2_income_fore">#REF!</definedName>
    <definedName name="Segment2_income_growth_fore" localSheetId="1">#REF!</definedName>
    <definedName name="Segment2_income_growth_fore">#REF!</definedName>
    <definedName name="segments" localSheetId="1">#REF!</definedName>
    <definedName name="segments">#REF!</definedName>
    <definedName name="sencount" hidden="1">1</definedName>
    <definedName name="SGA" localSheetId="1">#REF!</definedName>
    <definedName name="SGA">#REF!</definedName>
    <definedName name="SGA_fore" localSheetId="1">#REF!</definedName>
    <definedName name="SGA_fore">#REF!</definedName>
    <definedName name="SGA_growth" localSheetId="1">#REF!</definedName>
    <definedName name="SGA_growth">#REF!</definedName>
    <definedName name="SGA_growth_avg" localSheetId="1">#REF!</definedName>
    <definedName name="SGA_growth_avg">#REF!</definedName>
    <definedName name="SGA_growth_fore" localSheetId="1">#REF!</definedName>
    <definedName name="SGA_growth_fore">#REF!</definedName>
    <definedName name="SGA_margin" localSheetId="1">#REF!</definedName>
    <definedName name="SGA_margin">#REF!</definedName>
    <definedName name="SGA_margin_fore" localSheetId="1">#REF!</definedName>
    <definedName name="SGA_margin_fore">#REF!</definedName>
    <definedName name="Share_Price" localSheetId="1">#REF!</definedName>
    <definedName name="Share_Price">#REF!</definedName>
    <definedName name="Shareholder_value" localSheetId="1">#REF!</definedName>
    <definedName name="Shareholder_value">#REF!</definedName>
    <definedName name="Shareholder_Value_EVA" localSheetId="1">#REF!</definedName>
    <definedName name="Shareholder_Value_EVA">#REF!</definedName>
    <definedName name="Shareholders_equity" localSheetId="1">#REF!</definedName>
    <definedName name="Shareholders_equity">#REF!</definedName>
    <definedName name="Shares" localSheetId="1">#REF!</definedName>
    <definedName name="Shares">#REF!</definedName>
    <definedName name="Shares_DCF" localSheetId="1">#REF!</definedName>
    <definedName name="Shares_DCF">#REF!</definedName>
    <definedName name="Shares_fore" localSheetId="1">#REF!</definedName>
    <definedName name="Shares_fore">#REF!</definedName>
    <definedName name="Shares_growth" localSheetId="1">#REF!</definedName>
    <definedName name="Shares_growth">#REF!</definedName>
    <definedName name="Shares_growth_fore" localSheetId="1">#REF!</definedName>
    <definedName name="Shares_growth_fore">#REF!</definedName>
    <definedName name="Shares_repurchase_liability" localSheetId="1">#REF!</definedName>
    <definedName name="Shares_repurchase_liability">#REF!</definedName>
    <definedName name="SII" localSheetId="1">#REF!</definedName>
    <definedName name="SII">#REF!</definedName>
    <definedName name="SLB" localSheetId="1">#REF!</definedName>
    <definedName name="SLB">#REF!</definedName>
    <definedName name="solver_adj" localSheetId="1" hidden="1">#REF!</definedName>
    <definedName name="solver_adj" hidden="1">#REF!</definedName>
    <definedName name="solver_cvg" hidden="1">0.0001</definedName>
    <definedName name="solver_drv" hidden="1">1</definedName>
    <definedName name="solver_est" hidden="1">1</definedName>
    <definedName name="solver_itr" hidden="1">100</definedName>
    <definedName name="solver_lhs1" localSheetId="1" hidden="1">#REF!</definedName>
    <definedName name="solver_lhs1" hidden="1">#REF!</definedName>
    <definedName name="solver_lhs10" localSheetId="1" hidden="1">#REF!</definedName>
    <definedName name="solver_lhs10" hidden="1">#REF!</definedName>
    <definedName name="solver_lhs11" localSheetId="1" hidden="1">#REF!</definedName>
    <definedName name="solver_lhs11" hidden="1">#REF!</definedName>
    <definedName name="solver_lhs2" localSheetId="1" hidden="1">#REF!</definedName>
    <definedName name="solver_lhs2" hidden="1">#REF!</definedName>
    <definedName name="solver_lhs3" localSheetId="1" hidden="1">#REF!</definedName>
    <definedName name="solver_lhs3" hidden="1">#REF!</definedName>
    <definedName name="solver_lhs4" localSheetId="1" hidden="1">#REF!</definedName>
    <definedName name="solver_lhs4" hidden="1">#REF!</definedName>
    <definedName name="solver_lhs5" localSheetId="1" hidden="1">#REF!</definedName>
    <definedName name="solver_lhs5" hidden="1">#REF!</definedName>
    <definedName name="solver_lhs6" localSheetId="1" hidden="1">#REF!</definedName>
    <definedName name="solver_lhs6" hidden="1">#REF!</definedName>
    <definedName name="solver_lhs7" localSheetId="1" hidden="1">#REF!</definedName>
    <definedName name="solver_lhs7" hidden="1">#REF!</definedName>
    <definedName name="solver_lhs8" localSheetId="1" hidden="1">#REF!</definedName>
    <definedName name="solver_lhs8" hidden="1">#REF!</definedName>
    <definedName name="solver_lhs9" localSheetId="1" hidden="1">#REF!</definedName>
    <definedName name="solver_lhs9" hidden="1">#REF!</definedName>
    <definedName name="solver_lin" hidden="1">2</definedName>
    <definedName name="solver_neg" hidden="1">2</definedName>
    <definedName name="solver_num" hidden="1">1</definedName>
    <definedName name="solver_nwt" hidden="1">1</definedName>
    <definedName name="solver_opt" localSheetId="1" hidden="1">#REF!</definedName>
    <definedName name="solver_opt" hidden="1">#REF!</definedName>
    <definedName name="solver_pre" hidden="1">0.000001</definedName>
    <definedName name="solver_rel1" hidden="1">2</definedName>
    <definedName name="solver_rel10" hidden="1">1</definedName>
    <definedName name="solver_rel11" hidden="1">3</definedName>
    <definedName name="solver_rel2" hidden="1">2</definedName>
    <definedName name="solver_rel3" hidden="1">2</definedName>
    <definedName name="solver_rel4" hidden="1">2</definedName>
    <definedName name="solver_rel5" hidden="1">1</definedName>
    <definedName name="solver_rel6" hidden="1">3</definedName>
    <definedName name="solver_rel7" hidden="1">2</definedName>
    <definedName name="solver_rel8" hidden="1">1</definedName>
    <definedName name="solver_rel9" hidden="1">3</definedName>
    <definedName name="solver_rhs1" localSheetId="1" hidden="1">#REF!</definedName>
    <definedName name="solver_rhs1" hidden="1">#REF!</definedName>
    <definedName name="solver_rhs10" localSheetId="1" hidden="1">#REF!</definedName>
    <definedName name="solver_rhs10" hidden="1">#REF!</definedName>
    <definedName name="solver_rhs11" localSheetId="1" hidden="1">#REF!</definedName>
    <definedName name="solver_rhs11" hidden="1">#REF!</definedName>
    <definedName name="solver_rhs2" localSheetId="1" hidden="1">#REF!</definedName>
    <definedName name="solver_rhs2" hidden="1">#REF!</definedName>
    <definedName name="solver_rhs3" localSheetId="1" hidden="1">#REF!</definedName>
    <definedName name="solver_rhs3" hidden="1">#REF!</definedName>
    <definedName name="solver_rhs4" localSheetId="1" hidden="1">#REF!</definedName>
    <definedName name="solver_rhs4" hidden="1">#REF!</definedName>
    <definedName name="solver_rhs5" localSheetId="1" hidden="1">#REF!</definedName>
    <definedName name="solver_rhs5" hidden="1">#REF!</definedName>
    <definedName name="solver_rhs6" localSheetId="1" hidden="1">#REF!</definedName>
    <definedName name="solver_rhs6" hidden="1">#REF!</definedName>
    <definedName name="solver_rhs7" localSheetId="1" hidden="1">#REF!</definedName>
    <definedName name="solver_rhs7" hidden="1">#REF!</definedName>
    <definedName name="solver_rhs8" localSheetId="1" hidden="1">#REF!</definedName>
    <definedName name="solver_rhs8" hidden="1">#REF!</definedName>
    <definedName name="solver_rhs9" localSheetId="1" hidden="1">#REF!</definedName>
    <definedName name="solver_rhs9" hidden="1">#REF!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1053</definedName>
    <definedName name="SourceFolder" localSheetId="1">#REF!</definedName>
    <definedName name="SourceFolder">#REF!</definedName>
    <definedName name="Spread_on_debt" localSheetId="1">#REF!</definedName>
    <definedName name="Spread_on_debt">#REF!</definedName>
    <definedName name="sssssss" localSheetId="1" hidden="1">{"PR1","pr1",TRUE,"Sch PR-1"}</definedName>
    <definedName name="sssssss" hidden="1">{"PR1","pr1",TRUE,"Sch PR-1"}</definedName>
    <definedName name="ST_debt" localSheetId="1">#REF!</definedName>
    <definedName name="ST_debt">#REF!</definedName>
    <definedName name="ST_debt_growth_fore" localSheetId="1">#REF!</definedName>
    <definedName name="ST_debt_growth_fore">#REF!</definedName>
    <definedName name="Staightline_charge" localSheetId="1">#REF!</definedName>
    <definedName name="Staightline_charge">#REF!</definedName>
    <definedName name="Stock_price" localSheetId="1">#REF!</definedName>
    <definedName name="Stock_price">#REF!</definedName>
    <definedName name="Stock_price_close" localSheetId="1">#REF!</definedName>
    <definedName name="Stock_price_close">#REF!</definedName>
    <definedName name="Stock_price_high" localSheetId="1">#REF!</definedName>
    <definedName name="Stock_price_high">#REF!</definedName>
    <definedName name="Stock_price_low" localSheetId="1">#REF!</definedName>
    <definedName name="Stock_price_low">#REF!</definedName>
    <definedName name="Summary_1" localSheetId="1">#REF!</definedName>
    <definedName name="Summary_1">#REF!</definedName>
    <definedName name="Summary_1991" localSheetId="1">#REF!</definedName>
    <definedName name="Summary_1991">#REF!</definedName>
    <definedName name="Summary_1992" localSheetId="1">#REF!</definedName>
    <definedName name="Summary_1992">#REF!</definedName>
    <definedName name="Summary_1993" localSheetId="1">#REF!</definedName>
    <definedName name="Summary_1993">#REF!</definedName>
    <definedName name="Summary_1994" localSheetId="1">#REF!</definedName>
    <definedName name="Summary_1994">#REF!</definedName>
    <definedName name="Summary_1995" localSheetId="1">#REF!</definedName>
    <definedName name="Summary_1995">#REF!</definedName>
    <definedName name="Summary_1996" localSheetId="1">#REF!</definedName>
    <definedName name="Summary_1996">#REF!</definedName>
    <definedName name="Summary_1997" localSheetId="1">#REF!</definedName>
    <definedName name="Summary_1997">#REF!</definedName>
    <definedName name="Summary_2" localSheetId="1">#REF!</definedName>
    <definedName name="Summary_2">#REF!</definedName>
    <definedName name="Summary_3" localSheetId="1">#REF!</definedName>
    <definedName name="Summary_3">#REF!</definedName>
    <definedName name="Summary_4" localSheetId="1">#REF!</definedName>
    <definedName name="Summary_4">#REF!</definedName>
    <definedName name="Summary_Date" localSheetId="1">#REF!</definedName>
    <definedName name="Summary_Date">#REF!</definedName>
    <definedName name="Summary_EY1" localSheetId="1">#REF!</definedName>
    <definedName name="Summary_EY1">#REF!</definedName>
    <definedName name="Summary_EY2" localSheetId="1">#REF!</definedName>
    <definedName name="Summary_EY2">#REF!</definedName>
    <definedName name="Summary_P" localSheetId="1">#REF!</definedName>
    <definedName name="Summary_P">#REF!</definedName>
    <definedName name="Target">#REF!</definedName>
    <definedName name="Target_debt_to_capital" localSheetId="1">#REF!</definedName>
    <definedName name="Target_debt_to_capital">#REF!</definedName>
    <definedName name="Tax_benefit_from_interest" localSheetId="1">#REF!</definedName>
    <definedName name="Tax_benefit_from_interest">#REF!</definedName>
    <definedName name="Tax_benefit_from_oper_leases" localSheetId="1">#REF!</definedName>
    <definedName name="Tax_benefit_from_oper_leases">#REF!</definedName>
    <definedName name="Tax_benefit_from_ops_leases" localSheetId="1">#REF!</definedName>
    <definedName name="Tax_benefit_from_ops_leases">#REF!</definedName>
    <definedName name="Tax_rate_for_WACC" localSheetId="1">#REF!</definedName>
    <definedName name="Tax_rate_for_WACC">#REF!</definedName>
    <definedName name="Tax_Shield_Tax_Rate" localSheetId="1">#REF!</definedName>
    <definedName name="Tax_Shield_Tax_Rate">#REF!</definedName>
    <definedName name="taxtar" localSheetId="1">#REF!</definedName>
    <definedName name="taxtar">#REF!</definedName>
    <definedName name="taxtar2" localSheetId="1">#REF!</definedName>
    <definedName name="taxtar2">#REF!</definedName>
    <definedName name="TECH_Theoretical" localSheetId="1">#REF!</definedName>
    <definedName name="TECH_Theoretical">#REF!</definedName>
    <definedName name="Ticker" localSheetId="1">#REF!</definedName>
    <definedName name="Ticker">#REF!</definedName>
    <definedName name="Tigr_Exhibit0db6b789_2997_4d41_831b_f4e97361700d" localSheetId="1" hidden="1">#REF!</definedName>
    <definedName name="Tigr_Exhibit0db6b789_2997_4d41_831b_f4e97361700d" hidden="1">#REF!</definedName>
    <definedName name="Tigr_Exhibit4d6ecd49_4aa9_49ca_8a37_5abd2dc19e2f" localSheetId="1" hidden="1">#REF!</definedName>
    <definedName name="Tigr_Exhibit4d6ecd49_4aa9_49ca_8a37_5abd2dc19e2f" hidden="1">#REF!</definedName>
    <definedName name="Tigr_Exhibit8e8f182e_a8c2_4624_a28f_879dd80be0fc" localSheetId="1" hidden="1">#REF!</definedName>
    <definedName name="Tigr_Exhibit8e8f182e_a8c2_4624_a28f_879dd80be0fc" hidden="1">#REF!</definedName>
    <definedName name="Tigr_Exhibitb3613579_dfe3_458b_adeb_d40774d53dd4" localSheetId="1" hidden="1">#REF!</definedName>
    <definedName name="Tigr_Exhibitb3613579_dfe3_458b_adeb_d40774d53dd4" hidden="1">#REF!</definedName>
    <definedName name="Tigr_Exhibitbd9059e8_315a_4240_91d4_f350a136c61b" localSheetId="1" hidden="1">#REF!</definedName>
    <definedName name="Tigr_Exhibitbd9059e8_315a_4240_91d4_f350a136c61b" hidden="1">#REF!</definedName>
    <definedName name="Tigr_Exhibitd8c38d3f_eeb8_4bf9_be54_f0c2f9e2dc38" localSheetId="1" hidden="1">#REF!</definedName>
    <definedName name="Tigr_Exhibitd8c38d3f_eeb8_4bf9_be54_f0c2f9e2dc38" hidden="1">#REF!</definedName>
    <definedName name="Tigr_Exhibitda6a43c4_0787_4dc2_95cb_cd31df0ca4a6" localSheetId="1" hidden="1">#REF!</definedName>
    <definedName name="Tigr_Exhibitda6a43c4_0787_4dc2_95cb_cd31df0ca4a6" hidden="1">#REF!</definedName>
    <definedName name="Tigr_Exhibitdbf5f840_83e6_46b9_8d04_0d08b2ecc9d1" localSheetId="1" hidden="1">#REF!</definedName>
    <definedName name="Tigr_Exhibitdbf5f840_83e6_46b9_8d04_0d08b2ecc9d1" hidden="1">#REF!</definedName>
    <definedName name="Tigr_Exhibite9ef4635_f19e_4475_bd77_e7cbce69a310" localSheetId="1" hidden="1">#REF!</definedName>
    <definedName name="Tigr_Exhibite9ef4635_f19e_4475_bd77_e7cbce69a310" hidden="1">#REF!</definedName>
    <definedName name="top" localSheetId="1">#REF!</definedName>
    <definedName name="top">#REF!</definedName>
    <definedName name="Total_amort_fore" localSheetId="1">#REF!</definedName>
    <definedName name="Total_amort_fore">#REF!</definedName>
    <definedName name="Total_Amortization" localSheetId="1">#REF!</definedName>
    <definedName name="Total_Amortization">#REF!</definedName>
    <definedName name="Total_Amortization_fore" localSheetId="1">#REF!</definedName>
    <definedName name="Total_Amortization_fore">#REF!</definedName>
    <definedName name="Total_COS" localSheetId="1">#REF!</definedName>
    <definedName name="Total_COS">#REF!</definedName>
    <definedName name="Total_COS_fore" localSheetId="1">#REF!</definedName>
    <definedName name="Total_COS_fore">#REF!</definedName>
    <definedName name="Total_COS_growth_fore" localSheetId="1">#REF!</definedName>
    <definedName name="Total_COS_growth_fore">#REF!</definedName>
    <definedName name="Total_COS_net_DnA" localSheetId="1">#REF!</definedName>
    <definedName name="Total_COS_net_DnA">#REF!</definedName>
    <definedName name="Total_COS_net_DnA_fore" localSheetId="1">#REF!</definedName>
    <definedName name="Total_COS_net_DnA_fore">#REF!</definedName>
    <definedName name="Total_debt" localSheetId="1">#REF!</definedName>
    <definedName name="Total_debt">#REF!</definedName>
    <definedName name="Total_debt_DCF" localSheetId="1">#REF!</definedName>
    <definedName name="Total_debt_DCF">#REF!</definedName>
    <definedName name="Total_debt_fore" localSheetId="1">#REF!</definedName>
    <definedName name="Total_debt_fore">#REF!</definedName>
    <definedName name="Total_debt_growth_fore" localSheetId="1">#REF!</definedName>
    <definedName name="Total_debt_growth_fore">#REF!</definedName>
    <definedName name="Total_increase_in_EEs" localSheetId="1">#REF!</definedName>
    <definedName name="Total_increase_in_EEs">#REF!</definedName>
    <definedName name="Total_Increase_in_EEs_fore" localSheetId="1">#REF!</definedName>
    <definedName name="Total_Increase_in_EEs_fore">#REF!</definedName>
    <definedName name="Total_other_assets" localSheetId="1">#REF!</definedName>
    <definedName name="Total_other_assets">#REF!</definedName>
    <definedName name="Total_Sales" localSheetId="1">#REF!</definedName>
    <definedName name="Total_Sales">#REF!</definedName>
    <definedName name="trans">#N/A</definedName>
    <definedName name="transx">#N/A</definedName>
    <definedName name="Troponin" localSheetId="1">#REF!</definedName>
    <definedName name="Troponin">#REF!</definedName>
    <definedName name="Ulcer_Market" localSheetId="1">#REF!</definedName>
    <definedName name="Ulcer_Market">#REF!</definedName>
    <definedName name="US_EP_Depr_2003" localSheetId="1">#REF!</definedName>
    <definedName name="US_EP_Depr_2003">#REF!</definedName>
    <definedName name="US_EP_Depr_2004" localSheetId="1">#REF!</definedName>
    <definedName name="US_EP_Depr_2004">#REF!</definedName>
    <definedName name="US_EP_NI_2004" localSheetId="1">#REF!</definedName>
    <definedName name="US_EP_NI_2004">#REF!</definedName>
    <definedName name="USGasProd_2004" localSheetId="1">#REF!</definedName>
    <definedName name="USGasProd_2004">#REF!</definedName>
    <definedName name="USOilProd_2004" localSheetId="1">#REF!</definedName>
    <definedName name="USOilProd_2004">#REF!</definedName>
    <definedName name="USOtherCosts_2004" localSheetId="1">#REF!</definedName>
    <definedName name="USOtherCosts_2004">#REF!</definedName>
    <definedName name="USProd_2004" localSheetId="1">#REF!</definedName>
    <definedName name="USProd_2004">#REF!</definedName>
    <definedName name="USProdCosts_2004" localSheetId="1">#REF!</definedName>
    <definedName name="USProdCosts_2004">#REF!</definedName>
    <definedName name="Valuation_model" localSheetId="1">#REF!</definedName>
    <definedName name="Valuation_model">#REF!</definedName>
    <definedName name="Valuation_summary" localSheetId="1">#REF!</definedName>
    <definedName name="Valuation_summary">#REF!</definedName>
    <definedName name="Value_of_Equity" localSheetId="1">#REF!</definedName>
    <definedName name="Value_of_Equity">#REF!</definedName>
    <definedName name="Value_of_Firm" localSheetId="1">#REF!</definedName>
    <definedName name="Value_of_Firm">#REF!</definedName>
    <definedName name="Value_of_Unconsol._Subs" localSheetId="1">#REF!</definedName>
    <definedName name="Value_of_Unconsol._Subs">#REF!</definedName>
    <definedName name="Value_per_share" localSheetId="1">#REF!</definedName>
    <definedName name="Value_per_share">#REF!</definedName>
    <definedName name="Valuepage" localSheetId="1">#REF!</definedName>
    <definedName name="Valuepage">#REF!</definedName>
    <definedName name="votes_print" localSheetId="1">#REF!</definedName>
    <definedName name="votes_print">#REF!</definedName>
    <definedName name="VRC" localSheetId="1">#REF!</definedName>
    <definedName name="VRC">#REF!</definedName>
    <definedName name="VVV">#REF!</definedName>
    <definedName name="WACC_1" localSheetId="1">#REF!</definedName>
    <definedName name="WACC_1">#REF!</definedName>
    <definedName name="WACC_10" localSheetId="1">#REF!</definedName>
    <definedName name="WACC_10">#REF!</definedName>
    <definedName name="WACC_11" localSheetId="1">#REF!</definedName>
    <definedName name="WACC_11">#REF!</definedName>
    <definedName name="WACC_12" localSheetId="1">#REF!</definedName>
    <definedName name="WACC_12">#REF!</definedName>
    <definedName name="WACC_13" localSheetId="1">#REF!</definedName>
    <definedName name="WACC_13">#REF!</definedName>
    <definedName name="WACC_14" localSheetId="1">#REF!</definedName>
    <definedName name="WACC_14">#REF!</definedName>
    <definedName name="WACC_2" localSheetId="1">#REF!</definedName>
    <definedName name="WACC_2">#REF!</definedName>
    <definedName name="WACC_3" localSheetId="1">#REF!</definedName>
    <definedName name="WACC_3">#REF!</definedName>
    <definedName name="WACC_4" localSheetId="1">#REF!</definedName>
    <definedName name="WACC_4">#REF!</definedName>
    <definedName name="WACC_5" localSheetId="1">#REF!</definedName>
    <definedName name="WACC_5">#REF!</definedName>
    <definedName name="WACC_6" localSheetId="1">#REF!</definedName>
    <definedName name="WACC_6">#REF!</definedName>
    <definedName name="WACC_7" localSheetId="1">#REF!</definedName>
    <definedName name="WACC_7">#REF!</definedName>
    <definedName name="WACC_8" localSheetId="1">#REF!</definedName>
    <definedName name="WACC_8">#REF!</definedName>
    <definedName name="WACC_9" localSheetId="1">#REF!</definedName>
    <definedName name="WACC_9">#REF!</definedName>
    <definedName name="WACC_fore" localSheetId="1">#REF!</definedName>
    <definedName name="WACC_fore">#REF!</definedName>
    <definedName name="WACC_P" localSheetId="1">#REF!</definedName>
    <definedName name="WACC_P">#REF!</definedName>
    <definedName name="WACC_P_1" localSheetId="1">#REF!</definedName>
    <definedName name="WACC_P_1">#REF!</definedName>
    <definedName name="WACC_P_10" localSheetId="1">#REF!</definedName>
    <definedName name="WACC_P_10">#REF!</definedName>
    <definedName name="WACC_P_11" localSheetId="1">#REF!</definedName>
    <definedName name="WACC_P_11">#REF!</definedName>
    <definedName name="WACC_P_12" localSheetId="1">#REF!</definedName>
    <definedName name="WACC_P_12">#REF!</definedName>
    <definedName name="WACC_P_13" localSheetId="1">#REF!</definedName>
    <definedName name="WACC_P_13">#REF!</definedName>
    <definedName name="WACC_P_14" localSheetId="1">#REF!</definedName>
    <definedName name="WACC_P_14">#REF!</definedName>
    <definedName name="WACC_P_2" localSheetId="1">#REF!</definedName>
    <definedName name="WACC_P_2">#REF!</definedName>
    <definedName name="WACC_P_3" localSheetId="1">#REF!</definedName>
    <definedName name="WACC_P_3">#REF!</definedName>
    <definedName name="WACC_P_4" localSheetId="1">#REF!</definedName>
    <definedName name="WACC_P_4">#REF!</definedName>
    <definedName name="WACC_P_5" localSheetId="1">#REF!</definedName>
    <definedName name="WACC_P_5">#REF!</definedName>
    <definedName name="WACC_P_6" localSheetId="1">#REF!</definedName>
    <definedName name="WACC_P_6">#REF!</definedName>
    <definedName name="WACC_P_7" localSheetId="1">#REF!</definedName>
    <definedName name="WACC_P_7">#REF!</definedName>
    <definedName name="WACC_P_8" localSheetId="1">#REF!</definedName>
    <definedName name="WACC_P_8">#REF!</definedName>
    <definedName name="WACC_P_9" localSheetId="1">#REF!</definedName>
    <definedName name="WACC_P_9">#REF!</definedName>
    <definedName name="Warfarin" localSheetId="1">#REF!</definedName>
    <definedName name="Warfarin">#REF!</definedName>
    <definedName name="workcap" localSheetId="1">#REF!</definedName>
    <definedName name="workcap">#REF!</definedName>
    <definedName name="WORLDWIDE" localSheetId="1">#REF!</definedName>
    <definedName name="WORLDWIDE">#REF!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Internal._.Print." hidden="1">{"Page 1",#N/A,FALSE,"Q-Breakdown";"Page 2",#N/A,FALSE,"Q-Breakdown"}</definedName>
    <definedName name="wrn.OVERVIEW." hidden="1">{"Drivers",#N/A,TRUE,"Drivers";"Financials",#N/A,TRUE,"Financials";"ASSET COVG",#N/A,TRUE,"SUMMARY OUTPUT";"RBS Income",#N/A,TRUE,"Calcs";"Calcs",#N/A,TRUE,"Calcs";"Frio Type",#N/A,TRUE,"Frio";"Yegua Type",#N/A,TRUE,"Yegua";"Wilcox Type",#N/A,TRUE,"Wilcox";"Hedges",#N/A,TRUE,"Hedges"}</definedName>
    <definedName name="wrn.Report_PR_1." localSheetId="1" hidden="1">{"PR1","pr1",TRUE,"Sch PR-1"}</definedName>
    <definedName name="wrn.Report_PR_1." hidden="1">{"PR1","pr1",TRUE,"Sch PR-1"}</definedName>
    <definedName name="wrn.Xternal._.Print." hidden="1">{"Client Page",#N/A,FALSE,"Q-Breakdown"}</definedName>
    <definedName name="WTI_2004Q3" localSheetId="1">#REF!</definedName>
    <definedName name="WTI_2004Q3">#REF!</definedName>
    <definedName name="WTI_2004Q4" localSheetId="1">#REF!</definedName>
    <definedName name="WTI_2004Q4">#REF!</definedName>
    <definedName name="WW_EP_Depr_2004" localSheetId="1">#REF!</definedName>
    <definedName name="WW_EP_Depr_2004">#REF!</definedName>
    <definedName name="WW_EP_NI_2004" localSheetId="1">#REF!</definedName>
    <definedName name="WW_EP_NI_2004">#REF!</definedName>
    <definedName name="WW_EP_ROCC_1998" localSheetId="1">#REF!</definedName>
    <definedName name="WW_EP_ROCC_1998">#REF!</definedName>
    <definedName name="WW_EP_ROCC_1999" localSheetId="1">#REF!</definedName>
    <definedName name="WW_EP_ROCC_1999">#REF!</definedName>
    <definedName name="WW_EP_ROCC_2000" localSheetId="1">#REF!</definedName>
    <definedName name="WW_EP_ROCC_2000">#REF!</definedName>
    <definedName name="WW_EP_ROCC_2001" localSheetId="1">#REF!</definedName>
    <definedName name="WW_EP_ROCC_2001">#REF!</definedName>
    <definedName name="WW_EP_ROCC_2002" localSheetId="1">#REF!</definedName>
    <definedName name="WW_EP_ROCC_2002">#REF!</definedName>
    <definedName name="WW_EP_ROCC_2003" localSheetId="1">#REF!</definedName>
    <definedName name="WW_EP_ROCC_2003">#REF!</definedName>
    <definedName name="WW_EP_ROCC_2004" localSheetId="1">#REF!</definedName>
    <definedName name="WW_EP_ROCC_2004">#REF!</definedName>
    <definedName name="WW_EP_ROCC_2005" localSheetId="1">#REF!</definedName>
    <definedName name="WW_EP_ROCC_2005">#REF!</definedName>
    <definedName name="WW_EP_ROCC_2006" localSheetId="1">#REF!</definedName>
    <definedName name="WW_EP_ROCC_2006">#REF!</definedName>
    <definedName name="WWGasProd_2004" localSheetId="1">#REF!</definedName>
    <definedName name="WWGasProd_2004">#REF!</definedName>
    <definedName name="WWOilProd_2004" localSheetId="1">#REF!</definedName>
    <definedName name="WWOilProd_2004">#REF!</definedName>
    <definedName name="WWOtherCosts_2004" localSheetId="1">#REF!</definedName>
    <definedName name="WWOtherCosts_2004">#REF!</definedName>
    <definedName name="WWProd_2004" localSheetId="1">#REF!</definedName>
    <definedName name="WWProd_2004">#REF!</definedName>
    <definedName name="WWProdCosts_2004" localSheetId="1">#REF!</definedName>
    <definedName name="WWProdCosts_2004">#REF!</definedName>
    <definedName name="XOM_CAPEX" localSheetId="1">#REF!</definedName>
    <definedName name="XOM_CAPEX">#REF!</definedName>
    <definedName name="XOM_CAPEX_Chems" localSheetId="1">#REF!</definedName>
    <definedName name="XOM_CAPEX_Chems">#REF!</definedName>
    <definedName name="XOM_CAPEX_EP" localSheetId="1">#REF!</definedName>
    <definedName name="XOM_CAPEX_EP">#REF!</definedName>
    <definedName name="XOM_CAPEX_Other" localSheetId="1">#REF!</definedName>
    <definedName name="XOM_CAPEX_Other">#REF!</definedName>
    <definedName name="XOM_CAPEX_RM" localSheetId="1">#REF!</definedName>
    <definedName name="XOM_CAPEX_RM">#REF!</definedName>
    <definedName name="Year" localSheetId="1">#REF!</definedName>
    <definedName name="Year">#REF!</definedName>
    <definedName name="Years_in_full_stream" localSheetId="1">#REF!</definedName>
    <definedName name="Years_in_full_stream">#REF!</definedName>
    <definedName name="Years_into_future" localSheetId="1">#REF!</definedName>
    <definedName name="Years_into_futur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2" i="2" l="1"/>
  <c r="AT2" i="2"/>
  <c r="AV70" i="4" l="1"/>
  <c r="AW70" i="4" s="1"/>
  <c r="AX70" i="4" s="1"/>
  <c r="AX74" i="4"/>
  <c r="AW74" i="4"/>
  <c r="AV60" i="2"/>
  <c r="AW60" i="2"/>
  <c r="AO88" i="2" l="1"/>
  <c r="AU88" i="2"/>
  <c r="AT88" i="2"/>
  <c r="AT86" i="2"/>
  <c r="AT87" i="2"/>
  <c r="AT85" i="2"/>
  <c r="AT84" i="2"/>
  <c r="AR8" i="7"/>
  <c r="AZ252" i="3" l="1"/>
  <c r="AX252" i="3"/>
  <c r="AW252" i="3"/>
  <c r="AX60" i="2" l="1"/>
  <c r="AU60" i="2"/>
  <c r="AV160" i="3"/>
  <c r="AX160" i="3" s="1"/>
  <c r="AW160" i="3"/>
  <c r="AU160" i="3"/>
  <c r="AU252" i="3"/>
  <c r="AV252" i="3" s="1"/>
  <c r="AW50" i="5"/>
  <c r="AX50" i="5"/>
  <c r="AV50" i="5"/>
  <c r="AU50" i="5"/>
  <c r="AS44" i="5"/>
  <c r="AS41" i="5"/>
  <c r="AS39" i="5"/>
  <c r="AS38" i="5"/>
  <c r="AS40" i="5"/>
  <c r="AS35" i="5"/>
  <c r="AS37" i="5"/>
  <c r="AS36" i="5"/>
  <c r="AS32" i="5"/>
  <c r="AS30" i="5"/>
  <c r="AS28" i="5"/>
  <c r="AS27" i="5"/>
  <c r="AS29" i="5"/>
  <c r="AS31" i="5"/>
  <c r="AS22" i="5"/>
  <c r="AS23" i="5"/>
  <c r="AS21" i="5"/>
  <c r="AS20" i="5"/>
  <c r="AS19" i="5"/>
  <c r="AS15" i="5"/>
  <c r="AS14" i="5"/>
  <c r="AS12" i="5"/>
  <c r="AS11" i="5"/>
  <c r="AS10" i="5"/>
  <c r="AS16" i="5"/>
  <c r="AS13" i="5"/>
  <c r="AS9" i="5"/>
  <c r="AT69" i="8"/>
  <c r="AS69" i="8"/>
  <c r="AR69" i="8"/>
  <c r="AQ69" i="8"/>
  <c r="AP69" i="8"/>
  <c r="AS65" i="8"/>
  <c r="AS57" i="8"/>
  <c r="AT57" i="8" s="1"/>
  <c r="AS58" i="8"/>
  <c r="AS50" i="8"/>
  <c r="AS41" i="8"/>
  <c r="AS39" i="8"/>
  <c r="AS35" i="8"/>
  <c r="AS13" i="8"/>
  <c r="AS33" i="8"/>
  <c r="AS8" i="8"/>
  <c r="AS7" i="8"/>
  <c r="AS9" i="8" s="1"/>
  <c r="AS59" i="4"/>
  <c r="AS50" i="4"/>
  <c r="AS53" i="4" s="1"/>
  <c r="AS46" i="4"/>
  <c r="AS37" i="4"/>
  <c r="AS35" i="4"/>
  <c r="AS34" i="4"/>
  <c r="AS30" i="4"/>
  <c r="AS26" i="4"/>
  <c r="AS21" i="4"/>
  <c r="AS19" i="4"/>
  <c r="AS18" i="4"/>
  <c r="AS12" i="4"/>
  <c r="AS9" i="4"/>
  <c r="AS13" i="4"/>
  <c r="AS88" i="2"/>
  <c r="AS62" i="2"/>
  <c r="AS63" i="2"/>
  <c r="AS64" i="2"/>
  <c r="AS65" i="2"/>
  <c r="AS66" i="2"/>
  <c r="AS70" i="2"/>
  <c r="AS71" i="2"/>
  <c r="AS72" i="2"/>
  <c r="AS60" i="2"/>
  <c r="AS51" i="2"/>
  <c r="AS50" i="2"/>
  <c r="AS49" i="2"/>
  <c r="AS48" i="2"/>
  <c r="AS45" i="2"/>
  <c r="AS39" i="2"/>
  <c r="AS40" i="2"/>
  <c r="AS37" i="2"/>
  <c r="AS36" i="2"/>
  <c r="AS29" i="2"/>
  <c r="AS31" i="2"/>
  <c r="AS20" i="2"/>
  <c r="AS21" i="2"/>
  <c r="AS24" i="2" s="1"/>
  <c r="AS17" i="2"/>
  <c r="AS16" i="2"/>
  <c r="AS11" i="2"/>
  <c r="AS299" i="3"/>
  <c r="AS298" i="3"/>
  <c r="AS297" i="3" s="1"/>
  <c r="AS270" i="3"/>
  <c r="AS192" i="3"/>
  <c r="AS191" i="3"/>
  <c r="AS186" i="3"/>
  <c r="AS179" i="3"/>
  <c r="AS160" i="3"/>
  <c r="AS147" i="3"/>
  <c r="AS139" i="3"/>
  <c r="AS119" i="3"/>
  <c r="AS112" i="3"/>
  <c r="AS72" i="3"/>
  <c r="AS49" i="3"/>
  <c r="AS46" i="3"/>
  <c r="AS33" i="3"/>
  <c r="AS27" i="3"/>
  <c r="AS24" i="3"/>
  <c r="AS19" i="3"/>
  <c r="AS16" i="3"/>
  <c r="AS13" i="3"/>
  <c r="AS10" i="3"/>
  <c r="AT8" i="7" l="1"/>
  <c r="AU26" i="8" l="1"/>
  <c r="AV26" i="8" s="1"/>
  <c r="AT26" i="8"/>
  <c r="AU25" i="8"/>
  <c r="AV25" i="8" s="1"/>
  <c r="AT25" i="8"/>
  <c r="AS27" i="8"/>
  <c r="AT27" i="8" s="1"/>
  <c r="AU27" i="8" l="1"/>
  <c r="AW25" i="8"/>
  <c r="AW26" i="8"/>
  <c r="AX26" i="8" s="1"/>
  <c r="AV27" i="8"/>
  <c r="AY26" i="8" l="1"/>
  <c r="AZ26" i="8"/>
  <c r="BA26" i="8" s="1"/>
  <c r="BB26" i="8" s="1"/>
  <c r="BC26" i="8" s="1"/>
  <c r="AW27" i="8"/>
  <c r="AX25" i="8"/>
  <c r="AX27" i="8"/>
  <c r="P22" i="2"/>
  <c r="AR200" i="3"/>
  <c r="AU139" i="3"/>
  <c r="AV139" i="3" s="1"/>
  <c r="AW139" i="3" s="1"/>
  <c r="AX139" i="3" s="1"/>
  <c r="AZ139" i="3" s="1"/>
  <c r="BA139" i="3" s="1"/>
  <c r="BB139" i="3" s="1"/>
  <c r="BC139" i="3" s="1"/>
  <c r="AZ25" i="8" l="1"/>
  <c r="AY25" i="8"/>
  <c r="AZ27" i="8"/>
  <c r="AY27" i="8"/>
  <c r="BE26" i="8"/>
  <c r="BF26" i="8" s="1"/>
  <c r="BG26" i="8" s="1"/>
  <c r="BH26" i="8" s="1"/>
  <c r="BD26" i="8"/>
  <c r="BE139" i="3"/>
  <c r="BF139" i="3" s="1"/>
  <c r="BG139" i="3" s="1"/>
  <c r="BH139" i="3" s="1"/>
  <c r="BJ139" i="3" s="1"/>
  <c r="BI26" i="8" l="1"/>
  <c r="BJ26" i="8"/>
  <c r="BK26" i="8" s="1"/>
  <c r="BL26" i="8" s="1"/>
  <c r="BM26" i="8" s="1"/>
  <c r="BA25" i="8"/>
  <c r="BA27" i="8"/>
  <c r="AZ98" i="3"/>
  <c r="AR65" i="8"/>
  <c r="AS62" i="8" s="1"/>
  <c r="AR58" i="8"/>
  <c r="AS55" i="8" s="1"/>
  <c r="AR50" i="8"/>
  <c r="AR41" i="8"/>
  <c r="AR39" i="8"/>
  <c r="AR35" i="8"/>
  <c r="AS37" i="8" s="1"/>
  <c r="AR33" i="8"/>
  <c r="AR23" i="8"/>
  <c r="AR8" i="8"/>
  <c r="AR59" i="4"/>
  <c r="AS56" i="4" s="1"/>
  <c r="AR46" i="4"/>
  <c r="AR34" i="4"/>
  <c r="AR35" i="4" s="1"/>
  <c r="AR26" i="4"/>
  <c r="AR30" i="4" s="1"/>
  <c r="AR18" i="4"/>
  <c r="AR19" i="4" s="1"/>
  <c r="AR13" i="4"/>
  <c r="AR88" i="2"/>
  <c r="AR16" i="2"/>
  <c r="AR11" i="2"/>
  <c r="AR298" i="3"/>
  <c r="AR297" i="3" s="1"/>
  <c r="AR299" i="3" s="1"/>
  <c r="AR179" i="3"/>
  <c r="AR13" i="3"/>
  <c r="AR33" i="3"/>
  <c r="AR27" i="3"/>
  <c r="AR10" i="3"/>
  <c r="BA98" i="3" l="1"/>
  <c r="BB98" i="3" s="1"/>
  <c r="BC98" i="3" s="1"/>
  <c r="BE98" i="3" s="1"/>
  <c r="BF98" i="3" s="1"/>
  <c r="BG98" i="3" s="1"/>
  <c r="BH98" i="3" s="1"/>
  <c r="BJ98" i="3" s="1"/>
  <c r="BK98" i="3" s="1"/>
  <c r="BL98" i="3" s="1"/>
  <c r="BM98" i="3" s="1"/>
  <c r="BB25" i="8"/>
  <c r="BB27" i="8"/>
  <c r="BO26" i="8"/>
  <c r="BP26" i="8" s="1"/>
  <c r="BQ26" i="8" s="1"/>
  <c r="BR26" i="8" s="1"/>
  <c r="BN26" i="8"/>
  <c r="AR43" i="8"/>
  <c r="AR21" i="4"/>
  <c r="AR17" i="2"/>
  <c r="AR21" i="2" s="1"/>
  <c r="AR71" i="2" s="1"/>
  <c r="AR37" i="4"/>
  <c r="AR50" i="4" s="1"/>
  <c r="AR60" i="2"/>
  <c r="AR19" i="3"/>
  <c r="BT26" i="8" l="1"/>
  <c r="BU26" i="8" s="1"/>
  <c r="BV26" i="8" s="1"/>
  <c r="BW26" i="8" s="1"/>
  <c r="BS26" i="8"/>
  <c r="BC25" i="8"/>
  <c r="BC27" i="8"/>
  <c r="BD27" i="8" s="1"/>
  <c r="AR24" i="2"/>
  <c r="AR37" i="2" s="1"/>
  <c r="AR53" i="4"/>
  <c r="BE27" i="8" l="1"/>
  <c r="BE25" i="8"/>
  <c r="BD25" i="8"/>
  <c r="BY26" i="8"/>
  <c r="BZ26" i="8" s="1"/>
  <c r="CA26" i="8" s="1"/>
  <c r="CB26" i="8" s="1"/>
  <c r="BX26" i="8"/>
  <c r="AR36" i="2"/>
  <c r="AR31" i="2"/>
  <c r="AR39" i="2" s="1"/>
  <c r="CC26" i="8" l="1"/>
  <c r="CD26" i="8"/>
  <c r="CE26" i="8" s="1"/>
  <c r="CF26" i="8" s="1"/>
  <c r="CG26" i="8" s="1"/>
  <c r="BF27" i="8"/>
  <c r="BF25" i="8"/>
  <c r="AR40" i="2"/>
  <c r="BG27" i="8" l="1"/>
  <c r="BG25" i="8"/>
  <c r="CI26" i="8"/>
  <c r="CJ26" i="8" s="1"/>
  <c r="CK26" i="8" s="1"/>
  <c r="CL26" i="8" s="1"/>
  <c r="CM26" i="8" s="1"/>
  <c r="CH26" i="8"/>
  <c r="AQ251" i="3"/>
  <c r="BH25" i="8" l="1"/>
  <c r="BH27" i="8"/>
  <c r="BI27" i="8" s="1"/>
  <c r="AW116" i="5"/>
  <c r="AW107" i="5"/>
  <c r="AW99" i="5"/>
  <c r="AW6" i="5"/>
  <c r="AW5" i="5"/>
  <c r="AV111" i="3"/>
  <c r="BA111" i="3" s="1"/>
  <c r="BF111" i="3" s="1"/>
  <c r="BK111" i="3" s="1"/>
  <c r="BP111" i="3" s="1"/>
  <c r="BU111" i="3" s="1"/>
  <c r="BZ111" i="3" s="1"/>
  <c r="CE111" i="3" s="1"/>
  <c r="CJ111" i="3" s="1"/>
  <c r="AU111" i="3"/>
  <c r="AZ111" i="3" s="1"/>
  <c r="BE111" i="3" s="1"/>
  <c r="BJ111" i="3" s="1"/>
  <c r="BO111" i="3" s="1"/>
  <c r="BT111" i="3" s="1"/>
  <c r="BY111" i="3" s="1"/>
  <c r="CD111" i="3" s="1"/>
  <c r="CI111" i="3" s="1"/>
  <c r="AX111" i="3"/>
  <c r="BC111" i="3" s="1"/>
  <c r="BH111" i="3" s="1"/>
  <c r="BM111" i="3" s="1"/>
  <c r="BR111" i="3" s="1"/>
  <c r="BW111" i="3" s="1"/>
  <c r="CB111" i="3" s="1"/>
  <c r="CG111" i="3" s="1"/>
  <c r="CL111" i="3" s="1"/>
  <c r="BJ25" i="8" l="1"/>
  <c r="BI25" i="8"/>
  <c r="BJ27" i="8"/>
  <c r="AW118" i="5"/>
  <c r="AW120" i="5" s="1"/>
  <c r="AQ10" i="2"/>
  <c r="AP10" i="2"/>
  <c r="BC30" i="8"/>
  <c r="BE30" i="8" s="1"/>
  <c r="BC29" i="8"/>
  <c r="BE29" i="8" s="1"/>
  <c r="BF29" i="8" s="1"/>
  <c r="BK25" i="8" l="1"/>
  <c r="BK27" i="8"/>
  <c r="BD29" i="8"/>
  <c r="BF30" i="8"/>
  <c r="BG30" i="8" s="1"/>
  <c r="BH30" i="8" s="1"/>
  <c r="BI30" i="8" s="1"/>
  <c r="BE31" i="8"/>
  <c r="BD30" i="8"/>
  <c r="BC31" i="8"/>
  <c r="BD31" i="8" s="1"/>
  <c r="BG29" i="8"/>
  <c r="BL27" i="8" l="1"/>
  <c r="BL25" i="8"/>
  <c r="BF31" i="8"/>
  <c r="BG31" i="8"/>
  <c r="BJ30" i="8"/>
  <c r="BK30" i="8" s="1"/>
  <c r="BL30" i="8" s="1"/>
  <c r="BM30" i="8" s="1"/>
  <c r="BN30" i="8" s="1"/>
  <c r="BH29" i="8"/>
  <c r="BH31" i="8"/>
  <c r="BM27" i="8" l="1"/>
  <c r="BN27" i="8" s="1"/>
  <c r="BM25" i="8"/>
  <c r="BI31" i="8"/>
  <c r="BO30" i="8"/>
  <c r="BP30" i="8" s="1"/>
  <c r="BQ30" i="8" s="1"/>
  <c r="BR30" i="8" s="1"/>
  <c r="BT30" i="8" s="1"/>
  <c r="BU30" i="8" s="1"/>
  <c r="BV30" i="8" s="1"/>
  <c r="BW30" i="8" s="1"/>
  <c r="BJ29" i="8"/>
  <c r="BI29" i="8"/>
  <c r="BJ31" i="8"/>
  <c r="BN25" i="8" l="1"/>
  <c r="BO27" i="8"/>
  <c r="BO25" i="8"/>
  <c r="BS30" i="8"/>
  <c r="BY30" i="8"/>
  <c r="BZ30" i="8" s="1"/>
  <c r="CA30" i="8" s="1"/>
  <c r="CB30" i="8" s="1"/>
  <c r="BX30" i="8"/>
  <c r="BK29" i="8"/>
  <c r="BK31" i="8"/>
  <c r="BP25" i="8" l="1"/>
  <c r="BP27" i="8"/>
  <c r="BL29" i="8"/>
  <c r="BL31" i="8"/>
  <c r="CD30" i="8"/>
  <c r="CE30" i="8" s="1"/>
  <c r="CF30" i="8" s="1"/>
  <c r="CG30" i="8" s="1"/>
  <c r="CC30" i="8"/>
  <c r="BQ25" i="8" l="1"/>
  <c r="BQ27" i="8"/>
  <c r="BM29" i="8"/>
  <c r="BM31" i="8"/>
  <c r="BN31" i="8" s="1"/>
  <c r="CI30" i="8"/>
  <c r="CJ30" i="8" s="1"/>
  <c r="CK30" i="8" s="1"/>
  <c r="CL30" i="8" s="1"/>
  <c r="CM30" i="8" s="1"/>
  <c r="CH30" i="8"/>
  <c r="BR25" i="8" l="1"/>
  <c r="BT25" i="8" s="1"/>
  <c r="BR27" i="8"/>
  <c r="BS27" i="8" s="1"/>
  <c r="BO31" i="8"/>
  <c r="BO29" i="8"/>
  <c r="BN29" i="8"/>
  <c r="BS25" i="8" l="1"/>
  <c r="BT27" i="8"/>
  <c r="BP31" i="8"/>
  <c r="BP29" i="8"/>
  <c r="BU25" i="8" l="1"/>
  <c r="BU27" i="8"/>
  <c r="BQ31" i="8"/>
  <c r="BQ29" i="8"/>
  <c r="BV27" i="8" l="1"/>
  <c r="BV25" i="8"/>
  <c r="BR29" i="8"/>
  <c r="BR31" i="8"/>
  <c r="BS31" i="8" s="1"/>
  <c r="BW27" i="8" l="1"/>
  <c r="BX27" i="8" s="1"/>
  <c r="BW25" i="8"/>
  <c r="BT29" i="8"/>
  <c r="BS29" i="8"/>
  <c r="BT31" i="8"/>
  <c r="BY25" i="8" l="1"/>
  <c r="BY27" i="8"/>
  <c r="BX25" i="8"/>
  <c r="BU29" i="8"/>
  <c r="BU31" i="8"/>
  <c r="BZ25" i="8" l="1"/>
  <c r="BZ27" i="8"/>
  <c r="BV29" i="8"/>
  <c r="BV31" i="8"/>
  <c r="CA25" i="8" l="1"/>
  <c r="CA27" i="8"/>
  <c r="BW29" i="8"/>
  <c r="BW31" i="8"/>
  <c r="BX31" i="8" s="1"/>
  <c r="CB25" i="8" l="1"/>
  <c r="CB27" i="8"/>
  <c r="CC27" i="8" s="1"/>
  <c r="BY29" i="8"/>
  <c r="BX29" i="8"/>
  <c r="BY31" i="8"/>
  <c r="CD25" i="8" l="1"/>
  <c r="CC25" i="8"/>
  <c r="CD27" i="8"/>
  <c r="BZ31" i="8"/>
  <c r="BZ29" i="8"/>
  <c r="CE27" i="8" l="1"/>
  <c r="CA31" i="8"/>
  <c r="CA29" i="8"/>
  <c r="CF25" i="8" l="1"/>
  <c r="CF27" i="8"/>
  <c r="CB29" i="8"/>
  <c r="CB31" i="8"/>
  <c r="CC31" i="8" s="1"/>
  <c r="CG25" i="8" l="1"/>
  <c r="CG27" i="8"/>
  <c r="CH27" i="8" s="1"/>
  <c r="CC29" i="8"/>
  <c r="CD29" i="8"/>
  <c r="CD31" i="8"/>
  <c r="CI25" i="8" l="1"/>
  <c r="CH25" i="8"/>
  <c r="CI27" i="8"/>
  <c r="CE29" i="8"/>
  <c r="CE31" i="8"/>
  <c r="CJ25" i="8" l="1"/>
  <c r="CJ27" i="8"/>
  <c r="CF29" i="8"/>
  <c r="CF31" i="8"/>
  <c r="CK27" i="8" l="1"/>
  <c r="CK25" i="8"/>
  <c r="CG29" i="8"/>
  <c r="CG31" i="8"/>
  <c r="CH31" i="8" s="1"/>
  <c r="CL25" i="8" l="1"/>
  <c r="CM25" i="8" s="1"/>
  <c r="CL27" i="8"/>
  <c r="CM27" i="8" s="1"/>
  <c r="CI29" i="8"/>
  <c r="CH29" i="8"/>
  <c r="CI31" i="8"/>
  <c r="CJ29" i="8" l="1"/>
  <c r="CJ31" i="8"/>
  <c r="CK29" i="8" l="1"/>
  <c r="CK31" i="8"/>
  <c r="CL31" i="8" l="1"/>
  <c r="CM31" i="8" s="1"/>
  <c r="CL29" i="8"/>
  <c r="CM29" i="8" s="1"/>
  <c r="BI48" i="8" l="1"/>
  <c r="BN48" i="8" s="1"/>
  <c r="BS48" i="8" s="1"/>
  <c r="BX48" i="8" s="1"/>
  <c r="CC48" i="8" s="1"/>
  <c r="CH48" i="8" s="1"/>
  <c r="CM48" i="8" s="1"/>
  <c r="AQ39" i="5" l="1"/>
  <c r="AR39" i="5" s="1"/>
  <c r="AQ38" i="5"/>
  <c r="AR38" i="5" s="1"/>
  <c r="CI39" i="5"/>
  <c r="CM38" i="5"/>
  <c r="CH38" i="5"/>
  <c r="CC38" i="5"/>
  <c r="BX38" i="5"/>
  <c r="BS38" i="5"/>
  <c r="BN38" i="5"/>
  <c r="BI38" i="5"/>
  <c r="BD38" i="5"/>
  <c r="AY38" i="5"/>
  <c r="CM37" i="5"/>
  <c r="CH37" i="5"/>
  <c r="CC37" i="5"/>
  <c r="BX37" i="5"/>
  <c r="BS37" i="5"/>
  <c r="BN37" i="5"/>
  <c r="BI37" i="5"/>
  <c r="BD37" i="5"/>
  <c r="AY37" i="5"/>
  <c r="BJ164" i="3"/>
  <c r="BK164" i="3" s="1"/>
  <c r="BL164" i="3" s="1"/>
  <c r="BM164" i="3" s="1"/>
  <c r="BO164" i="3" s="1"/>
  <c r="BP164" i="3" s="1"/>
  <c r="BQ164" i="3" s="1"/>
  <c r="BR164" i="3" s="1"/>
  <c r="BT164" i="3" s="1"/>
  <c r="BU164" i="3" s="1"/>
  <c r="BV164" i="3" s="1"/>
  <c r="BW164" i="3" s="1"/>
  <c r="BY164" i="3" s="1"/>
  <c r="BZ164" i="3" s="1"/>
  <c r="CA164" i="3" s="1"/>
  <c r="CB164" i="3" s="1"/>
  <c r="CD164" i="3" s="1"/>
  <c r="CE164" i="3" s="1"/>
  <c r="CF164" i="3" s="1"/>
  <c r="CG164" i="3" s="1"/>
  <c r="CI164" i="3" s="1"/>
  <c r="CJ164" i="3" s="1"/>
  <c r="CK164" i="3" s="1"/>
  <c r="CL164" i="3" s="1"/>
  <c r="BJ143" i="3"/>
  <c r="BO143" i="3" s="1"/>
  <c r="T57" i="8"/>
  <c r="S57" i="8"/>
  <c r="Q57" i="8"/>
  <c r="AN57" i="8"/>
  <c r="AM57" i="8"/>
  <c r="AI57" i="8"/>
  <c r="AH57" i="8"/>
  <c r="AF57" i="8"/>
  <c r="AD57" i="8"/>
  <c r="AC57" i="8"/>
  <c r="AB57" i="8"/>
  <c r="AA57" i="8"/>
  <c r="Y57" i="8"/>
  <c r="X57" i="8"/>
  <c r="V57" i="8"/>
  <c r="AQ179" i="3"/>
  <c r="AP179" i="3"/>
  <c r="AP298" i="3"/>
  <c r="AP297" i="3" s="1"/>
  <c r="AQ298" i="3"/>
  <c r="AQ297" i="3" s="1"/>
  <c r="BK259" i="3"/>
  <c r="BL259" i="3" s="1"/>
  <c r="BM259" i="3" s="1"/>
  <c r="BP259" i="3" s="1"/>
  <c r="BQ259" i="3" s="1"/>
  <c r="BR259" i="3" s="1"/>
  <c r="AO173" i="3"/>
  <c r="AN191" i="3"/>
  <c r="AM191" i="3"/>
  <c r="AL191" i="3"/>
  <c r="AL88" i="2"/>
  <c r="AQ88" i="2"/>
  <c r="AP87" i="2"/>
  <c r="AP86" i="2"/>
  <c r="AP85" i="2"/>
  <c r="AP84" i="2"/>
  <c r="AK84" i="2"/>
  <c r="AK85" i="2"/>
  <c r="AK86" i="2"/>
  <c r="AK87" i="2"/>
  <c r="AK293" i="3"/>
  <c r="AP293" i="3"/>
  <c r="AL89" i="3"/>
  <c r="AP40" i="5"/>
  <c r="AQ40" i="5" s="1"/>
  <c r="AR40" i="5" s="1"/>
  <c r="A67" i="7"/>
  <c r="A75" i="8"/>
  <c r="A128" i="5"/>
  <c r="A107" i="4"/>
  <c r="A334" i="3"/>
  <c r="AQ96" i="4"/>
  <c r="BT259" i="3" l="1"/>
  <c r="BU259" i="3" s="1"/>
  <c r="BV259" i="3" s="1"/>
  <c r="BW259" i="3" s="1"/>
  <c r="BY259" i="3" s="1"/>
  <c r="BZ259" i="3" s="1"/>
  <c r="CA259" i="3" s="1"/>
  <c r="CB259" i="3" s="1"/>
  <c r="CD259" i="3" s="1"/>
  <c r="CE259" i="3" s="1"/>
  <c r="CF259" i="3" s="1"/>
  <c r="CG259" i="3" s="1"/>
  <c r="CI259" i="3" s="1"/>
  <c r="CJ259" i="3" s="1"/>
  <c r="CK259" i="3" s="1"/>
  <c r="CL259" i="3" s="1"/>
  <c r="AP88" i="2"/>
  <c r="AK88" i="2"/>
  <c r="BK143" i="3"/>
  <c r="BP143" i="3" l="1"/>
  <c r="BU143" i="3" s="1"/>
  <c r="BZ143" i="3" s="1"/>
  <c r="BL143" i="3"/>
  <c r="AZ82" i="4"/>
  <c r="BA82" i="4" s="1"/>
  <c r="BB82" i="4" s="1"/>
  <c r="BC82" i="4" s="1"/>
  <c r="BE82" i="4" s="1"/>
  <c r="BF82" i="4" s="1"/>
  <c r="BG82" i="4" s="1"/>
  <c r="BH82" i="4" s="1"/>
  <c r="BJ82" i="4" s="1"/>
  <c r="BK82" i="4" s="1"/>
  <c r="BL82" i="4" s="1"/>
  <c r="BM82" i="4" s="1"/>
  <c r="CM16" i="5"/>
  <c r="CM15" i="5"/>
  <c r="CH16" i="5"/>
  <c r="CH15" i="5"/>
  <c r="CC16" i="5"/>
  <c r="CC15" i="5"/>
  <c r="BX16" i="5"/>
  <c r="BX15" i="5"/>
  <c r="BS16" i="5"/>
  <c r="BS15" i="5"/>
  <c r="BN16" i="5"/>
  <c r="BN15" i="5"/>
  <c r="BI16" i="5"/>
  <c r="BI15" i="5"/>
  <c r="CM12" i="5"/>
  <c r="CM11" i="5"/>
  <c r="CM10" i="5"/>
  <c r="CH12" i="5"/>
  <c r="CH11" i="5"/>
  <c r="CH10" i="5"/>
  <c r="CC12" i="5"/>
  <c r="CC11" i="5"/>
  <c r="CC10" i="5"/>
  <c r="BX12" i="5"/>
  <c r="BX11" i="5"/>
  <c r="BX10" i="5"/>
  <c r="BS12" i="5"/>
  <c r="BS11" i="5"/>
  <c r="BS10" i="5"/>
  <c r="BN12" i="5"/>
  <c r="BN11" i="5"/>
  <c r="BN10" i="5"/>
  <c r="BI12" i="5"/>
  <c r="BI11" i="5"/>
  <c r="BI10" i="5"/>
  <c r="BD12" i="5"/>
  <c r="BD11" i="5"/>
  <c r="BD10" i="5"/>
  <c r="AU15" i="5"/>
  <c r="AX13" i="5"/>
  <c r="BC13" i="5" s="1"/>
  <c r="BH13" i="5" s="1"/>
  <c r="BM13" i="5" s="1"/>
  <c r="BR13" i="5" s="1"/>
  <c r="BW13" i="5" s="1"/>
  <c r="CB13" i="5" s="1"/>
  <c r="CG13" i="5" s="1"/>
  <c r="CL13" i="5" s="1"/>
  <c r="AU13" i="5"/>
  <c r="AZ13" i="5" s="1"/>
  <c r="BC60" i="2"/>
  <c r="BH60" i="2" s="1"/>
  <c r="BB60" i="2"/>
  <c r="BG60" i="2" s="1"/>
  <c r="BM60" i="2" l="1"/>
  <c r="BR60" i="2" s="1"/>
  <c r="BW60" i="2" s="1"/>
  <c r="CB60" i="2" s="1"/>
  <c r="CG60" i="2" s="1"/>
  <c r="CL60" i="2" s="1"/>
  <c r="BL60" i="2"/>
  <c r="BQ60" i="2" s="1"/>
  <c r="BV60" i="2" s="1"/>
  <c r="CA60" i="2" s="1"/>
  <c r="CF60" i="2" s="1"/>
  <c r="CK60" i="2" s="1"/>
  <c r="BE13" i="5"/>
  <c r="BJ13" i="5" s="1"/>
  <c r="BQ143" i="3"/>
  <c r="BM143" i="3"/>
  <c r="BR143" i="3" s="1"/>
  <c r="BO82" i="4"/>
  <c r="BP82" i="4" s="1"/>
  <c r="BQ82" i="4" s="1"/>
  <c r="BR82" i="4" s="1"/>
  <c r="BT82" i="4" s="1"/>
  <c r="BU82" i="4" s="1"/>
  <c r="BV82" i="4" s="1"/>
  <c r="BW82" i="4" s="1"/>
  <c r="BY82" i="4" s="1"/>
  <c r="BZ82" i="4" s="1"/>
  <c r="CA82" i="4" s="1"/>
  <c r="CB82" i="4" s="1"/>
  <c r="CD82" i="4" s="1"/>
  <c r="CE82" i="4" s="1"/>
  <c r="CF82" i="4" s="1"/>
  <c r="CG82" i="4" s="1"/>
  <c r="CI82" i="4" s="1"/>
  <c r="CJ82" i="4" s="1"/>
  <c r="CK82" i="4" s="1"/>
  <c r="CL82" i="4" s="1"/>
  <c r="BN82" i="4"/>
  <c r="BO13" i="5" l="1"/>
  <c r="AQ258" i="3"/>
  <c r="AQ45" i="2"/>
  <c r="AN45" i="2"/>
  <c r="AM45" i="2"/>
  <c r="AL45" i="2"/>
  <c r="AI45" i="2"/>
  <c r="AH45" i="2"/>
  <c r="AG45" i="2"/>
  <c r="AF45" i="2"/>
  <c r="AD45" i="2"/>
  <c r="AC45" i="2"/>
  <c r="AB45" i="2"/>
  <c r="AA45" i="2"/>
  <c r="Y45" i="2"/>
  <c r="X45" i="2"/>
  <c r="W45" i="2"/>
  <c r="V45" i="2"/>
  <c r="T45" i="2"/>
  <c r="S45" i="2"/>
  <c r="R45" i="2"/>
  <c r="Q45" i="2"/>
  <c r="O45" i="2"/>
  <c r="N45" i="2"/>
  <c r="M45" i="2"/>
  <c r="L45" i="2"/>
  <c r="BT13" i="5" l="1"/>
  <c r="BY13" i="5" l="1"/>
  <c r="CD13" i="5" l="1"/>
  <c r="CI13" i="5" l="1"/>
  <c r="AQ28" i="5" l="1"/>
  <c r="AR28" i="5" s="1"/>
  <c r="AQ27" i="5"/>
  <c r="AR27" i="5" s="1"/>
  <c r="AQ8" i="8"/>
  <c r="AQ35" i="8"/>
  <c r="AQ33" i="8"/>
  <c r="AQ13" i="8" s="1"/>
  <c r="AQ39" i="8"/>
  <c r="AQ41" i="8"/>
  <c r="AK57" i="8"/>
  <c r="AO57" i="8" s="1"/>
  <c r="AP57" i="8"/>
  <c r="AQ65" i="8"/>
  <c r="AR62" i="8" s="1"/>
  <c r="AY63" i="8"/>
  <c r="AY56" i="8"/>
  <c r="AQ58" i="8"/>
  <c r="AR55" i="8" s="1"/>
  <c r="AQ50" i="8"/>
  <c r="AR46" i="8" s="1"/>
  <c r="AQ44" i="5"/>
  <c r="AR44" i="5" s="1"/>
  <c r="AQ35" i="5"/>
  <c r="AR35" i="5" s="1"/>
  <c r="AQ37" i="5"/>
  <c r="AQ31" i="5"/>
  <c r="AR31" i="5" s="1"/>
  <c r="AQ30" i="5"/>
  <c r="AR30" i="5" s="1"/>
  <c r="AQ29" i="5"/>
  <c r="AQ22" i="5"/>
  <c r="AR22" i="5" s="1"/>
  <c r="AQ21" i="5"/>
  <c r="AR21" i="5" s="1"/>
  <c r="AQ20" i="5"/>
  <c r="AR20" i="5" s="1"/>
  <c r="AQ19" i="5"/>
  <c r="AR19" i="5" s="1"/>
  <c r="AQ15" i="5"/>
  <c r="AR15" i="5" s="1"/>
  <c r="AQ14" i="5"/>
  <c r="AR14" i="5" s="1"/>
  <c r="AQ13" i="5"/>
  <c r="AQ12" i="5"/>
  <c r="AR12" i="5" s="1"/>
  <c r="AQ11" i="5"/>
  <c r="AR11" i="5" s="1"/>
  <c r="AQ10" i="5"/>
  <c r="AR10" i="5" s="1"/>
  <c r="AQ9" i="5"/>
  <c r="AQ8" i="5"/>
  <c r="AP96" i="4"/>
  <c r="AQ94" i="4"/>
  <c r="AP94" i="4"/>
  <c r="AQ93" i="4"/>
  <c r="AP93" i="4"/>
  <c r="AQ59" i="4"/>
  <c r="AQ18" i="4"/>
  <c r="AQ34" i="4"/>
  <c r="AQ26" i="4"/>
  <c r="AQ15" i="2"/>
  <c r="AQ14" i="2"/>
  <c r="AQ13" i="2"/>
  <c r="AR8" i="5" l="1"/>
  <c r="AS8" i="5" s="1"/>
  <c r="AS24" i="5" s="1"/>
  <c r="AV13" i="5"/>
  <c r="BA13" i="5" s="1"/>
  <c r="BF13" i="5" s="1"/>
  <c r="AR13" i="5"/>
  <c r="AW13" i="5" s="1"/>
  <c r="BB13" i="5" s="1"/>
  <c r="AQ97" i="4"/>
  <c r="AR56" i="4"/>
  <c r="AQ48" i="8"/>
  <c r="AR29" i="5"/>
  <c r="AR48" i="8" s="1"/>
  <c r="AR37" i="5"/>
  <c r="AT37" i="5" s="1"/>
  <c r="AQ49" i="8"/>
  <c r="AR9" i="5"/>
  <c r="AR49" i="8" s="1"/>
  <c r="AQ11" i="2"/>
  <c r="B3" i="7"/>
  <c r="AS43" i="5" l="1"/>
  <c r="AS45" i="5" s="1"/>
  <c r="AS62" i="5"/>
  <c r="AR32" i="5"/>
  <c r="BK13" i="5"/>
  <c r="AQ60" i="2"/>
  <c r="AP147" i="3"/>
  <c r="AP119" i="3"/>
  <c r="AS66" i="5" l="1"/>
  <c r="AS64" i="5"/>
  <c r="BP13" i="5"/>
  <c r="BA60" i="2"/>
  <c r="BF60" i="2" s="1"/>
  <c r="AK147" i="3"/>
  <c r="BK60" i="2" l="1"/>
  <c r="BP60" i="2" s="1"/>
  <c r="BU60" i="2" s="1"/>
  <c r="BZ60" i="2" s="1"/>
  <c r="CE60" i="2" s="1"/>
  <c r="CJ60" i="2" s="1"/>
  <c r="BU13" i="5"/>
  <c r="AP251" i="3"/>
  <c r="AN256" i="3"/>
  <c r="AP186" i="3"/>
  <c r="BW143" i="3"/>
  <c r="BV143" i="3"/>
  <c r="CE143" i="3"/>
  <c r="CJ143" i="3" s="1"/>
  <c r="BT143" i="3"/>
  <c r="CA143" i="3" l="1"/>
  <c r="CF143" i="3" s="1"/>
  <c r="CK143" i="3" s="1"/>
  <c r="BY143" i="3"/>
  <c r="CD143" i="3" s="1"/>
  <c r="CI143" i="3" s="1"/>
  <c r="CB143" i="3"/>
  <c r="CG143" i="3" s="1"/>
  <c r="CL143" i="3" s="1"/>
  <c r="BZ13" i="5"/>
  <c r="AF77" i="3"/>
  <c r="Y106" i="3"/>
  <c r="X106" i="3"/>
  <c r="W106" i="3"/>
  <c r="V106" i="3"/>
  <c r="T106" i="3"/>
  <c r="S106" i="3"/>
  <c r="R106" i="3"/>
  <c r="Q106" i="3"/>
  <c r="O106" i="3"/>
  <c r="N106" i="3"/>
  <c r="M106" i="3"/>
  <c r="L106" i="3"/>
  <c r="J106" i="3"/>
  <c r="I106" i="3"/>
  <c r="H106" i="3"/>
  <c r="G106" i="3"/>
  <c r="G77" i="3" s="1"/>
  <c r="V10" i="3"/>
  <c r="R95" i="3"/>
  <c r="R43" i="3" s="1"/>
  <c r="J95" i="3"/>
  <c r="G95" i="3"/>
  <c r="AM69" i="3"/>
  <c r="CE13" i="5" l="1"/>
  <c r="CM6" i="8"/>
  <c r="CL6" i="8"/>
  <c r="CK6" i="8"/>
  <c r="CJ6" i="8"/>
  <c r="CI6" i="8"/>
  <c r="CH6" i="8"/>
  <c r="CG6" i="8"/>
  <c r="CF6" i="8"/>
  <c r="CE6" i="8"/>
  <c r="CD6" i="8"/>
  <c r="CC6" i="8"/>
  <c r="CB6" i="8"/>
  <c r="CA6" i="8"/>
  <c r="BZ6" i="8"/>
  <c r="BY6" i="8"/>
  <c r="BX6" i="8"/>
  <c r="BW6" i="8"/>
  <c r="BV6" i="8"/>
  <c r="BU6" i="8"/>
  <c r="BT6" i="8"/>
  <c r="BS6" i="8"/>
  <c r="BR6" i="8"/>
  <c r="BQ6" i="8"/>
  <c r="BP6" i="8"/>
  <c r="BO6" i="8"/>
  <c r="BN6" i="8"/>
  <c r="BM6" i="8"/>
  <c r="BL6" i="8"/>
  <c r="BK6" i="8"/>
  <c r="BJ6" i="8"/>
  <c r="BI6" i="8"/>
  <c r="BH6" i="8"/>
  <c r="BG6" i="8"/>
  <c r="BF6" i="8"/>
  <c r="BE6" i="8"/>
  <c r="BD6" i="8"/>
  <c r="BC6" i="8"/>
  <c r="BB6" i="8"/>
  <c r="BA6" i="8"/>
  <c r="AZ6" i="8"/>
  <c r="AY6" i="8"/>
  <c r="AX6" i="8"/>
  <c r="AW6" i="8"/>
  <c r="AV6" i="8"/>
  <c r="AU6" i="8"/>
  <c r="AT6" i="8"/>
  <c r="AS6" i="8"/>
  <c r="AR6" i="8"/>
  <c r="AQ6" i="8"/>
  <c r="AP6" i="8"/>
  <c r="AO6" i="8"/>
  <c r="AN6" i="8"/>
  <c r="AM6" i="8"/>
  <c r="AL6" i="8"/>
  <c r="AK6" i="8"/>
  <c r="AJ6" i="8"/>
  <c r="AI6" i="8"/>
  <c r="AH6" i="8"/>
  <c r="AG6" i="8"/>
  <c r="AF6" i="8"/>
  <c r="AE6" i="8"/>
  <c r="AD6" i="8"/>
  <c r="AC6" i="8"/>
  <c r="AB6" i="8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B6" i="8"/>
  <c r="CL5" i="8"/>
  <c r="CK5" i="8"/>
  <c r="CJ5" i="8"/>
  <c r="CI5" i="8"/>
  <c r="CG5" i="8"/>
  <c r="CF5" i="8"/>
  <c r="CE5" i="8"/>
  <c r="CD5" i="8"/>
  <c r="CB5" i="8"/>
  <c r="CA5" i="8"/>
  <c r="BZ5" i="8"/>
  <c r="BY5" i="8"/>
  <c r="BW5" i="8"/>
  <c r="BV5" i="8"/>
  <c r="BU5" i="8"/>
  <c r="BT5" i="8"/>
  <c r="BR5" i="8"/>
  <c r="BQ5" i="8"/>
  <c r="BP5" i="8"/>
  <c r="BO5" i="8"/>
  <c r="BM5" i="8"/>
  <c r="BL5" i="8"/>
  <c r="BK5" i="8"/>
  <c r="BJ5" i="8"/>
  <c r="BH5" i="8"/>
  <c r="BG5" i="8"/>
  <c r="BF5" i="8"/>
  <c r="BE5" i="8"/>
  <c r="BC5" i="8"/>
  <c r="BB5" i="8"/>
  <c r="BA5" i="8"/>
  <c r="AZ5" i="8"/>
  <c r="AX5" i="8"/>
  <c r="AW5" i="8"/>
  <c r="AV5" i="8"/>
  <c r="AU5" i="8"/>
  <c r="AS5" i="8"/>
  <c r="AR5" i="8"/>
  <c r="AQ5" i="8"/>
  <c r="AP5" i="8"/>
  <c r="AN5" i="8"/>
  <c r="AM5" i="8"/>
  <c r="AL5" i="8"/>
  <c r="AK5" i="8"/>
  <c r="AI5" i="8"/>
  <c r="AH5" i="8"/>
  <c r="AG5" i="8"/>
  <c r="AF5" i="8"/>
  <c r="AD5" i="8"/>
  <c r="AC5" i="8"/>
  <c r="AB5" i="8"/>
  <c r="AA5" i="8"/>
  <c r="Y5" i="8"/>
  <c r="X5" i="8"/>
  <c r="W5" i="8"/>
  <c r="V5" i="8"/>
  <c r="T5" i="8"/>
  <c r="S5" i="8"/>
  <c r="R5" i="8"/>
  <c r="Q5" i="8"/>
  <c r="O5" i="8"/>
  <c r="N5" i="8"/>
  <c r="M5" i="8"/>
  <c r="L5" i="8"/>
  <c r="J5" i="8"/>
  <c r="I5" i="8"/>
  <c r="H5" i="8"/>
  <c r="G5" i="8"/>
  <c r="F5" i="8"/>
  <c r="E5" i="8"/>
  <c r="D5" i="8"/>
  <c r="C5" i="8"/>
  <c r="B5" i="8"/>
  <c r="AP8" i="8"/>
  <c r="AP7" i="8"/>
  <c r="AP41" i="8"/>
  <c r="AP39" i="8"/>
  <c r="AP36" i="8"/>
  <c r="AP35" i="8"/>
  <c r="AP33" i="8"/>
  <c r="AP13" i="8" s="1"/>
  <c r="AO17" i="8"/>
  <c r="AP65" i="8"/>
  <c r="AP58" i="8"/>
  <c r="AP50" i="8"/>
  <c r="AP49" i="8"/>
  <c r="AP48" i="8"/>
  <c r="AA41" i="8"/>
  <c r="AA35" i="8"/>
  <c r="AP46" i="4"/>
  <c r="AT51" i="5"/>
  <c r="AU51" i="5" s="1"/>
  <c r="AV51" i="5" s="1"/>
  <c r="AW51" i="5" s="1"/>
  <c r="AX51" i="5" s="1"/>
  <c r="AP36" i="5"/>
  <c r="AQ36" i="5" s="1"/>
  <c r="AR36" i="5" s="1"/>
  <c r="AR41" i="5" s="1"/>
  <c r="AP23" i="5"/>
  <c r="AQ23" i="5" s="1"/>
  <c r="AR23" i="5" s="1"/>
  <c r="AP16" i="5"/>
  <c r="AQ16" i="5" s="1"/>
  <c r="AR16" i="5" s="1"/>
  <c r="CK116" i="5"/>
  <c r="CJ116" i="5"/>
  <c r="CK107" i="5"/>
  <c r="CJ107" i="5"/>
  <c r="CK99" i="5"/>
  <c r="CJ99" i="5"/>
  <c r="CF116" i="5"/>
  <c r="CE116" i="5"/>
  <c r="CF107" i="5"/>
  <c r="CE107" i="5"/>
  <c r="CF99" i="5"/>
  <c r="CE99" i="5"/>
  <c r="CA116" i="5"/>
  <c r="BZ116" i="5"/>
  <c r="CA107" i="5"/>
  <c r="BZ107" i="5"/>
  <c r="CA99" i="5"/>
  <c r="BZ99" i="5"/>
  <c r="BV116" i="5"/>
  <c r="BU116" i="5"/>
  <c r="BV107" i="5"/>
  <c r="BU107" i="5"/>
  <c r="BV99" i="5"/>
  <c r="BU99" i="5"/>
  <c r="BQ116" i="5"/>
  <c r="BP116" i="5"/>
  <c r="BQ107" i="5"/>
  <c r="BP107" i="5"/>
  <c r="BQ99" i="5"/>
  <c r="BP99" i="5"/>
  <c r="BL116" i="5"/>
  <c r="BK116" i="5"/>
  <c r="BL107" i="5"/>
  <c r="BK107" i="5"/>
  <c r="BL99" i="5"/>
  <c r="BK99" i="5"/>
  <c r="BG116" i="5"/>
  <c r="BF116" i="5"/>
  <c r="BG107" i="5"/>
  <c r="BF107" i="5"/>
  <c r="BG99" i="5"/>
  <c r="BF99" i="5"/>
  <c r="BB116" i="5"/>
  <c r="BA116" i="5"/>
  <c r="BB107" i="5"/>
  <c r="BA107" i="5"/>
  <c r="BB99" i="5"/>
  <c r="BA99" i="5"/>
  <c r="AV116" i="5"/>
  <c r="AV107" i="5"/>
  <c r="AV99" i="5"/>
  <c r="AR116" i="5"/>
  <c r="AR107" i="5"/>
  <c r="AR99" i="5"/>
  <c r="AQ116" i="5"/>
  <c r="AQ107" i="5"/>
  <c r="AQ99" i="5"/>
  <c r="AP66" i="4"/>
  <c r="AP59" i="4"/>
  <c r="AN59" i="4"/>
  <c r="CM48" i="4"/>
  <c r="CH48" i="4"/>
  <c r="CC48" i="4"/>
  <c r="BX48" i="4"/>
  <c r="BS48" i="4"/>
  <c r="BN48" i="4"/>
  <c r="BI48" i="4"/>
  <c r="BD48" i="4"/>
  <c r="AY48" i="4"/>
  <c r="AT48" i="4"/>
  <c r="AN46" i="4"/>
  <c r="AM46" i="4"/>
  <c r="AL46" i="4"/>
  <c r="AK46" i="4"/>
  <c r="AI46" i="4"/>
  <c r="AH46" i="4"/>
  <c r="AG46" i="4"/>
  <c r="AF46" i="4"/>
  <c r="AD46" i="4"/>
  <c r="AC46" i="4"/>
  <c r="AB46" i="4"/>
  <c r="AA46" i="4"/>
  <c r="Y46" i="4"/>
  <c r="X46" i="4"/>
  <c r="W46" i="4"/>
  <c r="V46" i="4"/>
  <c r="T46" i="4"/>
  <c r="S46" i="4"/>
  <c r="R46" i="4"/>
  <c r="Q46" i="4"/>
  <c r="O46" i="4"/>
  <c r="N46" i="4"/>
  <c r="M46" i="4"/>
  <c r="L46" i="4"/>
  <c r="J46" i="4"/>
  <c r="I46" i="4"/>
  <c r="AO48" i="4"/>
  <c r="AP34" i="4"/>
  <c r="AP26" i="4"/>
  <c r="AP18" i="4"/>
  <c r="AP19" i="4" s="1"/>
  <c r="AI19" i="3"/>
  <c r="AH19" i="3"/>
  <c r="AG19" i="3"/>
  <c r="AF19" i="3"/>
  <c r="AD19" i="3"/>
  <c r="AC19" i="3"/>
  <c r="AB19" i="3"/>
  <c r="AA19" i="3"/>
  <c r="Y19" i="3"/>
  <c r="X19" i="3"/>
  <c r="W19" i="3"/>
  <c r="V19" i="3"/>
  <c r="T19" i="3"/>
  <c r="S19" i="3"/>
  <c r="R19" i="3"/>
  <c r="Q19" i="3"/>
  <c r="O19" i="3"/>
  <c r="N19" i="3"/>
  <c r="M19" i="3"/>
  <c r="L19" i="3"/>
  <c r="J19" i="3"/>
  <c r="I19" i="3"/>
  <c r="H19" i="3"/>
  <c r="G19" i="3"/>
  <c r="AK191" i="3"/>
  <c r="AO191" i="3" s="1"/>
  <c r="AP270" i="3"/>
  <c r="AX61" i="2"/>
  <c r="AW61" i="2"/>
  <c r="AV61" i="2"/>
  <c r="A64" i="2"/>
  <c r="A63" i="2"/>
  <c r="A62" i="2"/>
  <c r="CM23" i="2"/>
  <c r="CH23" i="2"/>
  <c r="CC23" i="2"/>
  <c r="BX23" i="2"/>
  <c r="BS23" i="2"/>
  <c r="BN23" i="2"/>
  <c r="BI23" i="2"/>
  <c r="BD23" i="2"/>
  <c r="AY23" i="2"/>
  <c r="AT23" i="2"/>
  <c r="AO22" i="2"/>
  <c r="AP14" i="2"/>
  <c r="AP13" i="2"/>
  <c r="AR24" i="5" l="1"/>
  <c r="AR43" i="5" s="1"/>
  <c r="CJ13" i="5"/>
  <c r="AU14" i="2"/>
  <c r="AZ14" i="2" s="1"/>
  <c r="BE14" i="2" s="1"/>
  <c r="BJ14" i="2" s="1"/>
  <c r="AP97" i="4"/>
  <c r="AQ56" i="4"/>
  <c r="AP90" i="4"/>
  <c r="AP102" i="4"/>
  <c r="AP91" i="4"/>
  <c r="AP103" i="4"/>
  <c r="AQ118" i="5"/>
  <c r="AQ120" i="5" s="1"/>
  <c r="AU13" i="2"/>
  <c r="AZ13" i="2" s="1"/>
  <c r="BA118" i="5"/>
  <c r="BA120" i="5" s="1"/>
  <c r="BK118" i="5"/>
  <c r="BK120" i="5" s="1"/>
  <c r="AP43" i="8"/>
  <c r="AP9" i="8"/>
  <c r="CA118" i="5"/>
  <c r="CA120" i="5" s="1"/>
  <c r="BF118" i="5"/>
  <c r="BF120" i="5" s="1"/>
  <c r="BV118" i="5"/>
  <c r="BV120" i="5" s="1"/>
  <c r="BZ118" i="5"/>
  <c r="BZ120" i="5" s="1"/>
  <c r="AR118" i="5"/>
  <c r="AR120" i="5" s="1"/>
  <c r="CE118" i="5"/>
  <c r="CE120" i="5" s="1"/>
  <c r="CF118" i="5"/>
  <c r="CF120" i="5" s="1"/>
  <c r="AV118" i="5"/>
  <c r="AV120" i="5" s="1"/>
  <c r="BG118" i="5"/>
  <c r="BG120" i="5" s="1"/>
  <c r="BL118" i="5"/>
  <c r="BL120" i="5" s="1"/>
  <c r="BU118" i="5"/>
  <c r="BU120" i="5" s="1"/>
  <c r="BB118" i="5"/>
  <c r="BB120" i="5" s="1"/>
  <c r="BQ118" i="5"/>
  <c r="BQ120" i="5" s="1"/>
  <c r="BP118" i="5"/>
  <c r="BP120" i="5" s="1"/>
  <c r="CJ118" i="5"/>
  <c r="CJ120" i="5" s="1"/>
  <c r="CK118" i="5"/>
  <c r="CK120" i="5" s="1"/>
  <c r="AP56" i="4"/>
  <c r="AP57" i="4" s="1"/>
  <c r="AP70" i="4"/>
  <c r="AP71" i="4"/>
  <c r="AP82" i="4"/>
  <c r="AP62" i="2"/>
  <c r="AP63" i="2"/>
  <c r="BE13" i="2" l="1"/>
  <c r="BJ13" i="2" l="1"/>
  <c r="BO13" i="2" l="1"/>
  <c r="BO14" i="2"/>
  <c r="BT13" i="2" l="1"/>
  <c r="BT14" i="2"/>
  <c r="BY14" i="2" l="1"/>
  <c r="BY13" i="2"/>
  <c r="CD13" i="2" l="1"/>
  <c r="CD14" i="2"/>
  <c r="CI14" i="2" l="1"/>
  <c r="CI13" i="2"/>
  <c r="J45" i="2" l="1"/>
  <c r="I45" i="2"/>
  <c r="H45" i="2"/>
  <c r="G45" i="2"/>
  <c r="A50" i="2"/>
  <c r="CM6" i="4" l="1"/>
  <c r="CL6" i="4"/>
  <c r="CK6" i="4"/>
  <c r="CJ6" i="4"/>
  <c r="CI6" i="4"/>
  <c r="CH6" i="4"/>
  <c r="CG6" i="4"/>
  <c r="CF6" i="4"/>
  <c r="CE6" i="4"/>
  <c r="CD6" i="4"/>
  <c r="CC6" i="4"/>
  <c r="CB6" i="4"/>
  <c r="CA6" i="4"/>
  <c r="BZ6" i="4"/>
  <c r="BY6" i="4"/>
  <c r="BX6" i="4"/>
  <c r="BW6" i="4"/>
  <c r="BV6" i="4"/>
  <c r="BU6" i="4"/>
  <c r="BT6" i="4"/>
  <c r="BS6" i="4"/>
  <c r="BR6" i="4"/>
  <c r="BQ6" i="4"/>
  <c r="BP6" i="4"/>
  <c r="BO6" i="4"/>
  <c r="BN6" i="4"/>
  <c r="BM6" i="4"/>
  <c r="BL6" i="4"/>
  <c r="BK6" i="4"/>
  <c r="BJ6" i="4"/>
  <c r="BI6" i="4"/>
  <c r="BH6" i="4"/>
  <c r="BG6" i="4"/>
  <c r="BF6" i="4"/>
  <c r="BE6" i="4"/>
  <c r="BD6" i="4"/>
  <c r="BC6" i="4"/>
  <c r="BB6" i="4"/>
  <c r="BA6" i="4"/>
  <c r="AZ6" i="4"/>
  <c r="AY6" i="4"/>
  <c r="AX6" i="4"/>
  <c r="AW6" i="4"/>
  <c r="AV6" i="4"/>
  <c r="AU6" i="4"/>
  <c r="AT6" i="4"/>
  <c r="AS6" i="4"/>
  <c r="AR6" i="4"/>
  <c r="AQ6" i="4"/>
  <c r="AP6" i="4"/>
  <c r="AO6" i="4"/>
  <c r="AN6" i="4"/>
  <c r="AM6" i="4"/>
  <c r="AL6" i="4"/>
  <c r="AK6" i="4"/>
  <c r="AJ6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CL5" i="4"/>
  <c r="CK5" i="4"/>
  <c r="CJ5" i="4"/>
  <c r="CI5" i="4"/>
  <c r="CG5" i="4"/>
  <c r="CF5" i="4"/>
  <c r="CE5" i="4"/>
  <c r="CD5" i="4"/>
  <c r="CB5" i="4"/>
  <c r="CA5" i="4"/>
  <c r="BZ5" i="4"/>
  <c r="BY5" i="4"/>
  <c r="BW5" i="4"/>
  <c r="BV5" i="4"/>
  <c r="BU5" i="4"/>
  <c r="BT5" i="4"/>
  <c r="BR5" i="4"/>
  <c r="BQ5" i="4"/>
  <c r="BP5" i="4"/>
  <c r="BO5" i="4"/>
  <c r="BM5" i="4"/>
  <c r="BL5" i="4"/>
  <c r="BK5" i="4"/>
  <c r="BJ5" i="4"/>
  <c r="BH5" i="4"/>
  <c r="BG5" i="4"/>
  <c r="BF5" i="4"/>
  <c r="BE5" i="4"/>
  <c r="BC5" i="4"/>
  <c r="BB5" i="4"/>
  <c r="BA5" i="4"/>
  <c r="AZ5" i="4"/>
  <c r="AX5" i="4"/>
  <c r="AW5" i="4"/>
  <c r="AV5" i="4"/>
  <c r="AU5" i="4"/>
  <c r="AS5" i="4"/>
  <c r="AR5" i="4"/>
  <c r="AQ5" i="4"/>
  <c r="AP5" i="4"/>
  <c r="AN5" i="4"/>
  <c r="AM5" i="4"/>
  <c r="AL5" i="4"/>
  <c r="AK5" i="4"/>
  <c r="AI5" i="4"/>
  <c r="AH5" i="4"/>
  <c r="AG5" i="4"/>
  <c r="AF5" i="4"/>
  <c r="AD5" i="4"/>
  <c r="AC5" i="4"/>
  <c r="AB5" i="4"/>
  <c r="AA5" i="4"/>
  <c r="Y5" i="4"/>
  <c r="X5" i="4"/>
  <c r="W5" i="4"/>
  <c r="V5" i="4"/>
  <c r="T5" i="4"/>
  <c r="S5" i="4"/>
  <c r="R5" i="4"/>
  <c r="Q5" i="4"/>
  <c r="O5" i="4"/>
  <c r="N5" i="4"/>
  <c r="M5" i="4"/>
  <c r="L5" i="4"/>
  <c r="J5" i="4"/>
  <c r="I5" i="4"/>
  <c r="H5" i="4"/>
  <c r="G5" i="4"/>
  <c r="F5" i="4"/>
  <c r="E5" i="4"/>
  <c r="D5" i="4"/>
  <c r="C5" i="4"/>
  <c r="B5" i="4"/>
  <c r="CM6" i="5"/>
  <c r="CL6" i="5"/>
  <c r="CK6" i="5"/>
  <c r="CJ6" i="5"/>
  <c r="CI6" i="5"/>
  <c r="CH6" i="5"/>
  <c r="CG6" i="5"/>
  <c r="CF6" i="5"/>
  <c r="CE6" i="5"/>
  <c r="CD6" i="5"/>
  <c r="CC6" i="5"/>
  <c r="CB6" i="5"/>
  <c r="CA6" i="5"/>
  <c r="BZ6" i="5"/>
  <c r="BY6" i="5"/>
  <c r="BX6" i="5"/>
  <c r="BW6" i="5"/>
  <c r="BV6" i="5"/>
  <c r="BU6" i="5"/>
  <c r="BT6" i="5"/>
  <c r="BS6" i="5"/>
  <c r="BR6" i="5"/>
  <c r="BQ6" i="5"/>
  <c r="BP6" i="5"/>
  <c r="BO6" i="5"/>
  <c r="BN6" i="5"/>
  <c r="BM6" i="5"/>
  <c r="BL6" i="5"/>
  <c r="BK6" i="5"/>
  <c r="BJ6" i="5"/>
  <c r="BI6" i="5"/>
  <c r="BH6" i="5"/>
  <c r="BG6" i="5"/>
  <c r="BF6" i="5"/>
  <c r="BE6" i="5"/>
  <c r="BD6" i="5"/>
  <c r="BC6" i="5"/>
  <c r="BB6" i="5"/>
  <c r="BA6" i="5"/>
  <c r="AZ6" i="5"/>
  <c r="AY6" i="5"/>
  <c r="AX6" i="5"/>
  <c r="AV6" i="5"/>
  <c r="AU6" i="5"/>
  <c r="AT6" i="5"/>
  <c r="AS6" i="5"/>
  <c r="AR6" i="5"/>
  <c r="AQ6" i="5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B6" i="5"/>
  <c r="CL5" i="5"/>
  <c r="CK5" i="5"/>
  <c r="CJ5" i="5"/>
  <c r="CI5" i="5"/>
  <c r="CG5" i="5"/>
  <c r="CF5" i="5"/>
  <c r="CE5" i="5"/>
  <c r="CD5" i="5"/>
  <c r="CB5" i="5"/>
  <c r="CA5" i="5"/>
  <c r="BZ5" i="5"/>
  <c r="BY5" i="5"/>
  <c r="BW5" i="5"/>
  <c r="BV5" i="5"/>
  <c r="BU5" i="5"/>
  <c r="BT5" i="5"/>
  <c r="BR5" i="5"/>
  <c r="BQ5" i="5"/>
  <c r="BP5" i="5"/>
  <c r="BO5" i="5"/>
  <c r="BM5" i="5"/>
  <c r="BL5" i="5"/>
  <c r="BK5" i="5"/>
  <c r="BJ5" i="5"/>
  <c r="BH5" i="5"/>
  <c r="BG5" i="5"/>
  <c r="BF5" i="5"/>
  <c r="BE5" i="5"/>
  <c r="BC5" i="5"/>
  <c r="BB5" i="5"/>
  <c r="BA5" i="5"/>
  <c r="AZ5" i="5"/>
  <c r="AX5" i="5"/>
  <c r="AV5" i="5"/>
  <c r="AU5" i="5"/>
  <c r="AS5" i="5"/>
  <c r="AR5" i="5"/>
  <c r="AQ5" i="5"/>
  <c r="AP5" i="5"/>
  <c r="AN5" i="5"/>
  <c r="AM5" i="5"/>
  <c r="AL5" i="5"/>
  <c r="AK5" i="5"/>
  <c r="AI5" i="5"/>
  <c r="AH5" i="5"/>
  <c r="AG5" i="5"/>
  <c r="AF5" i="5"/>
  <c r="AD5" i="5"/>
  <c r="AC5" i="5"/>
  <c r="AB5" i="5"/>
  <c r="AA5" i="5"/>
  <c r="Y5" i="5"/>
  <c r="X5" i="5"/>
  <c r="W5" i="5"/>
  <c r="V5" i="5"/>
  <c r="T5" i="5"/>
  <c r="S5" i="5"/>
  <c r="R5" i="5"/>
  <c r="Q5" i="5"/>
  <c r="O5" i="5"/>
  <c r="N5" i="5"/>
  <c r="M5" i="5"/>
  <c r="L5" i="5"/>
  <c r="J5" i="5"/>
  <c r="I5" i="5"/>
  <c r="H5" i="5"/>
  <c r="G5" i="5"/>
  <c r="F5" i="5"/>
  <c r="E5" i="5"/>
  <c r="D5" i="5"/>
  <c r="C5" i="5"/>
  <c r="B5" i="5"/>
  <c r="CM6" i="3"/>
  <c r="CL6" i="3"/>
  <c r="CK6" i="3"/>
  <c r="CJ6" i="3"/>
  <c r="CI6" i="3"/>
  <c r="CH6" i="3"/>
  <c r="CG6" i="3"/>
  <c r="CF6" i="3"/>
  <c r="CE6" i="3"/>
  <c r="CD6" i="3"/>
  <c r="CC6" i="3"/>
  <c r="CB6" i="3"/>
  <c r="CA6" i="3"/>
  <c r="BZ6" i="3"/>
  <c r="BY6" i="3"/>
  <c r="BX6" i="3"/>
  <c r="BW6" i="3"/>
  <c r="BV6" i="3"/>
  <c r="BU6" i="3"/>
  <c r="BT6" i="3"/>
  <c r="BS6" i="3"/>
  <c r="BR6" i="3"/>
  <c r="BQ6" i="3"/>
  <c r="BP6" i="3"/>
  <c r="BO6" i="3"/>
  <c r="BN6" i="3"/>
  <c r="BM6" i="3"/>
  <c r="BL6" i="3"/>
  <c r="BK6" i="3"/>
  <c r="BJ6" i="3"/>
  <c r="BI6" i="3"/>
  <c r="BH6" i="3"/>
  <c r="BG6" i="3"/>
  <c r="BF6" i="3"/>
  <c r="BE6" i="3"/>
  <c r="BD6" i="3"/>
  <c r="BC6" i="3"/>
  <c r="BB6" i="3"/>
  <c r="BA6" i="3"/>
  <c r="AZ6" i="3"/>
  <c r="AY6" i="3"/>
  <c r="AX6" i="3"/>
  <c r="AW6" i="3"/>
  <c r="AV6" i="3"/>
  <c r="AU6" i="3"/>
  <c r="AT6" i="3"/>
  <c r="AS6" i="3"/>
  <c r="AR6" i="3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CL5" i="3"/>
  <c r="CK5" i="3"/>
  <c r="CJ5" i="3"/>
  <c r="CI5" i="3"/>
  <c r="CG5" i="3"/>
  <c r="CF5" i="3"/>
  <c r="CE5" i="3"/>
  <c r="CD5" i="3"/>
  <c r="CB5" i="3"/>
  <c r="CA5" i="3"/>
  <c r="BZ5" i="3"/>
  <c r="BY5" i="3"/>
  <c r="BW5" i="3"/>
  <c r="BV5" i="3"/>
  <c r="BU5" i="3"/>
  <c r="BT5" i="3"/>
  <c r="BR5" i="3"/>
  <c r="BQ5" i="3"/>
  <c r="BP5" i="3"/>
  <c r="BO5" i="3"/>
  <c r="BM5" i="3"/>
  <c r="BL5" i="3"/>
  <c r="BK5" i="3"/>
  <c r="BJ5" i="3"/>
  <c r="BH5" i="3"/>
  <c r="BG5" i="3"/>
  <c r="BF5" i="3"/>
  <c r="BE5" i="3"/>
  <c r="BC5" i="3"/>
  <c r="BB5" i="3"/>
  <c r="BA5" i="3"/>
  <c r="AZ5" i="3"/>
  <c r="AX5" i="3"/>
  <c r="AW5" i="3"/>
  <c r="AV5" i="3"/>
  <c r="AU5" i="3"/>
  <c r="AS5" i="3"/>
  <c r="AR5" i="3"/>
  <c r="AQ5" i="3"/>
  <c r="AP5" i="3"/>
  <c r="AN5" i="3"/>
  <c r="AM5" i="3"/>
  <c r="AL5" i="3"/>
  <c r="AK5" i="3"/>
  <c r="AI5" i="3"/>
  <c r="AH5" i="3"/>
  <c r="AG5" i="3"/>
  <c r="AF5" i="3"/>
  <c r="AD5" i="3"/>
  <c r="AC5" i="3"/>
  <c r="AB5" i="3"/>
  <c r="AA5" i="3"/>
  <c r="Y5" i="3"/>
  <c r="X5" i="3"/>
  <c r="W5" i="3"/>
  <c r="V5" i="3"/>
  <c r="T5" i="3"/>
  <c r="S5" i="3"/>
  <c r="R5" i="3"/>
  <c r="Q5" i="3"/>
  <c r="O5" i="3"/>
  <c r="N5" i="3"/>
  <c r="M5" i="3"/>
  <c r="L5" i="3"/>
  <c r="J5" i="3"/>
  <c r="I5" i="3"/>
  <c r="H5" i="3"/>
  <c r="G5" i="3"/>
  <c r="F5" i="3"/>
  <c r="E5" i="3"/>
  <c r="D5" i="3"/>
  <c r="C5" i="3"/>
  <c r="B6" i="3"/>
  <c r="B5" i="3"/>
  <c r="AP29" i="2"/>
  <c r="AP20" i="2"/>
  <c r="AP15" i="2"/>
  <c r="AO30" i="2"/>
  <c r="AO28" i="2"/>
  <c r="AO27" i="2"/>
  <c r="AO26" i="2"/>
  <c r="AO25" i="2"/>
  <c r="AO23" i="2"/>
  <c r="AO19" i="2"/>
  <c r="AO18" i="2"/>
  <c r="AO12" i="2"/>
  <c r="AJ7" i="2"/>
  <c r="F30" i="2"/>
  <c r="F29" i="2"/>
  <c r="F28" i="2"/>
  <c r="F27" i="2"/>
  <c r="F25" i="2"/>
  <c r="F23" i="2"/>
  <c r="F22" i="2"/>
  <c r="F20" i="2"/>
  <c r="F19" i="2"/>
  <c r="F18" i="2"/>
  <c r="F9" i="2"/>
  <c r="F7" i="2"/>
  <c r="C26" i="2"/>
  <c r="B26" i="2"/>
  <c r="C15" i="2"/>
  <c r="C64" i="2" s="1"/>
  <c r="B15" i="2"/>
  <c r="B64" i="2" s="1"/>
  <c r="C14" i="2"/>
  <c r="C63" i="2" s="1"/>
  <c r="B14" i="2"/>
  <c r="B63" i="2" s="1"/>
  <c r="C13" i="2"/>
  <c r="B13" i="2"/>
  <c r="C8" i="2"/>
  <c r="B8" i="2"/>
  <c r="E15" i="2"/>
  <c r="E64" i="2" s="1"/>
  <c r="E14" i="2"/>
  <c r="E63" i="2" s="1"/>
  <c r="E13" i="2"/>
  <c r="E8" i="2"/>
  <c r="E10" i="2" s="1"/>
  <c r="D15" i="2"/>
  <c r="D64" i="2" s="1"/>
  <c r="D14" i="2"/>
  <c r="D63" i="2" s="1"/>
  <c r="D13" i="2"/>
  <c r="D8" i="2"/>
  <c r="D10" i="2" s="1"/>
  <c r="K30" i="2"/>
  <c r="K29" i="2"/>
  <c r="K28" i="2"/>
  <c r="K27" i="2"/>
  <c r="K26" i="2"/>
  <c r="K25" i="2"/>
  <c r="K23" i="2"/>
  <c r="K22" i="2"/>
  <c r="K20" i="2"/>
  <c r="K19" i="2"/>
  <c r="K18" i="2"/>
  <c r="K9" i="2"/>
  <c r="K7" i="2"/>
  <c r="P30" i="2"/>
  <c r="P29" i="2"/>
  <c r="P28" i="2"/>
  <c r="P27" i="2"/>
  <c r="P26" i="2"/>
  <c r="P25" i="2"/>
  <c r="P23" i="2"/>
  <c r="P20" i="2"/>
  <c r="P19" i="2"/>
  <c r="P18" i="2"/>
  <c r="P9" i="2"/>
  <c r="P7" i="2"/>
  <c r="J15" i="2"/>
  <c r="J64" i="2" s="1"/>
  <c r="J14" i="2"/>
  <c r="J63" i="2" s="1"/>
  <c r="J13" i="2"/>
  <c r="J8" i="2"/>
  <c r="J10" i="2" s="1"/>
  <c r="O15" i="2"/>
  <c r="O14" i="2"/>
  <c r="O13" i="2"/>
  <c r="O8" i="2"/>
  <c r="O10" i="2" s="1"/>
  <c r="I15" i="2"/>
  <c r="I14" i="2"/>
  <c r="I63" i="2" s="1"/>
  <c r="I13" i="2"/>
  <c r="I8" i="2"/>
  <c r="I10" i="2" s="1"/>
  <c r="N15" i="2"/>
  <c r="N14" i="2"/>
  <c r="N13" i="2"/>
  <c r="N8" i="2"/>
  <c r="N10" i="2" s="1"/>
  <c r="M8" i="2"/>
  <c r="M10" i="2" s="1"/>
  <c r="H15" i="2"/>
  <c r="H14" i="2"/>
  <c r="H63" i="2" s="1"/>
  <c r="H13" i="2"/>
  <c r="H8" i="2"/>
  <c r="H10" i="2" s="1"/>
  <c r="M15" i="2"/>
  <c r="M14" i="2"/>
  <c r="M13" i="2"/>
  <c r="G15" i="2"/>
  <c r="G64" i="2" s="1"/>
  <c r="G14" i="2"/>
  <c r="G13" i="2"/>
  <c r="G8" i="2"/>
  <c r="G10" i="2" s="1"/>
  <c r="L15" i="2"/>
  <c r="L14" i="2"/>
  <c r="L13" i="2"/>
  <c r="L8" i="2"/>
  <c r="L10" i="2" s="1"/>
  <c r="U30" i="2"/>
  <c r="U28" i="2"/>
  <c r="U27" i="2"/>
  <c r="U26" i="2"/>
  <c r="U23" i="2"/>
  <c r="U22" i="2"/>
  <c r="U19" i="2"/>
  <c r="U18" i="2"/>
  <c r="U9" i="2"/>
  <c r="U7" i="2"/>
  <c r="T29" i="2"/>
  <c r="U29" i="2" s="1"/>
  <c r="T20" i="2"/>
  <c r="U20" i="2" s="1"/>
  <c r="T15" i="2"/>
  <c r="T14" i="2"/>
  <c r="T13" i="2"/>
  <c r="T8" i="2"/>
  <c r="T10" i="2" s="1"/>
  <c r="S15" i="2"/>
  <c r="S14" i="2"/>
  <c r="R15" i="2"/>
  <c r="R14" i="2"/>
  <c r="Q15" i="2"/>
  <c r="Q14" i="2"/>
  <c r="Z30" i="2"/>
  <c r="Z28" i="2"/>
  <c r="Z27" i="2"/>
  <c r="Z26" i="2"/>
  <c r="Z23" i="2"/>
  <c r="Z22" i="2"/>
  <c r="Z19" i="2"/>
  <c r="Z18" i="2"/>
  <c r="Z7" i="2"/>
  <c r="Y20" i="2"/>
  <c r="Z20" i="2" s="1"/>
  <c r="Y29" i="2"/>
  <c r="Z29" i="2" s="1"/>
  <c r="Y15" i="2"/>
  <c r="Y14" i="2"/>
  <c r="Y13" i="2"/>
  <c r="Y8" i="2"/>
  <c r="Y10" i="2" s="1"/>
  <c r="AD15" i="2"/>
  <c r="AD14" i="2"/>
  <c r="X15" i="2"/>
  <c r="X14" i="2"/>
  <c r="AC15" i="2"/>
  <c r="AC14" i="2"/>
  <c r="W15" i="2"/>
  <c r="W14" i="2"/>
  <c r="AB15" i="2"/>
  <c r="AB14" i="2"/>
  <c r="V14" i="2"/>
  <c r="V15" i="2"/>
  <c r="AA15" i="2"/>
  <c r="AA14" i="2"/>
  <c r="AA8" i="2"/>
  <c r="AA10" i="2" s="1"/>
  <c r="AJ12" i="2"/>
  <c r="AI15" i="2"/>
  <c r="AI14" i="2"/>
  <c r="AN20" i="2"/>
  <c r="AH15" i="2"/>
  <c r="AH14" i="2"/>
  <c r="AM14" i="2"/>
  <c r="AR49" i="2" s="1"/>
  <c r="AM13" i="2"/>
  <c r="AR48" i="2" s="1"/>
  <c r="AM9" i="2"/>
  <c r="AL9" i="5"/>
  <c r="B10" i="2" l="1"/>
  <c r="B11" i="2" s="1"/>
  <c r="B60" i="2" s="1"/>
  <c r="C10" i="2"/>
  <c r="C11" i="2" s="1"/>
  <c r="C60" i="2" s="1"/>
  <c r="C16" i="2"/>
  <c r="C65" i="2" s="1"/>
  <c r="W50" i="2"/>
  <c r="Z45" i="2"/>
  <c r="AI50" i="2"/>
  <c r="O50" i="2"/>
  <c r="Y46" i="2"/>
  <c r="R50" i="2"/>
  <c r="N48" i="2"/>
  <c r="S50" i="2"/>
  <c r="Y48" i="2"/>
  <c r="U45" i="2"/>
  <c r="T46" i="2"/>
  <c r="Q50" i="2"/>
  <c r="AH50" i="2"/>
  <c r="P45" i="2"/>
  <c r="T48" i="2"/>
  <c r="R63" i="2"/>
  <c r="R49" i="2"/>
  <c r="L64" i="2"/>
  <c r="L50" i="2"/>
  <c r="S63" i="2"/>
  <c r="S49" i="2"/>
  <c r="AI63" i="2"/>
  <c r="AI49" i="2"/>
  <c r="AC64" i="2"/>
  <c r="AC50" i="2"/>
  <c r="N63" i="2"/>
  <c r="N49" i="2"/>
  <c r="X63" i="2"/>
  <c r="X49" i="2"/>
  <c r="N64" i="2"/>
  <c r="N50" i="2"/>
  <c r="X64" i="2"/>
  <c r="X50" i="2"/>
  <c r="AC63" i="2"/>
  <c r="AC49" i="2"/>
  <c r="M48" i="2"/>
  <c r="AA63" i="2"/>
  <c r="AA49" i="2"/>
  <c r="AD63" i="2"/>
  <c r="AD49" i="2"/>
  <c r="M63" i="2"/>
  <c r="M49" i="2"/>
  <c r="K45" i="2"/>
  <c r="AA64" i="2"/>
  <c r="AA50" i="2"/>
  <c r="AD64" i="2"/>
  <c r="AD50" i="2"/>
  <c r="T63" i="2"/>
  <c r="T49" i="2"/>
  <c r="M64" i="2"/>
  <c r="M50" i="2"/>
  <c r="T50" i="2"/>
  <c r="V50" i="2"/>
  <c r="L46" i="2"/>
  <c r="O46" i="2"/>
  <c r="W63" i="2"/>
  <c r="W49" i="2"/>
  <c r="AM49" i="2"/>
  <c r="AB63" i="2"/>
  <c r="AB49" i="2"/>
  <c r="Y63" i="2"/>
  <c r="Y49" i="2"/>
  <c r="L48" i="2"/>
  <c r="O48" i="2"/>
  <c r="V63" i="2"/>
  <c r="V49" i="2"/>
  <c r="AH63" i="2"/>
  <c r="AH49" i="2"/>
  <c r="AB64" i="2"/>
  <c r="AB50" i="2"/>
  <c r="Y64" i="2"/>
  <c r="Y50" i="2"/>
  <c r="Q63" i="2"/>
  <c r="Q49" i="2"/>
  <c r="L63" i="2"/>
  <c r="L49" i="2"/>
  <c r="O63" i="2"/>
  <c r="O49" i="2"/>
  <c r="AP11" i="2"/>
  <c r="T16" i="2"/>
  <c r="Y16" i="2"/>
  <c r="H16" i="2"/>
  <c r="G16" i="2"/>
  <c r="G65" i="2" s="1"/>
  <c r="N62" i="2"/>
  <c r="N16" i="2"/>
  <c r="N65" i="2" s="1"/>
  <c r="J62" i="2"/>
  <c r="J16" i="2"/>
  <c r="J65" i="2" s="1"/>
  <c r="B62" i="2"/>
  <c r="B16" i="2"/>
  <c r="C62" i="2"/>
  <c r="D62" i="2"/>
  <c r="D16" i="2"/>
  <c r="D65" i="2" s="1"/>
  <c r="L62" i="2"/>
  <c r="L16" i="2"/>
  <c r="O62" i="2"/>
  <c r="O16" i="2"/>
  <c r="O65" i="2" s="1"/>
  <c r="M62" i="2"/>
  <c r="M16" i="2"/>
  <c r="I62" i="2"/>
  <c r="I16" i="2"/>
  <c r="AM62" i="2"/>
  <c r="E62" i="2"/>
  <c r="E16" i="2"/>
  <c r="E65" i="2" s="1"/>
  <c r="AP64" i="2"/>
  <c r="AP16" i="2"/>
  <c r="AP65" i="2" s="1"/>
  <c r="V64" i="2"/>
  <c r="T64" i="2"/>
  <c r="I50" i="2"/>
  <c r="I64" i="2"/>
  <c r="W64" i="2"/>
  <c r="Y62" i="2"/>
  <c r="H48" i="2"/>
  <c r="H62" i="2"/>
  <c r="AM63" i="2"/>
  <c r="H50" i="2"/>
  <c r="H64" i="2"/>
  <c r="Q64" i="2"/>
  <c r="O64" i="2"/>
  <c r="R64" i="2"/>
  <c r="G48" i="2"/>
  <c r="G62" i="2"/>
  <c r="AI64" i="2"/>
  <c r="G49" i="2"/>
  <c r="G63" i="2"/>
  <c r="S64" i="2"/>
  <c r="T62" i="2"/>
  <c r="AH64" i="2"/>
  <c r="J48" i="2"/>
  <c r="G50" i="2"/>
  <c r="J50" i="2"/>
  <c r="Y11" i="2"/>
  <c r="O11" i="2"/>
  <c r="H49" i="2"/>
  <c r="AU15" i="2"/>
  <c r="G11" i="2"/>
  <c r="AA11" i="2"/>
  <c r="T11" i="2"/>
  <c r="I48" i="2"/>
  <c r="AE15" i="2"/>
  <c r="F15" i="2"/>
  <c r="F64" i="2" s="1"/>
  <c r="F26" i="2"/>
  <c r="K14" i="2"/>
  <c r="K15" i="2"/>
  <c r="Z14" i="2"/>
  <c r="F13" i="2"/>
  <c r="P15" i="2"/>
  <c r="U15" i="2"/>
  <c r="P13" i="2"/>
  <c r="F14" i="2"/>
  <c r="Z15" i="2"/>
  <c r="P14" i="2"/>
  <c r="F8" i="2"/>
  <c r="K8" i="2"/>
  <c r="K10" i="2" s="1"/>
  <c r="U14" i="2"/>
  <c r="K13" i="2"/>
  <c r="P8" i="2"/>
  <c r="P10" i="2" s="1"/>
  <c r="AG14" i="2"/>
  <c r="AG15" i="2"/>
  <c r="AG50" i="2" s="1"/>
  <c r="AL15" i="2"/>
  <c r="AL14" i="2"/>
  <c r="M11" i="2"/>
  <c r="L11" i="2"/>
  <c r="M46" i="2"/>
  <c r="E11" i="2"/>
  <c r="D11" i="2"/>
  <c r="AF15" i="2"/>
  <c r="AF50" i="2" s="1"/>
  <c r="AF9" i="2"/>
  <c r="AF14" i="2"/>
  <c r="AK15" i="2"/>
  <c r="AK14" i="2"/>
  <c r="AK13" i="2"/>
  <c r="M51" i="2" l="1"/>
  <c r="M65" i="2"/>
  <c r="L51" i="2"/>
  <c r="L65" i="2"/>
  <c r="C17" i="2"/>
  <c r="C66" i="2" s="1"/>
  <c r="F10" i="2"/>
  <c r="F11" i="2" s="1"/>
  <c r="H51" i="2"/>
  <c r="H65" i="2"/>
  <c r="Y51" i="2"/>
  <c r="Y65" i="2"/>
  <c r="T51" i="2"/>
  <c r="T65" i="2"/>
  <c r="G46" i="2"/>
  <c r="I51" i="2"/>
  <c r="I65" i="2"/>
  <c r="B17" i="2"/>
  <c r="B66" i="2" s="1"/>
  <c r="B65" i="2"/>
  <c r="J51" i="2"/>
  <c r="O51" i="2"/>
  <c r="N51" i="2"/>
  <c r="G51" i="2"/>
  <c r="F63" i="2"/>
  <c r="AK50" i="2"/>
  <c r="AU16" i="2"/>
  <c r="N46" i="2"/>
  <c r="P46" i="2"/>
  <c r="AF63" i="2"/>
  <c r="AF49" i="2"/>
  <c r="U64" i="2"/>
  <c r="U50" i="2"/>
  <c r="Z63" i="2"/>
  <c r="Z49" i="2"/>
  <c r="U63" i="2"/>
  <c r="U49" i="2"/>
  <c r="K63" i="2"/>
  <c r="K49" i="2"/>
  <c r="O60" i="2"/>
  <c r="AA60" i="2"/>
  <c r="AG63" i="2"/>
  <c r="AG49" i="2"/>
  <c r="Y47" i="2"/>
  <c r="K64" i="2"/>
  <c r="K50" i="2"/>
  <c r="AP50" i="2"/>
  <c r="AL50" i="2"/>
  <c r="AQ50" i="2"/>
  <c r="K48" i="2"/>
  <c r="P63" i="2"/>
  <c r="P49" i="2"/>
  <c r="AE50" i="2"/>
  <c r="P64" i="2"/>
  <c r="P50" i="2"/>
  <c r="L47" i="2"/>
  <c r="Z64" i="2"/>
  <c r="Z50" i="2"/>
  <c r="AP48" i="2"/>
  <c r="AP60" i="2"/>
  <c r="AZ60" i="2" s="1"/>
  <c r="BE60" i="2" s="1"/>
  <c r="AK49" i="2"/>
  <c r="AP49" i="2"/>
  <c r="AL49" i="2"/>
  <c r="AQ49" i="2"/>
  <c r="P48" i="2"/>
  <c r="T17" i="2"/>
  <c r="T47" i="2"/>
  <c r="AL64" i="2"/>
  <c r="AK16" i="2"/>
  <c r="G17" i="2"/>
  <c r="D17" i="2"/>
  <c r="D66" i="2" s="1"/>
  <c r="E17" i="2"/>
  <c r="P62" i="2"/>
  <c r="P16" i="2"/>
  <c r="P80" i="2" s="1"/>
  <c r="F62" i="2"/>
  <c r="F16" i="2"/>
  <c r="F80" i="2" s="1"/>
  <c r="M60" i="2"/>
  <c r="M17" i="2"/>
  <c r="Y60" i="2"/>
  <c r="Y17" i="2"/>
  <c r="K62" i="2"/>
  <c r="K16" i="2"/>
  <c r="K65" i="2" s="1"/>
  <c r="O17" i="2"/>
  <c r="L60" i="2"/>
  <c r="L17" i="2"/>
  <c r="AP17" i="2"/>
  <c r="AG64" i="2"/>
  <c r="G47" i="2"/>
  <c r="G60" i="2"/>
  <c r="G61" i="2" s="1"/>
  <c r="E60" i="2"/>
  <c r="AF64" i="2"/>
  <c r="D60" i="2"/>
  <c r="T60" i="2"/>
  <c r="AW13" i="2"/>
  <c r="AV14" i="2"/>
  <c r="AL63" i="2"/>
  <c r="H11" i="2"/>
  <c r="H17" i="2" s="1"/>
  <c r="H46" i="2"/>
  <c r="I11" i="2"/>
  <c r="I60" i="2" s="1"/>
  <c r="I46" i="2"/>
  <c r="P11" i="2"/>
  <c r="K11" i="2"/>
  <c r="J46" i="2"/>
  <c r="AZ15" i="2"/>
  <c r="AZ16" i="2" s="1"/>
  <c r="N11" i="2"/>
  <c r="AJ15" i="2"/>
  <c r="AJ50" i="2" s="1"/>
  <c r="AJ14" i="2"/>
  <c r="AH13" i="2"/>
  <c r="K5" i="2"/>
  <c r="K5" i="8" s="1"/>
  <c r="BJ60" i="2" l="1"/>
  <c r="BO60" i="2" s="1"/>
  <c r="BT60" i="2" s="1"/>
  <c r="BY60" i="2" s="1"/>
  <c r="CD60" i="2" s="1"/>
  <c r="CI60" i="2" s="1"/>
  <c r="C21" i="2"/>
  <c r="C71" i="2" s="1"/>
  <c r="F78" i="2"/>
  <c r="F60" i="2"/>
  <c r="P51" i="2"/>
  <c r="P65" i="2"/>
  <c r="F17" i="2"/>
  <c r="F66" i="2" s="1"/>
  <c r="F65" i="2"/>
  <c r="K46" i="2"/>
  <c r="B21" i="2"/>
  <c r="AU51" i="2"/>
  <c r="K51" i="2"/>
  <c r="AP51" i="2"/>
  <c r="AZ51" i="2"/>
  <c r="P78" i="2"/>
  <c r="K47" i="2"/>
  <c r="K78" i="2"/>
  <c r="N47" i="2"/>
  <c r="M52" i="2"/>
  <c r="M47" i="2"/>
  <c r="AU61" i="2"/>
  <c r="Y66" i="2"/>
  <c r="Y52" i="2"/>
  <c r="T61" i="2"/>
  <c r="P47" i="2"/>
  <c r="T52" i="2"/>
  <c r="AM48" i="2"/>
  <c r="AJ63" i="2"/>
  <c r="L66" i="2"/>
  <c r="L52" i="2"/>
  <c r="K17" i="2"/>
  <c r="K21" i="2" s="1"/>
  <c r="K71" i="2" s="1"/>
  <c r="P17" i="2"/>
  <c r="Y21" i="2"/>
  <c r="I17" i="2"/>
  <c r="N60" i="2"/>
  <c r="N61" i="2" s="1"/>
  <c r="N17" i="2"/>
  <c r="AH62" i="2"/>
  <c r="AH16" i="2"/>
  <c r="AH65" i="2" s="1"/>
  <c r="I61" i="2"/>
  <c r="D21" i="2"/>
  <c r="D42" i="2"/>
  <c r="L61" i="2"/>
  <c r="BB13" i="2"/>
  <c r="C70" i="2"/>
  <c r="E21" i="2"/>
  <c r="E71" i="2" s="1"/>
  <c r="E66" i="2"/>
  <c r="P60" i="2"/>
  <c r="G42" i="2"/>
  <c r="G66" i="2"/>
  <c r="G67" i="2" s="1"/>
  <c r="K60" i="2"/>
  <c r="Y61" i="2"/>
  <c r="AJ64" i="2"/>
  <c r="M21" i="2"/>
  <c r="M71" i="2" s="1"/>
  <c r="M66" i="2"/>
  <c r="H47" i="2"/>
  <c r="H60" i="2"/>
  <c r="I47" i="2"/>
  <c r="BE15" i="2"/>
  <c r="BE16" i="2" s="1"/>
  <c r="BA14" i="2"/>
  <c r="BF14" i="2" s="1"/>
  <c r="G21" i="2"/>
  <c r="G71" i="2" s="1"/>
  <c r="G52" i="2"/>
  <c r="L42" i="2"/>
  <c r="L21" i="2"/>
  <c r="L71" i="2" s="1"/>
  <c r="AV15" i="2"/>
  <c r="P5" i="2"/>
  <c r="P5" i="8" s="1"/>
  <c r="K5" i="3"/>
  <c r="K5" i="5"/>
  <c r="K5" i="4"/>
  <c r="C24" i="2" l="1"/>
  <c r="C72" i="2" s="1"/>
  <c r="K61" i="2"/>
  <c r="B24" i="2"/>
  <c r="B71" i="2"/>
  <c r="Y24" i="2"/>
  <c r="Y31" i="2" s="1"/>
  <c r="Y71" i="2"/>
  <c r="D70" i="2"/>
  <c r="D71" i="2"/>
  <c r="B70" i="2"/>
  <c r="F21" i="2"/>
  <c r="F71" i="2" s="1"/>
  <c r="F42" i="2"/>
  <c r="BE51" i="2"/>
  <c r="N52" i="2"/>
  <c r="L54" i="2"/>
  <c r="L53" i="2"/>
  <c r="P42" i="2"/>
  <c r="P52" i="2"/>
  <c r="K66" i="2"/>
  <c r="K67" i="2" s="1"/>
  <c r="K52" i="2"/>
  <c r="P21" i="2"/>
  <c r="P66" i="2"/>
  <c r="P61" i="2"/>
  <c r="H21" i="2"/>
  <c r="H71" i="2" s="1"/>
  <c r="H66" i="2"/>
  <c r="H67" i="2" s="1"/>
  <c r="H61" i="2"/>
  <c r="M61" i="2"/>
  <c r="N21" i="2"/>
  <c r="N71" i="2" s="1"/>
  <c r="N66" i="2"/>
  <c r="B31" i="2"/>
  <c r="B72" i="2"/>
  <c r="L67" i="2"/>
  <c r="I21" i="2"/>
  <c r="I71" i="2" s="1"/>
  <c r="I66" i="2"/>
  <c r="I67" i="2" s="1"/>
  <c r="BG13" i="2"/>
  <c r="H52" i="2"/>
  <c r="BA15" i="2"/>
  <c r="BJ15" i="2"/>
  <c r="BJ16" i="2" s="1"/>
  <c r="G54" i="2"/>
  <c r="G24" i="2"/>
  <c r="G72" i="2" s="1"/>
  <c r="K24" i="2"/>
  <c r="K72" i="2" s="1"/>
  <c r="U5" i="2"/>
  <c r="U5" i="8" s="1"/>
  <c r="P5" i="4"/>
  <c r="P5" i="5"/>
  <c r="P5" i="3"/>
  <c r="C31" i="2" l="1"/>
  <c r="Y72" i="2"/>
  <c r="F24" i="2"/>
  <c r="F72" i="2" s="1"/>
  <c r="P24" i="2"/>
  <c r="P71" i="2"/>
  <c r="K54" i="2"/>
  <c r="BJ51" i="2"/>
  <c r="P67" i="2"/>
  <c r="P54" i="2"/>
  <c r="M54" i="2"/>
  <c r="N54" i="2"/>
  <c r="P72" i="2"/>
  <c r="M67" i="2"/>
  <c r="H54" i="2"/>
  <c r="N67" i="2"/>
  <c r="BL13" i="2"/>
  <c r="G36" i="2"/>
  <c r="G37" i="2"/>
  <c r="G55" i="2"/>
  <c r="K31" i="2"/>
  <c r="K36" i="2"/>
  <c r="K37" i="2"/>
  <c r="BO15" i="2"/>
  <c r="BO16" i="2" s="1"/>
  <c r="BF15" i="2"/>
  <c r="BK14" i="2"/>
  <c r="Z5" i="2"/>
  <c r="Z5" i="8" s="1"/>
  <c r="U5" i="4"/>
  <c r="U5" i="5"/>
  <c r="U5" i="3"/>
  <c r="AP306" i="3"/>
  <c r="AS166" i="3"/>
  <c r="AR166" i="3"/>
  <c r="AQ166" i="3"/>
  <c r="AP166" i="3"/>
  <c r="AN166" i="3"/>
  <c r="AM166" i="3"/>
  <c r="AL166" i="3"/>
  <c r="AK166" i="3"/>
  <c r="AS165" i="3"/>
  <c r="AR165" i="3"/>
  <c r="AQ165" i="3"/>
  <c r="AP165" i="3"/>
  <c r="AN165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AO27" i="3"/>
  <c r="AJ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Y24" i="3"/>
  <c r="X24" i="3"/>
  <c r="W24" i="3"/>
  <c r="V24" i="3"/>
  <c r="T24" i="3"/>
  <c r="S24" i="3"/>
  <c r="R24" i="3"/>
  <c r="Q24" i="3"/>
  <c r="O24" i="3"/>
  <c r="N24" i="3"/>
  <c r="M24" i="3"/>
  <c r="L24" i="3"/>
  <c r="J24" i="3"/>
  <c r="I24" i="3"/>
  <c r="H24" i="3"/>
  <c r="G30" i="3"/>
  <c r="G33" i="3"/>
  <c r="G27" i="3"/>
  <c r="G24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AN13" i="3"/>
  <c r="AM13" i="3"/>
  <c r="AL13" i="3"/>
  <c r="AK13" i="3"/>
  <c r="AI13" i="3"/>
  <c r="AH13" i="3"/>
  <c r="AG13" i="3"/>
  <c r="AF13" i="3"/>
  <c r="AD13" i="3"/>
  <c r="AC13" i="3"/>
  <c r="AB13" i="3"/>
  <c r="AA13" i="3"/>
  <c r="Y13" i="3"/>
  <c r="X13" i="3"/>
  <c r="W13" i="3"/>
  <c r="V13" i="3"/>
  <c r="T13" i="3"/>
  <c r="S13" i="3"/>
  <c r="R13" i="3"/>
  <c r="Q13" i="3"/>
  <c r="O13" i="3"/>
  <c r="N13" i="3"/>
  <c r="M13" i="3"/>
  <c r="L13" i="3"/>
  <c r="J13" i="3"/>
  <c r="I13" i="3"/>
  <c r="H13" i="3"/>
  <c r="AN10" i="3"/>
  <c r="AM10" i="3"/>
  <c r="AL10" i="3"/>
  <c r="AK10" i="3"/>
  <c r="AI10" i="3"/>
  <c r="AH10" i="3"/>
  <c r="AG10" i="3"/>
  <c r="AF10" i="3"/>
  <c r="AD10" i="3"/>
  <c r="AC10" i="3"/>
  <c r="AB10" i="3"/>
  <c r="AA10" i="3"/>
  <c r="Y10" i="3"/>
  <c r="X10" i="3"/>
  <c r="W10" i="3"/>
  <c r="T10" i="3"/>
  <c r="S10" i="3"/>
  <c r="R10" i="3"/>
  <c r="Q10" i="3"/>
  <c r="O10" i="3"/>
  <c r="N10" i="3"/>
  <c r="M10" i="3"/>
  <c r="L10" i="3"/>
  <c r="J10" i="3"/>
  <c r="I10" i="3"/>
  <c r="H10" i="3"/>
  <c r="G16" i="3"/>
  <c r="G13" i="3"/>
  <c r="G10" i="3"/>
  <c r="AS69" i="3"/>
  <c r="AR69" i="3"/>
  <c r="AQ69" i="3"/>
  <c r="AP69" i="3"/>
  <c r="AN69" i="3"/>
  <c r="AL69" i="3"/>
  <c r="AK69" i="3"/>
  <c r="AI69" i="3"/>
  <c r="AH69" i="3"/>
  <c r="AG69" i="3"/>
  <c r="AF69" i="3"/>
  <c r="AD69" i="3"/>
  <c r="AC69" i="3"/>
  <c r="AB69" i="3"/>
  <c r="AA69" i="3"/>
  <c r="Y69" i="3"/>
  <c r="X69" i="3"/>
  <c r="W69" i="3"/>
  <c r="V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BC66" i="3"/>
  <c r="BB66" i="3"/>
  <c r="BA66" i="3"/>
  <c r="AZ66" i="3"/>
  <c r="AX66" i="3"/>
  <c r="AW66" i="3"/>
  <c r="AV66" i="3"/>
  <c r="AU66" i="3"/>
  <c r="AS66" i="3"/>
  <c r="AR66" i="3"/>
  <c r="AQ66" i="3"/>
  <c r="AP66" i="3"/>
  <c r="AN66" i="3"/>
  <c r="AM66" i="3"/>
  <c r="AL66" i="3"/>
  <c r="AK66" i="3"/>
  <c r="AI66" i="3"/>
  <c r="AH66" i="3"/>
  <c r="AG66" i="3"/>
  <c r="AF66" i="3"/>
  <c r="AD66" i="3"/>
  <c r="AC66" i="3"/>
  <c r="AB66" i="3"/>
  <c r="AA66" i="3"/>
  <c r="Y66" i="3"/>
  <c r="X66" i="3"/>
  <c r="W66" i="3"/>
  <c r="V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CL63" i="3"/>
  <c r="CK63" i="3"/>
  <c r="CJ63" i="3"/>
  <c r="CI63" i="3"/>
  <c r="AX63" i="3"/>
  <c r="AW63" i="3"/>
  <c r="AV63" i="3"/>
  <c r="AU63" i="3"/>
  <c r="AS63" i="3"/>
  <c r="AR63" i="3"/>
  <c r="AQ63" i="3"/>
  <c r="AP63" i="3"/>
  <c r="AN63" i="3"/>
  <c r="AM63" i="3"/>
  <c r="AL63" i="3"/>
  <c r="AK63" i="3"/>
  <c r="AI63" i="3"/>
  <c r="AH63" i="3"/>
  <c r="AG63" i="3"/>
  <c r="AF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P86" i="3"/>
  <c r="O86" i="3"/>
  <c r="N86" i="3"/>
  <c r="M86" i="3"/>
  <c r="L86" i="3"/>
  <c r="K86" i="3"/>
  <c r="J86" i="3"/>
  <c r="I86" i="3"/>
  <c r="H86" i="3"/>
  <c r="P83" i="3"/>
  <c r="O83" i="3"/>
  <c r="N83" i="3"/>
  <c r="M83" i="3"/>
  <c r="L83" i="3"/>
  <c r="K83" i="3"/>
  <c r="J83" i="3"/>
  <c r="I83" i="3"/>
  <c r="H83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I80" i="3"/>
  <c r="H80" i="3"/>
  <c r="AI77" i="3"/>
  <c r="AH77" i="3"/>
  <c r="AG77" i="3"/>
  <c r="AD77" i="3"/>
  <c r="AC77" i="3"/>
  <c r="AB77" i="3"/>
  <c r="AA77" i="3"/>
  <c r="Y77" i="3"/>
  <c r="X77" i="3"/>
  <c r="W77" i="3"/>
  <c r="V77" i="3"/>
  <c r="T77" i="3"/>
  <c r="S77" i="3"/>
  <c r="R77" i="3"/>
  <c r="Q77" i="3"/>
  <c r="O77" i="3"/>
  <c r="N77" i="3"/>
  <c r="M77" i="3"/>
  <c r="L77" i="3"/>
  <c r="J77" i="3"/>
  <c r="I77" i="3"/>
  <c r="H77" i="3"/>
  <c r="G86" i="3"/>
  <c r="G83" i="3"/>
  <c r="G80" i="3"/>
  <c r="G69" i="3"/>
  <c r="G66" i="3"/>
  <c r="G63" i="3"/>
  <c r="P52" i="3"/>
  <c r="O52" i="3"/>
  <c r="N52" i="3"/>
  <c r="M52" i="3"/>
  <c r="L52" i="3"/>
  <c r="K52" i="3"/>
  <c r="J52" i="3"/>
  <c r="I52" i="3"/>
  <c r="H52" i="3"/>
  <c r="P49" i="3"/>
  <c r="O49" i="3"/>
  <c r="N49" i="3"/>
  <c r="M49" i="3"/>
  <c r="L49" i="3"/>
  <c r="K49" i="3"/>
  <c r="J49" i="3"/>
  <c r="I49" i="3"/>
  <c r="H49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52" i="3"/>
  <c r="G49" i="3"/>
  <c r="G46" i="3"/>
  <c r="AL254" i="3"/>
  <c r="CL242" i="3"/>
  <c r="CK242" i="3"/>
  <c r="CJ242" i="3"/>
  <c r="CI242" i="3"/>
  <c r="CG242" i="3"/>
  <c r="CF242" i="3"/>
  <c r="CE242" i="3"/>
  <c r="CD242" i="3"/>
  <c r="CB242" i="3"/>
  <c r="CA242" i="3"/>
  <c r="BZ242" i="3"/>
  <c r="BY242" i="3"/>
  <c r="BW242" i="3"/>
  <c r="BV242" i="3"/>
  <c r="BU242" i="3"/>
  <c r="BT242" i="3"/>
  <c r="BR242" i="3"/>
  <c r="BQ242" i="3"/>
  <c r="BP242" i="3"/>
  <c r="BO242" i="3"/>
  <c r="BM242" i="3"/>
  <c r="BL242" i="3"/>
  <c r="BK242" i="3"/>
  <c r="BJ242" i="3"/>
  <c r="BH242" i="3"/>
  <c r="BG242" i="3"/>
  <c r="BF242" i="3"/>
  <c r="BE242" i="3"/>
  <c r="BC242" i="3"/>
  <c r="BB242" i="3"/>
  <c r="BA242" i="3"/>
  <c r="AZ242" i="3"/>
  <c r="AX242" i="3"/>
  <c r="AW242" i="3"/>
  <c r="AV242" i="3"/>
  <c r="AU242" i="3"/>
  <c r="AS242" i="3"/>
  <c r="AR242" i="3"/>
  <c r="AQ242" i="3"/>
  <c r="AP242" i="3"/>
  <c r="AN242" i="3"/>
  <c r="AM242" i="3"/>
  <c r="AL242" i="3"/>
  <c r="CL241" i="3"/>
  <c r="CK241" i="3"/>
  <c r="CJ241" i="3"/>
  <c r="CI241" i="3"/>
  <c r="CG241" i="3"/>
  <c r="CF241" i="3"/>
  <c r="CE241" i="3"/>
  <c r="CD241" i="3"/>
  <c r="CB241" i="3"/>
  <c r="CA241" i="3"/>
  <c r="BZ241" i="3"/>
  <c r="BY241" i="3"/>
  <c r="BW241" i="3"/>
  <c r="BV241" i="3"/>
  <c r="BU241" i="3"/>
  <c r="BT241" i="3"/>
  <c r="BR241" i="3"/>
  <c r="BQ241" i="3"/>
  <c r="BP241" i="3"/>
  <c r="BO241" i="3"/>
  <c r="BM241" i="3"/>
  <c r="BL241" i="3"/>
  <c r="BK241" i="3"/>
  <c r="BJ241" i="3"/>
  <c r="BH241" i="3"/>
  <c r="BG241" i="3"/>
  <c r="BF241" i="3"/>
  <c r="BE241" i="3"/>
  <c r="BC241" i="3"/>
  <c r="BB241" i="3"/>
  <c r="BA241" i="3"/>
  <c r="AZ241" i="3"/>
  <c r="AX241" i="3"/>
  <c r="AW241" i="3"/>
  <c r="AV241" i="3"/>
  <c r="AU241" i="3"/>
  <c r="AS241" i="3"/>
  <c r="AR241" i="3"/>
  <c r="AQ241" i="3"/>
  <c r="AP241" i="3"/>
  <c r="CL230" i="3"/>
  <c r="CK230" i="3"/>
  <c r="CJ230" i="3"/>
  <c r="CI230" i="3"/>
  <c r="CG230" i="3"/>
  <c r="CF230" i="3"/>
  <c r="CE230" i="3"/>
  <c r="CD230" i="3"/>
  <c r="CB230" i="3"/>
  <c r="CA230" i="3"/>
  <c r="BZ230" i="3"/>
  <c r="BY230" i="3"/>
  <c r="BW230" i="3"/>
  <c r="BV230" i="3"/>
  <c r="BU230" i="3"/>
  <c r="BT230" i="3"/>
  <c r="BR230" i="3"/>
  <c r="BQ230" i="3"/>
  <c r="BP230" i="3"/>
  <c r="BO230" i="3"/>
  <c r="BM230" i="3"/>
  <c r="BL230" i="3"/>
  <c r="BK230" i="3"/>
  <c r="BJ230" i="3"/>
  <c r="BH230" i="3"/>
  <c r="BG230" i="3"/>
  <c r="BF230" i="3"/>
  <c r="BE230" i="3"/>
  <c r="BC230" i="3"/>
  <c r="BB230" i="3"/>
  <c r="BA230" i="3"/>
  <c r="AZ230" i="3"/>
  <c r="AX230" i="3"/>
  <c r="AW230" i="3"/>
  <c r="AV230" i="3"/>
  <c r="AU230" i="3"/>
  <c r="AS230" i="3"/>
  <c r="AR230" i="3"/>
  <c r="AQ230" i="3"/>
  <c r="AP230" i="3"/>
  <c r="AN230" i="3"/>
  <c r="AM230" i="3"/>
  <c r="AL230" i="3"/>
  <c r="CL229" i="3"/>
  <c r="CK229" i="3"/>
  <c r="CJ229" i="3"/>
  <c r="CI229" i="3"/>
  <c r="CG229" i="3"/>
  <c r="CF229" i="3"/>
  <c r="CE229" i="3"/>
  <c r="CD229" i="3"/>
  <c r="CB229" i="3"/>
  <c r="CA229" i="3"/>
  <c r="BZ229" i="3"/>
  <c r="BY229" i="3"/>
  <c r="BW229" i="3"/>
  <c r="BV229" i="3"/>
  <c r="BU229" i="3"/>
  <c r="BT229" i="3"/>
  <c r="BR229" i="3"/>
  <c r="BQ229" i="3"/>
  <c r="BP229" i="3"/>
  <c r="BO229" i="3"/>
  <c r="BM229" i="3"/>
  <c r="BL229" i="3"/>
  <c r="BK229" i="3"/>
  <c r="BJ229" i="3"/>
  <c r="BH229" i="3"/>
  <c r="BG229" i="3"/>
  <c r="BF229" i="3"/>
  <c r="BE229" i="3"/>
  <c r="BC229" i="3"/>
  <c r="BB229" i="3"/>
  <c r="BA229" i="3"/>
  <c r="AZ229" i="3"/>
  <c r="AX229" i="3"/>
  <c r="AW229" i="3"/>
  <c r="AV229" i="3"/>
  <c r="AU229" i="3"/>
  <c r="AS229" i="3"/>
  <c r="AR229" i="3"/>
  <c r="AQ229" i="3"/>
  <c r="AP229" i="3"/>
  <c r="CL218" i="3"/>
  <c r="CK218" i="3"/>
  <c r="CJ218" i="3"/>
  <c r="CI218" i="3"/>
  <c r="CG218" i="3"/>
  <c r="CF218" i="3"/>
  <c r="CE218" i="3"/>
  <c r="CD218" i="3"/>
  <c r="CB218" i="3"/>
  <c r="CA218" i="3"/>
  <c r="BZ218" i="3"/>
  <c r="BY218" i="3"/>
  <c r="BW218" i="3"/>
  <c r="BV218" i="3"/>
  <c r="BU218" i="3"/>
  <c r="BT218" i="3"/>
  <c r="BR218" i="3"/>
  <c r="BQ218" i="3"/>
  <c r="BP218" i="3"/>
  <c r="BO218" i="3"/>
  <c r="BM218" i="3"/>
  <c r="BL218" i="3"/>
  <c r="BK218" i="3"/>
  <c r="BJ218" i="3"/>
  <c r="BH218" i="3"/>
  <c r="BG218" i="3"/>
  <c r="BF218" i="3"/>
  <c r="BE218" i="3"/>
  <c r="BC218" i="3"/>
  <c r="BB218" i="3"/>
  <c r="BA218" i="3"/>
  <c r="AZ218" i="3"/>
  <c r="AX218" i="3"/>
  <c r="AW218" i="3"/>
  <c r="AV218" i="3"/>
  <c r="AU218" i="3"/>
  <c r="AS218" i="3"/>
  <c r="AR218" i="3"/>
  <c r="AQ218" i="3"/>
  <c r="AP218" i="3"/>
  <c r="AN218" i="3"/>
  <c r="AM218" i="3"/>
  <c r="AL218" i="3"/>
  <c r="CL217" i="3"/>
  <c r="CK217" i="3"/>
  <c r="CJ217" i="3"/>
  <c r="CI217" i="3"/>
  <c r="CG217" i="3"/>
  <c r="CF217" i="3"/>
  <c r="CE217" i="3"/>
  <c r="CD217" i="3"/>
  <c r="CB217" i="3"/>
  <c r="CA217" i="3"/>
  <c r="BZ217" i="3"/>
  <c r="BY217" i="3"/>
  <c r="BW217" i="3"/>
  <c r="BV217" i="3"/>
  <c r="BU217" i="3"/>
  <c r="BT217" i="3"/>
  <c r="BR217" i="3"/>
  <c r="BQ217" i="3"/>
  <c r="BP217" i="3"/>
  <c r="BO217" i="3"/>
  <c r="BM217" i="3"/>
  <c r="BL217" i="3"/>
  <c r="BK217" i="3"/>
  <c r="BJ217" i="3"/>
  <c r="BH217" i="3"/>
  <c r="BG217" i="3"/>
  <c r="BF217" i="3"/>
  <c r="BE217" i="3"/>
  <c r="BC217" i="3"/>
  <c r="BB217" i="3"/>
  <c r="BA217" i="3"/>
  <c r="AZ217" i="3"/>
  <c r="AX217" i="3"/>
  <c r="AW217" i="3"/>
  <c r="AV217" i="3"/>
  <c r="AU217" i="3"/>
  <c r="AS217" i="3"/>
  <c r="AR217" i="3"/>
  <c r="AQ217" i="3"/>
  <c r="AP217" i="3"/>
  <c r="AM250" i="3"/>
  <c r="AM252" i="3" s="1"/>
  <c r="AM254" i="3" s="1"/>
  <c r="AC162" i="3"/>
  <c r="AB162" i="3"/>
  <c r="AA162" i="3"/>
  <c r="Y162" i="3"/>
  <c r="X162" i="3"/>
  <c r="W162" i="3"/>
  <c r="V162" i="3"/>
  <c r="T162" i="3"/>
  <c r="S162" i="3"/>
  <c r="R162" i="3"/>
  <c r="AC161" i="3"/>
  <c r="AB161" i="3"/>
  <c r="AA161" i="3"/>
  <c r="Y161" i="3"/>
  <c r="X161" i="3"/>
  <c r="W161" i="3"/>
  <c r="V161" i="3"/>
  <c r="AX141" i="3"/>
  <c r="AW141" i="3"/>
  <c r="AV141" i="3"/>
  <c r="AU141" i="3"/>
  <c r="Y141" i="3"/>
  <c r="X141" i="3"/>
  <c r="W141" i="3"/>
  <c r="V141" i="3"/>
  <c r="T141" i="3"/>
  <c r="S141" i="3"/>
  <c r="R141" i="3"/>
  <c r="AX140" i="3"/>
  <c r="Y140" i="3"/>
  <c r="X140" i="3"/>
  <c r="W140" i="3"/>
  <c r="V140" i="3"/>
  <c r="CL117" i="3"/>
  <c r="CK117" i="3"/>
  <c r="CJ117" i="3"/>
  <c r="AX117" i="3"/>
  <c r="AW117" i="3"/>
  <c r="AV117" i="3"/>
  <c r="AU117" i="3"/>
  <c r="AS117" i="3"/>
  <c r="AR117" i="3"/>
  <c r="AQ117" i="3"/>
  <c r="AP117" i="3"/>
  <c r="AN117" i="3"/>
  <c r="AM117" i="3"/>
  <c r="AL117" i="3"/>
  <c r="AK117" i="3"/>
  <c r="AI117" i="3"/>
  <c r="AH117" i="3"/>
  <c r="AG117" i="3"/>
  <c r="AF117" i="3"/>
  <c r="AD117" i="3"/>
  <c r="AC117" i="3"/>
  <c r="AB117" i="3"/>
  <c r="AX116" i="3"/>
  <c r="AW116" i="3"/>
  <c r="AV116" i="3"/>
  <c r="AU116" i="3"/>
  <c r="AS116" i="3"/>
  <c r="AR116" i="3"/>
  <c r="AQ116" i="3"/>
  <c r="AP116" i="3"/>
  <c r="AN116" i="3"/>
  <c r="AM116" i="3"/>
  <c r="AL116" i="3"/>
  <c r="AK116" i="3"/>
  <c r="AI116" i="3"/>
  <c r="AH116" i="3"/>
  <c r="AG116" i="3"/>
  <c r="AF116" i="3"/>
  <c r="F31" i="2" l="1"/>
  <c r="F37" i="2"/>
  <c r="F36" i="2"/>
  <c r="BO51" i="2"/>
  <c r="P31" i="2"/>
  <c r="P55" i="2" s="1"/>
  <c r="P37" i="2"/>
  <c r="P57" i="2" s="1"/>
  <c r="K57" i="2"/>
  <c r="K55" i="2"/>
  <c r="P36" i="2"/>
  <c r="BQ13" i="2"/>
  <c r="BT15" i="2"/>
  <c r="BT16" i="2" s="1"/>
  <c r="BK15" i="2"/>
  <c r="BP14" i="2"/>
  <c r="AE5" i="2"/>
  <c r="AE5" i="8" s="1"/>
  <c r="Z5" i="3"/>
  <c r="Z5" i="4"/>
  <c r="Z5" i="5"/>
  <c r="I12" i="3"/>
  <c r="X25" i="3"/>
  <c r="Y12" i="3"/>
  <c r="I26" i="3"/>
  <c r="X15" i="3"/>
  <c r="Q11" i="3"/>
  <c r="M12" i="3"/>
  <c r="I15" i="3"/>
  <c r="AM15" i="3"/>
  <c r="AG12" i="3"/>
  <c r="N15" i="3"/>
  <c r="S11" i="3"/>
  <c r="AH11" i="3"/>
  <c r="Q26" i="3"/>
  <c r="AK11" i="3"/>
  <c r="O15" i="3"/>
  <c r="W11" i="3"/>
  <c r="AL11" i="3"/>
  <c r="S14" i="3"/>
  <c r="AH14" i="3"/>
  <c r="S26" i="3"/>
  <c r="AG15" i="3"/>
  <c r="V12" i="3"/>
  <c r="AL12" i="3"/>
  <c r="H26" i="3"/>
  <c r="AB11" i="3"/>
  <c r="S25" i="3"/>
  <c r="X26" i="3"/>
  <c r="AI11" i="3"/>
  <c r="AI12" i="3"/>
  <c r="W15" i="3"/>
  <c r="W14" i="3"/>
  <c r="AI15" i="3"/>
  <c r="AI14" i="3"/>
  <c r="L12" i="3"/>
  <c r="L11" i="3"/>
  <c r="X12" i="3"/>
  <c r="X11" i="3"/>
  <c r="L15" i="3"/>
  <c r="L26" i="3"/>
  <c r="Y26" i="3"/>
  <c r="Y25" i="3"/>
  <c r="Q12" i="3"/>
  <c r="AH15" i="3"/>
  <c r="AK12" i="3"/>
  <c r="M14" i="3"/>
  <c r="Y14" i="3"/>
  <c r="Y15" i="3"/>
  <c r="AK14" i="3"/>
  <c r="AK15" i="3"/>
  <c r="M25" i="3"/>
  <c r="M26" i="3"/>
  <c r="S12" i="3"/>
  <c r="N12" i="3"/>
  <c r="AL15" i="3"/>
  <c r="AL14" i="3"/>
  <c r="N25" i="3"/>
  <c r="N26" i="3"/>
  <c r="M11" i="3"/>
  <c r="W12" i="3"/>
  <c r="L14" i="3"/>
  <c r="O12" i="3"/>
  <c r="O11" i="3"/>
  <c r="AA12" i="3"/>
  <c r="AA11" i="3"/>
  <c r="AM12" i="3"/>
  <c r="AM11" i="3"/>
  <c r="O14" i="3"/>
  <c r="AA14" i="3"/>
  <c r="AA15" i="3"/>
  <c r="AM14" i="3"/>
  <c r="N11" i="3"/>
  <c r="AB12" i="3"/>
  <c r="N14" i="3"/>
  <c r="AN12" i="3"/>
  <c r="AN11" i="3"/>
  <c r="AB14" i="3"/>
  <c r="AB15" i="3"/>
  <c r="AN15" i="3"/>
  <c r="AN14" i="3"/>
  <c r="X14" i="3"/>
  <c r="AC11" i="3"/>
  <c r="AC12" i="3"/>
  <c r="Q15" i="3"/>
  <c r="Q14" i="3"/>
  <c r="AC15" i="3"/>
  <c r="R25" i="3"/>
  <c r="R26" i="3"/>
  <c r="V11" i="3"/>
  <c r="R12" i="3"/>
  <c r="R11" i="3"/>
  <c r="AD11" i="3"/>
  <c r="AD12" i="3"/>
  <c r="R14" i="3"/>
  <c r="R15" i="3"/>
  <c r="AD14" i="3"/>
  <c r="AD15" i="3"/>
  <c r="Y11" i="3"/>
  <c r="AC14" i="3"/>
  <c r="T25" i="3"/>
  <c r="T26" i="3"/>
  <c r="AO28" i="3"/>
  <c r="AG14" i="3"/>
  <c r="H12" i="3"/>
  <c r="T12" i="3"/>
  <c r="T11" i="3"/>
  <c r="AF11" i="3"/>
  <c r="AF12" i="3"/>
  <c r="H15" i="3"/>
  <c r="T14" i="3"/>
  <c r="T15" i="3"/>
  <c r="AF14" i="3"/>
  <c r="AF15" i="3"/>
  <c r="AG11" i="3"/>
  <c r="M15" i="3"/>
  <c r="L25" i="3"/>
  <c r="V26" i="3"/>
  <c r="V25" i="3"/>
  <c r="J12" i="3"/>
  <c r="AH12" i="3"/>
  <c r="J15" i="3"/>
  <c r="V15" i="3"/>
  <c r="V14" i="3"/>
  <c r="J26" i="3"/>
  <c r="W26" i="3"/>
  <c r="W25" i="3"/>
  <c r="S15" i="3"/>
  <c r="O25" i="3"/>
  <c r="O26" i="3"/>
  <c r="Q25" i="3"/>
  <c r="I79" i="3"/>
  <c r="AB65" i="3"/>
  <c r="O79" i="3"/>
  <c r="AN65" i="3"/>
  <c r="CL65" i="3"/>
  <c r="AK64" i="3"/>
  <c r="AQ67" i="3"/>
  <c r="AN71" i="3"/>
  <c r="BC68" i="3"/>
  <c r="BC67" i="3"/>
  <c r="AQ68" i="3"/>
  <c r="L78" i="3"/>
  <c r="L79" i="3"/>
  <c r="X78" i="3"/>
  <c r="X79" i="3"/>
  <c r="AV65" i="3"/>
  <c r="AV64" i="3"/>
  <c r="AV68" i="3"/>
  <c r="AV67" i="3"/>
  <c r="M79" i="3"/>
  <c r="M78" i="3"/>
  <c r="Y79" i="3"/>
  <c r="Y78" i="3"/>
  <c r="AI65" i="3"/>
  <c r="AI64" i="3"/>
  <c r="AW65" i="3"/>
  <c r="AI68" i="3"/>
  <c r="AI67" i="3"/>
  <c r="N79" i="3"/>
  <c r="AF78" i="3"/>
  <c r="AF79" i="3"/>
  <c r="AN64" i="3"/>
  <c r="AG79" i="3"/>
  <c r="AG78" i="3"/>
  <c r="H79" i="3"/>
  <c r="T78" i="3"/>
  <c r="T79" i="3"/>
  <c r="AH78" i="3"/>
  <c r="AH79" i="3"/>
  <c r="AI78" i="3"/>
  <c r="AI79" i="3"/>
  <c r="AB79" i="3"/>
  <c r="AB78" i="3"/>
  <c r="J79" i="3"/>
  <c r="V78" i="3"/>
  <c r="V79" i="3"/>
  <c r="W78" i="3"/>
  <c r="W79" i="3"/>
  <c r="AU65" i="3"/>
  <c r="AU64" i="3"/>
  <c r="AU67" i="3"/>
  <c r="AU68" i="3"/>
  <c r="AF65" i="3"/>
  <c r="AF64" i="3"/>
  <c r="AR65" i="3"/>
  <c r="AR64" i="3"/>
  <c r="AF68" i="3"/>
  <c r="AR68" i="3"/>
  <c r="AR67" i="3"/>
  <c r="AR71" i="3"/>
  <c r="AR70" i="3"/>
  <c r="AN70" i="3"/>
  <c r="AG65" i="3"/>
  <c r="AG64" i="3"/>
  <c r="AS64" i="3"/>
  <c r="AG68" i="3"/>
  <c r="AG67" i="3"/>
  <c r="AS68" i="3"/>
  <c r="AS67" i="3"/>
  <c r="AS71" i="3"/>
  <c r="AS70" i="3"/>
  <c r="AH65" i="3"/>
  <c r="AH64" i="3"/>
  <c r="AH68" i="3"/>
  <c r="AH67" i="3"/>
  <c r="AK65" i="3"/>
  <c r="AK67" i="3"/>
  <c r="AK68" i="3"/>
  <c r="AW68" i="3"/>
  <c r="AW67" i="3"/>
  <c r="AK71" i="3"/>
  <c r="N78" i="3"/>
  <c r="AL65" i="3"/>
  <c r="AL64" i="3"/>
  <c r="AX65" i="3"/>
  <c r="AX64" i="3"/>
  <c r="AL67" i="3"/>
  <c r="AL68" i="3"/>
  <c r="AX68" i="3"/>
  <c r="AX67" i="3"/>
  <c r="AL71" i="3"/>
  <c r="AW64" i="3"/>
  <c r="O78" i="3"/>
  <c r="AA79" i="3"/>
  <c r="AA78" i="3"/>
  <c r="AM64" i="3"/>
  <c r="AM68" i="3"/>
  <c r="AM67" i="3"/>
  <c r="AM71" i="3"/>
  <c r="CJ65" i="3"/>
  <c r="AN67" i="3"/>
  <c r="AN68" i="3"/>
  <c r="AZ67" i="3"/>
  <c r="AZ68" i="3"/>
  <c r="Q78" i="3"/>
  <c r="Q79" i="3"/>
  <c r="AC78" i="3"/>
  <c r="AC79" i="3"/>
  <c r="AC65" i="3"/>
  <c r="CK65" i="3"/>
  <c r="AC68" i="3"/>
  <c r="BA67" i="3"/>
  <c r="BA68" i="3"/>
  <c r="AM65" i="3"/>
  <c r="R78" i="3"/>
  <c r="R79" i="3"/>
  <c r="AD78" i="3"/>
  <c r="AD79" i="3"/>
  <c r="AD65" i="3"/>
  <c r="AP64" i="3"/>
  <c r="AP65" i="3"/>
  <c r="AD68" i="3"/>
  <c r="AP67" i="3"/>
  <c r="AP68" i="3"/>
  <c r="BB67" i="3"/>
  <c r="BB68" i="3"/>
  <c r="AP71" i="3"/>
  <c r="AP70" i="3"/>
  <c r="AS65" i="3"/>
  <c r="S78" i="3"/>
  <c r="S79" i="3"/>
  <c r="AQ65" i="3"/>
  <c r="AQ64" i="3"/>
  <c r="AQ70" i="3"/>
  <c r="AQ71" i="3"/>
  <c r="BT51" i="2" l="1"/>
  <c r="BV13" i="2"/>
  <c r="BU14" i="2"/>
  <c r="BP15" i="2"/>
  <c r="BY15" i="2"/>
  <c r="BY16" i="2" s="1"/>
  <c r="AJ5" i="2"/>
  <c r="AJ5" i="8" s="1"/>
  <c r="AE5" i="4"/>
  <c r="AE5" i="5"/>
  <c r="AE5" i="3"/>
  <c r="AL202" i="3"/>
  <c r="AX264" i="3"/>
  <c r="AW264" i="3"/>
  <c r="AV264" i="3"/>
  <c r="AU264" i="3"/>
  <c r="AY262" i="3"/>
  <c r="AS264" i="3"/>
  <c r="AR264" i="3"/>
  <c r="AQ264" i="3"/>
  <c r="AP264" i="3"/>
  <c r="AN264" i="3"/>
  <c r="AM264" i="3"/>
  <c r="AL264" i="3"/>
  <c r="AK264" i="3"/>
  <c r="AT262" i="3"/>
  <c r="AO262" i="3"/>
  <c r="AN250" i="3"/>
  <c r="AP250" i="3" s="1"/>
  <c r="AL250" i="3"/>
  <c r="AK250" i="3"/>
  <c r="AM214" i="3"/>
  <c r="AM215" i="3" s="1"/>
  <c r="AM220" i="3" s="1"/>
  <c r="CG238" i="3"/>
  <c r="CG239" i="3" s="1"/>
  <c r="CG244" i="3" s="1"/>
  <c r="CF238" i="3"/>
  <c r="CF239" i="3" s="1"/>
  <c r="CF244" i="3" s="1"/>
  <c r="CE238" i="3"/>
  <c r="CE239" i="3" s="1"/>
  <c r="CE244" i="3" s="1"/>
  <c r="CD238" i="3"/>
  <c r="CD239" i="3" s="1"/>
  <c r="CD244" i="3" s="1"/>
  <c r="CB238" i="3"/>
  <c r="CB239" i="3" s="1"/>
  <c r="CB244" i="3" s="1"/>
  <c r="CA238" i="3"/>
  <c r="CA239" i="3" s="1"/>
  <c r="CA244" i="3" s="1"/>
  <c r="BZ238" i="3"/>
  <c r="BZ239" i="3" s="1"/>
  <c r="BZ244" i="3" s="1"/>
  <c r="BY238" i="3"/>
  <c r="BY239" i="3" s="1"/>
  <c r="BY244" i="3" s="1"/>
  <c r="BW238" i="3"/>
  <c r="BW239" i="3" s="1"/>
  <c r="BW244" i="3" s="1"/>
  <c r="BV238" i="3"/>
  <c r="BV239" i="3" s="1"/>
  <c r="BV244" i="3" s="1"/>
  <c r="BU238" i="3"/>
  <c r="BU239" i="3" s="1"/>
  <c r="BU244" i="3" s="1"/>
  <c r="BT238" i="3"/>
  <c r="BT239" i="3" s="1"/>
  <c r="BT244" i="3" s="1"/>
  <c r="BR238" i="3"/>
  <c r="BR239" i="3" s="1"/>
  <c r="BR244" i="3" s="1"/>
  <c r="BQ238" i="3"/>
  <c r="BQ239" i="3" s="1"/>
  <c r="BQ244" i="3" s="1"/>
  <c r="BP238" i="3"/>
  <c r="BP239" i="3" s="1"/>
  <c r="BP244" i="3" s="1"/>
  <c r="BO238" i="3"/>
  <c r="BO239" i="3" s="1"/>
  <c r="BO244" i="3" s="1"/>
  <c r="BM238" i="3"/>
  <c r="BM239" i="3" s="1"/>
  <c r="BM244" i="3" s="1"/>
  <c r="BL238" i="3"/>
  <c r="BL239" i="3" s="1"/>
  <c r="BL244" i="3" s="1"/>
  <c r="BK238" i="3"/>
  <c r="BK239" i="3" s="1"/>
  <c r="BK244" i="3" s="1"/>
  <c r="BJ238" i="3"/>
  <c r="BJ239" i="3" s="1"/>
  <c r="BJ244" i="3" s="1"/>
  <c r="BH238" i="3"/>
  <c r="BH239" i="3" s="1"/>
  <c r="BG238" i="3"/>
  <c r="BG239" i="3" s="1"/>
  <c r="BG244" i="3" s="1"/>
  <c r="BF238" i="3"/>
  <c r="BF239" i="3" s="1"/>
  <c r="BF244" i="3" s="1"/>
  <c r="BE238" i="3"/>
  <c r="BE239" i="3" s="1"/>
  <c r="BE244" i="3" s="1"/>
  <c r="BC238" i="3"/>
  <c r="BC239" i="3" s="1"/>
  <c r="BC244" i="3" s="1"/>
  <c r="BB238" i="3"/>
  <c r="BB239" i="3" s="1"/>
  <c r="BB244" i="3" s="1"/>
  <c r="BA238" i="3"/>
  <c r="BA239" i="3" s="1"/>
  <c r="BA244" i="3" s="1"/>
  <c r="AZ238" i="3"/>
  <c r="AZ239" i="3" s="1"/>
  <c r="AX238" i="3"/>
  <c r="AX239" i="3" s="1"/>
  <c r="AX244" i="3" s="1"/>
  <c r="AW238" i="3"/>
  <c r="AW239" i="3" s="1"/>
  <c r="AW244" i="3" s="1"/>
  <c r="AV238" i="3"/>
  <c r="AV239" i="3" s="1"/>
  <c r="AV244" i="3" s="1"/>
  <c r="AU238" i="3"/>
  <c r="AU239" i="3" s="1"/>
  <c r="AS238" i="3"/>
  <c r="AS239" i="3" s="1"/>
  <c r="AS244" i="3" s="1"/>
  <c r="AR238" i="3"/>
  <c r="AR239" i="3" s="1"/>
  <c r="AR244" i="3" s="1"/>
  <c r="AQ238" i="3"/>
  <c r="AQ239" i="3" s="1"/>
  <c r="AQ244" i="3" s="1"/>
  <c r="AP238" i="3"/>
  <c r="AP239" i="3" s="1"/>
  <c r="AN238" i="3"/>
  <c r="AN239" i="3" s="1"/>
  <c r="AN244" i="3" s="1"/>
  <c r="AM238" i="3"/>
  <c r="AM239" i="3" s="1"/>
  <c r="AM244" i="3" s="1"/>
  <c r="AL238" i="3"/>
  <c r="AL239" i="3" s="1"/>
  <c r="AL244" i="3" s="1"/>
  <c r="AK238" i="3"/>
  <c r="AK239" i="3" s="1"/>
  <c r="AX226" i="3"/>
  <c r="AX227" i="3" s="1"/>
  <c r="AW226" i="3"/>
  <c r="AW227" i="3" s="1"/>
  <c r="AV226" i="3"/>
  <c r="AV227" i="3" s="1"/>
  <c r="AU226" i="3"/>
  <c r="AU227" i="3" s="1"/>
  <c r="AU232" i="3" s="1"/>
  <c r="AS226" i="3"/>
  <c r="AR226" i="3"/>
  <c r="AR227" i="3" s="1"/>
  <c r="AQ226" i="3"/>
  <c r="AQ227" i="3" s="1"/>
  <c r="BF226" i="3" s="1"/>
  <c r="AP226" i="3"/>
  <c r="AP227" i="3" s="1"/>
  <c r="AP232" i="3" s="1"/>
  <c r="AN226" i="3"/>
  <c r="AN227" i="3" s="1"/>
  <c r="AM226" i="3"/>
  <c r="AM227" i="3" s="1"/>
  <c r="AL226" i="3"/>
  <c r="AL227" i="3" s="1"/>
  <c r="AK226" i="3"/>
  <c r="AK227" i="3" s="1"/>
  <c r="AN214" i="3"/>
  <c r="AN215" i="3" s="1"/>
  <c r="AN220" i="3" s="1"/>
  <c r="AL214" i="3"/>
  <c r="AL215" i="3" s="1"/>
  <c r="AL220" i="3" s="1"/>
  <c r="AK214" i="3"/>
  <c r="AU100" i="3"/>
  <c r="AX100" i="3"/>
  <c r="AW100" i="3"/>
  <c r="AV100" i="3"/>
  <c r="AS100" i="3"/>
  <c r="AR100" i="3"/>
  <c r="AX99" i="3"/>
  <c r="AW99" i="3"/>
  <c r="AV99" i="3"/>
  <c r="CL184" i="3"/>
  <c r="CK184" i="3"/>
  <c r="CJ184" i="3"/>
  <c r="CI184" i="3"/>
  <c r="CL183" i="3"/>
  <c r="CK183" i="3"/>
  <c r="CJ183" i="3"/>
  <c r="CI183" i="3"/>
  <c r="CG184" i="3"/>
  <c r="CF184" i="3"/>
  <c r="CE184" i="3"/>
  <c r="CD184" i="3"/>
  <c r="CG183" i="3"/>
  <c r="CF183" i="3"/>
  <c r="CE183" i="3"/>
  <c r="CD183" i="3"/>
  <c r="CB184" i="3"/>
  <c r="CA184" i="3"/>
  <c r="BZ184" i="3"/>
  <c r="BY184" i="3"/>
  <c r="CB183" i="3"/>
  <c r="CA183" i="3"/>
  <c r="BZ183" i="3"/>
  <c r="BY183" i="3"/>
  <c r="BW184" i="3"/>
  <c r="BV184" i="3"/>
  <c r="BU184" i="3"/>
  <c r="BT184" i="3"/>
  <c r="BW183" i="3"/>
  <c r="BV183" i="3"/>
  <c r="BU183" i="3"/>
  <c r="BT183" i="3"/>
  <c r="BR184" i="3"/>
  <c r="BQ184" i="3"/>
  <c r="BP184" i="3"/>
  <c r="BO184" i="3"/>
  <c r="BR183" i="3"/>
  <c r="BQ183" i="3"/>
  <c r="BP183" i="3"/>
  <c r="BO183" i="3"/>
  <c r="BM184" i="3"/>
  <c r="BL184" i="3"/>
  <c r="BK184" i="3"/>
  <c r="BJ184" i="3"/>
  <c r="BM183" i="3"/>
  <c r="BL183" i="3"/>
  <c r="BK183" i="3"/>
  <c r="BJ183" i="3"/>
  <c r="BH184" i="3"/>
  <c r="BG184" i="3"/>
  <c r="BF184" i="3"/>
  <c r="BE184" i="3"/>
  <c r="BH183" i="3"/>
  <c r="BG183" i="3"/>
  <c r="BF183" i="3"/>
  <c r="BE183" i="3"/>
  <c r="BC184" i="3"/>
  <c r="BB184" i="3"/>
  <c r="BA184" i="3"/>
  <c r="AZ184" i="3"/>
  <c r="BC183" i="3"/>
  <c r="BB183" i="3"/>
  <c r="BA183" i="3"/>
  <c r="AZ183" i="3"/>
  <c r="AX184" i="3"/>
  <c r="AW184" i="3"/>
  <c r="AV184" i="3"/>
  <c r="AU184" i="3"/>
  <c r="AX183" i="3"/>
  <c r="AW183" i="3"/>
  <c r="AV183" i="3"/>
  <c r="AU183" i="3"/>
  <c r="AS184" i="3"/>
  <c r="AR184" i="3"/>
  <c r="AQ184" i="3"/>
  <c r="AO174" i="3"/>
  <c r="AN286" i="3"/>
  <c r="AM286" i="3"/>
  <c r="AL286" i="3"/>
  <c r="AK286" i="3"/>
  <c r="AI286" i="3"/>
  <c r="AH286" i="3"/>
  <c r="AG286" i="3"/>
  <c r="AF286" i="3"/>
  <c r="AD286" i="3"/>
  <c r="AD36" i="3" s="1"/>
  <c r="AC286" i="3"/>
  <c r="AC36" i="3" s="1"/>
  <c r="AB286" i="3"/>
  <c r="AB36" i="3" s="1"/>
  <c r="AA286" i="3"/>
  <c r="AA36" i="3" s="1"/>
  <c r="Y286" i="3"/>
  <c r="Y36" i="3" s="1"/>
  <c r="X286" i="3"/>
  <c r="X36" i="3" s="1"/>
  <c r="W286" i="3"/>
  <c r="W36" i="3" s="1"/>
  <c r="V286" i="3"/>
  <c r="V36" i="3" s="1"/>
  <c r="T286" i="3"/>
  <c r="T36" i="3" s="1"/>
  <c r="S286" i="3"/>
  <c r="S36" i="3" s="1"/>
  <c r="R286" i="3"/>
  <c r="R36" i="3" s="1"/>
  <c r="Q286" i="3"/>
  <c r="Q36" i="3" s="1"/>
  <c r="O286" i="3"/>
  <c r="O36" i="3" s="1"/>
  <c r="N286" i="3"/>
  <c r="N36" i="3" s="1"/>
  <c r="M286" i="3"/>
  <c r="M36" i="3" s="1"/>
  <c r="L286" i="3"/>
  <c r="L36" i="3" s="1"/>
  <c r="J286" i="3"/>
  <c r="J36" i="3" s="1"/>
  <c r="I286" i="3"/>
  <c r="I36" i="3" s="1"/>
  <c r="H286" i="3"/>
  <c r="H36" i="3" s="1"/>
  <c r="G286" i="3"/>
  <c r="G36" i="3" s="1"/>
  <c r="AJ278" i="3"/>
  <c r="AM89" i="3"/>
  <c r="AM72" i="3" s="1"/>
  <c r="AO282" i="3"/>
  <c r="AQ250" i="3" l="1"/>
  <c r="AP252" i="3"/>
  <c r="BY51" i="2"/>
  <c r="AN252" i="3"/>
  <c r="AN254" i="3" s="1"/>
  <c r="AP191" i="3"/>
  <c r="AP192" i="3" s="1"/>
  <c r="AM246" i="3"/>
  <c r="AN246" i="3"/>
  <c r="AQ245" i="3"/>
  <c r="AR246" i="3"/>
  <c r="AR245" i="3"/>
  <c r="AS246" i="3"/>
  <c r="AS245" i="3"/>
  <c r="AV245" i="3"/>
  <c r="AW245" i="3"/>
  <c r="AW246" i="3"/>
  <c r="AX246" i="3"/>
  <c r="AX245" i="3"/>
  <c r="AP13" i="3"/>
  <c r="AP14" i="3" s="1"/>
  <c r="CD15" i="2"/>
  <c r="CD16" i="2" s="1"/>
  <c r="CA13" i="2"/>
  <c r="BU15" i="2"/>
  <c r="BZ14" i="2"/>
  <c r="AO5" i="2"/>
  <c r="AO5" i="8" s="1"/>
  <c r="AJ5" i="4"/>
  <c r="AJ5" i="5"/>
  <c r="AJ5" i="3"/>
  <c r="BB246" i="3"/>
  <c r="BB245" i="3"/>
  <c r="BQ246" i="3"/>
  <c r="BQ245" i="3"/>
  <c r="CF245" i="3"/>
  <c r="CF246" i="3"/>
  <c r="BC246" i="3"/>
  <c r="BC245" i="3"/>
  <c r="BR246" i="3"/>
  <c r="BR245" i="3"/>
  <c r="CG245" i="3"/>
  <c r="CG246" i="3"/>
  <c r="BE246" i="3"/>
  <c r="BT245" i="3"/>
  <c r="BT246" i="3"/>
  <c r="BF246" i="3"/>
  <c r="BF245" i="3"/>
  <c r="BU245" i="3"/>
  <c r="BU246" i="3"/>
  <c r="CE245" i="3"/>
  <c r="CE246" i="3"/>
  <c r="BG246" i="3"/>
  <c r="BG245" i="3"/>
  <c r="BV245" i="3"/>
  <c r="BV246" i="3"/>
  <c r="BA245" i="3"/>
  <c r="BW246" i="3"/>
  <c r="BW245" i="3"/>
  <c r="BJ245" i="3"/>
  <c r="BY245" i="3"/>
  <c r="BY246" i="3"/>
  <c r="BK246" i="3"/>
  <c r="BK245" i="3"/>
  <c r="BZ245" i="3"/>
  <c r="BZ246" i="3"/>
  <c r="BP246" i="3"/>
  <c r="BP245" i="3"/>
  <c r="BL246" i="3"/>
  <c r="BL245" i="3"/>
  <c r="CA245" i="3"/>
  <c r="CA246" i="3"/>
  <c r="BM246" i="3"/>
  <c r="CB245" i="3"/>
  <c r="CB246" i="3"/>
  <c r="BO246" i="3"/>
  <c r="BO245" i="3"/>
  <c r="CD245" i="3"/>
  <c r="CD246" i="3"/>
  <c r="AK24" i="3"/>
  <c r="AM24" i="3"/>
  <c r="AL256" i="3"/>
  <c r="AM256" i="3"/>
  <c r="Y20" i="3"/>
  <c r="AG21" i="3"/>
  <c r="X20" i="3"/>
  <c r="M21" i="3"/>
  <c r="T20" i="3"/>
  <c r="J38" i="3"/>
  <c r="R20" i="3"/>
  <c r="AI21" i="3"/>
  <c r="H21" i="3"/>
  <c r="L21" i="3"/>
  <c r="AA20" i="3"/>
  <c r="W21" i="3"/>
  <c r="M20" i="3"/>
  <c r="AB20" i="3"/>
  <c r="I21" i="3"/>
  <c r="J21" i="3"/>
  <c r="O20" i="3"/>
  <c r="AD20" i="3"/>
  <c r="Q20" i="3"/>
  <c r="AF20" i="3"/>
  <c r="H38" i="3"/>
  <c r="N20" i="3"/>
  <c r="N21" i="3"/>
  <c r="AC20" i="3"/>
  <c r="AC21" i="3"/>
  <c r="AH20" i="3"/>
  <c r="S20" i="3"/>
  <c r="AH21" i="3"/>
  <c r="X21" i="3"/>
  <c r="I38" i="3"/>
  <c r="V21" i="3"/>
  <c r="L20" i="3"/>
  <c r="Y21" i="3"/>
  <c r="V20" i="3"/>
  <c r="AG20" i="3"/>
  <c r="L37" i="3"/>
  <c r="L38" i="3"/>
  <c r="AA37" i="3"/>
  <c r="AA38" i="3"/>
  <c r="M37" i="3"/>
  <c r="M38" i="3"/>
  <c r="N37" i="3"/>
  <c r="N38" i="3"/>
  <c r="AD38" i="3"/>
  <c r="AD37" i="3"/>
  <c r="Q37" i="3"/>
  <c r="Q38" i="3"/>
  <c r="R38" i="3"/>
  <c r="R37" i="3"/>
  <c r="S38" i="3"/>
  <c r="O37" i="3"/>
  <c r="O38" i="3"/>
  <c r="T37" i="3"/>
  <c r="AB37" i="3"/>
  <c r="V37" i="3"/>
  <c r="V38" i="3"/>
  <c r="W37" i="3"/>
  <c r="W38" i="3"/>
  <c r="AC37" i="3"/>
  <c r="X38" i="3"/>
  <c r="X37" i="3"/>
  <c r="Y38" i="3"/>
  <c r="Y37" i="3"/>
  <c r="T38" i="3"/>
  <c r="S37" i="3"/>
  <c r="W20" i="3"/>
  <c r="AI20" i="3"/>
  <c r="AA21" i="3"/>
  <c r="O21" i="3"/>
  <c r="AD21" i="3"/>
  <c r="AB21" i="3"/>
  <c r="Q21" i="3"/>
  <c r="AF21" i="3"/>
  <c r="AB38" i="3"/>
  <c r="R21" i="3"/>
  <c r="AC38" i="3"/>
  <c r="S21" i="3"/>
  <c r="T21" i="3"/>
  <c r="AO264" i="3"/>
  <c r="AY264" i="3"/>
  <c r="AT264" i="3"/>
  <c r="AO251" i="3"/>
  <c r="AO252" i="3" s="1"/>
  <c r="AK256" i="3"/>
  <c r="CC244" i="3"/>
  <c r="CH244" i="3"/>
  <c r="CI238" i="3"/>
  <c r="CI239" i="3" s="1"/>
  <c r="CI244" i="3" s="1"/>
  <c r="CJ238" i="3"/>
  <c r="CJ239" i="3" s="1"/>
  <c r="CJ244" i="3" s="1"/>
  <c r="BE226" i="3"/>
  <c r="CK238" i="3"/>
  <c r="CK239" i="3" s="1"/>
  <c r="CK244" i="3" s="1"/>
  <c r="BN244" i="3"/>
  <c r="CL238" i="3"/>
  <c r="CL239" i="3" s="1"/>
  <c r="CL244" i="3" s="1"/>
  <c r="BS244" i="3"/>
  <c r="BL226" i="3"/>
  <c r="BI239" i="3"/>
  <c r="BI240" i="3" s="1"/>
  <c r="BM226" i="3"/>
  <c r="BG226" i="3"/>
  <c r="CH239" i="3"/>
  <c r="CH240" i="3" s="1"/>
  <c r="CC239" i="3"/>
  <c r="CC240" i="3" s="1"/>
  <c r="BX244" i="3"/>
  <c r="BX239" i="3"/>
  <c r="BX240" i="3" s="1"/>
  <c r="BS239" i="3"/>
  <c r="BS240" i="3" s="1"/>
  <c r="BN239" i="3"/>
  <c r="BN240" i="3" s="1"/>
  <c r="BH244" i="3"/>
  <c r="BJ246" i="3" s="1"/>
  <c r="AZ244" i="3"/>
  <c r="BE245" i="3" s="1"/>
  <c r="BD239" i="3"/>
  <c r="BD240" i="3" s="1"/>
  <c r="AU244" i="3"/>
  <c r="AY239" i="3"/>
  <c r="AY240" i="3" s="1"/>
  <c r="AK244" i="3"/>
  <c r="AL246" i="3" s="1"/>
  <c r="AO239" i="3"/>
  <c r="AO240" i="3" s="1"/>
  <c r="AP244" i="3"/>
  <c r="AQ246" i="3" s="1"/>
  <c r="AT239" i="3"/>
  <c r="AT240" i="3" s="1"/>
  <c r="AS227" i="3"/>
  <c r="BH226" i="3" s="1"/>
  <c r="BC226" i="3"/>
  <c r="AK215" i="3"/>
  <c r="AP214" i="3" s="1"/>
  <c r="BJ226" i="3"/>
  <c r="BK226" i="3"/>
  <c r="AO227" i="3"/>
  <c r="AO228" i="3" s="1"/>
  <c r="AL232" i="3"/>
  <c r="AM232" i="3"/>
  <c r="AZ226" i="3"/>
  <c r="BA226" i="3"/>
  <c r="BB226" i="3"/>
  <c r="AR232" i="3"/>
  <c r="AN232" i="3"/>
  <c r="AN196" i="3" s="1"/>
  <c r="AV232" i="3"/>
  <c r="AW232" i="3"/>
  <c r="AX232" i="3"/>
  <c r="AQ232" i="3"/>
  <c r="AK232" i="3"/>
  <c r="AG288" i="3"/>
  <c r="AD288" i="3"/>
  <c r="AH288" i="3"/>
  <c r="T287" i="3"/>
  <c r="L288" i="3"/>
  <c r="V288" i="3"/>
  <c r="M288" i="3"/>
  <c r="Q287" i="3"/>
  <c r="AF287" i="3"/>
  <c r="R287" i="3"/>
  <c r="S287" i="3"/>
  <c r="AK288" i="3"/>
  <c r="AL288" i="3"/>
  <c r="I288" i="3"/>
  <c r="X288" i="3"/>
  <c r="AM288" i="3"/>
  <c r="H288" i="3"/>
  <c r="J288" i="3"/>
  <c r="Y288" i="3"/>
  <c r="AN288" i="3"/>
  <c r="W288" i="3"/>
  <c r="AA287" i="3"/>
  <c r="L287" i="3"/>
  <c r="M287" i="3"/>
  <c r="AB287" i="3"/>
  <c r="V287" i="3"/>
  <c r="N287" i="3"/>
  <c r="AC287" i="3"/>
  <c r="X287" i="3"/>
  <c r="O287" i="3"/>
  <c r="AD287" i="3"/>
  <c r="AG287" i="3"/>
  <c r="AH287" i="3"/>
  <c r="AI288" i="3"/>
  <c r="AB288" i="3"/>
  <c r="W287" i="3"/>
  <c r="AI287" i="3"/>
  <c r="N288" i="3"/>
  <c r="AC288" i="3"/>
  <c r="AA288" i="3"/>
  <c r="Y287" i="3"/>
  <c r="AK287" i="3"/>
  <c r="Q288" i="3"/>
  <c r="AF288" i="3"/>
  <c r="O288" i="3"/>
  <c r="AL287" i="3"/>
  <c r="R288" i="3"/>
  <c r="AM287" i="3"/>
  <c r="S288" i="3"/>
  <c r="AN287" i="3"/>
  <c r="T288" i="3"/>
  <c r="AR250" i="3" l="1"/>
  <c r="AQ252" i="3"/>
  <c r="CD51" i="2"/>
  <c r="CI15" i="2"/>
  <c r="CI16" i="2" s="1"/>
  <c r="AP15" i="3"/>
  <c r="AN200" i="3"/>
  <c r="AM196" i="3"/>
  <c r="AM200" i="3" s="1"/>
  <c r="AU245" i="3"/>
  <c r="AU246" i="3"/>
  <c r="AV246" i="3"/>
  <c r="AP246" i="3"/>
  <c r="AP245" i="3"/>
  <c r="CE14" i="2"/>
  <c r="CJ14" i="2" s="1"/>
  <c r="CF13" i="2"/>
  <c r="BZ15" i="2"/>
  <c r="AT5" i="2"/>
  <c r="AT5" i="8" s="1"/>
  <c r="AO5" i="4"/>
  <c r="AO5" i="5"/>
  <c r="AO5" i="3"/>
  <c r="CH245" i="3"/>
  <c r="BX245" i="3"/>
  <c r="CK246" i="3"/>
  <c r="CK245" i="3"/>
  <c r="CJ246" i="3"/>
  <c r="CJ245" i="3"/>
  <c r="BA246" i="3"/>
  <c r="CC245" i="3"/>
  <c r="CI246" i="3"/>
  <c r="CI245" i="3"/>
  <c r="AZ246" i="3"/>
  <c r="AZ245" i="3"/>
  <c r="BS245" i="3"/>
  <c r="BH246" i="3"/>
  <c r="BH245" i="3"/>
  <c r="CL246" i="3"/>
  <c r="CL245" i="3"/>
  <c r="BM245" i="3"/>
  <c r="BD241" i="3"/>
  <c r="BN241" i="3"/>
  <c r="CC241" i="3"/>
  <c r="BS241" i="3"/>
  <c r="AN258" i="3"/>
  <c r="CH241" i="3"/>
  <c r="AT241" i="3"/>
  <c r="AY263" i="3"/>
  <c r="AO263" i="3"/>
  <c r="BC262" i="3"/>
  <c r="BC264" i="3" s="1"/>
  <c r="BX241" i="3"/>
  <c r="BI244" i="3"/>
  <c r="AT244" i="3"/>
  <c r="AT263" i="3"/>
  <c r="AO244" i="3"/>
  <c r="AO247" i="3" s="1"/>
  <c r="BB262" i="3"/>
  <c r="BB264" i="3" s="1"/>
  <c r="AY241" i="3"/>
  <c r="BA262" i="3"/>
  <c r="BA264" i="3" s="1"/>
  <c r="AY244" i="3"/>
  <c r="AY247" i="3" s="1"/>
  <c r="BI241" i="3"/>
  <c r="BD244" i="3"/>
  <c r="BB202" i="3"/>
  <c r="BA202" i="3"/>
  <c r="BC202" i="3"/>
  <c r="BE202" i="3"/>
  <c r="BE201" i="3"/>
  <c r="AO256" i="3"/>
  <c r="AO259" i="3" s="1"/>
  <c r="CM238" i="3"/>
  <c r="AK220" i="3"/>
  <c r="AO215" i="3"/>
  <c r="AO216" i="3" s="1"/>
  <c r="CM244" i="3"/>
  <c r="CM245" i="3" s="1"/>
  <c r="CM239" i="3"/>
  <c r="CH247" i="3"/>
  <c r="BN247" i="3"/>
  <c r="BI226" i="3"/>
  <c r="CC247" i="3"/>
  <c r="BX247" i="3"/>
  <c r="BS247" i="3"/>
  <c r="BA227" i="3"/>
  <c r="BA232" i="3" s="1"/>
  <c r="AS232" i="3"/>
  <c r="BC227" i="3"/>
  <c r="BR226" i="3" s="1"/>
  <c r="AP215" i="3"/>
  <c r="AP220" i="3" s="1"/>
  <c r="BN226" i="3"/>
  <c r="AO232" i="3"/>
  <c r="BB227" i="3"/>
  <c r="BB232" i="3" s="1"/>
  <c r="AQ214" i="3"/>
  <c r="AZ227" i="3"/>
  <c r="AZ232" i="3" s="1"/>
  <c r="BD226" i="3"/>
  <c r="AY232" i="3"/>
  <c r="AY227" i="3"/>
  <c r="AY228" i="3" s="1"/>
  <c r="AT227" i="3"/>
  <c r="AT228" i="3" s="1"/>
  <c r="AT229" i="3" s="1"/>
  <c r="CI51" i="2" l="1"/>
  <c r="AM202" i="3"/>
  <c r="AP196" i="3"/>
  <c r="AT245" i="3"/>
  <c r="AT247" i="3"/>
  <c r="CE15" i="2"/>
  <c r="CJ15" i="2" s="1"/>
  <c r="CK13" i="2"/>
  <c r="AY5" i="2"/>
  <c r="AY5" i="8" s="1"/>
  <c r="AT5" i="4"/>
  <c r="AT5" i="5"/>
  <c r="AT5" i="3"/>
  <c r="AM19" i="3"/>
  <c r="BI245" i="3"/>
  <c r="AY245" i="3"/>
  <c r="BD245" i="3"/>
  <c r="BB266" i="3"/>
  <c r="BN245" i="3"/>
  <c r="AL19" i="3"/>
  <c r="AL16" i="3"/>
  <c r="AN19" i="3"/>
  <c r="AN16" i="3"/>
  <c r="BC266" i="3"/>
  <c r="AY229" i="3"/>
  <c r="BD247" i="3"/>
  <c r="AT232" i="3"/>
  <c r="BE262" i="3"/>
  <c r="BE264" i="3" s="1"/>
  <c r="BI247" i="3"/>
  <c r="AL204" i="3"/>
  <c r="AL30" i="3" s="1"/>
  <c r="BF201" i="3"/>
  <c r="BF202" i="3"/>
  <c r="BR227" i="3"/>
  <c r="BR232" i="3" s="1"/>
  <c r="BO226" i="3"/>
  <c r="AO220" i="3"/>
  <c r="AZ262" i="3"/>
  <c r="BP226" i="3"/>
  <c r="BQ226" i="3"/>
  <c r="CM240" i="3"/>
  <c r="CM241" i="3" s="1"/>
  <c r="AR214" i="3"/>
  <c r="AS214" i="3" s="1"/>
  <c r="CM247" i="3"/>
  <c r="AQ215" i="3"/>
  <c r="AQ220" i="3" s="1"/>
  <c r="BC232" i="3"/>
  <c r="BE227" i="3"/>
  <c r="AY235" i="3"/>
  <c r="AP200" i="3" l="1"/>
  <c r="AP202" i="3" s="1"/>
  <c r="AP299" i="3"/>
  <c r="AP19" i="3"/>
  <c r="AN198" i="3"/>
  <c r="AM16" i="3"/>
  <c r="BD5" i="2"/>
  <c r="BD5" i="8" s="1"/>
  <c r="AY5" i="3"/>
  <c r="AY5" i="4"/>
  <c r="AY5" i="5"/>
  <c r="AN202" i="3"/>
  <c r="AM20" i="3"/>
  <c r="AN30" i="3"/>
  <c r="AN20" i="3"/>
  <c r="AL20" i="3"/>
  <c r="AP254" i="3"/>
  <c r="AP253" i="3"/>
  <c r="AM21" i="3"/>
  <c r="AN21" i="3"/>
  <c r="AK19" i="3"/>
  <c r="AK16" i="3"/>
  <c r="BE266" i="3"/>
  <c r="AO196" i="3"/>
  <c r="AO16" i="3" s="1"/>
  <c r="AK204" i="3"/>
  <c r="AT235" i="3"/>
  <c r="AO223" i="3"/>
  <c r="BD232" i="3"/>
  <c r="BG201" i="3"/>
  <c r="BG202" i="3"/>
  <c r="CG226" i="3"/>
  <c r="CG227" i="3" s="1"/>
  <c r="CG232" i="3" s="1"/>
  <c r="BQ227" i="3"/>
  <c r="BQ232" i="3" s="1"/>
  <c r="AZ264" i="3"/>
  <c r="BA266" i="3" s="1"/>
  <c r="BD262" i="3"/>
  <c r="BE232" i="3"/>
  <c r="BT226" i="3"/>
  <c r="BS226" i="3"/>
  <c r="BO227" i="3"/>
  <c r="BP227" i="3"/>
  <c r="BP232" i="3" s="1"/>
  <c r="AP258" i="3"/>
  <c r="AR215" i="3"/>
  <c r="AR220" i="3" s="1"/>
  <c r="BF227" i="3"/>
  <c r="BD227" i="3"/>
  <c r="BD228" i="3" s="1"/>
  <c r="BD229" i="3" s="1"/>
  <c r="AS215" i="3"/>
  <c r="AS220" i="3" s="1"/>
  <c r="AU214" i="3"/>
  <c r="AT214" i="3"/>
  <c r="AN206" i="3" l="1"/>
  <c r="AM30" i="3"/>
  <c r="BI5" i="2"/>
  <c r="BI5" i="8" s="1"/>
  <c r="BD5" i="4"/>
  <c r="BD5" i="5"/>
  <c r="BD5" i="3"/>
  <c r="AL21" i="3"/>
  <c r="AK21" i="3"/>
  <c r="AK20" i="3"/>
  <c r="AP30" i="3"/>
  <c r="AP16" i="3"/>
  <c r="AK30" i="3"/>
  <c r="BE265" i="3"/>
  <c r="AO204" i="3"/>
  <c r="AP198" i="3"/>
  <c r="BD264" i="3"/>
  <c r="AP206" i="3"/>
  <c r="BH201" i="3"/>
  <c r="BH202" i="3"/>
  <c r="CF226" i="3"/>
  <c r="CF227" i="3" s="1"/>
  <c r="CF232" i="3" s="1"/>
  <c r="BT227" i="3"/>
  <c r="CI226" i="3" s="1"/>
  <c r="BO232" i="3"/>
  <c r="BS227" i="3"/>
  <c r="BS228" i="3" s="1"/>
  <c r="CD226" i="3"/>
  <c r="BF232" i="3"/>
  <c r="BU226" i="3"/>
  <c r="CE226" i="3"/>
  <c r="CE227" i="3" s="1"/>
  <c r="CE232" i="3" s="1"/>
  <c r="AQ196" i="3"/>
  <c r="AQ299" i="3" s="1"/>
  <c r="BD235" i="3"/>
  <c r="BG227" i="3"/>
  <c r="AU215" i="3"/>
  <c r="AU220" i="3" s="1"/>
  <c r="AV214" i="3"/>
  <c r="AT215" i="3"/>
  <c r="AT216" i="3" s="1"/>
  <c r="AT217" i="3" s="1"/>
  <c r="AT220" i="3"/>
  <c r="AN32" i="3" l="1"/>
  <c r="AQ16" i="3"/>
  <c r="AQ18" i="3" s="1"/>
  <c r="AQ200" i="3"/>
  <c r="BN5" i="2"/>
  <c r="BN5" i="8" s="1"/>
  <c r="BI5" i="4"/>
  <c r="BI5" i="5"/>
  <c r="BI5" i="3"/>
  <c r="AO200" i="3"/>
  <c r="AO30" i="3"/>
  <c r="AP18" i="3"/>
  <c r="AP32" i="3"/>
  <c r="BD263" i="3"/>
  <c r="BS232" i="3"/>
  <c r="AQ198" i="3"/>
  <c r="AQ30" i="3"/>
  <c r="BJ202" i="3"/>
  <c r="BJ201" i="3"/>
  <c r="BF262" i="3"/>
  <c r="BU227" i="3"/>
  <c r="BU232" i="3" s="1"/>
  <c r="CH226" i="3"/>
  <c r="CD227" i="3"/>
  <c r="BG232" i="3"/>
  <c r="BV226" i="3"/>
  <c r="CI227" i="3"/>
  <c r="BT232" i="3"/>
  <c r="AT223" i="3"/>
  <c r="AV215" i="3"/>
  <c r="AW214" i="3"/>
  <c r="AQ202" i="3" l="1"/>
  <c r="BS5" i="2"/>
  <c r="BS5" i="8" s="1"/>
  <c r="BN5" i="4"/>
  <c r="BN5" i="5"/>
  <c r="BN5" i="3"/>
  <c r="AQ32" i="3"/>
  <c r="BS235" i="3"/>
  <c r="AQ206" i="3"/>
  <c r="BK201" i="3"/>
  <c r="BK202" i="3"/>
  <c r="CJ226" i="3"/>
  <c r="CJ227" i="3" s="1"/>
  <c r="CJ232" i="3" s="1"/>
  <c r="CD232" i="3"/>
  <c r="CH227" i="3"/>
  <c r="CH228" i="3" s="1"/>
  <c r="CI232" i="3"/>
  <c r="BV227" i="3"/>
  <c r="CK226" i="3" s="1"/>
  <c r="BF264" i="3"/>
  <c r="BH227" i="3"/>
  <c r="BJ227" i="3"/>
  <c r="AX214" i="3"/>
  <c r="AY214" i="3" s="1"/>
  <c r="AW215" i="3"/>
  <c r="AW220" i="3" s="1"/>
  <c r="AV220" i="3"/>
  <c r="AV222" i="3" s="1"/>
  <c r="BX5" i="2" l="1"/>
  <c r="BX5" i="8" s="1"/>
  <c r="BS5" i="3"/>
  <c r="BS5" i="4"/>
  <c r="BS5" i="5"/>
  <c r="AW222" i="3"/>
  <c r="BF265" i="3"/>
  <c r="BF266" i="3"/>
  <c r="CH232" i="3"/>
  <c r="CH235" i="3" s="1"/>
  <c r="BL202" i="3"/>
  <c r="BL201" i="3"/>
  <c r="BV232" i="3"/>
  <c r="CK227" i="3"/>
  <c r="BJ232" i="3"/>
  <c r="BY226" i="3"/>
  <c r="BI227" i="3"/>
  <c r="BI228" i="3" s="1"/>
  <c r="BI229" i="3" s="1"/>
  <c r="BW226" i="3"/>
  <c r="BH232" i="3"/>
  <c r="BK227" i="3"/>
  <c r="BZ226" i="3" s="1"/>
  <c r="BZ227" i="3" s="1"/>
  <c r="BZ232" i="3" s="1"/>
  <c r="AZ214" i="3"/>
  <c r="AX215" i="3"/>
  <c r="CC5" i="2" l="1"/>
  <c r="CC5" i="8" s="1"/>
  <c r="BX5" i="4"/>
  <c r="BX5" i="5"/>
  <c r="BX5" i="3"/>
  <c r="BI232" i="3"/>
  <c r="BI235" i="3" s="1"/>
  <c r="BM201" i="3"/>
  <c r="BM202" i="3"/>
  <c r="BW227" i="3"/>
  <c r="BX226" i="3"/>
  <c r="BY227" i="3"/>
  <c r="CK232" i="3"/>
  <c r="BK232" i="3"/>
  <c r="BL227" i="3"/>
  <c r="AX220" i="3"/>
  <c r="AX222" i="3" s="1"/>
  <c r="AY215" i="3"/>
  <c r="AY216" i="3" s="1"/>
  <c r="AY217" i="3" s="1"/>
  <c r="AZ215" i="3"/>
  <c r="BA214" i="3"/>
  <c r="CH5" i="2" l="1"/>
  <c r="CH5" i="8" s="1"/>
  <c r="CC5" i="4"/>
  <c r="CC5" i="5"/>
  <c r="CC5" i="3"/>
  <c r="BO201" i="3"/>
  <c r="BO202" i="3"/>
  <c r="AY220" i="3"/>
  <c r="BY232" i="3"/>
  <c r="BL232" i="3"/>
  <c r="CA226" i="3"/>
  <c r="BW232" i="3"/>
  <c r="BX227" i="3"/>
  <c r="BX228" i="3" s="1"/>
  <c r="BX229" i="3" s="1"/>
  <c r="CL226" i="3"/>
  <c r="BB214" i="3"/>
  <c r="BA215" i="3"/>
  <c r="BA220" i="3" s="1"/>
  <c r="AZ220" i="3"/>
  <c r="CM5" i="2" l="1"/>
  <c r="CM5" i="8" s="1"/>
  <c r="CH5" i="3"/>
  <c r="CH5" i="4"/>
  <c r="CH5" i="5"/>
  <c r="BA222" i="3"/>
  <c r="BA221" i="3"/>
  <c r="AZ222" i="3"/>
  <c r="AZ221" i="3"/>
  <c r="BX232" i="3"/>
  <c r="AY223" i="3"/>
  <c r="BP201" i="3"/>
  <c r="BP202" i="3"/>
  <c r="CA227" i="3"/>
  <c r="CL227" i="3"/>
  <c r="CM226" i="3"/>
  <c r="BM227" i="3"/>
  <c r="BB215" i="3"/>
  <c r="BC214" i="3"/>
  <c r="CM5" i="4" l="1"/>
  <c r="CM5" i="5"/>
  <c r="CM5" i="3"/>
  <c r="BX235" i="3"/>
  <c r="BQ201" i="3"/>
  <c r="BQ202" i="3"/>
  <c r="CL232" i="3"/>
  <c r="CM227" i="3"/>
  <c r="CM228" i="3" s="1"/>
  <c r="CM229" i="3" s="1"/>
  <c r="BM232" i="3"/>
  <c r="CB226" i="3"/>
  <c r="CA232" i="3"/>
  <c r="BD214" i="3"/>
  <c r="BE214" i="3"/>
  <c r="BN227" i="3"/>
  <c r="BN228" i="3" s="1"/>
  <c r="BC215" i="3"/>
  <c r="BC220" i="3" s="1"/>
  <c r="BB220" i="3"/>
  <c r="BB222" i="3" l="1"/>
  <c r="BB221" i="3"/>
  <c r="BC222" i="3"/>
  <c r="BC221" i="3"/>
  <c r="BN232" i="3"/>
  <c r="BN235" i="3" s="1"/>
  <c r="CM232" i="3"/>
  <c r="BN229" i="3"/>
  <c r="BS229" i="3"/>
  <c r="BR202" i="3"/>
  <c r="BR201" i="3"/>
  <c r="CB227" i="3"/>
  <c r="CC226" i="3"/>
  <c r="BE215" i="3"/>
  <c r="BF214" i="3"/>
  <c r="BD215" i="3"/>
  <c r="BD216" i="3" s="1"/>
  <c r="BD217" i="3" s="1"/>
  <c r="BD220" i="3"/>
  <c r="BD221" i="3" s="1"/>
  <c r="CM235" i="3" l="1"/>
  <c r="BT201" i="3"/>
  <c r="BT202" i="3"/>
  <c r="CB232" i="3"/>
  <c r="CC227" i="3"/>
  <c r="CC228" i="3" s="1"/>
  <c r="BD223" i="3"/>
  <c r="BF215" i="3"/>
  <c r="BF220" i="3" s="1"/>
  <c r="BG214" i="3"/>
  <c r="BE220" i="3"/>
  <c r="BE222" i="3" l="1"/>
  <c r="BE221" i="3"/>
  <c r="BF221" i="3"/>
  <c r="BF222" i="3"/>
  <c r="CC229" i="3"/>
  <c r="CH229" i="3"/>
  <c r="CC232" i="3"/>
  <c r="CC235" i="3" s="1"/>
  <c r="BU201" i="3"/>
  <c r="BU202" i="3"/>
  <c r="BH214" i="3"/>
  <c r="BI214" i="3" s="1"/>
  <c r="BG215" i="3"/>
  <c r="BV201" i="3" l="1"/>
  <c r="BV202" i="3"/>
  <c r="BJ214" i="3"/>
  <c r="BH215" i="3"/>
  <c r="BH220" i="3" s="1"/>
  <c r="BG220" i="3"/>
  <c r="BG221" i="3" l="1"/>
  <c r="BG222" i="3"/>
  <c r="BH221" i="3"/>
  <c r="BH222" i="3"/>
  <c r="BW201" i="3"/>
  <c r="BW202" i="3"/>
  <c r="BI215" i="3"/>
  <c r="BI216" i="3" s="1"/>
  <c r="BI217" i="3" s="1"/>
  <c r="BI220" i="3"/>
  <c r="BI221" i="3" s="1"/>
  <c r="BJ215" i="3"/>
  <c r="BK214" i="3"/>
  <c r="BY201" i="3" l="1"/>
  <c r="BY202" i="3"/>
  <c r="BI223" i="3"/>
  <c r="BJ220" i="3"/>
  <c r="BL214" i="3"/>
  <c r="BK215" i="3"/>
  <c r="BK220" i="3" s="1"/>
  <c r="BK221" i="3" l="1"/>
  <c r="BK222" i="3"/>
  <c r="BJ221" i="3"/>
  <c r="BJ222" i="3"/>
  <c r="BZ201" i="3"/>
  <c r="BZ202" i="3"/>
  <c r="BL215" i="3"/>
  <c r="BL220" i="3" s="1"/>
  <c r="BM214" i="3"/>
  <c r="BN214" i="3" s="1"/>
  <c r="BL222" i="3" l="1"/>
  <c r="BL221" i="3"/>
  <c r="CA202" i="3"/>
  <c r="CA201" i="3"/>
  <c r="BO214" i="3"/>
  <c r="BM215" i="3"/>
  <c r="CB201" i="3" l="1"/>
  <c r="CB202" i="3"/>
  <c r="BM220" i="3"/>
  <c r="BN215" i="3"/>
  <c r="BN216" i="3" s="1"/>
  <c r="BN217" i="3" s="1"/>
  <c r="BP214" i="3"/>
  <c r="BO215" i="3"/>
  <c r="BM222" i="3" l="1"/>
  <c r="BM221" i="3"/>
  <c r="CD201" i="3"/>
  <c r="CD202" i="3"/>
  <c r="BN220" i="3"/>
  <c r="BN221" i="3" s="1"/>
  <c r="BQ214" i="3"/>
  <c r="BP215" i="3"/>
  <c r="BP220" i="3" s="1"/>
  <c r="BO220" i="3"/>
  <c r="BP222" i="3" l="1"/>
  <c r="BP221" i="3"/>
  <c r="BO222" i="3"/>
  <c r="BO221" i="3"/>
  <c r="BN223" i="3"/>
  <c r="CE202" i="3"/>
  <c r="CE201" i="3"/>
  <c r="BR214" i="3"/>
  <c r="BT214" i="3" s="1"/>
  <c r="BQ215" i="3"/>
  <c r="CF201" i="3" l="1"/>
  <c r="CF202" i="3"/>
  <c r="BU214" i="3"/>
  <c r="BT215" i="3"/>
  <c r="BS214" i="3"/>
  <c r="BQ220" i="3"/>
  <c r="BR215" i="3"/>
  <c r="BR220" i="3" s="1"/>
  <c r="BQ222" i="3" l="1"/>
  <c r="BQ221" i="3"/>
  <c r="BR222" i="3"/>
  <c r="BR221" i="3"/>
  <c r="CG202" i="3"/>
  <c r="CG201" i="3"/>
  <c r="BT220" i="3"/>
  <c r="BU215" i="3"/>
  <c r="BU220" i="3" s="1"/>
  <c r="BV214" i="3"/>
  <c r="BS215" i="3"/>
  <c r="BS216" i="3" s="1"/>
  <c r="BS217" i="3" s="1"/>
  <c r="BS220" i="3"/>
  <c r="BS221" i="3" s="1"/>
  <c r="BU221" i="3" l="1"/>
  <c r="BU222" i="3"/>
  <c r="BT222" i="3"/>
  <c r="BT221" i="3"/>
  <c r="BS223" i="3"/>
  <c r="CI202" i="3"/>
  <c r="CI201" i="3"/>
  <c r="BV215" i="3"/>
  <c r="BV220" i="3" s="1"/>
  <c r="BW214" i="3"/>
  <c r="BX214" i="3" s="1"/>
  <c r="BV221" i="3" l="1"/>
  <c r="BV222" i="3"/>
  <c r="CJ202" i="3"/>
  <c r="CJ201" i="3"/>
  <c r="BY214" i="3"/>
  <c r="BW215" i="3"/>
  <c r="BW220" i="3" s="1"/>
  <c r="BW221" i="3" l="1"/>
  <c r="BW222" i="3"/>
  <c r="CK202" i="3"/>
  <c r="CK201" i="3"/>
  <c r="BX215" i="3"/>
  <c r="BX216" i="3" s="1"/>
  <c r="BX217" i="3" s="1"/>
  <c r="BZ214" i="3"/>
  <c r="BY215" i="3"/>
  <c r="BX220" i="3"/>
  <c r="BX221" i="3" s="1"/>
  <c r="CL201" i="3" l="1"/>
  <c r="CL202" i="3"/>
  <c r="BX223" i="3"/>
  <c r="CA214" i="3"/>
  <c r="BZ215" i="3"/>
  <c r="BZ220" i="3" s="1"/>
  <c r="BY220" i="3"/>
  <c r="BY222" i="3" l="1"/>
  <c r="BY221" i="3"/>
  <c r="BZ222" i="3"/>
  <c r="BZ221" i="3"/>
  <c r="CA215" i="3"/>
  <c r="CA220" i="3" s="1"/>
  <c r="CB214" i="3"/>
  <c r="CC214" i="3" s="1"/>
  <c r="CA222" i="3" l="1"/>
  <c r="CA221" i="3"/>
  <c r="CB215" i="3"/>
  <c r="CB220" i="3" s="1"/>
  <c r="CD214" i="3"/>
  <c r="CB222" i="3" l="1"/>
  <c r="CB221" i="3"/>
  <c r="CC220" i="3"/>
  <c r="CC221" i="3" s="1"/>
  <c r="CC215" i="3"/>
  <c r="CC216" i="3" s="1"/>
  <c r="CC217" i="3" s="1"/>
  <c r="CD215" i="3"/>
  <c r="CE214" i="3"/>
  <c r="CC223" i="3" l="1"/>
  <c r="CF214" i="3"/>
  <c r="CE215" i="3"/>
  <c r="CE220" i="3" s="1"/>
  <c r="CD220" i="3"/>
  <c r="CE222" i="3" l="1"/>
  <c r="CE221" i="3"/>
  <c r="CD222" i="3"/>
  <c r="CD221" i="3"/>
  <c r="CG214" i="3"/>
  <c r="CF215" i="3"/>
  <c r="CI214" i="3" l="1"/>
  <c r="CG215" i="3"/>
  <c r="CG220" i="3" s="1"/>
  <c r="CH214" i="3"/>
  <c r="CF220" i="3"/>
  <c r="CG222" i="3" l="1"/>
  <c r="CG221" i="3"/>
  <c r="CF222" i="3"/>
  <c r="CF221" i="3"/>
  <c r="CH215" i="3"/>
  <c r="CH216" i="3" s="1"/>
  <c r="CH217" i="3" s="1"/>
  <c r="CH220" i="3"/>
  <c r="CH221" i="3" s="1"/>
  <c r="CI215" i="3"/>
  <c r="CJ214" i="3"/>
  <c r="CH223" i="3" l="1"/>
  <c r="CI220" i="3"/>
  <c r="CK214" i="3"/>
  <c r="CJ215" i="3"/>
  <c r="CJ220" i="3" s="1"/>
  <c r="CJ222" i="3" l="1"/>
  <c r="CJ221" i="3"/>
  <c r="CI222" i="3"/>
  <c r="CI221" i="3"/>
  <c r="CL214" i="3"/>
  <c r="CL215" i="3" s="1"/>
  <c r="CL220" i="3" s="1"/>
  <c r="CK215" i="3"/>
  <c r="CK220" i="3" s="1"/>
  <c r="CK222" i="3" l="1"/>
  <c r="CK221" i="3"/>
  <c r="CL222" i="3"/>
  <c r="CL221" i="3"/>
  <c r="CM214" i="3"/>
  <c r="CM220" i="3"/>
  <c r="CM221" i="3" s="1"/>
  <c r="CM215" i="3"/>
  <c r="CM223" i="3" l="1"/>
  <c r="CM216" i="3"/>
  <c r="CM217" i="3" s="1"/>
  <c r="AJ106" i="3" l="1"/>
  <c r="AJ77" i="3" s="1"/>
  <c r="AE106" i="3"/>
  <c r="Z106" i="3"/>
  <c r="Z77" i="3" s="1"/>
  <c r="U106" i="3"/>
  <c r="U77" i="3" s="1"/>
  <c r="P106" i="3"/>
  <c r="P77" i="3" s="1"/>
  <c r="K106" i="3"/>
  <c r="K77" i="3" s="1"/>
  <c r="AE77" i="3" l="1"/>
  <c r="AE78" i="3" s="1"/>
  <c r="U78" i="3"/>
  <c r="P78" i="3"/>
  <c r="BE66" i="3"/>
  <c r="Z78" i="3"/>
  <c r="AZ140" i="3"/>
  <c r="AZ141" i="3"/>
  <c r="BB140" i="3"/>
  <c r="BC63" i="3"/>
  <c r="BB63" i="3"/>
  <c r="BA63" i="3"/>
  <c r="AZ63" i="3"/>
  <c r="G274" i="3"/>
  <c r="AZ100" i="3"/>
  <c r="AJ78" i="3" l="1"/>
  <c r="AU165" i="3"/>
  <c r="AU166" i="3"/>
  <c r="BA65" i="3"/>
  <c r="BA64" i="3"/>
  <c r="BB65" i="3"/>
  <c r="BB64" i="3"/>
  <c r="BC65" i="3"/>
  <c r="BC64" i="3"/>
  <c r="AU69" i="3"/>
  <c r="BE68" i="3"/>
  <c r="BE67" i="3"/>
  <c r="AZ65" i="3"/>
  <c r="AZ64" i="3"/>
  <c r="BF66" i="3"/>
  <c r="BG63" i="3"/>
  <c r="BB117" i="3"/>
  <c r="BB116" i="3"/>
  <c r="BE63" i="3"/>
  <c r="AZ116" i="3"/>
  <c r="AZ117" i="3"/>
  <c r="BF63" i="3"/>
  <c r="BA116" i="3"/>
  <c r="BA117" i="3"/>
  <c r="BH63" i="3"/>
  <c r="BC116" i="3"/>
  <c r="BC117" i="3"/>
  <c r="BA100" i="3"/>
  <c r="AZ99" i="3"/>
  <c r="AV165" i="3" l="1"/>
  <c r="AV166" i="3"/>
  <c r="AU71" i="3"/>
  <c r="AU70" i="3"/>
  <c r="AV69" i="3"/>
  <c r="BE65" i="3"/>
  <c r="BE64" i="3"/>
  <c r="BG65" i="3"/>
  <c r="BG64" i="3"/>
  <c r="BF65" i="3"/>
  <c r="BF64" i="3"/>
  <c r="BH65" i="3"/>
  <c r="BH64" i="3"/>
  <c r="BF68" i="3"/>
  <c r="BF67" i="3"/>
  <c r="BG66" i="3"/>
  <c r="BK63" i="3"/>
  <c r="BF116" i="3"/>
  <c r="BF117" i="3"/>
  <c r="BM63" i="3"/>
  <c r="BH117" i="3"/>
  <c r="BH116" i="3"/>
  <c r="BJ63" i="3"/>
  <c r="BE116" i="3"/>
  <c r="BE117" i="3"/>
  <c r="BL63" i="3"/>
  <c r="BG117" i="3"/>
  <c r="BG116" i="3"/>
  <c r="BB100" i="3"/>
  <c r="BA99" i="3"/>
  <c r="AW166" i="3" l="1"/>
  <c r="AW165" i="3"/>
  <c r="BK65" i="3"/>
  <c r="BK64" i="3"/>
  <c r="BL65" i="3"/>
  <c r="BL64" i="3"/>
  <c r="BG68" i="3"/>
  <c r="BG67" i="3"/>
  <c r="AV71" i="3"/>
  <c r="AV70" i="3"/>
  <c r="BH66" i="3"/>
  <c r="AW69" i="3"/>
  <c r="BJ65" i="3"/>
  <c r="BJ64" i="3"/>
  <c r="BM65" i="3"/>
  <c r="BM64" i="3"/>
  <c r="BQ63" i="3"/>
  <c r="BL117" i="3"/>
  <c r="BL116" i="3"/>
  <c r="BR63" i="3"/>
  <c r="BM116" i="3"/>
  <c r="BM117" i="3"/>
  <c r="BO63" i="3"/>
  <c r="BJ116" i="3"/>
  <c r="BJ117" i="3"/>
  <c r="BP63" i="3"/>
  <c r="BK117" i="3"/>
  <c r="BK116" i="3"/>
  <c r="BC100" i="3"/>
  <c r="BB99" i="3"/>
  <c r="AX165" i="3" l="1"/>
  <c r="AX166" i="3"/>
  <c r="BJ66" i="3"/>
  <c r="AW70" i="3"/>
  <c r="AW71" i="3"/>
  <c r="BP65" i="3"/>
  <c r="BP64" i="3"/>
  <c r="BQ65" i="3"/>
  <c r="BQ64" i="3"/>
  <c r="AX69" i="3"/>
  <c r="BH68" i="3"/>
  <c r="BH67" i="3"/>
  <c r="BR64" i="3"/>
  <c r="BR65" i="3"/>
  <c r="BO65" i="3"/>
  <c r="BO64" i="3"/>
  <c r="BU63" i="3"/>
  <c r="BP116" i="3"/>
  <c r="BP117" i="3"/>
  <c r="BT63" i="3"/>
  <c r="BO116" i="3"/>
  <c r="BO117" i="3"/>
  <c r="BW63" i="3"/>
  <c r="BR116" i="3"/>
  <c r="BR117" i="3"/>
  <c r="BV63" i="3"/>
  <c r="BQ116" i="3"/>
  <c r="BQ117" i="3"/>
  <c r="BE100" i="3"/>
  <c r="BC99" i="3"/>
  <c r="AZ165" i="3" l="1"/>
  <c r="AZ166" i="3"/>
  <c r="BU65" i="3"/>
  <c r="BU64" i="3"/>
  <c r="AZ69" i="3"/>
  <c r="AX70" i="3"/>
  <c r="AX71" i="3"/>
  <c r="BV65" i="3"/>
  <c r="BV64" i="3"/>
  <c r="BW65" i="3"/>
  <c r="BW64" i="3"/>
  <c r="BT64" i="3"/>
  <c r="BT65" i="3"/>
  <c r="BJ67" i="3"/>
  <c r="BJ68" i="3"/>
  <c r="BK66" i="3"/>
  <c r="BY63" i="3"/>
  <c r="BT117" i="3"/>
  <c r="BT116" i="3"/>
  <c r="CB63" i="3"/>
  <c r="BW117" i="3"/>
  <c r="BW116" i="3"/>
  <c r="CA63" i="3"/>
  <c r="BV117" i="3"/>
  <c r="BV116" i="3"/>
  <c r="BZ63" i="3"/>
  <c r="BU117" i="3"/>
  <c r="BU116" i="3"/>
  <c r="BF100" i="3"/>
  <c r="BE99" i="3"/>
  <c r="BA165" i="3" l="1"/>
  <c r="BA166" i="3"/>
  <c r="BZ65" i="3"/>
  <c r="BZ64" i="3"/>
  <c r="BY65" i="3"/>
  <c r="BY64" i="3"/>
  <c r="BK68" i="3"/>
  <c r="BK67" i="3"/>
  <c r="AZ71" i="3"/>
  <c r="AZ70" i="3"/>
  <c r="BL66" i="3"/>
  <c r="BA69" i="3"/>
  <c r="CB64" i="3"/>
  <c r="CB65" i="3"/>
  <c r="CA65" i="3"/>
  <c r="CA64" i="3"/>
  <c r="CE63" i="3"/>
  <c r="BZ116" i="3"/>
  <c r="BZ117" i="3"/>
  <c r="CF63" i="3"/>
  <c r="CA116" i="3"/>
  <c r="CA117" i="3"/>
  <c r="CG63" i="3"/>
  <c r="CB116" i="3"/>
  <c r="CB117" i="3"/>
  <c r="CD63" i="3"/>
  <c r="BY117" i="3"/>
  <c r="BY116" i="3"/>
  <c r="BG100" i="3"/>
  <c r="BF99" i="3"/>
  <c r="BB165" i="3" l="1"/>
  <c r="BB166" i="3"/>
  <c r="BM66" i="3"/>
  <c r="CE65" i="3"/>
  <c r="CE64" i="3"/>
  <c r="CJ64" i="3"/>
  <c r="BL68" i="3"/>
  <c r="BL67" i="3"/>
  <c r="BB69" i="3"/>
  <c r="CL64" i="3"/>
  <c r="CG65" i="3"/>
  <c r="CG64" i="3"/>
  <c r="CI65" i="3"/>
  <c r="CD65" i="3"/>
  <c r="CD64" i="3"/>
  <c r="CI64" i="3"/>
  <c r="CF65" i="3"/>
  <c r="CF64" i="3"/>
  <c r="CK64" i="3"/>
  <c r="BA71" i="3"/>
  <c r="BA70" i="3"/>
  <c r="CD116" i="3"/>
  <c r="CD117" i="3"/>
  <c r="CI116" i="3"/>
  <c r="CI117" i="3"/>
  <c r="CG117" i="3"/>
  <c r="CL116" i="3"/>
  <c r="CG116" i="3"/>
  <c r="CK116" i="3"/>
  <c r="CF117" i="3"/>
  <c r="CF116" i="3"/>
  <c r="CE117" i="3"/>
  <c r="CE116" i="3"/>
  <c r="CJ116" i="3"/>
  <c r="BH100" i="3"/>
  <c r="BG99" i="3"/>
  <c r="BC165" i="3" l="1"/>
  <c r="BC166" i="3"/>
  <c r="BB71" i="3"/>
  <c r="BB70" i="3"/>
  <c r="BC69" i="3"/>
  <c r="BM68" i="3"/>
  <c r="BM67" i="3"/>
  <c r="BO66" i="3"/>
  <c r="BJ100" i="3"/>
  <c r="BH99" i="3"/>
  <c r="BE166" i="3" l="1"/>
  <c r="BE165" i="3"/>
  <c r="BO67" i="3"/>
  <c r="BO68" i="3"/>
  <c r="BC71" i="3"/>
  <c r="BC70" i="3"/>
  <c r="BE69" i="3"/>
  <c r="BP66" i="3"/>
  <c r="BK100" i="3"/>
  <c r="BJ99" i="3"/>
  <c r="BF166" i="3" l="1"/>
  <c r="BF165" i="3"/>
  <c r="BP67" i="3"/>
  <c r="BP68" i="3"/>
  <c r="BQ66" i="3"/>
  <c r="BE71" i="3"/>
  <c r="BE70" i="3"/>
  <c r="BF69" i="3"/>
  <c r="BL100" i="3"/>
  <c r="BK99" i="3"/>
  <c r="BG166" i="3" l="1"/>
  <c r="BG165" i="3"/>
  <c r="BQ68" i="3"/>
  <c r="BQ67" i="3"/>
  <c r="BG69" i="3"/>
  <c r="BR66" i="3"/>
  <c r="BF70" i="3"/>
  <c r="BF71" i="3"/>
  <c r="BL99" i="3"/>
  <c r="BM100" i="3" l="1"/>
  <c r="BO98" i="3"/>
  <c r="BP98" i="3" s="1"/>
  <c r="BQ98" i="3" s="1"/>
  <c r="BR98" i="3" s="1"/>
  <c r="BT98" i="3" s="1"/>
  <c r="BU98" i="3" s="1"/>
  <c r="BV98" i="3" s="1"/>
  <c r="BW98" i="3" s="1"/>
  <c r="BH165" i="3"/>
  <c r="BH166" i="3"/>
  <c r="BG71" i="3"/>
  <c r="BG70" i="3"/>
  <c r="BT66" i="3"/>
  <c r="BH69" i="3"/>
  <c r="BR68" i="3"/>
  <c r="BR67" i="3"/>
  <c r="BM99" i="3"/>
  <c r="BO100" i="3" l="1"/>
  <c r="BJ165" i="3"/>
  <c r="BJ166" i="3"/>
  <c r="BJ69" i="3"/>
  <c r="BT67" i="3"/>
  <c r="BT68" i="3"/>
  <c r="BH71" i="3"/>
  <c r="BH70" i="3"/>
  <c r="BU66" i="3"/>
  <c r="BP100" i="3"/>
  <c r="BO99" i="3"/>
  <c r="BK166" i="3" l="1"/>
  <c r="BK165" i="3"/>
  <c r="BV66" i="3"/>
  <c r="BJ71" i="3"/>
  <c r="BJ70" i="3"/>
  <c r="BU67" i="3"/>
  <c r="BU68" i="3"/>
  <c r="BK69" i="3"/>
  <c r="BQ100" i="3"/>
  <c r="BP99" i="3"/>
  <c r="BL166" i="3" l="1"/>
  <c r="BL165" i="3"/>
  <c r="BL69" i="3"/>
  <c r="BK70" i="3"/>
  <c r="BK71" i="3"/>
  <c r="BV67" i="3"/>
  <c r="BV68" i="3"/>
  <c r="BW66" i="3"/>
  <c r="BR100" i="3"/>
  <c r="BQ99" i="3"/>
  <c r="BM166" i="3" l="1"/>
  <c r="BM165" i="3"/>
  <c r="BW68" i="3"/>
  <c r="BW67" i="3"/>
  <c r="BL70" i="3"/>
  <c r="BL71" i="3"/>
  <c r="BY66" i="3"/>
  <c r="BM69" i="3"/>
  <c r="BT100" i="3"/>
  <c r="BR99" i="3"/>
  <c r="BO165" i="3" l="1"/>
  <c r="BO166" i="3"/>
  <c r="BY67" i="3"/>
  <c r="BY68" i="3"/>
  <c r="BM71" i="3"/>
  <c r="BM70" i="3"/>
  <c r="BZ66" i="3"/>
  <c r="BO69" i="3"/>
  <c r="BU100" i="3"/>
  <c r="BT99" i="3"/>
  <c r="BP165" i="3" l="1"/>
  <c r="BP166" i="3"/>
  <c r="BZ67" i="3"/>
  <c r="BZ68" i="3"/>
  <c r="BO71" i="3"/>
  <c r="BO70" i="3"/>
  <c r="CA66" i="3"/>
  <c r="BP69" i="3"/>
  <c r="BV100" i="3"/>
  <c r="BU99" i="3"/>
  <c r="BQ166" i="3" l="1"/>
  <c r="BQ165" i="3"/>
  <c r="BP71" i="3"/>
  <c r="BP70" i="3"/>
  <c r="CB66" i="3"/>
  <c r="CA68" i="3"/>
  <c r="CA67" i="3"/>
  <c r="BQ69" i="3"/>
  <c r="BW100" i="3"/>
  <c r="BV99" i="3"/>
  <c r="BR166" i="3" l="1"/>
  <c r="BR165" i="3"/>
  <c r="BQ71" i="3"/>
  <c r="BQ70" i="3"/>
  <c r="BR69" i="3"/>
  <c r="CB68" i="3"/>
  <c r="CB67" i="3"/>
  <c r="CD66" i="3"/>
  <c r="BY98" i="3"/>
  <c r="BY100" i="3" s="1"/>
  <c r="BW99" i="3"/>
  <c r="BT166" i="3" l="1"/>
  <c r="BT165" i="3"/>
  <c r="CD67" i="3"/>
  <c r="CD68" i="3"/>
  <c r="BR71" i="3"/>
  <c r="BR70" i="3"/>
  <c r="BT69" i="3"/>
  <c r="CE66" i="3"/>
  <c r="BZ98" i="3"/>
  <c r="BZ100" i="3" s="1"/>
  <c r="BY99" i="3"/>
  <c r="BU166" i="3" l="1"/>
  <c r="BU165" i="3"/>
  <c r="CE67" i="3"/>
  <c r="CE68" i="3"/>
  <c r="BT71" i="3"/>
  <c r="BT70" i="3"/>
  <c r="BU69" i="3"/>
  <c r="CF66" i="3"/>
  <c r="CA98" i="3"/>
  <c r="CA100" i="3" s="1"/>
  <c r="BZ99" i="3"/>
  <c r="BV166" i="3" l="1"/>
  <c r="BV165" i="3"/>
  <c r="CF67" i="3"/>
  <c r="CF68" i="3"/>
  <c r="CG66" i="3"/>
  <c r="BU70" i="3"/>
  <c r="BU71" i="3"/>
  <c r="BV69" i="3"/>
  <c r="CB98" i="3"/>
  <c r="CB100" i="3" s="1"/>
  <c r="CA99" i="3"/>
  <c r="BW165" i="3" l="1"/>
  <c r="BW166" i="3"/>
  <c r="CG67" i="3"/>
  <c r="CG68" i="3"/>
  <c r="BW69" i="3"/>
  <c r="CI66" i="3"/>
  <c r="BV70" i="3"/>
  <c r="BV71" i="3"/>
  <c r="CD98" i="3"/>
  <c r="CD100" i="3" s="1"/>
  <c r="CB99" i="3"/>
  <c r="BY165" i="3" l="1"/>
  <c r="BY166" i="3"/>
  <c r="CI68" i="3"/>
  <c r="CI67" i="3"/>
  <c r="CJ66" i="3"/>
  <c r="BW70" i="3"/>
  <c r="BW71" i="3"/>
  <c r="BY69" i="3"/>
  <c r="CE98" i="3"/>
  <c r="CE100" i="3" s="1"/>
  <c r="CD99" i="3"/>
  <c r="BZ165" i="3" l="1"/>
  <c r="BZ166" i="3"/>
  <c r="BZ69" i="3"/>
  <c r="CL66" i="3"/>
  <c r="CK66" i="3"/>
  <c r="BY71" i="3"/>
  <c r="BY70" i="3"/>
  <c r="CJ67" i="3"/>
  <c r="CJ68" i="3"/>
  <c r="CF98" i="3"/>
  <c r="CF100" i="3" s="1"/>
  <c r="CE99" i="3"/>
  <c r="CA165" i="3" l="1"/>
  <c r="CA166" i="3"/>
  <c r="CA69" i="3"/>
  <c r="CL67" i="3"/>
  <c r="CL68" i="3"/>
  <c r="CK67" i="3"/>
  <c r="CK68" i="3"/>
  <c r="BZ70" i="3"/>
  <c r="BZ71" i="3"/>
  <c r="CG98" i="3"/>
  <c r="CG100" i="3" s="1"/>
  <c r="CF99" i="3"/>
  <c r="CB166" i="3" l="1"/>
  <c r="CB165" i="3"/>
  <c r="CA70" i="3"/>
  <c r="CA71" i="3"/>
  <c r="CB69" i="3"/>
  <c r="CI98" i="3"/>
  <c r="CI100" i="3" s="1"/>
  <c r="CG99" i="3"/>
  <c r="CD165" i="3" l="1"/>
  <c r="CD166" i="3"/>
  <c r="CD69" i="3"/>
  <c r="CB70" i="3"/>
  <c r="CB71" i="3"/>
  <c r="CJ98" i="3"/>
  <c r="CJ100" i="3" s="1"/>
  <c r="CI99" i="3"/>
  <c r="CE166" i="3" l="1"/>
  <c r="CE165" i="3"/>
  <c r="CD70" i="3"/>
  <c r="CD71" i="3"/>
  <c r="CE69" i="3"/>
  <c r="CK98" i="3"/>
  <c r="CK100" i="3" s="1"/>
  <c r="CJ99" i="3"/>
  <c r="CF165" i="3" l="1"/>
  <c r="CF166" i="3"/>
  <c r="CF69" i="3"/>
  <c r="CE70" i="3"/>
  <c r="CE71" i="3"/>
  <c r="CL98" i="3"/>
  <c r="CK99" i="3"/>
  <c r="CG166" i="3" l="1"/>
  <c r="CG165" i="3"/>
  <c r="CF71" i="3"/>
  <c r="CF70" i="3"/>
  <c r="CG69" i="3"/>
  <c r="CL99" i="3"/>
  <c r="CL100" i="3"/>
  <c r="CI166" i="3" l="1"/>
  <c r="CI165" i="3"/>
  <c r="CG70" i="3"/>
  <c r="CG71" i="3"/>
  <c r="CI69" i="3"/>
  <c r="CJ166" i="3" l="1"/>
  <c r="CJ165" i="3"/>
  <c r="CI70" i="3"/>
  <c r="CI71" i="3"/>
  <c r="CJ69" i="3"/>
  <c r="CK166" i="3" l="1"/>
  <c r="CK165" i="3"/>
  <c r="CJ71" i="3"/>
  <c r="CJ70" i="3"/>
  <c r="CK69" i="3"/>
  <c r="CL69" i="3" l="1"/>
  <c r="CL71" i="3" s="1"/>
  <c r="CL165" i="3"/>
  <c r="CL166" i="3"/>
  <c r="CK71" i="3"/>
  <c r="CK70" i="3"/>
  <c r="CL70" i="3" l="1"/>
  <c r="Y95" i="3" l="1"/>
  <c r="V95" i="3"/>
  <c r="AA94" i="3"/>
  <c r="CL94" i="3"/>
  <c r="CL95" i="3" s="1"/>
  <c r="CK94" i="3"/>
  <c r="CK95" i="3" s="1"/>
  <c r="CJ94" i="3"/>
  <c r="CJ95" i="3" s="1"/>
  <c r="CI94" i="3"/>
  <c r="CI95" i="3" s="1"/>
  <c r="CG94" i="3"/>
  <c r="CG95" i="3" s="1"/>
  <c r="CF94" i="3"/>
  <c r="CF95" i="3" s="1"/>
  <c r="CE94" i="3"/>
  <c r="CE95" i="3" s="1"/>
  <c r="CD94" i="3"/>
  <c r="CD95" i="3" s="1"/>
  <c r="CB94" i="3"/>
  <c r="CA94" i="3"/>
  <c r="CA95" i="3" s="1"/>
  <c r="BZ94" i="3"/>
  <c r="BZ95" i="3" s="1"/>
  <c r="BY94" i="3"/>
  <c r="BY95" i="3" s="1"/>
  <c r="BY43" i="3" s="1"/>
  <c r="BW94" i="3"/>
  <c r="BV94" i="3"/>
  <c r="BV95" i="3" s="1"/>
  <c r="BU94" i="3"/>
  <c r="BU95" i="3" s="1"/>
  <c r="BT94" i="3"/>
  <c r="BT95" i="3" s="1"/>
  <c r="BR94" i="3"/>
  <c r="BR95" i="3" s="1"/>
  <c r="BQ94" i="3"/>
  <c r="BQ95" i="3" s="1"/>
  <c r="BP94" i="3"/>
  <c r="BP95" i="3" s="1"/>
  <c r="BO94" i="3"/>
  <c r="BO95" i="3" s="1"/>
  <c r="BO43" i="3" s="1"/>
  <c r="BM94" i="3"/>
  <c r="BM95" i="3" s="1"/>
  <c r="BL94" i="3"/>
  <c r="BL95" i="3" s="1"/>
  <c r="BK94" i="3"/>
  <c r="BK95" i="3" s="1"/>
  <c r="BJ94" i="3"/>
  <c r="BJ95" i="3" s="1"/>
  <c r="BH94" i="3"/>
  <c r="BH95" i="3" s="1"/>
  <c r="BG94" i="3"/>
  <c r="BG95" i="3" s="1"/>
  <c r="BF94" i="3"/>
  <c r="BF95" i="3" s="1"/>
  <c r="BE94" i="3"/>
  <c r="BE95" i="3" s="1"/>
  <c r="BC94" i="3"/>
  <c r="BB94" i="3"/>
  <c r="BA94" i="3"/>
  <c r="AZ94" i="3"/>
  <c r="AX94" i="3"/>
  <c r="AW94" i="3"/>
  <c r="AV94" i="3"/>
  <c r="AU94" i="3"/>
  <c r="AS94" i="3"/>
  <c r="AR94" i="3"/>
  <c r="AQ94" i="3"/>
  <c r="AP94" i="3"/>
  <c r="AN94" i="3"/>
  <c r="AM94" i="3"/>
  <c r="AL94" i="3"/>
  <c r="AK94" i="3"/>
  <c r="AI94" i="3"/>
  <c r="AH94" i="3"/>
  <c r="AG94" i="3"/>
  <c r="AF94" i="3"/>
  <c r="AD94" i="3"/>
  <c r="AC94" i="3"/>
  <c r="AB94" i="3"/>
  <c r="Y94" i="3"/>
  <c r="X94" i="3"/>
  <c r="W94" i="3"/>
  <c r="V94" i="3"/>
  <c r="T94" i="3"/>
  <c r="S94" i="3"/>
  <c r="R94" i="3"/>
  <c r="Q94" i="3"/>
  <c r="O94" i="3"/>
  <c r="N94" i="3"/>
  <c r="M94" i="3"/>
  <c r="L94" i="3"/>
  <c r="J94" i="3"/>
  <c r="I94" i="3"/>
  <c r="H94" i="3"/>
  <c r="G94" i="3"/>
  <c r="Y98" i="3" l="1"/>
  <c r="V43" i="3"/>
  <c r="V102" i="3"/>
  <c r="Y43" i="3"/>
  <c r="Y102" i="3"/>
  <c r="BM43" i="3"/>
  <c r="BO45" i="3" s="1"/>
  <c r="CD43" i="3"/>
  <c r="BP43" i="3"/>
  <c r="CE43" i="3"/>
  <c r="CF43" i="3"/>
  <c r="BR43" i="3"/>
  <c r="CG43" i="3"/>
  <c r="BQ43" i="3"/>
  <c r="BE43" i="3"/>
  <c r="BT43" i="3"/>
  <c r="BY44" i="3" s="1"/>
  <c r="CI43" i="3"/>
  <c r="BF43" i="3"/>
  <c r="BU43" i="3"/>
  <c r="CJ43" i="3"/>
  <c r="BG43" i="3"/>
  <c r="BV43" i="3"/>
  <c r="CK43" i="3"/>
  <c r="G102" i="3"/>
  <c r="G60" i="3" s="1"/>
  <c r="G43" i="3"/>
  <c r="BH43" i="3"/>
  <c r="CL43" i="3"/>
  <c r="BJ43" i="3"/>
  <c r="AG46" i="3"/>
  <c r="BK43" i="3"/>
  <c r="BZ43" i="3"/>
  <c r="AH46" i="3"/>
  <c r="BL43" i="3"/>
  <c r="CA43" i="3"/>
  <c r="AZ95" i="3"/>
  <c r="BA95" i="3"/>
  <c r="BB95" i="3"/>
  <c r="BC95" i="3"/>
  <c r="AX95" i="3"/>
  <c r="AU95" i="3"/>
  <c r="AV95" i="3"/>
  <c r="AW95" i="3"/>
  <c r="AF46" i="3"/>
  <c r="BS95" i="3"/>
  <c r="V98" i="3"/>
  <c r="G98" i="3"/>
  <c r="AZ43" i="3" l="1"/>
  <c r="BE44" i="3" s="1"/>
  <c r="BU45" i="3"/>
  <c r="BU44" i="3"/>
  <c r="AV43" i="3"/>
  <c r="BZ45" i="3"/>
  <c r="BZ44" i="3"/>
  <c r="CK45" i="3"/>
  <c r="CK44" i="3"/>
  <c r="BF45" i="3"/>
  <c r="CG45" i="3"/>
  <c r="BJ45" i="3"/>
  <c r="BJ44" i="3"/>
  <c r="AU43" i="3"/>
  <c r="AX43" i="3"/>
  <c r="CA45" i="3"/>
  <c r="CA44" i="3"/>
  <c r="BK44" i="3"/>
  <c r="BK45" i="3"/>
  <c r="BV45" i="3"/>
  <c r="BV44" i="3"/>
  <c r="BR45" i="3"/>
  <c r="BR44" i="3"/>
  <c r="CD44" i="3"/>
  <c r="BQ45" i="3"/>
  <c r="BQ44" i="3"/>
  <c r="BS98" i="3"/>
  <c r="BS43" i="3"/>
  <c r="BL45" i="3"/>
  <c r="BL44" i="3"/>
  <c r="CL45" i="3"/>
  <c r="CL44" i="3"/>
  <c r="BG45" i="3"/>
  <c r="CI44" i="3"/>
  <c r="CI45" i="3"/>
  <c r="AG48" i="3"/>
  <c r="BO44" i="3"/>
  <c r="BH45" i="3"/>
  <c r="BT44" i="3"/>
  <c r="BT45" i="3"/>
  <c r="CF44" i="3"/>
  <c r="CF45" i="3"/>
  <c r="BM45" i="3"/>
  <c r="BM44" i="3"/>
  <c r="AI119" i="3"/>
  <c r="AI46" i="3"/>
  <c r="BC43" i="3"/>
  <c r="BE45" i="3" s="1"/>
  <c r="AH48" i="3"/>
  <c r="BB43" i="3"/>
  <c r="CJ45" i="3"/>
  <c r="CJ44" i="3"/>
  <c r="CE44" i="3"/>
  <c r="CE45" i="3"/>
  <c r="BP44" i="3"/>
  <c r="BP45" i="3"/>
  <c r="AW43" i="3"/>
  <c r="BA43" i="3"/>
  <c r="AU320" i="3"/>
  <c r="AV320" i="3" s="1"/>
  <c r="AI80" i="3" l="1"/>
  <c r="BC45" i="3"/>
  <c r="BC44" i="3"/>
  <c r="BH44" i="3"/>
  <c r="AI48" i="3"/>
  <c r="BA44" i="3"/>
  <c r="BA45" i="3"/>
  <c r="AW45" i="3"/>
  <c r="AV45" i="3"/>
  <c r="BB45" i="3"/>
  <c r="BB44" i="3"/>
  <c r="BG44" i="3"/>
  <c r="BF44" i="3"/>
  <c r="AZ45" i="3"/>
  <c r="AZ44" i="3"/>
  <c r="AX45" i="3"/>
  <c r="AW320" i="3"/>
  <c r="AX320" i="3" s="1"/>
  <c r="AK119" i="3" l="1"/>
  <c r="AK46" i="3"/>
  <c r="AY320" i="3"/>
  <c r="AN284" i="3"/>
  <c r="AM284" i="3"/>
  <c r="AL284" i="3"/>
  <c r="AK284" i="3"/>
  <c r="AI284" i="3"/>
  <c r="AH284" i="3"/>
  <c r="AG284" i="3"/>
  <c r="AF284" i="3"/>
  <c r="AD284" i="3"/>
  <c r="AC284" i="3"/>
  <c r="AB284" i="3"/>
  <c r="AA284" i="3"/>
  <c r="Y284" i="3"/>
  <c r="X284" i="3"/>
  <c r="W284" i="3"/>
  <c r="V284" i="3"/>
  <c r="T284" i="3"/>
  <c r="S284" i="3"/>
  <c r="R284" i="3"/>
  <c r="Q284" i="3"/>
  <c r="O284" i="3"/>
  <c r="N284" i="3"/>
  <c r="M284" i="3"/>
  <c r="L284" i="3"/>
  <c r="J284" i="3"/>
  <c r="I284" i="3"/>
  <c r="H284" i="3"/>
  <c r="AN283" i="3"/>
  <c r="AM283" i="3"/>
  <c r="AL283" i="3"/>
  <c r="AK283" i="3"/>
  <c r="AI283" i="3"/>
  <c r="AH283" i="3"/>
  <c r="AG283" i="3"/>
  <c r="AF283" i="3"/>
  <c r="AD283" i="3"/>
  <c r="AC283" i="3"/>
  <c r="AB283" i="3"/>
  <c r="AA283" i="3"/>
  <c r="Y283" i="3"/>
  <c r="X283" i="3"/>
  <c r="W283" i="3"/>
  <c r="V283" i="3"/>
  <c r="T283" i="3"/>
  <c r="S283" i="3"/>
  <c r="R283" i="3"/>
  <c r="Q283" i="3"/>
  <c r="O283" i="3"/>
  <c r="N283" i="3"/>
  <c r="M283" i="3"/>
  <c r="L283" i="3"/>
  <c r="AJ282" i="3"/>
  <c r="AJ286" i="3" s="1"/>
  <c r="AE282" i="3"/>
  <c r="Z282" i="3"/>
  <c r="U282" i="3"/>
  <c r="P282" i="3"/>
  <c r="K282" i="3"/>
  <c r="AN89" i="3"/>
  <c r="AK182" i="3"/>
  <c r="AP183" i="3" s="1"/>
  <c r="AB274" i="3"/>
  <c r="AB277" i="3" s="1"/>
  <c r="AL182" i="3"/>
  <c r="AQ183" i="3" s="1"/>
  <c r="AN280" i="3"/>
  <c r="AM280" i="3"/>
  <c r="AL280" i="3"/>
  <c r="AK280" i="3"/>
  <c r="AI280" i="3"/>
  <c r="AH280" i="3"/>
  <c r="AG280" i="3"/>
  <c r="AF280" i="3"/>
  <c r="AD280" i="3"/>
  <c r="AC280" i="3"/>
  <c r="AB280" i="3"/>
  <c r="AA280" i="3"/>
  <c r="Y280" i="3"/>
  <c r="X280" i="3"/>
  <c r="W280" i="3"/>
  <c r="V280" i="3"/>
  <c r="T280" i="3"/>
  <c r="S280" i="3"/>
  <c r="R280" i="3"/>
  <c r="Q280" i="3"/>
  <c r="O280" i="3"/>
  <c r="N280" i="3"/>
  <c r="M280" i="3"/>
  <c r="L280" i="3"/>
  <c r="J280" i="3"/>
  <c r="I280" i="3"/>
  <c r="H280" i="3"/>
  <c r="AN279" i="3"/>
  <c r="AM279" i="3"/>
  <c r="AL279" i="3"/>
  <c r="AK279" i="3"/>
  <c r="AI279" i="3"/>
  <c r="AH279" i="3"/>
  <c r="AG279" i="3"/>
  <c r="AF279" i="3"/>
  <c r="AD279" i="3"/>
  <c r="AC279" i="3"/>
  <c r="AB279" i="3"/>
  <c r="AA279" i="3"/>
  <c r="Y279" i="3"/>
  <c r="X279" i="3"/>
  <c r="W279" i="3"/>
  <c r="V279" i="3"/>
  <c r="T279" i="3"/>
  <c r="S279" i="3"/>
  <c r="R279" i="3"/>
  <c r="Q279" i="3"/>
  <c r="O279" i="3"/>
  <c r="N279" i="3"/>
  <c r="M279" i="3"/>
  <c r="L279" i="3"/>
  <c r="AN274" i="3"/>
  <c r="AN277" i="3" s="1"/>
  <c r="AM274" i="3"/>
  <c r="AM277" i="3" s="1"/>
  <c r="AL274" i="3"/>
  <c r="AK274" i="3"/>
  <c r="AI274" i="3"/>
  <c r="AI277" i="3" s="1"/>
  <c r="AH274" i="3"/>
  <c r="AH277" i="3" s="1"/>
  <c r="AG274" i="3"/>
  <c r="AF274" i="3"/>
  <c r="AD274" i="3"/>
  <c r="AC274" i="3"/>
  <c r="AC277" i="3" s="1"/>
  <c r="AA274" i="3"/>
  <c r="Y274" i="3"/>
  <c r="X274" i="3"/>
  <c r="W274" i="3"/>
  <c r="V274" i="3"/>
  <c r="T274" i="3"/>
  <c r="T277" i="3" s="1"/>
  <c r="S274" i="3"/>
  <c r="S277" i="3" s="1"/>
  <c r="R274" i="3"/>
  <c r="Q274" i="3"/>
  <c r="AO278" i="3"/>
  <c r="AO286" i="3" s="1"/>
  <c r="AE278" i="3"/>
  <c r="Z278" i="3"/>
  <c r="U278" i="3"/>
  <c r="P278" i="3"/>
  <c r="K278" i="3"/>
  <c r="O274" i="3"/>
  <c r="N274" i="3"/>
  <c r="M274" i="3"/>
  <c r="L274" i="3"/>
  <c r="J274" i="3"/>
  <c r="J277" i="3" s="1"/>
  <c r="I274" i="3"/>
  <c r="I277" i="3" s="1"/>
  <c r="H274" i="3"/>
  <c r="H277" i="3" s="1"/>
  <c r="G277" i="3"/>
  <c r="AN180" i="3"/>
  <c r="AM180" i="3"/>
  <c r="AL180" i="3"/>
  <c r="AK180" i="3"/>
  <c r="AN179" i="3"/>
  <c r="AM179" i="3"/>
  <c r="AL179" i="3"/>
  <c r="AK179" i="3"/>
  <c r="AI180" i="3"/>
  <c r="AH180" i="3"/>
  <c r="AG180" i="3"/>
  <c r="AF180" i="3"/>
  <c r="AI179" i="3"/>
  <c r="AH179" i="3"/>
  <c r="AG179" i="3"/>
  <c r="AF179" i="3"/>
  <c r="AD180" i="3"/>
  <c r="AC180" i="3"/>
  <c r="AB180" i="3"/>
  <c r="AA180" i="3"/>
  <c r="AD179" i="3"/>
  <c r="AC179" i="3"/>
  <c r="AB179" i="3"/>
  <c r="AA179" i="3"/>
  <c r="Y180" i="3"/>
  <c r="X180" i="3"/>
  <c r="W180" i="3"/>
  <c r="V180" i="3"/>
  <c r="Y179" i="3"/>
  <c r="X179" i="3"/>
  <c r="W179" i="3"/>
  <c r="V179" i="3"/>
  <c r="T180" i="3"/>
  <c r="S180" i="3"/>
  <c r="R180" i="3"/>
  <c r="Q180" i="3"/>
  <c r="T179" i="3"/>
  <c r="S179" i="3"/>
  <c r="R179" i="3"/>
  <c r="Q179" i="3"/>
  <c r="L180" i="3"/>
  <c r="O179" i="3"/>
  <c r="N179" i="3"/>
  <c r="M179" i="3"/>
  <c r="L179" i="3"/>
  <c r="O180" i="3"/>
  <c r="N180" i="3"/>
  <c r="M180" i="3"/>
  <c r="J180" i="3"/>
  <c r="I180" i="3"/>
  <c r="H180" i="3"/>
  <c r="AO178" i="3"/>
  <c r="AO13" i="3" s="1"/>
  <c r="AJ178" i="3"/>
  <c r="AJ13" i="3" s="1"/>
  <c r="AE178" i="3"/>
  <c r="AE13" i="3" s="1"/>
  <c r="Z178" i="3"/>
  <c r="Z13" i="3" s="1"/>
  <c r="U178" i="3"/>
  <c r="U13" i="3" s="1"/>
  <c r="P178" i="3"/>
  <c r="P13" i="3" s="1"/>
  <c r="K178" i="3"/>
  <c r="K13" i="3" s="1"/>
  <c r="AK80" i="3" l="1"/>
  <c r="AK82" i="3" s="1"/>
  <c r="AK48" i="3"/>
  <c r="AK47" i="3"/>
  <c r="AB46" i="3"/>
  <c r="AG47" i="3" s="1"/>
  <c r="AB119" i="3"/>
  <c r="AD46" i="3"/>
  <c r="AD119" i="3"/>
  <c r="Z286" i="3"/>
  <c r="Z36" i="3" s="1"/>
  <c r="Z39" i="3" s="1"/>
  <c r="AE14" i="3"/>
  <c r="U14" i="3"/>
  <c r="AJ14" i="3"/>
  <c r="P14" i="3"/>
  <c r="AL24" i="3"/>
  <c r="AN24" i="3"/>
  <c r="Z14" i="3"/>
  <c r="AQ186" i="3"/>
  <c r="AQ13" i="3"/>
  <c r="AR186" i="3"/>
  <c r="AR191" i="3" s="1"/>
  <c r="AR192" i="3" s="1"/>
  <c r="AO14" i="3"/>
  <c r="AE286" i="3"/>
  <c r="K286" i="3"/>
  <c r="K36" i="3" s="1"/>
  <c r="K39" i="3" s="1"/>
  <c r="AL184" i="3"/>
  <c r="P286" i="3"/>
  <c r="P36" i="3" s="1"/>
  <c r="P39" i="3" s="1"/>
  <c r="AO89" i="3"/>
  <c r="AO287" i="3"/>
  <c r="U286" i="3"/>
  <c r="U36" i="3" s="1"/>
  <c r="U39" i="3" s="1"/>
  <c r="AG275" i="3"/>
  <c r="W276" i="3"/>
  <c r="Z179" i="3"/>
  <c r="P279" i="3"/>
  <c r="AD276" i="3"/>
  <c r="AE283" i="3"/>
  <c r="R276" i="3"/>
  <c r="AL276" i="3"/>
  <c r="Z283" i="3"/>
  <c r="U283" i="3"/>
  <c r="P179" i="3"/>
  <c r="AO279" i="3"/>
  <c r="AJ179" i="3"/>
  <c r="AE179" i="3"/>
  <c r="V276" i="3"/>
  <c r="AC275" i="3"/>
  <c r="M276" i="3"/>
  <c r="X275" i="3"/>
  <c r="AD277" i="3"/>
  <c r="Y275" i="3"/>
  <c r="AF275" i="3"/>
  <c r="X276" i="3"/>
  <c r="AM276" i="3"/>
  <c r="U179" i="3"/>
  <c r="Z279" i="3"/>
  <c r="AD275" i="3"/>
  <c r="P283" i="3"/>
  <c r="K274" i="3"/>
  <c r="K277" i="3" s="1"/>
  <c r="AJ279" i="3"/>
  <c r="AO179" i="3"/>
  <c r="N276" i="3"/>
  <c r="AJ283" i="3"/>
  <c r="O276" i="3"/>
  <c r="M277" i="3"/>
  <c r="Y276" i="3"/>
  <c r="AO283" i="3"/>
  <c r="M275" i="3"/>
  <c r="N277" i="3"/>
  <c r="AA275" i="3"/>
  <c r="N275" i="3"/>
  <c r="J276" i="3"/>
  <c r="AU178" i="3"/>
  <c r="AE274" i="3"/>
  <c r="AV178" i="3"/>
  <c r="AB275" i="3"/>
  <c r="AW178" i="3"/>
  <c r="O275" i="3"/>
  <c r="O277" i="3"/>
  <c r="V277" i="3"/>
  <c r="AN276" i="3"/>
  <c r="W277" i="3"/>
  <c r="AA276" i="3"/>
  <c r="U279" i="3"/>
  <c r="H276" i="3"/>
  <c r="Q275" i="3"/>
  <c r="Z274" i="3"/>
  <c r="X277" i="3"/>
  <c r="AB276" i="3"/>
  <c r="AH275" i="3"/>
  <c r="AX178" i="3"/>
  <c r="AX13" i="3" s="1"/>
  <c r="I276" i="3"/>
  <c r="R275" i="3"/>
  <c r="V275" i="3"/>
  <c r="Y277" i="3"/>
  <c r="AC276" i="3"/>
  <c r="AI275" i="3"/>
  <c r="W275" i="3"/>
  <c r="AG276" i="3"/>
  <c r="P274" i="3"/>
  <c r="L276" i="3"/>
  <c r="AA277" i="3"/>
  <c r="AH276" i="3"/>
  <c r="S275" i="3"/>
  <c r="AK275" i="3"/>
  <c r="T275" i="3"/>
  <c r="AL275" i="3"/>
  <c r="AE279" i="3"/>
  <c r="L275" i="3"/>
  <c r="L277" i="3"/>
  <c r="S276" i="3"/>
  <c r="AT178" i="3"/>
  <c r="AR180" i="3"/>
  <c r="AP187" i="3"/>
  <c r="AP188" i="3"/>
  <c r="AP180" i="3"/>
  <c r="AQ180" i="3"/>
  <c r="AS180" i="3"/>
  <c r="AN188" i="3"/>
  <c r="AL188" i="3"/>
  <c r="AM188" i="3"/>
  <c r="AM182" i="3"/>
  <c r="AR183" i="3" s="1"/>
  <c r="AN182" i="3"/>
  <c r="AM275" i="3"/>
  <c r="AN275" i="3"/>
  <c r="AK276" i="3"/>
  <c r="AK277" i="3"/>
  <c r="AL277" i="3"/>
  <c r="AO274" i="3"/>
  <c r="AF276" i="3"/>
  <c r="AI276" i="3"/>
  <c r="AF277" i="3"/>
  <c r="AG277" i="3"/>
  <c r="AJ274" i="3"/>
  <c r="Q276" i="3"/>
  <c r="T276" i="3"/>
  <c r="Q277" i="3"/>
  <c r="R277" i="3"/>
  <c r="U274" i="3"/>
  <c r="AQ188" i="3" l="1"/>
  <c r="AQ191" i="3"/>
  <c r="AQ192" i="3" s="1"/>
  <c r="AF48" i="3"/>
  <c r="AI47" i="3"/>
  <c r="AJ287" i="3"/>
  <c r="AE36" i="3"/>
  <c r="AR188" i="3"/>
  <c r="AQ187" i="3"/>
  <c r="AR187" i="3"/>
  <c r="AE287" i="3"/>
  <c r="AS188" i="3"/>
  <c r="BB178" i="3"/>
  <c r="BB13" i="3" s="1"/>
  <c r="AW13" i="3"/>
  <c r="AX15" i="3" s="1"/>
  <c r="AT179" i="3"/>
  <c r="AT13" i="3"/>
  <c r="AR15" i="3"/>
  <c r="AR14" i="3"/>
  <c r="AV186" i="3"/>
  <c r="AV187" i="3" s="1"/>
  <c r="AV13" i="3"/>
  <c r="AT186" i="3"/>
  <c r="AT182" i="3" s="1"/>
  <c r="AQ14" i="3"/>
  <c r="AQ15" i="3"/>
  <c r="AU180" i="3"/>
  <c r="AU13" i="3"/>
  <c r="AS187" i="3"/>
  <c r="AO24" i="3"/>
  <c r="AN26" i="3"/>
  <c r="AL26" i="3"/>
  <c r="AM26" i="3"/>
  <c r="AX14" i="3"/>
  <c r="AS14" i="3"/>
  <c r="AS15" i="3"/>
  <c r="P287" i="3"/>
  <c r="P37" i="3"/>
  <c r="AO186" i="3"/>
  <c r="U287" i="3"/>
  <c r="AP184" i="3"/>
  <c r="AS183" i="3"/>
  <c r="AN184" i="3"/>
  <c r="AM184" i="3"/>
  <c r="Z287" i="3"/>
  <c r="BA178" i="3"/>
  <c r="AW186" i="3"/>
  <c r="AE275" i="3"/>
  <c r="AV180" i="3"/>
  <c r="AU186" i="3"/>
  <c r="AU188" i="3" s="1"/>
  <c r="P275" i="3"/>
  <c r="AX180" i="3"/>
  <c r="AY178" i="3"/>
  <c r="AW180" i="3"/>
  <c r="AE277" i="3"/>
  <c r="AZ178" i="3"/>
  <c r="AZ13" i="3" s="1"/>
  <c r="BC178" i="3"/>
  <c r="AX186" i="3"/>
  <c r="P277" i="3"/>
  <c r="Z275" i="3"/>
  <c r="Z277" i="3"/>
  <c r="AO277" i="3"/>
  <c r="AO275" i="3"/>
  <c r="AJ277" i="3"/>
  <c r="AJ275" i="3"/>
  <c r="U277" i="3"/>
  <c r="U275" i="3"/>
  <c r="AE37" i="3" l="1"/>
  <c r="AT14" i="3"/>
  <c r="BG178" i="3"/>
  <c r="BG13" i="3" s="1"/>
  <c r="BB186" i="3"/>
  <c r="BB187" i="3" s="1"/>
  <c r="AW188" i="3"/>
  <c r="AV15" i="3"/>
  <c r="AV14" i="3"/>
  <c r="AY179" i="3"/>
  <c r="AY13" i="3"/>
  <c r="AY14" i="3" s="1"/>
  <c r="BA186" i="3"/>
  <c r="BA187" i="3" s="1"/>
  <c r="BA13" i="3"/>
  <c r="BB15" i="3" s="1"/>
  <c r="BC180" i="3"/>
  <c r="BC13" i="3"/>
  <c r="AW14" i="3"/>
  <c r="AW15" i="3"/>
  <c r="AZ15" i="3"/>
  <c r="AZ14" i="3"/>
  <c r="AU14" i="3"/>
  <c r="AU15" i="3"/>
  <c r="BB14" i="3"/>
  <c r="U37" i="3"/>
  <c r="Z37" i="3"/>
  <c r="AW187" i="3"/>
  <c r="BA180" i="3"/>
  <c r="BB180" i="3"/>
  <c r="BF178" i="3"/>
  <c r="AU187" i="3"/>
  <c r="AY186" i="3"/>
  <c r="AY182" i="3" s="1"/>
  <c r="AV188" i="3"/>
  <c r="AZ186" i="3"/>
  <c r="BE178" i="3"/>
  <c r="BE13" i="3" s="1"/>
  <c r="AZ180" i="3"/>
  <c r="AX188" i="3"/>
  <c r="AX187" i="3"/>
  <c r="BH178" i="3"/>
  <c r="BH13" i="3" s="1"/>
  <c r="BC186" i="3"/>
  <c r="BD178" i="3"/>
  <c r="BL178" i="3" l="1"/>
  <c r="BL13" i="3" s="1"/>
  <c r="BL14" i="3" s="1"/>
  <c r="BG186" i="3"/>
  <c r="BG187" i="3" s="1"/>
  <c r="AV191" i="3"/>
  <c r="AV173" i="3" s="1"/>
  <c r="AV27" i="3" s="1"/>
  <c r="AL269" i="3"/>
  <c r="AL193" i="3"/>
  <c r="AM193" i="3"/>
  <c r="BB188" i="3"/>
  <c r="AU191" i="3"/>
  <c r="AN193" i="3"/>
  <c r="BH15" i="3"/>
  <c r="BH14" i="3"/>
  <c r="BG180" i="3"/>
  <c r="BF13" i="3"/>
  <c r="BG15" i="3" s="1"/>
  <c r="BC14" i="3"/>
  <c r="BC15" i="3"/>
  <c r="BA15" i="3"/>
  <c r="BA14" i="3"/>
  <c r="AK33" i="3"/>
  <c r="AL27" i="3"/>
  <c r="BQ178" i="3"/>
  <c r="BQ13" i="3" s="1"/>
  <c r="BE15" i="3"/>
  <c r="BE14" i="3"/>
  <c r="BD179" i="3"/>
  <c r="BD13" i="3"/>
  <c r="BD14" i="3" s="1"/>
  <c r="BG14" i="3"/>
  <c r="AW191" i="3"/>
  <c r="BB191" i="3" s="1"/>
  <c r="AM269" i="3"/>
  <c r="AZ187" i="3"/>
  <c r="AY183" i="3"/>
  <c r="AP193" i="3"/>
  <c r="AP27" i="3"/>
  <c r="AQ27" i="3"/>
  <c r="BK178" i="3"/>
  <c r="BF186" i="3"/>
  <c r="BF180" i="3"/>
  <c r="AY187" i="3"/>
  <c r="AZ188" i="3"/>
  <c r="BI178" i="3"/>
  <c r="BA188" i="3"/>
  <c r="BJ178" i="3"/>
  <c r="BE180" i="3"/>
  <c r="BE186" i="3"/>
  <c r="BC188" i="3"/>
  <c r="BC187" i="3"/>
  <c r="BH186" i="3"/>
  <c r="BM178" i="3"/>
  <c r="BM13" i="3" s="1"/>
  <c r="BD186" i="3"/>
  <c r="BD182" i="3" s="1"/>
  <c r="BH180" i="3"/>
  <c r="BL186" i="3" l="1"/>
  <c r="BL187" i="3" s="1"/>
  <c r="BG188" i="3"/>
  <c r="AM33" i="3"/>
  <c r="AR270" i="3"/>
  <c r="AL33" i="3"/>
  <c r="AL35" i="3" s="1"/>
  <c r="AQ270" i="3"/>
  <c r="AX191" i="3"/>
  <c r="AX193" i="3" s="1"/>
  <c r="BA191" i="3"/>
  <c r="BF191" i="3" s="1"/>
  <c r="BF173" i="3" s="1"/>
  <c r="BF27" i="3" s="1"/>
  <c r="AL175" i="3"/>
  <c r="AV193" i="3"/>
  <c r="AU173" i="3"/>
  <c r="AU27" i="3" s="1"/>
  <c r="AV29" i="3" s="1"/>
  <c r="AZ191" i="3"/>
  <c r="AZ173" i="3" s="1"/>
  <c r="AZ27" i="3" s="1"/>
  <c r="AU193" i="3"/>
  <c r="AQ193" i="3"/>
  <c r="BQ186" i="3"/>
  <c r="BQ187" i="3" s="1"/>
  <c r="BV178" i="3"/>
  <c r="BV13" i="3" s="1"/>
  <c r="BV14" i="3" s="1"/>
  <c r="AM175" i="3"/>
  <c r="AN175" i="3"/>
  <c r="AS193" i="3"/>
  <c r="AQ28" i="3"/>
  <c r="AQ29" i="3"/>
  <c r="AM35" i="3"/>
  <c r="AT191" i="3"/>
  <c r="AT192" i="3" s="1"/>
  <c r="BQ14" i="3"/>
  <c r="BF14" i="3"/>
  <c r="BF15" i="3"/>
  <c r="BL180" i="3"/>
  <c r="BK13" i="3"/>
  <c r="AL36" i="3"/>
  <c r="AL39" i="3" s="1"/>
  <c r="BI179" i="3"/>
  <c r="BI13" i="3"/>
  <c r="BJ180" i="3"/>
  <c r="BJ13" i="3"/>
  <c r="BM15" i="3"/>
  <c r="BM14" i="3"/>
  <c r="AV28" i="3"/>
  <c r="AM27" i="3"/>
  <c r="AM36" i="3"/>
  <c r="AM39" i="3" s="1"/>
  <c r="AK27" i="3"/>
  <c r="AK36" i="3"/>
  <c r="AW173" i="3"/>
  <c r="AW27" i="3" s="1"/>
  <c r="AR193" i="3"/>
  <c r="AW193" i="3"/>
  <c r="BF187" i="3"/>
  <c r="BG191" i="3"/>
  <c r="BB173" i="3"/>
  <c r="BB27" i="3" s="1"/>
  <c r="BE188" i="3"/>
  <c r="AV174" i="3"/>
  <c r="BD183" i="3"/>
  <c r="AS174" i="3"/>
  <c r="BP178" i="3"/>
  <c r="BK186" i="3"/>
  <c r="BK187" i="3" s="1"/>
  <c r="AP174" i="3"/>
  <c r="AP175" i="3"/>
  <c r="AQ175" i="3"/>
  <c r="AQ174" i="3"/>
  <c r="BK180" i="3"/>
  <c r="BD187" i="3"/>
  <c r="BF188" i="3"/>
  <c r="BE187" i="3"/>
  <c r="BO178" i="3"/>
  <c r="BO13" i="3" s="1"/>
  <c r="BJ186" i="3"/>
  <c r="BJ187" i="3" s="1"/>
  <c r="BH187" i="3"/>
  <c r="BH188" i="3"/>
  <c r="BM180" i="3"/>
  <c r="BR178" i="3"/>
  <c r="BR13" i="3" s="1"/>
  <c r="BM186" i="3"/>
  <c r="BN178" i="3"/>
  <c r="BI186" i="3"/>
  <c r="AY191" i="3" l="1"/>
  <c r="AY192" i="3" s="1"/>
  <c r="AS29" i="3"/>
  <c r="BC191" i="3"/>
  <c r="BD191" i="3" s="1"/>
  <c r="BB193" i="3"/>
  <c r="AU28" i="3"/>
  <c r="AX173" i="3"/>
  <c r="AX27" i="3" s="1"/>
  <c r="AX28" i="3" s="1"/>
  <c r="AV175" i="3"/>
  <c r="AZ193" i="3"/>
  <c r="BE191" i="3"/>
  <c r="BE173" i="3" s="1"/>
  <c r="BE27" i="3" s="1"/>
  <c r="BF29" i="3" s="1"/>
  <c r="BA173" i="3"/>
  <c r="BA27" i="3" s="1"/>
  <c r="BF28" i="3" s="1"/>
  <c r="BI14" i="3"/>
  <c r="BA193" i="3"/>
  <c r="AN269" i="3"/>
  <c r="AN27" i="3"/>
  <c r="AU175" i="3"/>
  <c r="CA178" i="3"/>
  <c r="CA13" i="3" s="1"/>
  <c r="CA14" i="3" s="1"/>
  <c r="BV186" i="3"/>
  <c r="BV187" i="3" s="1"/>
  <c r="AU174" i="3"/>
  <c r="AU29" i="3"/>
  <c r="AR174" i="3"/>
  <c r="AL38" i="3"/>
  <c r="AT173" i="3"/>
  <c r="AT27" i="3" s="1"/>
  <c r="AS175" i="3"/>
  <c r="AR175" i="3"/>
  <c r="BB28" i="3"/>
  <c r="AL29" i="3"/>
  <c r="AP28" i="3"/>
  <c r="AZ28" i="3"/>
  <c r="AW175" i="3"/>
  <c r="AW174" i="3"/>
  <c r="AM29" i="3"/>
  <c r="AR28" i="3"/>
  <c r="AR29" i="3"/>
  <c r="BQ180" i="3"/>
  <c r="BP13" i="3"/>
  <c r="AM38" i="3"/>
  <c r="AW28" i="3"/>
  <c r="AW29" i="3"/>
  <c r="BO15" i="3"/>
  <c r="BO14" i="3"/>
  <c r="BJ15" i="3"/>
  <c r="BJ14" i="3"/>
  <c r="BN179" i="3"/>
  <c r="BN13" i="3"/>
  <c r="BN14" i="3" s="1"/>
  <c r="BR15" i="3"/>
  <c r="BR14" i="3"/>
  <c r="BK15" i="3"/>
  <c r="BK14" i="3"/>
  <c r="BL15" i="3"/>
  <c r="BB174" i="3"/>
  <c r="BG173" i="3"/>
  <c r="BG27" i="3" s="1"/>
  <c r="BL191" i="3"/>
  <c r="BG193" i="3"/>
  <c r="AZ174" i="3"/>
  <c r="BK191" i="3"/>
  <c r="BU178" i="3"/>
  <c r="BP186" i="3"/>
  <c r="BQ188" i="3" s="1"/>
  <c r="BL188" i="3"/>
  <c r="BP180" i="3"/>
  <c r="BO180" i="3"/>
  <c r="BK188" i="3"/>
  <c r="BO186" i="3"/>
  <c r="BT178" i="3"/>
  <c r="BT13" i="3" s="1"/>
  <c r="BJ188" i="3"/>
  <c r="BI182" i="3"/>
  <c r="BI187" i="3"/>
  <c r="BM188" i="3"/>
  <c r="BM187" i="3"/>
  <c r="BR180" i="3"/>
  <c r="BW178" i="3"/>
  <c r="BW13" i="3" s="1"/>
  <c r="BR186" i="3"/>
  <c r="BN186" i="3"/>
  <c r="BS178" i="3"/>
  <c r="AN29" i="3" l="1"/>
  <c r="BD192" i="3"/>
  <c r="AZ175" i="3"/>
  <c r="BH191" i="3"/>
  <c r="BH173" i="3" s="1"/>
  <c r="BH27" i="3" s="1"/>
  <c r="AX174" i="3"/>
  <c r="BC173" i="3"/>
  <c r="BC175" i="3" s="1"/>
  <c r="BC193" i="3"/>
  <c r="AY173" i="3"/>
  <c r="AY27" i="3" s="1"/>
  <c r="AY28" i="3" s="1"/>
  <c r="AZ29" i="3"/>
  <c r="AX175" i="3"/>
  <c r="AX29" i="3"/>
  <c r="BF174" i="3"/>
  <c r="BA29" i="3"/>
  <c r="BB175" i="3"/>
  <c r="BA175" i="3"/>
  <c r="BF175" i="3"/>
  <c r="BB29" i="3"/>
  <c r="BE174" i="3"/>
  <c r="BE28" i="3"/>
  <c r="BJ191" i="3"/>
  <c r="BO191" i="3" s="1"/>
  <c r="BO173" i="3" s="1"/>
  <c r="BO27" i="3" s="1"/>
  <c r="BE193" i="3"/>
  <c r="BA174" i="3"/>
  <c r="BA28" i="3"/>
  <c r="BF193" i="3"/>
  <c r="CA186" i="3"/>
  <c r="CA187" i="3" s="1"/>
  <c r="CF178" i="3"/>
  <c r="CF13" i="3" s="1"/>
  <c r="CF14" i="3" s="1"/>
  <c r="AT28" i="3"/>
  <c r="AP29" i="3"/>
  <c r="AS28" i="3"/>
  <c r="AN33" i="3"/>
  <c r="AN36" i="3"/>
  <c r="AT174" i="3"/>
  <c r="BW14" i="3"/>
  <c r="BW15" i="3"/>
  <c r="BG28" i="3"/>
  <c r="BG29" i="3"/>
  <c r="BS179" i="3"/>
  <c r="BS13" i="3"/>
  <c r="BS14" i="3" s="1"/>
  <c r="BU186" i="3"/>
  <c r="BV188" i="3" s="1"/>
  <c r="BU13" i="3"/>
  <c r="BE175" i="3"/>
  <c r="BC27" i="3"/>
  <c r="BT14" i="3"/>
  <c r="BT15" i="3"/>
  <c r="BP15" i="3"/>
  <c r="BP14" i="3"/>
  <c r="BQ15" i="3"/>
  <c r="BZ178" i="3"/>
  <c r="BV180" i="3"/>
  <c r="BU180" i="3"/>
  <c r="BK173" i="3"/>
  <c r="BK27" i="3" s="1"/>
  <c r="BP191" i="3"/>
  <c r="BP173" i="3" s="1"/>
  <c r="BP27" i="3" s="1"/>
  <c r="BL193" i="3"/>
  <c r="BQ191" i="3"/>
  <c r="BL173" i="3"/>
  <c r="BL27" i="3" s="1"/>
  <c r="BG175" i="3"/>
  <c r="BG174" i="3"/>
  <c r="BH193" i="3"/>
  <c r="BM191" i="3"/>
  <c r="BO187" i="3"/>
  <c r="BP187" i="3"/>
  <c r="BI183" i="3"/>
  <c r="BO188" i="3"/>
  <c r="BP188" i="3"/>
  <c r="BS186" i="3"/>
  <c r="BT180" i="3"/>
  <c r="BT186" i="3"/>
  <c r="BY178" i="3"/>
  <c r="BY13" i="3" s="1"/>
  <c r="CB178" i="3"/>
  <c r="CB13" i="3" s="1"/>
  <c r="BW186" i="3"/>
  <c r="BW180" i="3"/>
  <c r="BR187" i="3"/>
  <c r="BR188" i="3"/>
  <c r="BX178" i="3"/>
  <c r="BN182" i="3"/>
  <c r="BN187" i="3"/>
  <c r="BI191" i="3" l="1"/>
  <c r="BI192" i="3" s="1"/>
  <c r="BD173" i="3"/>
  <c r="BD27" i="3" s="1"/>
  <c r="AN35" i="3"/>
  <c r="BC174" i="3"/>
  <c r="BD28" i="3"/>
  <c r="AY174" i="3"/>
  <c r="BJ173" i="3"/>
  <c r="BJ27" i="3" s="1"/>
  <c r="BK29" i="3" s="1"/>
  <c r="BK193" i="3"/>
  <c r="BN191" i="3"/>
  <c r="BN192" i="3" s="1"/>
  <c r="BJ193" i="3"/>
  <c r="CK178" i="3"/>
  <c r="CK13" i="3" s="1"/>
  <c r="CK14" i="3" s="1"/>
  <c r="CF186" i="3"/>
  <c r="CF187" i="3" s="1"/>
  <c r="AN38" i="3"/>
  <c r="AN39" i="3"/>
  <c r="BU187" i="3"/>
  <c r="BP28" i="3"/>
  <c r="BP29" i="3"/>
  <c r="BH29" i="3"/>
  <c r="BH28" i="3"/>
  <c r="BK28" i="3"/>
  <c r="BU14" i="3"/>
  <c r="BU15" i="3"/>
  <c r="BV15" i="3"/>
  <c r="BX179" i="3"/>
  <c r="BX13" i="3"/>
  <c r="BX14" i="3" s="1"/>
  <c r="CA180" i="3"/>
  <c r="BZ13" i="3"/>
  <c r="BY15" i="3"/>
  <c r="BY14" i="3"/>
  <c r="BC28" i="3"/>
  <c r="BC29" i="3"/>
  <c r="BE29" i="3"/>
  <c r="BL28" i="3"/>
  <c r="BL29" i="3"/>
  <c r="CB14" i="3"/>
  <c r="CB15" i="3"/>
  <c r="BZ180" i="3"/>
  <c r="CE178" i="3"/>
  <c r="BZ186" i="3"/>
  <c r="CA188" i="3" s="1"/>
  <c r="BP175" i="3"/>
  <c r="BP174" i="3"/>
  <c r="BL175" i="3"/>
  <c r="BL174" i="3"/>
  <c r="BT187" i="3"/>
  <c r="BQ193" i="3"/>
  <c r="BV191" i="3"/>
  <c r="BQ173" i="3"/>
  <c r="BQ27" i="3" s="1"/>
  <c r="BT191" i="3"/>
  <c r="BT173" i="3" s="1"/>
  <c r="BT27" i="3" s="1"/>
  <c r="BO193" i="3"/>
  <c r="BD174" i="3"/>
  <c r="BH175" i="3"/>
  <c r="BH174" i="3"/>
  <c r="BI173" i="3"/>
  <c r="BU191" i="3"/>
  <c r="BP193" i="3"/>
  <c r="BM193" i="3"/>
  <c r="BR191" i="3"/>
  <c r="BM173" i="3"/>
  <c r="BM27" i="3" s="1"/>
  <c r="BK174" i="3"/>
  <c r="BS187" i="3"/>
  <c r="BS182" i="3"/>
  <c r="BS183" i="3" s="1"/>
  <c r="BN183" i="3"/>
  <c r="BX186" i="3"/>
  <c r="BX182" i="3" s="1"/>
  <c r="BU188" i="3"/>
  <c r="BT188" i="3"/>
  <c r="BY180" i="3"/>
  <c r="CC178" i="3"/>
  <c r="BY186" i="3"/>
  <c r="CD178" i="3"/>
  <c r="BW187" i="3"/>
  <c r="BW188" i="3"/>
  <c r="CB180" i="3"/>
  <c r="CB186" i="3"/>
  <c r="CG178" i="3"/>
  <c r="CG13" i="3" s="1"/>
  <c r="BK175" i="3" l="1"/>
  <c r="BJ174" i="3"/>
  <c r="BJ175" i="3"/>
  <c r="CK186" i="3"/>
  <c r="CK187" i="3" s="1"/>
  <c r="BO174" i="3"/>
  <c r="BO28" i="3"/>
  <c r="BJ29" i="3"/>
  <c r="BJ28" i="3"/>
  <c r="BZ187" i="3"/>
  <c r="CD180" i="3"/>
  <c r="CD13" i="3"/>
  <c r="CF180" i="3"/>
  <c r="CE13" i="3"/>
  <c r="CG14" i="3"/>
  <c r="CG15" i="3"/>
  <c r="BQ29" i="3"/>
  <c r="BQ28" i="3"/>
  <c r="CC179" i="3"/>
  <c r="CC13" i="3"/>
  <c r="CC14" i="3" s="1"/>
  <c r="BT28" i="3"/>
  <c r="BM29" i="3"/>
  <c r="BM28" i="3"/>
  <c r="BI174" i="3"/>
  <c r="BI27" i="3"/>
  <c r="BO29" i="3"/>
  <c r="BZ14" i="3"/>
  <c r="BZ15" i="3"/>
  <c r="CA15" i="3"/>
  <c r="CJ178" i="3"/>
  <c r="CJ186" i="3" s="1"/>
  <c r="CE186" i="3"/>
  <c r="CF188" i="3" s="1"/>
  <c r="BX187" i="3"/>
  <c r="BT193" i="3"/>
  <c r="BY191" i="3"/>
  <c r="BY173" i="3" s="1"/>
  <c r="BY27" i="3" s="1"/>
  <c r="BM174" i="3"/>
  <c r="BM175" i="3"/>
  <c r="BS191" i="3"/>
  <c r="BS192" i="3" s="1"/>
  <c r="BW191" i="3"/>
  <c r="BR193" i="3"/>
  <c r="BR173" i="3"/>
  <c r="BN173" i="3"/>
  <c r="BT174" i="3"/>
  <c r="BY187" i="3"/>
  <c r="BU193" i="3"/>
  <c r="BZ191" i="3"/>
  <c r="BU173" i="3"/>
  <c r="BU27" i="3" s="1"/>
  <c r="BQ175" i="3"/>
  <c r="BQ174" i="3"/>
  <c r="CA191" i="3"/>
  <c r="BV193" i="3"/>
  <c r="BV173" i="3"/>
  <c r="BO175" i="3"/>
  <c r="BX183" i="3"/>
  <c r="CE180" i="3"/>
  <c r="BY188" i="3"/>
  <c r="BZ188" i="3"/>
  <c r="CD186" i="3"/>
  <c r="CI178" i="3"/>
  <c r="CB187" i="3"/>
  <c r="CB188" i="3"/>
  <c r="CG180" i="3"/>
  <c r="CL178" i="3"/>
  <c r="CL13" i="3" s="1"/>
  <c r="CG186" i="3"/>
  <c r="CH178" i="3"/>
  <c r="CC186" i="3"/>
  <c r="BI28" i="3" l="1"/>
  <c r="CK180" i="3"/>
  <c r="CJ13" i="3"/>
  <c r="BV174" i="3"/>
  <c r="BV27" i="3"/>
  <c r="BN174" i="3"/>
  <c r="BN27" i="3"/>
  <c r="BN28" i="3" s="1"/>
  <c r="CE15" i="3"/>
  <c r="CE14" i="3"/>
  <c r="CF15" i="3"/>
  <c r="BS173" i="3"/>
  <c r="BS27" i="3" s="1"/>
  <c r="BR27" i="3"/>
  <c r="CL14" i="3"/>
  <c r="CL15" i="3"/>
  <c r="CD15" i="3"/>
  <c r="CD14" i="3"/>
  <c r="CH179" i="3"/>
  <c r="CH13" i="3"/>
  <c r="CH14" i="3" s="1"/>
  <c r="CI186" i="3"/>
  <c r="CI187" i="3" s="1"/>
  <c r="CI13" i="3"/>
  <c r="BU28" i="3"/>
  <c r="BU29" i="3"/>
  <c r="BY28" i="3"/>
  <c r="CE187" i="3"/>
  <c r="BV175" i="3"/>
  <c r="BU175" i="3"/>
  <c r="BU174" i="3"/>
  <c r="BZ193" i="3"/>
  <c r="CE191" i="3"/>
  <c r="BZ173" i="3"/>
  <c r="BZ27" i="3" s="1"/>
  <c r="CB191" i="3"/>
  <c r="BW193" i="3"/>
  <c r="BW173" i="3"/>
  <c r="BY174" i="3"/>
  <c r="BR174" i="3"/>
  <c r="BR175" i="3"/>
  <c r="CD187" i="3"/>
  <c r="CD191" i="3"/>
  <c r="BY193" i="3"/>
  <c r="CA193" i="3"/>
  <c r="CF191" i="3"/>
  <c r="CA173" i="3"/>
  <c r="CA27" i="3" s="1"/>
  <c r="BT175" i="3"/>
  <c r="BX191" i="3"/>
  <c r="BX192" i="3" s="1"/>
  <c r="CM178" i="3"/>
  <c r="CI180" i="3"/>
  <c r="CJ180" i="3"/>
  <c r="CE188" i="3"/>
  <c r="CD188" i="3"/>
  <c r="CJ187" i="3"/>
  <c r="CG188" i="3"/>
  <c r="CG187" i="3"/>
  <c r="CL180" i="3"/>
  <c r="CL186" i="3"/>
  <c r="CK188" i="3"/>
  <c r="CC182" i="3"/>
  <c r="CC187" i="3"/>
  <c r="CH186" i="3"/>
  <c r="BS28" i="3" l="1"/>
  <c r="CI188" i="3"/>
  <c r="CJ188" i="3"/>
  <c r="BR28" i="3"/>
  <c r="BR29" i="3"/>
  <c r="BT29" i="3"/>
  <c r="BY175" i="3"/>
  <c r="BW27" i="3"/>
  <c r="CM179" i="3"/>
  <c r="CM13" i="3"/>
  <c r="CM14" i="3" s="1"/>
  <c r="CA28" i="3"/>
  <c r="CA29" i="3"/>
  <c r="CI15" i="3"/>
  <c r="CI14" i="3"/>
  <c r="BZ29" i="3"/>
  <c r="BZ28" i="3"/>
  <c r="BV29" i="3"/>
  <c r="BV28" i="3"/>
  <c r="CJ14" i="3"/>
  <c r="CJ15" i="3"/>
  <c r="CK15" i="3"/>
  <c r="BS174" i="3"/>
  <c r="CB173" i="3"/>
  <c r="CB27" i="3" s="1"/>
  <c r="CG191" i="3"/>
  <c r="CH191" i="3" s="1"/>
  <c r="CB193" i="3"/>
  <c r="CD193" i="3"/>
  <c r="CI191" i="3"/>
  <c r="CD173" i="3"/>
  <c r="CD27" i="3" s="1"/>
  <c r="BZ175" i="3"/>
  <c r="BZ174" i="3"/>
  <c r="CE193" i="3"/>
  <c r="CJ191" i="3"/>
  <c r="CE173" i="3"/>
  <c r="CE27" i="3" s="1"/>
  <c r="CC191" i="3"/>
  <c r="CC192" i="3" s="1"/>
  <c r="BW175" i="3"/>
  <c r="BW174" i="3"/>
  <c r="BX173" i="3"/>
  <c r="CM186" i="3"/>
  <c r="CM187" i="3" s="1"/>
  <c r="CA175" i="3"/>
  <c r="CA174" i="3"/>
  <c r="CF193" i="3"/>
  <c r="CK191" i="3"/>
  <c r="CF173" i="3"/>
  <c r="CF27" i="3" s="1"/>
  <c r="CC183" i="3"/>
  <c r="CH182" i="3"/>
  <c r="CH187" i="3"/>
  <c r="CL188" i="3"/>
  <c r="CL187" i="3"/>
  <c r="CE29" i="3" l="1"/>
  <c r="CE28" i="3"/>
  <c r="BW29" i="3"/>
  <c r="BW28" i="3"/>
  <c r="BY29" i="3"/>
  <c r="BX174" i="3"/>
  <c r="BX27" i="3"/>
  <c r="BX28" i="3" s="1"/>
  <c r="CB28" i="3"/>
  <c r="CB29" i="3"/>
  <c r="CF29" i="3"/>
  <c r="CF28" i="3"/>
  <c r="CD29" i="3"/>
  <c r="CD28" i="3"/>
  <c r="CB174" i="3"/>
  <c r="CB175" i="3"/>
  <c r="CF175" i="3"/>
  <c r="CF174" i="3"/>
  <c r="CE174" i="3"/>
  <c r="CE175" i="3"/>
  <c r="CD174" i="3"/>
  <c r="CD175" i="3"/>
  <c r="CK193" i="3"/>
  <c r="CK173" i="3"/>
  <c r="CK27" i="3" s="1"/>
  <c r="CH192" i="3"/>
  <c r="CI193" i="3"/>
  <c r="CI173" i="3"/>
  <c r="CI27" i="3" s="1"/>
  <c r="CJ193" i="3"/>
  <c r="CJ173" i="3"/>
  <c r="CJ27" i="3" s="1"/>
  <c r="CM182" i="3"/>
  <c r="CM183" i="3" s="1"/>
  <c r="CC173" i="3"/>
  <c r="CG193" i="3"/>
  <c r="CL191" i="3"/>
  <c r="CG173" i="3"/>
  <c r="CG27" i="3" s="1"/>
  <c r="CH183" i="3"/>
  <c r="CG28" i="3" l="1"/>
  <c r="CG29" i="3"/>
  <c r="CK28" i="3"/>
  <c r="CK29" i="3"/>
  <c r="CI29" i="3"/>
  <c r="CI28" i="3"/>
  <c r="CC174" i="3"/>
  <c r="CC27" i="3"/>
  <c r="CC28" i="3" s="1"/>
  <c r="CJ28" i="3"/>
  <c r="CJ29" i="3"/>
  <c r="CG175" i="3"/>
  <c r="CG174" i="3"/>
  <c r="CL193" i="3"/>
  <c r="CL173" i="3"/>
  <c r="CH173" i="3"/>
  <c r="CK175" i="3"/>
  <c r="CK174" i="3"/>
  <c r="CJ175" i="3"/>
  <c r="CJ174" i="3"/>
  <c r="CI175" i="3"/>
  <c r="CI174" i="3"/>
  <c r="CM191" i="3"/>
  <c r="CM192" i="3" s="1"/>
  <c r="CH174" i="3" l="1"/>
  <c r="CH27" i="3"/>
  <c r="CH28" i="3" s="1"/>
  <c r="CL174" i="3"/>
  <c r="CL27" i="3"/>
  <c r="CL175" i="3"/>
  <c r="CM173" i="3"/>
  <c r="CM174" i="3" l="1"/>
  <c r="CM27" i="3"/>
  <c r="CM28" i="3" s="1"/>
  <c r="CL29" i="3"/>
  <c r="CL28" i="3"/>
  <c r="AU269" i="3" l="1"/>
  <c r="AU33" i="3" s="1"/>
  <c r="AP33" i="3"/>
  <c r="AM271" i="3"/>
  <c r="AL271" i="3"/>
  <c r="AQ33" i="3"/>
  <c r="AZ269" i="3" l="1"/>
  <c r="AZ33" i="3" s="1"/>
  <c r="AZ34" i="3" s="1"/>
  <c r="AQ34" i="3"/>
  <c r="AQ35" i="3"/>
  <c r="AW269" i="3"/>
  <c r="AW33" i="3" s="1"/>
  <c r="AP34" i="3"/>
  <c r="AP35" i="3"/>
  <c r="AU34" i="3"/>
  <c r="AQ271" i="3"/>
  <c r="AV269" i="3"/>
  <c r="AO269" i="3"/>
  <c r="AN271" i="3"/>
  <c r="AP271" i="3"/>
  <c r="AR271" i="3"/>
  <c r="AU35" i="3" l="1"/>
  <c r="BE269" i="3"/>
  <c r="BE33" i="3" s="1"/>
  <c r="BE34" i="3" s="1"/>
  <c r="BB269" i="3"/>
  <c r="BB33" i="3" s="1"/>
  <c r="BB34" i="3" s="1"/>
  <c r="AW271" i="3"/>
  <c r="AV33" i="3"/>
  <c r="AW35" i="3" s="1"/>
  <c r="AO33" i="3"/>
  <c r="AO36" i="3"/>
  <c r="AS35" i="3"/>
  <c r="AS34" i="3"/>
  <c r="AR35" i="3"/>
  <c r="AR34" i="3"/>
  <c r="AW34" i="3"/>
  <c r="AS271" i="3"/>
  <c r="AX269" i="3"/>
  <c r="AU271" i="3"/>
  <c r="AV271" i="3"/>
  <c r="BA269" i="3"/>
  <c r="AT269" i="3"/>
  <c r="BG269" i="3" l="1"/>
  <c r="BG33" i="3" s="1"/>
  <c r="BG34" i="3" s="1"/>
  <c r="BJ269" i="3"/>
  <c r="BJ33" i="3" s="1"/>
  <c r="BJ34" i="3" s="1"/>
  <c r="BB271" i="3"/>
  <c r="BA33" i="3"/>
  <c r="AT270" i="3"/>
  <c r="AT33" i="3"/>
  <c r="AY269" i="3"/>
  <c r="AY33" i="3" s="1"/>
  <c r="AX33" i="3"/>
  <c r="AV34" i="3"/>
  <c r="AV35" i="3"/>
  <c r="BA271" i="3"/>
  <c r="BF269" i="3"/>
  <c r="BF33" i="3" s="1"/>
  <c r="BC269" i="3"/>
  <c r="AX271" i="3"/>
  <c r="AZ271" i="3"/>
  <c r="BL269" i="3" l="1"/>
  <c r="BL33" i="3" s="1"/>
  <c r="BO269" i="3"/>
  <c r="BO33" i="3" s="1"/>
  <c r="BO34" i="3" s="1"/>
  <c r="AT34" i="3"/>
  <c r="AY34" i="3"/>
  <c r="BL34" i="3"/>
  <c r="BD269" i="3"/>
  <c r="BC33" i="3"/>
  <c r="AX34" i="3"/>
  <c r="AX35" i="3"/>
  <c r="AZ35" i="3"/>
  <c r="BF35" i="3"/>
  <c r="BF34" i="3"/>
  <c r="BA35" i="3"/>
  <c r="BA34" i="3"/>
  <c r="BB35" i="3"/>
  <c r="AY270" i="3"/>
  <c r="BG35" i="3"/>
  <c r="BC271" i="3"/>
  <c r="BH269" i="3"/>
  <c r="BE271" i="3"/>
  <c r="BF271" i="3"/>
  <c r="BK269" i="3"/>
  <c r="BT269" i="3"/>
  <c r="BT33" i="3" s="1"/>
  <c r="BQ269" i="3"/>
  <c r="BQ33" i="3" s="1"/>
  <c r="BG271" i="3"/>
  <c r="BQ34" i="3" l="1"/>
  <c r="BT34" i="3"/>
  <c r="BL271" i="3"/>
  <c r="BK33" i="3"/>
  <c r="BI269" i="3"/>
  <c r="BH33" i="3"/>
  <c r="BC35" i="3"/>
  <c r="BC34" i="3"/>
  <c r="BE35" i="3"/>
  <c r="BD270" i="3"/>
  <c r="BD33" i="3"/>
  <c r="BD34" i="3" s="1"/>
  <c r="BK271" i="3"/>
  <c r="BP269" i="3"/>
  <c r="BY269" i="3"/>
  <c r="BY33" i="3" s="1"/>
  <c r="BV269" i="3"/>
  <c r="BV33" i="3" s="1"/>
  <c r="BM269" i="3"/>
  <c r="BM33" i="3" s="1"/>
  <c r="BJ271" i="3"/>
  <c r="BH271" i="3"/>
  <c r="BM34" i="3" l="1"/>
  <c r="BM35" i="3"/>
  <c r="BO35" i="3"/>
  <c r="BK34" i="3"/>
  <c r="BK35" i="3"/>
  <c r="BL35" i="3"/>
  <c r="BQ271" i="3"/>
  <c r="BP33" i="3"/>
  <c r="BI270" i="3"/>
  <c r="BI33" i="3"/>
  <c r="BH34" i="3"/>
  <c r="BH35" i="3"/>
  <c r="BJ35" i="3"/>
  <c r="BV34" i="3"/>
  <c r="BY34" i="3"/>
  <c r="CD269" i="3"/>
  <c r="CD33" i="3" s="1"/>
  <c r="BM271" i="3"/>
  <c r="BR269" i="3"/>
  <c r="BO271" i="3"/>
  <c r="CA269" i="3"/>
  <c r="CA33" i="3" s="1"/>
  <c r="BN269" i="3"/>
  <c r="BP271" i="3"/>
  <c r="BU269" i="3"/>
  <c r="BU33" i="3" s="1"/>
  <c r="BV35" i="3" s="1"/>
  <c r="BI34" i="3" l="1"/>
  <c r="CA34" i="3"/>
  <c r="BS269" i="3"/>
  <c r="BS33" i="3" s="1"/>
  <c r="BR33" i="3"/>
  <c r="BP35" i="3"/>
  <c r="BP34" i="3"/>
  <c r="BQ35" i="3"/>
  <c r="CD34" i="3"/>
  <c r="BN270" i="3"/>
  <c r="BN33" i="3"/>
  <c r="BN34" i="3" s="1"/>
  <c r="BU35" i="3"/>
  <c r="BU34" i="3"/>
  <c r="CF269" i="3"/>
  <c r="CF33" i="3" s="1"/>
  <c r="BW269" i="3"/>
  <c r="BR271" i="3"/>
  <c r="BT271" i="3"/>
  <c r="BU271" i="3"/>
  <c r="BZ269" i="3"/>
  <c r="BZ33" i="3" s="1"/>
  <c r="BV271" i="3"/>
  <c r="CI269" i="3"/>
  <c r="CI33" i="3" s="1"/>
  <c r="BZ34" i="3" l="1"/>
  <c r="BZ35" i="3"/>
  <c r="CF34" i="3"/>
  <c r="BR35" i="3"/>
  <c r="BR34" i="3"/>
  <c r="BT35" i="3"/>
  <c r="CI34" i="3"/>
  <c r="BX269" i="3"/>
  <c r="BW33" i="3"/>
  <c r="BS34" i="3"/>
  <c r="BS270" i="3"/>
  <c r="CA35" i="3"/>
  <c r="CB269" i="3"/>
  <c r="BW271" i="3"/>
  <c r="BY271" i="3"/>
  <c r="BZ271" i="3"/>
  <c r="CE269" i="3"/>
  <c r="CK269" i="3"/>
  <c r="CK33" i="3" s="1"/>
  <c r="CA271" i="3"/>
  <c r="BX270" i="3" l="1"/>
  <c r="BX33" i="3"/>
  <c r="BX34" i="3" s="1"/>
  <c r="CF271" i="3"/>
  <c r="CE33" i="3"/>
  <c r="CK34" i="3"/>
  <c r="BW35" i="3"/>
  <c r="BW34" i="3"/>
  <c r="BY35" i="3"/>
  <c r="CC269" i="3"/>
  <c r="CB33" i="3"/>
  <c r="CE271" i="3"/>
  <c r="CJ269" i="3"/>
  <c r="CJ33" i="3" s="1"/>
  <c r="CK35" i="3" s="1"/>
  <c r="CB271" i="3"/>
  <c r="CG269" i="3"/>
  <c r="CD271" i="3"/>
  <c r="CB34" i="3" l="1"/>
  <c r="CB35" i="3"/>
  <c r="CD35" i="3"/>
  <c r="CC270" i="3"/>
  <c r="CC33" i="3"/>
  <c r="CC34" i="3" s="1"/>
  <c r="CE35" i="3"/>
  <c r="CE34" i="3"/>
  <c r="CF35" i="3"/>
  <c r="CH269" i="3"/>
  <c r="CG33" i="3"/>
  <c r="CJ34" i="3"/>
  <c r="CJ35" i="3"/>
  <c r="CJ271" i="3"/>
  <c r="CG271" i="3"/>
  <c r="CL269" i="3"/>
  <c r="CI271" i="3"/>
  <c r="CK271" i="3"/>
  <c r="CG35" i="3" l="1"/>
  <c r="CG34" i="3"/>
  <c r="CI35" i="3"/>
  <c r="CH270" i="3"/>
  <c r="CH33" i="3"/>
  <c r="CH34" i="3" s="1"/>
  <c r="CL271" i="3"/>
  <c r="CL33" i="3"/>
  <c r="CM269" i="3"/>
  <c r="CL35" i="3" l="1"/>
  <c r="CL34" i="3"/>
  <c r="CM270" i="3"/>
  <c r="CM33" i="3"/>
  <c r="CM34" i="3" s="1"/>
  <c r="BC318" i="3"/>
  <c r="BB318" i="3"/>
  <c r="BA318" i="3"/>
  <c r="AZ318" i="3"/>
  <c r="AX318" i="3"/>
  <c r="AW318" i="3"/>
  <c r="AV318" i="3"/>
  <c r="AU318" i="3"/>
  <c r="AN315" i="3"/>
  <c r="AM315" i="3"/>
  <c r="AL315" i="3"/>
  <c r="AK315" i="3"/>
  <c r="AN314" i="3"/>
  <c r="AM314" i="3"/>
  <c r="AL314" i="3"/>
  <c r="AK314" i="3"/>
  <c r="AI315" i="3"/>
  <c r="AH315" i="3"/>
  <c r="AG315" i="3"/>
  <c r="AF315" i="3"/>
  <c r="AF314" i="3"/>
  <c r="AI314" i="3"/>
  <c r="AH314" i="3"/>
  <c r="AG314" i="3"/>
  <c r="AD314" i="3"/>
  <c r="AC314" i="3"/>
  <c r="AB314" i="3"/>
  <c r="AO313" i="3"/>
  <c r="AJ313" i="3"/>
  <c r="AJ315" i="3" s="1"/>
  <c r="AO55" i="3"/>
  <c r="L95" i="3"/>
  <c r="L43" i="3" s="1"/>
  <c r="U55" i="3"/>
  <c r="U19" i="3" s="1"/>
  <c r="T152" i="3"/>
  <c r="Y152" i="3" s="1"/>
  <c r="Y154" i="3" s="1"/>
  <c r="Y157" i="3" s="1"/>
  <c r="Y52" i="3" s="1"/>
  <c r="S152" i="3"/>
  <c r="X152" i="3" s="1"/>
  <c r="X154" i="3" s="1"/>
  <c r="X157" i="3" s="1"/>
  <c r="X52" i="3" s="1"/>
  <c r="R152" i="3"/>
  <c r="W152" i="3" s="1"/>
  <c r="Q152" i="3"/>
  <c r="V152" i="3" s="1"/>
  <c r="T129" i="3"/>
  <c r="Y129" i="3" s="1"/>
  <c r="Y131" i="3" s="1"/>
  <c r="S129" i="3"/>
  <c r="X129" i="3" s="1"/>
  <c r="X131" i="3" s="1"/>
  <c r="R129" i="3"/>
  <c r="R131" i="3" s="1"/>
  <c r="Q129" i="3"/>
  <c r="Q131" i="3" s="1"/>
  <c r="T124" i="3"/>
  <c r="T126" i="3" s="1"/>
  <c r="S124" i="3"/>
  <c r="S126" i="3" s="1"/>
  <c r="R124" i="3"/>
  <c r="R126" i="3" s="1"/>
  <c r="Q124" i="3"/>
  <c r="Q126" i="3" s="1"/>
  <c r="AN57" i="3"/>
  <c r="AM57" i="3"/>
  <c r="AL57" i="3"/>
  <c r="AK57" i="3"/>
  <c r="AI57" i="3"/>
  <c r="AH57" i="3"/>
  <c r="AG57" i="3"/>
  <c r="AF57" i="3"/>
  <c r="AD57" i="3"/>
  <c r="AC57" i="3"/>
  <c r="AB57" i="3"/>
  <c r="AA57" i="3"/>
  <c r="Y57" i="3"/>
  <c r="X57" i="3"/>
  <c r="W57" i="3"/>
  <c r="V57" i="3"/>
  <c r="T57" i="3"/>
  <c r="S57" i="3"/>
  <c r="R57" i="3"/>
  <c r="Q57" i="3"/>
  <c r="O57" i="3"/>
  <c r="N57" i="3"/>
  <c r="M57" i="3"/>
  <c r="L57" i="3"/>
  <c r="J57" i="3"/>
  <c r="I57" i="3"/>
  <c r="H57" i="3"/>
  <c r="AN56" i="3"/>
  <c r="AM56" i="3"/>
  <c r="AL56" i="3"/>
  <c r="AK56" i="3"/>
  <c r="AI56" i="3"/>
  <c r="AH56" i="3"/>
  <c r="AG56" i="3"/>
  <c r="AF56" i="3"/>
  <c r="AD56" i="3"/>
  <c r="AC56" i="3"/>
  <c r="AB56" i="3"/>
  <c r="AA56" i="3"/>
  <c r="Y56" i="3"/>
  <c r="X56" i="3"/>
  <c r="W56" i="3"/>
  <c r="V56" i="3"/>
  <c r="T56" i="3"/>
  <c r="S56" i="3"/>
  <c r="R56" i="3"/>
  <c r="Q56" i="3"/>
  <c r="O56" i="3"/>
  <c r="N56" i="3"/>
  <c r="M56" i="3"/>
  <c r="L56" i="3"/>
  <c r="AJ55" i="3"/>
  <c r="AE55" i="3"/>
  <c r="AE19" i="3" s="1"/>
  <c r="X95" i="3"/>
  <c r="W95" i="3"/>
  <c r="T95" i="3"/>
  <c r="S95" i="3"/>
  <c r="S43" i="3" s="1"/>
  <c r="Q95" i="3"/>
  <c r="Z55" i="3"/>
  <c r="Z19" i="3" s="1"/>
  <c r="P55" i="3"/>
  <c r="P19" i="3" s="1"/>
  <c r="O95" i="3"/>
  <c r="O43" i="3" s="1"/>
  <c r="N95" i="3"/>
  <c r="N43" i="3" s="1"/>
  <c r="M95" i="3"/>
  <c r="M43" i="3" s="1"/>
  <c r="J43" i="3"/>
  <c r="I95" i="3"/>
  <c r="I43" i="3" s="1"/>
  <c r="H95" i="3"/>
  <c r="H43" i="3" s="1"/>
  <c r="H45" i="3" s="1"/>
  <c r="K55" i="3"/>
  <c r="K19" i="3" s="1"/>
  <c r="AJ19" i="3" l="1"/>
  <c r="W43" i="3"/>
  <c r="W44" i="3" s="1"/>
  <c r="W102" i="3"/>
  <c r="X43" i="3"/>
  <c r="Y45" i="3" s="1"/>
  <c r="X102" i="3"/>
  <c r="Z10" i="3"/>
  <c r="U10" i="3"/>
  <c r="AO19" i="3"/>
  <c r="AO10" i="3"/>
  <c r="K10" i="3"/>
  <c r="AE20" i="3"/>
  <c r="AE10" i="3"/>
  <c r="AJ10" i="3"/>
  <c r="P10" i="3"/>
  <c r="J45" i="3"/>
  <c r="I45" i="3"/>
  <c r="M45" i="3"/>
  <c r="M44" i="3"/>
  <c r="N45" i="3"/>
  <c r="N44" i="3"/>
  <c r="O45" i="3"/>
  <c r="O44" i="3"/>
  <c r="L45" i="3"/>
  <c r="L44" i="3"/>
  <c r="R44" i="3"/>
  <c r="Q102" i="3"/>
  <c r="Q60" i="3" s="1"/>
  <c r="Q43" i="3"/>
  <c r="R45" i="3" s="1"/>
  <c r="S44" i="3"/>
  <c r="S45" i="3"/>
  <c r="T102" i="3"/>
  <c r="T60" i="3" s="1"/>
  <c r="T43" i="3"/>
  <c r="N98" i="3"/>
  <c r="M98" i="3"/>
  <c r="R98" i="3"/>
  <c r="Q98" i="3"/>
  <c r="L98" i="3"/>
  <c r="S98" i="3"/>
  <c r="O98" i="3"/>
  <c r="T98" i="3"/>
  <c r="W98" i="3"/>
  <c r="W100" i="3" s="1"/>
  <c r="X98" i="3"/>
  <c r="H98" i="3"/>
  <c r="H100" i="3" s="1"/>
  <c r="I98" i="3"/>
  <c r="J98" i="3"/>
  <c r="AO315" i="3"/>
  <c r="AC152" i="3"/>
  <c r="AH152" i="3" s="1"/>
  <c r="AM152" i="3" s="1"/>
  <c r="V154" i="3"/>
  <c r="V157" i="3" s="1"/>
  <c r="V52" i="3" s="1"/>
  <c r="AA152" i="3"/>
  <c r="AA154" i="3" s="1"/>
  <c r="AA157" i="3" s="1"/>
  <c r="AA95" i="3" s="1"/>
  <c r="W154" i="3"/>
  <c r="W157" i="3" s="1"/>
  <c r="AB152" i="3"/>
  <c r="AG152" i="3" s="1"/>
  <c r="AL152" i="3" s="1"/>
  <c r="AQ152" i="3" s="1"/>
  <c r="T154" i="3"/>
  <c r="T157" i="3" s="1"/>
  <c r="X168" i="3"/>
  <c r="X86" i="3" s="1"/>
  <c r="Y168" i="3"/>
  <c r="Y86" i="3" s="1"/>
  <c r="AD152" i="3"/>
  <c r="AC129" i="3"/>
  <c r="AD129" i="3"/>
  <c r="Q154" i="3"/>
  <c r="Q157" i="3" s="1"/>
  <c r="Q52" i="3" s="1"/>
  <c r="R154" i="3"/>
  <c r="R157" i="3" s="1"/>
  <c r="R52" i="3" s="1"/>
  <c r="S154" i="3"/>
  <c r="S157" i="3" s="1"/>
  <c r="S52" i="3" s="1"/>
  <c r="Z152" i="3"/>
  <c r="Z153" i="3" s="1"/>
  <c r="R134" i="3"/>
  <c r="R136" i="3" s="1"/>
  <c r="Q134" i="3"/>
  <c r="Q136" i="3" s="1"/>
  <c r="Q49" i="3" s="1"/>
  <c r="V124" i="3"/>
  <c r="AA124" i="3" s="1"/>
  <c r="W124" i="3"/>
  <c r="AB124" i="3" s="1"/>
  <c r="X124" i="3"/>
  <c r="S131" i="3"/>
  <c r="S134" i="3" s="1"/>
  <c r="U126" i="3"/>
  <c r="U127" i="3" s="1"/>
  <c r="T131" i="3"/>
  <c r="T134" i="3" s="1"/>
  <c r="T136" i="3" s="1"/>
  <c r="T49" i="3" s="1"/>
  <c r="V129" i="3"/>
  <c r="AA129" i="3" s="1"/>
  <c r="W129" i="3"/>
  <c r="Y124" i="3"/>
  <c r="AD124" i="3" s="1"/>
  <c r="R97" i="3"/>
  <c r="U56" i="3"/>
  <c r="S97" i="3"/>
  <c r="M97" i="3"/>
  <c r="AO56" i="3"/>
  <c r="P56" i="3"/>
  <c r="AJ56" i="3"/>
  <c r="L96" i="3"/>
  <c r="AE56" i="3"/>
  <c r="Z56" i="3"/>
  <c r="V97" i="3"/>
  <c r="L97" i="3"/>
  <c r="Y97" i="3"/>
  <c r="O97" i="3"/>
  <c r="U95" i="3"/>
  <c r="N97" i="3"/>
  <c r="M96" i="3"/>
  <c r="Y96" i="3"/>
  <c r="T97" i="3"/>
  <c r="X96" i="3"/>
  <c r="N96" i="3"/>
  <c r="O96" i="3"/>
  <c r="H97" i="3"/>
  <c r="W97" i="3"/>
  <c r="W96" i="3"/>
  <c r="I97" i="3"/>
  <c r="X97" i="3"/>
  <c r="Q96" i="3"/>
  <c r="J97" i="3"/>
  <c r="R96" i="3"/>
  <c r="S96" i="3"/>
  <c r="T96" i="3"/>
  <c r="Z95" i="3"/>
  <c r="V96" i="3"/>
  <c r="Q97" i="3"/>
  <c r="P95" i="3"/>
  <c r="K95" i="3"/>
  <c r="W45" i="3" l="1"/>
  <c r="X45" i="3"/>
  <c r="X44" i="3"/>
  <c r="AE11" i="3"/>
  <c r="AA102" i="3"/>
  <c r="AA98" i="3"/>
  <c r="AA52" i="3"/>
  <c r="AA49" i="3"/>
  <c r="AJ11" i="3"/>
  <c r="U20" i="3"/>
  <c r="AO20" i="3"/>
  <c r="P20" i="3"/>
  <c r="U11" i="3"/>
  <c r="AJ20" i="3"/>
  <c r="AO11" i="3"/>
  <c r="P11" i="3"/>
  <c r="Z11" i="3"/>
  <c r="Z20" i="3"/>
  <c r="R147" i="3"/>
  <c r="R83" i="3" s="1"/>
  <c r="R49" i="3"/>
  <c r="W168" i="3"/>
  <c r="W86" i="3" s="1"/>
  <c r="W52" i="3"/>
  <c r="T168" i="3"/>
  <c r="T86" i="3" s="1"/>
  <c r="T52" i="3"/>
  <c r="T45" i="3"/>
  <c r="T44" i="3"/>
  <c r="V45" i="3"/>
  <c r="Y44" i="3"/>
  <c r="U98" i="3"/>
  <c r="U43" i="3"/>
  <c r="P98" i="3"/>
  <c r="P43" i="3"/>
  <c r="Z98" i="3"/>
  <c r="Z43" i="3"/>
  <c r="Q45" i="3"/>
  <c r="Q44" i="3"/>
  <c r="V44" i="3"/>
  <c r="K98" i="3"/>
  <c r="K43" i="3"/>
  <c r="AA168" i="3"/>
  <c r="AA86" i="3" s="1"/>
  <c r="I100" i="3"/>
  <c r="J100" i="3"/>
  <c r="R100" i="3"/>
  <c r="X100" i="3"/>
  <c r="Y100" i="3"/>
  <c r="T100" i="3"/>
  <c r="V100" i="3"/>
  <c r="O99" i="3"/>
  <c r="O100" i="3"/>
  <c r="S99" i="3"/>
  <c r="S100" i="3"/>
  <c r="L99" i="3"/>
  <c r="L100" i="3"/>
  <c r="Q100" i="3"/>
  <c r="M99" i="3"/>
  <c r="M100" i="3"/>
  <c r="N99" i="3"/>
  <c r="N100" i="3"/>
  <c r="T99" i="3"/>
  <c r="Y99" i="3"/>
  <c r="Q99" i="3"/>
  <c r="V99" i="3"/>
  <c r="R99" i="3"/>
  <c r="X99" i="3"/>
  <c r="W99" i="3"/>
  <c r="AH154" i="3"/>
  <c r="Z157" i="3"/>
  <c r="Z52" i="3" s="1"/>
  <c r="AG154" i="3"/>
  <c r="AG160" i="3" s="1"/>
  <c r="AC154" i="3"/>
  <c r="AC157" i="3" s="1"/>
  <c r="AC95" i="3" s="1"/>
  <c r="AE152" i="3"/>
  <c r="AE153" i="3" s="1"/>
  <c r="AL154" i="3"/>
  <c r="AQ154" i="3"/>
  <c r="AQ160" i="3" s="1"/>
  <c r="AQ157" i="3" s="1"/>
  <c r="AQ95" i="3" s="1"/>
  <c r="AV152" i="3"/>
  <c r="Z154" i="3"/>
  <c r="V168" i="3"/>
  <c r="AB154" i="3"/>
  <c r="AB157" i="3" s="1"/>
  <c r="AB95" i="3" s="1"/>
  <c r="AM154" i="3"/>
  <c r="AR152" i="3"/>
  <c r="AF152" i="3"/>
  <c r="AF154" i="3" s="1"/>
  <c r="R168" i="3"/>
  <c r="R86" i="3" s="1"/>
  <c r="AA131" i="3"/>
  <c r="AF129" i="3"/>
  <c r="AK129" i="3" s="1"/>
  <c r="AD126" i="3"/>
  <c r="AI124" i="3"/>
  <c r="Q168" i="3"/>
  <c r="Q86" i="3" s="1"/>
  <c r="U157" i="3"/>
  <c r="U52" i="3" s="1"/>
  <c r="AD131" i="3"/>
  <c r="AI129" i="3"/>
  <c r="X126" i="3"/>
  <c r="X134" i="3" s="1"/>
  <c r="X136" i="3" s="1"/>
  <c r="AC124" i="3"/>
  <c r="W126" i="3"/>
  <c r="AH129" i="3"/>
  <c r="AC131" i="3"/>
  <c r="S168" i="3"/>
  <c r="S86" i="3" s="1"/>
  <c r="W131" i="3"/>
  <c r="AB129" i="3"/>
  <c r="AE129" i="3" s="1"/>
  <c r="V126" i="3"/>
  <c r="AI152" i="3"/>
  <c r="AD154" i="3"/>
  <c r="U154" i="3"/>
  <c r="U155" i="3" s="1"/>
  <c r="U131" i="3"/>
  <c r="U132" i="3" s="1"/>
  <c r="S136" i="3"/>
  <c r="S49" i="3" s="1"/>
  <c r="U134" i="3"/>
  <c r="T147" i="3"/>
  <c r="T83" i="3" s="1"/>
  <c r="Z124" i="3"/>
  <c r="Z125" i="3" s="1"/>
  <c r="Y126" i="3"/>
  <c r="Y134" i="3" s="1"/>
  <c r="Y136" i="3" s="1"/>
  <c r="Y49" i="3" s="1"/>
  <c r="Q147" i="3"/>
  <c r="Q83" i="3" s="1"/>
  <c r="Z129" i="3"/>
  <c r="Z130" i="3" s="1"/>
  <c r="V131" i="3"/>
  <c r="U96" i="3"/>
  <c r="Z96" i="3"/>
  <c r="P96" i="3"/>
  <c r="AQ43" i="3" l="1"/>
  <c r="AC102" i="3"/>
  <c r="AC98" i="3"/>
  <c r="AA100" i="3"/>
  <c r="AA99" i="3"/>
  <c r="AB102" i="3"/>
  <c r="AB98" i="3"/>
  <c r="AB43" i="3"/>
  <c r="AH160" i="3"/>
  <c r="AM160" i="3"/>
  <c r="AF160" i="3"/>
  <c r="AG162" i="3" s="1"/>
  <c r="AG161" i="3"/>
  <c r="AL160" i="3"/>
  <c r="AL157" i="3" s="1"/>
  <c r="AL95" i="3" s="1"/>
  <c r="AD160" i="3"/>
  <c r="AD157" i="3" s="1"/>
  <c r="AD95" i="3" s="1"/>
  <c r="Z44" i="3"/>
  <c r="Z99" i="3"/>
  <c r="U99" i="3"/>
  <c r="P99" i="3"/>
  <c r="U44" i="3"/>
  <c r="AC168" i="3"/>
  <c r="AC86" i="3" s="1"/>
  <c r="AC52" i="3"/>
  <c r="P44" i="3"/>
  <c r="X147" i="3"/>
  <c r="X83" i="3" s="1"/>
  <c r="X49" i="3"/>
  <c r="AB168" i="3"/>
  <c r="AB86" i="3" s="1"/>
  <c r="AB52" i="3"/>
  <c r="Z168" i="3"/>
  <c r="Z86" i="3" s="1"/>
  <c r="V86" i="3"/>
  <c r="AG157" i="3"/>
  <c r="AG95" i="3" s="1"/>
  <c r="Z160" i="3"/>
  <c r="AK152" i="3"/>
  <c r="AK154" i="3" s="1"/>
  <c r="Z155" i="3"/>
  <c r="AJ152" i="3"/>
  <c r="AJ153" i="3" s="1"/>
  <c r="W134" i="3"/>
  <c r="W136" i="3" s="1"/>
  <c r="AV154" i="3"/>
  <c r="BA152" i="3"/>
  <c r="AW152" i="3"/>
  <c r="AR154" i="3"/>
  <c r="AR160" i="3" s="1"/>
  <c r="Z131" i="3"/>
  <c r="Z132" i="3" s="1"/>
  <c r="U168" i="3"/>
  <c r="U160" i="3"/>
  <c r="AI126" i="3"/>
  <c r="AN124" i="3"/>
  <c r="AD134" i="3"/>
  <c r="AH131" i="3"/>
  <c r="AM129" i="3"/>
  <c r="AG124" i="3"/>
  <c r="AB126" i="3"/>
  <c r="AP129" i="3"/>
  <c r="AF131" i="3"/>
  <c r="AF124" i="3"/>
  <c r="AK124" i="3" s="1"/>
  <c r="AE124" i="3"/>
  <c r="AE125" i="3" s="1"/>
  <c r="AA126" i="3"/>
  <c r="AE130" i="3"/>
  <c r="AE154" i="3"/>
  <c r="AE155" i="3" s="1"/>
  <c r="AC126" i="3"/>
  <c r="AC134" i="3" s="1"/>
  <c r="AH124" i="3"/>
  <c r="AI154" i="3"/>
  <c r="AI160" i="3" s="1"/>
  <c r="AN152" i="3"/>
  <c r="AS152" i="3" s="1"/>
  <c r="AB131" i="3"/>
  <c r="AE131" i="3" s="1"/>
  <c r="AE132" i="3" s="1"/>
  <c r="AG129" i="3"/>
  <c r="AJ129" i="3" s="1"/>
  <c r="AJ130" i="3" s="1"/>
  <c r="AI131" i="3"/>
  <c r="AN129" i="3"/>
  <c r="U136" i="3"/>
  <c r="Z126" i="3"/>
  <c r="Z127" i="3" s="1"/>
  <c r="V134" i="3"/>
  <c r="V136" i="3" s="1"/>
  <c r="V49" i="3" s="1"/>
  <c r="Y147" i="3"/>
  <c r="Y83" i="3" s="1"/>
  <c r="S147" i="3"/>
  <c r="S83" i="3" s="1"/>
  <c r="AV44" i="3" l="1"/>
  <c r="AD102" i="3"/>
  <c r="AD98" i="3"/>
  <c r="AD99" i="3" s="1"/>
  <c r="AD43" i="3"/>
  <c r="AD52" i="3"/>
  <c r="AB100" i="3"/>
  <c r="AB99" i="3"/>
  <c r="AL98" i="3"/>
  <c r="AQ99" i="3" s="1"/>
  <c r="AL43" i="3"/>
  <c r="AG98" i="3"/>
  <c r="AG43" i="3"/>
  <c r="AB44" i="3"/>
  <c r="AL52" i="3"/>
  <c r="AL168" i="3"/>
  <c r="AL86" i="3" s="1"/>
  <c r="AK160" i="3"/>
  <c r="AL162" i="3" s="1"/>
  <c r="AL161" i="3"/>
  <c r="AF162" i="3"/>
  <c r="AF161" i="3"/>
  <c r="AI162" i="3"/>
  <c r="AI161" i="3"/>
  <c r="AF157" i="3"/>
  <c r="AF95" i="3" s="1"/>
  <c r="AR157" i="3"/>
  <c r="AR52" i="3" s="1"/>
  <c r="AM161" i="3"/>
  <c r="AM162" i="3"/>
  <c r="AM157" i="3"/>
  <c r="AM95" i="3" s="1"/>
  <c r="AH161" i="3"/>
  <c r="AH162" i="3"/>
  <c r="AD161" i="3"/>
  <c r="AD162" i="3"/>
  <c r="AH157" i="3"/>
  <c r="AH95" i="3" s="1"/>
  <c r="W147" i="3"/>
  <c r="W83" i="3" s="1"/>
  <c r="W49" i="3"/>
  <c r="U139" i="3"/>
  <c r="U49" i="3"/>
  <c r="AG168" i="3"/>
  <c r="AG86" i="3" s="1"/>
  <c r="AG52" i="3"/>
  <c r="U86" i="3"/>
  <c r="Z161" i="3"/>
  <c r="AL158" i="3"/>
  <c r="AP152" i="3"/>
  <c r="AT152" i="3" s="1"/>
  <c r="AI134" i="3"/>
  <c r="AW154" i="3"/>
  <c r="BB152" i="3"/>
  <c r="AP131" i="3"/>
  <c r="AU129" i="3"/>
  <c r="AM131" i="3"/>
  <c r="AR129" i="3"/>
  <c r="AS154" i="3"/>
  <c r="AX152" i="3"/>
  <c r="BA154" i="3"/>
  <c r="BF152" i="3"/>
  <c r="AN131" i="3"/>
  <c r="AS129" i="3"/>
  <c r="AN126" i="3"/>
  <c r="AS124" i="3"/>
  <c r="AN154" i="3"/>
  <c r="AN160" i="3" s="1"/>
  <c r="AO152" i="3"/>
  <c r="AO153" i="3" s="1"/>
  <c r="AK131" i="3"/>
  <c r="AI157" i="3"/>
  <c r="AI95" i="3" s="1"/>
  <c r="AJ154" i="3"/>
  <c r="AJ155" i="3" s="1"/>
  <c r="AA134" i="3"/>
  <c r="AE126" i="3"/>
  <c r="AE127" i="3" s="1"/>
  <c r="AJ124" i="3"/>
  <c r="AJ125" i="3" s="1"/>
  <c r="AP124" i="3"/>
  <c r="AF126" i="3"/>
  <c r="AB134" i="3"/>
  <c r="AH126" i="3"/>
  <c r="AH134" i="3" s="1"/>
  <c r="AM124" i="3"/>
  <c r="AG126" i="3"/>
  <c r="AL124" i="3"/>
  <c r="AD168" i="3"/>
  <c r="AD86" i="3" s="1"/>
  <c r="AE157" i="3"/>
  <c r="AE52" i="3" s="1"/>
  <c r="AG131" i="3"/>
  <c r="AJ131" i="3" s="1"/>
  <c r="AJ132" i="3" s="1"/>
  <c r="AL129" i="3"/>
  <c r="AO129" i="3" s="1"/>
  <c r="AO130" i="3" s="1"/>
  <c r="Z134" i="3"/>
  <c r="U147" i="3"/>
  <c r="Z136" i="3"/>
  <c r="Z49" i="3" s="1"/>
  <c r="V147" i="3"/>
  <c r="V83" i="3" s="1"/>
  <c r="AF159" i="3" l="1"/>
  <c r="AG159" i="3"/>
  <c r="AM98" i="3"/>
  <c r="AM43" i="3"/>
  <c r="AL99" i="3"/>
  <c r="AG99" i="3"/>
  <c r="AQ44" i="3"/>
  <c r="AL44" i="3"/>
  <c r="AI98" i="3"/>
  <c r="AI43" i="3"/>
  <c r="AI102" i="3"/>
  <c r="AI60" i="3" s="1"/>
  <c r="AF98" i="3"/>
  <c r="AG100" i="3" s="1"/>
  <c r="AF102" i="3"/>
  <c r="AF60" i="3" s="1"/>
  <c r="AF43" i="3"/>
  <c r="AD44" i="3"/>
  <c r="AH98" i="3"/>
  <c r="AH100" i="3" s="1"/>
  <c r="AH43" i="3"/>
  <c r="AG44" i="3"/>
  <c r="AH168" i="3"/>
  <c r="AH86" i="3" s="1"/>
  <c r="AH52" i="3"/>
  <c r="AH54" i="3" s="1"/>
  <c r="AR168" i="3"/>
  <c r="AR86" i="3" s="1"/>
  <c r="AR158" i="3"/>
  <c r="AI52" i="3"/>
  <c r="AI168" i="3"/>
  <c r="AM52" i="3"/>
  <c r="AM159" i="3"/>
  <c r="AM158" i="3"/>
  <c r="AM168" i="3"/>
  <c r="AQ161" i="3"/>
  <c r="AK157" i="3"/>
  <c r="AK95" i="3" s="1"/>
  <c r="AK161" i="3"/>
  <c r="AK162" i="3"/>
  <c r="AS157" i="3"/>
  <c r="AN162" i="3"/>
  <c r="AN161" i="3"/>
  <c r="AR161" i="3"/>
  <c r="AR162" i="3"/>
  <c r="AH159" i="3"/>
  <c r="AF52" i="3"/>
  <c r="AF54" i="3" s="1"/>
  <c r="AF168" i="3"/>
  <c r="AF86" i="3" s="1"/>
  <c r="U83" i="3"/>
  <c r="AL53" i="3"/>
  <c r="AU152" i="3"/>
  <c r="AU154" i="3" s="1"/>
  <c r="AP154" i="3"/>
  <c r="AN134" i="3"/>
  <c r="AN139" i="3" s="1"/>
  <c r="AL126" i="3"/>
  <c r="AQ124" i="3"/>
  <c r="AR131" i="3"/>
  <c r="AW129" i="3"/>
  <c r="AZ129" i="3"/>
  <c r="AU131" i="3"/>
  <c r="AX129" i="3"/>
  <c r="AS131" i="3"/>
  <c r="AT153" i="3"/>
  <c r="AP126" i="3"/>
  <c r="AU124" i="3"/>
  <c r="BB154" i="3"/>
  <c r="BG152" i="3"/>
  <c r="AL131" i="3"/>
  <c r="AO131" i="3" s="1"/>
  <c r="AO132" i="3" s="1"/>
  <c r="AQ129" i="3"/>
  <c r="AX154" i="3"/>
  <c r="BC152" i="3"/>
  <c r="AM126" i="3"/>
  <c r="AM134" i="3" s="1"/>
  <c r="AM139" i="3" s="1"/>
  <c r="AR124" i="3"/>
  <c r="BK152" i="3"/>
  <c r="BF154" i="3"/>
  <c r="AE134" i="3"/>
  <c r="AX124" i="3"/>
  <c r="AS126" i="3"/>
  <c r="AE168" i="3"/>
  <c r="AE86" i="3" s="1"/>
  <c r="AI159" i="3"/>
  <c r="AI158" i="3"/>
  <c r="AJ157" i="3"/>
  <c r="AJ52" i="3" s="1"/>
  <c r="AG134" i="3"/>
  <c r="AE160" i="3"/>
  <c r="AE161" i="3" s="1"/>
  <c r="AN157" i="3"/>
  <c r="AN95" i="3" s="1"/>
  <c r="AO154" i="3"/>
  <c r="AO155" i="3" s="1"/>
  <c r="AF134" i="3"/>
  <c r="AJ126" i="3"/>
  <c r="AJ127" i="3" s="1"/>
  <c r="AO124" i="3"/>
  <c r="AO125" i="3" s="1"/>
  <c r="AK126" i="3"/>
  <c r="AK134" i="3" s="1"/>
  <c r="Z147" i="3"/>
  <c r="Z83" i="3" s="1"/>
  <c r="AS95" i="3" l="1"/>
  <c r="AS43" i="3" s="1"/>
  <c r="AS52" i="3"/>
  <c r="AS54" i="3" s="1"/>
  <c r="AI54" i="3"/>
  <c r="AJ53" i="3"/>
  <c r="AF45" i="3"/>
  <c r="AN98" i="3"/>
  <c r="AN43" i="3"/>
  <c r="AK159" i="3"/>
  <c r="AG45" i="3"/>
  <c r="AI45" i="3"/>
  <c r="AI44" i="3"/>
  <c r="AK98" i="3"/>
  <c r="AK43" i="3"/>
  <c r="AI100" i="3"/>
  <c r="AI99" i="3"/>
  <c r="AH45" i="3"/>
  <c r="AM44" i="3"/>
  <c r="AM45" i="3"/>
  <c r="AF100" i="3"/>
  <c r="AF99" i="3"/>
  <c r="AM100" i="3"/>
  <c r="AR99" i="3"/>
  <c r="AM99" i="3"/>
  <c r="AM54" i="3"/>
  <c r="AM53" i="3"/>
  <c r="AI53" i="3"/>
  <c r="AK52" i="3"/>
  <c r="AK158" i="3"/>
  <c r="AL159" i="3"/>
  <c r="AK168" i="3"/>
  <c r="AK106" i="3" s="1"/>
  <c r="AP160" i="3"/>
  <c r="AP157" i="3" s="1"/>
  <c r="AP95" i="3" s="1"/>
  <c r="AQ52" i="3"/>
  <c r="AQ168" i="3"/>
  <c r="AQ158" i="3"/>
  <c r="AR159" i="3"/>
  <c r="AS161" i="3"/>
  <c r="AS162" i="3"/>
  <c r="AG54" i="3"/>
  <c r="AS159" i="3"/>
  <c r="AS168" i="3"/>
  <c r="AS86" i="3" s="1"/>
  <c r="AS88" i="3" s="1"/>
  <c r="AM86" i="3"/>
  <c r="AM88" i="3" s="1"/>
  <c r="AM170" i="3"/>
  <c r="AR169" i="3"/>
  <c r="AR53" i="3"/>
  <c r="AI86" i="3"/>
  <c r="AS158" i="3"/>
  <c r="AN52" i="3"/>
  <c r="AL134" i="3"/>
  <c r="AT154" i="3"/>
  <c r="AT155" i="3" s="1"/>
  <c r="AZ152" i="3"/>
  <c r="BE152" i="3" s="1"/>
  <c r="AY152" i="3"/>
  <c r="AY153" i="3" s="1"/>
  <c r="AS134" i="3"/>
  <c r="AT124" i="3"/>
  <c r="AT125" i="3" s="1"/>
  <c r="AQ131" i="3"/>
  <c r="AT131" i="3" s="1"/>
  <c r="AV129" i="3"/>
  <c r="AT129" i="3"/>
  <c r="AT130" i="3" s="1"/>
  <c r="BC124" i="3"/>
  <c r="AX126" i="3"/>
  <c r="BL152" i="3"/>
  <c r="BG154" i="3"/>
  <c r="AY154" i="3"/>
  <c r="AU126" i="3"/>
  <c r="AZ124" i="3"/>
  <c r="AW131" i="3"/>
  <c r="BB129" i="3"/>
  <c r="BC129" i="3"/>
  <c r="AX131" i="3"/>
  <c r="AR126" i="3"/>
  <c r="AR134" i="3" s="1"/>
  <c r="AW124" i="3"/>
  <c r="AQ126" i="3"/>
  <c r="AV124" i="3"/>
  <c r="BC154" i="3"/>
  <c r="BH152" i="3"/>
  <c r="AP134" i="3"/>
  <c r="AP139" i="3" s="1"/>
  <c r="BE129" i="3"/>
  <c r="AZ131" i="3"/>
  <c r="BK154" i="3"/>
  <c r="BP152" i="3"/>
  <c r="AN168" i="3"/>
  <c r="AN159" i="3"/>
  <c r="AN158" i="3"/>
  <c r="AO157" i="3"/>
  <c r="AO52" i="3" s="1"/>
  <c r="AO126" i="3"/>
  <c r="AO127" i="3" s="1"/>
  <c r="AJ160" i="3"/>
  <c r="AJ161" i="3" s="1"/>
  <c r="AJ158" i="3"/>
  <c r="AJ168" i="3"/>
  <c r="AJ86" i="3" s="1"/>
  <c r="AJ134" i="3"/>
  <c r="AE164" i="3"/>
  <c r="AE69" i="3" s="1"/>
  <c r="K102" i="3"/>
  <c r="K60" i="3" s="1"/>
  <c r="J186" i="3"/>
  <c r="J108" i="3"/>
  <c r="J102" i="3"/>
  <c r="J60" i="3" s="1"/>
  <c r="I108" i="3"/>
  <c r="I102" i="3"/>
  <c r="I60" i="3" s="1"/>
  <c r="H108" i="3"/>
  <c r="H186" i="3"/>
  <c r="H102" i="3"/>
  <c r="L102" i="3"/>
  <c r="L60" i="3" s="1"/>
  <c r="L186" i="3"/>
  <c r="L107" i="3"/>
  <c r="L108" i="3"/>
  <c r="AX44" i="3" l="1"/>
  <c r="AU45" i="3"/>
  <c r="AR49" i="3"/>
  <c r="AR139" i="3"/>
  <c r="AK170" i="3"/>
  <c r="AK102" i="3"/>
  <c r="AO53" i="3"/>
  <c r="AP52" i="3"/>
  <c r="AP53" i="3" s="1"/>
  <c r="AP168" i="3"/>
  <c r="AP106" i="3" s="1"/>
  <c r="AP102" i="3" s="1"/>
  <c r="AU102" i="3" s="1"/>
  <c r="AQ159" i="3"/>
  <c r="AS44" i="3"/>
  <c r="AN44" i="3"/>
  <c r="AN45" i="3"/>
  <c r="AN99" i="3"/>
  <c r="AN100" i="3"/>
  <c r="AS99" i="3"/>
  <c r="AK100" i="3"/>
  <c r="AK99" i="3"/>
  <c r="AL100" i="3"/>
  <c r="AK45" i="3"/>
  <c r="AK44" i="3"/>
  <c r="AL45" i="3"/>
  <c r="AP158" i="3"/>
  <c r="AK86" i="3"/>
  <c r="AL88" i="3" s="1"/>
  <c r="AL170" i="3"/>
  <c r="AL54" i="3"/>
  <c r="AK53" i="3"/>
  <c r="AU162" i="3"/>
  <c r="AU161" i="3"/>
  <c r="AP159" i="3"/>
  <c r="AT157" i="3"/>
  <c r="AT52" i="3" s="1"/>
  <c r="AU157" i="3"/>
  <c r="AU52" i="3" s="1"/>
  <c r="AK54" i="3"/>
  <c r="AS170" i="3"/>
  <c r="AQ86" i="3"/>
  <c r="AQ169" i="3"/>
  <c r="AR170" i="3"/>
  <c r="AQ53" i="3"/>
  <c r="AR54" i="3"/>
  <c r="AP161" i="3"/>
  <c r="AP162" i="3"/>
  <c r="AQ162" i="3"/>
  <c r="AR87" i="3"/>
  <c r="AS51" i="3"/>
  <c r="J62" i="3"/>
  <c r="AS169" i="3"/>
  <c r="AN86" i="3"/>
  <c r="AN53" i="3"/>
  <c r="AN54" i="3"/>
  <c r="AS53" i="3"/>
  <c r="L61" i="3"/>
  <c r="L62" i="3"/>
  <c r="Q61" i="3"/>
  <c r="H104" i="3"/>
  <c r="H60" i="3"/>
  <c r="H62" i="3" s="1"/>
  <c r="L103" i="3"/>
  <c r="L104" i="3"/>
  <c r="Q103" i="3"/>
  <c r="I104" i="3"/>
  <c r="J104" i="3"/>
  <c r="L182" i="3"/>
  <c r="L188" i="3"/>
  <c r="J182" i="3"/>
  <c r="H182" i="3"/>
  <c r="I72" i="3"/>
  <c r="I186" i="3"/>
  <c r="AY155" i="3"/>
  <c r="AO134" i="3"/>
  <c r="AZ154" i="3"/>
  <c r="BD152" i="3"/>
  <c r="BD153" i="3" s="1"/>
  <c r="AX134" i="3"/>
  <c r="AX136" i="3" s="1"/>
  <c r="AX49" i="3" s="1"/>
  <c r="BI152" i="3"/>
  <c r="AQ134" i="3"/>
  <c r="AQ139" i="3" s="1"/>
  <c r="BU152" i="3"/>
  <c r="BP154" i="3"/>
  <c r="AS138" i="3"/>
  <c r="BL154" i="3"/>
  <c r="BQ152" i="3"/>
  <c r="AW126" i="3"/>
  <c r="AW134" i="3" s="1"/>
  <c r="AW136" i="3" s="1"/>
  <c r="BB124" i="3"/>
  <c r="AT126" i="3"/>
  <c r="AT127" i="3" s="1"/>
  <c r="BB131" i="3"/>
  <c r="BG129" i="3"/>
  <c r="BH124" i="3"/>
  <c r="BC126" i="3"/>
  <c r="BE131" i="3"/>
  <c r="BJ129" i="3"/>
  <c r="AY124" i="3"/>
  <c r="AY125" i="3" s="1"/>
  <c r="BH154" i="3"/>
  <c r="BM152" i="3"/>
  <c r="BE124" i="3"/>
  <c r="AZ126" i="3"/>
  <c r="BA129" i="3"/>
  <c r="AV131" i="3"/>
  <c r="AY131" i="3" s="1"/>
  <c r="AY129" i="3"/>
  <c r="AY130" i="3" s="1"/>
  <c r="BH129" i="3"/>
  <c r="BC131" i="3"/>
  <c r="AU134" i="3"/>
  <c r="AU136" i="3" s="1"/>
  <c r="AU49" i="3" s="1"/>
  <c r="BJ152" i="3"/>
  <c r="BE154" i="3"/>
  <c r="AT132" i="3"/>
  <c r="BA124" i="3"/>
  <c r="AV126" i="3"/>
  <c r="AJ164" i="3"/>
  <c r="AJ69" i="3" s="1"/>
  <c r="AO160" i="3"/>
  <c r="AO161" i="3" s="1"/>
  <c r="AO158" i="3"/>
  <c r="AN170" i="3"/>
  <c r="AN169" i="3"/>
  <c r="AO168" i="3"/>
  <c r="AO86" i="3" s="1"/>
  <c r="AO87" i="3" s="1"/>
  <c r="I91" i="3"/>
  <c r="H72" i="3"/>
  <c r="L72" i="3"/>
  <c r="M102" i="3"/>
  <c r="M60" i="3" s="1"/>
  <c r="M186" i="3"/>
  <c r="M107" i="3"/>
  <c r="M108" i="3"/>
  <c r="L91" i="3"/>
  <c r="J72" i="3"/>
  <c r="J91" i="3"/>
  <c r="AW140" i="3" l="1"/>
  <c r="AS141" i="3"/>
  <c r="AQ54" i="3"/>
  <c r="AP54" i="3"/>
  <c r="AP169" i="3"/>
  <c r="AT158" i="3"/>
  <c r="AP86" i="3"/>
  <c r="AQ88" i="3" s="1"/>
  <c r="AQ170" i="3"/>
  <c r="AT168" i="3"/>
  <c r="AT86" i="3" s="1"/>
  <c r="AT87" i="3" s="1"/>
  <c r="AP170" i="3"/>
  <c r="AV140" i="3"/>
  <c r="AR141" i="3"/>
  <c r="AT53" i="3"/>
  <c r="AU159" i="3"/>
  <c r="AU158" i="3"/>
  <c r="AU168" i="3"/>
  <c r="AU86" i="3" s="1"/>
  <c r="AU88" i="3" s="1"/>
  <c r="AT160" i="3"/>
  <c r="AT161" i="3" s="1"/>
  <c r="AK88" i="3"/>
  <c r="AP97" i="3"/>
  <c r="AP98" i="3"/>
  <c r="AP43" i="3"/>
  <c r="J74" i="3"/>
  <c r="AV161" i="3"/>
  <c r="AV162" i="3"/>
  <c r="AV157" i="3"/>
  <c r="AQ87" i="3"/>
  <c r="AR88" i="3"/>
  <c r="AU54" i="3"/>
  <c r="AU53" i="3"/>
  <c r="I62" i="3"/>
  <c r="M61" i="3"/>
  <c r="M62" i="3"/>
  <c r="AU51" i="3"/>
  <c r="AR138" i="3"/>
  <c r="AQ49" i="3"/>
  <c r="AW137" i="3"/>
  <c r="AW49" i="3"/>
  <c r="AX51" i="3" s="1"/>
  <c r="AX50" i="3"/>
  <c r="AN88" i="3"/>
  <c r="AN87" i="3"/>
  <c r="AS87" i="3"/>
  <c r="I74" i="3"/>
  <c r="L74" i="3"/>
  <c r="M103" i="3"/>
  <c r="M104" i="3"/>
  <c r="L184" i="3"/>
  <c r="AO164" i="3"/>
  <c r="I182" i="3"/>
  <c r="I184" i="3" s="1"/>
  <c r="I188" i="3"/>
  <c r="J188" i="3"/>
  <c r="M182" i="3"/>
  <c r="M187" i="3"/>
  <c r="M188" i="3"/>
  <c r="BD124" i="3"/>
  <c r="BD125" i="3" s="1"/>
  <c r="BI153" i="3"/>
  <c r="BD154" i="3"/>
  <c r="BD155" i="3" s="1"/>
  <c r="AT134" i="3"/>
  <c r="AY132" i="3"/>
  <c r="AV134" i="3"/>
  <c r="AY134" i="3" s="1"/>
  <c r="BM124" i="3"/>
  <c r="BH126" i="3"/>
  <c r="BF124" i="3"/>
  <c r="BA126" i="3"/>
  <c r="AZ134" i="3"/>
  <c r="AZ136" i="3" s="1"/>
  <c r="AZ49" i="3" s="1"/>
  <c r="BE126" i="3"/>
  <c r="BJ124" i="3"/>
  <c r="BV152" i="3"/>
  <c r="BQ154" i="3"/>
  <c r="BM154" i="3"/>
  <c r="BR152" i="3"/>
  <c r="BI154" i="3"/>
  <c r="BI155" i="3" s="1"/>
  <c r="BA131" i="3"/>
  <c r="BD131" i="3" s="1"/>
  <c r="BF129" i="3"/>
  <c r="BD129" i="3"/>
  <c r="BD130" i="3" s="1"/>
  <c r="BN152" i="3"/>
  <c r="BN153" i="3" s="1"/>
  <c r="BO152" i="3"/>
  <c r="BJ154" i="3"/>
  <c r="BU154" i="3"/>
  <c r="BZ152" i="3"/>
  <c r="AY126" i="3"/>
  <c r="AY127" i="3" s="1"/>
  <c r="BO129" i="3"/>
  <c r="BJ131" i="3"/>
  <c r="BM129" i="3"/>
  <c r="BH131" i="3"/>
  <c r="AU138" i="3"/>
  <c r="BG131" i="3"/>
  <c r="BL129" i="3"/>
  <c r="BG124" i="3"/>
  <c r="BB126" i="3"/>
  <c r="BB134" i="3" s="1"/>
  <c r="BB136" i="3" s="1"/>
  <c r="BB49" i="3" s="1"/>
  <c r="BC134" i="3"/>
  <c r="AX137" i="3"/>
  <c r="AX138" i="3"/>
  <c r="AO169" i="3"/>
  <c r="N102" i="3"/>
  <c r="N60" i="3" s="1"/>
  <c r="N186" i="3"/>
  <c r="N107" i="3"/>
  <c r="N108" i="3"/>
  <c r="M72" i="3"/>
  <c r="M91" i="3"/>
  <c r="M90" i="3"/>
  <c r="O186" i="3"/>
  <c r="AP88" i="3" l="1"/>
  <c r="AT164" i="3"/>
  <c r="AT165" i="3" s="1"/>
  <c r="AP87" i="3"/>
  <c r="AT169" i="3"/>
  <c r="AU87" i="3"/>
  <c r="AU169" i="3"/>
  <c r="AU170" i="3"/>
  <c r="AU44" i="3"/>
  <c r="AP45" i="3"/>
  <c r="AP44" i="3"/>
  <c r="AQ45" i="3"/>
  <c r="AU99" i="3"/>
  <c r="AP99" i="3"/>
  <c r="AP100" i="3"/>
  <c r="AV52" i="3"/>
  <c r="AV168" i="3"/>
  <c r="AV158" i="3"/>
  <c r="AV159" i="3"/>
  <c r="AW161" i="3"/>
  <c r="AW162" i="3"/>
  <c r="AW157" i="3"/>
  <c r="AO69" i="3"/>
  <c r="AO70" i="3" s="1"/>
  <c r="AO165" i="3"/>
  <c r="AW50" i="3"/>
  <c r="BB50" i="3"/>
  <c r="AZ51" i="3"/>
  <c r="AZ50" i="3"/>
  <c r="AR51" i="3"/>
  <c r="N61" i="3"/>
  <c r="N62" i="3"/>
  <c r="M73" i="3"/>
  <c r="M74" i="3"/>
  <c r="N104" i="3"/>
  <c r="N103" i="3"/>
  <c r="M183" i="3"/>
  <c r="M184" i="3"/>
  <c r="J184" i="3"/>
  <c r="N182" i="3"/>
  <c r="N187" i="3"/>
  <c r="N188" i="3"/>
  <c r="O182" i="3"/>
  <c r="O187" i="3"/>
  <c r="O188" i="3"/>
  <c r="AV136" i="3"/>
  <c r="BD126" i="3"/>
  <c r="BD127" i="3" s="1"/>
  <c r="BI124" i="3"/>
  <c r="BI125" i="3" s="1"/>
  <c r="BD132" i="3"/>
  <c r="CE152" i="3"/>
  <c r="BZ154" i="3"/>
  <c r="BO124" i="3"/>
  <c r="BJ126" i="3"/>
  <c r="BT129" i="3"/>
  <c r="BO131" i="3"/>
  <c r="BE134" i="3"/>
  <c r="BN154" i="3"/>
  <c r="BN155" i="3" s="1"/>
  <c r="BS152" i="3"/>
  <c r="BS153" i="3" s="1"/>
  <c r="BT152" i="3"/>
  <c r="BO154" i="3"/>
  <c r="BA134" i="3"/>
  <c r="BW152" i="3"/>
  <c r="BR154" i="3"/>
  <c r="BK124" i="3"/>
  <c r="BF126" i="3"/>
  <c r="BF131" i="3"/>
  <c r="BI131" i="3" s="1"/>
  <c r="BK129" i="3"/>
  <c r="BM131" i="3"/>
  <c r="BR129" i="3"/>
  <c r="BH134" i="3"/>
  <c r="BL131" i="3"/>
  <c r="BQ129" i="3"/>
  <c r="BV154" i="3"/>
  <c r="CA152" i="3"/>
  <c r="BG126" i="3"/>
  <c r="BG134" i="3" s="1"/>
  <c r="BL124" i="3"/>
  <c r="BI129" i="3"/>
  <c r="BI130" i="3" s="1"/>
  <c r="BM126" i="3"/>
  <c r="BR124" i="3"/>
  <c r="AZ138" i="3"/>
  <c r="AZ137" i="3"/>
  <c r="N90" i="3"/>
  <c r="N72" i="3"/>
  <c r="N91" i="3"/>
  <c r="O102" i="3"/>
  <c r="O60" i="3" s="1"/>
  <c r="P89" i="3"/>
  <c r="O107" i="3"/>
  <c r="O108" i="3"/>
  <c r="AT69" i="3" l="1"/>
  <c r="AW52" i="3"/>
  <c r="AW159" i="3"/>
  <c r="AW158" i="3"/>
  <c r="AW168" i="3"/>
  <c r="AZ160" i="3"/>
  <c r="AX161" i="3"/>
  <c r="AX162" i="3"/>
  <c r="AX157" i="3"/>
  <c r="AY157" i="3" s="1"/>
  <c r="AV86" i="3"/>
  <c r="AV169" i="3"/>
  <c r="AV170" i="3"/>
  <c r="AV53" i="3"/>
  <c r="AV54" i="3"/>
  <c r="P186" i="3"/>
  <c r="P182" i="3" s="1"/>
  <c r="P24" i="3"/>
  <c r="AT70" i="3"/>
  <c r="O61" i="3"/>
  <c r="O62" i="3"/>
  <c r="Q62" i="3"/>
  <c r="T61" i="3"/>
  <c r="AY136" i="3"/>
  <c r="AY49" i="3" s="1"/>
  <c r="AV49" i="3"/>
  <c r="N73" i="3"/>
  <c r="N74" i="3"/>
  <c r="O104" i="3"/>
  <c r="O103" i="3"/>
  <c r="Q104" i="3"/>
  <c r="T103" i="3"/>
  <c r="O183" i="3"/>
  <c r="O184" i="3"/>
  <c r="N183" i="3"/>
  <c r="N184" i="3"/>
  <c r="Q186" i="3"/>
  <c r="AV137" i="3"/>
  <c r="AW138" i="3"/>
  <c r="AV138" i="3"/>
  <c r="BN124" i="3"/>
  <c r="BN125" i="3" s="1"/>
  <c r="BI126" i="3"/>
  <c r="BI127" i="3" s="1"/>
  <c r="BI132" i="3"/>
  <c r="BM134" i="3"/>
  <c r="BY129" i="3"/>
  <c r="BT131" i="3"/>
  <c r="BW124" i="3"/>
  <c r="BR126" i="3"/>
  <c r="BW129" i="3"/>
  <c r="BR131" i="3"/>
  <c r="BO126" i="3"/>
  <c r="BT124" i="3"/>
  <c r="BF134" i="3"/>
  <c r="BV129" i="3"/>
  <c r="BQ131" i="3"/>
  <c r="BK126" i="3"/>
  <c r="BP124" i="3"/>
  <c r="BS154" i="3"/>
  <c r="BS155" i="3" s="1"/>
  <c r="CA154" i="3"/>
  <c r="CF152" i="3"/>
  <c r="BK131" i="3"/>
  <c r="BN131" i="3" s="1"/>
  <c r="BP129" i="3"/>
  <c r="BN129" i="3"/>
  <c r="BN130" i="3" s="1"/>
  <c r="BL126" i="3"/>
  <c r="BL134" i="3" s="1"/>
  <c r="BQ124" i="3"/>
  <c r="BX152" i="3"/>
  <c r="BX153" i="3" s="1"/>
  <c r="BT154" i="3"/>
  <c r="BY152" i="3"/>
  <c r="BD134" i="3"/>
  <c r="CE154" i="3"/>
  <c r="CJ152" i="3"/>
  <c r="CJ154" i="3" s="1"/>
  <c r="BJ134" i="3"/>
  <c r="BW154" i="3"/>
  <c r="CB152" i="3"/>
  <c r="P72" i="3"/>
  <c r="Q107" i="3"/>
  <c r="Q108" i="3"/>
  <c r="P102" i="3"/>
  <c r="P107" i="3"/>
  <c r="R186" i="3"/>
  <c r="O91" i="3"/>
  <c r="O72" i="3"/>
  <c r="O90" i="3"/>
  <c r="AY52" i="3" l="1"/>
  <c r="AY53" i="3" s="1"/>
  <c r="AY160" i="3"/>
  <c r="AY161" i="3" s="1"/>
  <c r="AY158" i="3"/>
  <c r="AX52" i="3"/>
  <c r="AX168" i="3"/>
  <c r="AY168" i="3" s="1"/>
  <c r="AX159" i="3"/>
  <c r="AX158" i="3"/>
  <c r="BA160" i="3"/>
  <c r="AZ161" i="3"/>
  <c r="AZ162" i="3"/>
  <c r="AZ157" i="3"/>
  <c r="AW86" i="3"/>
  <c r="AW170" i="3"/>
  <c r="AW169" i="3"/>
  <c r="AV87" i="3"/>
  <c r="AV88" i="3"/>
  <c r="AW54" i="3"/>
  <c r="AW53" i="3"/>
  <c r="AV51" i="3"/>
  <c r="AV50" i="3"/>
  <c r="AW51" i="3"/>
  <c r="P103" i="3"/>
  <c r="P60" i="3"/>
  <c r="P61" i="3" s="1"/>
  <c r="O74" i="3"/>
  <c r="O73" i="3"/>
  <c r="R182" i="3"/>
  <c r="R187" i="3"/>
  <c r="R188" i="3"/>
  <c r="Q188" i="3"/>
  <c r="Q182" i="3"/>
  <c r="Q187" i="3"/>
  <c r="BS124" i="3"/>
  <c r="BS125" i="3" s="1"/>
  <c r="BN126" i="3"/>
  <c r="BN127" i="3" s="1"/>
  <c r="BX154" i="3"/>
  <c r="BX155" i="3" s="1"/>
  <c r="BW126" i="3"/>
  <c r="CB124" i="3"/>
  <c r="BV124" i="3"/>
  <c r="BQ126" i="3"/>
  <c r="BQ134" i="3" s="1"/>
  <c r="BI134" i="3"/>
  <c r="BY131" i="3"/>
  <c r="CD129" i="3"/>
  <c r="BO134" i="3"/>
  <c r="CF154" i="3"/>
  <c r="CK152" i="3"/>
  <c r="CK154" i="3" s="1"/>
  <c r="CB154" i="3"/>
  <c r="CG152" i="3"/>
  <c r="BU124" i="3"/>
  <c r="BP126" i="3"/>
  <c r="BY124" i="3"/>
  <c r="BT126" i="3"/>
  <c r="CA129" i="3"/>
  <c r="BV131" i="3"/>
  <c r="BU129" i="3"/>
  <c r="BP131" i="3"/>
  <c r="BS131" i="3" s="1"/>
  <c r="BS129" i="3"/>
  <c r="BS130" i="3" s="1"/>
  <c r="BN132" i="3"/>
  <c r="CB129" i="3"/>
  <c r="BW131" i="3"/>
  <c r="BK134" i="3"/>
  <c r="CC152" i="3"/>
  <c r="CC153" i="3" s="1"/>
  <c r="CD152" i="3"/>
  <c r="BY154" i="3"/>
  <c r="BR134" i="3"/>
  <c r="BB137" i="3"/>
  <c r="R102" i="3"/>
  <c r="R60" i="3" s="1"/>
  <c r="R108" i="3"/>
  <c r="R107" i="3"/>
  <c r="S186" i="3"/>
  <c r="Q90" i="3"/>
  <c r="Q91" i="3"/>
  <c r="Q72" i="3"/>
  <c r="AY86" i="3" l="1"/>
  <c r="AY87" i="3" s="1"/>
  <c r="AY169" i="3"/>
  <c r="AY164" i="3"/>
  <c r="AX86" i="3"/>
  <c r="AX169" i="3"/>
  <c r="AX170" i="3"/>
  <c r="AX54" i="3"/>
  <c r="AX53" i="3"/>
  <c r="AW88" i="3"/>
  <c r="AW87" i="3"/>
  <c r="BB160" i="3"/>
  <c r="BA161" i="3"/>
  <c r="BA162" i="3"/>
  <c r="BA157" i="3"/>
  <c r="AZ52" i="3"/>
  <c r="AZ168" i="3"/>
  <c r="AZ159" i="3"/>
  <c r="AZ158" i="3"/>
  <c r="R61" i="3"/>
  <c r="R62" i="3"/>
  <c r="Q74" i="3"/>
  <c r="Q73" i="3"/>
  <c r="R104" i="3"/>
  <c r="R103" i="3"/>
  <c r="Q183" i="3"/>
  <c r="Q184" i="3"/>
  <c r="R183" i="3"/>
  <c r="R184" i="3"/>
  <c r="S187" i="3"/>
  <c r="S188" i="3"/>
  <c r="S182" i="3"/>
  <c r="BS132" i="3"/>
  <c r="CG154" i="3"/>
  <c r="CL152" i="3"/>
  <c r="CL154" i="3" s="1"/>
  <c r="CA131" i="3"/>
  <c r="CF129" i="3"/>
  <c r="CC154" i="3"/>
  <c r="CC155" i="3" s="1"/>
  <c r="CA124" i="3"/>
  <c r="BV126" i="3"/>
  <c r="BV134" i="3" s="1"/>
  <c r="BT134" i="3"/>
  <c r="CB131" i="3"/>
  <c r="CG129" i="3"/>
  <c r="CH152" i="3"/>
  <c r="CH153" i="3" s="1"/>
  <c r="CI152" i="3"/>
  <c r="CD154" i="3"/>
  <c r="CB126" i="3"/>
  <c r="CG124" i="3"/>
  <c r="BY126" i="3"/>
  <c r="CD124" i="3"/>
  <c r="BP134" i="3"/>
  <c r="BS126" i="3"/>
  <c r="BS127" i="3" s="1"/>
  <c r="BW134" i="3"/>
  <c r="BU131" i="3"/>
  <c r="BX131" i="3" s="1"/>
  <c r="BZ129" i="3"/>
  <c r="BX129" i="3"/>
  <c r="BX130" i="3" s="1"/>
  <c r="BN134" i="3"/>
  <c r="BZ124" i="3"/>
  <c r="BU126" i="3"/>
  <c r="BX124" i="3"/>
  <c r="BX125" i="3" s="1"/>
  <c r="CI129" i="3"/>
  <c r="CD131" i="3"/>
  <c r="S102" i="3"/>
  <c r="S60" i="3" s="1"/>
  <c r="S108" i="3"/>
  <c r="S107" i="3"/>
  <c r="R72" i="3"/>
  <c r="R90" i="3"/>
  <c r="R91" i="3"/>
  <c r="T186" i="3"/>
  <c r="AZ86" i="3" l="1"/>
  <c r="AZ170" i="3"/>
  <c r="AZ169" i="3"/>
  <c r="AZ54" i="3"/>
  <c r="AZ53" i="3"/>
  <c r="AX88" i="3"/>
  <c r="AX87" i="3"/>
  <c r="BA52" i="3"/>
  <c r="BA168" i="3"/>
  <c r="BA158" i="3"/>
  <c r="BA159" i="3"/>
  <c r="AY69" i="3"/>
  <c r="AY70" i="3" s="1"/>
  <c r="AY165" i="3"/>
  <c r="BC160" i="3"/>
  <c r="BB162" i="3"/>
  <c r="BB161" i="3"/>
  <c r="BB157" i="3"/>
  <c r="S62" i="3"/>
  <c r="S61" i="3"/>
  <c r="T62" i="3"/>
  <c r="R74" i="3"/>
  <c r="R73" i="3"/>
  <c r="S104" i="3"/>
  <c r="S103" i="3"/>
  <c r="T104" i="3"/>
  <c r="S183" i="3"/>
  <c r="S184" i="3"/>
  <c r="T182" i="3"/>
  <c r="T187" i="3"/>
  <c r="T188" i="3"/>
  <c r="U89" i="3"/>
  <c r="U24" i="3" s="1"/>
  <c r="U25" i="3" s="1"/>
  <c r="CB134" i="3"/>
  <c r="BX132" i="3"/>
  <c r="CH154" i="3"/>
  <c r="CH155" i="3" s="1"/>
  <c r="CM152" i="3"/>
  <c r="CM153" i="3" s="1"/>
  <c r="CI154" i="3"/>
  <c r="BS134" i="3"/>
  <c r="CG126" i="3"/>
  <c r="CL124" i="3"/>
  <c r="CL126" i="3" s="1"/>
  <c r="CG131" i="3"/>
  <c r="CL129" i="3"/>
  <c r="CL131" i="3" s="1"/>
  <c r="BU134" i="3"/>
  <c r="CC129" i="3"/>
  <c r="CC130" i="3" s="1"/>
  <c r="BZ131" i="3"/>
  <c r="CC131" i="3" s="1"/>
  <c r="CE129" i="3"/>
  <c r="BZ126" i="3"/>
  <c r="CE124" i="3"/>
  <c r="CC124" i="3"/>
  <c r="CC125" i="3" s="1"/>
  <c r="BX126" i="3"/>
  <c r="BX127" i="3" s="1"/>
  <c r="CD126" i="3"/>
  <c r="CI124" i="3"/>
  <c r="CA126" i="3"/>
  <c r="CA134" i="3" s="1"/>
  <c r="CF124" i="3"/>
  <c r="CI131" i="3"/>
  <c r="BY134" i="3"/>
  <c r="CF131" i="3"/>
  <c r="CK129" i="3"/>
  <c r="CK131" i="3" s="1"/>
  <c r="S91" i="3"/>
  <c r="S72" i="3"/>
  <c r="S90" i="3"/>
  <c r="V186" i="3"/>
  <c r="T108" i="3"/>
  <c r="T107" i="3"/>
  <c r="BA86" i="3" l="1"/>
  <c r="BA169" i="3"/>
  <c r="BA170" i="3"/>
  <c r="BA53" i="3"/>
  <c r="BA54" i="3"/>
  <c r="BB52" i="3"/>
  <c r="BB159" i="3"/>
  <c r="BB168" i="3"/>
  <c r="BB158" i="3"/>
  <c r="BE160" i="3"/>
  <c r="BC161" i="3"/>
  <c r="BC162" i="3"/>
  <c r="BC157" i="3"/>
  <c r="BD157" i="3" s="1"/>
  <c r="AZ88" i="3"/>
  <c r="AZ87" i="3"/>
  <c r="S74" i="3"/>
  <c r="S73" i="3"/>
  <c r="T183" i="3"/>
  <c r="T184" i="3"/>
  <c r="V187" i="3"/>
  <c r="V182" i="3"/>
  <c r="V188" i="3"/>
  <c r="CC132" i="3"/>
  <c r="CL134" i="3"/>
  <c r="BZ134" i="3"/>
  <c r="CJ124" i="3"/>
  <c r="CJ126" i="3" s="1"/>
  <c r="CE126" i="3"/>
  <c r="CE131" i="3"/>
  <c r="CH131" i="3" s="1"/>
  <c r="CJ129" i="3"/>
  <c r="CH129" i="3"/>
  <c r="CH130" i="3" s="1"/>
  <c r="CG134" i="3"/>
  <c r="CH124" i="3"/>
  <c r="CH125" i="3" s="1"/>
  <c r="CM154" i="3"/>
  <c r="CM155" i="3" s="1"/>
  <c r="CC126" i="3"/>
  <c r="CC127" i="3" s="1"/>
  <c r="CD134" i="3"/>
  <c r="BX134" i="3"/>
  <c r="CI126" i="3"/>
  <c r="CF126" i="3"/>
  <c r="CF134" i="3" s="1"/>
  <c r="CK124" i="3"/>
  <c r="CK126" i="3" s="1"/>
  <c r="CK134" i="3" s="1"/>
  <c r="AB96" i="3"/>
  <c r="T72" i="3"/>
  <c r="T91" i="3"/>
  <c r="T90" i="3"/>
  <c r="U102" i="3"/>
  <c r="U107" i="3"/>
  <c r="U186" i="3"/>
  <c r="V60" i="3"/>
  <c r="V108" i="3"/>
  <c r="V107" i="3"/>
  <c r="BD52" i="3" l="1"/>
  <c r="BD53" i="3" s="1"/>
  <c r="BD160" i="3"/>
  <c r="BD161" i="3" s="1"/>
  <c r="BD158" i="3"/>
  <c r="BB86" i="3"/>
  <c r="BB169" i="3"/>
  <c r="BB170" i="3"/>
  <c r="BB53" i="3"/>
  <c r="BB54" i="3"/>
  <c r="BF160" i="3"/>
  <c r="BE161" i="3"/>
  <c r="BE162" i="3"/>
  <c r="BE157" i="3"/>
  <c r="BC52" i="3"/>
  <c r="BC158" i="3"/>
  <c r="BC168" i="3"/>
  <c r="BC159" i="3"/>
  <c r="BA87" i="3"/>
  <c r="BA88" i="3"/>
  <c r="U103" i="3"/>
  <c r="U60" i="3"/>
  <c r="U61" i="3" s="1"/>
  <c r="V61" i="3"/>
  <c r="V62" i="3"/>
  <c r="T74" i="3"/>
  <c r="T73" i="3"/>
  <c r="V103" i="3"/>
  <c r="V104" i="3"/>
  <c r="V184" i="3"/>
  <c r="V183" i="3"/>
  <c r="W186" i="3"/>
  <c r="W188" i="3" s="1"/>
  <c r="U182" i="3"/>
  <c r="U183" i="3" s="1"/>
  <c r="U187" i="3"/>
  <c r="CC134" i="3"/>
  <c r="CI134" i="3"/>
  <c r="CM126" i="3"/>
  <c r="CJ131" i="3"/>
  <c r="CM131" i="3" s="1"/>
  <c r="CM129" i="3"/>
  <c r="CM130" i="3" s="1"/>
  <c r="CH132" i="3"/>
  <c r="CM124" i="3"/>
  <c r="CM125" i="3" s="1"/>
  <c r="CH126" i="3"/>
  <c r="CH127" i="3" s="1"/>
  <c r="CE134" i="3"/>
  <c r="W60" i="3"/>
  <c r="W107" i="3"/>
  <c r="V72" i="3"/>
  <c r="V91" i="3"/>
  <c r="V90" i="3"/>
  <c r="U72" i="3"/>
  <c r="U73" i="3" s="1"/>
  <c r="U90" i="3"/>
  <c r="X186" i="3"/>
  <c r="BG160" i="3" l="1"/>
  <c r="BF161" i="3"/>
  <c r="BF162" i="3"/>
  <c r="BF157" i="3"/>
  <c r="BE159" i="3"/>
  <c r="BE158" i="3"/>
  <c r="BE52" i="3"/>
  <c r="BE168" i="3"/>
  <c r="BC86" i="3"/>
  <c r="BC170" i="3"/>
  <c r="BC169" i="3"/>
  <c r="BB88" i="3"/>
  <c r="BB87" i="3"/>
  <c r="BC53" i="3"/>
  <c r="BC54" i="3"/>
  <c r="BD168" i="3"/>
  <c r="AB80" i="3"/>
  <c r="W61" i="3"/>
  <c r="W62" i="3"/>
  <c r="V73" i="3"/>
  <c r="V74" i="3"/>
  <c r="W103" i="3"/>
  <c r="W104" i="3"/>
  <c r="W182" i="3"/>
  <c r="W187" i="3"/>
  <c r="W108" i="3"/>
  <c r="X188" i="3"/>
  <c r="X187" i="3"/>
  <c r="X182" i="3"/>
  <c r="CM132" i="3"/>
  <c r="CJ134" i="3"/>
  <c r="CM127" i="3"/>
  <c r="CH134" i="3"/>
  <c r="AD96" i="3"/>
  <c r="X60" i="3"/>
  <c r="X108" i="3"/>
  <c r="X107" i="3"/>
  <c r="W72" i="3"/>
  <c r="W91" i="3"/>
  <c r="W90" i="3"/>
  <c r="Y186" i="3"/>
  <c r="BE86" i="3" l="1"/>
  <c r="BE170" i="3"/>
  <c r="BE169" i="3"/>
  <c r="BE54" i="3"/>
  <c r="BE53" i="3"/>
  <c r="BC88" i="3"/>
  <c r="BC87" i="3"/>
  <c r="BD86" i="3"/>
  <c r="BD87" i="3" s="1"/>
  <c r="BD164" i="3"/>
  <c r="BD169" i="3"/>
  <c r="BF52" i="3"/>
  <c r="BF158" i="3"/>
  <c r="BF168" i="3"/>
  <c r="BF159" i="3"/>
  <c r="BH160" i="3"/>
  <c r="BG161" i="3"/>
  <c r="BG162" i="3"/>
  <c r="BG157" i="3"/>
  <c r="X61" i="3"/>
  <c r="X62" i="3"/>
  <c r="W73" i="3"/>
  <c r="W74" i="3"/>
  <c r="X103" i="3"/>
  <c r="X104" i="3"/>
  <c r="X184" i="3"/>
  <c r="X183" i="3"/>
  <c r="W184" i="3"/>
  <c r="W183" i="3"/>
  <c r="Y188" i="3"/>
  <c r="Y187" i="3"/>
  <c r="Y182" i="3"/>
  <c r="CM134" i="3"/>
  <c r="AF97" i="3"/>
  <c r="X72" i="3"/>
  <c r="X91" i="3"/>
  <c r="X90" i="3"/>
  <c r="AD80" i="3"/>
  <c r="Y60" i="3"/>
  <c r="Y107" i="3"/>
  <c r="Y108" i="3"/>
  <c r="BF53" i="3" l="1"/>
  <c r="BF54" i="3"/>
  <c r="BJ160" i="3"/>
  <c r="BH161" i="3"/>
  <c r="BH162" i="3"/>
  <c r="BH157" i="3"/>
  <c r="BD165" i="3"/>
  <c r="BD69" i="3"/>
  <c r="BD70" i="3" s="1"/>
  <c r="BG52" i="3"/>
  <c r="BG158" i="3"/>
  <c r="BG159" i="3"/>
  <c r="BG168" i="3"/>
  <c r="BF86" i="3"/>
  <c r="BF169" i="3"/>
  <c r="BF170" i="3"/>
  <c r="BE88" i="3"/>
  <c r="BE87" i="3"/>
  <c r="AI81" i="3"/>
  <c r="Y61" i="3"/>
  <c r="Y62" i="3"/>
  <c r="X73" i="3"/>
  <c r="X74" i="3"/>
  <c r="Y103" i="3"/>
  <c r="Y104" i="3"/>
  <c r="Y184" i="3"/>
  <c r="Y183" i="3"/>
  <c r="AG96" i="3"/>
  <c r="AG97" i="3"/>
  <c r="AF119" i="3"/>
  <c r="AF113" i="3"/>
  <c r="Y90" i="3"/>
  <c r="Y91" i="3"/>
  <c r="Y72" i="3"/>
  <c r="Z89" i="3"/>
  <c r="BG54" i="3" l="1"/>
  <c r="BG53" i="3"/>
  <c r="BH52" i="3"/>
  <c r="BH168" i="3"/>
  <c r="BI168" i="3" s="1"/>
  <c r="BH158" i="3"/>
  <c r="BH159" i="3"/>
  <c r="BG86" i="3"/>
  <c r="BG170" i="3"/>
  <c r="BG169" i="3"/>
  <c r="BK160" i="3"/>
  <c r="BJ161" i="3"/>
  <c r="BJ162" i="3"/>
  <c r="BJ157" i="3"/>
  <c r="BF87" i="3"/>
  <c r="BF88" i="3"/>
  <c r="BI157" i="3"/>
  <c r="AF80" i="3"/>
  <c r="AK81" i="3" s="1"/>
  <c r="Z186" i="3"/>
  <c r="Z187" i="3" s="1"/>
  <c r="Z24" i="3"/>
  <c r="Z25" i="3" s="1"/>
  <c r="Y73" i="3"/>
  <c r="Y74" i="3"/>
  <c r="Z102" i="3"/>
  <c r="Z107" i="3"/>
  <c r="AF121" i="3"/>
  <c r="AH97" i="3"/>
  <c r="AG113" i="3"/>
  <c r="AG112" i="3"/>
  <c r="AG119" i="3"/>
  <c r="Z90" i="3"/>
  <c r="Z72" i="3"/>
  <c r="Z73" i="3" s="1"/>
  <c r="AB60" i="3"/>
  <c r="AB107" i="3"/>
  <c r="AF82" i="3" l="1"/>
  <c r="BL160" i="3"/>
  <c r="BK162" i="3"/>
  <c r="BK161" i="3"/>
  <c r="BK157" i="3"/>
  <c r="BI52" i="3"/>
  <c r="BI53" i="3" s="1"/>
  <c r="BI160" i="3"/>
  <c r="BI161" i="3" s="1"/>
  <c r="BI158" i="3"/>
  <c r="BH169" i="3"/>
  <c r="BH86" i="3"/>
  <c r="BH170" i="3"/>
  <c r="BH54" i="3"/>
  <c r="BH53" i="3"/>
  <c r="BI86" i="3"/>
  <c r="BI87" i="3" s="1"/>
  <c r="BI164" i="3"/>
  <c r="BI169" i="3"/>
  <c r="BG88" i="3"/>
  <c r="BG87" i="3"/>
  <c r="BJ52" i="3"/>
  <c r="BJ168" i="3"/>
  <c r="BJ159" i="3"/>
  <c r="BJ158" i="3"/>
  <c r="AG80" i="3"/>
  <c r="AG81" i="3" s="1"/>
  <c r="Z182" i="3"/>
  <c r="Z183" i="3" s="1"/>
  <c r="AB61" i="3"/>
  <c r="Z103" i="3"/>
  <c r="Z60" i="3"/>
  <c r="Z61" i="3" s="1"/>
  <c r="AB103" i="3"/>
  <c r="AJ95" i="3"/>
  <c r="AJ43" i="3" s="1"/>
  <c r="AG121" i="3"/>
  <c r="AG120" i="3"/>
  <c r="AC108" i="3"/>
  <c r="AC107" i="3"/>
  <c r="AH119" i="3"/>
  <c r="AH113" i="3"/>
  <c r="BK52" i="3" l="1"/>
  <c r="BK158" i="3"/>
  <c r="BK168" i="3"/>
  <c r="BK159" i="3"/>
  <c r="BJ54" i="3"/>
  <c r="BJ53" i="3"/>
  <c r="BJ86" i="3"/>
  <c r="BJ169" i="3"/>
  <c r="BJ170" i="3"/>
  <c r="AG82" i="3"/>
  <c r="BI69" i="3"/>
  <c r="BI70" i="3" s="1"/>
  <c r="BI165" i="3"/>
  <c r="BH88" i="3"/>
  <c r="BH87" i="3"/>
  <c r="BM160" i="3"/>
  <c r="BL162" i="3"/>
  <c r="BL161" i="3"/>
  <c r="BL157" i="3"/>
  <c r="AH80" i="3"/>
  <c r="AH82" i="3" s="1"/>
  <c r="AJ98" i="3"/>
  <c r="AI97" i="3"/>
  <c r="AI96" i="3"/>
  <c r="AK97" i="3"/>
  <c r="AH121" i="3"/>
  <c r="AF108" i="3"/>
  <c r="AI113" i="3"/>
  <c r="AI112" i="3"/>
  <c r="AD60" i="3"/>
  <c r="AD108" i="3"/>
  <c r="AD107" i="3"/>
  <c r="AJ111" i="3"/>
  <c r="AI82" i="3" l="1"/>
  <c r="BL159" i="3"/>
  <c r="BL168" i="3"/>
  <c r="BL158" i="3"/>
  <c r="BL52" i="3"/>
  <c r="BJ88" i="3"/>
  <c r="BJ87" i="3"/>
  <c r="BK86" i="3"/>
  <c r="BK169" i="3"/>
  <c r="BK170" i="3"/>
  <c r="BO160" i="3"/>
  <c r="BM161" i="3"/>
  <c r="BM162" i="3"/>
  <c r="BM157" i="3"/>
  <c r="BN157" i="3" s="1"/>
  <c r="BK53" i="3"/>
  <c r="BK54" i="3"/>
  <c r="AJ46" i="3"/>
  <c r="AD61" i="3"/>
  <c r="AI61" i="3"/>
  <c r="AF62" i="3"/>
  <c r="AF104" i="3"/>
  <c r="AI103" i="3"/>
  <c r="AD103" i="3"/>
  <c r="AK96" i="3"/>
  <c r="AJ119" i="3"/>
  <c r="AI120" i="3"/>
  <c r="AI121" i="3"/>
  <c r="AL96" i="3"/>
  <c r="AL97" i="3"/>
  <c r="AK113" i="3"/>
  <c r="AK112" i="3"/>
  <c r="BK87" i="3" l="1"/>
  <c r="BK88" i="3"/>
  <c r="BN52" i="3"/>
  <c r="BN53" i="3" s="1"/>
  <c r="BN158" i="3"/>
  <c r="BN160" i="3"/>
  <c r="BN161" i="3" s="1"/>
  <c r="BP160" i="3"/>
  <c r="BO161" i="3"/>
  <c r="BO162" i="3"/>
  <c r="BO157" i="3"/>
  <c r="BL53" i="3"/>
  <c r="BL54" i="3"/>
  <c r="BM52" i="3"/>
  <c r="BM159" i="3"/>
  <c r="BM158" i="3"/>
  <c r="BM168" i="3"/>
  <c r="BN168" i="3" s="1"/>
  <c r="BL86" i="3"/>
  <c r="BL170" i="3"/>
  <c r="BL169" i="3"/>
  <c r="AJ80" i="3"/>
  <c r="AJ115" i="3"/>
  <c r="AM96" i="3"/>
  <c r="AM97" i="3"/>
  <c r="AG107" i="3"/>
  <c r="AG108" i="3"/>
  <c r="AG102" i="3"/>
  <c r="AG60" i="3" s="1"/>
  <c r="BM54" i="3" l="1"/>
  <c r="BM53" i="3"/>
  <c r="BN86" i="3"/>
  <c r="BN87" i="3" s="1"/>
  <c r="BN164" i="3"/>
  <c r="BN169" i="3"/>
  <c r="BM86" i="3"/>
  <c r="BM170" i="3"/>
  <c r="BM169" i="3"/>
  <c r="BO52" i="3"/>
  <c r="BO158" i="3"/>
  <c r="BO159" i="3"/>
  <c r="BO168" i="3"/>
  <c r="BQ160" i="3"/>
  <c r="BP162" i="3"/>
  <c r="BP161" i="3"/>
  <c r="BP157" i="3"/>
  <c r="BL87" i="3"/>
  <c r="BL88" i="3"/>
  <c r="AG61" i="3"/>
  <c r="AG62" i="3"/>
  <c r="AJ63" i="3"/>
  <c r="AG104" i="3"/>
  <c r="AG103" i="3"/>
  <c r="AH108" i="3"/>
  <c r="AH102" i="3"/>
  <c r="AH60" i="3" s="1"/>
  <c r="AH107" i="3"/>
  <c r="BM88" i="3" l="1"/>
  <c r="BM87" i="3"/>
  <c r="BN69" i="3"/>
  <c r="BN70" i="3" s="1"/>
  <c r="BN165" i="3"/>
  <c r="BO53" i="3"/>
  <c r="BO54" i="3"/>
  <c r="BP52" i="3"/>
  <c r="BP168" i="3"/>
  <c r="BP158" i="3"/>
  <c r="BP159" i="3"/>
  <c r="BR160" i="3"/>
  <c r="BQ162" i="3"/>
  <c r="BQ161" i="3"/>
  <c r="BQ157" i="3"/>
  <c r="BO86" i="3"/>
  <c r="BO169" i="3"/>
  <c r="BO170" i="3"/>
  <c r="AH62" i="3"/>
  <c r="AI62" i="3"/>
  <c r="AI104" i="3"/>
  <c r="AH104" i="3"/>
  <c r="AK120" i="3"/>
  <c r="AK121" i="3"/>
  <c r="AP96" i="3"/>
  <c r="AN97" i="3"/>
  <c r="AN96" i="3"/>
  <c r="AO95" i="3"/>
  <c r="AO43" i="3" s="1"/>
  <c r="AJ102" i="3"/>
  <c r="AJ60" i="3" s="1"/>
  <c r="AI107" i="3"/>
  <c r="AI108" i="3"/>
  <c r="AO44" i="3" l="1"/>
  <c r="BP86" i="3"/>
  <c r="BP169" i="3"/>
  <c r="BP170" i="3"/>
  <c r="BP53" i="3"/>
  <c r="BP54" i="3"/>
  <c r="BT160" i="3"/>
  <c r="BR162" i="3"/>
  <c r="BR161" i="3"/>
  <c r="BR157" i="3"/>
  <c r="BO88" i="3"/>
  <c r="BO87" i="3"/>
  <c r="BQ52" i="3"/>
  <c r="BQ158" i="3"/>
  <c r="BQ159" i="3"/>
  <c r="BQ168" i="3"/>
  <c r="AO96" i="3"/>
  <c r="AO98" i="3"/>
  <c r="AQ96" i="3"/>
  <c r="AQ97" i="3"/>
  <c r="AQ100" i="3" l="1"/>
  <c r="BQ53" i="3"/>
  <c r="BQ54" i="3"/>
  <c r="BR52" i="3"/>
  <c r="BR158" i="3"/>
  <c r="BR159" i="3"/>
  <c r="BR168" i="3"/>
  <c r="BU160" i="3"/>
  <c r="BT162" i="3"/>
  <c r="BT161" i="3"/>
  <c r="BT157" i="3"/>
  <c r="BS157" i="3"/>
  <c r="BQ169" i="3"/>
  <c r="BQ170" i="3"/>
  <c r="BQ86" i="3"/>
  <c r="BP87" i="3"/>
  <c r="BP88" i="3"/>
  <c r="AO99" i="3"/>
  <c r="AK72" i="3"/>
  <c r="BT52" i="3" l="1"/>
  <c r="BT159" i="3"/>
  <c r="BT158" i="3"/>
  <c r="BT168" i="3"/>
  <c r="BV160" i="3"/>
  <c r="BU162" i="3"/>
  <c r="BU161" i="3"/>
  <c r="BU157" i="3"/>
  <c r="BQ88" i="3"/>
  <c r="BQ87" i="3"/>
  <c r="BS52" i="3"/>
  <c r="BS53" i="3" s="1"/>
  <c r="BS158" i="3"/>
  <c r="BS160" i="3"/>
  <c r="BS161" i="3" s="1"/>
  <c r="BR86" i="3"/>
  <c r="BR170" i="3"/>
  <c r="BR169" i="3"/>
  <c r="BS168" i="3"/>
  <c r="BR53" i="3"/>
  <c r="BR54" i="3"/>
  <c r="AS96" i="3"/>
  <c r="AL91" i="3"/>
  <c r="AL72" i="3"/>
  <c r="BT86" i="3" l="1"/>
  <c r="BT169" i="3"/>
  <c r="BT170" i="3"/>
  <c r="BW160" i="3"/>
  <c r="BV161" i="3"/>
  <c r="BV162" i="3"/>
  <c r="BV157" i="3"/>
  <c r="BR88" i="3"/>
  <c r="BR87" i="3"/>
  <c r="BU52" i="3"/>
  <c r="BU168" i="3"/>
  <c r="BU158" i="3"/>
  <c r="BU159" i="3"/>
  <c r="BS86" i="3"/>
  <c r="BS87" i="3" s="1"/>
  <c r="BS164" i="3"/>
  <c r="BS169" i="3"/>
  <c r="BT53" i="3"/>
  <c r="BT54" i="3"/>
  <c r="AL74" i="3"/>
  <c r="AU97" i="3"/>
  <c r="AU96" i="3"/>
  <c r="AM91" i="3"/>
  <c r="BU86" i="3" l="1"/>
  <c r="BU169" i="3"/>
  <c r="BU170" i="3"/>
  <c r="BY160" i="3"/>
  <c r="BW161" i="3"/>
  <c r="BW162" i="3"/>
  <c r="BW157" i="3"/>
  <c r="BU53" i="3"/>
  <c r="BU54" i="3"/>
  <c r="BV52" i="3"/>
  <c r="BV159" i="3"/>
  <c r="BV158" i="3"/>
  <c r="BV168" i="3"/>
  <c r="BS69" i="3"/>
  <c r="BS70" i="3" s="1"/>
  <c r="BS165" i="3"/>
  <c r="BT87" i="3"/>
  <c r="BT88" i="3"/>
  <c r="AM74" i="3"/>
  <c r="AV97" i="3"/>
  <c r="AV96" i="3"/>
  <c r="AN72" i="3"/>
  <c r="AN91" i="3"/>
  <c r="AT187" i="3"/>
  <c r="BV53" i="3" l="1"/>
  <c r="BV54" i="3"/>
  <c r="BZ160" i="3"/>
  <c r="BY162" i="3"/>
  <c r="BY161" i="3"/>
  <c r="BY157" i="3"/>
  <c r="BW52" i="3"/>
  <c r="BW158" i="3"/>
  <c r="BW159" i="3"/>
  <c r="BW168" i="3"/>
  <c r="BV86" i="3"/>
  <c r="BV170" i="3"/>
  <c r="BV169" i="3"/>
  <c r="BX157" i="3"/>
  <c r="BU87" i="3"/>
  <c r="BU88" i="3"/>
  <c r="AN74" i="3"/>
  <c r="AO182" i="3"/>
  <c r="AT183" i="3" s="1"/>
  <c r="AW97" i="3"/>
  <c r="AO72" i="3"/>
  <c r="BW86" i="3" l="1"/>
  <c r="BW169" i="3"/>
  <c r="BW170" i="3"/>
  <c r="BX168" i="3"/>
  <c r="BY52" i="3"/>
  <c r="BY159" i="3"/>
  <c r="BY158" i="3"/>
  <c r="BY168" i="3"/>
  <c r="CA160" i="3"/>
  <c r="BZ161" i="3"/>
  <c r="BZ162" i="3"/>
  <c r="BZ157" i="3"/>
  <c r="BV88" i="3"/>
  <c r="BV87" i="3"/>
  <c r="BX52" i="3"/>
  <c r="BX53" i="3" s="1"/>
  <c r="BX160" i="3"/>
  <c r="BX161" i="3" s="1"/>
  <c r="BX158" i="3"/>
  <c r="BW54" i="3"/>
  <c r="BW53" i="3"/>
  <c r="AY95" i="3"/>
  <c r="AY43" i="3" s="1"/>
  <c r="AX97" i="3"/>
  <c r="AX96" i="3"/>
  <c r="BX86" i="3" l="1"/>
  <c r="BX87" i="3" s="1"/>
  <c r="BX164" i="3"/>
  <c r="BX169" i="3"/>
  <c r="BY86" i="3"/>
  <c r="BY170" i="3"/>
  <c r="BY169" i="3"/>
  <c r="BY53" i="3"/>
  <c r="BY54" i="3"/>
  <c r="CB160" i="3"/>
  <c r="CA162" i="3"/>
  <c r="CA161" i="3"/>
  <c r="CA157" i="3"/>
  <c r="BZ52" i="3"/>
  <c r="BZ158" i="3"/>
  <c r="BZ168" i="3"/>
  <c r="BZ159" i="3"/>
  <c r="BW88" i="3"/>
  <c r="BW87" i="3"/>
  <c r="AY98" i="3"/>
  <c r="AZ96" i="3"/>
  <c r="AZ97" i="3"/>
  <c r="CD160" i="3" l="1"/>
  <c r="CB162" i="3"/>
  <c r="CB161" i="3"/>
  <c r="CB157" i="3"/>
  <c r="CC157" i="3" s="1"/>
  <c r="BY87" i="3"/>
  <c r="BY88" i="3"/>
  <c r="BZ53" i="3"/>
  <c r="BZ54" i="3"/>
  <c r="BX69" i="3"/>
  <c r="BX70" i="3" s="1"/>
  <c r="BX165" i="3"/>
  <c r="BZ86" i="3"/>
  <c r="BZ169" i="3"/>
  <c r="BZ170" i="3"/>
  <c r="CA52" i="3"/>
  <c r="CA168" i="3"/>
  <c r="CA159" i="3"/>
  <c r="CA158" i="3"/>
  <c r="BA97" i="3"/>
  <c r="BA96" i="3"/>
  <c r="BZ87" i="3" l="1"/>
  <c r="BZ88" i="3"/>
  <c r="CC52" i="3"/>
  <c r="CC53" i="3" s="1"/>
  <c r="CC158" i="3"/>
  <c r="CC160" i="3"/>
  <c r="CC161" i="3" s="1"/>
  <c r="CB52" i="3"/>
  <c r="CB158" i="3"/>
  <c r="CB159" i="3"/>
  <c r="CB168" i="3"/>
  <c r="CC168" i="3" s="1"/>
  <c r="CA54" i="3"/>
  <c r="CA53" i="3"/>
  <c r="CA86" i="3"/>
  <c r="CA169" i="3"/>
  <c r="CA170" i="3"/>
  <c r="CE160" i="3"/>
  <c r="CD161" i="3"/>
  <c r="CD162" i="3"/>
  <c r="CD157" i="3"/>
  <c r="BB97" i="3"/>
  <c r="BB96" i="3"/>
  <c r="CC86" i="3" l="1"/>
  <c r="CC87" i="3" s="1"/>
  <c r="CC164" i="3"/>
  <c r="CC169" i="3"/>
  <c r="CD52" i="3"/>
  <c r="CD168" i="3"/>
  <c r="CD159" i="3"/>
  <c r="CD158" i="3"/>
  <c r="CF160" i="3"/>
  <c r="CE161" i="3"/>
  <c r="CE162" i="3"/>
  <c r="CE157" i="3"/>
  <c r="CA87" i="3"/>
  <c r="CA88" i="3"/>
  <c r="CB86" i="3"/>
  <c r="CB170" i="3"/>
  <c r="CB169" i="3"/>
  <c r="CB53" i="3"/>
  <c r="CB54" i="3"/>
  <c r="BD95" i="3"/>
  <c r="BD43" i="3" s="1"/>
  <c r="BD44" i="3" s="1"/>
  <c r="BC96" i="3"/>
  <c r="BC97" i="3"/>
  <c r="CE52" i="3" l="1"/>
  <c r="CE158" i="3"/>
  <c r="CE168" i="3"/>
  <c r="CE159" i="3"/>
  <c r="CD54" i="3"/>
  <c r="CD53" i="3"/>
  <c r="CD86" i="3"/>
  <c r="CD170" i="3"/>
  <c r="CD169" i="3"/>
  <c r="CB87" i="3"/>
  <c r="CB88" i="3"/>
  <c r="CG160" i="3"/>
  <c r="CF162" i="3"/>
  <c r="CF161" i="3"/>
  <c r="CF157" i="3"/>
  <c r="CC165" i="3"/>
  <c r="CC69" i="3"/>
  <c r="CC70" i="3" s="1"/>
  <c r="BD98" i="3"/>
  <c r="BE97" i="3"/>
  <c r="BE96" i="3"/>
  <c r="BD96" i="3"/>
  <c r="CD87" i="3" l="1"/>
  <c r="CD88" i="3"/>
  <c r="CF52" i="3"/>
  <c r="CF158" i="3"/>
  <c r="CF159" i="3"/>
  <c r="CF168" i="3"/>
  <c r="CE86" i="3"/>
  <c r="CE169" i="3"/>
  <c r="CE170" i="3"/>
  <c r="CI160" i="3"/>
  <c r="CG162" i="3"/>
  <c r="CG161" i="3"/>
  <c r="CG157" i="3"/>
  <c r="CE53" i="3"/>
  <c r="CE54" i="3"/>
  <c r="BD99" i="3"/>
  <c r="BF96" i="3"/>
  <c r="BF97" i="3"/>
  <c r="CJ160" i="3" l="1"/>
  <c r="CI162" i="3"/>
  <c r="CI161" i="3"/>
  <c r="CI157" i="3"/>
  <c r="CF86" i="3"/>
  <c r="CF170" i="3"/>
  <c r="CF169" i="3"/>
  <c r="CE87" i="3"/>
  <c r="CE88" i="3"/>
  <c r="CF53" i="3"/>
  <c r="CF54" i="3"/>
  <c r="CG52" i="3"/>
  <c r="CG159" i="3"/>
  <c r="CG168" i="3"/>
  <c r="CH168" i="3" s="1"/>
  <c r="CG158" i="3"/>
  <c r="CH157" i="3"/>
  <c r="BG97" i="3"/>
  <c r="BG96" i="3"/>
  <c r="CH86" i="3" l="1"/>
  <c r="CH87" i="3" s="1"/>
  <c r="CH169" i="3"/>
  <c r="CH164" i="3"/>
  <c r="CF88" i="3"/>
  <c r="CF87" i="3"/>
  <c r="CI52" i="3"/>
  <c r="CI159" i="3"/>
  <c r="CI158" i="3"/>
  <c r="CI168" i="3"/>
  <c r="CH160" i="3"/>
  <c r="CH161" i="3" s="1"/>
  <c r="CH52" i="3"/>
  <c r="CH53" i="3" s="1"/>
  <c r="CH158" i="3"/>
  <c r="CG86" i="3"/>
  <c r="CG170" i="3"/>
  <c r="CG169" i="3"/>
  <c r="CG53" i="3"/>
  <c r="CG54" i="3"/>
  <c r="CK160" i="3"/>
  <c r="CJ162" i="3"/>
  <c r="CJ161" i="3"/>
  <c r="CJ157" i="3"/>
  <c r="BH97" i="3"/>
  <c r="BH96" i="3"/>
  <c r="BI95" i="3"/>
  <c r="BI43" i="3" s="1"/>
  <c r="BI44" i="3" l="1"/>
  <c r="CI86" i="3"/>
  <c r="CI169" i="3"/>
  <c r="CI170" i="3"/>
  <c r="CL160" i="3"/>
  <c r="CK162" i="3"/>
  <c r="CK161" i="3"/>
  <c r="CK157" i="3"/>
  <c r="CH165" i="3"/>
  <c r="CH69" i="3"/>
  <c r="CH70" i="3" s="1"/>
  <c r="CG87" i="3"/>
  <c r="CG88" i="3"/>
  <c r="CJ52" i="3"/>
  <c r="CJ158" i="3"/>
  <c r="CJ168" i="3"/>
  <c r="CJ159" i="3"/>
  <c r="CI53" i="3"/>
  <c r="CI54" i="3"/>
  <c r="BI98" i="3"/>
  <c r="BJ96" i="3"/>
  <c r="BJ97" i="3"/>
  <c r="BI96" i="3"/>
  <c r="CJ86" i="3" l="1"/>
  <c r="CJ169" i="3"/>
  <c r="CJ170" i="3"/>
  <c r="CI88" i="3"/>
  <c r="CI87" i="3"/>
  <c r="CK52" i="3"/>
  <c r="CK159" i="3"/>
  <c r="CK158" i="3"/>
  <c r="CK168" i="3"/>
  <c r="CJ53" i="3"/>
  <c r="CJ54" i="3"/>
  <c r="CL162" i="3"/>
  <c r="CL161" i="3"/>
  <c r="CL157" i="3"/>
  <c r="CM157" i="3" s="1"/>
  <c r="BI99" i="3"/>
  <c r="BK96" i="3"/>
  <c r="BK97" i="3"/>
  <c r="CM52" i="3" l="1"/>
  <c r="CM53" i="3" s="1"/>
  <c r="CM158" i="3"/>
  <c r="CM160" i="3"/>
  <c r="CM161" i="3" s="1"/>
  <c r="CL52" i="3"/>
  <c r="CL168" i="3"/>
  <c r="CL159" i="3"/>
  <c r="CL158" i="3"/>
  <c r="CK86" i="3"/>
  <c r="CK170" i="3"/>
  <c r="CK169" i="3"/>
  <c r="CK54" i="3"/>
  <c r="CK53" i="3"/>
  <c r="CJ87" i="3"/>
  <c r="CJ88" i="3"/>
  <c r="BL97" i="3"/>
  <c r="BL96" i="3"/>
  <c r="CK88" i="3" l="1"/>
  <c r="CK87" i="3"/>
  <c r="CL53" i="3"/>
  <c r="CL54" i="3"/>
  <c r="CL86" i="3"/>
  <c r="CL170" i="3"/>
  <c r="CL169" i="3"/>
  <c r="CM168" i="3"/>
  <c r="BN95" i="3"/>
  <c r="BN43" i="3" s="1"/>
  <c r="BM96" i="3"/>
  <c r="BM97" i="3"/>
  <c r="CM86" i="3" l="1"/>
  <c r="CM87" i="3" s="1"/>
  <c r="CM169" i="3"/>
  <c r="CM164" i="3"/>
  <c r="CL88" i="3"/>
  <c r="CL87" i="3"/>
  <c r="BN44" i="3"/>
  <c r="BS44" i="3"/>
  <c r="BN98" i="3"/>
  <c r="BO97" i="3"/>
  <c r="BO96" i="3"/>
  <c r="BN96" i="3"/>
  <c r="CM69" i="3" l="1"/>
  <c r="CM70" i="3" s="1"/>
  <c r="CM165" i="3"/>
  <c r="BN99" i="3"/>
  <c r="BS99" i="3"/>
  <c r="BP97" i="3"/>
  <c r="BP96" i="3"/>
  <c r="BQ97" i="3" l="1"/>
  <c r="BQ96" i="3"/>
  <c r="BS96" i="3" l="1"/>
  <c r="BR96" i="3"/>
  <c r="BR97" i="3"/>
  <c r="BT97" i="3" l="1"/>
  <c r="BT96" i="3"/>
  <c r="BU97" i="3" l="1"/>
  <c r="BU96" i="3"/>
  <c r="BV97" i="3" l="1"/>
  <c r="BV96" i="3"/>
  <c r="BY96" i="3" l="1"/>
  <c r="BZ96" i="3" l="1"/>
  <c r="BZ97" i="3"/>
  <c r="CA96" i="3" l="1"/>
  <c r="CA97" i="3"/>
  <c r="CD96" i="3" l="1"/>
  <c r="CE97" i="3" l="1"/>
  <c r="CE96" i="3"/>
  <c r="CF96" i="3" l="1"/>
  <c r="CF97" i="3"/>
  <c r="CG97" i="3" l="1"/>
  <c r="CH95" i="3"/>
  <c r="CH43" i="3" s="1"/>
  <c r="CH98" i="3" l="1"/>
  <c r="CI97" i="3"/>
  <c r="CI96" i="3"/>
  <c r="CJ97" i="3" l="1"/>
  <c r="CJ96" i="3"/>
  <c r="CK96" i="3" l="1"/>
  <c r="CK97" i="3"/>
  <c r="CL97" i="3" l="1"/>
  <c r="CL96" i="3"/>
  <c r="CM95" i="3"/>
  <c r="CM43" i="3" s="1"/>
  <c r="CM44" i="3" s="1"/>
  <c r="CM98" i="3" l="1"/>
  <c r="CM96" i="3"/>
  <c r="CM99" i="3" l="1"/>
  <c r="AN65" i="8" l="1"/>
  <c r="AP62" i="8" s="1"/>
  <c r="AP63" i="8" s="1"/>
  <c r="AN58" i="8"/>
  <c r="AP55" i="8" s="1"/>
  <c r="AP56" i="8" s="1"/>
  <c r="AN50" i="8"/>
  <c r="AP46" i="8" s="1"/>
  <c r="AP47" i="8" s="1"/>
  <c r="AN41" i="8"/>
  <c r="AN35" i="8"/>
  <c r="AP37" i="8" s="1"/>
  <c r="AN8" i="8"/>
  <c r="AO51" i="5"/>
  <c r="AO40" i="5"/>
  <c r="AO41" i="5" s="1"/>
  <c r="AO31" i="5"/>
  <c r="AO32" i="5" s="1"/>
  <c r="AO23" i="5"/>
  <c r="AO16" i="5"/>
  <c r="AN32" i="4"/>
  <c r="AN39" i="8" s="1"/>
  <c r="AN26" i="4"/>
  <c r="AN18" i="4"/>
  <c r="AN19" i="4" s="1"/>
  <c r="AN9" i="4"/>
  <c r="AN12" i="4"/>
  <c r="AN29" i="2"/>
  <c r="AO29" i="2" s="1"/>
  <c r="AN15" i="2"/>
  <c r="AN14" i="2"/>
  <c r="AN13" i="2"/>
  <c r="AN9" i="2"/>
  <c r="AN8" i="2"/>
  <c r="AN10" i="2" l="1"/>
  <c r="AS46" i="2" s="1"/>
  <c r="AN63" i="2"/>
  <c r="AN49" i="2"/>
  <c r="AN50" i="2"/>
  <c r="AN64" i="2"/>
  <c r="AO24" i="5"/>
  <c r="AN62" i="2"/>
  <c r="AN16" i="2"/>
  <c r="AN65" i="2" s="1"/>
  <c r="AN43" i="8"/>
  <c r="AO14" i="2"/>
  <c r="AN33" i="8"/>
  <c r="AO49" i="2" l="1"/>
  <c r="AN11" i="2"/>
  <c r="AS47" i="2" s="1"/>
  <c r="AX13" i="2"/>
  <c r="AX15" i="2"/>
  <c r="AN17" i="2" l="1"/>
  <c r="AS52" i="2" s="1"/>
  <c r="AN21" i="2"/>
  <c r="AN60" i="2"/>
  <c r="AS61" i="2" s="1"/>
  <c r="AN69" i="8"/>
  <c r="AN66" i="2"/>
  <c r="AS67" i="2" s="1"/>
  <c r="BC15" i="2"/>
  <c r="BC13" i="2"/>
  <c r="AN71" i="2" l="1"/>
  <c r="AS54" i="2"/>
  <c r="AN24" i="2"/>
  <c r="AS55" i="2" s="1"/>
  <c r="BH13" i="2"/>
  <c r="BH15" i="2"/>
  <c r="AN72" i="2" l="1"/>
  <c r="BM15" i="2"/>
  <c r="BM13" i="2"/>
  <c r="BR13" i="2" l="1"/>
  <c r="BR15" i="2"/>
  <c r="BW15" i="2" l="1"/>
  <c r="BW13" i="2"/>
  <c r="AU330" i="3"/>
  <c r="AV330" i="3" s="1"/>
  <c r="CB13" i="2" l="1"/>
  <c r="CB15" i="2"/>
  <c r="AW330" i="3"/>
  <c r="AX330" i="3" s="1"/>
  <c r="CG15" i="2" l="1"/>
  <c r="CG13" i="2"/>
  <c r="AZ330" i="3"/>
  <c r="AY330" i="3"/>
  <c r="CL13" i="2" l="1"/>
  <c r="CL15" i="2"/>
  <c r="BA330" i="3"/>
  <c r="T18" i="8"/>
  <c r="AE17" i="8"/>
  <c r="AT330" i="3"/>
  <c r="AT326" i="3"/>
  <c r="AT322" i="3"/>
  <c r="AT320" i="3"/>
  <c r="AT318" i="3"/>
  <c r="AT308" i="3"/>
  <c r="AN306" i="3"/>
  <c r="AL306" i="3"/>
  <c r="AK306" i="3"/>
  <c r="AZ50" i="5"/>
  <c r="BE50" i="5" s="1"/>
  <c r="BJ50" i="5" s="1"/>
  <c r="BO50" i="5" s="1"/>
  <c r="BT50" i="5" s="1"/>
  <c r="BY50" i="5" s="1"/>
  <c r="CD50" i="5" s="1"/>
  <c r="CI50" i="5" s="1"/>
  <c r="AQ50" i="5"/>
  <c r="BA50" i="5" l="1"/>
  <c r="BF50" i="5" s="1"/>
  <c r="BK50" i="5" s="1"/>
  <c r="BP50" i="5" s="1"/>
  <c r="BU50" i="5" s="1"/>
  <c r="BZ50" i="5" s="1"/>
  <c r="CE50" i="5" s="1"/>
  <c r="CJ50" i="5" s="1"/>
  <c r="AR50" i="5"/>
  <c r="BB330" i="3"/>
  <c r="AO306" i="3"/>
  <c r="U18" i="8"/>
  <c r="AO50" i="5"/>
  <c r="BC330" i="3" l="1"/>
  <c r="BD330" i="3" s="1"/>
  <c r="AQ306" i="3"/>
  <c r="BC50" i="5"/>
  <c r="BH50" i="5" s="1"/>
  <c r="BM50" i="5" s="1"/>
  <c r="BR50" i="5" s="1"/>
  <c r="BW50" i="5" s="1"/>
  <c r="CB50" i="5" s="1"/>
  <c r="CG50" i="5" s="1"/>
  <c r="CL50" i="5" s="1"/>
  <c r="AM65" i="8"/>
  <c r="AM58" i="8"/>
  <c r="AM50" i="8"/>
  <c r="AM41" i="8"/>
  <c r="AM35" i="8"/>
  <c r="AM8" i="8"/>
  <c r="AM30" i="5"/>
  <c r="AM59" i="4"/>
  <c r="AN56" i="4" s="1"/>
  <c r="AN57" i="4" s="1"/>
  <c r="AM12" i="4"/>
  <c r="AM32" i="4"/>
  <c r="AM34" i="4"/>
  <c r="AM26" i="4"/>
  <c r="AL26" i="4"/>
  <c r="AM18" i="4"/>
  <c r="AM19" i="4" s="1"/>
  <c r="AM9" i="4"/>
  <c r="AM20" i="2"/>
  <c r="AM15" i="2"/>
  <c r="AM8" i="2"/>
  <c r="AM10" i="2" s="1"/>
  <c r="AT15" i="2" l="1"/>
  <c r="AR50" i="2"/>
  <c r="BB50" i="5"/>
  <c r="BG50" i="5" s="1"/>
  <c r="BL50" i="5" s="1"/>
  <c r="BQ50" i="5" s="1"/>
  <c r="BV50" i="5" s="1"/>
  <c r="CA50" i="5" s="1"/>
  <c r="CF50" i="5" s="1"/>
  <c r="CK50" i="5" s="1"/>
  <c r="AM50" i="2"/>
  <c r="AM39" i="8"/>
  <c r="AM93" i="4"/>
  <c r="AM102" i="4"/>
  <c r="AM64" i="2"/>
  <c r="AM16" i="2"/>
  <c r="AM43" i="8"/>
  <c r="AO15" i="2"/>
  <c r="AY50" i="5"/>
  <c r="BI50" i="5"/>
  <c r="BN50" i="5" s="1"/>
  <c r="BS50" i="5" s="1"/>
  <c r="BX50" i="5" s="1"/>
  <c r="CC50" i="5" s="1"/>
  <c r="CH50" i="5" s="1"/>
  <c r="CM50" i="5" s="1"/>
  <c r="BD50" i="5"/>
  <c r="AM33" i="8"/>
  <c r="AM13" i="8" s="1"/>
  <c r="AT50" i="5"/>
  <c r="AN37" i="8"/>
  <c r="AR306" i="3"/>
  <c r="AS306" i="3" s="1"/>
  <c r="AM51" i="2" l="1"/>
  <c r="AM65" i="2"/>
  <c r="AO50" i="2"/>
  <c r="AM11" i="2"/>
  <c r="AW15" i="2"/>
  <c r="AY15" i="2" s="1"/>
  <c r="AT50" i="2"/>
  <c r="AT306" i="3"/>
  <c r="AM60" i="2" l="1"/>
  <c r="AR61" i="2" s="1"/>
  <c r="AM17" i="2"/>
  <c r="AM69" i="8" s="1"/>
  <c r="BB15" i="2"/>
  <c r="AY50" i="2"/>
  <c r="F41" i="8"/>
  <c r="F15" i="8" s="1"/>
  <c r="I36" i="8"/>
  <c r="J35" i="8"/>
  <c r="I35" i="8"/>
  <c r="E35" i="8"/>
  <c r="F8" i="8"/>
  <c r="H8" i="8"/>
  <c r="G8" i="8"/>
  <c r="AL44" i="5"/>
  <c r="AM44" i="5" s="1"/>
  <c r="AL36" i="5"/>
  <c r="AM36" i="5" s="1"/>
  <c r="AL35" i="5"/>
  <c r="AL28" i="5"/>
  <c r="AM28" i="5" s="1"/>
  <c r="AL29" i="5"/>
  <c r="AM29" i="5" s="1"/>
  <c r="AM48" i="8" s="1"/>
  <c r="AL14" i="5"/>
  <c r="AM14" i="5" s="1"/>
  <c r="AL22" i="5"/>
  <c r="AL21" i="5"/>
  <c r="AM21" i="5" s="1"/>
  <c r="AL20" i="5"/>
  <c r="AM20" i="5" s="1"/>
  <c r="AL19" i="5"/>
  <c r="AM19" i="5" s="1"/>
  <c r="AL13" i="5"/>
  <c r="AM13" i="5" s="1"/>
  <c r="AL10" i="5"/>
  <c r="AM10" i="5" s="1"/>
  <c r="AM9" i="5"/>
  <c r="AL8" i="5"/>
  <c r="AL75" i="5"/>
  <c r="AL72" i="5"/>
  <c r="AK40" i="5"/>
  <c r="AL40" i="5" s="1"/>
  <c r="AM40" i="5" s="1"/>
  <c r="AK31" i="5"/>
  <c r="AL31" i="5" s="1"/>
  <c r="AM31" i="5" s="1"/>
  <c r="AK16" i="5"/>
  <c r="AK23" i="5"/>
  <c r="AL23" i="5" s="1"/>
  <c r="AM23" i="5" s="1"/>
  <c r="AJ50" i="5"/>
  <c r="AJ76" i="5"/>
  <c r="AJ51" i="5"/>
  <c r="AJ40" i="5"/>
  <c r="AJ41" i="5" s="1"/>
  <c r="AJ31" i="5"/>
  <c r="AJ32" i="5" s="1"/>
  <c r="AJ23" i="5"/>
  <c r="AJ16" i="5"/>
  <c r="AG75" i="5"/>
  <c r="AH75" i="5" s="1"/>
  <c r="AG44" i="5"/>
  <c r="AH44" i="5" s="1"/>
  <c r="AG37" i="5"/>
  <c r="AH37" i="5" s="1"/>
  <c r="AG36" i="5"/>
  <c r="AH36" i="5" s="1"/>
  <c r="AG35" i="5"/>
  <c r="AH35" i="5" s="1"/>
  <c r="AG39" i="5"/>
  <c r="AH39" i="5" s="1"/>
  <c r="AG38" i="5"/>
  <c r="AH38" i="5" s="1"/>
  <c r="AG30" i="5"/>
  <c r="AH30" i="5" s="1"/>
  <c r="AG29" i="5"/>
  <c r="AH29" i="5" s="1"/>
  <c r="AG28" i="5"/>
  <c r="AH28" i="5" s="1"/>
  <c r="AG27" i="5"/>
  <c r="AH27" i="5" s="1"/>
  <c r="AG22" i="5"/>
  <c r="AH22" i="5" s="1"/>
  <c r="AG21" i="5"/>
  <c r="AH21" i="5" s="1"/>
  <c r="AG20" i="5"/>
  <c r="AH20" i="5" s="1"/>
  <c r="AG19" i="5"/>
  <c r="AH19" i="5" s="1"/>
  <c r="AG13" i="5"/>
  <c r="AH13" i="5" s="1"/>
  <c r="AG15" i="5"/>
  <c r="AH15" i="5" s="1"/>
  <c r="AG14" i="5"/>
  <c r="AH14" i="5" s="1"/>
  <c r="AG12" i="5"/>
  <c r="AH12" i="5" s="1"/>
  <c r="AG11" i="5"/>
  <c r="AH11" i="5" s="1"/>
  <c r="AG10" i="5"/>
  <c r="AH10" i="5" s="1"/>
  <c r="AG9" i="5"/>
  <c r="AH9" i="5" s="1"/>
  <c r="AG8" i="5"/>
  <c r="AG72" i="5"/>
  <c r="AF40" i="5"/>
  <c r="AG40" i="5" s="1"/>
  <c r="AH40" i="5" s="1"/>
  <c r="AF31" i="5"/>
  <c r="AG31" i="5" s="1"/>
  <c r="AH31" i="5" s="1"/>
  <c r="AF23" i="5"/>
  <c r="AG23" i="5" s="1"/>
  <c r="AH23" i="5" s="1"/>
  <c r="AF16" i="5"/>
  <c r="AK57" i="5"/>
  <c r="AF57" i="5"/>
  <c r="AA57" i="5"/>
  <c r="Z57" i="5"/>
  <c r="AE66" i="5"/>
  <c r="AE50" i="5"/>
  <c r="AE51" i="5"/>
  <c r="AE76" i="5"/>
  <c r="AE40" i="5"/>
  <c r="AE41" i="5" s="1"/>
  <c r="AE31" i="5"/>
  <c r="AE23" i="5"/>
  <c r="AE16" i="5"/>
  <c r="AB44" i="5"/>
  <c r="AC44" i="5" s="1"/>
  <c r="AB36" i="5"/>
  <c r="AC36" i="5" s="1"/>
  <c r="AB29" i="5"/>
  <c r="AC29" i="5" s="1"/>
  <c r="AB28" i="5"/>
  <c r="AC28" i="5" s="1"/>
  <c r="AB27" i="5"/>
  <c r="AC27" i="5" s="1"/>
  <c r="AB21" i="5"/>
  <c r="AC21" i="5" s="1"/>
  <c r="AB20" i="5"/>
  <c r="AC20" i="5" s="1"/>
  <c r="AB19" i="5"/>
  <c r="AC19" i="5" s="1"/>
  <c r="AB13" i="5"/>
  <c r="AC13" i="5" s="1"/>
  <c r="AB9" i="5"/>
  <c r="AC9" i="5" s="1"/>
  <c r="AD9" i="5" s="1"/>
  <c r="AB8" i="5"/>
  <c r="AB75" i="5"/>
  <c r="AC75" i="5" s="1"/>
  <c r="AD75" i="5" s="1"/>
  <c r="AB72" i="5"/>
  <c r="AC72" i="5" s="1"/>
  <c r="AD72" i="5" s="1"/>
  <c r="AA40" i="5"/>
  <c r="AB40" i="5" s="1"/>
  <c r="AC40" i="5" s="1"/>
  <c r="AA31" i="5"/>
  <c r="AB31" i="5" s="1"/>
  <c r="AC31" i="5" s="1"/>
  <c r="AA23" i="5"/>
  <c r="AB23" i="5" s="1"/>
  <c r="AC23" i="5" s="1"/>
  <c r="AA22" i="5"/>
  <c r="AB22" i="5" s="1"/>
  <c r="AC22" i="5" s="1"/>
  <c r="AA16" i="5"/>
  <c r="Z50" i="5"/>
  <c r="Z40" i="5"/>
  <c r="Z41" i="5" s="1"/>
  <c r="Z31" i="5"/>
  <c r="Z32" i="5" s="1"/>
  <c r="Z23" i="5"/>
  <c r="Z22" i="5"/>
  <c r="Z16" i="5"/>
  <c r="W51" i="5"/>
  <c r="W44" i="5"/>
  <c r="X44" i="5" s="1"/>
  <c r="W36" i="5"/>
  <c r="X36" i="5" s="1"/>
  <c r="W29" i="5"/>
  <c r="X29" i="5" s="1"/>
  <c r="W27" i="5"/>
  <c r="X27" i="5" s="1"/>
  <c r="W21" i="5"/>
  <c r="X21" i="5" s="1"/>
  <c r="W20" i="5"/>
  <c r="X20" i="5" s="1"/>
  <c r="Y20" i="5" s="1"/>
  <c r="W19" i="5"/>
  <c r="X19" i="5" s="1"/>
  <c r="Y19" i="5" s="1"/>
  <c r="W13" i="5"/>
  <c r="X13" i="5" s="1"/>
  <c r="W9" i="5"/>
  <c r="X9" i="5" s="1"/>
  <c r="W8" i="5"/>
  <c r="Z76" i="5"/>
  <c r="W75" i="5"/>
  <c r="W72" i="5"/>
  <c r="X72" i="5" s="1"/>
  <c r="Y72" i="5" s="1"/>
  <c r="V40" i="5"/>
  <c r="W40" i="5" s="1"/>
  <c r="X40" i="5" s="1"/>
  <c r="V31" i="5"/>
  <c r="W31" i="5" s="1"/>
  <c r="X31" i="5" s="1"/>
  <c r="V23" i="5"/>
  <c r="W23" i="5" s="1"/>
  <c r="X23" i="5" s="1"/>
  <c r="V22" i="5"/>
  <c r="W22" i="5" s="1"/>
  <c r="X22" i="5" s="1"/>
  <c r="V16" i="5"/>
  <c r="U50" i="5"/>
  <c r="U40" i="5"/>
  <c r="U36" i="5"/>
  <c r="U31" i="5"/>
  <c r="U32" i="5" s="1"/>
  <c r="U23" i="5"/>
  <c r="U22" i="5"/>
  <c r="U16" i="5"/>
  <c r="R75" i="5"/>
  <c r="S75" i="5" s="1"/>
  <c r="T75" i="5" s="1"/>
  <c r="R72" i="5"/>
  <c r="R44" i="5"/>
  <c r="S44" i="5" s="1"/>
  <c r="R37" i="5"/>
  <c r="S37" i="5" s="1"/>
  <c r="T37" i="5" s="1"/>
  <c r="R36" i="5"/>
  <c r="S36" i="5" s="1"/>
  <c r="R35" i="5"/>
  <c r="S35" i="5" s="1"/>
  <c r="T35" i="5" s="1"/>
  <c r="R29" i="5"/>
  <c r="S29" i="5" s="1"/>
  <c r="R28" i="5"/>
  <c r="S28" i="5" s="1"/>
  <c r="T28" i="5" s="1"/>
  <c r="R27" i="5"/>
  <c r="S27" i="5" s="1"/>
  <c r="R21" i="5"/>
  <c r="S21" i="5" s="1"/>
  <c r="R20" i="5"/>
  <c r="S20" i="5" s="1"/>
  <c r="T20" i="5" s="1"/>
  <c r="R19" i="5"/>
  <c r="S19" i="5" s="1"/>
  <c r="R13" i="5"/>
  <c r="S13" i="5" s="1"/>
  <c r="T13" i="5" s="1"/>
  <c r="R9" i="5"/>
  <c r="S9" i="5" s="1"/>
  <c r="R8" i="5"/>
  <c r="U76" i="5"/>
  <c r="Q76" i="5"/>
  <c r="U73" i="5"/>
  <c r="Q73" i="5"/>
  <c r="Q40" i="5"/>
  <c r="R40" i="5" s="1"/>
  <c r="S40" i="5" s="1"/>
  <c r="Q31" i="5"/>
  <c r="R31" i="5" s="1"/>
  <c r="S31" i="5" s="1"/>
  <c r="Q23" i="5"/>
  <c r="Q22" i="5"/>
  <c r="R22" i="5" s="1"/>
  <c r="S22" i="5" s="1"/>
  <c r="Q16" i="5"/>
  <c r="AB39" i="5"/>
  <c r="AC39" i="5" s="1"/>
  <c r="AB38" i="5"/>
  <c r="AC38" i="5" s="1"/>
  <c r="AB37" i="5"/>
  <c r="AC37" i="5" s="1"/>
  <c r="AB35" i="5"/>
  <c r="AC35" i="5" s="1"/>
  <c r="W39" i="5"/>
  <c r="X39" i="5" s="1"/>
  <c r="W38" i="5"/>
  <c r="X38" i="5" s="1"/>
  <c r="W37" i="5"/>
  <c r="X37" i="5" s="1"/>
  <c r="W35" i="5"/>
  <c r="X35" i="5" s="1"/>
  <c r="R39" i="5"/>
  <c r="S39" i="5" s="1"/>
  <c r="T39" i="5" s="1"/>
  <c r="R38" i="5"/>
  <c r="S38" i="5" s="1"/>
  <c r="T38" i="5" s="1"/>
  <c r="AB30" i="5"/>
  <c r="AC30" i="5" s="1"/>
  <c r="W30" i="5"/>
  <c r="X30" i="5" s="1"/>
  <c r="Y30" i="5" s="1"/>
  <c r="W28" i="5"/>
  <c r="X28" i="5" s="1"/>
  <c r="R30" i="5"/>
  <c r="S30" i="5" s="1"/>
  <c r="T30" i="5" s="1"/>
  <c r="AB15" i="5"/>
  <c r="AC15" i="5" s="1"/>
  <c r="AB14" i="5"/>
  <c r="AC14" i="5" s="1"/>
  <c r="AB12" i="5"/>
  <c r="AC12" i="5" s="1"/>
  <c r="AB11" i="5"/>
  <c r="AC11" i="5" s="1"/>
  <c r="AB10" i="5"/>
  <c r="AC10" i="5" s="1"/>
  <c r="AC57" i="5" s="1"/>
  <c r="W15" i="5"/>
  <c r="X15" i="5" s="1"/>
  <c r="Y15" i="5" s="1"/>
  <c r="W14" i="5"/>
  <c r="X14" i="5" s="1"/>
  <c r="W12" i="5"/>
  <c r="W11" i="5"/>
  <c r="X11" i="5" s="1"/>
  <c r="Y11" i="5" s="1"/>
  <c r="W10" i="5"/>
  <c r="X10" i="5" s="1"/>
  <c r="R15" i="5"/>
  <c r="S15" i="5" s="1"/>
  <c r="T15" i="5" s="1"/>
  <c r="R14" i="5"/>
  <c r="S14" i="5" s="1"/>
  <c r="T14" i="5" s="1"/>
  <c r="R12" i="5"/>
  <c r="S12" i="5" s="1"/>
  <c r="T12" i="5" s="1"/>
  <c r="R11" i="5"/>
  <c r="S11" i="5" s="1"/>
  <c r="R10" i="5"/>
  <c r="S10" i="5" s="1"/>
  <c r="T10" i="5" s="1"/>
  <c r="P73" i="5"/>
  <c r="P50" i="5"/>
  <c r="P40" i="5"/>
  <c r="P41" i="5" s="1"/>
  <c r="P31" i="5"/>
  <c r="P32" i="5" s="1"/>
  <c r="P23" i="5"/>
  <c r="P22" i="5"/>
  <c r="P16" i="5"/>
  <c r="M75" i="5"/>
  <c r="N75" i="5" s="1"/>
  <c r="O75" i="5" s="1"/>
  <c r="M72" i="5"/>
  <c r="H75" i="5"/>
  <c r="I75" i="5" s="1"/>
  <c r="J75" i="5" s="1"/>
  <c r="H72" i="5"/>
  <c r="I72" i="5" s="1"/>
  <c r="I44" i="5"/>
  <c r="J44" i="5" s="1"/>
  <c r="M44" i="5"/>
  <c r="N44" i="5" s="1"/>
  <c r="M37" i="5"/>
  <c r="N37" i="5" s="1"/>
  <c r="O37" i="5" s="1"/>
  <c r="M36" i="5"/>
  <c r="N36" i="5" s="1"/>
  <c r="M39" i="5"/>
  <c r="N39" i="5" s="1"/>
  <c r="O39" i="5" s="1"/>
  <c r="M38" i="5"/>
  <c r="N38" i="5" s="1"/>
  <c r="O38" i="5" s="1"/>
  <c r="M35" i="5"/>
  <c r="N35" i="5" s="1"/>
  <c r="M29" i="5"/>
  <c r="N29" i="5" s="1"/>
  <c r="O29" i="5" s="1"/>
  <c r="M27" i="5"/>
  <c r="N27" i="5" s="1"/>
  <c r="M30" i="5"/>
  <c r="N30" i="5" s="1"/>
  <c r="M28" i="5"/>
  <c r="N28" i="5" s="1"/>
  <c r="O28" i="5" s="1"/>
  <c r="M21" i="5"/>
  <c r="N21" i="5" s="1"/>
  <c r="O21" i="5" s="1"/>
  <c r="M20" i="5"/>
  <c r="N20" i="5" s="1"/>
  <c r="M19" i="5"/>
  <c r="N19" i="5" s="1"/>
  <c r="O19" i="5" s="1"/>
  <c r="M13" i="5"/>
  <c r="N13" i="5" s="1"/>
  <c r="O13" i="5" s="1"/>
  <c r="M9" i="5"/>
  <c r="M15" i="5"/>
  <c r="N15" i="5" s="1"/>
  <c r="O15" i="5" s="1"/>
  <c r="M14" i="5"/>
  <c r="N14" i="5" s="1"/>
  <c r="O14" i="5" s="1"/>
  <c r="M12" i="5"/>
  <c r="N12" i="5" s="1"/>
  <c r="O12" i="5" s="1"/>
  <c r="M11" i="5"/>
  <c r="N11" i="5" s="1"/>
  <c r="O11" i="5" s="1"/>
  <c r="M10" i="5"/>
  <c r="N10" i="5" s="1"/>
  <c r="M8" i="5"/>
  <c r="L73" i="5"/>
  <c r="G69" i="5"/>
  <c r="E75" i="5"/>
  <c r="E72" i="5"/>
  <c r="E44" i="5"/>
  <c r="E39" i="5"/>
  <c r="E38" i="5"/>
  <c r="E35" i="5"/>
  <c r="F37" i="5"/>
  <c r="F69" i="5" s="1"/>
  <c r="F40" i="5"/>
  <c r="F36" i="5"/>
  <c r="E30" i="5"/>
  <c r="E29" i="5"/>
  <c r="E28" i="5"/>
  <c r="E27" i="5"/>
  <c r="F31" i="5"/>
  <c r="F32" i="5" s="1"/>
  <c r="E21" i="5"/>
  <c r="E20" i="5"/>
  <c r="E13" i="5"/>
  <c r="E19" i="5"/>
  <c r="E15" i="5"/>
  <c r="E14" i="5"/>
  <c r="E12" i="5"/>
  <c r="E11" i="5"/>
  <c r="E10" i="5"/>
  <c r="E9" i="5"/>
  <c r="E42" i="2" s="1"/>
  <c r="E8" i="5"/>
  <c r="F23" i="5"/>
  <c r="F22" i="5"/>
  <c r="F16" i="5"/>
  <c r="D37" i="5"/>
  <c r="D69" i="5" s="1"/>
  <c r="D40" i="5"/>
  <c r="D36" i="5"/>
  <c r="D31" i="5"/>
  <c r="D23" i="5"/>
  <c r="D22" i="5"/>
  <c r="D16" i="5"/>
  <c r="F58" i="5"/>
  <c r="F57" i="5"/>
  <c r="K51" i="5"/>
  <c r="H39" i="5"/>
  <c r="I39" i="5" s="1"/>
  <c r="H38" i="5"/>
  <c r="I38" i="5" s="1"/>
  <c r="J38" i="5" s="1"/>
  <c r="H37" i="5"/>
  <c r="H69" i="5" s="1"/>
  <c r="H36" i="5"/>
  <c r="H35" i="5"/>
  <c r="G40" i="5"/>
  <c r="H40" i="5" s="1"/>
  <c r="I40" i="5" s="1"/>
  <c r="H30" i="5"/>
  <c r="H29" i="5"/>
  <c r="H28" i="5"/>
  <c r="I28" i="5" s="1"/>
  <c r="H27" i="5"/>
  <c r="I27" i="5" s="1"/>
  <c r="L40" i="5"/>
  <c r="M40" i="5" s="1"/>
  <c r="N40" i="5" s="1"/>
  <c r="G31" i="5"/>
  <c r="H31" i="5" s="1"/>
  <c r="I31" i="5" s="1"/>
  <c r="L31" i="5"/>
  <c r="L32" i="5" s="1"/>
  <c r="H15" i="5"/>
  <c r="I15" i="5" s="1"/>
  <c r="H14" i="5"/>
  <c r="I14" i="5" s="1"/>
  <c r="H12" i="5"/>
  <c r="H11" i="5"/>
  <c r="H13" i="5"/>
  <c r="I13" i="5" s="1"/>
  <c r="H21" i="5"/>
  <c r="I21" i="5" s="1"/>
  <c r="H20" i="5"/>
  <c r="I20" i="5" s="1"/>
  <c r="H19" i="5"/>
  <c r="I19" i="5" s="1"/>
  <c r="H10" i="5"/>
  <c r="H9" i="5"/>
  <c r="H8" i="5"/>
  <c r="G23" i="5"/>
  <c r="H23" i="5" s="1"/>
  <c r="I23" i="5" s="1"/>
  <c r="G22" i="5"/>
  <c r="H22" i="5" s="1"/>
  <c r="I22" i="5" s="1"/>
  <c r="L23" i="5"/>
  <c r="M23" i="5" s="1"/>
  <c r="N23" i="5" s="1"/>
  <c r="L22" i="5"/>
  <c r="M22" i="5" s="1"/>
  <c r="N22" i="5" s="1"/>
  <c r="G16" i="5"/>
  <c r="L16" i="5"/>
  <c r="AE24" i="5" l="1"/>
  <c r="F24" i="5"/>
  <c r="F62" i="5" s="1"/>
  <c r="F66" i="5" s="1"/>
  <c r="D24" i="5"/>
  <c r="D62" i="5" s="1"/>
  <c r="D70" i="5" s="1"/>
  <c r="AJ24" i="5"/>
  <c r="Z24" i="5"/>
  <c r="AK24" i="5"/>
  <c r="AG16" i="5"/>
  <c r="AH16" i="5" s="1"/>
  <c r="AF24" i="5"/>
  <c r="I8" i="5"/>
  <c r="W16" i="5"/>
  <c r="X16" i="5" s="1"/>
  <c r="V24" i="5"/>
  <c r="AH8" i="5"/>
  <c r="AM8" i="5"/>
  <c r="AB16" i="5"/>
  <c r="AC16" i="5" s="1"/>
  <c r="AA24" i="5"/>
  <c r="AM22" i="5"/>
  <c r="AN22" i="5" s="1"/>
  <c r="S8" i="5"/>
  <c r="T8" i="5" s="1"/>
  <c r="N8" i="5"/>
  <c r="O8" i="5" s="1"/>
  <c r="P24" i="5"/>
  <c r="R16" i="5"/>
  <c r="S16" i="5" s="1"/>
  <c r="Q24" i="5"/>
  <c r="U24" i="5"/>
  <c r="X8" i="5"/>
  <c r="Y8" i="5" s="1"/>
  <c r="M16" i="5"/>
  <c r="N16" i="5" s="1"/>
  <c r="L24" i="5"/>
  <c r="L60" i="5" s="1"/>
  <c r="G24" i="5"/>
  <c r="G62" i="5" s="1"/>
  <c r="AM21" i="2"/>
  <c r="AM71" i="2" s="1"/>
  <c r="AM66" i="2"/>
  <c r="BG15" i="2"/>
  <c r="BD15" i="2"/>
  <c r="BD50" i="2" s="1"/>
  <c r="E23" i="5"/>
  <c r="E31" i="5"/>
  <c r="E32" i="5" s="1"/>
  <c r="N9" i="5"/>
  <c r="M42" i="2"/>
  <c r="I9" i="5"/>
  <c r="I42" i="2" s="1"/>
  <c r="I53" i="2" s="1"/>
  <c r="H42" i="2"/>
  <c r="U41" i="5"/>
  <c r="J39" i="5"/>
  <c r="E40" i="5"/>
  <c r="I37" i="5"/>
  <c r="I69" i="5" s="1"/>
  <c r="L41" i="5"/>
  <c r="E37" i="5"/>
  <c r="E69" i="5" s="1"/>
  <c r="AM35" i="5"/>
  <c r="AN35" i="5" s="1"/>
  <c r="J28" i="5"/>
  <c r="J15" i="5"/>
  <c r="AL16" i="5"/>
  <c r="AM16" i="5" s="1"/>
  <c r="N72" i="5"/>
  <c r="O72" i="5" s="1"/>
  <c r="F43" i="8"/>
  <c r="J27" i="5"/>
  <c r="R23" i="5"/>
  <c r="S23" i="5" s="1"/>
  <c r="Y9" i="5"/>
  <c r="M31" i="5"/>
  <c r="N31" i="5" s="1"/>
  <c r="N32" i="5" s="1"/>
  <c r="I29" i="5"/>
  <c r="J29" i="5" s="1"/>
  <c r="R73" i="5"/>
  <c r="Y13" i="5"/>
  <c r="I10" i="5"/>
  <c r="J10" i="5" s="1"/>
  <c r="AD27" i="5"/>
  <c r="AI75" i="5"/>
  <c r="AI76" i="5" s="1"/>
  <c r="D41" i="5"/>
  <c r="I30" i="5"/>
  <c r="J30" i="5" s="1"/>
  <c r="E16" i="5"/>
  <c r="I11" i="5"/>
  <c r="J11" i="5" s="1"/>
  <c r="S72" i="5"/>
  <c r="I12" i="5"/>
  <c r="J12" i="5" s="1"/>
  <c r="I35" i="5"/>
  <c r="J72" i="5"/>
  <c r="J14" i="5"/>
  <c r="I36" i="5"/>
  <c r="J36" i="5" s="1"/>
  <c r="T21" i="5"/>
  <c r="Y27" i="5"/>
  <c r="E36" i="5"/>
  <c r="AB57" i="5"/>
  <c r="AC8" i="5"/>
  <c r="AH72" i="5"/>
  <c r="AI72" i="5" s="1"/>
  <c r="AD44" i="5"/>
  <c r="Y31" i="5"/>
  <c r="Y29" i="5"/>
  <c r="Y23" i="5"/>
  <c r="Y21" i="5"/>
  <c r="X75" i="5"/>
  <c r="T27" i="5"/>
  <c r="T22" i="5"/>
  <c r="T9" i="5"/>
  <c r="T36" i="5"/>
  <c r="T40" i="5"/>
  <c r="Y28" i="5"/>
  <c r="T31" i="5"/>
  <c r="T29" i="5"/>
  <c r="O30" i="5"/>
  <c r="Y22" i="5"/>
  <c r="T19" i="5"/>
  <c r="Y10" i="5"/>
  <c r="X12" i="5"/>
  <c r="Y12" i="5" s="1"/>
  <c r="Y14" i="5"/>
  <c r="T11" i="5"/>
  <c r="O23" i="5"/>
  <c r="M73" i="5"/>
  <c r="N41" i="5"/>
  <c r="O36" i="5"/>
  <c r="O27" i="5"/>
  <c r="O20" i="5"/>
  <c r="O22" i="5"/>
  <c r="O44" i="5"/>
  <c r="O40" i="5"/>
  <c r="M41" i="5"/>
  <c r="O35" i="5"/>
  <c r="O10" i="5"/>
  <c r="D32" i="5"/>
  <c r="E22" i="5"/>
  <c r="F41" i="5"/>
  <c r="G32" i="5"/>
  <c r="G41" i="5"/>
  <c r="H16" i="5"/>
  <c r="H24" i="5" s="1"/>
  <c r="H41" i="5"/>
  <c r="H32" i="5"/>
  <c r="K40" i="5"/>
  <c r="K31" i="5"/>
  <c r="K23" i="5"/>
  <c r="J23" i="5" s="1"/>
  <c r="K22" i="5"/>
  <c r="J22" i="5" s="1"/>
  <c r="K21" i="5"/>
  <c r="J21" i="5" s="1"/>
  <c r="K20" i="5"/>
  <c r="J20" i="5" s="1"/>
  <c r="K19" i="5"/>
  <c r="J19" i="5" s="1"/>
  <c r="K16" i="5"/>
  <c r="K13" i="5"/>
  <c r="K9" i="5"/>
  <c r="K8" i="5"/>
  <c r="AL32" i="4"/>
  <c r="AL18" i="4"/>
  <c r="AL19" i="4" s="1"/>
  <c r="AK32" i="4"/>
  <c r="AK26" i="4"/>
  <c r="AK9" i="4"/>
  <c r="AK18" i="4"/>
  <c r="AK19" i="4" s="1"/>
  <c r="AJ48" i="4"/>
  <c r="AI32" i="4"/>
  <c r="AI18" i="4"/>
  <c r="AI19" i="4" s="1"/>
  <c r="AI9" i="4"/>
  <c r="AH32" i="4"/>
  <c r="AH18" i="4"/>
  <c r="AH19" i="4" s="1"/>
  <c r="AH9" i="4"/>
  <c r="AG32" i="4"/>
  <c r="AG18" i="4"/>
  <c r="AG19" i="4" s="1"/>
  <c r="AG9" i="4"/>
  <c r="AF32" i="4"/>
  <c r="AF18" i="4"/>
  <c r="AF19" i="4" s="1"/>
  <c r="AF9" i="4"/>
  <c r="AE48" i="4"/>
  <c r="AD32" i="4"/>
  <c r="AD18" i="4"/>
  <c r="AD19" i="4" s="1"/>
  <c r="AD9" i="4"/>
  <c r="AC32" i="4"/>
  <c r="AC26" i="4"/>
  <c r="AC18" i="4"/>
  <c r="AC19" i="4" s="1"/>
  <c r="AC9" i="4"/>
  <c r="AB32" i="4"/>
  <c r="AB26" i="4"/>
  <c r="AB18" i="4"/>
  <c r="AB19" i="4" s="1"/>
  <c r="AB9" i="4"/>
  <c r="AA32" i="4"/>
  <c r="AA26" i="4"/>
  <c r="AA18" i="4"/>
  <c r="AA19" i="4" s="1"/>
  <c r="AA9" i="4"/>
  <c r="Z48" i="4"/>
  <c r="Y32" i="4"/>
  <c r="Y26" i="4"/>
  <c r="Y18" i="4"/>
  <c r="Y19" i="4" s="1"/>
  <c r="Y9" i="4"/>
  <c r="Z9" i="4" s="1"/>
  <c r="X32" i="4"/>
  <c r="X26" i="4"/>
  <c r="X18" i="4"/>
  <c r="X19" i="4" s="1"/>
  <c r="X9" i="4"/>
  <c r="W32" i="4"/>
  <c r="W26" i="4"/>
  <c r="W18" i="4"/>
  <c r="W19" i="4" s="1"/>
  <c r="W9" i="4"/>
  <c r="V32" i="4"/>
  <c r="V26" i="4"/>
  <c r="V18" i="4"/>
  <c r="V19" i="4" s="1"/>
  <c r="V9" i="4"/>
  <c r="U48" i="4"/>
  <c r="T32" i="4"/>
  <c r="T26" i="4"/>
  <c r="T18" i="4"/>
  <c r="T19" i="4" s="1"/>
  <c r="T9" i="4"/>
  <c r="U9" i="4" s="1"/>
  <c r="S26" i="4"/>
  <c r="S18" i="4"/>
  <c r="S19" i="4" s="1"/>
  <c r="S9" i="4"/>
  <c r="R26" i="4"/>
  <c r="R18" i="4"/>
  <c r="R19" i="4" s="1"/>
  <c r="R9" i="4"/>
  <c r="Q26" i="4"/>
  <c r="Q18" i="4"/>
  <c r="Q19" i="4" s="1"/>
  <c r="Q9" i="4"/>
  <c r="P48" i="4"/>
  <c r="O18" i="4"/>
  <c r="O19" i="4" s="1"/>
  <c r="O34" i="4"/>
  <c r="O26" i="4"/>
  <c r="J13" i="5" l="1"/>
  <c r="K80" i="2"/>
  <c r="M53" i="2"/>
  <c r="AM24" i="2"/>
  <c r="AH24" i="5"/>
  <c r="Y16" i="5"/>
  <c r="Y24" i="5" s="1"/>
  <c r="AG24" i="5"/>
  <c r="O16" i="5"/>
  <c r="AA39" i="8"/>
  <c r="AA33" i="8"/>
  <c r="M24" i="5"/>
  <c r="E24" i="5"/>
  <c r="E62" i="5" s="1"/>
  <c r="N24" i="5"/>
  <c r="N60" i="5" s="1"/>
  <c r="T16" i="5"/>
  <c r="R24" i="5"/>
  <c r="S24" i="5"/>
  <c r="J8" i="5"/>
  <c r="K24" i="5"/>
  <c r="AP83" i="4"/>
  <c r="AD8" i="5"/>
  <c r="AC24" i="5"/>
  <c r="AB24" i="5"/>
  <c r="W24" i="5"/>
  <c r="X24" i="5"/>
  <c r="Q62" i="5"/>
  <c r="BL15" i="2"/>
  <c r="BI15" i="2"/>
  <c r="BI50" i="2" s="1"/>
  <c r="M32" i="5"/>
  <c r="L43" i="5"/>
  <c r="L45" i="5" s="1"/>
  <c r="L48" i="5" s="1"/>
  <c r="O31" i="5"/>
  <c r="O32" i="5" s="1"/>
  <c r="N73" i="5"/>
  <c r="O9" i="5"/>
  <c r="N42" i="2"/>
  <c r="N53" i="2" s="1"/>
  <c r="J9" i="5"/>
  <c r="K42" i="2"/>
  <c r="J37" i="5"/>
  <c r="F43" i="5"/>
  <c r="F45" i="5" s="1"/>
  <c r="F48" i="5" s="1"/>
  <c r="F49" i="5" s="1"/>
  <c r="G47" i="5" s="1"/>
  <c r="D66" i="5"/>
  <c r="E41" i="5"/>
  <c r="D43" i="5"/>
  <c r="D45" i="5" s="1"/>
  <c r="D48" i="5" s="1"/>
  <c r="D49" i="5" s="1"/>
  <c r="E47" i="5" s="1"/>
  <c r="T23" i="5"/>
  <c r="I41" i="5"/>
  <c r="I32" i="5"/>
  <c r="F70" i="5"/>
  <c r="O73" i="5"/>
  <c r="K32" i="5"/>
  <c r="J31" i="5"/>
  <c r="J32" i="5" s="1"/>
  <c r="G70" i="5"/>
  <c r="G66" i="5"/>
  <c r="K41" i="5"/>
  <c r="J40" i="5"/>
  <c r="J35" i="5"/>
  <c r="H62" i="5"/>
  <c r="H70" i="5" s="1"/>
  <c r="I16" i="5"/>
  <c r="I24" i="5" s="1"/>
  <c r="Y75" i="5"/>
  <c r="T72" i="5"/>
  <c r="T73" i="5" s="1"/>
  <c r="S73" i="5"/>
  <c r="O41" i="5"/>
  <c r="G43" i="5"/>
  <c r="G45" i="5" s="1"/>
  <c r="G48" i="5" s="1"/>
  <c r="O9" i="4"/>
  <c r="N34" i="4"/>
  <c r="N32" i="4"/>
  <c r="N29" i="4"/>
  <c r="N26" i="4"/>
  <c r="N18" i="4"/>
  <c r="N19" i="4" s="1"/>
  <c r="N9" i="4"/>
  <c r="M34" i="4"/>
  <c r="M32" i="4"/>
  <c r="M26" i="4"/>
  <c r="M18" i="4"/>
  <c r="M19" i="4" s="1"/>
  <c r="M9" i="4"/>
  <c r="K48" i="4"/>
  <c r="I34" i="4"/>
  <c r="J34" i="4"/>
  <c r="K34" i="4" s="1"/>
  <c r="L34" i="4"/>
  <c r="L32" i="4"/>
  <c r="L26" i="4"/>
  <c r="L18" i="4"/>
  <c r="L19" i="4" s="1"/>
  <c r="L9" i="4"/>
  <c r="D59" i="4"/>
  <c r="E56" i="4" s="1"/>
  <c r="K45" i="4"/>
  <c r="K44" i="4"/>
  <c r="K43" i="4"/>
  <c r="K42" i="4"/>
  <c r="K41" i="4"/>
  <c r="K40" i="4"/>
  <c r="K39" i="4"/>
  <c r="K33" i="4"/>
  <c r="K29" i="4"/>
  <c r="K28" i="4"/>
  <c r="K27" i="4"/>
  <c r="K25" i="4"/>
  <c r="K17" i="4"/>
  <c r="K16" i="4"/>
  <c r="K15" i="4"/>
  <c r="K12" i="4"/>
  <c r="K11" i="4"/>
  <c r="K10" i="4"/>
  <c r="J32" i="4"/>
  <c r="K32" i="4" s="1"/>
  <c r="J26" i="4"/>
  <c r="K26" i="4" s="1"/>
  <c r="J9" i="4"/>
  <c r="K9" i="4" s="1"/>
  <c r="J18" i="4"/>
  <c r="E59" i="4"/>
  <c r="F59" i="4"/>
  <c r="F17" i="4"/>
  <c r="F16" i="4"/>
  <c r="F15" i="4"/>
  <c r="F50" i="8" s="1"/>
  <c r="G46" i="8" s="1"/>
  <c r="K46" i="8" s="1"/>
  <c r="F12" i="4"/>
  <c r="F11" i="4"/>
  <c r="F10" i="4"/>
  <c r="F45" i="4"/>
  <c r="F44" i="4"/>
  <c r="F43" i="4"/>
  <c r="F42" i="4"/>
  <c r="F41" i="4"/>
  <c r="F40" i="4"/>
  <c r="F39" i="4"/>
  <c r="F33" i="4"/>
  <c r="F29" i="4"/>
  <c r="F28" i="4"/>
  <c r="F27" i="4"/>
  <c r="F25" i="4"/>
  <c r="E46" i="4"/>
  <c r="F46" i="4" s="1"/>
  <c r="E34" i="4"/>
  <c r="F34" i="4" s="1"/>
  <c r="E32" i="4"/>
  <c r="F32" i="4" s="1"/>
  <c r="E26" i="4"/>
  <c r="F26" i="4" s="1"/>
  <c r="E18" i="4"/>
  <c r="F18" i="4" s="1"/>
  <c r="E9" i="4"/>
  <c r="F9" i="4" s="1"/>
  <c r="I32" i="4"/>
  <c r="I26" i="4"/>
  <c r="I30" i="4" s="1"/>
  <c r="O24" i="5" l="1"/>
  <c r="O60" i="5" s="1"/>
  <c r="K53" i="2"/>
  <c r="P53" i="2"/>
  <c r="AM72" i="2"/>
  <c r="M43" i="5"/>
  <c r="M45" i="5" s="1"/>
  <c r="M48" i="5" s="1"/>
  <c r="N43" i="5"/>
  <c r="N45" i="5" s="1"/>
  <c r="N48" i="5" s="1"/>
  <c r="M60" i="5"/>
  <c r="K18" i="4"/>
  <c r="K19" i="4" s="1"/>
  <c r="J19" i="4"/>
  <c r="K50" i="8"/>
  <c r="M46" i="8" s="1"/>
  <c r="T24" i="5"/>
  <c r="I60" i="5"/>
  <c r="K46" i="4"/>
  <c r="BQ15" i="2"/>
  <c r="BN15" i="2"/>
  <c r="BN50" i="2" s="1"/>
  <c r="G49" i="5"/>
  <c r="H47" i="5" s="1"/>
  <c r="F52" i="5"/>
  <c r="F55" i="5" s="1"/>
  <c r="E43" i="5"/>
  <c r="E45" i="5" s="1"/>
  <c r="E48" i="5" s="1"/>
  <c r="E49" i="5" s="1"/>
  <c r="E52" i="5" s="1"/>
  <c r="E55" i="5" s="1"/>
  <c r="J16" i="5"/>
  <c r="N35" i="4"/>
  <c r="M35" i="4"/>
  <c r="E19" i="4"/>
  <c r="F19" i="4" s="1"/>
  <c r="H43" i="5"/>
  <c r="H45" i="5" s="1"/>
  <c r="H48" i="5" s="1"/>
  <c r="H66" i="5"/>
  <c r="I43" i="5"/>
  <c r="I45" i="5" s="1"/>
  <c r="I48" i="5" s="1"/>
  <c r="I62" i="5"/>
  <c r="K43" i="5"/>
  <c r="K45" i="5" s="1"/>
  <c r="K48" i="5" s="1"/>
  <c r="Y76" i="5"/>
  <c r="AD76" i="5"/>
  <c r="J41" i="5"/>
  <c r="P43" i="5"/>
  <c r="P45" i="5" s="1"/>
  <c r="P48" i="5" s="1"/>
  <c r="E70" i="5"/>
  <c r="E66" i="5"/>
  <c r="F13" i="4"/>
  <c r="E30" i="4"/>
  <c r="F30" i="4" s="1"/>
  <c r="J30" i="4"/>
  <c r="K30" i="4" s="1"/>
  <c r="E35" i="4"/>
  <c r="J13" i="4"/>
  <c r="K13" i="4" s="1"/>
  <c r="J35" i="4"/>
  <c r="E13" i="4"/>
  <c r="E57" i="4"/>
  <c r="I67" i="4"/>
  <c r="I35" i="4"/>
  <c r="I37" i="4" s="1"/>
  <c r="I50" i="4" s="1"/>
  <c r="O43" i="5" l="1"/>
  <c r="O45" i="5" s="1"/>
  <c r="O48" i="5" s="1"/>
  <c r="E21" i="4"/>
  <c r="F21" i="4" s="1"/>
  <c r="J24" i="5"/>
  <c r="J60" i="5" s="1"/>
  <c r="H49" i="5"/>
  <c r="I47" i="5" s="1"/>
  <c r="I49" i="5" s="1"/>
  <c r="I52" i="5" s="1"/>
  <c r="BV15" i="2"/>
  <c r="BS15" i="2"/>
  <c r="BS50" i="2" s="1"/>
  <c r="J37" i="4"/>
  <c r="J50" i="4" s="1"/>
  <c r="I66" i="5"/>
  <c r="I67" i="5" s="1"/>
  <c r="I63" i="5"/>
  <c r="I70" i="5"/>
  <c r="J21" i="4"/>
  <c r="K21" i="4" s="1"/>
  <c r="K35" i="4"/>
  <c r="E37" i="4"/>
  <c r="F35" i="4"/>
  <c r="I18" i="4"/>
  <c r="I19" i="4" s="1"/>
  <c r="J43" i="5" l="1"/>
  <c r="J45" i="5" s="1"/>
  <c r="J48" i="5" s="1"/>
  <c r="K37" i="4"/>
  <c r="K50" i="4" s="1"/>
  <c r="CA15" i="2"/>
  <c r="BX15" i="2"/>
  <c r="BX50" i="2" s="1"/>
  <c r="E24" i="2"/>
  <c r="E72" i="2" s="1"/>
  <c r="J47" i="5"/>
  <c r="E50" i="4"/>
  <c r="E53" i="4" s="1"/>
  <c r="F37" i="4"/>
  <c r="F50" i="4" s="1"/>
  <c r="F53" i="4" s="1"/>
  <c r="I9" i="4"/>
  <c r="I13" i="4" s="1"/>
  <c r="I21" i="4" s="1"/>
  <c r="J49" i="5" l="1"/>
  <c r="J52" i="5" s="1"/>
  <c r="J55" i="5" s="1"/>
  <c r="CF15" i="2"/>
  <c r="CC15" i="2"/>
  <c r="CC50" i="2" s="1"/>
  <c r="E31" i="2"/>
  <c r="E64" i="5" s="1"/>
  <c r="E37" i="2"/>
  <c r="E36" i="2"/>
  <c r="I55" i="5"/>
  <c r="AL20" i="2"/>
  <c r="AL13" i="2"/>
  <c r="AL9" i="2"/>
  <c r="AL8" i="2"/>
  <c r="AK20" i="2"/>
  <c r="AK8" i="2"/>
  <c r="AK7" i="2"/>
  <c r="AK9" i="2"/>
  <c r="AJ62" i="5"/>
  <c r="AJ63" i="5" s="1"/>
  <c r="AJ30" i="2"/>
  <c r="AJ28" i="2"/>
  <c r="AJ27" i="2"/>
  <c r="AJ26" i="2"/>
  <c r="AI29" i="2"/>
  <c r="AI20" i="2"/>
  <c r="AI13" i="2"/>
  <c r="AI9" i="2"/>
  <c r="AI8" i="2"/>
  <c r="AH20" i="2"/>
  <c r="AH9" i="2"/>
  <c r="AH8" i="2"/>
  <c r="AG20" i="2"/>
  <c r="AG29" i="2"/>
  <c r="AG25" i="2"/>
  <c r="AG57" i="8" s="1"/>
  <c r="AG9" i="2"/>
  <c r="AG13" i="2"/>
  <c r="AG8" i="2"/>
  <c r="AE9" i="4"/>
  <c r="AF29" i="2"/>
  <c r="AF20" i="2"/>
  <c r="AF13" i="2"/>
  <c r="AF8" i="2"/>
  <c r="AJ23" i="2"/>
  <c r="AE30" i="2"/>
  <c r="AE28" i="2"/>
  <c r="AE27" i="2"/>
  <c r="AE26" i="2"/>
  <c r="AE25" i="2"/>
  <c r="AE23" i="2"/>
  <c r="AE9" i="2"/>
  <c r="AD29" i="2"/>
  <c r="AD20" i="2"/>
  <c r="AD13" i="2"/>
  <c r="AD8" i="2"/>
  <c r="AE22" i="2"/>
  <c r="AE7" i="2"/>
  <c r="AC29" i="2"/>
  <c r="AC20" i="2"/>
  <c r="AC13" i="2"/>
  <c r="AC8" i="2"/>
  <c r="AC10" i="2" s="1"/>
  <c r="AB13" i="2"/>
  <c r="AB8" i="2"/>
  <c r="AB10" i="2" s="1"/>
  <c r="AB20" i="2"/>
  <c r="AA13" i="2"/>
  <c r="S13" i="2"/>
  <c r="S8" i="2"/>
  <c r="X13" i="2"/>
  <c r="X8" i="2"/>
  <c r="X10" i="2" s="1"/>
  <c r="Q13" i="2"/>
  <c r="Q8" i="2"/>
  <c r="Q10" i="2" s="1"/>
  <c r="V13" i="2"/>
  <c r="V8" i="2"/>
  <c r="V10" i="2" s="1"/>
  <c r="AH10" i="2" l="1"/>
  <c r="AG10" i="2"/>
  <c r="AI10" i="2"/>
  <c r="AL10" i="2"/>
  <c r="AK39" i="3"/>
  <c r="AK65" i="2"/>
  <c r="S10" i="2"/>
  <c r="S11" i="2" s="1"/>
  <c r="AD10" i="2"/>
  <c r="AD46" i="2" s="1"/>
  <c r="AF10" i="2"/>
  <c r="AF46" i="2" s="1"/>
  <c r="AK10" i="2"/>
  <c r="AE39" i="3"/>
  <c r="AA48" i="2"/>
  <c r="S16" i="2"/>
  <c r="S48" i="2"/>
  <c r="AD16" i="2"/>
  <c r="AD48" i="2"/>
  <c r="AF48" i="2"/>
  <c r="AK48" i="2"/>
  <c r="AP45" i="2"/>
  <c r="AK45" i="2"/>
  <c r="X16" i="2"/>
  <c r="X48" i="2"/>
  <c r="Q16" i="2"/>
  <c r="Q48" i="2"/>
  <c r="AE64" i="2"/>
  <c r="AE45" i="2"/>
  <c r="Z74" i="7" s="1"/>
  <c r="AJ45" i="2"/>
  <c r="AG48" i="2"/>
  <c r="AL48" i="2"/>
  <c r="AQ48" i="2"/>
  <c r="AI48" i="2"/>
  <c r="AN48" i="2"/>
  <c r="AC46" i="2"/>
  <c r="V48" i="2"/>
  <c r="AC48" i="2"/>
  <c r="AH48" i="2"/>
  <c r="AC62" i="2"/>
  <c r="AC16" i="2"/>
  <c r="AC65" i="2" s="1"/>
  <c r="AF62" i="2"/>
  <c r="AF16" i="2"/>
  <c r="AF65" i="2" s="1"/>
  <c r="V62" i="2"/>
  <c r="V16" i="2"/>
  <c r="AB62" i="2"/>
  <c r="AB16" i="2"/>
  <c r="AB65" i="2" s="1"/>
  <c r="AG62" i="2"/>
  <c r="AG16" i="2"/>
  <c r="AG65" i="2" s="1"/>
  <c r="AA62" i="2"/>
  <c r="AA16" i="2"/>
  <c r="AA65" i="2" s="1"/>
  <c r="AL62" i="2"/>
  <c r="AL16" i="2"/>
  <c r="AI62" i="2"/>
  <c r="AI16" i="2"/>
  <c r="AI65" i="2" s="1"/>
  <c r="AM66" i="4"/>
  <c r="AN66" i="4"/>
  <c r="AL66" i="4"/>
  <c r="AK66" i="4"/>
  <c r="S62" i="2"/>
  <c r="AK64" i="2"/>
  <c r="AK63" i="2"/>
  <c r="AK62" i="2"/>
  <c r="Q62" i="2"/>
  <c r="X62" i="2"/>
  <c r="AD62" i="2"/>
  <c r="AO7" i="2"/>
  <c r="AE57" i="5"/>
  <c r="X11" i="2"/>
  <c r="AB11" i="2"/>
  <c r="AO13" i="2"/>
  <c r="AQ16" i="2"/>
  <c r="AG46" i="2"/>
  <c r="AC11" i="2"/>
  <c r="CK15" i="2"/>
  <c r="CH15" i="2"/>
  <c r="CH50" i="2" s="1"/>
  <c r="AO8" i="2"/>
  <c r="AO20" i="2"/>
  <c r="AO9" i="2"/>
  <c r="E40" i="2"/>
  <c r="E39" i="2"/>
  <c r="Q46" i="2"/>
  <c r="AE14" i="2"/>
  <c r="AE29" i="2"/>
  <c r="AE8" i="2"/>
  <c r="AE10" i="2" s="1"/>
  <c r="AE20" i="2"/>
  <c r="AJ29" i="2"/>
  <c r="AJ13" i="2"/>
  <c r="AJ25" i="2"/>
  <c r="AJ9" i="2"/>
  <c r="AE13" i="2"/>
  <c r="R25" i="2"/>
  <c r="R13" i="2"/>
  <c r="R48" i="2" s="1"/>
  <c r="R8" i="2"/>
  <c r="R10" i="2" s="1"/>
  <c r="W25" i="2"/>
  <c r="W57" i="8" s="1"/>
  <c r="Z57" i="8" s="1"/>
  <c r="W9" i="2"/>
  <c r="Z9" i="2" s="1"/>
  <c r="W13" i="2"/>
  <c r="AB48" i="2" s="1"/>
  <c r="W8" i="2"/>
  <c r="AF11" i="2" l="1"/>
  <c r="AF47" i="2" s="1"/>
  <c r="AD11" i="2"/>
  <c r="AD17" i="2" s="1"/>
  <c r="AD52" i="2" s="1"/>
  <c r="S46" i="2"/>
  <c r="AQ51" i="2"/>
  <c r="AQ65" i="2"/>
  <c r="Q51" i="2"/>
  <c r="Q65" i="2"/>
  <c r="X46" i="2"/>
  <c r="X51" i="2"/>
  <c r="X65" i="2"/>
  <c r="AD51" i="2"/>
  <c r="AD65" i="2"/>
  <c r="V51" i="2"/>
  <c r="V65" i="2"/>
  <c r="AL51" i="2"/>
  <c r="AL65" i="2"/>
  <c r="AO10" i="2"/>
  <c r="W10" i="2"/>
  <c r="S51" i="2"/>
  <c r="S65" i="2"/>
  <c r="AI51" i="2"/>
  <c r="AN51" i="2"/>
  <c r="AF51" i="2"/>
  <c r="AK51" i="2"/>
  <c r="AC51" i="2"/>
  <c r="AH51" i="2"/>
  <c r="AA17" i="2"/>
  <c r="AA66" i="2" s="1"/>
  <c r="AA51" i="2"/>
  <c r="AG51" i="2"/>
  <c r="X47" i="2"/>
  <c r="AO45" i="2"/>
  <c r="AO39" i="3"/>
  <c r="U25" i="2"/>
  <c r="R57" i="8"/>
  <c r="U57" i="8" s="1"/>
  <c r="AB60" i="2"/>
  <c r="AL46" i="2"/>
  <c r="AQ46" i="2"/>
  <c r="AJ48" i="2"/>
  <c r="AI46" i="2"/>
  <c r="AN46" i="2"/>
  <c r="AC60" i="2"/>
  <c r="AC47" i="2"/>
  <c r="S17" i="2"/>
  <c r="S52" i="2" s="1"/>
  <c r="S47" i="2"/>
  <c r="W48" i="2"/>
  <c r="AE63" i="2"/>
  <c r="AE49" i="2"/>
  <c r="AJ49" i="2"/>
  <c r="V46" i="2"/>
  <c r="AA46" i="2"/>
  <c r="AH46" i="2"/>
  <c r="AM46" i="2"/>
  <c r="AK46" i="2"/>
  <c r="AP46" i="2"/>
  <c r="AO48" i="2"/>
  <c r="AB17" i="2"/>
  <c r="AB66" i="2" s="1"/>
  <c r="R62" i="2"/>
  <c r="R16" i="2"/>
  <c r="W62" i="2"/>
  <c r="W16" i="2"/>
  <c r="AO62" i="2"/>
  <c r="AO16" i="2"/>
  <c r="AO80" i="2" s="1"/>
  <c r="AC17" i="2"/>
  <c r="AE62" i="2"/>
  <c r="AE16" i="2"/>
  <c r="AJ62" i="2"/>
  <c r="AJ16" i="2"/>
  <c r="X60" i="2"/>
  <c r="X17" i="2"/>
  <c r="X66" i="2" s="1"/>
  <c r="AK67" i="4"/>
  <c r="AK82" i="4"/>
  <c r="AK70" i="4"/>
  <c r="AK71" i="4"/>
  <c r="AK83" i="4"/>
  <c r="AL70" i="4"/>
  <c r="AL71" i="4"/>
  <c r="AL82" i="4"/>
  <c r="AL83" i="4"/>
  <c r="AL67" i="4"/>
  <c r="AM67" i="4"/>
  <c r="AN67" i="4"/>
  <c r="AP67" i="4"/>
  <c r="AN83" i="4"/>
  <c r="AO83" i="4" s="1"/>
  <c r="AN70" i="4"/>
  <c r="AO70" i="4" s="1"/>
  <c r="AO66" i="4"/>
  <c r="AN71" i="4"/>
  <c r="AO71" i="4" s="1"/>
  <c r="AN82" i="4"/>
  <c r="AO82" i="4" s="1"/>
  <c r="AM83" i="4"/>
  <c r="AM70" i="4"/>
  <c r="AM71" i="4"/>
  <c r="AM82" i="4"/>
  <c r="CM15" i="2"/>
  <c r="CM50" i="2" s="1"/>
  <c r="AO63" i="2"/>
  <c r="AO64" i="2"/>
  <c r="S60" i="2"/>
  <c r="S61" i="2" s="1"/>
  <c r="U13" i="2"/>
  <c r="AV13" i="2"/>
  <c r="AV16" i="2" s="1"/>
  <c r="AT13" i="2"/>
  <c r="V11" i="2"/>
  <c r="AI11" i="2"/>
  <c r="AL11" i="2"/>
  <c r="Q11" i="2"/>
  <c r="Q47" i="2" s="1"/>
  <c r="AG11" i="2"/>
  <c r="AH11" i="2"/>
  <c r="AK11" i="2"/>
  <c r="Z13" i="2"/>
  <c r="Z25" i="2"/>
  <c r="Z8" i="2"/>
  <c r="Z10" i="2" s="1"/>
  <c r="R46" i="2"/>
  <c r="U8" i="2"/>
  <c r="U10" i="2" s="1"/>
  <c r="AG67" i="4"/>
  <c r="AF67" i="4"/>
  <c r="AD67" i="4"/>
  <c r="AE67" i="4" s="1"/>
  <c r="AH67" i="4"/>
  <c r="AI67" i="4"/>
  <c r="AJ67" i="4" s="1"/>
  <c r="D24" i="2"/>
  <c r="D72" i="2" s="1"/>
  <c r="V94" i="4"/>
  <c r="V30" i="4"/>
  <c r="V35" i="4"/>
  <c r="V102" i="4"/>
  <c r="V59" i="4"/>
  <c r="V93" i="4"/>
  <c r="AD60" i="2" l="1"/>
  <c r="AD61" i="2" s="1"/>
  <c r="AF60" i="2"/>
  <c r="AF61" i="2" s="1"/>
  <c r="AF17" i="2"/>
  <c r="AF52" i="2" s="1"/>
  <c r="AD47" i="2"/>
  <c r="AA42" i="2"/>
  <c r="AJ65" i="2"/>
  <c r="AJ80" i="2"/>
  <c r="AE65" i="2"/>
  <c r="AE80" i="2"/>
  <c r="R51" i="2"/>
  <c r="R65" i="2"/>
  <c r="AO51" i="2"/>
  <c r="AO65" i="2"/>
  <c r="W51" i="2"/>
  <c r="W65" i="2"/>
  <c r="AA21" i="2"/>
  <c r="AV51" i="2"/>
  <c r="AB51" i="2"/>
  <c r="AJ51" i="2"/>
  <c r="AD42" i="2"/>
  <c r="AD66" i="2"/>
  <c r="AD67" i="2" s="1"/>
  <c r="AE48" i="2"/>
  <c r="AD21" i="2"/>
  <c r="AT48" i="2"/>
  <c r="S66" i="2"/>
  <c r="S67" i="2" s="1"/>
  <c r="S21" i="2"/>
  <c r="S71" i="2" s="1"/>
  <c r="S42" i="2"/>
  <c r="S53" i="2" s="1"/>
  <c r="V60" i="2"/>
  <c r="AA61" i="2" s="1"/>
  <c r="V47" i="2"/>
  <c r="AA47" i="2"/>
  <c r="W46" i="2"/>
  <c r="AB46" i="2"/>
  <c r="X42" i="2"/>
  <c r="X52" i="2"/>
  <c r="AC61" i="2"/>
  <c r="Z16" i="2"/>
  <c r="Z80" i="2" s="1"/>
  <c r="Z48" i="2"/>
  <c r="AH47" i="2"/>
  <c r="AM47" i="2"/>
  <c r="U16" i="2"/>
  <c r="U80" i="2" s="1"/>
  <c r="U48" i="2"/>
  <c r="AK47" i="2"/>
  <c r="AP47" i="2"/>
  <c r="AG60" i="2"/>
  <c r="AG61" i="2" s="1"/>
  <c r="AG47" i="2"/>
  <c r="AL47" i="2"/>
  <c r="AQ47" i="2"/>
  <c r="AI47" i="2"/>
  <c r="AN47" i="2"/>
  <c r="AC66" i="2"/>
  <c r="AC67" i="2" s="1"/>
  <c r="AC52" i="2"/>
  <c r="X21" i="2"/>
  <c r="X71" i="2" s="1"/>
  <c r="AH60" i="2"/>
  <c r="AH61" i="2" s="1"/>
  <c r="AH17" i="2"/>
  <c r="Q60" i="2"/>
  <c r="Q61" i="2" s="1"/>
  <c r="Q17" i="2"/>
  <c r="AL60" i="2"/>
  <c r="AQ61" i="2" s="1"/>
  <c r="AL17" i="2"/>
  <c r="AK60" i="2"/>
  <c r="AK61" i="2" s="1"/>
  <c r="AK17" i="2"/>
  <c r="V17" i="2"/>
  <c r="AI60" i="2"/>
  <c r="AN61" i="2" s="1"/>
  <c r="AI17" i="2"/>
  <c r="AG17" i="2"/>
  <c r="AL79" i="4"/>
  <c r="AL78" i="4"/>
  <c r="AL75" i="4"/>
  <c r="AL74" i="4"/>
  <c r="AN74" i="4"/>
  <c r="AO74" i="4" s="1"/>
  <c r="AN78" i="4"/>
  <c r="AO78" i="4" s="1"/>
  <c r="AO67" i="4"/>
  <c r="AN79" i="4"/>
  <c r="AO79" i="4" s="1"/>
  <c r="AN75" i="4"/>
  <c r="AO75" i="4" s="1"/>
  <c r="AM79" i="4"/>
  <c r="AM74" i="4"/>
  <c r="AM75" i="4"/>
  <c r="AM78" i="4"/>
  <c r="AB42" i="2"/>
  <c r="AP79" i="4"/>
  <c r="AP78" i="4"/>
  <c r="AP75" i="4"/>
  <c r="AP74" i="4"/>
  <c r="AK75" i="4"/>
  <c r="AK79" i="4"/>
  <c r="AK78" i="4"/>
  <c r="AK74" i="4"/>
  <c r="Z62" i="2"/>
  <c r="AF21" i="2"/>
  <c r="AF71" i="2" s="1"/>
  <c r="AF42" i="2"/>
  <c r="AB21" i="2"/>
  <c r="AB71" i="2" s="1"/>
  <c r="U62" i="2"/>
  <c r="X61" i="2"/>
  <c r="W11" i="2"/>
  <c r="AC42" i="2"/>
  <c r="AC21" i="2"/>
  <c r="AC71" i="2" s="1"/>
  <c r="AE11" i="2"/>
  <c r="BA13" i="2"/>
  <c r="BA16" i="2" s="1"/>
  <c r="AY13" i="2"/>
  <c r="R11" i="2"/>
  <c r="U46" i="2"/>
  <c r="D31" i="2"/>
  <c r="D37" i="2"/>
  <c r="D36" i="2"/>
  <c r="V37" i="4"/>
  <c r="V50" i="4" s="1"/>
  <c r="V91" i="4"/>
  <c r="V90" i="4"/>
  <c r="V96" i="4"/>
  <c r="V103" i="4" s="1"/>
  <c r="V13" i="4"/>
  <c r="V21" i="4" s="1"/>
  <c r="V97" i="4"/>
  <c r="Y74" i="7"/>
  <c r="V66" i="4"/>
  <c r="J11" i="2"/>
  <c r="O47" i="2" s="1"/>
  <c r="J66" i="4"/>
  <c r="O34" i="2"/>
  <c r="O33" i="2"/>
  <c r="A47" i="2"/>
  <c r="AF66" i="2" l="1"/>
  <c r="AF67" i="2" s="1"/>
  <c r="AF53" i="2"/>
  <c r="AD54" i="2"/>
  <c r="AD71" i="2"/>
  <c r="AA24" i="2"/>
  <c r="AA36" i="2" s="1"/>
  <c r="AA71" i="2"/>
  <c r="U51" i="2"/>
  <c r="U65" i="2"/>
  <c r="Z51" i="2"/>
  <c r="Z65" i="2"/>
  <c r="BA51" i="2"/>
  <c r="AE51" i="2"/>
  <c r="AE78" i="2"/>
  <c r="X67" i="2"/>
  <c r="AD24" i="2"/>
  <c r="AD37" i="2" s="1"/>
  <c r="AY48" i="2"/>
  <c r="X53" i="2"/>
  <c r="S54" i="2"/>
  <c r="AC54" i="2"/>
  <c r="AC53" i="2"/>
  <c r="Z46" i="2"/>
  <c r="AI52" i="2"/>
  <c r="AN52" i="2"/>
  <c r="X54" i="2"/>
  <c r="AG66" i="2"/>
  <c r="AG67" i="2" s="1"/>
  <c r="AG52" i="2"/>
  <c r="AE60" i="2"/>
  <c r="V66" i="2"/>
  <c r="V52" i="2"/>
  <c r="AA52" i="2"/>
  <c r="AK52" i="2"/>
  <c r="AP52" i="2"/>
  <c r="AL42" i="2"/>
  <c r="AL52" i="2"/>
  <c r="AE46" i="2"/>
  <c r="AB24" i="2"/>
  <c r="AB37" i="2" s="1"/>
  <c r="Q66" i="2"/>
  <c r="Q67" i="2" s="1"/>
  <c r="Q52" i="2"/>
  <c r="R60" i="2"/>
  <c r="R61" i="2" s="1"/>
  <c r="R47" i="2"/>
  <c r="W47" i="2"/>
  <c r="AB47" i="2"/>
  <c r="AF54" i="2"/>
  <c r="AH66" i="2"/>
  <c r="AH67" i="2" s="1"/>
  <c r="AH52" i="2"/>
  <c r="AM52" i="2"/>
  <c r="AM61" i="2"/>
  <c r="AL61" i="2"/>
  <c r="AE17" i="2"/>
  <c r="AI61" i="2"/>
  <c r="AP61" i="2"/>
  <c r="R17" i="2"/>
  <c r="V61" i="2"/>
  <c r="W60" i="2"/>
  <c r="W17" i="2"/>
  <c r="J60" i="2"/>
  <c r="J61" i="2" s="1"/>
  <c r="J17" i="2"/>
  <c r="O52" i="2" s="1"/>
  <c r="AK66" i="2"/>
  <c r="AK67" i="2" s="1"/>
  <c r="AK69" i="8"/>
  <c r="AL66" i="2"/>
  <c r="AL69" i="8"/>
  <c r="AI21" i="2"/>
  <c r="AI71" i="2" s="1"/>
  <c r="AI66" i="2"/>
  <c r="AF24" i="2"/>
  <c r="AG42" i="2"/>
  <c r="AG53" i="2" s="1"/>
  <c r="AG21" i="2"/>
  <c r="AH42" i="2"/>
  <c r="AH53" i="2" s="1"/>
  <c r="AH21" i="2"/>
  <c r="AH71" i="2" s="1"/>
  <c r="Q42" i="2"/>
  <c r="Q53" i="2" s="1"/>
  <c r="Q21" i="2"/>
  <c r="Q71" i="2" s="1"/>
  <c r="AK42" i="2"/>
  <c r="AK53" i="2" s="1"/>
  <c r="AK21" i="2"/>
  <c r="AC24" i="2"/>
  <c r="BF13" i="2"/>
  <c r="BF16" i="2" s="1"/>
  <c r="BD13" i="2"/>
  <c r="BD48" i="2" s="1"/>
  <c r="V42" i="2"/>
  <c r="V21" i="2"/>
  <c r="V71" i="2" s="1"/>
  <c r="AL21" i="2"/>
  <c r="AL71" i="2" s="1"/>
  <c r="J47" i="2"/>
  <c r="Z11" i="2"/>
  <c r="U11" i="2"/>
  <c r="D64" i="5"/>
  <c r="D40" i="2"/>
  <c r="D39" i="2"/>
  <c r="V53" i="4"/>
  <c r="I49" i="2"/>
  <c r="V70" i="4"/>
  <c r="V82" i="4"/>
  <c r="V83" i="4"/>
  <c r="AF55" i="2" l="1"/>
  <c r="AA72" i="2"/>
  <c r="AA37" i="2"/>
  <c r="AA31" i="2"/>
  <c r="AA40" i="2" s="1"/>
  <c r="AK54" i="2"/>
  <c r="AK71" i="2"/>
  <c r="AG54" i="2"/>
  <c r="AG71" i="2"/>
  <c r="BF51" i="2"/>
  <c r="AD55" i="2"/>
  <c r="AD72" i="2"/>
  <c r="AD36" i="2"/>
  <c r="AD31" i="2"/>
  <c r="AD39" i="2" s="1"/>
  <c r="U47" i="2"/>
  <c r="U78" i="2"/>
  <c r="AE47" i="2"/>
  <c r="Z78" i="2"/>
  <c r="AM67" i="2"/>
  <c r="V67" i="2"/>
  <c r="AB36" i="2"/>
  <c r="AB31" i="2"/>
  <c r="AB40" i="2" s="1"/>
  <c r="AL67" i="2"/>
  <c r="W61" i="2"/>
  <c r="AL54" i="2"/>
  <c r="Z47" i="2"/>
  <c r="AB72" i="2"/>
  <c r="W66" i="2"/>
  <c r="AB67" i="2" s="1"/>
  <c r="W52" i="2"/>
  <c r="AB52" i="2"/>
  <c r="Q54" i="2"/>
  <c r="AI24" i="2"/>
  <c r="AI31" i="2" s="1"/>
  <c r="AI40" i="2" s="1"/>
  <c r="AI54" i="2"/>
  <c r="AN54" i="2"/>
  <c r="R66" i="2"/>
  <c r="R67" i="2" s="1"/>
  <c r="R52" i="2"/>
  <c r="AL53" i="2"/>
  <c r="V53" i="2"/>
  <c r="AA53" i="2"/>
  <c r="AH54" i="2"/>
  <c r="AM54" i="2"/>
  <c r="V54" i="2"/>
  <c r="AA54" i="2"/>
  <c r="AC72" i="2"/>
  <c r="AA67" i="2"/>
  <c r="AB61" i="2"/>
  <c r="O61" i="2"/>
  <c r="U60" i="2"/>
  <c r="U61" i="2" s="1"/>
  <c r="U17" i="2"/>
  <c r="U52" i="2" s="1"/>
  <c r="Z60" i="2"/>
  <c r="AE61" i="2" s="1"/>
  <c r="Z17" i="2"/>
  <c r="AF31" i="2"/>
  <c r="AF72" i="2"/>
  <c r="AE21" i="2"/>
  <c r="AE71" i="2" s="1"/>
  <c r="AE66" i="2"/>
  <c r="AI67" i="2"/>
  <c r="AN67" i="2"/>
  <c r="AC37" i="2"/>
  <c r="AC31" i="2"/>
  <c r="AC36" i="2"/>
  <c r="AH24" i="2"/>
  <c r="BK13" i="2"/>
  <c r="BK16" i="2" s="1"/>
  <c r="BI13" i="2"/>
  <c r="BI48" i="2" s="1"/>
  <c r="AG24" i="2"/>
  <c r="AG55" i="2" s="1"/>
  <c r="AK24" i="2"/>
  <c r="AK55" i="2" s="1"/>
  <c r="AL24" i="2"/>
  <c r="W42" i="2"/>
  <c r="W21" i="2"/>
  <c r="W71" i="2" s="1"/>
  <c r="AE42" i="2"/>
  <c r="R42" i="2"/>
  <c r="R53" i="2" s="1"/>
  <c r="R21" i="2"/>
  <c r="R71" i="2" s="1"/>
  <c r="Y42" i="2"/>
  <c r="H68" i="2"/>
  <c r="J67" i="4"/>
  <c r="M67" i="4"/>
  <c r="L67" i="4"/>
  <c r="N67" i="4"/>
  <c r="T67" i="4"/>
  <c r="U67" i="4" s="1"/>
  <c r="X67" i="4"/>
  <c r="W67" i="4"/>
  <c r="V67" i="4"/>
  <c r="V78" i="4" s="1"/>
  <c r="Y67" i="4"/>
  <c r="Z67" i="4" s="1"/>
  <c r="AA67" i="4"/>
  <c r="AB67" i="4"/>
  <c r="AC67" i="4"/>
  <c r="O67" i="4"/>
  <c r="P67" i="4" s="1"/>
  <c r="Q67" i="4"/>
  <c r="R67" i="4"/>
  <c r="S67" i="4"/>
  <c r="I52" i="2"/>
  <c r="H24" i="2"/>
  <c r="H72" i="2" s="1"/>
  <c r="K68" i="2"/>
  <c r="I24" i="2"/>
  <c r="I72" i="2" s="1"/>
  <c r="M24" i="2"/>
  <c r="M72" i="2" s="1"/>
  <c r="CM30" i="2"/>
  <c r="CM29" i="2"/>
  <c r="CM28" i="2"/>
  <c r="CM27" i="2"/>
  <c r="CH30" i="2"/>
  <c r="CH29" i="2"/>
  <c r="CH28" i="2"/>
  <c r="CH27" i="2"/>
  <c r="CC30" i="2"/>
  <c r="CC29" i="2"/>
  <c r="CC28" i="2"/>
  <c r="CC27" i="2"/>
  <c r="BX30" i="2"/>
  <c r="BX29" i="2"/>
  <c r="BX28" i="2"/>
  <c r="BX27" i="2"/>
  <c r="BS30" i="2"/>
  <c r="BS29" i="2"/>
  <c r="BS28" i="2"/>
  <c r="BS27" i="2"/>
  <c r="BN30" i="2"/>
  <c r="BN29" i="2"/>
  <c r="BN28" i="2"/>
  <c r="BN27" i="2"/>
  <c r="BI30" i="2"/>
  <c r="BI29" i="2"/>
  <c r="BI28" i="2"/>
  <c r="BI27" i="2"/>
  <c r="BD30" i="2"/>
  <c r="BD29" i="2"/>
  <c r="BD28" i="2"/>
  <c r="BD27" i="2"/>
  <c r="AY30" i="2"/>
  <c r="AY29" i="2"/>
  <c r="AY28" i="2"/>
  <c r="AY27" i="2"/>
  <c r="AT30" i="2"/>
  <c r="AT29" i="2"/>
  <c r="AT28" i="2"/>
  <c r="AT27" i="2"/>
  <c r="AA39" i="2" l="1"/>
  <c r="BK51" i="2"/>
  <c r="AD40" i="2"/>
  <c r="AB39" i="2"/>
  <c r="AL55" i="2"/>
  <c r="Z66" i="2"/>
  <c r="AE67" i="2" s="1"/>
  <c r="Z52" i="2"/>
  <c r="AI55" i="2"/>
  <c r="AN55" i="2"/>
  <c r="AE52" i="2"/>
  <c r="AD53" i="2"/>
  <c r="AE24" i="2"/>
  <c r="AE36" i="2" s="1"/>
  <c r="R54" i="2"/>
  <c r="W67" i="2"/>
  <c r="W54" i="2"/>
  <c r="AB54" i="2"/>
  <c r="AH55" i="2"/>
  <c r="AM55" i="2"/>
  <c r="W53" i="2"/>
  <c r="AB53" i="2"/>
  <c r="AI72" i="2"/>
  <c r="Z61" i="2"/>
  <c r="AI39" i="2"/>
  <c r="U21" i="2"/>
  <c r="U66" i="2"/>
  <c r="U67" i="2" s="1"/>
  <c r="AG31" i="2"/>
  <c r="AG39" i="2" s="1"/>
  <c r="AG72" i="2"/>
  <c r="AF40" i="2"/>
  <c r="AF39" i="2"/>
  <c r="AL31" i="2"/>
  <c r="AL40" i="2" s="1"/>
  <c r="AL72" i="2"/>
  <c r="AH31" i="2"/>
  <c r="AH40" i="2" s="1"/>
  <c r="AH72" i="2"/>
  <c r="AK31" i="2"/>
  <c r="AK39" i="2" s="1"/>
  <c r="AK72" i="2"/>
  <c r="BN13" i="2"/>
  <c r="BN48" i="2" s="1"/>
  <c r="BP13" i="2"/>
  <c r="BP16" i="2" s="1"/>
  <c r="AC40" i="2"/>
  <c r="AC39" i="2"/>
  <c r="U42" i="2"/>
  <c r="U53" i="2" s="1"/>
  <c r="Z42" i="2"/>
  <c r="Z21" i="2"/>
  <c r="H31" i="2"/>
  <c r="H55" i="2" s="1"/>
  <c r="H37" i="2"/>
  <c r="H36" i="2"/>
  <c r="V24" i="2"/>
  <c r="I31" i="2"/>
  <c r="I36" i="2"/>
  <c r="I37" i="2"/>
  <c r="I57" i="2" s="1"/>
  <c r="M31" i="2"/>
  <c r="M37" i="2"/>
  <c r="M36" i="2"/>
  <c r="J49" i="2"/>
  <c r="J66" i="2"/>
  <c r="J67" i="2" s="1"/>
  <c r="O66" i="2"/>
  <c r="G68" i="2"/>
  <c r="V79" i="4"/>
  <c r="AM42" i="2"/>
  <c r="AM53" i="2" s="1"/>
  <c r="V15" i="7"/>
  <c r="K40" i="2"/>
  <c r="V74" i="4"/>
  <c r="AU26" i="2"/>
  <c r="I54" i="2"/>
  <c r="I68" i="2"/>
  <c r="K39" i="2"/>
  <c r="H70" i="2"/>
  <c r="V70" i="2"/>
  <c r="X24" i="2"/>
  <c r="X70" i="2"/>
  <c r="K70" i="2"/>
  <c r="W24" i="2"/>
  <c r="W70" i="2"/>
  <c r="V68" i="2"/>
  <c r="I70" i="2"/>
  <c r="M68" i="2"/>
  <c r="M69" i="2" s="1"/>
  <c r="M70" i="2"/>
  <c r="G31" i="2"/>
  <c r="U54" i="2" l="1"/>
  <c r="U71" i="2"/>
  <c r="AE54" i="2"/>
  <c r="Z71" i="2"/>
  <c r="BP51" i="2"/>
  <c r="AE37" i="2"/>
  <c r="AE64" i="5"/>
  <c r="AE31" i="2"/>
  <c r="AE39" i="2" s="1"/>
  <c r="Z53" i="2"/>
  <c r="M57" i="2"/>
  <c r="AB55" i="2"/>
  <c r="AC55" i="2"/>
  <c r="M39" i="2"/>
  <c r="M55" i="2"/>
  <c r="AE72" i="2"/>
  <c r="AA55" i="2"/>
  <c r="AE53" i="2"/>
  <c r="Z70" i="2"/>
  <c r="Z54" i="2"/>
  <c r="AG40" i="2"/>
  <c r="AH39" i="2"/>
  <c r="Z67" i="2"/>
  <c r="O67" i="2"/>
  <c r="AL39" i="2"/>
  <c r="X31" i="2"/>
  <c r="X40" i="2" s="1"/>
  <c r="X72" i="2"/>
  <c r="V31" i="2"/>
  <c r="V40" i="2" s="1"/>
  <c r="V72" i="2"/>
  <c r="AK40" i="2"/>
  <c r="U24" i="2"/>
  <c r="W31" i="2"/>
  <c r="W39" i="2" s="1"/>
  <c r="W72" i="2"/>
  <c r="Z24" i="2"/>
  <c r="AE55" i="2" s="1"/>
  <c r="J42" i="2"/>
  <c r="J21" i="2"/>
  <c r="J71" i="2" s="1"/>
  <c r="O42" i="2"/>
  <c r="O21" i="2"/>
  <c r="O71" i="2" s="1"/>
  <c r="BU13" i="2"/>
  <c r="BU16" i="2" s="1"/>
  <c r="BS13" i="2"/>
  <c r="BS48" i="2" s="1"/>
  <c r="M40" i="2"/>
  <c r="I64" i="5"/>
  <c r="I40" i="2"/>
  <c r="I55" i="2"/>
  <c r="H64" i="5"/>
  <c r="H40" i="2"/>
  <c r="G64" i="5"/>
  <c r="G40" i="2"/>
  <c r="I39" i="2"/>
  <c r="J52" i="2"/>
  <c r="H39" i="2"/>
  <c r="G39" i="2"/>
  <c r="W36" i="2"/>
  <c r="W37" i="2"/>
  <c r="Y70" i="2"/>
  <c r="V36" i="2"/>
  <c r="V37" i="2"/>
  <c r="X36" i="2"/>
  <c r="X37" i="2"/>
  <c r="G70" i="2"/>
  <c r="AE40" i="2" l="1"/>
  <c r="BU51" i="2"/>
  <c r="J24" i="2"/>
  <c r="J72" i="2" s="1"/>
  <c r="O53" i="2"/>
  <c r="AB57" i="2"/>
  <c r="AC57" i="2"/>
  <c r="O54" i="2"/>
  <c r="Z37" i="2"/>
  <c r="Z55" i="2"/>
  <c r="AA57" i="2"/>
  <c r="V39" i="2"/>
  <c r="X39" i="2"/>
  <c r="W40" i="2"/>
  <c r="U31" i="2"/>
  <c r="U55" i="2" s="1"/>
  <c r="U72" i="2"/>
  <c r="Z31" i="2"/>
  <c r="Z72" i="2"/>
  <c r="Z36" i="2"/>
  <c r="BZ13" i="2"/>
  <c r="BZ16" i="2" s="1"/>
  <c r="BX13" i="2"/>
  <c r="BX48" i="2" s="1"/>
  <c r="Y40" i="2"/>
  <c r="Y39" i="2"/>
  <c r="J68" i="2"/>
  <c r="J54" i="2"/>
  <c r="J70" i="2"/>
  <c r="Y36" i="2"/>
  <c r="Y37" i="2"/>
  <c r="AL38" i="5"/>
  <c r="AM38" i="5" s="1"/>
  <c r="AL37" i="5"/>
  <c r="AL27" i="5"/>
  <c r="AM27" i="5" s="1"/>
  <c r="AL15" i="5"/>
  <c r="AM15" i="5" s="1"/>
  <c r="AL11" i="5"/>
  <c r="AL12" i="5"/>
  <c r="AM12" i="5" s="1"/>
  <c r="AL57" i="5"/>
  <c r="AL48" i="8"/>
  <c r="AK58" i="8"/>
  <c r="AL65" i="8"/>
  <c r="AM62" i="8" s="1"/>
  <c r="AM63" i="8" s="1"/>
  <c r="AL58" i="8"/>
  <c r="AM55" i="8" s="1"/>
  <c r="AM56" i="8" s="1"/>
  <c r="AL50" i="8"/>
  <c r="AM46" i="8" s="1"/>
  <c r="AL39" i="8"/>
  <c r="AL41" i="8"/>
  <c r="AL33" i="8"/>
  <c r="AL13" i="8" s="1"/>
  <c r="AL8" i="8"/>
  <c r="AL59" i="4"/>
  <c r="AM56" i="4" s="1"/>
  <c r="AM57" i="4" s="1"/>
  <c r="B1" i="7"/>
  <c r="BT514" i="38"/>
  <c r="BP514" i="38"/>
  <c r="BZ51" i="2" l="1"/>
  <c r="J36" i="2"/>
  <c r="J31" i="2"/>
  <c r="J39" i="2" s="1"/>
  <c r="J37" i="2"/>
  <c r="J57" i="2" s="1"/>
  <c r="AE57" i="2"/>
  <c r="AD57" i="2"/>
  <c r="AL43" i="8"/>
  <c r="AM11" i="5"/>
  <c r="AM24" i="5" s="1"/>
  <c r="AL24" i="5"/>
  <c r="Z39" i="2"/>
  <c r="Z40" i="2"/>
  <c r="U40" i="2"/>
  <c r="U39" i="2"/>
  <c r="CE13" i="2"/>
  <c r="CE16" i="2" s="1"/>
  <c r="CC13" i="2"/>
  <c r="CC48" i="2" s="1"/>
  <c r="AM37" i="5"/>
  <c r="AN37" i="5" s="1"/>
  <c r="AL69" i="5"/>
  <c r="AL70" i="5" s="1"/>
  <c r="AL49" i="8"/>
  <c r="AY10" i="5"/>
  <c r="AT10" i="5"/>
  <c r="AO64" i="8"/>
  <c r="AK50" i="8"/>
  <c r="J55" i="2" l="1"/>
  <c r="J40" i="2"/>
  <c r="CE51" i="2"/>
  <c r="CJ13" i="2"/>
  <c r="CJ16" i="2" s="1"/>
  <c r="CH13" i="2"/>
  <c r="CH48" i="2" s="1"/>
  <c r="CJ51" i="2" l="1"/>
  <c r="CM13" i="2"/>
  <c r="CM48" i="2" s="1"/>
  <c r="AV26" i="2"/>
  <c r="AW26" i="2" l="1"/>
  <c r="AF8" i="7" l="1"/>
  <c r="AE6" i="7"/>
  <c r="AF6" i="7" s="1"/>
  <c r="AG6" i="7" s="1"/>
  <c r="AH6" i="7" s="1"/>
  <c r="AI6" i="7" s="1"/>
  <c r="AJ6" i="7" s="1"/>
  <c r="AK6" i="7" s="1"/>
  <c r="AL6" i="7" s="1"/>
  <c r="AM6" i="7" s="1"/>
  <c r="AK65" i="8" l="1"/>
  <c r="AK41" i="8"/>
  <c r="AK39" i="8"/>
  <c r="AK33" i="8"/>
  <c r="AK13" i="8" s="1"/>
  <c r="AG35" i="8"/>
  <c r="AK8" i="8"/>
  <c r="AO8" i="8" s="1"/>
  <c r="AK49" i="8"/>
  <c r="AK48" i="8"/>
  <c r="CM64" i="8"/>
  <c r="CH64" i="8"/>
  <c r="CM44" i="5"/>
  <c r="CM40" i="5"/>
  <c r="CM36" i="5"/>
  <c r="CM31" i="5"/>
  <c r="CM30" i="5"/>
  <c r="CM28" i="5"/>
  <c r="CM56" i="8" s="1"/>
  <c r="CI56" i="8" s="1"/>
  <c r="CJ56" i="8" s="1"/>
  <c r="CM27" i="5"/>
  <c r="CM63" i="8" s="1"/>
  <c r="CH44" i="5"/>
  <c r="CH40" i="5"/>
  <c r="CH36" i="5"/>
  <c r="CH31" i="5"/>
  <c r="CH30" i="5"/>
  <c r="CH28" i="5"/>
  <c r="CH56" i="8" s="1"/>
  <c r="CD56" i="8" s="1"/>
  <c r="CE56" i="8" s="1"/>
  <c r="CH27" i="5"/>
  <c r="CH63" i="8" s="1"/>
  <c r="CK56" i="8" l="1"/>
  <c r="CL56" i="8" s="1"/>
  <c r="CI63" i="8"/>
  <c r="CJ63" i="8" s="1"/>
  <c r="CF56" i="8"/>
  <c r="CG56" i="8" s="1"/>
  <c r="CD63" i="8"/>
  <c r="CK63" i="8" l="1"/>
  <c r="CL63" i="8" s="1"/>
  <c r="CE63" i="8"/>
  <c r="AK59" i="4"/>
  <c r="AL56" i="4" s="1"/>
  <c r="AL57" i="4" s="1"/>
  <c r="AK69" i="5"/>
  <c r="AL32" i="5"/>
  <c r="CF63" i="8" l="1"/>
  <c r="CG63" i="8" s="1"/>
  <c r="AJ69" i="5"/>
  <c r="AI36" i="5"/>
  <c r="AI30" i="5"/>
  <c r="AI28" i="5"/>
  <c r="AI27" i="5"/>
  <c r="AI15" i="5"/>
  <c r="AI14" i="5"/>
  <c r="AI12" i="5"/>
  <c r="AI11" i="5"/>
  <c r="AI65" i="8" l="1"/>
  <c r="AI58" i="8"/>
  <c r="AI50" i="8"/>
  <c r="AI41" i="8"/>
  <c r="AI33" i="8"/>
  <c r="AI13" i="8" s="1"/>
  <c r="AI8" i="8"/>
  <c r="AI7" i="8"/>
  <c r="AI66" i="4"/>
  <c r="AI59" i="4"/>
  <c r="AI71" i="4" l="1"/>
  <c r="AI70" i="4"/>
  <c r="AI9" i="8"/>
  <c r="AI43" i="8"/>
  <c r="AI82" i="4"/>
  <c r="AH7" i="8" l="1"/>
  <c r="AH8" i="8"/>
  <c r="AH65" i="8"/>
  <c r="AI62" i="8" s="1"/>
  <c r="AI63" i="8" s="1"/>
  <c r="AH58" i="8"/>
  <c r="AI55" i="8" s="1"/>
  <c r="AI56" i="8" s="1"/>
  <c r="AH50" i="8"/>
  <c r="AI46" i="8" s="1"/>
  <c r="AH41" i="8"/>
  <c r="AH39" i="8"/>
  <c r="AH35" i="8"/>
  <c r="AH33" i="8"/>
  <c r="AH13" i="8" s="1"/>
  <c r="AH69" i="5"/>
  <c r="AI44" i="5"/>
  <c r="AH59" i="4"/>
  <c r="AH96" i="4"/>
  <c r="AG8" i="8"/>
  <c r="AG65" i="8"/>
  <c r="AG58" i="8"/>
  <c r="AH55" i="8" s="1"/>
  <c r="AG50" i="8"/>
  <c r="AH46" i="8" s="1"/>
  <c r="AG41" i="8"/>
  <c r="AG39" i="8"/>
  <c r="AG33" i="8"/>
  <c r="AG13" i="8" s="1"/>
  <c r="AG57" i="5"/>
  <c r="AG59" i="4"/>
  <c r="AG93" i="4"/>
  <c r="AI83" i="4"/>
  <c r="AG94" i="4"/>
  <c r="AG96" i="4" l="1"/>
  <c r="AG7" i="8"/>
  <c r="AG9" i="8" s="1"/>
  <c r="AH94" i="4"/>
  <c r="AI31" i="5"/>
  <c r="AI22" i="5"/>
  <c r="AI21" i="5"/>
  <c r="AI13" i="5"/>
  <c r="AI29" i="5"/>
  <c r="AH48" i="8"/>
  <c r="AI19" i="5"/>
  <c r="AI40" i="5"/>
  <c r="AG49" i="8"/>
  <c r="AI20" i="5"/>
  <c r="AI35" i="5"/>
  <c r="AG48" i="8"/>
  <c r="AI8" i="5"/>
  <c r="AH97" i="4"/>
  <c r="AI56" i="4"/>
  <c r="AI57" i="4" s="1"/>
  <c r="AG43" i="8"/>
  <c r="AH9" i="8"/>
  <c r="AI10" i="5" l="1"/>
  <c r="AI57" i="5" s="1"/>
  <c r="AH57" i="5"/>
  <c r="AH49" i="8"/>
  <c r="AH47" i="8" s="1"/>
  <c r="AI9" i="5"/>
  <c r="AI42" i="2" s="1"/>
  <c r="AI53" i="2" s="1"/>
  <c r="AI32" i="5"/>
  <c r="AM99" i="4" l="1"/>
  <c r="AM100" i="4"/>
  <c r="AF65" i="8"/>
  <c r="AG62" i="8" s="1"/>
  <c r="AF58" i="8"/>
  <c r="AG55" i="8" s="1"/>
  <c r="AF50" i="8"/>
  <c r="AF49" i="8"/>
  <c r="AF48" i="8"/>
  <c r="AF8" i="8"/>
  <c r="AF41" i="8"/>
  <c r="AF39" i="8"/>
  <c r="AF33" i="8"/>
  <c r="AF13" i="8" s="1"/>
  <c r="AF35" i="8"/>
  <c r="AF69" i="5"/>
  <c r="AF93" i="4"/>
  <c r="AF59" i="4"/>
  <c r="AG56" i="4" s="1"/>
  <c r="AF96" i="4"/>
  <c r="AE69" i="5"/>
  <c r="AE57" i="8"/>
  <c r="AF97" i="4" l="1"/>
  <c r="AF94" i="4"/>
  <c r="AI78" i="4"/>
  <c r="AI79" i="4"/>
  <c r="AI74" i="4"/>
  <c r="AI75" i="4"/>
  <c r="AI23" i="5" l="1"/>
  <c r="AI16" i="5"/>
  <c r="AD65" i="8"/>
  <c r="AD58" i="8"/>
  <c r="AD50" i="8"/>
  <c r="AD7" i="8"/>
  <c r="AD8" i="8"/>
  <c r="AD39" i="8"/>
  <c r="AD35" i="8"/>
  <c r="AD33" i="8"/>
  <c r="AD13" i="8" s="1"/>
  <c r="AD38" i="5"/>
  <c r="AD37" i="5"/>
  <c r="AD69" i="5" s="1"/>
  <c r="AD30" i="5"/>
  <c r="AD28" i="5"/>
  <c r="AD14" i="5"/>
  <c r="AD12" i="5"/>
  <c r="AD11" i="5"/>
  <c r="AD59" i="4"/>
  <c r="AD41" i="8"/>
  <c r="CC64" i="8"/>
  <c r="CC44" i="5"/>
  <c r="CC40" i="5"/>
  <c r="CC36" i="5"/>
  <c r="CC31" i="5"/>
  <c r="CC30" i="5"/>
  <c r="CC28" i="5"/>
  <c r="CC56" i="8" s="1"/>
  <c r="BY56" i="8" s="1"/>
  <c r="BZ56" i="8" s="1"/>
  <c r="CA56" i="8" s="1"/>
  <c r="CC27" i="5"/>
  <c r="CC63" i="8" s="1"/>
  <c r="Z21" i="7"/>
  <c r="AD39" i="5"/>
  <c r="AI24" i="5" l="1"/>
  <c r="AD9" i="8"/>
  <c r="AD43" i="8"/>
  <c r="CB56" i="8"/>
  <c r="BY63" i="8"/>
  <c r="BZ63" i="8" l="1"/>
  <c r="AC59" i="4"/>
  <c r="AD56" i="4" s="1"/>
  <c r="AC8" i="8"/>
  <c r="AC65" i="8"/>
  <c r="AD62" i="8" s="1"/>
  <c r="AD63" i="8" s="1"/>
  <c r="AC58" i="8"/>
  <c r="AD55" i="8" s="1"/>
  <c r="AC50" i="8"/>
  <c r="AC39" i="8"/>
  <c r="AC41" i="8"/>
  <c r="AC35" i="8"/>
  <c r="AC33" i="8"/>
  <c r="AC13" i="8" s="1"/>
  <c r="AC69" i="5"/>
  <c r="CA63" i="8" l="1"/>
  <c r="CB63" i="8" s="1"/>
  <c r="AC7" i="8" l="1"/>
  <c r="AC9" i="8" s="1"/>
  <c r="AB41" i="8" l="1"/>
  <c r="AA15" i="8"/>
  <c r="Y41" i="8"/>
  <c r="X41" i="8"/>
  <c r="AB59" i="4"/>
  <c r="AB65" i="8"/>
  <c r="AB8" i="8"/>
  <c r="AB58" i="8"/>
  <c r="AB50" i="8"/>
  <c r="AB39" i="8"/>
  <c r="AB35" i="8"/>
  <c r="AB33" i="8"/>
  <c r="AB13" i="8" s="1"/>
  <c r="AB69" i="5"/>
  <c r="AD10" i="5" l="1"/>
  <c r="AD13" i="5"/>
  <c r="AD36" i="5"/>
  <c r="AD19" i="5"/>
  <c r="AD40" i="5"/>
  <c r="AB48" i="8"/>
  <c r="AB49" i="8"/>
  <c r="AD20" i="5"/>
  <c r="AD22" i="5"/>
  <c r="AD21" i="5"/>
  <c r="AE41" i="8"/>
  <c r="AD57" i="5" l="1"/>
  <c r="AC49" i="8"/>
  <c r="AC48" i="8"/>
  <c r="AD29" i="5"/>
  <c r="AA65" i="8"/>
  <c r="AA58" i="8"/>
  <c r="AA50" i="8"/>
  <c r="AA49" i="8"/>
  <c r="AA48" i="8"/>
  <c r="AA13" i="8"/>
  <c r="AA8" i="8"/>
  <c r="AE8" i="8" s="1"/>
  <c r="AA69" i="5"/>
  <c r="AA59" i="4"/>
  <c r="AA7" i="8"/>
  <c r="Z69" i="5"/>
  <c r="AD49" i="8" l="1"/>
  <c r="AD48" i="8"/>
  <c r="AE48" i="8" s="1"/>
  <c r="AA14" i="8"/>
  <c r="AA9" i="8"/>
  <c r="Y65" i="8"/>
  <c r="AA62" i="8" s="1"/>
  <c r="AA63" i="8" s="1"/>
  <c r="Y58" i="8"/>
  <c r="Y50" i="8"/>
  <c r="AA46" i="8" s="1"/>
  <c r="Y39" i="8"/>
  <c r="Y35" i="8"/>
  <c r="Y33" i="8"/>
  <c r="Y13" i="8" s="1"/>
  <c r="Y8" i="8"/>
  <c r="AD23" i="5" l="1"/>
  <c r="AD16" i="5"/>
  <c r="AD31" i="5"/>
  <c r="AD32" i="5" s="1"/>
  <c r="AA55" i="8"/>
  <c r="AA56" i="8" s="1"/>
  <c r="Y59" i="4"/>
  <c r="Y39" i="5"/>
  <c r="Y38" i="5"/>
  <c r="Y7" i="8" l="1"/>
  <c r="Y9" i="8" s="1"/>
  <c r="X65" i="8" l="1"/>
  <c r="X58" i="8"/>
  <c r="X50" i="8"/>
  <c r="Y46" i="8" s="1"/>
  <c r="X39" i="8"/>
  <c r="X35" i="8"/>
  <c r="X33" i="8"/>
  <c r="X13" i="8" s="1"/>
  <c r="X8" i="8"/>
  <c r="X7" i="8"/>
  <c r="X69" i="5"/>
  <c r="X59" i="4"/>
  <c r="Y56" i="4" s="1"/>
  <c r="Y57" i="4" s="1"/>
  <c r="Y62" i="8" l="1"/>
  <c r="Y63" i="8" s="1"/>
  <c r="X9" i="8"/>
  <c r="W58" i="5"/>
  <c r="W58" i="8" l="1"/>
  <c r="W65" i="8"/>
  <c r="W50" i="8"/>
  <c r="W41" i="8"/>
  <c r="W39" i="8"/>
  <c r="W35" i="8"/>
  <c r="W33" i="8"/>
  <c r="W13" i="8" s="1"/>
  <c r="W8" i="8"/>
  <c r="W57" i="5"/>
  <c r="W59" i="4"/>
  <c r="W7" i="8"/>
  <c r="X48" i="8" l="1"/>
  <c r="Y36" i="5"/>
  <c r="Y35" i="5"/>
  <c r="Y44" i="5"/>
  <c r="W48" i="8"/>
  <c r="X57" i="5"/>
  <c r="W49" i="8"/>
  <c r="W9" i="8"/>
  <c r="X49" i="8" l="1"/>
  <c r="Y57" i="5"/>
  <c r="AA10" i="8"/>
  <c r="Y49" i="8" l="1"/>
  <c r="Y48" i="8"/>
  <c r="Y32" i="5"/>
  <c r="V65" i="8" l="1"/>
  <c r="V58" i="8"/>
  <c r="V50" i="8"/>
  <c r="V49" i="8"/>
  <c r="V48" i="8"/>
  <c r="Z48" i="8" s="1"/>
  <c r="V41" i="8"/>
  <c r="Z41" i="8" s="1"/>
  <c r="V39" i="8"/>
  <c r="V35" i="8"/>
  <c r="V33" i="8"/>
  <c r="V13" i="8" s="1"/>
  <c r="V8" i="8"/>
  <c r="V69" i="5"/>
  <c r="V58" i="5"/>
  <c r="V7" i="8"/>
  <c r="V57" i="5"/>
  <c r="V15" i="8" l="1"/>
  <c r="V14" i="8" s="1"/>
  <c r="V9" i="8"/>
  <c r="Y10" i="8" s="1"/>
  <c r="V43" i="8"/>
  <c r="Y40" i="5" l="1"/>
  <c r="Z64" i="8" l="1"/>
  <c r="T65" i="8" l="1"/>
  <c r="V62" i="8" s="1"/>
  <c r="V63" i="8" s="1"/>
  <c r="T58" i="8"/>
  <c r="V55" i="8" s="1"/>
  <c r="V56" i="8" s="1"/>
  <c r="T50" i="8"/>
  <c r="V46" i="8" s="1"/>
  <c r="T49" i="8"/>
  <c r="T39" i="8"/>
  <c r="T33" i="8"/>
  <c r="T13" i="8" s="1"/>
  <c r="T48" i="8"/>
  <c r="T35" i="4"/>
  <c r="T30" i="4"/>
  <c r="V71" i="4"/>
  <c r="T7" i="8"/>
  <c r="T37" i="4" l="1"/>
  <c r="T50" i="4" s="1"/>
  <c r="U50" i="4" s="1"/>
  <c r="T13" i="4"/>
  <c r="V75" i="4"/>
  <c r="S59" i="4"/>
  <c r="T56" i="4" s="1"/>
  <c r="R59" i="4"/>
  <c r="S56" i="4" s="1"/>
  <c r="O59" i="4"/>
  <c r="N59" i="4"/>
  <c r="O56" i="4" s="1"/>
  <c r="M59" i="4"/>
  <c r="N56" i="4" s="1"/>
  <c r="J59" i="4"/>
  <c r="I59" i="4"/>
  <c r="H59" i="4"/>
  <c r="I56" i="4" s="1"/>
  <c r="G59" i="4"/>
  <c r="S35" i="4"/>
  <c r="S30" i="4"/>
  <c r="S13" i="4"/>
  <c r="R35" i="4"/>
  <c r="Q35" i="4"/>
  <c r="Q13" i="4"/>
  <c r="P45" i="4"/>
  <c r="P44" i="4"/>
  <c r="P43" i="4"/>
  <c r="P42" i="4"/>
  <c r="P41" i="4"/>
  <c r="P40" i="4"/>
  <c r="P39" i="4"/>
  <c r="P33" i="4"/>
  <c r="P32" i="4"/>
  <c r="P29" i="4"/>
  <c r="P27" i="4"/>
  <c r="P26" i="4"/>
  <c r="P25" i="4"/>
  <c r="P17" i="4"/>
  <c r="P16" i="4"/>
  <c r="P15" i="4"/>
  <c r="P11" i="4"/>
  <c r="O35" i="4"/>
  <c r="P28" i="4"/>
  <c r="N30" i="4"/>
  <c r="L35" i="4"/>
  <c r="M30" i="4"/>
  <c r="L30" i="4"/>
  <c r="P18" i="4"/>
  <c r="P12" i="4"/>
  <c r="P10" i="4"/>
  <c r="P19" i="4" l="1"/>
  <c r="P46" i="4"/>
  <c r="M37" i="4"/>
  <c r="M50" i="4" s="1"/>
  <c r="S37" i="4"/>
  <c r="S50" i="4" s="1"/>
  <c r="J56" i="4"/>
  <c r="J57" i="4" s="1"/>
  <c r="I91" i="4"/>
  <c r="U37" i="4"/>
  <c r="L37" i="4"/>
  <c r="L13" i="4"/>
  <c r="T21" i="4"/>
  <c r="X74" i="7"/>
  <c r="S57" i="4"/>
  <c r="O30" i="4"/>
  <c r="P30" i="4" s="1"/>
  <c r="Q30" i="4"/>
  <c r="Q37" i="4" s="1"/>
  <c r="Q50" i="4" s="1"/>
  <c r="P9" i="4"/>
  <c r="P13" i="4" s="1"/>
  <c r="S21" i="4"/>
  <c r="R30" i="4"/>
  <c r="R37" i="4" s="1"/>
  <c r="R50" i="4" s="1"/>
  <c r="H56" i="4"/>
  <c r="H57" i="4" s="1"/>
  <c r="O57" i="4"/>
  <c r="M13" i="4"/>
  <c r="N37" i="4"/>
  <c r="N50" i="4" s="1"/>
  <c r="P34" i="4"/>
  <c r="R13" i="4"/>
  <c r="N13" i="4"/>
  <c r="N21" i="4" s="1"/>
  <c r="P35" i="4"/>
  <c r="O13" i="4"/>
  <c r="I57" i="4"/>
  <c r="N57" i="4"/>
  <c r="Q21" i="4"/>
  <c r="L50" i="4" l="1"/>
  <c r="O37" i="4"/>
  <c r="O50" i="4" s="1"/>
  <c r="L21" i="4"/>
  <c r="R21" i="4"/>
  <c r="M21" i="4"/>
  <c r="N24" i="2"/>
  <c r="N72" i="2" s="1"/>
  <c r="O68" i="2"/>
  <c r="O69" i="2" s="1"/>
  <c r="L24" i="2"/>
  <c r="L72" i="2" s="1"/>
  <c r="Q24" i="2"/>
  <c r="V55" i="2" s="1"/>
  <c r="Q31" i="2" l="1"/>
  <c r="Q72" i="2"/>
  <c r="L31" i="2"/>
  <c r="L36" i="2"/>
  <c r="L37" i="2"/>
  <c r="L57" i="2" s="1"/>
  <c r="N31" i="2"/>
  <c r="N37" i="2"/>
  <c r="N57" i="2" s="1"/>
  <c r="N36" i="2"/>
  <c r="O24" i="2"/>
  <c r="O72" i="2" s="1"/>
  <c r="Q39" i="2"/>
  <c r="Q40" i="2"/>
  <c r="P50" i="4"/>
  <c r="P37" i="4"/>
  <c r="R68" i="2"/>
  <c r="R69" i="2" s="1"/>
  <c r="Q68" i="2"/>
  <c r="O70" i="2"/>
  <c r="Q70" i="2"/>
  <c r="R70" i="2"/>
  <c r="S68" i="2"/>
  <c r="S70" i="2"/>
  <c r="S24" i="2"/>
  <c r="X55" i="2" s="1"/>
  <c r="R24" i="2"/>
  <c r="W55" i="2" s="1"/>
  <c r="P68" i="2"/>
  <c r="P69" i="2" s="1"/>
  <c r="Q37" i="2"/>
  <c r="Q36" i="2"/>
  <c r="O21" i="4"/>
  <c r="P21" i="4" s="1"/>
  <c r="Q57" i="2" l="1"/>
  <c r="V57" i="2"/>
  <c r="L39" i="2"/>
  <c r="L55" i="2"/>
  <c r="N39" i="2"/>
  <c r="N55" i="2"/>
  <c r="Q55" i="2"/>
  <c r="N40" i="2"/>
  <c r="S31" i="2"/>
  <c r="S55" i="2" s="1"/>
  <c r="S72" i="2"/>
  <c r="R31" i="2"/>
  <c r="R40" i="2" s="1"/>
  <c r="R72" i="2"/>
  <c r="V69" i="2"/>
  <c r="L40" i="2"/>
  <c r="O31" i="2"/>
  <c r="O36" i="2"/>
  <c r="O37" i="2"/>
  <c r="O57" i="2" s="1"/>
  <c r="W15" i="7"/>
  <c r="P39" i="2"/>
  <c r="P40" i="2"/>
  <c r="R37" i="2"/>
  <c r="S36" i="2"/>
  <c r="P70" i="2"/>
  <c r="S37" i="2"/>
  <c r="R36" i="2"/>
  <c r="S39" i="2" l="1"/>
  <c r="S40" i="2"/>
  <c r="R57" i="2"/>
  <c r="W57" i="2"/>
  <c r="R39" i="2"/>
  <c r="R55" i="2"/>
  <c r="S57" i="2"/>
  <c r="X57" i="2"/>
  <c r="O39" i="2"/>
  <c r="O55" i="2"/>
  <c r="O40" i="2"/>
  <c r="BX64" i="8" l="1"/>
  <c r="BX44" i="5" l="1"/>
  <c r="BX40" i="5"/>
  <c r="BX36" i="5"/>
  <c r="BX31" i="5"/>
  <c r="BX30" i="5"/>
  <c r="BX28" i="5"/>
  <c r="BX56" i="8" s="1"/>
  <c r="BX27" i="5"/>
  <c r="BX63" i="8" s="1"/>
  <c r="BT63" i="8" l="1"/>
  <c r="BU63" i="8" s="1"/>
  <c r="BT56" i="8"/>
  <c r="BU56" i="8" s="1"/>
  <c r="BV56" i="8" l="1"/>
  <c r="BW56" i="8" s="1"/>
  <c r="BV63" i="8"/>
  <c r="BW63" i="8" s="1"/>
  <c r="U69" i="5"/>
  <c r="S69" i="5"/>
  <c r="U64" i="8"/>
  <c r="T35" i="8"/>
  <c r="V37" i="8" s="1"/>
  <c r="T58" i="5"/>
  <c r="S58" i="5"/>
  <c r="S65" i="8" l="1"/>
  <c r="T62" i="8" s="1"/>
  <c r="T63" i="8" s="1"/>
  <c r="S58" i="8"/>
  <c r="S50" i="8"/>
  <c r="T46" i="8" s="1"/>
  <c r="S41" i="8"/>
  <c r="S15" i="8" s="1"/>
  <c r="S36" i="8"/>
  <c r="T36" i="8" s="1"/>
  <c r="U36" i="8" s="1"/>
  <c r="S22" i="8"/>
  <c r="S23" i="8" s="1"/>
  <c r="S39" i="8"/>
  <c r="S35" i="8"/>
  <c r="S33" i="8"/>
  <c r="S21" i="8"/>
  <c r="T21" i="8" s="1"/>
  <c r="S8" i="8"/>
  <c r="S57" i="5"/>
  <c r="S66" i="4"/>
  <c r="S82" i="4" s="1"/>
  <c r="S7" i="8"/>
  <c r="R76" i="5"/>
  <c r="R58" i="5"/>
  <c r="Q58" i="5"/>
  <c r="T69" i="5"/>
  <c r="R41" i="8"/>
  <c r="R15" i="8" s="1"/>
  <c r="R39" i="8"/>
  <c r="R35" i="8"/>
  <c r="R33" i="8"/>
  <c r="R13" i="8" s="1"/>
  <c r="R65" i="8"/>
  <c r="S62" i="8" s="1"/>
  <c r="R58" i="8"/>
  <c r="R50" i="8"/>
  <c r="S46" i="8" s="1"/>
  <c r="R8" i="8"/>
  <c r="R66" i="4"/>
  <c r="Q58" i="8"/>
  <c r="R55" i="8" s="1"/>
  <c r="BS64" i="8"/>
  <c r="BS44" i="5"/>
  <c r="BS40" i="5"/>
  <c r="BS36" i="5"/>
  <c r="BS31" i="5"/>
  <c r="BS30" i="5"/>
  <c r="BS28" i="5"/>
  <c r="BS56" i="8" s="1"/>
  <c r="BS27" i="5"/>
  <c r="BS63" i="8" s="1"/>
  <c r="BO63" i="8" s="1"/>
  <c r="Q65" i="8"/>
  <c r="R62" i="8" s="1"/>
  <c r="Q50" i="8"/>
  <c r="R46" i="8" s="1"/>
  <c r="Q49" i="8"/>
  <c r="Q48" i="8"/>
  <c r="Q41" i="8"/>
  <c r="Q35" i="8"/>
  <c r="Q69" i="5"/>
  <c r="Q57" i="5"/>
  <c r="Q66" i="4"/>
  <c r="Q59" i="4"/>
  <c r="R56" i="4" s="1"/>
  <c r="R57" i="4" s="1"/>
  <c r="Q33" i="8"/>
  <c r="Q13" i="8" s="1"/>
  <c r="Q8" i="8"/>
  <c r="O65" i="8"/>
  <c r="Q62" i="8" s="1"/>
  <c r="O58" i="8"/>
  <c r="Q55" i="8" s="1"/>
  <c r="U55" i="8" s="1"/>
  <c r="O50" i="8"/>
  <c r="Q46" i="8" s="1"/>
  <c r="U46" i="8" s="1"/>
  <c r="O41" i="8"/>
  <c r="O15" i="8" s="1"/>
  <c r="O39" i="8"/>
  <c r="P39" i="8" s="1"/>
  <c r="O35" i="8"/>
  <c r="Q37" i="8" s="1"/>
  <c r="N35" i="8"/>
  <c r="M35" i="8"/>
  <c r="O33" i="8"/>
  <c r="P33" i="8" s="1"/>
  <c r="O8" i="8"/>
  <c r="P76" i="5"/>
  <c r="N58" i="5"/>
  <c r="Q56" i="4"/>
  <c r="O7" i="8"/>
  <c r="N65" i="8"/>
  <c r="O62" i="8" s="1"/>
  <c r="N58" i="8"/>
  <c r="O55" i="8" s="1"/>
  <c r="N50" i="8"/>
  <c r="O46" i="8" s="1"/>
  <c r="N41" i="8"/>
  <c r="N39" i="8"/>
  <c r="N36" i="8"/>
  <c r="N33" i="8"/>
  <c r="N22" i="8"/>
  <c r="N23" i="8" s="1"/>
  <c r="N21" i="8"/>
  <c r="O21" i="8" s="1"/>
  <c r="N8" i="8"/>
  <c r="N7" i="8"/>
  <c r="M58" i="5"/>
  <c r="M65" i="8"/>
  <c r="N62" i="8" s="1"/>
  <c r="M58" i="8"/>
  <c r="N55" i="8" s="1"/>
  <c r="M50" i="8"/>
  <c r="N46" i="8" s="1"/>
  <c r="M41" i="8"/>
  <c r="M15" i="8" s="1"/>
  <c r="M39" i="8"/>
  <c r="M33" i="8"/>
  <c r="M13" i="8" s="1"/>
  <c r="M8" i="8"/>
  <c r="M69" i="5"/>
  <c r="L69" i="5"/>
  <c r="L65" i="8"/>
  <c r="L58" i="8"/>
  <c r="L50" i="8"/>
  <c r="L49" i="8"/>
  <c r="L48" i="8"/>
  <c r="L41" i="8"/>
  <c r="L39" i="8"/>
  <c r="L35" i="8"/>
  <c r="L33" i="8"/>
  <c r="L13" i="8" s="1"/>
  <c r="L8" i="8"/>
  <c r="L7" i="8"/>
  <c r="L59" i="4"/>
  <c r="M56" i="4" s="1"/>
  <c r="M57" i="4" s="1"/>
  <c r="L57" i="5"/>
  <c r="L58" i="5"/>
  <c r="BN64" i="8"/>
  <c r="BN44" i="5"/>
  <c r="BN40" i="5"/>
  <c r="BN36" i="5"/>
  <c r="BN31" i="5"/>
  <c r="BN30" i="5"/>
  <c r="BN28" i="5"/>
  <c r="BN56" i="8" s="1"/>
  <c r="BN27" i="5"/>
  <c r="BN63" i="8" s="1"/>
  <c r="K69" i="5"/>
  <c r="L56" i="4"/>
  <c r="J65" i="8"/>
  <c r="J58" i="8"/>
  <c r="L55" i="8" s="1"/>
  <c r="J50" i="8"/>
  <c r="L46" i="8" s="1"/>
  <c r="P46" i="8" s="1"/>
  <c r="J41" i="8"/>
  <c r="J15" i="8" s="1"/>
  <c r="J39" i="8"/>
  <c r="K39" i="8" s="1"/>
  <c r="J33" i="8"/>
  <c r="K33" i="8" s="1"/>
  <c r="J8" i="8"/>
  <c r="N74" i="4"/>
  <c r="J7" i="8"/>
  <c r="I33" i="8"/>
  <c r="I41" i="8"/>
  <c r="I15" i="8" s="1"/>
  <c r="I39" i="8"/>
  <c r="I58" i="8"/>
  <c r="J55" i="8" s="1"/>
  <c r="I65" i="8"/>
  <c r="J62" i="8" s="1"/>
  <c r="I50" i="8"/>
  <c r="J46" i="8" s="1"/>
  <c r="I8" i="8"/>
  <c r="G68" i="8"/>
  <c r="I55" i="8"/>
  <c r="I49" i="8"/>
  <c r="I57" i="5"/>
  <c r="J58" i="5"/>
  <c r="BI64" i="8"/>
  <c r="BI44" i="5"/>
  <c r="BI40" i="5"/>
  <c r="BI36" i="5"/>
  <c r="BI31" i="5"/>
  <c r="BI30" i="5"/>
  <c r="BI28" i="5"/>
  <c r="BI56" i="8" s="1"/>
  <c r="BE56" i="8" s="1"/>
  <c r="BI27" i="5"/>
  <c r="BI63" i="8" s="1"/>
  <c r="K62" i="8"/>
  <c r="E39" i="8"/>
  <c r="F39" i="8" s="1"/>
  <c r="E8" i="8"/>
  <c r="BD64" i="8"/>
  <c r="BD27" i="5"/>
  <c r="BD63" i="8" s="1"/>
  <c r="BD28" i="5"/>
  <c r="BD56" i="8" s="1"/>
  <c r="BD30" i="5"/>
  <c r="BD31" i="5"/>
  <c r="BD36" i="5"/>
  <c r="BD40" i="5"/>
  <c r="BD44" i="5"/>
  <c r="AY64" i="8"/>
  <c r="AY44" i="5"/>
  <c r="AY40" i="5"/>
  <c r="AY36" i="5"/>
  <c r="AY31" i="5"/>
  <c r="AY30" i="5"/>
  <c r="AY28" i="5"/>
  <c r="AY27" i="5"/>
  <c r="AY12" i="5"/>
  <c r="AY11" i="5"/>
  <c r="AT64" i="8"/>
  <c r="AT44" i="5"/>
  <c r="AT40" i="5"/>
  <c r="AT36" i="5"/>
  <c r="AT31" i="5"/>
  <c r="AT30" i="5"/>
  <c r="AT28" i="5"/>
  <c r="AT27" i="5"/>
  <c r="AT12" i="5"/>
  <c r="AT11" i="5"/>
  <c r="AJ64" i="8"/>
  <c r="AE64" i="8"/>
  <c r="P64" i="8"/>
  <c r="K64" i="8"/>
  <c r="I22" i="8"/>
  <c r="J22" i="8" s="1"/>
  <c r="A81" i="4"/>
  <c r="A77" i="4"/>
  <c r="A73" i="4"/>
  <c r="A69" i="4"/>
  <c r="A57" i="2"/>
  <c r="A55" i="2"/>
  <c r="A54" i="2"/>
  <c r="A52" i="2"/>
  <c r="A49" i="2"/>
  <c r="A48" i="2"/>
  <c r="A45" i="2"/>
  <c r="A71" i="2"/>
  <c r="U12" i="4"/>
  <c r="A70" i="2"/>
  <c r="U43" i="4"/>
  <c r="Z43" i="4"/>
  <c r="AE43" i="4" s="1"/>
  <c r="AJ43" i="4" s="1"/>
  <c r="AO43" i="4" s="1"/>
  <c r="U44" i="4"/>
  <c r="F36" i="8"/>
  <c r="K36" i="8"/>
  <c r="W36" i="8"/>
  <c r="X36" i="8" s="1"/>
  <c r="Y36" i="8" s="1"/>
  <c r="Y37" i="8" s="1"/>
  <c r="W22" i="8"/>
  <c r="X22" i="8" s="1"/>
  <c r="Y22" i="8" s="1"/>
  <c r="I21" i="8"/>
  <c r="J21" i="8" s="1"/>
  <c r="K21" i="8" s="1"/>
  <c r="W21" i="8"/>
  <c r="Z28" i="4"/>
  <c r="U28" i="4"/>
  <c r="Z27" i="4"/>
  <c r="U27" i="4"/>
  <c r="U18" i="4"/>
  <c r="U34" i="4"/>
  <c r="Z34" i="4"/>
  <c r="Z39" i="4"/>
  <c r="U39" i="4"/>
  <c r="U21" i="7"/>
  <c r="Q32" i="5"/>
  <c r="Q60" i="5" s="1"/>
  <c r="V21" i="7"/>
  <c r="X21" i="7"/>
  <c r="U15" i="4"/>
  <c r="U40" i="4"/>
  <c r="Z40" i="4" s="1"/>
  <c r="AE40" i="4" s="1"/>
  <c r="E37" i="8"/>
  <c r="U50" i="7"/>
  <c r="K58" i="4"/>
  <c r="K47" i="5"/>
  <c r="K49" i="5" s="1"/>
  <c r="K52" i="5" s="1"/>
  <c r="E7" i="8"/>
  <c r="V34" i="7"/>
  <c r="V35" i="7" s="1"/>
  <c r="K55" i="8"/>
  <c r="G69" i="8"/>
  <c r="G102" i="4"/>
  <c r="G93" i="4"/>
  <c r="I62" i="8"/>
  <c r="U17" i="4"/>
  <c r="H69" i="8"/>
  <c r="H93" i="4"/>
  <c r="I66" i="4"/>
  <c r="J70" i="4"/>
  <c r="K70" i="4" s="1"/>
  <c r="V74" i="7"/>
  <c r="J75" i="4"/>
  <c r="K75" i="4" s="1"/>
  <c r="V51" i="7" s="1"/>
  <c r="I69" i="8"/>
  <c r="I96" i="4"/>
  <c r="I93" i="4"/>
  <c r="I94" i="4"/>
  <c r="I97" i="4"/>
  <c r="K57" i="5"/>
  <c r="J97" i="4"/>
  <c r="J94" i="4"/>
  <c r="J93" i="4"/>
  <c r="J96" i="4"/>
  <c r="J49" i="8"/>
  <c r="M66" i="4"/>
  <c r="M83" i="4" s="1"/>
  <c r="L66" i="4"/>
  <c r="L83" i="4" s="1"/>
  <c r="L74" i="4"/>
  <c r="M74" i="4"/>
  <c r="O66" i="4"/>
  <c r="O82" i="4" s="1"/>
  <c r="P82" i="4" s="1"/>
  <c r="L69" i="8"/>
  <c r="W11" i="7"/>
  <c r="L94" i="4"/>
  <c r="L96" i="4"/>
  <c r="L93" i="4"/>
  <c r="P69" i="8"/>
  <c r="W40" i="7"/>
  <c r="U33" i="4"/>
  <c r="M96" i="4"/>
  <c r="M93" i="4"/>
  <c r="M97" i="4"/>
  <c r="M94" i="4"/>
  <c r="N94" i="4"/>
  <c r="N93" i="4"/>
  <c r="N96" i="4"/>
  <c r="P58" i="4"/>
  <c r="U45" i="4"/>
  <c r="N97" i="4"/>
  <c r="W34" i="7"/>
  <c r="W35" i="7" s="1"/>
  <c r="P57" i="5"/>
  <c r="O94" i="4"/>
  <c r="O97" i="4"/>
  <c r="W33" i="7"/>
  <c r="O93" i="4"/>
  <c r="O96" i="4"/>
  <c r="W55" i="7"/>
  <c r="O58" i="5"/>
  <c r="U41" i="4"/>
  <c r="Q41" i="5"/>
  <c r="Q94" i="4"/>
  <c r="Q93" i="4"/>
  <c r="Q96" i="4"/>
  <c r="U35" i="8"/>
  <c r="U29" i="4"/>
  <c r="R97" i="4"/>
  <c r="R94" i="4"/>
  <c r="R96" i="4"/>
  <c r="R93" i="4"/>
  <c r="T55" i="8"/>
  <c r="T56" i="8" s="1"/>
  <c r="U16" i="4"/>
  <c r="Z55" i="8"/>
  <c r="S90" i="4"/>
  <c r="S96" i="4"/>
  <c r="S93" i="4"/>
  <c r="S97" i="4"/>
  <c r="S94" i="4"/>
  <c r="S63" i="8" l="1"/>
  <c r="AT43" i="4"/>
  <c r="AU43" i="4" s="1"/>
  <c r="AV43" i="4" s="1"/>
  <c r="AW43" i="4" s="1"/>
  <c r="AX43" i="4" s="1"/>
  <c r="AY43" i="4" s="1"/>
  <c r="AZ43" i="4" s="1"/>
  <c r="BA43" i="4" s="1"/>
  <c r="BB43" i="4" s="1"/>
  <c r="BC43" i="4" s="1"/>
  <c r="BD43" i="4" s="1"/>
  <c r="U19" i="4"/>
  <c r="T22" i="8"/>
  <c r="U22" i="8" s="1"/>
  <c r="T37" i="8"/>
  <c r="O56" i="8"/>
  <c r="AJ40" i="4"/>
  <c r="AO40" i="4" s="1"/>
  <c r="AT40" i="4" s="1"/>
  <c r="AU40" i="4" s="1"/>
  <c r="AV40" i="4" s="1"/>
  <c r="AW40" i="4" s="1"/>
  <c r="AX40" i="4" s="1"/>
  <c r="AY40" i="4" s="1"/>
  <c r="AZ40" i="4" s="1"/>
  <c r="BA40" i="4" s="1"/>
  <c r="BB40" i="4" s="1"/>
  <c r="BC40" i="4" s="1"/>
  <c r="BD40" i="4" s="1"/>
  <c r="BE40" i="4" s="1"/>
  <c r="BF40" i="4" s="1"/>
  <c r="BG40" i="4" s="1"/>
  <c r="BH40" i="4" s="1"/>
  <c r="BI40" i="4" s="1"/>
  <c r="BJ40" i="4" s="1"/>
  <c r="BK40" i="4" s="1"/>
  <c r="BL40" i="4" s="1"/>
  <c r="BM40" i="4" s="1"/>
  <c r="BN40" i="4" s="1"/>
  <c r="BO40" i="4" s="1"/>
  <c r="BP40" i="4" s="1"/>
  <c r="BQ40" i="4" s="1"/>
  <c r="BR40" i="4" s="1"/>
  <c r="BS40" i="4" s="1"/>
  <c r="BT40" i="4" s="1"/>
  <c r="BU40" i="4" s="1"/>
  <c r="BV40" i="4" s="1"/>
  <c r="BW40" i="4" s="1"/>
  <c r="BX40" i="4" s="1"/>
  <c r="BY40" i="4" s="1"/>
  <c r="BZ40" i="4" s="1"/>
  <c r="CA40" i="4" s="1"/>
  <c r="CB40" i="4" s="1"/>
  <c r="CC40" i="4" s="1"/>
  <c r="CD40" i="4" s="1"/>
  <c r="CE40" i="4" s="1"/>
  <c r="CF40" i="4" s="1"/>
  <c r="CG40" i="4" s="1"/>
  <c r="CH40" i="4" s="1"/>
  <c r="CI40" i="4" s="1"/>
  <c r="CJ40" i="4" s="1"/>
  <c r="CK40" i="4" s="1"/>
  <c r="CL40" i="4" s="1"/>
  <c r="CM40" i="4" s="1"/>
  <c r="K49" i="8"/>
  <c r="O22" i="8"/>
  <c r="P22" i="8" s="1"/>
  <c r="G70" i="8"/>
  <c r="H68" i="8" s="1"/>
  <c r="H70" i="8" s="1"/>
  <c r="I68" i="8" s="1"/>
  <c r="I70" i="8" s="1"/>
  <c r="J68" i="8" s="1"/>
  <c r="N13" i="8"/>
  <c r="K55" i="5"/>
  <c r="P47" i="5"/>
  <c r="P49" i="5" s="1"/>
  <c r="L47" i="5"/>
  <c r="L49" i="5" s="1"/>
  <c r="L52" i="5" s="1"/>
  <c r="O63" i="8"/>
  <c r="P35" i="8"/>
  <c r="R37" i="8" s="1"/>
  <c r="O13" i="8"/>
  <c r="P13" i="8" s="1"/>
  <c r="N56" i="8"/>
  <c r="I63" i="8"/>
  <c r="I56" i="8"/>
  <c r="L37" i="8"/>
  <c r="J56" i="8"/>
  <c r="Q97" i="4"/>
  <c r="I74" i="4"/>
  <c r="N79" i="4"/>
  <c r="N75" i="4"/>
  <c r="O43" i="8"/>
  <c r="J43" i="8"/>
  <c r="N9" i="8"/>
  <c r="Q56" i="8"/>
  <c r="S70" i="4"/>
  <c r="U20" i="7"/>
  <c r="U22" i="7" s="1"/>
  <c r="U24" i="7" s="1"/>
  <c r="U25" i="7" s="1"/>
  <c r="F35" i="8"/>
  <c r="U33" i="7"/>
  <c r="I23" i="8"/>
  <c r="K67" i="4"/>
  <c r="P8" i="8"/>
  <c r="K8" i="8"/>
  <c r="L97" i="4"/>
  <c r="S83" i="4"/>
  <c r="E9" i="8"/>
  <c r="L9" i="8"/>
  <c r="N43" i="8"/>
  <c r="L43" i="8"/>
  <c r="J13" i="8"/>
  <c r="K13" i="8" s="1"/>
  <c r="M71" i="4"/>
  <c r="M78" i="4"/>
  <c r="L71" i="4"/>
  <c r="M75" i="4"/>
  <c r="M79" i="4"/>
  <c r="L15" i="8"/>
  <c r="L14" i="8" s="1"/>
  <c r="I43" i="8"/>
  <c r="N15" i="8"/>
  <c r="P21" i="8"/>
  <c r="L70" i="4"/>
  <c r="Z44" i="4"/>
  <c r="AE44" i="4" s="1"/>
  <c r="L82" i="4"/>
  <c r="U55" i="7"/>
  <c r="U11" i="7"/>
  <c r="Y37" i="5"/>
  <c r="Y60" i="5" s="1"/>
  <c r="L78" i="4"/>
  <c r="F37" i="8"/>
  <c r="U21" i="8"/>
  <c r="J9" i="8"/>
  <c r="M43" i="8"/>
  <c r="O9" i="8"/>
  <c r="U56" i="7"/>
  <c r="Q43" i="5"/>
  <c r="Q45" i="5" s="1"/>
  <c r="Q48" i="5" s="1"/>
  <c r="N63" i="8"/>
  <c r="Q63" i="8"/>
  <c r="U62" i="8"/>
  <c r="M14" i="8"/>
  <c r="V55" i="7"/>
  <c r="L56" i="8"/>
  <c r="P55" i="8"/>
  <c r="M70" i="4"/>
  <c r="M82" i="4"/>
  <c r="Q57" i="4"/>
  <c r="U56" i="4"/>
  <c r="L57" i="4"/>
  <c r="P57" i="4" s="1"/>
  <c r="P56" i="4"/>
  <c r="I83" i="4"/>
  <c r="N78" i="4"/>
  <c r="O71" i="4"/>
  <c r="P71" i="4" s="1"/>
  <c r="W50" i="7" s="1"/>
  <c r="O83" i="4"/>
  <c r="P83" i="4" s="1"/>
  <c r="O70" i="4"/>
  <c r="P70" i="4" s="1"/>
  <c r="L75" i="4"/>
  <c r="K66" i="4"/>
  <c r="J71" i="4"/>
  <c r="K71" i="4" s="1"/>
  <c r="V50" i="7" s="1"/>
  <c r="L79" i="4"/>
  <c r="J83" i="4"/>
  <c r="K83" i="4" s="1"/>
  <c r="R43" i="8"/>
  <c r="J82" i="4"/>
  <c r="K82" i="4" s="1"/>
  <c r="Q70" i="5"/>
  <c r="Q66" i="5"/>
  <c r="O74" i="4"/>
  <c r="P74" i="4" s="1"/>
  <c r="O79" i="4"/>
  <c r="P79" i="4" s="1"/>
  <c r="W52" i="7" s="1"/>
  <c r="O78" i="4"/>
  <c r="P78" i="4" s="1"/>
  <c r="O75" i="4"/>
  <c r="P75" i="4" s="1"/>
  <c r="W51" i="7" s="1"/>
  <c r="K58" i="5"/>
  <c r="V11" i="7"/>
  <c r="I82" i="4"/>
  <c r="I70" i="4"/>
  <c r="I71" i="4"/>
  <c r="N69" i="8"/>
  <c r="W36" i="7"/>
  <c r="U34" i="7"/>
  <c r="R69" i="8"/>
  <c r="L62" i="5"/>
  <c r="L63" i="5" s="1"/>
  <c r="J78" i="4"/>
  <c r="K78" i="4" s="1"/>
  <c r="J74" i="4"/>
  <c r="K74" i="4" s="1"/>
  <c r="J79" i="4"/>
  <c r="K79" i="4" s="1"/>
  <c r="V52" i="7" s="1"/>
  <c r="J69" i="8"/>
  <c r="Q69" i="8"/>
  <c r="W65" i="7"/>
  <c r="P66" i="4"/>
  <c r="P58" i="5"/>
  <c r="V33" i="7"/>
  <c r="X23" i="8"/>
  <c r="W23" i="8"/>
  <c r="E41" i="8"/>
  <c r="E15" i="8" s="1"/>
  <c r="BF56" i="8"/>
  <c r="BG56" i="8" s="1"/>
  <c r="BH56" i="8" s="1"/>
  <c r="AZ56" i="8"/>
  <c r="BA56" i="8" s="1"/>
  <c r="BB56" i="8" s="1"/>
  <c r="AZ63" i="8"/>
  <c r="BA63" i="8" s="1"/>
  <c r="BE63" i="8"/>
  <c r="BF63" i="8" s="1"/>
  <c r="BJ56" i="8"/>
  <c r="BK56" i="8" s="1"/>
  <c r="I7" i="8"/>
  <c r="I9" i="8" s="1"/>
  <c r="L62" i="8"/>
  <c r="P62" i="8" s="1"/>
  <c r="J63" i="8"/>
  <c r="I58" i="5"/>
  <c r="BJ63" i="8"/>
  <c r="BK63" i="8" s="1"/>
  <c r="N37" i="8"/>
  <c r="O36" i="8"/>
  <c r="BP63" i="8"/>
  <c r="BQ63" i="8" s="1"/>
  <c r="R78" i="4"/>
  <c r="R74" i="4"/>
  <c r="R79" i="4"/>
  <c r="R83" i="4"/>
  <c r="R82" i="4"/>
  <c r="BO56" i="8"/>
  <c r="BP56" i="8" s="1"/>
  <c r="N66" i="4"/>
  <c r="N71" i="4" s="1"/>
  <c r="M48" i="8"/>
  <c r="Q83" i="4"/>
  <c r="Q82" i="4"/>
  <c r="M7" i="8"/>
  <c r="M9" i="8" s="1"/>
  <c r="S55" i="8"/>
  <c r="S56" i="8" s="1"/>
  <c r="R56" i="8"/>
  <c r="Q43" i="8"/>
  <c r="Q15" i="8"/>
  <c r="S37" i="8"/>
  <c r="S9" i="8"/>
  <c r="S43" i="8"/>
  <c r="N69" i="5"/>
  <c r="Q70" i="4"/>
  <c r="Q71" i="4"/>
  <c r="S71" i="4"/>
  <c r="R70" i="4"/>
  <c r="R48" i="8"/>
  <c r="R71" i="4"/>
  <c r="Q7" i="8"/>
  <c r="Q9" i="8" s="1"/>
  <c r="R75" i="4"/>
  <c r="R7" i="8"/>
  <c r="R9" i="8" s="1"/>
  <c r="R63" i="8"/>
  <c r="Q39" i="8"/>
  <c r="R49" i="8"/>
  <c r="R69" i="5"/>
  <c r="R14" i="8"/>
  <c r="R57" i="5"/>
  <c r="S49" i="8"/>
  <c r="I90" i="4"/>
  <c r="I103" i="4"/>
  <c r="I102" i="4"/>
  <c r="H53" i="4"/>
  <c r="H102" i="4"/>
  <c r="S102" i="4"/>
  <c r="S91" i="4"/>
  <c r="S103" i="4"/>
  <c r="R102" i="4"/>
  <c r="R91" i="4"/>
  <c r="G53" i="4"/>
  <c r="R90" i="4"/>
  <c r="R103" i="4"/>
  <c r="Q64" i="5"/>
  <c r="AL39" i="5"/>
  <c r="AL60" i="5" s="1"/>
  <c r="I53" i="4"/>
  <c r="Z33" i="4"/>
  <c r="AE33" i="4" s="1"/>
  <c r="W12" i="7"/>
  <c r="Z62" i="8"/>
  <c r="Z46" i="8"/>
  <c r="Z36" i="8"/>
  <c r="AA36" i="8" s="1"/>
  <c r="AB36" i="8" s="1"/>
  <c r="AC36" i="8" s="1"/>
  <c r="K22" i="8"/>
  <c r="J23" i="8"/>
  <c r="X21" i="8"/>
  <c r="Z22" i="8"/>
  <c r="AA22" i="8" s="1"/>
  <c r="AB22" i="8" s="1"/>
  <c r="AC22" i="8" s="1"/>
  <c r="AD22" i="8" s="1"/>
  <c r="I13" i="8"/>
  <c r="I14" i="8" s="1"/>
  <c r="J14" i="8" s="1"/>
  <c r="K14" i="8" s="1"/>
  <c r="X58" i="5"/>
  <c r="U58" i="4"/>
  <c r="AE34" i="4"/>
  <c r="AE28" i="4"/>
  <c r="AE27" i="4"/>
  <c r="Z18" i="4"/>
  <c r="T23" i="8" l="1"/>
  <c r="U23" i="8" s="1"/>
  <c r="BE43" i="4"/>
  <c r="BF43" i="4" s="1"/>
  <c r="BG43" i="4" s="1"/>
  <c r="BH43" i="4" s="1"/>
  <c r="BI43" i="4" s="1"/>
  <c r="BJ43" i="4" s="1"/>
  <c r="BK43" i="4" s="1"/>
  <c r="BL43" i="4" s="1"/>
  <c r="BM43" i="4" s="1"/>
  <c r="BN43" i="4" s="1"/>
  <c r="BO43" i="4" s="1"/>
  <c r="BP43" i="4" s="1"/>
  <c r="BQ43" i="4" s="1"/>
  <c r="BR43" i="4" s="1"/>
  <c r="BS43" i="4" s="1"/>
  <c r="BT43" i="4" s="1"/>
  <c r="BU43" i="4" s="1"/>
  <c r="BV43" i="4" s="1"/>
  <c r="BW43" i="4" s="1"/>
  <c r="BX43" i="4" s="1"/>
  <c r="BY43" i="4" s="1"/>
  <c r="BZ43" i="4" s="1"/>
  <c r="CA43" i="4" s="1"/>
  <c r="CB43" i="4" s="1"/>
  <c r="CC43" i="4" s="1"/>
  <c r="CD43" i="4" s="1"/>
  <c r="CE43" i="4" s="1"/>
  <c r="CF43" i="4" s="1"/>
  <c r="CG43" i="4" s="1"/>
  <c r="CH43" i="4" s="1"/>
  <c r="CI43" i="4" s="1"/>
  <c r="CJ43" i="4" s="1"/>
  <c r="CK43" i="4" s="1"/>
  <c r="CL43" i="4" s="1"/>
  <c r="CM43" i="4" s="1"/>
  <c r="U47" i="5"/>
  <c r="P52" i="5"/>
  <c r="P55" i="5" s="1"/>
  <c r="O23" i="8"/>
  <c r="P23" i="8" s="1"/>
  <c r="AM39" i="5"/>
  <c r="Y69" i="5"/>
  <c r="O14" i="8"/>
  <c r="P14" i="8" s="1"/>
  <c r="U63" i="8"/>
  <c r="U65" i="8" s="1"/>
  <c r="AD36" i="8"/>
  <c r="AD37" i="8" s="1"/>
  <c r="AC37" i="8"/>
  <c r="N14" i="8"/>
  <c r="K23" i="8"/>
  <c r="S76" i="5"/>
  <c r="M47" i="5"/>
  <c r="M49" i="5" s="1"/>
  <c r="M52" i="5" s="1"/>
  <c r="L55" i="5"/>
  <c r="L64" i="5"/>
  <c r="U37" i="8"/>
  <c r="K35" i="8"/>
  <c r="M37" i="8" s="1"/>
  <c r="J37" i="8"/>
  <c r="K56" i="8"/>
  <c r="K58" i="8" s="1"/>
  <c r="M55" i="8" s="1"/>
  <c r="M56" i="8" s="1"/>
  <c r="P56" i="8" s="1"/>
  <c r="P58" i="8" s="1"/>
  <c r="I75" i="4"/>
  <c r="I79" i="4"/>
  <c r="I78" i="4"/>
  <c r="W71" i="7"/>
  <c r="W13" i="7"/>
  <c r="U52" i="7"/>
  <c r="L10" i="8"/>
  <c r="P43" i="8"/>
  <c r="U51" i="7"/>
  <c r="V12" i="7"/>
  <c r="P15" i="8"/>
  <c r="Y21" i="8"/>
  <c r="Y23" i="8"/>
  <c r="Z23" i="8" s="1"/>
  <c r="W69" i="5"/>
  <c r="V65" i="7"/>
  <c r="V36" i="7"/>
  <c r="BL56" i="8"/>
  <c r="BM56" i="8" s="1"/>
  <c r="U62" i="7"/>
  <c r="U63" i="7" s="1"/>
  <c r="BR63" i="8"/>
  <c r="BL63" i="8"/>
  <c r="BM63" i="8" s="1"/>
  <c r="V53" i="7"/>
  <c r="U57" i="7"/>
  <c r="U56" i="8"/>
  <c r="U58" i="8" s="1"/>
  <c r="L63" i="8"/>
  <c r="J70" i="8"/>
  <c r="K68" i="8" s="1"/>
  <c r="P59" i="4"/>
  <c r="Q10" i="8"/>
  <c r="S41" i="5"/>
  <c r="J69" i="5"/>
  <c r="O10" i="8"/>
  <c r="M10" i="8"/>
  <c r="N10" i="8"/>
  <c r="Q14" i="8"/>
  <c r="S48" i="8"/>
  <c r="BQ56" i="8"/>
  <c r="BR56" i="8" s="1"/>
  <c r="O76" i="5"/>
  <c r="P36" i="8"/>
  <c r="O37" i="8"/>
  <c r="J57" i="5"/>
  <c r="BG63" i="8"/>
  <c r="BH63" i="8" s="1"/>
  <c r="K15" i="8"/>
  <c r="BC56" i="8"/>
  <c r="E43" i="8"/>
  <c r="AI39" i="5"/>
  <c r="U35" i="7"/>
  <c r="U12" i="7"/>
  <c r="O69" i="8"/>
  <c r="U65" i="7"/>
  <c r="T32" i="5"/>
  <c r="T60" i="5" s="1"/>
  <c r="R32" i="5"/>
  <c r="R60" i="5" s="1"/>
  <c r="U49" i="8"/>
  <c r="BB63" i="8"/>
  <c r="BC63" i="8" s="1"/>
  <c r="K63" i="8"/>
  <c r="K65" i="8" s="1"/>
  <c r="M62" i="8" s="1"/>
  <c r="M63" i="8" s="1"/>
  <c r="W44" i="7"/>
  <c r="N83" i="4"/>
  <c r="M69" i="8"/>
  <c r="W74" i="7"/>
  <c r="W53" i="7"/>
  <c r="S10" i="8"/>
  <c r="S74" i="4"/>
  <c r="S78" i="4"/>
  <c r="N82" i="4"/>
  <c r="N70" i="4"/>
  <c r="J99" i="4"/>
  <c r="J100" i="4"/>
  <c r="L66" i="5"/>
  <c r="L67" i="5" s="1"/>
  <c r="L70" i="5"/>
  <c r="L70" i="2"/>
  <c r="N99" i="4"/>
  <c r="N68" i="2"/>
  <c r="N100" i="4"/>
  <c r="Q63" i="5"/>
  <c r="R10" i="8"/>
  <c r="R41" i="5"/>
  <c r="Q79" i="4"/>
  <c r="Q75" i="4"/>
  <c r="Q78" i="4"/>
  <c r="Q74" i="4"/>
  <c r="N48" i="8"/>
  <c r="I10" i="8"/>
  <c r="J10" i="8"/>
  <c r="S79" i="4"/>
  <c r="S75" i="4"/>
  <c r="Q100" i="4"/>
  <c r="L68" i="2"/>
  <c r="L100" i="4"/>
  <c r="L99" i="4"/>
  <c r="N70" i="2"/>
  <c r="U45" i="7"/>
  <c r="U41" i="7"/>
  <c r="AE22" i="8"/>
  <c r="AG22" i="8" s="1"/>
  <c r="AF22" i="8"/>
  <c r="Y58" i="5"/>
  <c r="AA58" i="5" s="1"/>
  <c r="AJ34" i="4"/>
  <c r="AJ33" i="4"/>
  <c r="AJ28" i="4"/>
  <c r="AJ27" i="4"/>
  <c r="Z12" i="4"/>
  <c r="AF36" i="8" l="1"/>
  <c r="AG36" i="8" s="1"/>
  <c r="AG37" i="8" s="1"/>
  <c r="AE36" i="8"/>
  <c r="L69" i="2"/>
  <c r="Q69" i="2"/>
  <c r="N69" i="2"/>
  <c r="S69" i="2"/>
  <c r="P37" i="8"/>
  <c r="AH22" i="8"/>
  <c r="AI22" i="8" s="1"/>
  <c r="AK22" i="8" s="1"/>
  <c r="AL22" i="8" s="1"/>
  <c r="N47" i="5"/>
  <c r="N49" i="5" s="1"/>
  <c r="N52" i="5" s="1"/>
  <c r="M55" i="5"/>
  <c r="W28" i="7"/>
  <c r="AI66" i="5"/>
  <c r="P63" i="8"/>
  <c r="P65" i="8" s="1"/>
  <c r="U53" i="7"/>
  <c r="G56" i="4"/>
  <c r="V71" i="7"/>
  <c r="V13" i="7"/>
  <c r="U48" i="8"/>
  <c r="W16" i="7"/>
  <c r="W46" i="7"/>
  <c r="S69" i="8"/>
  <c r="O99" i="4"/>
  <c r="O100" i="4"/>
  <c r="W37" i="7"/>
  <c r="D68" i="2"/>
  <c r="I69" i="2" s="1"/>
  <c r="Q99" i="4"/>
  <c r="V37" i="7"/>
  <c r="AI37" i="5"/>
  <c r="Q67" i="5"/>
  <c r="R100" i="4"/>
  <c r="M100" i="4"/>
  <c r="M99" i="4"/>
  <c r="R99" i="4"/>
  <c r="R62" i="5"/>
  <c r="R43" i="5"/>
  <c r="R45" i="5" s="1"/>
  <c r="R48" i="5" s="1"/>
  <c r="U23" i="7"/>
  <c r="U36" i="7"/>
  <c r="K69" i="8"/>
  <c r="K70" i="8" s="1"/>
  <c r="L68" i="8" s="1"/>
  <c r="L70" i="8" s="1"/>
  <c r="M68" i="8" s="1"/>
  <c r="M70" i="8" s="1"/>
  <c r="N68" i="8" s="1"/>
  <c r="N70" i="8" s="1"/>
  <c r="O68" i="8" s="1"/>
  <c r="O70" i="8" s="1"/>
  <c r="P68" i="8" s="1"/>
  <c r="P70" i="8" s="1"/>
  <c r="Q68" i="8" s="1"/>
  <c r="Q70" i="8" s="1"/>
  <c r="R68" i="8" s="1"/>
  <c r="R70" i="8" s="1"/>
  <c r="S68" i="8" s="1"/>
  <c r="V40" i="7"/>
  <c r="S32" i="5"/>
  <c r="S60" i="5" s="1"/>
  <c r="J90" i="4"/>
  <c r="J91" i="4"/>
  <c r="J102" i="4"/>
  <c r="V56" i="7"/>
  <c r="J103" i="4"/>
  <c r="Z41" i="4"/>
  <c r="AU39" i="5"/>
  <c r="V41" i="7"/>
  <c r="Z21" i="8"/>
  <c r="AB58" i="5"/>
  <c r="AO34" i="4"/>
  <c r="AO33" i="4"/>
  <c r="AO28" i="4"/>
  <c r="AO27" i="4"/>
  <c r="AJ20" i="2"/>
  <c r="AA21" i="8" l="1"/>
  <c r="AB23" i="8" s="1"/>
  <c r="AA23" i="8"/>
  <c r="AI69" i="5"/>
  <c r="AI70" i="5" s="1"/>
  <c r="U40" i="7"/>
  <c r="U42" i="7" s="1"/>
  <c r="AH36" i="8"/>
  <c r="AI36" i="8" s="1"/>
  <c r="AM22" i="8"/>
  <c r="AJ22" i="8"/>
  <c r="N55" i="5"/>
  <c r="O47" i="5"/>
  <c r="O49" i="5" s="1"/>
  <c r="O52" i="5" s="1"/>
  <c r="I100" i="4"/>
  <c r="J53" i="2"/>
  <c r="AE39" i="4"/>
  <c r="G57" i="4"/>
  <c r="K57" i="4" s="1"/>
  <c r="K56" i="4"/>
  <c r="AG69" i="5"/>
  <c r="S70" i="8"/>
  <c r="T68" i="8" s="1"/>
  <c r="V45" i="7"/>
  <c r="U50" i="8"/>
  <c r="U72" i="7"/>
  <c r="U26" i="7"/>
  <c r="U71" i="7"/>
  <c r="U13" i="7"/>
  <c r="V60" i="7"/>
  <c r="V59" i="7"/>
  <c r="V38" i="7"/>
  <c r="R66" i="5"/>
  <c r="R64" i="5"/>
  <c r="R70" i="5"/>
  <c r="S43" i="5"/>
  <c r="S45" i="5" s="1"/>
  <c r="S48" i="5" s="1"/>
  <c r="S62" i="5"/>
  <c r="V44" i="7"/>
  <c r="V28" i="7"/>
  <c r="E68" i="2"/>
  <c r="J69" i="2" s="1"/>
  <c r="G99" i="4"/>
  <c r="H99" i="4"/>
  <c r="I99" i="4"/>
  <c r="S100" i="4"/>
  <c r="S99" i="4"/>
  <c r="E70" i="2"/>
  <c r="W59" i="7"/>
  <c r="W60" i="7"/>
  <c r="W38" i="7"/>
  <c r="AV15" i="5"/>
  <c r="W17" i="7"/>
  <c r="W18" i="7"/>
  <c r="L90" i="4"/>
  <c r="L102" i="4"/>
  <c r="L103" i="4"/>
  <c r="L53" i="4"/>
  <c r="L91" i="4"/>
  <c r="J53" i="4"/>
  <c r="K53" i="4" s="1"/>
  <c r="V62" i="7"/>
  <c r="V63" i="7" s="1"/>
  <c r="V57" i="7"/>
  <c r="AZ39" i="5"/>
  <c r="V42" i="7"/>
  <c r="AO36" i="8"/>
  <c r="AQ36" i="8"/>
  <c r="AC58" i="5"/>
  <c r="AD58" i="5" s="1"/>
  <c r="AT34" i="4"/>
  <c r="AT33" i="4"/>
  <c r="AT28" i="4"/>
  <c r="AT27" i="4"/>
  <c r="AR36" i="8" l="1"/>
  <c r="AR37" i="8" s="1"/>
  <c r="AB21" i="8"/>
  <c r="AC21" i="8" s="1"/>
  <c r="AK36" i="8"/>
  <c r="AJ36" i="8"/>
  <c r="AI37" i="8"/>
  <c r="AN22" i="8"/>
  <c r="O55" i="5"/>
  <c r="Q47" i="5"/>
  <c r="Q49" i="5" s="1"/>
  <c r="Q52" i="5" s="1"/>
  <c r="AJ44" i="4"/>
  <c r="U44" i="7"/>
  <c r="F70" i="2"/>
  <c r="U28" i="7"/>
  <c r="U29" i="7" s="1"/>
  <c r="U30" i="7" s="1"/>
  <c r="U46" i="7"/>
  <c r="K59" i="4"/>
  <c r="V16" i="7"/>
  <c r="V46" i="7"/>
  <c r="V47" i="7" s="1"/>
  <c r="AA32" i="5"/>
  <c r="S70" i="5"/>
  <c r="S64" i="5"/>
  <c r="S66" i="5"/>
  <c r="AV39" i="5"/>
  <c r="U37" i="7"/>
  <c r="F68" i="2"/>
  <c r="K69" i="2" s="1"/>
  <c r="M90" i="4"/>
  <c r="M53" i="4"/>
  <c r="M91" i="4"/>
  <c r="M102" i="4"/>
  <c r="M103" i="4"/>
  <c r="BE39" i="5"/>
  <c r="AC23" i="8"/>
  <c r="AF58" i="5"/>
  <c r="AU34" i="4"/>
  <c r="AV34" i="4" s="1"/>
  <c r="AW34" i="4" s="1"/>
  <c r="AX34" i="4" s="1"/>
  <c r="AY34" i="4" s="1"/>
  <c r="AU33" i="4"/>
  <c r="AV33" i="4" s="1"/>
  <c r="AW33" i="4" s="1"/>
  <c r="AX33" i="4" s="1"/>
  <c r="AY33" i="4" s="1"/>
  <c r="AU28" i="4"/>
  <c r="AV28" i="4" s="1"/>
  <c r="AW28" i="4" s="1"/>
  <c r="AX28" i="4" s="1"/>
  <c r="AY28" i="4" s="1"/>
  <c r="AU27" i="4"/>
  <c r="AV27" i="4" s="1"/>
  <c r="AW27" i="4" s="1"/>
  <c r="AX27" i="4" s="1"/>
  <c r="AY27" i="4" s="1"/>
  <c r="AT20" i="2"/>
  <c r="AS36" i="8" l="1"/>
  <c r="AO22" i="8"/>
  <c r="U47" i="7"/>
  <c r="F39" i="2"/>
  <c r="U15" i="7"/>
  <c r="U16" i="7" s="1"/>
  <c r="U17" i="7" s="1"/>
  <c r="F64" i="5"/>
  <c r="F40" i="2"/>
  <c r="Q55" i="5"/>
  <c r="R47" i="5"/>
  <c r="R49" i="5" s="1"/>
  <c r="R52" i="5" s="1"/>
  <c r="AO44" i="4"/>
  <c r="U31" i="7"/>
  <c r="AD21" i="8"/>
  <c r="AD23" i="8"/>
  <c r="AE23" i="8" s="1"/>
  <c r="BA39" i="5"/>
  <c r="U59" i="7"/>
  <c r="U60" i="7"/>
  <c r="U38" i="7"/>
  <c r="AC32" i="5"/>
  <c r="V17" i="7"/>
  <c r="V18" i="7"/>
  <c r="AF32" i="5"/>
  <c r="N53" i="4"/>
  <c r="N91" i="4"/>
  <c r="N103" i="4"/>
  <c r="N102" i="4"/>
  <c r="N90" i="4"/>
  <c r="BJ39" i="5"/>
  <c r="AY20" i="2"/>
  <c r="AG58" i="5"/>
  <c r="AE58" i="4"/>
  <c r="AZ34" i="4"/>
  <c r="BA34" i="4" s="1"/>
  <c r="BB34" i="4" s="1"/>
  <c r="BC34" i="4" s="1"/>
  <c r="BD34" i="4" s="1"/>
  <c r="AZ33" i="4"/>
  <c r="BA33" i="4" s="1"/>
  <c r="BB33" i="4" s="1"/>
  <c r="BC33" i="4" s="1"/>
  <c r="BD33" i="4" s="1"/>
  <c r="AZ28" i="4"/>
  <c r="BA28" i="4" s="1"/>
  <c r="BB28" i="4" s="1"/>
  <c r="BC28" i="4" s="1"/>
  <c r="BD28" i="4" s="1"/>
  <c r="AZ27" i="4"/>
  <c r="BA27" i="4" s="1"/>
  <c r="BB27" i="4" s="1"/>
  <c r="BC27" i="4" s="1"/>
  <c r="BD27" i="4" s="1"/>
  <c r="AE18" i="4"/>
  <c r="AU36" i="8" l="1"/>
  <c r="AV36" i="8" s="1"/>
  <c r="AW36" i="8" s="1"/>
  <c r="AX36" i="8" s="1"/>
  <c r="AT36" i="8"/>
  <c r="AT44" i="4"/>
  <c r="AU44" i="4" s="1"/>
  <c r="AV44" i="4" s="1"/>
  <c r="AW44" i="4" s="1"/>
  <c r="AX44" i="4" s="1"/>
  <c r="AY44" i="4" s="1"/>
  <c r="AZ44" i="4" s="1"/>
  <c r="BA44" i="4" s="1"/>
  <c r="BB44" i="4" s="1"/>
  <c r="BC44" i="4" s="1"/>
  <c r="BD44" i="4" s="1"/>
  <c r="BE44" i="4" s="1"/>
  <c r="BF44" i="4" s="1"/>
  <c r="BG44" i="4" s="1"/>
  <c r="BH44" i="4" s="1"/>
  <c r="BI44" i="4" s="1"/>
  <c r="BJ44" i="4" s="1"/>
  <c r="BK44" i="4" s="1"/>
  <c r="BL44" i="4" s="1"/>
  <c r="BM44" i="4" s="1"/>
  <c r="BN44" i="4" s="1"/>
  <c r="BO44" i="4" s="1"/>
  <c r="BP44" i="4" s="1"/>
  <c r="BQ44" i="4" s="1"/>
  <c r="BR44" i="4" s="1"/>
  <c r="BS44" i="4" s="1"/>
  <c r="BT44" i="4" s="1"/>
  <c r="BU44" i="4" s="1"/>
  <c r="BV44" i="4" s="1"/>
  <c r="BW44" i="4" s="1"/>
  <c r="BX44" i="4" s="1"/>
  <c r="BY44" i="4" s="1"/>
  <c r="BZ44" i="4" s="1"/>
  <c r="CA44" i="4" s="1"/>
  <c r="CB44" i="4" s="1"/>
  <c r="CC44" i="4" s="1"/>
  <c r="CD44" i="4" s="1"/>
  <c r="CE44" i="4" s="1"/>
  <c r="CF44" i="4" s="1"/>
  <c r="CG44" i="4" s="1"/>
  <c r="CH44" i="4" s="1"/>
  <c r="CI44" i="4" s="1"/>
  <c r="CJ44" i="4" s="1"/>
  <c r="CK44" i="4" s="1"/>
  <c r="CL44" i="4" s="1"/>
  <c r="CM44" i="4" s="1"/>
  <c r="U18" i="7"/>
  <c r="AT22" i="8"/>
  <c r="AU22" i="8"/>
  <c r="AV22" i="8" s="1"/>
  <c r="AW22" i="8" s="1"/>
  <c r="AX22" i="8" s="1"/>
  <c r="S47" i="5"/>
  <c r="S49" i="5" s="1"/>
  <c r="S52" i="5" s="1"/>
  <c r="R55" i="5"/>
  <c r="AB32" i="5"/>
  <c r="BF39" i="5"/>
  <c r="Q103" i="4"/>
  <c r="Q90" i="4"/>
  <c r="Q53" i="4"/>
  <c r="Q91" i="4"/>
  <c r="Q102" i="4"/>
  <c r="O91" i="4"/>
  <c r="O102" i="4"/>
  <c r="W45" i="7"/>
  <c r="O90" i="4"/>
  <c r="O103" i="4"/>
  <c r="BO39" i="5"/>
  <c r="R53" i="4"/>
  <c r="W41" i="7"/>
  <c r="AF23" i="8"/>
  <c r="AE21" i="8"/>
  <c r="AF21" i="8"/>
  <c r="AH58" i="5"/>
  <c r="AI58" i="5" s="1"/>
  <c r="AK58" i="5" s="1"/>
  <c r="AL58" i="5" s="1"/>
  <c r="BE34" i="4"/>
  <c r="BF34" i="4" s="1"/>
  <c r="BG34" i="4" s="1"/>
  <c r="BH34" i="4" s="1"/>
  <c r="BI34" i="4" s="1"/>
  <c r="BE33" i="4"/>
  <c r="BF33" i="4" s="1"/>
  <c r="BG33" i="4" s="1"/>
  <c r="BH33" i="4" s="1"/>
  <c r="BI33" i="4" s="1"/>
  <c r="BE28" i="4"/>
  <c r="BF28" i="4" s="1"/>
  <c r="BG28" i="4" s="1"/>
  <c r="BH28" i="4" s="1"/>
  <c r="BI28" i="4" s="1"/>
  <c r="BE27" i="4"/>
  <c r="BF27" i="4" s="1"/>
  <c r="BG27" i="4" s="1"/>
  <c r="BH27" i="4" s="1"/>
  <c r="BI27" i="4" s="1"/>
  <c r="AE12" i="4"/>
  <c r="BD20" i="2"/>
  <c r="AY36" i="8" l="1"/>
  <c r="AZ36" i="8"/>
  <c r="BA36" i="8" s="1"/>
  <c r="BB36" i="8" s="1"/>
  <c r="BC36" i="8" s="1"/>
  <c r="AZ22" i="8"/>
  <c r="BA22" i="8" s="1"/>
  <c r="BB22" i="8" s="1"/>
  <c r="BC22" i="8" s="1"/>
  <c r="AY22" i="8"/>
  <c r="S55" i="5"/>
  <c r="T47" i="5"/>
  <c r="AJ39" i="4"/>
  <c r="BY39" i="5"/>
  <c r="AG21" i="8"/>
  <c r="AG23" i="8"/>
  <c r="AE32" i="5"/>
  <c r="AK32" i="5"/>
  <c r="BK39" i="5"/>
  <c r="AU48" i="8"/>
  <c r="W56" i="7"/>
  <c r="O53" i="4"/>
  <c r="P53" i="4" s="1"/>
  <c r="BT39" i="5"/>
  <c r="W42" i="7"/>
  <c r="W47" i="7"/>
  <c r="S53" i="4"/>
  <c r="BJ34" i="4"/>
  <c r="BK34" i="4" s="1"/>
  <c r="BL34" i="4" s="1"/>
  <c r="BM34" i="4" s="1"/>
  <c r="BN34" i="4" s="1"/>
  <c r="BJ33" i="4"/>
  <c r="BK33" i="4" s="1"/>
  <c r="BL33" i="4" s="1"/>
  <c r="BM33" i="4" s="1"/>
  <c r="BN33" i="4" s="1"/>
  <c r="BJ28" i="4"/>
  <c r="BK28" i="4" s="1"/>
  <c r="BL28" i="4" s="1"/>
  <c r="BM28" i="4" s="1"/>
  <c r="BN28" i="4" s="1"/>
  <c r="BJ27" i="4"/>
  <c r="BK27" i="4" s="1"/>
  <c r="BL27" i="4" s="1"/>
  <c r="BM27" i="4" s="1"/>
  <c r="BN27" i="4" s="1"/>
  <c r="BI20" i="2"/>
  <c r="BD36" i="8" l="1"/>
  <c r="BE36" i="8"/>
  <c r="BF36" i="8" s="1"/>
  <c r="BG36" i="8" s="1"/>
  <c r="BH36" i="8" s="1"/>
  <c r="BD22" i="8"/>
  <c r="BE22" i="8"/>
  <c r="BF22" i="8" s="1"/>
  <c r="BG22" i="8" s="1"/>
  <c r="BH22" i="8" s="1"/>
  <c r="AM32" i="5"/>
  <c r="CD39" i="5"/>
  <c r="AU29" i="5"/>
  <c r="AP32" i="5"/>
  <c r="AZ48" i="8"/>
  <c r="BA48" i="8" s="1"/>
  <c r="BA29" i="5" s="1"/>
  <c r="AV48" i="8"/>
  <c r="AV29" i="5" s="1"/>
  <c r="BP39" i="5"/>
  <c r="W62" i="7"/>
  <c r="W63" i="7" s="1"/>
  <c r="W57" i="7"/>
  <c r="AH21" i="8"/>
  <c r="AH23" i="8"/>
  <c r="BO34" i="4"/>
  <c r="BP34" i="4" s="1"/>
  <c r="BQ34" i="4" s="1"/>
  <c r="BR34" i="4" s="1"/>
  <c r="BS34" i="4" s="1"/>
  <c r="BO33" i="4"/>
  <c r="BP33" i="4" s="1"/>
  <c r="BQ33" i="4" s="1"/>
  <c r="BR33" i="4" s="1"/>
  <c r="BS33" i="4" s="1"/>
  <c r="BO28" i="4"/>
  <c r="BP28" i="4" s="1"/>
  <c r="BQ28" i="4" s="1"/>
  <c r="BR28" i="4" s="1"/>
  <c r="BS28" i="4" s="1"/>
  <c r="BO27" i="4"/>
  <c r="BP27" i="4" s="1"/>
  <c r="BQ27" i="4" s="1"/>
  <c r="BR27" i="4" s="1"/>
  <c r="BS27" i="4" s="1"/>
  <c r="BN20" i="2"/>
  <c r="BI36" i="8" l="1"/>
  <c r="BJ36" i="8"/>
  <c r="BK36" i="8" s="1"/>
  <c r="BL36" i="8" s="1"/>
  <c r="BM36" i="8" s="1"/>
  <c r="BI22" i="8"/>
  <c r="BJ22" i="8"/>
  <c r="BK22" i="8" s="1"/>
  <c r="BL22" i="8" s="1"/>
  <c r="BM22" i="8" s="1"/>
  <c r="AO39" i="4"/>
  <c r="BA32" i="5"/>
  <c r="BZ39" i="5"/>
  <c r="AV32" i="5"/>
  <c r="AI21" i="8"/>
  <c r="AI23" i="8"/>
  <c r="AJ23" i="8" s="1"/>
  <c r="BE48" i="8"/>
  <c r="AU32" i="5"/>
  <c r="BU39" i="5"/>
  <c r="AZ29" i="5"/>
  <c r="BB48" i="8"/>
  <c r="AW48" i="8"/>
  <c r="AW29" i="5" s="1"/>
  <c r="AW32" i="5" s="1"/>
  <c r="BT28" i="4"/>
  <c r="BU28" i="4" s="1"/>
  <c r="BV28" i="4" s="1"/>
  <c r="BW28" i="4" s="1"/>
  <c r="BX28" i="4" s="1"/>
  <c r="BT34" i="4"/>
  <c r="BU34" i="4" s="1"/>
  <c r="BV34" i="4" s="1"/>
  <c r="BW34" i="4" s="1"/>
  <c r="BX34" i="4" s="1"/>
  <c r="BT33" i="4"/>
  <c r="BU33" i="4" s="1"/>
  <c r="BV33" i="4" s="1"/>
  <c r="BW33" i="4" s="1"/>
  <c r="BX33" i="4" s="1"/>
  <c r="BT27" i="4"/>
  <c r="BU27" i="4" s="1"/>
  <c r="BV27" i="4" s="1"/>
  <c r="BW27" i="4" s="1"/>
  <c r="BX27" i="4" s="1"/>
  <c r="BS20" i="2"/>
  <c r="BO36" i="8" l="1"/>
  <c r="BP36" i="8" s="1"/>
  <c r="BQ36" i="8" s="1"/>
  <c r="BR36" i="8" s="1"/>
  <c r="BN36" i="8"/>
  <c r="BN22" i="8"/>
  <c r="BO22" i="8"/>
  <c r="BP22" i="8" s="1"/>
  <c r="BQ22" i="8" s="1"/>
  <c r="BR22" i="8" s="1"/>
  <c r="CE39" i="5"/>
  <c r="CC20" i="2"/>
  <c r="BY27" i="4"/>
  <c r="BZ27" i="4" s="1"/>
  <c r="CA27" i="4" s="1"/>
  <c r="CB27" i="4" s="1"/>
  <c r="CC27" i="4" s="1"/>
  <c r="CD27" i="4" s="1"/>
  <c r="CE27" i="4" s="1"/>
  <c r="CF27" i="4" s="1"/>
  <c r="CG27" i="4" s="1"/>
  <c r="CH27" i="4" s="1"/>
  <c r="CI27" i="4" s="1"/>
  <c r="CJ27" i="4" s="1"/>
  <c r="CK27" i="4" s="1"/>
  <c r="CL27" i="4" s="1"/>
  <c r="CM27" i="4" s="1"/>
  <c r="BY34" i="4"/>
  <c r="BZ34" i="4" s="1"/>
  <c r="CA34" i="4" s="1"/>
  <c r="CB34" i="4" s="1"/>
  <c r="CC34" i="4" s="1"/>
  <c r="CD34" i="4" s="1"/>
  <c r="CE34" i="4" s="1"/>
  <c r="CF34" i="4" s="1"/>
  <c r="CG34" i="4" s="1"/>
  <c r="CH34" i="4" s="1"/>
  <c r="CI34" i="4" s="1"/>
  <c r="CJ34" i="4" s="1"/>
  <c r="CK34" i="4" s="1"/>
  <c r="CL34" i="4" s="1"/>
  <c r="CM34" i="4" s="1"/>
  <c r="BY33" i="4"/>
  <c r="BZ33" i="4" s="1"/>
  <c r="CA33" i="4" s="1"/>
  <c r="CB33" i="4" s="1"/>
  <c r="CC33" i="4" s="1"/>
  <c r="CD33" i="4" s="1"/>
  <c r="CE33" i="4" s="1"/>
  <c r="CF33" i="4" s="1"/>
  <c r="CG33" i="4" s="1"/>
  <c r="CH33" i="4" s="1"/>
  <c r="CI33" i="4" s="1"/>
  <c r="CJ33" i="4" s="1"/>
  <c r="CK33" i="4" s="1"/>
  <c r="CL33" i="4" s="1"/>
  <c r="CM33" i="4" s="1"/>
  <c r="BY28" i="4"/>
  <c r="BZ28" i="4" s="1"/>
  <c r="CA28" i="4" s="1"/>
  <c r="CB28" i="4" s="1"/>
  <c r="CC28" i="4" s="1"/>
  <c r="CD28" i="4" s="1"/>
  <c r="CE28" i="4" s="1"/>
  <c r="CF28" i="4" s="1"/>
  <c r="CG28" i="4" s="1"/>
  <c r="CH28" i="4" s="1"/>
  <c r="CI28" i="4" s="1"/>
  <c r="CJ28" i="4" s="1"/>
  <c r="CK28" i="4" s="1"/>
  <c r="CL28" i="4" s="1"/>
  <c r="CM28" i="4" s="1"/>
  <c r="BE29" i="5"/>
  <c r="BB29" i="5"/>
  <c r="BC48" i="8"/>
  <c r="BC29" i="5" s="1"/>
  <c r="AZ32" i="5"/>
  <c r="BF48" i="8"/>
  <c r="AX48" i="8"/>
  <c r="AX29" i="5" s="1"/>
  <c r="BJ48" i="8"/>
  <c r="BK48" i="8" s="1"/>
  <c r="BK29" i="5" s="1"/>
  <c r="BX20" i="2"/>
  <c r="AK23" i="8"/>
  <c r="AK21" i="8"/>
  <c r="AJ21" i="8"/>
  <c r="AJ18" i="4"/>
  <c r="BT36" i="8" l="1"/>
  <c r="BU36" i="8" s="1"/>
  <c r="BV36" i="8" s="1"/>
  <c r="BW36" i="8" s="1"/>
  <c r="BX36" i="8" s="1"/>
  <c r="BS36" i="8"/>
  <c r="BS22" i="8"/>
  <c r="BT22" i="8"/>
  <c r="BU22" i="8" s="1"/>
  <c r="BV22" i="8" s="1"/>
  <c r="BW22" i="8" s="1"/>
  <c r="BX22" i="8" s="1"/>
  <c r="BB32" i="5"/>
  <c r="AX32" i="5"/>
  <c r="AY32" i="5" s="1"/>
  <c r="CJ39" i="5"/>
  <c r="BE32" i="5"/>
  <c r="BK32" i="5"/>
  <c r="BC32" i="5"/>
  <c r="BD29" i="5"/>
  <c r="BF29" i="5"/>
  <c r="BJ29" i="5"/>
  <c r="BL48" i="8"/>
  <c r="BO48" i="8"/>
  <c r="BP48" i="8" s="1"/>
  <c r="BG48" i="8"/>
  <c r="BG29" i="5" s="1"/>
  <c r="AY29" i="5"/>
  <c r="I17" i="8"/>
  <c r="AL21" i="8"/>
  <c r="AL23" i="8"/>
  <c r="AJ12" i="4"/>
  <c r="BY36" i="8" l="1"/>
  <c r="BZ36" i="8" s="1"/>
  <c r="CA36" i="8" s="1"/>
  <c r="CB36" i="8" s="1"/>
  <c r="AF21" i="7"/>
  <c r="BD32" i="5"/>
  <c r="BY22" i="8"/>
  <c r="BZ22" i="8" s="1"/>
  <c r="CA22" i="8" s="1"/>
  <c r="CB22" i="8" s="1"/>
  <c r="CD22" i="8" s="1"/>
  <c r="CE22" i="8" s="1"/>
  <c r="CF22" i="8" s="1"/>
  <c r="CG22" i="8" s="1"/>
  <c r="CD48" i="8"/>
  <c r="CD29" i="5" s="1"/>
  <c r="AM21" i="8"/>
  <c r="AM23" i="8"/>
  <c r="CH20" i="2"/>
  <c r="BJ32" i="5"/>
  <c r="BG32" i="5"/>
  <c r="AE21" i="7"/>
  <c r="BY48" i="8"/>
  <c r="BY29" i="5" s="1"/>
  <c r="BT48" i="8"/>
  <c r="BT29" i="5" s="1"/>
  <c r="BM48" i="8"/>
  <c r="BM29" i="5" s="1"/>
  <c r="BL29" i="5"/>
  <c r="BF32" i="5"/>
  <c r="BQ48" i="8"/>
  <c r="BQ29" i="5" s="1"/>
  <c r="BP29" i="5"/>
  <c r="BO29" i="5"/>
  <c r="BH48" i="8"/>
  <c r="BH29" i="5" s="1"/>
  <c r="J17" i="8"/>
  <c r="AN61" i="4"/>
  <c r="CC22" i="8" l="1"/>
  <c r="AT39" i="4"/>
  <c r="CE48" i="8"/>
  <c r="CD32" i="5"/>
  <c r="CI48" i="8"/>
  <c r="CJ48" i="8" s="1"/>
  <c r="BP32" i="5"/>
  <c r="BQ32" i="5"/>
  <c r="BH32" i="5"/>
  <c r="BI32" i="5" s="1"/>
  <c r="BM32" i="5"/>
  <c r="CM20" i="2"/>
  <c r="CC36" i="8"/>
  <c r="CD36" i="8"/>
  <c r="CI22" i="8"/>
  <c r="CJ22" i="8" s="1"/>
  <c r="CK22" i="8" s="1"/>
  <c r="CL22" i="8" s="1"/>
  <c r="CM22" i="8" s="1"/>
  <c r="CH22" i="8"/>
  <c r="BZ48" i="8"/>
  <c r="BY32" i="5"/>
  <c r="BU48" i="8"/>
  <c r="BV48" i="8" s="1"/>
  <c r="BR48" i="8"/>
  <c r="BR29" i="5" s="1"/>
  <c r="BI29" i="5"/>
  <c r="BO32" i="5"/>
  <c r="BT32" i="5"/>
  <c r="BL32" i="5"/>
  <c r="BN29" i="5"/>
  <c r="L17" i="8"/>
  <c r="K17" i="8"/>
  <c r="E40" i="8"/>
  <c r="AN23" i="8"/>
  <c r="AO23" i="8" s="1"/>
  <c r="AN21" i="8"/>
  <c r="AP23" i="8" s="1"/>
  <c r="AP61" i="4"/>
  <c r="AO58" i="4"/>
  <c r="AU39" i="4" l="1"/>
  <c r="CJ29" i="5"/>
  <c r="CK48" i="8"/>
  <c r="CK29" i="5" s="1"/>
  <c r="CI29" i="5"/>
  <c r="CE29" i="5"/>
  <c r="CF48" i="8"/>
  <c r="CF29" i="5" s="1"/>
  <c r="AH21" i="7"/>
  <c r="BN32" i="5"/>
  <c r="AG21" i="7"/>
  <c r="BR32" i="5"/>
  <c r="BS32" i="5" s="1"/>
  <c r="CE36" i="8"/>
  <c r="CF36" i="8" s="1"/>
  <c r="CG36" i="8" s="1"/>
  <c r="BZ29" i="5"/>
  <c r="CA48" i="8"/>
  <c r="CA29" i="5" s="1"/>
  <c r="BU29" i="5"/>
  <c r="BS29" i="5"/>
  <c r="BV29" i="5"/>
  <c r="BW48" i="8"/>
  <c r="BW29" i="5" s="1"/>
  <c r="M17" i="8"/>
  <c r="AO21" i="8"/>
  <c r="I18" i="8"/>
  <c r="T66" i="4"/>
  <c r="AV39" i="4" l="1"/>
  <c r="CF32" i="5"/>
  <c r="CB48" i="8"/>
  <c r="CB29" i="5" s="1"/>
  <c r="CB32" i="5" s="1"/>
  <c r="CG48" i="8"/>
  <c r="CG29" i="5" s="1"/>
  <c r="CH29" i="5" s="1"/>
  <c r="CE32" i="5"/>
  <c r="CI32" i="5"/>
  <c r="CK32" i="5"/>
  <c r="CL48" i="8"/>
  <c r="CL29" i="5" s="1"/>
  <c r="CM29" i="5" s="1"/>
  <c r="CJ32" i="5"/>
  <c r="AI21" i="7"/>
  <c r="BU32" i="5"/>
  <c r="CA32" i="5"/>
  <c r="BW32" i="5"/>
  <c r="CH36" i="8"/>
  <c r="CI36" i="8"/>
  <c r="BZ32" i="5"/>
  <c r="T70" i="4"/>
  <c r="T82" i="4"/>
  <c r="BV32" i="5"/>
  <c r="BX29" i="5"/>
  <c r="U58" i="5"/>
  <c r="J18" i="8"/>
  <c r="I19" i="8"/>
  <c r="N17" i="8"/>
  <c r="AQ23" i="8"/>
  <c r="AO18" i="4"/>
  <c r="X11" i="7"/>
  <c r="U66" i="4"/>
  <c r="AW39" i="4" l="1"/>
  <c r="CC29" i="5"/>
  <c r="AL21" i="7"/>
  <c r="AM21" i="7"/>
  <c r="CG32" i="5"/>
  <c r="CH32" i="5" s="1"/>
  <c r="CL32" i="5"/>
  <c r="CM32" i="5" s="1"/>
  <c r="CC32" i="5"/>
  <c r="AJ21" i="7"/>
  <c r="BX32" i="5"/>
  <c r="CJ36" i="8"/>
  <c r="CK36" i="8" s="1"/>
  <c r="CL36" i="8" s="1"/>
  <c r="CM36" i="8" s="1"/>
  <c r="U70" i="4"/>
  <c r="T78" i="4"/>
  <c r="T74" i="4"/>
  <c r="U82" i="4"/>
  <c r="O17" i="8"/>
  <c r="L18" i="8"/>
  <c r="L19" i="8" s="1"/>
  <c r="K18" i="8"/>
  <c r="M18" i="8" s="1"/>
  <c r="J19" i="8"/>
  <c r="AT61" i="4"/>
  <c r="AO12" i="4"/>
  <c r="U10" i="4"/>
  <c r="T71" i="4"/>
  <c r="U71" i="4" s="1"/>
  <c r="X50" i="7" s="1"/>
  <c r="U26" i="4"/>
  <c r="T83" i="4"/>
  <c r="U83" i="4" s="1"/>
  <c r="AK21" i="7" l="1"/>
  <c r="AX39" i="4"/>
  <c r="U74" i="4"/>
  <c r="F40" i="8"/>
  <c r="U78" i="4"/>
  <c r="P17" i="8"/>
  <c r="Q17" i="8"/>
  <c r="J40" i="8"/>
  <c r="K19" i="8"/>
  <c r="N18" i="8"/>
  <c r="M19" i="8"/>
  <c r="M40" i="8" s="1"/>
  <c r="L40" i="8"/>
  <c r="AS23" i="8"/>
  <c r="AT23" i="8" s="1"/>
  <c r="AU61" i="4"/>
  <c r="AT58" i="4"/>
  <c r="U30" i="4"/>
  <c r="T79" i="4"/>
  <c r="U79" i="4" s="1"/>
  <c r="X52" i="7" s="1"/>
  <c r="U25" i="4"/>
  <c r="T75" i="4"/>
  <c r="U75" i="4" s="1"/>
  <c r="X51" i="7" s="1"/>
  <c r="U11" i="4"/>
  <c r="AY39" i="4" l="1"/>
  <c r="R17" i="8"/>
  <c r="AT21" i="8"/>
  <c r="AU21" i="8"/>
  <c r="AU23" i="8"/>
  <c r="O18" i="8"/>
  <c r="N19" i="8"/>
  <c r="N40" i="8" s="1"/>
  <c r="AU58" i="4"/>
  <c r="AV61" i="4"/>
  <c r="X53" i="7"/>
  <c r="AZ39" i="4" l="1"/>
  <c r="AJ82" i="4"/>
  <c r="AV21" i="8"/>
  <c r="AV23" i="8"/>
  <c r="Q19" i="8"/>
  <c r="P18" i="8"/>
  <c r="O19" i="8"/>
  <c r="O40" i="8" s="1"/>
  <c r="S17" i="8"/>
  <c r="S13" i="8" s="1"/>
  <c r="S14" i="8" s="1"/>
  <c r="T14" i="8" s="1"/>
  <c r="AW61" i="4"/>
  <c r="AV58" i="4"/>
  <c r="BA39" i="4" l="1"/>
  <c r="T15" i="8"/>
  <c r="U15" i="8" s="1"/>
  <c r="U14" i="8"/>
  <c r="Q40" i="8"/>
  <c r="AW23" i="8"/>
  <c r="AW21" i="8"/>
  <c r="R19" i="8"/>
  <c r="R40" i="8" s="1"/>
  <c r="P19" i="8"/>
  <c r="P40" i="8" s="1"/>
  <c r="AX61" i="4"/>
  <c r="AY61" i="4" s="1"/>
  <c r="AW58" i="4"/>
  <c r="AT18" i="4"/>
  <c r="U42" i="4"/>
  <c r="U46" i="4" s="1"/>
  <c r="BB39" i="4" l="1"/>
  <c r="AT23" i="5"/>
  <c r="AX21" i="8"/>
  <c r="AX23" i="8"/>
  <c r="AY23" i="8" s="1"/>
  <c r="V19" i="8"/>
  <c r="V40" i="8" s="1"/>
  <c r="S19" i="8"/>
  <c r="S40" i="8" s="1"/>
  <c r="U17" i="8"/>
  <c r="AZ61" i="4"/>
  <c r="AX58" i="4"/>
  <c r="AU18" i="4"/>
  <c r="AT12" i="4"/>
  <c r="T90" i="4"/>
  <c r="T62" i="5"/>
  <c r="U62" i="5"/>
  <c r="U70" i="5" s="1"/>
  <c r="X20" i="7"/>
  <c r="X22" i="7" s="1"/>
  <c r="BC39" i="4" l="1"/>
  <c r="T70" i="5"/>
  <c r="T19" i="8"/>
  <c r="AZ21" i="8"/>
  <c r="AZ23" i="8"/>
  <c r="AY21" i="8"/>
  <c r="AY58" i="4"/>
  <c r="BA61" i="4"/>
  <c r="AZ58" i="4"/>
  <c r="AV18" i="4"/>
  <c r="AU12" i="4"/>
  <c r="X56" i="7"/>
  <c r="T41" i="5"/>
  <c r="BD39" i="4" l="1"/>
  <c r="AU23" i="5"/>
  <c r="W18" i="8"/>
  <c r="BA21" i="8"/>
  <c r="BA23" i="8"/>
  <c r="T40" i="8"/>
  <c r="U19" i="8"/>
  <c r="U40" i="8" s="1"/>
  <c r="BB61" i="4"/>
  <c r="BA58" i="4"/>
  <c r="AW18" i="4"/>
  <c r="AV12" i="4"/>
  <c r="U43" i="5"/>
  <c r="T43" i="5"/>
  <c r="BE39" i="4" l="1"/>
  <c r="AV23" i="5"/>
  <c r="BB21" i="8"/>
  <c r="BB23" i="8"/>
  <c r="X18" i="8"/>
  <c r="Y18" i="8" s="1"/>
  <c r="Y19" i="8" s="1"/>
  <c r="W19" i="8"/>
  <c r="BC61" i="4"/>
  <c r="BD61" i="4" s="1"/>
  <c r="BB58" i="4"/>
  <c r="AX18" i="4"/>
  <c r="AW12" i="4"/>
  <c r="AW23" i="5" l="1"/>
  <c r="BF39" i="4"/>
  <c r="X19" i="8"/>
  <c r="Z17" i="8"/>
  <c r="AA19" i="8" s="1"/>
  <c r="BC21" i="8"/>
  <c r="BC23" i="8"/>
  <c r="BD23" i="8" s="1"/>
  <c r="BC58" i="4"/>
  <c r="BD58" i="4" s="1"/>
  <c r="BE61" i="4"/>
  <c r="AY18" i="4"/>
  <c r="AX12" i="4"/>
  <c r="AX23" i="5" s="1"/>
  <c r="U21" i="4"/>
  <c r="X45" i="7" s="1"/>
  <c r="T94" i="4"/>
  <c r="T96" i="4"/>
  <c r="U32" i="4"/>
  <c r="T102" i="4"/>
  <c r="T93" i="4"/>
  <c r="BG39" i="4" l="1"/>
  <c r="AY23" i="5"/>
  <c r="BE21" i="8"/>
  <c r="BE23" i="8"/>
  <c r="BD21" i="8"/>
  <c r="Z18" i="8"/>
  <c r="Z19" i="8"/>
  <c r="BF61" i="4"/>
  <c r="BE58" i="4"/>
  <c r="AZ18" i="4"/>
  <c r="X41" i="7"/>
  <c r="AY12" i="4"/>
  <c r="U35" i="4"/>
  <c r="X55" i="7"/>
  <c r="T103" i="4"/>
  <c r="U13" i="4"/>
  <c r="X33" i="7"/>
  <c r="BH39" i="4" l="1"/>
  <c r="AB18" i="8"/>
  <c r="BF21" i="8"/>
  <c r="BF23" i="8"/>
  <c r="BG61" i="4"/>
  <c r="BF58" i="4"/>
  <c r="BA18" i="4"/>
  <c r="AZ12" i="4"/>
  <c r="X57" i="7"/>
  <c r="BI39" i="4" l="1"/>
  <c r="AZ23" i="5"/>
  <c r="BG21" i="8"/>
  <c r="BG23" i="8"/>
  <c r="AC18" i="8"/>
  <c r="AD18" i="8" s="1"/>
  <c r="AD19" i="8" s="1"/>
  <c r="AB19" i="8"/>
  <c r="BH61" i="4"/>
  <c r="BI61" i="4" s="1"/>
  <c r="BG58" i="4"/>
  <c r="BB18" i="4"/>
  <c r="BA12" i="4"/>
  <c r="T53" i="4"/>
  <c r="U53" i="4" s="1"/>
  <c r="BJ39" i="4" l="1"/>
  <c r="BA23" i="5"/>
  <c r="AC19" i="8"/>
  <c r="BH21" i="8"/>
  <c r="BH23" i="8"/>
  <c r="BI23" i="8" s="1"/>
  <c r="BH58" i="4"/>
  <c r="BI58" i="4" s="1"/>
  <c r="BJ61" i="4"/>
  <c r="BC18" i="4"/>
  <c r="BB12" i="4"/>
  <c r="BK39" i="4" l="1"/>
  <c r="BB23" i="5"/>
  <c r="AE18" i="8"/>
  <c r="AG19" i="8" s="1"/>
  <c r="AE19" i="8"/>
  <c r="BJ21" i="8"/>
  <c r="BJ23" i="8"/>
  <c r="BI21" i="8"/>
  <c r="BK61" i="4"/>
  <c r="BJ58" i="4"/>
  <c r="BD18" i="4"/>
  <c r="BC12" i="4"/>
  <c r="BL39" i="4" l="1"/>
  <c r="BC23" i="5"/>
  <c r="BD23" i="5" s="1"/>
  <c r="AF19" i="8"/>
  <c r="BK21" i="8"/>
  <c r="BK23" i="8"/>
  <c r="BL61" i="4"/>
  <c r="BK58" i="4"/>
  <c r="BE18" i="4"/>
  <c r="BD12" i="4"/>
  <c r="BM39" i="4" l="1"/>
  <c r="BL23" i="8"/>
  <c r="BL21" i="8"/>
  <c r="AI19" i="8"/>
  <c r="BL58" i="4"/>
  <c r="BM61" i="4"/>
  <c r="BN61" i="4" s="1"/>
  <c r="BF18" i="4"/>
  <c r="BE12" i="4"/>
  <c r="BN39" i="4" l="1"/>
  <c r="BE23" i="5"/>
  <c r="AH19" i="8"/>
  <c r="BM21" i="8"/>
  <c r="BM23" i="8"/>
  <c r="BN23" i="8" s="1"/>
  <c r="AJ17" i="8"/>
  <c r="BO61" i="4"/>
  <c r="BM58" i="4"/>
  <c r="BN58" i="4" s="1"/>
  <c r="BG18" i="4"/>
  <c r="BF12" i="4"/>
  <c r="BO39" i="4" l="1"/>
  <c r="BF23" i="5"/>
  <c r="AJ18" i="8"/>
  <c r="AK18" i="8"/>
  <c r="AJ19" i="8"/>
  <c r="BN21" i="8"/>
  <c r="BO23" i="8"/>
  <c r="BO21" i="8"/>
  <c r="BP61" i="4"/>
  <c r="BO58" i="4"/>
  <c r="BH18" i="4"/>
  <c r="BG12" i="4"/>
  <c r="BP39" i="4" l="1"/>
  <c r="BG23" i="5"/>
  <c r="BP23" i="8"/>
  <c r="BP21" i="8"/>
  <c r="AL18" i="8"/>
  <c r="AM19" i="8" s="1"/>
  <c r="AK19" i="8"/>
  <c r="BQ61" i="4"/>
  <c r="BP58" i="4"/>
  <c r="BI18" i="4"/>
  <c r="BH12" i="4"/>
  <c r="BH23" i="5" s="1"/>
  <c r="BQ39" i="4" l="1"/>
  <c r="BI23" i="5"/>
  <c r="BQ23" i="8"/>
  <c r="BQ21" i="8"/>
  <c r="AL19" i="8"/>
  <c r="BR61" i="4"/>
  <c r="BS61" i="4" s="1"/>
  <c r="BQ58" i="4"/>
  <c r="BJ18" i="4"/>
  <c r="BI12" i="4"/>
  <c r="BR39" i="4" l="1"/>
  <c r="BR58" i="4"/>
  <c r="BS58" i="4" s="1"/>
  <c r="BT61" i="4"/>
  <c r="AN18" i="8"/>
  <c r="BR21" i="8"/>
  <c r="BT21" i="8" s="1"/>
  <c r="BR23" i="8"/>
  <c r="BS23" i="8" s="1"/>
  <c r="BK18" i="4"/>
  <c r="BJ12" i="4"/>
  <c r="BS39" i="4" l="1"/>
  <c r="BJ23" i="5"/>
  <c r="BT58" i="4"/>
  <c r="BU61" i="4"/>
  <c r="BS21" i="8"/>
  <c r="BT23" i="8"/>
  <c r="AO18" i="8"/>
  <c r="AP18" i="8"/>
  <c r="AN19" i="8"/>
  <c r="AO19" i="8" s="1"/>
  <c r="BL18" i="4"/>
  <c r="BK12" i="4"/>
  <c r="BK23" i="5" s="1"/>
  <c r="BT39" i="4" l="1"/>
  <c r="BV61" i="4"/>
  <c r="BU58" i="4"/>
  <c r="BU21" i="8"/>
  <c r="BU23" i="8"/>
  <c r="AQ18" i="8"/>
  <c r="AR18" i="8" s="1"/>
  <c r="AR19" i="8" s="1"/>
  <c r="AP19" i="8"/>
  <c r="BM18" i="4"/>
  <c r="BL12" i="4"/>
  <c r="BU39" i="4" l="1"/>
  <c r="BL23" i="5"/>
  <c r="BW61" i="4"/>
  <c r="BX61" i="4" s="1"/>
  <c r="BV58" i="4"/>
  <c r="BV21" i="8"/>
  <c r="BV23" i="8"/>
  <c r="AQ19" i="8"/>
  <c r="BN18" i="4"/>
  <c r="BM12" i="4"/>
  <c r="BM23" i="5" s="1"/>
  <c r="BV39" i="4" l="1"/>
  <c r="BN23" i="5"/>
  <c r="BW58" i="4"/>
  <c r="BX58" i="4" s="1"/>
  <c r="BY61" i="4"/>
  <c r="BW21" i="8"/>
  <c r="BW23" i="8"/>
  <c r="BX23" i="8" s="1"/>
  <c r="AS18" i="8"/>
  <c r="AT17" i="8"/>
  <c r="AU17" i="8"/>
  <c r="BO18" i="4"/>
  <c r="BN12" i="4"/>
  <c r="BW39" i="4" l="1"/>
  <c r="BZ61" i="4"/>
  <c r="BY58" i="4"/>
  <c r="BX21" i="8"/>
  <c r="BY21" i="8"/>
  <c r="BY23" i="8"/>
  <c r="AV17" i="8"/>
  <c r="AU18" i="8"/>
  <c r="AT18" i="8"/>
  <c r="AS19" i="8"/>
  <c r="AT19" i="8" s="1"/>
  <c r="BP18" i="4"/>
  <c r="BO12" i="4"/>
  <c r="BX39" i="4" l="1"/>
  <c r="BO23" i="5"/>
  <c r="CA61" i="4"/>
  <c r="BZ58" i="4"/>
  <c r="BZ21" i="8"/>
  <c r="BZ23" i="8"/>
  <c r="AW17" i="8"/>
  <c r="AV18" i="8"/>
  <c r="AU19" i="8"/>
  <c r="BQ18" i="4"/>
  <c r="BP12" i="4"/>
  <c r="BY39" i="4" l="1"/>
  <c r="BP23" i="5"/>
  <c r="CB61" i="4"/>
  <c r="CC61" i="4" s="1"/>
  <c r="CA58" i="4"/>
  <c r="CA21" i="8"/>
  <c r="CA23" i="8"/>
  <c r="AW18" i="8"/>
  <c r="AV19" i="8"/>
  <c r="AX17" i="8"/>
  <c r="BR18" i="4"/>
  <c r="BQ12" i="4"/>
  <c r="BZ39" i="4" l="1"/>
  <c r="BQ23" i="5"/>
  <c r="CB58" i="4"/>
  <c r="CC58" i="4" s="1"/>
  <c r="CD61" i="4"/>
  <c r="CB23" i="8"/>
  <c r="CC23" i="8" s="1"/>
  <c r="CB21" i="8"/>
  <c r="AY17" i="8"/>
  <c r="AZ17" i="8"/>
  <c r="AX18" i="8"/>
  <c r="AW19" i="8"/>
  <c r="BS18" i="4"/>
  <c r="BR12" i="4"/>
  <c r="BR23" i="5" s="1"/>
  <c r="CA39" i="4" l="1"/>
  <c r="BS23" i="5"/>
  <c r="CE61" i="4"/>
  <c r="CD58" i="4"/>
  <c r="CC21" i="8"/>
  <c r="CD21" i="8"/>
  <c r="CD23" i="8"/>
  <c r="BS12" i="4"/>
  <c r="BT18" i="4"/>
  <c r="BA17" i="8"/>
  <c r="AY18" i="8"/>
  <c r="AZ18" i="8"/>
  <c r="AX19" i="8"/>
  <c r="AY19" i="8" s="1"/>
  <c r="CB39" i="4" l="1"/>
  <c r="CF61" i="4"/>
  <c r="CE58" i="4"/>
  <c r="CE21" i="8"/>
  <c r="CE23" i="8"/>
  <c r="BU18" i="4"/>
  <c r="BT12" i="4"/>
  <c r="BB17" i="8"/>
  <c r="BA18" i="8"/>
  <c r="AZ19" i="8"/>
  <c r="CC39" i="4" l="1"/>
  <c r="BT23" i="5"/>
  <c r="CG61" i="4"/>
  <c r="CF58" i="4"/>
  <c r="CF21" i="8"/>
  <c r="CF23" i="8"/>
  <c r="BU12" i="4"/>
  <c r="BU23" i="5" s="1"/>
  <c r="BV18" i="4"/>
  <c r="BB18" i="8"/>
  <c r="BA19" i="8"/>
  <c r="CD39" i="4" l="1"/>
  <c r="CH61" i="4"/>
  <c r="CH58" i="4" s="1"/>
  <c r="CI61" i="4"/>
  <c r="CG58" i="4"/>
  <c r="CG21" i="8"/>
  <c r="CG23" i="8"/>
  <c r="CH23" i="8" s="1"/>
  <c r="BV12" i="4"/>
  <c r="BW18" i="4"/>
  <c r="BD17" i="8"/>
  <c r="BE17" i="8"/>
  <c r="BC18" i="8"/>
  <c r="BB19" i="8"/>
  <c r="CE39" i="4" l="1"/>
  <c r="BV23" i="5"/>
  <c r="CJ61" i="4"/>
  <c r="CI58" i="4"/>
  <c r="CH21" i="8"/>
  <c r="CI21" i="8"/>
  <c r="CI23" i="8"/>
  <c r="BX18" i="4"/>
  <c r="BW12" i="4"/>
  <c r="BD18" i="8"/>
  <c r="BC19" i="8"/>
  <c r="BD19" i="8" s="1"/>
  <c r="BF17" i="8"/>
  <c r="CF39" i="4" l="1"/>
  <c r="BW23" i="5"/>
  <c r="BX23" i="5" s="1"/>
  <c r="CK61" i="4"/>
  <c r="CJ58" i="4"/>
  <c r="CJ21" i="8"/>
  <c r="CJ23" i="8"/>
  <c r="BY18" i="4"/>
  <c r="BX12" i="4"/>
  <c r="BG17" i="8"/>
  <c r="BF18" i="8"/>
  <c r="BE19" i="8"/>
  <c r="CG39" i="4" l="1"/>
  <c r="CL61" i="4"/>
  <c r="CK58" i="4"/>
  <c r="CK21" i="8"/>
  <c r="CK23" i="8"/>
  <c r="BZ18" i="4"/>
  <c r="BY12" i="4"/>
  <c r="BG18" i="8"/>
  <c r="BF19" i="8"/>
  <c r="BH17" i="8"/>
  <c r="CH39" i="4" l="1"/>
  <c r="BY23" i="5"/>
  <c r="CL58" i="4"/>
  <c r="CM61" i="4"/>
  <c r="CM58" i="4" s="1"/>
  <c r="CL23" i="8"/>
  <c r="CM23" i="8" s="1"/>
  <c r="CL21" i="8"/>
  <c r="CM21" i="8" s="1"/>
  <c r="CA18" i="4"/>
  <c r="BZ12" i="4"/>
  <c r="BI17" i="8"/>
  <c r="BJ17" i="8"/>
  <c r="BH18" i="8"/>
  <c r="BG19" i="8"/>
  <c r="CI39" i="4" l="1"/>
  <c r="BZ23" i="5"/>
  <c r="CB18" i="4"/>
  <c r="CA12" i="4"/>
  <c r="BI18" i="8"/>
  <c r="BJ18" i="8"/>
  <c r="BH19" i="8"/>
  <c r="BI19" i="8" s="1"/>
  <c r="BK17" i="8"/>
  <c r="CJ39" i="4" l="1"/>
  <c r="CA23" i="5"/>
  <c r="CC18" i="4"/>
  <c r="CD18" i="4" s="1"/>
  <c r="CE18" i="4" s="1"/>
  <c r="CF18" i="4" s="1"/>
  <c r="CG18" i="4" s="1"/>
  <c r="CH18" i="4" s="1"/>
  <c r="CI18" i="4" s="1"/>
  <c r="CJ18" i="4" s="1"/>
  <c r="CK18" i="4" s="1"/>
  <c r="CL18" i="4" s="1"/>
  <c r="CM18" i="4" s="1"/>
  <c r="CB12" i="4"/>
  <c r="BK18" i="8"/>
  <c r="BJ19" i="8"/>
  <c r="BL17" i="8"/>
  <c r="CK39" i="4" l="1"/>
  <c r="CB23" i="5"/>
  <c r="CC23" i="5" s="1"/>
  <c r="CC12" i="4"/>
  <c r="BM17" i="8"/>
  <c r="BL18" i="8"/>
  <c r="BK19" i="8"/>
  <c r="CL39" i="4" l="1"/>
  <c r="CD12" i="4"/>
  <c r="BM18" i="8"/>
  <c r="BL19" i="8"/>
  <c r="BN17" i="8"/>
  <c r="BO17" i="8"/>
  <c r="CM39" i="4" l="1"/>
  <c r="CD23" i="5"/>
  <c r="CE12" i="4"/>
  <c r="CE23" i="5" s="1"/>
  <c r="BN18" i="8"/>
  <c r="BO18" i="8"/>
  <c r="BM19" i="8"/>
  <c r="BN19" i="8" s="1"/>
  <c r="BP17" i="8"/>
  <c r="CF12" i="4" l="1"/>
  <c r="CF23" i="5" s="1"/>
  <c r="BP18" i="8"/>
  <c r="BO19" i="8"/>
  <c r="BQ17" i="8"/>
  <c r="CG12" i="4" l="1"/>
  <c r="BR17" i="8"/>
  <c r="BQ18" i="8"/>
  <c r="BP19" i="8"/>
  <c r="CG23" i="5" l="1"/>
  <c r="CH23" i="5" s="1"/>
  <c r="CH12" i="4"/>
  <c r="BS17" i="8"/>
  <c r="BT17" i="8"/>
  <c r="BR18" i="8"/>
  <c r="BT18" i="8" s="1"/>
  <c r="BQ19" i="8"/>
  <c r="CI12" i="4" l="1"/>
  <c r="BT19" i="8"/>
  <c r="BU18" i="8"/>
  <c r="BV18" i="8" s="1"/>
  <c r="BW18" i="8" s="1"/>
  <c r="BU17" i="8"/>
  <c r="BS18" i="8"/>
  <c r="BR19" i="8"/>
  <c r="BS19" i="8" s="1"/>
  <c r="U39" i="8"/>
  <c r="U13" i="8"/>
  <c r="U33" i="8"/>
  <c r="CI23" i="5" l="1"/>
  <c r="CJ12" i="4"/>
  <c r="CJ23" i="5" s="1"/>
  <c r="BX18" i="8"/>
  <c r="BY18" i="8"/>
  <c r="BZ18" i="8" s="1"/>
  <c r="CA18" i="8" s="1"/>
  <c r="CB18" i="8" s="1"/>
  <c r="BU19" i="8"/>
  <c r="BV19" i="8"/>
  <c r="BV17" i="8"/>
  <c r="CK12" i="4" l="1"/>
  <c r="CC18" i="8"/>
  <c r="CD18" i="8"/>
  <c r="CE18" i="8" s="1"/>
  <c r="CF18" i="8" s="1"/>
  <c r="CG18" i="8" s="1"/>
  <c r="BW17" i="8"/>
  <c r="BW19" i="8"/>
  <c r="BX19" i="8" s="1"/>
  <c r="CK23" i="5" l="1"/>
  <c r="CL12" i="4"/>
  <c r="CL23" i="5" s="1"/>
  <c r="CH18" i="8"/>
  <c r="CI18" i="8"/>
  <c r="CJ18" i="8" s="1"/>
  <c r="CK18" i="8" s="1"/>
  <c r="CL18" i="8" s="1"/>
  <c r="CM18" i="8" s="1"/>
  <c r="BX17" i="8"/>
  <c r="BY19" i="8"/>
  <c r="BY17" i="8"/>
  <c r="CM23" i="5" l="1"/>
  <c r="CM12" i="4"/>
  <c r="BZ17" i="8"/>
  <c r="BZ19" i="8"/>
  <c r="CA17" i="8" l="1"/>
  <c r="CA19" i="8"/>
  <c r="CB19" i="8" l="1"/>
  <c r="CC19" i="8" s="1"/>
  <c r="CB17" i="8"/>
  <c r="CC17" i="8" l="1"/>
  <c r="CD19" i="8"/>
  <c r="CD17" i="8"/>
  <c r="I48" i="8"/>
  <c r="CE19" i="8" l="1"/>
  <c r="CE17" i="8"/>
  <c r="CF17" i="8" l="1"/>
  <c r="CF19" i="8"/>
  <c r="J48" i="8"/>
  <c r="K48" i="8" l="1"/>
  <c r="CG17" i="8"/>
  <c r="CG19" i="8"/>
  <c r="CH19" i="8" s="1"/>
  <c r="J62" i="5"/>
  <c r="J63" i="5" s="1"/>
  <c r="J64" i="5" l="1"/>
  <c r="J66" i="5"/>
  <c r="J67" i="5" s="1"/>
  <c r="CH17" i="8"/>
  <c r="CI17" i="8"/>
  <c r="CI19" i="8"/>
  <c r="J70" i="5"/>
  <c r="CJ17" i="8" l="1"/>
  <c r="CJ19" i="8"/>
  <c r="V20" i="7"/>
  <c r="V22" i="7" s="1"/>
  <c r="V72" i="7" s="1"/>
  <c r="K62" i="5"/>
  <c r="K63" i="5" s="1"/>
  <c r="K66" i="5" l="1"/>
  <c r="K67" i="5" s="1"/>
  <c r="K64" i="5"/>
  <c r="V24" i="7"/>
  <c r="V25" i="7" s="1"/>
  <c r="CK17" i="8"/>
  <c r="CK19" i="8"/>
  <c r="V29" i="7"/>
  <c r="V30" i="7" s="1"/>
  <c r="V23" i="7"/>
  <c r="V26" i="7"/>
  <c r="K70" i="5"/>
  <c r="M49" i="8"/>
  <c r="M57" i="5"/>
  <c r="O57" i="5"/>
  <c r="N57" i="5"/>
  <c r="O49" i="8"/>
  <c r="N49" i="8"/>
  <c r="V31" i="7" l="1"/>
  <c r="CL17" i="8"/>
  <c r="CM17" i="8" s="1"/>
  <c r="CL19" i="8"/>
  <c r="CM19" i="8" s="1"/>
  <c r="P49" i="8"/>
  <c r="M62" i="5"/>
  <c r="M63" i="5" s="1"/>
  <c r="M64" i="5" l="1"/>
  <c r="N62" i="5"/>
  <c r="M66" i="5"/>
  <c r="M67" i="5" s="1"/>
  <c r="M70" i="5"/>
  <c r="R63" i="5"/>
  <c r="N64" i="5" l="1"/>
  <c r="N63" i="5"/>
  <c r="N66" i="5"/>
  <c r="N67" i="5" s="1"/>
  <c r="N70" i="5"/>
  <c r="S63" i="5"/>
  <c r="R67" i="5"/>
  <c r="S67" i="5" l="1"/>
  <c r="W20" i="7" l="1"/>
  <c r="O48" i="8"/>
  <c r="P48" i="8" s="1"/>
  <c r="P50" i="8" s="1"/>
  <c r="W21" i="7"/>
  <c r="W22" i="7" l="1"/>
  <c r="W29" i="7" s="1"/>
  <c r="W26" i="7" l="1"/>
  <c r="W23" i="7"/>
  <c r="W24" i="7"/>
  <c r="W25" i="7" s="1"/>
  <c r="W72" i="7"/>
  <c r="W30" i="7"/>
  <c r="W31" i="7"/>
  <c r="O69" i="5"/>
  <c r="O62" i="5"/>
  <c r="P62" i="5"/>
  <c r="P64" i="5" s="1"/>
  <c r="P69" i="5"/>
  <c r="O63" i="5" l="1"/>
  <c r="O64" i="5"/>
  <c r="O70" i="5"/>
  <c r="P70" i="5"/>
  <c r="T63" i="5"/>
  <c r="O66" i="5"/>
  <c r="P63" i="5"/>
  <c r="P66" i="5"/>
  <c r="U63" i="5"/>
  <c r="O67" i="5" l="1"/>
  <c r="P67" i="5"/>
  <c r="W14" i="8"/>
  <c r="X14" i="8" s="1"/>
  <c r="Y14" i="8" s="1"/>
  <c r="Y15" i="8" s="1"/>
  <c r="Y40" i="8" s="1"/>
  <c r="Y43" i="8" s="1"/>
  <c r="Z14" i="8" l="1"/>
  <c r="W32" i="5" l="1"/>
  <c r="X32" i="5"/>
  <c r="Y21" i="7" l="1"/>
  <c r="V32" i="5"/>
  <c r="Z45" i="4" l="1"/>
  <c r="AE45" i="4" l="1"/>
  <c r="AJ45" i="4" s="1"/>
  <c r="AO45" i="4" s="1"/>
  <c r="AT45" i="4" s="1"/>
  <c r="AU45" i="4" s="1"/>
  <c r="AV45" i="4" s="1"/>
  <c r="AW45" i="4" s="1"/>
  <c r="AX45" i="4" s="1"/>
  <c r="AY45" i="4" s="1"/>
  <c r="AZ45" i="4" s="1"/>
  <c r="BA45" i="4" s="1"/>
  <c r="BB45" i="4" s="1"/>
  <c r="BC45" i="4" s="1"/>
  <c r="BD45" i="4" s="1"/>
  <c r="BE45" i="4" s="1"/>
  <c r="BF45" i="4" s="1"/>
  <c r="BG45" i="4" s="1"/>
  <c r="BH45" i="4" s="1"/>
  <c r="BI45" i="4" s="1"/>
  <c r="BJ45" i="4" s="1"/>
  <c r="BK45" i="4" s="1"/>
  <c r="BL45" i="4" s="1"/>
  <c r="BM45" i="4" s="1"/>
  <c r="BN45" i="4" s="1"/>
  <c r="BO45" i="4" s="1"/>
  <c r="BP45" i="4" s="1"/>
  <c r="BQ45" i="4" s="1"/>
  <c r="BR45" i="4" s="1"/>
  <c r="BS45" i="4" s="1"/>
  <c r="BT45" i="4" s="1"/>
  <c r="BU45" i="4" s="1"/>
  <c r="BV45" i="4" s="1"/>
  <c r="BW45" i="4" s="1"/>
  <c r="BX45" i="4" s="1"/>
  <c r="BY45" i="4" s="1"/>
  <c r="BZ45" i="4" s="1"/>
  <c r="CA45" i="4" s="1"/>
  <c r="CB45" i="4" s="1"/>
  <c r="CC45" i="4" s="1"/>
  <c r="CD45" i="4" s="1"/>
  <c r="CE45" i="4" s="1"/>
  <c r="CF45" i="4" s="1"/>
  <c r="CG45" i="4" s="1"/>
  <c r="CH45" i="4" s="1"/>
  <c r="CI45" i="4" s="1"/>
  <c r="CJ45" i="4" s="1"/>
  <c r="CK45" i="4" s="1"/>
  <c r="CL45" i="4" s="1"/>
  <c r="CM45" i="4" s="1"/>
  <c r="Z58" i="4"/>
  <c r="W56" i="4" l="1"/>
  <c r="X56" i="4" l="1"/>
  <c r="X57" i="4" s="1"/>
  <c r="W57" i="4"/>
  <c r="Y69" i="8" l="1"/>
  <c r="Y68" i="2" l="1"/>
  <c r="V69" i="8" l="1"/>
  <c r="V60" i="5" l="1"/>
  <c r="V62" i="5" l="1"/>
  <c r="V70" i="5" l="1"/>
  <c r="V63" i="5"/>
  <c r="V64" i="5"/>
  <c r="V66" i="5"/>
  <c r="V67" i="5" s="1"/>
  <c r="V41" i="5" l="1"/>
  <c r="V43" i="5" s="1"/>
  <c r="V45" i="5" s="1"/>
  <c r="V48" i="5" s="1"/>
  <c r="W15" i="8"/>
  <c r="X37" i="8" l="1"/>
  <c r="W37" i="8" l="1"/>
  <c r="Z37" i="8" l="1"/>
  <c r="W40" i="8"/>
  <c r="W43" i="8"/>
  <c r="Z29" i="4"/>
  <c r="Z35" i="8"/>
  <c r="AA37" i="8" s="1"/>
  <c r="AA40" i="8" s="1"/>
  <c r="AB37" i="8" l="1"/>
  <c r="AF37" i="8" l="1"/>
  <c r="AE35" i="8"/>
  <c r="AE37" i="8"/>
  <c r="AE29" i="4" l="1"/>
  <c r="AH37" i="8" l="1"/>
  <c r="AJ37" i="8" l="1"/>
  <c r="W46" i="8" l="1"/>
  <c r="X46" i="8" l="1"/>
  <c r="Z49" i="8" l="1"/>
  <c r="Z50" i="8" s="1"/>
  <c r="AE46" i="8" l="1"/>
  <c r="Z15" i="4"/>
  <c r="AB46" i="8" l="1"/>
  <c r="AC46" i="8" l="1"/>
  <c r="AD46" i="8" l="1"/>
  <c r="AF46" i="8" l="1"/>
  <c r="AF47" i="8" s="1"/>
  <c r="AE49" i="8"/>
  <c r="AE50" i="8" s="1"/>
  <c r="AJ46" i="8" l="1"/>
  <c r="AE15" i="4"/>
  <c r="AG46" i="8" l="1"/>
  <c r="AG47" i="8" s="1"/>
  <c r="W55" i="8" l="1"/>
  <c r="W62" i="8" l="1"/>
  <c r="X62" i="8" l="1"/>
  <c r="X63" i="8" s="1"/>
  <c r="W63" i="8"/>
  <c r="Z63" i="8" l="1"/>
  <c r="Z65" i="8" s="1"/>
  <c r="AE62" i="8"/>
  <c r="Z17" i="4"/>
  <c r="AB62" i="8" l="1"/>
  <c r="X66" i="4" l="1"/>
  <c r="Y66" i="4"/>
  <c r="W66" i="4"/>
  <c r="W70" i="4" l="1"/>
  <c r="W82" i="4"/>
  <c r="X70" i="4"/>
  <c r="X82" i="4"/>
  <c r="Y82" i="4"/>
  <c r="Z82" i="4" s="1"/>
  <c r="Y70" i="4"/>
  <c r="Z70" i="4" s="1"/>
  <c r="Z58" i="5"/>
  <c r="Y11" i="7"/>
  <c r="Z66" i="4"/>
  <c r="W69" i="8" l="1"/>
  <c r="X69" i="8"/>
  <c r="W74" i="4"/>
  <c r="W78" i="4"/>
  <c r="X78" i="4"/>
  <c r="X74" i="4"/>
  <c r="Y74" i="4"/>
  <c r="Y78" i="4"/>
  <c r="Z69" i="8"/>
  <c r="Z10" i="4"/>
  <c r="Y71" i="4"/>
  <c r="Z71" i="4" s="1"/>
  <c r="Y50" i="7" s="1"/>
  <c r="X83" i="4"/>
  <c r="Y83" i="4"/>
  <c r="Z83" i="4" s="1"/>
  <c r="Z26" i="4"/>
  <c r="W83" i="4"/>
  <c r="X71" i="4"/>
  <c r="W71" i="4"/>
  <c r="X68" i="2" l="1"/>
  <c r="X69" i="2" s="1"/>
  <c r="W68" i="2"/>
  <c r="W69" i="2" s="1"/>
  <c r="Z78" i="4"/>
  <c r="Z74" i="4"/>
  <c r="Y75" i="4"/>
  <c r="Z75" i="4" s="1"/>
  <c r="Y51" i="7" s="1"/>
  <c r="Z11" i="4"/>
  <c r="W79" i="4"/>
  <c r="W30" i="4"/>
  <c r="X30" i="4"/>
  <c r="X79" i="4"/>
  <c r="W75" i="4"/>
  <c r="Y40" i="7"/>
  <c r="Y79" i="4"/>
  <c r="Z79" i="4" s="1"/>
  <c r="Y52" i="7" s="1"/>
  <c r="Z25" i="4"/>
  <c r="Y30" i="4"/>
  <c r="Z30" i="4" s="1"/>
  <c r="X75" i="4"/>
  <c r="Y53" i="7" l="1"/>
  <c r="AB69" i="8" l="1"/>
  <c r="AD69" i="8" l="1"/>
  <c r="W60" i="5"/>
  <c r="W62" i="5" l="1"/>
  <c r="W91" i="4"/>
  <c r="W90" i="4"/>
  <c r="W66" i="5" l="1"/>
  <c r="W67" i="5" s="1"/>
  <c r="W70" i="5"/>
  <c r="W63" i="5"/>
  <c r="W64" i="5"/>
  <c r="W41" i="5"/>
  <c r="W43" i="5" l="1"/>
  <c r="W45" i="5" s="1"/>
  <c r="W48" i="5" s="1"/>
  <c r="W96" i="4" l="1"/>
  <c r="W103" i="4" s="1"/>
  <c r="W35" i="4"/>
  <c r="W37" i="4" s="1"/>
  <c r="W50" i="4" s="1"/>
  <c r="W93" i="4"/>
  <c r="W102" i="4"/>
  <c r="W13" i="4"/>
  <c r="W21" i="4" s="1"/>
  <c r="W97" i="4"/>
  <c r="W94" i="4"/>
  <c r="W53" i="4" l="1"/>
  <c r="AB66" i="4" l="1"/>
  <c r="AB82" i="4" l="1"/>
  <c r="AB70" i="4"/>
  <c r="AA66" i="4"/>
  <c r="AA82" i="4" l="1"/>
  <c r="AA70" i="4"/>
  <c r="AA83" i="4"/>
  <c r="AB83" i="4"/>
  <c r="AB78" i="4" l="1"/>
  <c r="AB74" i="4"/>
  <c r="AA69" i="8"/>
  <c r="AA78" i="4"/>
  <c r="AA74" i="4"/>
  <c r="AB71" i="4"/>
  <c r="AA71" i="4"/>
  <c r="AA30" i="4"/>
  <c r="AA79" i="4"/>
  <c r="AA75" i="4" l="1"/>
  <c r="AB75" i="4"/>
  <c r="AB79" i="4"/>
  <c r="AB30" i="4"/>
  <c r="X15" i="8" l="1"/>
  <c r="X40" i="8" s="1"/>
  <c r="X43" i="8" l="1"/>
  <c r="X90" i="4" l="1"/>
  <c r="X91" i="4"/>
  <c r="X55" i="8"/>
  <c r="X56" i="8" s="1"/>
  <c r="W56" i="8"/>
  <c r="Y55" i="8" l="1"/>
  <c r="Y56" i="8" s="1"/>
  <c r="Z56" i="8" s="1"/>
  <c r="Z58" i="8" s="1"/>
  <c r="X60" i="5"/>
  <c r="X62" i="5" l="1"/>
  <c r="Z68" i="2" l="1"/>
  <c r="X66" i="5"/>
  <c r="X67" i="5" s="1"/>
  <c r="X70" i="5"/>
  <c r="Y37" i="7"/>
  <c r="X64" i="5"/>
  <c r="X63" i="5"/>
  <c r="X41" i="5"/>
  <c r="AE55" i="8" l="1"/>
  <c r="X43" i="5"/>
  <c r="X45" i="5" s="1"/>
  <c r="Z16" i="4"/>
  <c r="Z19" i="4" s="1"/>
  <c r="X48" i="5" l="1"/>
  <c r="Z15" i="8"/>
  <c r="Z40" i="8" s="1"/>
  <c r="X13" i="4" l="1"/>
  <c r="X21" i="4" s="1"/>
  <c r="X94" i="4"/>
  <c r="X97" i="4"/>
  <c r="X35" i="4"/>
  <c r="X37" i="4" s="1"/>
  <c r="X50" i="4" s="1"/>
  <c r="X93" i="4"/>
  <c r="X96" i="4"/>
  <c r="X103" i="4" s="1"/>
  <c r="X102" i="4"/>
  <c r="X53" i="4" l="1"/>
  <c r="Z8" i="8"/>
  <c r="AB55" i="8"/>
  <c r="Z43" i="8"/>
  <c r="AB68" i="2" l="1"/>
  <c r="AB69" i="2" s="1"/>
  <c r="AA68" i="2"/>
  <c r="AA69" i="2" s="1"/>
  <c r="Y44" i="7" l="1"/>
  <c r="Y62" i="5" l="1"/>
  <c r="Y28" i="7"/>
  <c r="Y46" i="7"/>
  <c r="Y15" i="7"/>
  <c r="Z62" i="5"/>
  <c r="Y20" i="7"/>
  <c r="Y22" i="7" s="1"/>
  <c r="Z70" i="5" l="1"/>
  <c r="Z66" i="5"/>
  <c r="AE67" i="5" s="1"/>
  <c r="AE63" i="5"/>
  <c r="Y66" i="5"/>
  <c r="Y70" i="5"/>
  <c r="Z63" i="5"/>
  <c r="Z64" i="5"/>
  <c r="Y64" i="5"/>
  <c r="Y63" i="5"/>
  <c r="Y29" i="7"/>
  <c r="AF66" i="4" l="1"/>
  <c r="AC66" i="4"/>
  <c r="AG66" i="4"/>
  <c r="AD66" i="4"/>
  <c r="AD82" i="4" l="1"/>
  <c r="AE82" i="4" s="1"/>
  <c r="AD70" i="4"/>
  <c r="AG70" i="4"/>
  <c r="AG82" i="4"/>
  <c r="AF70" i="4"/>
  <c r="AF82" i="4"/>
  <c r="AC82" i="4"/>
  <c r="AC70" i="4"/>
  <c r="Z11" i="7"/>
  <c r="AE58" i="5"/>
  <c r="AE66" i="4"/>
  <c r="AH66" i="4"/>
  <c r="AH82" i="4" l="1"/>
  <c r="AH70" i="4"/>
  <c r="AD78" i="4"/>
  <c r="AD74" i="4"/>
  <c r="AC78" i="4"/>
  <c r="AC74" i="4"/>
  <c r="AE70" i="4"/>
  <c r="AA74" i="7"/>
  <c r="AE69" i="8"/>
  <c r="AF83" i="4"/>
  <c r="AA11" i="7"/>
  <c r="AC83" i="4"/>
  <c r="AG83" i="4"/>
  <c r="AD71" i="4"/>
  <c r="AE71" i="4" s="1"/>
  <c r="AE10" i="4"/>
  <c r="AD83" i="4"/>
  <c r="AE83" i="4" s="1"/>
  <c r="AE26" i="4"/>
  <c r="AC69" i="8"/>
  <c r="AJ66" i="4"/>
  <c r="AJ58" i="5"/>
  <c r="AC71" i="4"/>
  <c r="AE78" i="4" l="1"/>
  <c r="AE74" i="4"/>
  <c r="Z50" i="7"/>
  <c r="AJ8" i="2"/>
  <c r="AJ10" i="2" s="1"/>
  <c r="AE25" i="4"/>
  <c r="AE30" i="4" s="1"/>
  <c r="AD30" i="4"/>
  <c r="AD79" i="4"/>
  <c r="AE79" i="4" s="1"/>
  <c r="AC30" i="4"/>
  <c r="AC79" i="4"/>
  <c r="AJ26" i="4"/>
  <c r="AJ83" i="4"/>
  <c r="AC75" i="4"/>
  <c r="AH83" i="4"/>
  <c r="AE11" i="4"/>
  <c r="AD75" i="4"/>
  <c r="AE75" i="4" s="1"/>
  <c r="AJ46" i="2" l="1"/>
  <c r="AF78" i="4"/>
  <c r="AF74" i="4"/>
  <c r="AJ78" i="4"/>
  <c r="AH78" i="4"/>
  <c r="AH74" i="4"/>
  <c r="AJ11" i="4" s="1"/>
  <c r="AG78" i="4"/>
  <c r="AG74" i="4"/>
  <c r="AF71" i="4"/>
  <c r="AG71" i="4"/>
  <c r="Z51" i="7"/>
  <c r="Z52" i="7"/>
  <c r="Z40" i="7"/>
  <c r="AH69" i="8"/>
  <c r="AH30" i="4"/>
  <c r="AJ11" i="2" l="1"/>
  <c r="AI69" i="8"/>
  <c r="AJ74" i="4"/>
  <c r="AG69" i="8"/>
  <c r="AF69" i="8"/>
  <c r="Z53" i="7"/>
  <c r="AJ25" i="4"/>
  <c r="AH75" i="4"/>
  <c r="AJ75" i="4"/>
  <c r="AA51" i="7" s="1"/>
  <c r="AJ79" i="4"/>
  <c r="AA52" i="7" s="1"/>
  <c r="AH79" i="4"/>
  <c r="AG75" i="4"/>
  <c r="AF30" i="4"/>
  <c r="AF79" i="4"/>
  <c r="AF75" i="4"/>
  <c r="AG79" i="4"/>
  <c r="AG30" i="4"/>
  <c r="AJ47" i="2" l="1"/>
  <c r="AJ78" i="2"/>
  <c r="AJ60" i="2"/>
  <c r="AJ61" i="2" s="1"/>
  <c r="AJ17" i="2"/>
  <c r="AH71" i="4"/>
  <c r="AJ70" i="4"/>
  <c r="AJ66" i="2" l="1"/>
  <c r="AJ67" i="2" s="1"/>
  <c r="AJ52" i="2"/>
  <c r="AJ69" i="8"/>
  <c r="AJ42" i="2"/>
  <c r="AJ53" i="2" s="1"/>
  <c r="AJ71" i="4"/>
  <c r="AA50" i="7" s="1"/>
  <c r="AA53" i="7" s="1"/>
  <c r="AJ10" i="4"/>
  <c r="AA40" i="7" l="1"/>
  <c r="AA56" i="4"/>
  <c r="AA57" i="4" s="1"/>
  <c r="AE56" i="4" l="1"/>
  <c r="AB56" i="4"/>
  <c r="Y24" i="7"/>
  <c r="Y25" i="7" s="1"/>
  <c r="Y34" i="7"/>
  <c r="Y16" i="7"/>
  <c r="Y17" i="7" s="1"/>
  <c r="Y35" i="7" l="1"/>
  <c r="Y12" i="7"/>
  <c r="Z42" i="4"/>
  <c r="Z46" i="4" s="1"/>
  <c r="Y41" i="5" l="1"/>
  <c r="Z43" i="5" s="1"/>
  <c r="Z45" i="5" s="1"/>
  <c r="Z48" i="5" s="1"/>
  <c r="Z13" i="8"/>
  <c r="Y91" i="4"/>
  <c r="Y90" i="4"/>
  <c r="Y23" i="7"/>
  <c r="Y43" i="5" l="1"/>
  <c r="Y45" i="5" s="1"/>
  <c r="Y48" i="5" s="1"/>
  <c r="Z39" i="8"/>
  <c r="Z33" i="8"/>
  <c r="Y56" i="7"/>
  <c r="Y62" i="7" s="1"/>
  <c r="Y63" i="7" s="1"/>
  <c r="Y94" i="4" l="1"/>
  <c r="Y97" i="4"/>
  <c r="Y13" i="4"/>
  <c r="Y21" i="4" s="1"/>
  <c r="Y93" i="4"/>
  <c r="Y96" i="4"/>
  <c r="Y103" i="4" s="1"/>
  <c r="Y35" i="4"/>
  <c r="Y37" i="4" s="1"/>
  <c r="Y50" i="4" s="1"/>
  <c r="Y100" i="4"/>
  <c r="Y99" i="4"/>
  <c r="Z32" i="4"/>
  <c r="Y102" i="4"/>
  <c r="Z37" i="4" l="1"/>
  <c r="Z50" i="4" s="1"/>
  <c r="Y55" i="7"/>
  <c r="Z35" i="4"/>
  <c r="Y33" i="7"/>
  <c r="Z13" i="4"/>
  <c r="Z21" i="4" s="1"/>
  <c r="Z53" i="4" l="1"/>
  <c r="Y65" i="7"/>
  <c r="Y18" i="7" s="1"/>
  <c r="Y36" i="7"/>
  <c r="Y60" i="7"/>
  <c r="Y57" i="7"/>
  <c r="Y59" i="7"/>
  <c r="Y41" i="7"/>
  <c r="Y45" i="7"/>
  <c r="Y71" i="7" l="1"/>
  <c r="Y26" i="7"/>
  <c r="Y72" i="7"/>
  <c r="Y53" i="4"/>
  <c r="Y47" i="7"/>
  <c r="Y42" i="7"/>
  <c r="Y31" i="7"/>
  <c r="Y30" i="7"/>
  <c r="Y13" i="7"/>
  <c r="Y38" i="7"/>
  <c r="AA70" i="2"/>
  <c r="AA60" i="5" l="1"/>
  <c r="AA62" i="5" l="1"/>
  <c r="AA66" i="5" s="1"/>
  <c r="AA90" i="4"/>
  <c r="AA91" i="4"/>
  <c r="AA64" i="5" l="1"/>
  <c r="AA70" i="5"/>
  <c r="AA63" i="5"/>
  <c r="AA67" i="5"/>
  <c r="AA41" i="5"/>
  <c r="AA43" i="5" l="1"/>
  <c r="AA45" i="5" s="1"/>
  <c r="AA48" i="5" s="1"/>
  <c r="AA97" i="4" l="1"/>
  <c r="AA94" i="4"/>
  <c r="AA35" i="4"/>
  <c r="AA37" i="4" s="1"/>
  <c r="AA50" i="4" s="1"/>
  <c r="AA100" i="4"/>
  <c r="AA99" i="4"/>
  <c r="AA96" i="4"/>
  <c r="AA103" i="4" s="1"/>
  <c r="AA93" i="4"/>
  <c r="AA102" i="4"/>
  <c r="AA13" i="4"/>
  <c r="AA21" i="4" s="1"/>
  <c r="AA53" i="4" l="1"/>
  <c r="AB43" i="8"/>
  <c r="AB70" i="2" l="1"/>
  <c r="AB60" i="5" l="1"/>
  <c r="AB90" i="4" l="1"/>
  <c r="AB62" i="5"/>
  <c r="AB63" i="5" l="1"/>
  <c r="AB64" i="5"/>
  <c r="AB66" i="5"/>
  <c r="AB67" i="5" s="1"/>
  <c r="AB70" i="5"/>
  <c r="AB41" i="5"/>
  <c r="AB43" i="5" l="1"/>
  <c r="AB45" i="5" s="1"/>
  <c r="AB48" i="5" s="1"/>
  <c r="AB100" i="4" l="1"/>
  <c r="AB99" i="4"/>
  <c r="AB96" i="4"/>
  <c r="AB103" i="4" s="1"/>
  <c r="AB93" i="4"/>
  <c r="AB102" i="4"/>
  <c r="AB94" i="4"/>
  <c r="AB13" i="4"/>
  <c r="AB21" i="4" s="1"/>
  <c r="AB7" i="8"/>
  <c r="AB9" i="8" s="1"/>
  <c r="AB35" i="4"/>
  <c r="AB37" i="4" s="1"/>
  <c r="AB50" i="4" s="1"/>
  <c r="AD10" i="8" l="1"/>
  <c r="AC10" i="8"/>
  <c r="AB10" i="8"/>
  <c r="AC43" i="8"/>
  <c r="AB53" i="4"/>
  <c r="AC70" i="2" l="1"/>
  <c r="AC55" i="8" l="1"/>
  <c r="AB56" i="8"/>
  <c r="AC60" i="5" l="1"/>
  <c r="AC62" i="5" l="1"/>
  <c r="AC68" i="2"/>
  <c r="AC69" i="2" s="1"/>
  <c r="AC63" i="5" l="1"/>
  <c r="AC64" i="5"/>
  <c r="AC66" i="5"/>
  <c r="AC67" i="5" s="1"/>
  <c r="AC70" i="5"/>
  <c r="AC62" i="8"/>
  <c r="AB63" i="8"/>
  <c r="AC56" i="4" l="1"/>
  <c r="AC57" i="4" s="1"/>
  <c r="AB97" i="4"/>
  <c r="AB57" i="4"/>
  <c r="AB91" i="4"/>
  <c r="Z34" i="7" l="1"/>
  <c r="Z35" i="7" s="1"/>
  <c r="AC41" i="5"/>
  <c r="Z12" i="7" l="1"/>
  <c r="AC43" i="5"/>
  <c r="AC45" i="5" s="1"/>
  <c r="AC90" i="4"/>
  <c r="AC91" i="4"/>
  <c r="AC48" i="5" l="1"/>
  <c r="AC13" i="4" l="1"/>
  <c r="AC21" i="4" s="1"/>
  <c r="AC97" i="4"/>
  <c r="AC94" i="4"/>
  <c r="AC35" i="4"/>
  <c r="AC37" i="4" s="1"/>
  <c r="AC50" i="4" s="1"/>
  <c r="AC93" i="4"/>
  <c r="AC100" i="4"/>
  <c r="AC99" i="4"/>
  <c r="AC102" i="4"/>
  <c r="AC96" i="4"/>
  <c r="AC103" i="4" s="1"/>
  <c r="AC53" i="4" l="1"/>
  <c r="AD70" i="2" l="1"/>
  <c r="Z44" i="7"/>
  <c r="AE70" i="2" l="1"/>
  <c r="Z46" i="7" l="1"/>
  <c r="Z15" i="7"/>
  <c r="Z16" i="7" s="1"/>
  <c r="Z17" i="7" s="1"/>
  <c r="AE41" i="4" l="1"/>
  <c r="AE42" i="4"/>
  <c r="AE46" i="4" l="1"/>
  <c r="Z56" i="7" s="1"/>
  <c r="Z62" i="7" s="1"/>
  <c r="Z63" i="7" s="1"/>
  <c r="AJ41" i="4"/>
  <c r="AD90" i="4"/>
  <c r="AO41" i="4" l="1"/>
  <c r="AC56" i="8" l="1"/>
  <c r="AD68" i="2" l="1"/>
  <c r="AD69" i="2" s="1"/>
  <c r="Z37" i="7"/>
  <c r="AE68" i="2" l="1"/>
  <c r="AE69" i="2" s="1"/>
  <c r="AE16" i="4" l="1"/>
  <c r="AD96" i="4" l="1"/>
  <c r="AD103" i="4" s="1"/>
  <c r="AE32" i="4"/>
  <c r="AD35" i="4"/>
  <c r="AD37" i="4" s="1"/>
  <c r="AD50" i="4" s="1"/>
  <c r="AD93" i="4"/>
  <c r="AD102" i="4"/>
  <c r="AD100" i="4"/>
  <c r="AD99" i="4"/>
  <c r="Z33" i="7"/>
  <c r="AD13" i="4"/>
  <c r="AD94" i="4"/>
  <c r="Z55" i="7" l="1"/>
  <c r="Z57" i="7" s="1"/>
  <c r="AE35" i="4"/>
  <c r="AE37" i="4" s="1"/>
  <c r="AE50" i="4" s="1"/>
  <c r="AF43" i="8"/>
  <c r="AE13" i="4"/>
  <c r="Z60" i="7" l="1"/>
  <c r="Z36" i="7"/>
  <c r="Z71" i="7" s="1"/>
  <c r="Z65" i="7"/>
  <c r="Z18" i="7" s="1"/>
  <c r="Z59" i="7"/>
  <c r="Z38" i="7" l="1"/>
  <c r="Z13" i="7"/>
  <c r="AC63" i="8" l="1"/>
  <c r="AE63" i="8" s="1"/>
  <c r="AE65" i="8" s="1"/>
  <c r="AF62" i="8" l="1"/>
  <c r="AJ62" i="8" l="1"/>
  <c r="AE17" i="4"/>
  <c r="AE19" i="4" s="1"/>
  <c r="AD21" i="4" l="1"/>
  <c r="AE21" i="4"/>
  <c r="AD53" i="4" l="1"/>
  <c r="AE53" i="4" s="1"/>
  <c r="Z45" i="7" l="1"/>
  <c r="Z41" i="7"/>
  <c r="Z47" i="7" l="1"/>
  <c r="Z42" i="7"/>
  <c r="AF56" i="4" l="1"/>
  <c r="AJ56" i="4" s="1"/>
  <c r="AD97" i="4"/>
  <c r="AD57" i="4"/>
  <c r="AE57" i="4" s="1"/>
  <c r="AE59" i="4" s="1"/>
  <c r="AD91" i="4"/>
  <c r="AG57" i="4" l="1"/>
  <c r="AD15" i="5" l="1"/>
  <c r="AD24" i="5" l="1"/>
  <c r="AD60" i="5" s="1"/>
  <c r="AE70" i="5"/>
  <c r="Z20" i="7"/>
  <c r="Z22" i="7" s="1"/>
  <c r="AD62" i="5" l="1"/>
  <c r="AI63" i="5" s="1"/>
  <c r="Z72" i="7"/>
  <c r="Z26" i="7"/>
  <c r="Z23" i="7"/>
  <c r="Z24" i="7"/>
  <c r="Z25" i="7" s="1"/>
  <c r="AD70" i="5" l="1"/>
  <c r="AD64" i="5"/>
  <c r="AD66" i="5"/>
  <c r="AD63" i="5"/>
  <c r="AD67" i="5" l="1"/>
  <c r="AI67" i="5"/>
  <c r="AD35" i="5" l="1"/>
  <c r="AE13" i="8" l="1"/>
  <c r="AD41" i="5"/>
  <c r="AE33" i="8" l="1"/>
  <c r="AE39" i="8"/>
  <c r="AD43" i="5"/>
  <c r="AD45" i="5" s="1"/>
  <c r="AE43" i="5"/>
  <c r="AE45" i="5" s="1"/>
  <c r="AE48" i="5" s="1"/>
  <c r="AD48" i="5" l="1"/>
  <c r="AF70" i="2" l="1"/>
  <c r="AF37" i="2" l="1"/>
  <c r="AF57" i="2" s="1"/>
  <c r="AF36" i="2"/>
  <c r="AD56" i="8" l="1"/>
  <c r="AE56" i="8" s="1"/>
  <c r="AE58" i="8" s="1"/>
  <c r="AF55" i="8"/>
  <c r="AF91" i="4" l="1"/>
  <c r="AF90" i="4"/>
  <c r="AF102" i="4"/>
  <c r="AF103" i="4"/>
  <c r="AJ55" i="8"/>
  <c r="AF60" i="5" l="1"/>
  <c r="AF99" i="4" l="1"/>
  <c r="AF100" i="4"/>
  <c r="AF68" i="2"/>
  <c r="AF69" i="2" s="1"/>
  <c r="AF66" i="5" l="1"/>
  <c r="AF67" i="5" s="1"/>
  <c r="AF63" i="5"/>
  <c r="AF70" i="5"/>
  <c r="AF64" i="5"/>
  <c r="AF41" i="5"/>
  <c r="AF43" i="5" l="1"/>
  <c r="AF45" i="5" s="1"/>
  <c r="AF48" i="5" l="1"/>
  <c r="AF35" i="4"/>
  <c r="AF37" i="4" s="1"/>
  <c r="AF50" i="4" s="1"/>
  <c r="AF7" i="8" l="1"/>
  <c r="AF9" i="8" s="1"/>
  <c r="AI10" i="8" s="1"/>
  <c r="AF13" i="4"/>
  <c r="AF21" i="4" s="1"/>
  <c r="AF53" i="4" s="1"/>
  <c r="AF10" i="8" l="1"/>
  <c r="AH10" i="8"/>
  <c r="AG10" i="8"/>
  <c r="AG70" i="2" l="1"/>
  <c r="AF57" i="4" l="1"/>
  <c r="AH56" i="4" l="1"/>
  <c r="AG97" i="4"/>
  <c r="AG37" i="2"/>
  <c r="AG57" i="2" s="1"/>
  <c r="AI38" i="5"/>
  <c r="AI60" i="5" s="1"/>
  <c r="AG36" i="2"/>
  <c r="AI41" i="5" l="1"/>
  <c r="AK56" i="4"/>
  <c r="AJ34" i="2"/>
  <c r="AJ33" i="2"/>
  <c r="AA34" i="7" l="1"/>
  <c r="AA35" i="7" s="1"/>
  <c r="AJ66" i="5"/>
  <c r="AJ67" i="5" s="1"/>
  <c r="AO56" i="4"/>
  <c r="AK57" i="4"/>
  <c r="AO57" i="4" s="1"/>
  <c r="AA12" i="7" l="1"/>
  <c r="AO59" i="4"/>
  <c r="AQ57" i="4" s="1"/>
  <c r="AG90" i="4"/>
  <c r="AG102" i="4"/>
  <c r="AG103" i="4"/>
  <c r="AG91" i="4"/>
  <c r="AT56" i="4" l="1"/>
  <c r="AO34" i="2"/>
  <c r="AB34" i="7" s="1"/>
  <c r="AB35" i="7" s="1"/>
  <c r="AO33" i="2" l="1"/>
  <c r="AT38" i="5" l="1"/>
  <c r="AF56" i="8" l="1"/>
  <c r="AF63" i="8" l="1"/>
  <c r="AG32" i="5" l="1"/>
  <c r="AH32" i="5" l="1"/>
  <c r="AG60" i="5" l="1"/>
  <c r="AG99" i="4" l="1"/>
  <c r="AG100" i="4"/>
  <c r="AG68" i="2"/>
  <c r="AG69" i="2" s="1"/>
  <c r="AG66" i="5" l="1"/>
  <c r="AG67" i="5" s="1"/>
  <c r="AG63" i="5"/>
  <c r="AG64" i="5"/>
  <c r="AG70" i="5"/>
  <c r="AG41" i="5"/>
  <c r="AG43" i="5" l="1"/>
  <c r="AG45" i="5" s="1"/>
  <c r="AG48" i="5" l="1"/>
  <c r="AG35" i="4"/>
  <c r="AG37" i="4" s="1"/>
  <c r="AG50" i="4" s="1"/>
  <c r="AG13" i="4" l="1"/>
  <c r="AG21" i="4" s="1"/>
  <c r="AG53" i="4" s="1"/>
  <c r="AK46" i="8"/>
  <c r="AK47" i="8" s="1"/>
  <c r="AO46" i="8" l="1"/>
  <c r="AJ15" i="4"/>
  <c r="AH43" i="8"/>
  <c r="AH70" i="2" l="1"/>
  <c r="AL46" i="8"/>
  <c r="AL47" i="8" s="1"/>
  <c r="AH37" i="2" l="1"/>
  <c r="AH57" i="2" s="1"/>
  <c r="AH36" i="2"/>
  <c r="AH103" i="4" l="1"/>
  <c r="AH91" i="4"/>
  <c r="AH90" i="4"/>
  <c r="AN46" i="8" l="1"/>
  <c r="AO15" i="4" l="1"/>
  <c r="AG56" i="8" l="1"/>
  <c r="AH60" i="5" l="1"/>
  <c r="AH68" i="2" l="1"/>
  <c r="AH69" i="2" s="1"/>
  <c r="AH100" i="4"/>
  <c r="AH66" i="5" l="1"/>
  <c r="AH67" i="5" s="1"/>
  <c r="AH63" i="5"/>
  <c r="AH64" i="5"/>
  <c r="AH70" i="5"/>
  <c r="AH41" i="5"/>
  <c r="AH43" i="5" l="1"/>
  <c r="AH45" i="5" s="1"/>
  <c r="AH48" i="5" l="1"/>
  <c r="AH35" i="4"/>
  <c r="AH37" i="4" s="1"/>
  <c r="AH50" i="4" s="1"/>
  <c r="AH13" i="4" l="1"/>
  <c r="AJ18" i="2"/>
  <c r="AJ41" i="8" l="1"/>
  <c r="AJ43" i="8"/>
  <c r="AJ8" i="8"/>
  <c r="AJ19" i="2" l="1"/>
  <c r="AJ21" i="2" s="1"/>
  <c r="AJ54" i="2" s="1"/>
  <c r="AI70" i="2" l="1"/>
  <c r="AJ22" i="2"/>
  <c r="AJ71" i="2" s="1"/>
  <c r="AJ57" i="5" l="1"/>
  <c r="AJ24" i="2"/>
  <c r="AI64" i="5"/>
  <c r="AA44" i="7"/>
  <c r="AJ70" i="2"/>
  <c r="AJ72" i="2" l="1"/>
  <c r="AJ55" i="2"/>
  <c r="AJ31" i="2"/>
  <c r="AJ64" i="5"/>
  <c r="AA46" i="7"/>
  <c r="AA15" i="7"/>
  <c r="AA16" i="7" s="1"/>
  <c r="AA17" i="7" s="1"/>
  <c r="AJ36" i="2"/>
  <c r="AJ37" i="2"/>
  <c r="AJ57" i="2" s="1"/>
  <c r="AI36" i="2"/>
  <c r="AI37" i="2"/>
  <c r="AI57" i="2" s="1"/>
  <c r="AA28" i="7"/>
  <c r="AJ40" i="2" l="1"/>
  <c r="AJ39" i="2"/>
  <c r="AJ42" i="4"/>
  <c r="AJ46" i="4" s="1"/>
  <c r="AA56" i="7" l="1"/>
  <c r="AA62" i="7" s="1"/>
  <c r="AA63" i="7" s="1"/>
  <c r="AI91" i="4"/>
  <c r="AI90" i="4"/>
  <c r="AH62" i="8" l="1"/>
  <c r="AH63" i="8" s="1"/>
  <c r="AH21" i="4"/>
  <c r="AH53" i="4" s="1"/>
  <c r="AG63" i="8"/>
  <c r="AJ63" i="8" l="1"/>
  <c r="AJ65" i="8" s="1"/>
  <c r="AK62" i="8"/>
  <c r="AJ17" i="4"/>
  <c r="AO62" i="8" l="1"/>
  <c r="AK63" i="8"/>
  <c r="AL62" i="8"/>
  <c r="AL63" i="8" s="1"/>
  <c r="AN62" i="8" l="1"/>
  <c r="AN63" i="8" s="1"/>
  <c r="AO63" i="8" s="1"/>
  <c r="AO65" i="8" s="1"/>
  <c r="AT62" i="8" l="1"/>
  <c r="AO17" i="4"/>
  <c r="AH56" i="8" l="1"/>
  <c r="AJ56" i="8" s="1"/>
  <c r="AJ13" i="8" l="1"/>
  <c r="AJ33" i="8" l="1"/>
  <c r="AI93" i="4" l="1"/>
  <c r="AJ32" i="4"/>
  <c r="AI35" i="4"/>
  <c r="AJ35" i="4" l="1"/>
  <c r="AK55" i="8" l="1"/>
  <c r="AO55" i="8" s="1"/>
  <c r="AJ57" i="8"/>
  <c r="AJ58" i="8" s="1"/>
  <c r="AI43" i="5" l="1"/>
  <c r="AI45" i="5" s="1"/>
  <c r="AJ16" i="4"/>
  <c r="AJ19" i="4" s="1"/>
  <c r="AI48" i="5" l="1"/>
  <c r="AI94" i="4"/>
  <c r="AJ9" i="4"/>
  <c r="AI13" i="4" l="1"/>
  <c r="AI21" i="4" s="1"/>
  <c r="AJ21" i="4" s="1"/>
  <c r="AA33" i="7"/>
  <c r="AJ13" i="4"/>
  <c r="AK43" i="8"/>
  <c r="AO43" i="8" s="1"/>
  <c r="AK68" i="2"/>
  <c r="AK69" i="2" s="1"/>
  <c r="AA41" i="7" l="1"/>
  <c r="AA45" i="7"/>
  <c r="AA47" i="7" l="1"/>
  <c r="AA42" i="7"/>
  <c r="AI48" i="8" l="1"/>
  <c r="AA21" i="7"/>
  <c r="AI97" i="4"/>
  <c r="AI102" i="4"/>
  <c r="AI39" i="8"/>
  <c r="AJ39" i="8" s="1"/>
  <c r="AI96" i="4"/>
  <c r="AI103" i="4" s="1"/>
  <c r="AI30" i="4"/>
  <c r="AJ48" i="8" l="1"/>
  <c r="AJ30" i="4"/>
  <c r="AI37" i="4"/>
  <c r="AI50" i="4" s="1"/>
  <c r="AJ50" i="4" s="1"/>
  <c r="AJ29" i="4"/>
  <c r="AI35" i="8"/>
  <c r="AJ37" i="4" l="1"/>
  <c r="AI53" i="4"/>
  <c r="AJ53" i="4" s="1"/>
  <c r="AJ35" i="8"/>
  <c r="AK37" i="8"/>
  <c r="AA55" i="7"/>
  <c r="AA65" i="7" l="1"/>
  <c r="AA18" i="7" s="1"/>
  <c r="AA57" i="7"/>
  <c r="AA36" i="7"/>
  <c r="AA71" i="7" l="1"/>
  <c r="AK70" i="2"/>
  <c r="AA13" i="7"/>
  <c r="AK37" i="2" l="1"/>
  <c r="AK57" i="2" s="1"/>
  <c r="AK36" i="2"/>
  <c r="AK90" i="4" l="1"/>
  <c r="AK91" i="4"/>
  <c r="AK41" i="5" l="1"/>
  <c r="AK13" i="4" l="1"/>
  <c r="AK21" i="4" s="1"/>
  <c r="AK94" i="4"/>
  <c r="AK7" i="8"/>
  <c r="AK35" i="4"/>
  <c r="AK93" i="4"/>
  <c r="AK9" i="8" l="1"/>
  <c r="AK10" i="8" s="1"/>
  <c r="AI49" i="8" l="1"/>
  <c r="AJ49" i="8" l="1"/>
  <c r="AJ50" i="8" s="1"/>
  <c r="AI47" i="8"/>
  <c r="AI99" i="4"/>
  <c r="AJ68" i="2"/>
  <c r="AJ69" i="2" s="1"/>
  <c r="AI100" i="4"/>
  <c r="AI68" i="2"/>
  <c r="AI69" i="2" s="1"/>
  <c r="AJ43" i="5"/>
  <c r="AJ45" i="5" s="1"/>
  <c r="AJ48" i="5" s="1"/>
  <c r="AA20" i="7"/>
  <c r="AA22" i="7" s="1"/>
  <c r="AA72" i="7" s="1"/>
  <c r="AJ70" i="5"/>
  <c r="AA37" i="7" l="1"/>
  <c r="AA38" i="7" s="1"/>
  <c r="AA24" i="7"/>
  <c r="AA25" i="7" s="1"/>
  <c r="AA29" i="7"/>
  <c r="AA26" i="7"/>
  <c r="AA23" i="7"/>
  <c r="AA60" i="7" l="1"/>
  <c r="AA59" i="7"/>
  <c r="AA30" i="7"/>
  <c r="AA31" i="7"/>
  <c r="AK60" i="5"/>
  <c r="AM58" i="5"/>
  <c r="AN58" i="5" s="1"/>
  <c r="AP58" i="5" l="1"/>
  <c r="AK43" i="5"/>
  <c r="AK45" i="5" s="1"/>
  <c r="AK48" i="5" s="1"/>
  <c r="AK64" i="5"/>
  <c r="AK66" i="5" l="1"/>
  <c r="AK67" i="5" s="1"/>
  <c r="AK63" i="5"/>
  <c r="AK70" i="5"/>
  <c r="AQ58" i="5"/>
  <c r="AR58" i="5" l="1"/>
  <c r="AS58" i="5" l="1"/>
  <c r="AU58" i="5" l="1"/>
  <c r="AV58" i="5" l="1"/>
  <c r="AW58" i="5" l="1"/>
  <c r="AX58" i="5" s="1"/>
  <c r="AL55" i="8" l="1"/>
  <c r="AL56" i="8" s="1"/>
  <c r="AK56" i="8"/>
  <c r="AK99" i="4" l="1"/>
  <c r="AK100" i="4"/>
  <c r="AK97" i="4"/>
  <c r="AK102" i="4"/>
  <c r="AK30" i="4"/>
  <c r="AK35" i="8"/>
  <c r="AL37" i="8" s="1"/>
  <c r="AK96" i="4"/>
  <c r="AK103" i="4" s="1"/>
  <c r="AK37" i="4" l="1"/>
  <c r="AK50" i="4" l="1"/>
  <c r="AK53" i="4" s="1"/>
  <c r="AL68" i="2" l="1"/>
  <c r="AL69" i="2" s="1"/>
  <c r="AL70" i="2"/>
  <c r="AL37" i="2" l="1"/>
  <c r="AL57" i="2" s="1"/>
  <c r="AL36" i="2"/>
  <c r="AB48" i="7" l="1"/>
  <c r="AL91" i="4" l="1"/>
  <c r="AL90" i="4"/>
  <c r="AL63" i="5" l="1"/>
  <c r="AL64" i="5"/>
  <c r="AL66" i="5"/>
  <c r="AL67" i="5" s="1"/>
  <c r="AL7" i="8" l="1"/>
  <c r="AL13" i="4"/>
  <c r="AL94" i="4"/>
  <c r="AL93" i="4"/>
  <c r="AL35" i="4"/>
  <c r="AL9" i="8" l="1"/>
  <c r="AL10" i="8" l="1"/>
  <c r="AL21" i="4" l="1"/>
  <c r="AN55" i="8" l="1"/>
  <c r="AN56" i="8" s="1"/>
  <c r="AO56" i="8" s="1"/>
  <c r="AO58" i="8" l="1"/>
  <c r="AO16" i="4" l="1"/>
  <c r="AO19" i="4" s="1"/>
  <c r="AT55" i="8"/>
  <c r="AL96" i="4" l="1"/>
  <c r="AL103" i="4" s="1"/>
  <c r="AL30" i="4"/>
  <c r="AL99" i="4"/>
  <c r="AL100" i="4"/>
  <c r="AL97" i="4"/>
  <c r="AL102" i="4"/>
  <c r="AL35" i="8"/>
  <c r="AM37" i="8" s="1"/>
  <c r="AL37" i="4" l="1"/>
  <c r="AO35" i="8"/>
  <c r="AL50" i="4" l="1"/>
  <c r="AL53" i="4" s="1"/>
  <c r="AO37" i="8"/>
  <c r="AO29" i="4"/>
  <c r="AQ37" i="8"/>
  <c r="AT37" i="8" l="1"/>
  <c r="AU37" i="8"/>
  <c r="AT35" i="8"/>
  <c r="AU35" i="8" s="1"/>
  <c r="AT29" i="4" l="1"/>
  <c r="AU29" i="4"/>
  <c r="AV35" i="8"/>
  <c r="AV37" i="8"/>
  <c r="AV29" i="4" l="1"/>
  <c r="AW35" i="8"/>
  <c r="AW37" i="8"/>
  <c r="AX37" i="8" l="1"/>
  <c r="AX35" i="8"/>
  <c r="AW29" i="4"/>
  <c r="AZ37" i="8" l="1"/>
  <c r="AY35" i="8"/>
  <c r="AZ35" i="8" s="1"/>
  <c r="AX29" i="4"/>
  <c r="AY37" i="8"/>
  <c r="AY29" i="4" l="1"/>
  <c r="AZ29" i="4"/>
  <c r="BA37" i="8"/>
  <c r="BA35" i="8"/>
  <c r="BA29" i="4" l="1"/>
  <c r="BB35" i="8"/>
  <c r="BB37" i="8"/>
  <c r="BC35" i="8" l="1"/>
  <c r="BC37" i="8"/>
  <c r="BD37" i="8" s="1"/>
  <c r="BB29" i="4"/>
  <c r="BD35" i="8" l="1"/>
  <c r="BE35" i="8" s="1"/>
  <c r="BC29" i="4"/>
  <c r="BE37" i="8"/>
  <c r="BD29" i="4" l="1"/>
  <c r="BF37" i="8"/>
  <c r="BE29" i="4"/>
  <c r="BF35" i="8"/>
  <c r="BG37" i="8" l="1"/>
  <c r="BG35" i="8"/>
  <c r="BF29" i="4"/>
  <c r="BH37" i="8" l="1"/>
  <c r="BI37" i="8" s="1"/>
  <c r="BG29" i="4"/>
  <c r="BH35" i="8"/>
  <c r="BH29" i="4" l="1"/>
  <c r="BJ37" i="8"/>
  <c r="BI35" i="8"/>
  <c r="BJ35" i="8" s="1"/>
  <c r="BK37" i="8" l="1"/>
  <c r="BJ29" i="4"/>
  <c r="BK35" i="8"/>
  <c r="BI29" i="4"/>
  <c r="BL37" i="8" l="1"/>
  <c r="BK29" i="4"/>
  <c r="BL35" i="8"/>
  <c r="BM37" i="8" l="1"/>
  <c r="BL29" i="4"/>
  <c r="BM35" i="8"/>
  <c r="BO37" i="8" l="1"/>
  <c r="BN35" i="8"/>
  <c r="BO35" i="8" s="1"/>
  <c r="BM29" i="4"/>
  <c r="BN37" i="8"/>
  <c r="BN29" i="4" l="1"/>
  <c r="BO29" i="4"/>
  <c r="BP37" i="8"/>
  <c r="BP35" i="8"/>
  <c r="BP29" i="4" l="1"/>
  <c r="BQ37" i="8"/>
  <c r="BQ35" i="8"/>
  <c r="BR37" i="8" l="1"/>
  <c r="BR35" i="8"/>
  <c r="BQ29" i="4"/>
  <c r="BT37" i="8" l="1"/>
  <c r="BR29" i="4"/>
  <c r="BS35" i="8"/>
  <c r="BT35" i="8" s="1"/>
  <c r="BS37" i="8"/>
  <c r="BU37" i="8" l="1"/>
  <c r="BU35" i="8"/>
  <c r="BT29" i="4"/>
  <c r="BS29" i="4"/>
  <c r="BV37" i="8" l="1"/>
  <c r="BV35" i="8"/>
  <c r="BU29" i="4"/>
  <c r="BW37" i="8" l="1"/>
  <c r="BV29" i="4"/>
  <c r="BW35" i="8"/>
  <c r="BY37" i="8" l="1"/>
  <c r="BW29" i="4"/>
  <c r="BX35" i="8"/>
  <c r="BY35" i="8" s="1"/>
  <c r="BX37" i="8"/>
  <c r="BZ37" i="8" l="1"/>
  <c r="BZ35" i="8"/>
  <c r="BY29" i="4"/>
  <c r="BX29" i="4"/>
  <c r="CA37" i="8" l="1"/>
  <c r="CA35" i="8"/>
  <c r="BZ29" i="4"/>
  <c r="CB37" i="8" l="1"/>
  <c r="CC37" i="8" s="1"/>
  <c r="CA29" i="4"/>
  <c r="CB35" i="8"/>
  <c r="CD37" i="8" l="1"/>
  <c r="CB29" i="4"/>
  <c r="CC35" i="8"/>
  <c r="CD35" i="8" s="1"/>
  <c r="CC29" i="4" l="1"/>
  <c r="CE37" i="8"/>
  <c r="CD29" i="4"/>
  <c r="CE35" i="8"/>
  <c r="CF37" i="8" l="1"/>
  <c r="CE29" i="4"/>
  <c r="CF35" i="8"/>
  <c r="CG37" i="8" l="1"/>
  <c r="CH37" i="8" s="1"/>
  <c r="CF29" i="4"/>
  <c r="CG35" i="8"/>
  <c r="CI37" i="8" l="1"/>
  <c r="CG29" i="4"/>
  <c r="CH35" i="8"/>
  <c r="CI35" i="8" s="1"/>
  <c r="CJ37" i="8" l="1"/>
  <c r="CJ35" i="8"/>
  <c r="CI29" i="4"/>
  <c r="CH29" i="4"/>
  <c r="CK37" i="8" l="1"/>
  <c r="CK35" i="8"/>
  <c r="CJ29" i="4"/>
  <c r="CL37" i="8" l="1"/>
  <c r="CK29" i="4"/>
  <c r="CL35" i="8"/>
  <c r="CM37" i="8" l="1"/>
  <c r="CM35" i="8"/>
  <c r="CL29" i="4"/>
  <c r="CM29" i="4" l="1"/>
  <c r="AL41" i="5" l="1"/>
  <c r="AL43" i="5" l="1"/>
  <c r="AL45" i="5" s="1"/>
  <c r="AL48" i="5" s="1"/>
  <c r="AM30" i="4" l="1"/>
  <c r="T66" i="2" l="1"/>
  <c r="X40" i="7"/>
  <c r="U69" i="8"/>
  <c r="T67" i="2" l="1"/>
  <c r="Y67" i="2"/>
  <c r="T42" i="2"/>
  <c r="T21" i="2"/>
  <c r="T71" i="2" s="1"/>
  <c r="X37" i="7"/>
  <c r="U68" i="2"/>
  <c r="T69" i="8"/>
  <c r="T70" i="8" s="1"/>
  <c r="U68" i="8" s="1"/>
  <c r="U70" i="8" s="1"/>
  <c r="V68" i="8" s="1"/>
  <c r="V70" i="8" s="1"/>
  <c r="W68" i="8" s="1"/>
  <c r="W70" i="8" s="1"/>
  <c r="X68" i="8" s="1"/>
  <c r="X70" i="8" s="1"/>
  <c r="Y68" i="8" s="1"/>
  <c r="Y70" i="8" s="1"/>
  <c r="Z68" i="8" s="1"/>
  <c r="Z70" i="8" s="1"/>
  <c r="AA68" i="8" s="1"/>
  <c r="AA70" i="8" s="1"/>
  <c r="AB68" i="8" s="1"/>
  <c r="AB70" i="8" s="1"/>
  <c r="AC68" i="8" s="1"/>
  <c r="AC70" i="8" s="1"/>
  <c r="AD68" i="8" s="1"/>
  <c r="AD70" i="8" s="1"/>
  <c r="AE68" i="8" s="1"/>
  <c r="AE70" i="8" s="1"/>
  <c r="AF68" i="8" s="1"/>
  <c r="X42" i="7"/>
  <c r="T54" i="2" l="1"/>
  <c r="Y54" i="2"/>
  <c r="T53" i="2"/>
  <c r="Y53" i="2"/>
  <c r="U69" i="2"/>
  <c r="Z69" i="2"/>
  <c r="V99" i="4"/>
  <c r="V100" i="4"/>
  <c r="T100" i="4"/>
  <c r="W100" i="4"/>
  <c r="W99" i="4"/>
  <c r="T99" i="4"/>
  <c r="X99" i="4"/>
  <c r="T68" i="2"/>
  <c r="X100" i="4"/>
  <c r="X60" i="7"/>
  <c r="X59" i="7"/>
  <c r="AJ68" i="8"/>
  <c r="AJ70" i="8" s="1"/>
  <c r="AK68" i="8" s="1"/>
  <c r="AF70" i="8"/>
  <c r="AG68" i="8" s="1"/>
  <c r="AG70" i="8" s="1"/>
  <c r="AH68" i="8" s="1"/>
  <c r="AH70" i="8" s="1"/>
  <c r="AI68" i="8" s="1"/>
  <c r="AI70" i="8" s="1"/>
  <c r="T69" i="2" l="1"/>
  <c r="Y69" i="2"/>
  <c r="AK70" i="8"/>
  <c r="AL68" i="8" s="1"/>
  <c r="AL70" i="8" s="1"/>
  <c r="AM68" i="8" s="1"/>
  <c r="AM70" i="8" s="1"/>
  <c r="AN68" i="8" s="1"/>
  <c r="AO68" i="8"/>
  <c r="T41" i="8"/>
  <c r="U41" i="8" l="1"/>
  <c r="X34" i="7"/>
  <c r="X65" i="7" s="1"/>
  <c r="X24" i="7"/>
  <c r="X25" i="7" s="1"/>
  <c r="T34" i="2"/>
  <c r="U66" i="5"/>
  <c r="U67" i="5" l="1"/>
  <c r="Z67" i="5"/>
  <c r="X62" i="7"/>
  <c r="X63" i="7" s="1"/>
  <c r="X12" i="7"/>
  <c r="T66" i="5"/>
  <c r="X35" i="7"/>
  <c r="T59" i="4"/>
  <c r="V56" i="4" s="1"/>
  <c r="V57" i="4" s="1"/>
  <c r="Y67" i="5" l="1"/>
  <c r="T67" i="5"/>
  <c r="T57" i="4"/>
  <c r="U57" i="4" s="1"/>
  <c r="U59" i="4" s="1"/>
  <c r="T91" i="4"/>
  <c r="T97" i="4"/>
  <c r="X36" i="7"/>
  <c r="X26" i="7" s="1"/>
  <c r="X23" i="7"/>
  <c r="X13" i="7" l="1"/>
  <c r="X38" i="7"/>
  <c r="X71" i="7"/>
  <c r="X72" i="7"/>
  <c r="Z56" i="4"/>
  <c r="Z57" i="4"/>
  <c r="Z59" i="4" l="1"/>
  <c r="T8" i="8"/>
  <c r="T43" i="8" l="1"/>
  <c r="U8" i="8"/>
  <c r="T9" i="8"/>
  <c r="W10" i="8" l="1"/>
  <c r="V10" i="8"/>
  <c r="T10" i="8"/>
  <c r="X10" i="8"/>
  <c r="U43" i="8"/>
  <c r="X44" i="7" l="1"/>
  <c r="T24" i="2"/>
  <c r="T72" i="2" l="1"/>
  <c r="Y55" i="2"/>
  <c r="T70" i="2"/>
  <c r="U70" i="2"/>
  <c r="U57" i="5"/>
  <c r="X28" i="7"/>
  <c r="X29" i="7" s="1"/>
  <c r="T31" i="2" l="1"/>
  <c r="T55" i="2" s="1"/>
  <c r="U37" i="2"/>
  <c r="X15" i="7"/>
  <c r="X16" i="7" s="1"/>
  <c r="X17" i="7" s="1"/>
  <c r="U64" i="5"/>
  <c r="X30" i="7"/>
  <c r="X31" i="7"/>
  <c r="T37" i="2"/>
  <c r="T64" i="5"/>
  <c r="X46" i="7"/>
  <c r="X47" i="7" s="1"/>
  <c r="T57" i="5"/>
  <c r="T57" i="2" l="1"/>
  <c r="Y57" i="2"/>
  <c r="U57" i="2"/>
  <c r="Z57" i="2"/>
  <c r="T40" i="2"/>
  <c r="X18" i="7"/>
  <c r="U36" i="2" l="1"/>
  <c r="T33" i="2"/>
  <c r="T39" i="2" s="1"/>
  <c r="T36" i="2" l="1"/>
  <c r="T44" i="5" l="1"/>
  <c r="T45" i="5" s="1"/>
  <c r="T48" i="5" s="1"/>
  <c r="T49" i="5" s="1"/>
  <c r="T52" i="5" s="1"/>
  <c r="U45" i="5"/>
  <c r="U48" i="5" s="1"/>
  <c r="U49" i="5" s="1"/>
  <c r="U52" i="5" s="1"/>
  <c r="U55" i="5" l="1"/>
  <c r="Z47" i="5"/>
  <c r="Z49" i="5" s="1"/>
  <c r="V47" i="5"/>
  <c r="V49" i="5" s="1"/>
  <c r="V52" i="5" s="1"/>
  <c r="T55" i="5"/>
  <c r="AE47" i="5" l="1"/>
  <c r="AE49" i="5" s="1"/>
  <c r="AE52" i="5" s="1"/>
  <c r="V55" i="5"/>
  <c r="W47" i="5"/>
  <c r="W49" i="5" s="1"/>
  <c r="W52" i="5" s="1"/>
  <c r="W55" i="5" l="1"/>
  <c r="X47" i="5"/>
  <c r="X49" i="5" s="1"/>
  <c r="X52" i="5" s="1"/>
  <c r="AE55" i="5"/>
  <c r="AJ47" i="5"/>
  <c r="AJ49" i="5" s="1"/>
  <c r="AJ52" i="5" s="1"/>
  <c r="Z51" i="5"/>
  <c r="AA43" i="8"/>
  <c r="AB14" i="8"/>
  <c r="AC14" i="8" s="1"/>
  <c r="Z52" i="5" l="1"/>
  <c r="Z55" i="5" s="1"/>
  <c r="AJ55" i="5"/>
  <c r="AO47" i="5"/>
  <c r="AE43" i="8"/>
  <c r="X55" i="5"/>
  <c r="Y47" i="5"/>
  <c r="Y49" i="5" s="1"/>
  <c r="Y52" i="5" s="1"/>
  <c r="AC15" i="8"/>
  <c r="AC40" i="8" s="1"/>
  <c r="AD14" i="8"/>
  <c r="AB15" i="8"/>
  <c r="AB40" i="8" s="1"/>
  <c r="AA47" i="5" l="1"/>
  <c r="AA49" i="5" s="1"/>
  <c r="AA52" i="5" s="1"/>
  <c r="Y55" i="5"/>
  <c r="Z28" i="7"/>
  <c r="Z29" i="7" s="1"/>
  <c r="AE14" i="8"/>
  <c r="AD15" i="8"/>
  <c r="AD40" i="8" s="1"/>
  <c r="AF14" i="8"/>
  <c r="Z30" i="7" l="1"/>
  <c r="Z31" i="7"/>
  <c r="AA55" i="5"/>
  <c r="AB47" i="5"/>
  <c r="AB49" i="5" s="1"/>
  <c r="AB52" i="5" s="1"/>
  <c r="AG14" i="8"/>
  <c r="AF15" i="8"/>
  <c r="AE15" i="8"/>
  <c r="AE40" i="8" s="1"/>
  <c r="AB55" i="5" l="1"/>
  <c r="AC47" i="5"/>
  <c r="AC49" i="5" s="1"/>
  <c r="AC52" i="5" s="1"/>
  <c r="AF40" i="8"/>
  <c r="AH14" i="8"/>
  <c r="AG15" i="8"/>
  <c r="AG40" i="8" s="1"/>
  <c r="AC55" i="5" l="1"/>
  <c r="AD47" i="5"/>
  <c r="AD49" i="5" s="1"/>
  <c r="AD52" i="5" s="1"/>
  <c r="AH15" i="8"/>
  <c r="AH40" i="8" s="1"/>
  <c r="AI14" i="8"/>
  <c r="AK14" i="8" s="1"/>
  <c r="AL14" i="8" l="1"/>
  <c r="AM14" i="8" s="1"/>
  <c r="AK15" i="8"/>
  <c r="AF47" i="5"/>
  <c r="AF49" i="5" s="1"/>
  <c r="AF52" i="5" s="1"/>
  <c r="AD55" i="5"/>
  <c r="AI15" i="8"/>
  <c r="AJ14" i="8"/>
  <c r="AM15" i="8" l="1"/>
  <c r="AM40" i="8" s="1"/>
  <c r="AN14" i="8"/>
  <c r="AK40" i="8"/>
  <c r="AF55" i="5"/>
  <c r="AG47" i="5"/>
  <c r="AG49" i="5" s="1"/>
  <c r="AG52" i="5" s="1"/>
  <c r="AL15" i="8"/>
  <c r="AL40" i="8" s="1"/>
  <c r="AI40" i="8"/>
  <c r="AJ15" i="8"/>
  <c r="AJ40" i="8" s="1"/>
  <c r="I37" i="8"/>
  <c r="K37" i="8" s="1"/>
  <c r="K40" i="8" s="1"/>
  <c r="AN15" i="8" l="1"/>
  <c r="AN40" i="8" s="1"/>
  <c r="AP14" i="8"/>
  <c r="AG55" i="5"/>
  <c r="AH47" i="5"/>
  <c r="AH49" i="5" s="1"/>
  <c r="AH52" i="5" s="1"/>
  <c r="I40" i="8"/>
  <c r="AQ14" i="8" l="1"/>
  <c r="AO14" i="8"/>
  <c r="AI47" i="5"/>
  <c r="AI49" i="5" s="1"/>
  <c r="AI52" i="5" s="1"/>
  <c r="AH55" i="5"/>
  <c r="AR14" i="8" l="1"/>
  <c r="AM37" i="2"/>
  <c r="AM57" i="2" s="1"/>
  <c r="AM36" i="2"/>
  <c r="AI55" i="5"/>
  <c r="AK47" i="5"/>
  <c r="AK49" i="5" s="1"/>
  <c r="AK52" i="5" s="1"/>
  <c r="AM70" i="2"/>
  <c r="AR15" i="8" l="1"/>
  <c r="AR40" i="8" s="1"/>
  <c r="AS14" i="8"/>
  <c r="AK55" i="5"/>
  <c r="AL47" i="5"/>
  <c r="AL49" i="5" s="1"/>
  <c r="AL52" i="5" s="1"/>
  <c r="AM31" i="2"/>
  <c r="AM39" i="2" s="1"/>
  <c r="AU14" i="8" l="1"/>
  <c r="AV14" i="8" s="1"/>
  <c r="AW14" i="8" s="1"/>
  <c r="AX14" i="8" s="1"/>
  <c r="AT14" i="8"/>
  <c r="AL55" i="5"/>
  <c r="AM47" i="5"/>
  <c r="AM40" i="2"/>
  <c r="AZ14" i="8" l="1"/>
  <c r="BA14" i="8" s="1"/>
  <c r="BB14" i="8" s="1"/>
  <c r="BC14" i="8" s="1"/>
  <c r="AY14" i="8"/>
  <c r="AM90" i="4"/>
  <c r="BD14" i="8" l="1"/>
  <c r="BE14" i="8"/>
  <c r="BF14" i="8" s="1"/>
  <c r="BG14" i="8" s="1"/>
  <c r="BH14" i="8" s="1"/>
  <c r="AM91" i="4"/>
  <c r="BI14" i="8" l="1"/>
  <c r="BJ14" i="8"/>
  <c r="BK14" i="8" s="1"/>
  <c r="BL14" i="8" s="1"/>
  <c r="BM14" i="8" s="1"/>
  <c r="AM41" i="5"/>
  <c r="BO14" i="8" l="1"/>
  <c r="BP14" i="8" s="1"/>
  <c r="BQ14" i="8" s="1"/>
  <c r="BR14" i="8" s="1"/>
  <c r="BN14" i="8"/>
  <c r="BT14" i="8" l="1"/>
  <c r="BU14" i="8" s="1"/>
  <c r="BV14" i="8" s="1"/>
  <c r="BW14" i="8" s="1"/>
  <c r="BS14" i="8"/>
  <c r="AO15" i="8"/>
  <c r="AO40" i="8" s="1"/>
  <c r="BX14" i="8" l="1"/>
  <c r="BY14" i="8"/>
  <c r="BZ14" i="8" s="1"/>
  <c r="CA14" i="8" s="1"/>
  <c r="CB14" i="8" s="1"/>
  <c r="AM35" i="4"/>
  <c r="AM37" i="4" s="1"/>
  <c r="AM50" i="4" s="1"/>
  <c r="AM96" i="4"/>
  <c r="AM103" i="4" s="1"/>
  <c r="AM7" i="8"/>
  <c r="AM97" i="4"/>
  <c r="AM94" i="4"/>
  <c r="AM13" i="4"/>
  <c r="AM21" i="4" s="1"/>
  <c r="AO41" i="8"/>
  <c r="CC14" i="8" l="1"/>
  <c r="CD14" i="8"/>
  <c r="CE14" i="8" s="1"/>
  <c r="CF14" i="8" s="1"/>
  <c r="CG14" i="8" s="1"/>
  <c r="AM9" i="8"/>
  <c r="AM53" i="4"/>
  <c r="CH14" i="8" l="1"/>
  <c r="CI14" i="8"/>
  <c r="CJ14" i="8" s="1"/>
  <c r="CK14" i="8" s="1"/>
  <c r="CL14" i="8" s="1"/>
  <c r="CM14" i="8" s="1"/>
  <c r="AM10" i="8"/>
  <c r="AP21" i="2" l="1"/>
  <c r="AP71" i="2" s="1"/>
  <c r="AP66" i="2"/>
  <c r="AP67" i="2" s="1"/>
  <c r="AP42" i="2"/>
  <c r="AP53" i="2" s="1"/>
  <c r="AP24" i="2" l="1"/>
  <c r="AP54" i="2"/>
  <c r="AP72" i="2" l="1"/>
  <c r="AP55" i="2"/>
  <c r="AJ58" i="4"/>
  <c r="AH57" i="4"/>
  <c r="AJ57" i="4" s="1"/>
  <c r="AJ59" i="4" l="1"/>
  <c r="AO58" i="5" l="1"/>
  <c r="AB11" i="7"/>
  <c r="AB74" i="7"/>
  <c r="AB12" i="7" l="1"/>
  <c r="AB50" i="7"/>
  <c r="AO10" i="4"/>
  <c r="AO26" i="4"/>
  <c r="AP30" i="4" l="1"/>
  <c r="AN30" i="4"/>
  <c r="AO30" i="4" s="1"/>
  <c r="AB52" i="7"/>
  <c r="AO25" i="4"/>
  <c r="AO11" i="4"/>
  <c r="AB51" i="7"/>
  <c r="AO46" i="2" l="1"/>
  <c r="AO11" i="2"/>
  <c r="AB53" i="7"/>
  <c r="AN70" i="2"/>
  <c r="AN70" i="8"/>
  <c r="AO78" i="2" l="1"/>
  <c r="AO17" i="2"/>
  <c r="AO52" i="2" s="1"/>
  <c r="AO47" i="2"/>
  <c r="AO60" i="2"/>
  <c r="AO61" i="2" s="1"/>
  <c r="AN37" i="2"/>
  <c r="AN31" i="2"/>
  <c r="AN36" i="2"/>
  <c r="AN57" i="2" l="1"/>
  <c r="AS57" i="2"/>
  <c r="AO69" i="8"/>
  <c r="AO70" i="8" s="1"/>
  <c r="AP68" i="8" s="1"/>
  <c r="AO21" i="2"/>
  <c r="AO66" i="2"/>
  <c r="AO67" i="2" s="1"/>
  <c r="AO42" i="2"/>
  <c r="AO53" i="2" s="1"/>
  <c r="AN40" i="2"/>
  <c r="AN39" i="2"/>
  <c r="AP70" i="8" l="1"/>
  <c r="AQ68" i="8" s="1"/>
  <c r="AQ70" i="8" s="1"/>
  <c r="AR68" i="8" s="1"/>
  <c r="AR70" i="8" s="1"/>
  <c r="AS68" i="8" s="1"/>
  <c r="AS70" i="8" s="1"/>
  <c r="AT68" i="8"/>
  <c r="AT70" i="8" s="1"/>
  <c r="AB44" i="7"/>
  <c r="AO71" i="2"/>
  <c r="AB28" i="7" s="1"/>
  <c r="AO24" i="2"/>
  <c r="AO37" i="2" s="1"/>
  <c r="AO57" i="2" s="1"/>
  <c r="AO54" i="2"/>
  <c r="AO70" i="2"/>
  <c r="AB40" i="7"/>
  <c r="AO42" i="4"/>
  <c r="AO46" i="4" s="1"/>
  <c r="AB15" i="7" l="1"/>
  <c r="AB16" i="7" s="1"/>
  <c r="AB17" i="7" s="1"/>
  <c r="AB46" i="7"/>
  <c r="AO36" i="2"/>
  <c r="AO31" i="2"/>
  <c r="AO72" i="2"/>
  <c r="AO55" i="2"/>
  <c r="AN90" i="4"/>
  <c r="AB56" i="7"/>
  <c r="AB62" i="7" s="1"/>
  <c r="AB63" i="7" s="1"/>
  <c r="AN91" i="4"/>
  <c r="AO40" i="2" l="1"/>
  <c r="AO39" i="2"/>
  <c r="AO32" i="4"/>
  <c r="AB55" i="7" s="1"/>
  <c r="AN35" i="4"/>
  <c r="AN102" i="4"/>
  <c r="AN93" i="4"/>
  <c r="AN96" i="4"/>
  <c r="AN103" i="4" s="1"/>
  <c r="AO35" i="4" l="1"/>
  <c r="AN37" i="4"/>
  <c r="AB57" i="7"/>
  <c r="AN7" i="8"/>
  <c r="AN13" i="4"/>
  <c r="AN21" i="4" s="1"/>
  <c r="AN97" i="4"/>
  <c r="AN94" i="4"/>
  <c r="AO9" i="4"/>
  <c r="AN9" i="8" l="1"/>
  <c r="AP10" i="8" s="1"/>
  <c r="AB33" i="7"/>
  <c r="AO13" i="4"/>
  <c r="AN50" i="4"/>
  <c r="AO50" i="4" s="1"/>
  <c r="AO37" i="4"/>
  <c r="AO21" i="4"/>
  <c r="AN10" i="8" l="1"/>
  <c r="AN53" i="4"/>
  <c r="AO53" i="4" s="1"/>
  <c r="AB65" i="7"/>
  <c r="AB18" i="7" s="1"/>
  <c r="AB36" i="7"/>
  <c r="AB45" i="7"/>
  <c r="AB41" i="7"/>
  <c r="AB42" i="7" l="1"/>
  <c r="AB47" i="7"/>
  <c r="AB13" i="7"/>
  <c r="AB71" i="7"/>
  <c r="AN19" i="5" l="1"/>
  <c r="AN20" i="5"/>
  <c r="AN21" i="5"/>
  <c r="AN23" i="5"/>
  <c r="AB20" i="7" l="1"/>
  <c r="AN27" i="5"/>
  <c r="AN28" i="5"/>
  <c r="AB21" i="7"/>
  <c r="AN29" i="5"/>
  <c r="AB22" i="7" l="1"/>
  <c r="AB26" i="7" s="1"/>
  <c r="AN48" i="8"/>
  <c r="AB29" i="7" l="1"/>
  <c r="AB31" i="7" s="1"/>
  <c r="AB23" i="7"/>
  <c r="AO48" i="8"/>
  <c r="AB72" i="7"/>
  <c r="AB24" i="7"/>
  <c r="AB25" i="7" s="1"/>
  <c r="AB30" i="7"/>
  <c r="AN30" i="5"/>
  <c r="AN31" i="5"/>
  <c r="AN32" i="5" l="1"/>
  <c r="AN36" i="5"/>
  <c r="AN38" i="5"/>
  <c r="AO62" i="5"/>
  <c r="AO64" i="5" s="1"/>
  <c r="AN39" i="5"/>
  <c r="AO63" i="5" l="1"/>
  <c r="AO66" i="5"/>
  <c r="AO67" i="5" s="1"/>
  <c r="AN40" i="5" l="1"/>
  <c r="AN41" i="5" s="1"/>
  <c r="AO43" i="5" s="1"/>
  <c r="AO45" i="5" s="1"/>
  <c r="AO48" i="5" s="1"/>
  <c r="AN44" i="5"/>
  <c r="AO49" i="5" l="1"/>
  <c r="AO52" i="5" s="1"/>
  <c r="AT47" i="5" l="1"/>
  <c r="AO55" i="5"/>
  <c r="AO39" i="8"/>
  <c r="AO33" i="8"/>
  <c r="AN13" i="8"/>
  <c r="AP15" i="8" s="1"/>
  <c r="AP40" i="8" s="1"/>
  <c r="AO13" i="8" l="1"/>
  <c r="AP70" i="2" l="1"/>
  <c r="AP37" i="2" l="1"/>
  <c r="AP57" i="2" s="1"/>
  <c r="AP36" i="2"/>
  <c r="AP31" i="2"/>
  <c r="AP39" i="2" l="1"/>
  <c r="AP40" i="2"/>
  <c r="AP24" i="5"/>
  <c r="AP62" i="5" s="1"/>
  <c r="AT46" i="8" l="1"/>
  <c r="AP60" i="5" l="1"/>
  <c r="AP68" i="2" l="1"/>
  <c r="AP69" i="2" s="1"/>
  <c r="AP41" i="5" l="1"/>
  <c r="AP43" i="5" s="1"/>
  <c r="AP63" i="5"/>
  <c r="AP64" i="5"/>
  <c r="AP66" i="5"/>
  <c r="AP67" i="5" s="1"/>
  <c r="AQ15" i="8" l="1"/>
  <c r="AQ40" i="8" s="1"/>
  <c r="AP45" i="5"/>
  <c r="AP48" i="5" s="1"/>
  <c r="AP35" i="4" l="1"/>
  <c r="AP37" i="4" l="1"/>
  <c r="AP50" i="4" s="1"/>
  <c r="AN8" i="5" l="1"/>
  <c r="AM49" i="8"/>
  <c r="AN9" i="5"/>
  <c r="AN42" i="2" s="1"/>
  <c r="AN53" i="2" s="1"/>
  <c r="AP99" i="4" l="1"/>
  <c r="AP100" i="4"/>
  <c r="AN68" i="2"/>
  <c r="AN69" i="2" s="1"/>
  <c r="AB37" i="7"/>
  <c r="AO68" i="2"/>
  <c r="AO69" i="2" s="1"/>
  <c r="AM47" i="8"/>
  <c r="AN100" i="4"/>
  <c r="AM68" i="2"/>
  <c r="AM69" i="2" s="1"/>
  <c r="AN99" i="4"/>
  <c r="AN49" i="8"/>
  <c r="AN47" i="8" s="1"/>
  <c r="AO49" i="8" l="1"/>
  <c r="AO50" i="8" s="1"/>
  <c r="AB59" i="7"/>
  <c r="AB38" i="7"/>
  <c r="AB60" i="7"/>
  <c r="AN10" i="5"/>
  <c r="AN11" i="5"/>
  <c r="AN12" i="5"/>
  <c r="AN13" i="5"/>
  <c r="AT13" i="5" l="1"/>
  <c r="AT26" i="2"/>
  <c r="AX26" i="2" l="1"/>
  <c r="AY26" i="2" s="1"/>
  <c r="AY13" i="5"/>
  <c r="AZ26" i="2" l="1"/>
  <c r="BE26" i="2" l="1"/>
  <c r="BA26" i="2" l="1"/>
  <c r="BF26" i="2"/>
  <c r="BJ26" i="2"/>
  <c r="BC26" i="2" l="1"/>
  <c r="BO26" i="2"/>
  <c r="BH26" i="2"/>
  <c r="BP26" i="2" l="1"/>
  <c r="BK26" i="2"/>
  <c r="BT26" i="2"/>
  <c r="BY26" i="2" l="1"/>
  <c r="BM26" i="2"/>
  <c r="BR26" i="2"/>
  <c r="CD26" i="2" l="1"/>
  <c r="BU26" i="2"/>
  <c r="BW26" i="2" l="1"/>
  <c r="BZ26" i="2"/>
  <c r="AN14" i="5"/>
  <c r="AN15" i="5"/>
  <c r="CE26" i="2" l="1"/>
  <c r="CB26" i="2"/>
  <c r="CI26" i="2"/>
  <c r="CG26" i="2"/>
  <c r="AT15" i="5"/>
  <c r="AW15" i="5"/>
  <c r="AW39" i="5" s="1"/>
  <c r="CJ26" i="2" l="1"/>
  <c r="AT39" i="5"/>
  <c r="AX15" i="5"/>
  <c r="CL26" i="2" l="1"/>
  <c r="AX39" i="5"/>
  <c r="AY39" i="5" s="1"/>
  <c r="BD15" i="5"/>
  <c r="BB39" i="5"/>
  <c r="AY15" i="5"/>
  <c r="BG39" i="5" l="1"/>
  <c r="BC39" i="5"/>
  <c r="BD39" i="5" s="1"/>
  <c r="BH39" i="5" l="1"/>
  <c r="BI39" i="5" s="1"/>
  <c r="BL39" i="5"/>
  <c r="BQ39" i="5" l="1"/>
  <c r="BM39" i="5"/>
  <c r="BN39" i="5" s="1"/>
  <c r="BR39" i="5" l="1"/>
  <c r="BS39" i="5" s="1"/>
  <c r="BV39" i="5"/>
  <c r="CA39" i="5" l="1"/>
  <c r="BW39" i="5"/>
  <c r="BX39" i="5" s="1"/>
  <c r="CF39" i="5" l="1"/>
  <c r="CB39" i="5"/>
  <c r="CC39" i="5" s="1"/>
  <c r="CL39" i="5" l="1"/>
  <c r="CG39" i="5"/>
  <c r="CH39" i="5" s="1"/>
  <c r="CK39" i="5"/>
  <c r="CM39" i="5" l="1"/>
  <c r="AM60" i="5"/>
  <c r="AN16" i="5"/>
  <c r="AN24" i="5" l="1"/>
  <c r="AN60" i="5" s="1"/>
  <c r="AM43" i="5"/>
  <c r="AM45" i="5" s="1"/>
  <c r="AM48" i="5" s="1"/>
  <c r="AM49" i="5" s="1"/>
  <c r="AM62" i="5"/>
  <c r="AM52" i="5" l="1"/>
  <c r="AM55" i="5" s="1"/>
  <c r="AN47" i="5"/>
  <c r="AT16" i="5"/>
  <c r="AY16" i="5"/>
  <c r="AN62" i="5"/>
  <c r="AN43" i="5"/>
  <c r="AN45" i="5" s="1"/>
  <c r="AN48" i="5" s="1"/>
  <c r="AM64" i="5"/>
  <c r="AM66" i="5"/>
  <c r="AM67" i="5" s="1"/>
  <c r="AM63" i="5"/>
  <c r="AS63" i="5" l="1"/>
  <c r="AN49" i="5"/>
  <c r="AN52" i="5" s="1"/>
  <c r="AN55" i="5" s="1"/>
  <c r="AN66" i="5"/>
  <c r="AN63" i="5"/>
  <c r="AN64" i="5"/>
  <c r="AT41" i="4"/>
  <c r="AU41" i="4"/>
  <c r="BD16" i="5"/>
  <c r="AN67" i="5" l="1"/>
  <c r="AS67" i="5"/>
  <c r="AP47" i="5"/>
  <c r="AP49" i="5" s="1"/>
  <c r="AP52" i="5" s="1"/>
  <c r="AV41" i="4"/>
  <c r="AQ47" i="5" l="1"/>
  <c r="AP55" i="5"/>
  <c r="AW41" i="4"/>
  <c r="AX41" i="4" l="1"/>
  <c r="AP13" i="4"/>
  <c r="AP21" i="4" s="1"/>
  <c r="AP53" i="4" l="1"/>
  <c r="AQ43" i="8"/>
  <c r="AY41" i="4"/>
  <c r="AZ41" i="4"/>
  <c r="BA41" i="4" l="1"/>
  <c r="AA107" i="3" l="1"/>
  <c r="AF107" i="3"/>
  <c r="AB108" i="3"/>
  <c r="AA108" i="3"/>
  <c r="AJ107" i="3" l="1"/>
  <c r="AE107" i="3"/>
  <c r="BW95" i="3" l="1"/>
  <c r="BW43" i="3" s="1"/>
  <c r="BW45" i="3" l="1"/>
  <c r="BW44" i="3"/>
  <c r="BY45" i="3"/>
  <c r="BX95" i="3"/>
  <c r="BW96" i="3"/>
  <c r="BW97" i="3"/>
  <c r="BY97" i="3"/>
  <c r="BX98" i="3" l="1"/>
  <c r="BX99" i="3" s="1"/>
  <c r="BX43" i="3"/>
  <c r="BX44" i="3" s="1"/>
  <c r="BX96" i="3"/>
  <c r="CB95" i="3" l="1"/>
  <c r="CB43" i="3" s="1"/>
  <c r="CB45" i="3" l="1"/>
  <c r="CB44" i="3"/>
  <c r="CD45" i="3"/>
  <c r="CG44" i="3"/>
  <c r="CB96" i="3"/>
  <c r="CC95" i="3"/>
  <c r="CB97" i="3"/>
  <c r="CD97" i="3"/>
  <c r="CG96" i="3"/>
  <c r="CC98" i="3" l="1"/>
  <c r="CH99" i="3" s="1"/>
  <c r="CC43" i="3"/>
  <c r="CH96" i="3"/>
  <c r="CC96" i="3"/>
  <c r="CC99" i="3" l="1"/>
  <c r="CC44" i="3"/>
  <c r="CH44" i="3"/>
  <c r="H91" i="3" l="1"/>
  <c r="G72" i="3"/>
  <c r="L90" i="3"/>
  <c r="K89" i="3"/>
  <c r="G186" i="3"/>
  <c r="H188" i="3" s="1"/>
  <c r="K186" i="3" l="1"/>
  <c r="K182" i="3" s="1"/>
  <c r="P183" i="3" s="1"/>
  <c r="K24" i="3"/>
  <c r="P25" i="3" s="1"/>
  <c r="H74" i="3"/>
  <c r="L73" i="3"/>
  <c r="L187" i="3"/>
  <c r="G182" i="3"/>
  <c r="P90" i="3"/>
  <c r="K72" i="3"/>
  <c r="P73" i="3" s="1"/>
  <c r="Z139" i="3"/>
  <c r="Z140" i="3" s="1"/>
  <c r="AX147" i="3"/>
  <c r="AX83" i="3" s="1"/>
  <c r="AW147" i="3"/>
  <c r="AW83" i="3" s="1"/>
  <c r="AU147" i="3"/>
  <c r="AU83" i="3" s="1"/>
  <c r="AV147" i="3"/>
  <c r="AV83" i="3" s="1"/>
  <c r="AY139" i="3"/>
  <c r="AR147" i="3"/>
  <c r="AQ147" i="3"/>
  <c r="AQ83" i="3" s="1"/>
  <c r="AP10" i="3"/>
  <c r="AS83" i="3"/>
  <c r="BA141" i="3" l="1"/>
  <c r="BB141" i="3"/>
  <c r="BA140" i="3"/>
  <c r="BA136" i="3"/>
  <c r="P187" i="3"/>
  <c r="AP12" i="3"/>
  <c r="AP11" i="3"/>
  <c r="AV85" i="3"/>
  <c r="AV84" i="3"/>
  <c r="AU85" i="3"/>
  <c r="AR83" i="3"/>
  <c r="AW84" i="3" s="1"/>
  <c r="AW85" i="3"/>
  <c r="AX85" i="3"/>
  <c r="AX84" i="3"/>
  <c r="AP56" i="3"/>
  <c r="L183" i="3"/>
  <c r="H184" i="3"/>
  <c r="AP57" i="3"/>
  <c r="AW148" i="3"/>
  <c r="AX148" i="3"/>
  <c r="AV149" i="3"/>
  <c r="AR149" i="3"/>
  <c r="AV148" i="3"/>
  <c r="AU149" i="3"/>
  <c r="AY147" i="3"/>
  <c r="AY83" i="3" s="1"/>
  <c r="AS149" i="3"/>
  <c r="AW149" i="3"/>
  <c r="AX149" i="3"/>
  <c r="BB138" i="3" l="1"/>
  <c r="BA138" i="3"/>
  <c r="BA137" i="3"/>
  <c r="BA49" i="3"/>
  <c r="BC141" i="3"/>
  <c r="BC140" i="3"/>
  <c r="BC136" i="3"/>
  <c r="BD136" i="3" s="1"/>
  <c r="AR85" i="3"/>
  <c r="AS85" i="3"/>
  <c r="AP20" i="3"/>
  <c r="AP21" i="3"/>
  <c r="AY143" i="3"/>
  <c r="AY66" i="3" s="1"/>
  <c r="BD49" i="3" l="1"/>
  <c r="BD139" i="3"/>
  <c r="BD137" i="3"/>
  <c r="BA51" i="3"/>
  <c r="BA50" i="3"/>
  <c r="BB51" i="3"/>
  <c r="BC49" i="3"/>
  <c r="BC137" i="3"/>
  <c r="BC138" i="3"/>
  <c r="BE140" i="3"/>
  <c r="BE141" i="3"/>
  <c r="BE136" i="3"/>
  <c r="AI49" i="3"/>
  <c r="AA147" i="3"/>
  <c r="AB49" i="3"/>
  <c r="AK49" i="3"/>
  <c r="AZ147" i="3"/>
  <c r="BA147" i="3"/>
  <c r="BB147" i="3"/>
  <c r="BB83" i="3" s="1"/>
  <c r="BC147" i="3"/>
  <c r="BE49" i="3" l="1"/>
  <c r="BE138" i="3"/>
  <c r="BE137" i="3"/>
  <c r="BC50" i="3"/>
  <c r="BC51" i="3"/>
  <c r="BG140" i="3"/>
  <c r="BG136" i="3"/>
  <c r="BD140" i="3"/>
  <c r="BE147" i="3"/>
  <c r="BE148" i="3" s="1"/>
  <c r="BD50" i="3"/>
  <c r="AK139" i="3"/>
  <c r="AH147" i="3"/>
  <c r="AH89" i="3" s="1"/>
  <c r="AH49" i="3"/>
  <c r="AG147" i="3"/>
  <c r="AG49" i="3"/>
  <c r="AK51" i="3"/>
  <c r="BC83" i="3"/>
  <c r="AD49" i="3"/>
  <c r="AF139" i="3"/>
  <c r="AF49" i="3"/>
  <c r="BB84" i="3"/>
  <c r="BA83" i="3"/>
  <c r="AB51" i="3"/>
  <c r="AZ149" i="3"/>
  <c r="AZ83" i="3"/>
  <c r="AA83" i="3"/>
  <c r="AB147" i="3"/>
  <c r="AB89" i="3" s="1"/>
  <c r="AB139" i="3"/>
  <c r="AH139" i="3"/>
  <c r="AG139" i="3"/>
  <c r="AG138" i="3"/>
  <c r="AK137" i="3"/>
  <c r="AF147" i="3"/>
  <c r="AF89" i="3" s="1"/>
  <c r="AK138" i="3"/>
  <c r="AF137" i="3"/>
  <c r="AG137" i="3"/>
  <c r="AH138" i="3"/>
  <c r="AI147" i="3"/>
  <c r="AI138" i="3"/>
  <c r="AI139" i="3"/>
  <c r="AA139" i="3"/>
  <c r="AA140" i="3" s="1"/>
  <c r="AD147" i="3"/>
  <c r="AJ136" i="3"/>
  <c r="AI137" i="3"/>
  <c r="AF138" i="3"/>
  <c r="AD139" i="3"/>
  <c r="AB138" i="3"/>
  <c r="BC148" i="3"/>
  <c r="AZ148" i="3"/>
  <c r="BA149" i="3"/>
  <c r="BA148" i="3"/>
  <c r="BC149" i="3"/>
  <c r="BB148" i="3"/>
  <c r="BB149" i="3"/>
  <c r="BD147" i="3"/>
  <c r="BE83" i="3" l="1"/>
  <c r="BE85" i="3" s="1"/>
  <c r="BE149" i="3"/>
  <c r="BF140" i="3"/>
  <c r="BF136" i="3"/>
  <c r="BG138" i="3" s="1"/>
  <c r="BF141" i="3"/>
  <c r="BG141" i="3"/>
  <c r="BG49" i="3"/>
  <c r="BG137" i="3"/>
  <c r="BG147" i="3"/>
  <c r="BE50" i="3"/>
  <c r="BE51" i="3"/>
  <c r="AK140" i="3"/>
  <c r="AD83" i="3"/>
  <c r="AD89" i="3"/>
  <c r="AD24" i="3" s="1"/>
  <c r="AI50" i="3"/>
  <c r="AI83" i="3"/>
  <c r="AI89" i="3"/>
  <c r="AG83" i="3"/>
  <c r="AG89" i="3"/>
  <c r="AB83" i="3"/>
  <c r="AK83" i="3"/>
  <c r="AK50" i="3"/>
  <c r="AB24" i="3"/>
  <c r="AG148" i="3"/>
  <c r="AJ139" i="3"/>
  <c r="AJ49" i="3"/>
  <c r="AH83" i="3"/>
  <c r="AH51" i="3"/>
  <c r="AF72" i="3"/>
  <c r="AF83" i="3"/>
  <c r="AG50" i="3"/>
  <c r="AG51" i="3"/>
  <c r="AH149" i="3"/>
  <c r="AI51" i="3"/>
  <c r="AF50" i="3"/>
  <c r="AF51" i="3"/>
  <c r="BC85" i="3"/>
  <c r="BC84" i="3"/>
  <c r="BD83" i="3"/>
  <c r="BD84" i="3" s="1"/>
  <c r="BE84" i="3"/>
  <c r="AZ84" i="3"/>
  <c r="AZ85" i="3"/>
  <c r="BA84" i="3"/>
  <c r="BA85" i="3"/>
  <c r="BB85" i="3"/>
  <c r="AA141" i="3"/>
  <c r="AB141" i="3"/>
  <c r="AB140" i="3"/>
  <c r="AI140" i="3"/>
  <c r="AI141" i="3"/>
  <c r="AG141" i="3"/>
  <c r="AG140" i="3"/>
  <c r="AK141" i="3"/>
  <c r="AD140" i="3"/>
  <c r="AJ147" i="3"/>
  <c r="AH141" i="3"/>
  <c r="AF141" i="3"/>
  <c r="AF140" i="3"/>
  <c r="AF149" i="3"/>
  <c r="AG149" i="3"/>
  <c r="AI149" i="3"/>
  <c r="AI148" i="3"/>
  <c r="AK148" i="3"/>
  <c r="AK149" i="3"/>
  <c r="BD143" i="3"/>
  <c r="BD66" i="3" s="1"/>
  <c r="BD67" i="3" s="1"/>
  <c r="BD148" i="3"/>
  <c r="BG148" i="3" l="1"/>
  <c r="BG83" i="3"/>
  <c r="BG50" i="3"/>
  <c r="BF49" i="3"/>
  <c r="BF138" i="3"/>
  <c r="BF137" i="3"/>
  <c r="BF147" i="3"/>
  <c r="BH136" i="3"/>
  <c r="BH140" i="3"/>
  <c r="BH141" i="3"/>
  <c r="AI84" i="3"/>
  <c r="AK85" i="3"/>
  <c r="AJ89" i="3"/>
  <c r="AG72" i="3"/>
  <c r="AG74" i="3" s="1"/>
  <c r="AG186" i="3"/>
  <c r="AL187" i="3" s="1"/>
  <c r="AG85" i="3"/>
  <c r="AG84" i="3"/>
  <c r="AG24" i="3"/>
  <c r="AL25" i="3" s="1"/>
  <c r="AL90" i="3"/>
  <c r="AG90" i="3"/>
  <c r="AB186" i="3"/>
  <c r="AB187" i="3" s="1"/>
  <c r="AB90" i="3"/>
  <c r="AB72" i="3"/>
  <c r="AD25" i="3"/>
  <c r="AH24" i="3"/>
  <c r="AH91" i="3"/>
  <c r="AB25" i="3"/>
  <c r="AI24" i="3"/>
  <c r="AG91" i="3"/>
  <c r="AF24" i="3"/>
  <c r="AK84" i="3"/>
  <c r="AI85" i="3"/>
  <c r="AK90" i="3"/>
  <c r="AF186" i="3"/>
  <c r="AK187" i="3" s="1"/>
  <c r="AH85" i="3"/>
  <c r="AJ143" i="3"/>
  <c r="AJ66" i="3" s="1"/>
  <c r="AJ83" i="3"/>
  <c r="AH186" i="3"/>
  <c r="AH72" i="3"/>
  <c r="AM73" i="3" s="1"/>
  <c r="AM90" i="3"/>
  <c r="AK77" i="3"/>
  <c r="AF85" i="3"/>
  <c r="AK73" i="3"/>
  <c r="AI186" i="3"/>
  <c r="AN90" i="3"/>
  <c r="AI91" i="3"/>
  <c r="AI72" i="3"/>
  <c r="AK91" i="3"/>
  <c r="AD72" i="3"/>
  <c r="AF74" i="3" s="1"/>
  <c r="AI90" i="3"/>
  <c r="AD186" i="3"/>
  <c r="AD90" i="3"/>
  <c r="AF91" i="3"/>
  <c r="AK108" i="3"/>
  <c r="AK60" i="3"/>
  <c r="AK107" i="3"/>
  <c r="BI136" i="3" l="1"/>
  <c r="BH49" i="3"/>
  <c r="BH138" i="3"/>
  <c r="BH147" i="3"/>
  <c r="BH137" i="3"/>
  <c r="BF50" i="3"/>
  <c r="BF51" i="3"/>
  <c r="BG51" i="3"/>
  <c r="BG84" i="3"/>
  <c r="BJ141" i="3"/>
  <c r="BJ140" i="3"/>
  <c r="BK139" i="3"/>
  <c r="BJ136" i="3"/>
  <c r="BF83" i="3"/>
  <c r="BF148" i="3"/>
  <c r="BF149" i="3"/>
  <c r="BG149" i="3"/>
  <c r="AL73" i="3"/>
  <c r="AG182" i="3"/>
  <c r="AL183" i="3" s="1"/>
  <c r="AG25" i="3"/>
  <c r="AG26" i="3"/>
  <c r="AH188" i="3"/>
  <c r="AB182" i="3"/>
  <c r="AG187" i="3"/>
  <c r="AB73" i="3"/>
  <c r="AG73" i="3"/>
  <c r="AI25" i="3"/>
  <c r="AI26" i="3"/>
  <c r="AK26" i="3"/>
  <c r="AN25" i="3"/>
  <c r="AH26" i="3"/>
  <c r="AM25" i="3"/>
  <c r="AF26" i="3"/>
  <c r="AK25" i="3"/>
  <c r="AJ24" i="3"/>
  <c r="AF182" i="3"/>
  <c r="AG188" i="3"/>
  <c r="AH74" i="3"/>
  <c r="AK79" i="3"/>
  <c r="AK78" i="3"/>
  <c r="AK61" i="3"/>
  <c r="AK62" i="3"/>
  <c r="AH182" i="3"/>
  <c r="AM183" i="3" s="1"/>
  <c r="AM187" i="3"/>
  <c r="AD73" i="3"/>
  <c r="AI73" i="3"/>
  <c r="AI74" i="3"/>
  <c r="AK74" i="3"/>
  <c r="AN73" i="3"/>
  <c r="AK104" i="3"/>
  <c r="AK103" i="3"/>
  <c r="AJ186" i="3"/>
  <c r="AJ191" i="3" s="1"/>
  <c r="AO192" i="3" s="1"/>
  <c r="AO90" i="3"/>
  <c r="AJ72" i="3"/>
  <c r="AN187" i="3"/>
  <c r="AI182" i="3"/>
  <c r="AI188" i="3"/>
  <c r="AK188" i="3"/>
  <c r="AD187" i="3"/>
  <c r="AI187" i="3"/>
  <c r="AF188" i="3"/>
  <c r="AD182" i="3"/>
  <c r="BF85" i="3" l="1"/>
  <c r="BF84" i="3"/>
  <c r="BG85" i="3"/>
  <c r="BL139" i="3"/>
  <c r="BK140" i="3"/>
  <c r="BK141" i="3"/>
  <c r="BK136" i="3"/>
  <c r="BH149" i="3"/>
  <c r="BH83" i="3"/>
  <c r="BH148" i="3"/>
  <c r="BJ147" i="3"/>
  <c r="BJ49" i="3"/>
  <c r="BJ137" i="3"/>
  <c r="BJ138" i="3"/>
  <c r="BI147" i="3"/>
  <c r="BH50" i="3"/>
  <c r="BH51" i="3"/>
  <c r="BI137" i="3"/>
  <c r="BI49" i="3"/>
  <c r="BI139" i="3"/>
  <c r="BI140" i="3" s="1"/>
  <c r="AG183" i="3"/>
  <c r="AB183" i="3"/>
  <c r="AK183" i="3"/>
  <c r="AO25" i="3"/>
  <c r="AG184" i="3"/>
  <c r="AH184" i="3"/>
  <c r="AO73" i="3"/>
  <c r="AI184" i="3"/>
  <c r="AI183" i="3"/>
  <c r="AK184" i="3"/>
  <c r="AN183" i="3"/>
  <c r="AD183" i="3"/>
  <c r="AF184" i="3"/>
  <c r="AF191" i="3"/>
  <c r="AH191" i="3"/>
  <c r="AG191" i="3"/>
  <c r="AI191" i="3"/>
  <c r="AO187" i="3"/>
  <c r="AJ182" i="3"/>
  <c r="BJ50" i="3" l="1"/>
  <c r="BJ51" i="3"/>
  <c r="BI83" i="3"/>
  <c r="BI143" i="3"/>
  <c r="BI66" i="3" s="1"/>
  <c r="BI67" i="3" s="1"/>
  <c r="BI148" i="3"/>
  <c r="BJ148" i="3"/>
  <c r="BJ149" i="3"/>
  <c r="BJ83" i="3"/>
  <c r="BL136" i="3"/>
  <c r="BM139" i="3"/>
  <c r="BO139" i="3" s="1"/>
  <c r="BL140" i="3"/>
  <c r="BL141" i="3"/>
  <c r="BI50" i="3"/>
  <c r="BH85" i="3"/>
  <c r="BH84" i="3"/>
  <c r="BK49" i="3"/>
  <c r="BK137" i="3"/>
  <c r="BK138" i="3"/>
  <c r="BK147" i="3"/>
  <c r="AO183" i="3"/>
  <c r="AH173" i="3"/>
  <c r="AH193" i="3"/>
  <c r="AM192" i="3"/>
  <c r="AG173" i="3"/>
  <c r="AG193" i="3"/>
  <c r="AL192" i="3"/>
  <c r="AI173" i="3"/>
  <c r="AI193" i="3"/>
  <c r="AN192" i="3"/>
  <c r="AK193" i="3"/>
  <c r="AF173" i="3"/>
  <c r="AF27" i="3" s="1"/>
  <c r="AK192" i="3"/>
  <c r="BP139" i="3" l="1"/>
  <c r="BT139" i="3"/>
  <c r="BY139" i="3" s="1"/>
  <c r="CD139" i="3" s="1"/>
  <c r="CI139" i="3" s="1"/>
  <c r="BL147" i="3"/>
  <c r="BL138" i="3"/>
  <c r="BL137" i="3"/>
  <c r="BL49" i="3"/>
  <c r="BK83" i="3"/>
  <c r="BK149" i="3"/>
  <c r="BK148" i="3"/>
  <c r="BJ84" i="3"/>
  <c r="BJ85" i="3"/>
  <c r="BK51" i="3"/>
  <c r="BK50" i="3"/>
  <c r="BI84" i="3"/>
  <c r="BM141" i="3"/>
  <c r="BM140" i="3"/>
  <c r="BM136" i="3"/>
  <c r="AF269" i="3"/>
  <c r="AI269" i="3"/>
  <c r="AG269" i="3"/>
  <c r="AG33" i="3" s="1"/>
  <c r="AH269" i="3"/>
  <c r="AK28" i="3"/>
  <c r="AH27" i="3"/>
  <c r="AG27" i="3"/>
  <c r="AI27" i="3"/>
  <c r="AK174" i="3"/>
  <c r="AI175" i="3"/>
  <c r="AK175" i="3"/>
  <c r="AN174" i="3"/>
  <c r="AH175" i="3"/>
  <c r="AM174" i="3"/>
  <c r="AG175" i="3"/>
  <c r="AL174" i="3"/>
  <c r="BU139" i="3" l="1"/>
  <c r="BZ139" i="3" s="1"/>
  <c r="CE139" i="3" s="1"/>
  <c r="CJ139" i="3" s="1"/>
  <c r="BQ139" i="3"/>
  <c r="BO136" i="3"/>
  <c r="BO140" i="3"/>
  <c r="BO141" i="3"/>
  <c r="BK85" i="3"/>
  <c r="BK84" i="3"/>
  <c r="BL50" i="3"/>
  <c r="BL51" i="3"/>
  <c r="BM49" i="3"/>
  <c r="BM138" i="3"/>
  <c r="BM137" i="3"/>
  <c r="BM147" i="3"/>
  <c r="BL83" i="3"/>
  <c r="BL148" i="3"/>
  <c r="BL149" i="3"/>
  <c r="BN136" i="3"/>
  <c r="AH36" i="3"/>
  <c r="AH37" i="3" s="1"/>
  <c r="AH33" i="3"/>
  <c r="AM34" i="3" s="1"/>
  <c r="AI36" i="3"/>
  <c r="AI37" i="3" s="1"/>
  <c r="AI33" i="3"/>
  <c r="AK35" i="3" s="1"/>
  <c r="AF33" i="3"/>
  <c r="AK34" i="3" s="1"/>
  <c r="AG36" i="3"/>
  <c r="AJ269" i="3"/>
  <c r="AF36" i="3"/>
  <c r="AK37" i="3" s="1"/>
  <c r="AL34" i="3"/>
  <c r="AI29" i="3"/>
  <c r="AN28" i="3"/>
  <c r="AK29" i="3"/>
  <c r="AG29" i="3"/>
  <c r="AL28" i="3"/>
  <c r="AH29" i="3"/>
  <c r="AM28" i="3"/>
  <c r="AO235" i="3"/>
  <c r="BV139" i="3" l="1"/>
  <c r="CA139" i="3" s="1"/>
  <c r="CF139" i="3" s="1"/>
  <c r="CK139" i="3" s="1"/>
  <c r="BR139" i="3"/>
  <c r="BW139" i="3" s="1"/>
  <c r="CB139" i="3" s="1"/>
  <c r="CG139" i="3" s="1"/>
  <c r="CL139" i="3" s="1"/>
  <c r="BM148" i="3"/>
  <c r="BM83" i="3"/>
  <c r="BM149" i="3"/>
  <c r="BL85" i="3"/>
  <c r="BL84" i="3"/>
  <c r="BT136" i="3"/>
  <c r="BT140" i="3"/>
  <c r="BM50" i="3"/>
  <c r="BM51" i="3"/>
  <c r="BN139" i="3"/>
  <c r="BN140" i="3" s="1"/>
  <c r="BN137" i="3"/>
  <c r="BN49" i="3"/>
  <c r="BN50" i="3" s="1"/>
  <c r="BO49" i="3"/>
  <c r="BO137" i="3"/>
  <c r="BO138" i="3"/>
  <c r="BO147" i="3"/>
  <c r="BN147" i="3"/>
  <c r="BP141" i="3"/>
  <c r="BP136" i="3"/>
  <c r="BP140" i="3"/>
  <c r="AN34" i="3"/>
  <c r="AH35" i="3"/>
  <c r="AI35" i="3"/>
  <c r="AG35" i="3"/>
  <c r="AJ36" i="3"/>
  <c r="AJ39" i="3" s="1"/>
  <c r="AJ33" i="3"/>
  <c r="AO34" i="3" s="1"/>
  <c r="AK38" i="3"/>
  <c r="AN37" i="3"/>
  <c r="AH38" i="3"/>
  <c r="AI38" i="3"/>
  <c r="AM37" i="3"/>
  <c r="AL37" i="3"/>
  <c r="AG38" i="3"/>
  <c r="AG37" i="3"/>
  <c r="AF38" i="3"/>
  <c r="AF37" i="3"/>
  <c r="BO51" i="3" l="1"/>
  <c r="BO50" i="3"/>
  <c r="BP49" i="3"/>
  <c r="BP138" i="3"/>
  <c r="BP137" i="3"/>
  <c r="BP147" i="3"/>
  <c r="BT147" i="3"/>
  <c r="BT137" i="3"/>
  <c r="BT49" i="3"/>
  <c r="BQ136" i="3"/>
  <c r="BQ141" i="3"/>
  <c r="BQ140" i="3"/>
  <c r="BY140" i="3"/>
  <c r="BY136" i="3"/>
  <c r="BU140" i="3"/>
  <c r="BU141" i="3"/>
  <c r="BU136" i="3"/>
  <c r="BN143" i="3"/>
  <c r="BN66" i="3" s="1"/>
  <c r="BN67" i="3" s="1"/>
  <c r="BN83" i="3"/>
  <c r="BN84" i="3" s="1"/>
  <c r="BN148" i="3"/>
  <c r="BO148" i="3"/>
  <c r="BO83" i="3"/>
  <c r="BO149" i="3"/>
  <c r="BM84" i="3"/>
  <c r="BM85" i="3"/>
  <c r="AO37" i="3"/>
  <c r="AJ37" i="3"/>
  <c r="BR141" i="3" l="1"/>
  <c r="BR140" i="3"/>
  <c r="BR136" i="3"/>
  <c r="BT141" i="3"/>
  <c r="BV136" i="3"/>
  <c r="BV141" i="3"/>
  <c r="BV140" i="3"/>
  <c r="BQ147" i="3"/>
  <c r="BQ49" i="3"/>
  <c r="BQ137" i="3"/>
  <c r="BQ138" i="3"/>
  <c r="BT50" i="3"/>
  <c r="BU137" i="3"/>
  <c r="BU49" i="3"/>
  <c r="BU138" i="3"/>
  <c r="BU147" i="3"/>
  <c r="BT148" i="3"/>
  <c r="BT83" i="3"/>
  <c r="BP83" i="3"/>
  <c r="BP149" i="3"/>
  <c r="BP148" i="3"/>
  <c r="BO84" i="3"/>
  <c r="BO85" i="3"/>
  <c r="BZ136" i="3"/>
  <c r="BZ140" i="3"/>
  <c r="BZ141" i="3"/>
  <c r="BP50" i="3"/>
  <c r="BP51" i="3"/>
  <c r="BY49" i="3"/>
  <c r="BY137" i="3"/>
  <c r="BY147" i="3"/>
  <c r="CD140" i="3"/>
  <c r="CD136" i="3"/>
  <c r="CH67" i="4"/>
  <c r="BQ50" i="3" l="1"/>
  <c r="BQ51" i="3"/>
  <c r="CE141" i="3"/>
  <c r="CE140" i="3"/>
  <c r="CE136" i="3"/>
  <c r="BQ149" i="3"/>
  <c r="BQ148" i="3"/>
  <c r="BQ83" i="3"/>
  <c r="CA136" i="3"/>
  <c r="CA141" i="3"/>
  <c r="CA140" i="3"/>
  <c r="BP85" i="3"/>
  <c r="BP84" i="3"/>
  <c r="CD147" i="3"/>
  <c r="CD49" i="3"/>
  <c r="CD137" i="3"/>
  <c r="CI136" i="3"/>
  <c r="CI140" i="3"/>
  <c r="BY83" i="3"/>
  <c r="BY148" i="3"/>
  <c r="BV138" i="3"/>
  <c r="BV49" i="3"/>
  <c r="BV137" i="3"/>
  <c r="BV147" i="3"/>
  <c r="BY50" i="3"/>
  <c r="BZ49" i="3"/>
  <c r="BZ137" i="3"/>
  <c r="BZ138" i="3"/>
  <c r="BZ147" i="3"/>
  <c r="BW136" i="3"/>
  <c r="BW141" i="3"/>
  <c r="BW140" i="3"/>
  <c r="BY141" i="3"/>
  <c r="BU149" i="3"/>
  <c r="BU83" i="3"/>
  <c r="BU148" i="3"/>
  <c r="BS136" i="3"/>
  <c r="BR147" i="3"/>
  <c r="BR138" i="3"/>
  <c r="BR49" i="3"/>
  <c r="BR137" i="3"/>
  <c r="BT138" i="3"/>
  <c r="BT84" i="3"/>
  <c r="BU50" i="3"/>
  <c r="BU51" i="3"/>
  <c r="CM67" i="4"/>
  <c r="BZ51" i="3" l="1"/>
  <c r="BZ50" i="3"/>
  <c r="BV50" i="3"/>
  <c r="BV51" i="3"/>
  <c r="CF136" i="3"/>
  <c r="CF141" i="3"/>
  <c r="CF140" i="3"/>
  <c r="CA147" i="3"/>
  <c r="CA49" i="3"/>
  <c r="CA137" i="3"/>
  <c r="CA138" i="3"/>
  <c r="BQ84" i="3"/>
  <c r="BQ85" i="3"/>
  <c r="CD83" i="3"/>
  <c r="CD148" i="3"/>
  <c r="BY84" i="3"/>
  <c r="BR149" i="3"/>
  <c r="BR83" i="3"/>
  <c r="BR148" i="3"/>
  <c r="BS147" i="3"/>
  <c r="BT149" i="3"/>
  <c r="CJ141" i="3"/>
  <c r="CJ140" i="3"/>
  <c r="CJ136" i="3"/>
  <c r="BW137" i="3"/>
  <c r="BW138" i="3"/>
  <c r="BW147" i="3"/>
  <c r="BW49" i="3"/>
  <c r="BY138" i="3"/>
  <c r="CE138" i="3"/>
  <c r="CE49" i="3"/>
  <c r="CE137" i="3"/>
  <c r="CE147" i="3"/>
  <c r="BR50" i="3"/>
  <c r="BR51" i="3"/>
  <c r="BT51" i="3"/>
  <c r="BX136" i="3"/>
  <c r="CI49" i="3"/>
  <c r="CI137" i="3"/>
  <c r="CI147" i="3"/>
  <c r="BV149" i="3"/>
  <c r="BV83" i="3"/>
  <c r="BV148" i="3"/>
  <c r="CB140" i="3"/>
  <c r="CB136" i="3"/>
  <c r="CB141" i="3"/>
  <c r="CD141" i="3"/>
  <c r="BZ83" i="3"/>
  <c r="BZ148" i="3"/>
  <c r="BZ149" i="3"/>
  <c r="BS49" i="3"/>
  <c r="BS50" i="3" s="1"/>
  <c r="BS139" i="3"/>
  <c r="BS140" i="3" s="1"/>
  <c r="BS137" i="3"/>
  <c r="BU85" i="3"/>
  <c r="BU84" i="3"/>
  <c r="CD50" i="3"/>
  <c r="AQ46" i="8"/>
  <c r="AQ47" i="8" s="1"/>
  <c r="AQ55" i="8"/>
  <c r="AQ56" i="8" s="1"/>
  <c r="AQ62" i="8"/>
  <c r="AQ63" i="8" s="1"/>
  <c r="BW50" i="3" l="1"/>
  <c r="BW51" i="3"/>
  <c r="BY51" i="3"/>
  <c r="CA50" i="3"/>
  <c r="CA51" i="3"/>
  <c r="CA148" i="3"/>
  <c r="CA83" i="3"/>
  <c r="CA149" i="3"/>
  <c r="BS143" i="3"/>
  <c r="BS66" i="3" s="1"/>
  <c r="BS67" i="3" s="1"/>
  <c r="BS148" i="3"/>
  <c r="BS83" i="3"/>
  <c r="BS84" i="3" s="1"/>
  <c r="CK141" i="3"/>
  <c r="CK140" i="3"/>
  <c r="CK136" i="3"/>
  <c r="BV85" i="3"/>
  <c r="BV84" i="3"/>
  <c r="BR84" i="3"/>
  <c r="BR85" i="3"/>
  <c r="BT85" i="3"/>
  <c r="CF49" i="3"/>
  <c r="CF137" i="3"/>
  <c r="CF138" i="3"/>
  <c r="CF147" i="3"/>
  <c r="CD84" i="3"/>
  <c r="CI148" i="3"/>
  <c r="CI83" i="3"/>
  <c r="CG136" i="3"/>
  <c r="CG141" i="3"/>
  <c r="CG140" i="3"/>
  <c r="CI141" i="3"/>
  <c r="CE83" i="3"/>
  <c r="CE148" i="3"/>
  <c r="CE149" i="3"/>
  <c r="BX49" i="3"/>
  <c r="BX50" i="3" s="1"/>
  <c r="BX137" i="3"/>
  <c r="BX139" i="3"/>
  <c r="BX140" i="3" s="1"/>
  <c r="BZ84" i="3"/>
  <c r="BZ85" i="3"/>
  <c r="CC136" i="3"/>
  <c r="CB137" i="3"/>
  <c r="CB138" i="3"/>
  <c r="CB147" i="3"/>
  <c r="CC147" i="3" s="1"/>
  <c r="CB49" i="3"/>
  <c r="CD138" i="3"/>
  <c r="CE51" i="3"/>
  <c r="CE50" i="3"/>
  <c r="BW149" i="3"/>
  <c r="BW83" i="3"/>
  <c r="BW148" i="3"/>
  <c r="BY149" i="3"/>
  <c r="CJ49" i="3"/>
  <c r="CJ137" i="3"/>
  <c r="CJ138" i="3"/>
  <c r="CJ147" i="3"/>
  <c r="CI50" i="3"/>
  <c r="BX147" i="3"/>
  <c r="AQ32" i="5"/>
  <c r="CC143" i="3" l="1"/>
  <c r="CC66" i="3" s="1"/>
  <c r="CC148" i="3"/>
  <c r="CC83" i="3"/>
  <c r="CL141" i="3"/>
  <c r="CL140" i="3"/>
  <c r="CL136" i="3"/>
  <c r="CM136" i="3" s="1"/>
  <c r="CF148" i="3"/>
  <c r="CF83" i="3"/>
  <c r="CF149" i="3"/>
  <c r="CB149" i="3"/>
  <c r="CB83" i="3"/>
  <c r="CB148" i="3"/>
  <c r="CD149" i="3"/>
  <c r="CA85" i="3"/>
  <c r="CA84" i="3"/>
  <c r="CH136" i="3"/>
  <c r="CG49" i="3"/>
  <c r="CG137" i="3"/>
  <c r="CG138" i="3"/>
  <c r="CG147" i="3"/>
  <c r="CH147" i="3" s="1"/>
  <c r="CI138" i="3"/>
  <c r="CB50" i="3"/>
  <c r="CB51" i="3"/>
  <c r="CD51" i="3"/>
  <c r="BX143" i="3"/>
  <c r="BX66" i="3" s="1"/>
  <c r="BX67" i="3" s="1"/>
  <c r="BX148" i="3"/>
  <c r="BX83" i="3"/>
  <c r="BX84" i="3" s="1"/>
  <c r="CI84" i="3"/>
  <c r="CJ83" i="3"/>
  <c r="CJ149" i="3"/>
  <c r="CJ148" i="3"/>
  <c r="CE84" i="3"/>
  <c r="CE85" i="3"/>
  <c r="CJ51" i="3"/>
  <c r="CJ50" i="3"/>
  <c r="CF50" i="3"/>
  <c r="CF51" i="3"/>
  <c r="CK49" i="3"/>
  <c r="CK147" i="3"/>
  <c r="CK137" i="3"/>
  <c r="CK138" i="3"/>
  <c r="CC137" i="3"/>
  <c r="CC139" i="3"/>
  <c r="CC140" i="3" s="1"/>
  <c r="CC49" i="3"/>
  <c r="CC50" i="3" s="1"/>
  <c r="BW85" i="3"/>
  <c r="BW84" i="3"/>
  <c r="BY85" i="3"/>
  <c r="AQ19" i="4"/>
  <c r="CM139" i="3" l="1"/>
  <c r="CM49" i="3"/>
  <c r="CM137" i="3"/>
  <c r="CB85" i="3"/>
  <c r="CB84" i="3"/>
  <c r="CD85" i="3"/>
  <c r="CF84" i="3"/>
  <c r="CF85" i="3"/>
  <c r="CL49" i="3"/>
  <c r="CL137" i="3"/>
  <c r="CL147" i="3"/>
  <c r="CL138" i="3"/>
  <c r="CK148" i="3"/>
  <c r="CK83" i="3"/>
  <c r="CK149" i="3"/>
  <c r="CG83" i="3"/>
  <c r="CG148" i="3"/>
  <c r="CG149" i="3"/>
  <c r="CI149" i="3"/>
  <c r="CJ85" i="3"/>
  <c r="CJ84" i="3"/>
  <c r="CH148" i="3"/>
  <c r="CH83" i="3"/>
  <c r="CH84" i="3" s="1"/>
  <c r="CH143" i="3"/>
  <c r="CH66" i="3" s="1"/>
  <c r="CH67" i="3" s="1"/>
  <c r="CK50" i="3"/>
  <c r="CK51" i="3"/>
  <c r="CC84" i="3"/>
  <c r="CG51" i="3"/>
  <c r="CG50" i="3"/>
  <c r="CI51" i="3"/>
  <c r="CH139" i="3"/>
  <c r="CH140" i="3" s="1"/>
  <c r="CH137" i="3"/>
  <c r="CH49" i="3"/>
  <c r="CH50" i="3" s="1"/>
  <c r="CC67" i="3"/>
  <c r="AC99" i="3"/>
  <c r="AD100" i="3"/>
  <c r="AH99" i="3"/>
  <c r="AC100" i="3"/>
  <c r="AH96" i="3"/>
  <c r="AD97" i="3"/>
  <c r="CL83" i="3" l="1"/>
  <c r="CL149" i="3"/>
  <c r="CL148" i="3"/>
  <c r="CG84" i="3"/>
  <c r="CG85" i="3"/>
  <c r="CI85" i="3"/>
  <c r="CM147" i="3"/>
  <c r="CK85" i="3"/>
  <c r="CK84" i="3"/>
  <c r="CM50" i="3"/>
  <c r="CL51" i="3"/>
  <c r="CL50" i="3"/>
  <c r="CM140" i="3"/>
  <c r="AC43" i="3"/>
  <c r="AC97" i="3"/>
  <c r="AC96" i="3"/>
  <c r="CM148" i="3" l="1"/>
  <c r="CM143" i="3"/>
  <c r="CM66" i="3" s="1"/>
  <c r="CM67" i="3" s="1"/>
  <c r="CM83" i="3"/>
  <c r="CM84" i="3" s="1"/>
  <c r="CL84" i="3"/>
  <c r="CL85" i="3"/>
  <c r="AC119" i="3"/>
  <c r="AH44" i="3"/>
  <c r="AD45" i="3"/>
  <c r="AC44" i="3"/>
  <c r="AC45" i="3"/>
  <c r="AC147" i="3"/>
  <c r="AE136" i="3"/>
  <c r="AC49" i="3"/>
  <c r="AC139" i="3"/>
  <c r="AC138" i="3"/>
  <c r="AH137" i="3"/>
  <c r="AD138" i="3"/>
  <c r="AC46" i="3"/>
  <c r="AH47" i="3" s="1"/>
  <c r="AH112" i="3"/>
  <c r="AD113" i="3"/>
  <c r="AC113" i="3"/>
  <c r="AC60" i="3"/>
  <c r="AH103" i="3"/>
  <c r="AD104" i="3"/>
  <c r="AC103" i="3"/>
  <c r="AC104" i="3"/>
  <c r="AC89" i="3" l="1"/>
  <c r="AH140" i="3"/>
  <c r="AC140" i="3"/>
  <c r="AC141" i="3"/>
  <c r="AD141" i="3"/>
  <c r="AH50" i="3"/>
  <c r="AD51" i="3"/>
  <c r="AC51" i="3"/>
  <c r="AJ137" i="3"/>
  <c r="AE49" i="3"/>
  <c r="AE139" i="3"/>
  <c r="AD149" i="3"/>
  <c r="AE147" i="3"/>
  <c r="AH148" i="3"/>
  <c r="AC83" i="3"/>
  <c r="AC149" i="3"/>
  <c r="AD62" i="3"/>
  <c r="AC61" i="3"/>
  <c r="AC62" i="3"/>
  <c r="AH61" i="3"/>
  <c r="AH120" i="3"/>
  <c r="AD121" i="3"/>
  <c r="AC121" i="3"/>
  <c r="AC80" i="3"/>
  <c r="AJ50" i="3" l="1"/>
  <c r="AJ140" i="3"/>
  <c r="AE140" i="3"/>
  <c r="AH81" i="3"/>
  <c r="AD82" i="3"/>
  <c r="AC82" i="3"/>
  <c r="AC91" i="3"/>
  <c r="AC186" i="3"/>
  <c r="AD91" i="3"/>
  <c r="AC90" i="3"/>
  <c r="AC24" i="3"/>
  <c r="AC72" i="3"/>
  <c r="AH90" i="3"/>
  <c r="AH84" i="3"/>
  <c r="AC85" i="3"/>
  <c r="AD85" i="3"/>
  <c r="AE83" i="3"/>
  <c r="AJ84" i="3" s="1"/>
  <c r="AJ148" i="3"/>
  <c r="AE143" i="3"/>
  <c r="AE66" i="3" s="1"/>
  <c r="AJ67" i="3" s="1"/>
  <c r="AH73" i="3" l="1"/>
  <c r="AC73" i="3"/>
  <c r="AC74" i="3"/>
  <c r="AD74" i="3"/>
  <c r="AH25" i="3"/>
  <c r="AC26" i="3"/>
  <c r="AC25" i="3"/>
  <c r="AD26" i="3"/>
  <c r="AC187" i="3"/>
  <c r="AH187" i="3"/>
  <c r="AC182" i="3"/>
  <c r="AC188" i="3"/>
  <c r="AD188" i="3"/>
  <c r="AH183" i="3" l="1"/>
  <c r="AC184" i="3"/>
  <c r="AC183" i="3"/>
  <c r="AD184" i="3"/>
  <c r="AL112" i="3" l="1"/>
  <c r="AL46" i="3" l="1"/>
  <c r="AL49" i="3"/>
  <c r="AL139" i="3"/>
  <c r="AL147" i="3"/>
  <c r="AL138" i="3"/>
  <c r="AL137" i="3"/>
  <c r="AQ137" i="3"/>
  <c r="AO111" i="3"/>
  <c r="AL113" i="3"/>
  <c r="AL119" i="3"/>
  <c r="AO112" i="3" l="1"/>
  <c r="AO46" i="3"/>
  <c r="AL83" i="3"/>
  <c r="AL149" i="3"/>
  <c r="AL148" i="3"/>
  <c r="AQ148" i="3"/>
  <c r="AL51" i="3"/>
  <c r="AQ50" i="3"/>
  <c r="AL50" i="3"/>
  <c r="AL106" i="3"/>
  <c r="AL120" i="3"/>
  <c r="AL80" i="3"/>
  <c r="AL121" i="3"/>
  <c r="AM119" i="3"/>
  <c r="AM113" i="3"/>
  <c r="AM112" i="3"/>
  <c r="AM46" i="3"/>
  <c r="AL140" i="3"/>
  <c r="AL141" i="3"/>
  <c r="AQ140" i="3"/>
  <c r="AL47" i="3"/>
  <c r="AL48" i="3"/>
  <c r="AN112" i="3"/>
  <c r="AN46" i="3"/>
  <c r="AN113" i="3"/>
  <c r="AN119" i="3"/>
  <c r="AO47" i="3" l="1"/>
  <c r="AN47" i="3"/>
  <c r="AN48" i="3"/>
  <c r="AL84" i="3"/>
  <c r="AQ84" i="3"/>
  <c r="AL85" i="3"/>
  <c r="AM47" i="3"/>
  <c r="AM48" i="3"/>
  <c r="AN147" i="3"/>
  <c r="AN137" i="3"/>
  <c r="AN138" i="3"/>
  <c r="AS137" i="3"/>
  <c r="AN49" i="3"/>
  <c r="AN80" i="3"/>
  <c r="AN121" i="3"/>
  <c r="AN120" i="3"/>
  <c r="AM80" i="3"/>
  <c r="AM121" i="3"/>
  <c r="AM120" i="3"/>
  <c r="AM49" i="3"/>
  <c r="AM137" i="3"/>
  <c r="AM147" i="3"/>
  <c r="AM106" i="3" s="1"/>
  <c r="AM102" i="3" s="1"/>
  <c r="AR137" i="3"/>
  <c r="AM138" i="3"/>
  <c r="AO136" i="3"/>
  <c r="AP46" i="3"/>
  <c r="AP112" i="3"/>
  <c r="AP113" i="3"/>
  <c r="AL81" i="3"/>
  <c r="AL82" i="3"/>
  <c r="AO119" i="3"/>
  <c r="AL107" i="3"/>
  <c r="AL77" i="3"/>
  <c r="AL108" i="3"/>
  <c r="AL102" i="3"/>
  <c r="AN149" i="3" l="1"/>
  <c r="AN83" i="3"/>
  <c r="AN148" i="3"/>
  <c r="AS148" i="3"/>
  <c r="AM82" i="3"/>
  <c r="AM81" i="3"/>
  <c r="AM77" i="3"/>
  <c r="AM108" i="3"/>
  <c r="AM107" i="3"/>
  <c r="AL104" i="3"/>
  <c r="AL103" i="3"/>
  <c r="AL60" i="3"/>
  <c r="AP48" i="3"/>
  <c r="AP47" i="3"/>
  <c r="AO49" i="3"/>
  <c r="AO139" i="3"/>
  <c r="AO140" i="3" s="1"/>
  <c r="AO137" i="3"/>
  <c r="AN82" i="3"/>
  <c r="AN81" i="3"/>
  <c r="AN106" i="3"/>
  <c r="AN102" i="3" s="1"/>
  <c r="AO115" i="3"/>
  <c r="AO120" i="3"/>
  <c r="AO80" i="3"/>
  <c r="AO81" i="3" s="1"/>
  <c r="AR148" i="3"/>
  <c r="AM83" i="3"/>
  <c r="AM148" i="3"/>
  <c r="AM149" i="3"/>
  <c r="AO147" i="3"/>
  <c r="AO143" i="3" s="1"/>
  <c r="AS50" i="3"/>
  <c r="AN50" i="3"/>
  <c r="AN51" i="3"/>
  <c r="AR140" i="3"/>
  <c r="AM140" i="3"/>
  <c r="AM141" i="3"/>
  <c r="AN141" i="3"/>
  <c r="AN140" i="3"/>
  <c r="AS140" i="3"/>
  <c r="AL78" i="3"/>
  <c r="AL79" i="3"/>
  <c r="AP120" i="3"/>
  <c r="AP80" i="3"/>
  <c r="AP121" i="3"/>
  <c r="AR50" i="3"/>
  <c r="AM50" i="3"/>
  <c r="AM51" i="3"/>
  <c r="AQ138" i="3"/>
  <c r="AT136" i="3"/>
  <c r="AP49" i="3"/>
  <c r="AP137" i="3"/>
  <c r="AP138" i="3"/>
  <c r="AU137" i="3"/>
  <c r="AO106" i="3" l="1"/>
  <c r="AO102" i="3" s="1"/>
  <c r="AO50" i="3"/>
  <c r="AL61" i="3"/>
  <c r="AL62" i="3"/>
  <c r="AM104" i="3"/>
  <c r="AM60" i="3"/>
  <c r="AM103" i="3"/>
  <c r="AM79" i="3"/>
  <c r="AM78" i="3"/>
  <c r="AP82" i="3"/>
  <c r="AP81" i="3"/>
  <c r="AO116" i="3"/>
  <c r="AO63" i="3"/>
  <c r="AN77" i="3"/>
  <c r="AN107" i="3"/>
  <c r="AN108" i="3"/>
  <c r="AP51" i="3"/>
  <c r="AP50" i="3"/>
  <c r="AQ51" i="3"/>
  <c r="AU50" i="3"/>
  <c r="AP141" i="3"/>
  <c r="AP140" i="3"/>
  <c r="AU140" i="3"/>
  <c r="AQ141" i="3"/>
  <c r="AT139" i="3"/>
  <c r="AY137" i="3"/>
  <c r="AT137" i="3"/>
  <c r="AT49" i="3"/>
  <c r="AQ149" i="3"/>
  <c r="AT147" i="3"/>
  <c r="AU148" i="3"/>
  <c r="AP83" i="3"/>
  <c r="AP149" i="3"/>
  <c r="AP148" i="3"/>
  <c r="AS84" i="3"/>
  <c r="AN85" i="3"/>
  <c r="AN84" i="3"/>
  <c r="AO83" i="3"/>
  <c r="AO66" i="3"/>
  <c r="AO67" i="3" s="1"/>
  <c r="AO148" i="3"/>
  <c r="AM84" i="3"/>
  <c r="AR84" i="3"/>
  <c r="AM85" i="3"/>
  <c r="AO84" i="3" l="1"/>
  <c r="AO64" i="3"/>
  <c r="AO77" i="3"/>
  <c r="AO107" i="3"/>
  <c r="AN60" i="3"/>
  <c r="AN104" i="3"/>
  <c r="AN103" i="3"/>
  <c r="AN79" i="3"/>
  <c r="AN78" i="3"/>
  <c r="AT148" i="3"/>
  <c r="AT143" i="3"/>
  <c r="AT66" i="3" s="1"/>
  <c r="AT83" i="3"/>
  <c r="AY148" i="3"/>
  <c r="AM62" i="3"/>
  <c r="AM61" i="3"/>
  <c r="AP85" i="3"/>
  <c r="AP84" i="3"/>
  <c r="AQ85" i="3"/>
  <c r="AU84" i="3"/>
  <c r="AT50" i="3"/>
  <c r="AY50" i="3"/>
  <c r="AT140" i="3"/>
  <c r="AY140" i="3"/>
  <c r="AO78" i="3" l="1"/>
  <c r="AO60" i="3"/>
  <c r="AO103" i="3"/>
  <c r="AN62" i="3"/>
  <c r="AN61" i="3"/>
  <c r="AY84" i="3"/>
  <c r="AT84" i="3"/>
  <c r="AT67" i="3"/>
  <c r="AY67" i="3"/>
  <c r="AO61" i="3" l="1"/>
  <c r="AE95" i="3" l="1"/>
  <c r="AA60" i="3"/>
  <c r="AA43" i="3"/>
  <c r="AA44" i="3" s="1"/>
  <c r="AF96" i="3"/>
  <c r="AA96" i="3"/>
  <c r="AB97" i="3"/>
  <c r="AA97" i="3"/>
  <c r="AE43" i="3" l="1"/>
  <c r="AE102" i="3"/>
  <c r="AE103" i="3" s="1"/>
  <c r="AE98" i="3"/>
  <c r="AE99" i="3" s="1"/>
  <c r="AF61" i="3"/>
  <c r="AA62" i="3"/>
  <c r="AA61" i="3"/>
  <c r="AB62" i="3"/>
  <c r="AA119" i="3"/>
  <c r="AF112" i="3"/>
  <c r="AA46" i="3"/>
  <c r="AF47" i="3" s="1"/>
  <c r="AB113" i="3"/>
  <c r="AE111" i="3"/>
  <c r="AE96" i="3"/>
  <c r="AA104" i="3"/>
  <c r="AJ96" i="3"/>
  <c r="AB45" i="3"/>
  <c r="AF103" i="3"/>
  <c r="AF44" i="3"/>
  <c r="AA103" i="3"/>
  <c r="AA45" i="3"/>
  <c r="AB104" i="3"/>
  <c r="AE44" i="3" l="1"/>
  <c r="AJ44" i="3"/>
  <c r="AE60" i="3"/>
  <c r="AE61" i="3" s="1"/>
  <c r="AJ103" i="3"/>
  <c r="AJ99" i="3"/>
  <c r="AF120" i="3"/>
  <c r="AE119" i="3"/>
  <c r="AB121" i="3"/>
  <c r="AA89" i="3"/>
  <c r="AA80" i="3"/>
  <c r="AE46" i="3"/>
  <c r="AJ112" i="3"/>
  <c r="AJ61" i="3" l="1"/>
  <c r="AJ47" i="3"/>
  <c r="AB82" i="3"/>
  <c r="AF81" i="3"/>
  <c r="AE80" i="3"/>
  <c r="AJ81" i="3" s="1"/>
  <c r="AJ120" i="3"/>
  <c r="AE115" i="3"/>
  <c r="AA24" i="3"/>
  <c r="AE89" i="3"/>
  <c r="AA72" i="3"/>
  <c r="AA186" i="3"/>
  <c r="AF90" i="3"/>
  <c r="AB91" i="3"/>
  <c r="AA91" i="3"/>
  <c r="AA90" i="3"/>
  <c r="AA187" i="3" l="1"/>
  <c r="AA188" i="3"/>
  <c r="AA182" i="3"/>
  <c r="AF187" i="3"/>
  <c r="AB188" i="3"/>
  <c r="AE63" i="3"/>
  <c r="AJ64" i="3" s="1"/>
  <c r="AJ116" i="3"/>
  <c r="AE24" i="3"/>
  <c r="AE90" i="3"/>
  <c r="AJ90" i="3"/>
  <c r="AE72" i="3"/>
  <c r="AE186" i="3"/>
  <c r="AB74" i="3"/>
  <c r="AF73" i="3"/>
  <c r="AA74" i="3"/>
  <c r="AA73" i="3"/>
  <c r="AA25" i="3"/>
  <c r="AF25" i="3"/>
  <c r="AB26" i="3"/>
  <c r="AA26" i="3"/>
  <c r="AE73" i="3" l="1"/>
  <c r="AJ73" i="3"/>
  <c r="AE182" i="3"/>
  <c r="AE187" i="3"/>
  <c r="AJ187" i="3"/>
  <c r="AB184" i="3"/>
  <c r="AF183" i="3"/>
  <c r="AA183" i="3"/>
  <c r="AA184" i="3"/>
  <c r="AJ25" i="3"/>
  <c r="AE25" i="3"/>
  <c r="AE183" i="3" l="1"/>
  <c r="AJ183" i="3"/>
  <c r="AS47" i="3"/>
  <c r="AQ46" i="3"/>
  <c r="AQ119" i="3" l="1"/>
  <c r="AQ113" i="3"/>
  <c r="AU55" i="3"/>
  <c r="AQ48" i="3"/>
  <c r="AQ47" i="3"/>
  <c r="AQ19" i="3"/>
  <c r="AQ21" i="3" s="1"/>
  <c r="AQ112" i="3"/>
  <c r="AS106" i="3"/>
  <c r="AU57" i="3" l="1"/>
  <c r="AQ121" i="3"/>
  <c r="AU119" i="3"/>
  <c r="AU121" i="3" s="1"/>
  <c r="AU56" i="3"/>
  <c r="AU113" i="3"/>
  <c r="AQ80" i="3"/>
  <c r="AQ81" i="3" s="1"/>
  <c r="AQ120" i="3"/>
  <c r="AU10" i="3"/>
  <c r="AU11" i="3" s="1"/>
  <c r="AQ57" i="3"/>
  <c r="AU46" i="3"/>
  <c r="AU48" i="3" s="1"/>
  <c r="AQ56" i="3"/>
  <c r="AQ10" i="3"/>
  <c r="AQ11" i="3" s="1"/>
  <c r="AQ20" i="3"/>
  <c r="AR57" i="3"/>
  <c r="AR56" i="3"/>
  <c r="AS120" i="3"/>
  <c r="AS80" i="3"/>
  <c r="AS57" i="3"/>
  <c r="AS56" i="3"/>
  <c r="AR24" i="3" l="1"/>
  <c r="AU80" i="3"/>
  <c r="AU120" i="3"/>
  <c r="AQ82" i="3"/>
  <c r="AU47" i="3"/>
  <c r="AQ12" i="3"/>
  <c r="AR11" i="3"/>
  <c r="AR12" i="3"/>
  <c r="AU82" i="3"/>
  <c r="AU81" i="3"/>
  <c r="AS81" i="3"/>
  <c r="AS90" i="3"/>
  <c r="AS91" i="3"/>
  <c r="AV113" i="3"/>
  <c r="AV119" i="3"/>
  <c r="AV46" i="3"/>
  <c r="AV55" i="3"/>
  <c r="AS12" i="3"/>
  <c r="AS11" i="3"/>
  <c r="AU12" i="3"/>
  <c r="AR90" i="3"/>
  <c r="AR72" i="3"/>
  <c r="AS25" i="3" l="1"/>
  <c r="AS26" i="3"/>
  <c r="AQ62" i="2"/>
  <c r="AQ66" i="4"/>
  <c r="AQ70" i="4" s="1"/>
  <c r="AQ63" i="2"/>
  <c r="AQ64" i="2"/>
  <c r="AV10" i="3"/>
  <c r="AV56" i="3"/>
  <c r="AV57" i="3"/>
  <c r="AR25" i="3"/>
  <c r="AR73" i="3"/>
  <c r="AS73" i="3"/>
  <c r="AS74" i="3"/>
  <c r="AV47" i="3"/>
  <c r="AV48" i="3"/>
  <c r="AV120" i="3"/>
  <c r="AV80" i="3"/>
  <c r="AV121" i="3"/>
  <c r="AQ82" i="4" l="1"/>
  <c r="AQ17" i="2"/>
  <c r="AQ67" i="4"/>
  <c r="AX55" i="3"/>
  <c r="AX46" i="3"/>
  <c r="AX119" i="3"/>
  <c r="AV11" i="3"/>
  <c r="AV12" i="3"/>
  <c r="AV81" i="3"/>
  <c r="AV82" i="3"/>
  <c r="AQ52" i="2" l="1"/>
  <c r="AQ42" i="2"/>
  <c r="AQ53" i="2" s="1"/>
  <c r="AQ79" i="4"/>
  <c r="AQ74" i="4"/>
  <c r="AQ75" i="4"/>
  <c r="AQ78" i="4"/>
  <c r="AX10" i="3"/>
  <c r="AX56" i="3"/>
  <c r="AQ71" i="4"/>
  <c r="AQ83" i="4"/>
  <c r="AZ46" i="3"/>
  <c r="AZ55" i="3"/>
  <c r="AZ119" i="3"/>
  <c r="AZ113" i="3"/>
  <c r="AQ21" i="2"/>
  <c r="AQ71" i="2" s="1"/>
  <c r="AQ66" i="2"/>
  <c r="AQ67" i="2" s="1"/>
  <c r="AX120" i="3"/>
  <c r="AX80" i="3"/>
  <c r="AX47" i="3"/>
  <c r="AQ54" i="2" l="1"/>
  <c r="BA78" i="4"/>
  <c r="BF78" i="4" s="1"/>
  <c r="BK78" i="4" s="1"/>
  <c r="BP78" i="4" s="1"/>
  <c r="BU78" i="4" s="1"/>
  <c r="BZ78" i="4" s="1"/>
  <c r="CE78" i="4" s="1"/>
  <c r="CJ78" i="4" s="1"/>
  <c r="AQ99" i="4"/>
  <c r="AQ100" i="4"/>
  <c r="AQ68" i="2"/>
  <c r="AQ69" i="2" s="1"/>
  <c r="AQ24" i="2"/>
  <c r="AQ55" i="2" s="1"/>
  <c r="AQ70" i="2"/>
  <c r="AQ30" i="4"/>
  <c r="AX11" i="3"/>
  <c r="AZ80" i="3"/>
  <c r="AZ120" i="3"/>
  <c r="AZ121" i="3"/>
  <c r="AX81" i="3"/>
  <c r="AZ10" i="3"/>
  <c r="AZ57" i="3"/>
  <c r="AZ56" i="3"/>
  <c r="AZ47" i="3"/>
  <c r="AZ48" i="3"/>
  <c r="BA55" i="3"/>
  <c r="BA113" i="3"/>
  <c r="BA46" i="3"/>
  <c r="BA119" i="3"/>
  <c r="AZ82" i="3" l="1"/>
  <c r="AZ81" i="3"/>
  <c r="BA121" i="3"/>
  <c r="BA80" i="3"/>
  <c r="BA120" i="3"/>
  <c r="BA47" i="3"/>
  <c r="BA48" i="3"/>
  <c r="AQ36" i="2"/>
  <c r="AQ37" i="2"/>
  <c r="AQ57" i="2" s="1"/>
  <c r="AQ31" i="2"/>
  <c r="AQ72" i="2"/>
  <c r="BA10" i="3"/>
  <c r="BA57" i="3"/>
  <c r="BA56" i="3"/>
  <c r="AZ11" i="3"/>
  <c r="AZ12" i="3"/>
  <c r="AY82" i="4" l="1"/>
  <c r="BA11" i="3"/>
  <c r="BA12" i="3"/>
  <c r="AQ39" i="2"/>
  <c r="AQ40" i="2"/>
  <c r="BA81" i="3"/>
  <c r="BA82" i="3"/>
  <c r="BC55" i="3"/>
  <c r="BC119" i="3"/>
  <c r="BC46" i="3"/>
  <c r="BD82" i="4" l="1"/>
  <c r="BC80" i="3"/>
  <c r="BC120" i="3"/>
  <c r="BC47" i="3"/>
  <c r="BE46" i="3"/>
  <c r="BE113" i="3"/>
  <c r="BE55" i="3"/>
  <c r="BE119" i="3"/>
  <c r="BC56" i="3"/>
  <c r="BC10" i="3"/>
  <c r="AQ46" i="4"/>
  <c r="AQ24" i="5"/>
  <c r="AQ62" i="5" s="1"/>
  <c r="BI82" i="4" l="1"/>
  <c r="AQ102" i="4"/>
  <c r="AQ91" i="4"/>
  <c r="AQ90" i="4"/>
  <c r="AQ103" i="4"/>
  <c r="AQ60" i="5"/>
  <c r="BE121" i="3"/>
  <c r="BE80" i="3"/>
  <c r="BE120" i="3"/>
  <c r="BE57" i="3"/>
  <c r="BE10" i="3"/>
  <c r="BE56" i="3"/>
  <c r="BE47" i="3"/>
  <c r="BE48" i="3"/>
  <c r="BF55" i="3"/>
  <c r="BF46" i="3"/>
  <c r="BF113" i="3"/>
  <c r="BF119" i="3"/>
  <c r="BC81" i="3"/>
  <c r="BC11" i="3"/>
  <c r="BE11" i="3" l="1"/>
  <c r="BE12" i="3"/>
  <c r="BF80" i="3"/>
  <c r="BF121" i="3"/>
  <c r="BF120" i="3"/>
  <c r="BF48" i="3"/>
  <c r="BF47" i="3"/>
  <c r="BF56" i="3"/>
  <c r="BF10" i="3"/>
  <c r="BF57" i="3"/>
  <c r="AQ41" i="5"/>
  <c r="AQ66" i="5"/>
  <c r="AQ67" i="5" s="1"/>
  <c r="AQ64" i="5"/>
  <c r="AQ63" i="5"/>
  <c r="BE81" i="3"/>
  <c r="BE82" i="3"/>
  <c r="BS82" i="4" l="1"/>
  <c r="BH55" i="3"/>
  <c r="BH46" i="3"/>
  <c r="BH119" i="3"/>
  <c r="AQ43" i="5"/>
  <c r="AQ45" i="5" s="1"/>
  <c r="BF82" i="3"/>
  <c r="BF81" i="3"/>
  <c r="BF11" i="3"/>
  <c r="BF12" i="3"/>
  <c r="BX82" i="4" l="1"/>
  <c r="BJ46" i="3"/>
  <c r="BJ119" i="3"/>
  <c r="BJ55" i="3"/>
  <c r="BJ113" i="3"/>
  <c r="BH120" i="3"/>
  <c r="BH80" i="3"/>
  <c r="AQ48" i="5"/>
  <c r="AQ49" i="5" s="1"/>
  <c r="AQ52" i="5" s="1"/>
  <c r="BH47" i="3"/>
  <c r="BH10" i="3"/>
  <c r="BH56" i="3"/>
  <c r="AQ35" i="4"/>
  <c r="AQ37" i="4" s="1"/>
  <c r="AQ50" i="4" s="1"/>
  <c r="CC82" i="4" l="1"/>
  <c r="CH82" i="4" s="1"/>
  <c r="CM82" i="4" s="1"/>
  <c r="AQ7" i="8"/>
  <c r="AQ13" i="4"/>
  <c r="AQ21" i="4" s="1"/>
  <c r="AQ53" i="4" s="1"/>
  <c r="BJ10" i="3"/>
  <c r="BJ57" i="3"/>
  <c r="BJ56" i="3"/>
  <c r="BH11" i="3"/>
  <c r="BJ47" i="3"/>
  <c r="BJ48" i="3"/>
  <c r="AR47" i="5"/>
  <c r="AQ55" i="5"/>
  <c r="BH81" i="3"/>
  <c r="BJ121" i="3"/>
  <c r="BJ80" i="3"/>
  <c r="BJ120" i="3"/>
  <c r="BK119" i="3"/>
  <c r="BK113" i="3"/>
  <c r="BK55" i="3"/>
  <c r="BK46" i="3"/>
  <c r="AQ9" i="8" l="1"/>
  <c r="BJ12" i="3"/>
  <c r="BJ11" i="3"/>
  <c r="BK47" i="3"/>
  <c r="BK48" i="3"/>
  <c r="BK10" i="3"/>
  <c r="BK56" i="3"/>
  <c r="BK57" i="3"/>
  <c r="BK121" i="3"/>
  <c r="BK120" i="3"/>
  <c r="BK80" i="3"/>
  <c r="BJ82" i="3"/>
  <c r="BJ81" i="3"/>
  <c r="AQ10" i="8" l="1"/>
  <c r="BK81" i="3"/>
  <c r="BK82" i="3"/>
  <c r="BM119" i="3"/>
  <c r="BM55" i="3"/>
  <c r="BM46" i="3"/>
  <c r="BK12" i="3"/>
  <c r="BK11" i="3"/>
  <c r="BM56" i="3" l="1"/>
  <c r="BM10" i="3"/>
  <c r="BM120" i="3"/>
  <c r="BM80" i="3"/>
  <c r="BM47" i="3"/>
  <c r="BO55" i="3"/>
  <c r="BO113" i="3"/>
  <c r="BO119" i="3"/>
  <c r="BO46" i="3"/>
  <c r="AV10" i="8" l="1"/>
  <c r="AU9" i="8"/>
  <c r="BP119" i="3"/>
  <c r="BP113" i="3"/>
  <c r="BP46" i="3"/>
  <c r="BP55" i="3"/>
  <c r="BM11" i="3"/>
  <c r="BO48" i="3"/>
  <c r="BO47" i="3"/>
  <c r="BO80" i="3"/>
  <c r="BO121" i="3"/>
  <c r="BO120" i="3"/>
  <c r="BO10" i="3"/>
  <c r="BO56" i="3"/>
  <c r="BO57" i="3"/>
  <c r="BM81" i="3"/>
  <c r="AV9" i="8" l="1"/>
  <c r="BO82" i="3"/>
  <c r="BO81" i="3"/>
  <c r="BO12" i="3"/>
  <c r="BO11" i="3"/>
  <c r="BP10" i="3"/>
  <c r="BP56" i="3"/>
  <c r="BP57" i="3"/>
  <c r="BP47" i="3"/>
  <c r="BP48" i="3"/>
  <c r="BP120" i="3"/>
  <c r="BP80" i="3"/>
  <c r="BP121" i="3"/>
  <c r="AX10" i="8" l="1"/>
  <c r="AW9" i="8"/>
  <c r="BR46" i="3"/>
  <c r="BR55" i="3"/>
  <c r="BR119" i="3"/>
  <c r="BP12" i="3"/>
  <c r="BP11" i="3"/>
  <c r="BP81" i="3"/>
  <c r="BP82" i="3"/>
  <c r="AX9" i="8" l="1"/>
  <c r="BR10" i="3"/>
  <c r="BR56" i="3"/>
  <c r="BR120" i="3"/>
  <c r="BR80" i="3"/>
  <c r="BR47" i="3"/>
  <c r="BT46" i="3"/>
  <c r="BT119" i="3"/>
  <c r="BT55" i="3"/>
  <c r="BT113" i="3"/>
  <c r="AZ9" i="8" l="1"/>
  <c r="BA10" i="8"/>
  <c r="BT57" i="3"/>
  <c r="BT56" i="3"/>
  <c r="BT10" i="3"/>
  <c r="BU119" i="3"/>
  <c r="BU46" i="3"/>
  <c r="BU113" i="3"/>
  <c r="BU55" i="3"/>
  <c r="BR11" i="3"/>
  <c r="BR81" i="3"/>
  <c r="BT121" i="3"/>
  <c r="BT120" i="3"/>
  <c r="BT80" i="3"/>
  <c r="BT48" i="3"/>
  <c r="BT47" i="3"/>
  <c r="BA9" i="8" l="1"/>
  <c r="BB10" i="8"/>
  <c r="BU80" i="3"/>
  <c r="BU121" i="3"/>
  <c r="BU120" i="3"/>
  <c r="BT81" i="3"/>
  <c r="BT82" i="3"/>
  <c r="BU10" i="3"/>
  <c r="BU57" i="3"/>
  <c r="BU56" i="3"/>
  <c r="BT12" i="3"/>
  <c r="BT11" i="3"/>
  <c r="BU48" i="3"/>
  <c r="BU47" i="3"/>
  <c r="BC10" i="8" l="1"/>
  <c r="BB9" i="8"/>
  <c r="BW119" i="3"/>
  <c r="BW46" i="3"/>
  <c r="BW55" i="3"/>
  <c r="BU12" i="3"/>
  <c r="BU11" i="3"/>
  <c r="BU82" i="3"/>
  <c r="BU81" i="3"/>
  <c r="BE10" i="8" l="1"/>
  <c r="BC9" i="8"/>
  <c r="BW56" i="3"/>
  <c r="BW10" i="3"/>
  <c r="BW47" i="3"/>
  <c r="BY46" i="3"/>
  <c r="BY119" i="3"/>
  <c r="BY113" i="3"/>
  <c r="BY55" i="3"/>
  <c r="BW80" i="3"/>
  <c r="BW120" i="3"/>
  <c r="BE9" i="8" l="1"/>
  <c r="BF10" i="8"/>
  <c r="BZ46" i="3"/>
  <c r="BZ113" i="3"/>
  <c r="BZ119" i="3"/>
  <c r="BZ55" i="3"/>
  <c r="BW81" i="3"/>
  <c r="BW11" i="3"/>
  <c r="BY120" i="3"/>
  <c r="BY121" i="3"/>
  <c r="BY80" i="3"/>
  <c r="BY47" i="3"/>
  <c r="BY48" i="3"/>
  <c r="BY10" i="3"/>
  <c r="BY57" i="3"/>
  <c r="BY56" i="3"/>
  <c r="BF9" i="8" l="1"/>
  <c r="BG10" i="8"/>
  <c r="BY12" i="3"/>
  <c r="BY11" i="3"/>
  <c r="BZ10" i="3"/>
  <c r="BZ57" i="3"/>
  <c r="BZ56" i="3"/>
  <c r="BZ80" i="3"/>
  <c r="BZ120" i="3"/>
  <c r="BZ121" i="3"/>
  <c r="BZ47" i="3"/>
  <c r="BZ48" i="3"/>
  <c r="BY81" i="3"/>
  <c r="BY82" i="3"/>
  <c r="BH10" i="8" l="1"/>
  <c r="BG9" i="8"/>
  <c r="BZ82" i="3"/>
  <c r="BZ81" i="3"/>
  <c r="BZ12" i="3"/>
  <c r="BZ11" i="3"/>
  <c r="CB46" i="3"/>
  <c r="CB55" i="3"/>
  <c r="CB119" i="3"/>
  <c r="BJ10" i="8" l="1"/>
  <c r="BH9" i="8"/>
  <c r="CD55" i="3"/>
  <c r="CD119" i="3"/>
  <c r="CD113" i="3"/>
  <c r="CD46" i="3"/>
  <c r="CB80" i="3"/>
  <c r="CB120" i="3"/>
  <c r="CB47" i="3"/>
  <c r="CB56" i="3"/>
  <c r="CB10" i="3"/>
  <c r="BK10" i="8" l="1"/>
  <c r="BJ9" i="8"/>
  <c r="CD120" i="3"/>
  <c r="CD121" i="3"/>
  <c r="CD80" i="3"/>
  <c r="CB81" i="3"/>
  <c r="CD10" i="3"/>
  <c r="CD56" i="3"/>
  <c r="CD57" i="3"/>
  <c r="CB11" i="3"/>
  <c r="CE119" i="3"/>
  <c r="CE55" i="3"/>
  <c r="CE113" i="3"/>
  <c r="CE46" i="3"/>
  <c r="CD48" i="3"/>
  <c r="CD47" i="3"/>
  <c r="BL10" i="8" l="1"/>
  <c r="BK9" i="8"/>
  <c r="CE48" i="3"/>
  <c r="CE47" i="3"/>
  <c r="CE57" i="3"/>
  <c r="CE10" i="3"/>
  <c r="CE56" i="3"/>
  <c r="CE121" i="3"/>
  <c r="CE120" i="3"/>
  <c r="CE80" i="3"/>
  <c r="CD11" i="3"/>
  <c r="CD12" i="3"/>
  <c r="CD82" i="3"/>
  <c r="CD81" i="3"/>
  <c r="BL9" i="8" l="1"/>
  <c r="BM10" i="8"/>
  <c r="CG119" i="3"/>
  <c r="CG46" i="3"/>
  <c r="CG55" i="3"/>
  <c r="CE12" i="3"/>
  <c r="CE11" i="3"/>
  <c r="CE82" i="3"/>
  <c r="CE81" i="3"/>
  <c r="BO10" i="8" l="1"/>
  <c r="BM9" i="8"/>
  <c r="CG56" i="3"/>
  <c r="CG10" i="3"/>
  <c r="CG47" i="3"/>
  <c r="CI46" i="3"/>
  <c r="CI113" i="3"/>
  <c r="CI55" i="3"/>
  <c r="CI119" i="3"/>
  <c r="CG120" i="3"/>
  <c r="CG80" i="3"/>
  <c r="BP10" i="8" l="1"/>
  <c r="BO9" i="8"/>
  <c r="CG81" i="3"/>
  <c r="CI120" i="3"/>
  <c r="CI121" i="3"/>
  <c r="CI80" i="3"/>
  <c r="CI10" i="3"/>
  <c r="CI56" i="3"/>
  <c r="CI57" i="3"/>
  <c r="CJ46" i="3"/>
  <c r="CJ119" i="3"/>
  <c r="CJ55" i="3"/>
  <c r="CJ113" i="3"/>
  <c r="CI48" i="3"/>
  <c r="CI47" i="3"/>
  <c r="CG11" i="3"/>
  <c r="BP9" i="8" l="1"/>
  <c r="BQ10" i="8"/>
  <c r="CJ10" i="3"/>
  <c r="CJ56" i="3"/>
  <c r="CJ57" i="3"/>
  <c r="CJ120" i="3"/>
  <c r="CJ121" i="3"/>
  <c r="CJ80" i="3"/>
  <c r="CJ47" i="3"/>
  <c r="CJ48" i="3"/>
  <c r="CI82" i="3"/>
  <c r="CI81" i="3"/>
  <c r="CI11" i="3"/>
  <c r="CI12" i="3"/>
  <c r="BR10" i="8" l="1"/>
  <c r="BQ9" i="8"/>
  <c r="CL46" i="3"/>
  <c r="CL119" i="3"/>
  <c r="CL55" i="3"/>
  <c r="CJ12" i="3"/>
  <c r="CJ11" i="3"/>
  <c r="CJ82" i="3"/>
  <c r="CJ81" i="3"/>
  <c r="BR9" i="8" l="1"/>
  <c r="BT10" i="8"/>
  <c r="CL56" i="3"/>
  <c r="CL10" i="3"/>
  <c r="CL120" i="3"/>
  <c r="CL80" i="3"/>
  <c r="CL47" i="3"/>
  <c r="BU10" i="8" l="1"/>
  <c r="BT9" i="8"/>
  <c r="CL81" i="3"/>
  <c r="CL11" i="3"/>
  <c r="BV10" i="8" l="1"/>
  <c r="BU9" i="8"/>
  <c r="BV9" i="8" l="1"/>
  <c r="BW10" i="8"/>
  <c r="BY10" i="8" l="1"/>
  <c r="BW9" i="8"/>
  <c r="BZ10" i="8" l="1"/>
  <c r="BY9" i="8"/>
  <c r="BZ9" i="8" l="1"/>
  <c r="CA10" i="8"/>
  <c r="CA9" i="8" l="1"/>
  <c r="CB10" i="8"/>
  <c r="CD10" i="8" l="1"/>
  <c r="CB9" i="8"/>
  <c r="CD9" i="8" l="1"/>
  <c r="CE10" i="8"/>
  <c r="CF10" i="8" l="1"/>
  <c r="CE9" i="8"/>
  <c r="CF9" i="8" l="1"/>
  <c r="CG10" i="8"/>
  <c r="CG9" i="8" l="1"/>
  <c r="CI10" i="8"/>
  <c r="CJ10" i="8" l="1"/>
  <c r="CI9" i="8"/>
  <c r="CK10" i="8" l="1"/>
  <c r="CJ9" i="8"/>
  <c r="CL10" i="8" l="1"/>
  <c r="CL9" i="8" s="1"/>
  <c r="CK9" i="8"/>
  <c r="AT14" i="2" l="1"/>
  <c r="AX14" i="2"/>
  <c r="BC14" i="2" s="1"/>
  <c r="BH14" i="2" s="1"/>
  <c r="AW14" i="2"/>
  <c r="BB14" i="2" s="1"/>
  <c r="BG14" i="2" s="1"/>
  <c r="AR51" i="2" l="1"/>
  <c r="AT49" i="2"/>
  <c r="AY14" i="2"/>
  <c r="AX16" i="2"/>
  <c r="AT16" i="2"/>
  <c r="BD14" i="2"/>
  <c r="BB16" i="2"/>
  <c r="BC16" i="2"/>
  <c r="AW16" i="2"/>
  <c r="AT80" i="2" l="1"/>
  <c r="BD49" i="2"/>
  <c r="AT51" i="2"/>
  <c r="BC51" i="2"/>
  <c r="AX51" i="2"/>
  <c r="AW51" i="2"/>
  <c r="BB51" i="2"/>
  <c r="AY49" i="2"/>
  <c r="AY16" i="2"/>
  <c r="BD16" i="2"/>
  <c r="BI14" i="2"/>
  <c r="BI49" i="2" s="1"/>
  <c r="BG16" i="2"/>
  <c r="BL14" i="2"/>
  <c r="BM14" i="2"/>
  <c r="BH16" i="2"/>
  <c r="BG51" i="2" l="1"/>
  <c r="AY51" i="2"/>
  <c r="BD51" i="2"/>
  <c r="BH51" i="2"/>
  <c r="BR14" i="2"/>
  <c r="BM16" i="2"/>
  <c r="BL16" i="2"/>
  <c r="BQ14" i="2"/>
  <c r="BN14" i="2"/>
  <c r="BN49" i="2" s="1"/>
  <c r="BI16" i="2"/>
  <c r="BL51" i="2" l="1"/>
  <c r="BI51" i="2"/>
  <c r="BM51" i="2"/>
  <c r="BV14" i="2"/>
  <c r="BS14" i="2"/>
  <c r="BS49" i="2" s="1"/>
  <c r="BQ16" i="2"/>
  <c r="BN16" i="2"/>
  <c r="BR16" i="2"/>
  <c r="BW14" i="2"/>
  <c r="BQ51" i="2" l="1"/>
  <c r="BR51" i="2"/>
  <c r="BN51" i="2"/>
  <c r="BW16" i="2"/>
  <c r="CB14" i="2"/>
  <c r="BV16" i="2"/>
  <c r="CA14" i="2"/>
  <c r="BX14" i="2"/>
  <c r="BX49" i="2" s="1"/>
  <c r="BS16" i="2"/>
  <c r="BV51" i="2" l="1"/>
  <c r="BW51" i="2"/>
  <c r="BS51" i="2"/>
  <c r="BX16" i="2"/>
  <c r="CA16" i="2"/>
  <c r="CC14" i="2"/>
  <c r="CC49" i="2" s="1"/>
  <c r="CF14" i="2"/>
  <c r="CB16" i="2"/>
  <c r="CG14" i="2"/>
  <c r="CA51" i="2" l="1"/>
  <c r="CB51" i="2"/>
  <c r="BX51" i="2"/>
  <c r="CF16" i="2"/>
  <c r="CK14" i="2"/>
  <c r="CH14" i="2"/>
  <c r="CH49" i="2" s="1"/>
  <c r="CL14" i="2"/>
  <c r="CG16" i="2"/>
  <c r="CC16" i="2"/>
  <c r="CF51" i="2" l="1"/>
  <c r="CC51" i="2"/>
  <c r="CG51" i="2"/>
  <c r="CH16" i="2"/>
  <c r="CK16" i="2"/>
  <c r="CM14" i="2"/>
  <c r="CM49" i="2" s="1"/>
  <c r="CL16" i="2"/>
  <c r="CK51" i="2" l="1"/>
  <c r="CH51" i="2"/>
  <c r="CL51" i="2"/>
  <c r="CM16" i="2"/>
  <c r="CM51" i="2" l="1"/>
  <c r="AP24" i="3"/>
  <c r="AP26" i="3" s="1"/>
  <c r="AP72" i="3"/>
  <c r="AP73" i="3" s="1"/>
  <c r="AP36" i="3"/>
  <c r="AP38" i="3" s="1"/>
  <c r="AP90" i="3"/>
  <c r="AP91" i="3"/>
  <c r="AP74" i="3" l="1"/>
  <c r="AP39" i="3"/>
  <c r="AP25" i="3"/>
  <c r="AP103" i="3"/>
  <c r="AP104" i="3"/>
  <c r="AP60" i="3"/>
  <c r="AP108" i="3"/>
  <c r="AP107" i="3"/>
  <c r="AP37" i="3"/>
  <c r="AP77" i="3"/>
  <c r="AP78" i="3" l="1"/>
  <c r="AP79" i="3"/>
  <c r="AP62" i="3"/>
  <c r="AP61" i="3"/>
  <c r="AU106" i="3"/>
  <c r="AZ102" i="3"/>
  <c r="AU60" i="3"/>
  <c r="AU61" i="3" l="1"/>
  <c r="BE102" i="3"/>
  <c r="AZ60" i="3"/>
  <c r="AZ106" i="3"/>
  <c r="AU77" i="3"/>
  <c r="AU89" i="3"/>
  <c r="AU107" i="3"/>
  <c r="AU72" i="3" l="1"/>
  <c r="AU90" i="3"/>
  <c r="AU91" i="3"/>
  <c r="AU24" i="3"/>
  <c r="AU78" i="3"/>
  <c r="AZ89" i="3"/>
  <c r="AZ77" i="3"/>
  <c r="AZ107" i="3"/>
  <c r="BE60" i="3"/>
  <c r="BE106" i="3"/>
  <c r="AZ61" i="3"/>
  <c r="AZ24" i="3" l="1"/>
  <c r="AZ90" i="3"/>
  <c r="AZ72" i="3"/>
  <c r="AU26" i="3"/>
  <c r="AU25" i="3"/>
  <c r="AZ78" i="3"/>
  <c r="BE89" i="3"/>
  <c r="BE107" i="3"/>
  <c r="BE77" i="3"/>
  <c r="BE61" i="3"/>
  <c r="AU74" i="3"/>
  <c r="AU73" i="3"/>
  <c r="BE72" i="3" l="1"/>
  <c r="BE90" i="3"/>
  <c r="BE24" i="3"/>
  <c r="BE78" i="3"/>
  <c r="AZ73" i="3"/>
  <c r="AZ25" i="3"/>
  <c r="BE73" i="3" l="1"/>
  <c r="BJ102" i="3"/>
  <c r="BE25" i="3"/>
  <c r="BJ60" i="3" l="1"/>
  <c r="BJ106" i="3"/>
  <c r="BO102" i="3"/>
  <c r="BO60" i="3" l="1"/>
  <c r="BO106" i="3"/>
  <c r="BT102" i="3"/>
  <c r="BJ89" i="3"/>
  <c r="BJ77" i="3"/>
  <c r="BJ107" i="3"/>
  <c r="BJ61" i="3"/>
  <c r="BJ78" i="3" l="1"/>
  <c r="BO61" i="3"/>
  <c r="BJ24" i="3"/>
  <c r="BJ90" i="3"/>
  <c r="BJ72" i="3"/>
  <c r="BY102" i="3"/>
  <c r="BT106" i="3"/>
  <c r="BT60" i="3"/>
  <c r="BO89" i="3"/>
  <c r="BO77" i="3"/>
  <c r="BO107" i="3"/>
  <c r="BT107" i="3" l="1"/>
  <c r="BT89" i="3"/>
  <c r="BT77" i="3"/>
  <c r="BO78" i="3"/>
  <c r="BO24" i="3"/>
  <c r="BO72" i="3"/>
  <c r="BO90" i="3"/>
  <c r="BJ25" i="3"/>
  <c r="BJ73" i="3"/>
  <c r="BT61" i="3"/>
  <c r="BY60" i="3"/>
  <c r="BY106" i="3"/>
  <c r="CD102" i="3"/>
  <c r="BY61" i="3" l="1"/>
  <c r="BO73" i="3"/>
  <c r="BO25" i="3"/>
  <c r="BT78" i="3"/>
  <c r="CI102" i="3"/>
  <c r="CD106" i="3"/>
  <c r="CD60" i="3"/>
  <c r="BT90" i="3"/>
  <c r="BT24" i="3"/>
  <c r="BT72" i="3"/>
  <c r="BY89" i="3"/>
  <c r="BY77" i="3"/>
  <c r="BY107" i="3"/>
  <c r="BT73" i="3" l="1"/>
  <c r="BY78" i="3"/>
  <c r="CD61" i="3"/>
  <c r="BT25" i="3"/>
  <c r="BY72" i="3"/>
  <c r="BY90" i="3"/>
  <c r="BY24" i="3"/>
  <c r="CD89" i="3"/>
  <c r="CD107" i="3"/>
  <c r="CD77" i="3"/>
  <c r="CI60" i="3"/>
  <c r="CI106" i="3"/>
  <c r="BY25" i="3" l="1"/>
  <c r="BY73" i="3"/>
  <c r="CI61" i="3"/>
  <c r="CI89" i="3"/>
  <c r="CI77" i="3"/>
  <c r="CI107" i="3"/>
  <c r="CD72" i="3"/>
  <c r="CD90" i="3"/>
  <c r="CD24" i="3"/>
  <c r="CD78" i="3"/>
  <c r="CD25" i="3" l="1"/>
  <c r="CI78" i="3"/>
  <c r="CD73" i="3"/>
  <c r="CI24" i="3"/>
  <c r="CI90" i="3"/>
  <c r="CI72" i="3"/>
  <c r="CI73" i="3" l="1"/>
  <c r="CI25" i="3"/>
  <c r="AQ72" i="3" l="1"/>
  <c r="AQ24" i="3"/>
  <c r="AQ36" i="3"/>
  <c r="AQ38" i="3" s="1"/>
  <c r="AQ91" i="3"/>
  <c r="AQ90" i="3"/>
  <c r="AR91" i="3"/>
  <c r="AQ106" i="3"/>
  <c r="AQ108" i="3" l="1"/>
  <c r="AQ102" i="3"/>
  <c r="AQ37" i="3"/>
  <c r="AQ26" i="3"/>
  <c r="AQ25" i="3"/>
  <c r="AR26" i="3"/>
  <c r="AQ39" i="3"/>
  <c r="AQ73" i="3"/>
  <c r="AQ74" i="3"/>
  <c r="AQ77" i="3"/>
  <c r="AR74" i="3"/>
  <c r="AQ107" i="3"/>
  <c r="AV102" i="3" l="1"/>
  <c r="AQ60" i="3"/>
  <c r="AQ103" i="3"/>
  <c r="AQ104" i="3"/>
  <c r="AQ78" i="3"/>
  <c r="AQ79" i="3"/>
  <c r="AQ61" i="3" l="1"/>
  <c r="AQ62" i="3"/>
  <c r="AV60" i="3"/>
  <c r="AV106" i="3"/>
  <c r="AV104" i="3"/>
  <c r="BA102" i="3"/>
  <c r="AV61" i="3" l="1"/>
  <c r="AV62" i="3"/>
  <c r="BF102" i="3"/>
  <c r="BA104" i="3"/>
  <c r="BA60" i="3"/>
  <c r="BA106" i="3"/>
  <c r="AV77" i="3"/>
  <c r="AV89" i="3"/>
  <c r="AV108" i="3"/>
  <c r="AV107" i="3"/>
  <c r="AQ253" i="3"/>
  <c r="AQ254" i="3"/>
  <c r="BF60" i="3" l="1"/>
  <c r="BF104" i="3"/>
  <c r="BF106" i="3"/>
  <c r="BK102" i="3"/>
  <c r="BA61" i="3"/>
  <c r="BA62" i="3"/>
  <c r="BA89" i="3"/>
  <c r="BA77" i="3"/>
  <c r="BA107" i="3"/>
  <c r="BA108" i="3"/>
  <c r="AV72" i="3"/>
  <c r="AV24" i="3"/>
  <c r="AV91" i="3"/>
  <c r="AV90" i="3"/>
  <c r="AV79" i="3"/>
  <c r="AV78" i="3"/>
  <c r="AV74" i="3" l="1"/>
  <c r="AV73" i="3"/>
  <c r="BK104" i="3"/>
  <c r="BK60" i="3"/>
  <c r="BP102" i="3"/>
  <c r="BK106" i="3"/>
  <c r="BF107" i="3"/>
  <c r="BF77" i="3"/>
  <c r="BF89" i="3"/>
  <c r="BF108" i="3"/>
  <c r="AV26" i="3"/>
  <c r="AV25" i="3"/>
  <c r="BA79" i="3"/>
  <c r="BA78" i="3"/>
  <c r="BA24" i="3"/>
  <c r="BA72" i="3"/>
  <c r="BA90" i="3"/>
  <c r="BA91" i="3"/>
  <c r="BF62" i="3"/>
  <c r="BF61" i="3"/>
  <c r="BK77" i="3" l="1"/>
  <c r="BK89" i="3"/>
  <c r="BK108" i="3"/>
  <c r="BK107" i="3"/>
  <c r="BK61" i="3"/>
  <c r="BK62" i="3"/>
  <c r="BA26" i="3"/>
  <c r="BA25" i="3"/>
  <c r="BA74" i="3"/>
  <c r="BA73" i="3"/>
  <c r="BF90" i="3"/>
  <c r="BF72" i="3"/>
  <c r="BF91" i="3"/>
  <c r="BF24" i="3"/>
  <c r="BP104" i="3"/>
  <c r="BP106" i="3"/>
  <c r="BU102" i="3"/>
  <c r="BP60" i="3"/>
  <c r="BF78" i="3"/>
  <c r="BF79" i="3"/>
  <c r="AR197" i="3"/>
  <c r="AR198" i="3"/>
  <c r="AR16" i="3"/>
  <c r="AR4" i="3" s="1"/>
  <c r="BF25" i="3" l="1"/>
  <c r="BF26" i="3"/>
  <c r="BP61" i="3"/>
  <c r="BP62" i="3"/>
  <c r="BF74" i="3"/>
  <c r="BF73" i="3"/>
  <c r="BU104" i="3"/>
  <c r="BU60" i="3"/>
  <c r="BU106" i="3"/>
  <c r="BZ102" i="3"/>
  <c r="BP89" i="3"/>
  <c r="BP107" i="3"/>
  <c r="BP77" i="3"/>
  <c r="BP108" i="3"/>
  <c r="BK72" i="3"/>
  <c r="BK91" i="3"/>
  <c r="BK24" i="3"/>
  <c r="BK90" i="3"/>
  <c r="BK79" i="3"/>
  <c r="BK78" i="3"/>
  <c r="AR20" i="3"/>
  <c r="AR21" i="3"/>
  <c r="AR17" i="3"/>
  <c r="AR18" i="3"/>
  <c r="BP78" i="3" l="1"/>
  <c r="BP79" i="3"/>
  <c r="BP72" i="3"/>
  <c r="BP24" i="3"/>
  <c r="BP91" i="3"/>
  <c r="BP90" i="3"/>
  <c r="BZ104" i="3"/>
  <c r="CE102" i="3"/>
  <c r="BZ106" i="3"/>
  <c r="BZ60" i="3"/>
  <c r="BU108" i="3"/>
  <c r="BU107" i="3"/>
  <c r="BU89" i="3"/>
  <c r="BU77" i="3"/>
  <c r="BK74" i="3"/>
  <c r="BK73" i="3"/>
  <c r="BU61" i="3"/>
  <c r="BU62" i="3"/>
  <c r="BK25" i="3"/>
  <c r="BK26" i="3"/>
  <c r="BZ61" i="3" l="1"/>
  <c r="BZ62" i="3"/>
  <c r="BZ107" i="3"/>
  <c r="BZ77" i="3"/>
  <c r="BZ108" i="3"/>
  <c r="BZ89" i="3"/>
  <c r="CE104" i="3"/>
  <c r="CE60" i="3"/>
  <c r="CE106" i="3"/>
  <c r="CJ102" i="3"/>
  <c r="BU79" i="3"/>
  <c r="BU78" i="3"/>
  <c r="BP26" i="3"/>
  <c r="BP25" i="3"/>
  <c r="BU72" i="3"/>
  <c r="BU24" i="3"/>
  <c r="BU91" i="3"/>
  <c r="BU90" i="3"/>
  <c r="BP73" i="3"/>
  <c r="BP74" i="3"/>
  <c r="CE108" i="3" l="1"/>
  <c r="CE77" i="3"/>
  <c r="CE107" i="3"/>
  <c r="CE89" i="3"/>
  <c r="CE62" i="3"/>
  <c r="CE61" i="3"/>
  <c r="BU25" i="3"/>
  <c r="BU26" i="3"/>
  <c r="BZ90" i="3"/>
  <c r="BZ24" i="3"/>
  <c r="BZ72" i="3"/>
  <c r="BZ91" i="3"/>
  <c r="BU74" i="3"/>
  <c r="BU73" i="3"/>
  <c r="BZ78" i="3"/>
  <c r="BZ79" i="3"/>
  <c r="CJ104" i="3"/>
  <c r="CJ60" i="3"/>
  <c r="CJ106" i="3"/>
  <c r="BZ26" i="3" l="1"/>
  <c r="BZ25" i="3"/>
  <c r="CE90" i="3"/>
  <c r="CE91" i="3"/>
  <c r="CE24" i="3"/>
  <c r="CE72" i="3"/>
  <c r="BZ73" i="3"/>
  <c r="BZ74" i="3"/>
  <c r="CE79" i="3"/>
  <c r="CE78" i="3"/>
  <c r="CJ61" i="3"/>
  <c r="CJ62" i="3"/>
  <c r="CJ108" i="3"/>
  <c r="CJ77" i="3"/>
  <c r="CJ89" i="3"/>
  <c r="CJ107" i="3"/>
  <c r="CJ24" i="3" l="1"/>
  <c r="CJ91" i="3"/>
  <c r="CJ72" i="3"/>
  <c r="CJ90" i="3"/>
  <c r="CJ78" i="3"/>
  <c r="CJ79" i="3"/>
  <c r="CE26" i="3"/>
  <c r="CE25" i="3"/>
  <c r="CE74" i="3"/>
  <c r="CE73" i="3"/>
  <c r="CJ74" i="3" l="1"/>
  <c r="CJ73" i="3"/>
  <c r="CJ26" i="3"/>
  <c r="CJ25" i="3"/>
  <c r="BC61" i="2" l="1"/>
  <c r="BE61" i="2" l="1"/>
  <c r="BG61" i="2"/>
  <c r="BH61" i="2"/>
  <c r="BF61" i="2"/>
  <c r="BB61" i="2"/>
  <c r="BA61" i="2"/>
  <c r="AZ61" i="2"/>
  <c r="BL61" i="2" l="1"/>
  <c r="BM61" i="2"/>
  <c r="BJ61" i="2"/>
  <c r="BK61" i="2"/>
  <c r="BP61" i="2" l="1"/>
  <c r="BQ61" i="2"/>
  <c r="BR61" i="2"/>
  <c r="BO61" i="2"/>
  <c r="BW61" i="2" l="1"/>
  <c r="BT61" i="2"/>
  <c r="BU61" i="2"/>
  <c r="BV61" i="2"/>
  <c r="CA61" i="2" l="1"/>
  <c r="CB61" i="2"/>
  <c r="BZ61" i="2" l="1"/>
  <c r="BY61" i="2"/>
  <c r="CF61" i="2" l="1"/>
  <c r="CG61" i="2"/>
  <c r="CE61" i="2"/>
  <c r="CD61" i="2" l="1"/>
  <c r="CK61" i="2" l="1"/>
  <c r="CL61" i="2" l="1"/>
  <c r="CJ61" i="2"/>
  <c r="CI61" i="2"/>
  <c r="BB41" i="4" l="1"/>
  <c r="BC41" i="4" s="1"/>
  <c r="BB26" i="2"/>
  <c r="BD26" i="2" s="1"/>
  <c r="AZ58" i="5"/>
  <c r="AY51" i="5"/>
  <c r="AZ51" i="5" s="1"/>
  <c r="BA51" i="5" s="1"/>
  <c r="BB51" i="5" s="1"/>
  <c r="BC51" i="5" s="1"/>
  <c r="BD51" i="5" s="1"/>
  <c r="BE51" i="5" s="1"/>
  <c r="BF51" i="5" s="1"/>
  <c r="BG51" i="5" s="1"/>
  <c r="BH51" i="5" s="1"/>
  <c r="BI51" i="5" s="1"/>
  <c r="BJ51" i="5" s="1"/>
  <c r="BK51" i="5" s="1"/>
  <c r="BL51" i="5" s="1"/>
  <c r="BM51" i="5" s="1"/>
  <c r="BN51" i="5" s="1"/>
  <c r="BO51" i="5" s="1"/>
  <c r="BP51" i="5" s="1"/>
  <c r="BQ51" i="5" s="1"/>
  <c r="BR51" i="5" s="1"/>
  <c r="BS51" i="5" s="1"/>
  <c r="BT51" i="5" s="1"/>
  <c r="BU51" i="5" s="1"/>
  <c r="BV51" i="5" s="1"/>
  <c r="BW51" i="5" s="1"/>
  <c r="BX51" i="5" s="1"/>
  <c r="BY51" i="5" s="1"/>
  <c r="BZ51" i="5" s="1"/>
  <c r="CA51" i="5" s="1"/>
  <c r="CB51" i="5" s="1"/>
  <c r="CC51" i="5" s="1"/>
  <c r="CD51" i="5" s="1"/>
  <c r="CE51" i="5" s="1"/>
  <c r="CF51" i="5" s="1"/>
  <c r="CG51" i="5" s="1"/>
  <c r="CH51" i="5" s="1"/>
  <c r="CI51" i="5" s="1"/>
  <c r="CJ51" i="5" s="1"/>
  <c r="CK51" i="5" s="1"/>
  <c r="CL51" i="5" s="1"/>
  <c r="CM51" i="5" s="1"/>
  <c r="BD13" i="5"/>
  <c r="BG13" i="5"/>
  <c r="BI13" i="5" s="1"/>
  <c r="BD41" i="4" l="1"/>
  <c r="BE41" i="4"/>
  <c r="BF41" i="4" s="1"/>
  <c r="BA58" i="5"/>
  <c r="BL13" i="5"/>
  <c r="BG26" i="2"/>
  <c r="BI26" i="2" s="1"/>
  <c r="BB58" i="5" l="1"/>
  <c r="BL26" i="2"/>
  <c r="BN26" i="2" s="1"/>
  <c r="BQ13" i="5"/>
  <c r="BN13" i="5"/>
  <c r="BG41" i="4"/>
  <c r="BC58" i="5" l="1"/>
  <c r="BH41" i="4"/>
  <c r="BS13" i="5"/>
  <c r="BQ26" i="2"/>
  <c r="BS26" i="2" s="1"/>
  <c r="BV13" i="5"/>
  <c r="BE58" i="5" l="1"/>
  <c r="BV26" i="2"/>
  <c r="BX26" i="2" s="1"/>
  <c r="BX13" i="5"/>
  <c r="CA13" i="5"/>
  <c r="BI41" i="4"/>
  <c r="BJ41" i="4"/>
  <c r="BF58" i="5" l="1"/>
  <c r="BK41" i="4"/>
  <c r="CF13" i="5"/>
  <c r="CC13" i="5"/>
  <c r="CA26" i="2"/>
  <c r="CC26" i="2" s="1"/>
  <c r="BG58" i="5" l="1"/>
  <c r="BL41" i="4"/>
  <c r="CF26" i="2"/>
  <c r="CH26" i="2" s="1"/>
  <c r="CK13" i="5"/>
  <c r="CH13" i="5"/>
  <c r="BH58" i="5" l="1"/>
  <c r="BM41" i="4"/>
  <c r="CK26" i="2"/>
  <c r="CM26" i="2" s="1"/>
  <c r="CM13" i="5"/>
  <c r="BJ58" i="5" l="1"/>
  <c r="BN41" i="4"/>
  <c r="BO41" i="4"/>
  <c r="BK58" i="5" l="1"/>
  <c r="BP41" i="4"/>
  <c r="BL58" i="5" l="1"/>
  <c r="BQ41" i="4"/>
  <c r="BM58" i="5" l="1"/>
  <c r="BR41" i="4"/>
  <c r="BO58" i="5" l="1"/>
  <c r="BS41" i="4"/>
  <c r="BT41" i="4"/>
  <c r="BP58" i="5" l="1"/>
  <c r="BU41" i="4"/>
  <c r="BQ58" i="5" l="1"/>
  <c r="BV41" i="4"/>
  <c r="BR58" i="5" l="1"/>
  <c r="BW41" i="4"/>
  <c r="BT58" i="5" l="1"/>
  <c r="BX41" i="4"/>
  <c r="BY41" i="4"/>
  <c r="BU58" i="5" l="1"/>
  <c r="BZ41" i="4"/>
  <c r="BV58" i="5" l="1"/>
  <c r="CA41" i="4"/>
  <c r="BW58" i="5" l="1"/>
  <c r="CB41" i="4"/>
  <c r="BY58" i="5" l="1"/>
  <c r="CC41" i="4"/>
  <c r="CD41" i="4"/>
  <c r="BZ58" i="5" l="1"/>
  <c r="CE41" i="4"/>
  <c r="CA58" i="5" l="1"/>
  <c r="CF41" i="4"/>
  <c r="CB58" i="5" l="1"/>
  <c r="CG41" i="4"/>
  <c r="CD58" i="5" l="1"/>
  <c r="CH41" i="4"/>
  <c r="CI41" i="4"/>
  <c r="CE58" i="5" l="1"/>
  <c r="CJ41" i="4"/>
  <c r="CF58" i="5" l="1"/>
  <c r="CK41" i="4"/>
  <c r="CG58" i="5" l="1"/>
  <c r="CL41" i="4"/>
  <c r="CI58" i="5" l="1"/>
  <c r="CM41" i="4"/>
  <c r="CJ58" i="5" l="1"/>
  <c r="CK58" i="5" l="1"/>
  <c r="CL58" i="5" l="1"/>
  <c r="AW111" i="3" l="1"/>
  <c r="AY111" i="3" s="1"/>
  <c r="AT111" i="3"/>
  <c r="AT46" i="3" s="1"/>
  <c r="AT47" i="3" s="1"/>
  <c r="AR46" i="3"/>
  <c r="AR47" i="3" s="1"/>
  <c r="AR95" i="3"/>
  <c r="AR97" i="3" s="1"/>
  <c r="AR119" i="3"/>
  <c r="AR106" i="3" s="1"/>
  <c r="AS113" i="3"/>
  <c r="AR112" i="3"/>
  <c r="AR113" i="3"/>
  <c r="AR120" i="3" l="1"/>
  <c r="AW96" i="3"/>
  <c r="AR43" i="3"/>
  <c r="AR45" i="3" s="1"/>
  <c r="AT95" i="3"/>
  <c r="AT98" i="3" s="1"/>
  <c r="AT99" i="3" s="1"/>
  <c r="AS97" i="3"/>
  <c r="AS48" i="3"/>
  <c r="AT112" i="3"/>
  <c r="AW113" i="3"/>
  <c r="AW119" i="3"/>
  <c r="AX121" i="3" s="1"/>
  <c r="AR102" i="3"/>
  <c r="AR60" i="3" s="1"/>
  <c r="AY112" i="3"/>
  <c r="AY46" i="3"/>
  <c r="AY47" i="3" s="1"/>
  <c r="AY55" i="3"/>
  <c r="AR48" i="3"/>
  <c r="AW55" i="3"/>
  <c r="AR80" i="3"/>
  <c r="AX113" i="3"/>
  <c r="AR108" i="3"/>
  <c r="AW46" i="3"/>
  <c r="BB111" i="3"/>
  <c r="AR107" i="3"/>
  <c r="AR77" i="3"/>
  <c r="AR121" i="3"/>
  <c r="AT119" i="3"/>
  <c r="AS121" i="3"/>
  <c r="AR96" i="3"/>
  <c r="AW121" i="3" l="1"/>
  <c r="AY99" i="3"/>
  <c r="AT43" i="3"/>
  <c r="AY96" i="3"/>
  <c r="AT55" i="3"/>
  <c r="AT10" i="3" s="1"/>
  <c r="AS45" i="3"/>
  <c r="AT96" i="3"/>
  <c r="AR104" i="3"/>
  <c r="AY119" i="3"/>
  <c r="AW120" i="3"/>
  <c r="AR103" i="3"/>
  <c r="AW102" i="3"/>
  <c r="BB102" i="3" s="1"/>
  <c r="AW80" i="3"/>
  <c r="AW81" i="3" s="1"/>
  <c r="AR44" i="3"/>
  <c r="AW44" i="3"/>
  <c r="AX48" i="3"/>
  <c r="AW48" i="3"/>
  <c r="AW47" i="3"/>
  <c r="AW10" i="3"/>
  <c r="AW56" i="3"/>
  <c r="AX57" i="3"/>
  <c r="AW57" i="3"/>
  <c r="AR79" i="3"/>
  <c r="AR78" i="3"/>
  <c r="BB55" i="3"/>
  <c r="BB46" i="3"/>
  <c r="BB119" i="3"/>
  <c r="BC113" i="3"/>
  <c r="BG111" i="3"/>
  <c r="BD111" i="3"/>
  <c r="BB113" i="3"/>
  <c r="AY10" i="3"/>
  <c r="AR62" i="3"/>
  <c r="AR61" i="3"/>
  <c r="AR81" i="3"/>
  <c r="AS82" i="3"/>
  <c r="AR82" i="3"/>
  <c r="AT120" i="3"/>
  <c r="AT80" i="3"/>
  <c r="AT81" i="3" s="1"/>
  <c r="AT115" i="3"/>
  <c r="AY44" i="3"/>
  <c r="AT44" i="3"/>
  <c r="AY56" i="3" l="1"/>
  <c r="AW82" i="3"/>
  <c r="AX82" i="3"/>
  <c r="AT56" i="3"/>
  <c r="AW106" i="3"/>
  <c r="AW108" i="3" s="1"/>
  <c r="AW60" i="3"/>
  <c r="AW62" i="3" s="1"/>
  <c r="AW104" i="3"/>
  <c r="AY120" i="3"/>
  <c r="AY115" i="3"/>
  <c r="AY80" i="3"/>
  <c r="AY81" i="3" s="1"/>
  <c r="BB106" i="3"/>
  <c r="BB104" i="3"/>
  <c r="BB60" i="3"/>
  <c r="BG102" i="3"/>
  <c r="AY11" i="3"/>
  <c r="AT11" i="3"/>
  <c r="BD112" i="3"/>
  <c r="BD55" i="3"/>
  <c r="BD46" i="3"/>
  <c r="BD47" i="3" s="1"/>
  <c r="BG46" i="3"/>
  <c r="BI111" i="3"/>
  <c r="BL111" i="3"/>
  <c r="BG55" i="3"/>
  <c r="BG119" i="3"/>
  <c r="BH113" i="3"/>
  <c r="BG113" i="3"/>
  <c r="AW12" i="3"/>
  <c r="AW11" i="3"/>
  <c r="AX12" i="3"/>
  <c r="BD119" i="3"/>
  <c r="BB80" i="3"/>
  <c r="BC121" i="3"/>
  <c r="BB121" i="3"/>
  <c r="BB120" i="3"/>
  <c r="BB48" i="3"/>
  <c r="BC48" i="3"/>
  <c r="BB47" i="3"/>
  <c r="AT63" i="3"/>
  <c r="AT116" i="3"/>
  <c r="BB57" i="3"/>
  <c r="BB56" i="3"/>
  <c r="BB10" i="3"/>
  <c r="BC57" i="3"/>
  <c r="AW77" i="3" l="1"/>
  <c r="AW61" i="3"/>
  <c r="AW89" i="3"/>
  <c r="AW90" i="3" s="1"/>
  <c r="AW107" i="3"/>
  <c r="AY63" i="3"/>
  <c r="AY64" i="3" s="1"/>
  <c r="AY116" i="3"/>
  <c r="BH48" i="3"/>
  <c r="BG48" i="3"/>
  <c r="BG47" i="3"/>
  <c r="BB82" i="3"/>
  <c r="BB81" i="3"/>
  <c r="BC82" i="3"/>
  <c r="BG10" i="3"/>
  <c r="BH57" i="3"/>
  <c r="BG56" i="3"/>
  <c r="BG57" i="3"/>
  <c r="BI46" i="3"/>
  <c r="BI112" i="3"/>
  <c r="BI55" i="3"/>
  <c r="BG60" i="3"/>
  <c r="BG104" i="3"/>
  <c r="BG106" i="3"/>
  <c r="BL102" i="3"/>
  <c r="BH121" i="3"/>
  <c r="BG120" i="3"/>
  <c r="BG121" i="3"/>
  <c r="BI119" i="3"/>
  <c r="BG80" i="3"/>
  <c r="BD10" i="3"/>
  <c r="BD11" i="3" s="1"/>
  <c r="BD56" i="3"/>
  <c r="BB62" i="3"/>
  <c r="BB61" i="3"/>
  <c r="BL55" i="3"/>
  <c r="BQ111" i="3"/>
  <c r="BM113" i="3"/>
  <c r="BN111" i="3"/>
  <c r="BL113" i="3"/>
  <c r="BL46" i="3"/>
  <c r="BL119" i="3"/>
  <c r="BC12" i="3"/>
  <c r="BB12" i="3"/>
  <c r="BB11" i="3"/>
  <c r="BD80" i="3"/>
  <c r="BD81" i="3" s="1"/>
  <c r="BD120" i="3"/>
  <c r="BD115" i="3"/>
  <c r="AT64" i="3"/>
  <c r="BB108" i="3"/>
  <c r="BB77" i="3"/>
  <c r="BB89" i="3"/>
  <c r="BB107" i="3"/>
  <c r="AW79" i="3" l="1"/>
  <c r="AW78" i="3"/>
  <c r="AW91" i="3"/>
  <c r="AW24" i="3"/>
  <c r="AW26" i="3" s="1"/>
  <c r="AW72" i="3"/>
  <c r="AW73" i="3" s="1"/>
  <c r="BG89" i="3"/>
  <c r="BG108" i="3"/>
  <c r="BG77" i="3"/>
  <c r="BG107" i="3"/>
  <c r="BH12" i="3"/>
  <c r="BG12" i="3"/>
  <c r="BG11" i="3"/>
  <c r="BL57" i="3"/>
  <c r="BL56" i="3"/>
  <c r="BL10" i="3"/>
  <c r="BM57" i="3"/>
  <c r="BL106" i="3"/>
  <c r="BQ102" i="3"/>
  <c r="BL60" i="3"/>
  <c r="BL104" i="3"/>
  <c r="BQ55" i="3"/>
  <c r="BR113" i="3"/>
  <c r="BQ113" i="3"/>
  <c r="BS111" i="3"/>
  <c r="BQ46" i="3"/>
  <c r="BV111" i="3"/>
  <c r="BQ119" i="3"/>
  <c r="BN55" i="3"/>
  <c r="BN46" i="3"/>
  <c r="BN47" i="3" s="1"/>
  <c r="BN112" i="3"/>
  <c r="BG62" i="3"/>
  <c r="BG61" i="3"/>
  <c r="BI10" i="3"/>
  <c r="BI11" i="3" s="1"/>
  <c r="BI56" i="3"/>
  <c r="BL48" i="3"/>
  <c r="BM48" i="3"/>
  <c r="BL47" i="3"/>
  <c r="BD63" i="3"/>
  <c r="BD64" i="3" s="1"/>
  <c r="BD116" i="3"/>
  <c r="BB72" i="3"/>
  <c r="BB91" i="3"/>
  <c r="BB24" i="3"/>
  <c r="BB90" i="3"/>
  <c r="BH82" i="3"/>
  <c r="BG82" i="3"/>
  <c r="BG81" i="3"/>
  <c r="BI115" i="3"/>
  <c r="BI80" i="3"/>
  <c r="BI81" i="3" s="1"/>
  <c r="BI120" i="3"/>
  <c r="BI47" i="3"/>
  <c r="BB78" i="3"/>
  <c r="BB79" i="3"/>
  <c r="BL121" i="3"/>
  <c r="BN119" i="3"/>
  <c r="BL80" i="3"/>
  <c r="BM121" i="3"/>
  <c r="BL120" i="3"/>
  <c r="AW74" i="3" l="1"/>
  <c r="AW25" i="3"/>
  <c r="BL82" i="3"/>
  <c r="BM82" i="3"/>
  <c r="BL81" i="3"/>
  <c r="BN120" i="3"/>
  <c r="BN80" i="3"/>
  <c r="BN81" i="3" s="1"/>
  <c r="BN115" i="3"/>
  <c r="BB73" i="3"/>
  <c r="BB74" i="3"/>
  <c r="BR121" i="3"/>
  <c r="BQ80" i="3"/>
  <c r="BQ120" i="3"/>
  <c r="BQ121" i="3"/>
  <c r="BS119" i="3"/>
  <c r="BL12" i="3"/>
  <c r="BM12" i="3"/>
  <c r="BL11" i="3"/>
  <c r="CA111" i="3"/>
  <c r="BV55" i="3"/>
  <c r="BX111" i="3"/>
  <c r="BV119" i="3"/>
  <c r="BW113" i="3"/>
  <c r="BV113" i="3"/>
  <c r="BV46" i="3"/>
  <c r="BR48" i="3"/>
  <c r="BQ47" i="3"/>
  <c r="BQ48" i="3"/>
  <c r="BS55" i="3"/>
  <c r="BS112" i="3"/>
  <c r="BS46" i="3"/>
  <c r="BS47" i="3" s="1"/>
  <c r="BB25" i="3"/>
  <c r="BB26" i="3"/>
  <c r="BI63" i="3"/>
  <c r="BI64" i="3" s="1"/>
  <c r="BI116" i="3"/>
  <c r="BQ10" i="3"/>
  <c r="BQ56" i="3"/>
  <c r="BR57" i="3"/>
  <c r="BQ57" i="3"/>
  <c r="BN10" i="3"/>
  <c r="BN11" i="3" s="1"/>
  <c r="BN56" i="3"/>
  <c r="BL62" i="3"/>
  <c r="BL61" i="3"/>
  <c r="BG78" i="3"/>
  <c r="BG79" i="3"/>
  <c r="BQ106" i="3"/>
  <c r="BQ104" i="3"/>
  <c r="BQ60" i="3"/>
  <c r="BV102" i="3"/>
  <c r="BL89" i="3"/>
  <c r="BL108" i="3"/>
  <c r="BL107" i="3"/>
  <c r="BL77" i="3"/>
  <c r="BG91" i="3"/>
  <c r="BG24" i="3"/>
  <c r="BG72" i="3"/>
  <c r="BG90" i="3"/>
  <c r="BV47" i="3" l="1"/>
  <c r="BW48" i="3"/>
  <c r="BV48" i="3"/>
  <c r="BQ12" i="3"/>
  <c r="BR12" i="3"/>
  <c r="BQ11" i="3"/>
  <c r="BV80" i="3"/>
  <c r="BW121" i="3"/>
  <c r="BV121" i="3"/>
  <c r="BV120" i="3"/>
  <c r="BX119" i="3"/>
  <c r="BV60" i="3"/>
  <c r="CA102" i="3"/>
  <c r="BV106" i="3"/>
  <c r="BV104" i="3"/>
  <c r="BQ61" i="3"/>
  <c r="BQ62" i="3"/>
  <c r="BX112" i="3"/>
  <c r="BX46" i="3"/>
  <c r="BX47" i="3" s="1"/>
  <c r="BX55" i="3"/>
  <c r="BW57" i="3"/>
  <c r="BV56" i="3"/>
  <c r="BV57" i="3"/>
  <c r="BV10" i="3"/>
  <c r="CB113" i="3"/>
  <c r="CC111" i="3"/>
  <c r="CA113" i="3"/>
  <c r="CA55" i="3"/>
  <c r="CA119" i="3"/>
  <c r="CF111" i="3"/>
  <c r="CA46" i="3"/>
  <c r="BN63" i="3"/>
  <c r="BN64" i="3" s="1"/>
  <c r="BN116" i="3"/>
  <c r="BR82" i="3"/>
  <c r="BQ81" i="3"/>
  <c r="BQ82" i="3"/>
  <c r="BS56" i="3"/>
  <c r="BS10" i="3"/>
  <c r="BS11" i="3" s="1"/>
  <c r="BL78" i="3"/>
  <c r="BL79" i="3"/>
  <c r="BQ107" i="3"/>
  <c r="BQ77" i="3"/>
  <c r="BQ89" i="3"/>
  <c r="BQ108" i="3"/>
  <c r="BL72" i="3"/>
  <c r="BL90" i="3"/>
  <c r="BL24" i="3"/>
  <c r="BL91" i="3"/>
  <c r="BG73" i="3"/>
  <c r="BG74" i="3"/>
  <c r="BG26" i="3"/>
  <c r="BG25" i="3"/>
  <c r="BS120" i="3"/>
  <c r="BS115" i="3"/>
  <c r="BS80" i="3"/>
  <c r="BS81" i="3" s="1"/>
  <c r="BV11" i="3" l="1"/>
  <c r="BV12" i="3"/>
  <c r="BW12" i="3"/>
  <c r="BX115" i="3"/>
  <c r="BX120" i="3"/>
  <c r="BX80" i="3"/>
  <c r="BX81" i="3" s="1"/>
  <c r="BQ90" i="3"/>
  <c r="BQ24" i="3"/>
  <c r="BQ91" i="3"/>
  <c r="BQ72" i="3"/>
  <c r="BW82" i="3"/>
  <c r="BV82" i="3"/>
  <c r="BV81" i="3"/>
  <c r="BQ79" i="3"/>
  <c r="BQ78" i="3"/>
  <c r="BL73" i="3"/>
  <c r="BL74" i="3"/>
  <c r="BX10" i="3"/>
  <c r="BX11" i="3" s="1"/>
  <c r="BX56" i="3"/>
  <c r="CB48" i="3"/>
  <c r="CA47" i="3"/>
  <c r="CA48" i="3"/>
  <c r="BS116" i="3"/>
  <c r="BS63" i="3"/>
  <c r="BS64" i="3" s="1"/>
  <c r="CH111" i="3"/>
  <c r="CF55" i="3"/>
  <c r="CF46" i="3"/>
  <c r="CG113" i="3"/>
  <c r="CF113" i="3"/>
  <c r="CF119" i="3"/>
  <c r="CK111" i="3"/>
  <c r="CC119" i="3"/>
  <c r="CA80" i="3"/>
  <c r="CB121" i="3"/>
  <c r="CA120" i="3"/>
  <c r="CA121" i="3"/>
  <c r="CA10" i="3"/>
  <c r="CA56" i="3"/>
  <c r="CB57" i="3"/>
  <c r="CA57" i="3"/>
  <c r="CC46" i="3"/>
  <c r="CC47" i="3" s="1"/>
  <c r="CC112" i="3"/>
  <c r="CC55" i="3"/>
  <c r="BV77" i="3"/>
  <c r="BV108" i="3"/>
  <c r="BV107" i="3"/>
  <c r="BV89" i="3"/>
  <c r="CA60" i="3"/>
  <c r="CA104" i="3"/>
  <c r="CA106" i="3"/>
  <c r="CF102" i="3"/>
  <c r="BL26" i="3"/>
  <c r="BL25" i="3"/>
  <c r="BV61" i="3"/>
  <c r="BV62" i="3"/>
  <c r="CH46" i="3" l="1"/>
  <c r="CH47" i="3" s="1"/>
  <c r="CH55" i="3"/>
  <c r="CH112" i="3"/>
  <c r="CG48" i="3"/>
  <c r="CF48" i="3"/>
  <c r="CF47" i="3"/>
  <c r="CB82" i="3"/>
  <c r="CA82" i="3"/>
  <c r="CA81" i="3"/>
  <c r="BQ73" i="3"/>
  <c r="BQ74" i="3"/>
  <c r="BQ26" i="3"/>
  <c r="BQ25" i="3"/>
  <c r="BX116" i="3"/>
  <c r="BX63" i="3"/>
  <c r="BX64" i="3" s="1"/>
  <c r="BV24" i="3"/>
  <c r="BV72" i="3"/>
  <c r="BV91" i="3"/>
  <c r="BV90" i="3"/>
  <c r="CC120" i="3"/>
  <c r="CC115" i="3"/>
  <c r="CC80" i="3"/>
  <c r="CC81" i="3" s="1"/>
  <c r="BV79" i="3"/>
  <c r="BV78" i="3"/>
  <c r="CC56" i="3"/>
  <c r="CC10" i="3"/>
  <c r="CC11" i="3" s="1"/>
  <c r="CB12" i="3"/>
  <c r="CA12" i="3"/>
  <c r="CA11" i="3"/>
  <c r="CA62" i="3"/>
  <c r="CA61" i="3"/>
  <c r="CM111" i="3"/>
  <c r="CK113" i="3"/>
  <c r="CK55" i="3"/>
  <c r="CL113" i="3"/>
  <c r="CK119" i="3"/>
  <c r="CK46" i="3"/>
  <c r="CF120" i="3"/>
  <c r="CF80" i="3"/>
  <c r="CH119" i="3"/>
  <c r="CG121" i="3"/>
  <c r="CF121" i="3"/>
  <c r="CF56" i="3"/>
  <c r="CF57" i="3"/>
  <c r="CF10" i="3"/>
  <c r="CG57" i="3"/>
  <c r="CF60" i="3"/>
  <c r="CK102" i="3"/>
  <c r="CF104" i="3"/>
  <c r="CF106" i="3"/>
  <c r="CA89" i="3"/>
  <c r="CA107" i="3"/>
  <c r="CA108" i="3"/>
  <c r="CA77" i="3"/>
  <c r="CC63" i="3" l="1"/>
  <c r="CC64" i="3" s="1"/>
  <c r="CC116" i="3"/>
  <c r="CL48" i="3"/>
  <c r="CK47" i="3"/>
  <c r="CK48" i="3"/>
  <c r="CL57" i="3"/>
  <c r="CK56" i="3"/>
  <c r="CK10" i="3"/>
  <c r="CK57" i="3"/>
  <c r="CA90" i="3"/>
  <c r="CA24" i="3"/>
  <c r="CA91" i="3"/>
  <c r="CA72" i="3"/>
  <c r="CL121" i="3"/>
  <c r="CK121" i="3"/>
  <c r="CM119" i="3"/>
  <c r="CK120" i="3"/>
  <c r="CK80" i="3"/>
  <c r="CF77" i="3"/>
  <c r="CF89" i="3"/>
  <c r="CF108" i="3"/>
  <c r="CF107" i="3"/>
  <c r="CH115" i="3"/>
  <c r="CH80" i="3"/>
  <c r="CH81" i="3" s="1"/>
  <c r="CH120" i="3"/>
  <c r="BV73" i="3"/>
  <c r="BV74" i="3"/>
  <c r="CM112" i="3"/>
  <c r="CM55" i="3"/>
  <c r="CM46" i="3"/>
  <c r="CM47" i="3" s="1"/>
  <c r="CG82" i="3"/>
  <c r="CF82" i="3"/>
  <c r="CF81" i="3"/>
  <c r="BV26" i="3"/>
  <c r="BV25" i="3"/>
  <c r="CH56" i="3"/>
  <c r="CH10" i="3"/>
  <c r="CH11" i="3" s="1"/>
  <c r="CK106" i="3"/>
  <c r="CK104" i="3"/>
  <c r="CK60" i="3"/>
  <c r="CF62" i="3"/>
  <c r="CF61" i="3"/>
  <c r="CA79" i="3"/>
  <c r="CA78" i="3"/>
  <c r="CF12" i="3"/>
  <c r="CG12" i="3"/>
  <c r="CF11" i="3"/>
  <c r="CF24" i="3" l="1"/>
  <c r="CF72" i="3"/>
  <c r="CF90" i="3"/>
  <c r="CF91" i="3"/>
  <c r="CM56" i="3"/>
  <c r="CM10" i="3"/>
  <c r="CM11" i="3" s="1"/>
  <c r="CL82" i="3"/>
  <c r="CK82" i="3"/>
  <c r="CK81" i="3"/>
  <c r="CM115" i="3"/>
  <c r="CM120" i="3"/>
  <c r="CM80" i="3"/>
  <c r="CM81" i="3" s="1"/>
  <c r="CK108" i="3"/>
  <c r="CK107" i="3"/>
  <c r="CK89" i="3"/>
  <c r="CK77" i="3"/>
  <c r="CH63" i="3"/>
  <c r="CH64" i="3" s="1"/>
  <c r="CH116" i="3"/>
  <c r="CA73" i="3"/>
  <c r="CA74" i="3"/>
  <c r="CL12" i="3"/>
  <c r="CK12" i="3"/>
  <c r="CK11" i="3"/>
  <c r="CA25" i="3"/>
  <c r="CA26" i="3"/>
  <c r="CF78" i="3"/>
  <c r="CF79" i="3"/>
  <c r="CK61" i="3"/>
  <c r="CK62" i="3"/>
  <c r="CK78" i="3" l="1"/>
  <c r="CK79" i="3"/>
  <c r="CK24" i="3"/>
  <c r="CK72" i="3"/>
  <c r="CK90" i="3"/>
  <c r="CK91" i="3"/>
  <c r="CM116" i="3"/>
  <c r="CM63" i="3"/>
  <c r="CM64" i="3" s="1"/>
  <c r="CF74" i="3"/>
  <c r="CF73" i="3"/>
  <c r="CF26" i="3"/>
  <c r="CF25" i="3"/>
  <c r="CK73" i="3" l="1"/>
  <c r="CK74" i="3"/>
  <c r="CK25" i="3"/>
  <c r="CK26" i="3"/>
  <c r="AR205" i="3" l="1"/>
  <c r="AR206" i="3"/>
  <c r="AR30" i="3"/>
  <c r="AR36" i="3"/>
  <c r="AR31" i="3" l="1"/>
  <c r="AR38" i="3"/>
  <c r="AR37" i="3"/>
  <c r="AR202" i="3"/>
  <c r="AR201" i="3"/>
  <c r="AR32" i="3"/>
  <c r="AR64" i="2" l="1"/>
  <c r="AR65" i="2"/>
  <c r="AR63" i="2"/>
  <c r="AR66" i="4"/>
  <c r="AR45" i="2"/>
  <c r="AR62" i="2"/>
  <c r="AR39" i="3"/>
  <c r="AR82" i="4" l="1"/>
  <c r="AR70" i="4"/>
  <c r="AR47" i="2"/>
  <c r="AR67" i="4"/>
  <c r="AR46" i="2"/>
  <c r="AR78" i="4" l="1"/>
  <c r="AR74" i="4"/>
  <c r="AR66" i="2"/>
  <c r="AR42" i="2"/>
  <c r="AR52" i="2"/>
  <c r="AR71" i="4"/>
  <c r="AR83" i="4"/>
  <c r="AV74" i="4" l="1"/>
  <c r="BB78" i="4"/>
  <c r="BG78" i="4" s="1"/>
  <c r="BL78" i="4" s="1"/>
  <c r="BQ78" i="4" s="1"/>
  <c r="BV78" i="4" s="1"/>
  <c r="CA78" i="4" s="1"/>
  <c r="CF78" i="4" s="1"/>
  <c r="CK78" i="4" s="1"/>
  <c r="AZ70" i="4"/>
  <c r="BA70" i="4" s="1"/>
  <c r="BB70" i="4" s="1"/>
  <c r="BC70" i="4" s="1"/>
  <c r="AY70" i="4"/>
  <c r="AR75" i="4"/>
  <c r="AR79" i="4"/>
  <c r="AR70" i="2"/>
  <c r="AR54" i="2"/>
  <c r="AR53" i="2"/>
  <c r="AR68" i="2"/>
  <c r="AR67" i="2"/>
  <c r="BD70" i="4" l="1"/>
  <c r="BE70" i="4"/>
  <c r="BF70" i="4" s="1"/>
  <c r="BG70" i="4" s="1"/>
  <c r="BH70" i="4" s="1"/>
  <c r="AZ74" i="4"/>
  <c r="BA74" i="4" s="1"/>
  <c r="BB74" i="4" s="1"/>
  <c r="BC74" i="4" s="1"/>
  <c r="AY74" i="4"/>
  <c r="AR69" i="2"/>
  <c r="AR55" i="2"/>
  <c r="AR72" i="2"/>
  <c r="AR57" i="2"/>
  <c r="BE74" i="4" l="1"/>
  <c r="BF74" i="4" s="1"/>
  <c r="BG74" i="4" s="1"/>
  <c r="BH74" i="4" s="1"/>
  <c r="BD74" i="4"/>
  <c r="BI70" i="4"/>
  <c r="BJ70" i="4"/>
  <c r="BK70" i="4" s="1"/>
  <c r="BL70" i="4" s="1"/>
  <c r="BM70" i="4" s="1"/>
  <c r="BC78" i="4"/>
  <c r="AY78" i="4"/>
  <c r="AR90" i="4"/>
  <c r="AR62" i="5"/>
  <c r="AR60" i="5"/>
  <c r="BD78" i="4" l="1"/>
  <c r="BH78" i="4"/>
  <c r="BN70" i="4"/>
  <c r="BO70" i="4"/>
  <c r="BP70" i="4" s="1"/>
  <c r="BQ70" i="4" s="1"/>
  <c r="BR70" i="4" s="1"/>
  <c r="BJ74" i="4"/>
  <c r="BK74" i="4" s="1"/>
  <c r="BL74" i="4" s="1"/>
  <c r="BM74" i="4" s="1"/>
  <c r="BI74" i="4"/>
  <c r="AR63" i="5"/>
  <c r="AR66" i="5"/>
  <c r="AR67" i="5" s="1"/>
  <c r="AR64" i="5"/>
  <c r="BO74" i="4" l="1"/>
  <c r="BP74" i="4" s="1"/>
  <c r="BQ74" i="4" s="1"/>
  <c r="BR74" i="4" s="1"/>
  <c r="BN74" i="4"/>
  <c r="BT70" i="4"/>
  <c r="BU70" i="4" s="1"/>
  <c r="BV70" i="4" s="1"/>
  <c r="BW70" i="4" s="1"/>
  <c r="BS70" i="4"/>
  <c r="BI78" i="4"/>
  <c r="BM78" i="4"/>
  <c r="AR45" i="5"/>
  <c r="BR78" i="4" l="1"/>
  <c r="BN78" i="4"/>
  <c r="BY70" i="4"/>
  <c r="BZ70" i="4" s="1"/>
  <c r="CA70" i="4" s="1"/>
  <c r="CB70" i="4" s="1"/>
  <c r="BX70" i="4"/>
  <c r="BS74" i="4"/>
  <c r="BT74" i="4"/>
  <c r="BU74" i="4" s="1"/>
  <c r="BV74" i="4" s="1"/>
  <c r="BW74" i="4" s="1"/>
  <c r="AR48" i="5"/>
  <c r="AR49" i="5" s="1"/>
  <c r="BY74" i="4" l="1"/>
  <c r="BZ74" i="4" s="1"/>
  <c r="CA74" i="4" s="1"/>
  <c r="CB74" i="4" s="1"/>
  <c r="BX74" i="4"/>
  <c r="CC70" i="4"/>
  <c r="CD70" i="4"/>
  <c r="CE70" i="4" s="1"/>
  <c r="CF70" i="4" s="1"/>
  <c r="CG70" i="4" s="1"/>
  <c r="BS78" i="4"/>
  <c r="BW78" i="4"/>
  <c r="AR99" i="4"/>
  <c r="AR102" i="4"/>
  <c r="AR100" i="4"/>
  <c r="AR93" i="4"/>
  <c r="AR96" i="4"/>
  <c r="AR52" i="5"/>
  <c r="AR55" i="5" s="1"/>
  <c r="AS47" i="5"/>
  <c r="AR7" i="8"/>
  <c r="AR94" i="4"/>
  <c r="AR9" i="8" l="1"/>
  <c r="AS10" i="8" s="1"/>
  <c r="BX78" i="4"/>
  <c r="CB78" i="4"/>
  <c r="CI70" i="4"/>
  <c r="CJ70" i="4" s="1"/>
  <c r="CK70" i="4" s="1"/>
  <c r="CL70" i="4" s="1"/>
  <c r="CM70" i="4" s="1"/>
  <c r="CH70" i="4"/>
  <c r="CC74" i="4"/>
  <c r="CD74" i="4"/>
  <c r="CE74" i="4" s="1"/>
  <c r="CF74" i="4" s="1"/>
  <c r="CG74" i="4" s="1"/>
  <c r="AR103" i="4"/>
  <c r="AR10" i="8" l="1"/>
  <c r="CC78" i="4"/>
  <c r="CH78" i="4" s="1"/>
  <c r="CM78" i="4" s="1"/>
  <c r="CG78" i="4"/>
  <c r="CL78" i="4" s="1"/>
  <c r="CH74" i="4"/>
  <c r="CI74" i="4"/>
  <c r="CJ74" i="4" s="1"/>
  <c r="CK74" i="4" s="1"/>
  <c r="CL74" i="4" s="1"/>
  <c r="CM74" i="4" s="1"/>
  <c r="AR257" i="3"/>
  <c r="AR258" i="3"/>
  <c r="BG262" i="3"/>
  <c r="BG264" i="3" s="1"/>
  <c r="AR251" i="3"/>
  <c r="AS250" i="3" s="1"/>
  <c r="AT8" i="8" l="1"/>
  <c r="AT19" i="2"/>
  <c r="AS43" i="8"/>
  <c r="AT43" i="8" s="1"/>
  <c r="BG266" i="3"/>
  <c r="BG265" i="3"/>
  <c r="AR252" i="3"/>
  <c r="AT250" i="3"/>
  <c r="AR254" i="3" l="1"/>
  <c r="AR253" i="3"/>
  <c r="AS198" i="3" l="1"/>
  <c r="AS197" i="3"/>
  <c r="AT196" i="3"/>
  <c r="AS20" i="3" l="1"/>
  <c r="AS21" i="3"/>
  <c r="AS18" i="3"/>
  <c r="AS17" i="3"/>
  <c r="AT197" i="3"/>
  <c r="AT19" i="3"/>
  <c r="AT20" i="3" s="1"/>
  <c r="AT16" i="3"/>
  <c r="AT17" i="3" l="1"/>
  <c r="AR91" i="4" l="1"/>
  <c r="AR97" i="4"/>
  <c r="AR57" i="4"/>
  <c r="AT33" i="2" l="1"/>
  <c r="AT34" i="2" l="1"/>
  <c r="AW57" i="4" l="1"/>
  <c r="AX57" i="4" s="1"/>
  <c r="AU33" i="2"/>
  <c r="AC34" i="7"/>
  <c r="AC35" i="7" l="1"/>
  <c r="AV33" i="2"/>
  <c r="AY57" i="4"/>
  <c r="AW33" i="2" l="1"/>
  <c r="AX33" i="2" l="1"/>
  <c r="AY33" i="2" s="1"/>
  <c r="AR13" i="8" l="1"/>
  <c r="AS15" i="8" l="1"/>
  <c r="AS40" i="8" s="1"/>
  <c r="AT15" i="8"/>
  <c r="AT40" i="8" l="1"/>
  <c r="AT18" i="2" l="1"/>
  <c r="AR47" i="8" l="1"/>
  <c r="AS46" i="8"/>
  <c r="AR56" i="8" l="1"/>
  <c r="AT25" i="2" l="1"/>
  <c r="AT16" i="4" l="1"/>
  <c r="AR63" i="8" l="1"/>
  <c r="AT17" i="4" l="1"/>
  <c r="AT19" i="4" s="1"/>
  <c r="AS93" i="4" l="1"/>
  <c r="AT32" i="4"/>
  <c r="AC55" i="7" s="1"/>
  <c r="AT35" i="4" l="1"/>
  <c r="CE41" i="5" l="1"/>
  <c r="AS77" i="3" l="1"/>
  <c r="AS102" i="3"/>
  <c r="AX102" i="3" s="1"/>
  <c r="AT106" i="3"/>
  <c r="AT102" i="3" s="1"/>
  <c r="AS107" i="3"/>
  <c r="AS108" i="3"/>
  <c r="AU108" i="3"/>
  <c r="AT107" i="3" l="1"/>
  <c r="AS104" i="3"/>
  <c r="AS78" i="3"/>
  <c r="AS79" i="3"/>
  <c r="AU79" i="3"/>
  <c r="AT103" i="3"/>
  <c r="AT60" i="3"/>
  <c r="AT61" i="3" s="1"/>
  <c r="AX104" i="3"/>
  <c r="AZ104" i="3"/>
  <c r="AX106" i="3"/>
  <c r="BC102" i="3"/>
  <c r="AX60" i="3"/>
  <c r="AU104" i="3"/>
  <c r="AT77" i="3"/>
  <c r="AS60" i="3"/>
  <c r="AT89" i="3"/>
  <c r="AS103" i="3"/>
  <c r="AT78" i="3" l="1"/>
  <c r="AT72" i="3"/>
  <c r="AT24" i="3"/>
  <c r="AT25" i="3" s="1"/>
  <c r="AT90" i="3"/>
  <c r="AX77" i="3"/>
  <c r="AY106" i="3"/>
  <c r="AX107" i="3"/>
  <c r="AX89" i="3"/>
  <c r="AX108" i="3"/>
  <c r="AZ108" i="3"/>
  <c r="AX61" i="3"/>
  <c r="AX62" i="3"/>
  <c r="AZ62" i="3"/>
  <c r="AS62" i="3"/>
  <c r="AU62" i="3"/>
  <c r="AS61" i="3"/>
  <c r="BC104" i="3"/>
  <c r="BE104" i="3"/>
  <c r="BC106" i="3"/>
  <c r="BH102" i="3"/>
  <c r="BC60" i="3"/>
  <c r="AX78" i="3" l="1"/>
  <c r="AX79" i="3"/>
  <c r="AZ79" i="3"/>
  <c r="AY77" i="3"/>
  <c r="AY78" i="3" s="1"/>
  <c r="AY102" i="3"/>
  <c r="AY107" i="3"/>
  <c r="AY89" i="3"/>
  <c r="AT73" i="3"/>
  <c r="AT75" i="3"/>
  <c r="AZ91" i="3"/>
  <c r="AX72" i="3"/>
  <c r="AX24" i="3"/>
  <c r="AX90" i="3"/>
  <c r="AX91" i="3"/>
  <c r="BC61" i="3"/>
  <c r="BC62" i="3"/>
  <c r="BE62" i="3"/>
  <c r="BH60" i="3"/>
  <c r="BH104" i="3"/>
  <c r="BJ104" i="3"/>
  <c r="BH106" i="3"/>
  <c r="BM102" i="3"/>
  <c r="BC77" i="3"/>
  <c r="BD106" i="3"/>
  <c r="BC107" i="3"/>
  <c r="BC89" i="3"/>
  <c r="BC108" i="3"/>
  <c r="BE108" i="3"/>
  <c r="BM60" i="3" l="1"/>
  <c r="BM104" i="3"/>
  <c r="BO104" i="3"/>
  <c r="BM106" i="3"/>
  <c r="BR102" i="3"/>
  <c r="AX26" i="3"/>
  <c r="AZ26" i="3"/>
  <c r="AX25" i="3"/>
  <c r="AY72" i="3"/>
  <c r="AY24" i="3"/>
  <c r="AY25" i="3" s="1"/>
  <c r="AY90" i="3"/>
  <c r="BD77" i="3"/>
  <c r="BD78" i="3" s="1"/>
  <c r="BD102" i="3"/>
  <c r="BD60" i="3" s="1"/>
  <c r="BD107" i="3"/>
  <c r="BD89" i="3"/>
  <c r="BC78" i="3"/>
  <c r="BC79" i="3"/>
  <c r="BE79" i="3"/>
  <c r="BH77" i="3"/>
  <c r="BI106" i="3"/>
  <c r="BH107" i="3"/>
  <c r="BJ108" i="3"/>
  <c r="BH89" i="3"/>
  <c r="BH108" i="3"/>
  <c r="BH61" i="3"/>
  <c r="BH62" i="3"/>
  <c r="BJ62" i="3"/>
  <c r="AY103" i="3"/>
  <c r="AY60" i="3"/>
  <c r="AY61" i="3" s="1"/>
  <c r="AX73" i="3"/>
  <c r="AX74" i="3"/>
  <c r="AZ74" i="3"/>
  <c r="BC91" i="3"/>
  <c r="BE91" i="3"/>
  <c r="BC72" i="3"/>
  <c r="BC24" i="3"/>
  <c r="BC90" i="3"/>
  <c r="BD61" i="3" l="1"/>
  <c r="BC73" i="3"/>
  <c r="BE74" i="3"/>
  <c r="BC74" i="3"/>
  <c r="BR60" i="3"/>
  <c r="BR104" i="3"/>
  <c r="BT104" i="3"/>
  <c r="BR106" i="3"/>
  <c r="BW102" i="3"/>
  <c r="BH78" i="3"/>
  <c r="BH79" i="3"/>
  <c r="BJ79" i="3"/>
  <c r="BM89" i="3"/>
  <c r="BO108" i="3"/>
  <c r="BM77" i="3"/>
  <c r="BN106" i="3"/>
  <c r="BM107" i="3"/>
  <c r="BM108" i="3"/>
  <c r="BD90" i="3"/>
  <c r="BD72" i="3"/>
  <c r="BD24" i="3"/>
  <c r="BD25" i="3" s="1"/>
  <c r="BC25" i="3"/>
  <c r="BC26" i="3"/>
  <c r="BE26" i="3"/>
  <c r="AY73" i="3"/>
  <c r="BH90" i="3"/>
  <c r="BH91" i="3"/>
  <c r="BJ91" i="3"/>
  <c r="BH72" i="3"/>
  <c r="BH24" i="3"/>
  <c r="BI77" i="3"/>
  <c r="BI102" i="3"/>
  <c r="BI107" i="3"/>
  <c r="BI89" i="3"/>
  <c r="BM61" i="3"/>
  <c r="BM62" i="3"/>
  <c r="BO62" i="3"/>
  <c r="BW60" i="3" l="1"/>
  <c r="BW104" i="3"/>
  <c r="BY104" i="3"/>
  <c r="BW106" i="3"/>
  <c r="CB102" i="3"/>
  <c r="BI60" i="3"/>
  <c r="BI61" i="3" s="1"/>
  <c r="BI103" i="3"/>
  <c r="BR61" i="3"/>
  <c r="BR62" i="3"/>
  <c r="BT62" i="3"/>
  <c r="BI24" i="3"/>
  <c r="BI25" i="3" s="1"/>
  <c r="BI90" i="3"/>
  <c r="BI72" i="3"/>
  <c r="BI78" i="3"/>
  <c r="BH25" i="3"/>
  <c r="BH26" i="3"/>
  <c r="BJ26" i="3"/>
  <c r="BH74" i="3"/>
  <c r="BJ74" i="3"/>
  <c r="BH73" i="3"/>
  <c r="BM78" i="3"/>
  <c r="BO79" i="3"/>
  <c r="BM79" i="3"/>
  <c r="BR89" i="3"/>
  <c r="BR77" i="3"/>
  <c r="BS106" i="3"/>
  <c r="BR108" i="3"/>
  <c r="BT108" i="3"/>
  <c r="BR107" i="3"/>
  <c r="BN89" i="3"/>
  <c r="BN77" i="3"/>
  <c r="BN78" i="3" s="1"/>
  <c r="BN102" i="3"/>
  <c r="BN107" i="3"/>
  <c r="BM24" i="3"/>
  <c r="BM90" i="3"/>
  <c r="BM91" i="3"/>
  <c r="BO91" i="3"/>
  <c r="BM72" i="3"/>
  <c r="BD73" i="3"/>
  <c r="BI73" i="3" l="1"/>
  <c r="BR79" i="3"/>
  <c r="BT79" i="3"/>
  <c r="BR78" i="3"/>
  <c r="BR24" i="3"/>
  <c r="BR90" i="3"/>
  <c r="BR91" i="3"/>
  <c r="BT91" i="3"/>
  <c r="BR72" i="3"/>
  <c r="CG102" i="3"/>
  <c r="CB60" i="3"/>
  <c r="CB104" i="3"/>
  <c r="CD104" i="3"/>
  <c r="CB106" i="3"/>
  <c r="BW89" i="3"/>
  <c r="BW77" i="3"/>
  <c r="BX106" i="3"/>
  <c r="BW108" i="3"/>
  <c r="BY108" i="3"/>
  <c r="BW107" i="3"/>
  <c r="BM73" i="3"/>
  <c r="BM74" i="3"/>
  <c r="BO74" i="3"/>
  <c r="BN60" i="3"/>
  <c r="BN61" i="3" s="1"/>
  <c r="BN103" i="3"/>
  <c r="BY62" i="3"/>
  <c r="BW61" i="3"/>
  <c r="BW62" i="3"/>
  <c r="BN24" i="3"/>
  <c r="BN25" i="3" s="1"/>
  <c r="BN90" i="3"/>
  <c r="BN72" i="3"/>
  <c r="BN73" i="3" s="1"/>
  <c r="BM25" i="3"/>
  <c r="BM26" i="3"/>
  <c r="BO26" i="3"/>
  <c r="BS89" i="3"/>
  <c r="BS77" i="3"/>
  <c r="BS78" i="3" s="1"/>
  <c r="BS102" i="3"/>
  <c r="BS107" i="3"/>
  <c r="CB107" i="3" l="1"/>
  <c r="CB89" i="3"/>
  <c r="CB77" i="3"/>
  <c r="CC106" i="3"/>
  <c r="CB108" i="3"/>
  <c r="CD108" i="3"/>
  <c r="CB62" i="3"/>
  <c r="CD62" i="3"/>
  <c r="CB61" i="3"/>
  <c r="CG106" i="3"/>
  <c r="CL102" i="3"/>
  <c r="CG60" i="3"/>
  <c r="CI104" i="3"/>
  <c r="CG104" i="3"/>
  <c r="BR25" i="3"/>
  <c r="BR26" i="3"/>
  <c r="BT26" i="3"/>
  <c r="BS60" i="3"/>
  <c r="BS61" i="3" s="1"/>
  <c r="BS103" i="3"/>
  <c r="BS72" i="3"/>
  <c r="BS73" i="3" s="1"/>
  <c r="BS24" i="3"/>
  <c r="BS25" i="3" s="1"/>
  <c r="BS90" i="3"/>
  <c r="BX107" i="3"/>
  <c r="BX89" i="3"/>
  <c r="BX77" i="3"/>
  <c r="BX78" i="3" s="1"/>
  <c r="BX102" i="3"/>
  <c r="BW79" i="3"/>
  <c r="BY79" i="3"/>
  <c r="BW78" i="3"/>
  <c r="BW72" i="3"/>
  <c r="BW24" i="3"/>
  <c r="BW90" i="3"/>
  <c r="BW91" i="3"/>
  <c r="BY91" i="3"/>
  <c r="BR73" i="3"/>
  <c r="BR74" i="3"/>
  <c r="BT74" i="3"/>
  <c r="CC89" i="3" l="1"/>
  <c r="CC77" i="3"/>
  <c r="CC78" i="3" s="1"/>
  <c r="CC102" i="3"/>
  <c r="CC107" i="3"/>
  <c r="BX60" i="3"/>
  <c r="BX61" i="3" s="1"/>
  <c r="BX103" i="3"/>
  <c r="CG62" i="3"/>
  <c r="CI62" i="3"/>
  <c r="CG61" i="3"/>
  <c r="CB78" i="3"/>
  <c r="CB79" i="3"/>
  <c r="CD79" i="3"/>
  <c r="CL104" i="3"/>
  <c r="CL106" i="3"/>
  <c r="CL60" i="3"/>
  <c r="CB72" i="3"/>
  <c r="CB24" i="3"/>
  <c r="CB90" i="3"/>
  <c r="CB91" i="3"/>
  <c r="CD91" i="3"/>
  <c r="BX72" i="3"/>
  <c r="BX73" i="3" s="1"/>
  <c r="BX24" i="3"/>
  <c r="BX25" i="3" s="1"/>
  <c r="BX90" i="3"/>
  <c r="CH106" i="3"/>
  <c r="CG89" i="3"/>
  <c r="CG77" i="3"/>
  <c r="CG108" i="3"/>
  <c r="CI108" i="3"/>
  <c r="CG107" i="3"/>
  <c r="BW25" i="3"/>
  <c r="BW26" i="3"/>
  <c r="BY26" i="3"/>
  <c r="BW73" i="3"/>
  <c r="BW74" i="3"/>
  <c r="BY74" i="3"/>
  <c r="CG72" i="3" l="1"/>
  <c r="CG24" i="3"/>
  <c r="CG90" i="3"/>
  <c r="CG91" i="3"/>
  <c r="CI91" i="3"/>
  <c r="CB73" i="3"/>
  <c r="CB74" i="3"/>
  <c r="CD74" i="3"/>
  <c r="CH102" i="3"/>
  <c r="CH107" i="3"/>
  <c r="CH89" i="3"/>
  <c r="CH77" i="3"/>
  <c r="CH78" i="3" s="1"/>
  <c r="CL61" i="3"/>
  <c r="CL62" i="3"/>
  <c r="CL77" i="3"/>
  <c r="CL107" i="3"/>
  <c r="CL89" i="3"/>
  <c r="CL108" i="3"/>
  <c r="CM106" i="3"/>
  <c r="CC60" i="3"/>
  <c r="CC61" i="3" s="1"/>
  <c r="CC103" i="3"/>
  <c r="CC72" i="3"/>
  <c r="CC73" i="3" s="1"/>
  <c r="CC24" i="3"/>
  <c r="CC25" i="3" s="1"/>
  <c r="CC90" i="3"/>
  <c r="CG78" i="3"/>
  <c r="CG79" i="3"/>
  <c r="CI79" i="3"/>
  <c r="CB25" i="3"/>
  <c r="CB26" i="3"/>
  <c r="CD26" i="3"/>
  <c r="CM77" i="3" l="1"/>
  <c r="CM78" i="3" s="1"/>
  <c r="CM102" i="3"/>
  <c r="CM107" i="3"/>
  <c r="CM89" i="3"/>
  <c r="CH72" i="3"/>
  <c r="CH73" i="3" s="1"/>
  <c r="CH24" i="3"/>
  <c r="CH25" i="3" s="1"/>
  <c r="CH90" i="3"/>
  <c r="CL72" i="3"/>
  <c r="CL24" i="3"/>
  <c r="CL90" i="3"/>
  <c r="CL91" i="3"/>
  <c r="CH60" i="3"/>
  <c r="CH61" i="3" s="1"/>
  <c r="CH103" i="3"/>
  <c r="CG25" i="3"/>
  <c r="CI26" i="3"/>
  <c r="CG26" i="3"/>
  <c r="CL78" i="3"/>
  <c r="CL79" i="3"/>
  <c r="CG73" i="3"/>
  <c r="CG74" i="3"/>
  <c r="CI74" i="3"/>
  <c r="CL26" i="3" l="1"/>
  <c r="CL25" i="3"/>
  <c r="CL73" i="3"/>
  <c r="CL74" i="3"/>
  <c r="CM72" i="3"/>
  <c r="CM73" i="3" s="1"/>
  <c r="CM24" i="3"/>
  <c r="CM25" i="3" s="1"/>
  <c r="CM90" i="3"/>
  <c r="CM103" i="3"/>
  <c r="CM60" i="3"/>
  <c r="CM61" i="3" s="1"/>
  <c r="AS30" i="3" l="1"/>
  <c r="AS32" i="3" s="1"/>
  <c r="AS36" i="3"/>
  <c r="AS200" i="3"/>
  <c r="AT204" i="3"/>
  <c r="AT36" i="3" s="1"/>
  <c r="AS205" i="3"/>
  <c r="AS206" i="3"/>
  <c r="AS209" i="3"/>
  <c r="AS31" i="3" l="1"/>
  <c r="AT205" i="3"/>
  <c r="AT37" i="3"/>
  <c r="AU202" i="3"/>
  <c r="AU201" i="3"/>
  <c r="AZ201" i="3"/>
  <c r="AS66" i="4"/>
  <c r="AT14" i="5"/>
  <c r="AT7" i="2"/>
  <c r="AS39" i="3"/>
  <c r="AT30" i="3"/>
  <c r="AS201" i="3"/>
  <c r="AS37" i="3"/>
  <c r="AS202" i="3"/>
  <c r="AS38" i="3"/>
  <c r="AT200" i="3"/>
  <c r="AT201" i="3" s="1"/>
  <c r="AS82" i="4" l="1"/>
  <c r="AT82" i="4" s="1"/>
  <c r="AS70" i="4"/>
  <c r="AT70" i="4" s="1"/>
  <c r="AT45" i="2"/>
  <c r="AC74" i="7" s="1"/>
  <c r="AT65" i="2"/>
  <c r="AT63" i="2"/>
  <c r="AT64" i="2"/>
  <c r="AT62" i="2"/>
  <c r="AC11" i="7"/>
  <c r="AT66" i="4"/>
  <c r="AS67" i="4"/>
  <c r="AT10" i="2"/>
  <c r="AT11" i="2" s="1"/>
  <c r="AV202" i="3"/>
  <c r="AV201" i="3"/>
  <c r="BA201" i="3"/>
  <c r="AT58" i="5"/>
  <c r="AT31" i="3"/>
  <c r="AT39" i="3"/>
  <c r="AS78" i="4" l="1"/>
  <c r="AS74" i="4"/>
  <c r="AT74" i="4" s="1"/>
  <c r="AT17" i="2"/>
  <c r="AT47" i="2"/>
  <c r="AT60" i="2"/>
  <c r="AT61" i="2" s="1"/>
  <c r="AT78" i="2"/>
  <c r="AW202" i="3"/>
  <c r="AW201" i="3"/>
  <c r="BB201" i="3"/>
  <c r="AT10" i="4"/>
  <c r="AT19" i="5"/>
  <c r="AS71" i="4"/>
  <c r="AT71" i="4" s="1"/>
  <c r="AC50" i="7" s="1"/>
  <c r="AC12" i="7"/>
  <c r="AT46" i="2"/>
  <c r="AS83" i="4"/>
  <c r="AT83" i="4" s="1"/>
  <c r="AT22" i="5"/>
  <c r="AT26" i="4"/>
  <c r="AT67" i="4"/>
  <c r="AU78" i="4" l="1"/>
  <c r="AZ78" i="4" s="1"/>
  <c r="BE78" i="4" s="1"/>
  <c r="BJ78" i="4" s="1"/>
  <c r="BO78" i="4" s="1"/>
  <c r="BT78" i="4" s="1"/>
  <c r="BY78" i="4" s="1"/>
  <c r="CD78" i="4" s="1"/>
  <c r="CI78" i="4" s="1"/>
  <c r="AT78" i="4"/>
  <c r="BC201" i="3"/>
  <c r="AX202" i="3"/>
  <c r="AZ202" i="3"/>
  <c r="AX201" i="3"/>
  <c r="AT20" i="5"/>
  <c r="AS75" i="4"/>
  <c r="AT75" i="4" s="1"/>
  <c r="AC51" i="7" s="1"/>
  <c r="AT11" i="4"/>
  <c r="AT22" i="2"/>
  <c r="AT25" i="4"/>
  <c r="AS79" i="4"/>
  <c r="AT79" i="4" s="1"/>
  <c r="AC52" i="7" s="1"/>
  <c r="AT21" i="5"/>
  <c r="AT21" i="2"/>
  <c r="AT52" i="2"/>
  <c r="AT77" i="2"/>
  <c r="AT66" i="2"/>
  <c r="AC53" i="7" l="1"/>
  <c r="AT71" i="2"/>
  <c r="AC28" i="7" s="1"/>
  <c r="AT67" i="2"/>
  <c r="AC40" i="7"/>
  <c r="AT24" i="2"/>
  <c r="AT70" i="2"/>
  <c r="AT54" i="2"/>
  <c r="AC44" i="7"/>
  <c r="AT30" i="4"/>
  <c r="AT37" i="4" l="1"/>
  <c r="AT72" i="2"/>
  <c r="AT55" i="2"/>
  <c r="AT37" i="2"/>
  <c r="AT57" i="2" s="1"/>
  <c r="AT36" i="2"/>
  <c r="AT31" i="2"/>
  <c r="AC46" i="7"/>
  <c r="AC15" i="7"/>
  <c r="AC16" i="7" s="1"/>
  <c r="AC17" i="7" s="1"/>
  <c r="AT40" i="2" l="1"/>
  <c r="AT39" i="2"/>
  <c r="AT8" i="5" l="1"/>
  <c r="AT42" i="4"/>
  <c r="AT46" i="4" s="1"/>
  <c r="AC56" i="7" s="1"/>
  <c r="AC62" i="7" l="1"/>
  <c r="AC63" i="7" s="1"/>
  <c r="AC57" i="7"/>
  <c r="AS90" i="4"/>
  <c r="AS102" i="4"/>
  <c r="AT50" i="4"/>
  <c r="AT9" i="4" l="1"/>
  <c r="AS94" i="4"/>
  <c r="AS96" i="4"/>
  <c r="AU8" i="8"/>
  <c r="AS103" i="4" l="1"/>
  <c r="AT21" i="4"/>
  <c r="AT53" i="4"/>
  <c r="AT13" i="4"/>
  <c r="AC33" i="7"/>
  <c r="AU19" i="2"/>
  <c r="AU43" i="8"/>
  <c r="AC65" i="7" l="1"/>
  <c r="AC18" i="7" s="1"/>
  <c r="AC36" i="7"/>
  <c r="AC45" i="7"/>
  <c r="AC41" i="7"/>
  <c r="AC13" i="7" l="1"/>
  <c r="AC71" i="7"/>
  <c r="AC47" i="7"/>
  <c r="AC42" i="7"/>
  <c r="AS251" i="3"/>
  <c r="AT251" i="3" s="1"/>
  <c r="AT252" i="3" s="1"/>
  <c r="AT253" i="3" s="1"/>
  <c r="AT256" i="3"/>
  <c r="AT257" i="3" s="1"/>
  <c r="AS257" i="3"/>
  <c r="AS258" i="3"/>
  <c r="BH262" i="3"/>
  <c r="BI262" i="3" s="1"/>
  <c r="AS252" i="3" l="1"/>
  <c r="BH264" i="3"/>
  <c r="AT259" i="3"/>
  <c r="AU250" i="3"/>
  <c r="BI264" i="3" l="1"/>
  <c r="BH265" i="3"/>
  <c r="BH266" i="3"/>
  <c r="AS253" i="3"/>
  <c r="AS254" i="3"/>
  <c r="AU253" i="3" l="1"/>
  <c r="AU254" i="3"/>
  <c r="AU251" i="3"/>
  <c r="BI263" i="3"/>
  <c r="BI265" i="3"/>
  <c r="AU256" i="3" l="1"/>
  <c r="AV250" i="3"/>
  <c r="AV251" i="3" s="1"/>
  <c r="AV256" i="3" s="1"/>
  <c r="AV254" i="3"/>
  <c r="AV253" i="3"/>
  <c r="AW254" i="3" l="1"/>
  <c r="AW253" i="3"/>
  <c r="AV257" i="3"/>
  <c r="AV258" i="3"/>
  <c r="BK262" i="3"/>
  <c r="BK264" i="3" s="1"/>
  <c r="BK265" i="3" s="1"/>
  <c r="AV196" i="3"/>
  <c r="AW250" i="3"/>
  <c r="AU196" i="3"/>
  <c r="AU257" i="3"/>
  <c r="BJ262" i="3"/>
  <c r="BJ264" i="3" s="1"/>
  <c r="AU258" i="3"/>
  <c r="BK266" i="3" l="1"/>
  <c r="BJ265" i="3"/>
  <c r="BJ266" i="3"/>
  <c r="AW251" i="3"/>
  <c r="AW256" i="3" s="1"/>
  <c r="AW258" i="3" s="1"/>
  <c r="AV204" i="3"/>
  <c r="AV19" i="3"/>
  <c r="AV198" i="3"/>
  <c r="AV16" i="3"/>
  <c r="AV197" i="3"/>
  <c r="AX254" i="3"/>
  <c r="AX253" i="3"/>
  <c r="AU19" i="3"/>
  <c r="AU197" i="3"/>
  <c r="AU204" i="3"/>
  <c r="AU16" i="3"/>
  <c r="AU198" i="3"/>
  <c r="AW257" i="3" l="1"/>
  <c r="BL262" i="3"/>
  <c r="AW196" i="3"/>
  <c r="AV17" i="3"/>
  <c r="AV18" i="3"/>
  <c r="AU18" i="3"/>
  <c r="AU17" i="3"/>
  <c r="AV21" i="3"/>
  <c r="AV20" i="3"/>
  <c r="AU206" i="3"/>
  <c r="AU205" i="3"/>
  <c r="AU30" i="3"/>
  <c r="AU36" i="3"/>
  <c r="AV205" i="3"/>
  <c r="AV36" i="3"/>
  <c r="AV30" i="3"/>
  <c r="AV206" i="3"/>
  <c r="AZ254" i="3"/>
  <c r="BA252" i="3"/>
  <c r="AZ253" i="3"/>
  <c r="AX250" i="3"/>
  <c r="AU21" i="3"/>
  <c r="AU20" i="3"/>
  <c r="BL264" i="3"/>
  <c r="AW198" i="3"/>
  <c r="AW16" i="3"/>
  <c r="AW197" i="3"/>
  <c r="AW204" i="3"/>
  <c r="AW19" i="3"/>
  <c r="AU7" i="2" l="1"/>
  <c r="AU38" i="3"/>
  <c r="AU37" i="3"/>
  <c r="AU31" i="3"/>
  <c r="AU32" i="3"/>
  <c r="AV32" i="3"/>
  <c r="AV31" i="3"/>
  <c r="BA254" i="3"/>
  <c r="BA253" i="3"/>
  <c r="BB252" i="3"/>
  <c r="AX251" i="3"/>
  <c r="AZ250" i="3" s="1"/>
  <c r="AY250" i="3"/>
  <c r="AV38" i="3"/>
  <c r="AV7" i="2"/>
  <c r="AV37" i="3"/>
  <c r="AW21" i="3"/>
  <c r="AW20" i="3"/>
  <c r="AW206" i="3"/>
  <c r="AW205" i="3"/>
  <c r="AW36" i="3"/>
  <c r="AW30" i="3"/>
  <c r="AW18" i="3"/>
  <c r="AW17" i="3"/>
  <c r="BL266" i="3"/>
  <c r="BL265" i="3"/>
  <c r="AX256" i="3" l="1"/>
  <c r="AY251" i="3"/>
  <c r="AY252" i="3" s="1"/>
  <c r="AY253" i="3" s="1"/>
  <c r="BB253" i="3"/>
  <c r="BC252" i="3"/>
  <c r="BB254" i="3"/>
  <c r="AZ251" i="3"/>
  <c r="AZ256" i="3" s="1"/>
  <c r="BO262" i="3" s="1"/>
  <c r="AV64" i="2"/>
  <c r="AV11" i="2"/>
  <c r="AV10" i="2" s="1"/>
  <c r="AV46" i="2" s="1"/>
  <c r="AV45" i="2"/>
  <c r="AV14" i="5"/>
  <c r="AV63" i="2"/>
  <c r="AV65" i="2"/>
  <c r="AV66" i="4"/>
  <c r="AV62" i="2"/>
  <c r="AV39" i="3"/>
  <c r="AU39" i="3"/>
  <c r="AU63" i="2"/>
  <c r="AU45" i="2"/>
  <c r="AU62" i="2"/>
  <c r="AU66" i="4"/>
  <c r="AU65" i="2"/>
  <c r="AU11" i="2"/>
  <c r="AU14" i="5"/>
  <c r="AU64" i="2"/>
  <c r="AW32" i="3"/>
  <c r="AW31" i="3"/>
  <c r="AW7" i="2"/>
  <c r="AW39" i="3" s="1"/>
  <c r="AW38" i="3"/>
  <c r="AW37" i="3"/>
  <c r="AZ196" i="3" l="1"/>
  <c r="AZ258" i="3"/>
  <c r="AZ257" i="3"/>
  <c r="AV26" i="4"/>
  <c r="AV10" i="4"/>
  <c r="AV17" i="2"/>
  <c r="AV47" i="2"/>
  <c r="AU10" i="2"/>
  <c r="AV67" i="4" s="1"/>
  <c r="AV11" i="4" s="1"/>
  <c r="AU17" i="2"/>
  <c r="AU47" i="2"/>
  <c r="BA250" i="3"/>
  <c r="AU10" i="4"/>
  <c r="AU26" i="4"/>
  <c r="BC253" i="3"/>
  <c r="BE252" i="3"/>
  <c r="BC254" i="3"/>
  <c r="BM262" i="3"/>
  <c r="AX196" i="3"/>
  <c r="AZ198" i="3" s="1"/>
  <c r="AX258" i="3"/>
  <c r="AX257" i="3"/>
  <c r="AY256" i="3"/>
  <c r="AW14" i="5"/>
  <c r="AW66" i="4"/>
  <c r="AW63" i="2"/>
  <c r="AW62" i="2"/>
  <c r="AW11" i="2"/>
  <c r="AW45" i="2"/>
  <c r="AW65" i="2"/>
  <c r="AW64" i="2"/>
  <c r="AZ19" i="3"/>
  <c r="AZ16" i="3"/>
  <c r="AZ197" i="3"/>
  <c r="AZ204" i="3"/>
  <c r="BO264" i="3"/>
  <c r="AV25" i="4" l="1"/>
  <c r="AV30" i="4" s="1"/>
  <c r="AX19" i="3"/>
  <c r="AZ21" i="3" s="1"/>
  <c r="AX198" i="3"/>
  <c r="AX16" i="3"/>
  <c r="AZ18" i="3" s="1"/>
  <c r="AX197" i="3"/>
  <c r="AX204" i="3"/>
  <c r="AZ206" i="3" s="1"/>
  <c r="AY196" i="3"/>
  <c r="BE254" i="3"/>
  <c r="BE253" i="3"/>
  <c r="BF252" i="3"/>
  <c r="AU22" i="5"/>
  <c r="AU83" i="4"/>
  <c r="AV19" i="5"/>
  <c r="AU19" i="5"/>
  <c r="AU71" i="4"/>
  <c r="BA251" i="3"/>
  <c r="BA256" i="3" s="1"/>
  <c r="BM264" i="3"/>
  <c r="BN262" i="3"/>
  <c r="AU66" i="2"/>
  <c r="AU67" i="2" s="1"/>
  <c r="AU52" i="2"/>
  <c r="AU67" i="4"/>
  <c r="AU46" i="2"/>
  <c r="AY259" i="3"/>
  <c r="AY257" i="3"/>
  <c r="AV52" i="2"/>
  <c r="AV66" i="2"/>
  <c r="AV67" i="2" s="1"/>
  <c r="AV71" i="4"/>
  <c r="AV83" i="4"/>
  <c r="AV22" i="5"/>
  <c r="BO266" i="3"/>
  <c r="BO265" i="3"/>
  <c r="AW17" i="2"/>
  <c r="AW47" i="2"/>
  <c r="AZ17" i="3"/>
  <c r="AZ30" i="3"/>
  <c r="AZ205" i="3"/>
  <c r="AZ36" i="3"/>
  <c r="AZ20" i="3"/>
  <c r="AW10" i="2"/>
  <c r="AW10" i="4"/>
  <c r="AW26" i="4"/>
  <c r="BP262" i="3" l="1"/>
  <c r="BP264" i="3" s="1"/>
  <c r="BA258" i="3"/>
  <c r="BA196" i="3"/>
  <c r="BA257" i="3"/>
  <c r="BF253" i="3"/>
  <c r="BF254" i="3"/>
  <c r="BG252" i="3"/>
  <c r="AU11" i="4"/>
  <c r="AU25" i="4"/>
  <c r="AY19" i="3"/>
  <c r="AY20" i="3" s="1"/>
  <c r="AY16" i="3"/>
  <c r="AY197" i="3"/>
  <c r="AY204" i="3"/>
  <c r="AX205" i="3"/>
  <c r="AX206" i="3"/>
  <c r="AX209" i="3"/>
  <c r="AX36" i="3"/>
  <c r="AX30" i="3"/>
  <c r="AZ32" i="3" s="1"/>
  <c r="AX18" i="3"/>
  <c r="AX17" i="3"/>
  <c r="BM266" i="3"/>
  <c r="BM265" i="3"/>
  <c r="BN264" i="3"/>
  <c r="BB250" i="3"/>
  <c r="AX20" i="3"/>
  <c r="AX21" i="3"/>
  <c r="AW67" i="4"/>
  <c r="AW46" i="2"/>
  <c r="AW52" i="2"/>
  <c r="AW66" i="2"/>
  <c r="AW67" i="2" s="1"/>
  <c r="AZ31" i="3"/>
  <c r="AW22" i="5"/>
  <c r="AW83" i="4"/>
  <c r="AW71" i="4"/>
  <c r="AW19" i="5"/>
  <c r="AZ7" i="2"/>
  <c r="AZ39" i="3" s="1"/>
  <c r="AZ37" i="3"/>
  <c r="BN265" i="3" l="1"/>
  <c r="BN263" i="3"/>
  <c r="AX32" i="3"/>
  <c r="AX31" i="3"/>
  <c r="AU21" i="5"/>
  <c r="AV79" i="4"/>
  <c r="AU30" i="4"/>
  <c r="AV21" i="5"/>
  <c r="AU79" i="4"/>
  <c r="AX37" i="3"/>
  <c r="AX38" i="3"/>
  <c r="AX7" i="2"/>
  <c r="AZ66" i="4" s="1"/>
  <c r="AV75" i="4"/>
  <c r="AV20" i="5"/>
  <c r="AU75" i="4"/>
  <c r="AU20" i="5"/>
  <c r="BH252" i="3"/>
  <c r="BG253" i="3"/>
  <c r="BG254" i="3"/>
  <c r="AY200" i="3"/>
  <c r="AY201" i="3" s="1"/>
  <c r="AY205" i="3"/>
  <c r="AY36" i="3"/>
  <c r="AY30" i="3"/>
  <c r="AZ38" i="3"/>
  <c r="BA198" i="3"/>
  <c r="BA197" i="3"/>
  <c r="BA204" i="3"/>
  <c r="BA19" i="3"/>
  <c r="BA16" i="3"/>
  <c r="BB251" i="3"/>
  <c r="AY17" i="3"/>
  <c r="BP266" i="3"/>
  <c r="BP265" i="3"/>
  <c r="AW11" i="4"/>
  <c r="AW25" i="4"/>
  <c r="AZ14" i="5"/>
  <c r="AZ11" i="2"/>
  <c r="AZ10" i="2" s="1"/>
  <c r="AZ64" i="2"/>
  <c r="AZ63" i="2"/>
  <c r="AZ62" i="2"/>
  <c r="AZ45" i="2"/>
  <c r="AZ65" i="2"/>
  <c r="AX39" i="3" l="1"/>
  <c r="AY31" i="3"/>
  <c r="AY37" i="3"/>
  <c r="BC250" i="3"/>
  <c r="BB256" i="3"/>
  <c r="BA17" i="3"/>
  <c r="BA18" i="3"/>
  <c r="BJ252" i="3"/>
  <c r="BH254" i="3"/>
  <c r="BH253" i="3"/>
  <c r="BA20" i="3"/>
  <c r="BA21" i="3"/>
  <c r="BA30" i="3"/>
  <c r="BA206" i="3"/>
  <c r="BA205" i="3"/>
  <c r="BA36" i="3"/>
  <c r="AX62" i="2"/>
  <c r="AX64" i="2"/>
  <c r="AX14" i="5"/>
  <c r="AY14" i="5" s="1"/>
  <c r="AY7" i="2"/>
  <c r="AX45" i="2"/>
  <c r="AX66" i="4"/>
  <c r="AX11" i="2"/>
  <c r="AX10" i="2" s="1"/>
  <c r="AZ67" i="4" s="1"/>
  <c r="AX63" i="2"/>
  <c r="AX65" i="2"/>
  <c r="AZ46" i="2"/>
  <c r="AZ47" i="2"/>
  <c r="AZ17" i="2"/>
  <c r="AZ10" i="4"/>
  <c r="AZ26" i="4"/>
  <c r="AW79" i="4"/>
  <c r="AW30" i="4"/>
  <c r="AW21" i="5"/>
  <c r="AW75" i="4"/>
  <c r="AW20" i="5"/>
  <c r="AY58" i="5" l="1"/>
  <c r="AY63" i="2"/>
  <c r="AY62" i="2"/>
  <c r="AY65" i="2"/>
  <c r="AY64" i="2"/>
  <c r="AY45" i="2"/>
  <c r="AE74" i="7" s="1"/>
  <c r="AE11" i="7"/>
  <c r="BJ254" i="3"/>
  <c r="BK252" i="3"/>
  <c r="BJ253" i="3"/>
  <c r="BB258" i="3"/>
  <c r="BB196" i="3"/>
  <c r="BB257" i="3"/>
  <c r="BQ262" i="3"/>
  <c r="BC251" i="3"/>
  <c r="BE250" i="3" s="1"/>
  <c r="BD250" i="3"/>
  <c r="BA7" i="2"/>
  <c r="BA39" i="3" s="1"/>
  <c r="BA38" i="3"/>
  <c r="BA37" i="3"/>
  <c r="AY39" i="3"/>
  <c r="AX46" i="2"/>
  <c r="AY10" i="2"/>
  <c r="AY46" i="2" s="1"/>
  <c r="AX67" i="4"/>
  <c r="BA31" i="3"/>
  <c r="BA32" i="3"/>
  <c r="AX17" i="2"/>
  <c r="AX47" i="2"/>
  <c r="AY66" i="4"/>
  <c r="AX10" i="4"/>
  <c r="AZ71" i="4" s="1"/>
  <c r="AX26" i="4"/>
  <c r="AZ22" i="5" s="1"/>
  <c r="AZ52" i="2"/>
  <c r="AZ66" i="2"/>
  <c r="AZ67" i="2" s="1"/>
  <c r="AZ11" i="4"/>
  <c r="AZ25" i="4"/>
  <c r="AZ83" i="4" l="1"/>
  <c r="BQ264" i="3"/>
  <c r="AX52" i="2"/>
  <c r="AX66" i="2"/>
  <c r="AX67" i="2" s="1"/>
  <c r="BB198" i="3"/>
  <c r="BB197" i="3"/>
  <c r="BB204" i="3"/>
  <c r="BB16" i="3"/>
  <c r="BB19" i="3"/>
  <c r="AX11" i="4"/>
  <c r="AZ75" i="4" s="1"/>
  <c r="AY67" i="4"/>
  <c r="AX25" i="4"/>
  <c r="AZ79" i="4" s="1"/>
  <c r="AZ19" i="5"/>
  <c r="BK253" i="3"/>
  <c r="BL252" i="3"/>
  <c r="BK254" i="3"/>
  <c r="AY11" i="2"/>
  <c r="AY26" i="4"/>
  <c r="AX83" i="4"/>
  <c r="AY83" i="4" s="1"/>
  <c r="AX22" i="5"/>
  <c r="AY22" i="5" s="1"/>
  <c r="BA64" i="2"/>
  <c r="BA65" i="2"/>
  <c r="BA66" i="4"/>
  <c r="BA14" i="5"/>
  <c r="BA63" i="2"/>
  <c r="BA62" i="2"/>
  <c r="BA45" i="2"/>
  <c r="BA11" i="2"/>
  <c r="BA10" i="2" s="1"/>
  <c r="AX19" i="5"/>
  <c r="AY19" i="5" s="1"/>
  <c r="AY10" i="4"/>
  <c r="AX71" i="4"/>
  <c r="AY71" i="4" s="1"/>
  <c r="AE50" i="7" s="1"/>
  <c r="BE251" i="3"/>
  <c r="BE256" i="3" s="1"/>
  <c r="BC256" i="3"/>
  <c r="BD251" i="3"/>
  <c r="BD252" i="3" s="1"/>
  <c r="BD253" i="3" s="1"/>
  <c r="AZ30" i="4"/>
  <c r="AZ20" i="5" l="1"/>
  <c r="BA46" i="2"/>
  <c r="BA67" i="4"/>
  <c r="BA17" i="2"/>
  <c r="BA47" i="2"/>
  <c r="AY25" i="4"/>
  <c r="AX21" i="5"/>
  <c r="AY21" i="5" s="1"/>
  <c r="AX79" i="4"/>
  <c r="AY79" i="4" s="1"/>
  <c r="AE52" i="7" s="1"/>
  <c r="AX30" i="4"/>
  <c r="AY30" i="4" s="1"/>
  <c r="AX75" i="4"/>
  <c r="AY75" i="4" s="1"/>
  <c r="AE51" i="7" s="1"/>
  <c r="AY11" i="4"/>
  <c r="AX20" i="5"/>
  <c r="AY20" i="5" s="1"/>
  <c r="BB20" i="3"/>
  <c r="BB21" i="3"/>
  <c r="BA26" i="4"/>
  <c r="BA10" i="4"/>
  <c r="BB17" i="3"/>
  <c r="BB18" i="3"/>
  <c r="BB36" i="3"/>
  <c r="BB30" i="3"/>
  <c r="BB206" i="3"/>
  <c r="BB205" i="3"/>
  <c r="BR262" i="3"/>
  <c r="BC196" i="3"/>
  <c r="BC257" i="3"/>
  <c r="BC258" i="3"/>
  <c r="BD256" i="3"/>
  <c r="BE196" i="3"/>
  <c r="BE258" i="3"/>
  <c r="BT262" i="3"/>
  <c r="BT264" i="3" s="1"/>
  <c r="BE257" i="3"/>
  <c r="BF250" i="3"/>
  <c r="AY17" i="2"/>
  <c r="AY60" i="2"/>
  <c r="AY61" i="2" s="1"/>
  <c r="AY47" i="2"/>
  <c r="AZ21" i="5"/>
  <c r="BL253" i="3"/>
  <c r="BM252" i="3"/>
  <c r="BL254" i="3"/>
  <c r="BQ266" i="3"/>
  <c r="BQ265" i="3"/>
  <c r="AE53" i="7" l="1"/>
  <c r="BA71" i="4"/>
  <c r="BA19" i="5"/>
  <c r="BT265" i="3"/>
  <c r="BA83" i="4"/>
  <c r="BA22" i="5"/>
  <c r="BE19" i="3"/>
  <c r="BE16" i="3"/>
  <c r="BE197" i="3"/>
  <c r="BE204" i="3"/>
  <c r="BE198" i="3"/>
  <c r="BD257" i="3"/>
  <c r="BD259" i="3"/>
  <c r="BC16" i="3"/>
  <c r="BC197" i="3"/>
  <c r="BC198" i="3"/>
  <c r="BC204" i="3"/>
  <c r="BC19" i="3"/>
  <c r="BD196" i="3"/>
  <c r="BR264" i="3"/>
  <c r="BS262" i="3"/>
  <c r="BB32" i="3"/>
  <c r="BB31" i="3"/>
  <c r="BA52" i="2"/>
  <c r="BA66" i="2"/>
  <c r="BA67" i="2" s="1"/>
  <c r="BB7" i="2"/>
  <c r="BB39" i="3" s="1"/>
  <c r="BB38" i="3"/>
  <c r="BB37" i="3"/>
  <c r="BA25" i="4"/>
  <c r="BA11" i="4"/>
  <c r="BM253" i="3"/>
  <c r="BO252" i="3"/>
  <c r="BM254" i="3"/>
  <c r="AY52" i="2"/>
  <c r="AY66" i="2"/>
  <c r="AY77" i="2"/>
  <c r="BF251" i="3"/>
  <c r="BF256" i="3" s="1"/>
  <c r="BA79" i="4" l="1"/>
  <c r="BA30" i="4"/>
  <c r="BA21" i="5"/>
  <c r="BC18" i="3"/>
  <c r="BC17" i="3"/>
  <c r="BB11" i="2"/>
  <c r="BB10" i="2" s="1"/>
  <c r="BB64" i="2"/>
  <c r="BB65" i="2"/>
  <c r="BB63" i="2"/>
  <c r="BB62" i="2"/>
  <c r="BB45" i="2"/>
  <c r="BB14" i="5"/>
  <c r="BB66" i="4"/>
  <c r="BE36" i="3"/>
  <c r="BE30" i="3"/>
  <c r="BE206" i="3"/>
  <c r="BE205" i="3"/>
  <c r="BG250" i="3"/>
  <c r="BF196" i="3"/>
  <c r="BF258" i="3"/>
  <c r="BU262" i="3"/>
  <c r="BU264" i="3" s="1"/>
  <c r="BF257" i="3"/>
  <c r="BE18" i="3"/>
  <c r="BE17" i="3"/>
  <c r="BA20" i="5"/>
  <c r="BA75" i="4"/>
  <c r="BE20" i="3"/>
  <c r="BE21" i="3"/>
  <c r="AY67" i="2"/>
  <c r="AE40" i="7"/>
  <c r="BR265" i="3"/>
  <c r="BR266" i="3"/>
  <c r="BS264" i="3"/>
  <c r="BD19" i="3"/>
  <c r="BD20" i="3" s="1"/>
  <c r="BD16" i="3"/>
  <c r="BD17" i="3" s="1"/>
  <c r="BD197" i="3"/>
  <c r="BT266" i="3"/>
  <c r="BP252" i="3"/>
  <c r="BO253" i="3"/>
  <c r="BO254" i="3"/>
  <c r="BC20" i="3"/>
  <c r="BC21" i="3"/>
  <c r="BC205" i="3"/>
  <c r="BC30" i="3"/>
  <c r="BC209" i="3"/>
  <c r="BC36" i="3"/>
  <c r="BC206" i="3"/>
  <c r="BD204" i="3"/>
  <c r="BE37" i="3" l="1"/>
  <c r="BE38" i="3"/>
  <c r="BE7" i="2"/>
  <c r="BB67" i="4"/>
  <c r="BB46" i="2"/>
  <c r="BB10" i="4"/>
  <c r="BB26" i="4"/>
  <c r="BP253" i="3"/>
  <c r="BQ252" i="3"/>
  <c r="BP254" i="3"/>
  <c r="BS263" i="3"/>
  <c r="BS265" i="3"/>
  <c r="BB17" i="2"/>
  <c r="BB47" i="2"/>
  <c r="BD36" i="3"/>
  <c r="BD30" i="3"/>
  <c r="BD31" i="3" s="1"/>
  <c r="BD200" i="3"/>
  <c r="BD201" i="3" s="1"/>
  <c r="BD205" i="3"/>
  <c r="BF198" i="3"/>
  <c r="BF19" i="3"/>
  <c r="BF16" i="3"/>
  <c r="BF197" i="3"/>
  <c r="BF204" i="3"/>
  <c r="BU265" i="3"/>
  <c r="BU266" i="3"/>
  <c r="BG251" i="3"/>
  <c r="BH250" i="3" s="1"/>
  <c r="BC7" i="2"/>
  <c r="BC39" i="3" s="1"/>
  <c r="BC38" i="3"/>
  <c r="BC37" i="3"/>
  <c r="BC32" i="3"/>
  <c r="BC31" i="3"/>
  <c r="BE31" i="3"/>
  <c r="BE32" i="3"/>
  <c r="BH251" i="3" l="1"/>
  <c r="BH256" i="3" s="1"/>
  <c r="BI250" i="3"/>
  <c r="BG256" i="3"/>
  <c r="BI251" i="3"/>
  <c r="BR252" i="3"/>
  <c r="BQ254" i="3"/>
  <c r="BQ253" i="3"/>
  <c r="BF36" i="3"/>
  <c r="BF30" i="3"/>
  <c r="BF206" i="3"/>
  <c r="BF205" i="3"/>
  <c r="BF18" i="3"/>
  <c r="BF17" i="3"/>
  <c r="BF20" i="3"/>
  <c r="BF21" i="3"/>
  <c r="BB83" i="4"/>
  <c r="BB22" i="5"/>
  <c r="BB71" i="4"/>
  <c r="BB19" i="5"/>
  <c r="BB11" i="4"/>
  <c r="BB25" i="4"/>
  <c r="BD37" i="3"/>
  <c r="BE39" i="3"/>
  <c r="BE66" i="4"/>
  <c r="BE14" i="5"/>
  <c r="BE65" i="2"/>
  <c r="BE11" i="2"/>
  <c r="BE45" i="2"/>
  <c r="BE63" i="2"/>
  <c r="BE64" i="2"/>
  <c r="BE62" i="2"/>
  <c r="BC45" i="2"/>
  <c r="BC65" i="2"/>
  <c r="BC62" i="2"/>
  <c r="BC63" i="2"/>
  <c r="BC66" i="4"/>
  <c r="BC64" i="2"/>
  <c r="BC14" i="5"/>
  <c r="BD14" i="5" s="1"/>
  <c r="BC11" i="2"/>
  <c r="BC10" i="2" s="1"/>
  <c r="BD7" i="2"/>
  <c r="BB52" i="2"/>
  <c r="BB66" i="2"/>
  <c r="BB67" i="2" s="1"/>
  <c r="BJ250" i="3" l="1"/>
  <c r="BJ251" i="3" s="1"/>
  <c r="BE10" i="2"/>
  <c r="BE17" i="2"/>
  <c r="BE47" i="2"/>
  <c r="BC47" i="2"/>
  <c r="BC17" i="2"/>
  <c r="BE26" i="4"/>
  <c r="BE10" i="4"/>
  <c r="BC46" i="2"/>
  <c r="BC67" i="4"/>
  <c r="BD10" i="2"/>
  <c r="BD46" i="2" s="1"/>
  <c r="BF31" i="3"/>
  <c r="BF32" i="3"/>
  <c r="BC26" i="4"/>
  <c r="BD66" i="4"/>
  <c r="BC10" i="4"/>
  <c r="BB79" i="4"/>
  <c r="BB30" i="4"/>
  <c r="BB21" i="5"/>
  <c r="BF37" i="3"/>
  <c r="BF7" i="2"/>
  <c r="BF39" i="3" s="1"/>
  <c r="BF38" i="3"/>
  <c r="BD45" i="2"/>
  <c r="AF74" i="7" s="1"/>
  <c r="BD64" i="2"/>
  <c r="BD62" i="2"/>
  <c r="BD65" i="2"/>
  <c r="AF11" i="7"/>
  <c r="BD63" i="2"/>
  <c r="BD58" i="5"/>
  <c r="BB75" i="4"/>
  <c r="BB20" i="5"/>
  <c r="BD39" i="3"/>
  <c r="BR253" i="3"/>
  <c r="BT252" i="3"/>
  <c r="BR254" i="3"/>
  <c r="BI252" i="3"/>
  <c r="BI253" i="3" s="1"/>
  <c r="BG196" i="3"/>
  <c r="BG258" i="3"/>
  <c r="BV262" i="3"/>
  <c r="BG257" i="3"/>
  <c r="BI256" i="3"/>
  <c r="BK250" i="3"/>
  <c r="BJ256" i="3"/>
  <c r="BW262" i="3"/>
  <c r="BW264" i="3" s="1"/>
  <c r="BH196" i="3"/>
  <c r="BH258" i="3"/>
  <c r="BH257" i="3"/>
  <c r="BD11" i="2" l="1"/>
  <c r="BD60" i="2" s="1"/>
  <c r="BD61" i="2" s="1"/>
  <c r="BK251" i="3"/>
  <c r="BK256" i="3" s="1"/>
  <c r="BD10" i="4"/>
  <c r="BC71" i="4"/>
  <c r="BD71" i="4" s="1"/>
  <c r="AF50" i="7" s="1"/>
  <c r="BE19" i="5"/>
  <c r="BC19" i="5"/>
  <c r="BD19" i="5" s="1"/>
  <c r="BD26" i="4"/>
  <c r="BC22" i="5"/>
  <c r="BD22" i="5" s="1"/>
  <c r="BC83" i="4"/>
  <c r="BD83" i="4" s="1"/>
  <c r="BI257" i="3"/>
  <c r="BI259" i="3"/>
  <c r="BV264" i="3"/>
  <c r="BX262" i="3"/>
  <c r="BD67" i="4"/>
  <c r="BC11" i="4"/>
  <c r="BC25" i="4"/>
  <c r="BG204" i="3"/>
  <c r="BG198" i="3"/>
  <c r="BG19" i="3"/>
  <c r="BG16" i="3"/>
  <c r="BG197" i="3"/>
  <c r="BI196" i="3"/>
  <c r="BE71" i="4"/>
  <c r="BE22" i="5"/>
  <c r="BE83" i="4"/>
  <c r="BH198" i="3"/>
  <c r="BH16" i="3"/>
  <c r="BH197" i="3"/>
  <c r="BH204" i="3"/>
  <c r="BH19" i="3"/>
  <c r="BT253" i="3"/>
  <c r="BU252" i="3"/>
  <c r="BT254" i="3"/>
  <c r="BF63" i="2"/>
  <c r="BF45" i="2"/>
  <c r="BF14" i="5"/>
  <c r="BF66" i="4"/>
  <c r="BF65" i="2"/>
  <c r="BF11" i="2"/>
  <c r="BF10" i="2" s="1"/>
  <c r="BF64" i="2"/>
  <c r="BF62" i="2"/>
  <c r="BC66" i="2"/>
  <c r="BC67" i="2" s="1"/>
  <c r="BC52" i="2"/>
  <c r="BW265" i="3"/>
  <c r="BE52" i="2"/>
  <c r="BE66" i="2"/>
  <c r="BE67" i="2" s="1"/>
  <c r="BJ258" i="3"/>
  <c r="BJ257" i="3"/>
  <c r="BY262" i="3"/>
  <c r="BY264" i="3" s="1"/>
  <c r="BJ196" i="3"/>
  <c r="BE67" i="4"/>
  <c r="BE46" i="2"/>
  <c r="BD17" i="2" l="1"/>
  <c r="BD47" i="2"/>
  <c r="BF46" i="2"/>
  <c r="BF67" i="4"/>
  <c r="BH17" i="3"/>
  <c r="BH18" i="3"/>
  <c r="BV266" i="3"/>
  <c r="BV265" i="3"/>
  <c r="BX264" i="3"/>
  <c r="BD66" i="2"/>
  <c r="BD52" i="2"/>
  <c r="BD77" i="2"/>
  <c r="BE11" i="4"/>
  <c r="BE25" i="4"/>
  <c r="BF17" i="2"/>
  <c r="BF47" i="2"/>
  <c r="BY266" i="3"/>
  <c r="BY265" i="3"/>
  <c r="BF26" i="4"/>
  <c r="BF10" i="4"/>
  <c r="BI16" i="3"/>
  <c r="BI19" i="3"/>
  <c r="BI20" i="3" s="1"/>
  <c r="BI197" i="3"/>
  <c r="BJ197" i="3"/>
  <c r="BJ204" i="3"/>
  <c r="BJ198" i="3"/>
  <c r="BJ19" i="3"/>
  <c r="BJ16" i="3"/>
  <c r="BG18" i="3"/>
  <c r="BG17" i="3"/>
  <c r="BG20" i="3"/>
  <c r="BG21" i="3"/>
  <c r="BU253" i="3"/>
  <c r="BV252" i="3"/>
  <c r="BU254" i="3"/>
  <c r="BG36" i="3"/>
  <c r="BG30" i="3"/>
  <c r="BG206" i="3"/>
  <c r="BG205" i="3"/>
  <c r="BI204" i="3"/>
  <c r="BC79" i="4"/>
  <c r="BD79" i="4" s="1"/>
  <c r="AF52" i="7" s="1"/>
  <c r="BD25" i="4"/>
  <c r="BC21" i="5"/>
  <c r="BD21" i="5" s="1"/>
  <c r="BC30" i="4"/>
  <c r="BD30" i="4" s="1"/>
  <c r="BW266" i="3"/>
  <c r="BH21" i="3"/>
  <c r="BH20" i="3"/>
  <c r="BC75" i="4"/>
  <c r="BD75" i="4" s="1"/>
  <c r="AF51" i="7" s="1"/>
  <c r="BD11" i="4"/>
  <c r="BC20" i="5"/>
  <c r="BD20" i="5" s="1"/>
  <c r="BH36" i="3"/>
  <c r="BH30" i="3"/>
  <c r="BH206" i="3"/>
  <c r="BH205" i="3"/>
  <c r="BL250" i="3"/>
  <c r="BK196" i="3"/>
  <c r="BK258" i="3"/>
  <c r="BK257" i="3"/>
  <c r="BZ262" i="3"/>
  <c r="BZ264" i="3" s="1"/>
  <c r="AF53" i="7" l="1"/>
  <c r="BK197" i="3"/>
  <c r="BK198" i="3"/>
  <c r="BK16" i="3"/>
  <c r="BK19" i="3"/>
  <c r="BK204" i="3"/>
  <c r="BF66" i="2"/>
  <c r="BF67" i="2" s="1"/>
  <c r="BF52" i="2"/>
  <c r="BE79" i="4"/>
  <c r="BE30" i="4"/>
  <c r="BE21" i="5"/>
  <c r="BE20" i="5"/>
  <c r="BE75" i="4"/>
  <c r="BJ18" i="3"/>
  <c r="BJ17" i="3"/>
  <c r="BL251" i="3"/>
  <c r="BM250" i="3" s="1"/>
  <c r="BN250" i="3" s="1"/>
  <c r="BI200" i="3"/>
  <c r="BI201" i="3" s="1"/>
  <c r="BI205" i="3"/>
  <c r="BI36" i="3"/>
  <c r="BI30" i="3"/>
  <c r="BJ21" i="3"/>
  <c r="BJ20" i="3"/>
  <c r="BJ30" i="3"/>
  <c r="BJ206" i="3"/>
  <c r="BJ36" i="3"/>
  <c r="BJ205" i="3"/>
  <c r="BH32" i="3"/>
  <c r="BH31" i="3"/>
  <c r="BG31" i="3"/>
  <c r="BG32" i="3"/>
  <c r="BD67" i="2"/>
  <c r="AF40" i="7"/>
  <c r="BG7" i="2"/>
  <c r="BG39" i="3" s="1"/>
  <c r="BG37" i="3"/>
  <c r="BG38" i="3"/>
  <c r="BX263" i="3"/>
  <c r="BX265" i="3"/>
  <c r="BH38" i="3"/>
  <c r="BH7" i="2"/>
  <c r="BH37" i="3"/>
  <c r="BW252" i="3"/>
  <c r="BV254" i="3"/>
  <c r="BV253" i="3"/>
  <c r="BI17" i="3"/>
  <c r="BF71" i="4"/>
  <c r="BF19" i="5"/>
  <c r="BF22" i="5"/>
  <c r="BF83" i="4"/>
  <c r="BF11" i="4"/>
  <c r="BF20" i="5" s="1"/>
  <c r="BF25" i="4"/>
  <c r="BZ265" i="3"/>
  <c r="BZ266" i="3"/>
  <c r="BF79" i="4" l="1"/>
  <c r="BF21" i="5"/>
  <c r="BF30" i="4"/>
  <c r="BJ7" i="2"/>
  <c r="BJ39" i="3" s="1"/>
  <c r="BJ37" i="3"/>
  <c r="BJ38" i="3"/>
  <c r="BJ32" i="3"/>
  <c r="BJ31" i="3"/>
  <c r="BG63" i="2"/>
  <c r="BG45" i="2"/>
  <c r="BG14" i="5"/>
  <c r="BG66" i="4"/>
  <c r="BG11" i="2"/>
  <c r="BG65" i="2"/>
  <c r="BG64" i="2"/>
  <c r="BG62" i="2"/>
  <c r="BI7" i="2"/>
  <c r="BI39" i="3" s="1"/>
  <c r="BF75" i="4"/>
  <c r="BI31" i="3"/>
  <c r="BI37" i="3"/>
  <c r="BK36" i="3"/>
  <c r="BK205" i="3"/>
  <c r="BK30" i="3"/>
  <c r="BK206" i="3"/>
  <c r="BK20" i="3"/>
  <c r="BK21" i="3"/>
  <c r="BW253" i="3"/>
  <c r="BW254" i="3"/>
  <c r="BY252" i="3"/>
  <c r="BK17" i="3"/>
  <c r="BK18" i="3"/>
  <c r="BM251" i="3"/>
  <c r="BM256" i="3" s="1"/>
  <c r="BH39" i="3"/>
  <c r="BH66" i="4"/>
  <c r="BH14" i="5"/>
  <c r="BH11" i="2"/>
  <c r="BH65" i="2"/>
  <c r="BH64" i="2"/>
  <c r="BH63" i="2"/>
  <c r="BH62" i="2"/>
  <c r="BH45" i="2"/>
  <c r="BL256" i="3"/>
  <c r="BI14" i="5" l="1"/>
  <c r="BI58" i="5" s="1"/>
  <c r="BK38" i="3"/>
  <c r="BK37" i="3"/>
  <c r="BK7" i="2"/>
  <c r="BH17" i="2"/>
  <c r="BH47" i="2"/>
  <c r="BH10" i="4"/>
  <c r="BI66" i="4"/>
  <c r="BH26" i="4"/>
  <c r="BG10" i="2"/>
  <c r="BG47" i="2"/>
  <c r="BG17" i="2"/>
  <c r="BG10" i="4"/>
  <c r="BG26" i="4"/>
  <c r="BO250" i="3"/>
  <c r="BM196" i="3"/>
  <c r="BM257" i="3"/>
  <c r="CB262" i="3"/>
  <c r="CB264" i="3" s="1"/>
  <c r="BM258" i="3"/>
  <c r="BN251" i="3"/>
  <c r="BN252" i="3" s="1"/>
  <c r="BN253" i="3" s="1"/>
  <c r="BZ252" i="3"/>
  <c r="BY254" i="3"/>
  <c r="BY253" i="3"/>
  <c r="CA262" i="3"/>
  <c r="BL257" i="3"/>
  <c r="BL196" i="3"/>
  <c r="BL258" i="3"/>
  <c r="BN256" i="3"/>
  <c r="BJ14" i="5"/>
  <c r="BJ62" i="2"/>
  <c r="BJ65" i="2"/>
  <c r="BJ66" i="4"/>
  <c r="BJ11" i="2"/>
  <c r="BJ45" i="2"/>
  <c r="BJ64" i="2"/>
  <c r="BJ63" i="2"/>
  <c r="BK32" i="3"/>
  <c r="BK31" i="3"/>
  <c r="CO7" i="2"/>
  <c r="BI62" i="2"/>
  <c r="BI65" i="2"/>
  <c r="BI64" i="2"/>
  <c r="BI63" i="2"/>
  <c r="BI45" i="2"/>
  <c r="BH10" i="2"/>
  <c r="BO251" i="3" l="1"/>
  <c r="BP250" i="3" s="1"/>
  <c r="CA264" i="3"/>
  <c r="CB266" i="3" s="1"/>
  <c r="CC262" i="3"/>
  <c r="BG22" i="5"/>
  <c r="BG83" i="4"/>
  <c r="BG71" i="4"/>
  <c r="BH19" i="5"/>
  <c r="BG19" i="5"/>
  <c r="BG66" i="2"/>
  <c r="BG67" i="2" s="1"/>
  <c r="BG52" i="2"/>
  <c r="BG67" i="4"/>
  <c r="BG46" i="2"/>
  <c r="BI10" i="2"/>
  <c r="BZ253" i="3"/>
  <c r="CA252" i="3"/>
  <c r="BZ254" i="3"/>
  <c r="BI26" i="4"/>
  <c r="BH22" i="5"/>
  <c r="BH83" i="4"/>
  <c r="BI83" i="4" s="1"/>
  <c r="BH67" i="4"/>
  <c r="BH46" i="2"/>
  <c r="BJ47" i="2"/>
  <c r="BJ17" i="2"/>
  <c r="BJ10" i="2"/>
  <c r="BH71" i="4"/>
  <c r="BI71" i="4" s="1"/>
  <c r="BI10" i="4"/>
  <c r="BJ26" i="4"/>
  <c r="BJ10" i="4"/>
  <c r="BJ19" i="5" s="1"/>
  <c r="BH66" i="2"/>
  <c r="BH67" i="2" s="1"/>
  <c r="BH52" i="2"/>
  <c r="BN259" i="3"/>
  <c r="BN257" i="3"/>
  <c r="CB265" i="3"/>
  <c r="BK39" i="3"/>
  <c r="BK45" i="2"/>
  <c r="BK63" i="2"/>
  <c r="BK66" i="4"/>
  <c r="BK65" i="2"/>
  <c r="BK64" i="2"/>
  <c r="BK11" i="2"/>
  <c r="BK10" i="2" s="1"/>
  <c r="BK14" i="5"/>
  <c r="BK62" i="2"/>
  <c r="BL204" i="3"/>
  <c r="BL198" i="3"/>
  <c r="BL19" i="3"/>
  <c r="BL16" i="3"/>
  <c r="BL197" i="3"/>
  <c r="BN196" i="3"/>
  <c r="BM197" i="3"/>
  <c r="BM204" i="3"/>
  <c r="BM198" i="3"/>
  <c r="BM19" i="3"/>
  <c r="BM16" i="3"/>
  <c r="BI22" i="5" l="1"/>
  <c r="BK67" i="4"/>
  <c r="BK46" i="2"/>
  <c r="BN19" i="3"/>
  <c r="BN20" i="3" s="1"/>
  <c r="BN16" i="3"/>
  <c r="BN17" i="3" s="1"/>
  <c r="BN197" i="3"/>
  <c r="BG25" i="4"/>
  <c r="BG11" i="4"/>
  <c r="BL18" i="3"/>
  <c r="BL17" i="3"/>
  <c r="BL21" i="3"/>
  <c r="BL20" i="3"/>
  <c r="BJ46" i="2"/>
  <c r="BJ67" i="4"/>
  <c r="BJ66" i="2"/>
  <c r="BJ67" i="2" s="1"/>
  <c r="BJ52" i="2"/>
  <c r="BL36" i="3"/>
  <c r="BL30" i="3"/>
  <c r="BL206" i="3"/>
  <c r="BL205" i="3"/>
  <c r="BN204" i="3"/>
  <c r="BI67" i="4"/>
  <c r="BH25" i="4"/>
  <c r="BH11" i="4"/>
  <c r="BI19" i="5"/>
  <c r="BK47" i="2"/>
  <c r="BK17" i="2"/>
  <c r="BM17" i="3"/>
  <c r="BM18" i="3"/>
  <c r="BJ71" i="4"/>
  <c r="BM21" i="3"/>
  <c r="BM20" i="3"/>
  <c r="BK10" i="4"/>
  <c r="BK19" i="5" s="1"/>
  <c r="BK26" i="4"/>
  <c r="BJ22" i="5"/>
  <c r="BJ83" i="4"/>
  <c r="CA253" i="3"/>
  <c r="CA254" i="3"/>
  <c r="CB252" i="3"/>
  <c r="CA266" i="3"/>
  <c r="CA265" i="3"/>
  <c r="CC264" i="3"/>
  <c r="BM30" i="3"/>
  <c r="BM36" i="3"/>
  <c r="BM205" i="3"/>
  <c r="BM206" i="3"/>
  <c r="BI46" i="2"/>
  <c r="BI11" i="2"/>
  <c r="BO256" i="3"/>
  <c r="BP251" i="3"/>
  <c r="BP256" i="3" s="1"/>
  <c r="BQ250" i="3" l="1"/>
  <c r="BQ251" i="3" s="1"/>
  <c r="BR250" i="3" s="1"/>
  <c r="BH30" i="4"/>
  <c r="BI30" i="4" s="1"/>
  <c r="BI25" i="4"/>
  <c r="BH21" i="5"/>
  <c r="BH79" i="4"/>
  <c r="BI79" i="4" s="1"/>
  <c r="BO196" i="3"/>
  <c r="BO258" i="3"/>
  <c r="CD262" i="3"/>
  <c r="BO257" i="3"/>
  <c r="BK22" i="5"/>
  <c r="BK83" i="4"/>
  <c r="BN36" i="3"/>
  <c r="BN37" i="3" s="1"/>
  <c r="BN30" i="3"/>
  <c r="BN31" i="3" s="1"/>
  <c r="BN205" i="3"/>
  <c r="BN200" i="3"/>
  <c r="BN201" i="3" s="1"/>
  <c r="BI60" i="2"/>
  <c r="BI61" i="2" s="1"/>
  <c r="BI17" i="2"/>
  <c r="BI47" i="2"/>
  <c r="BK71" i="4"/>
  <c r="BL32" i="3"/>
  <c r="BL31" i="3"/>
  <c r="BL38" i="3"/>
  <c r="BL7" i="2"/>
  <c r="BL39" i="3" s="1"/>
  <c r="BL37" i="3"/>
  <c r="BM38" i="3"/>
  <c r="BM7" i="2"/>
  <c r="BM37" i="3"/>
  <c r="BG75" i="4"/>
  <c r="BG20" i="5"/>
  <c r="BH20" i="5"/>
  <c r="BG30" i="4"/>
  <c r="BG21" i="5"/>
  <c r="BG79" i="4"/>
  <c r="BM32" i="3"/>
  <c r="BM31" i="3"/>
  <c r="CC265" i="3"/>
  <c r="CC263" i="3"/>
  <c r="BK66" i="2"/>
  <c r="BK67" i="2" s="1"/>
  <c r="BK52" i="2"/>
  <c r="CB253" i="3"/>
  <c r="CD252" i="3"/>
  <c r="CB254" i="3"/>
  <c r="BJ11" i="4"/>
  <c r="BJ20" i="5" s="1"/>
  <c r="BJ25" i="4"/>
  <c r="BP196" i="3"/>
  <c r="BP258" i="3"/>
  <c r="BP257" i="3"/>
  <c r="CE262" i="3"/>
  <c r="CE264" i="3" s="1"/>
  <c r="BI11" i="4"/>
  <c r="BH75" i="4"/>
  <c r="BI75" i="4" s="1"/>
  <c r="BK25" i="4"/>
  <c r="BK11" i="4"/>
  <c r="BR251" i="3" l="1"/>
  <c r="BS250" i="3"/>
  <c r="BK79" i="4"/>
  <c r="BK30" i="4"/>
  <c r="BK21" i="5"/>
  <c r="BM39" i="3"/>
  <c r="BM63" i="2"/>
  <c r="BM14" i="5"/>
  <c r="BM62" i="2"/>
  <c r="BM11" i="2"/>
  <c r="BM10" i="2" s="1"/>
  <c r="BM64" i="2"/>
  <c r="BM66" i="4"/>
  <c r="BM45" i="2"/>
  <c r="BM65" i="2"/>
  <c r="BT250" i="3"/>
  <c r="BR256" i="3"/>
  <c r="CE265" i="3"/>
  <c r="BQ256" i="3"/>
  <c r="BS251" i="3"/>
  <c r="BL66" i="4"/>
  <c r="BL11" i="2"/>
  <c r="BL14" i="5"/>
  <c r="BL63" i="2"/>
  <c r="BL62" i="2"/>
  <c r="BL45" i="2"/>
  <c r="BL65" i="2"/>
  <c r="BL64" i="2"/>
  <c r="BN7" i="2"/>
  <c r="BJ30" i="4"/>
  <c r="BJ21" i="5"/>
  <c r="BJ79" i="4"/>
  <c r="CD264" i="3"/>
  <c r="BJ75" i="4"/>
  <c r="BK20" i="5"/>
  <c r="BO19" i="3"/>
  <c r="BO16" i="3"/>
  <c r="BO197" i="3"/>
  <c r="BO204" i="3"/>
  <c r="BO198" i="3"/>
  <c r="BI20" i="5"/>
  <c r="BI21" i="5"/>
  <c r="BP16" i="3"/>
  <c r="BP197" i="3"/>
  <c r="BP204" i="3"/>
  <c r="BP198" i="3"/>
  <c r="BP19" i="3"/>
  <c r="CD254" i="3"/>
  <c r="CE252" i="3"/>
  <c r="CD253" i="3"/>
  <c r="BI77" i="2"/>
  <c r="BI66" i="2"/>
  <c r="BI67" i="2" s="1"/>
  <c r="BI52" i="2"/>
  <c r="BK75" i="4"/>
  <c r="BS252" i="3" l="1"/>
  <c r="BS253" i="3" s="1"/>
  <c r="BM46" i="2"/>
  <c r="BO206" i="3"/>
  <c r="BO30" i="3"/>
  <c r="BO205" i="3"/>
  <c r="BO36" i="3"/>
  <c r="BO17" i="3"/>
  <c r="BO18" i="3"/>
  <c r="BL17" i="2"/>
  <c r="BL47" i="2"/>
  <c r="BM10" i="4"/>
  <c r="BN66" i="4"/>
  <c r="BM26" i="4"/>
  <c r="BO20" i="3"/>
  <c r="BO21" i="3"/>
  <c r="BL10" i="2"/>
  <c r="BL10" i="4"/>
  <c r="BL26" i="4"/>
  <c r="BM17" i="2"/>
  <c r="BM47" i="2"/>
  <c r="CE253" i="3"/>
  <c r="CF252" i="3"/>
  <c r="CE254" i="3"/>
  <c r="BQ258" i="3"/>
  <c r="CF262" i="3"/>
  <c r="BQ257" i="3"/>
  <c r="BQ196" i="3"/>
  <c r="BS256" i="3"/>
  <c r="BN14" i="5"/>
  <c r="BN58" i="5" s="1"/>
  <c r="BP21" i="3"/>
  <c r="BP20" i="3"/>
  <c r="CD265" i="3"/>
  <c r="CD266" i="3"/>
  <c r="CE266" i="3"/>
  <c r="BP30" i="3"/>
  <c r="BP205" i="3"/>
  <c r="BP36" i="3"/>
  <c r="BP206" i="3"/>
  <c r="BR257" i="3"/>
  <c r="BR196" i="3"/>
  <c r="BR258" i="3"/>
  <c r="CG262" i="3"/>
  <c r="CG264" i="3" s="1"/>
  <c r="BT251" i="3"/>
  <c r="BU250" i="3" s="1"/>
  <c r="BP17" i="3"/>
  <c r="BP18" i="3"/>
  <c r="BN39" i="3"/>
  <c r="BN64" i="2"/>
  <c r="BN63" i="2"/>
  <c r="BN65" i="2"/>
  <c r="BN45" i="2"/>
  <c r="BN62" i="2"/>
  <c r="BL52" i="2" l="1"/>
  <c r="BL66" i="2"/>
  <c r="BL67" i="2" s="1"/>
  <c r="BP38" i="3"/>
  <c r="BP7" i="2"/>
  <c r="BP37" i="3"/>
  <c r="CF264" i="3"/>
  <c r="CG266" i="3" s="1"/>
  <c r="CH262" i="3"/>
  <c r="BP31" i="3"/>
  <c r="BP32" i="3"/>
  <c r="CF253" i="3"/>
  <c r="CG252" i="3"/>
  <c r="CF254" i="3"/>
  <c r="BO38" i="3"/>
  <c r="BO7" i="2"/>
  <c r="BO39" i="3" s="1"/>
  <c r="BO37" i="3"/>
  <c r="BM52" i="2"/>
  <c r="BM66" i="2"/>
  <c r="BM67" i="2" s="1"/>
  <c r="BO31" i="3"/>
  <c r="BO32" i="3"/>
  <c r="BL22" i="5"/>
  <c r="BL83" i="4"/>
  <c r="BL71" i="4"/>
  <c r="BL19" i="5"/>
  <c r="BM19" i="5"/>
  <c r="BL46" i="2"/>
  <c r="BL67" i="4"/>
  <c r="BN10" i="2"/>
  <c r="BM67" i="4"/>
  <c r="BU251" i="3"/>
  <c r="BU256" i="3" s="1"/>
  <c r="BT256" i="3"/>
  <c r="BN26" i="4"/>
  <c r="BM22" i="5"/>
  <c r="BM83" i="4"/>
  <c r="BN83" i="4" s="1"/>
  <c r="BS257" i="3"/>
  <c r="BS259" i="3"/>
  <c r="CG265" i="3"/>
  <c r="BR198" i="3"/>
  <c r="BR19" i="3"/>
  <c r="BR16" i="3"/>
  <c r="BR197" i="3"/>
  <c r="BR204" i="3"/>
  <c r="BQ19" i="3"/>
  <c r="BQ204" i="3"/>
  <c r="BQ16" i="3"/>
  <c r="BQ197" i="3"/>
  <c r="BQ198" i="3"/>
  <c r="BS196" i="3"/>
  <c r="BM71" i="4"/>
  <c r="BN71" i="4" s="1"/>
  <c r="BN10" i="4"/>
  <c r="BV250" i="3" l="1"/>
  <c r="BN22" i="5"/>
  <c r="BQ21" i="3"/>
  <c r="BQ20" i="3"/>
  <c r="BV251" i="3"/>
  <c r="BW250" i="3" s="1"/>
  <c r="BO66" i="4"/>
  <c r="BO14" i="5"/>
  <c r="BO11" i="2"/>
  <c r="BO10" i="2" s="1"/>
  <c r="BO63" i="2"/>
  <c r="BO45" i="2"/>
  <c r="BO64" i="2"/>
  <c r="BO62" i="2"/>
  <c r="BO65" i="2"/>
  <c r="BR206" i="3"/>
  <c r="BR205" i="3"/>
  <c r="BR30" i="3"/>
  <c r="BR36" i="3"/>
  <c r="BM25" i="4"/>
  <c r="BN67" i="4"/>
  <c r="BM11" i="4"/>
  <c r="BN46" i="2"/>
  <c r="BN11" i="2"/>
  <c r="BR17" i="3"/>
  <c r="BR18" i="3"/>
  <c r="BL25" i="4"/>
  <c r="BL11" i="4"/>
  <c r="CG253" i="3"/>
  <c r="CI252" i="3"/>
  <c r="CG254" i="3"/>
  <c r="BN19" i="5"/>
  <c r="CF266" i="3"/>
  <c r="CF265" i="3"/>
  <c r="CH264" i="3"/>
  <c r="BR20" i="3"/>
  <c r="BR21" i="3"/>
  <c r="BS19" i="3"/>
  <c r="BS20" i="3" s="1"/>
  <c r="BS197" i="3"/>
  <c r="BS16" i="3"/>
  <c r="BS17" i="3" s="1"/>
  <c r="BP39" i="3"/>
  <c r="BP64" i="2"/>
  <c r="BP63" i="2"/>
  <c r="BP62" i="2"/>
  <c r="BP45" i="2"/>
  <c r="BP65" i="2"/>
  <c r="BP11" i="2"/>
  <c r="BP10" i="2" s="1"/>
  <c r="BP66" i="4"/>
  <c r="BP14" i="5"/>
  <c r="BQ18" i="3"/>
  <c r="BQ17" i="3"/>
  <c r="BT257" i="3"/>
  <c r="BT196" i="3"/>
  <c r="BT258" i="3"/>
  <c r="CI262" i="3"/>
  <c r="BQ30" i="3"/>
  <c r="BQ205" i="3"/>
  <c r="BQ36" i="3"/>
  <c r="BQ206" i="3"/>
  <c r="BS204" i="3"/>
  <c r="CJ262" i="3"/>
  <c r="CJ264" i="3" s="1"/>
  <c r="BU257" i="3"/>
  <c r="BU258" i="3"/>
  <c r="BU196" i="3"/>
  <c r="BP67" i="4" l="1"/>
  <c r="BP46" i="2"/>
  <c r="BQ32" i="3"/>
  <c r="BQ31" i="3"/>
  <c r="CJ252" i="3"/>
  <c r="CI254" i="3"/>
  <c r="CI253" i="3"/>
  <c r="BL75" i="4"/>
  <c r="BL20" i="5"/>
  <c r="BM20" i="5"/>
  <c r="BP10" i="4"/>
  <c r="BP26" i="4"/>
  <c r="BQ7" i="2"/>
  <c r="BQ38" i="3"/>
  <c r="BQ37" i="3"/>
  <c r="BL79" i="4"/>
  <c r="BL30" i="4"/>
  <c r="BL21" i="5"/>
  <c r="CI264" i="3"/>
  <c r="CJ266" i="3" s="1"/>
  <c r="BO67" i="4"/>
  <c r="BO46" i="2"/>
  <c r="BT19" i="3"/>
  <c r="BT198" i="3"/>
  <c r="BT16" i="3"/>
  <c r="BT197" i="3"/>
  <c r="BT204" i="3"/>
  <c r="BN17" i="2"/>
  <c r="BN60" i="2"/>
  <c r="BN61" i="2" s="1"/>
  <c r="BN47" i="2"/>
  <c r="BO17" i="2"/>
  <c r="BO47" i="2"/>
  <c r="BU197" i="3"/>
  <c r="BU204" i="3"/>
  <c r="BU198" i="3"/>
  <c r="BU19" i="3"/>
  <c r="BU16" i="3"/>
  <c r="BM75" i="4"/>
  <c r="BN75" i="4" s="1"/>
  <c r="BN11" i="4"/>
  <c r="BO26" i="4"/>
  <c r="BO10" i="4"/>
  <c r="BV256" i="3"/>
  <c r="BM79" i="4"/>
  <c r="BN79" i="4" s="1"/>
  <c r="BM30" i="4"/>
  <c r="BN30" i="4" s="1"/>
  <c r="BN25" i="4"/>
  <c r="BM21" i="5"/>
  <c r="BN21" i="5" s="1"/>
  <c r="BX250" i="3"/>
  <c r="BW251" i="3"/>
  <c r="BW256" i="3" s="1"/>
  <c r="CJ265" i="3"/>
  <c r="CH263" i="3"/>
  <c r="CH265" i="3"/>
  <c r="BR38" i="3"/>
  <c r="BR37" i="3"/>
  <c r="BR7" i="2"/>
  <c r="BP17" i="2"/>
  <c r="BP47" i="2"/>
  <c r="BS205" i="3"/>
  <c r="BS200" i="3"/>
  <c r="BS201" i="3" s="1"/>
  <c r="BS36" i="3"/>
  <c r="BS37" i="3" s="1"/>
  <c r="BS30" i="3"/>
  <c r="BS31" i="3" s="1"/>
  <c r="BR32" i="3"/>
  <c r="BR31" i="3"/>
  <c r="BX251" i="3" l="1"/>
  <c r="BX252" i="3" s="1"/>
  <c r="BX253" i="3" s="1"/>
  <c r="BY250" i="3"/>
  <c r="BP52" i="2"/>
  <c r="BP66" i="2"/>
  <c r="BP67" i="2" s="1"/>
  <c r="BN77" i="2"/>
  <c r="BN52" i="2"/>
  <c r="BN66" i="2"/>
  <c r="BN67" i="2" s="1"/>
  <c r="BR66" i="4"/>
  <c r="BR11" i="2"/>
  <c r="BR10" i="2" s="1"/>
  <c r="BR14" i="5"/>
  <c r="BR65" i="2"/>
  <c r="BR64" i="2"/>
  <c r="BR63" i="2"/>
  <c r="BR62" i="2"/>
  <c r="BR45" i="2"/>
  <c r="BV196" i="3"/>
  <c r="CK262" i="3"/>
  <c r="BV258" i="3"/>
  <c r="BV257" i="3"/>
  <c r="BX256" i="3"/>
  <c r="BQ39" i="3"/>
  <c r="BQ14" i="5"/>
  <c r="BQ66" i="4"/>
  <c r="BQ63" i="2"/>
  <c r="BQ62" i="2"/>
  <c r="BQ64" i="2"/>
  <c r="BQ11" i="2"/>
  <c r="BQ10" i="2" s="1"/>
  <c r="BQ45" i="2"/>
  <c r="BQ65" i="2"/>
  <c r="BS7" i="2"/>
  <c r="BP19" i="5"/>
  <c r="BO71" i="4"/>
  <c r="BO19" i="5"/>
  <c r="BT205" i="3"/>
  <c r="BT206" i="3"/>
  <c r="BT36" i="3"/>
  <c r="BT30" i="3"/>
  <c r="BP83" i="4"/>
  <c r="BP22" i="5"/>
  <c r="BR39" i="3"/>
  <c r="BO83" i="4"/>
  <c r="BO22" i="5"/>
  <c r="BP71" i="4"/>
  <c r="BT17" i="3"/>
  <c r="BT18" i="3"/>
  <c r="BN20" i="5"/>
  <c r="BT21" i="3"/>
  <c r="BT20" i="3"/>
  <c r="BU17" i="3"/>
  <c r="BU18" i="3"/>
  <c r="BU20" i="3"/>
  <c r="BU21" i="3"/>
  <c r="BY251" i="3"/>
  <c r="BZ250" i="3" s="1"/>
  <c r="BO11" i="4"/>
  <c r="BO25" i="4"/>
  <c r="CK252" i="3"/>
  <c r="CJ254" i="3"/>
  <c r="CJ253" i="3"/>
  <c r="BW196" i="3"/>
  <c r="CL262" i="3"/>
  <c r="CL264" i="3" s="1"/>
  <c r="BW257" i="3"/>
  <c r="BW258" i="3"/>
  <c r="BU206" i="3"/>
  <c r="BU30" i="3"/>
  <c r="BU36" i="3"/>
  <c r="BU205" i="3"/>
  <c r="CI266" i="3"/>
  <c r="CI265" i="3"/>
  <c r="BO52" i="2"/>
  <c r="BO66" i="2"/>
  <c r="BO67" i="2" s="1"/>
  <c r="BP11" i="4"/>
  <c r="BP25" i="4"/>
  <c r="BS14" i="5" l="1"/>
  <c r="BS58" i="5" s="1"/>
  <c r="BQ46" i="2"/>
  <c r="BQ67" i="4"/>
  <c r="BS10" i="2"/>
  <c r="BS46" i="2" s="1"/>
  <c r="BS39" i="3"/>
  <c r="BS65" i="2"/>
  <c r="CP7" i="2"/>
  <c r="BS45" i="2"/>
  <c r="BS64" i="2"/>
  <c r="BS63" i="2"/>
  <c r="BS62" i="2"/>
  <c r="BP79" i="4"/>
  <c r="BP30" i="4"/>
  <c r="BP21" i="5"/>
  <c r="BP75" i="4"/>
  <c r="CL252" i="3"/>
  <c r="CK254" i="3"/>
  <c r="CK253" i="3"/>
  <c r="BO21" i="5"/>
  <c r="BO79" i="4"/>
  <c r="BO30" i="4"/>
  <c r="BQ47" i="2"/>
  <c r="BQ17" i="2"/>
  <c r="BP20" i="5"/>
  <c r="BO75" i="4"/>
  <c r="BO20" i="5"/>
  <c r="BZ251" i="3"/>
  <c r="BZ256" i="3" s="1"/>
  <c r="BR17" i="2"/>
  <c r="BR47" i="2"/>
  <c r="BY256" i="3"/>
  <c r="BR46" i="2"/>
  <c r="BR67" i="4"/>
  <c r="BQ10" i="4"/>
  <c r="BQ26" i="4"/>
  <c r="BS66" i="4"/>
  <c r="BR10" i="4"/>
  <c r="BR26" i="4"/>
  <c r="BT32" i="3"/>
  <c r="BT31" i="3"/>
  <c r="BU7" i="2"/>
  <c r="BU39" i="3" s="1"/>
  <c r="BU37" i="3"/>
  <c r="BU38" i="3"/>
  <c r="BT7" i="2"/>
  <c r="BT37" i="3"/>
  <c r="BT38" i="3"/>
  <c r="BU31" i="3"/>
  <c r="BU32" i="3"/>
  <c r="BX259" i="3"/>
  <c r="BX257" i="3"/>
  <c r="BW204" i="3"/>
  <c r="BW198" i="3"/>
  <c r="BW16" i="3"/>
  <c r="BW19" i="3"/>
  <c r="BW197" i="3"/>
  <c r="CK264" i="3"/>
  <c r="CL266" i="3" s="1"/>
  <c r="CM262" i="3"/>
  <c r="CL265" i="3"/>
  <c r="BV198" i="3"/>
  <c r="BV19" i="3"/>
  <c r="BV16" i="3"/>
  <c r="BV204" i="3"/>
  <c r="BV197" i="3"/>
  <c r="BX196" i="3"/>
  <c r="BS11" i="2" l="1"/>
  <c r="CA250" i="3"/>
  <c r="CA251" i="3" s="1"/>
  <c r="CA256" i="3" s="1"/>
  <c r="BZ258" i="3"/>
  <c r="BZ196" i="3"/>
  <c r="BZ257" i="3"/>
  <c r="BW18" i="3"/>
  <c r="BW17" i="3"/>
  <c r="BW30" i="3"/>
  <c r="BW36" i="3"/>
  <c r="BW206" i="3"/>
  <c r="BW205" i="3"/>
  <c r="BR83" i="4"/>
  <c r="BS83" i="4" s="1"/>
  <c r="BS26" i="4"/>
  <c r="BR22" i="5"/>
  <c r="BR71" i="4"/>
  <c r="BS71" i="4" s="1"/>
  <c r="BS10" i="4"/>
  <c r="BQ52" i="2"/>
  <c r="BQ66" i="2"/>
  <c r="BQ67" i="2" s="1"/>
  <c r="BX19" i="3"/>
  <c r="BX20" i="3" s="1"/>
  <c r="BX16" i="3"/>
  <c r="BX17" i="3" s="1"/>
  <c r="BX197" i="3"/>
  <c r="BQ83" i="4"/>
  <c r="BQ22" i="5"/>
  <c r="BQ71" i="4"/>
  <c r="BR19" i="5"/>
  <c r="BQ19" i="5"/>
  <c r="BV36" i="3"/>
  <c r="BV30" i="3"/>
  <c r="BV206" i="3"/>
  <c r="BV205" i="3"/>
  <c r="BX204" i="3"/>
  <c r="BV18" i="3"/>
  <c r="BV17" i="3"/>
  <c r="BS67" i="4"/>
  <c r="BR11" i="4"/>
  <c r="BR25" i="4"/>
  <c r="BS17" i="2"/>
  <c r="BS60" i="2"/>
  <c r="BS61" i="2" s="1"/>
  <c r="BS47" i="2"/>
  <c r="BT39" i="3"/>
  <c r="BT45" i="2"/>
  <c r="BT65" i="2"/>
  <c r="BT64" i="2"/>
  <c r="BT63" i="2"/>
  <c r="BT62" i="2"/>
  <c r="BT66" i="4"/>
  <c r="BT14" i="5"/>
  <c r="BT11" i="2"/>
  <c r="BV20" i="3"/>
  <c r="BV21" i="3"/>
  <c r="BY196" i="3"/>
  <c r="BY258" i="3"/>
  <c r="BY257" i="3"/>
  <c r="CL253" i="3"/>
  <c r="CL254" i="3"/>
  <c r="BW21" i="3"/>
  <c r="BW20" i="3"/>
  <c r="BR52" i="2"/>
  <c r="BR66" i="2"/>
  <c r="BR67" i="2" s="1"/>
  <c r="BQ25" i="4"/>
  <c r="BQ11" i="4"/>
  <c r="CK265" i="3"/>
  <c r="CK266" i="3"/>
  <c r="CM264" i="3"/>
  <c r="BU65" i="2"/>
  <c r="BU64" i="2"/>
  <c r="BU63" i="2"/>
  <c r="BU62" i="2"/>
  <c r="BU14" i="5"/>
  <c r="BU66" i="4"/>
  <c r="BU11" i="2"/>
  <c r="BU45" i="2"/>
  <c r="CB250" i="3" l="1"/>
  <c r="CC250" i="3" s="1"/>
  <c r="BS19" i="5"/>
  <c r="BS22" i="5"/>
  <c r="BU10" i="4"/>
  <c r="BU26" i="4"/>
  <c r="BV7" i="2"/>
  <c r="BV37" i="3"/>
  <c r="BV38" i="3"/>
  <c r="BU10" i="2"/>
  <c r="BU17" i="2"/>
  <c r="BU47" i="2"/>
  <c r="BV32" i="3"/>
  <c r="BV31" i="3"/>
  <c r="BW37" i="3"/>
  <c r="BW38" i="3"/>
  <c r="BW7" i="2"/>
  <c r="BY204" i="3"/>
  <c r="BY198" i="3"/>
  <c r="BY19" i="3"/>
  <c r="BY16" i="3"/>
  <c r="BY197" i="3"/>
  <c r="BS77" i="2"/>
  <c r="BS52" i="2"/>
  <c r="BS66" i="2"/>
  <c r="BS67" i="2" s="1"/>
  <c r="BW32" i="3"/>
  <c r="BW31" i="3"/>
  <c r="CM263" i="3"/>
  <c r="CM265" i="3"/>
  <c r="BS25" i="4"/>
  <c r="BR21" i="5"/>
  <c r="BR79" i="4"/>
  <c r="BS79" i="4" s="1"/>
  <c r="BR30" i="4"/>
  <c r="BS30" i="4" s="1"/>
  <c r="BR75" i="4"/>
  <c r="BS75" i="4" s="1"/>
  <c r="BS11" i="4"/>
  <c r="BZ197" i="3"/>
  <c r="BZ204" i="3"/>
  <c r="BZ198" i="3"/>
  <c r="BZ19" i="3"/>
  <c r="BZ16" i="3"/>
  <c r="BQ75" i="4"/>
  <c r="BR20" i="5"/>
  <c r="BQ20" i="5"/>
  <c r="BQ79" i="4"/>
  <c r="BQ30" i="4"/>
  <c r="BQ21" i="5"/>
  <c r="BT10" i="2"/>
  <c r="BT17" i="2"/>
  <c r="BT47" i="2"/>
  <c r="CA196" i="3"/>
  <c r="CA258" i="3"/>
  <c r="CA257" i="3"/>
  <c r="BT26" i="4"/>
  <c r="BT10" i="4"/>
  <c r="BX30" i="3"/>
  <c r="BX31" i="3" s="1"/>
  <c r="BX36" i="3"/>
  <c r="BX205" i="3"/>
  <c r="BX200" i="3"/>
  <c r="BX201" i="3" s="1"/>
  <c r="CB251" i="3"/>
  <c r="CD250" i="3" s="1"/>
  <c r="BS20" i="5" l="1"/>
  <c r="BS21" i="5"/>
  <c r="BW62" i="2"/>
  <c r="BW14" i="5"/>
  <c r="BW66" i="4"/>
  <c r="BW63" i="2"/>
  <c r="BW11" i="2"/>
  <c r="BW10" i="2" s="1"/>
  <c r="BW45" i="2"/>
  <c r="BW65" i="2"/>
  <c r="BW64" i="2"/>
  <c r="CB256" i="3"/>
  <c r="CC251" i="3"/>
  <c r="CC252" i="3" s="1"/>
  <c r="CC253" i="3" s="1"/>
  <c r="CD251" i="3"/>
  <c r="CD256" i="3" s="1"/>
  <c r="BU19" i="5"/>
  <c r="BT71" i="4"/>
  <c r="BT19" i="5"/>
  <c r="BZ18" i="3"/>
  <c r="BZ17" i="3"/>
  <c r="BU66" i="2"/>
  <c r="BU67" i="2" s="1"/>
  <c r="BU52" i="2"/>
  <c r="BX37" i="3"/>
  <c r="BT83" i="4"/>
  <c r="BT22" i="5"/>
  <c r="BZ21" i="3"/>
  <c r="BZ20" i="3"/>
  <c r="BU67" i="4"/>
  <c r="BU46" i="2"/>
  <c r="BZ30" i="3"/>
  <c r="BZ206" i="3"/>
  <c r="BZ205" i="3"/>
  <c r="BZ36" i="3"/>
  <c r="CA16" i="3"/>
  <c r="CA197" i="3"/>
  <c r="CA198" i="3"/>
  <c r="CA204" i="3"/>
  <c r="CA19" i="3"/>
  <c r="BV39" i="3"/>
  <c r="BV11" i="2"/>
  <c r="BV45" i="2"/>
  <c r="BV65" i="2"/>
  <c r="BV64" i="2"/>
  <c r="BV63" i="2"/>
  <c r="BV62" i="2"/>
  <c r="BV66" i="4"/>
  <c r="BV14" i="5"/>
  <c r="BX7" i="2"/>
  <c r="BX39" i="3" s="1"/>
  <c r="BY18" i="3"/>
  <c r="BY17" i="3"/>
  <c r="BU83" i="4"/>
  <c r="BU22" i="5"/>
  <c r="BY20" i="3"/>
  <c r="BY21" i="3"/>
  <c r="BU71" i="4"/>
  <c r="BT52" i="2"/>
  <c r="BT66" i="2"/>
  <c r="BT67" i="2" s="1"/>
  <c r="BY206" i="3"/>
  <c r="BY36" i="3"/>
  <c r="BY30" i="3"/>
  <c r="BY205" i="3"/>
  <c r="BT67" i="4"/>
  <c r="BT46" i="2"/>
  <c r="BW39" i="3"/>
  <c r="BX14" i="5" l="1"/>
  <c r="BX58" i="5" s="1"/>
  <c r="BW46" i="2"/>
  <c r="BU25" i="4"/>
  <c r="BU11" i="4"/>
  <c r="CE250" i="3"/>
  <c r="CD196" i="3"/>
  <c r="CD258" i="3"/>
  <c r="CD257" i="3"/>
  <c r="BV10" i="2"/>
  <c r="BV47" i="2"/>
  <c r="BV17" i="2"/>
  <c r="CB196" i="3"/>
  <c r="CB258" i="3"/>
  <c r="CB257" i="3"/>
  <c r="CC256" i="3"/>
  <c r="CA21" i="3"/>
  <c r="CA20" i="3"/>
  <c r="CA36" i="3"/>
  <c r="CA30" i="3"/>
  <c r="CA205" i="3"/>
  <c r="CA206" i="3"/>
  <c r="BT25" i="4"/>
  <c r="BT11" i="4"/>
  <c r="CA17" i="3"/>
  <c r="CA18" i="3"/>
  <c r="BW17" i="2"/>
  <c r="BW47" i="2"/>
  <c r="BZ37" i="3"/>
  <c r="BZ38" i="3"/>
  <c r="BZ7" i="2"/>
  <c r="BZ39" i="3" s="1"/>
  <c r="BX45" i="2"/>
  <c r="BX63" i="2"/>
  <c r="BX62" i="2"/>
  <c r="BX65" i="2"/>
  <c r="BX64" i="2"/>
  <c r="BW26" i="4"/>
  <c r="BX66" i="4"/>
  <c r="BW10" i="4"/>
  <c r="BY31" i="3"/>
  <c r="BY32" i="3"/>
  <c r="BY7" i="2"/>
  <c r="BY37" i="3"/>
  <c r="BY38" i="3"/>
  <c r="BV26" i="4"/>
  <c r="BV10" i="4"/>
  <c r="BZ31" i="3"/>
  <c r="BZ32" i="3"/>
  <c r="BY39" i="3" l="1"/>
  <c r="BY11" i="2"/>
  <c r="BY10" i="2" s="1"/>
  <c r="BY45" i="2"/>
  <c r="BY65" i="2"/>
  <c r="BY62" i="2"/>
  <c r="BY14" i="5"/>
  <c r="BY63" i="2"/>
  <c r="BY66" i="4"/>
  <c r="BY64" i="2"/>
  <c r="BW66" i="2"/>
  <c r="BW67" i="2" s="1"/>
  <c r="BW52" i="2"/>
  <c r="CB16" i="3"/>
  <c r="CB197" i="3"/>
  <c r="CB204" i="3"/>
  <c r="CB198" i="3"/>
  <c r="CB19" i="3"/>
  <c r="CC196" i="3"/>
  <c r="BV66" i="2"/>
  <c r="BV67" i="2" s="1"/>
  <c r="BV52" i="2"/>
  <c r="BV46" i="2"/>
  <c r="BV67" i="4"/>
  <c r="BX10" i="2"/>
  <c r="BW22" i="5"/>
  <c r="BX26" i="4"/>
  <c r="BW83" i="4"/>
  <c r="BX83" i="4" s="1"/>
  <c r="BX10" i="4"/>
  <c r="BW71" i="4"/>
  <c r="BX71" i="4" s="1"/>
  <c r="BT20" i="5"/>
  <c r="BT75" i="4"/>
  <c r="BU20" i="5"/>
  <c r="BT21" i="5"/>
  <c r="BT79" i="4"/>
  <c r="BT30" i="4"/>
  <c r="CD16" i="3"/>
  <c r="CD197" i="3"/>
  <c r="CD204" i="3"/>
  <c r="CD198" i="3"/>
  <c r="CD19" i="3"/>
  <c r="CA32" i="3"/>
  <c r="CA31" i="3"/>
  <c r="CE251" i="3"/>
  <c r="CF250" i="3" s="1"/>
  <c r="BW19" i="5"/>
  <c r="BV71" i="4"/>
  <c r="BV19" i="5"/>
  <c r="CA37" i="3"/>
  <c r="CA38" i="3"/>
  <c r="CA7" i="2"/>
  <c r="BU75" i="4"/>
  <c r="BV22" i="5"/>
  <c r="BV83" i="4"/>
  <c r="BZ14" i="5"/>
  <c r="BZ66" i="4"/>
  <c r="BZ65" i="2"/>
  <c r="BZ11" i="2"/>
  <c r="BZ10" i="2" s="1"/>
  <c r="BZ62" i="2"/>
  <c r="BZ64" i="2"/>
  <c r="BZ63" i="2"/>
  <c r="BZ45" i="2"/>
  <c r="BU79" i="4"/>
  <c r="BU30" i="4"/>
  <c r="BU21" i="5"/>
  <c r="BW67" i="4"/>
  <c r="CC259" i="3"/>
  <c r="CC257" i="3"/>
  <c r="BX19" i="5" l="1"/>
  <c r="BY67" i="4"/>
  <c r="BY46" i="2"/>
  <c r="BZ67" i="4"/>
  <c r="BZ46" i="2"/>
  <c r="CB18" i="3"/>
  <c r="CB17" i="3"/>
  <c r="CF251" i="3"/>
  <c r="CF256" i="3" s="1"/>
  <c r="BZ47" i="2"/>
  <c r="BZ17" i="2"/>
  <c r="CE256" i="3"/>
  <c r="BZ10" i="4"/>
  <c r="BZ26" i="4"/>
  <c r="CD21" i="3"/>
  <c r="CD20" i="3"/>
  <c r="BX46" i="2"/>
  <c r="BX11" i="2"/>
  <c r="BX22" i="5"/>
  <c r="CD205" i="3"/>
  <c r="CD206" i="3"/>
  <c r="CD36" i="3"/>
  <c r="CD30" i="3"/>
  <c r="BV25" i="4"/>
  <c r="BV11" i="4"/>
  <c r="BY10" i="4"/>
  <c r="BY26" i="4"/>
  <c r="BW25" i="4"/>
  <c r="BW11" i="4"/>
  <c r="BX67" i="4"/>
  <c r="CD18" i="3"/>
  <c r="CD17" i="3"/>
  <c r="CC16" i="3"/>
  <c r="CC17" i="3" s="1"/>
  <c r="CC197" i="3"/>
  <c r="CC19" i="3"/>
  <c r="CC20" i="3" s="1"/>
  <c r="CA39" i="3"/>
  <c r="CA66" i="4"/>
  <c r="CA11" i="2"/>
  <c r="CA45" i="2"/>
  <c r="CA65" i="2"/>
  <c r="CA64" i="2"/>
  <c r="CA63" i="2"/>
  <c r="CA62" i="2"/>
  <c r="CA14" i="5"/>
  <c r="CB21" i="3"/>
  <c r="CB20" i="3"/>
  <c r="BY47" i="2"/>
  <c r="BY17" i="2"/>
  <c r="CB205" i="3"/>
  <c r="CB206" i="3"/>
  <c r="CB30" i="3"/>
  <c r="CB36" i="3"/>
  <c r="CC204" i="3"/>
  <c r="BY83" i="4" l="1"/>
  <c r="BY22" i="5"/>
  <c r="CC36" i="3"/>
  <c r="CC205" i="3"/>
  <c r="CC200" i="3"/>
  <c r="CC201" i="3" s="1"/>
  <c r="CC30" i="3"/>
  <c r="CC31" i="3" s="1"/>
  <c r="CA17" i="2"/>
  <c r="CA47" i="2"/>
  <c r="BW20" i="5"/>
  <c r="BV75" i="4"/>
  <c r="BV20" i="5"/>
  <c r="CE196" i="3"/>
  <c r="CE258" i="3"/>
  <c r="CE257" i="3"/>
  <c r="CB37" i="3"/>
  <c r="CB38" i="3"/>
  <c r="CB7" i="2"/>
  <c r="CB39" i="3" s="1"/>
  <c r="CB32" i="3"/>
  <c r="CB31" i="3"/>
  <c r="CA10" i="4"/>
  <c r="CA19" i="5" s="1"/>
  <c r="CA26" i="4"/>
  <c r="BV21" i="5"/>
  <c r="BV79" i="4"/>
  <c r="BV30" i="4"/>
  <c r="BZ66" i="2"/>
  <c r="BZ67" i="2" s="1"/>
  <c r="BZ52" i="2"/>
  <c r="CD32" i="3"/>
  <c r="CD31" i="3"/>
  <c r="CD7" i="2"/>
  <c r="CD37" i="3"/>
  <c r="CD38" i="3"/>
  <c r="CF257" i="3"/>
  <c r="CF196" i="3"/>
  <c r="CF258" i="3"/>
  <c r="BY71" i="4"/>
  <c r="BZ19" i="5"/>
  <c r="BY19" i="5"/>
  <c r="CG250" i="3"/>
  <c r="BY66" i="2"/>
  <c r="BY67" i="2" s="1"/>
  <c r="BY52" i="2"/>
  <c r="BX17" i="2"/>
  <c r="BX60" i="2"/>
  <c r="BX61" i="2" s="1"/>
  <c r="BX47" i="2"/>
  <c r="BZ11" i="4"/>
  <c r="BZ25" i="4"/>
  <c r="CA10" i="2"/>
  <c r="BZ83" i="4"/>
  <c r="BZ22" i="5"/>
  <c r="BX11" i="4"/>
  <c r="BW75" i="4"/>
  <c r="BX75" i="4" s="1"/>
  <c r="BZ71" i="4"/>
  <c r="BY11" i="4"/>
  <c r="BY25" i="4"/>
  <c r="BX25" i="4"/>
  <c r="BW30" i="4"/>
  <c r="BX30" i="4" s="1"/>
  <c r="BW21" i="5"/>
  <c r="BW79" i="4"/>
  <c r="BX79" i="4" s="1"/>
  <c r="BZ75" i="4" l="1"/>
  <c r="CD39" i="3"/>
  <c r="CD14" i="5"/>
  <c r="CD45" i="2"/>
  <c r="CD65" i="2"/>
  <c r="CD66" i="4"/>
  <c r="CD11" i="2"/>
  <c r="CD10" i="2" s="1"/>
  <c r="CD63" i="2"/>
  <c r="CD62" i="2"/>
  <c r="CD64" i="2"/>
  <c r="BX77" i="2"/>
  <c r="BX66" i="2"/>
  <c r="BX67" i="2" s="1"/>
  <c r="BX52" i="2"/>
  <c r="BY30" i="4"/>
  <c r="BY79" i="4"/>
  <c r="BY21" i="5"/>
  <c r="CE197" i="3"/>
  <c r="CE204" i="3"/>
  <c r="CE19" i="3"/>
  <c r="CE16" i="3"/>
  <c r="CE198" i="3"/>
  <c r="BZ20" i="5"/>
  <c r="BY75" i="4"/>
  <c r="BX20" i="5"/>
  <c r="BY20" i="5"/>
  <c r="BX21" i="5"/>
  <c r="CA83" i="4"/>
  <c r="CA22" i="5"/>
  <c r="CA66" i="2"/>
  <c r="CA67" i="2" s="1"/>
  <c r="CA52" i="2"/>
  <c r="CA71" i="4"/>
  <c r="CF16" i="3"/>
  <c r="CF198" i="3"/>
  <c r="CF197" i="3"/>
  <c r="CF19" i="3"/>
  <c r="CF204" i="3"/>
  <c r="CC37" i="3"/>
  <c r="CG251" i="3"/>
  <c r="CH250" i="3"/>
  <c r="CA67" i="4"/>
  <c r="CA46" i="2"/>
  <c r="CB62" i="2"/>
  <c r="CB45" i="2"/>
  <c r="CB64" i="2"/>
  <c r="CB65" i="2"/>
  <c r="CB66" i="4"/>
  <c r="CB11" i="2"/>
  <c r="CB10" i="2" s="1"/>
  <c r="CB14" i="5"/>
  <c r="CC14" i="5" s="1"/>
  <c r="CB63" i="2"/>
  <c r="CC7" i="2"/>
  <c r="BZ30" i="4"/>
  <c r="BZ21" i="5"/>
  <c r="BZ79" i="4"/>
  <c r="CC58" i="5" l="1"/>
  <c r="CF21" i="3"/>
  <c r="CF20" i="3"/>
  <c r="CB67" i="4"/>
  <c r="CB46" i="2"/>
  <c r="CF30" i="3"/>
  <c r="CF205" i="3"/>
  <c r="CF36" i="3"/>
  <c r="CF206" i="3"/>
  <c r="CB17" i="2"/>
  <c r="CB47" i="2"/>
  <c r="CD67" i="4"/>
  <c r="CD46" i="2"/>
  <c r="CF17" i="3"/>
  <c r="CF18" i="3"/>
  <c r="CE17" i="3"/>
  <c r="CE18" i="3"/>
  <c r="CE21" i="3"/>
  <c r="CE20" i="3"/>
  <c r="CD17" i="2"/>
  <c r="CD47" i="2"/>
  <c r="CC10" i="2"/>
  <c r="CC46" i="2" s="1"/>
  <c r="CE205" i="3"/>
  <c r="CE206" i="3"/>
  <c r="CE36" i="3"/>
  <c r="CE30" i="3"/>
  <c r="CD10" i="4"/>
  <c r="CD26" i="4"/>
  <c r="CA11" i="4"/>
  <c r="CA25" i="4"/>
  <c r="CG256" i="3"/>
  <c r="CH251" i="3"/>
  <c r="CH252" i="3" s="1"/>
  <c r="CH253" i="3" s="1"/>
  <c r="CI250" i="3"/>
  <c r="CB26" i="4"/>
  <c r="CC66" i="4"/>
  <c r="CB10" i="4"/>
  <c r="CC63" i="2"/>
  <c r="CC62" i="2"/>
  <c r="CC45" i="2"/>
  <c r="CC65" i="2"/>
  <c r="CC64" i="2"/>
  <c r="CC39" i="3"/>
  <c r="CC11" i="2" l="1"/>
  <c r="CC17" i="2" s="1"/>
  <c r="CD83" i="4"/>
  <c r="CD22" i="5"/>
  <c r="CD71" i="4"/>
  <c r="CD11" i="4"/>
  <c r="CD25" i="4"/>
  <c r="CE32" i="3"/>
  <c r="CE31" i="3"/>
  <c r="CB52" i="2"/>
  <c r="CB66" i="2"/>
  <c r="CB67" i="2" s="1"/>
  <c r="CE7" i="2"/>
  <c r="CE38" i="3"/>
  <c r="CE37" i="3"/>
  <c r="CF38" i="3"/>
  <c r="CF7" i="2"/>
  <c r="CF39" i="3" s="1"/>
  <c r="CF37" i="3"/>
  <c r="CC10" i="4"/>
  <c r="CB71" i="4"/>
  <c r="CC71" i="4" s="1"/>
  <c r="CD19" i="5"/>
  <c r="CB19" i="5"/>
  <c r="CC19" i="5" s="1"/>
  <c r="CF32" i="3"/>
  <c r="CF31" i="3"/>
  <c r="CB22" i="5"/>
  <c r="CC22" i="5" s="1"/>
  <c r="CC26" i="4"/>
  <c r="CB83" i="4"/>
  <c r="CC83" i="4" s="1"/>
  <c r="CI251" i="3"/>
  <c r="CD52" i="2"/>
  <c r="CD66" i="2"/>
  <c r="CD67" i="2" s="1"/>
  <c r="CB25" i="4"/>
  <c r="CB11" i="4"/>
  <c r="CB20" i="5" s="1"/>
  <c r="CC67" i="4"/>
  <c r="CG257" i="3"/>
  <c r="CG258" i="3"/>
  <c r="CG196" i="3"/>
  <c r="CH256" i="3"/>
  <c r="CA79" i="4"/>
  <c r="CA21" i="5"/>
  <c r="CA30" i="4"/>
  <c r="CA75" i="4"/>
  <c r="CA20" i="5"/>
  <c r="CC60" i="2" l="1"/>
  <c r="CC61" i="2" s="1"/>
  <c r="CC47" i="2"/>
  <c r="CJ250" i="3"/>
  <c r="CI256" i="3"/>
  <c r="CE62" i="2"/>
  <c r="CE45" i="2"/>
  <c r="CE65" i="2"/>
  <c r="CE66" i="4"/>
  <c r="CE14" i="5"/>
  <c r="CE11" i="2"/>
  <c r="CE64" i="2"/>
  <c r="CE63" i="2"/>
  <c r="CH259" i="3"/>
  <c r="CH257" i="3"/>
  <c r="CG16" i="3"/>
  <c r="CG197" i="3"/>
  <c r="CG19" i="3"/>
  <c r="CG204" i="3"/>
  <c r="CG198" i="3"/>
  <c r="CH196" i="3"/>
  <c r="CD79" i="4"/>
  <c r="CD30" i="4"/>
  <c r="CD21" i="5"/>
  <c r="CD75" i="4"/>
  <c r="CB75" i="4"/>
  <c r="CC75" i="4" s="1"/>
  <c r="CC11" i="4"/>
  <c r="CD20" i="5"/>
  <c r="CB30" i="4"/>
  <c r="CC30" i="4" s="1"/>
  <c r="CC25" i="4"/>
  <c r="CB79" i="4"/>
  <c r="CC79" i="4" s="1"/>
  <c r="CB21" i="5"/>
  <c r="CC21" i="5" s="1"/>
  <c r="CF63" i="2"/>
  <c r="CF62" i="2"/>
  <c r="CF45" i="2"/>
  <c r="CF65" i="2"/>
  <c r="CF11" i="2"/>
  <c r="CF66" i="4"/>
  <c r="CF14" i="5"/>
  <c r="CF64" i="2"/>
  <c r="CE39" i="3"/>
  <c r="CC20" i="5"/>
  <c r="CC52" i="2"/>
  <c r="CC77" i="2"/>
  <c r="CC66" i="2"/>
  <c r="CC67" i="2" s="1"/>
  <c r="CF10" i="4" l="1"/>
  <c r="CF26" i="4"/>
  <c r="CE10" i="2"/>
  <c r="CE17" i="2"/>
  <c r="CE47" i="2"/>
  <c r="CF10" i="2"/>
  <c r="CF17" i="2"/>
  <c r="CF47" i="2"/>
  <c r="CE10" i="4"/>
  <c r="CE26" i="4"/>
  <c r="CH19" i="3"/>
  <c r="CH20" i="3" s="1"/>
  <c r="CH16" i="3"/>
  <c r="CH17" i="3" s="1"/>
  <c r="CH197" i="3"/>
  <c r="CG36" i="3"/>
  <c r="CG30" i="3"/>
  <c r="CG205" i="3"/>
  <c r="CG206" i="3"/>
  <c r="CH204" i="3"/>
  <c r="CG20" i="3"/>
  <c r="CG21" i="3"/>
  <c r="CI196" i="3"/>
  <c r="CI257" i="3"/>
  <c r="CI258" i="3"/>
  <c r="CG17" i="3"/>
  <c r="CG18" i="3"/>
  <c r="CJ251" i="3"/>
  <c r="CJ256" i="3" l="1"/>
  <c r="CK250" i="3"/>
  <c r="CE83" i="4"/>
  <c r="CE22" i="5"/>
  <c r="CE71" i="4"/>
  <c r="CE19" i="5"/>
  <c r="CF19" i="5"/>
  <c r="CI19" i="3"/>
  <c r="CI16" i="3"/>
  <c r="CI197" i="3"/>
  <c r="CI198" i="3"/>
  <c r="CI204" i="3"/>
  <c r="CF52" i="2"/>
  <c r="CF66" i="2"/>
  <c r="CF67" i="2" s="1"/>
  <c r="CF46" i="2"/>
  <c r="CF67" i="4"/>
  <c r="CH200" i="3"/>
  <c r="CH201" i="3" s="1"/>
  <c r="CH30" i="3"/>
  <c r="CH31" i="3" s="1"/>
  <c r="CH36" i="3"/>
  <c r="CH205" i="3"/>
  <c r="CE52" i="2"/>
  <c r="CE66" i="2"/>
  <c r="CE67" i="2" s="1"/>
  <c r="CE46" i="2"/>
  <c r="CE67" i="4"/>
  <c r="CF83" i="4"/>
  <c r="CF22" i="5"/>
  <c r="CG32" i="3"/>
  <c r="CG31" i="3"/>
  <c r="CF71" i="4"/>
  <c r="CG7" i="2"/>
  <c r="CG39" i="3" s="1"/>
  <c r="CG38" i="3"/>
  <c r="CG37" i="3"/>
  <c r="CI36" i="3" l="1"/>
  <c r="CI206" i="3"/>
  <c r="CI30" i="3"/>
  <c r="CI205" i="3"/>
  <c r="CE25" i="4"/>
  <c r="CE11" i="4"/>
  <c r="CI17" i="3"/>
  <c r="CI18" i="3"/>
  <c r="CI20" i="3"/>
  <c r="CI21" i="3"/>
  <c r="CH37" i="3"/>
  <c r="CG14" i="5"/>
  <c r="CH14" i="5" s="1"/>
  <c r="CG63" i="2"/>
  <c r="CG66" i="4"/>
  <c r="CG64" i="2"/>
  <c r="CG62" i="2"/>
  <c r="CG11" i="2"/>
  <c r="CG45" i="2"/>
  <c r="CG65" i="2"/>
  <c r="CH7" i="2"/>
  <c r="CF11" i="4"/>
  <c r="CF25" i="4"/>
  <c r="CK251" i="3"/>
  <c r="CJ196" i="3"/>
  <c r="CJ258" i="3"/>
  <c r="CJ257" i="3"/>
  <c r="CK256" i="3" l="1"/>
  <c r="CF79" i="4"/>
  <c r="CF30" i="4"/>
  <c r="CF21" i="5"/>
  <c r="CF75" i="4"/>
  <c r="CH63" i="2"/>
  <c r="CH62" i="2"/>
  <c r="CH45" i="2"/>
  <c r="CH65" i="2"/>
  <c r="CH66" i="4"/>
  <c r="CH64" i="2"/>
  <c r="CG17" i="2"/>
  <c r="CG47" i="2"/>
  <c r="CE75" i="4"/>
  <c r="CE20" i="5"/>
  <c r="CF20" i="5"/>
  <c r="CE21" i="5"/>
  <c r="CE79" i="4"/>
  <c r="CE30" i="4"/>
  <c r="CG10" i="4"/>
  <c r="CG26" i="4"/>
  <c r="CG10" i="2"/>
  <c r="CI32" i="3"/>
  <c r="CI31" i="3"/>
  <c r="CH58" i="5"/>
  <c r="CJ204" i="3"/>
  <c r="CJ198" i="3"/>
  <c r="CJ16" i="3"/>
  <c r="CJ19" i="3"/>
  <c r="CJ197" i="3"/>
  <c r="CI7" i="2"/>
  <c r="CI39" i="3" s="1"/>
  <c r="CI38" i="3"/>
  <c r="CI37" i="3"/>
  <c r="CH39" i="3"/>
  <c r="CL250" i="3"/>
  <c r="CJ20" i="3" l="1"/>
  <c r="CJ21" i="3"/>
  <c r="CJ17" i="3"/>
  <c r="CJ18" i="3"/>
  <c r="CG52" i="2"/>
  <c r="CG66" i="2"/>
  <c r="CG67" i="2" s="1"/>
  <c r="CJ36" i="3"/>
  <c r="CJ30" i="3"/>
  <c r="CJ205" i="3"/>
  <c r="CJ206" i="3"/>
  <c r="CG67" i="4"/>
  <c r="CG46" i="2"/>
  <c r="CH10" i="2"/>
  <c r="CG83" i="4"/>
  <c r="CH26" i="4"/>
  <c r="CH83" i="4" s="1"/>
  <c r="CG22" i="5"/>
  <c r="CH22" i="5" s="1"/>
  <c r="CH10" i="4"/>
  <c r="CH71" i="4" s="1"/>
  <c r="CG71" i="4"/>
  <c r="CG19" i="5"/>
  <c r="CH19" i="5" s="1"/>
  <c r="CL251" i="3"/>
  <c r="CM250" i="3"/>
  <c r="CI62" i="2"/>
  <c r="CI64" i="2"/>
  <c r="CI66" i="4"/>
  <c r="CI45" i="2"/>
  <c r="CI14" i="5"/>
  <c r="CI11" i="2"/>
  <c r="CI65" i="2"/>
  <c r="CI63" i="2"/>
  <c r="CK257" i="3"/>
  <c r="CK258" i="3"/>
  <c r="CK196" i="3"/>
  <c r="CH46" i="2" l="1"/>
  <c r="CH11" i="2"/>
  <c r="CG25" i="4"/>
  <c r="CG11" i="4"/>
  <c r="CI17" i="2"/>
  <c r="CI47" i="2"/>
  <c r="CJ32" i="3"/>
  <c r="CJ31" i="3"/>
  <c r="CJ7" i="2"/>
  <c r="CJ37" i="3"/>
  <c r="CJ38" i="3"/>
  <c r="CL256" i="3"/>
  <c r="CM251" i="3"/>
  <c r="CM252" i="3" s="1"/>
  <c r="CM253" i="3" s="1"/>
  <c r="CK19" i="3"/>
  <c r="CK16" i="3"/>
  <c r="CK197" i="3"/>
  <c r="CK204" i="3"/>
  <c r="CK198" i="3"/>
  <c r="CI10" i="4"/>
  <c r="CI26" i="4"/>
  <c r="CI10" i="2"/>
  <c r="CL258" i="3" l="1"/>
  <c r="CL196" i="3"/>
  <c r="CL257" i="3"/>
  <c r="CM256" i="3"/>
  <c r="CJ39" i="3"/>
  <c r="CJ66" i="4"/>
  <c r="CJ14" i="5"/>
  <c r="CJ11" i="2"/>
  <c r="CJ65" i="2"/>
  <c r="CJ64" i="2"/>
  <c r="CJ45" i="2"/>
  <c r="CJ63" i="2"/>
  <c r="CJ62" i="2"/>
  <c r="CK21" i="3"/>
  <c r="CK20" i="3"/>
  <c r="CI22" i="5"/>
  <c r="CI83" i="4"/>
  <c r="CI52" i="2"/>
  <c r="CI66" i="2"/>
  <c r="CI67" i="2" s="1"/>
  <c r="CK17" i="3"/>
  <c r="CK18" i="3"/>
  <c r="CG75" i="4"/>
  <c r="CH11" i="4"/>
  <c r="CH75" i="4" s="1"/>
  <c r="CG20" i="5"/>
  <c r="CH20" i="5" s="1"/>
  <c r="CG21" i="5"/>
  <c r="CH21" i="5" s="1"/>
  <c r="CH25" i="4"/>
  <c r="CH79" i="4" s="1"/>
  <c r="CG79" i="4"/>
  <c r="CG30" i="4"/>
  <c r="CH30" i="4" s="1"/>
  <c r="CH47" i="2"/>
  <c r="CH17" i="2"/>
  <c r="CH60" i="2"/>
  <c r="CH61" i="2" s="1"/>
  <c r="CI67" i="4"/>
  <c r="CI46" i="2"/>
  <c r="CI71" i="4"/>
  <c r="CI19" i="5"/>
  <c r="CK206" i="3"/>
  <c r="CK36" i="3"/>
  <c r="CK205" i="3"/>
  <c r="CK30" i="3"/>
  <c r="CK32" i="3" l="1"/>
  <c r="CK31" i="3"/>
  <c r="CJ10" i="2"/>
  <c r="CJ17" i="2"/>
  <c r="CJ47" i="2"/>
  <c r="CJ10" i="4"/>
  <c r="CJ26" i="4"/>
  <c r="CK38" i="3"/>
  <c r="CK7" i="2"/>
  <c r="CK39" i="3" s="1"/>
  <c r="CK37" i="3"/>
  <c r="CM259" i="3"/>
  <c r="CM257" i="3"/>
  <c r="CI25" i="4"/>
  <c r="CI11" i="4"/>
  <c r="CL197" i="3"/>
  <c r="CL198" i="3"/>
  <c r="CL19" i="3"/>
  <c r="CL16" i="3"/>
  <c r="CL204" i="3"/>
  <c r="CM196" i="3"/>
  <c r="CH66" i="2"/>
  <c r="CH67" i="2" s="1"/>
  <c r="CH52" i="2"/>
  <c r="CH77" i="2"/>
  <c r="CI75" i="4" l="1"/>
  <c r="CI20" i="5"/>
  <c r="CK62" i="2"/>
  <c r="CK14" i="5"/>
  <c r="CK66" i="4"/>
  <c r="CK65" i="2"/>
  <c r="CK64" i="2"/>
  <c r="CK63" i="2"/>
  <c r="CK11" i="2"/>
  <c r="CK45" i="2"/>
  <c r="CJ83" i="4"/>
  <c r="CJ22" i="5"/>
  <c r="CL36" i="3"/>
  <c r="CL30" i="3"/>
  <c r="CL205" i="3"/>
  <c r="CL206" i="3"/>
  <c r="CM204" i="3"/>
  <c r="CJ71" i="4"/>
  <c r="CJ19" i="5"/>
  <c r="CL17" i="3"/>
  <c r="CL18" i="3"/>
  <c r="CL21" i="3"/>
  <c r="CL20" i="3"/>
  <c r="CJ52" i="2"/>
  <c r="CJ66" i="2"/>
  <c r="CJ67" i="2" s="1"/>
  <c r="CI21" i="5"/>
  <c r="CI79" i="4"/>
  <c r="CI30" i="4"/>
  <c r="CJ46" i="2"/>
  <c r="CJ67" i="4"/>
  <c r="CM19" i="3"/>
  <c r="CM20" i="3" s="1"/>
  <c r="CM16" i="3"/>
  <c r="CM17" i="3" s="1"/>
  <c r="CM197" i="3"/>
  <c r="CL7" i="2" l="1"/>
  <c r="CL39" i="3" s="1"/>
  <c r="CL37" i="3"/>
  <c r="CL38" i="3"/>
  <c r="CK17" i="2"/>
  <c r="CK47" i="2"/>
  <c r="CK10" i="2"/>
  <c r="CK10" i="4"/>
  <c r="CK26" i="4"/>
  <c r="CM36" i="3"/>
  <c r="CM30" i="3"/>
  <c r="CM31" i="3" s="1"/>
  <c r="CM200" i="3"/>
  <c r="CM201" i="3" s="1"/>
  <c r="CM205" i="3"/>
  <c r="CJ25" i="4"/>
  <c r="CJ11" i="4"/>
  <c r="CL31" i="3"/>
  <c r="CL32" i="3"/>
  <c r="CK71" i="4" l="1"/>
  <c r="CK19" i="5"/>
  <c r="CK46" i="2"/>
  <c r="CK67" i="4"/>
  <c r="CK66" i="2"/>
  <c r="CK67" i="2" s="1"/>
  <c r="CK52" i="2"/>
  <c r="CK83" i="4"/>
  <c r="CK22" i="5"/>
  <c r="CM37" i="3"/>
  <c r="CJ30" i="4"/>
  <c r="CJ21" i="5"/>
  <c r="CJ79" i="4"/>
  <c r="CJ75" i="4"/>
  <c r="CJ20" i="5"/>
  <c r="CL66" i="4"/>
  <c r="CL11" i="2"/>
  <c r="CL10" i="2" s="1"/>
  <c r="CM10" i="2" s="1"/>
  <c r="CM46" i="2" s="1"/>
  <c r="CL45" i="2"/>
  <c r="CL65" i="2"/>
  <c r="CL64" i="2"/>
  <c r="CL63" i="2"/>
  <c r="CL62" i="2"/>
  <c r="CL14" i="5"/>
  <c r="CM14" i="5" s="1"/>
  <c r="CM7" i="2"/>
  <c r="CM39" i="3" s="1"/>
  <c r="CM58" i="5" l="1"/>
  <c r="CM66" i="4"/>
  <c r="CM65" i="2"/>
  <c r="CM64" i="2"/>
  <c r="CM45" i="2"/>
  <c r="CM63" i="2"/>
  <c r="CM62" i="2"/>
  <c r="CM11" i="2"/>
  <c r="CL47" i="2"/>
  <c r="CL17" i="2"/>
  <c r="CK11" i="4"/>
  <c r="CK25" i="4"/>
  <c r="CL26" i="4"/>
  <c r="CL10" i="4"/>
  <c r="CL67" i="4"/>
  <c r="CL46" i="2"/>
  <c r="CM10" i="4" l="1"/>
  <c r="CM71" i="4" s="1"/>
  <c r="CL71" i="4"/>
  <c r="CL19" i="5"/>
  <c r="CM19" i="5" s="1"/>
  <c r="CM17" i="2"/>
  <c r="CM47" i="2"/>
  <c r="CM60" i="2"/>
  <c r="CM61" i="2" s="1"/>
  <c r="CK75" i="4"/>
  <c r="CK20" i="5"/>
  <c r="CL52" i="2"/>
  <c r="CL66" i="2"/>
  <c r="CL67" i="2" s="1"/>
  <c r="CL83" i="4"/>
  <c r="CM26" i="4"/>
  <c r="CM83" i="4" s="1"/>
  <c r="CL22" i="5"/>
  <c r="CM22" i="5" s="1"/>
  <c r="CK21" i="5"/>
  <c r="CK79" i="4"/>
  <c r="CK30" i="4"/>
  <c r="CL25" i="4"/>
  <c r="CL11" i="4"/>
  <c r="CL20" i="5" s="1"/>
  <c r="CM20" i="5" l="1"/>
  <c r="CM52" i="2"/>
  <c r="CM77" i="2"/>
  <c r="CM66" i="2"/>
  <c r="CM67" i="2" s="1"/>
  <c r="CL75" i="4"/>
  <c r="CM11" i="4"/>
  <c r="CM75" i="4" s="1"/>
  <c r="CM25" i="4"/>
  <c r="CM79" i="4" s="1"/>
  <c r="CL21" i="5"/>
  <c r="CM21" i="5" s="1"/>
  <c r="CL79" i="4"/>
  <c r="CL30" i="4"/>
  <c r="CM30" i="4" s="1"/>
  <c r="AU34" i="2" l="1"/>
  <c r="AU56" i="4"/>
  <c r="AY56" i="4"/>
  <c r="AS57" i="4"/>
  <c r="AT57" i="4"/>
  <c r="AT59" i="4" s="1"/>
  <c r="AU59" i="4"/>
  <c r="AV56" i="4" s="1"/>
  <c r="AV59" i="4" s="1"/>
  <c r="AY59" i="4"/>
  <c r="AS91" i="4"/>
  <c r="AS97" i="4"/>
  <c r="AV34" i="2" l="1"/>
  <c r="AW56" i="4"/>
  <c r="AW59" i="4" s="1"/>
  <c r="AW34" i="2" l="1"/>
  <c r="AX56" i="4"/>
  <c r="AX59" i="4" s="1"/>
  <c r="AX34" i="2" l="1"/>
  <c r="AY34" i="2"/>
  <c r="AZ57" i="4"/>
  <c r="AZ56" i="4"/>
  <c r="AE34" i="7" l="1"/>
  <c r="AZ59" i="4"/>
  <c r="BD56" i="4"/>
  <c r="AZ34" i="2"/>
  <c r="BA57" i="4"/>
  <c r="BB57" i="4" s="1"/>
  <c r="BC57" i="4" s="1"/>
  <c r="AZ33" i="2"/>
  <c r="BD57" i="4" l="1"/>
  <c r="AE35" i="7"/>
  <c r="AE12" i="7"/>
  <c r="BA33" i="2"/>
  <c r="BD59" i="4"/>
  <c r="BA34" i="2"/>
  <c r="BA56" i="4"/>
  <c r="BA59" i="4" s="1"/>
  <c r="BB56" i="4" l="1"/>
  <c r="BB59" i="4" s="1"/>
  <c r="BB34" i="2"/>
  <c r="BB33" i="2"/>
  <c r="BC33" i="2" l="1"/>
  <c r="BD33" i="2" s="1"/>
  <c r="BC34" i="2"/>
  <c r="BC56" i="4"/>
  <c r="BC59" i="4" s="1"/>
  <c r="BE57" i="4" l="1"/>
  <c r="BE34" i="2" s="1"/>
  <c r="BE56" i="4"/>
  <c r="BD34" i="2"/>
  <c r="BE33" i="2" l="1"/>
  <c r="AF34" i="7"/>
  <c r="BI56" i="4"/>
  <c r="BE59" i="4"/>
  <c r="BF57" i="4"/>
  <c r="BG57" i="4" s="1"/>
  <c r="BH57" i="4" s="1"/>
  <c r="BF33" i="2" l="1"/>
  <c r="BF34" i="2"/>
  <c r="BI57" i="4"/>
  <c r="BI59" i="4" s="1"/>
  <c r="AF12" i="7"/>
  <c r="AF35" i="7"/>
  <c r="BG33" i="2"/>
  <c r="BG34" i="2"/>
  <c r="BF56" i="4"/>
  <c r="BF59" i="4" s="1"/>
  <c r="BH34" i="2" l="1"/>
  <c r="BI34" i="2" s="1"/>
  <c r="BH33" i="2"/>
  <c r="BI33" i="2" s="1"/>
  <c r="BG56" i="4"/>
  <c r="BG59" i="4" s="1"/>
  <c r="BH56" i="4" l="1"/>
  <c r="BH59" i="4" s="1"/>
  <c r="BJ56" i="4" l="1"/>
  <c r="BJ57" i="4"/>
  <c r="BK57" i="4" l="1"/>
  <c r="BL57" i="4" s="1"/>
  <c r="BM57" i="4" s="1"/>
  <c r="BJ34" i="2"/>
  <c r="BJ33" i="2"/>
  <c r="BN56" i="4"/>
  <c r="BJ59" i="4"/>
  <c r="BK56" i="4" l="1"/>
  <c r="BK59" i="4" s="1"/>
  <c r="BK34" i="2"/>
  <c r="BK33" i="2"/>
  <c r="BN57" i="4"/>
  <c r="BN59" i="4" s="1"/>
  <c r="BL33" i="2" l="1"/>
  <c r="BL34" i="2"/>
  <c r="BL56" i="4"/>
  <c r="BL59" i="4" s="1"/>
  <c r="BM56" i="4" l="1"/>
  <c r="BM59" i="4" s="1"/>
  <c r="BM33" i="2"/>
  <c r="BM34" i="2"/>
  <c r="BN33" i="2" l="1"/>
  <c r="BN34" i="2"/>
  <c r="BO57" i="4"/>
  <c r="BO34" i="2" s="1"/>
  <c r="BO56" i="4"/>
  <c r="BS56" i="4" l="1"/>
  <c r="BO59" i="4"/>
  <c r="BP56" i="4" s="1"/>
  <c r="BP57" i="4"/>
  <c r="BQ57" i="4" s="1"/>
  <c r="BR57" i="4" s="1"/>
  <c r="BO33" i="2"/>
  <c r="BS57" i="4" l="1"/>
  <c r="BS59" i="4" s="1"/>
  <c r="BP33" i="2"/>
  <c r="BP59" i="4"/>
  <c r="BQ56" i="4" s="1"/>
  <c r="BQ59" i="4" s="1"/>
  <c r="BR56" i="4" s="1"/>
  <c r="BR59" i="4" s="1"/>
  <c r="BP34" i="2"/>
  <c r="BQ34" i="2" l="1"/>
  <c r="BT57" i="4"/>
  <c r="BT56" i="4"/>
  <c r="BQ33" i="2"/>
  <c r="BU57" i="4" l="1"/>
  <c r="BV57" i="4" s="1"/>
  <c r="BW57" i="4" s="1"/>
  <c r="BR34" i="2"/>
  <c r="BS34" i="2" s="1"/>
  <c r="BR33" i="2"/>
  <c r="BX56" i="4"/>
  <c r="BT59" i="4"/>
  <c r="BU56" i="4" s="1"/>
  <c r="BU59" i="4" s="1"/>
  <c r="BV56" i="4" s="1"/>
  <c r="BV59" i="4" s="1"/>
  <c r="BW56" i="4" s="1"/>
  <c r="BW59" i="4" s="1"/>
  <c r="BX57" i="4" l="1"/>
  <c r="BX59" i="4"/>
  <c r="BY56" i="4"/>
  <c r="BY57" i="4"/>
  <c r="BT33" i="2"/>
  <c r="BT34" i="2"/>
  <c r="BS33" i="2"/>
  <c r="BU34" i="2" l="1"/>
  <c r="BU33" i="2"/>
  <c r="BZ57" i="4"/>
  <c r="CA57" i="4" s="1"/>
  <c r="CB57" i="4" s="1"/>
  <c r="CC57" i="4"/>
  <c r="CC56" i="4"/>
  <c r="CC59" i="4" s="1"/>
  <c r="BY59" i="4"/>
  <c r="BZ56" i="4" s="1"/>
  <c r="BZ59" i="4" s="1"/>
  <c r="CA56" i="4" s="1"/>
  <c r="CA59" i="4" s="1"/>
  <c r="CB56" i="4" s="1"/>
  <c r="CB59" i="4" s="1"/>
  <c r="CD57" i="4" l="1"/>
  <c r="CE57" i="4" s="1"/>
  <c r="CF57" i="4" s="1"/>
  <c r="CG57" i="4" s="1"/>
  <c r="CH57" i="4" s="1"/>
  <c r="CD56" i="4"/>
  <c r="BV33" i="2"/>
  <c r="BV34" i="2"/>
  <c r="CD59" i="4" l="1"/>
  <c r="CE56" i="4" s="1"/>
  <c r="CE59" i="4" s="1"/>
  <c r="CF56" i="4" s="1"/>
  <c r="CF59" i="4" s="1"/>
  <c r="CG56" i="4" s="1"/>
  <c r="CG59" i="4" s="1"/>
  <c r="CI57" i="4" s="1"/>
  <c r="CJ57" i="4" s="1"/>
  <c r="CK57" i="4" s="1"/>
  <c r="CL57" i="4" s="1"/>
  <c r="CM57" i="4" s="1"/>
  <c r="BW33" i="2"/>
  <c r="BW34" i="2"/>
  <c r="CI56" i="4" l="1"/>
  <c r="CH56" i="4"/>
  <c r="CH59" i="4" s="1"/>
  <c r="BY34" i="2"/>
  <c r="BX34" i="2"/>
  <c r="CI59" i="4"/>
  <c r="CJ56" i="4" s="1"/>
  <c r="CJ59" i="4" s="1"/>
  <c r="CK56" i="4" s="1"/>
  <c r="CK59" i="4" s="1"/>
  <c r="CL56" i="4" s="1"/>
  <c r="CL59" i="4" s="1"/>
  <c r="CM56" i="4" s="1"/>
  <c r="CM59" i="4" s="1"/>
  <c r="BY33" i="2"/>
  <c r="BX33" i="2"/>
  <c r="BZ33" i="2" l="1"/>
  <c r="BZ34" i="2"/>
  <c r="CA34" i="2" l="1"/>
  <c r="CA33" i="2"/>
  <c r="CB33" i="2" l="1"/>
  <c r="CB34" i="2"/>
  <c r="CC33" i="2"/>
  <c r="CD34" i="2" l="1"/>
  <c r="CC34" i="2"/>
  <c r="CD33" i="2"/>
  <c r="CE33" i="2" l="1"/>
  <c r="CE34" i="2"/>
  <c r="CF34" i="2" l="1"/>
  <c r="CF33" i="2"/>
  <c r="CG33" i="2" l="1"/>
  <c r="CG34" i="2"/>
  <c r="CH34" i="2" s="1"/>
  <c r="CH33" i="2"/>
  <c r="CI34" i="2" l="1"/>
  <c r="CI33" i="2"/>
  <c r="CJ33" i="2" l="1"/>
  <c r="CJ34" i="2"/>
  <c r="CK34" i="2" l="1"/>
  <c r="CK33" i="2"/>
  <c r="CL33" i="2" l="1"/>
  <c r="CM33" i="2"/>
  <c r="CL34" i="2"/>
  <c r="CM34" i="2" s="1"/>
  <c r="AT13" i="8"/>
  <c r="AU15" i="8"/>
  <c r="AT33" i="8"/>
  <c r="AU40" i="8"/>
  <c r="AU18" i="2" s="1"/>
  <c r="AT39" i="8" l="1"/>
  <c r="AU21" i="2"/>
  <c r="AU54" i="2" l="1"/>
  <c r="AU22" i="2"/>
  <c r="AU24" i="2" s="1"/>
  <c r="AU70" i="2"/>
  <c r="AT35" i="5"/>
  <c r="AU37" i="2" l="1"/>
  <c r="AU57" i="2" s="1"/>
  <c r="AU36" i="2"/>
  <c r="AU55" i="2"/>
  <c r="AU72" i="2"/>
  <c r="AT41" i="5"/>
  <c r="AT15" i="4" l="1"/>
  <c r="AU46" i="8"/>
  <c r="AY46" i="8" s="1"/>
  <c r="AU49" i="8"/>
  <c r="AU50" i="8" l="1"/>
  <c r="AU15" i="4" l="1"/>
  <c r="AV46" i="8"/>
  <c r="AV50" i="8" l="1"/>
  <c r="AV49" i="8"/>
  <c r="AV15" i="4" l="1"/>
  <c r="AW46" i="8"/>
  <c r="AW49" i="8" l="1"/>
  <c r="AW50" i="8" l="1"/>
  <c r="AW15" i="4" l="1"/>
  <c r="AX46" i="8"/>
  <c r="AX49" i="8" l="1"/>
  <c r="AY49" i="8" l="1"/>
  <c r="AY50" i="8" s="1"/>
  <c r="AX50" i="8"/>
  <c r="AX15" i="4" l="1"/>
  <c r="AZ46" i="8"/>
  <c r="AZ49" i="8" l="1"/>
  <c r="BD46" i="8"/>
  <c r="AY15" i="4"/>
  <c r="AZ50" i="8" l="1"/>
  <c r="AZ15" i="4" l="1"/>
  <c r="BA46" i="8"/>
  <c r="BA49" i="8" l="1"/>
  <c r="BA50" i="8" l="1"/>
  <c r="BA15" i="4" l="1"/>
  <c r="BB46" i="8"/>
  <c r="BB49" i="8" l="1"/>
  <c r="BB50" i="8" l="1"/>
  <c r="BB15" i="4" l="1"/>
  <c r="BC46" i="8"/>
  <c r="BC49" i="8" l="1"/>
  <c r="BD49" i="8" l="1"/>
  <c r="BD50" i="8" s="1"/>
  <c r="BC50" i="8"/>
  <c r="BC15" i="4" l="1"/>
  <c r="BE46" i="8"/>
  <c r="BD15" i="4" l="1"/>
  <c r="BE49" i="8"/>
  <c r="BI46" i="8"/>
  <c r="BE50" i="8" l="1"/>
  <c r="BE15" i="4" l="1"/>
  <c r="BF46" i="8"/>
  <c r="BF49" i="8" l="1"/>
  <c r="BF50" i="8" s="1"/>
  <c r="BF15" i="4" l="1"/>
  <c r="BG46" i="8"/>
  <c r="BG49" i="8" l="1"/>
  <c r="BG50" i="8" s="1"/>
  <c r="BG15" i="4" l="1"/>
  <c r="BH46" i="8"/>
  <c r="BH49" i="8" l="1"/>
  <c r="BH50" i="8" s="1"/>
  <c r="BH15" i="4" l="1"/>
  <c r="BJ46" i="8"/>
  <c r="BI49" i="8"/>
  <c r="BI50" i="8" s="1"/>
  <c r="BJ49" i="8" l="1"/>
  <c r="BJ50" i="8" s="1"/>
  <c r="BN46" i="8"/>
  <c r="BI15" i="4"/>
  <c r="BJ15" i="4" l="1"/>
  <c r="BK46" i="8"/>
  <c r="BK49" i="8" l="1"/>
  <c r="BK50" i="8" l="1"/>
  <c r="BK15" i="4" l="1"/>
  <c r="BL46" i="8"/>
  <c r="BL49" i="8" l="1"/>
  <c r="BL50" i="8" s="1"/>
  <c r="BL15" i="4" l="1"/>
  <c r="BM46" i="8"/>
  <c r="BM49" i="8" l="1"/>
  <c r="BM50" i="8" s="1"/>
  <c r="BM15" i="4" l="1"/>
  <c r="BO46" i="8"/>
  <c r="BN49" i="8"/>
  <c r="BN50" i="8" s="1"/>
  <c r="BS46" i="8" l="1"/>
  <c r="BO50" i="8"/>
  <c r="BO49" i="8"/>
  <c r="BN15" i="4"/>
  <c r="BO15" i="4" l="1"/>
  <c r="BP46" i="8"/>
  <c r="BP49" i="8" l="1"/>
  <c r="BP50" i="8" l="1"/>
  <c r="BP15" i="4" l="1"/>
  <c r="BQ46" i="8"/>
  <c r="BQ49" i="8" l="1"/>
  <c r="BQ50" i="8" l="1"/>
  <c r="BQ15" i="4" l="1"/>
  <c r="BR46" i="8"/>
  <c r="BR49" i="8" l="1"/>
  <c r="BS49" i="8" l="1"/>
  <c r="BS50" i="8" s="1"/>
  <c r="BR50" i="8"/>
  <c r="BR15" i="4" l="1"/>
  <c r="BT46" i="8"/>
  <c r="BT49" i="8" l="1"/>
  <c r="BX46" i="8"/>
  <c r="BT50" i="8"/>
  <c r="BS15" i="4"/>
  <c r="BT15" i="4" l="1"/>
  <c r="BU46" i="8"/>
  <c r="BU49" i="8" l="1"/>
  <c r="BU50" i="8" s="1"/>
  <c r="BU15" i="4" l="1"/>
  <c r="BV46" i="8"/>
  <c r="BV49" i="8" l="1"/>
  <c r="BV50" i="8" l="1"/>
  <c r="BV15" i="4" l="1"/>
  <c r="BW46" i="8"/>
  <c r="BW49" i="8" l="1"/>
  <c r="BX49" i="8" l="1"/>
  <c r="BX50" i="8" s="1"/>
  <c r="BW50" i="8"/>
  <c r="BW15" i="4" l="1"/>
  <c r="BY46" i="8"/>
  <c r="BX15" i="4" l="1"/>
  <c r="BY49" i="8"/>
  <c r="BY50" i="8" s="1"/>
  <c r="CC46" i="8"/>
  <c r="BY15" i="4" l="1"/>
  <c r="BZ46" i="8"/>
  <c r="BZ49" i="8" l="1"/>
  <c r="BZ50" i="8" l="1"/>
  <c r="BZ15" i="4" l="1"/>
  <c r="CA46" i="8"/>
  <c r="CA49" i="8" l="1"/>
  <c r="CA50" i="8" l="1"/>
  <c r="CA15" i="4" l="1"/>
  <c r="CB46" i="8"/>
  <c r="CB50" i="8" l="1"/>
  <c r="CB49" i="8"/>
  <c r="CC49" i="8" l="1"/>
  <c r="CC50" i="8" s="1"/>
  <c r="CB15" i="4"/>
  <c r="CD46" i="8"/>
  <c r="CD49" i="8" l="1"/>
  <c r="CH46" i="8"/>
  <c r="CC15" i="4"/>
  <c r="CD50" i="8" l="1"/>
  <c r="CD15" i="4" l="1"/>
  <c r="CE46" i="8"/>
  <c r="CE49" i="8" l="1"/>
  <c r="CE50" i="8" s="1"/>
  <c r="CE15" i="4" l="1"/>
  <c r="CF46" i="8"/>
  <c r="CF50" i="8" l="1"/>
  <c r="CF49" i="8"/>
  <c r="CF15" i="4" l="1"/>
  <c r="CG46" i="8"/>
  <c r="CG49" i="8" l="1"/>
  <c r="CH49" i="8" l="1"/>
  <c r="CH50" i="8" s="1"/>
  <c r="CG50" i="8"/>
  <c r="CG15" i="4" l="1"/>
  <c r="CI46" i="8"/>
  <c r="CI49" i="8" l="1"/>
  <c r="CM46" i="8"/>
  <c r="CI50" i="8"/>
  <c r="CH15" i="4"/>
  <c r="CI15" i="4" l="1"/>
  <c r="CJ46" i="8"/>
  <c r="CJ49" i="8" l="1"/>
  <c r="CJ50" i="8" l="1"/>
  <c r="CJ15" i="4" l="1"/>
  <c r="CK46" i="8"/>
  <c r="CK49" i="8" l="1"/>
  <c r="CK50" i="8" l="1"/>
  <c r="CK15" i="4" l="1"/>
  <c r="CL46" i="8"/>
  <c r="CL49" i="8" l="1"/>
  <c r="CM49" i="8" l="1"/>
  <c r="CM50" i="8" s="1"/>
  <c r="CL50" i="8"/>
  <c r="CL15" i="4" s="1"/>
  <c r="CM15" i="4" l="1"/>
  <c r="AU55" i="8"/>
  <c r="AY57" i="8" s="1"/>
  <c r="AU57" i="8" s="1"/>
  <c r="AS56" i="8"/>
  <c r="AT56" i="8" s="1"/>
  <c r="AT58" i="8" s="1"/>
  <c r="AU9" i="5" l="1"/>
  <c r="AU25" i="2"/>
  <c r="AU58" i="8"/>
  <c r="AY55" i="8"/>
  <c r="AY58" i="8" s="1"/>
  <c r="AU16" i="4" l="1"/>
  <c r="AV57" i="8"/>
  <c r="AV55" i="8"/>
  <c r="AU31" i="2"/>
  <c r="AU42" i="2"/>
  <c r="AU53" i="2" l="1"/>
  <c r="AU68" i="2"/>
  <c r="AU69" i="2" s="1"/>
  <c r="AU42" i="4"/>
  <c r="AU8" i="5"/>
  <c r="AU40" i="2"/>
  <c r="AU39" i="2"/>
  <c r="AV58" i="8"/>
  <c r="AV9" i="5"/>
  <c r="AV25" i="2"/>
  <c r="AV42" i="2" l="1"/>
  <c r="AV16" i="4"/>
  <c r="AW57" i="8"/>
  <c r="AW55" i="8"/>
  <c r="AW58" i="8" s="1"/>
  <c r="AU46" i="4"/>
  <c r="AU24" i="5"/>
  <c r="AU62" i="5" l="1"/>
  <c r="AU60" i="5"/>
  <c r="AU35" i="5" s="1"/>
  <c r="AW16" i="4"/>
  <c r="AX55" i="8"/>
  <c r="AX57" i="8"/>
  <c r="AW9" i="5"/>
  <c r="AW25" i="2"/>
  <c r="AU90" i="4"/>
  <c r="AU91" i="4"/>
  <c r="AV53" i="2"/>
  <c r="AV68" i="2"/>
  <c r="AV69" i="2" s="1"/>
  <c r="AX58" i="8" l="1"/>
  <c r="AX16" i="4" s="1"/>
  <c r="AZ55" i="8"/>
  <c r="AU41" i="5"/>
  <c r="AU13" i="8"/>
  <c r="AW42" i="2"/>
  <c r="AX9" i="5"/>
  <c r="AX42" i="2" s="1"/>
  <c r="AX25" i="2"/>
  <c r="AY25" i="2" s="1"/>
  <c r="AU63" i="5"/>
  <c r="AU66" i="5"/>
  <c r="AU67" i="5" s="1"/>
  <c r="AU64" i="5"/>
  <c r="AY9" i="5" l="1"/>
  <c r="AY42" i="2" s="1"/>
  <c r="AU43" i="5"/>
  <c r="AU45" i="5" s="1"/>
  <c r="AX68" i="2"/>
  <c r="AV15" i="8"/>
  <c r="AU33" i="8"/>
  <c r="AY16" i="4"/>
  <c r="AW53" i="2"/>
  <c r="AW68" i="2"/>
  <c r="AW69" i="2" s="1"/>
  <c r="BD57" i="8"/>
  <c r="AZ57" i="8" s="1"/>
  <c r="BD55" i="8"/>
  <c r="BD58" i="8" l="1"/>
  <c r="AZ9" i="5"/>
  <c r="AZ25" i="2"/>
  <c r="AU32" i="4"/>
  <c r="AU39" i="8"/>
  <c r="AV40" i="8"/>
  <c r="AU9" i="4"/>
  <c r="AU48" i="5"/>
  <c r="AY68" i="2"/>
  <c r="AE37" i="7"/>
  <c r="AZ58" i="8"/>
  <c r="AZ16" i="4" l="1"/>
  <c r="BA57" i="8"/>
  <c r="BA55" i="8"/>
  <c r="AU94" i="4"/>
  <c r="AU97" i="4"/>
  <c r="AU13" i="4"/>
  <c r="AU7" i="8"/>
  <c r="AV8" i="8" s="1"/>
  <c r="AV18" i="2"/>
  <c r="AU93" i="4"/>
  <c r="AU96" i="4"/>
  <c r="AU103" i="4" s="1"/>
  <c r="AU35" i="4"/>
  <c r="AU37" i="4" s="1"/>
  <c r="AU50" i="4" s="1"/>
  <c r="AU102" i="4"/>
  <c r="AZ42" i="2"/>
  <c r="AV19" i="2" l="1"/>
  <c r="AV21" i="2" s="1"/>
  <c r="AV43" i="8"/>
  <c r="BA58" i="8"/>
  <c r="BA9" i="5"/>
  <c r="BA25" i="2"/>
  <c r="AZ53" i="2"/>
  <c r="AZ68" i="2"/>
  <c r="AZ69" i="2" s="1"/>
  <c r="AV70" i="2" l="1"/>
  <c r="AV22" i="2"/>
  <c r="AV24" i="2" s="1"/>
  <c r="AV54" i="2"/>
  <c r="BA16" i="4"/>
  <c r="BB57" i="8"/>
  <c r="BB55" i="8"/>
  <c r="BA42" i="2"/>
  <c r="BA53" i="2" l="1"/>
  <c r="BA68" i="2"/>
  <c r="BA69" i="2" s="1"/>
  <c r="BB58" i="8"/>
  <c r="BB9" i="5"/>
  <c r="BB25" i="2"/>
  <c r="AV31" i="2"/>
  <c r="AV72" i="2"/>
  <c r="AV37" i="2"/>
  <c r="AV57" i="2" s="1"/>
  <c r="AV55" i="2"/>
  <c r="AV36" i="2"/>
  <c r="AV8" i="5" l="1"/>
  <c r="AV40" i="2"/>
  <c r="AV39" i="2"/>
  <c r="AV42" i="4"/>
  <c r="BB42" i="2"/>
  <c r="BB16" i="4"/>
  <c r="BC57" i="8"/>
  <c r="BC55" i="8"/>
  <c r="BC58" i="8" l="1"/>
  <c r="BC16" i="4"/>
  <c r="BE55" i="8"/>
  <c r="BC9" i="5"/>
  <c r="BC25" i="2"/>
  <c r="BD25" i="2" s="1"/>
  <c r="AV46" i="4"/>
  <c r="BB53" i="2"/>
  <c r="BB68" i="2"/>
  <c r="BB69" i="2" s="1"/>
  <c r="AV24" i="5"/>
  <c r="AV62" i="5" l="1"/>
  <c r="AV60" i="5"/>
  <c r="AV35" i="5" s="1"/>
  <c r="AV90" i="4"/>
  <c r="AV91" i="4"/>
  <c r="BC42" i="2"/>
  <c r="BD9" i="5"/>
  <c r="BI57" i="8"/>
  <c r="BE57" i="8" s="1"/>
  <c r="BE58" i="8" s="1"/>
  <c r="BI55" i="8"/>
  <c r="BI58" i="8" s="1"/>
  <c r="BD16" i="4"/>
  <c r="BD42" i="2" l="1"/>
  <c r="BE16" i="4"/>
  <c r="BF57" i="8"/>
  <c r="BF55" i="8"/>
  <c r="BC53" i="2"/>
  <c r="BC68" i="2"/>
  <c r="BC69" i="2" s="1"/>
  <c r="AV41" i="5"/>
  <c r="AV13" i="8"/>
  <c r="BE9" i="5"/>
  <c r="BE25" i="2"/>
  <c r="AV63" i="5"/>
  <c r="AV66" i="5"/>
  <c r="AV67" i="5" s="1"/>
  <c r="AV64" i="5"/>
  <c r="AV43" i="5" l="1"/>
  <c r="AV45" i="5" s="1"/>
  <c r="BE42" i="2"/>
  <c r="BF58" i="8"/>
  <c r="BF9" i="5"/>
  <c r="BF25" i="2"/>
  <c r="BD53" i="2"/>
  <c r="BD68" i="2"/>
  <c r="BD69" i="2" s="1"/>
  <c r="AF37" i="7"/>
  <c r="AW15" i="8"/>
  <c r="AV33" i="8"/>
  <c r="BF42" i="2" l="1"/>
  <c r="BF16" i="4"/>
  <c r="BG57" i="8"/>
  <c r="BG55" i="8"/>
  <c r="AV32" i="4"/>
  <c r="AV39" i="8"/>
  <c r="BE53" i="2"/>
  <c r="BE68" i="2"/>
  <c r="BE69" i="2" s="1"/>
  <c r="AW40" i="8"/>
  <c r="AV48" i="5"/>
  <c r="AV9" i="4"/>
  <c r="BF68" i="2"/>
  <c r="BF69" i="2" s="1"/>
  <c r="BF53" i="2"/>
  <c r="BG58" i="8" l="1"/>
  <c r="AW18" i="2"/>
  <c r="AV94" i="4"/>
  <c r="AV97" i="4"/>
  <c r="AV13" i="4"/>
  <c r="AV7" i="8"/>
  <c r="AW8" i="8" s="1"/>
  <c r="AV35" i="4"/>
  <c r="AV37" i="4" s="1"/>
  <c r="AV50" i="4" s="1"/>
  <c r="AV102" i="4"/>
  <c r="AV93" i="4"/>
  <c r="AV96" i="4"/>
  <c r="AV103" i="4" s="1"/>
  <c r="BG16" i="4"/>
  <c r="BH57" i="8"/>
  <c r="BH55" i="8"/>
  <c r="BG9" i="5"/>
  <c r="BG25" i="2"/>
  <c r="AW19" i="2" l="1"/>
  <c r="AW21" i="2" s="1"/>
  <c r="AW43" i="8"/>
  <c r="BH9" i="5"/>
  <c r="BH25" i="2"/>
  <c r="BI25" i="2" s="1"/>
  <c r="BH58" i="8"/>
  <c r="BG42" i="2"/>
  <c r="BI9" i="5"/>
  <c r="BH42" i="2" l="1"/>
  <c r="AW54" i="2"/>
  <c r="AW70" i="2"/>
  <c r="AW22" i="2"/>
  <c r="BI42" i="2"/>
  <c r="BH68" i="2"/>
  <c r="BH69" i="2" s="1"/>
  <c r="BH53" i="2"/>
  <c r="BG68" i="2"/>
  <c r="BG69" i="2" s="1"/>
  <c r="BG53" i="2"/>
  <c r="BH16" i="4"/>
  <c r="BJ55" i="8"/>
  <c r="BI16" i="4" l="1"/>
  <c r="BN55" i="8"/>
  <c r="BN57" i="8"/>
  <c r="BJ57" i="8" s="1"/>
  <c r="BI53" i="2"/>
  <c r="BI68" i="2"/>
  <c r="BI69" i="2" s="1"/>
  <c r="AW24" i="2"/>
  <c r="BN58" i="8" l="1"/>
  <c r="BJ9" i="5"/>
  <c r="BJ25" i="2"/>
  <c r="AW36" i="2"/>
  <c r="AW31" i="2"/>
  <c r="AW72" i="2"/>
  <c r="AW37" i="2"/>
  <c r="AW57" i="2" s="1"/>
  <c r="AW55" i="2"/>
  <c r="BJ58" i="8"/>
  <c r="AW8" i="5" l="1"/>
  <c r="AW40" i="2"/>
  <c r="AW39" i="2"/>
  <c r="AW42" i="4"/>
  <c r="BJ16" i="4"/>
  <c r="BK57" i="8"/>
  <c r="BK55" i="8"/>
  <c r="BJ42" i="2"/>
  <c r="BK58" i="8" l="1"/>
  <c r="BJ53" i="2"/>
  <c r="BJ68" i="2"/>
  <c r="BJ69" i="2" s="1"/>
  <c r="BK16" i="4"/>
  <c r="BL57" i="8"/>
  <c r="BL55" i="8"/>
  <c r="AW46" i="4"/>
  <c r="BK9" i="5"/>
  <c r="BK25" i="2"/>
  <c r="AW24" i="5"/>
  <c r="AW60" i="5" l="1"/>
  <c r="AW35" i="5" s="1"/>
  <c r="AW62" i="5"/>
  <c r="AW90" i="4"/>
  <c r="AW91" i="4"/>
  <c r="BL9" i="5"/>
  <c r="BL42" i="2" s="1"/>
  <c r="BL25" i="2"/>
  <c r="BK42" i="2"/>
  <c r="BL58" i="8"/>
  <c r="BL16" i="4" l="1"/>
  <c r="BM57" i="8"/>
  <c r="BM55" i="8"/>
  <c r="BM58" i="8" s="1"/>
  <c r="AW63" i="5"/>
  <c r="AW66" i="5"/>
  <c r="AW67" i="5" s="1"/>
  <c r="AW64" i="5"/>
  <c r="BL53" i="2"/>
  <c r="BL68" i="2"/>
  <c r="BL69" i="2" s="1"/>
  <c r="AW41" i="5"/>
  <c r="AW13" i="8"/>
  <c r="BK53" i="2"/>
  <c r="BK68" i="2"/>
  <c r="BK69" i="2" s="1"/>
  <c r="BM16" i="4" l="1"/>
  <c r="BO55" i="8"/>
  <c r="AW43" i="5"/>
  <c r="AW45" i="5" s="1"/>
  <c r="AX15" i="8"/>
  <c r="AW33" i="8"/>
  <c r="BM9" i="5"/>
  <c r="BM25" i="2"/>
  <c r="BN25" i="2" s="1"/>
  <c r="AX40" i="8" l="1"/>
  <c r="AY15" i="8"/>
  <c r="AW48" i="5"/>
  <c r="AW9" i="4"/>
  <c r="BM42" i="2"/>
  <c r="BN9" i="5"/>
  <c r="BS57" i="8"/>
  <c r="BO57" i="8" s="1"/>
  <c r="BO58" i="8" s="1"/>
  <c r="BS55" i="8"/>
  <c r="AW32" i="4"/>
  <c r="AW39" i="8"/>
  <c r="BN16" i="4"/>
  <c r="BS58" i="8" l="1"/>
  <c r="AW35" i="4"/>
  <c r="AW37" i="4" s="1"/>
  <c r="AW50" i="4" s="1"/>
  <c r="AW102" i="4"/>
  <c r="AW93" i="4"/>
  <c r="AW96" i="4"/>
  <c r="AW103" i="4" s="1"/>
  <c r="AW13" i="4"/>
  <c r="AW94" i="4"/>
  <c r="AW97" i="4"/>
  <c r="AW7" i="8"/>
  <c r="AX8" i="8" s="1"/>
  <c r="BO16" i="4"/>
  <c r="BP57" i="8"/>
  <c r="BP55" i="8"/>
  <c r="BN42" i="2"/>
  <c r="BM53" i="2"/>
  <c r="BM68" i="2"/>
  <c r="BM69" i="2" s="1"/>
  <c r="BO9" i="5"/>
  <c r="BO25" i="2"/>
  <c r="AX18" i="2"/>
  <c r="AY40" i="8"/>
  <c r="BP9" i="5" l="1"/>
  <c r="BP42" i="2" s="1"/>
  <c r="BP25" i="2"/>
  <c r="BN53" i="2"/>
  <c r="BN68" i="2"/>
  <c r="BN69" i="2" s="1"/>
  <c r="AY18" i="2"/>
  <c r="BP58" i="8"/>
  <c r="AX19" i="2"/>
  <c r="AY19" i="2" s="1"/>
  <c r="AX43" i="8"/>
  <c r="AY43" i="8" s="1"/>
  <c r="AY8" i="8"/>
  <c r="BO42" i="2"/>
  <c r="AX21" i="2" l="1"/>
  <c r="AX70" i="2" s="1"/>
  <c r="BP16" i="4"/>
  <c r="BQ57" i="8"/>
  <c r="BQ55" i="8"/>
  <c r="BQ58" i="8" s="1"/>
  <c r="AY21" i="2"/>
  <c r="BO53" i="2"/>
  <c r="BO68" i="2"/>
  <c r="BO69" i="2" s="1"/>
  <c r="BP53" i="2"/>
  <c r="BP68" i="2"/>
  <c r="BP69" i="2" s="1"/>
  <c r="AX22" i="2" l="1"/>
  <c r="AY22" i="2" s="1"/>
  <c r="AY24" i="2" s="1"/>
  <c r="AX54" i="2"/>
  <c r="AY54" i="2"/>
  <c r="AY70" i="2"/>
  <c r="AE44" i="7"/>
  <c r="AX24" i="2"/>
  <c r="BQ16" i="4"/>
  <c r="BR57" i="8"/>
  <c r="BR55" i="8"/>
  <c r="AY71" i="2"/>
  <c r="AE28" i="7" s="1"/>
  <c r="BQ9" i="5"/>
  <c r="BQ25" i="2"/>
  <c r="BQ42" i="2" l="1"/>
  <c r="BR9" i="5"/>
  <c r="BR42" i="2" s="1"/>
  <c r="BR25" i="2"/>
  <c r="BR58" i="8"/>
  <c r="AX36" i="2"/>
  <c r="AX31" i="2"/>
  <c r="AX72" i="2"/>
  <c r="AX37" i="2"/>
  <c r="AX57" i="2" s="1"/>
  <c r="AX55" i="2"/>
  <c r="BS25" i="2"/>
  <c r="AY36" i="2"/>
  <c r="AY31" i="2"/>
  <c r="AY72" i="2"/>
  <c r="AY37" i="2"/>
  <c r="AY57" i="2" s="1"/>
  <c r="AY55" i="2"/>
  <c r="AE46" i="7"/>
  <c r="AE15" i="7"/>
  <c r="AE16" i="7" s="1"/>
  <c r="AE17" i="7" s="1"/>
  <c r="AY40" i="2" l="1"/>
  <c r="AY39" i="2"/>
  <c r="BR16" i="4"/>
  <c r="BT55" i="8"/>
  <c r="BR53" i="2"/>
  <c r="BR68" i="2"/>
  <c r="BR69" i="2" s="1"/>
  <c r="AX8" i="5"/>
  <c r="AX40" i="2"/>
  <c r="AX39" i="2"/>
  <c r="AX42" i="4"/>
  <c r="BS9" i="5"/>
  <c r="BQ53" i="2"/>
  <c r="BQ68" i="2"/>
  <c r="BQ69" i="2" s="1"/>
  <c r="BX57" i="8" l="1"/>
  <c r="BT57" i="8" s="1"/>
  <c r="BX55" i="8"/>
  <c r="BX58" i="8" s="1"/>
  <c r="AX46" i="4"/>
  <c r="AY42" i="4"/>
  <c r="AY46" i="4" s="1"/>
  <c r="AE56" i="7" s="1"/>
  <c r="AE62" i="7" s="1"/>
  <c r="AE63" i="7" s="1"/>
  <c r="AX24" i="5"/>
  <c r="AY8" i="5"/>
  <c r="AY24" i="5" s="1"/>
  <c r="BS16" i="4"/>
  <c r="BS42" i="2"/>
  <c r="AX60" i="5" l="1"/>
  <c r="AX35" i="5" s="1"/>
  <c r="AX62" i="5"/>
  <c r="BS53" i="2"/>
  <c r="BS68" i="2"/>
  <c r="BS69" i="2" s="1"/>
  <c r="AX90" i="4"/>
  <c r="AX91" i="4"/>
  <c r="AY62" i="5"/>
  <c r="AE20" i="7"/>
  <c r="AE22" i="7" s="1"/>
  <c r="BT9" i="5"/>
  <c r="BT25" i="2"/>
  <c r="BT58" i="8"/>
  <c r="AE29" i="7" l="1"/>
  <c r="AE24" i="7"/>
  <c r="AE25" i="7" s="1"/>
  <c r="AE23" i="7"/>
  <c r="BT42" i="2"/>
  <c r="AY66" i="5"/>
  <c r="AY64" i="5"/>
  <c r="AX66" i="5"/>
  <c r="AX67" i="5" s="1"/>
  <c r="AX64" i="5"/>
  <c r="BT16" i="4"/>
  <c r="BU57" i="8"/>
  <c r="BU55" i="8"/>
  <c r="AX41" i="5"/>
  <c r="AY35" i="5"/>
  <c r="AX13" i="8"/>
  <c r="BU58" i="8" l="1"/>
  <c r="BT53" i="2"/>
  <c r="BT68" i="2"/>
  <c r="BT69" i="2" s="1"/>
  <c r="BU16" i="4"/>
  <c r="BV57" i="8"/>
  <c r="BV55" i="8"/>
  <c r="BV58" i="8" s="1"/>
  <c r="AZ15" i="8"/>
  <c r="AY13" i="8"/>
  <c r="AX33" i="8"/>
  <c r="BU9" i="5"/>
  <c r="BU25" i="2"/>
  <c r="AY41" i="5"/>
  <c r="AY43" i="5" s="1"/>
  <c r="AY45" i="5" s="1"/>
  <c r="AY48" i="5" s="1"/>
  <c r="AX43" i="5"/>
  <c r="AX45" i="5" s="1"/>
  <c r="AX48" i="5" l="1"/>
  <c r="AX9" i="4"/>
  <c r="AX32" i="4"/>
  <c r="AX39" i="8"/>
  <c r="AY39" i="8" s="1"/>
  <c r="AY33" i="8"/>
  <c r="BV16" i="4"/>
  <c r="BW57" i="8"/>
  <c r="BW55" i="8"/>
  <c r="BV9" i="5"/>
  <c r="BV42" i="2" s="1"/>
  <c r="BV25" i="2"/>
  <c r="BU42" i="2"/>
  <c r="AZ40" i="8"/>
  <c r="BW58" i="8" l="1"/>
  <c r="AZ18" i="2"/>
  <c r="BU53" i="2"/>
  <c r="BU68" i="2"/>
  <c r="BU69" i="2" s="1"/>
  <c r="AX94" i="4"/>
  <c r="AX97" i="4"/>
  <c r="AX13" i="4"/>
  <c r="AY9" i="4"/>
  <c r="AX7" i="8"/>
  <c r="AZ8" i="8" s="1"/>
  <c r="BW16" i="4"/>
  <c r="BY55" i="8"/>
  <c r="AX93" i="4"/>
  <c r="AX96" i="4"/>
  <c r="AX103" i="4" s="1"/>
  <c r="AX99" i="4"/>
  <c r="AX35" i="4"/>
  <c r="AX100" i="4"/>
  <c r="AX102" i="4"/>
  <c r="AY32" i="4"/>
  <c r="AE55" i="7" s="1"/>
  <c r="BV68" i="2"/>
  <c r="BV69" i="2" s="1"/>
  <c r="BV53" i="2"/>
  <c r="BW9" i="5"/>
  <c r="BW42" i="2" s="1"/>
  <c r="BW25" i="2"/>
  <c r="BX25" i="2" s="1"/>
  <c r="BX16" i="4" l="1"/>
  <c r="AY13" i="4"/>
  <c r="AE33" i="7"/>
  <c r="AE60" i="7" s="1"/>
  <c r="AZ19" i="2"/>
  <c r="AZ43" i="8"/>
  <c r="AE57" i="7"/>
  <c r="AE59" i="7"/>
  <c r="CC57" i="8"/>
  <c r="BY57" i="8" s="1"/>
  <c r="CC55" i="8"/>
  <c r="BX9" i="5"/>
  <c r="BW68" i="2"/>
  <c r="BW69" i="2" s="1"/>
  <c r="BW53" i="2"/>
  <c r="AY35" i="4"/>
  <c r="AX37" i="4"/>
  <c r="CC58" i="8" l="1"/>
  <c r="AY37" i="4"/>
  <c r="AX50" i="4"/>
  <c r="AE36" i="7"/>
  <c r="AE65" i="7"/>
  <c r="AE18" i="7" s="1"/>
  <c r="BY9" i="5"/>
  <c r="BY25" i="2"/>
  <c r="BY58" i="8"/>
  <c r="AZ21" i="2"/>
  <c r="BX42" i="2"/>
  <c r="AZ22" i="2" l="1"/>
  <c r="AZ24" i="2" s="1"/>
  <c r="AZ54" i="2"/>
  <c r="AZ70" i="2"/>
  <c r="BX68" i="2"/>
  <c r="BX69" i="2" s="1"/>
  <c r="BX53" i="2"/>
  <c r="AY50" i="4"/>
  <c r="BY16" i="4"/>
  <c r="BZ57" i="8"/>
  <c r="BZ55" i="8"/>
  <c r="BY42" i="2"/>
  <c r="AE26" i="7"/>
  <c r="AE38" i="7"/>
  <c r="AE13" i="7"/>
  <c r="AE30" i="7"/>
  <c r="AE71" i="7"/>
  <c r="AE72" i="7"/>
  <c r="AE31" i="7"/>
  <c r="BZ58" i="8" l="1"/>
  <c r="BY53" i="2"/>
  <c r="BY68" i="2"/>
  <c r="BY69" i="2" s="1"/>
  <c r="BZ16" i="4"/>
  <c r="CA57" i="8"/>
  <c r="CA55" i="8"/>
  <c r="CA58" i="8" s="1"/>
  <c r="AZ36" i="2"/>
  <c r="AZ31" i="2"/>
  <c r="AZ72" i="2"/>
  <c r="AZ37" i="2"/>
  <c r="AZ57" i="2" s="1"/>
  <c r="AZ55" i="2"/>
  <c r="BZ9" i="5"/>
  <c r="BZ25" i="2"/>
  <c r="BZ42" i="2" l="1"/>
  <c r="CA9" i="5"/>
  <c r="CA42" i="2" s="1"/>
  <c r="CA25" i="2"/>
  <c r="AZ8" i="5"/>
  <c r="AZ40" i="2"/>
  <c r="AZ39" i="2"/>
  <c r="AZ42" i="4"/>
  <c r="CA16" i="4"/>
  <c r="CB57" i="8"/>
  <c r="CB55" i="8"/>
  <c r="CB58" i="8" l="1"/>
  <c r="AZ24" i="5"/>
  <c r="CA53" i="2"/>
  <c r="CA68" i="2"/>
  <c r="CA69" i="2" s="1"/>
  <c r="CB9" i="5"/>
  <c r="CB42" i="2" s="1"/>
  <c r="CB25" i="2"/>
  <c r="CC25" i="2" s="1"/>
  <c r="AZ46" i="4"/>
  <c r="BZ53" i="2"/>
  <c r="BZ68" i="2"/>
  <c r="BZ69" i="2" s="1"/>
  <c r="CC9" i="5" l="1"/>
  <c r="AZ90" i="4"/>
  <c r="AZ91" i="4"/>
  <c r="CB53" i="2"/>
  <c r="CB68" i="2"/>
  <c r="CB69" i="2" s="1"/>
  <c r="AZ60" i="5"/>
  <c r="AZ35" i="5" s="1"/>
  <c r="AZ62" i="5"/>
  <c r="CB16" i="4"/>
  <c r="CD55" i="8"/>
  <c r="CH57" i="8" l="1"/>
  <c r="CD57" i="8" s="1"/>
  <c r="CD58" i="8" s="1"/>
  <c r="CH55" i="8"/>
  <c r="AZ41" i="5"/>
  <c r="AZ13" i="8"/>
  <c r="CC16" i="4"/>
  <c r="AZ63" i="5"/>
  <c r="AZ66" i="5"/>
  <c r="AZ67" i="5" s="1"/>
  <c r="AZ64" i="5"/>
  <c r="CC42" i="2"/>
  <c r="AZ43" i="5" l="1"/>
  <c r="AZ45" i="5" s="1"/>
  <c r="CD16" i="4"/>
  <c r="CE57" i="8"/>
  <c r="CE55" i="8"/>
  <c r="CE58" i="8" s="1"/>
  <c r="CC53" i="2"/>
  <c r="CC68" i="2"/>
  <c r="CC69" i="2" s="1"/>
  <c r="BA15" i="8"/>
  <c r="AZ33" i="8"/>
  <c r="CH58" i="8"/>
  <c r="CD9" i="5"/>
  <c r="CD25" i="2"/>
  <c r="AZ32" i="4" l="1"/>
  <c r="AZ39" i="8"/>
  <c r="BA40" i="8"/>
  <c r="CE16" i="4"/>
  <c r="CF57" i="8"/>
  <c r="CF55" i="8"/>
  <c r="CF58" i="8" s="1"/>
  <c r="CD42" i="2"/>
  <c r="AZ48" i="5"/>
  <c r="AZ9" i="4"/>
  <c r="CE9" i="5"/>
  <c r="CE25" i="2"/>
  <c r="CF16" i="4" l="1"/>
  <c r="CG57" i="8"/>
  <c r="CG55" i="8"/>
  <c r="CG58" i="8" s="1"/>
  <c r="CD53" i="2"/>
  <c r="CD68" i="2"/>
  <c r="CD69" i="2" s="1"/>
  <c r="BA18" i="2"/>
  <c r="CE42" i="2"/>
  <c r="AZ94" i="4"/>
  <c r="AZ97" i="4"/>
  <c r="AZ13" i="4"/>
  <c r="AZ7" i="8"/>
  <c r="BA8" i="8" s="1"/>
  <c r="CF9" i="5"/>
  <c r="CF42" i="2" s="1"/>
  <c r="CF25" i="2"/>
  <c r="AZ93" i="4"/>
  <c r="AZ96" i="4"/>
  <c r="AZ103" i="4" s="1"/>
  <c r="AZ99" i="4"/>
  <c r="AZ100" i="4"/>
  <c r="AZ102" i="4"/>
  <c r="AZ35" i="4"/>
  <c r="AZ37" i="4" s="1"/>
  <c r="AZ50" i="4" s="1"/>
  <c r="BA19" i="2" l="1"/>
  <c r="BA21" i="2" s="1"/>
  <c r="BA43" i="8"/>
  <c r="CF53" i="2"/>
  <c r="CF68" i="2"/>
  <c r="CF69" i="2" s="1"/>
  <c r="CG16" i="4"/>
  <c r="CI55" i="8"/>
  <c r="CG9" i="5"/>
  <c r="CG25" i="2"/>
  <c r="CH25" i="2" s="1"/>
  <c r="CE53" i="2"/>
  <c r="CE68" i="2"/>
  <c r="CE69" i="2" s="1"/>
  <c r="CH9" i="5"/>
  <c r="CG42" i="2" l="1"/>
  <c r="CH16" i="4"/>
  <c r="CH42" i="2"/>
  <c r="BA22" i="2"/>
  <c r="BA24" i="2" s="1"/>
  <c r="BA54" i="2"/>
  <c r="BA70" i="2"/>
  <c r="CM57" i="8"/>
  <c r="CI57" i="8" s="1"/>
  <c r="CI58" i="8" s="1"/>
  <c r="CM55" i="8"/>
  <c r="CM58" i="8" s="1"/>
  <c r="CI16" i="4" l="1"/>
  <c r="CJ57" i="8"/>
  <c r="CJ55" i="8"/>
  <c r="CJ58" i="8" s="1"/>
  <c r="BA37" i="2"/>
  <c r="BA57" i="2" s="1"/>
  <c r="BA55" i="2"/>
  <c r="BA36" i="2"/>
  <c r="BA31" i="2"/>
  <c r="BA72" i="2"/>
  <c r="CI9" i="5"/>
  <c r="CI25" i="2"/>
  <c r="CH53" i="2"/>
  <c r="CH68" i="2"/>
  <c r="CH69" i="2" s="1"/>
  <c r="CG53" i="2"/>
  <c r="CG68" i="2"/>
  <c r="CG69" i="2" s="1"/>
  <c r="CI42" i="2" l="1"/>
  <c r="BA8" i="5"/>
  <c r="BA40" i="2"/>
  <c r="BA39" i="2"/>
  <c r="BA42" i="4"/>
  <c r="CJ16" i="4"/>
  <c r="CK57" i="8"/>
  <c r="CK55" i="8"/>
  <c r="CK58" i="8" s="1"/>
  <c r="CJ9" i="5"/>
  <c r="CJ42" i="2" s="1"/>
  <c r="CJ25" i="2"/>
  <c r="CK16" i="4" l="1"/>
  <c r="CL57" i="8"/>
  <c r="CL55" i="8"/>
  <c r="CL58" i="8" s="1"/>
  <c r="CL16" i="4" s="1"/>
  <c r="CK9" i="5"/>
  <c r="CK42" i="2" s="1"/>
  <c r="CK25" i="2"/>
  <c r="CJ53" i="2"/>
  <c r="CJ68" i="2"/>
  <c r="CJ69" i="2" s="1"/>
  <c r="BA24" i="5"/>
  <c r="CI53" i="2"/>
  <c r="CI68" i="2"/>
  <c r="CI69" i="2" s="1"/>
  <c r="BA46" i="4"/>
  <c r="BA90" i="4" l="1"/>
  <c r="BA91" i="4"/>
  <c r="BA60" i="5"/>
  <c r="BA35" i="5" s="1"/>
  <c r="BA62" i="5"/>
  <c r="CM16" i="4"/>
  <c r="CL9" i="5"/>
  <c r="CL25" i="2"/>
  <c r="CM25" i="2" s="1"/>
  <c r="CK53" i="2"/>
  <c r="CK68" i="2"/>
  <c r="CK69" i="2" s="1"/>
  <c r="BA63" i="5" l="1"/>
  <c r="BA66" i="5"/>
  <c r="BA67" i="5" s="1"/>
  <c r="BA64" i="5"/>
  <c r="BA41" i="5"/>
  <c r="BA13" i="8"/>
  <c r="CL42" i="2"/>
  <c r="CM9" i="5"/>
  <c r="CL68" i="2" l="1"/>
  <c r="CL69" i="2" s="1"/>
  <c r="CL53" i="2"/>
  <c r="BA43" i="5"/>
  <c r="BA45" i="5" s="1"/>
  <c r="BB15" i="8"/>
  <c r="BA33" i="8"/>
  <c r="CM42" i="2"/>
  <c r="CM68" i="2" l="1"/>
  <c r="CM69" i="2" s="1"/>
  <c r="CM53" i="2"/>
  <c r="BB40" i="8"/>
  <c r="BA48" i="5"/>
  <c r="BA9" i="4"/>
  <c r="BA32" i="4"/>
  <c r="BA39" i="8"/>
  <c r="BA94" i="4" l="1"/>
  <c r="BA97" i="4"/>
  <c r="BA13" i="4"/>
  <c r="BA7" i="8"/>
  <c r="BB8" i="8" s="1"/>
  <c r="BB18" i="2"/>
  <c r="BA93" i="4"/>
  <c r="BA96" i="4"/>
  <c r="BA103" i="4" s="1"/>
  <c r="BA99" i="4"/>
  <c r="BA100" i="4"/>
  <c r="BA102" i="4"/>
  <c r="BA35" i="4"/>
  <c r="BA37" i="4" s="1"/>
  <c r="BA50" i="4" s="1"/>
  <c r="BB19" i="2" l="1"/>
  <c r="BB43" i="8"/>
  <c r="BB21" i="2" l="1"/>
  <c r="BB22" i="2" l="1"/>
  <c r="BB24" i="2" s="1"/>
  <c r="BB54" i="2"/>
  <c r="BB70" i="2"/>
  <c r="BB37" i="2" l="1"/>
  <c r="BB57" i="2" s="1"/>
  <c r="BB55" i="2"/>
  <c r="BB36" i="2"/>
  <c r="BB31" i="2"/>
  <c r="BB72" i="2"/>
  <c r="BB8" i="5" l="1"/>
  <c r="BB40" i="2"/>
  <c r="BB39" i="2"/>
  <c r="BB42" i="4"/>
  <c r="BB46" i="4" l="1"/>
  <c r="BB24" i="5"/>
  <c r="BB60" i="5" l="1"/>
  <c r="BB35" i="5" s="1"/>
  <c r="BB62" i="5"/>
  <c r="BB90" i="4"/>
  <c r="BB91" i="4"/>
  <c r="BB63" i="5" l="1"/>
  <c r="BB66" i="5"/>
  <c r="BB67" i="5" s="1"/>
  <c r="BB64" i="5"/>
  <c r="BB41" i="5"/>
  <c r="BB13" i="8"/>
  <c r="BC15" i="8" l="1"/>
  <c r="BB33" i="8"/>
  <c r="BB43" i="5"/>
  <c r="BB45" i="5" s="1"/>
  <c r="BB48" i="5" l="1"/>
  <c r="BB9" i="4"/>
  <c r="BB32" i="4"/>
  <c r="BB39" i="8"/>
  <c r="BC40" i="8"/>
  <c r="BD15" i="8"/>
  <c r="BC18" i="2" l="1"/>
  <c r="BD40" i="8"/>
  <c r="BB93" i="4"/>
  <c r="BB96" i="4"/>
  <c r="BB103" i="4" s="1"/>
  <c r="BB99" i="4"/>
  <c r="BB100" i="4"/>
  <c r="BB102" i="4"/>
  <c r="BB35" i="4"/>
  <c r="BB37" i="4" s="1"/>
  <c r="BB50" i="4" s="1"/>
  <c r="BB94" i="4"/>
  <c r="BB97" i="4"/>
  <c r="BB13" i="4"/>
  <c r="BB7" i="8"/>
  <c r="BC8" i="8" s="1"/>
  <c r="BC19" i="2" l="1"/>
  <c r="BD19" i="2" s="1"/>
  <c r="BC43" i="8"/>
  <c r="BD43" i="8" s="1"/>
  <c r="BD8" i="8"/>
  <c r="BD18" i="2"/>
  <c r="BC21" i="2" l="1"/>
  <c r="BC70" i="2" s="1"/>
  <c r="BD21" i="2"/>
  <c r="BC54" i="2" l="1"/>
  <c r="BC22" i="2"/>
  <c r="BD22" i="2" s="1"/>
  <c r="BD24" i="2" s="1"/>
  <c r="BD54" i="2"/>
  <c r="BD70" i="2"/>
  <c r="AF44" i="7"/>
  <c r="BD71" i="2" l="1"/>
  <c r="AF28" i="7" s="1"/>
  <c r="BC24" i="2"/>
  <c r="BC37" i="2" s="1"/>
  <c r="BC57" i="2" s="1"/>
  <c r="BD37" i="2"/>
  <c r="BD57" i="2" s="1"/>
  <c r="BD55" i="2"/>
  <c r="BD36" i="2"/>
  <c r="BD31" i="2"/>
  <c r="BD72" i="2"/>
  <c r="AF46" i="7"/>
  <c r="AF15" i="7"/>
  <c r="AF16" i="7" s="1"/>
  <c r="AF17" i="7" s="1"/>
  <c r="BC31" i="2" l="1"/>
  <c r="BC55" i="2"/>
  <c r="BC36" i="2"/>
  <c r="BC72" i="2"/>
  <c r="BD39" i="2"/>
  <c r="BD40" i="2"/>
  <c r="BC8" i="5" l="1"/>
  <c r="BC42" i="4"/>
  <c r="BC39" i="2"/>
  <c r="BC40" i="2"/>
  <c r="BC46" i="4" l="1"/>
  <c r="BD42" i="4"/>
  <c r="BD46" i="4" s="1"/>
  <c r="AF56" i="7" s="1"/>
  <c r="AF62" i="7" s="1"/>
  <c r="AF63" i="7" s="1"/>
  <c r="BC24" i="5"/>
  <c r="BD8" i="5"/>
  <c r="BD24" i="5" s="1"/>
  <c r="BD62" i="5" l="1"/>
  <c r="AF20" i="7"/>
  <c r="AF22" i="7" s="1"/>
  <c r="BC62" i="5"/>
  <c r="BC60" i="5"/>
  <c r="BC91" i="4"/>
  <c r="BC90" i="4"/>
  <c r="BD35" i="5" l="1"/>
  <c r="BC13" i="8"/>
  <c r="BC41" i="5"/>
  <c r="BC66" i="5"/>
  <c r="BC67" i="5" s="1"/>
  <c r="BC64" i="5"/>
  <c r="BC63" i="5"/>
  <c r="AF29" i="7"/>
  <c r="AF23" i="7"/>
  <c r="AF24" i="7"/>
  <c r="AF25" i="7" s="1"/>
  <c r="BD63" i="5"/>
  <c r="BD66" i="5"/>
  <c r="BD67" i="5" s="1"/>
  <c r="BD64" i="5"/>
  <c r="BC43" i="5" l="1"/>
  <c r="BC45" i="5" s="1"/>
  <c r="BD41" i="5"/>
  <c r="BD43" i="5" s="1"/>
  <c r="BD45" i="5" s="1"/>
  <c r="BD48" i="5" s="1"/>
  <c r="BC33" i="8"/>
  <c r="BE15" i="8"/>
  <c r="BE40" i="8" s="1"/>
  <c r="BE18" i="2" s="1"/>
  <c r="BD13" i="8"/>
  <c r="BC39" i="8" l="1"/>
  <c r="BD39" i="8" s="1"/>
  <c r="BD33" i="8"/>
  <c r="BC32" i="4"/>
  <c r="BC48" i="5"/>
  <c r="BC9" i="4"/>
  <c r="BC7" i="8" l="1"/>
  <c r="BE8" i="8" s="1"/>
  <c r="BC94" i="4"/>
  <c r="BD9" i="4"/>
  <c r="BC13" i="4"/>
  <c r="BC97" i="4"/>
  <c r="BC102" i="4"/>
  <c r="BC100" i="4"/>
  <c r="BC35" i="4"/>
  <c r="BC93" i="4"/>
  <c r="BC96" i="4"/>
  <c r="BC103" i="4" s="1"/>
  <c r="BC99" i="4"/>
  <c r="BD32" i="4"/>
  <c r="AF55" i="7" s="1"/>
  <c r="BD35" i="4" l="1"/>
  <c r="BC37" i="4"/>
  <c r="AF57" i="7"/>
  <c r="AF59" i="7"/>
  <c r="AF33" i="7"/>
  <c r="BD13" i="4"/>
  <c r="BE43" i="8"/>
  <c r="BE19" i="2"/>
  <c r="BE21" i="2" s="1"/>
  <c r="BE22" i="2" s="1"/>
  <c r="BE24" i="2" s="1"/>
  <c r="BE70" i="2" l="1"/>
  <c r="AF36" i="7"/>
  <c r="AF65" i="7"/>
  <c r="AF18" i="7" s="1"/>
  <c r="BE54" i="2"/>
  <c r="BC50" i="4"/>
  <c r="BD50" i="4" s="1"/>
  <c r="BD37" i="4"/>
  <c r="AF60" i="7"/>
  <c r="BE37" i="2"/>
  <c r="BE57" i="2" s="1"/>
  <c r="BE55" i="2"/>
  <c r="BE36" i="2"/>
  <c r="BE31" i="2"/>
  <c r="BE72" i="2"/>
  <c r="AF26" i="7" l="1"/>
  <c r="AF30" i="7"/>
  <c r="AF72" i="7"/>
  <c r="AF31" i="7"/>
  <c r="AF71" i="7"/>
  <c r="AF38" i="7"/>
  <c r="AF13" i="7"/>
  <c r="BE8" i="5"/>
  <c r="BE39" i="2"/>
  <c r="BE40" i="2"/>
  <c r="BE42" i="4"/>
  <c r="BE46" i="4" l="1"/>
  <c r="BE24" i="5"/>
  <c r="BE60" i="5" l="1"/>
  <c r="BE35" i="5" s="1"/>
  <c r="BE62" i="5"/>
  <c r="BE90" i="4"/>
  <c r="BE91" i="4"/>
  <c r="BE63" i="5" l="1"/>
  <c r="BE66" i="5"/>
  <c r="BE67" i="5" s="1"/>
  <c r="BE64" i="5"/>
  <c r="BE41" i="5"/>
  <c r="BE13" i="8"/>
  <c r="BE43" i="5" l="1"/>
  <c r="BE45" i="5" s="1"/>
  <c r="BF15" i="8"/>
  <c r="BE33" i="8"/>
  <c r="BE32" i="4" l="1"/>
  <c r="BE39" i="8"/>
  <c r="BE48" i="5"/>
  <c r="BE9" i="4"/>
  <c r="BF40" i="8"/>
  <c r="BE94" i="4" l="1"/>
  <c r="BE97" i="4"/>
  <c r="BE13" i="4"/>
  <c r="BE7" i="8"/>
  <c r="BF8" i="8" s="1"/>
  <c r="BF18" i="2"/>
  <c r="BE93" i="4"/>
  <c r="BE96" i="4"/>
  <c r="BE103" i="4" s="1"/>
  <c r="BE99" i="4"/>
  <c r="BE100" i="4"/>
  <c r="BE102" i="4"/>
  <c r="BE35" i="4"/>
  <c r="BE37" i="4" s="1"/>
  <c r="BE50" i="4" s="1"/>
  <c r="BF19" i="2" l="1"/>
  <c r="BF43" i="8"/>
  <c r="BF21" i="2" l="1"/>
  <c r="BF22" i="2" l="1"/>
  <c r="BF54" i="2"/>
  <c r="BF70" i="2"/>
  <c r="BF24" i="2" l="1"/>
  <c r="BF72" i="2" l="1"/>
  <c r="BF37" i="2"/>
  <c r="BF57" i="2" s="1"/>
  <c r="BF55" i="2"/>
  <c r="BF36" i="2"/>
  <c r="BF31" i="2"/>
  <c r="BF8" i="5" l="1"/>
  <c r="BF39" i="2"/>
  <c r="BF40" i="2"/>
  <c r="BF42" i="4"/>
  <c r="BF46" i="4" l="1"/>
  <c r="BF24" i="5"/>
  <c r="BF60" i="5" l="1"/>
  <c r="BF35" i="5" s="1"/>
  <c r="BF62" i="5"/>
  <c r="BF90" i="4"/>
  <c r="BF91" i="4"/>
  <c r="BF63" i="5" l="1"/>
  <c r="BF66" i="5"/>
  <c r="BF67" i="5" s="1"/>
  <c r="BF64" i="5"/>
  <c r="BF41" i="5"/>
  <c r="BF13" i="8"/>
  <c r="BF43" i="5" l="1"/>
  <c r="BF45" i="5" s="1"/>
  <c r="BG15" i="8"/>
  <c r="BF33" i="8"/>
  <c r="BF32" i="4" l="1"/>
  <c r="BF39" i="8"/>
  <c r="BG40" i="8"/>
  <c r="BF48" i="5"/>
  <c r="BF9" i="4"/>
  <c r="BG18" i="2" l="1"/>
  <c r="BF94" i="4"/>
  <c r="BF97" i="4"/>
  <c r="BF13" i="4"/>
  <c r="BF7" i="8"/>
  <c r="BG8" i="8" s="1"/>
  <c r="BF93" i="4"/>
  <c r="BF96" i="4"/>
  <c r="BF103" i="4" s="1"/>
  <c r="BF99" i="4"/>
  <c r="BF100" i="4"/>
  <c r="BF102" i="4"/>
  <c r="BF35" i="4"/>
  <c r="BF37" i="4" s="1"/>
  <c r="BF50" i="4" s="1"/>
  <c r="BG19" i="2" l="1"/>
  <c r="BG21" i="2" s="1"/>
  <c r="BG43" i="8"/>
  <c r="BG22" i="2" l="1"/>
  <c r="BG54" i="2"/>
  <c r="BG70" i="2"/>
  <c r="BG24" i="2" l="1"/>
  <c r="BG72" i="2" l="1"/>
  <c r="BG37" i="2"/>
  <c r="BG57" i="2" s="1"/>
  <c r="BG55" i="2"/>
  <c r="BG36" i="2"/>
  <c r="BG31" i="2"/>
  <c r="BG8" i="5" l="1"/>
  <c r="BG40" i="2"/>
  <c r="BG39" i="2"/>
  <c r="BG42" i="4"/>
  <c r="BG46" i="4" l="1"/>
  <c r="BG24" i="5"/>
  <c r="BG62" i="5" l="1"/>
  <c r="BG60" i="5"/>
  <c r="BG35" i="5" s="1"/>
  <c r="BG90" i="4"/>
  <c r="BG91" i="4"/>
  <c r="BG41" i="5" l="1"/>
  <c r="BG13" i="8"/>
  <c r="BG63" i="5"/>
  <c r="BG64" i="5"/>
  <c r="BG66" i="5"/>
  <c r="BG67" i="5" s="1"/>
  <c r="BG33" i="8" l="1"/>
  <c r="BH15" i="8"/>
  <c r="BG43" i="5"/>
  <c r="BG45" i="5" s="1"/>
  <c r="BG48" i="5" l="1"/>
  <c r="BG9" i="4"/>
  <c r="BH40" i="8"/>
  <c r="BI15" i="8"/>
  <c r="BG32" i="4"/>
  <c r="BG39" i="8"/>
  <c r="BG93" i="4" l="1"/>
  <c r="BG96" i="4"/>
  <c r="BG103" i="4" s="1"/>
  <c r="BG99" i="4"/>
  <c r="BG100" i="4"/>
  <c r="BG102" i="4"/>
  <c r="BG35" i="4"/>
  <c r="BG37" i="4" s="1"/>
  <c r="BG50" i="4" s="1"/>
  <c r="BH18" i="2"/>
  <c r="BI40" i="8"/>
  <c r="BG94" i="4"/>
  <c r="BG97" i="4"/>
  <c r="BG13" i="4"/>
  <c r="BG7" i="8"/>
  <c r="BH8" i="8" s="1"/>
  <c r="BH19" i="2" l="1"/>
  <c r="BI19" i="2" s="1"/>
  <c r="BH43" i="8"/>
  <c r="BI43" i="8" s="1"/>
  <c r="BI8" i="8"/>
  <c r="BI18" i="2"/>
  <c r="BH21" i="2" l="1"/>
  <c r="BH70" i="2" s="1"/>
  <c r="BI21" i="2"/>
  <c r="BH54" i="2" l="1"/>
  <c r="BH22" i="2"/>
  <c r="BI22" i="2" s="1"/>
  <c r="BI54" i="2"/>
  <c r="BI70" i="2"/>
  <c r="BH24" i="2" l="1"/>
  <c r="BH36" i="2" s="1"/>
  <c r="BI71" i="2"/>
  <c r="BI24" i="2"/>
  <c r="BI72" i="2" s="1"/>
  <c r="BI36" i="2" l="1"/>
  <c r="BH31" i="2"/>
  <c r="BH40" i="2" s="1"/>
  <c r="BH37" i="2"/>
  <c r="BH57" i="2" s="1"/>
  <c r="BH72" i="2"/>
  <c r="BH55" i="2"/>
  <c r="BI37" i="2"/>
  <c r="BI57" i="2" s="1"/>
  <c r="BI55" i="2"/>
  <c r="BI31" i="2"/>
  <c r="BI40" i="2" s="1"/>
  <c r="BH8" i="5"/>
  <c r="BH42" i="4"/>
  <c r="BH39" i="2" l="1"/>
  <c r="BI39" i="2"/>
  <c r="BH24" i="5"/>
  <c r="BI8" i="5"/>
  <c r="BI24" i="5" s="1"/>
  <c r="BH46" i="4"/>
  <c r="BI42" i="4"/>
  <c r="BI46" i="4" s="1"/>
  <c r="BH90" i="4" l="1"/>
  <c r="BH91" i="4"/>
  <c r="BI62" i="5"/>
  <c r="AG20" i="7"/>
  <c r="AG22" i="7" s="1"/>
  <c r="BH62" i="5"/>
  <c r="BH60" i="5"/>
  <c r="BH35" i="5" s="1"/>
  <c r="BH41" i="5" l="1"/>
  <c r="BI35" i="5"/>
  <c r="BH13" i="8"/>
  <c r="BH63" i="5"/>
  <c r="BH64" i="5"/>
  <c r="BH66" i="5"/>
  <c r="BH67" i="5" s="1"/>
  <c r="BI66" i="5"/>
  <c r="BI67" i="5" s="1"/>
  <c r="BI64" i="5"/>
  <c r="BI63" i="5"/>
  <c r="BH33" i="8" l="1"/>
  <c r="BJ15" i="8"/>
  <c r="BI13" i="8"/>
  <c r="BI41" i="5"/>
  <c r="BI43" i="5" s="1"/>
  <c r="BI45" i="5" s="1"/>
  <c r="BI48" i="5" s="1"/>
  <c r="BH43" i="5"/>
  <c r="BH45" i="5" s="1"/>
  <c r="BH48" i="5" l="1"/>
  <c r="BH9" i="4"/>
  <c r="BJ40" i="8"/>
  <c r="BH32" i="4"/>
  <c r="BI33" i="8"/>
  <c r="BH39" i="8"/>
  <c r="BI39" i="8" s="1"/>
  <c r="BI32" i="4" l="1"/>
  <c r="BH93" i="4"/>
  <c r="BH96" i="4"/>
  <c r="BH103" i="4" s="1"/>
  <c r="BH99" i="4"/>
  <c r="BH100" i="4"/>
  <c r="BH102" i="4"/>
  <c r="BH35" i="4"/>
  <c r="BH94" i="4"/>
  <c r="BH97" i="4"/>
  <c r="BH13" i="4"/>
  <c r="BI9" i="4"/>
  <c r="BH7" i="8"/>
  <c r="BJ8" i="8" s="1"/>
  <c r="BJ18" i="2"/>
  <c r="BI13" i="4" l="1"/>
  <c r="BJ19" i="2"/>
  <c r="BJ21" i="2" s="1"/>
  <c r="BJ43" i="8"/>
  <c r="BH37" i="4"/>
  <c r="BI35" i="4"/>
  <c r="BJ22" i="2" l="1"/>
  <c r="BJ54" i="2"/>
  <c r="BJ70" i="2"/>
  <c r="BH50" i="4"/>
  <c r="BI37" i="4"/>
  <c r="BI50" i="4" l="1"/>
  <c r="BJ24" i="2"/>
  <c r="BJ31" i="2" l="1"/>
  <c r="BJ72" i="2"/>
  <c r="BJ37" i="2"/>
  <c r="BJ57" i="2" s="1"/>
  <c r="BJ55" i="2"/>
  <c r="BJ36" i="2"/>
  <c r="BJ8" i="5" l="1"/>
  <c r="BJ40" i="2"/>
  <c r="BJ39" i="2"/>
  <c r="BJ42" i="4"/>
  <c r="BJ46" i="4" l="1"/>
  <c r="BJ24" i="5"/>
  <c r="BJ62" i="5" l="1"/>
  <c r="BJ60" i="5"/>
  <c r="BJ35" i="5" s="1"/>
  <c r="BJ90" i="4"/>
  <c r="BJ91" i="4"/>
  <c r="BJ41" i="5" l="1"/>
  <c r="BJ13" i="8"/>
  <c r="BJ66" i="5"/>
  <c r="BJ67" i="5" s="1"/>
  <c r="BJ64" i="5"/>
  <c r="BJ63" i="5"/>
  <c r="BJ33" i="8" l="1"/>
  <c r="BK15" i="8"/>
  <c r="BJ43" i="5"/>
  <c r="BJ45" i="5" s="1"/>
  <c r="BJ48" i="5" l="1"/>
  <c r="BJ9" i="4"/>
  <c r="BK40" i="8"/>
  <c r="BJ32" i="4"/>
  <c r="BJ39" i="8"/>
  <c r="BJ93" i="4" l="1"/>
  <c r="BJ96" i="4"/>
  <c r="BJ103" i="4" s="1"/>
  <c r="BJ99" i="4"/>
  <c r="BJ100" i="4"/>
  <c r="BJ102" i="4"/>
  <c r="BJ35" i="4"/>
  <c r="BJ37" i="4" s="1"/>
  <c r="BJ50" i="4" s="1"/>
  <c r="BK18" i="2"/>
  <c r="BJ94" i="4"/>
  <c r="BJ97" i="4"/>
  <c r="BJ13" i="4"/>
  <c r="BJ7" i="8"/>
  <c r="BK8" i="8" s="1"/>
  <c r="BK19" i="2" l="1"/>
  <c r="BK21" i="2" s="1"/>
  <c r="BK43" i="8"/>
  <c r="BK70" i="2" l="1"/>
  <c r="BK22" i="2"/>
  <c r="BK24" i="2" s="1"/>
  <c r="BK54" i="2"/>
  <c r="BK31" i="2" l="1"/>
  <c r="BK72" i="2"/>
  <c r="BK37" i="2"/>
  <c r="BK57" i="2" s="1"/>
  <c r="BK55" i="2"/>
  <c r="BK36" i="2"/>
  <c r="BK8" i="5" l="1"/>
  <c r="BK40" i="2"/>
  <c r="BK39" i="2"/>
  <c r="BK42" i="4"/>
  <c r="BK46" i="4" l="1"/>
  <c r="BK24" i="5"/>
  <c r="BK62" i="5" l="1"/>
  <c r="BK60" i="5"/>
  <c r="BK35" i="5" s="1"/>
  <c r="BK90" i="4"/>
  <c r="BK91" i="4"/>
  <c r="BK41" i="5" l="1"/>
  <c r="BK13" i="8"/>
  <c r="BK66" i="5"/>
  <c r="BK67" i="5" s="1"/>
  <c r="BK64" i="5"/>
  <c r="BK63" i="5"/>
  <c r="BL15" i="8" l="1"/>
  <c r="BK33" i="8"/>
  <c r="BK43" i="5"/>
  <c r="BK45" i="5" s="1"/>
  <c r="BK32" i="4" l="1"/>
  <c r="BK39" i="8"/>
  <c r="BK48" i="5"/>
  <c r="BK9" i="4"/>
  <c r="BL40" i="8"/>
  <c r="BK94" i="4" l="1"/>
  <c r="BK97" i="4"/>
  <c r="BK13" i="4"/>
  <c r="BK7" i="8"/>
  <c r="BL8" i="8" s="1"/>
  <c r="BL18" i="2"/>
  <c r="BK93" i="4"/>
  <c r="BK96" i="4"/>
  <c r="BK103" i="4" s="1"/>
  <c r="BK99" i="4"/>
  <c r="BK100" i="4"/>
  <c r="BK102" i="4"/>
  <c r="BK35" i="4"/>
  <c r="BK37" i="4" s="1"/>
  <c r="BK50" i="4" s="1"/>
  <c r="BL19" i="2" l="1"/>
  <c r="BL21" i="2" s="1"/>
  <c r="BL43" i="8"/>
  <c r="BL70" i="2" l="1"/>
  <c r="BL22" i="2"/>
  <c r="BL24" i="2" s="1"/>
  <c r="BL54" i="2"/>
  <c r="BL31" i="2" l="1"/>
  <c r="BL72" i="2"/>
  <c r="BL37" i="2"/>
  <c r="BL57" i="2" s="1"/>
  <c r="BL55" i="2"/>
  <c r="BL36" i="2"/>
  <c r="BL8" i="5" l="1"/>
  <c r="BL40" i="2"/>
  <c r="BL39" i="2"/>
  <c r="BL42" i="4"/>
  <c r="BL46" i="4" l="1"/>
  <c r="BL24" i="5"/>
  <c r="BL62" i="5" l="1"/>
  <c r="BL60" i="5"/>
  <c r="BL35" i="5" s="1"/>
  <c r="BL90" i="4"/>
  <c r="BL91" i="4"/>
  <c r="BL41" i="5" l="1"/>
  <c r="BL13" i="8"/>
  <c r="BL66" i="5"/>
  <c r="BL67" i="5" s="1"/>
  <c r="BL64" i="5"/>
  <c r="BL63" i="5"/>
  <c r="BL33" i="8" l="1"/>
  <c r="BM15" i="8"/>
  <c r="BL43" i="5"/>
  <c r="BL45" i="5" s="1"/>
  <c r="BL48" i="5" l="1"/>
  <c r="BL9" i="4"/>
  <c r="BM40" i="8"/>
  <c r="BN15" i="8"/>
  <c r="BL32" i="4"/>
  <c r="BL39" i="8"/>
  <c r="BL35" i="4" l="1"/>
  <c r="BL37" i="4" s="1"/>
  <c r="BL50" i="4" s="1"/>
  <c r="BL93" i="4"/>
  <c r="BL96" i="4"/>
  <c r="BL103" i="4" s="1"/>
  <c r="BL99" i="4"/>
  <c r="BL100" i="4"/>
  <c r="BL102" i="4"/>
  <c r="BM18" i="2"/>
  <c r="BN40" i="8"/>
  <c r="BL94" i="4"/>
  <c r="BL97" i="4"/>
  <c r="BL13" i="4"/>
  <c r="BL7" i="8"/>
  <c r="BM8" i="8" s="1"/>
  <c r="BM19" i="2" l="1"/>
  <c r="BN19" i="2" s="1"/>
  <c r="BM43" i="8"/>
  <c r="BN43" i="8" s="1"/>
  <c r="BN8" i="8"/>
  <c r="BN18" i="2"/>
  <c r="BM21" i="2" l="1"/>
  <c r="BM54" i="2" s="1"/>
  <c r="BN21" i="2"/>
  <c r="BM70" i="2" l="1"/>
  <c r="BM22" i="2"/>
  <c r="BN22" i="2" s="1"/>
  <c r="BN71" i="2" s="1"/>
  <c r="BN54" i="2"/>
  <c r="BN70" i="2"/>
  <c r="BN24" i="2" l="1"/>
  <c r="BN37" i="2" s="1"/>
  <c r="BN57" i="2" s="1"/>
  <c r="BM24" i="2"/>
  <c r="BM36" i="2" s="1"/>
  <c r="BM37" i="2" l="1"/>
  <c r="BM57" i="2" s="1"/>
  <c r="BM72" i="2"/>
  <c r="BM55" i="2"/>
  <c r="BM31" i="2"/>
  <c r="BM39" i="2" s="1"/>
  <c r="BN55" i="2"/>
  <c r="BN31" i="2"/>
  <c r="BN39" i="2" s="1"/>
  <c r="BN36" i="2"/>
  <c r="BN72" i="2"/>
  <c r="BM8" i="5" l="1"/>
  <c r="BM24" i="5" s="1"/>
  <c r="BM42" i="4"/>
  <c r="BN42" i="4" s="1"/>
  <c r="BN46" i="4" s="1"/>
  <c r="BM40" i="2"/>
  <c r="BN40" i="2"/>
  <c r="BN8" i="5" l="1"/>
  <c r="BN24" i="5" s="1"/>
  <c r="BN62" i="5" s="1"/>
  <c r="BM46" i="4"/>
  <c r="BM90" i="4" s="1"/>
  <c r="BM62" i="5"/>
  <c r="BM60" i="5"/>
  <c r="BM35" i="5" s="1"/>
  <c r="AH20" i="7" l="1"/>
  <c r="AH22" i="7" s="1"/>
  <c r="BM91" i="4"/>
  <c r="BM41" i="5"/>
  <c r="BN35" i="5"/>
  <c r="BM13" i="8"/>
  <c r="BM66" i="5"/>
  <c r="BM67" i="5" s="1"/>
  <c r="BM64" i="5"/>
  <c r="BM63" i="5"/>
  <c r="BN66" i="5"/>
  <c r="BN67" i="5" s="1"/>
  <c r="BN64" i="5"/>
  <c r="BN63" i="5"/>
  <c r="BN13" i="8" l="1"/>
  <c r="BM33" i="8"/>
  <c r="BO15" i="8"/>
  <c r="BN41" i="5"/>
  <c r="BN43" i="5" s="1"/>
  <c r="BN45" i="5" s="1"/>
  <c r="BN48" i="5" s="1"/>
  <c r="BM43" i="5"/>
  <c r="BM45" i="5" s="1"/>
  <c r="BM48" i="5" l="1"/>
  <c r="BM9" i="4"/>
  <c r="BO40" i="8"/>
  <c r="BM32" i="4"/>
  <c r="BM39" i="8"/>
  <c r="BN39" i="8" s="1"/>
  <c r="BN33" i="8"/>
  <c r="BO18" i="2" l="1"/>
  <c r="BM13" i="4"/>
  <c r="BN9" i="4"/>
  <c r="BM94" i="4"/>
  <c r="BM97" i="4"/>
  <c r="BM7" i="8"/>
  <c r="BO8" i="8" s="1"/>
  <c r="BM35" i="4"/>
  <c r="BN32" i="4"/>
  <c r="BM93" i="4"/>
  <c r="BM96" i="4"/>
  <c r="BM103" i="4" s="1"/>
  <c r="BM99" i="4"/>
  <c r="BM100" i="4"/>
  <c r="BM102" i="4"/>
  <c r="BN35" i="4" l="1"/>
  <c r="BM37" i="4"/>
  <c r="BO19" i="2"/>
  <c r="BO21" i="2" s="1"/>
  <c r="BO43" i="8"/>
  <c r="BN13" i="4"/>
  <c r="BO22" i="2" l="1"/>
  <c r="BO24" i="2" s="1"/>
  <c r="BO54" i="2"/>
  <c r="BO70" i="2"/>
  <c r="BM50" i="4"/>
  <c r="BN37" i="4"/>
  <c r="BN50" i="4" l="1"/>
  <c r="BO36" i="2"/>
  <c r="BO31" i="2"/>
  <c r="BO72" i="2"/>
  <c r="BO37" i="2"/>
  <c r="BO57" i="2" s="1"/>
  <c r="BO55" i="2"/>
  <c r="BO8" i="5" l="1"/>
  <c r="BO40" i="2"/>
  <c r="BO39" i="2"/>
  <c r="BO42" i="4"/>
  <c r="BO46" i="4" l="1"/>
  <c r="BO24" i="5"/>
  <c r="BO62" i="5" l="1"/>
  <c r="BO60" i="5"/>
  <c r="BO35" i="5" s="1"/>
  <c r="BO41" i="5" l="1"/>
  <c r="BO13" i="8"/>
  <c r="BO66" i="5"/>
  <c r="BO67" i="5" s="1"/>
  <c r="BO64" i="5"/>
  <c r="BO63" i="5"/>
  <c r="BO33" i="8" l="1"/>
  <c r="BP15" i="8"/>
  <c r="BO43" i="5"/>
  <c r="BO45" i="5" s="1"/>
  <c r="BO48" i="5" l="1"/>
  <c r="BO9" i="4"/>
  <c r="BP40" i="8"/>
  <c r="BO32" i="4"/>
  <c r="BO35" i="4" s="1"/>
  <c r="BO37" i="4" s="1"/>
  <c r="BO50" i="4" s="1"/>
  <c r="BO39" i="8"/>
  <c r="BP18" i="2" l="1"/>
  <c r="BO13" i="4"/>
  <c r="BO7" i="8"/>
  <c r="BP8" i="8" s="1"/>
  <c r="BP19" i="2" l="1"/>
  <c r="BP21" i="2" s="1"/>
  <c r="BP43" i="8"/>
  <c r="BP22" i="2" l="1"/>
  <c r="BP24" i="2" s="1"/>
  <c r="BP54" i="2"/>
  <c r="BP70" i="2"/>
  <c r="BP36" i="2" l="1"/>
  <c r="BP31" i="2"/>
  <c r="BP72" i="2"/>
  <c r="BP37" i="2"/>
  <c r="BP57" i="2" s="1"/>
  <c r="BP55" i="2"/>
  <c r="BP8" i="5" l="1"/>
  <c r="BP40" i="2"/>
  <c r="BP39" i="2"/>
  <c r="BP42" i="4"/>
  <c r="BP46" i="4" l="1"/>
  <c r="BP24" i="5"/>
  <c r="BP62" i="5" l="1"/>
  <c r="BP60" i="5"/>
  <c r="BP35" i="5" s="1"/>
  <c r="BP41" i="5" l="1"/>
  <c r="BP13" i="8"/>
  <c r="BP66" i="5"/>
  <c r="BP67" i="5" s="1"/>
  <c r="BP64" i="5"/>
  <c r="BP63" i="5"/>
  <c r="BQ15" i="8" l="1"/>
  <c r="BP33" i="8"/>
  <c r="BP43" i="5"/>
  <c r="BP45" i="5" s="1"/>
  <c r="BP48" i="5" l="1"/>
  <c r="BP9" i="4"/>
  <c r="BP32" i="4"/>
  <c r="BP35" i="4" s="1"/>
  <c r="BP37" i="4" s="1"/>
  <c r="BP50" i="4" s="1"/>
  <c r="BP39" i="8"/>
  <c r="BQ40" i="8"/>
  <c r="BQ18" i="2" l="1"/>
  <c r="BP13" i="4"/>
  <c r="BP7" i="8"/>
  <c r="BQ8" i="8" s="1"/>
  <c r="BQ19" i="2" l="1"/>
  <c r="BQ21" i="2" s="1"/>
  <c r="BQ43" i="8"/>
  <c r="BQ22" i="2" l="1"/>
  <c r="BQ24" i="2" s="1"/>
  <c r="BQ54" i="2"/>
  <c r="BQ70" i="2"/>
  <c r="BQ37" i="2" l="1"/>
  <c r="BQ57" i="2" s="1"/>
  <c r="BQ55" i="2"/>
  <c r="BQ36" i="2"/>
  <c r="BQ31" i="2"/>
  <c r="BQ72" i="2"/>
  <c r="BQ8" i="5" l="1"/>
  <c r="BQ40" i="2"/>
  <c r="BQ39" i="2"/>
  <c r="BQ42" i="4"/>
  <c r="BQ46" i="4" l="1"/>
  <c r="BQ24" i="5"/>
  <c r="BQ60" i="5" l="1"/>
  <c r="BQ35" i="5" s="1"/>
  <c r="BQ62" i="5"/>
  <c r="BQ66" i="5" l="1"/>
  <c r="BQ67" i="5" s="1"/>
  <c r="BQ64" i="5"/>
  <c r="BQ63" i="5"/>
  <c r="BQ41" i="5"/>
  <c r="BQ13" i="8"/>
  <c r="BQ33" i="8" l="1"/>
  <c r="BR15" i="8"/>
  <c r="BQ43" i="5"/>
  <c r="BQ45" i="5" s="1"/>
  <c r="BR40" i="8" l="1"/>
  <c r="BS15" i="8"/>
  <c r="BQ32" i="4"/>
  <c r="BQ35" i="4" s="1"/>
  <c r="BQ37" i="4" s="1"/>
  <c r="BQ50" i="4" s="1"/>
  <c r="BQ39" i="8"/>
  <c r="BQ48" i="5"/>
  <c r="BQ9" i="4"/>
  <c r="BQ13" i="4" l="1"/>
  <c r="BQ7" i="8"/>
  <c r="BR8" i="8" s="1"/>
  <c r="BR18" i="2"/>
  <c r="BS40" i="8"/>
  <c r="BS18" i="2" l="1"/>
  <c r="BR19" i="2"/>
  <c r="BS19" i="2" s="1"/>
  <c r="BR43" i="8"/>
  <c r="BS43" i="8" s="1"/>
  <c r="BS8" i="8"/>
  <c r="BS21" i="2" l="1"/>
  <c r="BR21" i="2"/>
  <c r="BR22" i="2" l="1"/>
  <c r="BS22" i="2" s="1"/>
  <c r="BS24" i="2" s="1"/>
  <c r="BR54" i="2"/>
  <c r="BR70" i="2"/>
  <c r="BS54" i="2"/>
  <c r="BS70" i="2"/>
  <c r="BR24" i="2" l="1"/>
  <c r="BR37" i="2" s="1"/>
  <c r="BR57" i="2" s="1"/>
  <c r="BS37" i="2"/>
  <c r="BS57" i="2" s="1"/>
  <c r="BS55" i="2"/>
  <c r="BS36" i="2"/>
  <c r="BS31" i="2"/>
  <c r="BS72" i="2"/>
  <c r="BS71" i="2"/>
  <c r="BR72" i="2" l="1"/>
  <c r="BR31" i="2"/>
  <c r="BR40" i="2" s="1"/>
  <c r="BR36" i="2"/>
  <c r="BR55" i="2"/>
  <c r="BS40" i="2"/>
  <c r="BS39" i="2"/>
  <c r="BR8" i="5" l="1"/>
  <c r="BR24" i="5" s="1"/>
  <c r="BR42" i="4"/>
  <c r="BS42" i="4" s="1"/>
  <c r="BS46" i="4" s="1"/>
  <c r="BR39" i="2"/>
  <c r="BS8" i="5" l="1"/>
  <c r="BS24" i="5" s="1"/>
  <c r="BS62" i="5" s="1"/>
  <c r="BR46" i="4"/>
  <c r="BR60" i="5"/>
  <c r="BR35" i="5" s="1"/>
  <c r="BR62" i="5"/>
  <c r="AI20" i="7" l="1"/>
  <c r="AI22" i="7" s="1"/>
  <c r="BR66" i="5"/>
  <c r="BR67" i="5" s="1"/>
  <c r="BR64" i="5"/>
  <c r="BR63" i="5"/>
  <c r="BR41" i="5"/>
  <c r="BS35" i="5"/>
  <c r="BR13" i="8"/>
  <c r="BS66" i="5"/>
  <c r="BS67" i="5" s="1"/>
  <c r="BS64" i="5"/>
  <c r="BS63" i="5"/>
  <c r="BS13" i="8" l="1"/>
  <c r="BT15" i="8"/>
  <c r="BR33" i="8"/>
  <c r="BS41" i="5"/>
  <c r="BS43" i="5" s="1"/>
  <c r="BS45" i="5" s="1"/>
  <c r="BS48" i="5" s="1"/>
  <c r="BR43" i="5"/>
  <c r="BR45" i="5" s="1"/>
  <c r="BR32" i="4" l="1"/>
  <c r="BR39" i="8"/>
  <c r="BS39" i="8" s="1"/>
  <c r="BS33" i="8"/>
  <c r="BT40" i="8"/>
  <c r="BR48" i="5"/>
  <c r="BR9" i="4"/>
  <c r="BR13" i="4" l="1"/>
  <c r="BS9" i="4"/>
  <c r="BR7" i="8"/>
  <c r="BT8" i="8" s="1"/>
  <c r="BT18" i="2"/>
  <c r="BR35" i="4"/>
  <c r="BS32" i="4"/>
  <c r="BT19" i="2" l="1"/>
  <c r="BT21" i="2" s="1"/>
  <c r="BT43" i="8"/>
  <c r="BS13" i="4"/>
  <c r="BR37" i="4"/>
  <c r="BS35" i="4"/>
  <c r="BS37" i="4" l="1"/>
  <c r="BR50" i="4"/>
  <c r="BT22" i="2"/>
  <c r="BT54" i="2"/>
  <c r="BT70" i="2"/>
  <c r="BS50" i="4" l="1"/>
  <c r="BT24" i="2"/>
  <c r="BT37" i="2" l="1"/>
  <c r="BT57" i="2" s="1"/>
  <c r="BT55" i="2"/>
  <c r="BT36" i="2"/>
  <c r="BT31" i="2"/>
  <c r="BT72" i="2"/>
  <c r="BT8" i="5" l="1"/>
  <c r="BT39" i="2"/>
  <c r="BT40" i="2"/>
  <c r="BT42" i="4"/>
  <c r="BT46" i="4" l="1"/>
  <c r="BT24" i="5"/>
  <c r="BT60" i="5" l="1"/>
  <c r="BT35" i="5" s="1"/>
  <c r="BT62" i="5"/>
  <c r="BT66" i="5" l="1"/>
  <c r="BT67" i="5" s="1"/>
  <c r="BT64" i="5"/>
  <c r="BT63" i="5"/>
  <c r="BT41" i="5"/>
  <c r="BT13" i="8"/>
  <c r="BT43" i="5" l="1"/>
  <c r="BT45" i="5" s="1"/>
  <c r="BU15" i="8"/>
  <c r="BT33" i="8"/>
  <c r="BT32" i="4" l="1"/>
  <c r="BT35" i="4" s="1"/>
  <c r="BT37" i="4" s="1"/>
  <c r="BT50" i="4" s="1"/>
  <c r="BT39" i="8"/>
  <c r="BT48" i="5"/>
  <c r="BT9" i="4"/>
  <c r="BU40" i="8"/>
  <c r="BU18" i="2" l="1"/>
  <c r="BT13" i="4"/>
  <c r="BT7" i="8"/>
  <c r="BU8" i="8" s="1"/>
  <c r="BU19" i="2" l="1"/>
  <c r="BU21" i="2" s="1"/>
  <c r="BU43" i="8"/>
  <c r="BU22" i="2" l="1"/>
  <c r="BU54" i="2"/>
  <c r="BU70" i="2"/>
  <c r="BU24" i="2" l="1"/>
  <c r="BU37" i="2" l="1"/>
  <c r="BU57" i="2" s="1"/>
  <c r="BU55" i="2"/>
  <c r="BU36" i="2"/>
  <c r="BU31" i="2"/>
  <c r="BU72" i="2"/>
  <c r="BU8" i="5" l="1"/>
  <c r="BU39" i="2"/>
  <c r="BU40" i="2"/>
  <c r="BU42" i="4"/>
  <c r="BU46" i="4" l="1"/>
  <c r="BU24" i="5"/>
  <c r="BU60" i="5" l="1"/>
  <c r="BU35" i="5" s="1"/>
  <c r="BU62" i="5"/>
  <c r="BU66" i="5" l="1"/>
  <c r="BU67" i="5" s="1"/>
  <c r="BU64" i="5"/>
  <c r="BU63" i="5"/>
  <c r="BU41" i="5"/>
  <c r="BU13" i="8"/>
  <c r="BV15" i="8" l="1"/>
  <c r="BU33" i="8"/>
  <c r="BU43" i="5"/>
  <c r="BU45" i="5" s="1"/>
  <c r="BU48" i="5" l="1"/>
  <c r="BU9" i="4"/>
  <c r="BU32" i="4"/>
  <c r="BU35" i="4" s="1"/>
  <c r="BU37" i="4" s="1"/>
  <c r="BU50" i="4" s="1"/>
  <c r="BU39" i="8"/>
  <c r="BV40" i="8"/>
  <c r="BV18" i="2" l="1"/>
  <c r="BU13" i="4"/>
  <c r="BU7" i="8"/>
  <c r="BV8" i="8" s="1"/>
  <c r="BV19" i="2" l="1"/>
  <c r="BV21" i="2" s="1"/>
  <c r="BV43" i="8"/>
  <c r="BV22" i="2" l="1"/>
  <c r="BV54" i="2"/>
  <c r="BV70" i="2"/>
  <c r="BV24" i="2" l="1"/>
  <c r="BV72" i="2" l="1"/>
  <c r="BV37" i="2"/>
  <c r="BV57" i="2" s="1"/>
  <c r="BV55" i="2"/>
  <c r="BV36" i="2"/>
  <c r="BV31" i="2"/>
  <c r="BV8" i="5" l="1"/>
  <c r="BV39" i="2"/>
  <c r="BV40" i="2"/>
  <c r="BV42" i="4"/>
  <c r="BV46" i="4" l="1"/>
  <c r="BV24" i="5"/>
  <c r="BV60" i="5" l="1"/>
  <c r="BV35" i="5" s="1"/>
  <c r="BV62" i="5"/>
  <c r="BV63" i="5" l="1"/>
  <c r="BV66" i="5"/>
  <c r="BV67" i="5" s="1"/>
  <c r="BV64" i="5"/>
  <c r="BV41" i="5"/>
  <c r="BV13" i="8"/>
  <c r="BW15" i="8" l="1"/>
  <c r="BV33" i="8"/>
  <c r="BV43" i="5"/>
  <c r="BV45" i="5" s="1"/>
  <c r="BV48" i="5" l="1"/>
  <c r="BV9" i="4"/>
  <c r="BV32" i="4"/>
  <c r="BV35" i="4" s="1"/>
  <c r="BV37" i="4" s="1"/>
  <c r="BV50" i="4" s="1"/>
  <c r="BV39" i="8"/>
  <c r="BW40" i="8"/>
  <c r="BX15" i="8"/>
  <c r="BW18" i="2" l="1"/>
  <c r="BX40" i="8"/>
  <c r="BV13" i="4"/>
  <c r="BV7" i="8"/>
  <c r="BW8" i="8" s="1"/>
  <c r="BW19" i="2" l="1"/>
  <c r="BX19" i="2" s="1"/>
  <c r="BW43" i="8"/>
  <c r="BX43" i="8" s="1"/>
  <c r="BX8" i="8"/>
  <c r="BX18" i="2"/>
  <c r="BW21" i="2" l="1"/>
  <c r="BW54" i="2" s="1"/>
  <c r="BX21" i="2"/>
  <c r="BW22" i="2" l="1"/>
  <c r="BX22" i="2" s="1"/>
  <c r="BX71" i="2" s="1"/>
  <c r="BW70" i="2"/>
  <c r="BX54" i="2"/>
  <c r="BX70" i="2"/>
  <c r="BX24" i="2" l="1"/>
  <c r="BX37" i="2" s="1"/>
  <c r="BX57" i="2" s="1"/>
  <c r="BW24" i="2"/>
  <c r="BW72" i="2" s="1"/>
  <c r="BW31" i="2" l="1"/>
  <c r="BW42" i="4" s="1"/>
  <c r="BX31" i="2"/>
  <c r="BX40" i="2" s="1"/>
  <c r="BX36" i="2"/>
  <c r="BX55" i="2"/>
  <c r="BX72" i="2"/>
  <c r="BW36" i="2"/>
  <c r="BW37" i="2"/>
  <c r="BW57" i="2" s="1"/>
  <c r="BW55" i="2"/>
  <c r="BX39" i="2"/>
  <c r="BW39" i="2" l="1"/>
  <c r="BW40" i="2"/>
  <c r="BW8" i="5"/>
  <c r="BW24" i="5" s="1"/>
  <c r="BW46" i="4"/>
  <c r="BX42" i="4"/>
  <c r="BX46" i="4" s="1"/>
  <c r="BX8" i="5" l="1"/>
  <c r="BX24" i="5" s="1"/>
  <c r="BX62" i="5" s="1"/>
  <c r="BW62" i="5"/>
  <c r="BW60" i="5"/>
  <c r="BW35" i="5" s="1"/>
  <c r="AJ20" i="7" l="1"/>
  <c r="AJ22" i="7" s="1"/>
  <c r="BW41" i="5"/>
  <c r="BX35" i="5"/>
  <c r="BW13" i="8"/>
  <c r="BX64" i="5"/>
  <c r="BX63" i="5"/>
  <c r="BX66" i="5"/>
  <c r="BX67" i="5" s="1"/>
  <c r="BW64" i="5"/>
  <c r="BW63" i="5"/>
  <c r="BW66" i="5"/>
  <c r="BW67" i="5" s="1"/>
  <c r="BX13" i="8" l="1"/>
  <c r="BW33" i="8"/>
  <c r="BY15" i="8"/>
  <c r="BX41" i="5"/>
  <c r="BX43" i="5" s="1"/>
  <c r="BX45" i="5" s="1"/>
  <c r="BX48" i="5" s="1"/>
  <c r="BW43" i="5"/>
  <c r="BW45" i="5" s="1"/>
  <c r="BW48" i="5" l="1"/>
  <c r="BW9" i="4"/>
  <c r="BY40" i="8"/>
  <c r="BY18" i="2" s="1"/>
  <c r="BW32" i="4"/>
  <c r="BX33" i="8"/>
  <c r="BW39" i="8"/>
  <c r="BX39" i="8" s="1"/>
  <c r="BW13" i="4" l="1"/>
  <c r="BX9" i="4"/>
  <c r="BW7" i="8"/>
  <c r="BY8" i="8" s="1"/>
  <c r="BW35" i="4"/>
  <c r="BX32" i="4"/>
  <c r="BW37" i="4" l="1"/>
  <c r="BX35" i="4"/>
  <c r="BX13" i="4"/>
  <c r="BY19" i="2"/>
  <c r="BY43" i="8"/>
  <c r="BY21" i="2" l="1"/>
  <c r="BX37" i="4"/>
  <c r="BW50" i="4"/>
  <c r="BY22" i="2" l="1"/>
  <c r="BY54" i="2"/>
  <c r="BY70" i="2"/>
  <c r="BX50" i="4"/>
  <c r="BY24" i="2" l="1"/>
  <c r="BY31" i="2" l="1"/>
  <c r="BY72" i="2"/>
  <c r="BY37" i="2"/>
  <c r="BY57" i="2" s="1"/>
  <c r="BY55" i="2"/>
  <c r="BY36" i="2"/>
  <c r="BY8" i="5" l="1"/>
  <c r="BY40" i="2"/>
  <c r="BY39" i="2"/>
  <c r="BY42" i="4"/>
  <c r="BY46" i="4" l="1"/>
  <c r="BY24" i="5"/>
  <c r="BY62" i="5" l="1"/>
  <c r="BY60" i="5"/>
  <c r="BY35" i="5" s="1"/>
  <c r="BY41" i="5" l="1"/>
  <c r="BY13" i="8"/>
  <c r="BY66" i="5"/>
  <c r="BY67" i="5" s="1"/>
  <c r="BY64" i="5"/>
  <c r="BY63" i="5"/>
  <c r="BY33" i="8" l="1"/>
  <c r="BZ15" i="8"/>
  <c r="BY43" i="5"/>
  <c r="BY45" i="5" s="1"/>
  <c r="BY48" i="5" l="1"/>
  <c r="BY9" i="4"/>
  <c r="BZ40" i="8"/>
  <c r="BZ18" i="2" s="1"/>
  <c r="BY32" i="4"/>
  <c r="BY35" i="4" s="1"/>
  <c r="BY37" i="4" s="1"/>
  <c r="BY50" i="4" s="1"/>
  <c r="BY39" i="8"/>
  <c r="BY13" i="4" l="1"/>
  <c r="BY7" i="8"/>
  <c r="BZ8" i="8" s="1"/>
  <c r="BZ19" i="2" l="1"/>
  <c r="BZ43" i="8"/>
  <c r="BZ21" i="2" l="1"/>
  <c r="BZ22" i="2" l="1"/>
  <c r="BZ54" i="2"/>
  <c r="BZ70" i="2"/>
  <c r="BZ24" i="2" l="1"/>
  <c r="BZ31" i="2" l="1"/>
  <c r="BZ72" i="2"/>
  <c r="BZ37" i="2"/>
  <c r="BZ57" i="2" s="1"/>
  <c r="BZ55" i="2"/>
  <c r="BZ36" i="2"/>
  <c r="BZ8" i="5" l="1"/>
  <c r="BZ40" i="2"/>
  <c r="BZ39" i="2"/>
  <c r="BZ42" i="4"/>
  <c r="BZ46" i="4" l="1"/>
  <c r="BZ24" i="5"/>
  <c r="BZ62" i="5" l="1"/>
  <c r="BZ60" i="5"/>
  <c r="BZ35" i="5" s="1"/>
  <c r="BZ41" i="5" l="1"/>
  <c r="BZ13" i="8"/>
  <c r="BZ66" i="5"/>
  <c r="BZ67" i="5" s="1"/>
  <c r="BZ64" i="5"/>
  <c r="BZ63" i="5"/>
  <c r="BZ33" i="8" l="1"/>
  <c r="CA15" i="8"/>
  <c r="BZ43" i="5"/>
  <c r="BZ45" i="5" s="1"/>
  <c r="CA40" i="8" l="1"/>
  <c r="CA18" i="2" s="1"/>
  <c r="BZ48" i="5"/>
  <c r="BZ9" i="4"/>
  <c r="BZ32" i="4"/>
  <c r="BZ35" i="4" s="1"/>
  <c r="BZ37" i="4" s="1"/>
  <c r="BZ50" i="4" s="1"/>
  <c r="BZ39" i="8"/>
  <c r="BZ13" i="4" l="1"/>
  <c r="BZ7" i="8"/>
  <c r="CA8" i="8" s="1"/>
  <c r="CA19" i="2" l="1"/>
  <c r="CA43" i="8"/>
  <c r="CA21" i="2" l="1"/>
  <c r="CA70" i="2" l="1"/>
  <c r="CA22" i="2"/>
  <c r="CA54" i="2"/>
  <c r="CA24" i="2" l="1"/>
  <c r="CA31" i="2" l="1"/>
  <c r="CA72" i="2"/>
  <c r="CA37" i="2"/>
  <c r="CA57" i="2" s="1"/>
  <c r="CA55" i="2"/>
  <c r="CA36" i="2"/>
  <c r="CA8" i="5" l="1"/>
  <c r="CA40" i="2"/>
  <c r="CA39" i="2"/>
  <c r="CA42" i="4"/>
  <c r="CA46" i="4" l="1"/>
  <c r="CA24" i="5"/>
  <c r="CA62" i="5" l="1"/>
  <c r="CA60" i="5"/>
  <c r="CA35" i="5" s="1"/>
  <c r="CA41" i="5" l="1"/>
  <c r="CA13" i="8"/>
  <c r="CA66" i="5"/>
  <c r="CA67" i="5" s="1"/>
  <c r="CA64" i="5"/>
  <c r="CA63" i="5"/>
  <c r="CB15" i="8" l="1"/>
  <c r="CA33" i="8"/>
  <c r="CA43" i="5"/>
  <c r="CA45" i="5" s="1"/>
  <c r="CA48" i="5" l="1"/>
  <c r="CA9" i="4"/>
  <c r="CA32" i="4"/>
  <c r="CA35" i="4" s="1"/>
  <c r="CA37" i="4" s="1"/>
  <c r="CA50" i="4" s="1"/>
  <c r="CA39" i="8"/>
  <c r="CB40" i="8"/>
  <c r="CB18" i="2" s="1"/>
  <c r="CC15" i="8"/>
  <c r="CC40" i="8" s="1"/>
  <c r="CC18" i="2" l="1"/>
  <c r="CA13" i="4"/>
  <c r="CA7" i="8"/>
  <c r="CB8" i="8" s="1"/>
  <c r="CB19" i="2" l="1"/>
  <c r="CB43" i="8"/>
  <c r="CC43" i="8" s="1"/>
  <c r="CC8" i="8"/>
  <c r="CC19" i="2" l="1"/>
  <c r="CB21" i="2"/>
  <c r="CB70" i="2" l="1"/>
  <c r="CB22" i="2"/>
  <c r="CC22" i="2" s="1"/>
  <c r="CB54" i="2"/>
  <c r="CC21" i="2"/>
  <c r="CC71" i="2" l="1"/>
  <c r="CC54" i="2"/>
  <c r="CC70" i="2"/>
  <c r="CC24" i="2"/>
  <c r="CB24" i="2"/>
  <c r="CB31" i="2" l="1"/>
  <c r="CB72" i="2"/>
  <c r="CB37" i="2"/>
  <c r="CB57" i="2" s="1"/>
  <c r="CB55" i="2"/>
  <c r="CB36" i="2"/>
  <c r="CC36" i="2"/>
  <c r="CC31" i="2"/>
  <c r="CC72" i="2"/>
  <c r="CC37" i="2"/>
  <c r="CC57" i="2" s="1"/>
  <c r="CC55" i="2"/>
  <c r="CC40" i="2" l="1"/>
  <c r="CC39" i="2"/>
  <c r="CB8" i="5"/>
  <c r="CB40" i="2"/>
  <c r="CB39" i="2"/>
  <c r="CB42" i="4"/>
  <c r="CB24" i="5" l="1"/>
  <c r="CC8" i="5"/>
  <c r="CC24" i="5" s="1"/>
  <c r="CB46" i="4"/>
  <c r="CC42" i="4"/>
  <c r="CC46" i="4" s="1"/>
  <c r="CC62" i="5" l="1"/>
  <c r="AK20" i="7"/>
  <c r="AK22" i="7" s="1"/>
  <c r="CB62" i="5"/>
  <c r="CB60" i="5"/>
  <c r="CB35" i="5" s="1"/>
  <c r="CB41" i="5" l="1"/>
  <c r="CC35" i="5"/>
  <c r="CB13" i="8"/>
  <c r="CB66" i="5"/>
  <c r="CB67" i="5" s="1"/>
  <c r="CB64" i="5"/>
  <c r="CB63" i="5"/>
  <c r="CC66" i="5"/>
  <c r="CC67" i="5" s="1"/>
  <c r="CC64" i="5"/>
  <c r="CC63" i="5"/>
  <c r="CC13" i="8" l="1"/>
  <c r="CB33" i="8"/>
  <c r="CD15" i="8"/>
  <c r="CC41" i="5"/>
  <c r="CC43" i="5" s="1"/>
  <c r="CC45" i="5" s="1"/>
  <c r="CC48" i="5" s="1"/>
  <c r="CB43" i="5"/>
  <c r="CB45" i="5" s="1"/>
  <c r="CB48" i="5" l="1"/>
  <c r="CB9" i="4"/>
  <c r="CD40" i="8"/>
  <c r="CB32" i="4"/>
  <c r="CB39" i="8"/>
  <c r="CC39" i="8" s="1"/>
  <c r="CC33" i="8"/>
  <c r="CB35" i="4" l="1"/>
  <c r="CC32" i="4"/>
  <c r="CD18" i="2"/>
  <c r="CC9" i="4"/>
  <c r="CB13" i="4"/>
  <c r="CB7" i="8"/>
  <c r="CD8" i="8" s="1"/>
  <c r="CD19" i="2" l="1"/>
  <c r="CD21" i="2" s="1"/>
  <c r="CD43" i="8"/>
  <c r="CC13" i="4"/>
  <c r="CC35" i="4"/>
  <c r="CB37" i="4"/>
  <c r="CB50" i="4" l="1"/>
  <c r="CC37" i="4"/>
  <c r="CD54" i="2"/>
  <c r="CD70" i="2"/>
  <c r="CD22" i="2"/>
  <c r="CD24" i="2" s="1"/>
  <c r="CD36" i="2" l="1"/>
  <c r="CD31" i="2"/>
  <c r="CD72" i="2"/>
  <c r="CD37" i="2"/>
  <c r="CD57" i="2" s="1"/>
  <c r="CD55" i="2"/>
  <c r="CC50" i="4"/>
  <c r="CD8" i="5" l="1"/>
  <c r="CD40" i="2"/>
  <c r="CD39" i="2"/>
  <c r="CD42" i="4"/>
  <c r="CD46" i="4" l="1"/>
  <c r="CD24" i="5"/>
  <c r="CD62" i="5" l="1"/>
  <c r="CD60" i="5"/>
  <c r="CD35" i="5" s="1"/>
  <c r="CD41" i="5" l="1"/>
  <c r="CD13" i="8"/>
  <c r="CD66" i="5"/>
  <c r="CD67" i="5" s="1"/>
  <c r="CD64" i="5"/>
  <c r="CD63" i="5"/>
  <c r="CD43" i="5" l="1"/>
  <c r="CD45" i="5" s="1"/>
  <c r="CD33" i="8"/>
  <c r="CE13" i="8"/>
  <c r="CE15" i="8"/>
  <c r="CE33" i="8" l="1"/>
  <c r="CF15" i="8"/>
  <c r="CF40" i="8" s="1"/>
  <c r="CF18" i="2" s="1"/>
  <c r="CD32" i="4"/>
  <c r="CD35" i="4" s="1"/>
  <c r="CD37" i="4" s="1"/>
  <c r="CD50" i="4" s="1"/>
  <c r="CD39" i="8"/>
  <c r="CD48" i="5"/>
  <c r="CD9" i="4"/>
  <c r="CE40" i="8"/>
  <c r="CE18" i="2" l="1"/>
  <c r="CD13" i="4"/>
  <c r="CD7" i="8"/>
  <c r="CE8" i="8" s="1"/>
  <c r="CE32" i="4"/>
  <c r="CE35" i="4" s="1"/>
  <c r="CE37" i="4" s="1"/>
  <c r="CE39" i="8"/>
  <c r="CE19" i="2" l="1"/>
  <c r="CE21" i="2" s="1"/>
  <c r="CE43" i="8"/>
  <c r="CE22" i="2" l="1"/>
  <c r="CE24" i="2" s="1"/>
  <c r="CE54" i="2"/>
  <c r="CE70" i="2"/>
  <c r="CE36" i="2" l="1"/>
  <c r="CE31" i="2"/>
  <c r="CE72" i="2"/>
  <c r="CE37" i="2"/>
  <c r="CE57" i="2" s="1"/>
  <c r="CE55" i="2"/>
  <c r="CE8" i="5" l="1"/>
  <c r="CE40" i="2"/>
  <c r="CE39" i="2"/>
  <c r="CE42" i="4"/>
  <c r="CE46" i="4" l="1"/>
  <c r="CE50" i="4" s="1"/>
  <c r="CE24" i="5"/>
  <c r="CE62" i="5" l="1"/>
  <c r="CE60" i="5"/>
  <c r="CE43" i="5"/>
  <c r="CE45" i="5" s="1"/>
  <c r="CE48" i="5" l="1"/>
  <c r="CE9" i="4"/>
  <c r="CE66" i="5"/>
  <c r="CE67" i="5" s="1"/>
  <c r="CE64" i="5"/>
  <c r="CE63" i="5"/>
  <c r="CE13" i="4" l="1"/>
  <c r="CE7" i="8"/>
  <c r="CF8" i="8" s="1"/>
  <c r="CF19" i="2" l="1"/>
  <c r="CF43" i="8"/>
  <c r="CF21" i="2" l="1"/>
  <c r="CF22" i="2" l="1"/>
  <c r="CF24" i="2" s="1"/>
  <c r="CF54" i="2"/>
  <c r="CF70" i="2"/>
  <c r="CF36" i="2" l="1"/>
  <c r="CF31" i="2"/>
  <c r="CF72" i="2"/>
  <c r="CF37" i="2"/>
  <c r="CF57" i="2" s="1"/>
  <c r="CF55" i="2"/>
  <c r="CF8" i="5" l="1"/>
  <c r="CF40" i="2"/>
  <c r="CF39" i="2"/>
  <c r="CF42" i="4"/>
  <c r="CF46" i="4" l="1"/>
  <c r="CF24" i="5"/>
  <c r="CF60" i="5" l="1"/>
  <c r="CF35" i="5" s="1"/>
  <c r="CF62" i="5"/>
  <c r="CF66" i="5" l="1"/>
  <c r="CF67" i="5" s="1"/>
  <c r="CF64" i="5"/>
  <c r="CF63" i="5"/>
  <c r="CF41" i="5"/>
  <c r="CF13" i="8"/>
  <c r="CF33" i="8" l="1"/>
  <c r="CG15" i="8"/>
  <c r="CF43" i="5"/>
  <c r="CF45" i="5" s="1"/>
  <c r="CF48" i="5" l="1"/>
  <c r="CF9" i="4"/>
  <c r="CG40" i="8"/>
  <c r="CH15" i="8"/>
  <c r="CF32" i="4"/>
  <c r="CF35" i="4" s="1"/>
  <c r="CF37" i="4" s="1"/>
  <c r="CF50" i="4" s="1"/>
  <c r="CF39" i="8"/>
  <c r="CF13" i="4" l="1"/>
  <c r="CF7" i="8"/>
  <c r="CG8" i="8" s="1"/>
  <c r="CG18" i="2"/>
  <c r="CH40" i="8"/>
  <c r="CH18" i="2" l="1"/>
  <c r="CG19" i="2"/>
  <c r="CH19" i="2" s="1"/>
  <c r="CG43" i="8"/>
  <c r="CH43" i="8" s="1"/>
  <c r="CH8" i="8"/>
  <c r="CH21" i="2" l="1"/>
  <c r="CG21" i="2"/>
  <c r="CG22" i="2" l="1"/>
  <c r="CH22" i="2" s="1"/>
  <c r="CH24" i="2" s="1"/>
  <c r="CG54" i="2"/>
  <c r="CG70" i="2"/>
  <c r="CH54" i="2"/>
  <c r="CH70" i="2"/>
  <c r="CG24" i="2" l="1"/>
  <c r="CH37" i="2"/>
  <c r="CH57" i="2" s="1"/>
  <c r="CH55" i="2"/>
  <c r="CH36" i="2"/>
  <c r="CH31" i="2"/>
  <c r="CH72" i="2"/>
  <c r="CG37" i="2"/>
  <c r="CG57" i="2" s="1"/>
  <c r="CG55" i="2"/>
  <c r="CG36" i="2"/>
  <c r="CG31" i="2"/>
  <c r="CG72" i="2"/>
  <c r="CH71" i="2"/>
  <c r="CG8" i="5" l="1"/>
  <c r="CG40" i="2"/>
  <c r="CG39" i="2"/>
  <c r="CG42" i="4"/>
  <c r="CH40" i="2"/>
  <c r="CH39" i="2"/>
  <c r="CH42" i="4" l="1"/>
  <c r="CH46" i="4" s="1"/>
  <c r="CG46" i="4"/>
  <c r="CG24" i="5"/>
  <c r="CH8" i="5"/>
  <c r="CH24" i="5" s="1"/>
  <c r="CG62" i="5" l="1"/>
  <c r="CG60" i="5"/>
  <c r="CG35" i="5" s="1"/>
  <c r="CH62" i="5"/>
  <c r="AL20" i="7"/>
  <c r="AL22" i="7" s="1"/>
  <c r="CH66" i="5" l="1"/>
  <c r="CH67" i="5" s="1"/>
  <c r="CH64" i="5"/>
  <c r="CH63" i="5"/>
  <c r="CG41" i="5"/>
  <c r="CH35" i="5"/>
  <c r="CG13" i="8"/>
  <c r="CG66" i="5"/>
  <c r="CG67" i="5" s="1"/>
  <c r="CG64" i="5"/>
  <c r="CG63" i="5"/>
  <c r="CG33" i="8" l="1"/>
  <c r="CH13" i="8"/>
  <c r="CI15" i="8"/>
  <c r="CH41" i="5"/>
  <c r="CH43" i="5" s="1"/>
  <c r="CH45" i="5" s="1"/>
  <c r="CH48" i="5" s="1"/>
  <c r="CG43" i="5"/>
  <c r="CG45" i="5" s="1"/>
  <c r="CG48" i="5" l="1"/>
  <c r="CG9" i="4"/>
  <c r="CI40" i="8"/>
  <c r="CG32" i="4"/>
  <c r="CG39" i="8"/>
  <c r="CH39" i="8" s="1"/>
  <c r="CH33" i="8"/>
  <c r="CG35" i="4" l="1"/>
  <c r="CH32" i="4"/>
  <c r="CG13" i="4"/>
  <c r="CH9" i="4"/>
  <c r="CG7" i="8"/>
  <c r="CI8" i="8" s="1"/>
  <c r="CI18" i="2"/>
  <c r="CI19" i="2" l="1"/>
  <c r="CI21" i="2" s="1"/>
  <c r="CI43" i="8"/>
  <c r="CH13" i="4"/>
  <c r="CG37" i="4"/>
  <c r="CH35" i="4"/>
  <c r="CI22" i="2" l="1"/>
  <c r="CI54" i="2"/>
  <c r="CI70" i="2"/>
  <c r="CH37" i="4"/>
  <c r="CG50" i="4"/>
  <c r="CH50" i="4" l="1"/>
  <c r="CI24" i="2"/>
  <c r="CI37" i="2" l="1"/>
  <c r="CI57" i="2" s="1"/>
  <c r="CI55" i="2"/>
  <c r="CI36" i="2"/>
  <c r="CI31" i="2"/>
  <c r="CI72" i="2"/>
  <c r="CI8" i="5" l="1"/>
  <c r="CI40" i="2"/>
  <c r="CI39" i="2"/>
  <c r="CI42" i="4"/>
  <c r="CI46" i="4" l="1"/>
  <c r="CI24" i="5"/>
  <c r="CI62" i="5" l="1"/>
  <c r="CI60" i="5"/>
  <c r="CI35" i="5" s="1"/>
  <c r="CI41" i="5" l="1"/>
  <c r="CI13" i="8"/>
  <c r="CI66" i="5"/>
  <c r="CI67" i="5" s="1"/>
  <c r="CI64" i="5"/>
  <c r="CI63" i="5"/>
  <c r="CJ15" i="8" l="1"/>
  <c r="CI33" i="8"/>
  <c r="CI43" i="5"/>
  <c r="CI45" i="5" s="1"/>
  <c r="CI48" i="5" l="1"/>
  <c r="CI9" i="4"/>
  <c r="CI32" i="4"/>
  <c r="CI35" i="4" s="1"/>
  <c r="CI37" i="4" s="1"/>
  <c r="CI50" i="4" s="1"/>
  <c r="CI39" i="8"/>
  <c r="CJ40" i="8"/>
  <c r="CJ18" i="2" l="1"/>
  <c r="CI13" i="4"/>
  <c r="CI7" i="8"/>
  <c r="CJ8" i="8" s="1"/>
  <c r="CJ19" i="2" l="1"/>
  <c r="CJ21" i="2" s="1"/>
  <c r="CJ43" i="8"/>
  <c r="CJ22" i="2" l="1"/>
  <c r="CJ54" i="2"/>
  <c r="CJ70" i="2"/>
  <c r="CJ24" i="2" l="1"/>
  <c r="CJ37" i="2" l="1"/>
  <c r="CJ57" i="2" s="1"/>
  <c r="CJ55" i="2"/>
  <c r="CJ36" i="2"/>
  <c r="CJ31" i="2"/>
  <c r="CJ72" i="2"/>
  <c r="CJ8" i="5" l="1"/>
  <c r="CJ39" i="2"/>
  <c r="CJ40" i="2"/>
  <c r="CJ42" i="4"/>
  <c r="CJ46" i="4" l="1"/>
  <c r="CJ24" i="5"/>
  <c r="CJ62" i="5" l="1"/>
  <c r="CJ60" i="5"/>
  <c r="CJ35" i="5" s="1"/>
  <c r="CJ41" i="5" l="1"/>
  <c r="CJ13" i="8"/>
  <c r="CJ66" i="5"/>
  <c r="CJ67" i="5" s="1"/>
  <c r="CJ64" i="5"/>
  <c r="CJ63" i="5"/>
  <c r="CK15" i="8" l="1"/>
  <c r="CJ33" i="8"/>
  <c r="CJ43" i="5"/>
  <c r="CJ45" i="5" s="1"/>
  <c r="CJ48" i="5" l="1"/>
  <c r="CJ9" i="4"/>
  <c r="CJ32" i="4"/>
  <c r="CJ35" i="4" s="1"/>
  <c r="CJ37" i="4" s="1"/>
  <c r="CJ50" i="4" s="1"/>
  <c r="CJ39" i="8"/>
  <c r="CK40" i="8"/>
  <c r="CK18" i="2" l="1"/>
  <c r="CJ13" i="4"/>
  <c r="CJ7" i="8"/>
  <c r="CK8" i="8" s="1"/>
  <c r="CK19" i="2" l="1"/>
  <c r="CK21" i="2" s="1"/>
  <c r="CK43" i="8"/>
  <c r="CK22" i="2" l="1"/>
  <c r="CK54" i="2"/>
  <c r="CK70" i="2"/>
  <c r="CK24" i="2" l="1"/>
  <c r="CK37" i="2" l="1"/>
  <c r="CK57" i="2" s="1"/>
  <c r="CK55" i="2"/>
  <c r="CK36" i="2"/>
  <c r="CK31" i="2"/>
  <c r="CK72" i="2"/>
  <c r="CK8" i="5" l="1"/>
  <c r="CK39" i="2"/>
  <c r="CK40" i="2"/>
  <c r="CK42" i="4"/>
  <c r="CK46" i="4" l="1"/>
  <c r="CK24" i="5"/>
  <c r="CK60" i="5" l="1"/>
  <c r="CK35" i="5" s="1"/>
  <c r="CK62" i="5"/>
  <c r="CK66" i="5" l="1"/>
  <c r="CK67" i="5" s="1"/>
  <c r="CK64" i="5"/>
  <c r="CK63" i="5"/>
  <c r="CK41" i="5"/>
  <c r="CK13" i="8"/>
  <c r="CL15" i="8" l="1"/>
  <c r="CK33" i="8"/>
  <c r="CK43" i="5"/>
  <c r="CK45" i="5" s="1"/>
  <c r="CK32" i="4" l="1"/>
  <c r="CK35" i="4" s="1"/>
  <c r="CK37" i="4" s="1"/>
  <c r="CK50" i="4" s="1"/>
  <c r="CK39" i="8"/>
  <c r="CK48" i="5"/>
  <c r="CK9" i="4"/>
  <c r="CL40" i="8"/>
  <c r="CM15" i="8"/>
  <c r="CK13" i="4" l="1"/>
  <c r="CK7" i="8"/>
  <c r="CL8" i="8" s="1"/>
  <c r="CL18" i="2"/>
  <c r="CM40" i="8"/>
  <c r="CL19" i="2" l="1"/>
  <c r="CM19" i="2" s="1"/>
  <c r="CL43" i="8"/>
  <c r="CM43" i="8" s="1"/>
  <c r="CM8" i="8"/>
  <c r="CM18" i="2"/>
  <c r="CL21" i="2" l="1"/>
  <c r="CL22" i="2" s="1"/>
  <c r="CM22" i="2" s="1"/>
  <c r="CM21" i="2"/>
  <c r="CL70" i="2" l="1"/>
  <c r="CL54" i="2"/>
  <c r="CM71" i="2"/>
  <c r="CL24" i="2"/>
  <c r="CM24" i="2"/>
  <c r="CM54" i="2"/>
  <c r="CM70" i="2"/>
  <c r="CL72" i="2" l="1"/>
  <c r="CL37" i="2"/>
  <c r="CL57" i="2" s="1"/>
  <c r="CL55" i="2"/>
  <c r="CL36" i="2"/>
  <c r="CL31" i="2"/>
  <c r="CM72" i="2"/>
  <c r="CM37" i="2"/>
  <c r="CM57" i="2" s="1"/>
  <c r="CM55" i="2"/>
  <c r="CM36" i="2"/>
  <c r="CM31" i="2"/>
  <c r="CM40" i="2" l="1"/>
  <c r="CM39" i="2"/>
  <c r="CL8" i="5"/>
  <c r="CL39" i="2"/>
  <c r="CL40" i="2"/>
  <c r="CL42" i="4"/>
  <c r="CL46" i="4" l="1"/>
  <c r="CM46" i="4" s="1"/>
  <c r="CM42" i="4"/>
  <c r="CL24" i="5"/>
  <c r="CM8" i="5"/>
  <c r="CM24" i="5" s="1"/>
  <c r="CM62" i="5" l="1"/>
  <c r="AM20" i="7"/>
  <c r="AM22" i="7" s="1"/>
  <c r="AO22" i="7" s="1"/>
  <c r="CL60" i="5"/>
  <c r="CL35" i="5" s="1"/>
  <c r="CL62" i="5"/>
  <c r="CL63" i="5" l="1"/>
  <c r="CL66" i="5"/>
  <c r="CL67" i="5" s="1"/>
  <c r="CL64" i="5"/>
  <c r="CL41" i="5"/>
  <c r="CM35" i="5"/>
  <c r="CL13" i="8"/>
  <c r="CM64" i="5"/>
  <c r="CM63" i="5"/>
  <c r="CM66" i="5"/>
  <c r="CM67" i="5" s="1"/>
  <c r="CM41" i="5" l="1"/>
  <c r="CM43" i="5" s="1"/>
  <c r="CM45" i="5" s="1"/>
  <c r="CM48" i="5" s="1"/>
  <c r="CL43" i="5"/>
  <c r="CL45" i="5" s="1"/>
  <c r="CM13" i="8"/>
  <c r="CL33" i="8"/>
  <c r="CL48" i="5" l="1"/>
  <c r="CL9" i="4"/>
  <c r="CL32" i="4"/>
  <c r="CM33" i="8"/>
  <c r="CL39" i="8"/>
  <c r="CM39" i="8" s="1"/>
  <c r="CL35" i="4" l="1"/>
  <c r="CM32" i="4"/>
  <c r="CL13" i="4"/>
  <c r="CM9" i="4"/>
  <c r="CM13" i="4" s="1"/>
  <c r="CL7" i="8"/>
  <c r="CL37" i="4" l="1"/>
  <c r="CM35" i="4"/>
  <c r="CM37" i="4" l="1"/>
  <c r="CL50" i="4"/>
  <c r="CM50" i="4" l="1"/>
  <c r="AU62" i="8"/>
  <c r="AU65" i="8" s="1"/>
  <c r="AS63" i="8"/>
  <c r="AT63" i="8" s="1"/>
  <c r="AT65" i="8" s="1"/>
  <c r="AY62" i="8" l="1"/>
  <c r="AY65" i="8" s="1"/>
  <c r="AU17" i="4"/>
  <c r="AU19" i="4" s="1"/>
  <c r="AU21" i="4" s="1"/>
  <c r="AU53" i="4" s="1"/>
  <c r="AV62" i="8"/>
  <c r="AV65" i="8" s="1"/>
  <c r="AV17" i="4" l="1"/>
  <c r="AV19" i="4" s="1"/>
  <c r="AV21" i="4" s="1"/>
  <c r="AV53" i="4" s="1"/>
  <c r="AW62" i="8"/>
  <c r="AW65" i="8" s="1"/>
  <c r="AW17" i="4" l="1"/>
  <c r="AW19" i="4" s="1"/>
  <c r="AW21" i="4" s="1"/>
  <c r="AW53" i="4" s="1"/>
  <c r="AX62" i="8"/>
  <c r="AX65" i="8" s="1"/>
  <c r="AZ62" i="8" l="1"/>
  <c r="AX17" i="4"/>
  <c r="AX19" i="4" l="1"/>
  <c r="AX21" i="4" s="1"/>
  <c r="AY17" i="4"/>
  <c r="AY19" i="4" s="1"/>
  <c r="BD62" i="8"/>
  <c r="BD65" i="8" s="1"/>
  <c r="AZ65" i="8"/>
  <c r="BA62" i="8" l="1"/>
  <c r="BA65" i="8" s="1"/>
  <c r="AZ17" i="4"/>
  <c r="AZ19" i="4" s="1"/>
  <c r="AZ21" i="4" s="1"/>
  <c r="AZ53" i="4" s="1"/>
  <c r="AX53" i="4"/>
  <c r="AY53" i="4" s="1"/>
  <c r="AY21" i="4"/>
  <c r="AE41" i="7" l="1"/>
  <c r="AE45" i="7"/>
  <c r="BB62" i="8"/>
  <c r="BB65" i="8" s="1"/>
  <c r="BA17" i="4"/>
  <c r="BA19" i="4" s="1"/>
  <c r="BA21" i="4" s="1"/>
  <c r="BA53" i="4" s="1"/>
  <c r="BC62" i="8" l="1"/>
  <c r="BC65" i="8" s="1"/>
  <c r="BB17" i="4"/>
  <c r="BB19" i="4" s="1"/>
  <c r="BB21" i="4" s="1"/>
  <c r="BB53" i="4" s="1"/>
  <c r="AE42" i="7"/>
  <c r="AE47" i="7"/>
  <c r="BC17" i="4" l="1"/>
  <c r="BE62" i="8"/>
  <c r="BE65" i="8" l="1"/>
  <c r="BI62" i="8"/>
  <c r="BI65" i="8" s="1"/>
  <c r="BC19" i="4"/>
  <c r="BC21" i="4" s="1"/>
  <c r="BD17" i="4"/>
  <c r="BD19" i="4" s="1"/>
  <c r="BC53" i="4" l="1"/>
  <c r="BD53" i="4" s="1"/>
  <c r="BD21" i="4"/>
  <c r="BF62" i="8"/>
  <c r="BF65" i="8" s="1"/>
  <c r="BE17" i="4"/>
  <c r="BE19" i="4" s="1"/>
  <c r="BE21" i="4" s="1"/>
  <c r="BE53" i="4" s="1"/>
  <c r="BG62" i="8" l="1"/>
  <c r="BG65" i="8" s="1"/>
  <c r="BF17" i="4"/>
  <c r="BF19" i="4" s="1"/>
  <c r="BF21" i="4" s="1"/>
  <c r="BF53" i="4" s="1"/>
  <c r="AF41" i="7"/>
  <c r="AF45" i="7"/>
  <c r="AF47" i="7" l="1"/>
  <c r="AF42" i="7"/>
  <c r="BH62" i="8"/>
  <c r="BH65" i="8" s="1"/>
  <c r="BG17" i="4"/>
  <c r="BG19" i="4" s="1"/>
  <c r="BG21" i="4" s="1"/>
  <c r="BG53" i="4" s="1"/>
  <c r="BJ62" i="8" l="1"/>
  <c r="BH17" i="4"/>
  <c r="BH19" i="4" l="1"/>
  <c r="BH21" i="4" s="1"/>
  <c r="BI17" i="4"/>
  <c r="BI19" i="4" s="1"/>
  <c r="BJ65" i="8"/>
  <c r="BN62" i="8"/>
  <c r="BN65" i="8" s="1"/>
  <c r="BJ17" i="4" l="1"/>
  <c r="BJ19" i="4" s="1"/>
  <c r="BJ21" i="4" s="1"/>
  <c r="BJ53" i="4" s="1"/>
  <c r="BK62" i="8"/>
  <c r="BK65" i="8" s="1"/>
  <c r="BH53" i="4"/>
  <c r="BI53" i="4" s="1"/>
  <c r="BI21" i="4"/>
  <c r="BK17" i="4" l="1"/>
  <c r="BK19" i="4" s="1"/>
  <c r="BK21" i="4" s="1"/>
  <c r="BK53" i="4" s="1"/>
  <c r="BL62" i="8"/>
  <c r="BL65" i="8" s="1"/>
  <c r="BL17" i="4" l="1"/>
  <c r="BL19" i="4" s="1"/>
  <c r="BL21" i="4" s="1"/>
  <c r="BL53" i="4" s="1"/>
  <c r="BM62" i="8"/>
  <c r="BM65" i="8" s="1"/>
  <c r="BM17" i="4" l="1"/>
  <c r="BO62" i="8"/>
  <c r="BS62" i="8" l="1"/>
  <c r="BS65" i="8" s="1"/>
  <c r="BO65" i="8"/>
  <c r="BM19" i="4"/>
  <c r="BM21" i="4" s="1"/>
  <c r="BN17" i="4"/>
  <c r="BN19" i="4" s="1"/>
  <c r="BM53" i="4" l="1"/>
  <c r="BN53" i="4" s="1"/>
  <c r="BN21" i="4"/>
  <c r="BP62" i="8"/>
  <c r="BP65" i="8" s="1"/>
  <c r="BO17" i="4"/>
  <c r="BO19" i="4" s="1"/>
  <c r="BO21" i="4" s="1"/>
  <c r="BO53" i="4" s="1"/>
  <c r="BQ62" i="8" l="1"/>
  <c r="BQ65" i="8" s="1"/>
  <c r="BP17" i="4"/>
  <c r="BP19" i="4" s="1"/>
  <c r="BP21" i="4" s="1"/>
  <c r="BP53" i="4" s="1"/>
  <c r="BR62" i="8" l="1"/>
  <c r="BR65" i="8" s="1"/>
  <c r="BQ17" i="4"/>
  <c r="BQ19" i="4" s="1"/>
  <c r="BQ21" i="4" s="1"/>
  <c r="BQ53" i="4" s="1"/>
  <c r="BT62" i="8" l="1"/>
  <c r="BR17" i="4"/>
  <c r="BR19" i="4" l="1"/>
  <c r="BR21" i="4" s="1"/>
  <c r="BS17" i="4"/>
  <c r="BS19" i="4" s="1"/>
  <c r="BT65" i="8"/>
  <c r="BX62" i="8"/>
  <c r="BX65" i="8" s="1"/>
  <c r="BT17" i="4" l="1"/>
  <c r="BT19" i="4" s="1"/>
  <c r="BT21" i="4" s="1"/>
  <c r="BT53" i="4" s="1"/>
  <c r="BU62" i="8"/>
  <c r="BU65" i="8" s="1"/>
  <c r="BS21" i="4"/>
  <c r="BR53" i="4"/>
  <c r="BS53" i="4" s="1"/>
  <c r="BV62" i="8" l="1"/>
  <c r="BV65" i="8" s="1"/>
  <c r="BU17" i="4"/>
  <c r="BU19" i="4" s="1"/>
  <c r="BU21" i="4" s="1"/>
  <c r="BU53" i="4" s="1"/>
  <c r="BW62" i="8" l="1"/>
  <c r="BW65" i="8" s="1"/>
  <c r="BV17" i="4"/>
  <c r="BV19" i="4" s="1"/>
  <c r="BV21" i="4" s="1"/>
  <c r="BV53" i="4" s="1"/>
  <c r="BY62" i="8" l="1"/>
  <c r="BW17" i="4"/>
  <c r="BW19" i="4" l="1"/>
  <c r="BW21" i="4" s="1"/>
  <c r="BX17" i="4"/>
  <c r="BX19" i="4" s="1"/>
  <c r="BY65" i="8"/>
  <c r="CC62" i="8"/>
  <c r="CC65" i="8" s="1"/>
  <c r="BZ62" i="8" l="1"/>
  <c r="BZ65" i="8" s="1"/>
  <c r="BY17" i="4"/>
  <c r="BY19" i="4" s="1"/>
  <c r="BY21" i="4" s="1"/>
  <c r="BY53" i="4" s="1"/>
  <c r="BW53" i="4"/>
  <c r="BX53" i="4" s="1"/>
  <c r="BX21" i="4"/>
  <c r="BZ17" i="4" l="1"/>
  <c r="BZ19" i="4" s="1"/>
  <c r="BZ21" i="4" s="1"/>
  <c r="BZ53" i="4" s="1"/>
  <c r="CA62" i="8"/>
  <c r="CA65" i="8" s="1"/>
  <c r="CA17" i="4" l="1"/>
  <c r="CA19" i="4" s="1"/>
  <c r="CA21" i="4" s="1"/>
  <c r="CA53" i="4" s="1"/>
  <c r="CB62" i="8"/>
  <c r="CB65" i="8" s="1"/>
  <c r="CB17" i="4" l="1"/>
  <c r="CD62" i="8"/>
  <c r="CH62" i="8" l="1"/>
  <c r="CH65" i="8" s="1"/>
  <c r="CD65" i="8"/>
  <c r="CC17" i="4"/>
  <c r="CC19" i="4" s="1"/>
  <c r="CB19" i="4"/>
  <c r="CB21" i="4" s="1"/>
  <c r="CB53" i="4" l="1"/>
  <c r="CC53" i="4" s="1"/>
  <c r="CC21" i="4"/>
  <c r="CD17" i="4"/>
  <c r="CD19" i="4" s="1"/>
  <c r="CD21" i="4" s="1"/>
  <c r="CD53" i="4" s="1"/>
  <c r="CE62" i="8"/>
  <c r="CE65" i="8" s="1"/>
  <c r="CF62" i="8" l="1"/>
  <c r="CF65" i="8" s="1"/>
  <c r="CE17" i="4"/>
  <c r="CE19" i="4" s="1"/>
  <c r="CE21" i="4" s="1"/>
  <c r="CE53" i="4" s="1"/>
  <c r="CG62" i="8" l="1"/>
  <c r="CG65" i="8" s="1"/>
  <c r="CF17" i="4"/>
  <c r="CF19" i="4" s="1"/>
  <c r="CF21" i="4" s="1"/>
  <c r="CF53" i="4" s="1"/>
  <c r="CI62" i="8" l="1"/>
  <c r="CG17" i="4"/>
  <c r="CG19" i="4" l="1"/>
  <c r="CG21" i="4" s="1"/>
  <c r="CH17" i="4"/>
  <c r="CH19" i="4" s="1"/>
  <c r="CI65" i="8"/>
  <c r="CM62" i="8"/>
  <c r="CM65" i="8" s="1"/>
  <c r="CJ62" i="8" l="1"/>
  <c r="CJ65" i="8" s="1"/>
  <c r="CI17" i="4"/>
  <c r="CI19" i="4" s="1"/>
  <c r="CI21" i="4" s="1"/>
  <c r="CI53" i="4" s="1"/>
  <c r="CH21" i="4"/>
  <c r="CH53" i="4" s="1"/>
  <c r="CG53" i="4"/>
  <c r="CJ17" i="4" l="1"/>
  <c r="CJ19" i="4" s="1"/>
  <c r="CJ21" i="4" s="1"/>
  <c r="CJ53" i="4" s="1"/>
  <c r="CK62" i="8"/>
  <c r="CK65" i="8" s="1"/>
  <c r="CK17" i="4" l="1"/>
  <c r="CK19" i="4" s="1"/>
  <c r="CK21" i="4" s="1"/>
  <c r="CK53" i="4" s="1"/>
  <c r="CL62" i="8"/>
  <c r="CL65" i="8" s="1"/>
  <c r="CL17" i="4" s="1"/>
  <c r="CL19" i="4" l="1"/>
  <c r="CM17" i="4"/>
  <c r="CL21" i="4" l="1"/>
  <c r="CM19" i="4"/>
  <c r="CL53" i="4" l="1"/>
  <c r="CM21" i="4"/>
  <c r="CM53" i="4" s="1"/>
  <c r="AT9" i="5"/>
  <c r="AT24" i="5" s="1"/>
  <c r="AS42" i="2"/>
  <c r="AS99" i="4" s="1"/>
  <c r="AT42" i="2"/>
  <c r="AT53" i="2" s="1"/>
  <c r="AS49" i="8"/>
  <c r="AT49" i="8" s="1"/>
  <c r="AC37" i="7" l="1"/>
  <c r="AT68" i="2"/>
  <c r="AY53" i="2"/>
  <c r="AV99" i="4"/>
  <c r="AC60" i="7"/>
  <c r="AC20" i="7"/>
  <c r="AS68" i="2"/>
  <c r="AW100" i="4"/>
  <c r="AX53" i="2"/>
  <c r="AV100" i="4"/>
  <c r="AU100" i="4"/>
  <c r="AS53" i="2"/>
  <c r="AS100" i="4"/>
  <c r="AW99" i="4"/>
  <c r="AU99" i="4"/>
  <c r="AT69" i="2" l="1"/>
  <c r="AY69" i="2"/>
  <c r="AC59" i="7"/>
  <c r="AC38" i="7"/>
  <c r="AS69" i="2"/>
  <c r="AX69" i="2"/>
  <c r="AT29" i="5"/>
  <c r="AT32" i="5"/>
  <c r="AT43" i="5" s="1"/>
  <c r="AT45" i="5" s="1"/>
  <c r="AT48" i="5" s="1"/>
  <c r="AT49" i="5" s="1"/>
  <c r="AS48" i="8"/>
  <c r="AS47" i="8" s="1"/>
  <c r="AT47" i="8" s="1"/>
  <c r="AC21" i="7"/>
  <c r="AC22" i="7" s="1"/>
  <c r="AC23" i="7" s="1"/>
  <c r="AT48" i="8" l="1"/>
  <c r="AT50" i="8" s="1"/>
  <c r="AT62" i="5"/>
  <c r="AT64" i="5" s="1"/>
  <c r="AY63" i="5"/>
  <c r="AX63" i="5"/>
  <c r="AS60" i="5"/>
  <c r="AS48" i="5"/>
  <c r="AS49" i="5" s="1"/>
  <c r="AS52" i="5" s="1"/>
  <c r="AS55" i="5" s="1"/>
  <c r="AY47" i="5"/>
  <c r="AY49" i="5" s="1"/>
  <c r="AT52" i="5"/>
  <c r="AT55" i="5" s="1"/>
  <c r="AT63" i="5"/>
  <c r="AC72" i="7"/>
  <c r="AC29" i="7"/>
  <c r="AC26" i="7"/>
  <c r="AC24" i="7"/>
  <c r="AC25" i="7" s="1"/>
  <c r="AT66" i="5" l="1"/>
  <c r="AU47" i="5"/>
  <c r="AU49" i="5" s="1"/>
  <c r="AU52" i="5" s="1"/>
  <c r="AU55" i="5" s="1"/>
  <c r="AT67" i="5"/>
  <c r="AY67" i="5"/>
  <c r="AY52" i="5"/>
  <c r="AY55" i="5" s="1"/>
  <c r="BD47" i="5"/>
  <c r="BD49" i="5" s="1"/>
  <c r="AC30" i="7"/>
  <c r="AC31" i="7"/>
  <c r="AV47" i="5" l="1"/>
  <c r="AV49" i="5" s="1"/>
  <c r="AV52" i="5" s="1"/>
  <c r="AV55" i="5" s="1"/>
  <c r="BD52" i="5"/>
  <c r="BD55" i="5" s="1"/>
  <c r="BI47" i="5"/>
  <c r="BI49" i="5" s="1"/>
  <c r="AW47" i="5" l="1"/>
  <c r="AW49" i="5" s="1"/>
  <c r="AX47" i="5" s="1"/>
  <c r="AX49" i="5" s="1"/>
  <c r="BN47" i="5"/>
  <c r="BN49" i="5" s="1"/>
  <c r="BI52" i="5"/>
  <c r="BI55" i="5" s="1"/>
  <c r="AW52" i="5" l="1"/>
  <c r="AW55" i="5" s="1"/>
  <c r="AX52" i="5"/>
  <c r="AX55" i="5" s="1"/>
  <c r="AZ47" i="5"/>
  <c r="AZ49" i="5" s="1"/>
  <c r="BN52" i="5"/>
  <c r="BN55" i="5" s="1"/>
  <c r="BS47" i="5"/>
  <c r="BS49" i="5" s="1"/>
  <c r="AZ52" i="5" l="1"/>
  <c r="AZ55" i="5" s="1"/>
  <c r="BA47" i="5"/>
  <c r="BA49" i="5" s="1"/>
  <c r="BS52" i="5"/>
  <c r="BS55" i="5" s="1"/>
  <c r="BX47" i="5"/>
  <c r="BX49" i="5" s="1"/>
  <c r="BX52" i="5" l="1"/>
  <c r="BX55" i="5" s="1"/>
  <c r="CC47" i="5"/>
  <c r="CC49" i="5" s="1"/>
  <c r="BA52" i="5"/>
  <c r="BA55" i="5" s="1"/>
  <c r="BB47" i="5"/>
  <c r="BB49" i="5" s="1"/>
  <c r="CH47" i="5" l="1"/>
  <c r="CH49" i="5" s="1"/>
  <c r="CC52" i="5"/>
  <c r="CC55" i="5" s="1"/>
  <c r="BB52" i="5"/>
  <c r="BB55" i="5" s="1"/>
  <c r="BC47" i="5"/>
  <c r="BC49" i="5" s="1"/>
  <c r="BC52" i="5" l="1"/>
  <c r="BC55" i="5" s="1"/>
  <c r="BE47" i="5"/>
  <c r="BE49" i="5" s="1"/>
  <c r="CH52" i="5"/>
  <c r="CH55" i="5" s="1"/>
  <c r="CM47" i="5"/>
  <c r="CM49" i="5" s="1"/>
  <c r="CM52" i="5" s="1"/>
  <c r="CM55" i="5" s="1"/>
  <c r="BE52" i="5" l="1"/>
  <c r="BE55" i="5" s="1"/>
  <c r="BF47" i="5"/>
  <c r="BF49" i="5" s="1"/>
  <c r="BG47" i="5" l="1"/>
  <c r="BG49" i="5" s="1"/>
  <c r="BF52" i="5"/>
  <c r="BF55" i="5" s="1"/>
  <c r="BH47" i="5" l="1"/>
  <c r="BH49" i="5" s="1"/>
  <c r="BG52" i="5"/>
  <c r="BG55" i="5" s="1"/>
  <c r="BH52" i="5" l="1"/>
  <c r="BH55" i="5" s="1"/>
  <c r="BJ47" i="5"/>
  <c r="BJ49" i="5" s="1"/>
  <c r="BJ52" i="5" l="1"/>
  <c r="BJ55" i="5" s="1"/>
  <c r="BK47" i="5"/>
  <c r="BK49" i="5" s="1"/>
  <c r="BK52" i="5" l="1"/>
  <c r="BK55" i="5" s="1"/>
  <c r="BL47" i="5"/>
  <c r="BL49" i="5" s="1"/>
  <c r="BM47" i="5" l="1"/>
  <c r="BM49" i="5" s="1"/>
  <c r="BL52" i="5"/>
  <c r="BL55" i="5" s="1"/>
  <c r="BO47" i="5" l="1"/>
  <c r="BO49" i="5" s="1"/>
  <c r="BM52" i="5"/>
  <c r="BM55" i="5" s="1"/>
  <c r="BO52" i="5" l="1"/>
  <c r="BO55" i="5" s="1"/>
  <c r="BP47" i="5"/>
  <c r="BP49" i="5" s="1"/>
  <c r="BP52" i="5" l="1"/>
  <c r="BP55" i="5" s="1"/>
  <c r="BQ47" i="5"/>
  <c r="BQ49" i="5" s="1"/>
  <c r="BQ52" i="5" l="1"/>
  <c r="BQ55" i="5" s="1"/>
  <c r="BR47" i="5"/>
  <c r="BR49" i="5" s="1"/>
  <c r="BR52" i="5" l="1"/>
  <c r="BR55" i="5" s="1"/>
  <c r="BT47" i="5"/>
  <c r="BT49" i="5" s="1"/>
  <c r="BU47" i="5" l="1"/>
  <c r="BU49" i="5" s="1"/>
  <c r="BT52" i="5"/>
  <c r="BT55" i="5" s="1"/>
  <c r="BU52" i="5" l="1"/>
  <c r="BU55" i="5" s="1"/>
  <c r="BV47" i="5"/>
  <c r="BV49" i="5" s="1"/>
  <c r="BW47" i="5" l="1"/>
  <c r="BW49" i="5" s="1"/>
  <c r="BV52" i="5"/>
  <c r="BV55" i="5" s="1"/>
  <c r="BW52" i="5" l="1"/>
  <c r="BW55" i="5" s="1"/>
  <c r="BY47" i="5"/>
  <c r="BY49" i="5" s="1"/>
  <c r="BY52" i="5" l="1"/>
  <c r="BY55" i="5" s="1"/>
  <c r="BZ47" i="5"/>
  <c r="BZ49" i="5" s="1"/>
  <c r="BZ52" i="5" l="1"/>
  <c r="BZ55" i="5" s="1"/>
  <c r="CA47" i="5"/>
  <c r="CA49" i="5" s="1"/>
  <c r="CA52" i="5" l="1"/>
  <c r="CA55" i="5" s="1"/>
  <c r="CB47" i="5"/>
  <c r="CB49" i="5" s="1"/>
  <c r="CD47" i="5" l="1"/>
  <c r="CD49" i="5" s="1"/>
  <c r="CB52" i="5"/>
  <c r="CB55" i="5" s="1"/>
  <c r="CD52" i="5" l="1"/>
  <c r="CD55" i="5" s="1"/>
  <c r="CE47" i="5"/>
  <c r="CE49" i="5" s="1"/>
  <c r="CE52" i="5" l="1"/>
  <c r="CE55" i="5" s="1"/>
  <c r="CF47" i="5"/>
  <c r="CF49" i="5" s="1"/>
  <c r="CF52" i="5" l="1"/>
  <c r="CF55" i="5" s="1"/>
  <c r="CG47" i="5"/>
  <c r="CG49" i="5" s="1"/>
  <c r="CG52" i="5" l="1"/>
  <c r="CG55" i="5" s="1"/>
  <c r="CI47" i="5"/>
  <c r="CI49" i="5" s="1"/>
  <c r="CI52" i="5" l="1"/>
  <c r="CI55" i="5" s="1"/>
  <c r="CJ47" i="5"/>
  <c r="CJ49" i="5" s="1"/>
  <c r="CK47" i="5" l="1"/>
  <c r="CK49" i="5" s="1"/>
  <c r="CJ52" i="5"/>
  <c r="CJ55" i="5" s="1"/>
  <c r="CK52" i="5" l="1"/>
  <c r="CK55" i="5" s="1"/>
  <c r="CL47" i="5"/>
  <c r="CL49" i="5" s="1"/>
  <c r="CL52" i="5" s="1"/>
  <c r="CL55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Mercado, Christopher</author>
  </authors>
  <commentList>
    <comment ref="A1" authorId="0" shapeId="0" xr:uid="{D4B4E09A-5712-46CD-8EC0-AD43916D5071}">
      <text>
        <r>
          <rPr>
            <b/>
            <sz val="9"/>
            <color indexed="81"/>
            <rFont val="Tahoma"/>
            <family val="2"/>
          </rPr>
          <t>&lt;?xml version="1.0" encoding="utf-8"?&gt;&lt;Schema xmlns:xsd="http://www.w3.org/2001/XMLSchema" xmlns:xsi="http://www.w3.org/2001/XMLSchema-instance" Version="2" Timestamp="1771451734"&gt;&lt;FQL&gt;&lt;Q&gt;MYGN^FE_ESTIMATE(EPS_NONGAAP,MEAN,ANN_ROLL,2024,NOW,,,'')&lt;/Q&gt;&lt;R&gt;1&lt;/R&gt;&lt;C&gt;1&lt;/C&gt;&lt;D xsi:type="xsd:double"&gt;0.030833334&lt;/D&gt;&lt;/FQL&gt;&lt;FQL&gt;&lt;Q&gt;MYGN^FE_ESTIMATE(EPS_NONGAAP,MEAN,ANN_ROLL,2025,NOW,,,'')&lt;/Q&gt;&lt;R&gt;1&lt;/R&gt;&lt;C&gt;1&lt;/C&gt;&lt;D xsi:type="xsd:double"&gt;0.21583334&lt;/D&gt;&lt;/FQL&gt;&lt;FQL&gt;&lt;Q&gt;MYGN^FE_ESTIMATE(EPS_NONGAAP,MEAN,ANN_ROLL,2023,NOW,,,'')&lt;/Q&gt;&lt;R&gt;1&lt;/R&gt;&lt;C&gt;1&lt;/C&gt;&lt;D xsi:type="xsd:double"&gt;-0.27&lt;/D&gt;&lt;/FQL&gt;&lt;FQL&gt;&lt;Q&gt;MYGN^FE_ESTIMATE(EPS_NONGAAP,MEAN,ANN_ROLL,2022,NOW,,,'')&lt;/Q&gt;&lt;R&gt;1&lt;/R&gt;&lt;C&gt;1&lt;/C&gt;&lt;D xsi:type="xsd:double"&gt;-0.3&lt;/D&gt;&lt;/FQL&gt;&lt;FQL&gt;&lt;Q&gt;MYGN-US^FG_PRICE(45454)&lt;/Q&gt;&lt;R&gt;1&lt;/R&gt;&lt;C&gt;1&lt;/C&gt;&lt;D xsi:type="xsd:double"&gt;22.47&lt;/D&gt;&lt;/FQL&gt;&lt;FQL&gt;&lt;Q&gt;MYGN-US^FG_PRICE(45460)&lt;/Q&gt;&lt;R&gt;1&lt;/R&gt;&lt;C&gt;1&lt;/C&gt;&lt;D xsi:type="xsd:double"&gt;24.03&lt;/D&gt;&lt;/FQL&gt;&lt;/Schema&gt;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Trigani</author>
    <author>Peter Apockotos</author>
    <author>.</author>
    <author>Tong, Nelson</author>
    <author>Mercado, Christopher</author>
    <author>Brandon Couillard</author>
    <author>Stampler, Evan S.</author>
  </authors>
  <commentList>
    <comment ref="D7" authorId="0" shapeId="0" xr:uid="{00000000-0006-0000-0100-000016000000}">
      <text>
        <r>
          <rPr>
            <b/>
            <sz val="8"/>
            <color indexed="81"/>
            <rFont val="Tahoma"/>
            <family val="2"/>
          </rPr>
          <t>3Q18: Reported for previous year period (3Q17)</t>
        </r>
      </text>
    </comment>
    <comment ref="E7" authorId="0" shapeId="0" xr:uid="{23847A2A-23E0-444A-88B6-4438F5122B57}">
      <text>
        <r>
          <rPr>
            <b/>
            <sz val="8"/>
            <color indexed="81"/>
            <rFont val="Tahoma"/>
            <family val="2"/>
          </rPr>
          <t>4Q18: Reported for previous year period (4Q17)</t>
        </r>
      </text>
    </comment>
    <comment ref="F7" authorId="0" shapeId="0" xr:uid="{83EED957-9812-41CF-B5C6-69487A046B12}">
      <text>
        <r>
          <rPr>
            <b/>
            <sz val="8"/>
            <color indexed="81"/>
            <rFont val="Tahoma"/>
            <family val="2"/>
          </rPr>
          <t>4Q18: Reported for previous year (FY17)</t>
        </r>
      </text>
    </comment>
    <comment ref="G7" authorId="0" shapeId="0" xr:uid="{63D82A93-33C0-46D5-81E5-3A85FDD86863}">
      <text>
        <r>
          <rPr>
            <b/>
            <sz val="8"/>
            <color indexed="81"/>
            <rFont val="Tahoma"/>
            <family val="2"/>
          </rPr>
          <t>1Q19: Reported for previous year period (1Q18)</t>
        </r>
      </text>
    </comment>
    <comment ref="H7" authorId="0" shapeId="0" xr:uid="{2281B31D-2C6B-47D8-BB3B-F1AEBC52EF9A}">
      <text>
        <r>
          <rPr>
            <b/>
            <sz val="8"/>
            <color indexed="81"/>
            <rFont val="Tahoma"/>
            <family val="2"/>
          </rPr>
          <t xml:space="preserve">2Q19: Reported for previous year period (2Q18) </t>
        </r>
      </text>
    </comment>
    <comment ref="I7" authorId="0" shapeId="0" xr:uid="{BDCEF4E5-67B5-41BD-9D32-A5E7FAFA01E0}">
      <text>
        <r>
          <rPr>
            <b/>
            <sz val="8"/>
            <color indexed="81"/>
            <rFont val="Tahoma"/>
            <family val="2"/>
          </rPr>
          <t>3Q18: first quarter with SEC filing filed after IPO
(+) Precision oncology +78% y/y driven by volume and ASP</t>
        </r>
      </text>
    </comment>
    <comment ref="J7" authorId="0" shapeId="0" xr:uid="{7A01B321-D909-4468-82A1-0E0184893E50}">
      <text>
        <r>
          <rPr>
            <b/>
            <sz val="8"/>
            <color indexed="81"/>
            <rFont val="Tahoma"/>
            <family val="2"/>
          </rPr>
          <t xml:space="preserve">4Q18: IPO closed on Oct 9, 2018
included $2.1 million in Medicare paymentes from samples tested in prior periods
(+) precision oncology +98% y/y driven by volume and ASP
</t>
        </r>
      </text>
    </comment>
    <comment ref="K7" authorId="1" shapeId="0" xr:uid="{87547CC1-4DF8-46CC-BBF6-51ECAF9DE6D3}">
      <text>
        <r>
          <rPr>
            <b/>
            <sz val="8"/>
            <color indexed="81"/>
            <rFont val="Tahoma"/>
            <family val="2"/>
          </rPr>
          <t xml:space="preserve">3Q18: $82 million to $84 million  </t>
        </r>
      </text>
    </comment>
    <comment ref="M7" authorId="1" shapeId="0" xr:uid="{15CEED42-E8C1-4DB5-AB15-FBACE59521A4}">
      <text>
        <r>
          <rPr>
            <b/>
            <sz val="8"/>
            <color indexed="81"/>
            <rFont val="Tahoma"/>
            <family val="2"/>
          </rPr>
          <t xml:space="preserve">2Q19: 
(+) precision oncology +136% y/y driven by volume and ASP
</t>
        </r>
      </text>
    </comment>
    <comment ref="N7" authorId="1" shapeId="0" xr:uid="{FC2FC577-F672-4EC3-B811-EDFA55EEF89E}">
      <text>
        <r>
          <rPr>
            <b/>
            <sz val="8"/>
            <color indexed="81"/>
            <rFont val="Tahoma"/>
            <family val="2"/>
          </rPr>
          <t>3Q19: 
precision oncology +185% y/y 
driven by volume and ASP
incld. $5.5 million of delayed reimbursement due to payer's denials in 2018</t>
        </r>
      </text>
    </comment>
    <comment ref="O7" authorId="1" shapeId="0" xr:uid="{0EFFD237-57CD-4672-9830-BC39B54C5D86}">
      <text>
        <r>
          <rPr>
            <b/>
            <sz val="8"/>
            <color indexed="81"/>
            <rFont val="Tahoma"/>
            <family val="2"/>
          </rPr>
          <t>4Q19: 
precision oncology +104% y/y 
driven by volume
incld. $1.3 million of delayed reimbursement due to payer's denials in 2018</t>
        </r>
      </text>
    </comment>
    <comment ref="P7" authorId="1" shapeId="0" xr:uid="{35D29EA5-7140-4035-9399-569F5881CED6}">
      <text>
        <r>
          <rPr>
            <b/>
            <sz val="8"/>
            <color indexed="81"/>
            <rFont val="Tahoma"/>
            <family val="2"/>
          </rPr>
          <t>3Q19: $202 million to $207 million  
2Q19: $180 million to $190 million  
1Q19: $145 million to $150 million  
pre 1Q19: $130 million to $135 million  
precision oncology +130% y/y 
driven by volume and ASP
incld. $6.8 million of delayed reimbursement due to payer's denials in 2018</t>
        </r>
      </text>
    </comment>
    <comment ref="Q7" authorId="1" shapeId="0" xr:uid="{0D68BFE7-F521-48EA-AD70-3B2D75312D77}">
      <text>
        <r>
          <rPr>
            <b/>
            <sz val="8"/>
            <color indexed="81"/>
            <rFont val="Tahoma"/>
            <family val="2"/>
          </rPr>
          <t xml:space="preserve">1Q20: 
precision oncology +109% y/y driven by volume and ASP
</t>
        </r>
      </text>
    </comment>
    <comment ref="R7" authorId="1" shapeId="0" xr:uid="{93240265-58D0-4028-948E-F9399A2FFB2A}">
      <text>
        <r>
          <rPr>
            <b/>
            <sz val="8"/>
            <color indexed="81"/>
            <rFont val="Tahoma"/>
            <family val="2"/>
          </rPr>
          <t>2Q20: 
precision oncology +21% y/y driven by ASP</t>
        </r>
      </text>
    </comment>
    <comment ref="S7" authorId="1" shapeId="0" xr:uid="{9367216C-4149-4394-A45E-36B55F041E11}">
      <text>
        <r>
          <rPr>
            <b/>
            <sz val="8"/>
            <color indexed="81"/>
            <rFont val="Tahoma"/>
            <family val="2"/>
          </rPr>
          <t>3Q20: 
precision oncology +16% y/y driven by ASP</t>
        </r>
      </text>
    </comment>
    <comment ref="T7" authorId="1" shapeId="0" xr:uid="{4196142F-9202-43C8-9756-1200E8F5C2D4}">
      <text>
        <r>
          <rPr>
            <b/>
            <sz val="8"/>
            <color indexed="81"/>
            <rFont val="Tahoma"/>
            <family val="2"/>
          </rPr>
          <t>2Q20: 
precision oncology rev +13% y/y driven by clinical testing revenue</t>
        </r>
      </text>
    </comment>
    <comment ref="U7" authorId="1" shapeId="0" xr:uid="{F9A2218F-6E88-4108-A18C-B1712BBFE0BC}">
      <text>
        <r>
          <rPr>
            <b/>
            <sz val="8"/>
            <color indexed="81"/>
            <rFont val="Tahoma"/>
            <family val="2"/>
          </rPr>
          <t xml:space="preserve">4Q20: precision oncology rev +13% y/y 
driven by clinical testing rev
1Q20: 2020 rev guide withdrawn due to COVID-19 impact
4Q19: $275 million to $285 million  
</t>
        </r>
      </text>
    </comment>
    <comment ref="V7" authorId="1" shapeId="0" xr:uid="{AC1E22EA-F854-479C-8EC2-E8E5DFC3AD86}">
      <text>
        <r>
          <rPr>
            <b/>
            <sz val="8"/>
            <color indexed="81"/>
            <rFont val="Tahoma"/>
            <family val="2"/>
          </rPr>
          <t>1Q21: 
precision oncology +6% y/y driven by clinical testing revenue</t>
        </r>
      </text>
    </comment>
    <comment ref="W7" authorId="1" shapeId="0" xr:uid="{53927981-A6D7-455F-9860-40350289A7C8}">
      <text>
        <r>
          <rPr>
            <b/>
            <sz val="8"/>
            <color indexed="81"/>
            <rFont val="Tahoma"/>
            <family val="2"/>
          </rPr>
          <t>2Q21: 
precision oncology +42% y/y driven by clinincal testing revenue</t>
        </r>
      </text>
    </comment>
    <comment ref="X7" authorId="1" shapeId="0" xr:uid="{92FA02C2-022D-466C-A65B-E3B119A7833C}">
      <text>
        <r>
          <rPr>
            <b/>
            <sz val="8"/>
            <color indexed="81"/>
            <rFont val="Tahoma"/>
            <family val="2"/>
          </rPr>
          <t>3Q21: 
precision oncology +30% y/y driven by clinical testing revenue</t>
        </r>
      </text>
    </comment>
    <comment ref="Y7" authorId="1" shapeId="0" xr:uid="{EF1CB713-71BC-43A1-9F9D-435CCF8791C7}">
      <text>
        <r>
          <rPr>
            <b/>
            <sz val="8"/>
            <color indexed="81"/>
            <rFont val="Tahoma"/>
            <family val="2"/>
          </rPr>
          <t>4Q21: 
precision oncology revenue +37% y/y driven by clinical testing revenue</t>
        </r>
      </text>
    </comment>
    <comment ref="Z7" authorId="1" shapeId="0" xr:uid="{1946147E-3993-4551-AD7B-AB4C71964178}">
      <text>
        <r>
          <rPr>
            <b/>
            <sz val="8"/>
            <color indexed="81"/>
            <rFont val="Tahoma"/>
            <family val="2"/>
          </rPr>
          <t xml:space="preserve">3Q21: $360 million to $370 million  
2Q21: $360 million to $370 million  
1Q21: $360 million to $370 million  
4Q20: $360 million to $370 million  </t>
        </r>
      </text>
    </comment>
    <comment ref="AA7" authorId="1" shapeId="0" xr:uid="{E7F86AD0-A5A6-453D-9F16-8DC6D45B6AD4}">
      <text>
        <r>
          <rPr>
            <b/>
            <sz val="8"/>
            <color indexed="81"/>
            <rFont val="Tahoma"/>
            <family val="2"/>
          </rPr>
          <t>1Q22: 
precision oncology +32% y/y 
+driven by volume in both clinical testing and biopharma sample</t>
        </r>
      </text>
    </comment>
    <comment ref="AB7" authorId="1" shapeId="0" xr:uid="{C71E50A1-579B-49FB-BE88-12FB9276B365}">
      <text>
        <r>
          <rPr>
            <b/>
            <sz val="8"/>
            <color indexed="81"/>
            <rFont val="Tahoma"/>
            <family val="2"/>
          </rPr>
          <t>2Q22: 
precision oncology +27% y/y 
+driven by volume in both clinical testing and biopharma sample</t>
        </r>
      </text>
    </comment>
    <comment ref="AC7" authorId="1" shapeId="0" xr:uid="{96362704-021A-45CF-B1E5-2E7856CE44CA}">
      <text>
        <r>
          <rPr>
            <b/>
            <sz val="8"/>
            <color indexed="81"/>
            <rFont val="Tahoma"/>
            <family val="2"/>
          </rPr>
          <t>3Q22: 
precision oncology +29% y/y 
+driven by volume in both clinical testingl and biopharma sample</t>
        </r>
      </text>
    </comment>
    <comment ref="AD7" authorId="1" shapeId="0" xr:uid="{F56C6145-8888-4802-B899-38EB6B1CAAC8}">
      <text>
        <r>
          <rPr>
            <b/>
            <sz val="8"/>
            <color indexed="81"/>
            <rFont val="Tahoma"/>
            <family val="2"/>
          </rPr>
          <t>4Q22: 
precision oncology +28% y/y 
+driven by volume in both clinical testingl and biopharma sample</t>
        </r>
      </text>
    </comment>
    <comment ref="AE7" authorId="1" shapeId="0" xr:uid="{96068E7F-8A94-4207-8270-61B95B14AD8B}">
      <text>
        <r>
          <rPr>
            <b/>
            <sz val="8"/>
            <color indexed="81"/>
            <rFont val="Tahoma"/>
            <family val="2"/>
          </rPr>
          <t xml:space="preserve">3Q22: $440 million to $450 million  
2Q22: $460 million to $470 million  
1Q22: $460 million to $470 million  
</t>
        </r>
      </text>
    </comment>
    <comment ref="AF7" authorId="1" shapeId="0" xr:uid="{A9955F9C-A3C6-4DF3-AA1C-C715E491329D}">
      <text>
        <r>
          <rPr>
            <b/>
            <sz val="8"/>
            <color indexed="81"/>
            <rFont val="Tahoma"/>
            <family val="2"/>
          </rPr>
          <t xml:space="preserve">1Q23: precision oncology +35% y/y 
+driven by volume in both clinical testing and biopharma sample
</t>
        </r>
      </text>
    </comment>
    <comment ref="AG7" authorId="1" shapeId="0" xr:uid="{BE55B07D-C9D5-4933-9E43-F89F8EB8156C}">
      <text>
        <r>
          <rPr>
            <b/>
            <sz val="8"/>
            <color indexed="81"/>
            <rFont val="Tahoma"/>
            <family val="2"/>
          </rPr>
          <t>2Q23: precision oncology +36% y/y 
+driven by volume in both clinical testing and biopharma sample</t>
        </r>
      </text>
    </comment>
    <comment ref="AH7" authorId="1" shapeId="0" xr:uid="{B317339C-2412-4067-A97A-4F5FBA1C5C6A}">
      <text>
        <r>
          <rPr>
            <b/>
            <sz val="8"/>
            <color indexed="81"/>
            <rFont val="Tahoma"/>
            <family val="2"/>
          </rPr>
          <t xml:space="preserve">3Q23: precision oncology +31% y/y 
+driven by volume in both clinical testing and biopharma sample
</t>
        </r>
      </text>
    </comment>
    <comment ref="AI7" authorId="1" shapeId="0" xr:uid="{B568FDBF-9D96-410D-9D43-D039987014B0}">
      <text>
        <r>
          <rPr>
            <b/>
            <sz val="8"/>
            <color indexed="81"/>
            <rFont val="Tahoma"/>
            <family val="2"/>
          </rPr>
          <t xml:space="preserve">4Q23: precision oncology +25% y/y 
+driven by volume in both clinical testing and biopharma sample
</t>
        </r>
      </text>
    </comment>
    <comment ref="AJ7" authorId="2" shapeId="0" xr:uid="{24F55612-E579-4332-928F-D3B90BA2990B}">
      <text>
        <r>
          <rPr>
            <b/>
            <sz val="8"/>
            <color indexed="81"/>
            <rFont val="Tahoma"/>
            <family val="2"/>
          </rPr>
          <t>3Q23: $553 million to $556 million
2Q23: $545 million to $550 million
1Q23: $535 million to $545 million
4Q22: $525 million to $540 million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7" authorId="1" shapeId="0" xr:uid="{504463B6-4C28-49DA-9883-DB25540305AA}">
      <text>
        <r>
          <rPr>
            <b/>
            <sz val="8"/>
            <color indexed="81"/>
            <rFont val="Tahoma"/>
            <family val="2"/>
          </rPr>
          <t xml:space="preserve">1Q24: precision oncology +38% y/y 
+driven by volume in both clinical and biopharma testing and reimbursement rate
</t>
        </r>
      </text>
    </comment>
    <comment ref="AL7" authorId="1" shapeId="0" xr:uid="{A5497601-0810-466D-89BF-64B0CAB68765}">
      <text>
        <r>
          <rPr>
            <b/>
            <sz val="8"/>
            <color indexed="81"/>
            <rFont val="Tahoma"/>
            <family val="2"/>
          </rPr>
          <t xml:space="preserve">2Q24: 
precision oncology +33% y/y driven by volume in both clinical and biopharma testing &amp;  reimbursement rate
</t>
        </r>
      </text>
    </comment>
    <comment ref="AM7" authorId="1" shapeId="0" xr:uid="{5F8D6E7B-7942-482F-8CA8-23B66D9B54F2}">
      <text>
        <r>
          <rPr>
            <b/>
            <sz val="8"/>
            <color indexed="81"/>
            <rFont val="Tahoma"/>
            <family val="2"/>
          </rPr>
          <t>3Q24: 34% y/y growth
(+) precision oncology +35% y/y on Guardant360 reimbursement and volume growth (due to Smart Liquid Biopsy)</t>
        </r>
      </text>
    </comment>
    <comment ref="AO7" authorId="3" shapeId="0" xr:uid="{36F312A7-2526-4F8E-89C4-E4A1DF9E4DF6}">
      <text>
        <r>
          <rPr>
            <b/>
            <sz val="8"/>
            <color indexed="81"/>
            <rFont val="Tahoma"/>
            <family val="2"/>
          </rPr>
          <t>3Q24: $720 million to $725 million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2Q24: $690 million to $700 million
</t>
        </r>
      </text>
    </comment>
    <comment ref="AS7" authorId="4" shapeId="0" xr:uid="{A9E5BAF2-7C37-4B2B-B4DC-B173D364BADA}">
      <text>
        <r>
          <rPr>
            <b/>
            <sz val="8"/>
            <color indexed="81"/>
            <rFont val="Tahoma"/>
            <family val="2"/>
          </rPr>
          <t>JPM '26: $280M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T7" authorId="3" shapeId="0" xr:uid="{BC10A6C7-0D03-4283-B480-60C5F1C1CCFA}">
      <text>
        <r>
          <rPr>
            <b/>
            <sz val="8"/>
            <color indexed="81"/>
            <rFont val="Tahoma"/>
            <family val="2"/>
          </rPr>
          <t>JPM '26: $981million
3Q25: 965 million to $970 million
2Q25: $915 million to $925 million
1Q25: $880-$890 mn
4Q24: $850 million to $860 million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Y7" authorId="4" shapeId="0" xr:uid="{CB4699A7-1346-4AB0-84B3-48EFE0F50299}">
      <text>
        <r>
          <rPr>
            <b/>
            <sz val="8"/>
            <color indexed="81"/>
            <rFont val="Tahoma"/>
            <family val="2"/>
          </rPr>
          <t>4Q25: $1.25B- $1.28B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I7" authorId="5" shapeId="0" xr:uid="{FA850944-1902-4DF5-A467-77C4D2EF650C}">
      <text>
        <r>
          <rPr>
            <b/>
            <sz val="8"/>
            <color indexed="81"/>
            <rFont val="Tahoma"/>
            <family val="2"/>
          </rPr>
          <t>Seo 2025, CMD: $2.2 billion
Sep 2023, CMD: 
&gt;$2 billion</t>
        </r>
      </text>
    </comment>
    <comment ref="AF9" authorId="1" shapeId="0" xr:uid="{35A6EC1C-2C25-4769-9C21-565CC4D3CF66}">
      <text>
        <r>
          <rPr>
            <b/>
            <sz val="8"/>
            <color indexed="81"/>
            <rFont val="Tahoma"/>
            <family val="2"/>
          </rPr>
          <t>1Q23: 1st quarter to provide non-cash adjustment to cost of development services segment</t>
        </r>
      </text>
    </comment>
    <comment ref="AJ13" authorId="2" shapeId="0" xr:uid="{742B8FEC-7513-4891-AA83-A6EBF8A5DE9C}">
      <text>
        <r>
          <rPr>
            <b/>
            <sz val="8"/>
            <color indexed="81"/>
            <rFont val="Tahoma"/>
            <family val="2"/>
          </rPr>
          <t>3Q23: FY23 OpEx &lt; FY22 OpEx
2Q23: FY23 OpEx &lt; FY22 OpEx
1Q23: FY23 OpEx &lt; FY22 OpEx
4Q22: FY23 OpEx &lt; FY22 OpEx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T13" authorId="3" shapeId="0" xr:uid="{7D4EEFCA-A42E-418C-A2D3-1F6787AD5992}">
      <text>
        <r>
          <rPr>
            <b/>
            <sz val="8"/>
            <color indexed="81"/>
            <rFont val="Tahoma"/>
            <family val="2"/>
          </rPr>
          <t>2Q25: flat y/y
4Q24: flat y/y</t>
        </r>
      </text>
    </comment>
    <comment ref="AJ14" authorId="2" shapeId="0" xr:uid="{43A075DC-5BFC-45A4-B0FD-2C6927CAD843}">
      <text>
        <r>
          <rPr>
            <b/>
            <sz val="8"/>
            <color indexed="81"/>
            <rFont val="Tahoma"/>
            <family val="2"/>
          </rPr>
          <t>3Q23: FY23 OpEx &lt; FY22 OpEx
2Q23: FY23 OpEx &lt; FY22 OpEx
1Q23: FY23 OpEx &lt; FY22 OpEx
4Q22: FY23 OpEx &lt; FY22 OpEx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T15" authorId="3" shapeId="0" xr:uid="{66BE8328-598C-4AF5-99E0-9D5848D06EF1}">
      <text>
        <r>
          <rPr>
            <b/>
            <sz val="8"/>
            <color indexed="81"/>
            <rFont val="Tahoma"/>
            <family val="2"/>
          </rPr>
          <t>2Q25: flat y/y
4Q24: flat y/y</t>
        </r>
      </text>
    </comment>
    <comment ref="AT16" authorId="6" shapeId="0" xr:uid="{A6D55F77-6FC2-470C-BD77-477B037E60F9}">
      <text>
        <r>
          <rPr>
            <b/>
            <sz val="8"/>
            <color indexed="81"/>
            <rFont val="Tahoma"/>
            <family val="2"/>
          </rPr>
          <t>3Q25: $865 million to $875 million
2Q25: $840 mn to $850 mn
1Q25: $830-$840 mn
4Q24: $815-$825 mn</t>
        </r>
      </text>
    </comment>
    <comment ref="AY16" authorId="4" shapeId="0" xr:uid="{9B2A74D4-744F-488D-811E-CD33AA58CFEE}">
      <text>
        <r>
          <rPr>
            <b/>
            <sz val="8"/>
            <color indexed="81"/>
            <rFont val="Tahoma"/>
            <family val="2"/>
          </rPr>
          <t xml:space="preserve">4Q25: $1.03B- $1.05B
</t>
        </r>
      </text>
    </comment>
    <comment ref="AI29" authorId="3" shapeId="0" xr:uid="{1046207B-88DE-483E-94BF-BD2B2E0B48BE}">
      <text>
        <r>
          <rPr>
            <b/>
            <sz val="8"/>
            <color indexed="81"/>
            <rFont val="Tahoma"/>
            <family val="2"/>
          </rPr>
          <t>4Q24: driven by $83.4 million of non-recuring legal expense</t>
        </r>
      </text>
    </comment>
    <comment ref="P31" authorId="1" shapeId="0" xr:uid="{C404EC02-3733-45CD-ADAA-7C13284CC973}">
      <text>
        <r>
          <rPr>
            <b/>
            <sz val="8"/>
            <color indexed="81"/>
            <rFont val="Tahoma"/>
            <family val="2"/>
          </rPr>
          <t xml:space="preserve">4Q18: $126 million to $129 million  
</t>
        </r>
      </text>
    </comment>
    <comment ref="AG31" authorId="3" shapeId="0" xr:uid="{40F382CC-802A-4BCA-BF54-C4FC27D056DF}">
      <text>
        <r>
          <rPr>
            <b/>
            <sz val="8"/>
            <color indexed="81"/>
            <rFont val="Tahoma"/>
            <family val="2"/>
          </rPr>
          <t>2Q23: net loss reduced y/y due to one time adjustments (gain in stake in Lunit).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37" authorId="1" shapeId="0" xr:uid="{9A18AF88-CE08-4C2D-9952-5FDDC8DEF0FC}">
      <text>
        <r>
          <rPr>
            <b/>
            <sz val="8"/>
            <color indexed="81"/>
            <rFont val="Tahoma"/>
            <family val="2"/>
          </rPr>
          <t>11/9/20: -$0.15
       -$0.05c impact from amended tax accounting</t>
        </r>
      </text>
    </comment>
    <comment ref="AM40" authorId="1" shapeId="0" xr:uid="{4AE4E41B-C4D3-4E8C-A5AF-C01DA293830E}">
      <text>
        <r>
          <rPr>
            <b/>
            <sz val="8"/>
            <color indexed="81"/>
            <rFont val="Tahoma"/>
            <family val="2"/>
          </rPr>
          <t>3Q24: loss of $0.88 per share
y/y increase in net loss was due to $18.3 million increase in net unrealized and realized losses for investment in Lunit, Inc.</t>
        </r>
      </text>
    </comment>
    <comment ref="AT45" authorId="5" shapeId="0" xr:uid="{B17BC4BB-F32D-4AF3-965F-EB85501927E7}">
      <text>
        <r>
          <rPr>
            <b/>
            <sz val="8"/>
            <color indexed="81"/>
            <rFont val="Tahoma"/>
            <family val="2"/>
          </rPr>
          <t>3Q25: +31%
2Q25: +24-25%
1Q25: +19-20%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T60" authorId="6" shapeId="0" xr:uid="{C3ECB595-FDC3-4F1F-8FF1-3C33E66B278F}">
      <text>
        <r>
          <rPr>
            <b/>
            <sz val="8"/>
            <color indexed="81"/>
            <rFont val="Tahoma"/>
            <family val="2"/>
          </rPr>
          <t>3Q25: 64% to 65%
2Q25: 63-64%
1Q25: 62-63%
4Q24: 62-63%</t>
        </r>
      </text>
    </comment>
    <comment ref="AY60" authorId="4" shapeId="0" xr:uid="{4754E812-C514-4AD1-AE7F-E59F41A89289}">
      <text>
        <r>
          <rPr>
            <b/>
            <sz val="8"/>
            <color indexed="81"/>
            <rFont val="Tahoma"/>
            <family val="2"/>
          </rPr>
          <t>4Q25: 64- 65%</t>
        </r>
      </text>
    </comment>
    <comment ref="BI60" authorId="4" shapeId="0" xr:uid="{EECA1495-BB04-4F13-84C0-FC137D156DC2}">
      <text>
        <r>
          <rPr>
            <b/>
            <sz val="8"/>
            <color indexed="81"/>
            <rFont val="Tahoma"/>
            <family val="2"/>
          </rPr>
          <t>Sep 2025, CMD: 
65% to 70%</t>
        </r>
      </text>
    </comment>
    <comment ref="AY68" authorId="5" shapeId="0" xr:uid="{6BAE2C8D-5179-4088-96EF-9DA1454CE969}">
      <text>
        <r>
          <rPr>
            <b/>
            <sz val="8"/>
            <color indexed="81"/>
            <rFont val="Tahoma"/>
            <family val="2"/>
          </rPr>
          <t>10/9/24: 10%+ in 2026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Mercado, Christopher</author>
    <author>Stampler, Evan S.</author>
    <author>Brandon Couillard</author>
    <author>Tong, Nelson</author>
    <author>Couillard, Brandon</author>
  </authors>
  <commentList>
    <comment ref="AS10" authorId="0" shapeId="0" xr:uid="{9F3390FD-FF3D-43A2-9E42-423F586A71C8}">
      <text>
        <r>
          <rPr>
            <b/>
            <sz val="8"/>
            <color indexed="81"/>
            <rFont val="Tahoma"/>
            <family val="2"/>
          </rPr>
          <t>JPM '26: 79,000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T10" authorId="0" shapeId="0" xr:uid="{A694D0B9-2873-479C-9125-E1D297D757A6}">
      <text>
        <r>
          <rPr>
            <b/>
            <sz val="8"/>
            <color indexed="81"/>
            <rFont val="Tahoma"/>
            <family val="2"/>
          </rPr>
          <t>JPM '26: 276K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T11" authorId="1" shapeId="0" xr:uid="{783ADDC7-8142-4D6D-B145-A34343CD3AE7}">
      <text>
        <r>
          <rPr>
            <b/>
            <sz val="8"/>
            <color indexed="81"/>
            <rFont val="Tahoma"/>
            <family val="2"/>
          </rPr>
          <t>3Q25: &gt;30%
2Q25: &gt;27%
1Q25: &gt;25%
4Q24: +~25%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11" authorId="0" shapeId="0" xr:uid="{C43C619E-9408-405F-AFCE-563A92E8D80D}">
      <text>
        <r>
          <rPr>
            <b/>
            <sz val="8"/>
            <color indexed="81"/>
            <rFont val="Tahoma"/>
            <family val="2"/>
          </rPr>
          <t xml:space="preserve">4Q25: ~30%
</t>
        </r>
      </text>
    </comment>
    <comment ref="AQ16" authorId="2" shapeId="0" xr:uid="{8D4F3AB1-4375-4034-9535-2FA069AC1843}">
      <text>
        <r>
          <rPr>
            <b/>
            <sz val="8"/>
            <color indexed="81"/>
            <rFont val="Tahoma"/>
            <family val="2"/>
          </rPr>
          <t>2Q25: 16,000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16" authorId="0" shapeId="0" xr:uid="{2B9CF0AE-A1B7-434E-AF5C-1336DDE4BAB1}">
      <text>
        <r>
          <rPr>
            <b/>
            <sz val="8"/>
            <color indexed="81"/>
            <rFont val="Tahoma"/>
            <family val="2"/>
          </rPr>
          <t>JPM '26: 38,000</t>
        </r>
      </text>
    </comment>
    <comment ref="AT16" authorId="1" shapeId="0" xr:uid="{B160EF63-B24F-49EC-A1AC-3FE7323AB7A3}">
      <text>
        <r>
          <rPr>
            <b/>
            <sz val="9"/>
            <color indexed="81"/>
            <rFont val="Tahoma"/>
            <family val="2"/>
          </rPr>
          <t>JPM '26: 87K
3Q25: 80-82K
2Q25: 68-73k
1Q25: 52-58k
4Q24: 45k-50k</t>
        </r>
      </text>
    </comment>
    <comment ref="AY16" authorId="0" shapeId="0" xr:uid="{4646A389-D7F8-4F46-B698-C685F5F01C53}">
      <text>
        <r>
          <rPr>
            <b/>
            <sz val="8"/>
            <color indexed="81"/>
            <rFont val="Tahoma"/>
            <family val="2"/>
          </rPr>
          <t>4Q25: 210,000 to 225,000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I24" authorId="0" shapeId="0" xr:uid="{92560BC2-B855-4D47-BC29-316FB8D8A013}">
      <text>
        <r>
          <rPr>
            <b/>
            <sz val="8"/>
            <color indexed="81"/>
            <rFont val="Tahoma"/>
            <family val="2"/>
          </rPr>
          <t>9/24/25, CMD: ~$1.4B</t>
        </r>
      </text>
    </comment>
    <comment ref="AT25" authorId="1" shapeId="0" xr:uid="{33971CF3-8344-4277-B3FA-BFFF248BDAB6}">
      <text>
        <r>
          <rPr>
            <b/>
            <sz val="8"/>
            <color indexed="81"/>
            <rFont val="Tahoma"/>
            <family val="2"/>
          </rPr>
          <t>3Q25- 25% y/y
2Q25: +20%
1Q25: +18%</t>
        </r>
      </text>
    </comment>
    <comment ref="AY25" authorId="0" shapeId="0" xr:uid="{79639817-314B-447F-B938-5069768E6518}">
      <text>
        <r>
          <rPr>
            <b/>
            <sz val="8"/>
            <color indexed="81"/>
            <rFont val="Tahoma"/>
            <family val="2"/>
          </rPr>
          <t xml:space="preserve">4Q25: +25% to +27% y/y
</t>
        </r>
      </text>
    </comment>
    <comment ref="AT27" authorId="1" shapeId="0" xr:uid="{32BED99E-B9BB-47DE-80D8-E6C51417E7C0}">
      <text>
        <r>
          <rPr>
            <b/>
            <sz val="9"/>
            <color indexed="81"/>
            <rFont val="Tahoma"/>
            <family val="2"/>
          </rPr>
          <t>3Q25- Mid teens
2Q25: +mid-teens
1Q25: +LDDs
4Q24: +LDDs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I27" authorId="0" shapeId="0" xr:uid="{BB0DBE41-24AA-456A-9B4C-2AC5676C2FC7}">
      <text>
        <r>
          <rPr>
            <b/>
            <sz val="8"/>
            <color indexed="81"/>
            <rFont val="Tahoma"/>
            <family val="2"/>
          </rPr>
          <t>9/24/25, CMD: ~$300M</t>
        </r>
      </text>
    </comment>
    <comment ref="AY28" authorId="0" shapeId="0" xr:uid="{F3670081-1487-4BAB-A447-7C65F42B632B}">
      <text>
        <r>
          <rPr>
            <b/>
            <sz val="8"/>
            <color indexed="81"/>
            <rFont val="Tahoma"/>
            <family val="2"/>
          </rPr>
          <t xml:space="preserve">4Q25: +LDD
</t>
        </r>
      </text>
    </comment>
    <comment ref="AT30" authorId="1" shapeId="0" xr:uid="{16252FAB-28EE-4244-9FDE-2B36ACCE5692}">
      <text>
        <r>
          <rPr>
            <b/>
            <sz val="9"/>
            <color indexed="81"/>
            <rFont val="Tahoma"/>
            <family val="2"/>
          </rPr>
          <t>Stampler, Evan S.:</t>
        </r>
        <r>
          <rPr>
            <sz val="9"/>
            <color indexed="81"/>
            <rFont val="Tahoma"/>
            <family val="2"/>
          </rPr>
          <t xml:space="preserve">
3Q25- $71- 73M
2Q25: $55-$60 mn
1Q25: $40-$45 mn
4Q24: $25-$30 mn</t>
        </r>
      </text>
    </comment>
    <comment ref="AU30" authorId="0" shapeId="0" xr:uid="{373CEAFB-97B8-4C6E-9253-7316010EE9E0}">
      <text>
        <r>
          <rPr>
            <b/>
            <sz val="9"/>
            <color indexed="81"/>
            <rFont val="Tahoma"/>
            <family val="2"/>
          </rPr>
          <t>4Q25</t>
        </r>
        <r>
          <rPr>
            <sz val="9"/>
            <color indexed="81"/>
            <rFont val="Tahoma"/>
            <family val="2"/>
          </rPr>
          <t xml:space="preserve">: some seasonality impact
</t>
        </r>
      </text>
    </comment>
    <comment ref="AY30" authorId="0" shapeId="0" xr:uid="{5B70EBB4-79FC-46E0-A923-B34D0C9EC2F1}">
      <text>
        <r>
          <rPr>
            <b/>
            <sz val="8"/>
            <color indexed="81"/>
            <rFont val="Tahoma"/>
            <family val="2"/>
          </rPr>
          <t>4Q25: $162 million to $174 million</t>
        </r>
      </text>
    </comment>
    <comment ref="BI30" authorId="2" shapeId="0" xr:uid="{A5CBBCAF-90F6-4C76-BA0D-647AC25A424E}">
      <text>
        <r>
          <rPr>
            <b/>
            <sz val="8"/>
            <color indexed="81"/>
            <rFont val="Tahoma"/>
            <family val="2"/>
          </rPr>
          <t>9/24/25, CMD: &gt;$500M
Sep 2023, CMD: 
&gt;1M tests and &gt;$500 million revs by 2028 (assumed USPSTF in 2026)</t>
        </r>
      </text>
    </comment>
    <comment ref="AS36" authorId="0" shapeId="0" xr:uid="{13CAC974-52D4-4EF4-8C8F-F17E87CC9C2E}">
      <text>
        <r>
          <rPr>
            <b/>
            <sz val="8"/>
            <color indexed="81"/>
            <rFont val="Tahoma"/>
            <family val="2"/>
          </rPr>
          <t xml:space="preserve">4Q25: </t>
        </r>
        <r>
          <rPr>
            <sz val="8"/>
            <color indexed="81"/>
            <rFont val="Tahoma"/>
            <family val="2"/>
          </rPr>
          <t>includes $18M out of period</t>
        </r>
        <r>
          <rPr>
            <b/>
            <sz val="8"/>
            <color indexed="81"/>
            <rFont val="Tahoma"/>
            <family val="2"/>
          </rPr>
          <t xml:space="preserve">
JPM '26: </t>
        </r>
        <r>
          <rPr>
            <sz val="8"/>
            <color indexed="81"/>
            <rFont val="Tahoma"/>
            <family val="2"/>
          </rPr>
          <t>$280M</t>
        </r>
      </text>
    </comment>
    <comment ref="AT36" authorId="1" shapeId="0" xr:uid="{8347FD77-94F6-433D-884D-9D71C0FBD15D}">
      <text>
        <r>
          <rPr>
            <b/>
            <sz val="9"/>
            <color indexed="81"/>
            <rFont val="Tahoma"/>
            <family val="2"/>
          </rPr>
          <t>JPM '26: $981M
3Q24- $965- 970M
2Q25: $915-$925 mn
1Q25: $880-$890 mn
4Q24: $850-$860 mn</t>
        </r>
      </text>
    </comment>
    <comment ref="AY36" authorId="0" shapeId="0" xr:uid="{FA0950F5-F4CE-495C-930D-F84ECE79E1EC}">
      <text>
        <r>
          <rPr>
            <b/>
            <sz val="8"/>
            <color indexed="81"/>
            <rFont val="Tahoma"/>
            <family val="2"/>
          </rPr>
          <t>4Q25: $1.25 billion to $1.28 billion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I36" authorId="2" shapeId="0" xr:uid="{3A344E88-F91C-4384-9AC4-CB203D81C1A0}">
      <text>
        <r>
          <rPr>
            <b/>
            <sz val="8"/>
            <color indexed="81"/>
            <rFont val="Tahoma"/>
            <family val="2"/>
          </rPr>
          <t>9/24/25, CMD: $2.2B
Sep 2023, CMD: 
&gt;$2 billion</t>
        </r>
      </text>
    </comment>
    <comment ref="AT37" authorId="1" shapeId="0" xr:uid="{2FCCA4F3-DBF9-4DF0-8659-05E83FD8EBD3}">
      <text>
        <r>
          <rPr>
            <b/>
            <sz val="8"/>
            <color indexed="81"/>
            <rFont val="Tahoma"/>
            <family val="2"/>
          </rPr>
          <t xml:space="preserve">2Q25: +24% to +25%
1Q25: +19% to +20%
</t>
        </r>
      </text>
    </comment>
    <comment ref="AM43" authorId="1" shapeId="0" xr:uid="{436F3C9B-5CE3-41D0-A94D-FC6D5113C96D}">
      <text>
        <r>
          <rPr>
            <b/>
            <sz val="9"/>
            <color indexed="81"/>
            <rFont val="Tahoma"/>
            <family val="2"/>
          </rPr>
          <t>Stampler, Evan S.:</t>
        </r>
        <r>
          <rPr>
            <sz val="9"/>
            <color indexed="81"/>
            <rFont val="Tahoma"/>
            <family val="2"/>
          </rPr>
          <t xml:space="preserve">
grew MSD seq</t>
        </r>
      </text>
    </comment>
    <comment ref="AQ44" authorId="3" shapeId="0" xr:uid="{514E391D-3D24-4009-BBB1-6A7C41EECBD3}">
      <text>
        <r>
          <rPr>
            <b/>
            <sz val="8"/>
            <color indexed="81"/>
            <rFont val="Tahoma"/>
            <family val="2"/>
          </rPr>
          <t>2Q25: G360 liquid volume growth &gt;20% y/y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44" authorId="0" shapeId="0" xr:uid="{CC787451-5AB3-4800-9B9A-E9F1C2B4941F}">
      <text>
        <r>
          <rPr>
            <b/>
            <sz val="8"/>
            <color indexed="81"/>
            <rFont val="Tahoma"/>
            <family val="2"/>
          </rPr>
          <t>4Q25: Nearly +30% y/y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44" authorId="0" shapeId="0" xr:uid="{A3A7EAAC-DA73-44B7-919B-1E9C8B38FEF1}">
      <text>
        <r>
          <rPr>
            <b/>
            <sz val="9"/>
            <color indexed="81"/>
            <rFont val="Tahoma"/>
            <family val="2"/>
          </rPr>
          <t>4Q25: at least 20%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47" authorId="0" shapeId="0" xr:uid="{443181DA-606E-4B10-90E8-72DB173E6B1F}">
      <text>
        <r>
          <rPr>
            <b/>
            <sz val="9"/>
            <color indexed="81"/>
            <rFont val="Tahoma"/>
            <family val="2"/>
          </rPr>
          <t xml:space="preserve">4Q25: </t>
        </r>
        <r>
          <rPr>
            <sz val="9"/>
            <color indexed="81"/>
            <rFont val="Tahoma"/>
            <family val="2"/>
          </rPr>
          <t>cont'd strong growth</t>
        </r>
      </text>
    </comment>
    <comment ref="AS50" authorId="0" shapeId="0" xr:uid="{06854862-22AB-49E3-97EE-55147F6587CC}">
      <text>
        <r>
          <rPr>
            <b/>
            <sz val="9"/>
            <color indexed="81"/>
            <rFont val="Tahoma"/>
            <family val="2"/>
          </rPr>
          <t xml:space="preserve">4Q25: </t>
        </r>
        <r>
          <rPr>
            <sz val="9"/>
            <color indexed="81"/>
            <rFont val="Tahoma"/>
            <family val="2"/>
          </rPr>
          <t xml:space="preserve">fastest grower
</t>
        </r>
      </text>
    </comment>
    <comment ref="AY50" authorId="0" shapeId="0" xr:uid="{3F5B13FA-E502-4B8F-A140-3743281BFE98}">
      <text>
        <r>
          <rPr>
            <b/>
            <sz val="9"/>
            <color indexed="81"/>
            <rFont val="Tahoma"/>
            <family val="2"/>
          </rPr>
          <t>4Q25: Fastest grower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T55" authorId="1" shapeId="0" xr:uid="{0B9C7BF5-81C0-4AB4-9A7C-F81F8292FF93}">
      <text>
        <r>
          <rPr>
            <b/>
            <sz val="9"/>
            <color indexed="81"/>
            <rFont val="Tahoma"/>
            <family val="2"/>
          </rPr>
          <t>2Q25: &gt;27%
1Q25: &gt;25%
4Q24: +~25%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60" authorId="1" shapeId="0" xr:uid="{76DF1DAB-A76C-40A2-97AC-2109F0FC3633}">
      <text>
        <r>
          <rPr>
            <b/>
            <sz val="8"/>
            <color indexed="81"/>
            <rFont val="Tahoma"/>
            <family val="2"/>
          </rPr>
          <t>2Q25: ASP ~ $3,000 to $3,100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60" authorId="0" shapeId="0" xr:uid="{04AB3365-DB64-4842-9BC5-86CECC2452B4}">
      <text>
        <r>
          <rPr>
            <b/>
            <sz val="9"/>
            <color indexed="81"/>
            <rFont val="Tahoma"/>
            <family val="2"/>
          </rPr>
          <t xml:space="preserve">3Q25: </t>
        </r>
        <r>
          <rPr>
            <sz val="9"/>
            <color indexed="81"/>
            <rFont val="Tahoma"/>
            <family val="2"/>
          </rPr>
          <t>ASP $3,000- $3,100</t>
        </r>
      </text>
    </comment>
    <comment ref="AS60" authorId="0" shapeId="0" xr:uid="{7BB00346-428D-4324-BE12-1E7A737A791B}">
      <text>
        <r>
          <rPr>
            <b/>
            <sz val="9"/>
            <color indexed="81"/>
            <rFont val="Tahoma"/>
            <family val="2"/>
          </rPr>
          <t xml:space="preserve">4Q25: </t>
        </r>
        <r>
          <rPr>
            <sz val="9"/>
            <color indexed="81"/>
            <rFont val="Tahoma"/>
            <family val="2"/>
          </rPr>
          <t>$3,000- $3,100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I60" authorId="2" shapeId="0" xr:uid="{F9F920AB-C4A1-4992-A4C3-4744130AF363}">
      <text>
        <r>
          <rPr>
            <b/>
            <sz val="8"/>
            <color indexed="81"/>
            <rFont val="Tahoma"/>
            <family val="2"/>
          </rPr>
          <t>Sep 2025, CMD: &gt;$3.3K
Sep 2023, CMD: 
&gt;$3,000 by 2028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63" authorId="1" shapeId="0" xr:uid="{EBCCF7B1-47C4-433B-A69E-CDDB72BBCF86}">
      <text>
        <r>
          <rPr>
            <b/>
            <sz val="8"/>
            <color indexed="81"/>
            <rFont val="Tahoma"/>
            <family val="2"/>
          </rPr>
          <t>2Q25: ASP ~$2,000 ('28 target 3 years ahead of schedule)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63" authorId="0" shapeId="0" xr:uid="{7F88C6C3-84E8-41C3-BC65-225B6E91C001}">
      <text>
        <r>
          <rPr>
            <b/>
            <sz val="9"/>
            <color indexed="81"/>
            <rFont val="Tahoma"/>
            <family val="2"/>
          </rPr>
          <t xml:space="preserve">3Q25: </t>
        </r>
        <r>
          <rPr>
            <sz val="9"/>
            <color indexed="81"/>
            <rFont val="Tahoma"/>
            <family val="2"/>
          </rPr>
          <t>ASP ~$2,000</t>
        </r>
      </text>
    </comment>
    <comment ref="AS63" authorId="0" shapeId="0" xr:uid="{4CA92143-2659-4463-81B4-DFB5D130C0E1}">
      <text>
        <r>
          <rPr>
            <b/>
            <sz val="9"/>
            <color indexed="81"/>
            <rFont val="Tahoma"/>
            <family val="2"/>
          </rPr>
          <t>4Q25:</t>
        </r>
        <r>
          <rPr>
            <sz val="9"/>
            <color indexed="81"/>
            <rFont val="Tahoma"/>
            <family val="2"/>
          </rPr>
          <t xml:space="preserve"> ~$2,000
</t>
        </r>
      </text>
    </comment>
    <comment ref="BI63" authorId="2" shapeId="0" xr:uid="{2B189E6C-13DA-4503-9B9C-3C33605EDECB}">
      <text>
        <r>
          <rPr>
            <b/>
            <sz val="8"/>
            <color indexed="81"/>
            <rFont val="Tahoma"/>
            <family val="2"/>
          </rPr>
          <t>Sep 2025, CMD: $3K
Sep 2023, CMD: 
&gt;$2,000 by 2028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66" authorId="1" shapeId="0" xr:uid="{7B1A6567-212F-45F3-AFB7-231A96A53824}">
      <text>
        <r>
          <rPr>
            <b/>
            <sz val="8"/>
            <color indexed="81"/>
            <rFont val="Tahoma"/>
            <family val="2"/>
          </rPr>
          <t>2Q25: ASP ~ $600 to $700</t>
        </r>
      </text>
    </comment>
    <comment ref="AR66" authorId="0" shapeId="0" xr:uid="{749EFA47-FFA7-4A8D-AB2A-A109EDC296E8}">
      <text>
        <r>
          <rPr>
            <b/>
            <sz val="9"/>
            <color indexed="81"/>
            <rFont val="Tahoma"/>
            <family val="2"/>
          </rPr>
          <t xml:space="preserve">3Q25: </t>
        </r>
        <r>
          <rPr>
            <sz val="9"/>
            <color indexed="81"/>
            <rFont val="Tahoma"/>
            <family val="2"/>
          </rPr>
          <t>ASP $600- 700</t>
        </r>
      </text>
    </comment>
    <comment ref="AS66" authorId="0" shapeId="0" xr:uid="{3A035B7F-706A-4294-ACF5-56BD4A7CA9C0}">
      <text>
        <r>
          <rPr>
            <b/>
            <sz val="9"/>
            <color indexed="81"/>
            <rFont val="Tahoma"/>
            <family val="2"/>
          </rPr>
          <t xml:space="preserve">4Q25: </t>
        </r>
        <r>
          <rPr>
            <sz val="9"/>
            <color indexed="81"/>
            <rFont val="Tahoma"/>
            <family val="2"/>
          </rPr>
          <t xml:space="preserve">$600- $700
</t>
        </r>
      </text>
    </comment>
    <comment ref="BD66" authorId="2" shapeId="0" xr:uid="{EF0F128B-BECC-4A57-8517-999C37C09726}">
      <text>
        <r>
          <rPr>
            <b/>
            <sz val="8"/>
            <color indexed="81"/>
            <rFont val="Tahoma"/>
            <family val="2"/>
          </rPr>
          <t>6/9/25: Targeting ~$1,000 next few years with ADLT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I66" authorId="2" shapeId="0" xr:uid="{E69FD544-CC86-42BF-BC61-B8D8D8CCF3F7}">
      <text>
        <r>
          <rPr>
            <b/>
            <sz val="8"/>
            <color indexed="81"/>
            <rFont val="Tahoma"/>
            <family val="2"/>
          </rPr>
          <t>Sep 2025, CMD: $1K
Sep 2023, CMD: 
&gt;$1,000 by 2028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I69" authorId="2" shapeId="0" xr:uid="{F530144C-2EC3-4819-87D5-A25CFB11FCA5}">
      <text>
        <r>
          <rPr>
            <b/>
            <sz val="8"/>
            <color indexed="81"/>
            <rFont val="Tahoma"/>
            <family val="2"/>
          </rPr>
          <t>Sep 2023, CMD: 
&gt;$1,000 by 2028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89" authorId="1" shapeId="0" xr:uid="{E9739CA9-F1A0-4EB6-846C-6221823BC213}">
      <text>
        <r>
          <rPr>
            <b/>
            <sz val="9"/>
            <color indexed="81"/>
            <rFont val="Tahoma"/>
            <family val="2"/>
          </rPr>
          <t>Stampler, Evan S.:</t>
        </r>
        <r>
          <rPr>
            <sz val="9"/>
            <color indexed="81"/>
            <rFont val="Tahoma"/>
            <family val="2"/>
          </rPr>
          <t xml:space="preserve">
$404 mn</t>
        </r>
      </text>
    </comment>
    <comment ref="AO89" authorId="1" shapeId="0" xr:uid="{3E9DED11-98E3-4CEC-A7B0-3EE852D18D17}">
      <text>
        <r>
          <rPr>
            <b/>
            <sz val="9"/>
            <color indexed="81"/>
            <rFont val="Tahoma"/>
            <family val="2"/>
          </rPr>
          <t>Stampler, Evan S.:</t>
        </r>
        <r>
          <rPr>
            <sz val="9"/>
            <color indexed="81"/>
            <rFont val="Tahoma"/>
            <family val="2"/>
          </rPr>
          <t xml:space="preserve">
$543 mn</t>
        </r>
      </text>
    </comment>
    <comment ref="AT89" authorId="1" shapeId="0" xr:uid="{AD7D44DE-DD11-4667-B615-BC97A69556ED}">
      <text>
        <r>
          <rPr>
            <b/>
            <sz val="9"/>
            <color indexed="81"/>
            <rFont val="Tahoma"/>
            <family val="2"/>
          </rPr>
          <t>2Q25: +20% yoy
1Q25: +18% yoy
4Q24: +15%, +20% excluding $22M of OOP revenue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96" authorId="2" shapeId="0" xr:uid="{AED67C16-6AB2-4FE7-8E29-77A02946A3B2}">
      <text>
        <r>
          <rPr>
            <b/>
            <sz val="8"/>
            <color indexed="81"/>
            <rFont val="Tahoma"/>
            <family val="2"/>
          </rPr>
          <t>2Q25: Y/Y growth accelerated for 4th straight qtr to &gt;+20%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96" authorId="0" shapeId="0" xr:uid="{2FA28012-BA70-451A-A0ED-8A17A8AA0062}">
      <text>
        <r>
          <rPr>
            <b/>
            <sz val="9"/>
            <color indexed="81"/>
            <rFont val="Tahoma"/>
            <family val="2"/>
          </rPr>
          <t xml:space="preserve">3Q25: </t>
        </r>
        <r>
          <rPr>
            <sz val="9"/>
            <color indexed="81"/>
            <rFont val="Tahoma"/>
            <family val="2"/>
          </rPr>
          <t>grw over 30%</t>
        </r>
      </text>
    </comment>
    <comment ref="AP102" authorId="1" shapeId="0" xr:uid="{3BCEB9E3-7CC7-4D22-A0BA-15263C169DE2}">
      <text>
        <r>
          <rPr>
            <b/>
            <sz val="9"/>
            <color indexed="81"/>
            <rFont val="Tahoma"/>
            <family val="2"/>
          </rPr>
          <t>Stampler, Evan S.:</t>
        </r>
        <r>
          <rPr>
            <sz val="9"/>
            <color indexed="81"/>
            <rFont val="Tahoma"/>
            <family val="2"/>
          </rPr>
          <t xml:space="preserve">
1Q25: $3,000-$3,100</t>
        </r>
      </text>
    </comment>
    <comment ref="BI102" authorId="0" shapeId="0" xr:uid="{411A4199-5E61-4792-9EC0-1208D0F1FB1F}">
      <text>
        <r>
          <rPr>
            <b/>
            <sz val="9"/>
            <color indexed="81"/>
            <rFont val="Tahoma"/>
            <family val="2"/>
          </rPr>
          <t>Sep 25, CMD: LT target $3,300</t>
        </r>
      </text>
    </comment>
    <comment ref="AR136" authorId="0" shapeId="0" xr:uid="{7AE84437-A80D-41CA-9DF2-0B076DFC7A39}">
      <text>
        <r>
          <rPr>
            <b/>
            <sz val="9"/>
            <color indexed="81"/>
            <rFont val="Tahoma"/>
            <family val="2"/>
          </rPr>
          <t xml:space="preserve">3Q25: </t>
        </r>
        <r>
          <rPr>
            <sz val="9"/>
            <color indexed="81"/>
            <rFont val="Tahoma"/>
            <family val="2"/>
          </rPr>
          <t>&gt;14K</t>
        </r>
      </text>
    </comment>
    <comment ref="AQ137" authorId="2" shapeId="0" xr:uid="{2028213C-8743-47FB-8FF8-85173A422A94}">
      <text>
        <r>
          <rPr>
            <b/>
            <sz val="8"/>
            <color indexed="81"/>
            <rFont val="Tahoma"/>
            <family val="2"/>
          </rPr>
          <t>2Q25: Y/Y growth accelerated vs 1Q</t>
        </r>
      </text>
    </comment>
    <comment ref="AT143" authorId="1" shapeId="0" xr:uid="{1D64BF3C-5FAA-4268-94B6-D4EE95E06248}">
      <text>
        <r>
          <rPr>
            <b/>
            <sz val="9"/>
            <color indexed="81"/>
            <rFont val="Tahoma"/>
            <family val="2"/>
          </rPr>
          <t>Stampler, Evan S.:</t>
        </r>
        <r>
          <rPr>
            <sz val="9"/>
            <color indexed="81"/>
            <rFont val="Tahoma"/>
            <family val="2"/>
          </rPr>
          <t xml:space="preserve">
4Q24: ~$600, not including ADLT</t>
        </r>
      </text>
    </comment>
    <comment ref="BD143" authorId="2" shapeId="0" xr:uid="{94824B2A-15CC-4ABF-9D9E-C448C10088DC}">
      <text>
        <r>
          <rPr>
            <b/>
            <sz val="8"/>
            <color indexed="81"/>
            <rFont val="Tahoma"/>
            <family val="2"/>
          </rPr>
          <t>6/9/25: Targeting ~$1,000 next few years with ADLT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173" authorId="1" shapeId="0" xr:uid="{55FE2EEA-BAB7-4C44-A47A-6286FB6BE350}">
      <text>
        <r>
          <rPr>
            <b/>
            <sz val="9"/>
            <color indexed="81"/>
            <rFont val="Tahoma"/>
            <family val="2"/>
          </rPr>
          <t>Stampler, Evan S.:</t>
        </r>
        <r>
          <rPr>
            <sz val="9"/>
            <color indexed="81"/>
            <rFont val="Tahoma"/>
            <family val="2"/>
          </rPr>
          <t xml:space="preserve">
$136 mn</t>
        </r>
      </text>
    </comment>
    <comment ref="AK173" authorId="2" shapeId="0" xr:uid="{D46FC693-9902-44A5-BC22-4C9DBE10B072}">
      <text>
        <r>
          <rPr>
            <b/>
            <sz val="8"/>
            <color indexed="81"/>
            <rFont val="Tahoma"/>
            <family val="2"/>
          </rPr>
          <t>Recasted per 1Q25 disclosure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173" authorId="2" shapeId="0" xr:uid="{89C9E2A5-3FDC-40C5-9982-984D096BAFA7}">
      <text>
        <r>
          <rPr>
            <b/>
            <sz val="8"/>
            <color indexed="81"/>
            <rFont val="Tahoma"/>
            <family val="2"/>
          </rPr>
          <t>Recasted per 1Q25 disclosure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173" authorId="2" shapeId="0" xr:uid="{D32E92C0-6F59-4916-9161-F87F5C3A4B6D}">
      <text>
        <r>
          <rPr>
            <b/>
            <sz val="8"/>
            <color indexed="81"/>
            <rFont val="Tahoma"/>
            <family val="2"/>
          </rPr>
          <t>Recasted per 1Q25 disclosure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173" authorId="2" shapeId="0" xr:uid="{0857D21F-F12B-4B90-BF88-A346652F3F95}">
      <text>
        <r>
          <rPr>
            <b/>
            <sz val="8"/>
            <color indexed="81"/>
            <rFont val="Tahoma"/>
            <family val="2"/>
          </rPr>
          <t>Recasted per 1Q25 disclosure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173" authorId="1" shapeId="0" xr:uid="{64289317-9C18-41AE-9CEB-37FAF06960D2}">
      <text>
        <r>
          <rPr>
            <b/>
            <sz val="9"/>
            <color indexed="81"/>
            <rFont val="Tahoma"/>
            <family val="2"/>
          </rPr>
          <t>Stampler, Evan S.:</t>
        </r>
        <r>
          <rPr>
            <sz val="9"/>
            <color indexed="81"/>
            <rFont val="Tahoma"/>
            <family val="2"/>
          </rPr>
          <t xml:space="preserve">
$177 mn</t>
        </r>
      </text>
    </comment>
    <comment ref="AT173" authorId="1" shapeId="0" xr:uid="{AA7FA197-2C8F-4C20-A1FE-DB4E99C9450A}">
      <text>
        <r>
          <rPr>
            <b/>
            <sz val="9"/>
            <color indexed="81"/>
            <rFont val="Tahoma"/>
            <family val="2"/>
          </rPr>
          <t>3Q25: mid teens
2Q25: +mid-teens
1Q25: +LDDs
4Q24: +LDDs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174" authorId="1" shapeId="0" xr:uid="{7AA1308E-D8B8-4E38-8E8F-14A51324F086}">
      <text>
        <r>
          <rPr>
            <b/>
            <sz val="9"/>
            <color indexed="81"/>
            <rFont val="Tahoma"/>
            <family val="2"/>
          </rPr>
          <t>2Q25: +28%</t>
        </r>
      </text>
    </comment>
    <comment ref="AY174" authorId="4" shapeId="0" xr:uid="{2C6895D7-CC99-4ED3-ABC9-D9A27F075C03}">
      <text>
        <r>
          <rPr>
            <b/>
            <sz val="8"/>
            <color indexed="81"/>
            <rFont val="Tahoma"/>
            <family val="2"/>
          </rPr>
          <t>4Q25: +LDD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U175" authorId="4" shapeId="0" xr:uid="{27B719ED-E74F-4C08-B63D-AAAEAD62D166}">
      <text>
        <r>
          <rPr>
            <b/>
            <sz val="8"/>
            <color indexed="81"/>
            <rFont val="Tahoma"/>
            <family val="2"/>
          </rPr>
          <t>4Q25 post-call: Down Q/Q</t>
        </r>
      </text>
    </comment>
    <comment ref="AQ178" authorId="2" shapeId="0" xr:uid="{D41E9DE8-819A-4487-B45A-2B76083C2133}">
      <text>
        <r>
          <rPr>
            <b/>
            <sz val="8"/>
            <color indexed="81"/>
            <rFont val="Tahoma"/>
            <family val="2"/>
          </rPr>
          <t>2Q25: Record Biopharma volume
WF estimate</t>
        </r>
      </text>
    </comment>
    <comment ref="AR178" authorId="0" shapeId="0" xr:uid="{4784EDBA-F03D-4DF7-9D77-01303E9643B7}">
      <text>
        <r>
          <rPr>
            <sz val="9"/>
            <color indexed="81"/>
            <rFont val="Tahoma"/>
            <family val="2"/>
          </rPr>
          <t>WF est</t>
        </r>
      </text>
    </comment>
    <comment ref="AS178" authorId="0" shapeId="0" xr:uid="{FB99E5EF-2D91-4109-8F77-9C80FAD9D161}">
      <text>
        <r>
          <rPr>
            <sz val="9"/>
            <color indexed="81"/>
            <rFont val="Tahoma"/>
            <family val="2"/>
          </rPr>
          <t>WF est</t>
        </r>
      </text>
    </comment>
    <comment ref="AR196" authorId="0" shapeId="0" xr:uid="{D9798210-4F54-40FA-837D-6A0F1E007EF0}">
      <text>
        <r>
          <rPr>
            <b/>
            <sz val="9"/>
            <color indexed="81"/>
            <rFont val="Tahoma"/>
            <family val="2"/>
          </rPr>
          <t xml:space="preserve">3Q25: </t>
        </r>
        <r>
          <rPr>
            <sz val="9"/>
            <color indexed="81"/>
            <rFont val="Tahoma"/>
            <family val="2"/>
          </rPr>
          <t>~24,000</t>
        </r>
      </text>
    </comment>
    <comment ref="AT196" authorId="1" shapeId="0" xr:uid="{1F1BF9EE-2189-4FB5-9F65-46CD74DF6E0D}">
      <text>
        <r>
          <rPr>
            <b/>
            <sz val="9"/>
            <color indexed="81"/>
            <rFont val="Tahoma"/>
            <family val="2"/>
          </rPr>
          <t>Stampler, Evan S.:</t>
        </r>
        <r>
          <rPr>
            <sz val="9"/>
            <color indexed="81"/>
            <rFont val="Tahoma"/>
            <family val="2"/>
          </rPr>
          <t xml:space="preserve">
2Q25: 68-73k
1Q25: 52-58k
4Q24: 45k-50k</t>
        </r>
      </text>
    </comment>
    <comment ref="AY196" authorId="4" shapeId="0" xr:uid="{10604215-4C75-48D4-BAF3-E54B3C78FF46}">
      <text>
        <r>
          <rPr>
            <b/>
            <sz val="8"/>
            <color indexed="81"/>
            <rFont val="Tahoma"/>
            <family val="2"/>
          </rPr>
          <t>4Q25: 210,000 to 225,000 tests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I196" authorId="2" shapeId="0" xr:uid="{EDA77CE9-DBFF-4AE1-9E3D-B6315D094EBC}">
      <text>
        <r>
          <rPr>
            <b/>
            <sz val="9"/>
            <color indexed="81"/>
            <rFont val="Tahoma"/>
            <family val="2"/>
          </rPr>
          <t>Sep 2023 CMD: &gt;1 million tests in 2028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200" authorId="1" shapeId="0" xr:uid="{7A6294FF-BADA-4189-92D3-A1B57EAB1A47}">
      <text>
        <r>
          <rPr>
            <b/>
            <sz val="8"/>
            <color indexed="81"/>
            <rFont val="Tahoma"/>
            <family val="2"/>
          </rPr>
          <t>2Q25: ASP was &gt;$900
Apr 1: ADLT status effective (Medicare rate from $920 to $1,495 now)
1Q25: ASP was ~$600</t>
        </r>
      </text>
    </comment>
    <comment ref="AR200" authorId="2" shapeId="0" xr:uid="{AEC5DF1B-EE1E-44E5-9B86-7DFE4A21BCF7}">
      <text>
        <r>
          <rPr>
            <b/>
            <sz val="8"/>
            <color indexed="81"/>
            <rFont val="Tahoma"/>
            <family val="2"/>
          </rPr>
          <t>3Q25: ~$880 ASP (excluding $3M catch-up Medicare pmt in 3Q)
2Q25: ~$800 in 2H</t>
        </r>
      </text>
    </comment>
    <comment ref="AS200" authorId="2" shapeId="0" xr:uid="{5B3A75D4-17BD-46FC-A049-D713FAFD9F11}">
      <text>
        <r>
          <rPr>
            <b/>
            <sz val="8"/>
            <color indexed="81"/>
            <rFont val="Tahoma"/>
            <family val="2"/>
          </rPr>
          <t>4Q25: ~$850 (core ex-prior period payments)
2Q25: ~$800 in 2H</t>
        </r>
      </text>
    </comment>
    <comment ref="AT200" authorId="1" shapeId="0" xr:uid="{A73B9E2B-757A-44A4-B500-BB103FF18E32}">
      <text>
        <r>
          <rPr>
            <b/>
            <sz val="8"/>
            <color indexed="81"/>
            <rFont val="Tahoma"/>
            <family val="2"/>
          </rPr>
          <t>2Q25: ASP ~$800 in 2H25</t>
        </r>
      </text>
    </comment>
    <comment ref="AY200" authorId="4" shapeId="0" xr:uid="{01563BA8-085D-46C8-A2C7-2761C1841D13}">
      <text>
        <r>
          <rPr>
            <b/>
            <sz val="8"/>
            <color indexed="81"/>
            <rFont val="Tahoma"/>
            <family val="2"/>
          </rPr>
          <t>4Q25: ~$775 (implied)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I200" authorId="0" shapeId="0" xr:uid="{C5EB0BB5-9DD7-4793-B62B-94C52FBB52BA}">
      <text>
        <r>
          <rPr>
            <b/>
            <sz val="9"/>
            <color indexed="81"/>
            <rFont val="Tahoma"/>
            <family val="2"/>
          </rPr>
          <t>Sep 25, CMD: ~$700</t>
        </r>
      </text>
    </comment>
    <comment ref="AS204" authorId="0" shapeId="0" xr:uid="{21352470-7123-4F84-87DB-4084D0BB0378}">
      <text>
        <r>
          <rPr>
            <b/>
            <sz val="8"/>
            <color indexed="81"/>
            <rFont val="Tahoma"/>
            <family val="2"/>
          </rPr>
          <t>4Q25: Includes ~$3M prior period rev benefit</t>
        </r>
      </text>
    </comment>
    <comment ref="AT204" authorId="1" shapeId="0" xr:uid="{3895D46A-F72D-4B2B-9534-A09F8890C7DE}">
      <text>
        <r>
          <rPr>
            <b/>
            <sz val="9"/>
            <color indexed="81"/>
            <rFont val="Tahoma"/>
            <family val="2"/>
          </rPr>
          <t>3Q25: $71  million to $73 million
2Q25: $55-$60 mn
1Q25: $40-$45 mn
4Q24: $25-$30 mn</t>
        </r>
      </text>
    </comment>
    <comment ref="AY204" authorId="2" shapeId="0" xr:uid="{CDBAF728-3EA2-4BCF-BEB4-956BD9915D3E}">
      <text>
        <r>
          <rPr>
            <b/>
            <sz val="8"/>
            <color indexed="81"/>
            <rFont val="Tahoma"/>
            <family val="2"/>
          </rPr>
          <t>4Q25: $162M- $174M
11/19/25: &gt;$100 million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I204" authorId="2" shapeId="0" xr:uid="{E4DABF6E-8436-470A-BE90-499A762A9843}">
      <text>
        <r>
          <rPr>
            <b/>
            <sz val="9"/>
            <color indexed="81"/>
            <rFont val="Tahoma"/>
            <family val="2"/>
          </rPr>
          <t>Sep 2023 CMD: 
&gt;$500 million in 2028</t>
        </r>
      </text>
    </comment>
    <comment ref="AS208" authorId="2" shapeId="0" xr:uid="{B3C7D86C-9326-4C83-99A5-E970B5AC67AC}">
      <text>
        <r>
          <rPr>
            <b/>
            <sz val="8"/>
            <color indexed="81"/>
            <rFont val="Tahoma"/>
            <family val="2"/>
          </rPr>
          <t>4Q25: ~300 reps at YE25
JPM 2026: ~300 reps
2Q25: 250 reps by YE25
4Q24: 150 Screening reps by YE25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269" authorId="1" shapeId="0" xr:uid="{FF18A55E-74C4-47A7-B4EB-DD5E1A7214D1}">
      <text>
        <r>
          <rPr>
            <b/>
            <sz val="9"/>
            <color indexed="81"/>
            <rFont val="Tahoma"/>
            <family val="2"/>
          </rPr>
          <t>Stampler, Evan S.:</t>
        </r>
        <r>
          <rPr>
            <sz val="9"/>
            <color indexed="81"/>
            <rFont val="Tahoma"/>
            <family val="2"/>
          </rPr>
          <t xml:space="preserve">
$14 mn</t>
        </r>
      </text>
    </comment>
    <comment ref="AS293" authorId="0" shapeId="0" xr:uid="{7FBB8406-53A5-4E45-A1A9-EC062927A150}">
      <text>
        <r>
          <rPr>
            <b/>
            <sz val="9"/>
            <color indexed="81"/>
            <rFont val="Tahoma"/>
            <family val="2"/>
          </rPr>
          <t>4Q25: $3M for screening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296" authorId="2" shapeId="0" xr:uid="{3E4ADA18-2906-40AA-9DEE-2A4B486CB275}">
      <text>
        <r>
          <rPr>
            <b/>
            <sz val="8"/>
            <color indexed="81"/>
            <rFont val="Tahoma"/>
            <family val="2"/>
          </rPr>
          <t>2Q25 supplement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P296" authorId="2" shapeId="0" xr:uid="{908924E0-8E5D-4CC4-9EF7-1F22972031FA}">
      <text>
        <r>
          <rPr>
            <b/>
            <sz val="8"/>
            <color indexed="81"/>
            <rFont val="Tahoma"/>
            <family val="2"/>
          </rPr>
          <t>2Q25 supplement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296" authorId="2" shapeId="0" xr:uid="{68CDE439-D5C5-4AC0-882E-B767C1C5B88F}">
      <text>
        <r>
          <rPr>
            <b/>
            <sz val="8"/>
            <color indexed="81"/>
            <rFont val="Tahoma"/>
            <family val="2"/>
          </rPr>
          <t>2Q25 supplement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296" authorId="0" shapeId="0" xr:uid="{C0278E2C-4D57-4C6A-A1E0-B3061FB7E927}">
      <text>
        <r>
          <rPr>
            <b/>
            <sz val="9"/>
            <color indexed="81"/>
            <rFont val="Tahoma"/>
            <family val="2"/>
          </rPr>
          <t>Mercado, Christopher:</t>
        </r>
        <r>
          <rPr>
            <sz val="9"/>
            <color indexed="81"/>
            <rFont val="Tahoma"/>
            <family val="2"/>
          </rPr>
          <t xml:space="preserve">
deck</t>
        </r>
      </text>
    </comment>
    <comment ref="AS296" authorId="0" shapeId="0" xr:uid="{66D11BB1-9AC6-41E0-976E-699D4BA3B7D5}">
      <text>
        <r>
          <rPr>
            <b/>
            <sz val="9"/>
            <color indexed="81"/>
            <rFont val="Tahoma"/>
            <family val="2"/>
          </rPr>
          <t xml:space="preserve">3Q25: </t>
        </r>
        <r>
          <rPr>
            <sz val="9"/>
            <color indexed="81"/>
            <rFont val="Tahoma"/>
            <family val="2"/>
          </rPr>
          <t xml:space="preserve">from earnings call
</t>
        </r>
      </text>
    </comment>
    <comment ref="AS299" authorId="0" shapeId="0" xr:uid="{5AA0C634-671B-4035-920F-7FF1FFD9059E}">
      <text>
        <r>
          <rPr>
            <b/>
            <sz val="9"/>
            <color indexed="81"/>
            <rFont val="Tahoma"/>
            <family val="2"/>
          </rPr>
          <t xml:space="preserve">3Q25: </t>
        </r>
        <r>
          <rPr>
            <sz val="9"/>
            <color indexed="81"/>
            <rFont val="Tahoma"/>
            <family val="2"/>
          </rPr>
          <t xml:space="preserve">~$450
</t>
        </r>
      </text>
    </comment>
    <comment ref="AM306" authorId="3" shapeId="0" xr:uid="{E7B99808-3CA9-494E-8D6E-CBDC07EEBD73}">
      <text>
        <r>
          <rPr>
            <b/>
            <sz val="8"/>
            <color indexed="81"/>
            <rFont val="Tahoma"/>
            <family val="2"/>
          </rPr>
          <t>3Q24:  Guardant360 ASP improved to $3,000, 4 years ahead of target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308" authorId="3" shapeId="0" xr:uid="{D86C1E15-AC2D-4F5F-8C60-B3C9FCEB18BA}">
      <text>
        <r>
          <rPr>
            <b/>
            <sz val="8"/>
            <color indexed="81"/>
            <rFont val="Tahoma"/>
            <family val="2"/>
          </rPr>
          <t>3Q24: $5,000 effective Jan 1, 2024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318" authorId="3" shapeId="0" xr:uid="{3F936ED5-1F55-46FF-B60F-2F7F708D077F}">
      <text>
        <r>
          <rPr>
            <b/>
            <sz val="8"/>
            <color indexed="81"/>
            <rFont val="Tahoma"/>
            <family val="2"/>
          </rPr>
          <t>3Q24: $920 effective Aug 1, 2024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318" authorId="3" shapeId="0" xr:uid="{E3429091-C646-48EF-A08D-532623BA2073}">
      <text>
        <r>
          <rPr>
            <b/>
            <sz val="8"/>
            <color indexed="81"/>
            <rFont val="Tahoma"/>
            <family val="2"/>
          </rPr>
          <t>3/11/24: Post ADLT-desgination starting 4/1/24 until 12/31/25, Medicare reimburses $1,495  for Shield 
3Q24: Post ADLT-desgination, targeting to secure Medicare price of $1,495 in 2025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318" authorId="3" shapeId="0" xr:uid="{EAB3F47C-E44A-4C1F-A761-1609777181A9}">
      <text>
        <r>
          <rPr>
            <b/>
            <sz val="8"/>
            <color indexed="81"/>
            <rFont val="Tahoma"/>
            <family val="2"/>
          </rPr>
          <t>3/11/24: Post ADLT-desgination starting 4/1/24 until 12/31/25, Medicare reimburses $1,495  for Shield 
3Q24: Post ADLT-desgination, targeting to secure Medicare price of $1,495 in 2025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318" authorId="3" shapeId="0" xr:uid="{65B5FEAA-AFCC-4595-9B4F-19E34E1EEF7A}">
      <text>
        <r>
          <rPr>
            <b/>
            <sz val="8"/>
            <color indexed="81"/>
            <rFont val="Tahoma"/>
            <family val="2"/>
          </rPr>
          <t>3/11/24: Post ADLT-desgination starting 4/1/24 until 12/31/25, Medicare reimburses $1,495  for Shield 
3Q24: Post ADLT-desgination, targeting to secure Medicare price of $1,495 in 2025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U318" authorId="3" shapeId="0" xr:uid="{9C738C49-8AE3-4433-BCC5-23FE90A37EDB}">
      <text>
        <r>
          <rPr>
            <b/>
            <sz val="8"/>
            <color indexed="81"/>
            <rFont val="Tahoma"/>
            <family val="2"/>
          </rPr>
          <t>3/11/24: ADLT - Medicare will use median of commerical payer payment rate to detemine Medicare pricing for Shield. This price will be effective during 1/1/26 to 12/31/27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V318" authorId="3" shapeId="0" xr:uid="{EF8B04B3-A35D-4407-A2B2-B21C44FBCBAC}">
      <text>
        <r>
          <rPr>
            <b/>
            <sz val="8"/>
            <color indexed="81"/>
            <rFont val="Tahoma"/>
            <family val="2"/>
          </rPr>
          <t>3/11/24: ADLT - Medicare will use median of commerical payer payment rate to detemine Medicare pricing for Shield. This price will be effective during 1/1/26 to 12/31/27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W318" authorId="3" shapeId="0" xr:uid="{5E4A591B-20AE-45D1-A3A4-316A73FDD349}">
      <text>
        <r>
          <rPr>
            <b/>
            <sz val="8"/>
            <color indexed="81"/>
            <rFont val="Tahoma"/>
            <family val="2"/>
          </rPr>
          <t>3/11/24: ADLT - Medicare will use median of commerical payer payment rate to detemine Medicare pricing for Shield. This price will be effective during 1/1/26 to 12/31/27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X318" authorId="3" shapeId="0" xr:uid="{0262E6AC-0C42-4979-A121-81F14F215843}">
      <text>
        <r>
          <rPr>
            <b/>
            <sz val="8"/>
            <color indexed="81"/>
            <rFont val="Tahoma"/>
            <family val="2"/>
          </rPr>
          <t>3/11/24: ADLT - Medicare will use median of commerical payer payment rate to detemine Medicare pricing for Shield. This price will be effective during 1/1/26 to 12/31/27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318" authorId="3" shapeId="0" xr:uid="{E79E6F8A-C3F8-4EF9-BCE4-42AACBA6A75D}">
      <text>
        <r>
          <rPr>
            <b/>
            <sz val="8"/>
            <color indexed="81"/>
            <rFont val="Tahoma"/>
            <family val="2"/>
          </rPr>
          <t>3/11/24: ADLT - Medicare will use median of commerical payer payment rate to detemine Medicare pricing for Shield. This price will be effective during 1/1/26 to 12/31/27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Z318" authorId="3" shapeId="0" xr:uid="{17FD21C9-6173-4D4B-95CC-92DB83A61729}">
      <text>
        <r>
          <rPr>
            <b/>
            <sz val="8"/>
            <color indexed="81"/>
            <rFont val="Tahoma"/>
            <family val="2"/>
          </rPr>
          <t>3/11/24: ADLT - Medicare will use median of commerical payer payment rate to detemine Medicare pricing for Shield. This price will be effective during 1/1/26 to 12/31/27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318" authorId="3" shapeId="0" xr:uid="{F943C352-2C8D-4CD6-996B-12CDC0DB764E}">
      <text>
        <r>
          <rPr>
            <b/>
            <sz val="8"/>
            <color indexed="81"/>
            <rFont val="Tahoma"/>
            <family val="2"/>
          </rPr>
          <t>3/11/24: ADLT - Medicare will use median of commerical payer payment rate to detemine Medicare pricing for Shield. This price will be effective during 1/1/26 to 12/31/27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B318" authorId="3" shapeId="0" xr:uid="{66868A2D-0373-4608-B165-8313F2E81490}">
      <text>
        <r>
          <rPr>
            <b/>
            <sz val="8"/>
            <color indexed="81"/>
            <rFont val="Tahoma"/>
            <family val="2"/>
          </rPr>
          <t>3/11/24: ADLT - Medicare will use median of commerical payer payment rate to detemine Medicare pricing for Shield. This price will be effective during 1/1/26 to 12/31/27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C318" authorId="3" shapeId="0" xr:uid="{248791DC-1FB5-450C-B8F8-27AF87F465CB}">
      <text>
        <r>
          <rPr>
            <b/>
            <sz val="8"/>
            <color indexed="81"/>
            <rFont val="Tahoma"/>
            <family val="2"/>
          </rPr>
          <t>3/11/24: ADLT - Medicare will use median of commerical payer payment rate to detemine Medicare pricing for Shield. This price will be effective during 1/1/26 to 12/31/27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D318" authorId="3" shapeId="0" xr:uid="{4E27F8D6-8F85-4D47-9133-33B36B06915D}">
      <text>
        <r>
          <rPr>
            <b/>
            <sz val="8"/>
            <color indexed="81"/>
            <rFont val="Tahoma"/>
            <family val="2"/>
          </rPr>
          <t>3/11/24: ADLT - Medicare will use median of commerical payer payment rate to detemine Medicare pricing for Shield. This price will be effective during 1/1/26 to 12/31/27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320" authorId="3" shapeId="0" xr:uid="{386D4B25-F8A7-474D-A729-EBC0BDDDEAD2}">
      <text>
        <r>
          <rPr>
            <b/>
            <sz val="8"/>
            <color indexed="81"/>
            <rFont val="Tahoma"/>
            <family val="2"/>
          </rPr>
          <t>3Q24: $500 ASP</t>
        </r>
      </text>
    </comment>
    <comment ref="AM322" authorId="3" shapeId="0" xr:uid="{7E908550-5F2D-4F31-84DD-583ADC298A07}">
      <text>
        <r>
          <rPr>
            <b/>
            <sz val="8"/>
            <color indexed="81"/>
            <rFont val="Tahoma"/>
            <family val="2"/>
          </rPr>
          <t>3Q24: $1,495 effective August 1, 2024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326" authorId="3" shapeId="0" xr:uid="{009A961C-7FAF-4D23-8AE7-30C4BD695F82}">
      <text>
        <r>
          <rPr>
            <b/>
            <sz val="8"/>
            <color indexed="81"/>
            <rFont val="Tahoma"/>
            <family val="2"/>
          </rPr>
          <t>3Q24: increase to $3,500 effective Jan 1, 2025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P326" authorId="3" shapeId="0" xr:uid="{7DFC8D55-C42B-4652-864F-E004E1AC5BB1}">
      <text>
        <r>
          <rPr>
            <b/>
            <sz val="8"/>
            <color indexed="81"/>
            <rFont val="Tahoma"/>
            <family val="2"/>
          </rPr>
          <t>3Q24: $3,500 effective Jan 1, 2025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330" authorId="3" shapeId="0" xr:uid="{14C54AED-2F4D-4D4C-AC35-F8105FBA0608}">
      <text>
        <r>
          <rPr>
            <b/>
            <sz val="8"/>
            <color indexed="81"/>
            <rFont val="Tahoma"/>
            <family val="2"/>
          </rPr>
          <t>3Q24: $2,000 ASP in 3Q24 earnings call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Tong, Nelson</author>
    <author>Mercado, Christopher</author>
    <author>Bank of America User</author>
    <author>Brandon Couillard</author>
  </authors>
  <commentList>
    <comment ref="I9" authorId="0" shapeId="0" xr:uid="{98CFA004-A0B7-469E-8BF3-CDD39C7C3D18}">
      <text>
        <r>
          <rPr>
            <b/>
            <sz val="8"/>
            <color indexed="81"/>
            <rFont val="Tahoma"/>
            <family val="2"/>
          </rPr>
          <t>3Q18: cash and mkt securities $274.3 million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9" authorId="0" shapeId="0" xr:uid="{47C4A5CF-C916-46EF-9207-CB4F9F5D9143}">
      <text>
        <r>
          <rPr>
            <b/>
            <sz val="8"/>
            <color indexed="81"/>
            <rFont val="Tahoma"/>
            <family val="2"/>
          </rPr>
          <t>4Q18: IPO raised $249.5 million (shares started trading on Oct 4, 2018)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9" authorId="0" shapeId="0" xr:uid="{BA4E3993-ECF4-40B5-88FB-32816F782EC9}">
      <text>
        <r>
          <rPr>
            <b/>
            <sz val="8"/>
            <color indexed="81"/>
            <rFont val="Tahoma"/>
            <family val="2"/>
          </rPr>
          <t>4Q18: cash, cash equiv &amp; marketable securities of $496.5 million</t>
        </r>
      </text>
    </comment>
    <comment ref="M9" authorId="0" shapeId="0" xr:uid="{2C59B1CA-A522-4033-A69A-D161A79BA6EE}">
      <text>
        <r>
          <rPr>
            <b/>
            <sz val="8"/>
            <color indexed="81"/>
            <rFont val="Tahoma"/>
            <family val="2"/>
          </rPr>
          <t>2Q19: cash and mkt securities $822.9 million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9" authorId="0" shapeId="0" xr:uid="{9A2D63A1-5A63-4189-9B72-D63DF2960EFE}">
      <text>
        <r>
          <rPr>
            <b/>
            <sz val="8"/>
            <color indexed="81"/>
            <rFont val="Tahoma"/>
            <family val="2"/>
          </rPr>
          <t>3Q19: cash and mkt securities $825.6 million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9" authorId="0" shapeId="0" xr:uid="{8F5A1CCE-4E6C-417E-84CE-DB7FB3E67581}">
      <text>
        <r>
          <rPr>
            <b/>
            <sz val="8"/>
            <color indexed="81"/>
            <rFont val="Tahoma"/>
            <family val="2"/>
          </rPr>
          <t>4Q19: cash and mkt securities $791.6 million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9" authorId="0" shapeId="0" xr:uid="{1611BA7D-1A4A-4C70-8519-4C42CBA1718E}">
      <text>
        <r>
          <rPr>
            <b/>
            <sz val="8"/>
            <color indexed="81"/>
            <rFont val="Tahoma"/>
            <family val="2"/>
          </rPr>
          <t>1Q20: cash and mkt securities $758.3 million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9" authorId="0" shapeId="0" xr:uid="{22ACB3D3-7BA6-468F-A393-F00FA257CAEC}">
      <text>
        <r>
          <rPr>
            <b/>
            <sz val="8"/>
            <color indexed="81"/>
            <rFont val="Tahoma"/>
            <family val="2"/>
          </rPr>
          <t>2Q20: cash and mkt securities (current + LT) $1.1 billion</t>
        </r>
      </text>
    </comment>
    <comment ref="S9" authorId="0" shapeId="0" xr:uid="{193F6E85-19C4-461B-85B7-75DBAAAE650C}">
      <text>
        <r>
          <rPr>
            <b/>
            <sz val="8"/>
            <color indexed="81"/>
            <rFont val="Tahoma"/>
            <family val="2"/>
          </rPr>
          <t>3Q20: cash and mkt securities (current + LT) $1.1 billion</t>
        </r>
      </text>
    </comment>
    <comment ref="T9" authorId="0" shapeId="0" xr:uid="{C86B1C4D-D441-4F5D-B2A1-F029379DEF7D}">
      <text>
        <r>
          <rPr>
            <b/>
            <sz val="8"/>
            <color indexed="81"/>
            <rFont val="Tahoma"/>
            <family val="2"/>
          </rPr>
          <t>4Q20: cash and mkt securities (current + LT) $2 billion</t>
        </r>
      </text>
    </comment>
    <comment ref="V9" authorId="0" shapeId="0" xr:uid="{12EF12BC-B97C-4602-8F4D-F60A225396E3}">
      <text>
        <r>
          <rPr>
            <b/>
            <sz val="8"/>
            <color indexed="81"/>
            <rFont val="Tahoma"/>
            <family val="2"/>
          </rPr>
          <t>1Q21: cash and mkt securities $1.9 billion</t>
        </r>
      </text>
    </comment>
    <comment ref="W9" authorId="0" shapeId="0" xr:uid="{329BD189-E440-4D8D-B7BC-6C08A1E2C620}">
      <text>
        <r>
          <rPr>
            <b/>
            <sz val="8"/>
            <color indexed="81"/>
            <rFont val="Tahoma"/>
            <family val="2"/>
          </rPr>
          <t>2Q21: cash and mkt securities $1.8 billion</t>
        </r>
      </text>
    </comment>
    <comment ref="X9" authorId="0" shapeId="0" xr:uid="{20AECE4A-2901-4055-ADCF-E8EEB8726FC5}">
      <text>
        <r>
          <rPr>
            <b/>
            <sz val="8"/>
            <color indexed="81"/>
            <rFont val="Tahoma"/>
            <family val="2"/>
          </rPr>
          <t>3Q21: cash and mkt securities $1.7 billion</t>
        </r>
      </text>
    </comment>
    <comment ref="Y9" authorId="0" shapeId="0" xr:uid="{E945B2AC-0D22-47C5-BA4D-296CB65A5938}">
      <text>
        <r>
          <rPr>
            <b/>
            <sz val="8"/>
            <color indexed="81"/>
            <rFont val="Tahoma"/>
            <family val="2"/>
          </rPr>
          <t>4Q21: cash and mkt securities $1.6 billion</t>
        </r>
      </text>
    </comment>
    <comment ref="AA9" authorId="0" shapeId="0" xr:uid="{B4EB4982-729D-4D15-B436-8DF7C3B9E365}">
      <text>
        <r>
          <rPr>
            <b/>
            <sz val="8"/>
            <color indexed="81"/>
            <rFont val="Tahoma"/>
            <family val="2"/>
          </rPr>
          <t>1Q22: cash and mkt securities $1.6 billion</t>
        </r>
      </text>
    </comment>
    <comment ref="AB9" authorId="0" shapeId="0" xr:uid="{678427F9-888B-4E2A-95B4-27AEB356F06F}">
      <text>
        <r>
          <rPr>
            <b/>
            <sz val="8"/>
            <color indexed="81"/>
            <rFont val="Tahoma"/>
            <family val="2"/>
          </rPr>
          <t>2Q22: cash and mkt securities $1.2 billion</t>
        </r>
      </text>
    </comment>
    <comment ref="AC9" authorId="0" shapeId="0" xr:uid="{EC540CE1-3C56-4828-B838-347AC31A08B8}">
      <text>
        <r>
          <rPr>
            <b/>
            <sz val="8"/>
            <color indexed="81"/>
            <rFont val="Tahoma"/>
            <family val="2"/>
          </rPr>
          <t>3Q22: cash and mkt securities $1.1 billion</t>
        </r>
      </text>
    </comment>
    <comment ref="AD9" authorId="0" shapeId="0" xr:uid="{E7B1C6F4-6E50-468A-9D06-94EFD1A73617}">
      <text>
        <r>
          <rPr>
            <b/>
            <sz val="8"/>
            <color indexed="81"/>
            <rFont val="Tahoma"/>
            <family val="2"/>
          </rPr>
          <t>4Q22: cash and mkt securities $1 billion</t>
        </r>
      </text>
    </comment>
    <comment ref="AF9" authorId="0" shapeId="0" xr:uid="{038CC377-8413-4CA0-A5B8-E0E0B4B50C16}">
      <text>
        <r>
          <rPr>
            <b/>
            <sz val="8"/>
            <color indexed="81"/>
            <rFont val="Tahoma"/>
            <family val="2"/>
          </rPr>
          <t>1Q23: cash and mkt securities $937 million</t>
        </r>
      </text>
    </comment>
    <comment ref="AG9" authorId="0" shapeId="0" xr:uid="{7C8C70BA-CACE-4C93-8B8F-CB707016D5EF}">
      <text>
        <r>
          <rPr>
            <b/>
            <sz val="8"/>
            <color indexed="81"/>
            <rFont val="Tahoma"/>
            <family val="2"/>
          </rPr>
          <t>2Q23: cash and mkt securities $1.2 billion (public offering raised $381 million during 2Q23)</t>
        </r>
      </text>
    </comment>
    <comment ref="AH9" authorId="0" shapeId="0" xr:uid="{47C2C401-8B07-47F3-8CB8-38F706C6DC78}">
      <text>
        <r>
          <rPr>
            <b/>
            <sz val="8"/>
            <color indexed="81"/>
            <rFont val="Tahoma"/>
            <family val="2"/>
          </rPr>
          <t xml:space="preserve">3Q23: cash and mkt securities $1.2 billion </t>
        </r>
      </text>
    </comment>
    <comment ref="AI9" authorId="0" shapeId="0" xr:uid="{8B0C10CA-1E85-4E5A-93E8-8E32A2B9A4DD}">
      <text>
        <r>
          <rPr>
            <b/>
            <sz val="8"/>
            <color indexed="81"/>
            <rFont val="Tahoma"/>
            <family val="2"/>
          </rPr>
          <t xml:space="preserve">4Q23: cash and mkt securities $1.2 billion </t>
        </r>
      </text>
    </comment>
    <comment ref="AK9" authorId="0" shapeId="0" xr:uid="{5A64B954-33E9-48A9-AE7C-55F88299B2AF}">
      <text>
        <r>
          <rPr>
            <b/>
            <sz val="8"/>
            <color indexed="81"/>
            <rFont val="Tahoma"/>
            <family val="2"/>
          </rPr>
          <t>1Q24: cash, cas eqiv. and restricted cash of $1.1 billion</t>
        </r>
      </text>
    </comment>
    <comment ref="AL9" authorId="0" shapeId="0" xr:uid="{692E1DB0-0EAC-46A5-8D47-4EC2C6C006E3}">
      <text>
        <r>
          <rPr>
            <b/>
            <sz val="8"/>
            <color indexed="81"/>
            <rFont val="Tahoma"/>
            <family val="2"/>
          </rPr>
          <t>1Q24: cash, cas eqiv. and restricted cash of $1 billion</t>
        </r>
      </text>
    </comment>
    <comment ref="AM9" authorId="0" shapeId="0" xr:uid="{6E98E22E-272A-4C74-844E-3DB7A08EBE77}">
      <text>
        <r>
          <rPr>
            <b/>
            <sz val="8"/>
            <color indexed="81"/>
            <rFont val="Tahoma"/>
            <family val="2"/>
          </rPr>
          <t>3Q24: cash, cas eqiv. and restricted cash of $1.0 billion</t>
        </r>
      </text>
    </comment>
    <comment ref="AQ9" authorId="0" shapeId="0" xr:uid="{DBA8A526-5DF1-4B75-AD8E-AAEAEB126486}">
      <text>
        <r>
          <rPr>
            <b/>
            <sz val="8"/>
            <color indexed="81"/>
            <rFont val="Tahoma"/>
            <family val="2"/>
          </rPr>
          <t xml:space="preserve">2Q25: cash, cas eqiv. and restricted cash of $735 million </t>
        </r>
      </text>
    </comment>
    <comment ref="AS9" authorId="1" shapeId="0" xr:uid="{926E1A6E-EB54-41E3-AFCC-690FEBDB2682}">
      <text>
        <r>
          <rPr>
            <b/>
            <sz val="9"/>
            <color indexed="81"/>
            <rFont val="Tahoma"/>
            <family val="2"/>
          </rPr>
          <t>$823M short term mkt debt securities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55" authorId="2" shapeId="0" xr:uid="{00000000-0006-0000-0300-000009000000}">
      <text>
        <r>
          <rPr>
            <sz val="8"/>
            <color indexed="81"/>
            <rFont val="Tahoma"/>
            <family val="2"/>
          </rPr>
          <t>Share dilution in percentage of current share outstanding</t>
        </r>
      </text>
    </comment>
    <comment ref="AC57" authorId="3" shapeId="0" xr:uid="{E14D8042-04A6-4415-A2D5-AD96C9CF391F}">
      <text>
        <r>
          <rPr>
            <b/>
            <sz val="8"/>
            <color indexed="81"/>
            <rFont val="Tahoma"/>
            <family val="2"/>
          </rPr>
          <t>Adjusted for GAAP loss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57" authorId="3" shapeId="0" xr:uid="{287690A2-BED6-489A-B365-DE9CC8476ED4}">
      <text>
        <r>
          <rPr>
            <b/>
            <sz val="8"/>
            <color indexed="81"/>
            <rFont val="Tahoma"/>
            <family val="2"/>
          </rPr>
          <t>Adjusted for GAAP profit</t>
        </r>
      </text>
    </comment>
    <comment ref="AS57" authorId="1" shapeId="0" xr:uid="{5A3041E7-0263-486E-BCD8-5BE713751A32}">
      <text>
        <r>
          <rPr>
            <b/>
            <sz val="8"/>
            <color indexed="81"/>
            <rFont val="Tahoma"/>
            <family val="2"/>
          </rPr>
          <t>11/7/25 8K: public offering of 3,833,331 shares at $90; net proceeds of $327.2M</t>
        </r>
      </text>
    </comment>
    <comment ref="AU57" authorId="1" shapeId="0" xr:uid="{F7A92348-14C5-4F8F-BA36-72D3557C6FE9}">
      <text>
        <r>
          <rPr>
            <b/>
            <sz val="8"/>
            <color indexed="81"/>
            <rFont val="Tahoma"/>
            <family val="2"/>
          </rPr>
          <t>11/7/25 8K: public offering of 3,833,331 shares at $90; net proceeds of $327.2M</t>
        </r>
      </text>
    </comment>
    <comment ref="A61" authorId="0" shapeId="0" xr:uid="{FAC6DB17-06C9-4658-B994-CCE224D596C5}">
      <text>
        <r>
          <rPr>
            <b/>
            <sz val="8"/>
            <color indexed="81"/>
            <rFont val="Tahoma"/>
            <family val="2"/>
          </rPr>
          <t>Based average share prices for a give quarter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61" authorId="0" shapeId="0" xr:uid="{9894934A-EBBC-49EE-98FA-1285628C1786}">
      <text>
        <r>
          <rPr>
            <b/>
            <sz val="8"/>
            <color indexed="81"/>
            <rFont val="Tahoma"/>
            <family val="2"/>
          </rPr>
          <t>3Q24: Average share price in 3Q24 (7/1 - 9/30)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Brandon Couillard</author>
    <author>Mercado, Christopher</author>
    <author>Tong, Nelson</author>
  </authors>
  <commentList>
    <comment ref="BI24" authorId="0" shapeId="0" xr:uid="{EDD2AA0F-EC95-431A-BCDF-B8460AF24DB6}">
      <text>
        <r>
          <rPr>
            <b/>
            <sz val="8"/>
            <color indexed="81"/>
            <rFont val="Tahoma"/>
            <family val="2"/>
          </rPr>
          <t>Sep 2023, CMD: 
FCF breakeven by 2028</t>
        </r>
      </text>
    </comment>
    <comment ref="AS27" authorId="1" shapeId="0" xr:uid="{F0A35BAE-CD1E-4924-8193-E36BD9E584DA}">
      <text>
        <r>
          <rPr>
            <sz val="9"/>
            <color indexed="81"/>
            <rFont val="Tahoma"/>
            <family val="2"/>
          </rPr>
          <t xml:space="preserve">4Q25: MetaSight deal
</t>
        </r>
      </text>
    </comment>
    <comment ref="AS35" authorId="1" shapeId="0" xr:uid="{ED9E2E2B-7089-41A3-83D5-5E443E499038}">
      <text>
        <r>
          <rPr>
            <b/>
            <sz val="8"/>
            <color indexed="81"/>
            <rFont val="Tahoma"/>
            <family val="2"/>
          </rPr>
          <t>11/7/25 8K: $402.5B convertible note due 2033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0" authorId="2" shapeId="0" xr:uid="{F3BAFCFB-8A1A-4A60-A867-1F6524700BC2}">
      <text>
        <r>
          <rPr>
            <b/>
            <sz val="8"/>
            <color indexed="81"/>
            <rFont val="Tahoma"/>
            <family val="2"/>
          </rPr>
          <t>3Q18: raised $319.5 million by issuing convertible preferred shares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40" authorId="2" shapeId="0" xr:uid="{4CEA4F79-8487-4F6C-90F0-2C76E33EF9CD}">
      <text>
        <r>
          <rPr>
            <b/>
            <sz val="8"/>
            <color indexed="81"/>
            <rFont val="Tahoma"/>
            <family val="2"/>
          </rPr>
          <t>2Q23: raised $381 million in May '23, sold 14,375,000 shares @ $28</t>
        </r>
      </text>
    </comment>
    <comment ref="AI40" authorId="2" shapeId="0" xr:uid="{7DFB311A-D677-4D0B-AC40-A00438C9A7E3}">
      <text>
        <r>
          <rPr>
            <b/>
            <sz val="8"/>
            <color indexed="81"/>
            <rFont val="Tahoma"/>
            <family val="2"/>
          </rPr>
          <t>4Q23: raised ~$90.6 million in Dec '23 via direct offering, sold 3.387M shares @ $26.77</t>
        </r>
      </text>
    </comment>
    <comment ref="AS40" authorId="1" shapeId="0" xr:uid="{DD23E6A8-FC87-4814-AA66-C9EAE12989D9}">
      <text>
        <r>
          <rPr>
            <b/>
            <sz val="8"/>
            <color indexed="81"/>
            <rFont val="Tahoma"/>
            <family val="2"/>
          </rPr>
          <t>11/7/2025 8K: $327.2M net proceeds from equity raise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62" authorId="2" shapeId="0" xr:uid="{45F1E884-B278-4608-A621-C6759BFA98DB}">
      <text>
        <r>
          <rPr>
            <b/>
            <sz val="8"/>
            <color indexed="81"/>
            <rFont val="Tahoma"/>
            <family val="2"/>
          </rPr>
          <t xml:space="preserve">1Q23: 1st qtr company explicitly disclosed FCF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62" authorId="2" shapeId="0" xr:uid="{98FAB409-2FF6-4CF9-9235-32AB9D96227E}">
      <text>
        <r>
          <rPr>
            <b/>
            <sz val="8"/>
            <color indexed="81"/>
            <rFont val="Tahoma"/>
            <family val="2"/>
          </rPr>
          <t xml:space="preserve">3Q24: loss of -$55.3 million w/
FCF from Therapy Selection business </t>
        </r>
      </text>
    </comment>
    <comment ref="AN62" authorId="2" shapeId="0" xr:uid="{C94071D5-D6AD-40CF-B123-7E02FD2CE012}">
      <text>
        <r>
          <rPr>
            <b/>
            <sz val="8"/>
            <color indexed="81"/>
            <rFont val="Tahoma"/>
            <family val="2"/>
          </rPr>
          <t xml:space="preserve">4Q24: loss of -$83.4 million </t>
        </r>
      </text>
    </comment>
    <comment ref="AO62" authorId="2" shapeId="0" xr:uid="{20415C8A-2DAF-4A03-AD4D-8306F8AB9E10}">
      <text>
        <r>
          <rPr>
            <b/>
            <sz val="8"/>
            <color indexed="81"/>
            <rFont val="Tahoma"/>
            <family val="2"/>
          </rPr>
          <t>3Q24: -$265 million to -275 million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2Q24: -$275 million to -285 million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62" authorId="2" shapeId="0" xr:uid="{106F92A3-0D93-4640-9343-C78650C1B402}">
      <text>
        <r>
          <rPr>
            <b/>
            <sz val="8"/>
            <color indexed="81"/>
            <rFont val="Tahoma"/>
            <family val="2"/>
          </rPr>
          <t xml:space="preserve">2Q25: $65.9 mn </t>
        </r>
      </text>
    </comment>
    <comment ref="AS62" authorId="2" shapeId="0" xr:uid="{4F1A8D30-22BF-4C66-9B29-C008DBC36CDD}">
      <text>
        <r>
          <rPr>
            <b/>
            <sz val="8"/>
            <color indexed="81"/>
            <rFont val="Tahoma"/>
            <family val="2"/>
          </rPr>
          <t>JPM '26: negative $54 million
3Q25: FCF positive ex-screening in 4Q25
2Q25: FCF breakeven ex-screening in 4Q25
4Q24: FCF breakeven ex-screening in 4Q25</t>
        </r>
      </text>
    </comment>
    <comment ref="AT62" authorId="2" shapeId="0" xr:uid="{C81945E1-294C-4A40-B3C0-E11A87F01C71}">
      <text>
        <r>
          <rPr>
            <b/>
            <sz val="8"/>
            <color indexed="81"/>
            <rFont val="Tahoma"/>
            <family val="2"/>
          </rPr>
          <t>JPM '26: negative $233 million
3Q25: -$225 million to -$235 million
   Ex-Screening: FCF B/E
2Q25: -$225mn to -$235mn
cash burn ex-screening: $25mn to $35mn 
1Q25: -$225 mn to -$235 mn
4Q24: $(225) million to $(235) million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62" authorId="1" shapeId="0" xr:uid="{1CF91B93-8FA1-4150-8429-7B7670F731D0}">
      <text>
        <r>
          <rPr>
            <b/>
            <sz val="8"/>
            <color indexed="81"/>
            <rFont val="Tahoma"/>
            <family val="2"/>
          </rPr>
          <t>4Q25: -$185M to -$195M 
   Core (ex-Shield): ~+$30M
   Shield burn: ~$220M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C62" authorId="1" shapeId="0" xr:uid="{E3014B2F-21A5-46D4-B1FC-EA3203BCAF2D}">
      <text>
        <r>
          <rPr>
            <b/>
            <sz val="8"/>
            <color indexed="81"/>
            <rFont val="Tahoma"/>
            <family val="2"/>
          </rPr>
          <t xml:space="preserve">4Q25: breakeven
</t>
        </r>
      </text>
    </comment>
    <comment ref="BI62" authorId="2" shapeId="0" xr:uid="{5C304D52-3708-4F43-B5D5-FF92005CE4FD}">
      <text>
        <r>
          <rPr>
            <b/>
            <sz val="8"/>
            <color indexed="81"/>
            <rFont val="Tahoma"/>
            <family val="2"/>
          </rPr>
          <t>Investor day 2025 BE by 2028
2Q25: LRP cash flow breakeven by 2028
3Q24: LRP cash flow breakeven by 2028</t>
        </r>
      </text>
    </comment>
    <comment ref="AO78" authorId="2" shapeId="0" xr:uid="{E2FD2CE1-F811-49C7-A1E6-B6C2732E2CCB}">
      <text>
        <r>
          <rPr>
            <b/>
            <sz val="8"/>
            <color indexed="81"/>
            <rFont val="Tahoma"/>
            <family val="2"/>
          </rPr>
          <t>3Q24: positive FCF for Therapy Selection for 2024</t>
        </r>
      </text>
    </comment>
    <comment ref="AO79" authorId="2" shapeId="0" xr:uid="{5B359159-B17E-4CD8-832B-1C51000905E4}">
      <text>
        <r>
          <rPr>
            <b/>
            <sz val="8"/>
            <color indexed="81"/>
            <rFont val="Tahoma"/>
            <family val="2"/>
          </rPr>
          <t xml:space="preserve">3Q24: max net cash burn of ~$175 million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T79" authorId="2" shapeId="0" xr:uid="{FA31D0A5-1648-4484-8AFD-745C4ABB7D10}">
      <text>
        <r>
          <rPr>
            <b/>
            <sz val="8"/>
            <color indexed="81"/>
            <rFont val="Tahoma"/>
            <family val="2"/>
          </rPr>
          <t xml:space="preserve">2Q25: screening cash burn of ~$200 million 
4Q24: screening cash burn of ~$200 million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Bank of America User</author>
    <author>Tong, Nelson</author>
    <author>Mercado, Christopher</author>
    <author>Brandon Couillard</author>
  </authors>
  <commentList>
    <comment ref="A13" authorId="0" shapeId="0" xr:uid="{00000000-0006-0000-0700-000002000000}">
      <text>
        <r>
          <rPr>
            <sz val="8"/>
            <color indexed="81"/>
            <rFont val="Tahoma"/>
            <family val="2"/>
          </rPr>
          <t xml:space="preserve">11/2006: $1 billion in capacity; due August 2011
</t>
        </r>
      </text>
    </comment>
    <comment ref="A17" authorId="0" shapeId="0" xr:uid="{00000000-0006-0000-0700-00000A000000}">
      <text>
        <r>
          <rPr>
            <sz val="8"/>
            <color indexed="81"/>
            <rFont val="Tahoma"/>
            <family val="2"/>
          </rPr>
          <t xml:space="preserve">
expires
$ @ %
</t>
        </r>
      </text>
    </comment>
    <comment ref="T17" authorId="1" shapeId="0" xr:uid="{523EC68A-23D3-48F6-BE97-C0FC1254A1F3}">
      <text>
        <r>
          <rPr>
            <b/>
            <sz val="8"/>
            <color indexed="81"/>
            <rFont val="Tahoma"/>
            <family val="2"/>
          </rPr>
          <t>3Q24: sold $1,150 million principal of convertible senior notes due 2027</t>
        </r>
      </text>
    </comment>
    <comment ref="BC17" authorId="2" shapeId="0" xr:uid="{38B9C09B-80B6-44EA-9CC4-DD59346E86AC}">
      <text>
        <r>
          <rPr>
            <b/>
            <sz val="9"/>
            <color indexed="81"/>
            <rFont val="Tahoma"/>
            <family val="2"/>
          </rPr>
          <t>assuming debt gets paid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T21" authorId="3" shapeId="0" xr:uid="{F8235246-007E-4EEC-94EF-7156B89ACDA1}">
      <text>
        <r>
          <rPr>
            <b/>
            <sz val="8"/>
            <color indexed="81"/>
            <rFont val="Tahoma"/>
            <family val="2"/>
          </rPr>
          <t>Assume repaid in cash</t>
        </r>
      </text>
    </comment>
    <comment ref="CE25" authorId="3" shapeId="0" xr:uid="{5BE8051F-2A43-4AF8-87BB-D3F2C04A460B}">
      <text>
        <r>
          <rPr>
            <b/>
            <sz val="8"/>
            <color indexed="81"/>
            <rFont val="Tahoma"/>
            <family val="2"/>
          </rPr>
          <t>Assume repaid in cash</t>
        </r>
      </text>
    </comment>
    <comment ref="A51" authorId="0" shapeId="0" xr:uid="{00000000-0006-0000-0700-00000F000000}">
      <text>
        <r>
          <rPr>
            <b/>
            <sz val="8"/>
            <color indexed="81"/>
            <rFont val="Tahoma"/>
            <family val="2"/>
          </rPr>
          <t>Long-term Cap-EX Growth rate</t>
        </r>
      </text>
    </comment>
    <comment ref="A52" authorId="0" shapeId="0" xr:uid="{00000000-0006-0000-0700-000013000000}">
      <text>
        <r>
          <rPr>
            <b/>
            <sz val="8"/>
            <color indexed="81"/>
            <rFont val="Tahoma"/>
            <family val="2"/>
          </rPr>
          <t xml:space="preserve">Avg life of depreciable assets
</t>
        </r>
      </text>
    </comment>
    <comment ref="A59" authorId="0" shapeId="0" xr:uid="{00000000-0006-0000-0700-000019000000}">
      <text>
        <r>
          <rPr>
            <b/>
            <sz val="8"/>
            <color indexed="81"/>
            <rFont val="Tahoma"/>
            <family val="2"/>
          </rPr>
          <t xml:space="preserve">Avg life of depreciable assets
</t>
        </r>
      </text>
    </comment>
    <comment ref="A66" authorId="0" shapeId="0" xr:uid="{00000000-0006-0000-0700-00002A000000}">
      <text>
        <r>
          <rPr>
            <b/>
            <sz val="8"/>
            <color indexed="81"/>
            <rFont val="Tahoma"/>
            <family val="2"/>
          </rPr>
          <t xml:space="preserve">Avg life of depreciable assets
</t>
        </r>
      </text>
    </comment>
  </commentList>
</comments>
</file>

<file path=xl/sharedStrings.xml><?xml version="1.0" encoding="utf-8"?>
<sst xmlns="http://schemas.openxmlformats.org/spreadsheetml/2006/main" count="6182" uniqueCount="448">
  <si>
    <t>Brandon Couillard</t>
  </si>
  <si>
    <t>Historical results</t>
  </si>
  <si>
    <t>Projections</t>
  </si>
  <si>
    <t>Total</t>
  </si>
  <si>
    <t>Net sales</t>
  </si>
  <si>
    <t>Gross profit</t>
  </si>
  <si>
    <t>Interest expense</t>
  </si>
  <si>
    <t>Interest income</t>
  </si>
  <si>
    <t>Other expense, net</t>
  </si>
  <si>
    <t>Income before taxes</t>
  </si>
  <si>
    <t>Income tax</t>
  </si>
  <si>
    <t>Net income</t>
  </si>
  <si>
    <t>Basic shares outstanding</t>
  </si>
  <si>
    <t>Diluted shares outstanding</t>
  </si>
  <si>
    <t>EBITDA</t>
  </si>
  <si>
    <t>Margin Analysis</t>
  </si>
  <si>
    <t>Gross margin</t>
  </si>
  <si>
    <t>EBITDA margin</t>
  </si>
  <si>
    <t>Operating margin</t>
  </si>
  <si>
    <t>Other</t>
  </si>
  <si>
    <t>Revenue</t>
  </si>
  <si>
    <t>Foreign exchange</t>
  </si>
  <si>
    <t>ASSETS</t>
  </si>
  <si>
    <t>Current Assets</t>
  </si>
  <si>
    <t>Cash and equivalents</t>
  </si>
  <si>
    <t>Accounts receivable, net</t>
  </si>
  <si>
    <t>Inventory</t>
  </si>
  <si>
    <t>Other current assets</t>
  </si>
  <si>
    <t>Total current assets</t>
  </si>
  <si>
    <t>Plant, property, and equipment, net</t>
  </si>
  <si>
    <t>Intangible assets, net</t>
  </si>
  <si>
    <t>Goodwill, net</t>
  </si>
  <si>
    <t>Other non-current assets</t>
  </si>
  <si>
    <t>Total long-term assets</t>
  </si>
  <si>
    <t>Total assets</t>
  </si>
  <si>
    <t>LIABILITIES AND SHAREHOLDERS' EQUITY</t>
  </si>
  <si>
    <t>Current Liabilities</t>
  </si>
  <si>
    <t>Accounts payable</t>
  </si>
  <si>
    <t>Accrued liabilities</t>
  </si>
  <si>
    <t>Deferred revenue</t>
  </si>
  <si>
    <t>Other current liabilities</t>
  </si>
  <si>
    <t>Current portion of debt</t>
  </si>
  <si>
    <t>Total current liabilities</t>
  </si>
  <si>
    <t>Long-term debt</t>
  </si>
  <si>
    <t>Deferred income taxes</t>
  </si>
  <si>
    <t>Other non-current liabilities</t>
  </si>
  <si>
    <t>Total long-term liabilities</t>
  </si>
  <si>
    <t>Total liabilities</t>
  </si>
  <si>
    <t>Preferred stock</t>
  </si>
  <si>
    <t>Common Stock</t>
  </si>
  <si>
    <t>Capital in excess of par value</t>
  </si>
  <si>
    <t>Retained earnings</t>
  </si>
  <si>
    <t>Accumulated other gain</t>
  </si>
  <si>
    <t>Unearned ESOP compensation</t>
  </si>
  <si>
    <t>Treasury stock, at cost</t>
  </si>
  <si>
    <t>Total shareholders' equity</t>
  </si>
  <si>
    <t>Total liabilities and shareholders' equity</t>
  </si>
  <si>
    <t>Check Balance</t>
  </si>
  <si>
    <t>Average shares outstanding, beginning</t>
  </si>
  <si>
    <t>Assumption for share dilution</t>
  </si>
  <si>
    <t>Treasury shares repurchased</t>
  </si>
  <si>
    <t>Average shares outstanding, end</t>
  </si>
  <si>
    <t>Drivers</t>
  </si>
  <si>
    <t>Trailing-twelve month revenue</t>
  </si>
  <si>
    <t>Trailing-twelve month COGS</t>
  </si>
  <si>
    <t>DSO</t>
  </si>
  <si>
    <t>TTM DSO</t>
  </si>
  <si>
    <t>Inv days out</t>
  </si>
  <si>
    <t>TTM IDO</t>
  </si>
  <si>
    <t>Days payable outstanding</t>
  </si>
  <si>
    <t>Other liabilities outstanding</t>
  </si>
  <si>
    <t>Allowance for Doubtful accounts</t>
  </si>
  <si>
    <t>Net Cash/Diluted Share</t>
  </si>
  <si>
    <t>Debt/Cap</t>
  </si>
  <si>
    <t>Net debt / TTM EBITDA</t>
  </si>
  <si>
    <t>Total debt / TTM EBITDA</t>
  </si>
  <si>
    <t>Cash Flows from Operating Activities</t>
  </si>
  <si>
    <t>Depreciation and amortization</t>
  </si>
  <si>
    <t>Restructuring costs</t>
  </si>
  <si>
    <t>Disposals, net</t>
  </si>
  <si>
    <t>Equity compensation</t>
  </si>
  <si>
    <t>Other non-cash costs</t>
  </si>
  <si>
    <t>Changes in operating accounts</t>
  </si>
  <si>
    <t>Accounts receivable</t>
  </si>
  <si>
    <t>Other, net</t>
  </si>
  <si>
    <t>Cash Flow from Operations</t>
  </si>
  <si>
    <t>Cash Flows from Investing Activities</t>
  </si>
  <si>
    <t>Acquisition of businesses</t>
  </si>
  <si>
    <t>Purchase of identifiable intangibles</t>
  </si>
  <si>
    <t>Capital expenditures</t>
  </si>
  <si>
    <t>Disposals</t>
  </si>
  <si>
    <t>Net cash provided by investing activites</t>
  </si>
  <si>
    <t>Cash Flows from Financing Activities</t>
  </si>
  <si>
    <t>Changes to debt, net</t>
  </si>
  <si>
    <t>Proceeds from ESOP</t>
  </si>
  <si>
    <t>Cash paid for treasury stock</t>
  </si>
  <si>
    <t>Cash paid for dividend</t>
  </si>
  <si>
    <t>Net cash provided by financing activities</t>
  </si>
  <si>
    <t>Net change in cash position</t>
  </si>
  <si>
    <t>Net change in cash post foreign exchange</t>
  </si>
  <si>
    <t>Cash and equivalents beginning of period</t>
  </si>
  <si>
    <t>Change in cash position</t>
  </si>
  <si>
    <t>Balance Check</t>
  </si>
  <si>
    <t>Free cash flow</t>
  </si>
  <si>
    <t>Plant, property, and equipment</t>
  </si>
  <si>
    <t>Historical and Projected Summary Valuation Analysis</t>
  </si>
  <si>
    <t>Price</t>
  </si>
  <si>
    <t>Profitability Metrics</t>
  </si>
  <si>
    <t>Price/revenue</t>
  </si>
  <si>
    <t>Diluted earnings per share</t>
  </si>
  <si>
    <t>Price/EPS</t>
  </si>
  <si>
    <t>Cash flow from operations</t>
  </si>
  <si>
    <t>Capital spending</t>
  </si>
  <si>
    <t>Free cash flow yield</t>
  </si>
  <si>
    <t>Free cash flow per share</t>
  </si>
  <si>
    <t>Price/free cash flow</t>
  </si>
  <si>
    <t>Cash</t>
  </si>
  <si>
    <t>Shares outstanding</t>
  </si>
  <si>
    <t>Market capitalization</t>
  </si>
  <si>
    <t>Enterprise value</t>
  </si>
  <si>
    <t>EV/EBITDA</t>
  </si>
  <si>
    <t>Asset turnover</t>
  </si>
  <si>
    <t>ROA</t>
  </si>
  <si>
    <t>Interest-burden ratio</t>
  </si>
  <si>
    <t>Leverage ratio</t>
  </si>
  <si>
    <t>Tax-burden ratio</t>
  </si>
  <si>
    <t>ROE</t>
  </si>
  <si>
    <t>Balance Sheet Metrics</t>
  </si>
  <si>
    <t>Receivable days outstanding</t>
  </si>
  <si>
    <t>Inventory days outstanding</t>
  </si>
  <si>
    <t>Payable days outstanding</t>
  </si>
  <si>
    <t>Cash conversion cycle</t>
  </si>
  <si>
    <t>Total debt</t>
  </si>
  <si>
    <t>Shareholder's equity</t>
  </si>
  <si>
    <t>Debt/total capital</t>
  </si>
  <si>
    <t>Times interest earned</t>
  </si>
  <si>
    <t>Book value per share</t>
  </si>
  <si>
    <t>Price to book</t>
  </si>
  <si>
    <t>Other Accounts</t>
  </si>
  <si>
    <t>Cash, beginning</t>
  </si>
  <si>
    <t>Rate</t>
  </si>
  <si>
    <t>Trailing rate</t>
  </si>
  <si>
    <t>DEBT SCHEDULE</t>
  </si>
  <si>
    <t>Revolving Credit Line</t>
  </si>
  <si>
    <t>rate</t>
  </si>
  <si>
    <t>Long-term debt, total</t>
  </si>
  <si>
    <t>Current</t>
  </si>
  <si>
    <t>Total Debt</t>
  </si>
  <si>
    <t>Calculated interest expense</t>
  </si>
  <si>
    <t>Actual interest expense</t>
  </si>
  <si>
    <t>Beginning value</t>
  </si>
  <si>
    <t>Quarterly adjuster</t>
  </si>
  <si>
    <t>Additions</t>
  </si>
  <si>
    <t>Depreciation</t>
  </si>
  <si>
    <t>Ending value</t>
  </si>
  <si>
    <t>Finite Life Intangibles</t>
  </si>
  <si>
    <t>Additions/adjustments</t>
  </si>
  <si>
    <t>Amortization</t>
  </si>
  <si>
    <t>Goodwill</t>
  </si>
  <si>
    <t>Book value</t>
  </si>
  <si>
    <t>Net debt</t>
  </si>
  <si>
    <t>Net debt / Capital</t>
  </si>
  <si>
    <t>% of net income</t>
  </si>
  <si>
    <t>Bad debt expense</t>
  </si>
  <si>
    <t>-</t>
  </si>
  <si>
    <t>Average stock price</t>
  </si>
  <si>
    <t>NOL, ending</t>
  </si>
  <si>
    <t>Def. tax Δ as % of inc. tax exp.</t>
  </si>
  <si>
    <t>Bad debt expense % of revenue</t>
  </si>
  <si>
    <t>NOL, beginning</t>
  </si>
  <si>
    <t>NOL utilization</t>
  </si>
  <si>
    <t>Anti-dilutive options</t>
  </si>
  <si>
    <t>EV/Sales</t>
  </si>
  <si>
    <t>FCF / EV yield</t>
  </si>
  <si>
    <t>Excess tax benefit from share-based comp.</t>
  </si>
  <si>
    <t>EV / revenue</t>
  </si>
  <si>
    <t>P/E (ex-cash)</t>
  </si>
  <si>
    <t>Net cash per share</t>
  </si>
  <si>
    <t>FCF / share</t>
  </si>
  <si>
    <t>EBITDA (+stock-based comp)</t>
  </si>
  <si>
    <t>Share repurchases</t>
  </si>
  <si>
    <t>% of FCF</t>
  </si>
  <si>
    <t>Growth</t>
  </si>
  <si>
    <t>Cash paid for income taxes</t>
  </si>
  <si>
    <t>After-tax net interest expense</t>
  </si>
  <si>
    <t>Unlevered free cash flow</t>
  </si>
  <si>
    <t>EV / UFCF</t>
  </si>
  <si>
    <t>Unlevered FCF yield</t>
  </si>
  <si>
    <t>Net interest expense</t>
  </si>
  <si>
    <t>EV / FCF</t>
  </si>
  <si>
    <t>This sheet contains FactSet XML data for use with this workbook's =FDS codes.  Modifying the worksheet's contents may damage the workbook's =FDS functionality.</t>
  </si>
  <si>
    <t>brandon.couillard@wellsfargo.com</t>
  </si>
  <si>
    <t>Post-2034</t>
  </si>
  <si>
    <t>Important Disclaimers:</t>
  </si>
  <si>
    <t>Cash and equivalents and restricted cash end of period</t>
  </si>
  <si>
    <t>DSO (company disclosure)</t>
  </si>
  <si>
    <t>Equity Research</t>
  </si>
  <si>
    <t>Financial Model</t>
  </si>
  <si>
    <t>Life Science Tools &amp; Diagnostics</t>
  </si>
  <si>
    <t>Senior Analyst</t>
  </si>
  <si>
    <t>Evan Stampler, PhD, CFA</t>
  </si>
  <si>
    <t>Vice President</t>
  </si>
  <si>
    <t>evan.stampler@wellsfargo.com</t>
  </si>
  <si>
    <t>212.214.5053</t>
  </si>
  <si>
    <t>212.214.5312</t>
  </si>
  <si>
    <t>ROIC</t>
  </si>
  <si>
    <t>Non-GAAP net income</t>
  </si>
  <si>
    <t>Taxes</t>
  </si>
  <si>
    <t>GAAP net income</t>
  </si>
  <si>
    <t>Non-GAAP basic E.P.S.</t>
  </si>
  <si>
    <t>Non-GAAP diluted E.P.S.</t>
  </si>
  <si>
    <t>GAAP basic E.P.S.</t>
  </si>
  <si>
    <t>GAAP diluted E.P.S.</t>
  </si>
  <si>
    <t>Cost of development services</t>
  </si>
  <si>
    <t>Cost of precision oncology testing</t>
  </si>
  <si>
    <t>Development Services</t>
  </si>
  <si>
    <t>Fair value change in contingent exp.</t>
  </si>
  <si>
    <t>Acquisition related exp.</t>
  </si>
  <si>
    <t>Amortization of intangible assets</t>
  </si>
  <si>
    <t>Gross profit (ex-screening)</t>
  </si>
  <si>
    <t>Noncontrolling Interest</t>
  </si>
  <si>
    <t>Short-term marketable securities end of period</t>
  </si>
  <si>
    <t>growth (y/y)</t>
  </si>
  <si>
    <t xml:space="preserve">Cash paid for interest </t>
  </si>
  <si>
    <t>9M</t>
  </si>
  <si>
    <t>Restricted cash end of period</t>
  </si>
  <si>
    <t>Cash, Cash Equiv and marketable securities end of period</t>
  </si>
  <si>
    <t>Guardant Health (GH)</t>
  </si>
  <si>
    <t>Medicare Price</t>
  </si>
  <si>
    <t>Medicare Price (growth y/y)</t>
  </si>
  <si>
    <t>Guardant360</t>
  </si>
  <si>
    <t>Cash List Price</t>
  </si>
  <si>
    <t>Cash List Price (growth y/y)</t>
  </si>
  <si>
    <t>TissueNext</t>
  </si>
  <si>
    <t>Reveal</t>
  </si>
  <si>
    <t>ASP</t>
  </si>
  <si>
    <t>midpt</t>
  </si>
  <si>
    <t>ASP (Guardant360) High</t>
  </si>
  <si>
    <t>Low</t>
  </si>
  <si>
    <t>Screening net cash burn</t>
  </si>
  <si>
    <t>&gt;$0</t>
  </si>
  <si>
    <t>Thereapy Selection cash flow</t>
  </si>
  <si>
    <t>1Q23A</t>
  </si>
  <si>
    <t>2Q23A</t>
  </si>
  <si>
    <t>3Q23A</t>
  </si>
  <si>
    <t>4Q23A</t>
  </si>
  <si>
    <t>1Q24A</t>
  </si>
  <si>
    <t>2Q24A</t>
  </si>
  <si>
    <t>3Q24A</t>
  </si>
  <si>
    <t>1Q26E</t>
  </si>
  <si>
    <t>2Q26E</t>
  </si>
  <si>
    <t>3Q26E</t>
  </si>
  <si>
    <t>4Q26E</t>
  </si>
  <si>
    <t>1Q27E</t>
  </si>
  <si>
    <t>2Q27E</t>
  </si>
  <si>
    <t>3Q27E</t>
  </si>
  <si>
    <t>4Q27E</t>
  </si>
  <si>
    <t>1Q28E</t>
  </si>
  <si>
    <t>2Q28E</t>
  </si>
  <si>
    <t>3Q28E</t>
  </si>
  <si>
    <t>4Q28E</t>
  </si>
  <si>
    <t>1Q29E</t>
  </si>
  <si>
    <t>2Q29E</t>
  </si>
  <si>
    <t>3Q29E</t>
  </si>
  <si>
    <t>4Q29E</t>
  </si>
  <si>
    <t>1Q30E</t>
  </si>
  <si>
    <t>2Q30E</t>
  </si>
  <si>
    <t>3Q30E</t>
  </si>
  <si>
    <t>4Q30E</t>
  </si>
  <si>
    <t>1Q31E</t>
  </si>
  <si>
    <t>2Q31E</t>
  </si>
  <si>
    <t>3Q31E</t>
  </si>
  <si>
    <t>4Q31E</t>
  </si>
  <si>
    <t>1Q32E</t>
  </si>
  <si>
    <t>2Q32E</t>
  </si>
  <si>
    <t>3Q32E</t>
  </si>
  <si>
    <t>4Q32E</t>
  </si>
  <si>
    <t>1Q33E</t>
  </si>
  <si>
    <t>2Q33E</t>
  </si>
  <si>
    <t>3Q33E</t>
  </si>
  <si>
    <t>4Q33E</t>
  </si>
  <si>
    <t>1Q34E</t>
  </si>
  <si>
    <t>2Q34E</t>
  </si>
  <si>
    <t>3Q34E</t>
  </si>
  <si>
    <t>4Q34E</t>
  </si>
  <si>
    <t>1Q22A</t>
  </si>
  <si>
    <t>2Q22A</t>
  </si>
  <si>
    <t>3Q22A</t>
  </si>
  <si>
    <t>4Q22A</t>
  </si>
  <si>
    <t>ASP by Test</t>
  </si>
  <si>
    <t>4Q24A</t>
  </si>
  <si>
    <t>% yoy</t>
  </si>
  <si>
    <t>% seq</t>
  </si>
  <si>
    <t>Guardant Reveal</t>
  </si>
  <si>
    <t xml:space="preserve">-- </t>
  </si>
  <si>
    <t>Local or Regional Advanced CRC - New Cases</t>
  </si>
  <si>
    <t>Test Volumes - New Cases</t>
  </si>
  <si>
    <t>Multiplier</t>
  </si>
  <si>
    <t>Advanced CRC Patients - Existing Cases</t>
  </si>
  <si>
    <t>Total CRC Reimbursable Market</t>
  </si>
  <si>
    <t>% penetration</t>
  </si>
  <si>
    <t>Guardant360 Response</t>
  </si>
  <si>
    <t>Test Volumes - Existing Cases</t>
  </si>
  <si>
    <t>1Q17A</t>
  </si>
  <si>
    <t>2Q17A</t>
  </si>
  <si>
    <t>3Q17A</t>
  </si>
  <si>
    <t>4Q17A</t>
  </si>
  <si>
    <t>1Q18A</t>
  </si>
  <si>
    <t>2Q18A</t>
  </si>
  <si>
    <t>3Q18A</t>
  </si>
  <si>
    <t>4Q18A</t>
  </si>
  <si>
    <t>1Q19A</t>
  </si>
  <si>
    <t>2Q19A</t>
  </si>
  <si>
    <t>3Q19A</t>
  </si>
  <si>
    <t>4Q19A</t>
  </si>
  <si>
    <t>1Q20A</t>
  </si>
  <si>
    <t>2Q20A</t>
  </si>
  <si>
    <t>3Q20A</t>
  </si>
  <si>
    <t>4Q20A</t>
  </si>
  <si>
    <t>1Q21A</t>
  </si>
  <si>
    <t>2Q21A</t>
  </si>
  <si>
    <t>3Q21A</t>
  </si>
  <si>
    <t>4Q21A</t>
  </si>
  <si>
    <t>Oncology</t>
  </si>
  <si>
    <t>Screening</t>
  </si>
  <si>
    <t>Shield (Screening)</t>
  </si>
  <si>
    <t>Precision Oncology Revenue</t>
  </si>
  <si>
    <t>ASP (Guardant360) growth (y/y)</t>
  </si>
  <si>
    <t>ASP change (y/y)</t>
  </si>
  <si>
    <t>ASP change(q/q)</t>
  </si>
  <si>
    <t>Biopharma &amp; Data</t>
  </si>
  <si>
    <t>Biopharma</t>
  </si>
  <si>
    <t>Biopharma Revenue</t>
  </si>
  <si>
    <t>Precision Oncology Volume</t>
  </si>
  <si>
    <t>G360 Volume</t>
  </si>
  <si>
    <t>Average Selling Price ($ / test)</t>
  </si>
  <si>
    <t>Total Patient Population</t>
  </si>
  <si>
    <t>Total Revenues</t>
  </si>
  <si>
    <t>Data</t>
  </si>
  <si>
    <t>Licensing &amp; Other</t>
  </si>
  <si>
    <t>penetration chg yoy</t>
  </si>
  <si>
    <t>penetration chg seq</t>
  </si>
  <si>
    <t>FIT</t>
  </si>
  <si>
    <t>Patient Population</t>
  </si>
  <si>
    <t>Converted Test Volume</t>
  </si>
  <si>
    <t>GH Market Share</t>
  </si>
  <si>
    <t>GH Volume</t>
  </si>
  <si>
    <t>Cologuard Converstion</t>
  </si>
  <si>
    <t>Colonoscopy Conversion</t>
  </si>
  <si>
    <t>New To Screening</t>
  </si>
  <si>
    <t>% Penetration</t>
  </si>
  <si>
    <t>Cologuard Tests</t>
  </si>
  <si>
    <t>Rescreening</t>
  </si>
  <si>
    <t>Compliance</t>
  </si>
  <si>
    <t>Rescreeners</t>
  </si>
  <si>
    <t>Screening Volumes</t>
  </si>
  <si>
    <t>Screening Revenues</t>
  </si>
  <si>
    <t>Oncology Volumes</t>
  </si>
  <si>
    <t>Consolidated</t>
  </si>
  <si>
    <t>Volumes</t>
  </si>
  <si>
    <t>Revenue Build</t>
  </si>
  <si>
    <t>Reveal Volume</t>
  </si>
  <si>
    <t>Response Volumes</t>
  </si>
  <si>
    <t>Biopharma Volumes</t>
  </si>
  <si>
    <t>Guardant 360 Response</t>
  </si>
  <si>
    <t>1Q25A</t>
  </si>
  <si>
    <t>Guardant360 Tissue</t>
  </si>
  <si>
    <t>Mar</t>
  </si>
  <si>
    <t>Jun</t>
  </si>
  <si>
    <t>Sep</t>
  </si>
  <si>
    <t>Dec</t>
  </si>
  <si>
    <t>FY17A</t>
  </si>
  <si>
    <t>FY18A</t>
  </si>
  <si>
    <t>FY19A</t>
  </si>
  <si>
    <t>FY20A</t>
  </si>
  <si>
    <t>FY21A</t>
  </si>
  <si>
    <t>FY22A</t>
  </si>
  <si>
    <t>FY23A</t>
  </si>
  <si>
    <t>FY24A</t>
  </si>
  <si>
    <t>FY26E</t>
  </si>
  <si>
    <t>FY27E</t>
  </si>
  <si>
    <t>FY28E</t>
  </si>
  <si>
    <t>FY29E</t>
  </si>
  <si>
    <t>FY30E</t>
  </si>
  <si>
    <t>FY31E</t>
  </si>
  <si>
    <t>FY32E</t>
  </si>
  <si>
    <t>FY33E</t>
  </si>
  <si>
    <t>FY34E</t>
  </si>
  <si>
    <t>Year-Over-Year</t>
  </si>
  <si>
    <t>Income Statement</t>
  </si>
  <si>
    <t>$ millions except per share data, FY ending Dec</t>
  </si>
  <si>
    <t>Guardant Health, Inc. (NASDAQ: GH)</t>
  </si>
  <si>
    <t>Balance Sheet</t>
  </si>
  <si>
    <t>Cost of Sales</t>
  </si>
  <si>
    <t>--</t>
  </si>
  <si>
    <t>Margin Chg yoy</t>
  </si>
  <si>
    <t>ASPs</t>
  </si>
  <si>
    <t>Operating expenses</t>
  </si>
  <si>
    <t>Chris Mercado, CFA</t>
  </si>
  <si>
    <t>212.214.8092</t>
  </si>
  <si>
    <t>chistopher.mercado2@wellsfargo.com</t>
  </si>
  <si>
    <t>R&amp;D expense</t>
  </si>
  <si>
    <t>S&amp;M expense</t>
  </si>
  <si>
    <t>G&amp;A expense</t>
  </si>
  <si>
    <t>COGS</t>
  </si>
  <si>
    <t>Minority interest</t>
  </si>
  <si>
    <t>Incremental OPM</t>
  </si>
  <si>
    <t>2Q25A</t>
  </si>
  <si>
    <t>Sales Reps</t>
  </si>
  <si>
    <t>Gross Profit</t>
  </si>
  <si>
    <t>R&amp;D</t>
  </si>
  <si>
    <t>S&amp;M</t>
  </si>
  <si>
    <t>G&amp;A</t>
  </si>
  <si>
    <t>Historical Results</t>
  </si>
  <si>
    <t>Excess cash flow</t>
  </si>
  <si>
    <t>$ millions except per share data, FY-end Dec</t>
  </si>
  <si>
    <t>Cash Flow Summary</t>
  </si>
  <si>
    <t>Source: Company reports, Wells Fargo Securities, LLC estimates.</t>
  </si>
  <si>
    <t>Total test volume</t>
  </si>
  <si>
    <t>Total Revenue</t>
  </si>
  <si>
    <t>% of total (check)</t>
  </si>
  <si>
    <t xml:space="preserve">Prior period revenue </t>
  </si>
  <si>
    <t>Convertible Senior Notes due 2/15/31</t>
  </si>
  <si>
    <t>Convertible Senior Notes due 11/15/27</t>
  </si>
  <si>
    <t>Stock-based Comp</t>
  </si>
  <si>
    <t>G360 / G360 Dx Revenue</t>
  </si>
  <si>
    <t>Reveal Revenue</t>
  </si>
  <si>
    <t>Response Revenue</t>
  </si>
  <si>
    <t>Total Oncology Revenue</t>
  </si>
  <si>
    <t>Shield: Unit Economics</t>
  </si>
  <si>
    <t>Non-GAAP GM</t>
  </si>
  <si>
    <t>COGS/test</t>
  </si>
  <si>
    <t>G360 Tissue Volume</t>
  </si>
  <si>
    <t>G360 Tissue Revenue</t>
  </si>
  <si>
    <t>Guardant 360 Liquid</t>
  </si>
  <si>
    <t>Guardant 360 Tissue</t>
  </si>
  <si>
    <t>Operating expense</t>
  </si>
  <si>
    <t>New debt</t>
  </si>
  <si>
    <t>Revenue per field sales rep (annualized)</t>
  </si>
  <si>
    <t>CAGRs</t>
  </si>
  <si>
    <t>3YR</t>
  </si>
  <si>
    <t>5YR</t>
  </si>
  <si>
    <t>Operating income (EBITA , ex-SBC)</t>
  </si>
  <si>
    <t>3Q25A</t>
  </si>
  <si>
    <t>Convertible Senior Notes due 5/15/33</t>
  </si>
  <si>
    <t>Old Revenue Breakdown (prior to 2025)</t>
  </si>
  <si>
    <t>4Q25A</t>
  </si>
  <si>
    <t>FY25A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</si>
</sst>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164" formatCode="&quot;$&quot;#,##0.0_);[Red]\(&quot;$&quot;#,##0.0\)"/>
    <numFmt numFmtId="165" formatCode="#,##0.000"/>
    <numFmt numFmtId="166" formatCode="#,##0.0"/>
    <numFmt numFmtId="167" formatCode="#,##0.0%\ ;[Red]\(#,##0.0%\)"/>
    <numFmt numFmtId="168" formatCode="0.0%"/>
    <numFmt numFmtId="169" formatCode="&quot;$&quot;#,##0.0_);\(&quot;$&quot;#,##0.0\)"/>
    <numFmt numFmtId="170" formatCode="0.000_);[Red]\(0.000\)"/>
    <numFmt numFmtId="171" formatCode="#,##0.0_);[Red]\(#,##0.0\)"/>
    <numFmt numFmtId="172" formatCode="#,##0.000_);[Red]\(#,##0.000\)"/>
    <numFmt numFmtId="173" formatCode="0.0\x;[Red]\(0.0\x\)"/>
    <numFmt numFmtId="174" formatCode="0.0%_)"/>
    <numFmt numFmtId="175" formatCode="&quot;$&quot;#,##0.00"/>
    <numFmt numFmtId="176" formatCode="\€#,##0_);\(\€#,##0\)"/>
    <numFmt numFmtId="177" formatCode="0.0%;[Red]\(0.0%\)"/>
    <numFmt numFmtId="178" formatCode="#,##0%\ ;[Red]\(#,##0%\)"/>
    <numFmt numFmtId="179" formatCode="0.00\x"/>
    <numFmt numFmtId="180" formatCode="&quot;$&quot;#,##0.000_);[Red]\(&quot;$&quot;#,##0.000\)"/>
    <numFmt numFmtId="181" formatCode="_-* #,##0.00_-;\-* #,##0.00_-;_-* &quot;-&quot;??_-;_-@_-"/>
    <numFmt numFmtId="182" formatCode="&quot;$&quot;#,##0"/>
    <numFmt numFmtId="183" formatCode="0%;[Red]\(0%\)"/>
    <numFmt numFmtId="184" formatCode="0.0\x;\(0.0\x\)"/>
    <numFmt numFmtId="185" formatCode="#,##0.0_);\(#,##0.0\)"/>
    <numFmt numFmtId="186" formatCode="0.0%_);\(0.0%\);0.0%_);@_)"/>
    <numFmt numFmtId="187" formatCode="#,##0.0_);\(#,##0.0\);#,##0.0_);@_)"/>
    <numFmt numFmtId="188" formatCode="[$-409]mmmm\ d\,\ yyyy;@"/>
    <numFmt numFmtId="189" formatCode="0\x"/>
    <numFmt numFmtId="190" formatCode="0\ &quot;bp&quot;"/>
    <numFmt numFmtId="191" formatCode="#,##0.0000"/>
  </numFmts>
  <fonts count="61">
    <font>
      <sz val="9"/>
      <name val="Futura Md BT"/>
      <family val="2"/>
    </font>
    <font>
      <sz val="11"/>
      <color theme="1"/>
      <name val="Wells Fargo Sans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 Narrow"/>
      <family val="2"/>
    </font>
    <font>
      <b/>
      <sz val="10"/>
      <name val="Arial Narrow"/>
      <family val="2"/>
    </font>
    <font>
      <u/>
      <sz val="10"/>
      <name val="Arial Narrow"/>
      <family val="2"/>
    </font>
    <font>
      <sz val="10"/>
      <name val="GillSans"/>
    </font>
    <font>
      <sz val="10"/>
      <color indexed="12"/>
      <name val="Arial Narrow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 Narrow MT"/>
      <family val="2"/>
    </font>
    <font>
      <b/>
      <u/>
      <sz val="10"/>
      <name val="Arial Narrow"/>
      <family val="2"/>
    </font>
    <font>
      <i/>
      <sz val="10"/>
      <name val="Arial Narrow"/>
      <family val="2"/>
    </font>
    <font>
      <sz val="10"/>
      <color indexed="17"/>
      <name val="Arial Narrow"/>
      <family val="2"/>
    </font>
    <font>
      <sz val="8"/>
      <name val="Arial"/>
      <family val="2"/>
    </font>
    <font>
      <sz val="10"/>
      <color indexed="10"/>
      <name val="Arial Narrow"/>
      <family val="2"/>
    </font>
    <font>
      <sz val="9"/>
      <name val="Arial"/>
      <family val="2"/>
    </font>
    <font>
      <sz val="10"/>
      <color indexed="8"/>
      <name val="MS Sans Serif"/>
      <family val="2"/>
    </font>
    <font>
      <sz val="10"/>
      <color rgb="FF0000FF"/>
      <name val="Arial Narrow"/>
      <family val="2"/>
    </font>
    <font>
      <sz val="12"/>
      <name val="Arial"/>
      <family val="2"/>
    </font>
    <font>
      <sz val="12"/>
      <name val="Arial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theme="9" tint="-0.249977111117893"/>
      <name val="Arial Narrow"/>
      <family val="2"/>
    </font>
    <font>
      <b/>
      <sz val="9"/>
      <color indexed="81"/>
      <name val="Tahoma"/>
      <family val="2"/>
    </font>
    <font>
      <sz val="10"/>
      <color rgb="FF000000"/>
      <name val="Arial Narrow"/>
      <family val="2"/>
    </font>
    <font>
      <i/>
      <sz val="10"/>
      <color theme="1"/>
      <name val="Arial Narrow"/>
      <family val="2"/>
    </font>
    <font>
      <sz val="9"/>
      <color indexed="81"/>
      <name val="Tahoma"/>
      <family val="2"/>
    </font>
    <font>
      <sz val="8"/>
      <name val="Helvetica"/>
    </font>
    <font>
      <sz val="11"/>
      <color theme="1"/>
      <name val="Cambria"/>
      <family val="2"/>
    </font>
    <font>
      <u/>
      <sz val="10"/>
      <color indexed="12"/>
      <name val="Arial"/>
      <family val="2"/>
    </font>
    <font>
      <sz val="8"/>
      <name val="Helvetica"/>
      <family val="2"/>
    </font>
    <font>
      <u/>
      <sz val="8.5"/>
      <color indexed="12"/>
      <name val="Arial"/>
      <family val="2"/>
    </font>
    <font>
      <sz val="11"/>
      <color indexed="8"/>
      <name val="Calibri"/>
      <family val="2"/>
    </font>
    <font>
      <b/>
      <sz val="10.5"/>
      <name val="Arial"/>
      <family val="2"/>
    </font>
    <font>
      <sz val="10"/>
      <name val="Verdana"/>
      <family val="2"/>
    </font>
    <font>
      <sz val="24"/>
      <color theme="1"/>
      <name val="Georgia"/>
      <family val="1"/>
    </font>
    <font>
      <b/>
      <sz val="12"/>
      <color theme="1"/>
      <name val="Verdana"/>
      <family val="2"/>
    </font>
    <font>
      <b/>
      <sz val="9"/>
      <color theme="1"/>
      <name val="Arial"/>
      <family val="2"/>
    </font>
    <font>
      <b/>
      <sz val="9"/>
      <color theme="1"/>
      <name val="Verdana"/>
      <family val="2"/>
    </font>
    <font>
      <sz val="13"/>
      <name val="Arial"/>
      <family val="2"/>
    </font>
    <font>
      <b/>
      <sz val="9"/>
      <name val="Verdana"/>
      <family val="2"/>
    </font>
    <font>
      <sz val="13"/>
      <color theme="1"/>
      <name val="Arial"/>
      <family val="2"/>
    </font>
    <font>
      <sz val="26"/>
      <color rgb="FFD71E28"/>
      <name val="Georgia"/>
      <family val="1"/>
    </font>
    <font>
      <b/>
      <sz val="18"/>
      <color theme="3"/>
      <name val="Georgia"/>
      <family val="1"/>
    </font>
    <font>
      <sz val="10"/>
      <color theme="1"/>
      <name val="Verdana"/>
      <family val="2"/>
    </font>
    <font>
      <sz val="13"/>
      <color rgb="FFD71E28"/>
      <name val="Georgia"/>
      <family val="1"/>
    </font>
    <font>
      <b/>
      <sz val="11"/>
      <name val="Verdana"/>
      <family val="2"/>
    </font>
    <font>
      <sz val="11"/>
      <name val="Arial"/>
      <family val="2"/>
    </font>
    <font>
      <sz val="9.5"/>
      <name val="Arial"/>
      <family val="2"/>
    </font>
    <font>
      <u/>
      <sz val="9.5"/>
      <color rgb="FF0000FF"/>
      <name val="Verdana"/>
      <family val="2"/>
    </font>
    <font>
      <u/>
      <sz val="10"/>
      <color theme="10"/>
      <name val="Arial"/>
      <family val="2"/>
    </font>
    <font>
      <u/>
      <sz val="9.5"/>
      <color theme="10"/>
      <name val="Verdana"/>
      <family val="2"/>
    </font>
    <font>
      <u/>
      <sz val="9"/>
      <color theme="10"/>
      <name val="Futura Md BT"/>
      <family val="2"/>
    </font>
    <font>
      <sz val="10"/>
      <color theme="3" tint="0.39997558519241921"/>
      <name val="Arial Narrow"/>
      <family val="2"/>
    </font>
    <font>
      <sz val="10"/>
      <color rgb="FF2537E7"/>
      <name val="Arial Narrow"/>
      <family val="2"/>
    </font>
    <font>
      <b/>
      <sz val="10"/>
      <color rgb="FF0000FF"/>
      <name val="Arial Narrow"/>
      <family val="2"/>
    </font>
    <font>
      <b/>
      <sz val="10"/>
      <color theme="0"/>
      <name val="Arial Narrow"/>
      <family val="2"/>
    </font>
    <font>
      <sz val="10"/>
      <color theme="0"/>
      <name val="Arial Narrow"/>
      <family val="2"/>
    </font>
    <font>
      <b/>
      <u/>
      <sz val="10"/>
      <color theme="0"/>
      <name val="Arial Narrow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</patternFill>
    </fill>
    <fill>
      <patternFill patternType="solid">
        <fgColor rgb="FFFFCD41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EB691E"/>
        <bgColor indexed="64"/>
      </patternFill>
    </fill>
    <fill>
      <patternFill patternType="solid">
        <fgColor rgb="FF352B6B"/>
        <bgColor indexed="64"/>
      </patternFill>
    </fill>
    <fill>
      <patternFill patternType="solid">
        <fgColor rgb="FF9A89D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4">
    <xf numFmtId="0" fontId="0" fillId="0" borderId="0" applyNumberFormat="0"/>
    <xf numFmtId="5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1" fillId="0" borderId="0" applyNumberFormat="0"/>
    <xf numFmtId="0" fontId="15" fillId="0" borderId="5" applyNumberFormat="0" applyFill="0" applyAlignment="0" applyProtection="0"/>
    <xf numFmtId="176" fontId="17" fillId="0" borderId="0"/>
    <xf numFmtId="37" fontId="4" fillId="2" borderId="0" applyAlignment="0"/>
    <xf numFmtId="3" fontId="17" fillId="0" borderId="0"/>
    <xf numFmtId="0" fontId="18" fillId="0" borderId="0" applyNumberFormat="0" applyFont="0" applyFill="0" applyBorder="0" applyAlignment="0" applyProtection="0"/>
    <xf numFmtId="0" fontId="20" fillId="5" borderId="0"/>
    <xf numFmtId="181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1" fillId="5" borderId="0"/>
    <xf numFmtId="0" fontId="2" fillId="0" borderId="0"/>
    <xf numFmtId="9" fontId="2" fillId="0" borderId="0" applyFont="0" applyFill="0" applyBorder="0" applyAlignment="0" applyProtection="0"/>
    <xf numFmtId="0" fontId="29" fillId="0" borderId="0"/>
    <xf numFmtId="0" fontId="3" fillId="0" borderId="0"/>
    <xf numFmtId="0" fontId="30" fillId="0" borderId="0"/>
    <xf numFmtId="0" fontId="31" fillId="0" borderId="0" applyNumberFormat="0" applyFill="0" applyBorder="0" applyAlignment="0" applyProtection="0">
      <alignment vertical="top"/>
      <protection locked="0"/>
    </xf>
    <xf numFmtId="0" fontId="32" fillId="0" borderId="0"/>
    <xf numFmtId="0" fontId="33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0" fillId="0" borderId="0"/>
    <xf numFmtId="9" fontId="34" fillId="0" borderId="0" applyFont="0" applyFill="0" applyBorder="0" applyAlignment="0" applyProtection="0"/>
    <xf numFmtId="0" fontId="3" fillId="0" borderId="0"/>
    <xf numFmtId="3" fontId="17" fillId="0" borderId="0"/>
    <xf numFmtId="0" fontId="52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405">
    <xf numFmtId="0" fontId="0" fillId="0" borderId="0" xfId="0"/>
    <xf numFmtId="4" fontId="4" fillId="0" borderId="0" xfId="0" applyNumberFormat="1" applyFont="1"/>
    <xf numFmtId="4" fontId="5" fillId="0" borderId="0" xfId="0" applyNumberFormat="1" applyFont="1" applyAlignment="1">
      <alignment horizontal="centerContinuous"/>
    </xf>
    <xf numFmtId="4" fontId="4" fillId="0" borderId="0" xfId="0" applyNumberFormat="1" applyFont="1" applyAlignment="1">
      <alignment horizontal="centerContinuous"/>
    </xf>
    <xf numFmtId="0" fontId="4" fillId="0" borderId="0" xfId="0" applyNumberFormat="1" applyFont="1"/>
    <xf numFmtId="17" fontId="4" fillId="0" borderId="0" xfId="0" applyNumberFormat="1" applyFont="1"/>
    <xf numFmtId="17" fontId="4" fillId="0" borderId="0" xfId="0" applyNumberFormat="1" applyFont="1" applyAlignment="1">
      <alignment horizontal="right"/>
    </xf>
    <xf numFmtId="164" fontId="4" fillId="0" borderId="0" xfId="0" applyNumberFormat="1" applyFont="1"/>
    <xf numFmtId="4" fontId="6" fillId="0" borderId="0" xfId="0" applyNumberFormat="1" applyFont="1"/>
    <xf numFmtId="9" fontId="4" fillId="0" borderId="0" xfId="2" applyFont="1"/>
    <xf numFmtId="166" fontId="4" fillId="0" borderId="0" xfId="0" applyNumberFormat="1" applyFont="1"/>
    <xf numFmtId="8" fontId="4" fillId="0" borderId="0" xfId="0" applyNumberFormat="1" applyFont="1"/>
    <xf numFmtId="4" fontId="5" fillId="0" borderId="0" xfId="0" applyNumberFormat="1" applyFont="1"/>
    <xf numFmtId="167" fontId="4" fillId="0" borderId="0" xfId="0" applyNumberFormat="1" applyFont="1"/>
    <xf numFmtId="167" fontId="5" fillId="0" borderId="0" xfId="0" applyNumberFormat="1" applyFont="1"/>
    <xf numFmtId="164" fontId="5" fillId="0" borderId="0" xfId="3" applyNumberFormat="1" applyFont="1"/>
    <xf numFmtId="164" fontId="4" fillId="0" borderId="0" xfId="3" applyNumberFormat="1" applyFont="1"/>
    <xf numFmtId="167" fontId="4" fillId="0" borderId="0" xfId="0" applyNumberFormat="1" applyFont="1" applyAlignment="1">
      <alignment horizontal="right"/>
    </xf>
    <xf numFmtId="4" fontId="4" fillId="0" borderId="0" xfId="3" applyNumberFormat="1" applyFont="1"/>
    <xf numFmtId="168" fontId="4" fillId="0" borderId="0" xfId="2" applyNumberFormat="1" applyFont="1"/>
    <xf numFmtId="168" fontId="4" fillId="0" borderId="0" xfId="2" applyNumberFormat="1" applyFont="1" applyFill="1"/>
    <xf numFmtId="164" fontId="6" fillId="0" borderId="0" xfId="3" applyNumberFormat="1" applyFont="1"/>
    <xf numFmtId="165" fontId="4" fillId="0" borderId="0" xfId="3" applyNumberFormat="1" applyFont="1"/>
    <xf numFmtId="170" fontId="4" fillId="0" borderId="0" xfId="3" applyNumberFormat="1" applyFont="1"/>
    <xf numFmtId="171" fontId="4" fillId="0" borderId="0" xfId="3" applyNumberFormat="1" applyFont="1"/>
    <xf numFmtId="171" fontId="14" fillId="0" borderId="0" xfId="3" applyNumberFormat="1" applyFont="1"/>
    <xf numFmtId="166" fontId="4" fillId="0" borderId="0" xfId="3" applyNumberFormat="1" applyFont="1"/>
    <xf numFmtId="166" fontId="8" fillId="0" borderId="0" xfId="3" applyNumberFormat="1" applyFont="1"/>
    <xf numFmtId="8" fontId="4" fillId="0" borderId="0" xfId="3" applyNumberFormat="1" applyFont="1"/>
    <xf numFmtId="172" fontId="4" fillId="0" borderId="0" xfId="3" applyNumberFormat="1" applyFont="1"/>
    <xf numFmtId="38" fontId="4" fillId="0" borderId="0" xfId="0" applyNumberFormat="1" applyFont="1"/>
    <xf numFmtId="38" fontId="4" fillId="0" borderId="0" xfId="3" applyNumberFormat="1" applyFont="1"/>
    <xf numFmtId="0" fontId="4" fillId="0" borderId="0" xfId="3" applyNumberFormat="1" applyFont="1"/>
    <xf numFmtId="169" fontId="6" fillId="0" borderId="0" xfId="3" applyNumberFormat="1" applyFont="1"/>
    <xf numFmtId="38" fontId="5" fillId="0" borderId="0" xfId="3" applyNumberFormat="1" applyFont="1"/>
    <xf numFmtId="169" fontId="4" fillId="0" borderId="0" xfId="3" applyNumberFormat="1" applyFont="1"/>
    <xf numFmtId="174" fontId="4" fillId="0" borderId="0" xfId="2" applyNumberFormat="1" applyFont="1"/>
    <xf numFmtId="173" fontId="4" fillId="0" borderId="0" xfId="0" applyNumberFormat="1" applyFont="1"/>
    <xf numFmtId="168" fontId="16" fillId="0" borderId="0" xfId="2" applyNumberFormat="1" applyFont="1"/>
    <xf numFmtId="168" fontId="8" fillId="0" borderId="0" xfId="2" applyNumberFormat="1" applyFont="1"/>
    <xf numFmtId="169" fontId="5" fillId="0" borderId="0" xfId="3" applyNumberFormat="1" applyFont="1"/>
    <xf numFmtId="169" fontId="14" fillId="0" borderId="0" xfId="3" applyNumberFormat="1" applyFont="1"/>
    <xf numFmtId="4" fontId="5" fillId="0" borderId="0" xfId="3" applyNumberFormat="1" applyFont="1"/>
    <xf numFmtId="40" fontId="4" fillId="0" borderId="0" xfId="3" applyNumberFormat="1" applyFont="1"/>
    <xf numFmtId="6" fontId="4" fillId="0" borderId="0" xfId="3" applyNumberFormat="1" applyFont="1"/>
    <xf numFmtId="177" fontId="4" fillId="0" borderId="0" xfId="2" applyNumberFormat="1" applyFont="1" applyFill="1"/>
    <xf numFmtId="178" fontId="4" fillId="0" borderId="0" xfId="0" applyNumberFormat="1" applyFont="1"/>
    <xf numFmtId="179" fontId="4" fillId="0" borderId="0" xfId="3" applyNumberFormat="1" applyFont="1"/>
    <xf numFmtId="175" fontId="4" fillId="0" borderId="0" xfId="3" applyNumberFormat="1" applyFont="1"/>
    <xf numFmtId="3" fontId="4" fillId="0" borderId="0" xfId="3" applyNumberFormat="1" applyFont="1"/>
    <xf numFmtId="167" fontId="19" fillId="0" borderId="0" xfId="0" applyNumberFormat="1" applyFont="1"/>
    <xf numFmtId="180" fontId="4" fillId="0" borderId="0" xfId="3" applyNumberFormat="1" applyFont="1"/>
    <xf numFmtId="168" fontId="4" fillId="0" borderId="0" xfId="0" applyNumberFormat="1" applyFont="1"/>
    <xf numFmtId="8" fontId="22" fillId="0" borderId="0" xfId="3" applyNumberFormat="1" applyFont="1"/>
    <xf numFmtId="167" fontId="19" fillId="4" borderId="0" xfId="0" applyNumberFormat="1" applyFont="1" applyFill="1"/>
    <xf numFmtId="171" fontId="22" fillId="0" borderId="0" xfId="3" applyNumberFormat="1" applyFont="1"/>
    <xf numFmtId="166" fontId="22" fillId="0" borderId="0" xfId="3" applyNumberFormat="1" applyFont="1"/>
    <xf numFmtId="178" fontId="22" fillId="0" borderId="0" xfId="0" applyNumberFormat="1" applyFont="1"/>
    <xf numFmtId="179" fontId="22" fillId="0" borderId="0" xfId="3" applyNumberFormat="1" applyFont="1"/>
    <xf numFmtId="165" fontId="4" fillId="0" borderId="0" xfId="0" applyNumberFormat="1" applyFont="1"/>
    <xf numFmtId="168" fontId="19" fillId="0" borderId="0" xfId="2" applyNumberFormat="1" applyFont="1"/>
    <xf numFmtId="4" fontId="13" fillId="0" borderId="0" xfId="0" applyNumberFormat="1" applyFont="1"/>
    <xf numFmtId="5" fontId="4" fillId="0" borderId="0" xfId="1" applyFont="1" applyFill="1"/>
    <xf numFmtId="171" fontId="19" fillId="0" borderId="0" xfId="3" applyNumberFormat="1" applyFont="1"/>
    <xf numFmtId="4" fontId="4" fillId="0" borderId="0" xfId="0" applyNumberFormat="1" applyFont="1" applyAlignment="1">
      <alignment horizontal="left" indent="1"/>
    </xf>
    <xf numFmtId="164" fontId="19" fillId="0" borderId="0" xfId="3" applyNumberFormat="1" applyFont="1"/>
    <xf numFmtId="171" fontId="26" fillId="0" borderId="0" xfId="3" applyNumberFormat="1" applyFont="1"/>
    <xf numFmtId="4" fontId="13" fillId="0" borderId="0" xfId="3" applyNumberFormat="1" applyFont="1"/>
    <xf numFmtId="183" fontId="27" fillId="0" borderId="0" xfId="3" applyNumberFormat="1" applyFont="1"/>
    <xf numFmtId="168" fontId="24" fillId="0" borderId="0" xfId="2" applyNumberFormat="1" applyFont="1" applyFill="1"/>
    <xf numFmtId="178" fontId="4" fillId="0" borderId="0" xfId="0" quotePrefix="1" applyNumberFormat="1" applyFont="1" applyAlignment="1">
      <alignment horizontal="center"/>
    </xf>
    <xf numFmtId="175" fontId="4" fillId="0" borderId="0" xfId="0" applyNumberFormat="1" applyFont="1"/>
    <xf numFmtId="5" fontId="4" fillId="0" borderId="0" xfId="1" applyFont="1"/>
    <xf numFmtId="38" fontId="4" fillId="0" borderId="1" xfId="3" applyNumberFormat="1" applyFont="1" applyBorder="1" applyAlignment="1">
      <alignment horizontal="centerContinuous"/>
    </xf>
    <xf numFmtId="0" fontId="6" fillId="0" borderId="0" xfId="3" applyNumberFormat="1" applyFont="1" applyAlignment="1">
      <alignment horizontal="center"/>
    </xf>
    <xf numFmtId="8" fontId="19" fillId="0" borderId="0" xfId="3" applyNumberFormat="1" applyFont="1"/>
    <xf numFmtId="174" fontId="5" fillId="0" borderId="0" xfId="2" applyNumberFormat="1" applyFont="1" applyFill="1" applyBorder="1"/>
    <xf numFmtId="38" fontId="12" fillId="0" borderId="0" xfId="3" applyNumberFormat="1" applyFont="1"/>
    <xf numFmtId="7" fontId="4" fillId="0" borderId="0" xfId="3" applyNumberFormat="1" applyFont="1"/>
    <xf numFmtId="173" fontId="5" fillId="0" borderId="0" xfId="0" applyNumberFormat="1" applyFont="1"/>
    <xf numFmtId="173" fontId="5" fillId="0" borderId="0" xfId="0" applyNumberFormat="1" applyFont="1" applyAlignment="1">
      <alignment horizontal="right"/>
    </xf>
    <xf numFmtId="7" fontId="6" fillId="0" borderId="0" xfId="3" applyNumberFormat="1" applyFont="1"/>
    <xf numFmtId="38" fontId="5" fillId="0" borderId="3" xfId="3" applyNumberFormat="1" applyFont="1" applyBorder="1"/>
    <xf numFmtId="38" fontId="5" fillId="0" borderId="2" xfId="3" applyNumberFormat="1" applyFont="1" applyBorder="1"/>
    <xf numFmtId="174" fontId="5" fillId="0" borderId="2" xfId="2" applyNumberFormat="1" applyFont="1" applyBorder="1"/>
    <xf numFmtId="174" fontId="5" fillId="0" borderId="2" xfId="2" applyNumberFormat="1" applyFont="1" applyFill="1" applyBorder="1"/>
    <xf numFmtId="5" fontId="4" fillId="0" borderId="0" xfId="3" applyNumberFormat="1" applyFont="1"/>
    <xf numFmtId="5" fontId="6" fillId="0" borderId="0" xfId="3" applyNumberFormat="1" applyFont="1"/>
    <xf numFmtId="174" fontId="4" fillId="0" borderId="0" xfId="2" applyNumberFormat="1" applyFont="1" applyFill="1"/>
    <xf numFmtId="173" fontId="6" fillId="0" borderId="0" xfId="0" applyNumberFormat="1" applyFont="1"/>
    <xf numFmtId="174" fontId="5" fillId="0" borderId="0" xfId="2" applyNumberFormat="1" applyFont="1" applyBorder="1"/>
    <xf numFmtId="171" fontId="5" fillId="0" borderId="2" xfId="3" applyNumberFormat="1" applyFont="1" applyBorder="1"/>
    <xf numFmtId="185" fontId="5" fillId="0" borderId="2" xfId="3" applyNumberFormat="1" applyFont="1" applyBorder="1"/>
    <xf numFmtId="173" fontId="4" fillId="0" borderId="0" xfId="0" applyNumberFormat="1" applyFont="1" applyAlignment="1">
      <alignment horizontal="right"/>
    </xf>
    <xf numFmtId="184" fontId="4" fillId="0" borderId="0" xfId="0" applyNumberFormat="1" applyFont="1"/>
    <xf numFmtId="184" fontId="4" fillId="0" borderId="0" xfId="3" applyNumberFormat="1" applyFont="1"/>
    <xf numFmtId="8" fontId="5" fillId="0" borderId="0" xfId="3" applyNumberFormat="1" applyFont="1"/>
    <xf numFmtId="38" fontId="5" fillId="0" borderId="0" xfId="3" applyNumberFormat="1" applyFont="1" applyAlignment="1">
      <alignment horizontal="center"/>
    </xf>
    <xf numFmtId="168" fontId="5" fillId="0" borderId="0" xfId="2" applyNumberFormat="1" applyFont="1"/>
    <xf numFmtId="186" fontId="13" fillId="0" borderId="0" xfId="3" applyNumberFormat="1" applyFont="1"/>
    <xf numFmtId="185" fontId="5" fillId="0" borderId="0" xfId="3" applyNumberFormat="1" applyFont="1"/>
    <xf numFmtId="38" fontId="6" fillId="0" borderId="0" xfId="3" applyNumberFormat="1" applyFont="1" applyAlignment="1">
      <alignment horizontal="centerContinuous"/>
    </xf>
    <xf numFmtId="168" fontId="4" fillId="0" borderId="0" xfId="3" applyNumberFormat="1" applyFont="1"/>
    <xf numFmtId="14" fontId="4" fillId="0" borderId="0" xfId="3" applyNumberFormat="1" applyFont="1"/>
    <xf numFmtId="0" fontId="22" fillId="0" borderId="0" xfId="0" applyFont="1"/>
    <xf numFmtId="182" fontId="22" fillId="0" borderId="0" xfId="0" applyNumberFormat="1" applyFont="1" applyAlignment="1">
      <alignment horizontal="center"/>
    </xf>
    <xf numFmtId="9" fontId="19" fillId="0" borderId="0" xfId="23" applyFont="1" applyBorder="1" applyAlignment="1">
      <alignment horizontal="center"/>
    </xf>
    <xf numFmtId="168" fontId="19" fillId="0" borderId="0" xfId="23" applyNumberFormat="1" applyFont="1" applyBorder="1" applyAlignment="1">
      <alignment horizontal="center"/>
    </xf>
    <xf numFmtId="187" fontId="4" fillId="0" borderId="0" xfId="0" applyNumberFormat="1" applyFont="1" applyAlignment="1">
      <alignment horizontal="center"/>
    </xf>
    <xf numFmtId="0" fontId="23" fillId="0" borderId="0" xfId="0" applyFont="1"/>
    <xf numFmtId="38" fontId="4" fillId="0" borderId="0" xfId="3" applyNumberFormat="1" applyFont="1" applyAlignment="1">
      <alignment horizontal="left"/>
    </xf>
    <xf numFmtId="0" fontId="36" fillId="3" borderId="0" xfId="24" applyFont="1" applyFill="1"/>
    <xf numFmtId="0" fontId="37" fillId="3" borderId="0" xfId="24" applyFont="1" applyFill="1"/>
    <xf numFmtId="0" fontId="38" fillId="3" borderId="0" xfId="24" applyFont="1" applyFill="1"/>
    <xf numFmtId="0" fontId="39" fillId="3" borderId="0" xfId="24" applyFont="1" applyFill="1"/>
    <xf numFmtId="0" fontId="40" fillId="3" borderId="0" xfId="24" applyFont="1" applyFill="1"/>
    <xf numFmtId="0" fontId="41" fillId="3" borderId="0" xfId="24" applyFont="1" applyFill="1"/>
    <xf numFmtId="0" fontId="42" fillId="3" borderId="0" xfId="24" applyFont="1" applyFill="1"/>
    <xf numFmtId="0" fontId="43" fillId="3" borderId="0" xfId="24" applyFont="1" applyFill="1"/>
    <xf numFmtId="188" fontId="43" fillId="3" borderId="0" xfId="24" applyNumberFormat="1" applyFont="1" applyFill="1" applyAlignment="1">
      <alignment horizontal="left"/>
    </xf>
    <xf numFmtId="0" fontId="44" fillId="3" borderId="0" xfId="24" applyFont="1" applyFill="1"/>
    <xf numFmtId="0" fontId="45" fillId="3" borderId="0" xfId="24" applyFont="1" applyFill="1"/>
    <xf numFmtId="0" fontId="46" fillId="3" borderId="0" xfId="24" applyFont="1" applyFill="1"/>
    <xf numFmtId="0" fontId="47" fillId="3" borderId="0" xfId="24" applyFont="1" applyFill="1"/>
    <xf numFmtId="0" fontId="48" fillId="3" borderId="0" xfId="24" applyFont="1" applyFill="1"/>
    <xf numFmtId="188" fontId="49" fillId="3" borderId="0" xfId="25" applyNumberFormat="1" applyFont="1" applyFill="1" applyAlignment="1">
      <alignment horizontal="left"/>
    </xf>
    <xf numFmtId="0" fontId="36" fillId="3" borderId="0" xfId="28" applyFont="1" applyFill="1"/>
    <xf numFmtId="0" fontId="50" fillId="3" borderId="0" xfId="25" applyNumberFormat="1" applyFont="1" applyFill="1" applyAlignment="1">
      <alignment horizontal="left" vertical="center"/>
    </xf>
    <xf numFmtId="49" fontId="50" fillId="3" borderId="0" xfId="25" applyNumberFormat="1" applyFont="1" applyFill="1" applyAlignment="1">
      <alignment horizontal="left" vertical="center"/>
    </xf>
    <xf numFmtId="0" fontId="31" fillId="3" borderId="0" xfId="18" applyFill="1" applyAlignment="1" applyProtection="1"/>
    <xf numFmtId="0" fontId="54" fillId="3" borderId="0" xfId="27" applyFill="1" applyAlignment="1" applyProtection="1"/>
    <xf numFmtId="0" fontId="51" fillId="3" borderId="0" xfId="25" applyNumberFormat="1" applyFont="1" applyFill="1" applyAlignment="1">
      <alignment horizontal="left" vertical="center"/>
    </xf>
    <xf numFmtId="0" fontId="53" fillId="3" borderId="0" xfId="26" applyNumberFormat="1" applyFont="1" applyFill="1" applyAlignment="1">
      <alignment horizontal="left" vertical="center"/>
    </xf>
    <xf numFmtId="0" fontId="35" fillId="3" borderId="0" xfId="26" applyNumberFormat="1" applyFont="1" applyFill="1" applyAlignment="1">
      <alignment horizontal="left" vertical="center"/>
    </xf>
    <xf numFmtId="0" fontId="36" fillId="6" borderId="0" xfId="24" applyFont="1" applyFill="1"/>
    <xf numFmtId="0" fontId="36" fillId="0" borderId="0" xfId="24" applyFont="1"/>
    <xf numFmtId="0" fontId="36" fillId="7" borderId="0" xfId="24" applyFont="1" applyFill="1"/>
    <xf numFmtId="8" fontId="13" fillId="0" borderId="0" xfId="0" applyNumberFormat="1" applyFont="1"/>
    <xf numFmtId="164" fontId="13" fillId="0" borderId="0" xfId="3" applyNumberFormat="1" applyFont="1"/>
    <xf numFmtId="4" fontId="4" fillId="0" borderId="0" xfId="3" applyNumberFormat="1" applyFont="1" applyAlignment="1">
      <alignment horizontal="left" indent="1"/>
    </xf>
    <xf numFmtId="5" fontId="4" fillId="0" borderId="0" xfId="0" applyNumberFormat="1" applyFont="1"/>
    <xf numFmtId="8" fontId="19" fillId="0" borderId="0" xfId="3" quotePrefix="1" applyNumberFormat="1" applyFont="1" applyAlignment="1">
      <alignment horizontal="center"/>
    </xf>
    <xf numFmtId="164" fontId="55" fillId="0" borderId="0" xfId="3" applyNumberFormat="1" applyFont="1"/>
    <xf numFmtId="164" fontId="5" fillId="0" borderId="0" xfId="3" applyNumberFormat="1" applyFont="1" applyAlignment="1">
      <alignment horizontal="right"/>
    </xf>
    <xf numFmtId="169" fontId="19" fillId="0" borderId="0" xfId="3" applyNumberFormat="1" applyFont="1"/>
    <xf numFmtId="167" fontId="5" fillId="0" borderId="0" xfId="0" applyNumberFormat="1" applyFont="1" applyAlignment="1">
      <alignment horizontal="right"/>
    </xf>
    <xf numFmtId="5" fontId="4" fillId="4" borderId="0" xfId="0" applyNumberFormat="1" applyFont="1" applyFill="1"/>
    <xf numFmtId="4" fontId="4" fillId="0" borderId="0" xfId="3" quotePrefix="1" applyNumberFormat="1" applyFont="1" applyAlignment="1">
      <alignment horizontal="right"/>
    </xf>
    <xf numFmtId="5" fontId="56" fillId="4" borderId="0" xfId="0" applyNumberFormat="1" applyFont="1" applyFill="1"/>
    <xf numFmtId="6" fontId="19" fillId="4" borderId="0" xfId="0" applyNumberFormat="1" applyFont="1" applyFill="1"/>
    <xf numFmtId="5" fontId="19" fillId="4" borderId="0" xfId="0" applyNumberFormat="1" applyFont="1" applyFill="1"/>
    <xf numFmtId="5" fontId="19" fillId="0" borderId="0" xfId="0" applyNumberFormat="1" applyFont="1"/>
    <xf numFmtId="6" fontId="19" fillId="0" borderId="0" xfId="0" applyNumberFormat="1" applyFont="1"/>
    <xf numFmtId="167" fontId="5" fillId="0" borderId="0" xfId="0" applyNumberFormat="1" applyFont="1" applyAlignment="1">
      <alignment horizontal="center"/>
    </xf>
    <xf numFmtId="182" fontId="4" fillId="0" borderId="0" xfId="3" applyNumberFormat="1" applyFont="1"/>
    <xf numFmtId="182" fontId="19" fillId="0" borderId="0" xfId="3" applyNumberFormat="1" applyFont="1"/>
    <xf numFmtId="189" fontId="19" fillId="0" borderId="0" xfId="3" applyNumberFormat="1" applyFont="1"/>
    <xf numFmtId="168" fontId="4" fillId="0" borderId="0" xfId="3" quotePrefix="1" applyNumberFormat="1" applyFont="1" applyAlignment="1">
      <alignment horizontal="right"/>
    </xf>
    <xf numFmtId="168" fontId="4" fillId="0" borderId="0" xfId="2" quotePrefix="1" applyNumberFormat="1" applyFont="1" applyAlignment="1">
      <alignment horizontal="right"/>
    </xf>
    <xf numFmtId="175" fontId="4" fillId="0" borderId="0" xfId="0" applyNumberFormat="1" applyFont="1" applyAlignment="1">
      <alignment horizontal="centerContinuous"/>
    </xf>
    <xf numFmtId="42" fontId="4" fillId="0" borderId="0" xfId="0" applyNumberFormat="1" applyFont="1"/>
    <xf numFmtId="4" fontId="4" fillId="0" borderId="0" xfId="3" applyNumberFormat="1" applyFont="1" applyAlignment="1">
      <alignment horizontal="left" indent="2"/>
    </xf>
    <xf numFmtId="4" fontId="5" fillId="0" borderId="0" xfId="3" applyNumberFormat="1" applyFont="1" applyAlignment="1">
      <alignment horizontal="left" indent="1"/>
    </xf>
    <xf numFmtId="168" fontId="56" fillId="0" borderId="0" xfId="2" quotePrefix="1" applyNumberFormat="1" applyFont="1" applyAlignment="1">
      <alignment horizontal="right"/>
    </xf>
    <xf numFmtId="168" fontId="56" fillId="0" borderId="0" xfId="2" applyNumberFormat="1" applyFont="1"/>
    <xf numFmtId="168" fontId="4" fillId="0" borderId="0" xfId="3" applyNumberFormat="1" applyFont="1" applyAlignment="1">
      <alignment horizontal="left" indent="1"/>
    </xf>
    <xf numFmtId="190" fontId="4" fillId="0" borderId="0" xfId="2" quotePrefix="1" applyNumberFormat="1" applyFont="1" applyAlignment="1">
      <alignment horizontal="right"/>
    </xf>
    <xf numFmtId="3" fontId="5" fillId="0" borderId="0" xfId="3" applyNumberFormat="1" applyFont="1"/>
    <xf numFmtId="182" fontId="57" fillId="0" borderId="0" xfId="3" applyNumberFormat="1" applyFont="1"/>
    <xf numFmtId="182" fontId="5" fillId="0" borderId="0" xfId="3" applyNumberFormat="1" applyFont="1"/>
    <xf numFmtId="166" fontId="5" fillId="0" borderId="0" xfId="3" applyNumberFormat="1" applyFont="1"/>
    <xf numFmtId="4" fontId="4" fillId="8" borderId="0" xfId="3" applyNumberFormat="1" applyFont="1" applyFill="1"/>
    <xf numFmtId="4" fontId="58" fillId="8" borderId="0" xfId="3" applyNumberFormat="1" applyFont="1" applyFill="1"/>
    <xf numFmtId="4" fontId="4" fillId="9" borderId="0" xfId="3" applyNumberFormat="1" applyFont="1" applyFill="1"/>
    <xf numFmtId="4" fontId="58" fillId="9" borderId="0" xfId="3" applyNumberFormat="1" applyFont="1" applyFill="1"/>
    <xf numFmtId="4" fontId="60" fillId="9" borderId="0" xfId="3" applyNumberFormat="1" applyFont="1" applyFill="1"/>
    <xf numFmtId="4" fontId="59" fillId="9" borderId="0" xfId="3" applyNumberFormat="1" applyFont="1" applyFill="1"/>
    <xf numFmtId="4" fontId="4" fillId="10" borderId="0" xfId="3" applyNumberFormat="1" applyFont="1" applyFill="1"/>
    <xf numFmtId="4" fontId="58" fillId="10" borderId="0" xfId="3" applyNumberFormat="1" applyFont="1" applyFill="1"/>
    <xf numFmtId="9" fontId="58" fillId="10" borderId="0" xfId="2" applyFont="1" applyFill="1"/>
    <xf numFmtId="168" fontId="4" fillId="0" borderId="0" xfId="3" quotePrefix="1" applyNumberFormat="1" applyFont="1" applyAlignment="1">
      <alignment horizontal="left" indent="1"/>
    </xf>
    <xf numFmtId="168" fontId="4" fillId="0" borderId="0" xfId="2" applyNumberFormat="1" applyFont="1" applyAlignment="1">
      <alignment horizontal="left" indent="1"/>
    </xf>
    <xf numFmtId="4" fontId="4" fillId="0" borderId="0" xfId="3" quotePrefix="1" applyNumberFormat="1" applyFont="1" applyAlignment="1">
      <alignment horizontal="left" indent="1"/>
    </xf>
    <xf numFmtId="0" fontId="5" fillId="0" borderId="0" xfId="0" applyNumberFormat="1" applyFont="1" applyAlignment="1">
      <alignment horizontal="center"/>
    </xf>
    <xf numFmtId="17" fontId="58" fillId="11" borderId="11" xfId="0" applyNumberFormat="1" applyFont="1" applyFill="1" applyBorder="1" applyAlignment="1">
      <alignment horizontal="center"/>
    </xf>
    <xf numFmtId="17" fontId="58" fillId="11" borderId="0" xfId="0" applyNumberFormat="1" applyFont="1" applyFill="1" applyAlignment="1">
      <alignment horizontal="center"/>
    </xf>
    <xf numFmtId="17" fontId="58" fillId="11" borderId="7" xfId="0" applyNumberFormat="1" applyFont="1" applyFill="1" applyBorder="1" applyAlignment="1">
      <alignment horizontal="center"/>
    </xf>
    <xf numFmtId="166" fontId="5" fillId="0" borderId="0" xfId="0" applyNumberFormat="1" applyFont="1"/>
    <xf numFmtId="166" fontId="19" fillId="0" borderId="0" xfId="0" applyNumberFormat="1" applyFont="1"/>
    <xf numFmtId="166" fontId="13" fillId="0" borderId="0" xfId="0" applyNumberFormat="1" applyFont="1"/>
    <xf numFmtId="166" fontId="4" fillId="0" borderId="0" xfId="0" applyNumberFormat="1" applyFont="1" applyAlignment="1">
      <alignment horizontal="right"/>
    </xf>
    <xf numFmtId="191" fontId="4" fillId="0" borderId="0" xfId="0" applyNumberFormat="1" applyFont="1"/>
    <xf numFmtId="4" fontId="4" fillId="0" borderId="0" xfId="0" applyNumberFormat="1" applyFont="1" applyAlignment="1">
      <alignment horizontal="left" vertical="top"/>
    </xf>
    <xf numFmtId="17" fontId="4" fillId="11" borderId="0" xfId="0" applyNumberFormat="1" applyFont="1" applyFill="1" applyAlignment="1">
      <alignment horizontal="right"/>
    </xf>
    <xf numFmtId="4" fontId="57" fillId="0" borderId="0" xfId="0" applyNumberFormat="1" applyFont="1"/>
    <xf numFmtId="166" fontId="13" fillId="0" borderId="0" xfId="3" applyNumberFormat="1" applyFont="1"/>
    <xf numFmtId="166" fontId="56" fillId="0" borderId="0" xfId="3" applyNumberFormat="1" applyFont="1"/>
    <xf numFmtId="168" fontId="19" fillId="0" borderId="0" xfId="0" applyNumberFormat="1" applyFont="1"/>
    <xf numFmtId="167" fontId="4" fillId="0" borderId="0" xfId="0" applyNumberFormat="1" applyFont="1" applyAlignment="1">
      <alignment horizontal="left" indent="1"/>
    </xf>
    <xf numFmtId="168" fontId="4" fillId="0" borderId="0" xfId="0" quotePrefix="1" applyNumberFormat="1" applyFont="1" applyAlignment="1">
      <alignment horizontal="right"/>
    </xf>
    <xf numFmtId="190" fontId="4" fillId="0" borderId="0" xfId="0" applyNumberFormat="1" applyFont="1"/>
    <xf numFmtId="178" fontId="4" fillId="0" borderId="0" xfId="0" quotePrefix="1" applyNumberFormat="1" applyFont="1" applyAlignment="1">
      <alignment horizontal="right"/>
    </xf>
    <xf numFmtId="180" fontId="5" fillId="0" borderId="0" xfId="0" applyNumberFormat="1" applyFont="1"/>
    <xf numFmtId="4" fontId="58" fillId="11" borderId="0" xfId="0" applyNumberFormat="1" applyFont="1" applyFill="1"/>
    <xf numFmtId="165" fontId="58" fillId="11" borderId="0" xfId="0" applyNumberFormat="1" applyFont="1" applyFill="1"/>
    <xf numFmtId="191" fontId="58" fillId="11" borderId="0" xfId="0" applyNumberFormat="1" applyFont="1" applyFill="1"/>
    <xf numFmtId="168" fontId="58" fillId="11" borderId="0" xfId="0" applyNumberFormat="1" applyFont="1" applyFill="1"/>
    <xf numFmtId="178" fontId="5" fillId="0" borderId="0" xfId="0" quotePrefix="1" applyNumberFormat="1" applyFont="1" applyAlignment="1">
      <alignment horizontal="right"/>
    </xf>
    <xf numFmtId="168" fontId="5" fillId="0" borderId="0" xfId="0" applyNumberFormat="1" applyFont="1"/>
    <xf numFmtId="168" fontId="5" fillId="0" borderId="0" xfId="0" quotePrefix="1" applyNumberFormat="1" applyFont="1" applyAlignment="1">
      <alignment horizontal="right"/>
    </xf>
    <xf numFmtId="168" fontId="57" fillId="0" borderId="0" xfId="0" applyNumberFormat="1" applyFont="1"/>
    <xf numFmtId="166" fontId="4" fillId="0" borderId="0" xfId="0" quotePrefix="1" applyNumberFormat="1" applyFont="1" applyAlignment="1">
      <alignment horizontal="right"/>
    </xf>
    <xf numFmtId="166" fontId="5" fillId="0" borderId="7" xfId="0" applyNumberFormat="1" applyFont="1" applyBorder="1"/>
    <xf numFmtId="166" fontId="4" fillId="0" borderId="7" xfId="0" applyNumberFormat="1" applyFont="1" applyBorder="1"/>
    <xf numFmtId="4" fontId="4" fillId="0" borderId="7" xfId="0" applyNumberFormat="1" applyFont="1" applyBorder="1"/>
    <xf numFmtId="175" fontId="4" fillId="0" borderId="7" xfId="0" applyNumberFormat="1" applyFont="1" applyBorder="1"/>
    <xf numFmtId="8" fontId="4" fillId="0" borderId="7" xfId="0" applyNumberFormat="1" applyFont="1" applyBorder="1"/>
    <xf numFmtId="4" fontId="58" fillId="11" borderId="7" xfId="0" applyNumberFormat="1" applyFont="1" applyFill="1" applyBorder="1"/>
    <xf numFmtId="178" fontId="5" fillId="0" borderId="7" xfId="0" quotePrefix="1" applyNumberFormat="1" applyFont="1" applyBorder="1" applyAlignment="1">
      <alignment horizontal="right"/>
    </xf>
    <xf numFmtId="178" fontId="4" fillId="0" borderId="7" xfId="0" quotePrefix="1" applyNumberFormat="1" applyFont="1" applyBorder="1" applyAlignment="1">
      <alignment horizontal="right"/>
    </xf>
    <xf numFmtId="168" fontId="4" fillId="0" borderId="7" xfId="0" applyNumberFormat="1" applyFont="1" applyBorder="1"/>
    <xf numFmtId="168" fontId="58" fillId="11" borderId="7" xfId="0" applyNumberFormat="1" applyFont="1" applyFill="1" applyBorder="1"/>
    <xf numFmtId="168" fontId="5" fillId="0" borderId="7" xfId="0" applyNumberFormat="1" applyFont="1" applyBorder="1"/>
    <xf numFmtId="168" fontId="4" fillId="0" borderId="7" xfId="0" quotePrefix="1" applyNumberFormat="1" applyFont="1" applyBorder="1" applyAlignment="1">
      <alignment horizontal="right"/>
    </xf>
    <xf numFmtId="167" fontId="4" fillId="0" borderId="7" xfId="0" applyNumberFormat="1" applyFont="1" applyBorder="1"/>
    <xf numFmtId="4" fontId="4" fillId="0" borderId="6" xfId="0" applyNumberFormat="1" applyFont="1" applyBorder="1"/>
    <xf numFmtId="190" fontId="4" fillId="0" borderId="7" xfId="0" applyNumberFormat="1" applyFont="1" applyBorder="1"/>
    <xf numFmtId="166" fontId="13" fillId="0" borderId="7" xfId="0" applyNumberFormat="1" applyFont="1" applyBorder="1"/>
    <xf numFmtId="4" fontId="58" fillId="10" borderId="0" xfId="3" applyNumberFormat="1" applyFont="1" applyFill="1" applyAlignment="1">
      <alignment horizontal="left"/>
    </xf>
    <xf numFmtId="3" fontId="58" fillId="10" borderId="0" xfId="3" applyNumberFormat="1" applyFont="1" applyFill="1"/>
    <xf numFmtId="4" fontId="58" fillId="0" borderId="0" xfId="3" applyNumberFormat="1" applyFont="1"/>
    <xf numFmtId="4" fontId="12" fillId="0" borderId="0" xfId="3" applyNumberFormat="1" applyFont="1"/>
    <xf numFmtId="4" fontId="5" fillId="0" borderId="0" xfId="3" quotePrefix="1" applyNumberFormat="1" applyFont="1" applyAlignment="1">
      <alignment horizontal="right"/>
    </xf>
    <xf numFmtId="3" fontId="5" fillId="0" borderId="0" xfId="3" applyNumberFormat="1" applyFont="1" applyAlignment="1">
      <alignment horizontal="right"/>
    </xf>
    <xf numFmtId="166" fontId="5" fillId="0" borderId="0" xfId="3" applyNumberFormat="1" applyFont="1" applyAlignment="1">
      <alignment horizontal="right"/>
    </xf>
    <xf numFmtId="4" fontId="59" fillId="0" borderId="0" xfId="3" applyNumberFormat="1" applyFont="1"/>
    <xf numFmtId="4" fontId="4" fillId="8" borderId="7" xfId="3" applyNumberFormat="1" applyFont="1" applyFill="1" applyBorder="1"/>
    <xf numFmtId="4" fontId="4" fillId="9" borderId="7" xfId="3" applyNumberFormat="1" applyFont="1" applyFill="1" applyBorder="1"/>
    <xf numFmtId="4" fontId="58" fillId="10" borderId="7" xfId="3" applyNumberFormat="1" applyFont="1" applyFill="1" applyBorder="1"/>
    <xf numFmtId="4" fontId="5" fillId="0" borderId="7" xfId="3" quotePrefix="1" applyNumberFormat="1" applyFont="1" applyBorder="1" applyAlignment="1">
      <alignment horizontal="right"/>
    </xf>
    <xf numFmtId="4" fontId="4" fillId="0" borderId="7" xfId="3" applyNumberFormat="1" applyFont="1" applyBorder="1"/>
    <xf numFmtId="4" fontId="4" fillId="10" borderId="7" xfId="3" applyNumberFormat="1" applyFont="1" applyFill="1" applyBorder="1"/>
    <xf numFmtId="3" fontId="4" fillId="0" borderId="7" xfId="3" applyNumberFormat="1" applyFont="1" applyBorder="1"/>
    <xf numFmtId="4" fontId="4" fillId="0" borderId="7" xfId="3" applyNumberFormat="1" applyFont="1" applyBorder="1" applyAlignment="1">
      <alignment horizontal="left" indent="1"/>
    </xf>
    <xf numFmtId="4" fontId="58" fillId="9" borderId="7" xfId="3" applyNumberFormat="1" applyFont="1" applyFill="1" applyBorder="1"/>
    <xf numFmtId="4" fontId="5" fillId="0" borderId="7" xfId="3" applyNumberFormat="1" applyFont="1" applyBorder="1"/>
    <xf numFmtId="4" fontId="59" fillId="9" borderId="7" xfId="3" applyNumberFormat="1" applyFont="1" applyFill="1" applyBorder="1"/>
    <xf numFmtId="4" fontId="4" fillId="0" borderId="6" xfId="3" applyNumberFormat="1" applyFont="1" applyBorder="1"/>
    <xf numFmtId="3" fontId="58" fillId="10" borderId="7" xfId="3" applyNumberFormat="1" applyFont="1" applyFill="1" applyBorder="1"/>
    <xf numFmtId="3" fontId="5" fillId="0" borderId="7" xfId="3" applyNumberFormat="1" applyFont="1" applyBorder="1"/>
    <xf numFmtId="168" fontId="4" fillId="0" borderId="7" xfId="2" quotePrefix="1" applyNumberFormat="1" applyFont="1" applyBorder="1" applyAlignment="1">
      <alignment horizontal="right"/>
    </xf>
    <xf numFmtId="4" fontId="4" fillId="0" borderId="7" xfId="3" quotePrefix="1" applyNumberFormat="1" applyFont="1" applyBorder="1" applyAlignment="1">
      <alignment horizontal="right"/>
    </xf>
    <xf numFmtId="3" fontId="5" fillId="0" borderId="7" xfId="3" applyNumberFormat="1" applyFont="1" applyBorder="1" applyAlignment="1">
      <alignment horizontal="right"/>
    </xf>
    <xf numFmtId="166" fontId="5" fillId="0" borderId="7" xfId="3" applyNumberFormat="1" applyFont="1" applyBorder="1"/>
    <xf numFmtId="166" fontId="5" fillId="0" borderId="7" xfId="3" applyNumberFormat="1" applyFont="1" applyBorder="1" applyAlignment="1">
      <alignment horizontal="right"/>
    </xf>
    <xf numFmtId="182" fontId="5" fillId="0" borderId="7" xfId="3" applyNumberFormat="1" applyFont="1" applyBorder="1"/>
    <xf numFmtId="182" fontId="4" fillId="0" borderId="7" xfId="3" applyNumberFormat="1" applyFont="1" applyBorder="1"/>
    <xf numFmtId="168" fontId="4" fillId="0" borderId="7" xfId="3" quotePrefix="1" applyNumberFormat="1" applyFont="1" applyBorder="1" applyAlignment="1">
      <alignment horizontal="right"/>
    </xf>
    <xf numFmtId="4" fontId="4" fillId="0" borderId="6" xfId="3" quotePrefix="1" applyNumberFormat="1" applyFont="1" applyBorder="1" applyAlignment="1">
      <alignment horizontal="right"/>
    </xf>
    <xf numFmtId="168" fontId="4" fillId="0" borderId="7" xfId="2" applyNumberFormat="1" applyFont="1" applyBorder="1"/>
    <xf numFmtId="190" fontId="4" fillId="0" borderId="7" xfId="2" quotePrefix="1" applyNumberFormat="1" applyFont="1" applyBorder="1" applyAlignment="1">
      <alignment horizontal="right"/>
    </xf>
    <xf numFmtId="189" fontId="4" fillId="0" borderId="7" xfId="3" applyNumberFormat="1" applyFont="1" applyBorder="1"/>
    <xf numFmtId="168" fontId="4" fillId="0" borderId="7" xfId="3" applyNumberFormat="1" applyFont="1" applyBorder="1"/>
    <xf numFmtId="168" fontId="4" fillId="0" borderId="7" xfId="3" quotePrefix="1" applyNumberFormat="1" applyFont="1" applyBorder="1" applyAlignment="1">
      <alignment horizontal="left" indent="1"/>
    </xf>
    <xf numFmtId="4" fontId="4" fillId="0" borderId="7" xfId="3" quotePrefix="1" applyNumberFormat="1" applyFont="1" applyBorder="1" applyAlignment="1">
      <alignment horizontal="left" indent="1"/>
    </xf>
    <xf numFmtId="168" fontId="4" fillId="0" borderId="7" xfId="2" applyNumberFormat="1" applyFont="1" applyBorder="1" applyAlignment="1">
      <alignment horizontal="left" indent="1"/>
    </xf>
    <xf numFmtId="166" fontId="5" fillId="0" borderId="7" xfId="3" quotePrefix="1" applyNumberFormat="1" applyFont="1" applyBorder="1" applyAlignment="1">
      <alignment horizontal="right"/>
    </xf>
    <xf numFmtId="165" fontId="4" fillId="0" borderId="7" xfId="3" applyNumberFormat="1" applyFont="1" applyBorder="1"/>
    <xf numFmtId="168" fontId="58" fillId="10" borderId="7" xfId="2" applyNumberFormat="1" applyFont="1" applyFill="1" applyBorder="1"/>
    <xf numFmtId="164" fontId="4" fillId="0" borderId="7" xfId="3" applyNumberFormat="1" applyFont="1" applyBorder="1"/>
    <xf numFmtId="166" fontId="4" fillId="0" borderId="7" xfId="3" applyNumberFormat="1" applyFont="1" applyBorder="1"/>
    <xf numFmtId="170" fontId="4" fillId="0" borderId="7" xfId="3" applyNumberFormat="1" applyFont="1" applyBorder="1"/>
    <xf numFmtId="171" fontId="4" fillId="0" borderId="7" xfId="3" applyNumberFormat="1" applyFont="1" applyBorder="1"/>
    <xf numFmtId="171" fontId="22" fillId="0" borderId="7" xfId="3" applyNumberFormat="1" applyFont="1" applyBorder="1"/>
    <xf numFmtId="8" fontId="19" fillId="0" borderId="7" xfId="3" applyNumberFormat="1" applyFont="1" applyBorder="1"/>
    <xf numFmtId="8" fontId="4" fillId="0" borderId="7" xfId="3" applyNumberFormat="1" applyFont="1" applyBorder="1"/>
    <xf numFmtId="175" fontId="4" fillId="0" borderId="7" xfId="3" applyNumberFormat="1" applyFont="1" applyBorder="1"/>
    <xf numFmtId="171" fontId="14" fillId="0" borderId="7" xfId="3" applyNumberFormat="1" applyFont="1" applyBorder="1"/>
    <xf numFmtId="166" fontId="8" fillId="0" borderId="7" xfId="3" applyNumberFormat="1" applyFont="1" applyBorder="1"/>
    <xf numFmtId="172" fontId="4" fillId="0" borderId="7" xfId="3" applyNumberFormat="1" applyFont="1" applyBorder="1"/>
    <xf numFmtId="178" fontId="4" fillId="0" borderId="7" xfId="0" applyNumberFormat="1" applyFont="1" applyBorder="1"/>
    <xf numFmtId="179" fontId="4" fillId="0" borderId="7" xfId="3" applyNumberFormat="1" applyFont="1" applyBorder="1"/>
    <xf numFmtId="183" fontId="27" fillId="0" borderId="7" xfId="3" applyNumberFormat="1" applyFont="1" applyBorder="1"/>
    <xf numFmtId="5" fontId="4" fillId="0" borderId="7" xfId="1" applyFont="1" applyBorder="1"/>
    <xf numFmtId="178" fontId="22" fillId="0" borderId="7" xfId="0" applyNumberFormat="1" applyFont="1" applyBorder="1"/>
    <xf numFmtId="179" fontId="22" fillId="0" borderId="7" xfId="3" applyNumberFormat="1" applyFont="1" applyBorder="1"/>
    <xf numFmtId="4" fontId="13" fillId="0" borderId="7" xfId="3" applyNumberFormat="1" applyFont="1" applyBorder="1"/>
    <xf numFmtId="164" fontId="4" fillId="0" borderId="7" xfId="3" quotePrefix="1" applyNumberFormat="1" applyFont="1" applyBorder="1" applyAlignment="1">
      <alignment horizontal="right"/>
    </xf>
    <xf numFmtId="166" fontId="56" fillId="0" borderId="7" xfId="3" applyNumberFormat="1" applyFont="1" applyBorder="1"/>
    <xf numFmtId="2" fontId="4" fillId="0" borderId="0" xfId="0" applyNumberFormat="1" applyFont="1"/>
    <xf numFmtId="169" fontId="4" fillId="0" borderId="7" xfId="3" applyNumberFormat="1" applyFont="1" applyBorder="1"/>
    <xf numFmtId="169" fontId="6" fillId="0" borderId="7" xfId="3" applyNumberFormat="1" applyFont="1" applyBorder="1"/>
    <xf numFmtId="6" fontId="4" fillId="0" borderId="7" xfId="3" applyNumberFormat="1" applyFont="1" applyBorder="1"/>
    <xf numFmtId="6" fontId="19" fillId="0" borderId="7" xfId="3" applyNumberFormat="1" applyFont="1" applyBorder="1"/>
    <xf numFmtId="164" fontId="4" fillId="0" borderId="6" xfId="3" applyNumberFormat="1" applyFont="1" applyBorder="1"/>
    <xf numFmtId="169" fontId="8" fillId="0" borderId="7" xfId="3" applyNumberFormat="1" applyFont="1" applyBorder="1"/>
    <xf numFmtId="166" fontId="5" fillId="0" borderId="0" xfId="0" quotePrefix="1" applyNumberFormat="1" applyFont="1" applyAlignment="1">
      <alignment horizontal="right"/>
    </xf>
    <xf numFmtId="8" fontId="5" fillId="0" borderId="0" xfId="0" applyNumberFormat="1" applyFont="1"/>
    <xf numFmtId="175" fontId="5" fillId="0" borderId="0" xfId="0" applyNumberFormat="1" applyFont="1"/>
    <xf numFmtId="175" fontId="5" fillId="0" borderId="7" xfId="0" applyNumberFormat="1" applyFont="1" applyBorder="1"/>
    <xf numFmtId="188" fontId="49" fillId="2" borderId="0" xfId="25" applyNumberFormat="1" applyFont="1" applyFill="1" applyAlignment="1">
      <alignment horizontal="left"/>
    </xf>
    <xf numFmtId="0" fontId="50" fillId="2" borderId="0" xfId="25" applyNumberFormat="1" applyFont="1" applyFill="1" applyAlignment="1">
      <alignment horizontal="left" vertical="center"/>
    </xf>
    <xf numFmtId="49" fontId="50" fillId="2" borderId="0" xfId="25" applyNumberFormat="1" applyFont="1" applyFill="1" applyAlignment="1">
      <alignment horizontal="left" vertical="center"/>
    </xf>
    <xf numFmtId="168" fontId="8" fillId="0" borderId="0" xfId="2" applyNumberFormat="1" applyFont="1" applyFill="1"/>
    <xf numFmtId="164" fontId="4" fillId="4" borderId="0" xfId="0" applyNumberFormat="1" applyFont="1" applyFill="1"/>
    <xf numFmtId="166" fontId="4" fillId="0" borderId="0" xfId="2" applyNumberFormat="1" applyFont="1" applyAlignment="1">
      <alignment horizontal="left" indent="1"/>
    </xf>
    <xf numFmtId="164" fontId="4" fillId="4" borderId="0" xfId="3" applyNumberFormat="1" applyFont="1" applyFill="1"/>
    <xf numFmtId="8" fontId="4" fillId="4" borderId="0" xfId="3" applyNumberFormat="1" applyFont="1" applyFill="1"/>
    <xf numFmtId="169" fontId="6" fillId="4" borderId="0" xfId="3" applyNumberFormat="1" applyFont="1" applyFill="1"/>
    <xf numFmtId="169" fontId="4" fillId="4" borderId="0" xfId="3" applyNumberFormat="1" applyFont="1" applyFill="1"/>
    <xf numFmtId="9" fontId="4" fillId="0" borderId="7" xfId="2" applyFont="1" applyBorder="1"/>
    <xf numFmtId="3" fontId="4" fillId="0" borderId="7" xfId="3" quotePrefix="1" applyNumberFormat="1" applyFont="1" applyBorder="1" applyAlignment="1">
      <alignment horizontal="right"/>
    </xf>
    <xf numFmtId="1" fontId="4" fillId="0" borderId="0" xfId="2" applyNumberFormat="1" applyFont="1"/>
    <xf numFmtId="166" fontId="6" fillId="0" borderId="0" xfId="0" applyNumberFormat="1" applyFont="1"/>
    <xf numFmtId="38" fontId="5" fillId="0" borderId="0" xfId="0" applyNumberFormat="1" applyFont="1" applyAlignment="1">
      <alignment horizontal="centerContinuous"/>
    </xf>
    <xf numFmtId="38" fontId="4" fillId="0" borderId="0" xfId="3" applyNumberFormat="1" applyFont="1" applyAlignment="1">
      <alignment horizontal="centerContinuous"/>
    </xf>
    <xf numFmtId="38" fontId="4" fillId="4" borderId="0" xfId="3" applyNumberFormat="1" applyFont="1" applyFill="1"/>
    <xf numFmtId="7" fontId="4" fillId="4" borderId="0" xfId="3" applyNumberFormat="1" applyFont="1" applyFill="1"/>
    <xf numFmtId="38" fontId="5" fillId="4" borderId="0" xfId="3" applyNumberFormat="1" applyFont="1" applyFill="1"/>
    <xf numFmtId="171" fontId="4" fillId="4" borderId="0" xfId="3" applyNumberFormat="1" applyFont="1" applyFill="1"/>
    <xf numFmtId="9" fontId="4" fillId="0" borderId="0" xfId="3" applyNumberFormat="1" applyFont="1"/>
    <xf numFmtId="174" fontId="5" fillId="0" borderId="8" xfId="2" applyNumberFormat="1" applyFont="1" applyFill="1" applyBorder="1"/>
    <xf numFmtId="185" fontId="5" fillId="0" borderId="8" xfId="3" applyNumberFormat="1" applyFont="1" applyBorder="1"/>
    <xf numFmtId="174" fontId="4" fillId="0" borderId="0" xfId="2" applyNumberFormat="1" applyFont="1" applyFill="1" applyBorder="1"/>
    <xf numFmtId="174" fontId="5" fillId="0" borderId="10" xfId="2" applyNumberFormat="1" applyFont="1" applyFill="1" applyBorder="1"/>
    <xf numFmtId="185" fontId="5" fillId="0" borderId="10" xfId="3" applyNumberFormat="1" applyFont="1" applyBorder="1"/>
    <xf numFmtId="174" fontId="5" fillId="0" borderId="9" xfId="2" applyNumberFormat="1" applyFont="1" applyFill="1" applyBorder="1"/>
    <xf numFmtId="185" fontId="5" fillId="0" borderId="9" xfId="3" applyNumberFormat="1" applyFont="1" applyBorder="1"/>
    <xf numFmtId="184" fontId="5" fillId="0" borderId="0" xfId="0" applyNumberFormat="1" applyFont="1"/>
    <xf numFmtId="170" fontId="4" fillId="0" borderId="4" xfId="3" applyNumberFormat="1" applyFont="1" applyBorder="1"/>
    <xf numFmtId="3" fontId="57" fillId="0" borderId="0" xfId="3" applyNumberFormat="1" applyFont="1"/>
    <xf numFmtId="185" fontId="4" fillId="0" borderId="0" xfId="3" applyNumberFormat="1" applyFont="1"/>
    <xf numFmtId="168" fontId="19" fillId="0" borderId="0" xfId="2" applyNumberFormat="1" applyFont="1" applyFill="1"/>
    <xf numFmtId="166" fontId="57" fillId="0" borderId="0" xfId="3" applyNumberFormat="1" applyFont="1"/>
    <xf numFmtId="3" fontId="19" fillId="0" borderId="0" xfId="3" applyNumberFormat="1" applyFont="1"/>
    <xf numFmtId="168" fontId="19" fillId="0" borderId="0" xfId="2" quotePrefix="1" applyNumberFormat="1" applyFont="1" applyAlignment="1">
      <alignment horizontal="right"/>
    </xf>
    <xf numFmtId="3" fontId="19" fillId="0" borderId="7" xfId="3" applyNumberFormat="1" applyFont="1" applyBorder="1"/>
    <xf numFmtId="168" fontId="4" fillId="0" borderId="7" xfId="2" applyNumberFormat="1" applyFont="1" applyFill="1" applyBorder="1"/>
    <xf numFmtId="168" fontId="5" fillId="0" borderId="7" xfId="2" quotePrefix="1" applyNumberFormat="1" applyFont="1" applyBorder="1" applyAlignment="1">
      <alignment horizontal="right"/>
    </xf>
    <xf numFmtId="182" fontId="23" fillId="0" borderId="0" xfId="3" applyNumberFormat="1" applyFont="1"/>
    <xf numFmtId="166" fontId="19" fillId="0" borderId="0" xfId="3" applyNumberFormat="1" applyFont="1"/>
    <xf numFmtId="4" fontId="4" fillId="0" borderId="0" xfId="0" applyNumberFormat="1" applyFont="1" applyAlignment="1">
      <alignment horizontal="left"/>
    </xf>
    <xf numFmtId="167" fontId="4" fillId="0" borderId="0" xfId="0" applyNumberFormat="1" applyFont="1" applyAlignment="1">
      <alignment horizontal="left"/>
    </xf>
    <xf numFmtId="164" fontId="4" fillId="12" borderId="0" xfId="3" applyNumberFormat="1" applyFont="1" applyFill="1"/>
    <xf numFmtId="166" fontId="19" fillId="12" borderId="0" xfId="3" applyNumberFormat="1" applyFont="1" applyFill="1"/>
    <xf numFmtId="8" fontId="19" fillId="12" borderId="0" xfId="3" applyNumberFormat="1" applyFont="1" applyFill="1"/>
    <xf numFmtId="17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Continuous"/>
    </xf>
    <xf numFmtId="168" fontId="5" fillId="0" borderId="0" xfId="0" applyNumberFormat="1" applyFont="1" applyAlignment="1">
      <alignment horizontal="center"/>
    </xf>
    <xf numFmtId="168" fontId="19" fillId="12" borderId="0" xfId="2" applyNumberFormat="1" applyFont="1" applyFill="1"/>
    <xf numFmtId="167" fontId="4" fillId="0" borderId="0" xfId="0" applyNumberFormat="1" applyFont="1" applyAlignment="1">
      <alignment horizontal="left" indent="2"/>
    </xf>
    <xf numFmtId="169" fontId="22" fillId="0" borderId="0" xfId="3" applyNumberFormat="1" applyFont="1"/>
    <xf numFmtId="168" fontId="4" fillId="0" borderId="0" xfId="2" quotePrefix="1" applyNumberFormat="1" applyFont="1" applyFill="1" applyAlignment="1">
      <alignment horizontal="right"/>
    </xf>
    <xf numFmtId="9" fontId="4" fillId="0" borderId="0" xfId="2" applyFont="1" applyAlignment="1">
      <alignment horizontal="centerContinuous"/>
    </xf>
    <xf numFmtId="165" fontId="4" fillId="0" borderId="0" xfId="0" applyNumberFormat="1" applyFont="1" applyAlignment="1">
      <alignment horizontal="centerContinuous"/>
    </xf>
    <xf numFmtId="166" fontId="4" fillId="4" borderId="0" xfId="3" applyNumberFormat="1" applyFont="1" applyFill="1"/>
    <xf numFmtId="166" fontId="5" fillId="4" borderId="0" xfId="3" applyNumberFormat="1" applyFont="1" applyFill="1"/>
    <xf numFmtId="166" fontId="5" fillId="4" borderId="0" xfId="0" applyNumberFormat="1" applyFont="1" applyFill="1"/>
    <xf numFmtId="166" fontId="4" fillId="4" borderId="0" xfId="0" applyNumberFormat="1" applyFont="1" applyFill="1"/>
    <xf numFmtId="166" fontId="19" fillId="4" borderId="0" xfId="0" applyNumberFormat="1" applyFont="1" applyFill="1"/>
    <xf numFmtId="4" fontId="4" fillId="4" borderId="0" xfId="0" applyNumberFormat="1" applyFont="1" applyFill="1"/>
    <xf numFmtId="175" fontId="4" fillId="4" borderId="0" xfId="0" applyNumberFormat="1" applyFont="1" applyFill="1"/>
    <xf numFmtId="175" fontId="5" fillId="4" borderId="0" xfId="0" applyNumberFormat="1" applyFont="1" applyFill="1"/>
    <xf numFmtId="8" fontId="4" fillId="4" borderId="0" xfId="0" applyNumberFormat="1" applyFont="1" applyFill="1"/>
    <xf numFmtId="168" fontId="5" fillId="4" borderId="0" xfId="0" applyNumberFormat="1" applyFont="1" applyFill="1"/>
    <xf numFmtId="168" fontId="4" fillId="4" borderId="0" xfId="0" applyNumberFormat="1" applyFont="1" applyFill="1"/>
    <xf numFmtId="168" fontId="19" fillId="4" borderId="0" xfId="0" applyNumberFormat="1" applyFont="1" applyFill="1"/>
    <xf numFmtId="168" fontId="57" fillId="4" borderId="0" xfId="0" applyNumberFormat="1" applyFont="1" applyFill="1"/>
    <xf numFmtId="190" fontId="4" fillId="4" borderId="0" xfId="0" applyNumberFormat="1" applyFont="1" applyFill="1"/>
    <xf numFmtId="166" fontId="8" fillId="4" borderId="0" xfId="3" applyNumberFormat="1" applyFont="1" applyFill="1"/>
    <xf numFmtId="166" fontId="19" fillId="4" borderId="0" xfId="3" applyNumberFormat="1" applyFont="1" applyFill="1"/>
    <xf numFmtId="0" fontId="54" fillId="0" borderId="0" xfId="27" applyAlignment="1" applyProtection="1"/>
    <xf numFmtId="167" fontId="4" fillId="4" borderId="0" xfId="0" applyNumberFormat="1" applyFont="1" applyFill="1"/>
    <xf numFmtId="8" fontId="19" fillId="4" borderId="0" xfId="3" applyNumberFormat="1" applyFont="1" applyFill="1"/>
    <xf numFmtId="4" fontId="4" fillId="4" borderId="0" xfId="3" applyNumberFormat="1" applyFont="1" applyFill="1"/>
    <xf numFmtId="170" fontId="4" fillId="4" borderId="0" xfId="3" applyNumberFormat="1" applyFont="1" applyFill="1"/>
    <xf numFmtId="171" fontId="14" fillId="4" borderId="0" xfId="3" applyNumberFormat="1" applyFont="1" applyFill="1"/>
    <xf numFmtId="6" fontId="4" fillId="4" borderId="0" xfId="3" applyNumberFormat="1" applyFont="1" applyFill="1"/>
    <xf numFmtId="173" fontId="4" fillId="4" borderId="0" xfId="0" applyNumberFormat="1" applyFont="1" applyFill="1"/>
    <xf numFmtId="168" fontId="4" fillId="4" borderId="0" xfId="2" applyNumberFormat="1" applyFont="1" applyFill="1"/>
    <xf numFmtId="177" fontId="4" fillId="4" borderId="0" xfId="2" applyNumberFormat="1" applyFont="1" applyFill="1"/>
    <xf numFmtId="166" fontId="56" fillId="4" borderId="0" xfId="3" applyNumberFormat="1" applyFont="1" applyFill="1"/>
    <xf numFmtId="172" fontId="4" fillId="4" borderId="0" xfId="3" applyNumberFormat="1" applyFont="1" applyFill="1"/>
    <xf numFmtId="178" fontId="4" fillId="4" borderId="0" xfId="0" applyNumberFormat="1" applyFont="1" applyFill="1"/>
    <xf numFmtId="179" fontId="4" fillId="4" borderId="0" xfId="3" applyNumberFormat="1" applyFont="1" applyFill="1"/>
    <xf numFmtId="4" fontId="13" fillId="4" borderId="0" xfId="3" applyNumberFormat="1" applyFont="1" applyFill="1"/>
    <xf numFmtId="3" fontId="5" fillId="4" borderId="0" xfId="3" applyNumberFormat="1" applyFont="1" applyFill="1"/>
    <xf numFmtId="166" fontId="5" fillId="4" borderId="0" xfId="3" applyNumberFormat="1" applyFont="1" applyFill="1" applyAlignment="1">
      <alignment horizontal="right"/>
    </xf>
    <xf numFmtId="165" fontId="4" fillId="4" borderId="0" xfId="3" applyNumberFormat="1" applyFont="1" applyFill="1"/>
    <xf numFmtId="1" fontId="4" fillId="4" borderId="0" xfId="2" applyNumberFormat="1" applyFont="1" applyFill="1"/>
    <xf numFmtId="182" fontId="5" fillId="4" borderId="0" xfId="3" applyNumberFormat="1" applyFont="1" applyFill="1"/>
    <xf numFmtId="182" fontId="4" fillId="4" borderId="0" xfId="3" applyNumberFormat="1" applyFont="1" applyFill="1"/>
    <xf numFmtId="3" fontId="4" fillId="4" borderId="0" xfId="3" applyNumberFormat="1" applyFont="1" applyFill="1"/>
    <xf numFmtId="168" fontId="19" fillId="4" borderId="0" xfId="2" quotePrefix="1" applyNumberFormat="1" applyFont="1" applyFill="1" applyAlignment="1">
      <alignment horizontal="right"/>
    </xf>
    <xf numFmtId="190" fontId="4" fillId="4" borderId="0" xfId="2" quotePrefix="1" applyNumberFormat="1" applyFont="1" applyFill="1" applyAlignment="1">
      <alignment horizontal="right"/>
    </xf>
    <xf numFmtId="168" fontId="19" fillId="4" borderId="0" xfId="2" applyNumberFormat="1" applyFont="1" applyFill="1"/>
    <xf numFmtId="182" fontId="57" fillId="4" borderId="0" xfId="3" applyNumberFormat="1" applyFont="1" applyFill="1"/>
    <xf numFmtId="182" fontId="19" fillId="4" borderId="0" xfId="3" applyNumberFormat="1" applyFont="1" applyFill="1"/>
    <xf numFmtId="189" fontId="19" fillId="4" borderId="0" xfId="3" applyNumberFormat="1" applyFont="1" applyFill="1"/>
    <xf numFmtId="168" fontId="4" fillId="4" borderId="0" xfId="2" applyNumberFormat="1" applyFont="1" applyFill="1" applyAlignment="1">
      <alignment horizontal="left" indent="1"/>
    </xf>
    <xf numFmtId="168" fontId="56" fillId="4" borderId="0" xfId="2" applyNumberFormat="1" applyFont="1" applyFill="1"/>
    <xf numFmtId="168" fontId="4" fillId="4" borderId="0" xfId="2" quotePrefix="1" applyNumberFormat="1" applyFont="1" applyFill="1" applyAlignment="1">
      <alignment horizontal="right"/>
    </xf>
    <xf numFmtId="4" fontId="4" fillId="4" borderId="0" xfId="3" quotePrefix="1" applyNumberFormat="1" applyFont="1" applyFill="1" applyAlignment="1">
      <alignment horizontal="right"/>
    </xf>
    <xf numFmtId="171" fontId="19" fillId="4" borderId="0" xfId="3" applyNumberFormat="1" applyFont="1" applyFill="1"/>
    <xf numFmtId="168" fontId="4" fillId="12" borderId="0" xfId="2" applyNumberFormat="1" applyFont="1" applyFill="1"/>
  </cellXfs>
  <cellStyles count="34">
    <cellStyle name="******************************************" xfId="8" xr:uid="{00000000-0005-0000-0000-000000000000}"/>
    <cellStyle name="****************************************** 2" xfId="29" xr:uid="{C03AC2A9-E670-4AEA-BAF9-7BD41E55909B}"/>
    <cellStyle name="ArialNormal" xfId="4" xr:uid="{00000000-0005-0000-0000-000001000000}"/>
    <cellStyle name="Comma 2" xfId="10" xr:uid="{00000000-0005-0000-0000-000003000000}"/>
    <cellStyle name="Currency" xfId="1" builtinId="4"/>
    <cellStyle name="Euro" xfId="5" xr:uid="{00000000-0005-0000-0000-000005000000}"/>
    <cellStyle name="Hyperlink" xfId="27" builtinId="8"/>
    <cellStyle name="Hyperlink 2" xfId="18" xr:uid="{40D81A4D-3FDF-4734-AFF9-E3A168BF11CF}"/>
    <cellStyle name="Hyperlink 2 2" xfId="26" xr:uid="{5666E9AC-652E-41E0-A2D5-C8BD6AB42ED5}"/>
    <cellStyle name="Hyperlink 3" xfId="20" xr:uid="{F919F9C3-7354-45C7-A1E8-119812399678}"/>
    <cellStyle name="Normal" xfId="0" builtinId="0"/>
    <cellStyle name="Normal 2" xfId="9" xr:uid="{00000000-0005-0000-0000-000007000000}"/>
    <cellStyle name="Normal 3" xfId="12" xr:uid="{00000000-0005-0000-0000-000008000000}"/>
    <cellStyle name="Normal 3 2" xfId="24" xr:uid="{17B9A976-EF8A-4344-8565-28616DE942EB}"/>
    <cellStyle name="Normal 3 2 2" xfId="13" xr:uid="{00000000-0005-0000-0000-000009000000}"/>
    <cellStyle name="Normal 3 2 2 2" xfId="19" xr:uid="{47022DBB-D1AB-483D-BE66-014B3691F06D}"/>
    <cellStyle name="Normal 3 2 3" xfId="28" xr:uid="{A0F98E4D-F93D-465C-881B-A7008617E817}"/>
    <cellStyle name="Normal 3 2 4" xfId="15" xr:uid="{FA37E722-DEEC-4D17-A0D0-A9294512D2A0}"/>
    <cellStyle name="Normal 4" xfId="32" xr:uid="{35A3427F-D561-4A91-97B2-868E593284FC}"/>
    <cellStyle name="Normal 4 3" xfId="21" xr:uid="{D3E8C633-BB82-4B75-A7DF-48C7B3533FA8}"/>
    <cellStyle name="Normal 5" xfId="16" xr:uid="{3B1BB38B-E2C8-4FCB-A689-3BB20EF11758}"/>
    <cellStyle name="Normal 7" xfId="17" xr:uid="{3F23AD49-4AA7-4DD7-898B-47DA4017D1D3}"/>
    <cellStyle name="Normal 7 3" xfId="22" xr:uid="{C9D138E2-6E9A-4369-8BD4-CAA1372055D8}"/>
    <cellStyle name="Normal 8" xfId="30" xr:uid="{781D482C-43FE-4856-989D-81127E481D1E}"/>
    <cellStyle name="Normal_Credit Suisse Software Short Interest Toolbox.1-12-10" xfId="25" xr:uid="{AA188E2C-9B0C-4D00-AC33-5C266AF5B7D7}"/>
    <cellStyle name="Normal_Worksheet1" xfId="3" xr:uid="{00000000-0005-0000-0000-00000E000000}"/>
    <cellStyle name="OutputPlain" xfId="6" xr:uid="{00000000-0005-0000-0000-00000F000000}"/>
    <cellStyle name="Percent" xfId="2" builtinId="5"/>
    <cellStyle name="Percent 2" xfId="11" xr:uid="{00000000-0005-0000-0000-000011000000}"/>
    <cellStyle name="Percent 2 2 2" xfId="14" xr:uid="{00000000-0005-0000-0000-000012000000}"/>
    <cellStyle name="Percent 3" xfId="33" xr:uid="{02F3ABF9-1933-4A37-B360-5F033E130710}"/>
    <cellStyle name="Percent 5" xfId="31" xr:uid="{9CC01B58-5FF9-45BC-A640-30EBB4FF62CF}"/>
    <cellStyle name="Percent 6" xfId="23" xr:uid="{241E599A-B957-48E1-A191-9ADD98F680E9}"/>
    <cellStyle name="Style 1" xfId="7" xr:uid="{00000000-0005-0000-0000-000013000000}"/>
  </cellStyles>
  <dxfs count="0"/>
  <tableStyles count="0" defaultTableStyle="TableStyleMedium9" defaultPivotStyle="PivotStyleLight16"/>
  <colors>
    <mruColors>
      <color rgb="FF0000FF"/>
      <color rgb="FF9A89D9"/>
      <color rgb="FFFF6600"/>
      <color rgb="FF2537E7"/>
      <color rgb="FFA12A1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1210308</xdr:colOff>
      <xdr:row>3</xdr:row>
      <xdr:rowOff>21167</xdr:rowOff>
    </xdr:from>
    <xdr:to>
      <xdr:col>12</xdr:col>
      <xdr:colOff>9650</xdr:colOff>
      <xdr:row>5</xdr:row>
      <xdr:rowOff>504275</xdr:rowOff>
    </xdr:to>
    <xdr:pic>
      <xdr:nvPicPr>
        <xdr:cNvPr id="2" name="Wells Fargo" descr="Wells Fargo">
          <a:extLst>
            <a:ext uri="{FF2B5EF4-FFF2-40B4-BE49-F238E27FC236}">
              <a16:creationId xmlns:a16="http://schemas.microsoft.com/office/drawing/2014/main" id="{A5D6C307-0BF0-4BCE-AE12-AB536EA609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59008" y="383117"/>
          <a:ext cx="932942" cy="1026033"/>
        </a:xfrm>
        <a:prstGeom prst="rect">
          <a:avLst/>
        </a:prstGeom>
      </xdr:spPr>
    </xdr:pic>
    <xdr:clientData/>
  </xdr:twoCellAnchor>
  <xdr:twoCellAnchor editAs="oneCell">
    <xdr:from>
      <xdr:col>2</xdr:col>
      <xdr:colOff>17318</xdr:colOff>
      <xdr:row>26</xdr:row>
      <xdr:rowOff>69273</xdr:rowOff>
    </xdr:from>
    <xdr:to>
      <xdr:col>11</xdr:col>
      <xdr:colOff>136190</xdr:colOff>
      <xdr:row>43</xdr:row>
      <xdr:rowOff>693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0EE7DA-ED6A-4C57-B434-43FB8F724C5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618" y="5060373"/>
          <a:ext cx="10605897" cy="2684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28862</xdr:colOff>
      <xdr:row>46</xdr:row>
      <xdr:rowOff>150091</xdr:rowOff>
    </xdr:from>
    <xdr:to>
      <xdr:col>12</xdr:col>
      <xdr:colOff>257173</xdr:colOff>
      <xdr:row>48</xdr:row>
      <xdr:rowOff>7576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E0520EA-8BF4-40FD-8092-4F749B11C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162" y="8132041"/>
          <a:ext cx="10896311" cy="1813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chistopher.mercado2@wellsfargo.com" TargetMode="External"/><Relationship Id="rId2" Type="http://schemas.openxmlformats.org/officeDocument/2006/relationships/hyperlink" Target="mailto:evan.stampler@wellsfargo.com" TargetMode="External"/><Relationship Id="rId1" Type="http://schemas.openxmlformats.org/officeDocument/2006/relationships/hyperlink" Target="mailto:brandon.couillard@wellsfargo.com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EC143-BDD8-4967-BC8A-E1B319952782}">
  <dimension ref="A1:B1"/>
  <sheetViews>
    <sheetView workbookViewId="0"/>
  </sheetViews>
  <sheetFormatPr defaultRowHeight="12"/>
  <sheetData>
    <row r="1" spans="1:2">
      <c r="B1" t="s">
        <v>190</v>
      </c>
    </row>
  </sheetData>
  <pageMargins left="0.7" right="0.7" top="0.75" bottom="0.75" header="0.3" footer="0.3"/>
  <pageSetup orientation="portrait" horizontalDpi="90" verticalDpi="9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B4805-DF90-4423-9B26-E87126F033C6}">
  <dimension ref="A3:BY514"/>
  <sheetViews>
    <sheetView workbookViewId="0">
      <selection activeCell="I13" sqref="I13"/>
    </sheetView>
  </sheetViews>
  <sheetFormatPr defaultColWidth="9.140625" defaultRowHeight="12.75"/>
  <cols>
    <col min="1" max="1" width="1.140625" style="111" customWidth="1"/>
    <col min="2" max="2" width="0.5703125" style="111" customWidth="1"/>
    <col min="3" max="3" width="29.28515625" style="111" customWidth="1"/>
    <col min="4" max="4" width="2.7109375" style="111" customWidth="1"/>
    <col min="5" max="5" width="29.28515625" style="111" customWidth="1"/>
    <col min="6" max="6" width="2.7109375" style="111" customWidth="1"/>
    <col min="7" max="7" width="29.28515625" style="111" customWidth="1"/>
    <col min="8" max="8" width="2.7109375" style="111" customWidth="1"/>
    <col min="9" max="9" width="29.28515625" style="111" customWidth="1"/>
    <col min="10" max="10" width="2.7109375" style="111" customWidth="1"/>
    <col min="11" max="11" width="29.28515625" style="111" customWidth="1"/>
    <col min="12" max="12" width="2.7109375" style="111" customWidth="1"/>
    <col min="13" max="16384" width="9.140625" style="111"/>
  </cols>
  <sheetData>
    <row r="3" spans="1:12" ht="3" customHeight="1"/>
    <row r="5" spans="1:12" ht="30">
      <c r="B5" s="134"/>
      <c r="C5" s="112" t="s">
        <v>196</v>
      </c>
      <c r="E5" s="113"/>
      <c r="G5" s="113"/>
      <c r="I5" s="113"/>
      <c r="K5" s="113"/>
    </row>
    <row r="6" spans="1:12" ht="48.95" customHeight="1">
      <c r="C6" s="114"/>
      <c r="E6" s="115"/>
      <c r="G6" s="115"/>
      <c r="I6" s="115"/>
      <c r="K6" s="115"/>
    </row>
    <row r="7" spans="1:12" ht="16.5">
      <c r="C7" s="116" t="s">
        <v>197</v>
      </c>
      <c r="E7" s="117"/>
      <c r="G7" s="117"/>
      <c r="I7" s="117"/>
      <c r="K7" s="117"/>
    </row>
    <row r="8" spans="1:12" ht="16.5">
      <c r="C8" s="118" t="s">
        <v>198</v>
      </c>
      <c r="E8" s="115"/>
      <c r="G8" s="115"/>
      <c r="I8" s="115"/>
      <c r="K8" s="115"/>
    </row>
    <row r="9" spans="1:12" ht="16.5">
      <c r="C9" s="119">
        <v>46073</v>
      </c>
      <c r="E9" s="115"/>
      <c r="G9" s="115"/>
      <c r="I9" s="115"/>
      <c r="K9" s="115"/>
    </row>
    <row r="10" spans="1:12" ht="3" customHeight="1"/>
    <row r="12" spans="1:12" ht="33">
      <c r="C12" s="120" t="s">
        <v>227</v>
      </c>
      <c r="E12" s="121"/>
      <c r="G12" s="121"/>
      <c r="I12" s="121"/>
      <c r="K12" s="121"/>
    </row>
    <row r="13" spans="1:12">
      <c r="C13" s="122"/>
      <c r="E13" s="122"/>
      <c r="G13" s="122"/>
      <c r="I13" s="122"/>
      <c r="K13" s="122"/>
    </row>
    <row r="15" spans="1:12" ht="3" customHeight="1">
      <c r="A15" s="135"/>
      <c r="B15" s="136"/>
      <c r="C15" s="136"/>
      <c r="D15" s="136"/>
      <c r="E15" s="136"/>
      <c r="F15" s="136"/>
      <c r="G15" s="136"/>
      <c r="H15" s="136"/>
      <c r="I15" s="136"/>
      <c r="J15" s="136"/>
      <c r="K15" s="136"/>
      <c r="L15" s="136"/>
    </row>
    <row r="17" spans="3:11" ht="16.5">
      <c r="C17" s="123"/>
      <c r="E17" s="124"/>
      <c r="G17" s="124"/>
      <c r="I17" s="124"/>
      <c r="K17" s="124"/>
    </row>
    <row r="19" spans="3:11" ht="14.25">
      <c r="C19" s="125" t="s">
        <v>0</v>
      </c>
      <c r="D19" s="126"/>
      <c r="E19" s="125" t="s">
        <v>200</v>
      </c>
      <c r="F19" s="126"/>
      <c r="G19" s="300" t="s">
        <v>398</v>
      </c>
      <c r="I19" s="125"/>
    </row>
    <row r="20" spans="3:11">
      <c r="C20" s="127" t="s">
        <v>199</v>
      </c>
      <c r="D20" s="126"/>
      <c r="E20" s="127" t="s">
        <v>201</v>
      </c>
      <c r="F20" s="126"/>
      <c r="G20" s="301" t="s">
        <v>201</v>
      </c>
      <c r="I20" s="127"/>
    </row>
    <row r="21" spans="3:11">
      <c r="C21" s="128" t="s">
        <v>203</v>
      </c>
      <c r="D21" s="126"/>
      <c r="E21" s="128" t="s">
        <v>204</v>
      </c>
      <c r="F21" s="126"/>
      <c r="G21" s="302" t="s">
        <v>399</v>
      </c>
      <c r="I21" s="128"/>
    </row>
    <row r="22" spans="3:11">
      <c r="C22" s="129" t="s">
        <v>191</v>
      </c>
      <c r="D22" s="126"/>
      <c r="E22" s="130" t="s">
        <v>202</v>
      </c>
      <c r="F22" s="126"/>
      <c r="G22" s="371" t="s">
        <v>400</v>
      </c>
      <c r="I22" s="129"/>
    </row>
    <row r="24" spans="3:11">
      <c r="D24" s="131"/>
      <c r="E24" s="132"/>
      <c r="F24" s="131"/>
      <c r="G24" s="132"/>
      <c r="H24" s="131"/>
      <c r="I24" s="131"/>
    </row>
    <row r="25" spans="3:11">
      <c r="D25" s="131"/>
      <c r="E25" s="132"/>
      <c r="F25" s="131"/>
      <c r="G25" s="132"/>
      <c r="H25" s="131"/>
      <c r="I25" s="131"/>
    </row>
    <row r="26" spans="3:11" ht="13.5">
      <c r="C26" s="133" t="s">
        <v>193</v>
      </c>
      <c r="D26" s="131"/>
      <c r="E26" s="132"/>
      <c r="F26" s="131"/>
      <c r="G26" s="132"/>
      <c r="H26" s="131"/>
      <c r="I26" s="131"/>
    </row>
    <row r="27" spans="3:11">
      <c r="C27" s="132"/>
      <c r="D27" s="131"/>
      <c r="E27" s="132"/>
      <c r="F27" s="131"/>
      <c r="G27" s="132"/>
      <c r="H27" s="131"/>
      <c r="I27" s="131"/>
    </row>
    <row r="28" spans="3:11">
      <c r="C28" s="132"/>
      <c r="D28" s="131"/>
      <c r="E28" s="132"/>
      <c r="F28" s="131"/>
      <c r="G28" s="132"/>
      <c r="H28" s="131"/>
      <c r="I28" s="131"/>
    </row>
    <row r="29" spans="3:11">
      <c r="C29" s="132"/>
      <c r="D29" s="131"/>
      <c r="E29" s="132"/>
      <c r="F29" s="131"/>
      <c r="G29" s="132"/>
      <c r="H29" s="131"/>
      <c r="I29" s="131"/>
    </row>
    <row r="30" spans="3:11">
      <c r="C30" s="132"/>
      <c r="D30" s="131"/>
      <c r="E30" s="132"/>
      <c r="F30" s="131"/>
      <c r="G30" s="132"/>
      <c r="H30" s="131"/>
      <c r="I30" s="131"/>
    </row>
    <row r="31" spans="3:11">
      <c r="D31" s="131"/>
      <c r="E31" s="132"/>
      <c r="F31" s="131"/>
      <c r="G31" s="132"/>
      <c r="H31" s="131"/>
      <c r="I31" s="131"/>
    </row>
    <row r="32" spans="3:11">
      <c r="C32" s="132"/>
      <c r="D32" s="131"/>
      <c r="E32" s="132"/>
      <c r="F32" s="131"/>
      <c r="G32" s="132"/>
      <c r="H32" s="131"/>
      <c r="I32" s="131"/>
    </row>
    <row r="33" spans="3:9">
      <c r="C33" s="132"/>
      <c r="D33" s="131"/>
      <c r="E33" s="132"/>
      <c r="F33" s="131"/>
      <c r="G33" s="132"/>
      <c r="H33" s="131"/>
      <c r="I33" s="131"/>
    </row>
    <row r="34" spans="3:9">
      <c r="C34" s="132"/>
      <c r="D34" s="131"/>
      <c r="E34" s="132"/>
      <c r="F34" s="131"/>
      <c r="G34" s="132"/>
      <c r="H34" s="131"/>
      <c r="I34" s="131"/>
    </row>
    <row r="35" spans="3:9">
      <c r="C35" s="132"/>
      <c r="D35" s="131"/>
      <c r="E35" s="132"/>
      <c r="F35" s="131"/>
      <c r="G35" s="132"/>
      <c r="H35" s="131"/>
      <c r="I35" s="131"/>
    </row>
    <row r="36" spans="3:9">
      <c r="C36" s="132"/>
      <c r="D36" s="131"/>
      <c r="E36" s="132"/>
      <c r="F36" s="131"/>
      <c r="G36" s="132"/>
      <c r="H36" s="131"/>
      <c r="I36" s="131"/>
    </row>
    <row r="37" spans="3:9">
      <c r="C37" s="132"/>
      <c r="D37" s="131"/>
      <c r="E37" s="132"/>
      <c r="F37" s="131"/>
      <c r="G37" s="132"/>
      <c r="H37" s="131"/>
      <c r="I37" s="131"/>
    </row>
    <row r="38" spans="3:9">
      <c r="C38" s="132"/>
      <c r="D38" s="131"/>
      <c r="E38" s="132"/>
      <c r="F38" s="131"/>
      <c r="G38" s="132"/>
      <c r="H38" s="131"/>
      <c r="I38" s="131"/>
    </row>
    <row r="39" spans="3:9">
      <c r="C39" s="132"/>
      <c r="D39" s="131"/>
      <c r="E39" s="132"/>
      <c r="F39" s="131"/>
      <c r="G39" s="132"/>
      <c r="H39" s="131"/>
      <c r="I39" s="131"/>
    </row>
    <row r="40" spans="3:9">
      <c r="C40" s="132"/>
      <c r="D40" s="131"/>
      <c r="E40" s="132"/>
      <c r="F40" s="131"/>
      <c r="G40" s="132"/>
      <c r="H40" s="131"/>
      <c r="I40" s="131"/>
    </row>
    <row r="41" spans="3:9">
      <c r="C41" s="132"/>
      <c r="D41" s="131"/>
      <c r="E41" s="132"/>
      <c r="F41" s="131"/>
      <c r="G41" s="132"/>
      <c r="H41" s="131"/>
      <c r="I41" s="131"/>
    </row>
    <row r="42" spans="3:9">
      <c r="C42" s="132"/>
      <c r="D42" s="131"/>
      <c r="E42" s="132"/>
      <c r="F42" s="131"/>
      <c r="G42" s="132"/>
      <c r="H42" s="131"/>
      <c r="I42" s="131"/>
    </row>
    <row r="43" spans="3:9">
      <c r="C43" s="132"/>
      <c r="D43" s="131"/>
      <c r="E43" s="132"/>
      <c r="F43" s="131"/>
      <c r="G43" s="132"/>
      <c r="H43" s="131"/>
      <c r="I43" s="131"/>
    </row>
    <row r="45" spans="3:9" ht="3" customHeight="1"/>
    <row r="46" spans="3:9" ht="3" customHeight="1"/>
    <row r="437" spans="68:68">
      <c r="BP437" s="111">
        <v>33.6</v>
      </c>
    </row>
    <row r="438" spans="68:68">
      <c r="BP438" s="111">
        <v>16.100000000000001</v>
      </c>
    </row>
    <row r="443" spans="68:68">
      <c r="BP443" s="111">
        <v>0</v>
      </c>
    </row>
    <row r="513" spans="68:77">
      <c r="BQ513" s="111">
        <v>40</v>
      </c>
      <c r="BY513" s="111">
        <v>30</v>
      </c>
    </row>
    <row r="514" spans="68:77">
      <c r="BP514" s="111">
        <f>0.9</f>
        <v>0.9</v>
      </c>
      <c r="BQ514" s="111">
        <v>1</v>
      </c>
      <c r="BT514" s="111">
        <f>+BR514</f>
        <v>0</v>
      </c>
    </row>
  </sheetData>
  <hyperlinks>
    <hyperlink ref="C22" r:id="rId1" xr:uid="{434498BF-7BB1-4D39-9168-D133D8335FE0}"/>
    <hyperlink ref="E22" r:id="rId2" xr:uid="{9124A177-2FA1-4D56-9182-D47777C48565}"/>
    <hyperlink ref="G22" r:id="rId3" xr:uid="{113AA8D9-6712-4CB4-BB25-D6333A462FE3}"/>
  </hyperlinks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P88"/>
  <sheetViews>
    <sheetView zoomScaleNormal="100" workbookViewId="0">
      <pane xSplit="1" ySplit="6" topLeftCell="U7" activePane="bottomRight" state="frozen"/>
      <selection pane="topRight" activeCell="B1" sqref="B1"/>
      <selection pane="bottomLeft" activeCell="A7" sqref="A7"/>
      <selection pane="bottomRight" activeCell="AT41" sqref="AT41"/>
    </sheetView>
  </sheetViews>
  <sheetFormatPr defaultColWidth="9.140625" defaultRowHeight="12.75" outlineLevelRow="1" outlineLevelCol="1"/>
  <cols>
    <col min="1" max="1" width="32.7109375" style="1" customWidth="1"/>
    <col min="2" max="5" width="8.28515625" style="1" hidden="1" customWidth="1" outlineLevel="1"/>
    <col min="6" max="6" width="8.42578125" style="1" customWidth="1" collapsed="1"/>
    <col min="7" max="7" width="8.28515625" style="1" hidden="1" customWidth="1" outlineLevel="1" collapsed="1"/>
    <col min="8" max="10" width="8.28515625" style="1" hidden="1" customWidth="1" outlineLevel="1"/>
    <col min="11" max="11" width="8.28515625" style="1" customWidth="1" collapsed="1"/>
    <col min="12" max="12" width="8.28515625" style="1" hidden="1" customWidth="1" outlineLevel="1" collapsed="1"/>
    <col min="13" max="15" width="8.28515625" style="1" hidden="1" customWidth="1" outlineLevel="1"/>
    <col min="16" max="16" width="8.28515625" style="1" customWidth="1" collapsed="1"/>
    <col min="17" max="20" width="8.28515625" style="1" hidden="1" customWidth="1" outlineLevel="1"/>
    <col min="21" max="21" width="8.28515625" style="1" customWidth="1" collapsed="1"/>
    <col min="22" max="22" width="8.28515625" style="1" hidden="1" customWidth="1" outlineLevel="1" collapsed="1"/>
    <col min="23" max="25" width="8.28515625" style="1" hidden="1" customWidth="1" outlineLevel="1"/>
    <col min="26" max="26" width="8.5703125" style="1" customWidth="1" collapsed="1"/>
    <col min="27" max="28" width="8.28515625" style="1" hidden="1" customWidth="1" outlineLevel="1"/>
    <col min="29" max="30" width="8.5703125" style="1" hidden="1" customWidth="1" outlineLevel="1"/>
    <col min="31" max="31" width="8.5703125" style="1" customWidth="1" collapsed="1"/>
    <col min="32" max="35" width="8.28515625" style="1" hidden="1" customWidth="1" outlineLevel="1"/>
    <col min="36" max="36" width="8.28515625" style="1" customWidth="1" collapsed="1"/>
    <col min="37" max="37" width="8.140625" style="1" hidden="1" customWidth="1" outlineLevel="1" collapsed="1"/>
    <col min="38" max="40" width="8.28515625" style="1" hidden="1" customWidth="1" outlineLevel="1"/>
    <col min="41" max="41" width="8.28515625" style="1" customWidth="1" collapsed="1"/>
    <col min="42" max="45" width="8.28515625" style="1" customWidth="1" outlineLevel="1"/>
    <col min="46" max="46" width="8.28515625" style="1" customWidth="1"/>
    <col min="47" max="50" width="8.28515625" style="1" customWidth="1" outlineLevel="1"/>
    <col min="51" max="51" width="8.28515625" style="1" customWidth="1"/>
    <col min="52" max="55" width="8.28515625" style="1" hidden="1" customWidth="1" outlineLevel="1"/>
    <col min="56" max="56" width="8.28515625" style="1" customWidth="1" collapsed="1"/>
    <col min="57" max="60" width="8.28515625" style="1" hidden="1" customWidth="1" outlineLevel="1"/>
    <col min="61" max="61" width="8.28515625" style="1" customWidth="1" collapsed="1"/>
    <col min="62" max="65" width="8.28515625" style="1" hidden="1" customWidth="1" outlineLevel="1"/>
    <col min="66" max="66" width="8.28515625" style="1" customWidth="1" collapsed="1"/>
    <col min="67" max="70" width="8.28515625" style="1" hidden="1" customWidth="1" outlineLevel="1"/>
    <col min="71" max="71" width="8.28515625" style="1" customWidth="1" collapsed="1"/>
    <col min="72" max="75" width="8.28515625" style="1" hidden="1" customWidth="1" outlineLevel="1"/>
    <col min="76" max="76" width="8.28515625" style="1" customWidth="1" collapsed="1"/>
    <col min="77" max="80" width="8.28515625" style="1" hidden="1" customWidth="1" outlineLevel="1"/>
    <col min="81" max="81" width="8.28515625" style="1" customWidth="1" collapsed="1"/>
    <col min="82" max="85" width="8.28515625" style="1" hidden="1" customWidth="1" outlineLevel="1"/>
    <col min="86" max="86" width="8.28515625" style="1" customWidth="1" collapsed="1"/>
    <col min="87" max="90" width="8.28515625" style="1" hidden="1" customWidth="1" outlineLevel="1"/>
    <col min="91" max="91" width="8.28515625" style="1" customWidth="1" collapsed="1"/>
    <col min="92" max="16384" width="9.140625" style="1"/>
  </cols>
  <sheetData>
    <row r="1" spans="1:94" ht="12.75" customHeight="1">
      <c r="A1" s="194" t="s">
        <v>391</v>
      </c>
      <c r="AT1" s="1">
        <v>1280</v>
      </c>
    </row>
    <row r="2" spans="1:94" ht="12.75" customHeight="1">
      <c r="A2" s="192" t="s">
        <v>389</v>
      </c>
      <c r="AT2" s="1">
        <f>+AT1/AT7-1</f>
        <v>0.30343444793950436</v>
      </c>
      <c r="AY2" s="1">
        <f>+AY7/AT7-1</f>
        <v>0.32372801724408284</v>
      </c>
    </row>
    <row r="3" spans="1:94" ht="12.75" customHeight="1">
      <c r="A3" s="192" t="s">
        <v>390</v>
      </c>
      <c r="AN3" s="59"/>
      <c r="AO3" s="9"/>
      <c r="AS3" s="191"/>
    </row>
    <row r="4" spans="1:94" ht="12.75" customHeight="1"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</row>
    <row r="5" spans="1:94" s="4" customFormat="1" ht="12.75" customHeight="1">
      <c r="B5" s="183" t="s">
        <v>367</v>
      </c>
      <c r="C5" s="183" t="s">
        <v>368</v>
      </c>
      <c r="D5" s="183" t="s">
        <v>369</v>
      </c>
      <c r="E5" s="183" t="s">
        <v>370</v>
      </c>
      <c r="F5" s="184">
        <v>43070</v>
      </c>
      <c r="G5" s="183" t="s">
        <v>367</v>
      </c>
      <c r="H5" s="183" t="s">
        <v>368</v>
      </c>
      <c r="I5" s="183" t="s">
        <v>369</v>
      </c>
      <c r="J5" s="183" t="s">
        <v>370</v>
      </c>
      <c r="K5" s="184">
        <f>+DATE(YEAR(F5)+1,MONTH(F5),DAY(F5))</f>
        <v>43435</v>
      </c>
      <c r="L5" s="183" t="s">
        <v>367</v>
      </c>
      <c r="M5" s="183" t="s">
        <v>368</v>
      </c>
      <c r="N5" s="183" t="s">
        <v>369</v>
      </c>
      <c r="O5" s="183" t="s">
        <v>370</v>
      </c>
      <c r="P5" s="184">
        <f>+DATE(YEAR(K5)+1,MONTH(K5),DAY(K5))</f>
        <v>43800</v>
      </c>
      <c r="Q5" s="183" t="s">
        <v>367</v>
      </c>
      <c r="R5" s="183" t="s">
        <v>368</v>
      </c>
      <c r="S5" s="183" t="s">
        <v>369</v>
      </c>
      <c r="T5" s="183" t="s">
        <v>370</v>
      </c>
      <c r="U5" s="184">
        <f>+DATE(YEAR(P5)+1,MONTH(P5),DAY(P5))</f>
        <v>44166</v>
      </c>
      <c r="V5" s="183" t="s">
        <v>367</v>
      </c>
      <c r="W5" s="183" t="s">
        <v>368</v>
      </c>
      <c r="X5" s="183" t="s">
        <v>369</v>
      </c>
      <c r="Y5" s="183" t="s">
        <v>370</v>
      </c>
      <c r="Z5" s="184">
        <f>+DATE(YEAR(U5)+1,MONTH(U5),DAY(U5))</f>
        <v>44531</v>
      </c>
      <c r="AA5" s="183" t="s">
        <v>367</v>
      </c>
      <c r="AB5" s="183" t="s">
        <v>368</v>
      </c>
      <c r="AC5" s="183" t="s">
        <v>369</v>
      </c>
      <c r="AD5" s="183" t="s">
        <v>370</v>
      </c>
      <c r="AE5" s="184">
        <f>+DATE(YEAR(Z5)+1,MONTH(Z5),DAY(Z5))</f>
        <v>44896</v>
      </c>
      <c r="AF5" s="183" t="s">
        <v>367</v>
      </c>
      <c r="AG5" s="183" t="s">
        <v>368</v>
      </c>
      <c r="AH5" s="183" t="s">
        <v>369</v>
      </c>
      <c r="AI5" s="183" t="s">
        <v>370</v>
      </c>
      <c r="AJ5" s="184">
        <f>+DATE(YEAR(AE5)+1,MONTH(AE5),DAY(AE5))</f>
        <v>45261</v>
      </c>
      <c r="AK5" s="183" t="s">
        <v>367</v>
      </c>
      <c r="AL5" s="183" t="s">
        <v>368</v>
      </c>
      <c r="AM5" s="183" t="s">
        <v>369</v>
      </c>
      <c r="AN5" s="183" t="s">
        <v>370</v>
      </c>
      <c r="AO5" s="184">
        <f>+DATE(YEAR(AJ5)+1,MONTH(AJ5),DAY(AJ5))</f>
        <v>45627</v>
      </c>
      <c r="AP5" s="183" t="s">
        <v>367</v>
      </c>
      <c r="AQ5" s="183" t="s">
        <v>368</v>
      </c>
      <c r="AR5" s="183" t="s">
        <v>369</v>
      </c>
      <c r="AS5" s="183" t="s">
        <v>370</v>
      </c>
      <c r="AT5" s="184">
        <f>+DATE(YEAR(AO5)+1,MONTH(AO5),DAY(AO5))</f>
        <v>45992</v>
      </c>
      <c r="AU5" s="183" t="s">
        <v>367</v>
      </c>
      <c r="AV5" s="183" t="s">
        <v>368</v>
      </c>
      <c r="AW5" s="183" t="s">
        <v>369</v>
      </c>
      <c r="AX5" s="183" t="s">
        <v>370</v>
      </c>
      <c r="AY5" s="184">
        <f>+DATE(YEAR(AT5)+1,MONTH(AT5),DAY(AT5))</f>
        <v>46357</v>
      </c>
      <c r="AZ5" s="183" t="s">
        <v>367</v>
      </c>
      <c r="BA5" s="183" t="s">
        <v>368</v>
      </c>
      <c r="BB5" s="183" t="s">
        <v>369</v>
      </c>
      <c r="BC5" s="183" t="s">
        <v>370</v>
      </c>
      <c r="BD5" s="184">
        <f>+DATE(YEAR(AY5)+1,MONTH(AY5),DAY(AY5))</f>
        <v>46722</v>
      </c>
      <c r="BE5" s="183" t="s">
        <v>367</v>
      </c>
      <c r="BF5" s="183" t="s">
        <v>368</v>
      </c>
      <c r="BG5" s="183" t="s">
        <v>369</v>
      </c>
      <c r="BH5" s="183" t="s">
        <v>370</v>
      </c>
      <c r="BI5" s="184">
        <f>+DATE(YEAR(BD5)+1,MONTH(BD5),DAY(BD5))</f>
        <v>47088</v>
      </c>
      <c r="BJ5" s="183" t="s">
        <v>367</v>
      </c>
      <c r="BK5" s="183" t="s">
        <v>368</v>
      </c>
      <c r="BL5" s="183" t="s">
        <v>369</v>
      </c>
      <c r="BM5" s="183" t="s">
        <v>370</v>
      </c>
      <c r="BN5" s="184">
        <f>+DATE(YEAR(BI5)+1,MONTH(BI5),DAY(BI5))</f>
        <v>47453</v>
      </c>
      <c r="BO5" s="183" t="s">
        <v>367</v>
      </c>
      <c r="BP5" s="183" t="s">
        <v>368</v>
      </c>
      <c r="BQ5" s="183" t="s">
        <v>369</v>
      </c>
      <c r="BR5" s="183" t="s">
        <v>370</v>
      </c>
      <c r="BS5" s="184">
        <f>+DATE(YEAR(BN5)+1,MONTH(BN5),DAY(BN5))</f>
        <v>47818</v>
      </c>
      <c r="BT5" s="183" t="s">
        <v>367</v>
      </c>
      <c r="BU5" s="183" t="s">
        <v>368</v>
      </c>
      <c r="BV5" s="183" t="s">
        <v>369</v>
      </c>
      <c r="BW5" s="183" t="s">
        <v>370</v>
      </c>
      <c r="BX5" s="184">
        <f>+DATE(YEAR(BS5)+1,MONTH(BS5),DAY(BS5))</f>
        <v>48183</v>
      </c>
      <c r="BY5" s="183" t="s">
        <v>367</v>
      </c>
      <c r="BZ5" s="183" t="s">
        <v>368</v>
      </c>
      <c r="CA5" s="183" t="s">
        <v>369</v>
      </c>
      <c r="CB5" s="183" t="s">
        <v>370</v>
      </c>
      <c r="CC5" s="184">
        <f>+DATE(YEAR(BX5)+1,MONTH(BX5),DAY(BX5))</f>
        <v>48549</v>
      </c>
      <c r="CD5" s="183" t="s">
        <v>367</v>
      </c>
      <c r="CE5" s="183" t="s">
        <v>368</v>
      </c>
      <c r="CF5" s="183" t="s">
        <v>369</v>
      </c>
      <c r="CG5" s="183" t="s">
        <v>370</v>
      </c>
      <c r="CH5" s="184">
        <f>+DATE(YEAR(CC5)+1,MONTH(CC5),DAY(CC5))</f>
        <v>48914</v>
      </c>
      <c r="CI5" s="183" t="s">
        <v>367</v>
      </c>
      <c r="CJ5" s="183" t="s">
        <v>368</v>
      </c>
      <c r="CK5" s="183" t="s">
        <v>369</v>
      </c>
      <c r="CL5" s="183" t="s">
        <v>370</v>
      </c>
      <c r="CM5" s="184">
        <f>+DATE(YEAR(CH5)+1,MONTH(CH5),DAY(CH5))</f>
        <v>49279</v>
      </c>
      <c r="CO5" s="347" t="s">
        <v>439</v>
      </c>
      <c r="CP5" s="347"/>
    </row>
    <row r="6" spans="1:94" s="6" customFormat="1" ht="12.75" customHeight="1">
      <c r="A6" s="193"/>
      <c r="B6" s="185" t="s">
        <v>303</v>
      </c>
      <c r="C6" s="185" t="s">
        <v>304</v>
      </c>
      <c r="D6" s="185" t="s">
        <v>305</v>
      </c>
      <c r="E6" s="185" t="s">
        <v>306</v>
      </c>
      <c r="F6" s="186" t="s">
        <v>371</v>
      </c>
      <c r="G6" s="185" t="s">
        <v>307</v>
      </c>
      <c r="H6" s="185" t="s">
        <v>308</v>
      </c>
      <c r="I6" s="185" t="s">
        <v>309</v>
      </c>
      <c r="J6" s="185" t="s">
        <v>310</v>
      </c>
      <c r="K6" s="186" t="s">
        <v>372</v>
      </c>
      <c r="L6" s="185" t="s">
        <v>311</v>
      </c>
      <c r="M6" s="185" t="s">
        <v>312</v>
      </c>
      <c r="N6" s="185" t="s">
        <v>313</v>
      </c>
      <c r="O6" s="185" t="s">
        <v>314</v>
      </c>
      <c r="P6" s="186" t="s">
        <v>373</v>
      </c>
      <c r="Q6" s="185" t="s">
        <v>315</v>
      </c>
      <c r="R6" s="185" t="s">
        <v>316</v>
      </c>
      <c r="S6" s="185" t="s">
        <v>317</v>
      </c>
      <c r="T6" s="185" t="s">
        <v>318</v>
      </c>
      <c r="U6" s="186" t="s">
        <v>374</v>
      </c>
      <c r="V6" s="185" t="s">
        <v>319</v>
      </c>
      <c r="W6" s="185" t="s">
        <v>320</v>
      </c>
      <c r="X6" s="185" t="s">
        <v>321</v>
      </c>
      <c r="Y6" s="185" t="s">
        <v>322</v>
      </c>
      <c r="Z6" s="186" t="s">
        <v>375</v>
      </c>
      <c r="AA6" s="185" t="s">
        <v>285</v>
      </c>
      <c r="AB6" s="185" t="s">
        <v>286</v>
      </c>
      <c r="AC6" s="185" t="s">
        <v>287</v>
      </c>
      <c r="AD6" s="185" t="s">
        <v>288</v>
      </c>
      <c r="AE6" s="186" t="s">
        <v>376</v>
      </c>
      <c r="AF6" s="185" t="s">
        <v>242</v>
      </c>
      <c r="AG6" s="185" t="s">
        <v>243</v>
      </c>
      <c r="AH6" s="185" t="s">
        <v>244</v>
      </c>
      <c r="AI6" s="185" t="s">
        <v>245</v>
      </c>
      <c r="AJ6" s="186" t="s">
        <v>377</v>
      </c>
      <c r="AK6" s="185" t="s">
        <v>246</v>
      </c>
      <c r="AL6" s="185" t="s">
        <v>247</v>
      </c>
      <c r="AM6" s="185" t="s">
        <v>248</v>
      </c>
      <c r="AN6" s="185" t="s">
        <v>290</v>
      </c>
      <c r="AO6" s="186" t="s">
        <v>378</v>
      </c>
      <c r="AP6" s="185" t="s">
        <v>365</v>
      </c>
      <c r="AQ6" s="185" t="s">
        <v>407</v>
      </c>
      <c r="AR6" s="185" t="s">
        <v>443</v>
      </c>
      <c r="AS6" s="185" t="s">
        <v>446</v>
      </c>
      <c r="AT6" s="186" t="s">
        <v>447</v>
      </c>
      <c r="AU6" s="185" t="s">
        <v>249</v>
      </c>
      <c r="AV6" s="185" t="s">
        <v>250</v>
      </c>
      <c r="AW6" s="185" t="s">
        <v>251</v>
      </c>
      <c r="AX6" s="185" t="s">
        <v>252</v>
      </c>
      <c r="AY6" s="186" t="s">
        <v>379</v>
      </c>
      <c r="AZ6" s="185" t="s">
        <v>253</v>
      </c>
      <c r="BA6" s="185" t="s">
        <v>254</v>
      </c>
      <c r="BB6" s="185" t="s">
        <v>255</v>
      </c>
      <c r="BC6" s="185" t="s">
        <v>256</v>
      </c>
      <c r="BD6" s="186" t="s">
        <v>380</v>
      </c>
      <c r="BE6" s="185" t="s">
        <v>257</v>
      </c>
      <c r="BF6" s="185" t="s">
        <v>258</v>
      </c>
      <c r="BG6" s="185" t="s">
        <v>259</v>
      </c>
      <c r="BH6" s="185" t="s">
        <v>260</v>
      </c>
      <c r="BI6" s="186" t="s">
        <v>381</v>
      </c>
      <c r="BJ6" s="185" t="s">
        <v>261</v>
      </c>
      <c r="BK6" s="185" t="s">
        <v>262</v>
      </c>
      <c r="BL6" s="185" t="s">
        <v>263</v>
      </c>
      <c r="BM6" s="185" t="s">
        <v>264</v>
      </c>
      <c r="BN6" s="186" t="s">
        <v>382</v>
      </c>
      <c r="BO6" s="185" t="s">
        <v>265</v>
      </c>
      <c r="BP6" s="185" t="s">
        <v>266</v>
      </c>
      <c r="BQ6" s="185" t="s">
        <v>267</v>
      </c>
      <c r="BR6" s="185" t="s">
        <v>268</v>
      </c>
      <c r="BS6" s="186" t="s">
        <v>383</v>
      </c>
      <c r="BT6" s="185" t="s">
        <v>269</v>
      </c>
      <c r="BU6" s="185" t="s">
        <v>270</v>
      </c>
      <c r="BV6" s="185" t="s">
        <v>271</v>
      </c>
      <c r="BW6" s="185" t="s">
        <v>272</v>
      </c>
      <c r="BX6" s="186" t="s">
        <v>384</v>
      </c>
      <c r="BY6" s="185" t="s">
        <v>273</v>
      </c>
      <c r="BZ6" s="185" t="s">
        <v>274</v>
      </c>
      <c r="CA6" s="185" t="s">
        <v>275</v>
      </c>
      <c r="CB6" s="185" t="s">
        <v>276</v>
      </c>
      <c r="CC6" s="186" t="s">
        <v>385</v>
      </c>
      <c r="CD6" s="185" t="s">
        <v>277</v>
      </c>
      <c r="CE6" s="185" t="s">
        <v>278</v>
      </c>
      <c r="CF6" s="185" t="s">
        <v>279</v>
      </c>
      <c r="CG6" s="185" t="s">
        <v>280</v>
      </c>
      <c r="CH6" s="186" t="s">
        <v>386</v>
      </c>
      <c r="CI6" s="185" t="s">
        <v>281</v>
      </c>
      <c r="CJ6" s="185" t="s">
        <v>282</v>
      </c>
      <c r="CK6" s="185" t="s">
        <v>283</v>
      </c>
      <c r="CL6" s="185" t="s">
        <v>284</v>
      </c>
      <c r="CM6" s="186" t="s">
        <v>387</v>
      </c>
      <c r="CO6" s="346" t="s">
        <v>440</v>
      </c>
      <c r="CP6" s="346" t="s">
        <v>441</v>
      </c>
    </row>
    <row r="7" spans="1:94" s="12" customFormat="1" ht="12.75" customHeight="1">
      <c r="A7" s="12" t="s">
        <v>4</v>
      </c>
      <c r="B7" s="187">
        <v>8.5120000000000005</v>
      </c>
      <c r="C7" s="187">
        <v>10.196</v>
      </c>
      <c r="D7" s="187">
        <v>11.132</v>
      </c>
      <c r="E7" s="187">
        <v>20.001999999999999</v>
      </c>
      <c r="F7" s="212">
        <f>+B7+C7+D7+E7</f>
        <v>49.841999999999999</v>
      </c>
      <c r="G7" s="187">
        <v>16.692</v>
      </c>
      <c r="H7" s="187">
        <v>19.382000000000001</v>
      </c>
      <c r="I7" s="187">
        <v>21.692</v>
      </c>
      <c r="J7" s="187">
        <v>32.872999999999998</v>
      </c>
      <c r="K7" s="212">
        <f>+G7+H7+I7+J7</f>
        <v>90.638999999999996</v>
      </c>
      <c r="L7" s="187">
        <v>36.655000000000001</v>
      </c>
      <c r="M7" s="187">
        <v>53.975000000000001</v>
      </c>
      <c r="N7" s="187">
        <v>60.847999999999999</v>
      </c>
      <c r="O7" s="187">
        <v>62.896999999999998</v>
      </c>
      <c r="P7" s="212">
        <f>+L7+M7+N7+O7</f>
        <v>214.375</v>
      </c>
      <c r="Q7" s="187">
        <v>67.510000000000005</v>
      </c>
      <c r="R7" s="187">
        <v>66.334999999999994</v>
      </c>
      <c r="S7" s="187">
        <v>74.569000000000003</v>
      </c>
      <c r="T7" s="187">
        <v>78.316000000000003</v>
      </c>
      <c r="U7" s="212">
        <f>+Q7+R7+S7+T7</f>
        <v>286.73</v>
      </c>
      <c r="V7" s="187">
        <v>78.665000000000006</v>
      </c>
      <c r="W7" s="187">
        <v>92.100999999999999</v>
      </c>
      <c r="X7" s="187">
        <v>94.778999999999996</v>
      </c>
      <c r="Y7" s="187">
        <v>108.108</v>
      </c>
      <c r="Z7" s="212">
        <f>+V7+W7+X7+Y7</f>
        <v>373.65300000000002</v>
      </c>
      <c r="AA7" s="187">
        <v>96.099000000000004</v>
      </c>
      <c r="AB7" s="187">
        <v>109.14400000000001</v>
      </c>
      <c r="AC7" s="187">
        <v>117.404</v>
      </c>
      <c r="AD7" s="187">
        <v>126.89100000000001</v>
      </c>
      <c r="AE7" s="212">
        <f>SUM(AA7:AD7)</f>
        <v>449.53800000000001</v>
      </c>
      <c r="AF7" s="187">
        <v>128.714</v>
      </c>
      <c r="AG7" s="187">
        <v>137.15</v>
      </c>
      <c r="AH7" s="187">
        <v>143.03</v>
      </c>
      <c r="AI7" s="187">
        <v>155.054</v>
      </c>
      <c r="AJ7" s="212">
        <f>SUM(AF7:AI7)</f>
        <v>563.94799999999998</v>
      </c>
      <c r="AK7" s="187">
        <f>168.491</f>
        <v>168.49100000000001</v>
      </c>
      <c r="AL7" s="187">
        <v>177.23500000000001</v>
      </c>
      <c r="AM7" s="187">
        <v>191.476</v>
      </c>
      <c r="AN7" s="187">
        <v>201.81399999999999</v>
      </c>
      <c r="AO7" s="212">
        <f>+AK7+AL7+AM7+AN7</f>
        <v>739.01599999999996</v>
      </c>
      <c r="AP7" s="187">
        <v>203.471</v>
      </c>
      <c r="AQ7" s="187">
        <v>232.08799999999999</v>
      </c>
      <c r="AR7" s="187">
        <v>265.19600000000003</v>
      </c>
      <c r="AS7" s="187">
        <v>281.26600000000002</v>
      </c>
      <c r="AT7" s="212">
        <f>SUM(AP7:AS7)</f>
        <v>982.02099999999996</v>
      </c>
      <c r="AU7" s="357">
        <f>+Rev!AU36</f>
        <v>281.60531603738082</v>
      </c>
      <c r="AV7" s="187">
        <f>+Rev!AV36</f>
        <v>311.50645540484032</v>
      </c>
      <c r="AW7" s="187">
        <f>+Rev!AW36</f>
        <v>342.59685813774121</v>
      </c>
      <c r="AX7" s="187">
        <f>+Rev!AX36</f>
        <v>364.22008164208887</v>
      </c>
      <c r="AY7" s="212">
        <f>SUM(AU7:AX7)</f>
        <v>1299.9287112220513</v>
      </c>
      <c r="AZ7" s="187">
        <f>+Rev!AZ36</f>
        <v>413.59501413083899</v>
      </c>
      <c r="BA7" s="187">
        <f>+Rev!BA36</f>
        <v>448.77172478376991</v>
      </c>
      <c r="BB7" s="187">
        <f>+Rev!BB36</f>
        <v>470.63163913458027</v>
      </c>
      <c r="BC7" s="187">
        <f>+Rev!BC36</f>
        <v>499.07065263627362</v>
      </c>
      <c r="BD7" s="212">
        <f>SUM(AZ7:BC7)</f>
        <v>1832.0690306854631</v>
      </c>
      <c r="BE7" s="187">
        <f>+Rev!BE36</f>
        <v>553.1683381292205</v>
      </c>
      <c r="BF7" s="187">
        <f>+Rev!BF36</f>
        <v>592.87405810199141</v>
      </c>
      <c r="BG7" s="187">
        <f>+Rev!BG36</f>
        <v>621.18652486450094</v>
      </c>
      <c r="BH7" s="187">
        <f>+Rev!BH36</f>
        <v>651.68818738278628</v>
      </c>
      <c r="BI7" s="212">
        <f>SUM(BE7:BH7)</f>
        <v>2418.9171084784994</v>
      </c>
      <c r="BJ7" s="187">
        <f>+Rev!BJ36</f>
        <v>688.03920325588376</v>
      </c>
      <c r="BK7" s="187">
        <f>+Rev!BK36</f>
        <v>719.85629538814442</v>
      </c>
      <c r="BL7" s="187">
        <f>+Rev!BL36</f>
        <v>752.57811962490302</v>
      </c>
      <c r="BM7" s="187">
        <f>+Rev!BM36</f>
        <v>777.10022915671175</v>
      </c>
      <c r="BN7" s="212">
        <f>SUM(BJ7:BM7)</f>
        <v>2937.5738474256432</v>
      </c>
      <c r="BO7" s="187">
        <f>+Rev!BO36</f>
        <v>818.64398982162049</v>
      </c>
      <c r="BP7" s="187">
        <f>+Rev!BP36</f>
        <v>861.85047842993583</v>
      </c>
      <c r="BQ7" s="187">
        <f>+Rev!BQ36</f>
        <v>888.40657399175768</v>
      </c>
      <c r="BR7" s="187">
        <f>+Rev!BR36</f>
        <v>913.78388566314004</v>
      </c>
      <c r="BS7" s="212">
        <f>SUM(BO7:BR7)</f>
        <v>3482.684927906454</v>
      </c>
      <c r="BT7" s="187">
        <f>+Rev!BT36</f>
        <v>941.23610776873761</v>
      </c>
      <c r="BU7" s="187">
        <f>+Rev!BU36</f>
        <v>978.11363064537602</v>
      </c>
      <c r="BV7" s="187">
        <f>+Rev!BV36</f>
        <v>1001.4567288523792</v>
      </c>
      <c r="BW7" s="187">
        <f>+Rev!BW36</f>
        <v>1023.3963433330717</v>
      </c>
      <c r="BX7" s="212">
        <f>SUM(BT7:BW7)</f>
        <v>3944.2028105995651</v>
      </c>
      <c r="BY7" s="187">
        <f>+Rev!BY36</f>
        <v>1038.2502540320402</v>
      </c>
      <c r="BZ7" s="187">
        <f>+Rev!BZ36</f>
        <v>1070.7141308656687</v>
      </c>
      <c r="CA7" s="187">
        <f>+Rev!CA36</f>
        <v>1097.9243661871585</v>
      </c>
      <c r="CB7" s="187">
        <f>+Rev!CB36</f>
        <v>1117.9568479020309</v>
      </c>
      <c r="CC7" s="212">
        <f>SUM(BY7:CB7)</f>
        <v>4324.845598986898</v>
      </c>
      <c r="CD7" s="187">
        <f>+Rev!CD36</f>
        <v>1134.0506213932824</v>
      </c>
      <c r="CE7" s="187">
        <f>+Rev!CE36</f>
        <v>1172.242442504318</v>
      </c>
      <c r="CF7" s="187">
        <f>+Rev!CF36</f>
        <v>1190.4938941893213</v>
      </c>
      <c r="CG7" s="187">
        <f>+Rev!CG36</f>
        <v>1207.836555397404</v>
      </c>
      <c r="CH7" s="212">
        <f>SUM(CD7:CG7)</f>
        <v>4704.6235134843264</v>
      </c>
      <c r="CI7" s="187">
        <f>+Rev!CI36</f>
        <v>1215.2077554842629</v>
      </c>
      <c r="CJ7" s="187">
        <f>+Rev!CJ36</f>
        <v>1247.7236575415586</v>
      </c>
      <c r="CK7" s="187">
        <f>+Rev!CK36</f>
        <v>1262.1705952120851</v>
      </c>
      <c r="CL7" s="187">
        <f>+Rev!CL36</f>
        <v>1276.2323882023065</v>
      </c>
      <c r="CM7" s="212">
        <f>SUM(CI7:CL7)</f>
        <v>5001.3343964402138</v>
      </c>
      <c r="CO7" s="348">
        <f>(BI7/AT7)^(1/3)-1</f>
        <v>0.35051704673175066</v>
      </c>
      <c r="CP7" s="348">
        <f>(BS7/AT7)^(1/5)-1</f>
        <v>0.28812699657767893</v>
      </c>
    </row>
    <row r="8" spans="1:94" s="8" customFormat="1" ht="12.75" hidden="1" customHeight="1" outlineLevel="1">
      <c r="A8" s="64" t="s">
        <v>214</v>
      </c>
      <c r="B8" s="10">
        <f>6.371-0.129/2</f>
        <v>6.3065000000000007</v>
      </c>
      <c r="C8" s="10">
        <f>6.954-0.129/2</f>
        <v>6.8895</v>
      </c>
      <c r="D8" s="10">
        <f>7.603-0.112</f>
        <v>7.4909999999999997</v>
      </c>
      <c r="E8" s="10">
        <f>7.955-0.058</f>
        <v>7.8970000000000002</v>
      </c>
      <c r="F8" s="213">
        <f t="shared" ref="F8:F9" si="0">+B8+C8+D8+E8</f>
        <v>28.584000000000003</v>
      </c>
      <c r="G8" s="10">
        <f>8.045-0.063</f>
        <v>7.9820000000000002</v>
      </c>
      <c r="H8" s="10">
        <f>9.506-0.079</f>
        <v>9.4269999999999996</v>
      </c>
      <c r="I8" s="10">
        <f>9.671-0.112</f>
        <v>9.5589999999999993</v>
      </c>
      <c r="J8" s="10">
        <f>12.624-0.258</f>
        <v>12.366</v>
      </c>
      <c r="K8" s="213">
        <f t="shared" ref="K8:K9" si="1">+G8+H8+I8+J8</f>
        <v>39.333999999999996</v>
      </c>
      <c r="L8" s="10">
        <f>11.023-0.17</f>
        <v>10.853</v>
      </c>
      <c r="M8" s="10">
        <f>14.65-0.126</f>
        <v>14.524000000000001</v>
      </c>
      <c r="N8" s="10">
        <f>16.578-0.266</f>
        <v>16.311999999999998</v>
      </c>
      <c r="O8" s="10">
        <f>20.004-0.301</f>
        <v>19.703000000000003</v>
      </c>
      <c r="P8" s="213">
        <f t="shared" ref="P8:P9" si="2">+L8+M8+N8+O8</f>
        <v>61.392000000000003</v>
      </c>
      <c r="Q8" s="10">
        <f>18.191-0.322</f>
        <v>17.869</v>
      </c>
      <c r="R8" s="10">
        <f>17.809-0.141-0.394</f>
        <v>17.274000000000004</v>
      </c>
      <c r="S8" s="10">
        <f>16.699-0.45</f>
        <v>16.249000000000002</v>
      </c>
      <c r="T8" s="10">
        <f>22.07-0.301-0.727</f>
        <v>21.042000000000002</v>
      </c>
      <c r="U8" s="213">
        <f t="shared" ref="U8:U9" si="3">+Q8+R8+S8+T8</f>
        <v>72.433999999999997</v>
      </c>
      <c r="V8" s="10">
        <f>23.59-0.148-0.799</f>
        <v>22.643000000000001</v>
      </c>
      <c r="W8" s="10">
        <f>24.887-0.149-0.888</f>
        <v>23.849999999999998</v>
      </c>
      <c r="X8" s="10">
        <f>29.665-0.152-0.762</f>
        <v>28.750999999999998</v>
      </c>
      <c r="Y8" s="10">
        <f>32.254-0.152-1.174</f>
        <v>30.927999999999997</v>
      </c>
      <c r="Z8" s="213">
        <f t="shared" ref="Z8:Z9" si="4">+V8+W8+X8+Y8</f>
        <v>106.172</v>
      </c>
      <c r="AA8" s="10">
        <f>30.684-0.148-1.176</f>
        <v>29.360000000000003</v>
      </c>
      <c r="AB8" s="10">
        <f>34.375-0.149-1.229</f>
        <v>32.997</v>
      </c>
      <c r="AC8" s="10">
        <f>39.434-0.285-1.377</f>
        <v>37.771999999999998</v>
      </c>
      <c r="AD8" s="10">
        <f>43.706-0.351-1.793</f>
        <v>41.562000000000005</v>
      </c>
      <c r="AE8" s="213">
        <f>SUM(AA8:AD8)</f>
        <v>141.691</v>
      </c>
      <c r="AF8" s="10">
        <f>45.106-0.148-1.218</f>
        <v>43.739999999999995</v>
      </c>
      <c r="AG8" s="10">
        <f>49.357-0.149-1.225</f>
        <v>47.982999999999997</v>
      </c>
      <c r="AH8" s="10">
        <f>53.648-0.151-1.12</f>
        <v>52.377000000000002</v>
      </c>
      <c r="AI8" s="10">
        <f>57.417-0.151-1.164</f>
        <v>56.101999999999997</v>
      </c>
      <c r="AJ8" s="213">
        <f>SUM(AF8:AI8)</f>
        <v>200.202</v>
      </c>
      <c r="AK8" s="10">
        <f>59.306-0.149-1.278</f>
        <v>57.878999999999998</v>
      </c>
      <c r="AL8" s="10">
        <f>65.715-0.15-1.309</f>
        <v>64.256</v>
      </c>
      <c r="AM8" s="10">
        <f>66.095-0.151-1.505</f>
        <v>64.439000000000007</v>
      </c>
      <c r="AN8" s="10">
        <f>69.465-0.151-1.337</f>
        <v>67.977000000000004</v>
      </c>
      <c r="AO8" s="213">
        <f t="shared" ref="AO8:AO9" si="5">+AK8+AL8+AM8+AN8</f>
        <v>254.55100000000002</v>
      </c>
      <c r="AP8" s="10"/>
      <c r="AQ8" s="10"/>
      <c r="AR8" s="10"/>
      <c r="AS8" s="10"/>
      <c r="AT8" s="213"/>
      <c r="AU8" s="358"/>
      <c r="AV8" s="10"/>
      <c r="AW8" s="10"/>
      <c r="AX8" s="10"/>
      <c r="AY8" s="213"/>
      <c r="AZ8" s="10"/>
      <c r="BA8" s="10"/>
      <c r="BB8" s="10"/>
      <c r="BC8" s="10"/>
      <c r="BD8" s="213"/>
      <c r="BE8" s="10"/>
      <c r="BF8" s="10"/>
      <c r="BG8" s="10"/>
      <c r="BH8" s="10"/>
      <c r="BI8" s="213"/>
      <c r="BJ8" s="10"/>
      <c r="BK8" s="10"/>
      <c r="BL8" s="10"/>
      <c r="BM8" s="10"/>
      <c r="BN8" s="213"/>
      <c r="BO8" s="10"/>
      <c r="BP8" s="10"/>
      <c r="BQ8" s="10"/>
      <c r="BR8" s="10"/>
      <c r="BS8" s="213"/>
      <c r="BT8" s="10"/>
      <c r="BU8" s="10"/>
      <c r="BV8" s="10"/>
      <c r="BW8" s="10"/>
      <c r="BX8" s="213"/>
      <c r="BY8" s="10"/>
      <c r="BZ8" s="10"/>
      <c r="CA8" s="10"/>
      <c r="CB8" s="10"/>
      <c r="CC8" s="213"/>
      <c r="CD8" s="10"/>
      <c r="CE8" s="10"/>
      <c r="CF8" s="10"/>
      <c r="CG8" s="10"/>
      <c r="CH8" s="213"/>
      <c r="CI8" s="10"/>
      <c r="CJ8" s="10"/>
      <c r="CK8" s="10"/>
      <c r="CL8" s="10"/>
      <c r="CM8" s="213"/>
    </row>
    <row r="9" spans="1:94" s="8" customFormat="1" ht="12.75" hidden="1" customHeight="1" outlineLevel="1">
      <c r="A9" s="64" t="s">
        <v>213</v>
      </c>
      <c r="B9" s="10">
        <v>3.0000000000000001E-3</v>
      </c>
      <c r="C9" s="10">
        <v>0.48099999999999998</v>
      </c>
      <c r="D9" s="10">
        <v>1.0580000000000001</v>
      </c>
      <c r="E9" s="10">
        <v>1.1930000000000001</v>
      </c>
      <c r="F9" s="213">
        <f t="shared" si="0"/>
        <v>2.7350000000000003</v>
      </c>
      <c r="G9" s="10">
        <v>1.208</v>
      </c>
      <c r="H9" s="10">
        <v>0.45300000000000001</v>
      </c>
      <c r="I9" s="10">
        <v>0.38</v>
      </c>
      <c r="J9" s="10">
        <v>1.323</v>
      </c>
      <c r="K9" s="213">
        <f t="shared" si="1"/>
        <v>3.3639999999999999</v>
      </c>
      <c r="L9" s="10">
        <v>2.512</v>
      </c>
      <c r="M9" s="10">
        <v>2.1829999999999998</v>
      </c>
      <c r="N9" s="10">
        <v>1.9359999999999999</v>
      </c>
      <c r="O9" s="10">
        <v>1.8340000000000001</v>
      </c>
      <c r="P9" s="213">
        <f t="shared" si="2"/>
        <v>8.4649999999999999</v>
      </c>
      <c r="Q9" s="10">
        <v>2.3149999999999999</v>
      </c>
      <c r="R9" s="10">
        <v>4.6260000000000003</v>
      </c>
      <c r="S9" s="10">
        <v>4.4880000000000004</v>
      </c>
      <c r="T9" s="10">
        <v>6.3369999999999997</v>
      </c>
      <c r="U9" s="213">
        <f t="shared" si="3"/>
        <v>17.766000000000002</v>
      </c>
      <c r="V9" s="10">
        <v>5.157</v>
      </c>
      <c r="W9" s="10">
        <f>5.04</f>
        <v>5.04</v>
      </c>
      <c r="X9" s="10">
        <v>1.151</v>
      </c>
      <c r="Y9" s="10">
        <v>1.1679999999999999</v>
      </c>
      <c r="Z9" s="213">
        <f t="shared" si="4"/>
        <v>12.515999999999998</v>
      </c>
      <c r="AA9" s="10">
        <v>1.2969999999999999</v>
      </c>
      <c r="AB9" s="10">
        <v>2.3519999999999999</v>
      </c>
      <c r="AC9" s="10">
        <v>1.0620000000000001</v>
      </c>
      <c r="AD9" s="10">
        <v>3.415</v>
      </c>
      <c r="AE9" s="213">
        <f>SUM(AA9:AD9)</f>
        <v>8.1260000000000012</v>
      </c>
      <c r="AF9" s="10">
        <f>7.967-0.201-0.476</f>
        <v>7.29</v>
      </c>
      <c r="AG9" s="10">
        <f>4.491-0.201-0.478</f>
        <v>3.8120000000000003</v>
      </c>
      <c r="AH9" s="10">
        <f>3.966-0.201-0.437</f>
        <v>3.3280000000000003</v>
      </c>
      <c r="AI9" s="10">
        <f>5.1-0.201-0.466</f>
        <v>4.4329999999999998</v>
      </c>
      <c r="AJ9" s="213">
        <f>SUM(AF9:AI9)</f>
        <v>18.863</v>
      </c>
      <c r="AK9" s="10">
        <f>5.99-0.2-0.499</f>
        <v>5.2910000000000004</v>
      </c>
      <c r="AL9" s="10">
        <f>6.706-0.067-0.498</f>
        <v>6.141</v>
      </c>
      <c r="AM9" s="10">
        <f>8.394-2.412</f>
        <v>5.9820000000000002</v>
      </c>
      <c r="AN9" s="10">
        <f>8.128-0.656</f>
        <v>7.4720000000000004</v>
      </c>
      <c r="AO9" s="213">
        <f t="shared" si="5"/>
        <v>24.886000000000003</v>
      </c>
      <c r="AP9" s="10"/>
      <c r="AQ9" s="10"/>
      <c r="AR9" s="10"/>
      <c r="AS9" s="10"/>
      <c r="AT9" s="213"/>
      <c r="AU9" s="358"/>
      <c r="AV9" s="10"/>
      <c r="AW9" s="10"/>
      <c r="AX9" s="10"/>
      <c r="AY9" s="213"/>
      <c r="AZ9" s="10"/>
      <c r="BA9" s="10"/>
      <c r="BB9" s="10"/>
      <c r="BC9" s="10"/>
      <c r="BD9" s="213"/>
      <c r="BE9" s="10"/>
      <c r="BF9" s="10"/>
      <c r="BG9" s="10"/>
      <c r="BH9" s="10"/>
      <c r="BI9" s="213"/>
      <c r="BJ9" s="10"/>
      <c r="BK9" s="10"/>
      <c r="BL9" s="10"/>
      <c r="BM9" s="10"/>
      <c r="BN9" s="213"/>
      <c r="BO9" s="10"/>
      <c r="BP9" s="10"/>
      <c r="BQ9" s="10"/>
      <c r="BR9" s="10"/>
      <c r="BS9" s="213"/>
      <c r="BT9" s="10"/>
      <c r="BU9" s="10"/>
      <c r="BV9" s="10"/>
      <c r="BW9" s="10"/>
      <c r="BX9" s="213"/>
      <c r="BY9" s="10"/>
      <c r="BZ9" s="10"/>
      <c r="CA9" s="10"/>
      <c r="CB9" s="10"/>
      <c r="CC9" s="213"/>
      <c r="CD9" s="10"/>
      <c r="CE9" s="10"/>
      <c r="CF9" s="10"/>
      <c r="CG9" s="10"/>
      <c r="CH9" s="213"/>
      <c r="CI9" s="10"/>
      <c r="CJ9" s="10"/>
      <c r="CK9" s="10"/>
      <c r="CL9" s="10"/>
      <c r="CM9" s="213"/>
    </row>
    <row r="10" spans="1:94" ht="12.75" customHeight="1" collapsed="1">
      <c r="A10" s="64" t="s">
        <v>404</v>
      </c>
      <c r="B10" s="10">
        <f t="shared" ref="B10:AO10" si="6">+B8+B9</f>
        <v>6.3095000000000008</v>
      </c>
      <c r="C10" s="10">
        <f t="shared" si="6"/>
        <v>7.3704999999999998</v>
      </c>
      <c r="D10" s="10">
        <f t="shared" si="6"/>
        <v>8.5489999999999995</v>
      </c>
      <c r="E10" s="10">
        <f t="shared" si="6"/>
        <v>9.09</v>
      </c>
      <c r="F10" s="213">
        <f t="shared" si="6"/>
        <v>31.319000000000003</v>
      </c>
      <c r="G10" s="10">
        <f t="shared" si="6"/>
        <v>9.19</v>
      </c>
      <c r="H10" s="10">
        <f t="shared" si="6"/>
        <v>9.879999999999999</v>
      </c>
      <c r="I10" s="10">
        <f t="shared" si="6"/>
        <v>9.9390000000000001</v>
      </c>
      <c r="J10" s="10">
        <f t="shared" si="6"/>
        <v>13.689</v>
      </c>
      <c r="K10" s="213">
        <f t="shared" si="6"/>
        <v>42.697999999999993</v>
      </c>
      <c r="L10" s="10">
        <f t="shared" si="6"/>
        <v>13.365</v>
      </c>
      <c r="M10" s="10">
        <f t="shared" si="6"/>
        <v>16.707000000000001</v>
      </c>
      <c r="N10" s="10">
        <f t="shared" si="6"/>
        <v>18.247999999999998</v>
      </c>
      <c r="O10" s="10">
        <f t="shared" si="6"/>
        <v>21.537000000000003</v>
      </c>
      <c r="P10" s="213">
        <f t="shared" si="6"/>
        <v>69.856999999999999</v>
      </c>
      <c r="Q10" s="10">
        <f t="shared" si="6"/>
        <v>20.184000000000001</v>
      </c>
      <c r="R10" s="10">
        <f t="shared" si="6"/>
        <v>21.900000000000006</v>
      </c>
      <c r="S10" s="10">
        <f t="shared" si="6"/>
        <v>20.737000000000002</v>
      </c>
      <c r="T10" s="10">
        <f t="shared" si="6"/>
        <v>27.379000000000001</v>
      </c>
      <c r="U10" s="213">
        <f t="shared" si="6"/>
        <v>90.2</v>
      </c>
      <c r="V10" s="10">
        <f t="shared" si="6"/>
        <v>27.8</v>
      </c>
      <c r="W10" s="10">
        <f t="shared" si="6"/>
        <v>28.889999999999997</v>
      </c>
      <c r="X10" s="10">
        <f t="shared" si="6"/>
        <v>29.901999999999997</v>
      </c>
      <c r="Y10" s="10">
        <f t="shared" si="6"/>
        <v>32.095999999999997</v>
      </c>
      <c r="Z10" s="213">
        <f t="shared" si="6"/>
        <v>118.68799999999999</v>
      </c>
      <c r="AA10" s="10">
        <f t="shared" si="6"/>
        <v>30.657000000000004</v>
      </c>
      <c r="AB10" s="10">
        <f t="shared" si="6"/>
        <v>35.348999999999997</v>
      </c>
      <c r="AC10" s="10">
        <f t="shared" si="6"/>
        <v>38.833999999999996</v>
      </c>
      <c r="AD10" s="10">
        <f t="shared" si="6"/>
        <v>44.977000000000004</v>
      </c>
      <c r="AE10" s="213">
        <f t="shared" si="6"/>
        <v>149.81700000000001</v>
      </c>
      <c r="AF10" s="10">
        <f t="shared" si="6"/>
        <v>51.029999999999994</v>
      </c>
      <c r="AG10" s="10">
        <f t="shared" si="6"/>
        <v>51.794999999999995</v>
      </c>
      <c r="AH10" s="10">
        <f t="shared" si="6"/>
        <v>55.705000000000005</v>
      </c>
      <c r="AI10" s="10">
        <f t="shared" si="6"/>
        <v>60.534999999999997</v>
      </c>
      <c r="AJ10" s="213">
        <f t="shared" si="6"/>
        <v>219.065</v>
      </c>
      <c r="AK10" s="10">
        <f t="shared" si="6"/>
        <v>63.17</v>
      </c>
      <c r="AL10" s="10">
        <f t="shared" si="6"/>
        <v>70.397000000000006</v>
      </c>
      <c r="AM10" s="10">
        <f t="shared" si="6"/>
        <v>70.421000000000006</v>
      </c>
      <c r="AN10" s="10">
        <f t="shared" si="6"/>
        <v>75.448999999999998</v>
      </c>
      <c r="AO10" s="213">
        <f t="shared" si="6"/>
        <v>279.43700000000001</v>
      </c>
      <c r="AP10" s="10">
        <f>74.723-0.148-2.39</f>
        <v>72.185000000000002</v>
      </c>
      <c r="AQ10" s="10">
        <f>81.205-0.15-2.759</f>
        <v>78.295999999999992</v>
      </c>
      <c r="AR10" s="10">
        <v>90.872</v>
      </c>
      <c r="AS10" s="10">
        <v>95.841999999999999</v>
      </c>
      <c r="AT10" s="213">
        <f>+AP10+AQ10+AR10+AS10</f>
        <v>337.19499999999999</v>
      </c>
      <c r="AU10" s="358">
        <f>+AU7-AU11</f>
        <v>102.15739766469852</v>
      </c>
      <c r="AV10" s="10">
        <f>+AV7-AV11</f>
        <v>109.76079368906343</v>
      </c>
      <c r="AW10" s="10">
        <f>+AW7-AW11</f>
        <v>120.1349350058764</v>
      </c>
      <c r="AX10" s="10">
        <f>+AX7-AX11</f>
        <v>127.02254402809521</v>
      </c>
      <c r="AY10" s="213">
        <f>+AU10+AV10+AW10+AX10</f>
        <v>459.07567038773357</v>
      </c>
      <c r="AZ10" s="10">
        <f>+AZ7-AZ11</f>
        <v>147.97106156845575</v>
      </c>
      <c r="BA10" s="10">
        <f>+BA7-BA11</f>
        <v>155.88301111770625</v>
      </c>
      <c r="BB10" s="10">
        <f>+BB7-BB11</f>
        <v>162.6784234903746</v>
      </c>
      <c r="BC10" s="10">
        <f>+BC7-BC11</f>
        <v>171.55662009812391</v>
      </c>
      <c r="BD10" s="213">
        <f>+AZ10+BA10+BB10+BC10</f>
        <v>638.08911627466046</v>
      </c>
      <c r="BE10" s="10">
        <f>+BE7-BE11</f>
        <v>195.14008904464424</v>
      </c>
      <c r="BF10" s="10">
        <f>+BF7-BF11</f>
        <v>202.97327748585616</v>
      </c>
      <c r="BG10" s="10">
        <f>+BG7-BG11</f>
        <v>211.61325783266341</v>
      </c>
      <c r="BH10" s="10">
        <f>+BH7-BH11</f>
        <v>220.76078799327394</v>
      </c>
      <c r="BI10" s="213">
        <f>+BE10+BF10+BG10+BH10</f>
        <v>830.48741235643774</v>
      </c>
      <c r="BJ10" s="10">
        <f>+BJ7-BJ11</f>
        <v>239.2780185576629</v>
      </c>
      <c r="BK10" s="10">
        <f>+BK7-BK11</f>
        <v>242.84697400860944</v>
      </c>
      <c r="BL10" s="10">
        <f>+BL7-BL11</f>
        <v>252.61019750475072</v>
      </c>
      <c r="BM10" s="10">
        <f>+BM7-BM11</f>
        <v>259.35888821066044</v>
      </c>
      <c r="BN10" s="213">
        <f>+BJ10+BK10+BL10+BM10</f>
        <v>994.09407828168344</v>
      </c>
      <c r="BO10" s="10">
        <f>+BO7-BO11</f>
        <v>280.60496419754043</v>
      </c>
      <c r="BP10" s="10">
        <f>+BP7-BP11</f>
        <v>286.44014033453266</v>
      </c>
      <c r="BQ10" s="10">
        <f>+BQ7-BQ11</f>
        <v>293.76031220012067</v>
      </c>
      <c r="BR10" s="10">
        <f>+BR7-BR11</f>
        <v>300.40843581914453</v>
      </c>
      <c r="BS10" s="213">
        <f>+BO10+BP10+BQ10+BR10</f>
        <v>1161.2138525513383</v>
      </c>
      <c r="BT10" s="10">
        <f>+BT7-BT11</f>
        <v>317.91943890707523</v>
      </c>
      <c r="BU10" s="10">
        <f>+BU7-BU11</f>
        <v>320.19018847126142</v>
      </c>
      <c r="BV10" s="10">
        <f>+BV7-BV11</f>
        <v>326.13416660497489</v>
      </c>
      <c r="BW10" s="10">
        <f>+BW7-BW11</f>
        <v>331.32678748004241</v>
      </c>
      <c r="BX10" s="213">
        <f>+BT10+BU10+BV10+BW10</f>
        <v>1295.5705814633538</v>
      </c>
      <c r="BY10" s="10">
        <f>+BY7-BY11</f>
        <v>345.49646192166676</v>
      </c>
      <c r="BZ10" s="10">
        <f>+BZ7-BZ11</f>
        <v>345.14983571831851</v>
      </c>
      <c r="CA10" s="10">
        <f>+CA7-CA11</f>
        <v>352.06017322818343</v>
      </c>
      <c r="CB10" s="10">
        <f>+CB7-CB11</f>
        <v>356.35117184239175</v>
      </c>
      <c r="CC10" s="213">
        <f>+BY10+BZ10+CA10+CB10</f>
        <v>1399.0576427105605</v>
      </c>
      <c r="CD10" s="10">
        <f>+CD7-CD11</f>
        <v>371.70550558883212</v>
      </c>
      <c r="CE10" s="10">
        <f>+CE7-CE11</f>
        <v>372.01676173864746</v>
      </c>
      <c r="CF10" s="10">
        <f>+CF7-CF11</f>
        <v>375.79102718803972</v>
      </c>
      <c r="CG10" s="10">
        <f>+CG7-CG11</f>
        <v>378.96134091734166</v>
      </c>
      <c r="CH10" s="213">
        <f>+CD10+CE10+CF10+CG10</f>
        <v>1498.4746354328609</v>
      </c>
      <c r="CI10" s="10">
        <f>+CI7-CI11</f>
        <v>392.23017844663411</v>
      </c>
      <c r="CJ10" s="10">
        <f>+CJ7-CJ11</f>
        <v>389.73246908537374</v>
      </c>
      <c r="CK10" s="10">
        <f>+CK7-CK11</f>
        <v>392.10562507255372</v>
      </c>
      <c r="CL10" s="10">
        <f>+CL7-CL11</f>
        <v>394.03951997497711</v>
      </c>
      <c r="CM10" s="213">
        <f>+CI10+CJ10+CK10+CL10</f>
        <v>1568.1077925795387</v>
      </c>
    </row>
    <row r="11" spans="1:94" ht="12.75" customHeight="1">
      <c r="A11" s="12" t="s">
        <v>5</v>
      </c>
      <c r="B11" s="187">
        <f t="shared" ref="B11:AJ11" si="7">+B7-B10</f>
        <v>2.2024999999999997</v>
      </c>
      <c r="C11" s="187">
        <f t="shared" si="7"/>
        <v>2.8254999999999999</v>
      </c>
      <c r="D11" s="187">
        <f t="shared" si="7"/>
        <v>2.5830000000000002</v>
      </c>
      <c r="E11" s="187">
        <f t="shared" si="7"/>
        <v>10.911999999999999</v>
      </c>
      <c r="F11" s="212">
        <f t="shared" si="7"/>
        <v>18.522999999999996</v>
      </c>
      <c r="G11" s="187">
        <f>+G7-G10</f>
        <v>7.5020000000000007</v>
      </c>
      <c r="H11" s="187">
        <f t="shared" si="7"/>
        <v>9.5020000000000024</v>
      </c>
      <c r="I11" s="187">
        <f t="shared" si="7"/>
        <v>11.753</v>
      </c>
      <c r="J11" s="187">
        <f t="shared" si="7"/>
        <v>19.183999999999997</v>
      </c>
      <c r="K11" s="212">
        <f t="shared" si="7"/>
        <v>47.941000000000003</v>
      </c>
      <c r="L11" s="187">
        <f t="shared" si="7"/>
        <v>23.29</v>
      </c>
      <c r="M11" s="187">
        <f t="shared" si="7"/>
        <v>37.268000000000001</v>
      </c>
      <c r="N11" s="187">
        <f t="shared" si="7"/>
        <v>42.6</v>
      </c>
      <c r="O11" s="187">
        <f>+O7-O10</f>
        <v>41.36</v>
      </c>
      <c r="P11" s="212">
        <f t="shared" si="7"/>
        <v>144.518</v>
      </c>
      <c r="Q11" s="187">
        <f t="shared" si="7"/>
        <v>47.326000000000008</v>
      </c>
      <c r="R11" s="187">
        <f t="shared" si="7"/>
        <v>44.434999999999988</v>
      </c>
      <c r="S11" s="187">
        <f t="shared" si="7"/>
        <v>53.832000000000001</v>
      </c>
      <c r="T11" s="187">
        <f>+T7-T10</f>
        <v>50.936999999999998</v>
      </c>
      <c r="U11" s="212">
        <f t="shared" si="7"/>
        <v>196.53000000000003</v>
      </c>
      <c r="V11" s="187">
        <f>+V7-V10</f>
        <v>50.865000000000009</v>
      </c>
      <c r="W11" s="187">
        <f>+W7-W10</f>
        <v>63.210999999999999</v>
      </c>
      <c r="X11" s="187">
        <f t="shared" si="7"/>
        <v>64.876999999999995</v>
      </c>
      <c r="Y11" s="187">
        <f>+Y7-Y10</f>
        <v>76.012</v>
      </c>
      <c r="Z11" s="212">
        <f t="shared" si="7"/>
        <v>254.96500000000003</v>
      </c>
      <c r="AA11" s="187">
        <f>+AA7-AA10</f>
        <v>65.442000000000007</v>
      </c>
      <c r="AB11" s="187">
        <f>+AB7-AB10</f>
        <v>73.795000000000016</v>
      </c>
      <c r="AC11" s="187">
        <f>+AC7-AC10</f>
        <v>78.569999999999993</v>
      </c>
      <c r="AD11" s="187">
        <f>+AD7-AD10</f>
        <v>81.914000000000001</v>
      </c>
      <c r="AE11" s="212">
        <f t="shared" si="7"/>
        <v>299.721</v>
      </c>
      <c r="AF11" s="187">
        <f t="shared" si="7"/>
        <v>77.683999999999997</v>
      </c>
      <c r="AG11" s="187">
        <f>+AG7-AG10</f>
        <v>85.355000000000018</v>
      </c>
      <c r="AH11" s="187">
        <f>+AH7-AH10</f>
        <v>87.324999999999989</v>
      </c>
      <c r="AI11" s="187">
        <f>+AI7-AI10</f>
        <v>94.519000000000005</v>
      </c>
      <c r="AJ11" s="212">
        <f t="shared" si="7"/>
        <v>344.88299999999998</v>
      </c>
      <c r="AK11" s="187">
        <f>+AK7-AK10</f>
        <v>105.32100000000001</v>
      </c>
      <c r="AL11" s="187">
        <f t="shared" ref="AL11:AO11" si="8">AL7-AL10</f>
        <v>106.83800000000001</v>
      </c>
      <c r="AM11" s="187">
        <f>AM7-AM10</f>
        <v>121.05499999999999</v>
      </c>
      <c r="AN11" s="187">
        <f>AN7-AN10</f>
        <v>126.36499999999999</v>
      </c>
      <c r="AO11" s="212">
        <f t="shared" si="8"/>
        <v>459.57899999999995</v>
      </c>
      <c r="AP11" s="187">
        <f>AP7-AP10</f>
        <v>131.286</v>
      </c>
      <c r="AQ11" s="187">
        <f>AQ7-AQ10</f>
        <v>153.792</v>
      </c>
      <c r="AR11" s="187">
        <f>AR7-AR10</f>
        <v>174.32400000000001</v>
      </c>
      <c r="AS11" s="187">
        <f>AS7-AS10</f>
        <v>185.42400000000004</v>
      </c>
      <c r="AT11" s="212">
        <f>AT7-AT10</f>
        <v>644.82600000000002</v>
      </c>
      <c r="AU11" s="357">
        <f>+AU7*AU60</f>
        <v>179.4479183726823</v>
      </c>
      <c r="AV11" s="187">
        <f>+AV7*AV60</f>
        <v>201.74566171577689</v>
      </c>
      <c r="AW11" s="187">
        <f>+AW7*AW60</f>
        <v>222.46192313186481</v>
      </c>
      <c r="AX11" s="187">
        <f>+AX7*AX60</f>
        <v>237.19753761399366</v>
      </c>
      <c r="AY11" s="212">
        <f>AY7-AY10</f>
        <v>840.85304083431777</v>
      </c>
      <c r="AZ11" s="187">
        <f>+AZ7*AZ60</f>
        <v>265.62395256238324</v>
      </c>
      <c r="BA11" s="187">
        <f>+BA7*BA60</f>
        <v>292.88871366606367</v>
      </c>
      <c r="BB11" s="187">
        <f>+BB7*BB60</f>
        <v>307.95321564420567</v>
      </c>
      <c r="BC11" s="187">
        <f>+BC7*BC60</f>
        <v>327.51403253814971</v>
      </c>
      <c r="BD11" s="212">
        <f>BD7-BD10</f>
        <v>1193.9799144108026</v>
      </c>
      <c r="BE11" s="187">
        <f>+BE7*BE60</f>
        <v>358.02824908457626</v>
      </c>
      <c r="BF11" s="187">
        <f>+BF7*BF60</f>
        <v>389.90078061613525</v>
      </c>
      <c r="BG11" s="187">
        <f>+BG7*BG60</f>
        <v>409.57326703183753</v>
      </c>
      <c r="BH11" s="187">
        <f>+BH7*BH60</f>
        <v>430.92739938951235</v>
      </c>
      <c r="BI11" s="212">
        <f>BI7-BI10</f>
        <v>1588.4296961220616</v>
      </c>
      <c r="BJ11" s="187">
        <f>+BJ7*BJ60</f>
        <v>448.76118469822086</v>
      </c>
      <c r="BK11" s="187">
        <f>+BK7*BK60</f>
        <v>477.00932137953498</v>
      </c>
      <c r="BL11" s="187">
        <f>+BL7*BL60</f>
        <v>499.96792212015231</v>
      </c>
      <c r="BM11" s="187">
        <f>+BM7*BM60</f>
        <v>517.74134094605131</v>
      </c>
      <c r="BN11" s="212">
        <f>BN7-BN10</f>
        <v>1943.4797691439599</v>
      </c>
      <c r="BO11" s="187">
        <f>+BO7*BO60</f>
        <v>538.03902562408007</v>
      </c>
      <c r="BP11" s="187">
        <f>+BP7*BP60</f>
        <v>575.41033809540318</v>
      </c>
      <c r="BQ11" s="187">
        <f>+BQ7*BQ60</f>
        <v>594.64626179163702</v>
      </c>
      <c r="BR11" s="187">
        <f>+BR7*BR60</f>
        <v>613.37544984399551</v>
      </c>
      <c r="BS11" s="212">
        <f>BS7-BS10</f>
        <v>2321.4710753551158</v>
      </c>
      <c r="BT11" s="187">
        <f>+BT7*BT60</f>
        <v>623.31666886166238</v>
      </c>
      <c r="BU11" s="187">
        <f>+BU7*BU60</f>
        <v>657.9234421741146</v>
      </c>
      <c r="BV11" s="187">
        <f>+BV7*BV60</f>
        <v>675.32256224740433</v>
      </c>
      <c r="BW11" s="187">
        <f>+BW7*BW60</f>
        <v>692.06955585302933</v>
      </c>
      <c r="BX11" s="212">
        <f>BX7-BX10</f>
        <v>2648.6322291362112</v>
      </c>
      <c r="BY11" s="187">
        <f>+BY7*BY60</f>
        <v>692.75379211037341</v>
      </c>
      <c r="BZ11" s="187">
        <f>+BZ7*BZ60</f>
        <v>725.56429514735021</v>
      </c>
      <c r="CA11" s="187">
        <f>+CA7*CA60</f>
        <v>745.86419295897508</v>
      </c>
      <c r="CB11" s="187">
        <f>+CB7*CB60</f>
        <v>761.60567605963911</v>
      </c>
      <c r="CC11" s="212">
        <f>CC7-CC10</f>
        <v>2925.7879562763374</v>
      </c>
      <c r="CD11" s="187">
        <f>+CD7*CD60</f>
        <v>762.3451158044503</v>
      </c>
      <c r="CE11" s="187">
        <f>+CE7*CE60</f>
        <v>800.22568076567052</v>
      </c>
      <c r="CF11" s="187">
        <f>+CF7*CF60</f>
        <v>814.70286700128156</v>
      </c>
      <c r="CG11" s="187">
        <f>+CG7*CG60</f>
        <v>828.87521448006237</v>
      </c>
      <c r="CH11" s="212">
        <f>CH7-CH10</f>
        <v>3206.1488780514655</v>
      </c>
      <c r="CI11" s="187">
        <f>+CI7*CI60</f>
        <v>822.97757703762875</v>
      </c>
      <c r="CJ11" s="187">
        <f>+CJ7*CJ60</f>
        <v>857.99118845618489</v>
      </c>
      <c r="CK11" s="187">
        <f>+CK7*CK60</f>
        <v>870.0649701395314</v>
      </c>
      <c r="CL11" s="187">
        <f>+CL7*CL60</f>
        <v>882.19286822732943</v>
      </c>
      <c r="CM11" s="212">
        <f>CM7-CM10</f>
        <v>3433.2266038606749</v>
      </c>
    </row>
    <row r="12" spans="1:94" ht="12.75" hidden="1" customHeight="1" outlineLevel="1">
      <c r="A12" s="1" t="s">
        <v>219</v>
      </c>
      <c r="B12" s="10"/>
      <c r="C12" s="10"/>
      <c r="D12" s="10"/>
      <c r="E12" s="10"/>
      <c r="F12" s="213"/>
      <c r="G12" s="10"/>
      <c r="H12" s="10"/>
      <c r="I12" s="10"/>
      <c r="J12" s="10"/>
      <c r="K12" s="213"/>
      <c r="L12" s="10"/>
      <c r="M12" s="10"/>
      <c r="N12" s="10"/>
      <c r="O12" s="10"/>
      <c r="P12" s="213"/>
      <c r="Q12" s="10"/>
      <c r="R12" s="10"/>
      <c r="S12" s="10"/>
      <c r="T12" s="10"/>
      <c r="U12" s="213"/>
      <c r="V12" s="10"/>
      <c r="W12" s="10"/>
      <c r="X12" s="10"/>
      <c r="Y12" s="10"/>
      <c r="Z12" s="213"/>
      <c r="AA12" s="10"/>
      <c r="AB12" s="10"/>
      <c r="AC12" s="10"/>
      <c r="AD12" s="10"/>
      <c r="AE12" s="213"/>
      <c r="AF12" s="10">
        <v>81.072000000000003</v>
      </c>
      <c r="AG12" s="10">
        <v>87.641999999999996</v>
      </c>
      <c r="AH12" s="10">
        <v>89.679000000000002</v>
      </c>
      <c r="AI12" s="10">
        <v>97.305000000000007</v>
      </c>
      <c r="AJ12" s="213">
        <f>+AF12+AG12+AH12+AI12</f>
        <v>355.69800000000004</v>
      </c>
      <c r="AK12" s="10">
        <v>107.95099999999999</v>
      </c>
      <c r="AL12" s="10">
        <v>109.732</v>
      </c>
      <c r="AM12" s="10">
        <v>123.96299999999999</v>
      </c>
      <c r="AN12" s="10">
        <v>126.29</v>
      </c>
      <c r="AO12" s="213">
        <f t="shared" ref="AO12:AO15" si="9">+AK12+AL12+AM12+AN12</f>
        <v>467.93599999999998</v>
      </c>
      <c r="AP12" s="10"/>
      <c r="AQ12" s="10"/>
      <c r="AR12" s="10"/>
      <c r="AS12" s="10"/>
      <c r="AT12" s="213"/>
      <c r="AU12" s="358"/>
      <c r="AV12" s="10"/>
      <c r="AW12" s="10"/>
      <c r="AX12" s="10"/>
      <c r="AY12" s="213"/>
      <c r="AZ12" s="10"/>
      <c r="BA12" s="10"/>
      <c r="BB12" s="10"/>
      <c r="BC12" s="10"/>
      <c r="BD12" s="213"/>
      <c r="BE12" s="10"/>
      <c r="BF12" s="10"/>
      <c r="BG12" s="10"/>
      <c r="BH12" s="10"/>
      <c r="BI12" s="213"/>
      <c r="BJ12" s="10"/>
      <c r="BK12" s="10"/>
      <c r="BL12" s="10"/>
      <c r="BM12" s="10"/>
      <c r="BN12" s="213"/>
      <c r="BO12" s="10"/>
      <c r="BP12" s="10"/>
      <c r="BQ12" s="10"/>
      <c r="BR12" s="10"/>
      <c r="BS12" s="213"/>
      <c r="BT12" s="10"/>
      <c r="BU12" s="10"/>
      <c r="BV12" s="10"/>
      <c r="BW12" s="10"/>
      <c r="BX12" s="213"/>
      <c r="BY12" s="10"/>
      <c r="BZ12" s="10"/>
      <c r="CA12" s="10"/>
      <c r="CB12" s="10"/>
      <c r="CC12" s="213"/>
      <c r="CD12" s="10"/>
      <c r="CE12" s="10"/>
      <c r="CF12" s="10"/>
      <c r="CG12" s="10"/>
      <c r="CH12" s="213"/>
      <c r="CI12" s="10"/>
      <c r="CJ12" s="10"/>
      <c r="CK12" s="10"/>
      <c r="CL12" s="10"/>
      <c r="CM12" s="213"/>
    </row>
    <row r="13" spans="1:94" ht="12.75" customHeight="1" collapsed="1">
      <c r="A13" s="64" t="s">
        <v>401</v>
      </c>
      <c r="B13" s="10">
        <f>4.702-0.29/2</f>
        <v>4.5570000000000004</v>
      </c>
      <c r="C13" s="10">
        <f>5.494-0.29/2</f>
        <v>5.3490000000000002</v>
      </c>
      <c r="D13" s="10">
        <f>7.246-0.617</f>
        <v>6.6290000000000004</v>
      </c>
      <c r="E13" s="10">
        <f>8.12-0.2</f>
        <v>7.919999999999999</v>
      </c>
      <c r="F13" s="213">
        <f t="shared" ref="F13:F15" si="10">+B13+C13+D13+E13</f>
        <v>24.454999999999998</v>
      </c>
      <c r="G13" s="10">
        <f>8.255-0.204</f>
        <v>8.0510000000000002</v>
      </c>
      <c r="H13" s="10">
        <f>11.554-0.214</f>
        <v>11.34</v>
      </c>
      <c r="I13" s="10">
        <f>14.253-0.617</f>
        <v>13.635999999999999</v>
      </c>
      <c r="J13" s="10">
        <f>16.652-0.649</f>
        <v>16.003</v>
      </c>
      <c r="K13" s="213">
        <f t="shared" ref="K13:K15" si="11">+G13+H13+I13+J13</f>
        <v>49.03</v>
      </c>
      <c r="L13" s="10">
        <f>16.316-1.21</f>
        <v>15.105999999999998</v>
      </c>
      <c r="M13" s="10">
        <f>19.532-1.428</f>
        <v>18.103999999999999</v>
      </c>
      <c r="N13" s="10">
        <f>24.569-2.066</f>
        <v>22.503</v>
      </c>
      <c r="O13" s="10">
        <f>25.875-1.203</f>
        <v>24.672000000000001</v>
      </c>
      <c r="P13" s="213">
        <f t="shared" ref="P13:P15" si="12">+L13+M13+N13+O13</f>
        <v>80.384999999999991</v>
      </c>
      <c r="Q13" s="10">
        <f>37.016-2.472-8.5</f>
        <v>26.043999999999997</v>
      </c>
      <c r="R13" s="10">
        <f>36.319-0.043-2.557</f>
        <v>33.719000000000001</v>
      </c>
      <c r="S13" s="10">
        <f>36.245-2.474</f>
        <v>33.771000000000001</v>
      </c>
      <c r="T13" s="10">
        <f>40.282-2.716</f>
        <v>37.565999999999995</v>
      </c>
      <c r="U13" s="213">
        <f t="shared" ref="U13:U15" si="13">+Q13+R13+S13+T13</f>
        <v>131.1</v>
      </c>
      <c r="V13" s="10">
        <f>55.508-4.391</f>
        <v>51.117000000000004</v>
      </c>
      <c r="W13" s="10">
        <f>63.724-4.659</f>
        <v>59.064999999999998</v>
      </c>
      <c r="X13" s="10">
        <f>70.968-4.624</f>
        <v>66.344000000000008</v>
      </c>
      <c r="Y13" s="10">
        <f>73.021-5.696</f>
        <v>67.325000000000003</v>
      </c>
      <c r="Z13" s="213">
        <f t="shared" ref="Z13:Z15" si="14">+V13+W13+X13+Y13</f>
        <v>243.851</v>
      </c>
      <c r="AA13" s="10">
        <f>81.757-5.41-2.12</f>
        <v>74.227000000000004</v>
      </c>
      <c r="AB13" s="10">
        <f>85.455-6.191-0.177</f>
        <v>79.086999999999989</v>
      </c>
      <c r="AC13" s="10">
        <f>100.017-7.256-0.355</f>
        <v>92.405999999999992</v>
      </c>
      <c r="AD13" s="10">
        <f>106.578-8.071-2.577</f>
        <v>95.93</v>
      </c>
      <c r="AE13" s="213">
        <f t="shared" ref="AE13:AE14" si="15">SUM(AA13:AD13)</f>
        <v>341.65</v>
      </c>
      <c r="AF13" s="10">
        <f>93.128-8.748-0.57</f>
        <v>83.81</v>
      </c>
      <c r="AG13" s="10">
        <f>90.359-8.518-0.531</f>
        <v>81.309999999999988</v>
      </c>
      <c r="AH13" s="10">
        <f>93.851-8.611-0.531</f>
        <v>84.708999999999989</v>
      </c>
      <c r="AI13" s="10">
        <f>89.856-9.409-0.45</f>
        <v>79.996999999999986</v>
      </c>
      <c r="AJ13" s="213">
        <f>SUM(AF13:AI13)</f>
        <v>329.82600000000002</v>
      </c>
      <c r="AK13" s="10">
        <f>83.802-10.064-0.375</f>
        <v>73.363</v>
      </c>
      <c r="AL13" s="10">
        <f>83.102-10.001-0.11</f>
        <v>72.991</v>
      </c>
      <c r="AM13" s="10">
        <f>87.306-18.75-0.19</f>
        <v>68.366</v>
      </c>
      <c r="AN13" s="10">
        <f>93.543-12.397</f>
        <v>81.146000000000001</v>
      </c>
      <c r="AO13" s="213">
        <f t="shared" si="9"/>
        <v>295.86599999999999</v>
      </c>
      <c r="AP13" s="10">
        <f>88.521-13.09-0.534</f>
        <v>74.896999999999991</v>
      </c>
      <c r="AQ13" s="10">
        <f>87.449-14.255-0.647</f>
        <v>72.546999999999997</v>
      </c>
      <c r="AR13" s="10">
        <v>75.790000000000006</v>
      </c>
      <c r="AS13" s="10">
        <v>85.944000000000003</v>
      </c>
      <c r="AT13" s="213">
        <f>+AP13+AQ13+AR13+AS13</f>
        <v>309.178</v>
      </c>
      <c r="AU13" s="358">
        <f t="shared" ref="AU13:AX15" si="16">+AP13*(1+AU48)</f>
        <v>78.791643999999991</v>
      </c>
      <c r="AV13" s="10">
        <f t="shared" si="16"/>
        <v>76.319444000000004</v>
      </c>
      <c r="AW13" s="10">
        <f t="shared" si="16"/>
        <v>79.731080000000006</v>
      </c>
      <c r="AX13" s="10">
        <f t="shared" si="16"/>
        <v>90.413088000000002</v>
      </c>
      <c r="AY13" s="213">
        <f>+AU13+AV13+AW13+AX13</f>
        <v>325.25525600000003</v>
      </c>
      <c r="AZ13" s="10">
        <f t="shared" ref="AZ13:BC15" si="17">+AU13*(1+AZ48)</f>
        <v>82.731226199999995</v>
      </c>
      <c r="BA13" s="10">
        <f t="shared" si="17"/>
        <v>80.135416200000009</v>
      </c>
      <c r="BB13" s="10">
        <f t="shared" si="17"/>
        <v>83.717634000000004</v>
      </c>
      <c r="BC13" s="10">
        <f t="shared" si="17"/>
        <v>94.9337424</v>
      </c>
      <c r="BD13" s="213">
        <f>+AZ13+BA13+BB13+BC13</f>
        <v>341.51801879999999</v>
      </c>
      <c r="BE13" s="10">
        <f t="shared" ref="BE13:BH15" si="18">+AZ13*(1+BE48)</f>
        <v>86.867787509999999</v>
      </c>
      <c r="BF13" s="10">
        <f t="shared" si="18"/>
        <v>84.142187010000015</v>
      </c>
      <c r="BG13" s="10">
        <f t="shared" si="18"/>
        <v>87.903515700000014</v>
      </c>
      <c r="BH13" s="10">
        <f t="shared" si="18"/>
        <v>99.680429520000004</v>
      </c>
      <c r="BI13" s="213">
        <f>+BE13+BF13+BG13+BH13</f>
        <v>358.59391974000005</v>
      </c>
      <c r="BJ13" s="10">
        <f t="shared" ref="BJ13:BM15" si="19">+BE13*(1+BJ48)</f>
        <v>91.211176885500009</v>
      </c>
      <c r="BK13" s="10">
        <f t="shared" si="19"/>
        <v>88.34929636050002</v>
      </c>
      <c r="BL13" s="10">
        <f t="shared" si="19"/>
        <v>92.29869148500002</v>
      </c>
      <c r="BM13" s="10">
        <f t="shared" si="19"/>
        <v>104.66445099600001</v>
      </c>
      <c r="BN13" s="213">
        <f>+BJ13+BK13+BL13+BM13</f>
        <v>376.52361572700005</v>
      </c>
      <c r="BO13" s="10">
        <f t="shared" ref="BO13:BR15" si="20">+BJ13*(1+BO48)</f>
        <v>95.771735729775017</v>
      </c>
      <c r="BP13" s="10">
        <f t="shared" si="20"/>
        <v>92.76676117852503</v>
      </c>
      <c r="BQ13" s="10">
        <f t="shared" si="20"/>
        <v>96.913626059250021</v>
      </c>
      <c r="BR13" s="10">
        <f t="shared" si="20"/>
        <v>109.89767354580002</v>
      </c>
      <c r="BS13" s="213">
        <f>+BO13+BP13+BQ13+BR13</f>
        <v>395.34979651335004</v>
      </c>
      <c r="BT13" s="10">
        <f t="shared" ref="BT13:BW15" si="21">+BO13*(1+BT48)</f>
        <v>100.56032251626377</v>
      </c>
      <c r="BU13" s="10">
        <f t="shared" si="21"/>
        <v>97.405099237451282</v>
      </c>
      <c r="BV13" s="10">
        <f t="shared" si="21"/>
        <v>101.75930736221252</v>
      </c>
      <c r="BW13" s="10">
        <f t="shared" si="21"/>
        <v>115.39255722309002</v>
      </c>
      <c r="BX13" s="213">
        <f>+BT13+BU13+BV13+BW13</f>
        <v>415.1172863390176</v>
      </c>
      <c r="BY13" s="10">
        <f t="shared" ref="BY13:CB15" si="22">+BT13*(1+BY48)</f>
        <v>105.58833864207696</v>
      </c>
      <c r="BZ13" s="10">
        <f t="shared" si="22"/>
        <v>102.27535419932386</v>
      </c>
      <c r="CA13" s="10">
        <f t="shared" si="22"/>
        <v>106.84727273032316</v>
      </c>
      <c r="CB13" s="10">
        <f t="shared" si="22"/>
        <v>121.16218508424453</v>
      </c>
      <c r="CC13" s="213">
        <f>+BY13+BZ13+CA13+CB13</f>
        <v>435.87315065596852</v>
      </c>
      <c r="CD13" s="10">
        <f t="shared" ref="CD13:CG15" si="23">+BY13*(1+CD48)</f>
        <v>110.86775557418082</v>
      </c>
      <c r="CE13" s="10">
        <f t="shared" si="23"/>
        <v>107.38912190929005</v>
      </c>
      <c r="CF13" s="10">
        <f t="shared" si="23"/>
        <v>112.18963636683932</v>
      </c>
      <c r="CG13" s="10">
        <f t="shared" si="23"/>
        <v>127.22029433845675</v>
      </c>
      <c r="CH13" s="213">
        <f>+CD13+CE13+CF13+CG13</f>
        <v>457.66680818876699</v>
      </c>
      <c r="CI13" s="10">
        <f t="shared" ref="CI13:CL15" si="24">+CD13*(1+CI48)</f>
        <v>116.41114335288987</v>
      </c>
      <c r="CJ13" s="10">
        <f t="shared" si="24"/>
        <v>112.75857800475457</v>
      </c>
      <c r="CK13" s="10">
        <f t="shared" si="24"/>
        <v>117.7991181851813</v>
      </c>
      <c r="CL13" s="10">
        <f t="shared" si="24"/>
        <v>133.58130905537959</v>
      </c>
      <c r="CM13" s="213">
        <f>+CI13+CJ13+CK13+CL13</f>
        <v>480.5501485982054</v>
      </c>
    </row>
    <row r="14" spans="1:94" s="8" customFormat="1" ht="12.75" customHeight="1">
      <c r="A14" s="64" t="s">
        <v>402</v>
      </c>
      <c r="B14" s="10">
        <f>7.204-0.54/2</f>
        <v>6.9339999999999993</v>
      </c>
      <c r="C14" s="10">
        <f>7.929-0.54/2</f>
        <v>7.6590000000000007</v>
      </c>
      <c r="D14" s="10">
        <f>7.808-0.428</f>
        <v>7.38</v>
      </c>
      <c r="E14" s="10">
        <f>9.556-0.066</f>
        <v>9.4899999999999984</v>
      </c>
      <c r="F14" s="213">
        <f t="shared" si="10"/>
        <v>31.462999999999997</v>
      </c>
      <c r="G14" s="10">
        <f>11.312-0.374</f>
        <v>10.937999999999999</v>
      </c>
      <c r="H14" s="10">
        <f>11.575-0.259</f>
        <v>11.315999999999999</v>
      </c>
      <c r="I14" s="10">
        <f>13.464-0.428</f>
        <v>13.036</v>
      </c>
      <c r="J14" s="10">
        <f>17.114-0.666</f>
        <v>16.448</v>
      </c>
      <c r="K14" s="213">
        <f t="shared" si="11"/>
        <v>51.738</v>
      </c>
      <c r="L14" s="10">
        <f>17.807-0.826</f>
        <v>16.980999999999998</v>
      </c>
      <c r="M14" s="10">
        <f>19.439-0.646</f>
        <v>18.792999999999999</v>
      </c>
      <c r="N14" s="10">
        <f>18.802-1.458</f>
        <v>17.344000000000001</v>
      </c>
      <c r="O14" s="10">
        <f>22.287-1.786</f>
        <v>20.500999999999998</v>
      </c>
      <c r="P14" s="213">
        <f t="shared" si="12"/>
        <v>73.619</v>
      </c>
      <c r="Q14" s="10">
        <f>25.115-1.93</f>
        <v>23.184999999999999</v>
      </c>
      <c r="R14" s="10">
        <f>25.015-2.065</f>
        <v>22.95</v>
      </c>
      <c r="S14" s="10">
        <f>25.095-2.379</f>
        <v>22.715999999999998</v>
      </c>
      <c r="T14" s="10">
        <f>31.288-3.032</f>
        <v>28.256</v>
      </c>
      <c r="U14" s="213">
        <f t="shared" si="13"/>
        <v>97.106999999999999</v>
      </c>
      <c r="V14" s="10">
        <f>34.338-2.934</f>
        <v>31.404</v>
      </c>
      <c r="W14" s="10">
        <f>47.716-3.493</f>
        <v>44.222999999999999</v>
      </c>
      <c r="X14" s="10">
        <f>50.228-4.127</f>
        <v>46.100999999999999</v>
      </c>
      <c r="Y14" s="10">
        <f>59.599-5.208</f>
        <v>54.390999999999998</v>
      </c>
      <c r="Z14" s="213">
        <f t="shared" si="14"/>
        <v>176.119</v>
      </c>
      <c r="AA14" s="10">
        <f>64.432-5.57</f>
        <v>58.862000000000002</v>
      </c>
      <c r="AB14" s="10">
        <f>73.603-0.134-6.054</f>
        <v>67.414999999999992</v>
      </c>
      <c r="AC14" s="10">
        <f>80.37-0.067-6.643</f>
        <v>73.660000000000011</v>
      </c>
      <c r="AD14" s="10">
        <f>81.423-7.399</f>
        <v>74.024000000000001</v>
      </c>
      <c r="AE14" s="213">
        <f t="shared" si="15"/>
        <v>273.96100000000001</v>
      </c>
      <c r="AF14" s="10">
        <f>76.123-7.543</f>
        <v>68.58</v>
      </c>
      <c r="AG14" s="10">
        <f>71.043-5.977</f>
        <v>65.066000000000003</v>
      </c>
      <c r="AH14" s="10">
        <f>68.934-5.137</f>
        <v>63.796999999999997</v>
      </c>
      <c r="AI14" s="10">
        <f>79.127-6.438</f>
        <v>72.688999999999993</v>
      </c>
      <c r="AJ14" s="213">
        <f>SUM(AF14:AI14)</f>
        <v>270.13200000000001</v>
      </c>
      <c r="AK14" s="10">
        <f>80.425-7.329</f>
        <v>73.096000000000004</v>
      </c>
      <c r="AL14" s="10">
        <f>81.867-7.258</f>
        <v>74.609000000000009</v>
      </c>
      <c r="AM14" s="10">
        <f>97.88-13.287</f>
        <v>84.592999999999989</v>
      </c>
      <c r="AN14" s="10">
        <f>104.763-8.997</f>
        <v>95.766000000000005</v>
      </c>
      <c r="AO14" s="213">
        <f t="shared" si="9"/>
        <v>328.06400000000002</v>
      </c>
      <c r="AP14" s="10">
        <f>104.316-10.189</f>
        <v>94.12700000000001</v>
      </c>
      <c r="AQ14" s="10">
        <f>119.588-11.756</f>
        <v>107.83199999999999</v>
      </c>
      <c r="AR14" s="10">
        <v>115.92400000000001</v>
      </c>
      <c r="AS14" s="10">
        <v>130.536</v>
      </c>
      <c r="AT14" s="213">
        <f>+AP14+AQ14+AR14+AS14</f>
        <v>448.41900000000004</v>
      </c>
      <c r="AU14" s="358">
        <f t="shared" si="16"/>
        <v>117.18811500000002</v>
      </c>
      <c r="AV14" s="10">
        <f t="shared" si="16"/>
        <v>134.25084000000001</v>
      </c>
      <c r="AW14" s="10">
        <f t="shared" si="16"/>
        <v>144.32538000000002</v>
      </c>
      <c r="AX14" s="10">
        <f t="shared" si="16"/>
        <v>162.51732000000001</v>
      </c>
      <c r="AY14" s="213">
        <f>+AU14+AV14+AW14+AX14</f>
        <v>558.28165500000011</v>
      </c>
      <c r="AZ14" s="10">
        <f t="shared" si="17"/>
        <v>140.62573800000001</v>
      </c>
      <c r="BA14" s="10">
        <f t="shared" si="17"/>
        <v>161.10100800000001</v>
      </c>
      <c r="BB14" s="10">
        <f t="shared" si="17"/>
        <v>173.19045600000001</v>
      </c>
      <c r="BC14" s="10">
        <f t="shared" si="17"/>
        <v>195.02078400000002</v>
      </c>
      <c r="BD14" s="213">
        <f>+AZ14+BA14+BB14+BC14</f>
        <v>669.93798600000014</v>
      </c>
      <c r="BE14" s="10">
        <f>+AZ14*(1+BE49)</f>
        <v>161.71959870000001</v>
      </c>
      <c r="BF14" s="10">
        <f>+BA14*(1+BF49)</f>
        <v>185.2661592</v>
      </c>
      <c r="BG14" s="10">
        <f>+BB14*(1+BG49)</f>
        <v>199.16902440000001</v>
      </c>
      <c r="BH14" s="10">
        <f>+BC14*(1+BH49)</f>
        <v>224.27390160000002</v>
      </c>
      <c r="BI14" s="213">
        <f>+BE14+BF14+BG14+BH14</f>
        <v>770.42868390000012</v>
      </c>
      <c r="BJ14" s="10">
        <f>+BE14*(1+BJ49)</f>
        <v>182.9048661297</v>
      </c>
      <c r="BK14" s="10">
        <f t="shared" si="19"/>
        <v>209.53602605520001</v>
      </c>
      <c r="BL14" s="10">
        <f t="shared" si="19"/>
        <v>225.26016659640001</v>
      </c>
      <c r="BM14" s="10">
        <f t="shared" si="19"/>
        <v>253.65378270960002</v>
      </c>
      <c r="BN14" s="213">
        <f>+BJ14+BK14+BL14+BM14</f>
        <v>871.35484149090007</v>
      </c>
      <c r="BO14" s="10">
        <f t="shared" si="20"/>
        <v>205.0363549313937</v>
      </c>
      <c r="BP14" s="10">
        <f t="shared" si="20"/>
        <v>234.88988520787922</v>
      </c>
      <c r="BQ14" s="10">
        <f t="shared" si="20"/>
        <v>252.51664675456442</v>
      </c>
      <c r="BR14" s="10">
        <f t="shared" si="20"/>
        <v>284.34589041746165</v>
      </c>
      <c r="BS14" s="213">
        <f>+BO14+BP14+BQ14+BR14</f>
        <v>976.78877731129899</v>
      </c>
      <c r="BT14" s="10">
        <f t="shared" si="21"/>
        <v>227.79539032877841</v>
      </c>
      <c r="BU14" s="10">
        <f t="shared" si="21"/>
        <v>260.96266246595383</v>
      </c>
      <c r="BV14" s="10">
        <f t="shared" si="21"/>
        <v>280.54599454432105</v>
      </c>
      <c r="BW14" s="10">
        <f t="shared" si="21"/>
        <v>315.90828425379988</v>
      </c>
      <c r="BX14" s="213">
        <f>+BT14+BU14+BV14+BW14</f>
        <v>1085.2123315928532</v>
      </c>
      <c r="BY14" s="10">
        <f t="shared" si="22"/>
        <v>250.80272475198501</v>
      </c>
      <c r="BZ14" s="10">
        <f t="shared" si="22"/>
        <v>287.31989137501517</v>
      </c>
      <c r="CA14" s="10">
        <f t="shared" si="22"/>
        <v>308.8811399932975</v>
      </c>
      <c r="CB14" s="10">
        <f t="shared" si="22"/>
        <v>347.81502096343365</v>
      </c>
      <c r="CC14" s="213">
        <f>+BY14+BZ14+CA14+CB14</f>
        <v>1194.8187770837312</v>
      </c>
      <c r="CD14" s="10">
        <f t="shared" si="23"/>
        <v>273.62577270441562</v>
      </c>
      <c r="CE14" s="10">
        <f t="shared" si="23"/>
        <v>313.46600149014154</v>
      </c>
      <c r="CF14" s="10">
        <f t="shared" si="23"/>
        <v>336.98932373268758</v>
      </c>
      <c r="CG14" s="10">
        <f t="shared" si="23"/>
        <v>379.46618787110611</v>
      </c>
      <c r="CH14" s="213">
        <f>+CD14+CE14+CF14+CG14</f>
        <v>1303.5472857983509</v>
      </c>
      <c r="CI14" s="10">
        <f t="shared" si="24"/>
        <v>295.78946029347327</v>
      </c>
      <c r="CJ14" s="10">
        <f t="shared" si="24"/>
        <v>338.856747610843</v>
      </c>
      <c r="CK14" s="10">
        <f t="shared" si="24"/>
        <v>364.28545895503527</v>
      </c>
      <c r="CL14" s="10">
        <f t="shared" si="24"/>
        <v>410.20294908866572</v>
      </c>
      <c r="CM14" s="213">
        <f>+CI14+CJ14+CK14+CL14</f>
        <v>1409.1346159480172</v>
      </c>
    </row>
    <row r="15" spans="1:94" s="8" customFormat="1" ht="12.75" customHeight="1">
      <c r="A15" s="64" t="s">
        <v>403</v>
      </c>
      <c r="B15" s="10">
        <f>5.212-0.331/2</f>
        <v>5.0465</v>
      </c>
      <c r="C15" s="10">
        <f>6.675-0.331/2</f>
        <v>6.5095000000000001</v>
      </c>
      <c r="D15" s="10">
        <f>16.095-0.674</f>
        <v>15.420999999999999</v>
      </c>
      <c r="E15" s="10">
        <f>8.795-1.248</f>
        <v>7.5469999999999997</v>
      </c>
      <c r="F15" s="213">
        <f t="shared" si="10"/>
        <v>34.524000000000001</v>
      </c>
      <c r="G15" s="10">
        <f>6.519-0.636</f>
        <v>5.883</v>
      </c>
      <c r="H15" s="10">
        <f>8.997-0.628</f>
        <v>8.3689999999999998</v>
      </c>
      <c r="I15" s="10">
        <f>8.129-0.674</f>
        <v>7.4549999999999992</v>
      </c>
      <c r="J15" s="10">
        <f>12.547-0.99</f>
        <v>11.557</v>
      </c>
      <c r="K15" s="213">
        <f t="shared" si="11"/>
        <v>33.263999999999996</v>
      </c>
      <c r="L15" s="10">
        <f>12.661-0.976</f>
        <v>11.684999999999999</v>
      </c>
      <c r="M15" s="10">
        <f>13.439-1.015</f>
        <v>12.423999999999999</v>
      </c>
      <c r="N15" s="10">
        <f>16.44-1.694</f>
        <v>14.746000000000002</v>
      </c>
      <c r="O15" s="10">
        <f>18.859-1.782</f>
        <v>17.077000000000002</v>
      </c>
      <c r="P15" s="213">
        <f t="shared" si="12"/>
        <v>55.932000000000002</v>
      </c>
      <c r="Q15" s="10">
        <f>19.785-0.229-1.911+0.19-1.207</f>
        <v>16.628</v>
      </c>
      <c r="R15" s="10">
        <f>37.186-0.349-20.651</f>
        <v>16.186000000000003</v>
      </c>
      <c r="S15" s="10">
        <f>66.294-0.503-50.397-0.07</f>
        <v>15.323999999999998</v>
      </c>
      <c r="T15" s="10">
        <f>69.505-0.189-50.428</f>
        <v>18.888000000000005</v>
      </c>
      <c r="U15" s="213">
        <f t="shared" si="13"/>
        <v>67.02600000000001</v>
      </c>
      <c r="V15" s="10">
        <f>67.935-0.333-49.375</f>
        <v>18.227000000000004</v>
      </c>
      <c r="W15" s="10">
        <f>48.376-0.336-25.735-0.875</f>
        <v>21.43</v>
      </c>
      <c r="X15" s="10">
        <f>50.055-0.339-26.044-0.97</f>
        <v>22.702000000000002</v>
      </c>
      <c r="Y15" s="10">
        <f>40.274-0.339-14.951-0.535</f>
        <v>24.449000000000002</v>
      </c>
      <c r="Z15" s="213">
        <f t="shared" si="14"/>
        <v>86.808000000000007</v>
      </c>
      <c r="AA15" s="10">
        <f>41.267-0.332-12.835-2.39-0.063</f>
        <v>25.647000000000002</v>
      </c>
      <c r="AB15" s="10">
        <f>43.68-0.336-12.252-1.415+0.063</f>
        <v>29.74</v>
      </c>
      <c r="AC15" s="10">
        <f>41.121-0.339-5.955-0.39</f>
        <v>34.437000000000005</v>
      </c>
      <c r="AD15" s="10">
        <f>37.888-0.339-6.24-0.11</f>
        <v>31.198999999999998</v>
      </c>
      <c r="AE15" s="213">
        <f t="shared" ref="AE15" si="25">+AA15+AB15+AC15+AD15</f>
        <v>121.02300000000001</v>
      </c>
      <c r="AF15" s="10">
        <f>40.445-0.331-4.468+0.3</f>
        <v>35.945999999999998</v>
      </c>
      <c r="AG15" s="10">
        <f>41.516-0.336-6.755-0.31</f>
        <v>34.114999999999995</v>
      </c>
      <c r="AH15" s="10">
        <f>36.174-0.339-6.794-0.22</f>
        <v>28.821000000000002</v>
      </c>
      <c r="AI15" s="10">
        <f>37.665-0.339-7.081+0.12</f>
        <v>30.365000000000002</v>
      </c>
      <c r="AJ15" s="213">
        <f>+AF15+AG15+AH15+AI15</f>
        <v>129.24699999999999</v>
      </c>
      <c r="AK15" s="10">
        <f>38.651-0.336-8.164-0.12</f>
        <v>30.031000000000002</v>
      </c>
      <c r="AL15" s="10">
        <f>40.463-0.335-8.659-0.3</f>
        <v>31.169</v>
      </c>
      <c r="AM15" s="10">
        <f>49.129-0.34-14.068-0.34</f>
        <v>34.380999999999993</v>
      </c>
      <c r="AN15" s="10">
        <f>51.88-0.34-13.519-0.25</f>
        <v>37.771000000000001</v>
      </c>
      <c r="AO15" s="213">
        <f t="shared" si="9"/>
        <v>133.35199999999998</v>
      </c>
      <c r="AP15" s="10">
        <f>46.952-0.332-13.571-0.49-2</f>
        <v>30.558999999999997</v>
      </c>
      <c r="AQ15" s="10">
        <f>50.259-0.266-14.832-0.23</f>
        <v>34.931000000000004</v>
      </c>
      <c r="AR15" s="10">
        <v>37.136000000000003</v>
      </c>
      <c r="AS15" s="10">
        <v>43.518999999999998</v>
      </c>
      <c r="AT15" s="213">
        <f>+AP15+AQ15+AR15+AS15</f>
        <v>146.14500000000001</v>
      </c>
      <c r="AU15" s="358">
        <f t="shared" si="16"/>
        <v>32.086950000000002</v>
      </c>
      <c r="AV15" s="10">
        <f t="shared" si="16"/>
        <v>36.677550000000004</v>
      </c>
      <c r="AW15" s="10">
        <f t="shared" si="16"/>
        <v>38.992800000000003</v>
      </c>
      <c r="AX15" s="10">
        <f t="shared" si="16"/>
        <v>45.694949999999999</v>
      </c>
      <c r="AY15" s="213">
        <f>+AU15+AV15+AW15+AX15</f>
        <v>153.45224999999999</v>
      </c>
      <c r="AZ15" s="10">
        <f t="shared" si="17"/>
        <v>33.691297500000005</v>
      </c>
      <c r="BA15" s="10">
        <f t="shared" si="17"/>
        <v>38.511427500000003</v>
      </c>
      <c r="BB15" s="10">
        <f t="shared" si="17"/>
        <v>40.942440000000005</v>
      </c>
      <c r="BC15" s="10">
        <f t="shared" si="17"/>
        <v>47.9796975</v>
      </c>
      <c r="BD15" s="213">
        <f>+AZ15+BA15+BB15+BC15</f>
        <v>161.12486250000001</v>
      </c>
      <c r="BE15" s="10">
        <f t="shared" si="18"/>
        <v>35.375862375000004</v>
      </c>
      <c r="BF15" s="10">
        <f t="shared" si="18"/>
        <v>40.436998875000008</v>
      </c>
      <c r="BG15" s="10">
        <f t="shared" si="18"/>
        <v>42.989562000000006</v>
      </c>
      <c r="BH15" s="10">
        <f t="shared" si="18"/>
        <v>50.378682375000004</v>
      </c>
      <c r="BI15" s="213">
        <f>+BE15+BF15+BG15+BH15</f>
        <v>169.18110562500001</v>
      </c>
      <c r="BJ15" s="10">
        <f t="shared" si="19"/>
        <v>37.144655493750008</v>
      </c>
      <c r="BK15" s="10">
        <f t="shared" si="19"/>
        <v>42.458848818750013</v>
      </c>
      <c r="BL15" s="10">
        <f t="shared" si="19"/>
        <v>45.13904010000001</v>
      </c>
      <c r="BM15" s="10">
        <f t="shared" si="19"/>
        <v>52.897616493750007</v>
      </c>
      <c r="BN15" s="213">
        <f>+BJ15+BK15+BL15+BM15</f>
        <v>177.64016090625003</v>
      </c>
      <c r="BO15" s="10">
        <f t="shared" si="20"/>
        <v>39.001888268437511</v>
      </c>
      <c r="BP15" s="10">
        <f t="shared" si="20"/>
        <v>44.581791259687513</v>
      </c>
      <c r="BQ15" s="10">
        <f t="shared" si="20"/>
        <v>47.395992105000012</v>
      </c>
      <c r="BR15" s="10">
        <f t="shared" si="20"/>
        <v>55.542497318437512</v>
      </c>
      <c r="BS15" s="213">
        <f>+BO15+BP15+BQ15+BR15</f>
        <v>186.52216895156255</v>
      </c>
      <c r="BT15" s="10">
        <f t="shared" si="21"/>
        <v>40.951982681859391</v>
      </c>
      <c r="BU15" s="10">
        <f t="shared" si="21"/>
        <v>46.810880822671891</v>
      </c>
      <c r="BV15" s="10">
        <f t="shared" si="21"/>
        <v>49.765791710250014</v>
      </c>
      <c r="BW15" s="10">
        <f t="shared" si="21"/>
        <v>58.319622184359389</v>
      </c>
      <c r="BX15" s="213">
        <f>+BT15+BU15+BV15+BW15</f>
        <v>195.84827739914067</v>
      </c>
      <c r="BY15" s="10">
        <f t="shared" si="22"/>
        <v>42.999581815952361</v>
      </c>
      <c r="BZ15" s="10">
        <f t="shared" si="22"/>
        <v>49.151424863805488</v>
      </c>
      <c r="CA15" s="10">
        <f t="shared" si="22"/>
        <v>52.254081295762518</v>
      </c>
      <c r="CB15" s="10">
        <f t="shared" si="22"/>
        <v>61.235603293577363</v>
      </c>
      <c r="CC15" s="213">
        <f>+BY15+BZ15+CA15+CB15</f>
        <v>205.64069126909772</v>
      </c>
      <c r="CD15" s="10">
        <f t="shared" si="23"/>
        <v>45.149560906749983</v>
      </c>
      <c r="CE15" s="10">
        <f t="shared" si="23"/>
        <v>51.608996106995768</v>
      </c>
      <c r="CF15" s="10">
        <f t="shared" si="23"/>
        <v>54.866785360550644</v>
      </c>
      <c r="CG15" s="10">
        <f t="shared" si="23"/>
        <v>64.297383458256235</v>
      </c>
      <c r="CH15" s="213">
        <f>+CD15+CE15+CF15+CG15</f>
        <v>215.92272583255263</v>
      </c>
      <c r="CI15" s="10">
        <f t="shared" si="24"/>
        <v>47.407038952087483</v>
      </c>
      <c r="CJ15" s="10">
        <f t="shared" si="24"/>
        <v>54.189445912345562</v>
      </c>
      <c r="CK15" s="10">
        <f t="shared" si="24"/>
        <v>57.610124628578177</v>
      </c>
      <c r="CL15" s="10">
        <f t="shared" si="24"/>
        <v>67.512252631169048</v>
      </c>
      <c r="CM15" s="213">
        <f>+CI15+CJ15+CK15+CL15</f>
        <v>226.71886212418028</v>
      </c>
    </row>
    <row r="16" spans="1:94" ht="12.75" customHeight="1">
      <c r="A16" s="341" t="s">
        <v>397</v>
      </c>
      <c r="B16" s="10">
        <f>+B13+B14+B15</f>
        <v>16.537500000000001</v>
      </c>
      <c r="C16" s="10">
        <f>+C13+C14+C15</f>
        <v>19.517500000000002</v>
      </c>
      <c r="D16" s="10">
        <f t="shared" ref="D16:BN16" si="26">+D13+D14+D15</f>
        <v>29.43</v>
      </c>
      <c r="E16" s="10">
        <f t="shared" si="26"/>
        <v>24.956999999999997</v>
      </c>
      <c r="F16" s="213">
        <f t="shared" si="26"/>
        <v>90.441999999999993</v>
      </c>
      <c r="G16" s="10">
        <f t="shared" si="26"/>
        <v>24.871999999999996</v>
      </c>
      <c r="H16" s="10">
        <f t="shared" si="26"/>
        <v>31.024999999999999</v>
      </c>
      <c r="I16" s="10">
        <f t="shared" si="26"/>
        <v>34.126999999999995</v>
      </c>
      <c r="J16" s="10">
        <f t="shared" si="26"/>
        <v>44.008000000000003</v>
      </c>
      <c r="K16" s="213">
        <f t="shared" si="26"/>
        <v>134.03199999999998</v>
      </c>
      <c r="L16" s="10">
        <f t="shared" si="26"/>
        <v>43.771999999999991</v>
      </c>
      <c r="M16" s="10">
        <f t="shared" si="26"/>
        <v>49.320999999999998</v>
      </c>
      <c r="N16" s="10">
        <f t="shared" si="26"/>
        <v>54.593000000000004</v>
      </c>
      <c r="O16" s="10">
        <f t="shared" si="26"/>
        <v>62.25</v>
      </c>
      <c r="P16" s="213">
        <f t="shared" si="26"/>
        <v>209.93599999999998</v>
      </c>
      <c r="Q16" s="10">
        <f t="shared" si="26"/>
        <v>65.856999999999999</v>
      </c>
      <c r="R16" s="10">
        <f t="shared" si="26"/>
        <v>72.855000000000004</v>
      </c>
      <c r="S16" s="10">
        <f t="shared" si="26"/>
        <v>71.810999999999993</v>
      </c>
      <c r="T16" s="10">
        <f t="shared" si="26"/>
        <v>84.710000000000008</v>
      </c>
      <c r="U16" s="213">
        <f t="shared" si="26"/>
        <v>295.233</v>
      </c>
      <c r="V16" s="10">
        <f t="shared" si="26"/>
        <v>100.748</v>
      </c>
      <c r="W16" s="10">
        <f t="shared" si="26"/>
        <v>124.71799999999999</v>
      </c>
      <c r="X16" s="10">
        <f t="shared" si="26"/>
        <v>135.14700000000002</v>
      </c>
      <c r="Y16" s="10">
        <f t="shared" si="26"/>
        <v>146.16500000000002</v>
      </c>
      <c r="Z16" s="213">
        <f t="shared" si="26"/>
        <v>506.77800000000002</v>
      </c>
      <c r="AA16" s="10">
        <f t="shared" si="26"/>
        <v>158.73599999999999</v>
      </c>
      <c r="AB16" s="10">
        <f t="shared" si="26"/>
        <v>176.24199999999999</v>
      </c>
      <c r="AC16" s="10">
        <f t="shared" si="26"/>
        <v>200.50300000000001</v>
      </c>
      <c r="AD16" s="10">
        <f t="shared" si="26"/>
        <v>201.15300000000002</v>
      </c>
      <c r="AE16" s="213">
        <f t="shared" si="26"/>
        <v>736.63400000000001</v>
      </c>
      <c r="AF16" s="10">
        <f t="shared" si="26"/>
        <v>188.33599999999998</v>
      </c>
      <c r="AG16" s="10">
        <f t="shared" si="26"/>
        <v>180.49099999999999</v>
      </c>
      <c r="AH16" s="10">
        <f t="shared" si="26"/>
        <v>177.32699999999997</v>
      </c>
      <c r="AI16" s="10">
        <f t="shared" si="26"/>
        <v>183.05099999999999</v>
      </c>
      <c r="AJ16" s="213">
        <f t="shared" si="26"/>
        <v>729.20500000000004</v>
      </c>
      <c r="AK16" s="10">
        <f t="shared" si="26"/>
        <v>176.49</v>
      </c>
      <c r="AL16" s="10">
        <f t="shared" si="26"/>
        <v>178.76900000000003</v>
      </c>
      <c r="AM16" s="10">
        <f t="shared" si="26"/>
        <v>187.34</v>
      </c>
      <c r="AN16" s="10">
        <f t="shared" si="26"/>
        <v>214.68299999999999</v>
      </c>
      <c r="AO16" s="213">
        <f t="shared" si="26"/>
        <v>757.28200000000004</v>
      </c>
      <c r="AP16" s="10">
        <f t="shared" si="26"/>
        <v>199.583</v>
      </c>
      <c r="AQ16" s="10">
        <f t="shared" si="26"/>
        <v>215.31</v>
      </c>
      <c r="AR16" s="10">
        <f t="shared" si="26"/>
        <v>228.85</v>
      </c>
      <c r="AS16" s="10">
        <f t="shared" si="26"/>
        <v>259.99900000000002</v>
      </c>
      <c r="AT16" s="213">
        <f t="shared" si="26"/>
        <v>903.74199999999996</v>
      </c>
      <c r="AU16" s="358">
        <f t="shared" si="26"/>
        <v>228.066709</v>
      </c>
      <c r="AV16" s="10">
        <f t="shared" si="26"/>
        <v>247.24783400000001</v>
      </c>
      <c r="AW16" s="10">
        <f t="shared" si="26"/>
        <v>263.04926</v>
      </c>
      <c r="AX16" s="10">
        <f t="shared" si="26"/>
        <v>298.62535800000001</v>
      </c>
      <c r="AY16" s="213">
        <f t="shared" si="26"/>
        <v>1036.9891610000002</v>
      </c>
      <c r="AZ16" s="10">
        <f t="shared" si="26"/>
        <v>257.04826170000001</v>
      </c>
      <c r="BA16" s="10">
        <f t="shared" si="26"/>
        <v>279.74785170000001</v>
      </c>
      <c r="BB16" s="10">
        <f t="shared" si="26"/>
        <v>297.85053000000005</v>
      </c>
      <c r="BC16" s="10">
        <f t="shared" si="26"/>
        <v>337.93422390000001</v>
      </c>
      <c r="BD16" s="213">
        <f t="shared" si="26"/>
        <v>1172.5808673000001</v>
      </c>
      <c r="BE16" s="10">
        <f t="shared" si="26"/>
        <v>283.96324858500003</v>
      </c>
      <c r="BF16" s="10">
        <f t="shared" si="26"/>
        <v>309.84534508500002</v>
      </c>
      <c r="BG16" s="10">
        <f t="shared" si="26"/>
        <v>330.06210210000006</v>
      </c>
      <c r="BH16" s="10">
        <f t="shared" si="26"/>
        <v>374.33301349499999</v>
      </c>
      <c r="BI16" s="213">
        <f t="shared" si="26"/>
        <v>1298.2037092650003</v>
      </c>
      <c r="BJ16" s="10">
        <f t="shared" si="26"/>
        <v>311.26069850895004</v>
      </c>
      <c r="BK16" s="10">
        <f t="shared" si="26"/>
        <v>340.34417123445007</v>
      </c>
      <c r="BL16" s="10">
        <f t="shared" si="26"/>
        <v>362.69789818140003</v>
      </c>
      <c r="BM16" s="10">
        <f t="shared" si="26"/>
        <v>411.21585019935003</v>
      </c>
      <c r="BN16" s="213">
        <f t="shared" si="26"/>
        <v>1425.5186181241502</v>
      </c>
      <c r="BO16" s="10">
        <f t="shared" ref="BO16:CM16" si="27">+BO13+BO14+BO15</f>
        <v>339.80997892960625</v>
      </c>
      <c r="BP16" s="10">
        <f t="shared" si="27"/>
        <v>372.23843764609177</v>
      </c>
      <c r="BQ16" s="10">
        <f t="shared" si="27"/>
        <v>396.82626491881445</v>
      </c>
      <c r="BR16" s="10">
        <f t="shared" si="27"/>
        <v>449.78606128169918</v>
      </c>
      <c r="BS16" s="213">
        <f t="shared" si="27"/>
        <v>1558.6607427762115</v>
      </c>
      <c r="BT16" s="10">
        <f t="shared" si="27"/>
        <v>369.30769552690151</v>
      </c>
      <c r="BU16" s="10">
        <f t="shared" si="27"/>
        <v>405.178642526077</v>
      </c>
      <c r="BV16" s="10">
        <f t="shared" si="27"/>
        <v>432.07109361678363</v>
      </c>
      <c r="BW16" s="10">
        <f t="shared" si="27"/>
        <v>489.62046366124929</v>
      </c>
      <c r="BX16" s="213">
        <f t="shared" si="27"/>
        <v>1696.1778953310115</v>
      </c>
      <c r="BY16" s="10">
        <f t="shared" si="27"/>
        <v>399.39064521001433</v>
      </c>
      <c r="BZ16" s="10">
        <f t="shared" si="27"/>
        <v>438.74667043814452</v>
      </c>
      <c r="CA16" s="10">
        <f t="shared" si="27"/>
        <v>467.98249401938313</v>
      </c>
      <c r="CB16" s="10">
        <f t="shared" si="27"/>
        <v>530.21280934125559</v>
      </c>
      <c r="CC16" s="213">
        <f t="shared" si="27"/>
        <v>1836.3326190087973</v>
      </c>
      <c r="CD16" s="10">
        <f t="shared" si="27"/>
        <v>429.64308918534641</v>
      </c>
      <c r="CE16" s="10">
        <f t="shared" si="27"/>
        <v>472.46411950642738</v>
      </c>
      <c r="CF16" s="10">
        <f t="shared" si="27"/>
        <v>504.04574546007751</v>
      </c>
      <c r="CG16" s="10">
        <f t="shared" si="27"/>
        <v>570.98386566781915</v>
      </c>
      <c r="CH16" s="213">
        <f t="shared" si="27"/>
        <v>1977.1368198196706</v>
      </c>
      <c r="CI16" s="10">
        <f t="shared" si="27"/>
        <v>459.60764259845058</v>
      </c>
      <c r="CJ16" s="10">
        <f t="shared" si="27"/>
        <v>505.8047715279431</v>
      </c>
      <c r="CK16" s="10">
        <f t="shared" si="27"/>
        <v>539.69470176879474</v>
      </c>
      <c r="CL16" s="10">
        <f t="shared" si="27"/>
        <v>611.29651077521441</v>
      </c>
      <c r="CM16" s="213">
        <f t="shared" si="27"/>
        <v>2116.4036266704029</v>
      </c>
    </row>
    <row r="17" spans="1:93" s="202" customFormat="1" ht="12.75" customHeight="1">
      <c r="A17" s="202" t="s">
        <v>442</v>
      </c>
      <c r="B17" s="187">
        <f>+B11-B16</f>
        <v>-14.335000000000001</v>
      </c>
      <c r="C17" s="187">
        <f>+C11-C16</f>
        <v>-16.692</v>
      </c>
      <c r="D17" s="187">
        <f t="shared" ref="D17:BN17" si="28">+D11-D16</f>
        <v>-26.847000000000001</v>
      </c>
      <c r="E17" s="187">
        <f t="shared" si="28"/>
        <v>-14.044999999999998</v>
      </c>
      <c r="F17" s="212">
        <f t="shared" si="28"/>
        <v>-71.918999999999997</v>
      </c>
      <c r="G17" s="187">
        <f t="shared" si="28"/>
        <v>-17.369999999999997</v>
      </c>
      <c r="H17" s="187">
        <f t="shared" si="28"/>
        <v>-21.522999999999996</v>
      </c>
      <c r="I17" s="187">
        <f t="shared" si="28"/>
        <v>-22.373999999999995</v>
      </c>
      <c r="J17" s="187">
        <f t="shared" si="28"/>
        <v>-24.824000000000005</v>
      </c>
      <c r="K17" s="212">
        <f t="shared" si="28"/>
        <v>-86.09099999999998</v>
      </c>
      <c r="L17" s="187">
        <f t="shared" si="28"/>
        <v>-20.481999999999992</v>
      </c>
      <c r="M17" s="187">
        <f t="shared" si="28"/>
        <v>-12.052999999999997</v>
      </c>
      <c r="N17" s="187">
        <f t="shared" si="28"/>
        <v>-11.993000000000002</v>
      </c>
      <c r="O17" s="187">
        <f t="shared" si="28"/>
        <v>-20.89</v>
      </c>
      <c r="P17" s="212">
        <f t="shared" si="28"/>
        <v>-65.417999999999978</v>
      </c>
      <c r="Q17" s="187">
        <f t="shared" si="28"/>
        <v>-18.530999999999992</v>
      </c>
      <c r="R17" s="187">
        <f t="shared" si="28"/>
        <v>-28.420000000000016</v>
      </c>
      <c r="S17" s="187">
        <f t="shared" si="28"/>
        <v>-17.978999999999992</v>
      </c>
      <c r="T17" s="187">
        <f t="shared" si="28"/>
        <v>-33.77300000000001</v>
      </c>
      <c r="U17" s="212">
        <f t="shared" si="28"/>
        <v>-98.702999999999975</v>
      </c>
      <c r="V17" s="187">
        <f t="shared" si="28"/>
        <v>-49.882999999999996</v>
      </c>
      <c r="W17" s="187">
        <f t="shared" si="28"/>
        <v>-61.506999999999991</v>
      </c>
      <c r="X17" s="187">
        <f t="shared" si="28"/>
        <v>-70.270000000000024</v>
      </c>
      <c r="Y17" s="187">
        <f t="shared" si="28"/>
        <v>-70.15300000000002</v>
      </c>
      <c r="Z17" s="212">
        <f t="shared" si="28"/>
        <v>-251.81299999999999</v>
      </c>
      <c r="AA17" s="187">
        <f t="shared" si="28"/>
        <v>-93.293999999999983</v>
      </c>
      <c r="AB17" s="187">
        <f t="shared" si="28"/>
        <v>-102.44699999999997</v>
      </c>
      <c r="AC17" s="187">
        <f t="shared" si="28"/>
        <v>-121.93300000000002</v>
      </c>
      <c r="AD17" s="187">
        <f t="shared" si="28"/>
        <v>-119.23900000000002</v>
      </c>
      <c r="AE17" s="212">
        <f t="shared" si="28"/>
        <v>-436.91300000000001</v>
      </c>
      <c r="AF17" s="187">
        <f t="shared" si="28"/>
        <v>-110.65199999999999</v>
      </c>
      <c r="AG17" s="187">
        <f t="shared" si="28"/>
        <v>-95.135999999999967</v>
      </c>
      <c r="AH17" s="187">
        <f t="shared" si="28"/>
        <v>-90.001999999999981</v>
      </c>
      <c r="AI17" s="187">
        <f t="shared" si="28"/>
        <v>-88.531999999999982</v>
      </c>
      <c r="AJ17" s="212">
        <f t="shared" si="28"/>
        <v>-384.32200000000006</v>
      </c>
      <c r="AK17" s="187">
        <f t="shared" si="28"/>
        <v>-71.168999999999997</v>
      </c>
      <c r="AL17" s="187">
        <f t="shared" si="28"/>
        <v>-71.931000000000026</v>
      </c>
      <c r="AM17" s="187">
        <f t="shared" si="28"/>
        <v>-66.285000000000011</v>
      </c>
      <c r="AN17" s="187">
        <f t="shared" si="28"/>
        <v>-88.317999999999998</v>
      </c>
      <c r="AO17" s="212">
        <f t="shared" si="28"/>
        <v>-297.70300000000009</v>
      </c>
      <c r="AP17" s="187">
        <f t="shared" si="28"/>
        <v>-68.296999999999997</v>
      </c>
      <c r="AQ17" s="187">
        <f t="shared" si="28"/>
        <v>-61.518000000000001</v>
      </c>
      <c r="AR17" s="187">
        <f t="shared" si="28"/>
        <v>-54.525999999999982</v>
      </c>
      <c r="AS17" s="187">
        <f t="shared" si="28"/>
        <v>-74.574999999999989</v>
      </c>
      <c r="AT17" s="212">
        <f t="shared" si="28"/>
        <v>-258.91599999999994</v>
      </c>
      <c r="AU17" s="357">
        <f t="shared" si="28"/>
        <v>-48.618790627317708</v>
      </c>
      <c r="AV17" s="187">
        <f t="shared" si="28"/>
        <v>-45.502172284223121</v>
      </c>
      <c r="AW17" s="187">
        <f t="shared" si="28"/>
        <v>-40.587336868135196</v>
      </c>
      <c r="AX17" s="187">
        <f t="shared" si="28"/>
        <v>-61.427820386006346</v>
      </c>
      <c r="AY17" s="212">
        <f t="shared" si="28"/>
        <v>-196.13612016568243</v>
      </c>
      <c r="AZ17" s="187">
        <f t="shared" si="28"/>
        <v>8.575690862383226</v>
      </c>
      <c r="BA17" s="187">
        <f t="shared" si="28"/>
        <v>13.140861966063653</v>
      </c>
      <c r="BB17" s="187">
        <f t="shared" si="28"/>
        <v>10.102685644205621</v>
      </c>
      <c r="BC17" s="187">
        <f t="shared" si="28"/>
        <v>-10.4201913618503</v>
      </c>
      <c r="BD17" s="212">
        <f t="shared" si="28"/>
        <v>21.399047110802485</v>
      </c>
      <c r="BE17" s="187">
        <f t="shared" si="28"/>
        <v>74.065000499576229</v>
      </c>
      <c r="BF17" s="187">
        <f t="shared" si="28"/>
        <v>80.055435531135231</v>
      </c>
      <c r="BG17" s="187">
        <f>+BG11-BG16</f>
        <v>79.51116493183747</v>
      </c>
      <c r="BH17" s="187">
        <f>+BH11-BH16</f>
        <v>56.594385894512357</v>
      </c>
      <c r="BI17" s="212">
        <f t="shared" si="28"/>
        <v>290.22598685706134</v>
      </c>
      <c r="BJ17" s="187">
        <f t="shared" si="28"/>
        <v>137.50048618927082</v>
      </c>
      <c r="BK17" s="187">
        <f t="shared" si="28"/>
        <v>136.66515014508491</v>
      </c>
      <c r="BL17" s="187">
        <f t="shared" si="28"/>
        <v>137.27002393875227</v>
      </c>
      <c r="BM17" s="187">
        <f t="shared" si="28"/>
        <v>106.52549074670128</v>
      </c>
      <c r="BN17" s="212">
        <f t="shared" si="28"/>
        <v>517.96115101980968</v>
      </c>
      <c r="BO17" s="187">
        <f t="shared" ref="BO17:CM17" si="29">+BO11-BO16</f>
        <v>198.22904669447382</v>
      </c>
      <c r="BP17" s="187">
        <f t="shared" si="29"/>
        <v>203.17190044931141</v>
      </c>
      <c r="BQ17" s="187">
        <f t="shared" si="29"/>
        <v>197.81999687282257</v>
      </c>
      <c r="BR17" s="187">
        <f t="shared" si="29"/>
        <v>163.58938856229634</v>
      </c>
      <c r="BS17" s="212">
        <f t="shared" si="29"/>
        <v>762.81033257890431</v>
      </c>
      <c r="BT17" s="187">
        <f t="shared" si="29"/>
        <v>254.00897333476087</v>
      </c>
      <c r="BU17" s="187">
        <f t="shared" si="29"/>
        <v>252.7447996480376</v>
      </c>
      <c r="BV17" s="187">
        <f t="shared" si="29"/>
        <v>243.25146863062071</v>
      </c>
      <c r="BW17" s="187">
        <f t="shared" si="29"/>
        <v>202.44909219178004</v>
      </c>
      <c r="BX17" s="212">
        <f t="shared" si="29"/>
        <v>952.45433380519967</v>
      </c>
      <c r="BY17" s="187">
        <f t="shared" si="29"/>
        <v>293.36314690035908</v>
      </c>
      <c r="BZ17" s="187">
        <f t="shared" si="29"/>
        <v>286.81762470920569</v>
      </c>
      <c r="CA17" s="187">
        <f t="shared" si="29"/>
        <v>277.88169893959196</v>
      </c>
      <c r="CB17" s="187">
        <f t="shared" si="29"/>
        <v>231.39286671838352</v>
      </c>
      <c r="CC17" s="212">
        <f t="shared" si="29"/>
        <v>1089.45533726754</v>
      </c>
      <c r="CD17" s="187">
        <f t="shared" si="29"/>
        <v>332.70202661910389</v>
      </c>
      <c r="CE17" s="187">
        <f t="shared" si="29"/>
        <v>327.76156125924314</v>
      </c>
      <c r="CF17" s="187">
        <f t="shared" si="29"/>
        <v>310.65712154120405</v>
      </c>
      <c r="CG17" s="187">
        <f t="shared" si="29"/>
        <v>257.89134881224322</v>
      </c>
      <c r="CH17" s="212">
        <f t="shared" si="29"/>
        <v>1229.012058231795</v>
      </c>
      <c r="CI17" s="187">
        <f t="shared" si="29"/>
        <v>363.36993443917817</v>
      </c>
      <c r="CJ17" s="187">
        <f t="shared" si="29"/>
        <v>352.18641692824178</v>
      </c>
      <c r="CK17" s="187">
        <f t="shared" si="29"/>
        <v>330.37026837073665</v>
      </c>
      <c r="CL17" s="187">
        <f t="shared" si="29"/>
        <v>270.89635745211501</v>
      </c>
      <c r="CM17" s="212">
        <f t="shared" si="29"/>
        <v>1316.822977190272</v>
      </c>
    </row>
    <row r="18" spans="1:93" ht="12.75" customHeight="1">
      <c r="A18" s="64" t="s">
        <v>6</v>
      </c>
      <c r="B18" s="10">
        <v>1.0389999999999999</v>
      </c>
      <c r="C18" s="10">
        <v>1.056</v>
      </c>
      <c r="D18" s="10">
        <v>0.30299999999999999</v>
      </c>
      <c r="E18" s="10">
        <v>0.30399999999999999</v>
      </c>
      <c r="F18" s="213">
        <f t="shared" ref="F18:F20" si="30">+B18+C18+D18+E18</f>
        <v>2.7019999999999995</v>
      </c>
      <c r="G18" s="10">
        <v>0.33100000000000002</v>
      </c>
      <c r="H18" s="10">
        <v>0.317</v>
      </c>
      <c r="I18" s="10">
        <v>0.30399999999999999</v>
      </c>
      <c r="J18" s="10">
        <v>0.29899999999999999</v>
      </c>
      <c r="K18" s="213">
        <f t="shared" ref="K18:K20" si="31">+G18+H18+I18+J18</f>
        <v>1.2509999999999999</v>
      </c>
      <c r="L18" s="10">
        <v>0.29299999999999998</v>
      </c>
      <c r="M18" s="10">
        <v>0.28699999999999998</v>
      </c>
      <c r="N18" s="10">
        <v>0.28000000000000003</v>
      </c>
      <c r="O18" s="10">
        <v>0.32100000000000001</v>
      </c>
      <c r="P18" s="213">
        <f t="shared" ref="P18:P20" si="32">+L18+M18+N18+O18</f>
        <v>1.181</v>
      </c>
      <c r="Q18" s="10">
        <v>1.2E-2</v>
      </c>
      <c r="R18" s="10">
        <v>0.01</v>
      </c>
      <c r="S18" s="10">
        <v>8.0000000000000002E-3</v>
      </c>
      <c r="T18" s="10">
        <v>4.7359999999999998</v>
      </c>
      <c r="U18" s="213">
        <f t="shared" ref="U18:U20" si="33">+Q18+R18+S18+T18</f>
        <v>4.766</v>
      </c>
      <c r="V18" s="10">
        <v>0.64600000000000002</v>
      </c>
      <c r="W18" s="10">
        <v>0.64400000000000002</v>
      </c>
      <c r="X18" s="10">
        <v>0.64400000000000002</v>
      </c>
      <c r="Y18" s="10">
        <v>0.64300000000000002</v>
      </c>
      <c r="Z18" s="213">
        <f t="shared" ref="Z18:Z20" si="34">+V18+W18+X18+Y18</f>
        <v>2.577</v>
      </c>
      <c r="AA18" s="10">
        <v>0.64400000000000002</v>
      </c>
      <c r="AB18" s="10">
        <v>0.64500000000000002</v>
      </c>
      <c r="AC18" s="10">
        <v>0.64400000000000002</v>
      </c>
      <c r="AD18" s="10">
        <v>0.64400000000000002</v>
      </c>
      <c r="AE18" s="213">
        <v>2.577</v>
      </c>
      <c r="AF18" s="10">
        <v>0.64400000000000002</v>
      </c>
      <c r="AG18" s="10">
        <v>0.64500000000000002</v>
      </c>
      <c r="AH18" s="10">
        <v>0.64400000000000002</v>
      </c>
      <c r="AI18" s="10">
        <v>0.64500000000000002</v>
      </c>
      <c r="AJ18" s="213">
        <f>SUM(AF18:AI18)</f>
        <v>2.5780000000000003</v>
      </c>
      <c r="AK18" s="10">
        <v>0.64500000000000002</v>
      </c>
      <c r="AL18" s="10">
        <v>0.64500000000000002</v>
      </c>
      <c r="AM18" s="10">
        <v>0.64600000000000002</v>
      </c>
      <c r="AN18" s="10">
        <v>0.64500000000000002</v>
      </c>
      <c r="AO18" s="213">
        <f t="shared" ref="AO18:AO20" si="35">+AK18+AL18+AM18+AN18</f>
        <v>2.581</v>
      </c>
      <c r="AP18" s="10">
        <v>0.79100000000000004</v>
      </c>
      <c r="AQ18" s="10">
        <v>0.98299999999999998</v>
      </c>
      <c r="AR18" s="10">
        <v>0.94299999999999995</v>
      </c>
      <c r="AS18" s="10">
        <v>1.18</v>
      </c>
      <c r="AT18" s="213">
        <f>SUM(AP18:AS18)</f>
        <v>3.8970000000000002</v>
      </c>
      <c r="AU18" s="358">
        <f>'Other Accts'!AU40</f>
        <v>0.86936900000000006</v>
      </c>
      <c r="AV18" s="10">
        <f>'Other Accts'!AV40</f>
        <v>0.86936900000000006</v>
      </c>
      <c r="AW18" s="10">
        <f>'Other Accts'!AW40</f>
        <v>0.86936900000000006</v>
      </c>
      <c r="AX18" s="10">
        <f>'Other Accts'!AX40</f>
        <v>0.86936900000000006</v>
      </c>
      <c r="AY18" s="213">
        <f>SUM(AU18:AX18)</f>
        <v>3.4774760000000002</v>
      </c>
      <c r="AZ18" s="10">
        <f>'Other Accts'!AZ40</f>
        <v>0.86936900000000006</v>
      </c>
      <c r="BA18" s="10">
        <f>'Other Accts'!BA40</f>
        <v>0.86936900000000006</v>
      </c>
      <c r="BB18" s="10">
        <f>'Other Accts'!BB40</f>
        <v>0.86936900000000006</v>
      </c>
      <c r="BC18" s="10">
        <f>'Other Accts'!BC40</f>
        <v>0.86936900000000006</v>
      </c>
      <c r="BD18" s="213">
        <f>SUM(AZ18:BC18)</f>
        <v>3.4774760000000002</v>
      </c>
      <c r="BE18" s="10">
        <f>'Other Accts'!BE40</f>
        <v>0.62507699999999999</v>
      </c>
      <c r="BF18" s="10">
        <f>'Other Accts'!BF40</f>
        <v>0.62507699999999999</v>
      </c>
      <c r="BG18" s="10">
        <f>'Other Accts'!BG40</f>
        <v>0.62507699999999999</v>
      </c>
      <c r="BH18" s="10">
        <f>'Other Accts'!BH40</f>
        <v>0.62507699999999999</v>
      </c>
      <c r="BI18" s="213">
        <f>SUM(BE18:BH18)</f>
        <v>2.500308</v>
      </c>
      <c r="BJ18" s="10">
        <f>'Other Accts'!BJ40</f>
        <v>0.62507699999999999</v>
      </c>
      <c r="BK18" s="10">
        <f>'Other Accts'!BK40</f>
        <v>0.62507699999999999</v>
      </c>
      <c r="BL18" s="10">
        <f>'Other Accts'!BL40</f>
        <v>0.62507699999999999</v>
      </c>
      <c r="BM18" s="10">
        <f>'Other Accts'!BM40</f>
        <v>0.62507699999999999</v>
      </c>
      <c r="BN18" s="213">
        <f>SUM(BJ18:BM18)</f>
        <v>2.500308</v>
      </c>
      <c r="BO18" s="10">
        <f>'Other Accts'!BO40</f>
        <v>0.62507699999999999</v>
      </c>
      <c r="BP18" s="10">
        <f>'Other Accts'!BP40</f>
        <v>0.62507699999999999</v>
      </c>
      <c r="BQ18" s="10">
        <f>'Other Accts'!BQ40</f>
        <v>0.62507699999999999</v>
      </c>
      <c r="BR18" s="10">
        <f>'Other Accts'!BR40</f>
        <v>0.62507699999999999</v>
      </c>
      <c r="BS18" s="213">
        <f>SUM(BO18:BR18)</f>
        <v>2.500308</v>
      </c>
      <c r="BT18" s="10">
        <f>'Other Accts'!BT40</f>
        <v>0.62507699999999999</v>
      </c>
      <c r="BU18" s="10">
        <f>'Other Accts'!BU40</f>
        <v>-6.906419022349306E-3</v>
      </c>
      <c r="BV18" s="10">
        <f>'Other Accts'!BV40</f>
        <v>-6.906419022349306E-3</v>
      </c>
      <c r="BW18" s="10">
        <f>'Other Accts'!BW40</f>
        <v>-6.906419022349306E-3</v>
      </c>
      <c r="BX18" s="213">
        <f>SUM(BT18:BW18)</f>
        <v>0.60435774293295197</v>
      </c>
      <c r="BY18" s="10">
        <f>'Other Accts'!BY40</f>
        <v>-6.906419022349306E-3</v>
      </c>
      <c r="BZ18" s="10">
        <f>'Other Accts'!BZ40</f>
        <v>0</v>
      </c>
      <c r="CA18" s="10">
        <f>'Other Accts'!CA40</f>
        <v>0</v>
      </c>
      <c r="CB18" s="10">
        <f>'Other Accts'!CB40</f>
        <v>0</v>
      </c>
      <c r="CC18" s="213">
        <f>SUM(BY18:CB18)</f>
        <v>-6.906419022349306E-3</v>
      </c>
      <c r="CD18" s="10">
        <f>'Other Accts'!CD40</f>
        <v>0</v>
      </c>
      <c r="CE18" s="10">
        <f>'Other Accts'!CE40</f>
        <v>0</v>
      </c>
      <c r="CF18" s="10">
        <f>'Other Accts'!CF40</f>
        <v>0</v>
      </c>
      <c r="CG18" s="10">
        <f>'Other Accts'!CG40</f>
        <v>0</v>
      </c>
      <c r="CH18" s="213">
        <f>SUM(CD18:CG18)</f>
        <v>0</v>
      </c>
      <c r="CI18" s="10">
        <f>'Other Accts'!CI40</f>
        <v>0</v>
      </c>
      <c r="CJ18" s="10">
        <f>'Other Accts'!CJ40</f>
        <v>0</v>
      </c>
      <c r="CK18" s="10">
        <f>'Other Accts'!CK40</f>
        <v>0</v>
      </c>
      <c r="CL18" s="10">
        <f>'Other Accts'!CL40</f>
        <v>0</v>
      </c>
      <c r="CM18" s="213">
        <f>SUM(CI18:CL18)</f>
        <v>0</v>
      </c>
    </row>
    <row r="19" spans="1:93" ht="12.75" customHeight="1">
      <c r="A19" s="64" t="s">
        <v>7</v>
      </c>
      <c r="B19" s="10">
        <v>-0.20499999999999999</v>
      </c>
      <c r="C19" s="10">
        <v>-0.36</v>
      </c>
      <c r="D19" s="10">
        <v>-0.65700000000000003</v>
      </c>
      <c r="E19" s="10">
        <v>-1.012</v>
      </c>
      <c r="F19" s="213">
        <f t="shared" si="30"/>
        <v>-2.234</v>
      </c>
      <c r="G19" s="10">
        <v>-0.98499999999999999</v>
      </c>
      <c r="H19" s="10">
        <v>-0.98899999999999999</v>
      </c>
      <c r="I19" s="10">
        <v>-0.95799999999999996</v>
      </c>
      <c r="J19" s="10">
        <v>-2.3340000000000001</v>
      </c>
      <c r="K19" s="213">
        <f t="shared" si="31"/>
        <v>-5.266</v>
      </c>
      <c r="L19" s="10">
        <v>-2.4849999999999999</v>
      </c>
      <c r="M19" s="10">
        <v>-3.0990000000000002</v>
      </c>
      <c r="N19" s="10">
        <v>-4.2859999999999996</v>
      </c>
      <c r="O19" s="10">
        <v>-3.871</v>
      </c>
      <c r="P19" s="213">
        <f t="shared" si="32"/>
        <v>-13.741</v>
      </c>
      <c r="Q19" s="10">
        <v>-3.3180000000000001</v>
      </c>
      <c r="R19" s="10">
        <v>-2.64</v>
      </c>
      <c r="S19" s="10">
        <v>-2.3130000000000002</v>
      </c>
      <c r="T19" s="10">
        <v>-1.9</v>
      </c>
      <c r="U19" s="213">
        <f t="shared" si="33"/>
        <v>-10.171000000000001</v>
      </c>
      <c r="V19" s="10">
        <v>-1.5509999999999999</v>
      </c>
      <c r="W19" s="10">
        <v>-1.0369999999999999</v>
      </c>
      <c r="X19" s="10">
        <v>-0.68899999999999995</v>
      </c>
      <c r="Y19" s="10">
        <v>-0.65300000000000002</v>
      </c>
      <c r="Z19" s="213">
        <f t="shared" si="34"/>
        <v>-3.93</v>
      </c>
      <c r="AA19" s="10">
        <v>-0.77800000000000002</v>
      </c>
      <c r="AB19" s="10">
        <v>-1.387</v>
      </c>
      <c r="AC19" s="10">
        <v>-1.754</v>
      </c>
      <c r="AD19" s="10">
        <v>-2.15</v>
      </c>
      <c r="AE19" s="213">
        <v>-6.069</v>
      </c>
      <c r="AF19" s="10">
        <v>-3.06</v>
      </c>
      <c r="AG19" s="10">
        <v>-6.7270000000000003</v>
      </c>
      <c r="AH19" s="10">
        <v>-11.69</v>
      </c>
      <c r="AI19" s="10">
        <v>-13.888</v>
      </c>
      <c r="AJ19" s="213">
        <f>SUM(AF19:AI19)</f>
        <v>-35.365000000000002</v>
      </c>
      <c r="AK19" s="10">
        <v>-14.868</v>
      </c>
      <c r="AL19" s="10">
        <v>-13.913</v>
      </c>
      <c r="AM19" s="10">
        <v>-13.257</v>
      </c>
      <c r="AN19" s="10">
        <v>-11.653</v>
      </c>
      <c r="AO19" s="213">
        <f t="shared" si="35"/>
        <v>-53.690999999999995</v>
      </c>
      <c r="AP19" s="10">
        <v>-9.1120000000000001</v>
      </c>
      <c r="AQ19" s="10">
        <v>-7.56</v>
      </c>
      <c r="AR19" s="10">
        <v>-7.391</v>
      </c>
      <c r="AS19" s="10">
        <v>-10.032</v>
      </c>
      <c r="AT19" s="213">
        <f>SUM(AP19:AS19)</f>
        <v>-34.094999999999999</v>
      </c>
      <c r="AU19" s="358">
        <f>-'Other Accts'!AU8</f>
        <v>-12.015979999999999</v>
      </c>
      <c r="AV19" s="10">
        <f>-'Other Accts'!AV8</f>
        <v>-11.319718355948458</v>
      </c>
      <c r="AW19" s="10">
        <f>-'Other Accts'!AW8</f>
        <v>-9.3321192732007496</v>
      </c>
      <c r="AX19" s="10">
        <f>-'Other Accts'!AX8</f>
        <v>-9.0730643313899346</v>
      </c>
      <c r="AY19" s="213">
        <f>SUM(AU19:AX19)</f>
        <v>-41.740881960539149</v>
      </c>
      <c r="AZ19" s="10">
        <f>-'Other Accts'!AZ8</f>
        <v>-7.7207031084582347</v>
      </c>
      <c r="BA19" s="10">
        <f>-'Other Accts'!BA8</f>
        <v>-7.4608202447250154</v>
      </c>
      <c r="BB19" s="10">
        <f>-'Other Accts'!BB8</f>
        <v>-7.186314714332795</v>
      </c>
      <c r="BC19" s="10">
        <f>-'Other Accts'!BC8</f>
        <v>-7.2443051508418135</v>
      </c>
      <c r="BD19" s="213">
        <f>SUM(AZ19:BC19)</f>
        <v>-29.612143218357861</v>
      </c>
      <c r="BE19" s="10">
        <f>-'Other Accts'!BE8</f>
        <v>-3.9290410543275014</v>
      </c>
      <c r="BF19" s="10">
        <f>-'Other Accts'!BF8</f>
        <v>-4.0461887414852535</v>
      </c>
      <c r="BG19" s="10">
        <f>-'Other Accts'!BG8</f>
        <v>-4.0763709282689256</v>
      </c>
      <c r="BH19" s="10">
        <f>-'Other Accts'!BH8</f>
        <v>-4.5782475991830234</v>
      </c>
      <c r="BI19" s="213">
        <f>SUM(BE19:BH19)</f>
        <v>-16.629848323264703</v>
      </c>
      <c r="BJ19" s="10">
        <f>-'Other Accts'!BJ8</f>
        <v>-5.4936504300304181</v>
      </c>
      <c r="BK19" s="10">
        <f>-'Other Accts'!BK8</f>
        <v>-6.2002691060426365</v>
      </c>
      <c r="BL19" s="10">
        <f>-'Other Accts'!BL8</f>
        <v>-6.5251800554528865</v>
      </c>
      <c r="BM19" s="10">
        <f>-'Other Accts'!BM8</f>
        <v>-7.4661190829250019</v>
      </c>
      <c r="BN19" s="213">
        <f>SUM(BJ19:BM19)</f>
        <v>-25.68521867445094</v>
      </c>
      <c r="BO19" s="10">
        <f>-'Other Accts'!BO8</f>
        <v>-8.8860166278539108</v>
      </c>
      <c r="BP19" s="10">
        <f>-'Other Accts'!BP8</f>
        <v>-10.006369283012425</v>
      </c>
      <c r="BQ19" s="10">
        <f>-'Other Accts'!BQ8</f>
        <v>-10.719198782551821</v>
      </c>
      <c r="BR19" s="10">
        <f>-'Other Accts'!BR8</f>
        <v>-12.127092013167994</v>
      </c>
      <c r="BS19" s="213">
        <f>SUM(BO19:BR19)</f>
        <v>-41.738676706586155</v>
      </c>
      <c r="BT19" s="10">
        <f>-'Other Accts'!BT8</f>
        <v>-14.103087174873838</v>
      </c>
      <c r="BU19" s="10">
        <f>-'Other Accts'!BU8</f>
        <v>-11.093802031936551</v>
      </c>
      <c r="BV19" s="10">
        <f>-'Other Accts'!BV8</f>
        <v>-12.09225713322062</v>
      </c>
      <c r="BW19" s="10">
        <f>-'Other Accts'!BW8</f>
        <v>-13.8683463943724</v>
      </c>
      <c r="BX19" s="213">
        <f>SUM(BT19:BW19)</f>
        <v>-51.157492734403412</v>
      </c>
      <c r="BY19" s="10">
        <f>-'Other Accts'!BY8</f>
        <v>-16.263805030626511</v>
      </c>
      <c r="BZ19" s="10">
        <f>-'Other Accts'!BZ8</f>
        <v>-18.281467504512595</v>
      </c>
      <c r="CA19" s="10">
        <f>-'Other Accts'!CA8</f>
        <v>-19.517817448745571</v>
      </c>
      <c r="CB19" s="10">
        <f>-'Other Accts'!CB8</f>
        <v>-21.618196367078113</v>
      </c>
      <c r="CC19" s="213">
        <f>SUM(BY19:CB19)</f>
        <v>-75.681286350962793</v>
      </c>
      <c r="CD19" s="10">
        <f>-'Other Accts'!CD8</f>
        <v>-24.368937493373686</v>
      </c>
      <c r="CE19" s="10">
        <f>-'Other Accts'!CE8</f>
        <v>-26.698892592095472</v>
      </c>
      <c r="CF19" s="10">
        <f>-'Other Accts'!CF8</f>
        <v>-25.292287999815052</v>
      </c>
      <c r="CG19" s="10">
        <f>-'Other Accts'!CG8</f>
        <v>-27.680060720321556</v>
      </c>
      <c r="CH19" s="213">
        <f>SUM(CD19:CG19)</f>
        <v>-104.04017880560576</v>
      </c>
      <c r="CI19" s="10">
        <f>-'Other Accts'!CI8</f>
        <v>-30.743792424358524</v>
      </c>
      <c r="CJ19" s="10">
        <f>-'Other Accts'!CJ8</f>
        <v>-33.337620728452372</v>
      </c>
      <c r="CK19" s="10">
        <f>-'Other Accts'!CK8</f>
        <v>-35.047223544838204</v>
      </c>
      <c r="CL19" s="10">
        <f>-'Other Accts'!CL8</f>
        <v>-37.672196352603478</v>
      </c>
      <c r="CM19" s="213">
        <f>SUM(CI19:CL19)</f>
        <v>-136.80083305025258</v>
      </c>
    </row>
    <row r="20" spans="1:93" ht="12.75" customHeight="1">
      <c r="A20" s="64" t="s">
        <v>8</v>
      </c>
      <c r="B20" s="10">
        <v>0.20399999999999999</v>
      </c>
      <c r="C20" s="10">
        <v>0.44500000000000001</v>
      </c>
      <c r="D20" s="10">
        <v>0.26600000000000001</v>
      </c>
      <c r="E20" s="10">
        <v>0.14399999999999999</v>
      </c>
      <c r="F20" s="213">
        <f t="shared" si="30"/>
        <v>1.0589999999999999</v>
      </c>
      <c r="G20" s="10">
        <v>-4.149</v>
      </c>
      <c r="H20" s="10">
        <v>-0.39500000000000002</v>
      </c>
      <c r="I20" s="10">
        <v>-4.2999999999999997E-2</v>
      </c>
      <c r="J20" s="10">
        <v>-0.115</v>
      </c>
      <c r="K20" s="213">
        <f t="shared" si="31"/>
        <v>-4.7020000000000008</v>
      </c>
      <c r="L20" s="10">
        <v>-0.14699999999999999</v>
      </c>
      <c r="M20" s="10">
        <v>5.0999999999999997E-2</v>
      </c>
      <c r="N20" s="10">
        <v>-0.17899999999999999</v>
      </c>
      <c r="O20" s="10">
        <v>0.187</v>
      </c>
      <c r="P20" s="213">
        <f t="shared" si="32"/>
        <v>-8.8000000000000023E-2</v>
      </c>
      <c r="Q20" s="10">
        <v>0.20899999999999999</v>
      </c>
      <c r="R20" s="10">
        <v>-2.2850000000000001</v>
      </c>
      <c r="S20" s="10">
        <v>-0.34499999999999997</v>
      </c>
      <c r="T20" s="10">
        <f>-1.22+1</f>
        <v>-0.21999999999999997</v>
      </c>
      <c r="U20" s="213">
        <f t="shared" si="33"/>
        <v>-2.641</v>
      </c>
      <c r="V20" s="10">
        <v>0.28999999999999998</v>
      </c>
      <c r="W20" s="10">
        <v>0.24299999999999999</v>
      </c>
      <c r="X20" s="10">
        <v>0.187</v>
      </c>
      <c r="Y20" s="10">
        <f>-25.898+26.1</f>
        <v>0.20200000000000173</v>
      </c>
      <c r="Z20" s="213">
        <f t="shared" si="34"/>
        <v>0.92200000000000171</v>
      </c>
      <c r="AA20" s="10">
        <v>4.8000000000000001E-2</v>
      </c>
      <c r="AB20" s="10">
        <f>-0.378+99.785</f>
        <v>99.406999999999996</v>
      </c>
      <c r="AC20" s="10">
        <f>18.389-13.23-5.261</f>
        <v>-0.1020000000000012</v>
      </c>
      <c r="AD20" s="10">
        <f>-5.281+5.437+1.1</f>
        <v>1.2560000000000007</v>
      </c>
      <c r="AE20" s="213">
        <f>SUM(AA20:AD20)</f>
        <v>100.60899999999999</v>
      </c>
      <c r="AF20" s="10">
        <f>1.654+3.882-5.485</f>
        <v>5.0999999999999268E-2</v>
      </c>
      <c r="AG20" s="10">
        <f>-41.259+63.997-23.569</f>
        <v>-0.83099999999999952</v>
      </c>
      <c r="AH20" s="10">
        <f>-16.885+16.634</f>
        <v>-0.25100000000000122</v>
      </c>
      <c r="AI20" s="10">
        <f>3.316-4.803+2.631</f>
        <v>1.1439999999999997</v>
      </c>
      <c r="AJ20" s="213">
        <f>SUM(AF20:AI20)</f>
        <v>0.11299999999999821</v>
      </c>
      <c r="AK20" s="10">
        <f>29.12-30.054</f>
        <v>-0.9339999999999975</v>
      </c>
      <c r="AL20" s="10">
        <f>15.145-15.485</f>
        <v>-0.33999999999999986</v>
      </c>
      <c r="AM20" s="10">
        <f>3.007-1.686</f>
        <v>1.3210000000000002</v>
      </c>
      <c r="AN20" s="10">
        <f>-4.667+2.824+1.1</f>
        <v>-0.74299999999999988</v>
      </c>
      <c r="AO20" s="213">
        <f t="shared" si="35"/>
        <v>-0.69599999999999707</v>
      </c>
      <c r="AP20" s="10">
        <f>-7.851-5+13.672</f>
        <v>0.82100000000000151</v>
      </c>
      <c r="AQ20" s="10">
        <v>2.5000000000000001E-2</v>
      </c>
      <c r="AR20" s="10">
        <v>4.8000000000000001E-2</v>
      </c>
      <c r="AS20" s="10">
        <f>18.268-13.582-4.9</f>
        <v>-0.21400000000000041</v>
      </c>
      <c r="AT20" s="213">
        <f>SUM(AP20:AS20)</f>
        <v>0.68000000000000116</v>
      </c>
      <c r="AU20" s="359">
        <v>0</v>
      </c>
      <c r="AV20" s="188">
        <v>0</v>
      </c>
      <c r="AW20" s="188">
        <v>0</v>
      </c>
      <c r="AX20" s="188">
        <v>0</v>
      </c>
      <c r="AY20" s="213">
        <f>SUM(AU20:AX20)</f>
        <v>0</v>
      </c>
      <c r="AZ20" s="188">
        <v>0</v>
      </c>
      <c r="BA20" s="188">
        <v>0</v>
      </c>
      <c r="BB20" s="188">
        <v>0</v>
      </c>
      <c r="BC20" s="188">
        <v>0</v>
      </c>
      <c r="BD20" s="213">
        <f>SUM(AZ20:BC20)</f>
        <v>0</v>
      </c>
      <c r="BE20" s="188">
        <v>0</v>
      </c>
      <c r="BF20" s="188">
        <v>0</v>
      </c>
      <c r="BG20" s="188">
        <v>0</v>
      </c>
      <c r="BH20" s="188">
        <v>0</v>
      </c>
      <c r="BI20" s="213">
        <f>SUM(BE20:BH20)</f>
        <v>0</v>
      </c>
      <c r="BJ20" s="188">
        <v>0</v>
      </c>
      <c r="BK20" s="188">
        <v>0</v>
      </c>
      <c r="BL20" s="188">
        <v>0</v>
      </c>
      <c r="BM20" s="188">
        <v>0</v>
      </c>
      <c r="BN20" s="213">
        <f>SUM(BJ20:BM20)</f>
        <v>0</v>
      </c>
      <c r="BO20" s="188">
        <v>0</v>
      </c>
      <c r="BP20" s="188">
        <v>0</v>
      </c>
      <c r="BQ20" s="188">
        <v>0</v>
      </c>
      <c r="BR20" s="188">
        <v>0</v>
      </c>
      <c r="BS20" s="213">
        <f>SUM(BO20:BR20)</f>
        <v>0</v>
      </c>
      <c r="BT20" s="188">
        <v>0</v>
      </c>
      <c r="BU20" s="188">
        <v>0</v>
      </c>
      <c r="BV20" s="188">
        <v>0</v>
      </c>
      <c r="BW20" s="188">
        <v>0</v>
      </c>
      <c r="BX20" s="213">
        <f>SUM(BT20:BW20)</f>
        <v>0</v>
      </c>
      <c r="BY20" s="188">
        <v>0</v>
      </c>
      <c r="BZ20" s="188">
        <v>0</v>
      </c>
      <c r="CA20" s="188">
        <v>0</v>
      </c>
      <c r="CB20" s="188">
        <v>0</v>
      </c>
      <c r="CC20" s="213">
        <f>SUM(BY20:CB20)</f>
        <v>0</v>
      </c>
      <c r="CD20" s="188">
        <v>0</v>
      </c>
      <c r="CE20" s="188">
        <v>0</v>
      </c>
      <c r="CF20" s="188">
        <v>0</v>
      </c>
      <c r="CG20" s="188">
        <v>0</v>
      </c>
      <c r="CH20" s="213">
        <f>SUM(CD20:CG20)</f>
        <v>0</v>
      </c>
      <c r="CI20" s="188">
        <v>0</v>
      </c>
      <c r="CJ20" s="188">
        <v>0</v>
      </c>
      <c r="CK20" s="188">
        <v>0</v>
      </c>
      <c r="CL20" s="188">
        <v>0</v>
      </c>
      <c r="CM20" s="213">
        <f>SUM(CI20:CL20)</f>
        <v>0</v>
      </c>
    </row>
    <row r="21" spans="1:93" s="12" customFormat="1" ht="12.75" customHeight="1">
      <c r="A21" s="12" t="s">
        <v>9</v>
      </c>
      <c r="B21" s="187">
        <f>+B17-B18-B19-B20</f>
        <v>-15.373000000000001</v>
      </c>
      <c r="C21" s="187">
        <f t="shared" ref="C21:BN21" si="36">+C17-C18-C19-C20</f>
        <v>-17.833000000000002</v>
      </c>
      <c r="D21" s="187">
        <f t="shared" si="36"/>
        <v>-26.759</v>
      </c>
      <c r="E21" s="187">
        <f t="shared" si="36"/>
        <v>-13.480999999999998</v>
      </c>
      <c r="F21" s="212">
        <f t="shared" si="36"/>
        <v>-73.445999999999998</v>
      </c>
      <c r="G21" s="187">
        <f t="shared" si="36"/>
        <v>-12.566999999999997</v>
      </c>
      <c r="H21" s="187">
        <f t="shared" si="36"/>
        <v>-20.455999999999996</v>
      </c>
      <c r="I21" s="187">
        <f t="shared" si="36"/>
        <v>-21.676999999999996</v>
      </c>
      <c r="J21" s="187">
        <f t="shared" si="36"/>
        <v>-22.674000000000007</v>
      </c>
      <c r="K21" s="212">
        <f t="shared" si="36"/>
        <v>-77.373999999999981</v>
      </c>
      <c r="L21" s="187">
        <f t="shared" si="36"/>
        <v>-18.142999999999994</v>
      </c>
      <c r="M21" s="187">
        <f t="shared" si="36"/>
        <v>-9.291999999999998</v>
      </c>
      <c r="N21" s="187">
        <f t="shared" si="36"/>
        <v>-7.8080000000000016</v>
      </c>
      <c r="O21" s="187">
        <f t="shared" si="36"/>
        <v>-17.527000000000005</v>
      </c>
      <c r="P21" s="212">
        <f t="shared" si="36"/>
        <v>-52.769999999999975</v>
      </c>
      <c r="Q21" s="187">
        <f t="shared" si="36"/>
        <v>-15.433999999999992</v>
      </c>
      <c r="R21" s="187">
        <f t="shared" si="36"/>
        <v>-23.505000000000017</v>
      </c>
      <c r="S21" s="187">
        <f t="shared" si="36"/>
        <v>-15.32899999999999</v>
      </c>
      <c r="T21" s="187">
        <f t="shared" si="36"/>
        <v>-36.38900000000001</v>
      </c>
      <c r="U21" s="212">
        <f t="shared" si="36"/>
        <v>-90.656999999999968</v>
      </c>
      <c r="V21" s="187">
        <f t="shared" si="36"/>
        <v>-49.267999999999994</v>
      </c>
      <c r="W21" s="187">
        <f t="shared" si="36"/>
        <v>-61.356999999999992</v>
      </c>
      <c r="X21" s="187">
        <f t="shared" si="36"/>
        <v>-70.412000000000035</v>
      </c>
      <c r="Y21" s="187">
        <f t="shared" si="36"/>
        <v>-70.345000000000013</v>
      </c>
      <c r="Z21" s="212">
        <f t="shared" si="36"/>
        <v>-251.38199999999998</v>
      </c>
      <c r="AA21" s="187">
        <f t="shared" si="36"/>
        <v>-93.207999999999984</v>
      </c>
      <c r="AB21" s="187">
        <f t="shared" si="36"/>
        <v>-201.11199999999997</v>
      </c>
      <c r="AC21" s="187">
        <f t="shared" si="36"/>
        <v>-120.72100000000002</v>
      </c>
      <c r="AD21" s="187">
        <f t="shared" si="36"/>
        <v>-118.98900000000002</v>
      </c>
      <c r="AE21" s="212">
        <f t="shared" si="36"/>
        <v>-534.03</v>
      </c>
      <c r="AF21" s="187">
        <f t="shared" si="36"/>
        <v>-108.28699999999999</v>
      </c>
      <c r="AG21" s="187">
        <f t="shared" si="36"/>
        <v>-88.222999999999956</v>
      </c>
      <c r="AH21" s="187">
        <f t="shared" si="36"/>
        <v>-78.704999999999984</v>
      </c>
      <c r="AI21" s="187">
        <f t="shared" si="36"/>
        <v>-76.432999999999979</v>
      </c>
      <c r="AJ21" s="212">
        <f t="shared" si="36"/>
        <v>-351.64800000000002</v>
      </c>
      <c r="AK21" s="187">
        <f t="shared" si="36"/>
        <v>-56.011999999999993</v>
      </c>
      <c r="AL21" s="187">
        <f t="shared" si="36"/>
        <v>-58.323000000000022</v>
      </c>
      <c r="AM21" s="187">
        <f t="shared" si="36"/>
        <v>-54.995000000000012</v>
      </c>
      <c r="AN21" s="187">
        <f t="shared" si="36"/>
        <v>-76.566999999999993</v>
      </c>
      <c r="AO21" s="212">
        <f t="shared" si="36"/>
        <v>-245.89700000000011</v>
      </c>
      <c r="AP21" s="187">
        <f t="shared" si="36"/>
        <v>-60.796999999999997</v>
      </c>
      <c r="AQ21" s="187">
        <f t="shared" si="36"/>
        <v>-54.965999999999994</v>
      </c>
      <c r="AR21" s="187">
        <f t="shared" si="36"/>
        <v>-48.125999999999983</v>
      </c>
      <c r="AS21" s="187">
        <f t="shared" si="36"/>
        <v>-65.509</v>
      </c>
      <c r="AT21" s="212">
        <f t="shared" si="36"/>
        <v>-229.39799999999994</v>
      </c>
      <c r="AU21" s="357">
        <f t="shared" si="36"/>
        <v>-37.472179627317708</v>
      </c>
      <c r="AV21" s="187">
        <f t="shared" si="36"/>
        <v>-35.05182292827466</v>
      </c>
      <c r="AW21" s="187">
        <f t="shared" si="36"/>
        <v>-32.124586594934442</v>
      </c>
      <c r="AX21" s="187">
        <f t="shared" si="36"/>
        <v>-53.224125054616408</v>
      </c>
      <c r="AY21" s="212">
        <f t="shared" si="36"/>
        <v>-157.87271420514327</v>
      </c>
      <c r="AZ21" s="187">
        <f t="shared" si="36"/>
        <v>15.427024970841462</v>
      </c>
      <c r="BA21" s="187">
        <f t="shared" si="36"/>
        <v>19.732313210788668</v>
      </c>
      <c r="BB21" s="187">
        <f t="shared" si="36"/>
        <v>16.419631358538417</v>
      </c>
      <c r="BC21" s="187">
        <f t="shared" si="36"/>
        <v>-4.0452552110084872</v>
      </c>
      <c r="BD21" s="212">
        <f t="shared" si="36"/>
        <v>47.533714329160347</v>
      </c>
      <c r="BE21" s="187">
        <f t="shared" si="36"/>
        <v>77.368964553903723</v>
      </c>
      <c r="BF21" s="187">
        <f t="shared" si="36"/>
        <v>83.476547272620479</v>
      </c>
      <c r="BG21" s="187">
        <f t="shared" si="36"/>
        <v>82.962458860106395</v>
      </c>
      <c r="BH21" s="187">
        <f t="shared" si="36"/>
        <v>60.547556493695382</v>
      </c>
      <c r="BI21" s="212">
        <f t="shared" si="36"/>
        <v>304.35552718032602</v>
      </c>
      <c r="BJ21" s="187">
        <f t="shared" si="36"/>
        <v>142.36905961930123</v>
      </c>
      <c r="BK21" s="187">
        <f t="shared" si="36"/>
        <v>142.24034225112754</v>
      </c>
      <c r="BL21" s="187">
        <f t="shared" si="36"/>
        <v>143.17012699420516</v>
      </c>
      <c r="BM21" s="187">
        <f t="shared" si="36"/>
        <v>113.36653282962628</v>
      </c>
      <c r="BN21" s="212">
        <f t="shared" si="36"/>
        <v>541.14606169426065</v>
      </c>
      <c r="BO21" s="187">
        <f t="shared" ref="BO21:CM21" si="37">+BO17-BO18-BO19-BO20</f>
        <v>206.48998632232772</v>
      </c>
      <c r="BP21" s="187">
        <f t="shared" si="37"/>
        <v>212.55319273232382</v>
      </c>
      <c r="BQ21" s="187">
        <f t="shared" si="37"/>
        <v>207.91411865537438</v>
      </c>
      <c r="BR21" s="187">
        <f t="shared" si="37"/>
        <v>175.09140357546431</v>
      </c>
      <c r="BS21" s="212">
        <f t="shared" si="37"/>
        <v>802.04870128549044</v>
      </c>
      <c r="BT21" s="187">
        <f t="shared" si="37"/>
        <v>267.48698350963468</v>
      </c>
      <c r="BU21" s="187">
        <f t="shared" si="37"/>
        <v>263.8455080989965</v>
      </c>
      <c r="BV21" s="187">
        <f t="shared" si="37"/>
        <v>255.35063218286368</v>
      </c>
      <c r="BW21" s="187">
        <f t="shared" si="37"/>
        <v>216.32434500517479</v>
      </c>
      <c r="BX21" s="212">
        <f t="shared" si="37"/>
        <v>1003.0074687966701</v>
      </c>
      <c r="BY21" s="187">
        <f t="shared" si="37"/>
        <v>309.63385835000793</v>
      </c>
      <c r="BZ21" s="187">
        <f t="shared" si="37"/>
        <v>305.09909221371828</v>
      </c>
      <c r="CA21" s="187">
        <f t="shared" si="37"/>
        <v>297.39951638833753</v>
      </c>
      <c r="CB21" s="187">
        <f t="shared" si="37"/>
        <v>253.01106308546161</v>
      </c>
      <c r="CC21" s="212">
        <f t="shared" si="37"/>
        <v>1165.1435300375251</v>
      </c>
      <c r="CD21" s="187">
        <f t="shared" si="37"/>
        <v>357.07096411247755</v>
      </c>
      <c r="CE21" s="187">
        <f t="shared" si="37"/>
        <v>354.46045385133863</v>
      </c>
      <c r="CF21" s="187">
        <f t="shared" si="37"/>
        <v>335.94940954101912</v>
      </c>
      <c r="CG21" s="187">
        <f t="shared" si="37"/>
        <v>285.57140953256476</v>
      </c>
      <c r="CH21" s="212">
        <f t="shared" si="37"/>
        <v>1333.0522370374008</v>
      </c>
      <c r="CI21" s="187">
        <f t="shared" si="37"/>
        <v>394.11372686353667</v>
      </c>
      <c r="CJ21" s="187">
        <f t="shared" si="37"/>
        <v>385.52403765669413</v>
      </c>
      <c r="CK21" s="187">
        <f t="shared" si="37"/>
        <v>365.41749191557483</v>
      </c>
      <c r="CL21" s="187">
        <f t="shared" si="37"/>
        <v>308.56855380471848</v>
      </c>
      <c r="CM21" s="212">
        <f t="shared" si="37"/>
        <v>1453.6238102405246</v>
      </c>
    </row>
    <row r="22" spans="1:93" s="8" customFormat="1" ht="12.75" customHeight="1">
      <c r="A22" s="64" t="s">
        <v>10</v>
      </c>
      <c r="B22" s="10">
        <v>0</v>
      </c>
      <c r="C22" s="10">
        <v>0</v>
      </c>
      <c r="D22" s="10">
        <v>0</v>
      </c>
      <c r="E22" s="10">
        <v>7.0000000000000001E-3</v>
      </c>
      <c r="F22" s="213">
        <f t="shared" ref="F22:F23" si="38">+B22+C22+D22+E22</f>
        <v>7.0000000000000001E-3</v>
      </c>
      <c r="G22" s="10">
        <v>0</v>
      </c>
      <c r="H22" s="10">
        <v>3.0000000000000001E-3</v>
      </c>
      <c r="I22" s="10">
        <v>0</v>
      </c>
      <c r="J22" s="10">
        <v>3.5000000000000003E-2</v>
      </c>
      <c r="K22" s="213">
        <f t="shared" ref="K22:K23" si="39">+G22+H22+I22+J22</f>
        <v>3.8000000000000006E-2</v>
      </c>
      <c r="L22" s="10">
        <v>2.5999999999999999E-2</v>
      </c>
      <c r="M22" s="10">
        <v>-1.2070000000000001</v>
      </c>
      <c r="N22" s="10">
        <v>-0.20200000000000001</v>
      </c>
      <c r="O22" s="10">
        <v>-0.48899999999999999</v>
      </c>
      <c r="P22" s="213">
        <f>+L22+M22+N22+O22</f>
        <v>-1.8719999999999999</v>
      </c>
      <c r="Q22" s="10">
        <v>1.4E-2</v>
      </c>
      <c r="R22" s="10">
        <v>3.4000000000000002E-2</v>
      </c>
      <c r="S22" s="10">
        <v>6.8000000000000005E-2</v>
      </c>
      <c r="T22" s="10">
        <v>0.26300000000000001</v>
      </c>
      <c r="U22" s="213">
        <f t="shared" ref="U22:U23" si="40">+Q22+R22+S22+T22</f>
        <v>0.379</v>
      </c>
      <c r="V22" s="10">
        <v>0.11</v>
      </c>
      <c r="W22" s="10">
        <v>8.3000000000000004E-2</v>
      </c>
      <c r="X22" s="10">
        <v>9.6000000000000002E-2</v>
      </c>
      <c r="Y22" s="10">
        <v>1.0999999999999999E-2</v>
      </c>
      <c r="Z22" s="213">
        <f t="shared" ref="Z22:Z23" si="41">+V22+W22+X22+Y22</f>
        <v>0.30000000000000004</v>
      </c>
      <c r="AA22" s="10">
        <v>-2.4E-2</v>
      </c>
      <c r="AB22" s="10">
        <v>0.44600000000000001</v>
      </c>
      <c r="AC22" s="10">
        <v>0.115</v>
      </c>
      <c r="AD22" s="10">
        <v>0.60199999999999998</v>
      </c>
      <c r="AE22" s="213">
        <f t="shared" ref="AE22" si="42">SUM(AA22:AD22)</f>
        <v>1.139</v>
      </c>
      <c r="AF22" s="10">
        <v>0.24</v>
      </c>
      <c r="AG22" s="10">
        <v>0.496</v>
      </c>
      <c r="AH22" s="10">
        <v>0.49</v>
      </c>
      <c r="AI22" s="10">
        <v>-0.54100000000000004</v>
      </c>
      <c r="AJ22" s="213">
        <f>SUM(AF22:AI22)</f>
        <v>0.68499999999999994</v>
      </c>
      <c r="AK22" s="10">
        <v>0.40500000000000003</v>
      </c>
      <c r="AL22" s="10">
        <v>0.13300000000000001</v>
      </c>
      <c r="AM22" s="10">
        <v>0.03</v>
      </c>
      <c r="AN22" s="10">
        <v>0.71599999999999997</v>
      </c>
      <c r="AO22" s="213">
        <f>+AK22+AL22+AM22+AN22</f>
        <v>1.284</v>
      </c>
      <c r="AP22" s="10">
        <v>0.28999999999999998</v>
      </c>
      <c r="AQ22" s="10">
        <v>3.7999999999999999E-2</v>
      </c>
      <c r="AR22" s="10">
        <v>0.13600000000000001</v>
      </c>
      <c r="AS22" s="10">
        <v>-1.7270000000000001</v>
      </c>
      <c r="AT22" s="213">
        <f>+AP22+AQ22+AR22+AS22</f>
        <v>-1.2630000000000001</v>
      </c>
      <c r="AU22" s="358">
        <f t="shared" ref="AU22:AX22" si="43">AU21*AU71</f>
        <v>-0.18736089813658854</v>
      </c>
      <c r="AV22" s="10">
        <f t="shared" si="43"/>
        <v>-0.17525911464137331</v>
      </c>
      <c r="AW22" s="10">
        <f t="shared" si="43"/>
        <v>-0.1606229329746722</v>
      </c>
      <c r="AX22" s="10">
        <f t="shared" si="43"/>
        <v>-0.26612062527308206</v>
      </c>
      <c r="AY22" s="213">
        <f>+AU22+AV22+AW22+AX22</f>
        <v>-0.78936357102571608</v>
      </c>
      <c r="AZ22" s="10">
        <f t="shared" ref="AZ22" si="44">AZ21*AZ71</f>
        <v>7.7135124854207315E-2</v>
      </c>
      <c r="BA22" s="10">
        <f t="shared" ref="BA22" si="45">BA21*BA71</f>
        <v>9.8661566053943342E-2</v>
      </c>
      <c r="BB22" s="10">
        <f t="shared" ref="BB22" si="46">BB21*BB71</f>
        <v>8.2098156792692084E-2</v>
      </c>
      <c r="BC22" s="10">
        <f t="shared" ref="BC22" si="47">BC21*BC71</f>
        <v>-2.0226276055042437E-2</v>
      </c>
      <c r="BD22" s="213">
        <f>+AZ22+BA22+BB22+BC22</f>
        <v>0.23766857164580027</v>
      </c>
      <c r="BE22" s="10">
        <f t="shared" ref="BE22" si="48">BE21*BE71</f>
        <v>0.38684482276951865</v>
      </c>
      <c r="BF22" s="10">
        <f t="shared" ref="BF22" si="49">BF21*BF71</f>
        <v>0.41738273636310241</v>
      </c>
      <c r="BG22" s="10">
        <f t="shared" ref="BG22" si="50">BG21*BG71</f>
        <v>0.41481229430053196</v>
      </c>
      <c r="BH22" s="10">
        <f t="shared" ref="BH22" si="51">BH21*BH71</f>
        <v>0.30273778246847693</v>
      </c>
      <c r="BI22" s="213">
        <f>+BE22+BF22+BG22+BH22</f>
        <v>1.52177763590163</v>
      </c>
      <c r="BJ22" s="10">
        <f t="shared" ref="BJ22" si="52">BJ21*BJ71</f>
        <v>0.7118452980965061</v>
      </c>
      <c r="BK22" s="10">
        <f t="shared" ref="BK22" si="53">BK21*BK71</f>
        <v>0.71120171125563769</v>
      </c>
      <c r="BL22" s="10">
        <f t="shared" ref="BL22" si="54">BL21*BL71</f>
        <v>0.71585063497102586</v>
      </c>
      <c r="BM22" s="10">
        <f t="shared" ref="BM22" si="55">BM21*BM71</f>
        <v>0.56683266414813138</v>
      </c>
      <c r="BN22" s="213">
        <f>+BJ22+BK22+BL22+BM22</f>
        <v>2.7057303084713014</v>
      </c>
      <c r="BO22" s="10">
        <f t="shared" ref="BO22" si="56">BO21*BO71</f>
        <v>1.0324499316116387</v>
      </c>
      <c r="BP22" s="10">
        <f t="shared" ref="BP22" si="57">BP21*BP71</f>
        <v>1.0627659636616191</v>
      </c>
      <c r="BQ22" s="10">
        <f t="shared" ref="BQ22" si="58">BQ21*BQ71</f>
        <v>1.039570593276872</v>
      </c>
      <c r="BR22" s="10">
        <f t="shared" ref="BR22" si="59">BR21*BR71</f>
        <v>0.87545701787732155</v>
      </c>
      <c r="BS22" s="213">
        <f>+BO22+BP22+BQ22+BR22</f>
        <v>4.0102435064274511</v>
      </c>
      <c r="BT22" s="10">
        <f t="shared" ref="BT22" si="60">BT21*BT71</f>
        <v>1.3374349175481735</v>
      </c>
      <c r="BU22" s="10">
        <f t="shared" ref="BU22" si="61">BU21*BU71</f>
        <v>1.3192275404949825</v>
      </c>
      <c r="BV22" s="10">
        <f t="shared" ref="BV22" si="62">BV21*BV71</f>
        <v>1.2767531609143183</v>
      </c>
      <c r="BW22" s="10">
        <f t="shared" ref="BW22" si="63">BW21*BW71</f>
        <v>1.0816217250258739</v>
      </c>
      <c r="BX22" s="213">
        <f>+BT22+BU22+BV22+BW22</f>
        <v>5.0150373439833489</v>
      </c>
      <c r="BY22" s="10">
        <f t="shared" ref="BY22" si="64">BY21*BY71</f>
        <v>1.5481692917500396</v>
      </c>
      <c r="BZ22" s="10">
        <f t="shared" ref="BZ22" si="65">BZ21*BZ71</f>
        <v>1.5254954610685914</v>
      </c>
      <c r="CA22" s="10">
        <f t="shared" ref="CA22" si="66">CA21*CA71</f>
        <v>1.4869975819416876</v>
      </c>
      <c r="CB22" s="10">
        <f t="shared" ref="CB22" si="67">CB21*CB71</f>
        <v>1.2650553154273081</v>
      </c>
      <c r="CC22" s="213">
        <f>+BY22+BZ22+CA22+CB22</f>
        <v>5.8257176501876273</v>
      </c>
      <c r="CD22" s="10">
        <f t="shared" ref="CD22" si="68">CD21*CD71</f>
        <v>1.7853548205623877</v>
      </c>
      <c r="CE22" s="10">
        <f t="shared" ref="CE22" si="69">CE21*CE71</f>
        <v>1.7723022692566932</v>
      </c>
      <c r="CF22" s="10">
        <f t="shared" ref="CF22" si="70">CF21*CF71</f>
        <v>1.6797470477050958</v>
      </c>
      <c r="CG22" s="10">
        <f t="shared" ref="CG22" si="71">CG21*CG71</f>
        <v>1.4278570476628238</v>
      </c>
      <c r="CH22" s="213">
        <f>+CD22+CE22+CF22+CG22</f>
        <v>6.6652611851870009</v>
      </c>
      <c r="CI22" s="10">
        <f t="shared" ref="CI22" si="72">CI21*CI71</f>
        <v>1.9705686343176834</v>
      </c>
      <c r="CJ22" s="10">
        <f t="shared" ref="CJ22" si="73">CJ21*CJ71</f>
        <v>1.9276201882834707</v>
      </c>
      <c r="CK22" s="10">
        <f t="shared" ref="CK22" si="74">CK21*CK71</f>
        <v>1.8270874595778741</v>
      </c>
      <c r="CL22" s="10">
        <f t="shared" ref="CL22" si="75">CL21*CL71</f>
        <v>1.5428427690235924</v>
      </c>
      <c r="CM22" s="213">
        <f>+CI22+CJ22+CK22+CL22</f>
        <v>7.2681190512026204</v>
      </c>
    </row>
    <row r="23" spans="1:93" ht="12.75" customHeight="1">
      <c r="A23" s="64" t="s">
        <v>405</v>
      </c>
      <c r="B23" s="10">
        <v>0</v>
      </c>
      <c r="C23" s="10">
        <v>0</v>
      </c>
      <c r="D23" s="10">
        <v>0</v>
      </c>
      <c r="E23" s="10">
        <v>0</v>
      </c>
      <c r="F23" s="213">
        <f t="shared" si="38"/>
        <v>0</v>
      </c>
      <c r="G23" s="10">
        <v>0</v>
      </c>
      <c r="H23" s="10">
        <v>0</v>
      </c>
      <c r="I23" s="10">
        <v>0</v>
      </c>
      <c r="J23" s="10">
        <v>0</v>
      </c>
      <c r="K23" s="213">
        <f t="shared" si="39"/>
        <v>0</v>
      </c>
      <c r="L23" s="10">
        <v>0</v>
      </c>
      <c r="M23" s="10">
        <v>0</v>
      </c>
      <c r="N23" s="10">
        <v>0</v>
      </c>
      <c r="O23" s="10">
        <v>0</v>
      </c>
      <c r="P23" s="213">
        <f t="shared" ref="P23" si="76">+L23+M23+N23+O23</f>
        <v>0</v>
      </c>
      <c r="Q23" s="10">
        <v>0</v>
      </c>
      <c r="R23" s="10">
        <v>0</v>
      </c>
      <c r="S23" s="10">
        <v>0</v>
      </c>
      <c r="T23" s="10">
        <v>0</v>
      </c>
      <c r="U23" s="213">
        <f t="shared" si="40"/>
        <v>0</v>
      </c>
      <c r="V23" s="10">
        <v>0</v>
      </c>
      <c r="W23" s="10">
        <v>0</v>
      </c>
      <c r="X23" s="10">
        <v>0</v>
      </c>
      <c r="Y23" s="10">
        <v>0</v>
      </c>
      <c r="Z23" s="213">
        <f t="shared" si="41"/>
        <v>0</v>
      </c>
      <c r="AA23" s="10">
        <v>0</v>
      </c>
      <c r="AB23" s="10">
        <v>99.784999999999997</v>
      </c>
      <c r="AC23" s="10">
        <v>0</v>
      </c>
      <c r="AD23" s="10">
        <v>0</v>
      </c>
      <c r="AE23" s="213">
        <f>SUM(AA23:AD23)</f>
        <v>99.784999999999997</v>
      </c>
      <c r="AF23" s="10">
        <v>0</v>
      </c>
      <c r="AG23" s="10">
        <v>0</v>
      </c>
      <c r="AH23" s="10">
        <v>0</v>
      </c>
      <c r="AI23" s="10">
        <v>0</v>
      </c>
      <c r="AJ23" s="213">
        <f>SUM(AF23:AI23)</f>
        <v>0</v>
      </c>
      <c r="AK23" s="10">
        <v>0</v>
      </c>
      <c r="AL23" s="10">
        <v>0</v>
      </c>
      <c r="AM23" s="10">
        <v>0</v>
      </c>
      <c r="AN23" s="10">
        <v>0</v>
      </c>
      <c r="AO23" s="213">
        <f t="shared" ref="AO23" si="77">+AK23+AL23+AM23+AN23</f>
        <v>0</v>
      </c>
      <c r="AP23" s="10">
        <v>0</v>
      </c>
      <c r="AQ23" s="10">
        <v>0</v>
      </c>
      <c r="AR23" s="10">
        <v>0</v>
      </c>
      <c r="AS23" s="10">
        <v>0</v>
      </c>
      <c r="AT23" s="213">
        <f>+AP23+AQ23+AR23+AS23</f>
        <v>0</v>
      </c>
      <c r="AU23" s="359">
        <v>0</v>
      </c>
      <c r="AV23" s="188">
        <v>0</v>
      </c>
      <c r="AW23" s="188">
        <v>0</v>
      </c>
      <c r="AX23" s="188">
        <v>0</v>
      </c>
      <c r="AY23" s="213">
        <f>+AU23+AV23+AW23+AX23</f>
        <v>0</v>
      </c>
      <c r="AZ23" s="188">
        <v>0</v>
      </c>
      <c r="BA23" s="188">
        <v>0</v>
      </c>
      <c r="BB23" s="188">
        <v>0</v>
      </c>
      <c r="BC23" s="188">
        <v>0</v>
      </c>
      <c r="BD23" s="213">
        <f>+AZ23+BA23+BB23+BC23</f>
        <v>0</v>
      </c>
      <c r="BE23" s="188">
        <v>0</v>
      </c>
      <c r="BF23" s="188">
        <v>0</v>
      </c>
      <c r="BG23" s="188">
        <v>0</v>
      </c>
      <c r="BH23" s="188">
        <v>0</v>
      </c>
      <c r="BI23" s="213">
        <f>+BE23+BF23+BG23+BH23</f>
        <v>0</v>
      </c>
      <c r="BJ23" s="188">
        <v>0</v>
      </c>
      <c r="BK23" s="188">
        <v>0</v>
      </c>
      <c r="BL23" s="188">
        <v>0</v>
      </c>
      <c r="BM23" s="188">
        <v>0</v>
      </c>
      <c r="BN23" s="213">
        <f>+BJ23+BK23+BL23+BM23</f>
        <v>0</v>
      </c>
      <c r="BO23" s="188">
        <v>0</v>
      </c>
      <c r="BP23" s="188">
        <v>0</v>
      </c>
      <c r="BQ23" s="188">
        <v>0</v>
      </c>
      <c r="BR23" s="188">
        <v>0</v>
      </c>
      <c r="BS23" s="213">
        <f>+BO23+BP23+BQ23+BR23</f>
        <v>0</v>
      </c>
      <c r="BT23" s="188">
        <v>0</v>
      </c>
      <c r="BU23" s="188">
        <v>0</v>
      </c>
      <c r="BV23" s="188">
        <v>0</v>
      </c>
      <c r="BW23" s="188">
        <v>0</v>
      </c>
      <c r="BX23" s="213">
        <f>+BT23+BU23+BV23+BW23</f>
        <v>0</v>
      </c>
      <c r="BY23" s="188">
        <v>0</v>
      </c>
      <c r="BZ23" s="188">
        <v>0</v>
      </c>
      <c r="CA23" s="188">
        <v>0</v>
      </c>
      <c r="CB23" s="188">
        <v>0</v>
      </c>
      <c r="CC23" s="213">
        <f>+BY23+BZ23+CA23+CB23</f>
        <v>0</v>
      </c>
      <c r="CD23" s="188">
        <v>0</v>
      </c>
      <c r="CE23" s="188">
        <v>0</v>
      </c>
      <c r="CF23" s="188">
        <v>0</v>
      </c>
      <c r="CG23" s="188">
        <v>0</v>
      </c>
      <c r="CH23" s="213">
        <f>+CD23+CE23+CF23+CG23</f>
        <v>0</v>
      </c>
      <c r="CI23" s="188">
        <v>0</v>
      </c>
      <c r="CJ23" s="188">
        <v>0</v>
      </c>
      <c r="CK23" s="188">
        <v>0</v>
      </c>
      <c r="CL23" s="188">
        <v>0</v>
      </c>
      <c r="CM23" s="213">
        <f>+CI23+CJ23+CK23+CL23</f>
        <v>0</v>
      </c>
    </row>
    <row r="24" spans="1:93" s="202" customFormat="1" ht="12.75" customHeight="1">
      <c r="A24" s="202" t="s">
        <v>206</v>
      </c>
      <c r="B24" s="187">
        <f t="shared" ref="B24:N24" si="78">B21-B22+B23</f>
        <v>-15.373000000000001</v>
      </c>
      <c r="C24" s="187">
        <f t="shared" si="78"/>
        <v>-17.833000000000002</v>
      </c>
      <c r="D24" s="187">
        <f t="shared" si="78"/>
        <v>-26.759</v>
      </c>
      <c r="E24" s="187">
        <f t="shared" si="78"/>
        <v>-13.487999999999998</v>
      </c>
      <c r="F24" s="212">
        <f>F21-F22+F23</f>
        <v>-73.453000000000003</v>
      </c>
      <c r="G24" s="187">
        <f>G21-G22+G23</f>
        <v>-12.566999999999997</v>
      </c>
      <c r="H24" s="187">
        <f t="shared" si="78"/>
        <v>-20.458999999999996</v>
      </c>
      <c r="I24" s="187">
        <f t="shared" si="78"/>
        <v>-21.676999999999996</v>
      </c>
      <c r="J24" s="187">
        <f t="shared" si="78"/>
        <v>-22.709000000000007</v>
      </c>
      <c r="K24" s="212">
        <f>K21-K22+K23</f>
        <v>-77.411999999999978</v>
      </c>
      <c r="L24" s="187">
        <f t="shared" si="78"/>
        <v>-18.168999999999993</v>
      </c>
      <c r="M24" s="187">
        <f t="shared" si="78"/>
        <v>-8.0849999999999973</v>
      </c>
      <c r="N24" s="187">
        <f t="shared" si="78"/>
        <v>-7.6060000000000016</v>
      </c>
      <c r="O24" s="187">
        <f>O21-O22+O23</f>
        <v>-17.038000000000004</v>
      </c>
      <c r="P24" s="212">
        <f>P21-P22+P23</f>
        <v>-50.897999999999975</v>
      </c>
      <c r="Q24" s="187">
        <f>Q21-Q22+Q23</f>
        <v>-15.447999999999992</v>
      </c>
      <c r="R24" s="187">
        <f t="shared" ref="R24:S24" si="79">R21-R22+R23</f>
        <v>-23.539000000000016</v>
      </c>
      <c r="S24" s="187">
        <f t="shared" si="79"/>
        <v>-15.39699999999999</v>
      </c>
      <c r="T24" s="187">
        <f>T21-T22+T23</f>
        <v>-36.652000000000008</v>
      </c>
      <c r="U24" s="212">
        <f>U21-U22+U23</f>
        <v>-91.035999999999973</v>
      </c>
      <c r="V24" s="187">
        <f>V21-V22+V23</f>
        <v>-49.377999999999993</v>
      </c>
      <c r="W24" s="187">
        <f t="shared" ref="W24:AA24" si="80">W21-W22+W23</f>
        <v>-61.439999999999991</v>
      </c>
      <c r="X24" s="187">
        <f t="shared" si="80"/>
        <v>-70.508000000000038</v>
      </c>
      <c r="Y24" s="187">
        <f>Y21-Y22+Y23</f>
        <v>-70.356000000000009</v>
      </c>
      <c r="Z24" s="212">
        <f>Z21-Z22+Z23</f>
        <v>-251.68199999999999</v>
      </c>
      <c r="AA24" s="187">
        <f t="shared" si="80"/>
        <v>-93.183999999999983</v>
      </c>
      <c r="AB24" s="187">
        <f>AB21-AB22+AB23</f>
        <v>-101.77299999999997</v>
      </c>
      <c r="AC24" s="187">
        <f t="shared" ref="AC24:CM24" si="81">AC21-AC22+AC23</f>
        <v>-120.83600000000001</v>
      </c>
      <c r="AD24" s="187">
        <f t="shared" si="81"/>
        <v>-119.59100000000002</v>
      </c>
      <c r="AE24" s="212">
        <f t="shared" si="81"/>
        <v>-435.38400000000001</v>
      </c>
      <c r="AF24" s="187">
        <f t="shared" si="81"/>
        <v>-108.52699999999999</v>
      </c>
      <c r="AG24" s="187">
        <f t="shared" si="81"/>
        <v>-88.718999999999951</v>
      </c>
      <c r="AH24" s="187">
        <f t="shared" si="81"/>
        <v>-79.194999999999979</v>
      </c>
      <c r="AI24" s="187">
        <f t="shared" si="81"/>
        <v>-75.891999999999982</v>
      </c>
      <c r="AJ24" s="212">
        <f t="shared" si="81"/>
        <v>-352.33300000000003</v>
      </c>
      <c r="AK24" s="187">
        <f t="shared" si="81"/>
        <v>-56.416999999999994</v>
      </c>
      <c r="AL24" s="187">
        <f t="shared" si="81"/>
        <v>-58.456000000000024</v>
      </c>
      <c r="AM24" s="187">
        <f t="shared" si="81"/>
        <v>-55.025000000000013</v>
      </c>
      <c r="AN24" s="187">
        <f t="shared" si="81"/>
        <v>-77.282999999999987</v>
      </c>
      <c r="AO24" s="212">
        <f t="shared" si="81"/>
        <v>-247.1810000000001</v>
      </c>
      <c r="AP24" s="187">
        <f t="shared" si="81"/>
        <v>-61.086999999999996</v>
      </c>
      <c r="AQ24" s="187">
        <f t="shared" si="81"/>
        <v>-55.003999999999991</v>
      </c>
      <c r="AR24" s="187">
        <f t="shared" si="81"/>
        <v>-48.261999999999986</v>
      </c>
      <c r="AS24" s="187">
        <f t="shared" si="81"/>
        <v>-63.782000000000004</v>
      </c>
      <c r="AT24" s="212">
        <f t="shared" si="81"/>
        <v>-228.13499999999993</v>
      </c>
      <c r="AU24" s="357">
        <f>AU21-AU22+AU23</f>
        <v>-37.284818729181119</v>
      </c>
      <c r="AV24" s="187">
        <f>AV21-AV22+AV23</f>
        <v>-34.87656381363329</v>
      </c>
      <c r="AW24" s="187">
        <f t="shared" si="81"/>
        <v>-31.96396366195977</v>
      </c>
      <c r="AX24" s="187">
        <f t="shared" si="81"/>
        <v>-52.958004429343326</v>
      </c>
      <c r="AY24" s="212">
        <f t="shared" si="81"/>
        <v>-157.08335063411755</v>
      </c>
      <c r="AZ24" s="187">
        <f t="shared" si="81"/>
        <v>15.349889845987255</v>
      </c>
      <c r="BA24" s="187">
        <f t="shared" si="81"/>
        <v>19.633651644734723</v>
      </c>
      <c r="BB24" s="187">
        <f t="shared" si="81"/>
        <v>16.337533201745725</v>
      </c>
      <c r="BC24" s="187">
        <f t="shared" si="81"/>
        <v>-4.0250289349534452</v>
      </c>
      <c r="BD24" s="212">
        <f t="shared" si="81"/>
        <v>47.296045757514548</v>
      </c>
      <c r="BE24" s="187">
        <f t="shared" si="81"/>
        <v>76.982119731134205</v>
      </c>
      <c r="BF24" s="187">
        <f t="shared" si="81"/>
        <v>83.05916453625737</v>
      </c>
      <c r="BG24" s="187">
        <f t="shared" si="81"/>
        <v>82.547646565805863</v>
      </c>
      <c r="BH24" s="187">
        <f t="shared" si="81"/>
        <v>60.244818711226905</v>
      </c>
      <c r="BI24" s="212">
        <f t="shared" si="81"/>
        <v>302.83374954442439</v>
      </c>
      <c r="BJ24" s="187">
        <f t="shared" si="81"/>
        <v>141.65721432120472</v>
      </c>
      <c r="BK24" s="187">
        <f t="shared" si="81"/>
        <v>141.52914053987192</v>
      </c>
      <c r="BL24" s="187">
        <f t="shared" si="81"/>
        <v>142.45427635923414</v>
      </c>
      <c r="BM24" s="187">
        <f t="shared" si="81"/>
        <v>112.79970016547814</v>
      </c>
      <c r="BN24" s="212">
        <f t="shared" si="81"/>
        <v>538.44033138578936</v>
      </c>
      <c r="BO24" s="187">
        <f t="shared" si="81"/>
        <v>205.45753639071609</v>
      </c>
      <c r="BP24" s="187">
        <f t="shared" si="81"/>
        <v>211.49042676866219</v>
      </c>
      <c r="BQ24" s="187">
        <f t="shared" si="81"/>
        <v>206.87454806209752</v>
      </c>
      <c r="BR24" s="187">
        <f t="shared" si="81"/>
        <v>174.21594655758699</v>
      </c>
      <c r="BS24" s="212">
        <f t="shared" si="81"/>
        <v>798.03845777906304</v>
      </c>
      <c r="BT24" s="187">
        <f t="shared" si="81"/>
        <v>266.14954859208649</v>
      </c>
      <c r="BU24" s="187">
        <f t="shared" si="81"/>
        <v>262.52628055850153</v>
      </c>
      <c r="BV24" s="187">
        <f t="shared" si="81"/>
        <v>254.07387902194935</v>
      </c>
      <c r="BW24" s="187">
        <f t="shared" si="81"/>
        <v>215.24272328014891</v>
      </c>
      <c r="BX24" s="212">
        <f t="shared" si="81"/>
        <v>997.99243145268679</v>
      </c>
      <c r="BY24" s="187">
        <f t="shared" si="81"/>
        <v>308.08568905825791</v>
      </c>
      <c r="BZ24" s="187">
        <f t="shared" si="81"/>
        <v>303.57359675264968</v>
      </c>
      <c r="CA24" s="187">
        <f t="shared" si="81"/>
        <v>295.91251880639584</v>
      </c>
      <c r="CB24" s="187">
        <f t="shared" si="81"/>
        <v>251.74600777003431</v>
      </c>
      <c r="CC24" s="212">
        <f t="shared" si="81"/>
        <v>1159.3178123873374</v>
      </c>
      <c r="CD24" s="187">
        <f t="shared" si="81"/>
        <v>355.28560929191519</v>
      </c>
      <c r="CE24" s="187">
        <f t="shared" si="81"/>
        <v>352.68815158208196</v>
      </c>
      <c r="CF24" s="187">
        <f t="shared" si="81"/>
        <v>334.269662493314</v>
      </c>
      <c r="CG24" s="187">
        <f t="shared" si="81"/>
        <v>284.14355248490193</v>
      </c>
      <c r="CH24" s="212">
        <f t="shared" si="81"/>
        <v>1326.3869758522137</v>
      </c>
      <c r="CI24" s="187">
        <f t="shared" si="81"/>
        <v>392.14315822921901</v>
      </c>
      <c r="CJ24" s="187">
        <f t="shared" si="81"/>
        <v>383.59641746841066</v>
      </c>
      <c r="CK24" s="187">
        <f t="shared" si="81"/>
        <v>363.59040445599697</v>
      </c>
      <c r="CL24" s="187">
        <f t="shared" si="81"/>
        <v>307.02571103569488</v>
      </c>
      <c r="CM24" s="212">
        <f t="shared" si="81"/>
        <v>1446.355691189322</v>
      </c>
    </row>
    <row r="25" spans="1:93" ht="12.75" customHeight="1" outlineLevel="1">
      <c r="A25" s="64" t="s">
        <v>218</v>
      </c>
      <c r="B25" s="10">
        <v>0</v>
      </c>
      <c r="C25" s="10">
        <v>0</v>
      </c>
      <c r="D25" s="10">
        <v>0</v>
      </c>
      <c r="E25" s="10">
        <v>0</v>
      </c>
      <c r="F25" s="213">
        <f t="shared" ref="F25:F30" si="82">+B25+C25+D25+E25</f>
        <v>0</v>
      </c>
      <c r="G25" s="10">
        <v>0</v>
      </c>
      <c r="H25" s="10">
        <v>0</v>
      </c>
      <c r="I25" s="10">
        <v>0</v>
      </c>
      <c r="J25" s="10">
        <v>0</v>
      </c>
      <c r="K25" s="213">
        <f t="shared" ref="K25:K30" si="83">+G25+H25+I25+J25</f>
        <v>0</v>
      </c>
      <c r="L25" s="10">
        <v>0</v>
      </c>
      <c r="M25" s="10">
        <v>0</v>
      </c>
      <c r="N25" s="10">
        <v>0</v>
      </c>
      <c r="O25" s="10">
        <v>0</v>
      </c>
      <c r="P25" s="213">
        <f t="shared" ref="P25:P30" si="84">+L25+M25+N25+O25</f>
        <v>0</v>
      </c>
      <c r="Q25" s="10">
        <v>0.22900000000000001</v>
      </c>
      <c r="R25" s="10">
        <f>0.141+0.043+0.349</f>
        <v>0.53299999999999992</v>
      </c>
      <c r="S25" s="10">
        <v>0.503</v>
      </c>
      <c r="T25" s="10">
        <v>0.49</v>
      </c>
      <c r="U25" s="227">
        <f t="shared" ref="U25:U30" si="85">+Q25+R25+S25+T25</f>
        <v>1.7549999999999999</v>
      </c>
      <c r="V25" s="10">
        <v>0.48099999999999998</v>
      </c>
      <c r="W25" s="10">
        <f>0.149+0.336</f>
        <v>0.48499999999999999</v>
      </c>
      <c r="X25" s="10">
        <v>0.49099999999999999</v>
      </c>
      <c r="Y25" s="10">
        <v>0.49099999999999999</v>
      </c>
      <c r="Z25" s="213">
        <f t="shared" ref="Z25:Z30" si="86">+V25+W25+X25+Y25</f>
        <v>1.948</v>
      </c>
      <c r="AA25" s="10">
        <v>0.48</v>
      </c>
      <c r="AB25" s="10">
        <v>0.61899999999999999</v>
      </c>
      <c r="AC25" s="10">
        <v>0.69099999999999995</v>
      </c>
      <c r="AD25" s="10">
        <v>0.69</v>
      </c>
      <c r="AE25" s="213">
        <f>SUM(AA25:AD25)</f>
        <v>2.48</v>
      </c>
      <c r="AF25" s="10">
        <v>0.68</v>
      </c>
      <c r="AG25" s="10">
        <f>0.686</f>
        <v>0.68600000000000005</v>
      </c>
      <c r="AH25" s="10">
        <v>0.69099999999999995</v>
      </c>
      <c r="AI25" s="10">
        <v>0.69099999999999995</v>
      </c>
      <c r="AJ25" s="213">
        <f t="shared" ref="AJ25:AJ30" si="87">SUM(AF25:AI25)</f>
        <v>2.7479999999999998</v>
      </c>
      <c r="AK25" s="10">
        <v>0.68500000000000005</v>
      </c>
      <c r="AL25" s="10">
        <v>0.55200000000000005</v>
      </c>
      <c r="AM25" s="10">
        <v>0.49099999999999999</v>
      </c>
      <c r="AN25" s="10">
        <v>0.49099999999999999</v>
      </c>
      <c r="AO25" s="213">
        <f t="shared" ref="AO25:AO30" si="88">+AK25+AL25+AM25+AN25</f>
        <v>2.2190000000000003</v>
      </c>
      <c r="AP25" s="10">
        <v>0.48</v>
      </c>
      <c r="AQ25" s="10">
        <v>0.41599999999999998</v>
      </c>
      <c r="AR25" s="10">
        <v>0.38700000000000001</v>
      </c>
      <c r="AS25" s="10">
        <v>0.38700000000000001</v>
      </c>
      <c r="AT25" s="213">
        <f>+AP25+AQ25+AR25+AS25</f>
        <v>1.67</v>
      </c>
      <c r="AU25" s="358">
        <f>-'Other Accts'!AU57</f>
        <v>0.81003124999999998</v>
      </c>
      <c r="AV25" s="10">
        <f>-'Other Accts'!AV57</f>
        <v>0.81003124999999998</v>
      </c>
      <c r="AW25" s="10">
        <f>-'Other Accts'!AW57</f>
        <v>0.81003124999999998</v>
      </c>
      <c r="AX25" s="10">
        <f>-'Other Accts'!AX57</f>
        <v>0.81003124999999998</v>
      </c>
      <c r="AY25" s="213">
        <f>+AU25+AV25+AW25+AX25</f>
        <v>3.2401249999999999</v>
      </c>
      <c r="AZ25" s="10">
        <f>-'Other Accts'!AZ57</f>
        <v>0.70877734374999979</v>
      </c>
      <c r="BA25" s="10">
        <f>-'Other Accts'!BA57</f>
        <v>0.70877734374999979</v>
      </c>
      <c r="BB25" s="10">
        <f>-'Other Accts'!BB57</f>
        <v>0.70877734374999979</v>
      </c>
      <c r="BC25" s="10">
        <f>-'Other Accts'!BC57</f>
        <v>0.70877734374999979</v>
      </c>
      <c r="BD25" s="213">
        <f>+AZ25+BA25+BB25+BC25</f>
        <v>2.8351093749999992</v>
      </c>
      <c r="BE25" s="10">
        <f>-'Other Accts'!BE57</f>
        <v>0.62018017578124973</v>
      </c>
      <c r="BF25" s="10">
        <f>-'Other Accts'!BF57</f>
        <v>0.62018017578124973</v>
      </c>
      <c r="BG25" s="10">
        <f>-'Other Accts'!BG57</f>
        <v>0.62018017578124973</v>
      </c>
      <c r="BH25" s="10">
        <f>-'Other Accts'!BH57</f>
        <v>0.62018017578124973</v>
      </c>
      <c r="BI25" s="213">
        <f>+BE25+BF25+BG25+BH25</f>
        <v>2.4807207031249989</v>
      </c>
      <c r="BJ25" s="10">
        <f>-'Other Accts'!BJ57</f>
        <v>0.54265765380859343</v>
      </c>
      <c r="BK25" s="10">
        <f>-'Other Accts'!BK57</f>
        <v>0.54265765380859343</v>
      </c>
      <c r="BL25" s="10">
        <f>-'Other Accts'!BL57</f>
        <v>0.54265765380859343</v>
      </c>
      <c r="BM25" s="10">
        <f>-'Other Accts'!BM57</f>
        <v>0.54265765380859343</v>
      </c>
      <c r="BN25" s="213">
        <f>+BJ25+BK25+BL25+BM25</f>
        <v>2.1706306152343737</v>
      </c>
      <c r="BO25" s="10">
        <f>-'Other Accts'!BO57</f>
        <v>0.47482544708251928</v>
      </c>
      <c r="BP25" s="10">
        <f>-'Other Accts'!BP57</f>
        <v>0.47482544708251928</v>
      </c>
      <c r="BQ25" s="10">
        <f>-'Other Accts'!BQ57</f>
        <v>0.47482544708251928</v>
      </c>
      <c r="BR25" s="10">
        <f>-'Other Accts'!BR57</f>
        <v>0.47482544708251928</v>
      </c>
      <c r="BS25" s="213">
        <f>+BO25+BP25+BQ25+BR25</f>
        <v>1.8993017883300771</v>
      </c>
      <c r="BT25" s="10">
        <f>-'Other Accts'!BT57</f>
        <v>0.41547226619720434</v>
      </c>
      <c r="BU25" s="10">
        <f>-'Other Accts'!BU57</f>
        <v>0.41547226619720434</v>
      </c>
      <c r="BV25" s="10">
        <f>-'Other Accts'!BV57</f>
        <v>0.41547226619720434</v>
      </c>
      <c r="BW25" s="10">
        <f>-'Other Accts'!BW57</f>
        <v>0.41547226619720434</v>
      </c>
      <c r="BX25" s="213">
        <f>+BT25+BU25+BV25+BW25</f>
        <v>1.6618890647888174</v>
      </c>
      <c r="BY25" s="10">
        <f>-'Other Accts'!BY57</f>
        <v>0.36353823292255383</v>
      </c>
      <c r="BZ25" s="10">
        <f>-'Other Accts'!BZ57</f>
        <v>0.36353823292255383</v>
      </c>
      <c r="CA25" s="10">
        <f>-'Other Accts'!CA57</f>
        <v>0.36353823292255383</v>
      </c>
      <c r="CB25" s="10">
        <f>-'Other Accts'!CB57</f>
        <v>0.36353823292255383</v>
      </c>
      <c r="CC25" s="213">
        <f>+BY25+BZ25+CA25+CB25</f>
        <v>1.4541529316902153</v>
      </c>
      <c r="CD25" s="10">
        <f>-'Other Accts'!CD57</f>
        <v>0.31809595380723454</v>
      </c>
      <c r="CE25" s="10">
        <f>-'Other Accts'!CE57</f>
        <v>0.31809595380723454</v>
      </c>
      <c r="CF25" s="10">
        <f>-'Other Accts'!CF57</f>
        <v>0.31809595380723454</v>
      </c>
      <c r="CG25" s="10">
        <f>-'Other Accts'!CG57</f>
        <v>0.31809595380723454</v>
      </c>
      <c r="CH25" s="213">
        <f>+CD25+CE25+CF25+CG25</f>
        <v>1.2723838152289382</v>
      </c>
      <c r="CI25" s="10">
        <f>-'Other Accts'!CI57</f>
        <v>0.27833395958133034</v>
      </c>
      <c r="CJ25" s="10">
        <f>-'Other Accts'!CJ57</f>
        <v>0.27833395958133034</v>
      </c>
      <c r="CK25" s="10">
        <f>-'Other Accts'!CK57</f>
        <v>0.27833395958133034</v>
      </c>
      <c r="CL25" s="10">
        <f>-'Other Accts'!CL57</f>
        <v>0.27833395958133034</v>
      </c>
      <c r="CM25" s="213">
        <f>+CI25+CJ25+CK25+CL25</f>
        <v>1.1133358383253213</v>
      </c>
    </row>
    <row r="26" spans="1:93" ht="12.75" customHeight="1" outlineLevel="1">
      <c r="A26" s="64" t="s">
        <v>80</v>
      </c>
      <c r="B26" s="10">
        <f>1.29/2</f>
        <v>0.64500000000000002</v>
      </c>
      <c r="C26" s="10">
        <f>1.29/2</f>
        <v>0.64500000000000002</v>
      </c>
      <c r="D26" s="10">
        <v>1.831</v>
      </c>
      <c r="E26" s="10">
        <v>1.5720000000000001</v>
      </c>
      <c r="F26" s="213">
        <f t="shared" si="82"/>
        <v>4.6929999999999996</v>
      </c>
      <c r="G26" s="10">
        <v>1.2769999999999999</v>
      </c>
      <c r="H26" s="10">
        <v>1.18</v>
      </c>
      <c r="I26" s="10">
        <v>1.831</v>
      </c>
      <c r="J26" s="10">
        <v>2.5630000000000002</v>
      </c>
      <c r="K26" s="213">
        <f t="shared" si="83"/>
        <v>6.8510000000000009</v>
      </c>
      <c r="L26" s="10">
        <v>3.1819999999999999</v>
      </c>
      <c r="M26" s="10">
        <v>3.2149999999999999</v>
      </c>
      <c r="N26" s="10">
        <v>5.484</v>
      </c>
      <c r="O26" s="10">
        <v>5.0720000000000001</v>
      </c>
      <c r="P26" s="213">
        <f t="shared" si="84"/>
        <v>16.952999999999999</v>
      </c>
      <c r="Q26" s="10">
        <v>6.6349999999999998</v>
      </c>
      <c r="R26" s="10">
        <v>25.667000000000002</v>
      </c>
      <c r="S26" s="10">
        <v>55.7</v>
      </c>
      <c r="T26" s="10">
        <v>56.902999999999999</v>
      </c>
      <c r="U26" s="213">
        <f t="shared" si="85"/>
        <v>144.905</v>
      </c>
      <c r="V26" s="10">
        <v>57.499000000000002</v>
      </c>
      <c r="W26" s="10">
        <v>34.774999999999999</v>
      </c>
      <c r="X26" s="10">
        <v>35.557000000000002</v>
      </c>
      <c r="Y26" s="10">
        <v>27.029</v>
      </c>
      <c r="Z26" s="213">
        <f t="shared" si="86"/>
        <v>154.86000000000001</v>
      </c>
      <c r="AA26" s="10">
        <v>24.991</v>
      </c>
      <c r="AB26" s="10">
        <v>25.725999999999999</v>
      </c>
      <c r="AC26" s="10">
        <v>21.231000000000002</v>
      </c>
      <c r="AD26" s="10">
        <v>23.503</v>
      </c>
      <c r="AE26" s="213">
        <f t="shared" ref="AE26:AE30" si="89">SUM(AA26:AD26)</f>
        <v>95.451000000000008</v>
      </c>
      <c r="AF26" s="10">
        <v>22.452999999999999</v>
      </c>
      <c r="AG26" s="10">
        <v>22.952999999999999</v>
      </c>
      <c r="AH26" s="10">
        <v>22.099</v>
      </c>
      <c r="AI26" s="10">
        <v>24.558</v>
      </c>
      <c r="AJ26" s="213">
        <f t="shared" si="87"/>
        <v>92.062999999999988</v>
      </c>
      <c r="AK26" s="10">
        <v>27.334</v>
      </c>
      <c r="AL26" s="10">
        <v>27.725000000000001</v>
      </c>
      <c r="AM26" s="10">
        <v>50.021999999999998</v>
      </c>
      <c r="AN26" s="10">
        <v>36.905999999999999</v>
      </c>
      <c r="AO26" s="213">
        <f t="shared" si="88"/>
        <v>141.98699999999999</v>
      </c>
      <c r="AP26" s="10">
        <v>39.24</v>
      </c>
      <c r="AQ26" s="10">
        <v>43.601999999999997</v>
      </c>
      <c r="AR26" s="10">
        <v>43.543999999999997</v>
      </c>
      <c r="AS26" s="10">
        <v>45.311999999999998</v>
      </c>
      <c r="AT26" s="213">
        <f t="shared" ref="AT26:AT30" si="90">+AP26+AQ26+AR26+AS26</f>
        <v>171.69799999999998</v>
      </c>
      <c r="AU26" s="358">
        <f>+CF!AU13</f>
        <v>39.26728</v>
      </c>
      <c r="AV26" s="10">
        <f>+CF!AV13</f>
        <v>44.16048</v>
      </c>
      <c r="AW26" s="10">
        <f>+CF!AW13</f>
        <v>44.520319999999998</v>
      </c>
      <c r="AX26" s="10">
        <f>+CF!AX13</f>
        <v>44.917600000000022</v>
      </c>
      <c r="AY26" s="213">
        <f t="shared" ref="AY26:AY30" si="91">+AU26+AV26+AW26+AX26</f>
        <v>172.86568000000003</v>
      </c>
      <c r="AZ26" s="10">
        <f>+CF!AZ13</f>
        <v>40.837971199999998</v>
      </c>
      <c r="BA26" s="10">
        <f>+CF!BA13</f>
        <v>45.926899200000001</v>
      </c>
      <c r="BB26" s="10">
        <f>+CF!BB13</f>
        <v>46.301132799999998</v>
      </c>
      <c r="BC26" s="10">
        <f>+CF!BC13</f>
        <v>46.714304000000027</v>
      </c>
      <c r="BD26" s="213">
        <f t="shared" ref="BD26:BD30" si="92">+AZ26+BA26+BB26+BC26</f>
        <v>179.78030720000004</v>
      </c>
      <c r="BE26" s="10">
        <f>+CF!BE13</f>
        <v>42.471490048</v>
      </c>
      <c r="BF26" s="10">
        <f>+CF!BF13</f>
        <v>47.763975168000002</v>
      </c>
      <c r="BG26" s="10">
        <f>+CF!BG13</f>
        <v>48.153178111999999</v>
      </c>
      <c r="BH26" s="10">
        <f>+CF!BH13</f>
        <v>48.582876160000026</v>
      </c>
      <c r="BI26" s="213">
        <f t="shared" ref="BI26:BI30" si="93">+BE26+BF26+BG26+BH26</f>
        <v>186.97151948800001</v>
      </c>
      <c r="BJ26" s="10">
        <f>+CF!BJ13</f>
        <v>44.170349649919999</v>
      </c>
      <c r="BK26" s="10">
        <f>+CF!BK13</f>
        <v>49.674534174720002</v>
      </c>
      <c r="BL26" s="10">
        <f>+CF!BL13</f>
        <v>50.079305236480003</v>
      </c>
      <c r="BM26" s="10">
        <f>+CF!BM13</f>
        <v>50.526191206400028</v>
      </c>
      <c r="BN26" s="213">
        <f t="shared" ref="BN26:BN30" si="94">+BJ26+BK26+BL26+BM26</f>
        <v>194.45038026752002</v>
      </c>
      <c r="BO26" s="10">
        <f>+CF!BO13</f>
        <v>45.937163635916804</v>
      </c>
      <c r="BP26" s="10">
        <f>+CF!BP13</f>
        <v>51.661515541708802</v>
      </c>
      <c r="BQ26" s="10">
        <f>+CF!BQ13</f>
        <v>52.082477445939205</v>
      </c>
      <c r="BR26" s="10">
        <f>+CF!BR13</f>
        <v>52.54723885465603</v>
      </c>
      <c r="BS26" s="213">
        <f t="shared" ref="BS26:BS30" si="95">+BO26+BP26+BQ26+BR26</f>
        <v>202.22839547822082</v>
      </c>
      <c r="BT26" s="10">
        <f>+CF!BT13</f>
        <v>47.774650181353479</v>
      </c>
      <c r="BU26" s="10">
        <f>+CF!BU13</f>
        <v>53.727976163377157</v>
      </c>
      <c r="BV26" s="10">
        <f>+CF!BV13</f>
        <v>54.165776543776772</v>
      </c>
      <c r="BW26" s="10">
        <f>+CF!BW13</f>
        <v>54.649128408842273</v>
      </c>
      <c r="BX26" s="213">
        <f t="shared" ref="BX26:BX30" si="96">+BT26+BU26+BV26+BW26</f>
        <v>210.31753129734966</v>
      </c>
      <c r="BY26" s="10">
        <f>+CF!BY13</f>
        <v>49.685636188607617</v>
      </c>
      <c r="BZ26" s="10">
        <f>+CF!BZ13</f>
        <v>55.877095209912248</v>
      </c>
      <c r="CA26" s="10">
        <f>+CF!CA13</f>
        <v>56.332407605527848</v>
      </c>
      <c r="CB26" s="10">
        <f>+CF!CB13</f>
        <v>56.835093545195967</v>
      </c>
      <c r="CC26" s="213">
        <f t="shared" ref="CC26:CC30" si="97">+BY26+BZ26+CA26+CB26</f>
        <v>218.73023254924371</v>
      </c>
      <c r="CD26" s="10">
        <f>+CF!CD13</f>
        <v>51.673061636151921</v>
      </c>
      <c r="CE26" s="10">
        <f>+CF!CE13</f>
        <v>58.112179018308737</v>
      </c>
      <c r="CF26" s="10">
        <f>+CF!CF13</f>
        <v>58.585703909748965</v>
      </c>
      <c r="CG26" s="10">
        <f>+CF!CG13</f>
        <v>59.108497287003807</v>
      </c>
      <c r="CH26" s="213">
        <f t="shared" ref="CH26:CH30" si="98">+CD26+CE26+CF26+CG26</f>
        <v>227.47944185121344</v>
      </c>
      <c r="CI26" s="10">
        <f>+CF!CI13</f>
        <v>53.739984101597997</v>
      </c>
      <c r="CJ26" s="10">
        <f>+CF!CJ13</f>
        <v>60.43666617904109</v>
      </c>
      <c r="CK26" s="10">
        <f>+CF!CK13</f>
        <v>60.929132066138926</v>
      </c>
      <c r="CL26" s="10">
        <f>+CF!CL13</f>
        <v>61.472837178483964</v>
      </c>
      <c r="CM26" s="213">
        <f t="shared" ref="CM26:CM30" si="99">+CI26+CJ26+CK26+CL26</f>
        <v>236.57861952526196</v>
      </c>
      <c r="CO26" s="19"/>
    </row>
    <row r="27" spans="1:93" ht="12.75" customHeight="1" outlineLevel="1">
      <c r="A27" s="64" t="s">
        <v>216</v>
      </c>
      <c r="B27" s="10">
        <v>0</v>
      </c>
      <c r="C27" s="10">
        <v>0</v>
      </c>
      <c r="D27" s="10">
        <v>0</v>
      </c>
      <c r="E27" s="10">
        <v>0</v>
      </c>
      <c r="F27" s="213">
        <f t="shared" si="82"/>
        <v>0</v>
      </c>
      <c r="G27" s="10">
        <v>0</v>
      </c>
      <c r="H27" s="10">
        <v>0</v>
      </c>
      <c r="I27" s="10">
        <v>0</v>
      </c>
      <c r="J27" s="10">
        <v>0</v>
      </c>
      <c r="K27" s="213">
        <f t="shared" si="83"/>
        <v>0</v>
      </c>
      <c r="L27" s="10">
        <v>0</v>
      </c>
      <c r="M27" s="10">
        <v>0</v>
      </c>
      <c r="N27" s="10">
        <v>0</v>
      </c>
      <c r="O27" s="10">
        <v>0</v>
      </c>
      <c r="P27" s="213">
        <f t="shared" si="84"/>
        <v>0</v>
      </c>
      <c r="Q27" s="10">
        <v>-0.19</v>
      </c>
      <c r="R27" s="10">
        <v>0</v>
      </c>
      <c r="S27" s="10">
        <v>7.0000000000000007E-2</v>
      </c>
      <c r="T27" s="10">
        <v>0</v>
      </c>
      <c r="U27" s="213">
        <f t="shared" si="85"/>
        <v>-0.12</v>
      </c>
      <c r="V27" s="10">
        <v>0</v>
      </c>
      <c r="W27" s="10">
        <v>0.875</v>
      </c>
      <c r="X27" s="10">
        <v>0.97</v>
      </c>
      <c r="Y27" s="10">
        <v>0.53500000000000003</v>
      </c>
      <c r="Z27" s="213">
        <f t="shared" si="86"/>
        <v>2.38</v>
      </c>
      <c r="AA27" s="10">
        <v>4.51</v>
      </c>
      <c r="AB27" s="10">
        <v>1.5920000000000001</v>
      </c>
      <c r="AC27" s="10">
        <v>0.745</v>
      </c>
      <c r="AD27" s="10">
        <v>2.6869999999999998</v>
      </c>
      <c r="AE27" s="213">
        <f t="shared" si="89"/>
        <v>9.5340000000000007</v>
      </c>
      <c r="AF27" s="10">
        <v>0.27</v>
      </c>
      <c r="AG27" s="10">
        <v>0.84099999999999997</v>
      </c>
      <c r="AH27" s="10">
        <v>0.751</v>
      </c>
      <c r="AI27" s="10">
        <v>0.33</v>
      </c>
      <c r="AJ27" s="213">
        <f t="shared" si="87"/>
        <v>2.1920000000000002</v>
      </c>
      <c r="AK27" s="10">
        <v>0.495</v>
      </c>
      <c r="AL27" s="10">
        <v>0.41</v>
      </c>
      <c r="AM27" s="10">
        <v>0.53</v>
      </c>
      <c r="AN27" s="10">
        <v>0.25</v>
      </c>
      <c r="AO27" s="213">
        <f t="shared" si="88"/>
        <v>1.6850000000000001</v>
      </c>
      <c r="AP27" s="10">
        <v>1.024</v>
      </c>
      <c r="AQ27" s="10">
        <v>0.877</v>
      </c>
      <c r="AR27" s="10">
        <v>0.53200000000000003</v>
      </c>
      <c r="AS27" s="10">
        <v>0.53100000000000003</v>
      </c>
      <c r="AT27" s="213">
        <f t="shared" si="90"/>
        <v>2.964</v>
      </c>
      <c r="AU27" s="359">
        <v>0</v>
      </c>
      <c r="AV27" s="188">
        <v>0</v>
      </c>
      <c r="AW27" s="188">
        <v>0</v>
      </c>
      <c r="AX27" s="188">
        <v>0</v>
      </c>
      <c r="AY27" s="213">
        <f t="shared" si="91"/>
        <v>0</v>
      </c>
      <c r="AZ27" s="188">
        <v>0</v>
      </c>
      <c r="BA27" s="188">
        <v>0</v>
      </c>
      <c r="BB27" s="188">
        <v>0</v>
      </c>
      <c r="BC27" s="188">
        <v>0</v>
      </c>
      <c r="BD27" s="213">
        <f t="shared" si="92"/>
        <v>0</v>
      </c>
      <c r="BE27" s="188">
        <v>0</v>
      </c>
      <c r="BF27" s="188">
        <v>0</v>
      </c>
      <c r="BG27" s="188">
        <v>0</v>
      </c>
      <c r="BH27" s="188">
        <v>0</v>
      </c>
      <c r="BI27" s="213">
        <f t="shared" si="93"/>
        <v>0</v>
      </c>
      <c r="BJ27" s="188">
        <v>0</v>
      </c>
      <c r="BK27" s="188">
        <v>0</v>
      </c>
      <c r="BL27" s="188">
        <v>0</v>
      </c>
      <c r="BM27" s="188">
        <v>0</v>
      </c>
      <c r="BN27" s="213">
        <f t="shared" si="94"/>
        <v>0</v>
      </c>
      <c r="BO27" s="188">
        <v>0</v>
      </c>
      <c r="BP27" s="188">
        <v>0</v>
      </c>
      <c r="BQ27" s="188">
        <v>0</v>
      </c>
      <c r="BR27" s="188">
        <v>0</v>
      </c>
      <c r="BS27" s="213">
        <f t="shared" si="95"/>
        <v>0</v>
      </c>
      <c r="BT27" s="188">
        <v>0</v>
      </c>
      <c r="BU27" s="188">
        <v>0</v>
      </c>
      <c r="BV27" s="188">
        <v>0</v>
      </c>
      <c r="BW27" s="188">
        <v>0</v>
      </c>
      <c r="BX27" s="213">
        <f t="shared" si="96"/>
        <v>0</v>
      </c>
      <c r="BY27" s="188">
        <v>0</v>
      </c>
      <c r="BZ27" s="188">
        <v>0</v>
      </c>
      <c r="CA27" s="188">
        <v>0</v>
      </c>
      <c r="CB27" s="188">
        <v>0</v>
      </c>
      <c r="CC27" s="213">
        <f t="shared" si="97"/>
        <v>0</v>
      </c>
      <c r="CD27" s="188">
        <v>0</v>
      </c>
      <c r="CE27" s="188">
        <v>0</v>
      </c>
      <c r="CF27" s="188">
        <v>0</v>
      </c>
      <c r="CG27" s="188">
        <v>0</v>
      </c>
      <c r="CH27" s="213">
        <f t="shared" si="98"/>
        <v>0</v>
      </c>
      <c r="CI27" s="188">
        <v>0</v>
      </c>
      <c r="CJ27" s="188">
        <v>0</v>
      </c>
      <c r="CK27" s="188">
        <v>0</v>
      </c>
      <c r="CL27" s="188">
        <v>0</v>
      </c>
      <c r="CM27" s="213">
        <f t="shared" si="99"/>
        <v>0</v>
      </c>
    </row>
    <row r="28" spans="1:93" ht="12.75" customHeight="1" outlineLevel="1">
      <c r="A28" s="64" t="s">
        <v>217</v>
      </c>
      <c r="B28" s="10">
        <v>0</v>
      </c>
      <c r="C28" s="10">
        <v>0</v>
      </c>
      <c r="D28" s="10">
        <v>0</v>
      </c>
      <c r="E28" s="10">
        <v>0</v>
      </c>
      <c r="F28" s="213">
        <f t="shared" si="82"/>
        <v>0</v>
      </c>
      <c r="G28" s="10">
        <v>0</v>
      </c>
      <c r="H28" s="10">
        <v>0</v>
      </c>
      <c r="I28" s="10">
        <v>0</v>
      </c>
      <c r="J28" s="10">
        <v>0</v>
      </c>
      <c r="K28" s="213">
        <f t="shared" si="83"/>
        <v>0</v>
      </c>
      <c r="L28" s="10">
        <v>0</v>
      </c>
      <c r="M28" s="10">
        <v>0</v>
      </c>
      <c r="N28" s="10">
        <v>0</v>
      </c>
      <c r="O28" s="10">
        <v>0</v>
      </c>
      <c r="P28" s="213">
        <f t="shared" si="84"/>
        <v>0</v>
      </c>
      <c r="Q28" s="10">
        <v>9.7070000000000007</v>
      </c>
      <c r="R28" s="10">
        <v>0</v>
      </c>
      <c r="S28" s="10">
        <v>0</v>
      </c>
      <c r="T28" s="10">
        <v>0</v>
      </c>
      <c r="U28" s="213">
        <f t="shared" si="85"/>
        <v>9.7070000000000007</v>
      </c>
      <c r="V28" s="10">
        <v>0</v>
      </c>
      <c r="W28" s="190">
        <v>0</v>
      </c>
      <c r="X28" s="10">
        <v>0</v>
      </c>
      <c r="Y28" s="10">
        <v>0</v>
      </c>
      <c r="Z28" s="213">
        <f t="shared" si="86"/>
        <v>0</v>
      </c>
      <c r="AA28" s="10">
        <v>6.3E-2</v>
      </c>
      <c r="AB28" s="10">
        <v>-6.3E-2</v>
      </c>
      <c r="AC28" s="10">
        <v>0</v>
      </c>
      <c r="AD28" s="10">
        <v>0</v>
      </c>
      <c r="AE28" s="213">
        <f t="shared" si="89"/>
        <v>0</v>
      </c>
      <c r="AF28" s="10">
        <v>0</v>
      </c>
      <c r="AG28" s="10">
        <v>0</v>
      </c>
      <c r="AH28" s="10">
        <v>0</v>
      </c>
      <c r="AI28" s="10">
        <v>0</v>
      </c>
      <c r="AJ28" s="213">
        <f t="shared" si="87"/>
        <v>0</v>
      </c>
      <c r="AK28" s="10">
        <v>0</v>
      </c>
      <c r="AL28" s="10">
        <v>0</v>
      </c>
      <c r="AM28" s="10">
        <v>0</v>
      </c>
      <c r="AN28" s="10">
        <v>0</v>
      </c>
      <c r="AO28" s="213">
        <f t="shared" si="88"/>
        <v>0</v>
      </c>
      <c r="AP28" s="10">
        <v>0</v>
      </c>
      <c r="AQ28" s="10">
        <v>0</v>
      </c>
      <c r="AR28" s="10">
        <v>0</v>
      </c>
      <c r="AS28" s="10">
        <v>0</v>
      </c>
      <c r="AT28" s="213">
        <f t="shared" si="90"/>
        <v>0</v>
      </c>
      <c r="AU28" s="359">
        <v>0</v>
      </c>
      <c r="AV28" s="188">
        <v>0</v>
      </c>
      <c r="AW28" s="188">
        <v>0</v>
      </c>
      <c r="AX28" s="188">
        <v>0</v>
      </c>
      <c r="AY28" s="213">
        <f t="shared" si="91"/>
        <v>0</v>
      </c>
      <c r="AZ28" s="188">
        <v>0</v>
      </c>
      <c r="BA28" s="188">
        <v>0</v>
      </c>
      <c r="BB28" s="188">
        <v>0</v>
      </c>
      <c r="BC28" s="188">
        <v>0</v>
      </c>
      <c r="BD28" s="213">
        <f t="shared" si="92"/>
        <v>0</v>
      </c>
      <c r="BE28" s="188">
        <v>0</v>
      </c>
      <c r="BF28" s="188">
        <v>0</v>
      </c>
      <c r="BG28" s="188">
        <v>0</v>
      </c>
      <c r="BH28" s="188">
        <v>0</v>
      </c>
      <c r="BI28" s="213">
        <f t="shared" si="93"/>
        <v>0</v>
      </c>
      <c r="BJ28" s="188">
        <v>0</v>
      </c>
      <c r="BK28" s="188">
        <v>0</v>
      </c>
      <c r="BL28" s="188">
        <v>0</v>
      </c>
      <c r="BM28" s="188">
        <v>0</v>
      </c>
      <c r="BN28" s="213">
        <f t="shared" si="94"/>
        <v>0</v>
      </c>
      <c r="BO28" s="188">
        <v>0</v>
      </c>
      <c r="BP28" s="188">
        <v>0</v>
      </c>
      <c r="BQ28" s="188">
        <v>0</v>
      </c>
      <c r="BR28" s="188">
        <v>0</v>
      </c>
      <c r="BS28" s="213">
        <f t="shared" si="95"/>
        <v>0</v>
      </c>
      <c r="BT28" s="188">
        <v>0</v>
      </c>
      <c r="BU28" s="188">
        <v>0</v>
      </c>
      <c r="BV28" s="188">
        <v>0</v>
      </c>
      <c r="BW28" s="188">
        <v>0</v>
      </c>
      <c r="BX28" s="213">
        <f t="shared" si="96"/>
        <v>0</v>
      </c>
      <c r="BY28" s="188">
        <v>0</v>
      </c>
      <c r="BZ28" s="188">
        <v>0</v>
      </c>
      <c r="CA28" s="188">
        <v>0</v>
      </c>
      <c r="CB28" s="188">
        <v>0</v>
      </c>
      <c r="CC28" s="213">
        <f t="shared" si="97"/>
        <v>0</v>
      </c>
      <c r="CD28" s="188">
        <v>0</v>
      </c>
      <c r="CE28" s="188">
        <v>0</v>
      </c>
      <c r="CF28" s="188">
        <v>0</v>
      </c>
      <c r="CG28" s="188">
        <v>0</v>
      </c>
      <c r="CH28" s="213">
        <f t="shared" si="98"/>
        <v>0</v>
      </c>
      <c r="CI28" s="188">
        <v>0</v>
      </c>
      <c r="CJ28" s="188">
        <v>0</v>
      </c>
      <c r="CK28" s="188">
        <v>0</v>
      </c>
      <c r="CL28" s="188">
        <v>0</v>
      </c>
      <c r="CM28" s="213">
        <f t="shared" si="99"/>
        <v>0</v>
      </c>
    </row>
    <row r="29" spans="1:93" ht="12.75" customHeight="1" outlineLevel="1">
      <c r="A29" s="64" t="s">
        <v>19</v>
      </c>
      <c r="B29" s="10">
        <v>0</v>
      </c>
      <c r="C29" s="10">
        <v>5.0750000000000002</v>
      </c>
      <c r="D29" s="10">
        <v>4.7160000000000002</v>
      </c>
      <c r="E29" s="10">
        <v>0</v>
      </c>
      <c r="F29" s="213">
        <f t="shared" si="82"/>
        <v>9.7910000000000004</v>
      </c>
      <c r="G29" s="10">
        <v>0</v>
      </c>
      <c r="H29" s="10">
        <v>0</v>
      </c>
      <c r="I29" s="10">
        <v>0.95</v>
      </c>
      <c r="J29" s="10">
        <v>-0.15</v>
      </c>
      <c r="K29" s="213">
        <f t="shared" si="83"/>
        <v>0.79999999999999993</v>
      </c>
      <c r="L29" s="10">
        <v>4.7</v>
      </c>
      <c r="M29" s="10">
        <v>0.3</v>
      </c>
      <c r="N29" s="10">
        <v>-0.3</v>
      </c>
      <c r="O29" s="10">
        <v>3.1</v>
      </c>
      <c r="P29" s="213">
        <f t="shared" si="84"/>
        <v>7.8000000000000007</v>
      </c>
      <c r="Q29" s="10">
        <v>-4.0999999999999996</v>
      </c>
      <c r="R29" s="10">
        <v>4.9000000000000004</v>
      </c>
      <c r="S29" s="10">
        <v>6</v>
      </c>
      <c r="T29" s="10">
        <f>-1+0.7</f>
        <v>-0.30000000000000004</v>
      </c>
      <c r="U29" s="213">
        <f t="shared" si="85"/>
        <v>6.5000000000000009</v>
      </c>
      <c r="V29" s="10">
        <v>0</v>
      </c>
      <c r="W29" s="190">
        <v>0</v>
      </c>
      <c r="X29" s="10">
        <v>0</v>
      </c>
      <c r="Y29" s="10">
        <f>-26.1+18.6</f>
        <v>-7.5</v>
      </c>
      <c r="Z29" s="213">
        <f t="shared" si="86"/>
        <v>-7.5</v>
      </c>
      <c r="AA29" s="10">
        <v>0</v>
      </c>
      <c r="AB29" s="10">
        <v>99.784999999999997</v>
      </c>
      <c r="AC29" s="10">
        <f>13.23+5.261</f>
        <v>18.491</v>
      </c>
      <c r="AD29" s="10">
        <f>-1.1-5.437</f>
        <v>-6.5370000000000008</v>
      </c>
      <c r="AE29" s="213">
        <f t="shared" si="89"/>
        <v>111.73899999999999</v>
      </c>
      <c r="AF29" s="10">
        <f>-3.882+5.485</f>
        <v>1.6030000000000002</v>
      </c>
      <c r="AG29" s="10">
        <f>-63.997+23.569</f>
        <v>-40.427999999999997</v>
      </c>
      <c r="AH29" s="10">
        <v>-16.634</v>
      </c>
      <c r="AI29" s="10">
        <f>83.4+4.803-2.631</f>
        <v>85.572000000000003</v>
      </c>
      <c r="AJ29" s="213">
        <f t="shared" si="87"/>
        <v>30.113000000000007</v>
      </c>
      <c r="AK29" s="10">
        <v>30.053999999999998</v>
      </c>
      <c r="AL29" s="10">
        <v>15.484999999999999</v>
      </c>
      <c r="AM29" s="10">
        <v>1.6859999999999999</v>
      </c>
      <c r="AN29" s="10">
        <f>-2.824-1.1</f>
        <v>-3.9239999999999999</v>
      </c>
      <c r="AO29" s="213">
        <f t="shared" si="88"/>
        <v>43.301000000000002</v>
      </c>
      <c r="AP29" s="10">
        <f>2+5-13.672</f>
        <v>-6.6720000000000006</v>
      </c>
      <c r="AQ29" s="10">
        <v>0</v>
      </c>
      <c r="AR29" s="10">
        <v>0</v>
      </c>
      <c r="AS29" s="10">
        <f>13.582+4.9</f>
        <v>18.481999999999999</v>
      </c>
      <c r="AT29" s="213">
        <f t="shared" si="90"/>
        <v>11.809999999999999</v>
      </c>
      <c r="AU29" s="359">
        <v>0</v>
      </c>
      <c r="AV29" s="188">
        <v>0</v>
      </c>
      <c r="AW29" s="188">
        <v>0</v>
      </c>
      <c r="AX29" s="188">
        <v>0</v>
      </c>
      <c r="AY29" s="213">
        <f t="shared" si="91"/>
        <v>0</v>
      </c>
      <c r="AZ29" s="188">
        <v>0</v>
      </c>
      <c r="BA29" s="188">
        <v>0</v>
      </c>
      <c r="BB29" s="188">
        <v>0</v>
      </c>
      <c r="BC29" s="188">
        <v>0</v>
      </c>
      <c r="BD29" s="213">
        <f t="shared" si="92"/>
        <v>0</v>
      </c>
      <c r="BE29" s="188">
        <v>0</v>
      </c>
      <c r="BF29" s="188">
        <v>0</v>
      </c>
      <c r="BG29" s="188">
        <v>0</v>
      </c>
      <c r="BH29" s="188">
        <v>0</v>
      </c>
      <c r="BI29" s="213">
        <f t="shared" si="93"/>
        <v>0</v>
      </c>
      <c r="BJ29" s="188">
        <v>0</v>
      </c>
      <c r="BK29" s="188">
        <v>0</v>
      </c>
      <c r="BL29" s="188">
        <v>0</v>
      </c>
      <c r="BM29" s="188">
        <v>0</v>
      </c>
      <c r="BN29" s="213">
        <f t="shared" si="94"/>
        <v>0</v>
      </c>
      <c r="BO29" s="188">
        <v>0</v>
      </c>
      <c r="BP29" s="188">
        <v>0</v>
      </c>
      <c r="BQ29" s="188">
        <v>0</v>
      </c>
      <c r="BR29" s="188">
        <v>0</v>
      </c>
      <c r="BS29" s="213">
        <f t="shared" si="95"/>
        <v>0</v>
      </c>
      <c r="BT29" s="188">
        <v>0</v>
      </c>
      <c r="BU29" s="188">
        <v>0</v>
      </c>
      <c r="BV29" s="188">
        <v>0</v>
      </c>
      <c r="BW29" s="188">
        <v>0</v>
      </c>
      <c r="BX29" s="213">
        <f t="shared" si="96"/>
        <v>0</v>
      </c>
      <c r="BY29" s="188">
        <v>0</v>
      </c>
      <c r="BZ29" s="188">
        <v>0</v>
      </c>
      <c r="CA29" s="188">
        <v>0</v>
      </c>
      <c r="CB29" s="188">
        <v>0</v>
      </c>
      <c r="CC29" s="213">
        <f t="shared" si="97"/>
        <v>0</v>
      </c>
      <c r="CD29" s="188">
        <v>0</v>
      </c>
      <c r="CE29" s="188">
        <v>0</v>
      </c>
      <c r="CF29" s="188">
        <v>0</v>
      </c>
      <c r="CG29" s="188">
        <v>0</v>
      </c>
      <c r="CH29" s="213">
        <f t="shared" si="98"/>
        <v>0</v>
      </c>
      <c r="CI29" s="188">
        <v>0</v>
      </c>
      <c r="CJ29" s="188">
        <v>0</v>
      </c>
      <c r="CK29" s="188">
        <v>0</v>
      </c>
      <c r="CL29" s="188">
        <v>0</v>
      </c>
      <c r="CM29" s="213">
        <f t="shared" si="99"/>
        <v>0</v>
      </c>
    </row>
    <row r="30" spans="1:93" s="8" customFormat="1" ht="12.75" customHeight="1" outlineLevel="1">
      <c r="A30" s="64" t="s">
        <v>207</v>
      </c>
      <c r="B30" s="10">
        <v>0</v>
      </c>
      <c r="C30" s="10">
        <v>0</v>
      </c>
      <c r="D30" s="10">
        <v>0</v>
      </c>
      <c r="E30" s="10">
        <v>0</v>
      </c>
      <c r="F30" s="213">
        <f t="shared" si="82"/>
        <v>0</v>
      </c>
      <c r="G30" s="10">
        <v>0</v>
      </c>
      <c r="H30" s="10">
        <v>0</v>
      </c>
      <c r="I30" s="10">
        <v>0</v>
      </c>
      <c r="J30" s="10">
        <v>0</v>
      </c>
      <c r="K30" s="213">
        <f t="shared" si="83"/>
        <v>0</v>
      </c>
      <c r="L30" s="10">
        <v>0</v>
      </c>
      <c r="M30" s="10">
        <v>0</v>
      </c>
      <c r="N30" s="10">
        <v>0</v>
      </c>
      <c r="O30" s="10">
        <v>0</v>
      </c>
      <c r="P30" s="213">
        <f t="shared" si="84"/>
        <v>0</v>
      </c>
      <c r="Q30" s="10">
        <v>0</v>
      </c>
      <c r="R30" s="10">
        <v>0</v>
      </c>
      <c r="S30" s="10">
        <v>0</v>
      </c>
      <c r="T30" s="10">
        <v>0</v>
      </c>
      <c r="U30" s="213">
        <f t="shared" si="85"/>
        <v>0</v>
      </c>
      <c r="V30" s="10">
        <v>2.2999999999999998</v>
      </c>
      <c r="W30" s="190">
        <v>0</v>
      </c>
      <c r="X30" s="10">
        <v>0</v>
      </c>
      <c r="Y30" s="10">
        <v>0</v>
      </c>
      <c r="Z30" s="213">
        <f t="shared" si="86"/>
        <v>2.2999999999999998</v>
      </c>
      <c r="AA30" s="10">
        <v>0</v>
      </c>
      <c r="AB30" s="10">
        <v>0</v>
      </c>
      <c r="AC30" s="10">
        <v>0</v>
      </c>
      <c r="AD30" s="10">
        <v>0</v>
      </c>
      <c r="AE30" s="213">
        <f t="shared" si="89"/>
        <v>0</v>
      </c>
      <c r="AF30" s="10">
        <v>0</v>
      </c>
      <c r="AG30" s="10">
        <v>0</v>
      </c>
      <c r="AH30" s="10">
        <v>0</v>
      </c>
      <c r="AI30" s="10">
        <v>0</v>
      </c>
      <c r="AJ30" s="213">
        <f t="shared" si="87"/>
        <v>0</v>
      </c>
      <c r="AK30" s="10">
        <v>0</v>
      </c>
      <c r="AL30" s="10">
        <v>0</v>
      </c>
      <c r="AM30" s="10">
        <v>0</v>
      </c>
      <c r="AN30" s="10">
        <v>0</v>
      </c>
      <c r="AO30" s="213">
        <f t="shared" si="88"/>
        <v>0</v>
      </c>
      <c r="AP30" s="10">
        <v>0</v>
      </c>
      <c r="AQ30" s="10">
        <v>0</v>
      </c>
      <c r="AR30" s="10">
        <v>0</v>
      </c>
      <c r="AS30" s="10">
        <v>0</v>
      </c>
      <c r="AT30" s="213">
        <f t="shared" si="90"/>
        <v>0</v>
      </c>
      <c r="AU30" s="359">
        <v>0</v>
      </c>
      <c r="AV30" s="188">
        <v>0</v>
      </c>
      <c r="AW30" s="188">
        <v>0</v>
      </c>
      <c r="AX30" s="188">
        <v>0</v>
      </c>
      <c r="AY30" s="213">
        <f t="shared" si="91"/>
        <v>0</v>
      </c>
      <c r="AZ30" s="188">
        <v>0</v>
      </c>
      <c r="BA30" s="188">
        <v>0</v>
      </c>
      <c r="BB30" s="188">
        <v>0</v>
      </c>
      <c r="BC30" s="188">
        <v>0</v>
      </c>
      <c r="BD30" s="213">
        <f t="shared" si="92"/>
        <v>0</v>
      </c>
      <c r="BE30" s="188">
        <v>0</v>
      </c>
      <c r="BF30" s="188">
        <v>0</v>
      </c>
      <c r="BG30" s="188">
        <v>0</v>
      </c>
      <c r="BH30" s="188">
        <v>0</v>
      </c>
      <c r="BI30" s="213">
        <f t="shared" si="93"/>
        <v>0</v>
      </c>
      <c r="BJ30" s="188">
        <v>0</v>
      </c>
      <c r="BK30" s="188">
        <v>0</v>
      </c>
      <c r="BL30" s="188">
        <v>0</v>
      </c>
      <c r="BM30" s="188">
        <v>0</v>
      </c>
      <c r="BN30" s="213">
        <f t="shared" si="94"/>
        <v>0</v>
      </c>
      <c r="BO30" s="188">
        <v>0</v>
      </c>
      <c r="BP30" s="188">
        <v>0</v>
      </c>
      <c r="BQ30" s="188">
        <v>0</v>
      </c>
      <c r="BR30" s="188">
        <v>0</v>
      </c>
      <c r="BS30" s="213">
        <f t="shared" si="95"/>
        <v>0</v>
      </c>
      <c r="BT30" s="188">
        <v>0</v>
      </c>
      <c r="BU30" s="188">
        <v>0</v>
      </c>
      <c r="BV30" s="188">
        <v>0</v>
      </c>
      <c r="BW30" s="188">
        <v>0</v>
      </c>
      <c r="BX30" s="213">
        <f t="shared" si="96"/>
        <v>0</v>
      </c>
      <c r="BY30" s="188">
        <v>0</v>
      </c>
      <c r="BZ30" s="188">
        <v>0</v>
      </c>
      <c r="CA30" s="188">
        <v>0</v>
      </c>
      <c r="CB30" s="188">
        <v>0</v>
      </c>
      <c r="CC30" s="213">
        <f t="shared" si="97"/>
        <v>0</v>
      </c>
      <c r="CD30" s="188">
        <v>0</v>
      </c>
      <c r="CE30" s="188">
        <v>0</v>
      </c>
      <c r="CF30" s="188">
        <v>0</v>
      </c>
      <c r="CG30" s="188">
        <v>0</v>
      </c>
      <c r="CH30" s="213">
        <f t="shared" si="98"/>
        <v>0</v>
      </c>
      <c r="CI30" s="188">
        <v>0</v>
      </c>
      <c r="CJ30" s="188">
        <v>0</v>
      </c>
      <c r="CK30" s="188">
        <v>0</v>
      </c>
      <c r="CL30" s="188">
        <v>0</v>
      </c>
      <c r="CM30" s="213">
        <f t="shared" si="99"/>
        <v>0</v>
      </c>
    </row>
    <row r="31" spans="1:93" s="202" customFormat="1" ht="12.75" customHeight="1">
      <c r="A31" s="202" t="s">
        <v>208</v>
      </c>
      <c r="B31" s="187">
        <f t="shared" ref="B31" si="100">+B24-B25-B26-B27-B28-B29-B30</f>
        <v>-16.018000000000001</v>
      </c>
      <c r="C31" s="187">
        <f t="shared" ref="C31" si="101">+C24-C25-C26-C27-C28-C29-C30</f>
        <v>-23.553000000000001</v>
      </c>
      <c r="D31" s="187">
        <f t="shared" ref="D31:O31" si="102">+D24-D25-D26-D27-D28-D29-D30</f>
        <v>-33.305999999999997</v>
      </c>
      <c r="E31" s="187">
        <f t="shared" si="102"/>
        <v>-15.059999999999999</v>
      </c>
      <c r="F31" s="212">
        <f>+F24-F25-F26-F27-F28-F29-F30</f>
        <v>-87.936999999999998</v>
      </c>
      <c r="G31" s="187">
        <f t="shared" si="102"/>
        <v>-13.843999999999996</v>
      </c>
      <c r="H31" s="187">
        <f t="shared" si="102"/>
        <v>-21.638999999999996</v>
      </c>
      <c r="I31" s="187">
        <f t="shared" si="102"/>
        <v>-24.457999999999995</v>
      </c>
      <c r="J31" s="187">
        <f t="shared" si="102"/>
        <v>-25.122000000000007</v>
      </c>
      <c r="K31" s="212">
        <f>+K24-K25-K26-K27-K28-K29-K30</f>
        <v>-85.062999999999974</v>
      </c>
      <c r="L31" s="187">
        <f>+L24-L25-L26-L27-L28-L29-L30</f>
        <v>-26.050999999999991</v>
      </c>
      <c r="M31" s="187">
        <f t="shared" si="102"/>
        <v>-11.599999999999998</v>
      </c>
      <c r="N31" s="187">
        <f t="shared" si="102"/>
        <v>-12.790000000000001</v>
      </c>
      <c r="O31" s="187">
        <f t="shared" si="102"/>
        <v>-25.210000000000004</v>
      </c>
      <c r="P31" s="212">
        <f>+P24-P25-P26-P27-P28-P29-P30</f>
        <v>-75.650999999999968</v>
      </c>
      <c r="Q31" s="187">
        <f>+Q24-Q25-Q26-Q27-Q28-Q29-Q30</f>
        <v>-27.728999999999992</v>
      </c>
      <c r="R31" s="187">
        <f t="shared" ref="R31:AV31" si="103">+R24-R25-R26-R27-R28-R29-R30</f>
        <v>-54.639000000000017</v>
      </c>
      <c r="S31" s="187">
        <f t="shared" si="103"/>
        <v>-77.669999999999987</v>
      </c>
      <c r="T31" s="187">
        <f t="shared" si="103"/>
        <v>-93.745000000000019</v>
      </c>
      <c r="U31" s="212">
        <f>+U24-U25-U26-U27-U28-U29-U30</f>
        <v>-253.78299999999996</v>
      </c>
      <c r="V31" s="187">
        <f t="shared" si="103"/>
        <v>-109.658</v>
      </c>
      <c r="W31" s="187">
        <f t="shared" si="103"/>
        <v>-97.574999999999989</v>
      </c>
      <c r="X31" s="187">
        <f t="shared" si="103"/>
        <v>-107.52600000000004</v>
      </c>
      <c r="Y31" s="187">
        <f>+Y24-Y25-Y26-Y27-Y28-Y29-Y30</f>
        <v>-90.911000000000001</v>
      </c>
      <c r="Z31" s="212">
        <f>+Z24-Z25-Z26-Z27-Z28-Z29-Z30</f>
        <v>-405.67</v>
      </c>
      <c r="AA31" s="187">
        <f t="shared" si="103"/>
        <v>-123.22799999999999</v>
      </c>
      <c r="AB31" s="187">
        <f t="shared" si="103"/>
        <v>-229.43199999999999</v>
      </c>
      <c r="AC31" s="187">
        <f t="shared" si="103"/>
        <v>-161.99400000000003</v>
      </c>
      <c r="AD31" s="187">
        <f t="shared" si="103"/>
        <v>-139.93400000000003</v>
      </c>
      <c r="AE31" s="212">
        <f t="shared" si="103"/>
        <v>-654.58800000000008</v>
      </c>
      <c r="AF31" s="187">
        <f t="shared" si="103"/>
        <v>-133.53300000000002</v>
      </c>
      <c r="AG31" s="187">
        <f>+AG24-AG25-AG26-AG27-AG28-AG29-AG30</f>
        <v>-72.770999999999958</v>
      </c>
      <c r="AH31" s="187">
        <f t="shared" si="103"/>
        <v>-86.10199999999999</v>
      </c>
      <c r="AI31" s="187">
        <f t="shared" si="103"/>
        <v>-187.04300000000001</v>
      </c>
      <c r="AJ31" s="212">
        <f t="shared" si="103"/>
        <v>-479.44900000000001</v>
      </c>
      <c r="AK31" s="187">
        <f>+AK24-AK25-AK26-AK27-AK28-AK29-AK30</f>
        <v>-114.985</v>
      </c>
      <c r="AL31" s="187">
        <f t="shared" si="103"/>
        <v>-102.62800000000003</v>
      </c>
      <c r="AM31" s="187">
        <f t="shared" si="103"/>
        <v>-107.75400000000002</v>
      </c>
      <c r="AN31" s="187">
        <f t="shared" si="103"/>
        <v>-111.00599999999997</v>
      </c>
      <c r="AO31" s="212">
        <f t="shared" si="103"/>
        <v>-436.37300000000005</v>
      </c>
      <c r="AP31" s="187">
        <f t="shared" si="103"/>
        <v>-95.158999999999992</v>
      </c>
      <c r="AQ31" s="187">
        <f t="shared" si="103"/>
        <v>-99.898999999999987</v>
      </c>
      <c r="AR31" s="187">
        <f t="shared" si="103"/>
        <v>-92.72499999999998</v>
      </c>
      <c r="AS31" s="187">
        <f t="shared" si="103"/>
        <v>-128.494</v>
      </c>
      <c r="AT31" s="212">
        <f t="shared" si="103"/>
        <v>-416.27699999999993</v>
      </c>
      <c r="AU31" s="357">
        <f t="shared" si="103"/>
        <v>-77.36212997918112</v>
      </c>
      <c r="AV31" s="187">
        <f t="shared" si="103"/>
        <v>-79.847075063633298</v>
      </c>
      <c r="AW31" s="187">
        <f t="shared" ref="AW31:CB31" si="104">+AW24-AW25-AW26-AW27-AW28-AW29-AW30</f>
        <v>-77.294314911959759</v>
      </c>
      <c r="AX31" s="187">
        <f t="shared" si="104"/>
        <v>-98.685635679343349</v>
      </c>
      <c r="AY31" s="212">
        <f t="shared" si="104"/>
        <v>-333.18915563411758</v>
      </c>
      <c r="AZ31" s="187">
        <f t="shared" si="104"/>
        <v>-26.196858697762742</v>
      </c>
      <c r="BA31" s="187">
        <f t="shared" si="104"/>
        <v>-27.002024899015279</v>
      </c>
      <c r="BB31" s="187">
        <f t="shared" si="104"/>
        <v>-30.672376942004274</v>
      </c>
      <c r="BC31" s="187">
        <f t="shared" si="104"/>
        <v>-51.448110278703474</v>
      </c>
      <c r="BD31" s="212">
        <f t="shared" si="104"/>
        <v>-135.31937081748549</v>
      </c>
      <c r="BE31" s="187">
        <f t="shared" si="104"/>
        <v>33.890449507352962</v>
      </c>
      <c r="BF31" s="187">
        <f t="shared" si="104"/>
        <v>34.675009192476125</v>
      </c>
      <c r="BG31" s="187">
        <f t="shared" si="104"/>
        <v>33.774288278024621</v>
      </c>
      <c r="BH31" s="187">
        <f t="shared" si="104"/>
        <v>11.041762375445629</v>
      </c>
      <c r="BI31" s="212">
        <f t="shared" si="104"/>
        <v>113.38150935329941</v>
      </c>
      <c r="BJ31" s="187">
        <f t="shared" si="104"/>
        <v>96.944207017476131</v>
      </c>
      <c r="BK31" s="187">
        <f t="shared" si="104"/>
        <v>91.311948711343319</v>
      </c>
      <c r="BL31" s="187">
        <f t="shared" si="104"/>
        <v>91.832313468945557</v>
      </c>
      <c r="BM31" s="187">
        <f t="shared" si="104"/>
        <v>61.730851305269525</v>
      </c>
      <c r="BN31" s="212">
        <f t="shared" si="104"/>
        <v>341.81932050303499</v>
      </c>
      <c r="BO31" s="187">
        <f t="shared" si="104"/>
        <v>159.04554730771679</v>
      </c>
      <c r="BP31" s="187">
        <f t="shared" si="104"/>
        <v>159.35408577987087</v>
      </c>
      <c r="BQ31" s="187">
        <f t="shared" si="104"/>
        <v>154.31724516907582</v>
      </c>
      <c r="BR31" s="187">
        <f t="shared" si="104"/>
        <v>121.19388225584845</v>
      </c>
      <c r="BS31" s="212">
        <f t="shared" si="104"/>
        <v>593.91076051251218</v>
      </c>
      <c r="BT31" s="187">
        <f t="shared" si="104"/>
        <v>217.95942614453583</v>
      </c>
      <c r="BU31" s="187">
        <f t="shared" si="104"/>
        <v>208.38283212892719</v>
      </c>
      <c r="BV31" s="187">
        <f t="shared" si="104"/>
        <v>199.49263021197538</v>
      </c>
      <c r="BW31" s="187">
        <f t="shared" si="104"/>
        <v>160.17812260510942</v>
      </c>
      <c r="BX31" s="212">
        <f t="shared" si="104"/>
        <v>786.01301109054828</v>
      </c>
      <c r="BY31" s="187">
        <f t="shared" si="104"/>
        <v>258.0365146367277</v>
      </c>
      <c r="BZ31" s="187">
        <f t="shared" si="104"/>
        <v>247.33296330981486</v>
      </c>
      <c r="CA31" s="187">
        <f t="shared" si="104"/>
        <v>239.21657296794541</v>
      </c>
      <c r="CB31" s="187">
        <f t="shared" si="104"/>
        <v>194.54737599191577</v>
      </c>
      <c r="CC31" s="212">
        <f t="shared" ref="CC31:CM31" si="105">+CC24-CC25-CC26-CC27-CC28-CC29-CC30</f>
        <v>939.13342690640343</v>
      </c>
      <c r="CD31" s="187">
        <f t="shared" si="105"/>
        <v>303.29445170195601</v>
      </c>
      <c r="CE31" s="187">
        <f t="shared" si="105"/>
        <v>294.25787660996599</v>
      </c>
      <c r="CF31" s="187">
        <f t="shared" si="105"/>
        <v>275.36586262975777</v>
      </c>
      <c r="CG31" s="187">
        <f t="shared" si="105"/>
        <v>224.71695924409087</v>
      </c>
      <c r="CH31" s="212">
        <f t="shared" si="105"/>
        <v>1097.6351501857712</v>
      </c>
      <c r="CI31" s="187">
        <f t="shared" si="105"/>
        <v>338.12484016803967</v>
      </c>
      <c r="CJ31" s="187">
        <f t="shared" si="105"/>
        <v>322.88141732978823</v>
      </c>
      <c r="CK31" s="187">
        <f t="shared" si="105"/>
        <v>302.38293843027668</v>
      </c>
      <c r="CL31" s="187">
        <f t="shared" si="105"/>
        <v>245.27453989762958</v>
      </c>
      <c r="CM31" s="212">
        <f t="shared" si="105"/>
        <v>1208.6637358257346</v>
      </c>
    </row>
    <row r="32" spans="1:93" ht="12.75" customHeight="1">
      <c r="B32" s="10"/>
      <c r="C32" s="10"/>
      <c r="D32" s="10"/>
      <c r="E32" s="10"/>
      <c r="F32" s="213"/>
      <c r="G32" s="10"/>
      <c r="H32" s="10"/>
      <c r="I32" s="10"/>
      <c r="J32" s="10"/>
      <c r="K32" s="213"/>
      <c r="L32" s="10"/>
      <c r="M32" s="10"/>
      <c r="N32" s="10"/>
      <c r="O32" s="10"/>
      <c r="P32" s="213"/>
      <c r="Q32" s="10"/>
      <c r="R32" s="10"/>
      <c r="S32" s="10"/>
      <c r="T32" s="189"/>
      <c r="U32" s="213"/>
      <c r="V32" s="10"/>
      <c r="W32" s="10"/>
      <c r="X32" s="10"/>
      <c r="Y32" s="10"/>
      <c r="Z32" s="213"/>
      <c r="AA32" s="10"/>
      <c r="AB32" s="10"/>
      <c r="AC32" s="10"/>
      <c r="AD32" s="10"/>
      <c r="AE32" s="213"/>
      <c r="AF32" s="10"/>
      <c r="AG32" s="10"/>
      <c r="AH32" s="10"/>
      <c r="AI32" s="10"/>
      <c r="AJ32" s="213"/>
      <c r="AK32" s="10"/>
      <c r="AL32" s="10"/>
      <c r="AM32" s="10"/>
      <c r="AN32" s="10"/>
      <c r="AO32" s="213"/>
      <c r="AP32" s="10"/>
      <c r="AQ32" s="191"/>
      <c r="AR32" s="191"/>
      <c r="AS32" s="191"/>
      <c r="AT32" s="213"/>
      <c r="AU32" s="358"/>
      <c r="AV32" s="10"/>
      <c r="AW32" s="10"/>
      <c r="AX32" s="10"/>
      <c r="AY32" s="213"/>
      <c r="AZ32" s="10"/>
      <c r="BA32" s="10"/>
      <c r="BB32" s="10"/>
      <c r="BC32" s="10"/>
      <c r="BD32" s="213"/>
      <c r="BE32" s="10"/>
      <c r="BF32" s="10"/>
      <c r="BG32" s="10"/>
      <c r="BH32" s="10"/>
      <c r="BI32" s="213"/>
      <c r="BJ32" s="10"/>
      <c r="BK32" s="10"/>
      <c r="BL32" s="10"/>
      <c r="BM32" s="10"/>
      <c r="BN32" s="213"/>
      <c r="BO32" s="10"/>
      <c r="BP32" s="10"/>
      <c r="BQ32" s="10"/>
      <c r="BR32" s="10"/>
      <c r="BS32" s="213"/>
      <c r="BT32" s="10"/>
      <c r="BU32" s="10"/>
      <c r="BV32" s="10"/>
      <c r="BW32" s="10"/>
      <c r="BX32" s="213"/>
      <c r="BY32" s="10"/>
      <c r="BZ32" s="10"/>
      <c r="CA32" s="10"/>
      <c r="CB32" s="10"/>
      <c r="CC32" s="213"/>
      <c r="CD32" s="10"/>
      <c r="CE32" s="10"/>
      <c r="CF32" s="10"/>
      <c r="CG32" s="10"/>
      <c r="CH32" s="213"/>
      <c r="CI32" s="10"/>
      <c r="CJ32" s="10"/>
      <c r="CK32" s="10"/>
      <c r="CL32" s="10"/>
      <c r="CM32" s="213"/>
    </row>
    <row r="33" spans="1:91" s="10" customFormat="1" ht="12.75" customHeight="1">
      <c r="A33" s="10" t="s">
        <v>12</v>
      </c>
      <c r="B33" s="211" t="s">
        <v>294</v>
      </c>
      <c r="C33" s="211" t="s">
        <v>294</v>
      </c>
      <c r="D33" s="10">
        <v>12.073</v>
      </c>
      <c r="E33" s="10">
        <v>11.851000000000001</v>
      </c>
      <c r="F33" s="213">
        <v>12.582000000000001</v>
      </c>
      <c r="G33" s="10">
        <v>11.92</v>
      </c>
      <c r="H33" s="10">
        <v>12.388</v>
      </c>
      <c r="I33" s="10">
        <v>12.582000000000001</v>
      </c>
      <c r="J33" s="10">
        <v>84.123000000000005</v>
      </c>
      <c r="K33" s="213">
        <v>30.402999999999999</v>
      </c>
      <c r="L33" s="10">
        <v>85.935000000000002</v>
      </c>
      <c r="M33" s="10">
        <v>89.036000000000001</v>
      </c>
      <c r="N33" s="10">
        <v>93.302999999999997</v>
      </c>
      <c r="O33" s="10">
        <f>P33*4-SUM(L33:N33)</f>
        <v>94.113999999999976</v>
      </c>
      <c r="P33" s="213">
        <v>90.596999999999994</v>
      </c>
      <c r="Q33" s="10">
        <v>94.382000000000005</v>
      </c>
      <c r="R33" s="10">
        <v>96.010999999999996</v>
      </c>
      <c r="S33" s="10">
        <v>99.554000000000002</v>
      </c>
      <c r="T33" s="10">
        <f>U33*4-SUM(Q33:S33)</f>
        <v>100.06900000000002</v>
      </c>
      <c r="U33" s="213">
        <v>97.504000000000005</v>
      </c>
      <c r="V33" s="10">
        <v>100.955</v>
      </c>
      <c r="W33" s="10">
        <v>101.172</v>
      </c>
      <c r="X33" s="10">
        <v>101.42</v>
      </c>
      <c r="Y33" s="10">
        <v>101.697</v>
      </c>
      <c r="Z33" s="213">
        <v>101.31399999999999</v>
      </c>
      <c r="AA33" s="10">
        <v>101.85299999999999</v>
      </c>
      <c r="AB33" s="10">
        <v>102.047</v>
      </c>
      <c r="AC33" s="10">
        <v>102.289</v>
      </c>
      <c r="AD33" s="10">
        <v>102.51600000000001</v>
      </c>
      <c r="AE33" s="213">
        <v>102.178</v>
      </c>
      <c r="AF33" s="10">
        <v>102.663</v>
      </c>
      <c r="AG33" s="10">
        <v>108.80800000000001</v>
      </c>
      <c r="AH33" s="10">
        <v>117.736</v>
      </c>
      <c r="AI33" s="10">
        <v>118.508</v>
      </c>
      <c r="AJ33" s="213">
        <f>AVERAGE(AF33:AI33)</f>
        <v>111.92874999999999</v>
      </c>
      <c r="AK33" s="10">
        <v>121.712</v>
      </c>
      <c r="AL33" s="10">
        <v>122.447</v>
      </c>
      <c r="AM33" s="10">
        <v>123.051</v>
      </c>
      <c r="AN33" s="10">
        <v>123.754</v>
      </c>
      <c r="AO33" s="213">
        <f>AVERAGE(AK33:AN33)</f>
        <v>122.741</v>
      </c>
      <c r="AP33" s="10">
        <v>123.871</v>
      </c>
      <c r="AQ33" s="10">
        <v>124.114</v>
      </c>
      <c r="AR33" s="10">
        <v>124.807</v>
      </c>
      <c r="AS33" s="10">
        <v>128.65700000000001</v>
      </c>
      <c r="AT33" s="213">
        <f>AVERAGE(AP33:AS33)</f>
        <v>125.36225000000002</v>
      </c>
      <c r="AU33" s="358">
        <f>AS33+BS!AU57-BS!AU58</f>
        <v>129.15700000000001</v>
      </c>
      <c r="AV33" s="10">
        <f>AU33+BS!AV57-BS!AV58</f>
        <v>129.45700000000002</v>
      </c>
      <c r="AW33" s="10">
        <f>AV33+BS!AW57-BS!AW58</f>
        <v>129.75700000000003</v>
      </c>
      <c r="AX33" s="10">
        <f>AW33+BS!AX57-BS!AX58</f>
        <v>130.05700000000004</v>
      </c>
      <c r="AY33" s="213">
        <f>AVERAGE(AU33:AX33)</f>
        <v>129.60700000000003</v>
      </c>
      <c r="AZ33" s="10">
        <f>AX33+BS!AZ57-BS!AZ58</f>
        <v>130.38214250000004</v>
      </c>
      <c r="BA33" s="10">
        <f>AZ33+BS!BA57-BS!BA58</f>
        <v>130.70728500000004</v>
      </c>
      <c r="BB33" s="10">
        <f>BA33+BS!BB57-BS!BB58</f>
        <v>131.03242750000004</v>
      </c>
      <c r="BC33" s="10">
        <f>BB33+BS!BC57-BS!BC58</f>
        <v>131.35757000000004</v>
      </c>
      <c r="BD33" s="213">
        <f>AVERAGE(AZ33:BC33)</f>
        <v>130.86985625000003</v>
      </c>
      <c r="BE33" s="10">
        <f>BC33+BS!BE57-BS!BE58</f>
        <v>131.68596392500004</v>
      </c>
      <c r="BF33" s="10">
        <f>BE33+BS!BF57-BS!BF58</f>
        <v>132.01435785000004</v>
      </c>
      <c r="BG33" s="10">
        <f>BF33+BS!BG57-BS!BG58</f>
        <v>132.34275177500004</v>
      </c>
      <c r="BH33" s="10">
        <f>BG33+BS!BH57-BS!BH58</f>
        <v>132.67114570000004</v>
      </c>
      <c r="BI33" s="213">
        <f>AVERAGE(BE33:BH33)</f>
        <v>132.17855481250004</v>
      </c>
      <c r="BJ33" s="10">
        <f>BH33+BS!BJ57-BS!BJ58</f>
        <v>133.00282356425004</v>
      </c>
      <c r="BK33" s="10">
        <f>BJ33+BS!BK57-BS!BK58</f>
        <v>133.33450142850003</v>
      </c>
      <c r="BL33" s="10">
        <f>BK33+BS!BL57-BS!BL58</f>
        <v>133.66617929275003</v>
      </c>
      <c r="BM33" s="10">
        <f>BL33+BS!BM57-BS!BM58</f>
        <v>133.99785715700003</v>
      </c>
      <c r="BN33" s="213">
        <f>AVERAGE(BJ33:BM33)</f>
        <v>133.50034036062502</v>
      </c>
      <c r="BO33" s="10">
        <f>BM33+BS!BO57-BS!BO58</f>
        <v>134.33285179989252</v>
      </c>
      <c r="BP33" s="10">
        <f>BO33+BS!BP57-BS!BP58</f>
        <v>134.66784644278502</v>
      </c>
      <c r="BQ33" s="10">
        <f>BP33+BS!BQ57-BS!BQ58</f>
        <v>135.00284108567752</v>
      </c>
      <c r="BR33" s="10">
        <f>BQ33+BS!BR57-BS!BR58</f>
        <v>135.33783572857001</v>
      </c>
      <c r="BS33" s="213">
        <f>AVERAGE(BO33:BR33)</f>
        <v>134.83534376423128</v>
      </c>
      <c r="BT33" s="10">
        <f>BR33+BS!BT57-BS!BT58</f>
        <v>135.67618031789144</v>
      </c>
      <c r="BU33" s="10">
        <f>BT33+BS!BU57-BS!BU58</f>
        <v>136.01452490721286</v>
      </c>
      <c r="BV33" s="10">
        <f>BU33+BS!BV57-BS!BV58</f>
        <v>136.35286949653428</v>
      </c>
      <c r="BW33" s="10">
        <f>BV33+BS!BW57-BS!BW58</f>
        <v>136.69121408585571</v>
      </c>
      <c r="BX33" s="213">
        <f>AVERAGE(BT33:BW33)</f>
        <v>136.18369720187357</v>
      </c>
      <c r="BY33" s="10">
        <f>BW33+BS!BY57-BS!BY58</f>
        <v>137.03294212107033</v>
      </c>
      <c r="BZ33" s="10">
        <f>BY33+BS!BZ57-BS!BZ58</f>
        <v>137.37467015628496</v>
      </c>
      <c r="CA33" s="10">
        <f>BZ33+BS!CA57-BS!CA58</f>
        <v>137.71639819149959</v>
      </c>
      <c r="CB33" s="10">
        <f>CA33+BS!CB57-BS!CB58</f>
        <v>138.05812622671422</v>
      </c>
      <c r="CC33" s="213">
        <f>AVERAGE(BY33:CB33)</f>
        <v>137.54553417389226</v>
      </c>
      <c r="CD33" s="10">
        <f>CB33+BS!CD57-BS!CD58</f>
        <v>138.403271542281</v>
      </c>
      <c r="CE33" s="10">
        <f>CD33+BS!CE57-BS!CE58</f>
        <v>138.74841685784779</v>
      </c>
      <c r="CF33" s="10">
        <f>CE33+BS!CF57-BS!CF58</f>
        <v>139.09356217341457</v>
      </c>
      <c r="CG33" s="10">
        <f>CF33+BS!CG57-BS!CG58</f>
        <v>139.43870748898135</v>
      </c>
      <c r="CH33" s="213">
        <f>AVERAGE(CD33:CG33)</f>
        <v>138.92098951563119</v>
      </c>
      <c r="CI33" s="10">
        <f>CG33+BS!CI57-BS!CI58</f>
        <v>139.78730425770379</v>
      </c>
      <c r="CJ33" s="10">
        <f>CI33+BS!CJ57-BS!CJ58</f>
        <v>140.13590102642624</v>
      </c>
      <c r="CK33" s="10">
        <f>CJ33+BS!CK57-BS!CK58</f>
        <v>140.48449779514868</v>
      </c>
      <c r="CL33" s="10">
        <f>CK33+BS!CL57-BS!CL58</f>
        <v>140.83309456387113</v>
      </c>
      <c r="CM33" s="213">
        <f>AVERAGE(CI33:CL33)</f>
        <v>140.31019941078748</v>
      </c>
    </row>
    <row r="34" spans="1:91" s="10" customFormat="1" ht="12.75" customHeight="1">
      <c r="A34" s="10" t="s">
        <v>13</v>
      </c>
      <c r="B34" s="211" t="s">
        <v>294</v>
      </c>
      <c r="C34" s="211" t="s">
        <v>294</v>
      </c>
      <c r="D34" s="10">
        <v>12.073</v>
      </c>
      <c r="E34" s="10">
        <v>11.851000000000001</v>
      </c>
      <c r="F34" s="213">
        <v>12.582000000000001</v>
      </c>
      <c r="G34" s="10">
        <v>11.92</v>
      </c>
      <c r="H34" s="10">
        <v>12.388</v>
      </c>
      <c r="I34" s="10">
        <v>12.582000000000001</v>
      </c>
      <c r="J34" s="10">
        <v>84.123000000000005</v>
      </c>
      <c r="K34" s="213">
        <v>30.402999999999999</v>
      </c>
      <c r="L34" s="10">
        <v>85.935000000000002</v>
      </c>
      <c r="M34" s="10">
        <v>89.036000000000001</v>
      </c>
      <c r="N34" s="10">
        <v>93.302999999999997</v>
      </c>
      <c r="O34" s="10">
        <f>P34*4-SUM(L34:N34)</f>
        <v>94.113999999999976</v>
      </c>
      <c r="P34" s="213">
        <v>90.596999999999994</v>
      </c>
      <c r="Q34" s="10">
        <v>94.382000000000005</v>
      </c>
      <c r="R34" s="10">
        <v>96.010999999999996</v>
      </c>
      <c r="S34" s="10">
        <v>99.554000000000002</v>
      </c>
      <c r="T34" s="10">
        <f>U34*4-SUM(Q34:S34)</f>
        <v>100.06900000000002</v>
      </c>
      <c r="U34" s="213">
        <v>97.504000000000005</v>
      </c>
      <c r="V34" s="10">
        <v>100.955</v>
      </c>
      <c r="W34" s="10">
        <v>101.172</v>
      </c>
      <c r="X34" s="10">
        <v>101.42</v>
      </c>
      <c r="Y34" s="10">
        <v>101.697</v>
      </c>
      <c r="Z34" s="213">
        <v>101.31399999999999</v>
      </c>
      <c r="AA34" s="10">
        <v>101.85299999999999</v>
      </c>
      <c r="AB34" s="10">
        <v>102.047</v>
      </c>
      <c r="AC34" s="10">
        <v>102.289</v>
      </c>
      <c r="AD34" s="10">
        <v>102.51600000000001</v>
      </c>
      <c r="AE34" s="213">
        <v>102.178</v>
      </c>
      <c r="AF34" s="10">
        <v>102.663</v>
      </c>
      <c r="AG34" s="10">
        <v>108.80800000000001</v>
      </c>
      <c r="AH34" s="10">
        <v>117.736</v>
      </c>
      <c r="AI34" s="10">
        <v>118.508</v>
      </c>
      <c r="AJ34" s="213">
        <f>AVERAGE(AF34:AI34)</f>
        <v>111.92874999999999</v>
      </c>
      <c r="AK34" s="10">
        <v>121.712</v>
      </c>
      <c r="AL34" s="10">
        <v>122.447</v>
      </c>
      <c r="AM34" s="10">
        <v>123.051</v>
      </c>
      <c r="AN34" s="10">
        <v>123.754</v>
      </c>
      <c r="AO34" s="213">
        <f>AVERAGE(AK34:AN34)</f>
        <v>122.741</v>
      </c>
      <c r="AP34" s="10">
        <v>123.871</v>
      </c>
      <c r="AQ34" s="10">
        <v>124.114</v>
      </c>
      <c r="AR34" s="10">
        <v>124.807</v>
      </c>
      <c r="AS34" s="10">
        <v>128.65700000000001</v>
      </c>
      <c r="AT34" s="213">
        <f>AVERAGE(AP34:AS34)</f>
        <v>125.36225000000002</v>
      </c>
      <c r="AU34" s="358">
        <f>AS34+BS!AU57-BS!AU58</f>
        <v>129.15700000000001</v>
      </c>
      <c r="AV34" s="10">
        <f>AU34+BS!AV57-BS!AV58</f>
        <v>129.45700000000002</v>
      </c>
      <c r="AW34" s="10">
        <f>AV34+BS!AW57-BS!AW58</f>
        <v>129.75700000000003</v>
      </c>
      <c r="AX34" s="10">
        <f>AW34+BS!AX57-BS!AX58</f>
        <v>130.05700000000004</v>
      </c>
      <c r="AY34" s="213">
        <f>AVERAGE(AU34:AX34)</f>
        <v>129.60700000000003</v>
      </c>
      <c r="AZ34" s="10">
        <f>AX34+BS!AZ57-BS!AZ58</f>
        <v>130.38214250000004</v>
      </c>
      <c r="BA34" s="10">
        <f>AZ34+BS!BA57-BS!BA58</f>
        <v>130.70728500000004</v>
      </c>
      <c r="BB34" s="10">
        <f>BA34+BS!BB57-BS!BB58</f>
        <v>131.03242750000004</v>
      </c>
      <c r="BC34" s="10">
        <f>BB34+BS!BC57-BS!BC58</f>
        <v>131.35757000000004</v>
      </c>
      <c r="BD34" s="213">
        <f>AVERAGE(AZ34:BC34)</f>
        <v>130.86985625000003</v>
      </c>
      <c r="BE34" s="10">
        <f>BC34+BS!BE57-BS!BE58</f>
        <v>131.68596392500004</v>
      </c>
      <c r="BF34" s="10">
        <f>BE34+BS!BF57-BS!BF58</f>
        <v>132.01435785000004</v>
      </c>
      <c r="BG34" s="10">
        <f>BF34+BS!BG57-BS!BG58</f>
        <v>132.34275177500004</v>
      </c>
      <c r="BH34" s="10">
        <f>BG34+BS!BH57-BS!BH58</f>
        <v>132.67114570000004</v>
      </c>
      <c r="BI34" s="213">
        <f>AVERAGE(BE34:BH34)</f>
        <v>132.17855481250004</v>
      </c>
      <c r="BJ34" s="10">
        <f>BH34+BS!BJ57-BS!BJ58</f>
        <v>133.00282356425004</v>
      </c>
      <c r="BK34" s="10">
        <f>BJ34+BS!BK57-BS!BK58</f>
        <v>133.33450142850003</v>
      </c>
      <c r="BL34" s="10">
        <f>BK34+BS!BL57-BS!BL58</f>
        <v>133.66617929275003</v>
      </c>
      <c r="BM34" s="10">
        <f>BL34+BS!BM57-BS!BM58</f>
        <v>133.99785715700003</v>
      </c>
      <c r="BN34" s="213">
        <f>AVERAGE(BJ34:BM34)</f>
        <v>133.50034036062502</v>
      </c>
      <c r="BO34" s="10">
        <f>BM34+BS!BO57-BS!BO58</f>
        <v>134.33285179989252</v>
      </c>
      <c r="BP34" s="10">
        <f>BO34+BS!BP57-BS!BP58</f>
        <v>134.66784644278502</v>
      </c>
      <c r="BQ34" s="10">
        <f>BP34+BS!BQ57-BS!BQ58</f>
        <v>135.00284108567752</v>
      </c>
      <c r="BR34" s="10">
        <f>BQ34+BS!BR57-BS!BR58</f>
        <v>135.33783572857001</v>
      </c>
      <c r="BS34" s="213">
        <f>AVERAGE(BO34:BR34)</f>
        <v>134.83534376423128</v>
      </c>
      <c r="BT34" s="10">
        <f>BR34+BS!BT57-BS!BT58</f>
        <v>135.67618031789144</v>
      </c>
      <c r="BU34" s="10">
        <f>BT34+BS!BU57-BS!BU58</f>
        <v>136.01452490721286</v>
      </c>
      <c r="BV34" s="10">
        <f>BU34+BS!BV57-BS!BV58</f>
        <v>136.35286949653428</v>
      </c>
      <c r="BW34" s="10">
        <f>BV34+BS!BW57-BS!BW58</f>
        <v>136.69121408585571</v>
      </c>
      <c r="BX34" s="213">
        <f>AVERAGE(BT34:BW34)</f>
        <v>136.18369720187357</v>
      </c>
      <c r="BY34" s="10">
        <f>BW34+BS!BY57-BS!BY58</f>
        <v>137.03294212107033</v>
      </c>
      <c r="BZ34" s="10">
        <f>BY34+BS!BZ57-BS!BZ58</f>
        <v>137.37467015628496</v>
      </c>
      <c r="CA34" s="10">
        <f>BZ34+BS!CA57-BS!CA58</f>
        <v>137.71639819149959</v>
      </c>
      <c r="CB34" s="10">
        <f>CA34+BS!CB57-BS!CB58</f>
        <v>138.05812622671422</v>
      </c>
      <c r="CC34" s="213">
        <f>AVERAGE(BY34:CB34)</f>
        <v>137.54553417389226</v>
      </c>
      <c r="CD34" s="10">
        <f>CB34+BS!CD57-BS!CD58</f>
        <v>138.403271542281</v>
      </c>
      <c r="CE34" s="10">
        <f>CD34+BS!CE57-BS!CE58</f>
        <v>138.74841685784779</v>
      </c>
      <c r="CF34" s="10">
        <f>CE34+BS!CF57-BS!CF58</f>
        <v>139.09356217341457</v>
      </c>
      <c r="CG34" s="10">
        <f>CF34+BS!CG57-BS!CG58</f>
        <v>139.43870748898135</v>
      </c>
      <c r="CH34" s="213">
        <f>AVERAGE(CD34:CG34)</f>
        <v>138.92098951563119</v>
      </c>
      <c r="CI34" s="10">
        <f>CG34+BS!CI57-BS!CI58</f>
        <v>139.78730425770379</v>
      </c>
      <c r="CJ34" s="10">
        <f>CI34+BS!CJ57-BS!CJ58</f>
        <v>140.13590102642624</v>
      </c>
      <c r="CK34" s="10">
        <f>CJ34+BS!CK57-BS!CK58</f>
        <v>140.48449779514868</v>
      </c>
      <c r="CL34" s="10">
        <f>CK34+BS!CL57-BS!CL58</f>
        <v>140.83309456387113</v>
      </c>
      <c r="CM34" s="213">
        <f>AVERAGE(CI34:CL34)</f>
        <v>140.31019941078748</v>
      </c>
    </row>
    <row r="35" spans="1:91" ht="12.75" customHeight="1">
      <c r="F35" s="214"/>
      <c r="K35" s="214"/>
      <c r="P35" s="214"/>
      <c r="T35" s="61"/>
      <c r="U35" s="214"/>
      <c r="Z35" s="214"/>
      <c r="AE35" s="214"/>
      <c r="AJ35" s="214"/>
      <c r="AO35" s="214"/>
      <c r="AT35" s="214"/>
      <c r="AU35" s="360"/>
      <c r="AY35" s="214"/>
      <c r="BD35" s="214"/>
      <c r="BI35" s="214"/>
      <c r="BN35" s="214"/>
      <c r="BS35" s="214"/>
      <c r="BX35" s="214"/>
      <c r="CC35" s="214"/>
      <c r="CH35" s="214"/>
      <c r="CM35" s="214"/>
    </row>
    <row r="36" spans="1:91" s="11" customFormat="1" ht="12.75" customHeight="1" outlineLevel="1">
      <c r="A36" s="11" t="s">
        <v>209</v>
      </c>
      <c r="B36" s="211" t="s">
        <v>294</v>
      </c>
      <c r="C36" s="211" t="s">
        <v>294</v>
      </c>
      <c r="D36" s="71">
        <f t="shared" ref="D36:F36" si="106">D24/D33</f>
        <v>-2.2164333637041334</v>
      </c>
      <c r="E36" s="71">
        <f t="shared" si="106"/>
        <v>-1.1381318032233565</v>
      </c>
      <c r="F36" s="215">
        <f t="shared" si="106"/>
        <v>-5.8379430933079002</v>
      </c>
      <c r="G36" s="71">
        <f t="shared" ref="G36:P36" si="107">G24/G33</f>
        <v>-1.0542785234899326</v>
      </c>
      <c r="H36" s="71">
        <f t="shared" si="107"/>
        <v>-1.6515175976751693</v>
      </c>
      <c r="I36" s="71">
        <f t="shared" si="107"/>
        <v>-1.7228580511842311</v>
      </c>
      <c r="J36" s="71">
        <f t="shared" si="107"/>
        <v>-0.26994995423368168</v>
      </c>
      <c r="K36" s="215">
        <f t="shared" si="107"/>
        <v>-2.5461960990691703</v>
      </c>
      <c r="L36" s="71">
        <f t="shared" si="107"/>
        <v>-0.21142724151975323</v>
      </c>
      <c r="M36" s="71">
        <f t="shared" si="107"/>
        <v>-9.080596612606133E-2</v>
      </c>
      <c r="N36" s="71">
        <f t="shared" si="107"/>
        <v>-8.151935093191004E-2</v>
      </c>
      <c r="O36" s="71">
        <f t="shared" si="107"/>
        <v>-0.18103576513589911</v>
      </c>
      <c r="P36" s="215">
        <f t="shared" si="107"/>
        <v>-0.56180668234047459</v>
      </c>
      <c r="Q36" s="71">
        <f t="shared" ref="Q36:AV36" si="108">Q24/Q33</f>
        <v>-0.16367527706554205</v>
      </c>
      <c r="R36" s="71">
        <f t="shared" si="108"/>
        <v>-0.24516982429096684</v>
      </c>
      <c r="S36" s="71">
        <f t="shared" si="108"/>
        <v>-0.15465978263053207</v>
      </c>
      <c r="T36" s="71">
        <f t="shared" si="108"/>
        <v>-0.36626727557984995</v>
      </c>
      <c r="U36" s="215">
        <f t="shared" si="108"/>
        <v>-0.93366425992779756</v>
      </c>
      <c r="V36" s="71">
        <f t="shared" si="108"/>
        <v>-0.48910900896439002</v>
      </c>
      <c r="W36" s="71">
        <f t="shared" si="108"/>
        <v>-0.60728264737279081</v>
      </c>
      <c r="X36" s="71">
        <f t="shared" si="108"/>
        <v>-0.69520804575034545</v>
      </c>
      <c r="Y36" s="71">
        <f t="shared" si="108"/>
        <v>-0.69181981769373735</v>
      </c>
      <c r="Z36" s="215">
        <f t="shared" si="108"/>
        <v>-2.4841779023629509</v>
      </c>
      <c r="AA36" s="71">
        <f t="shared" si="108"/>
        <v>-0.91488714127222559</v>
      </c>
      <c r="AB36" s="71">
        <f t="shared" si="108"/>
        <v>-0.99731496271325926</v>
      </c>
      <c r="AC36" s="71">
        <f t="shared" si="108"/>
        <v>-1.1813195944823003</v>
      </c>
      <c r="AD36" s="71">
        <f t="shared" si="108"/>
        <v>-1.1665593663428149</v>
      </c>
      <c r="AE36" s="215">
        <f t="shared" si="108"/>
        <v>-4.2610346649963793</v>
      </c>
      <c r="AF36" s="71">
        <f t="shared" si="108"/>
        <v>-1.0571189230784215</v>
      </c>
      <c r="AG36" s="71">
        <f t="shared" si="108"/>
        <v>-0.81537203146827386</v>
      </c>
      <c r="AH36" s="71">
        <f t="shared" si="108"/>
        <v>-0.67264897737310569</v>
      </c>
      <c r="AI36" s="71">
        <f t="shared" si="108"/>
        <v>-0.64039558510817818</v>
      </c>
      <c r="AJ36" s="215">
        <f t="shared" si="108"/>
        <v>-3.147832884759278</v>
      </c>
      <c r="AK36" s="71">
        <f t="shared" si="108"/>
        <v>-0.46352865781517016</v>
      </c>
      <c r="AL36" s="71">
        <f t="shared" si="108"/>
        <v>-0.47739838460721801</v>
      </c>
      <c r="AM36" s="71">
        <f>AM24/AM33</f>
        <v>-0.44717231066793456</v>
      </c>
      <c r="AN36" s="71">
        <f t="shared" si="108"/>
        <v>-0.62448890540911794</v>
      </c>
      <c r="AO36" s="215">
        <f t="shared" si="108"/>
        <v>-2.0138421554329855</v>
      </c>
      <c r="AP36" s="71">
        <f t="shared" si="108"/>
        <v>-0.49315013199215313</v>
      </c>
      <c r="AQ36" s="71">
        <f t="shared" si="108"/>
        <v>-0.44317321172470464</v>
      </c>
      <c r="AR36" s="71">
        <f t="shared" si="108"/>
        <v>-0.38669305407549243</v>
      </c>
      <c r="AS36" s="71">
        <f t="shared" si="108"/>
        <v>-0.49575227154371698</v>
      </c>
      <c r="AT36" s="215">
        <f t="shared" si="108"/>
        <v>-1.8198062016276821</v>
      </c>
      <c r="AU36" s="361">
        <f t="shared" si="108"/>
        <v>-0.28867826543804143</v>
      </c>
      <c r="AV36" s="71">
        <f t="shared" si="108"/>
        <v>-0.26940655054290835</v>
      </c>
      <c r="AW36" s="71">
        <f t="shared" ref="AW36:CB36" si="109">AW24/AW33</f>
        <v>-0.24633710444877549</v>
      </c>
      <c r="AX36" s="71">
        <f t="shared" si="109"/>
        <v>-0.40719072736833317</v>
      </c>
      <c r="AY36" s="215">
        <f t="shared" si="109"/>
        <v>-1.211997427871315</v>
      </c>
      <c r="AZ36" s="71">
        <f t="shared" si="109"/>
        <v>0.11773000160652559</v>
      </c>
      <c r="BA36" s="71">
        <f t="shared" si="109"/>
        <v>0.15021084436674448</v>
      </c>
      <c r="BB36" s="71">
        <f t="shared" si="109"/>
        <v>0.12468313007286475</v>
      </c>
      <c r="BC36" s="71">
        <f t="shared" si="109"/>
        <v>-3.0641773709375441E-2</v>
      </c>
      <c r="BD36" s="215">
        <f t="shared" si="109"/>
        <v>0.36139755259733114</v>
      </c>
      <c r="BE36" s="71">
        <f t="shared" si="109"/>
        <v>0.58458864890853768</v>
      </c>
      <c r="BF36" s="71">
        <f t="shared" si="109"/>
        <v>0.62916765940438457</v>
      </c>
      <c r="BG36" s="71">
        <f t="shared" si="109"/>
        <v>0.62374134932714442</v>
      </c>
      <c r="BH36" s="71">
        <f t="shared" si="109"/>
        <v>0.45409134287160141</v>
      </c>
      <c r="BI36" s="215">
        <f t="shared" si="109"/>
        <v>2.2910959343896957</v>
      </c>
      <c r="BJ36" s="71">
        <f t="shared" si="109"/>
        <v>1.0650692257880825</v>
      </c>
      <c r="BK36" s="71">
        <f t="shared" si="109"/>
        <v>1.0614592549083495</v>
      </c>
      <c r="BL36" s="71">
        <f t="shared" si="109"/>
        <v>1.0657466018179274</v>
      </c>
      <c r="BM36" s="71">
        <f t="shared" si="109"/>
        <v>0.84180226877296371</v>
      </c>
      <c r="BN36" s="215">
        <f t="shared" si="109"/>
        <v>4.0332506264126238</v>
      </c>
      <c r="BO36" s="71">
        <f t="shared" si="109"/>
        <v>1.5294660512141414</v>
      </c>
      <c r="BP36" s="71">
        <f t="shared" si="109"/>
        <v>1.5704597077559714</v>
      </c>
      <c r="BQ36" s="71">
        <f t="shared" si="109"/>
        <v>1.5323718108332824</v>
      </c>
      <c r="BR36" s="71">
        <f t="shared" si="109"/>
        <v>1.287267123932659</v>
      </c>
      <c r="BS36" s="215">
        <f t="shared" si="109"/>
        <v>5.9186147748804441</v>
      </c>
      <c r="BT36" s="71">
        <f t="shared" si="109"/>
        <v>1.9616527231861471</v>
      </c>
      <c r="BU36" s="71">
        <f t="shared" si="109"/>
        <v>1.9301341583745792</v>
      </c>
      <c r="BV36" s="71">
        <f t="shared" si="109"/>
        <v>1.8633555711741527</v>
      </c>
      <c r="BW36" s="71">
        <f t="shared" si="109"/>
        <v>1.5746639220349234</v>
      </c>
      <c r="BX36" s="215">
        <f t="shared" si="109"/>
        <v>7.3282812257130931</v>
      </c>
      <c r="BY36" s="71">
        <f t="shared" si="109"/>
        <v>2.248260048201113</v>
      </c>
      <c r="BZ36" s="71">
        <f t="shared" si="109"/>
        <v>2.2098222067233189</v>
      </c>
      <c r="CA36" s="71">
        <f t="shared" si="109"/>
        <v>2.1487093962108919</v>
      </c>
      <c r="CB36" s="71">
        <f t="shared" si="109"/>
        <v>1.8234783757431694</v>
      </c>
      <c r="CC36" s="215">
        <f t="shared" ref="CC36:CM36" si="110">CC24/CC33</f>
        <v>8.4286110730550305</v>
      </c>
      <c r="CD36" s="71">
        <f t="shared" si="110"/>
        <v>2.5670318723887862</v>
      </c>
      <c r="CE36" s="71">
        <f t="shared" si="110"/>
        <v>2.5419255914351968</v>
      </c>
      <c r="CF36" s="71">
        <f t="shared" si="110"/>
        <v>2.4032000997757472</v>
      </c>
      <c r="CG36" s="71">
        <f t="shared" si="110"/>
        <v>2.0377666833103381</v>
      </c>
      <c r="CH36" s="215">
        <f t="shared" si="110"/>
        <v>9.5477795002530588</v>
      </c>
      <c r="CI36" s="71">
        <f t="shared" si="110"/>
        <v>2.8052845021339459</v>
      </c>
      <c r="CJ36" s="71">
        <f t="shared" si="110"/>
        <v>2.7373172374727419</v>
      </c>
      <c r="CK36" s="71">
        <f t="shared" si="110"/>
        <v>2.588117622673046</v>
      </c>
      <c r="CL36" s="71">
        <f t="shared" si="110"/>
        <v>2.1800679164686785</v>
      </c>
      <c r="CM36" s="215">
        <f t="shared" si="110"/>
        <v>10.308271937913887</v>
      </c>
    </row>
    <row r="37" spans="1:91" s="11" customFormat="1" ht="12.75" customHeight="1">
      <c r="A37" s="297" t="s">
        <v>210</v>
      </c>
      <c r="B37" s="296" t="s">
        <v>294</v>
      </c>
      <c r="C37" s="296" t="s">
        <v>294</v>
      </c>
      <c r="D37" s="298">
        <f t="shared" ref="D37:F37" si="111">(D24)/D34</f>
        <v>-2.2164333637041334</v>
      </c>
      <c r="E37" s="298">
        <f t="shared" si="111"/>
        <v>-1.1381318032233565</v>
      </c>
      <c r="F37" s="299">
        <f t="shared" si="111"/>
        <v>-5.8379430933079002</v>
      </c>
      <c r="G37" s="298">
        <f t="shared" ref="G37:P37" si="112">(G24)/G34</f>
        <v>-1.0542785234899326</v>
      </c>
      <c r="H37" s="298">
        <f t="shared" si="112"/>
        <v>-1.6515175976751693</v>
      </c>
      <c r="I37" s="298">
        <f t="shared" si="112"/>
        <v>-1.7228580511842311</v>
      </c>
      <c r="J37" s="298">
        <f t="shared" si="112"/>
        <v>-0.26994995423368168</v>
      </c>
      <c r="K37" s="299">
        <f t="shared" si="112"/>
        <v>-2.5461960990691703</v>
      </c>
      <c r="L37" s="298">
        <f t="shared" si="112"/>
        <v>-0.21142724151975323</v>
      </c>
      <c r="M37" s="298">
        <f t="shared" si="112"/>
        <v>-9.080596612606133E-2</v>
      </c>
      <c r="N37" s="298">
        <f t="shared" si="112"/>
        <v>-8.151935093191004E-2</v>
      </c>
      <c r="O37" s="298">
        <f t="shared" si="112"/>
        <v>-0.18103576513589911</v>
      </c>
      <c r="P37" s="299">
        <f t="shared" si="112"/>
        <v>-0.56180668234047459</v>
      </c>
      <c r="Q37" s="298">
        <f t="shared" ref="Q37:AV37" si="113">(Q24)/Q34</f>
        <v>-0.16367527706554205</v>
      </c>
      <c r="R37" s="298">
        <f t="shared" si="113"/>
        <v>-0.24516982429096684</v>
      </c>
      <c r="S37" s="298">
        <f t="shared" si="113"/>
        <v>-0.15465978263053207</v>
      </c>
      <c r="T37" s="298">
        <f t="shared" si="113"/>
        <v>-0.36626727557984995</v>
      </c>
      <c r="U37" s="299">
        <f t="shared" si="113"/>
        <v>-0.93366425992779756</v>
      </c>
      <c r="V37" s="298">
        <f t="shared" si="113"/>
        <v>-0.48910900896439002</v>
      </c>
      <c r="W37" s="298">
        <f t="shared" si="113"/>
        <v>-0.60728264737279081</v>
      </c>
      <c r="X37" s="298">
        <f t="shared" si="113"/>
        <v>-0.69520804575034545</v>
      </c>
      <c r="Y37" s="298">
        <f t="shared" si="113"/>
        <v>-0.69181981769373735</v>
      </c>
      <c r="Z37" s="299">
        <f t="shared" si="113"/>
        <v>-2.4841779023629509</v>
      </c>
      <c r="AA37" s="298">
        <f t="shared" si="113"/>
        <v>-0.91488714127222559</v>
      </c>
      <c r="AB37" s="298">
        <f t="shared" si="113"/>
        <v>-0.99731496271325926</v>
      </c>
      <c r="AC37" s="298">
        <f t="shared" si="113"/>
        <v>-1.1813195944823003</v>
      </c>
      <c r="AD37" s="298">
        <f t="shared" si="113"/>
        <v>-1.1665593663428149</v>
      </c>
      <c r="AE37" s="299">
        <f t="shared" si="113"/>
        <v>-4.2610346649963793</v>
      </c>
      <c r="AF37" s="298">
        <f t="shared" si="113"/>
        <v>-1.0571189230784215</v>
      </c>
      <c r="AG37" s="298">
        <f t="shared" si="113"/>
        <v>-0.81537203146827386</v>
      </c>
      <c r="AH37" s="298">
        <f t="shared" si="113"/>
        <v>-0.67264897737310569</v>
      </c>
      <c r="AI37" s="298">
        <f t="shared" si="113"/>
        <v>-0.64039558510817818</v>
      </c>
      <c r="AJ37" s="299">
        <f t="shared" si="113"/>
        <v>-3.147832884759278</v>
      </c>
      <c r="AK37" s="298">
        <f t="shared" si="113"/>
        <v>-0.46352865781517016</v>
      </c>
      <c r="AL37" s="298">
        <f t="shared" si="113"/>
        <v>-0.47739838460721801</v>
      </c>
      <c r="AM37" s="298">
        <f>(AM24)/AM34</f>
        <v>-0.44717231066793456</v>
      </c>
      <c r="AN37" s="298">
        <f t="shared" si="113"/>
        <v>-0.62448890540911794</v>
      </c>
      <c r="AO37" s="299">
        <f t="shared" si="113"/>
        <v>-2.0138421554329855</v>
      </c>
      <c r="AP37" s="298">
        <f t="shared" si="113"/>
        <v>-0.49315013199215313</v>
      </c>
      <c r="AQ37" s="298">
        <f t="shared" si="113"/>
        <v>-0.44317321172470464</v>
      </c>
      <c r="AR37" s="298">
        <f t="shared" si="113"/>
        <v>-0.38669305407549243</v>
      </c>
      <c r="AS37" s="298">
        <f t="shared" si="113"/>
        <v>-0.49575227154371698</v>
      </c>
      <c r="AT37" s="299">
        <f t="shared" si="113"/>
        <v>-1.8198062016276821</v>
      </c>
      <c r="AU37" s="362">
        <f t="shared" si="113"/>
        <v>-0.28867826543804143</v>
      </c>
      <c r="AV37" s="298">
        <f t="shared" si="113"/>
        <v>-0.26940655054290835</v>
      </c>
      <c r="AW37" s="298">
        <f t="shared" ref="AW37:CB37" si="114">(AW24)/AW34</f>
        <v>-0.24633710444877549</v>
      </c>
      <c r="AX37" s="298">
        <f t="shared" si="114"/>
        <v>-0.40719072736833317</v>
      </c>
      <c r="AY37" s="299">
        <f t="shared" si="114"/>
        <v>-1.211997427871315</v>
      </c>
      <c r="AZ37" s="298">
        <f t="shared" si="114"/>
        <v>0.11773000160652559</v>
      </c>
      <c r="BA37" s="298">
        <f t="shared" si="114"/>
        <v>0.15021084436674448</v>
      </c>
      <c r="BB37" s="298">
        <f t="shared" si="114"/>
        <v>0.12468313007286475</v>
      </c>
      <c r="BC37" s="298">
        <f t="shared" si="114"/>
        <v>-3.0641773709375441E-2</v>
      </c>
      <c r="BD37" s="299">
        <f t="shared" si="114"/>
        <v>0.36139755259733114</v>
      </c>
      <c r="BE37" s="298">
        <f t="shared" si="114"/>
        <v>0.58458864890853768</v>
      </c>
      <c r="BF37" s="298">
        <f t="shared" si="114"/>
        <v>0.62916765940438457</v>
      </c>
      <c r="BG37" s="298">
        <f t="shared" si="114"/>
        <v>0.62374134932714442</v>
      </c>
      <c r="BH37" s="298">
        <f t="shared" si="114"/>
        <v>0.45409134287160141</v>
      </c>
      <c r="BI37" s="299">
        <f t="shared" si="114"/>
        <v>2.2910959343896957</v>
      </c>
      <c r="BJ37" s="298">
        <f t="shared" si="114"/>
        <v>1.0650692257880825</v>
      </c>
      <c r="BK37" s="298">
        <f t="shared" si="114"/>
        <v>1.0614592549083495</v>
      </c>
      <c r="BL37" s="298">
        <f t="shared" si="114"/>
        <v>1.0657466018179274</v>
      </c>
      <c r="BM37" s="298">
        <f t="shared" si="114"/>
        <v>0.84180226877296371</v>
      </c>
      <c r="BN37" s="299">
        <f t="shared" si="114"/>
        <v>4.0332506264126238</v>
      </c>
      <c r="BO37" s="298">
        <f t="shared" si="114"/>
        <v>1.5294660512141414</v>
      </c>
      <c r="BP37" s="298">
        <f t="shared" si="114"/>
        <v>1.5704597077559714</v>
      </c>
      <c r="BQ37" s="298">
        <f t="shared" si="114"/>
        <v>1.5323718108332824</v>
      </c>
      <c r="BR37" s="298">
        <f t="shared" si="114"/>
        <v>1.287267123932659</v>
      </c>
      <c r="BS37" s="299">
        <f t="shared" si="114"/>
        <v>5.9186147748804441</v>
      </c>
      <c r="BT37" s="298">
        <f t="shared" si="114"/>
        <v>1.9616527231861471</v>
      </c>
      <c r="BU37" s="298">
        <f t="shared" si="114"/>
        <v>1.9301341583745792</v>
      </c>
      <c r="BV37" s="298">
        <f t="shared" si="114"/>
        <v>1.8633555711741527</v>
      </c>
      <c r="BW37" s="298">
        <f t="shared" si="114"/>
        <v>1.5746639220349234</v>
      </c>
      <c r="BX37" s="299">
        <f t="shared" si="114"/>
        <v>7.3282812257130931</v>
      </c>
      <c r="BY37" s="298">
        <f t="shared" si="114"/>
        <v>2.248260048201113</v>
      </c>
      <c r="BZ37" s="298">
        <f t="shared" si="114"/>
        <v>2.2098222067233189</v>
      </c>
      <c r="CA37" s="298">
        <f t="shared" si="114"/>
        <v>2.1487093962108919</v>
      </c>
      <c r="CB37" s="298">
        <f t="shared" si="114"/>
        <v>1.8234783757431694</v>
      </c>
      <c r="CC37" s="299">
        <f t="shared" ref="CC37:CM37" si="115">(CC24)/CC34</f>
        <v>8.4286110730550305</v>
      </c>
      <c r="CD37" s="298">
        <f t="shared" si="115"/>
        <v>2.5670318723887862</v>
      </c>
      <c r="CE37" s="298">
        <f t="shared" si="115"/>
        <v>2.5419255914351968</v>
      </c>
      <c r="CF37" s="298">
        <f t="shared" si="115"/>
        <v>2.4032000997757472</v>
      </c>
      <c r="CG37" s="298">
        <f t="shared" si="115"/>
        <v>2.0377666833103381</v>
      </c>
      <c r="CH37" s="299">
        <f t="shared" si="115"/>
        <v>9.5477795002530588</v>
      </c>
      <c r="CI37" s="298">
        <f t="shared" si="115"/>
        <v>2.8052845021339459</v>
      </c>
      <c r="CJ37" s="298">
        <f t="shared" si="115"/>
        <v>2.7373172374727419</v>
      </c>
      <c r="CK37" s="298">
        <f t="shared" si="115"/>
        <v>2.588117622673046</v>
      </c>
      <c r="CL37" s="298">
        <f t="shared" si="115"/>
        <v>2.1800679164686785</v>
      </c>
      <c r="CM37" s="299">
        <f t="shared" si="115"/>
        <v>10.308271937913887</v>
      </c>
    </row>
    <row r="38" spans="1:91" s="11" customFormat="1" ht="12.75" hidden="1" customHeight="1" outlineLevel="1">
      <c r="F38" s="216"/>
      <c r="K38" s="216"/>
      <c r="P38" s="216"/>
      <c r="T38" s="137"/>
      <c r="U38" s="216"/>
      <c r="Z38" s="216"/>
      <c r="AE38" s="216"/>
      <c r="AJ38" s="216"/>
      <c r="AO38" s="216"/>
      <c r="AT38" s="216"/>
      <c r="AU38" s="363"/>
      <c r="AY38" s="216"/>
      <c r="BD38" s="216"/>
      <c r="BI38" s="216"/>
      <c r="BN38" s="216"/>
      <c r="BS38" s="216"/>
      <c r="BX38" s="216"/>
      <c r="CC38" s="216"/>
      <c r="CH38" s="216"/>
      <c r="CM38" s="216"/>
    </row>
    <row r="39" spans="1:91" s="11" customFormat="1" ht="12.75" hidden="1" customHeight="1" outlineLevel="1">
      <c r="A39" s="11" t="s">
        <v>211</v>
      </c>
      <c r="B39" s="211" t="s">
        <v>294</v>
      </c>
      <c r="C39" s="211" t="s">
        <v>294</v>
      </c>
      <c r="D39" s="71">
        <f t="shared" ref="D39:F39" si="116">D31/D33</f>
        <v>-2.7587178000496975</v>
      </c>
      <c r="E39" s="71">
        <f t="shared" si="116"/>
        <v>-1.2707788372289257</v>
      </c>
      <c r="F39" s="215">
        <f t="shared" si="116"/>
        <v>-6.9891114290255913</v>
      </c>
      <c r="G39" s="71">
        <f>G31/G33</f>
        <v>-1.161409395973154</v>
      </c>
      <c r="H39" s="71">
        <f>H31/H33</f>
        <v>-1.7467710687762348</v>
      </c>
      <c r="I39" s="71">
        <f t="shared" ref="I39:K39" si="117">I31/I33</f>
        <v>-1.9438880941026859</v>
      </c>
      <c r="J39" s="71">
        <f t="shared" si="117"/>
        <v>-0.29863414286223749</v>
      </c>
      <c r="K39" s="215">
        <f t="shared" si="117"/>
        <v>-2.7978488964904771</v>
      </c>
      <c r="L39" s="71">
        <f>L31/L33</f>
        <v>-0.30314772793390343</v>
      </c>
      <c r="M39" s="71">
        <f>M31/M33</f>
        <v>-0.13028437935217213</v>
      </c>
      <c r="N39" s="71">
        <f t="shared" ref="N39:P39" si="118">N31/N33</f>
        <v>-0.13708026537196019</v>
      </c>
      <c r="O39" s="71">
        <f t="shared" si="118"/>
        <v>-0.26786662983190612</v>
      </c>
      <c r="P39" s="215">
        <f t="shared" si="118"/>
        <v>-0.83502764992218259</v>
      </c>
      <c r="Q39" s="71">
        <f>Q31/Q33</f>
        <v>-0.29379542709414919</v>
      </c>
      <c r="R39" s="71">
        <f>R31/R33</f>
        <v>-0.56909104165147761</v>
      </c>
      <c r="S39" s="71">
        <f t="shared" ref="S39:U39" si="119">S31/S33</f>
        <v>-0.78017960102055151</v>
      </c>
      <c r="T39" s="71">
        <f t="shared" si="119"/>
        <v>-0.93680360551219666</v>
      </c>
      <c r="U39" s="215">
        <f t="shared" si="119"/>
        <v>-2.6027957827371178</v>
      </c>
      <c r="V39" s="71">
        <f>V31/V33</f>
        <v>-1.086206725768907</v>
      </c>
      <c r="W39" s="71">
        <f>W31/W33</f>
        <v>-0.9644466848535167</v>
      </c>
      <c r="X39" s="71">
        <f t="shared" ref="X39:Z39" si="120">X31/X33</f>
        <v>-1.0602050877538951</v>
      </c>
      <c r="Y39" s="71">
        <f t="shared" si="120"/>
        <v>-0.89393984089992817</v>
      </c>
      <c r="Z39" s="215">
        <f t="shared" si="120"/>
        <v>-4.0040863059399499</v>
      </c>
      <c r="AA39" s="71">
        <f>AA31/AA33</f>
        <v>-1.2098612706547671</v>
      </c>
      <c r="AB39" s="71">
        <f>AB31/AB33</f>
        <v>-2.2482973531803974</v>
      </c>
      <c r="AC39" s="71">
        <f t="shared" ref="AC39:AE39" si="121">AC31/AC33</f>
        <v>-1.5836893507610792</v>
      </c>
      <c r="AD39" s="71">
        <f t="shared" si="121"/>
        <v>-1.3649966834445357</v>
      </c>
      <c r="AE39" s="215">
        <f t="shared" si="121"/>
        <v>-6.4063497034586714</v>
      </c>
      <c r="AF39" s="71">
        <f>AF31/AF33</f>
        <v>-1.3006925572017185</v>
      </c>
      <c r="AG39" s="71">
        <f>AG31/AG33</f>
        <v>-0.66880192632894597</v>
      </c>
      <c r="AH39" s="71">
        <f t="shared" ref="AH39:AJ39" si="122">AH31/AH33</f>
        <v>-0.73131412652035055</v>
      </c>
      <c r="AI39" s="71">
        <f t="shared" si="122"/>
        <v>-1.5783153879906844</v>
      </c>
      <c r="AJ39" s="215">
        <f t="shared" si="122"/>
        <v>-4.2835196497772028</v>
      </c>
      <c r="AK39" s="71">
        <f>AK31/AK33</f>
        <v>-0.94473018272643616</v>
      </c>
      <c r="AL39" s="71">
        <f>AL31/AL33</f>
        <v>-0.83814221663250243</v>
      </c>
      <c r="AM39" s="71">
        <f>+AM$31/AM33</f>
        <v>-0.87568569129872997</v>
      </c>
      <c r="AN39" s="71">
        <f>+AN$31/AN33</f>
        <v>-0.89698918822825902</v>
      </c>
      <c r="AO39" s="215">
        <f t="shared" ref="AO39" si="123">+AO$31/AO33</f>
        <v>-3.5552341923236739</v>
      </c>
      <c r="AP39" s="71">
        <f>+AP$31/AP33</f>
        <v>-0.76821047702852152</v>
      </c>
      <c r="AQ39" s="71">
        <f t="shared" ref="AQ39:AR39" si="124">+AQ$31/AQ33</f>
        <v>-0.80489711072078884</v>
      </c>
      <c r="AR39" s="71">
        <f t="shared" si="124"/>
        <v>-0.74294711033836225</v>
      </c>
      <c r="AS39" s="71">
        <f t="shared" ref="AS39" si="125">+AS$31/AS33</f>
        <v>-0.99873306543755869</v>
      </c>
      <c r="AT39" s="215">
        <f t="shared" ref="AT39" si="126">+AT$31/AT33</f>
        <v>-3.3205929217128749</v>
      </c>
      <c r="AU39" s="361">
        <f>+AU$31/AU33</f>
        <v>-0.59897744589283675</v>
      </c>
      <c r="AV39" s="71">
        <f t="shared" ref="AV39:AW39" si="127">+AV$31/AV33</f>
        <v>-0.61678453126237498</v>
      </c>
      <c r="AW39" s="71">
        <f t="shared" si="127"/>
        <v>-0.59568512613546665</v>
      </c>
      <c r="AX39" s="71">
        <f>+AX$31/AX33</f>
        <v>-0.75878757528886043</v>
      </c>
      <c r="AY39" s="215">
        <f t="shared" ref="AY39:AY40" si="128">+AY$31/AY33</f>
        <v>-2.5707651256036903</v>
      </c>
      <c r="AZ39" s="71">
        <f>+AZ$31/AZ33</f>
        <v>-0.20092367095258259</v>
      </c>
      <c r="BA39" s="71">
        <f t="shared" ref="BA39:BB39" si="129">+BA$31/BA33</f>
        <v>-0.20658393217344595</v>
      </c>
      <c r="BB39" s="71">
        <f t="shared" si="129"/>
        <v>-0.23408233768701464</v>
      </c>
      <c r="BC39" s="71">
        <f>+BC$31/BC33</f>
        <v>-0.3916646012765268</v>
      </c>
      <c r="BD39" s="215">
        <f t="shared" ref="BD39:BD40" si="130">+BD$31/BD33</f>
        <v>-1.0339995373647051</v>
      </c>
      <c r="BE39" s="71">
        <f>+BE$31/BE33</f>
        <v>0.25735810026537687</v>
      </c>
      <c r="BF39" s="71">
        <f t="shared" ref="BF39:BG39" si="131">+BF$31/BF33</f>
        <v>0.262660893536105</v>
      </c>
      <c r="BG39" s="71">
        <f t="shared" si="131"/>
        <v>0.25520315865462223</v>
      </c>
      <c r="BH39" s="71">
        <f>+BH$31/BH33</f>
        <v>8.3226554780898562E-2</v>
      </c>
      <c r="BI39" s="215">
        <f t="shared" ref="BI39:BI40" si="132">+BI$31/BI33</f>
        <v>0.85779050553348157</v>
      </c>
      <c r="BJ39" s="71">
        <f>+BJ$31/BJ33</f>
        <v>0.72888833800317798</v>
      </c>
      <c r="BK39" s="71">
        <f t="shared" ref="BK39:BL39" si="133">+BK$31/BK33</f>
        <v>0.68483361570380119</v>
      </c>
      <c r="BL39" s="71">
        <f t="shared" si="133"/>
        <v>0.6870272940757759</v>
      </c>
      <c r="BM39" s="71">
        <f>+BM$31/BM33</f>
        <v>0.46068536180352432</v>
      </c>
      <c r="BN39" s="215">
        <f t="shared" ref="BN39:BN40" si="134">+BN$31/BN33</f>
        <v>2.5604378204555664</v>
      </c>
      <c r="BO39" s="71">
        <f>+BO$31/BO33</f>
        <v>1.1839661346923331</v>
      </c>
      <c r="BP39" s="71">
        <f t="shared" ref="BP39:BQ39" si="135">+BP$31/BP33</f>
        <v>1.1833120524992879</v>
      </c>
      <c r="BQ39" s="71">
        <f t="shared" si="135"/>
        <v>1.1430666490280801</v>
      </c>
      <c r="BR39" s="71">
        <f>+BR$31/BR33</f>
        <v>0.89549150541251232</v>
      </c>
      <c r="BS39" s="215">
        <f t="shared" ref="BS39:BS40" si="136">+BS$31/BS33</f>
        <v>4.4047112866119535</v>
      </c>
      <c r="BT39" s="71">
        <f>+BT$31/BT33</f>
        <v>1.6064678828210923</v>
      </c>
      <c r="BU39" s="71">
        <f t="shared" ref="BU39:BV39" si="137">+BU$31/BU33</f>
        <v>1.5320630812854947</v>
      </c>
      <c r="BV39" s="71">
        <f t="shared" si="137"/>
        <v>1.4630614738697958</v>
      </c>
      <c r="BW39" s="71">
        <f>+BW$31/BW33</f>
        <v>1.171824565875182</v>
      </c>
      <c r="BX39" s="215">
        <f t="shared" ref="BX39:BX40" si="138">+BX$31/BX33</f>
        <v>5.7717114988102596</v>
      </c>
      <c r="BY39" s="71">
        <f>+BY$31/BY33</f>
        <v>1.8830254290880597</v>
      </c>
      <c r="BZ39" s="71">
        <f t="shared" ref="BZ39:CA39" si="139">+BZ$31/BZ33</f>
        <v>1.8004262578278463</v>
      </c>
      <c r="CA39" s="71">
        <f t="shared" si="139"/>
        <v>1.7370231585297939</v>
      </c>
      <c r="CB39" s="71">
        <f>+CB$31/CB33</f>
        <v>1.4091700453216125</v>
      </c>
      <c r="CC39" s="215">
        <f t="shared" ref="CC39:CC40" si="140">+CC$31/CC33</f>
        <v>6.8278002084684317</v>
      </c>
      <c r="CD39" s="71">
        <f>+CD$31/CD33</f>
        <v>2.1913820990084196</v>
      </c>
      <c r="CE39" s="71">
        <f t="shared" ref="CE39:CF39" si="141">+CE$31/CE33</f>
        <v>2.1208016874991995</v>
      </c>
      <c r="CF39" s="71">
        <f t="shared" si="141"/>
        <v>1.9797168059183503</v>
      </c>
      <c r="CG39" s="71">
        <f>+CG$31/CG33</f>
        <v>1.6115823453243665</v>
      </c>
      <c r="CH39" s="215">
        <f t="shared" ref="CH39:CH40" si="142">+CH$31/CH33</f>
        <v>7.9011469326042114</v>
      </c>
      <c r="CI39" s="71">
        <f>+CI$31/CI33</f>
        <v>2.4188522839291058</v>
      </c>
      <c r="CJ39" s="71">
        <f t="shared" ref="CJ39:CK39" si="143">+CJ$31/CJ33</f>
        <v>2.3040592379600184</v>
      </c>
      <c r="CK39" s="71">
        <f t="shared" si="143"/>
        <v>2.1524292229823438</v>
      </c>
      <c r="CL39" s="71">
        <f>+CL$31/CL33</f>
        <v>1.741597318848886</v>
      </c>
      <c r="CM39" s="215">
        <f t="shared" ref="CM39:CM40" si="144">+CM$31/CM33</f>
        <v>8.6142257719064208</v>
      </c>
    </row>
    <row r="40" spans="1:91" s="11" customFormat="1" ht="12.75" hidden="1" customHeight="1" outlineLevel="1">
      <c r="A40" s="11" t="s">
        <v>212</v>
      </c>
      <c r="B40" s="211" t="s">
        <v>294</v>
      </c>
      <c r="C40" s="211" t="s">
        <v>294</v>
      </c>
      <c r="D40" s="71">
        <f t="shared" ref="D40:F40" si="145">D31/D34</f>
        <v>-2.7587178000496975</v>
      </c>
      <c r="E40" s="71">
        <f t="shared" si="145"/>
        <v>-1.2707788372289257</v>
      </c>
      <c r="F40" s="215">
        <f t="shared" si="145"/>
        <v>-6.9891114290255913</v>
      </c>
      <c r="G40" s="71">
        <f>G31/G34</f>
        <v>-1.161409395973154</v>
      </c>
      <c r="H40" s="71">
        <f t="shared" ref="H40:K40" si="146">H31/H34</f>
        <v>-1.7467710687762348</v>
      </c>
      <c r="I40" s="71">
        <f t="shared" si="146"/>
        <v>-1.9438880941026859</v>
      </c>
      <c r="J40" s="71">
        <f t="shared" si="146"/>
        <v>-0.29863414286223749</v>
      </c>
      <c r="K40" s="215">
        <f t="shared" si="146"/>
        <v>-2.7978488964904771</v>
      </c>
      <c r="L40" s="71">
        <f>L31/L34</f>
        <v>-0.30314772793390343</v>
      </c>
      <c r="M40" s="71">
        <f t="shared" ref="M40:P40" si="147">M31/M34</f>
        <v>-0.13028437935217213</v>
      </c>
      <c r="N40" s="71">
        <f t="shared" si="147"/>
        <v>-0.13708026537196019</v>
      </c>
      <c r="O40" s="71">
        <f t="shared" si="147"/>
        <v>-0.26786662983190612</v>
      </c>
      <c r="P40" s="215">
        <f t="shared" si="147"/>
        <v>-0.83502764992218259</v>
      </c>
      <c r="Q40" s="71">
        <f>Q31/Q34</f>
        <v>-0.29379542709414919</v>
      </c>
      <c r="R40" s="71">
        <f t="shared" ref="R40:U40" si="148">R31/R34</f>
        <v>-0.56909104165147761</v>
      </c>
      <c r="S40" s="71">
        <f t="shared" si="148"/>
        <v>-0.78017960102055151</v>
      </c>
      <c r="T40" s="71">
        <f t="shared" si="148"/>
        <v>-0.93680360551219666</v>
      </c>
      <c r="U40" s="215">
        <f t="shared" si="148"/>
        <v>-2.6027957827371178</v>
      </c>
      <c r="V40" s="71">
        <f>V31/V34</f>
        <v>-1.086206725768907</v>
      </c>
      <c r="W40" s="71">
        <f t="shared" ref="W40:Z40" si="149">W31/W34</f>
        <v>-0.9644466848535167</v>
      </c>
      <c r="X40" s="71">
        <f t="shared" si="149"/>
        <v>-1.0602050877538951</v>
      </c>
      <c r="Y40" s="71">
        <f t="shared" si="149"/>
        <v>-0.89393984089992817</v>
      </c>
      <c r="Z40" s="215">
        <f t="shared" si="149"/>
        <v>-4.0040863059399499</v>
      </c>
      <c r="AA40" s="71">
        <f>AA31/AA34</f>
        <v>-1.2098612706547671</v>
      </c>
      <c r="AB40" s="71">
        <f t="shared" ref="AB40:AE40" si="150">AB31/AB34</f>
        <v>-2.2482973531803974</v>
      </c>
      <c r="AC40" s="71">
        <f t="shared" si="150"/>
        <v>-1.5836893507610792</v>
      </c>
      <c r="AD40" s="71">
        <f t="shared" si="150"/>
        <v>-1.3649966834445357</v>
      </c>
      <c r="AE40" s="215">
        <f t="shared" si="150"/>
        <v>-6.4063497034586714</v>
      </c>
      <c r="AF40" s="71">
        <f>AF31/AF34</f>
        <v>-1.3006925572017185</v>
      </c>
      <c r="AG40" s="71">
        <f t="shared" ref="AG40:AJ40" si="151">AG31/AG34</f>
        <v>-0.66880192632894597</v>
      </c>
      <c r="AH40" s="71">
        <f t="shared" si="151"/>
        <v>-0.73131412652035055</v>
      </c>
      <c r="AI40" s="71">
        <f t="shared" si="151"/>
        <v>-1.5783153879906844</v>
      </c>
      <c r="AJ40" s="215">
        <f t="shared" si="151"/>
        <v>-4.2835196497772028</v>
      </c>
      <c r="AK40" s="71">
        <f>AK31/AK34</f>
        <v>-0.94473018272643616</v>
      </c>
      <c r="AL40" s="71">
        <f t="shared" ref="AL40" si="152">AL31/AL34</f>
        <v>-0.83814221663250243</v>
      </c>
      <c r="AM40" s="71">
        <f>+AM$31/AM34</f>
        <v>-0.87568569129872997</v>
      </c>
      <c r="AN40" s="71">
        <f>+AN$31/AN34</f>
        <v>-0.89698918822825902</v>
      </c>
      <c r="AO40" s="215">
        <f t="shared" ref="AO40" si="153">+AO$31/AO34</f>
        <v>-3.5552341923236739</v>
      </c>
      <c r="AP40" s="71">
        <f>+AP$31/AP34</f>
        <v>-0.76821047702852152</v>
      </c>
      <c r="AQ40" s="71">
        <f>+AQ$31/AQ34</f>
        <v>-0.80489711072078884</v>
      </c>
      <c r="AR40" s="71">
        <f>+AR$31/AR34</f>
        <v>-0.74294711033836225</v>
      </c>
      <c r="AS40" s="71">
        <f>+AS$31/AS34</f>
        <v>-0.99873306543755869</v>
      </c>
      <c r="AT40" s="215">
        <f t="shared" ref="AT40" si="154">+AT$31/AT34</f>
        <v>-3.3205929217128749</v>
      </c>
      <c r="AU40" s="361">
        <f>+AU$31/AU34</f>
        <v>-0.59897744589283675</v>
      </c>
      <c r="AV40" s="71">
        <f>+AV$31/AV34</f>
        <v>-0.61678453126237498</v>
      </c>
      <c r="AW40" s="71">
        <f>+AW$31/AW34</f>
        <v>-0.59568512613546665</v>
      </c>
      <c r="AX40" s="71">
        <f>+AX$31/AX34</f>
        <v>-0.75878757528886043</v>
      </c>
      <c r="AY40" s="215">
        <f t="shared" si="128"/>
        <v>-2.5707651256036903</v>
      </c>
      <c r="AZ40" s="71">
        <f>+AZ$31/AZ34</f>
        <v>-0.20092367095258259</v>
      </c>
      <c r="BA40" s="71">
        <f>+BA$31/BA34</f>
        <v>-0.20658393217344595</v>
      </c>
      <c r="BB40" s="71">
        <f>+BB$31/BB34</f>
        <v>-0.23408233768701464</v>
      </c>
      <c r="BC40" s="71">
        <f>+BC$31/BC34</f>
        <v>-0.3916646012765268</v>
      </c>
      <c r="BD40" s="215">
        <f t="shared" si="130"/>
        <v>-1.0339995373647051</v>
      </c>
      <c r="BE40" s="71">
        <f>+BE$31/BE34</f>
        <v>0.25735810026537687</v>
      </c>
      <c r="BF40" s="71">
        <f>+BF$31/BF34</f>
        <v>0.262660893536105</v>
      </c>
      <c r="BG40" s="71">
        <f>+BG$31/BG34</f>
        <v>0.25520315865462223</v>
      </c>
      <c r="BH40" s="71">
        <f>+BH$31/BH34</f>
        <v>8.3226554780898562E-2</v>
      </c>
      <c r="BI40" s="215">
        <f t="shared" si="132"/>
        <v>0.85779050553348157</v>
      </c>
      <c r="BJ40" s="71">
        <f>+BJ$31/BJ34</f>
        <v>0.72888833800317798</v>
      </c>
      <c r="BK40" s="71">
        <f>+BK$31/BK34</f>
        <v>0.68483361570380119</v>
      </c>
      <c r="BL40" s="71">
        <f>+BL$31/BL34</f>
        <v>0.6870272940757759</v>
      </c>
      <c r="BM40" s="71">
        <f>+BM$31/BM34</f>
        <v>0.46068536180352432</v>
      </c>
      <c r="BN40" s="215">
        <f t="shared" si="134"/>
        <v>2.5604378204555664</v>
      </c>
      <c r="BO40" s="71">
        <f>+BO$31/BO34</f>
        <v>1.1839661346923331</v>
      </c>
      <c r="BP40" s="71">
        <f>+BP$31/BP34</f>
        <v>1.1833120524992879</v>
      </c>
      <c r="BQ40" s="71">
        <f>+BQ$31/BQ34</f>
        <v>1.1430666490280801</v>
      </c>
      <c r="BR40" s="71">
        <f>+BR$31/BR34</f>
        <v>0.89549150541251232</v>
      </c>
      <c r="BS40" s="215">
        <f t="shared" si="136"/>
        <v>4.4047112866119535</v>
      </c>
      <c r="BT40" s="71">
        <f>+BT$31/BT34</f>
        <v>1.6064678828210923</v>
      </c>
      <c r="BU40" s="71">
        <f>+BU$31/BU34</f>
        <v>1.5320630812854947</v>
      </c>
      <c r="BV40" s="71">
        <f>+BV$31/BV34</f>
        <v>1.4630614738697958</v>
      </c>
      <c r="BW40" s="71">
        <f>+BW$31/BW34</f>
        <v>1.171824565875182</v>
      </c>
      <c r="BX40" s="215">
        <f t="shared" si="138"/>
        <v>5.7717114988102596</v>
      </c>
      <c r="BY40" s="71">
        <f>+BY$31/BY34</f>
        <v>1.8830254290880597</v>
      </c>
      <c r="BZ40" s="71">
        <f>+BZ$31/BZ34</f>
        <v>1.8004262578278463</v>
      </c>
      <c r="CA40" s="71">
        <f>+CA$31/CA34</f>
        <v>1.7370231585297939</v>
      </c>
      <c r="CB40" s="71">
        <f>+CB$31/CB34</f>
        <v>1.4091700453216125</v>
      </c>
      <c r="CC40" s="215">
        <f t="shared" si="140"/>
        <v>6.8278002084684317</v>
      </c>
      <c r="CD40" s="71">
        <f>+CD$31/CD34</f>
        <v>2.1913820990084196</v>
      </c>
      <c r="CE40" s="71">
        <f>+CE$31/CE34</f>
        <v>2.1208016874991995</v>
      </c>
      <c r="CF40" s="71">
        <f>+CF$31/CF34</f>
        <v>1.9797168059183503</v>
      </c>
      <c r="CG40" s="71">
        <f>+CG$31/CG34</f>
        <v>1.6115823453243665</v>
      </c>
      <c r="CH40" s="215">
        <f t="shared" si="142"/>
        <v>7.9011469326042114</v>
      </c>
      <c r="CI40" s="71">
        <f>+CI$31/CI34</f>
        <v>2.4188522839291058</v>
      </c>
      <c r="CJ40" s="71">
        <f>+CJ$31/CJ34</f>
        <v>2.3040592379600184</v>
      </c>
      <c r="CK40" s="71">
        <f>+CK$31/CK34</f>
        <v>2.1524292229823438</v>
      </c>
      <c r="CL40" s="71">
        <f>+CL$31/CL34</f>
        <v>1.741597318848886</v>
      </c>
      <c r="CM40" s="215">
        <f t="shared" si="144"/>
        <v>8.6142257719064208</v>
      </c>
    </row>
    <row r="41" spans="1:91" s="11" customFormat="1" ht="12.75" customHeight="1" collapsed="1">
      <c r="F41" s="216"/>
      <c r="K41" s="216"/>
      <c r="P41" s="216"/>
      <c r="U41" s="216"/>
      <c r="Z41" s="216"/>
      <c r="AE41" s="216"/>
      <c r="AJ41" s="216"/>
      <c r="AO41" s="216"/>
      <c r="AT41" s="216"/>
      <c r="AU41" s="363"/>
      <c r="AY41" s="216"/>
      <c r="BD41" s="216"/>
      <c r="BI41" s="216"/>
      <c r="BN41" s="216"/>
      <c r="BS41" s="216"/>
      <c r="BX41" s="216"/>
      <c r="CC41" s="216"/>
      <c r="CH41" s="216"/>
      <c r="CM41" s="216"/>
    </row>
    <row r="42" spans="1:91" s="202" customFormat="1" ht="12.75" customHeight="1">
      <c r="A42" s="202" t="s">
        <v>14</v>
      </c>
      <c r="B42" s="296" t="s">
        <v>294</v>
      </c>
      <c r="C42" s="296" t="s">
        <v>294</v>
      </c>
      <c r="D42" s="187">
        <f>D17+CF!D9-D25</f>
        <v>-23.033000000000001</v>
      </c>
      <c r="E42" s="187">
        <f>E17+CF!E9-E25</f>
        <v>-12.652999999999999</v>
      </c>
      <c r="F42" s="212">
        <f>F17+CF!F9-F25</f>
        <v>-66.712999999999994</v>
      </c>
      <c r="G42" s="187">
        <f>G17+CF!G9-G25</f>
        <v>-15.974999999999998</v>
      </c>
      <c r="H42" s="187">
        <f>H17+CF!H9-H25</f>
        <v>-19.953999999999997</v>
      </c>
      <c r="I42" s="187">
        <f>I17+CF!I9-I25</f>
        <v>-20.370999999999995</v>
      </c>
      <c r="J42" s="187">
        <f>J17+CF!J9-J25</f>
        <v>-22.655000000000005</v>
      </c>
      <c r="K42" s="212">
        <f>K17+CF!K9-K25</f>
        <v>-78.954999999999984</v>
      </c>
      <c r="L42" s="187">
        <f>L17+CF!L9-L25</f>
        <v>-18.127999999999993</v>
      </c>
      <c r="M42" s="187">
        <f>M17+CF!M9-M25</f>
        <v>-9.3959999999999972</v>
      </c>
      <c r="N42" s="187">
        <f>N17+CF!N9-N25</f>
        <v>-9.0410000000000021</v>
      </c>
      <c r="O42" s="187">
        <f>O17+CF!O9-O25</f>
        <v>-17.442</v>
      </c>
      <c r="P42" s="212">
        <f>P17+CF!P9-P25</f>
        <v>-54.006999999999977</v>
      </c>
      <c r="Q42" s="187">
        <f>Q17+CF!Q9-Q25</f>
        <v>-15.455999999999991</v>
      </c>
      <c r="R42" s="187">
        <f>R17+CF!R9-R25</f>
        <v>-25.148000000000017</v>
      </c>
      <c r="S42" s="187">
        <f>S17+CF!S9-S25</f>
        <v>-14.128999999999992</v>
      </c>
      <c r="T42" s="187">
        <f>T17+CF!T9-T25</f>
        <v>-29.660000000000007</v>
      </c>
      <c r="U42" s="212">
        <f>U17+CF!U9-U25</f>
        <v>-84.392999999999972</v>
      </c>
      <c r="V42" s="187">
        <f>V17+CF!V9-V25</f>
        <v>-45.353999999999999</v>
      </c>
      <c r="W42" s="187">
        <f>W17+CF!W9-W25</f>
        <v>-56.364999999999988</v>
      </c>
      <c r="X42" s="187">
        <f>X17+CF!X9-X25</f>
        <v>-65.217000000000027</v>
      </c>
      <c r="Y42" s="187">
        <f>Y17+CF!Y9-Y25</f>
        <v>-64.554000000000016</v>
      </c>
      <c r="Z42" s="212">
        <f>Z17+CF!Z9-Z25</f>
        <v>-231.48999999999998</v>
      </c>
      <c r="AA42" s="187">
        <f>AA17+CF!AA9-AA25</f>
        <v>-86.572999999999993</v>
      </c>
      <c r="AB42" s="187">
        <f>AB17+CF!AB9-AB25</f>
        <v>-94.280999999999977</v>
      </c>
      <c r="AC42" s="187">
        <f>AC17+CF!AC9-AC25</f>
        <v>-112.81700000000002</v>
      </c>
      <c r="AD42" s="187">
        <f>AD17+CF!AD9-AD25</f>
        <v>-109.76000000000002</v>
      </c>
      <c r="AE42" s="212">
        <f>AE17+CF!AE9-AE25</f>
        <v>-403.43100000000004</v>
      </c>
      <c r="AF42" s="187">
        <f>AF17+CF!AF9-AF25</f>
        <v>-100.98699999999999</v>
      </c>
      <c r="AG42" s="187">
        <f>AG17+CF!AG9-AG25</f>
        <v>-85.190999999999974</v>
      </c>
      <c r="AH42" s="187">
        <f>AH17+CF!AH9-AH25</f>
        <v>-79.655999999999992</v>
      </c>
      <c r="AI42" s="187">
        <f>AI17+CF!AI9-AI25</f>
        <v>-78.35499999999999</v>
      </c>
      <c r="AJ42" s="212">
        <f>AJ17+CF!AJ9-AJ25</f>
        <v>-344.18900000000002</v>
      </c>
      <c r="AK42" s="187">
        <f>AK17+CF!AK9-AK25</f>
        <v>-61.141999999999996</v>
      </c>
      <c r="AL42" s="187">
        <f>AL17+CF!AL9-AL25</f>
        <v>-61.860000000000021</v>
      </c>
      <c r="AM42" s="187">
        <f>AM17+CF!AM9-AM25</f>
        <v>-56.178000000000011</v>
      </c>
      <c r="AN42" s="187">
        <f>AN17+CF!AN9-AN25</f>
        <v>-78.355000000000004</v>
      </c>
      <c r="AO42" s="212">
        <f>AO17+CF!AO9-AO25</f>
        <v>-257.53500000000008</v>
      </c>
      <c r="AP42" s="187">
        <f>AP17+CF!AP9-AP25</f>
        <v>-58.54099999999999</v>
      </c>
      <c r="AQ42" s="187">
        <f>AQ17+CF!AQ9-AQ25</f>
        <v>-51.891999999999996</v>
      </c>
      <c r="AR42" s="187">
        <f>AR17+CF!AR9-AR25</f>
        <v>-45.504999999999981</v>
      </c>
      <c r="AS42" s="187">
        <f>AS17+CF!AS9-AS25</f>
        <v>-64.911999999999992</v>
      </c>
      <c r="AT42" s="212">
        <f>AT17+CF!AT9-AT25</f>
        <v>-220.84999999999994</v>
      </c>
      <c r="AU42" s="357">
        <f>AU17+CF!AU9-AU25</f>
        <v>-40.095735071762157</v>
      </c>
      <c r="AV42" s="187">
        <f>AV17+CF!AV9-AV25</f>
        <v>-37.035953148420653</v>
      </c>
      <c r="AW42" s="187">
        <f>AW17+CF!AW9-AW25</f>
        <v>-32.174796573210642</v>
      </c>
      <c r="AX42" s="187">
        <f>AX17+CF!AX9-AX25</f>
        <v>-53.065976774133155</v>
      </c>
      <c r="AY42" s="212">
        <f>AY17+CF!AY9-AY25</f>
        <v>-162.37246156752667</v>
      </c>
      <c r="AZ42" s="187">
        <f>AZ17+CF!AZ9-AZ25</f>
        <v>17.028543162485683</v>
      </c>
      <c r="BA42" s="187">
        <f>BA17+CF!BA9-BA25</f>
        <v>21.679666916160421</v>
      </c>
      <c r="BB42" s="187">
        <f>BB17+CF!BB9-BB25</f>
        <v>18.722668097074788</v>
      </c>
      <c r="BC42" s="187">
        <f>BC17+CF!BC9-BC25</f>
        <v>-1.7235412674738637</v>
      </c>
      <c r="BD42" s="212">
        <f>BD17+CF!BD9-BD25</f>
        <v>55.707336908247314</v>
      </c>
      <c r="BE42" s="187">
        <f>BE17+CF!BE9-BE25</f>
        <v>82.972947810931757</v>
      </c>
      <c r="BF42" s="187">
        <f>BF17+CF!BF9-BF25</f>
        <v>89.162941325193231</v>
      </c>
      <c r="BG42" s="187">
        <f>BG17+CF!BG9-BG25</f>
        <v>88.807142626225584</v>
      </c>
      <c r="BH42" s="187">
        <f>BH17+CF!BH9-BH25</f>
        <v>66.068364828101124</v>
      </c>
      <c r="BI42" s="212">
        <f>BI17+CF!BI9-BI25</f>
        <v>327.01139659045174</v>
      </c>
      <c r="BJ42" s="187">
        <f>BJ17+CF!BJ9-BJ25</f>
        <v>147.28146629321577</v>
      </c>
      <c r="BK42" s="187">
        <f>BK17+CF!BK9-BK25</f>
        <v>146.7360757988107</v>
      </c>
      <c r="BL42" s="187">
        <f>BL17+CF!BL9-BL25</f>
        <v>147.61478705615997</v>
      </c>
      <c r="BM42" s="187">
        <f>BM17+CF!BM9-BM25</f>
        <v>117.12887813536409</v>
      </c>
      <c r="BN42" s="212">
        <f>BN17+CF!BN9-BN25</f>
        <v>558.7612072835509</v>
      </c>
      <c r="BO42" s="187">
        <f>BO17+CF!BO9-BO25</f>
        <v>209.14613478376648</v>
      </c>
      <c r="BP42" s="187">
        <f>BP17+CF!BP9-BP25</f>
        <v>214.38526142253227</v>
      </c>
      <c r="BQ42" s="187">
        <f>BQ17+CF!BQ9-BQ25</f>
        <v>209.31317112530894</v>
      </c>
      <c r="BR42" s="187">
        <f>BR17+CF!BR9-BR25</f>
        <v>175.34683091186679</v>
      </c>
      <c r="BS42" s="212">
        <f>BS17+CF!BS9-BS25</f>
        <v>808.19139824347462</v>
      </c>
      <c r="BT42" s="187">
        <f>BT17+CF!BT9-BT25</f>
        <v>266.08544666491076</v>
      </c>
      <c r="BU42" s="187">
        <f>BU17+CF!BU9-BU25</f>
        <v>265.12258001540135</v>
      </c>
      <c r="BV42" s="187">
        <f>BV17+CF!BV9-BV25</f>
        <v>255.91381675535311</v>
      </c>
      <c r="BW42" s="187">
        <f>BW17+CF!BW9-BW25</f>
        <v>215.38019875402733</v>
      </c>
      <c r="BX42" s="212">
        <f>BX17+CF!BX9-BX25</f>
        <v>1002.502042189693</v>
      </c>
      <c r="BY42" s="187">
        <f>BY17+CF!BY9-BY25</f>
        <v>306.61752532025929</v>
      </c>
      <c r="BZ42" s="187">
        <f>BZ17+CF!BZ9-BZ25</f>
        <v>300.37731543911144</v>
      </c>
      <c r="CA42" s="187">
        <f>CA17+CF!CA9-CA25</f>
        <v>291.72974018450293</v>
      </c>
      <c r="CB42" s="187">
        <f>CB17+CF!CB9-CB25</f>
        <v>245.51323900524389</v>
      </c>
      <c r="CC42" s="212">
        <f>CC17+CF!CC9-CC25</f>
        <v>1144.2378199491175</v>
      </c>
      <c r="CD42" s="187">
        <f>CD17+CF!CD9-CD25</f>
        <v>347.1490448900276</v>
      </c>
      <c r="CE42" s="187">
        <f>CE17+CF!CE9-CE25</f>
        <v>342.51707851511554</v>
      </c>
      <c r="CF42" s="187">
        <f>CF17+CF!CF9-CF25</f>
        <v>325.70399894952794</v>
      </c>
      <c r="CG42" s="187">
        <f>CG17+CF!CG9-CG25</f>
        <v>273.21339969788249</v>
      </c>
      <c r="CH42" s="212">
        <f>CH17+CF!CH9-CH25</f>
        <v>1288.5835220525541</v>
      </c>
      <c r="CI42" s="187">
        <f>CI17+CF!CI9-CI25</f>
        <v>379.0213158311708</v>
      </c>
      <c r="CJ42" s="187">
        <f>CJ17+CF!CJ9-CJ25</f>
        <v>368.14883268734593</v>
      </c>
      <c r="CK42" s="187">
        <f>CK17+CF!CK9-CK25</f>
        <v>346.62643880989054</v>
      </c>
      <c r="CL42" s="187">
        <f>CL17+CF!CL9-CL25</f>
        <v>287.42996286687151</v>
      </c>
      <c r="CM42" s="212">
        <f>CM17+CF!CM9-CM25</f>
        <v>1381.2265501952793</v>
      </c>
    </row>
    <row r="43" spans="1:91" ht="12.75" customHeight="1">
      <c r="F43" s="214"/>
      <c r="K43" s="214"/>
      <c r="P43" s="214"/>
      <c r="U43" s="214"/>
      <c r="Z43" s="214"/>
      <c r="AE43" s="214"/>
      <c r="AG43" s="59"/>
      <c r="AH43" s="59"/>
      <c r="AI43" s="191"/>
      <c r="AJ43" s="214"/>
      <c r="AK43" s="59"/>
      <c r="AO43" s="214"/>
      <c r="AP43" s="59"/>
      <c r="AT43" s="214"/>
      <c r="AU43" s="360"/>
      <c r="AY43" s="214"/>
      <c r="BD43" s="214"/>
      <c r="BI43" s="214"/>
      <c r="BN43" s="214"/>
      <c r="BS43" s="214"/>
      <c r="BX43" s="214"/>
      <c r="CC43" s="214"/>
      <c r="CH43" s="214"/>
      <c r="CM43" s="214"/>
    </row>
    <row r="44" spans="1:91" s="203" customFormat="1" ht="12.75" customHeight="1">
      <c r="A44" s="203" t="s">
        <v>388</v>
      </c>
      <c r="F44" s="217"/>
      <c r="K44" s="217"/>
      <c r="P44" s="217"/>
      <c r="U44" s="217"/>
      <c r="Z44" s="217"/>
      <c r="AE44" s="217"/>
      <c r="AG44" s="204"/>
      <c r="AH44" s="204"/>
      <c r="AI44" s="205"/>
      <c r="AJ44" s="217"/>
      <c r="AK44" s="204"/>
      <c r="AO44" s="217"/>
      <c r="AT44" s="217"/>
      <c r="AY44" s="217"/>
      <c r="BD44" s="217"/>
      <c r="BI44" s="217"/>
      <c r="BN44" s="217"/>
      <c r="BS44" s="217"/>
      <c r="BX44" s="217"/>
      <c r="CC44" s="217"/>
      <c r="CH44" s="217"/>
      <c r="CM44" s="217"/>
    </row>
    <row r="45" spans="1:91" s="14" customFormat="1" ht="12.75" customHeight="1">
      <c r="A45" s="14" t="str">
        <f>A7</f>
        <v>Net sales</v>
      </c>
      <c r="B45" s="207" t="s">
        <v>294</v>
      </c>
      <c r="C45" s="207" t="s">
        <v>294</v>
      </c>
      <c r="D45" s="207" t="s">
        <v>294</v>
      </c>
      <c r="E45" s="207" t="s">
        <v>294</v>
      </c>
      <c r="F45" s="218" t="s">
        <v>294</v>
      </c>
      <c r="G45" s="208">
        <f t="shared" ref="G45:J45" si="155">G7/B7-1</f>
        <v>0.96099624060150357</v>
      </c>
      <c r="H45" s="208">
        <f t="shared" si="155"/>
        <v>0.90094154570419782</v>
      </c>
      <c r="I45" s="208">
        <f t="shared" si="155"/>
        <v>0.94861660079051391</v>
      </c>
      <c r="J45" s="208">
        <f t="shared" si="155"/>
        <v>0.64348565143485659</v>
      </c>
      <c r="K45" s="222">
        <f t="shared" ref="K45:AP45" si="156">K7/F7-1</f>
        <v>0.81852654387865642</v>
      </c>
      <c r="L45" s="208">
        <f t="shared" si="156"/>
        <v>1.1959621375509228</v>
      </c>
      <c r="M45" s="208">
        <f t="shared" si="156"/>
        <v>1.7848003302032813</v>
      </c>
      <c r="N45" s="208">
        <f t="shared" si="156"/>
        <v>1.8050894338926793</v>
      </c>
      <c r="O45" s="208">
        <f t="shared" si="156"/>
        <v>0.91333313053265597</v>
      </c>
      <c r="P45" s="222">
        <f t="shared" si="156"/>
        <v>1.3651518661944637</v>
      </c>
      <c r="Q45" s="208">
        <f t="shared" si="156"/>
        <v>0.84176783522029752</v>
      </c>
      <c r="R45" s="208">
        <f t="shared" si="156"/>
        <v>0.22899490504863351</v>
      </c>
      <c r="S45" s="208">
        <f t="shared" si="156"/>
        <v>0.22549631869576658</v>
      </c>
      <c r="T45" s="208">
        <f t="shared" si="156"/>
        <v>0.24514682735265603</v>
      </c>
      <c r="U45" s="222">
        <f t="shared" si="156"/>
        <v>0.33751603498542293</v>
      </c>
      <c r="V45" s="208">
        <f t="shared" si="156"/>
        <v>0.16523478003258774</v>
      </c>
      <c r="W45" s="208">
        <f t="shared" si="156"/>
        <v>0.38842240144719997</v>
      </c>
      <c r="X45" s="208">
        <f t="shared" si="156"/>
        <v>0.27102415212755959</v>
      </c>
      <c r="Y45" s="208">
        <f t="shared" si="156"/>
        <v>0.38040757954951743</v>
      </c>
      <c r="Z45" s="222">
        <f t="shared" si="156"/>
        <v>0.30315279182506183</v>
      </c>
      <c r="AA45" s="208">
        <f t="shared" si="156"/>
        <v>0.22162333947753132</v>
      </c>
      <c r="AB45" s="208">
        <f t="shared" si="156"/>
        <v>0.18504685073994853</v>
      </c>
      <c r="AC45" s="208">
        <f t="shared" si="156"/>
        <v>0.23871321706285142</v>
      </c>
      <c r="AD45" s="208">
        <f t="shared" si="156"/>
        <v>0.17374292374292377</v>
      </c>
      <c r="AE45" s="222">
        <f t="shared" si="156"/>
        <v>0.20308949747492999</v>
      </c>
      <c r="AF45" s="208">
        <f t="shared" si="156"/>
        <v>0.33938958782089301</v>
      </c>
      <c r="AG45" s="208">
        <f t="shared" si="156"/>
        <v>0.25659678956241305</v>
      </c>
      <c r="AH45" s="208">
        <f t="shared" si="156"/>
        <v>0.21827194984838671</v>
      </c>
      <c r="AI45" s="208">
        <f t="shared" si="156"/>
        <v>0.22194639493738721</v>
      </c>
      <c r="AJ45" s="222">
        <f t="shared" si="156"/>
        <v>0.2545057370010988</v>
      </c>
      <c r="AK45" s="208">
        <f t="shared" si="156"/>
        <v>0.30903398231738599</v>
      </c>
      <c r="AL45" s="208">
        <f t="shared" si="156"/>
        <v>0.29227123587313164</v>
      </c>
      <c r="AM45" s="208">
        <f t="shared" si="156"/>
        <v>0.3387121582884709</v>
      </c>
      <c r="AN45" s="208">
        <f t="shared" si="156"/>
        <v>0.30157235543746053</v>
      </c>
      <c r="AO45" s="222">
        <f t="shared" si="156"/>
        <v>0.3104328767900586</v>
      </c>
      <c r="AP45" s="208">
        <f t="shared" si="156"/>
        <v>0.20760752799852811</v>
      </c>
      <c r="AQ45" s="208">
        <f t="shared" ref="AQ45:BV45" si="157">AQ7/AL7-1</f>
        <v>0.30949304595593397</v>
      </c>
      <c r="AR45" s="208">
        <f t="shared" si="157"/>
        <v>0.38500908730075856</v>
      </c>
      <c r="AS45" s="208">
        <f t="shared" si="157"/>
        <v>0.39368923860584504</v>
      </c>
      <c r="AT45" s="222">
        <f t="shared" si="157"/>
        <v>0.32882238002966102</v>
      </c>
      <c r="AU45" s="364">
        <f t="shared" si="157"/>
        <v>0.38400713633579642</v>
      </c>
      <c r="AV45" s="208">
        <f t="shared" si="157"/>
        <v>0.34219113183292693</v>
      </c>
      <c r="AW45" s="208">
        <f t="shared" si="157"/>
        <v>0.29186284158788656</v>
      </c>
      <c r="AX45" s="208">
        <f t="shared" si="157"/>
        <v>0.29493106753780718</v>
      </c>
      <c r="AY45" s="222">
        <f t="shared" si="157"/>
        <v>0.32372801724408284</v>
      </c>
      <c r="AZ45" s="208">
        <f t="shared" si="157"/>
        <v>0.46870456833257235</v>
      </c>
      <c r="BA45" s="208">
        <f t="shared" si="157"/>
        <v>0.44064983886300779</v>
      </c>
      <c r="BB45" s="208">
        <f t="shared" si="157"/>
        <v>0.37371849144443292</v>
      </c>
      <c r="BC45" s="208">
        <f t="shared" si="157"/>
        <v>0.37024474429364229</v>
      </c>
      <c r="BD45" s="222">
        <f t="shared" si="157"/>
        <v>0.40936115563072017</v>
      </c>
      <c r="BE45" s="208">
        <f t="shared" si="157"/>
        <v>0.33746374890831765</v>
      </c>
      <c r="BF45" s="208">
        <f t="shared" si="157"/>
        <v>0.32110386051539641</v>
      </c>
      <c r="BG45" s="208">
        <f t="shared" si="157"/>
        <v>0.31989962682230222</v>
      </c>
      <c r="BH45" s="208">
        <f t="shared" si="157"/>
        <v>0.30580346478064979</v>
      </c>
      <c r="BI45" s="222">
        <f t="shared" si="157"/>
        <v>0.32031985037892863</v>
      </c>
      <c r="BJ45" s="208">
        <f t="shared" si="157"/>
        <v>0.24381522916294851</v>
      </c>
      <c r="BK45" s="208">
        <f t="shared" si="157"/>
        <v>0.2141807953153998</v>
      </c>
      <c r="BL45" s="208">
        <f t="shared" si="157"/>
        <v>0.21151713615980716</v>
      </c>
      <c r="BM45" s="208">
        <f t="shared" si="157"/>
        <v>0.1924417907244671</v>
      </c>
      <c r="BN45" s="222">
        <f t="shared" si="157"/>
        <v>0.21441691289429077</v>
      </c>
      <c r="BO45" s="208">
        <f t="shared" si="157"/>
        <v>0.18982172229096728</v>
      </c>
      <c r="BP45" s="208">
        <f t="shared" si="157"/>
        <v>0.19725351289069248</v>
      </c>
      <c r="BQ45" s="208">
        <f t="shared" si="157"/>
        <v>0.18048419270354787</v>
      </c>
      <c r="BR45" s="208">
        <f t="shared" si="157"/>
        <v>0.1758893529792851</v>
      </c>
      <c r="BS45" s="222">
        <f t="shared" si="157"/>
        <v>0.18556506450332177</v>
      </c>
      <c r="BT45" s="208">
        <f t="shared" si="157"/>
        <v>0.14975022045154152</v>
      </c>
      <c r="BU45" s="208">
        <f t="shared" si="157"/>
        <v>0.13489944616291338</v>
      </c>
      <c r="BV45" s="208">
        <f t="shared" si="157"/>
        <v>0.12725047086568542</v>
      </c>
      <c r="BW45" s="208">
        <f t="shared" ref="BW45:CM45" si="158">BW7/BR7-1</f>
        <v>0.11995446559049916</v>
      </c>
      <c r="BX45" s="222">
        <f t="shared" si="158"/>
        <v>0.13251783961133201</v>
      </c>
      <c r="BY45" s="208">
        <f t="shared" si="158"/>
        <v>0.10307099936197828</v>
      </c>
      <c r="BZ45" s="208">
        <f t="shared" si="158"/>
        <v>9.4672538362637226E-2</v>
      </c>
      <c r="CA45" s="208">
        <f t="shared" si="158"/>
        <v>9.6327314556392762E-2</v>
      </c>
      <c r="CB45" s="208">
        <f t="shared" si="158"/>
        <v>9.2398712566225782E-2</v>
      </c>
      <c r="CC45" s="222">
        <f t="shared" si="158"/>
        <v>9.6506900548927632E-2</v>
      </c>
      <c r="CD45" s="208">
        <f t="shared" si="158"/>
        <v>9.2270978975639073E-2</v>
      </c>
      <c r="CE45" s="208">
        <f t="shared" si="158"/>
        <v>9.4822986558105837E-2</v>
      </c>
      <c r="CF45" s="208">
        <f t="shared" si="158"/>
        <v>8.4313210320339005E-2</v>
      </c>
      <c r="CG45" s="208">
        <f t="shared" si="158"/>
        <v>8.0396401403186823E-2</v>
      </c>
      <c r="CH45" s="222">
        <f t="shared" si="158"/>
        <v>8.7813057323108179E-2</v>
      </c>
      <c r="CI45" s="208">
        <f t="shared" si="158"/>
        <v>7.1563943055091839E-2</v>
      </c>
      <c r="CJ45" s="208">
        <f t="shared" si="158"/>
        <v>6.4390447146740915E-2</v>
      </c>
      <c r="CK45" s="208">
        <f t="shared" si="158"/>
        <v>6.0207533505724387E-2</v>
      </c>
      <c r="CL45" s="208">
        <f t="shared" si="158"/>
        <v>5.6626728591103737E-2</v>
      </c>
      <c r="CM45" s="222">
        <f t="shared" si="158"/>
        <v>6.3067933513799579E-2</v>
      </c>
    </row>
    <row r="46" spans="1:91" s="13" customFormat="1" ht="12.75" customHeight="1">
      <c r="A46" s="198" t="s">
        <v>393</v>
      </c>
      <c r="B46" s="201" t="s">
        <v>294</v>
      </c>
      <c r="C46" s="201" t="s">
        <v>294</v>
      </c>
      <c r="D46" s="201" t="s">
        <v>294</v>
      </c>
      <c r="E46" s="201" t="s">
        <v>294</v>
      </c>
      <c r="F46" s="219" t="s">
        <v>294</v>
      </c>
      <c r="G46" s="52">
        <f t="shared" ref="G46:J47" si="159">G10/B10-1</f>
        <v>0.4565337982407478</v>
      </c>
      <c r="H46" s="52">
        <f t="shared" si="159"/>
        <v>0.34047893630011528</v>
      </c>
      <c r="I46" s="52">
        <f t="shared" si="159"/>
        <v>0.16259211603696344</v>
      </c>
      <c r="J46" s="52">
        <f t="shared" si="159"/>
        <v>0.50594059405940595</v>
      </c>
      <c r="K46" s="220">
        <f t="shared" ref="K46:T47" si="160">K10/F10-1</f>
        <v>0.36332577668507904</v>
      </c>
      <c r="L46" s="52">
        <f t="shared" si="160"/>
        <v>0.45429815016322106</v>
      </c>
      <c r="M46" s="52">
        <f t="shared" si="160"/>
        <v>0.69099190283400835</v>
      </c>
      <c r="N46" s="52">
        <f t="shared" si="160"/>
        <v>0.83599959754502429</v>
      </c>
      <c r="O46" s="52">
        <f t="shared" si="160"/>
        <v>0.5733070348454965</v>
      </c>
      <c r="P46" s="220">
        <f t="shared" si="160"/>
        <v>0.63607194716380189</v>
      </c>
      <c r="Q46" s="52">
        <f t="shared" si="160"/>
        <v>0.51021324354657693</v>
      </c>
      <c r="R46" s="52">
        <f t="shared" si="160"/>
        <v>0.31082779673190908</v>
      </c>
      <c r="S46" s="52">
        <f t="shared" si="160"/>
        <v>0.13639850942569076</v>
      </c>
      <c r="T46" s="52">
        <f t="shared" si="160"/>
        <v>0.27125412081534095</v>
      </c>
      <c r="U46" s="220">
        <f t="shared" ref="U46:AD47" si="161">U10/P10-1</f>
        <v>0.29120918447685984</v>
      </c>
      <c r="V46" s="52">
        <f t="shared" si="161"/>
        <v>0.37732857709076484</v>
      </c>
      <c r="W46" s="52">
        <f t="shared" si="161"/>
        <v>0.31917808219178023</v>
      </c>
      <c r="X46" s="52">
        <f t="shared" si="161"/>
        <v>0.44196363987076226</v>
      </c>
      <c r="Y46" s="52">
        <f t="shared" si="161"/>
        <v>0.17228532817122599</v>
      </c>
      <c r="Z46" s="220">
        <f t="shared" si="161"/>
        <v>0.31583148558758301</v>
      </c>
      <c r="AA46" s="52">
        <f t="shared" si="161"/>
        <v>0.10276978417266203</v>
      </c>
      <c r="AB46" s="52">
        <f t="shared" si="161"/>
        <v>0.22357217030114218</v>
      </c>
      <c r="AC46" s="52">
        <f t="shared" si="161"/>
        <v>0.29870911644706033</v>
      </c>
      <c r="AD46" s="52">
        <f t="shared" si="161"/>
        <v>0.40132726819541409</v>
      </c>
      <c r="AE46" s="220">
        <f t="shared" ref="AE46:AN47" si="162">AE10/Z10-1</f>
        <v>0.2622758829873284</v>
      </c>
      <c r="AF46" s="52">
        <f t="shared" si="162"/>
        <v>0.66454643311478589</v>
      </c>
      <c r="AG46" s="52">
        <f t="shared" si="162"/>
        <v>0.46524654162776891</v>
      </c>
      <c r="AH46" s="52">
        <f t="shared" si="162"/>
        <v>0.43443889375289713</v>
      </c>
      <c r="AI46" s="52">
        <f t="shared" si="162"/>
        <v>0.34591013184516517</v>
      </c>
      <c r="AJ46" s="220">
        <f t="shared" si="162"/>
        <v>0.46221723836413742</v>
      </c>
      <c r="AK46" s="52">
        <f t="shared" si="162"/>
        <v>0.23789927493631224</v>
      </c>
      <c r="AL46" s="52">
        <f t="shared" si="162"/>
        <v>0.35914663577565431</v>
      </c>
      <c r="AM46" s="52">
        <f t="shared" si="162"/>
        <v>0.26417736289381555</v>
      </c>
      <c r="AN46" s="52">
        <f t="shared" si="162"/>
        <v>0.24636986867101673</v>
      </c>
      <c r="AO46" s="220">
        <f t="shared" ref="AO46:AX47" si="163">AO10/AJ10-1</f>
        <v>0.27558943692511373</v>
      </c>
      <c r="AP46" s="52">
        <f t="shared" si="163"/>
        <v>0.14271014722178244</v>
      </c>
      <c r="AQ46" s="52">
        <f t="shared" si="163"/>
        <v>0.11220648607184946</v>
      </c>
      <c r="AR46" s="52">
        <f t="shared" si="163"/>
        <v>0.29041053094957459</v>
      </c>
      <c r="AS46" s="52">
        <f t="shared" si="163"/>
        <v>0.27028853927818797</v>
      </c>
      <c r="AT46" s="220">
        <f t="shared" si="163"/>
        <v>0.20669417435772641</v>
      </c>
      <c r="AU46" s="365">
        <f t="shared" si="163"/>
        <v>0.41521642536120407</v>
      </c>
      <c r="AV46" s="52">
        <f t="shared" si="163"/>
        <v>0.40186974671839493</v>
      </c>
      <c r="AW46" s="52">
        <f t="shared" si="163"/>
        <v>0.32202367072229521</v>
      </c>
      <c r="AX46" s="52">
        <f t="shared" si="163"/>
        <v>0.32533277715505959</v>
      </c>
      <c r="AY46" s="220">
        <f t="shared" ref="AY46:BH47" si="164">AY10/AT10-1</f>
        <v>0.3614545600846204</v>
      </c>
      <c r="AZ46" s="52">
        <f t="shared" si="164"/>
        <v>0.44846154024133478</v>
      </c>
      <c r="BA46" s="52">
        <f t="shared" si="164"/>
        <v>0.42020666832366782</v>
      </c>
      <c r="BB46" s="52">
        <f t="shared" si="164"/>
        <v>0.35413086528425053</v>
      </c>
      <c r="BC46" s="52">
        <f t="shared" si="164"/>
        <v>0.35059978061987596</v>
      </c>
      <c r="BD46" s="220">
        <f t="shared" si="164"/>
        <v>0.38994322163867401</v>
      </c>
      <c r="BE46" s="52">
        <f t="shared" si="164"/>
        <v>0.31877197457535789</v>
      </c>
      <c r="BF46" s="52">
        <f t="shared" si="164"/>
        <v>0.30208722573746249</v>
      </c>
      <c r="BG46" s="52">
        <f t="shared" si="164"/>
        <v>0.3008071586407044</v>
      </c>
      <c r="BH46" s="52">
        <f t="shared" si="164"/>
        <v>0.28681007976845829</v>
      </c>
      <c r="BI46" s="220">
        <f t="shared" ref="BI46:BR47" si="165">BI10/BD10-1</f>
        <v>0.3015226105172446</v>
      </c>
      <c r="BJ46" s="52">
        <f t="shared" si="165"/>
        <v>0.22618586334108293</v>
      </c>
      <c r="BK46" s="52">
        <f t="shared" si="165"/>
        <v>0.19644801038172033</v>
      </c>
      <c r="BL46" s="52">
        <f t="shared" si="165"/>
        <v>0.1937352134359478</v>
      </c>
      <c r="BM46" s="52">
        <f t="shared" si="165"/>
        <v>0.17484128666256837</v>
      </c>
      <c r="BN46" s="220">
        <f t="shared" si="165"/>
        <v>0.19700077748442402</v>
      </c>
      <c r="BO46" s="52">
        <f t="shared" si="165"/>
        <v>0.17271517830593486</v>
      </c>
      <c r="BP46" s="52">
        <f t="shared" si="165"/>
        <v>0.17950878945017346</v>
      </c>
      <c r="BQ46" s="52">
        <f t="shared" si="165"/>
        <v>0.16289965766166681</v>
      </c>
      <c r="BR46" s="52">
        <f t="shared" si="165"/>
        <v>0.15827314765145895</v>
      </c>
      <c r="BS46" s="220">
        <f t="shared" ref="BS46:CB47" si="166">BS10/BN10-1</f>
        <v>0.16811263432785517</v>
      </c>
      <c r="BT46" s="52">
        <f t="shared" si="166"/>
        <v>0.13297866919868939</v>
      </c>
      <c r="BU46" s="52">
        <f t="shared" si="166"/>
        <v>0.1178258329901396</v>
      </c>
      <c r="BV46" s="52">
        <f t="shared" si="166"/>
        <v>0.11020499727274236</v>
      </c>
      <c r="BW46" s="52">
        <f t="shared" si="166"/>
        <v>0.10292105005836683</v>
      </c>
      <c r="BX46" s="220">
        <f t="shared" si="166"/>
        <v>0.11570369111324008</v>
      </c>
      <c r="BY46" s="52">
        <f t="shared" si="166"/>
        <v>8.6742173141076906E-2</v>
      </c>
      <c r="BZ46" s="52">
        <f t="shared" si="166"/>
        <v>7.7952567398227313E-2</v>
      </c>
      <c r="CA46" s="52">
        <f t="shared" si="166"/>
        <v>7.9494911229619936E-2</v>
      </c>
      <c r="CB46" s="52">
        <f t="shared" si="166"/>
        <v>7.5527803087327205E-2</v>
      </c>
      <c r="CC46" s="220">
        <f t="shared" ref="CC46:CL47" si="167">CC10/BX10-1</f>
        <v>7.9877594264541996E-2</v>
      </c>
      <c r="CD46" s="52">
        <f t="shared" si="167"/>
        <v>7.5859079775779659E-2</v>
      </c>
      <c r="CE46" s="52">
        <f t="shared" si="167"/>
        <v>7.7841340890150157E-2</v>
      </c>
      <c r="CF46" s="52">
        <f t="shared" si="167"/>
        <v>6.7405675973679191E-2</v>
      </c>
      <c r="CG46" s="52">
        <f t="shared" si="167"/>
        <v>6.3449122274670255E-2</v>
      </c>
      <c r="CH46" s="220">
        <f t="shared" si="167"/>
        <v>7.1059969001483037E-2</v>
      </c>
      <c r="CI46" s="52">
        <f t="shared" si="167"/>
        <v>5.5217564844212141E-2</v>
      </c>
      <c r="CJ46" s="52">
        <f t="shared" si="167"/>
        <v>4.7620723496249573E-2</v>
      </c>
      <c r="CK46" s="52">
        <f t="shared" si="167"/>
        <v>4.3414016578821712E-2</v>
      </c>
      <c r="CL46" s="52">
        <f t="shared" si="167"/>
        <v>3.9788172115752252E-2</v>
      </c>
      <c r="CM46" s="220">
        <f t="shared" ref="CM46:CM47" si="168">CM10/CH10-1</f>
        <v>4.6469359907825858E-2</v>
      </c>
    </row>
    <row r="47" spans="1:91" s="14" customFormat="1" ht="12.75" customHeight="1">
      <c r="A47" s="14" t="str">
        <f>A11</f>
        <v>Gross profit</v>
      </c>
      <c r="B47" s="207" t="s">
        <v>294</v>
      </c>
      <c r="C47" s="207" t="s">
        <v>294</v>
      </c>
      <c r="D47" s="207" t="s">
        <v>294</v>
      </c>
      <c r="E47" s="207" t="s">
        <v>294</v>
      </c>
      <c r="F47" s="218" t="s">
        <v>294</v>
      </c>
      <c r="G47" s="208">
        <f t="shared" si="159"/>
        <v>2.4061293984108976</v>
      </c>
      <c r="H47" s="208">
        <f t="shared" si="159"/>
        <v>2.362944611573174</v>
      </c>
      <c r="I47" s="208">
        <f t="shared" si="159"/>
        <v>3.5501355013550135</v>
      </c>
      <c r="J47" s="208">
        <f t="shared" si="159"/>
        <v>0.75806451612903225</v>
      </c>
      <c r="K47" s="222">
        <f t="shared" si="160"/>
        <v>1.5881876585866226</v>
      </c>
      <c r="L47" s="208">
        <f t="shared" si="160"/>
        <v>2.1045054652092769</v>
      </c>
      <c r="M47" s="208">
        <f t="shared" si="160"/>
        <v>2.9221216585981891</v>
      </c>
      <c r="N47" s="208">
        <f t="shared" si="160"/>
        <v>2.6246064834510339</v>
      </c>
      <c r="O47" s="208">
        <f t="shared" si="160"/>
        <v>1.1559633027522938</v>
      </c>
      <c r="P47" s="222">
        <f t="shared" si="160"/>
        <v>2.0144969858784756</v>
      </c>
      <c r="Q47" s="208">
        <f t="shared" si="160"/>
        <v>1.0320309145556035</v>
      </c>
      <c r="R47" s="208">
        <f t="shared" si="160"/>
        <v>0.19230975635934278</v>
      </c>
      <c r="S47" s="208">
        <f t="shared" si="160"/>
        <v>0.26366197183098583</v>
      </c>
      <c r="T47" s="208">
        <f t="shared" si="160"/>
        <v>0.23155222437137324</v>
      </c>
      <c r="U47" s="222">
        <f t="shared" si="161"/>
        <v>0.35989980486859796</v>
      </c>
      <c r="V47" s="208">
        <f t="shared" si="161"/>
        <v>7.4779191142289703E-2</v>
      </c>
      <c r="W47" s="208">
        <f t="shared" si="161"/>
        <v>0.42254979183076435</v>
      </c>
      <c r="X47" s="208">
        <f t="shared" si="161"/>
        <v>0.20517536038044271</v>
      </c>
      <c r="Y47" s="208">
        <f t="shared" si="161"/>
        <v>0.49227477079529613</v>
      </c>
      <c r="Z47" s="222">
        <f t="shared" si="161"/>
        <v>0.29733374039586824</v>
      </c>
      <c r="AA47" s="208">
        <f t="shared" si="161"/>
        <v>0.28658212916543779</v>
      </c>
      <c r="AB47" s="208">
        <f t="shared" si="161"/>
        <v>0.16743921152963903</v>
      </c>
      <c r="AC47" s="208">
        <f t="shared" si="161"/>
        <v>0.21106093068421772</v>
      </c>
      <c r="AD47" s="208">
        <f t="shared" si="161"/>
        <v>7.7645634899752736E-2</v>
      </c>
      <c r="AE47" s="222">
        <f t="shared" si="162"/>
        <v>0.1755378189163217</v>
      </c>
      <c r="AF47" s="208">
        <f t="shared" si="162"/>
        <v>0.18706640995079593</v>
      </c>
      <c r="AG47" s="208">
        <f t="shared" si="162"/>
        <v>0.1566501795514601</v>
      </c>
      <c r="AH47" s="208">
        <f t="shared" si="162"/>
        <v>0.11142929871452201</v>
      </c>
      <c r="AI47" s="208">
        <f t="shared" si="162"/>
        <v>0.15388089947994232</v>
      </c>
      <c r="AJ47" s="222">
        <f t="shared" si="162"/>
        <v>0.15068013252324652</v>
      </c>
      <c r="AK47" s="208">
        <f t="shared" si="162"/>
        <v>0.3557618042325319</v>
      </c>
      <c r="AL47" s="208">
        <f t="shared" si="162"/>
        <v>0.2516900005857885</v>
      </c>
      <c r="AM47" s="208">
        <f t="shared" si="162"/>
        <v>0.38625823074720889</v>
      </c>
      <c r="AN47" s="208">
        <f t="shared" si="162"/>
        <v>0.33692696706482272</v>
      </c>
      <c r="AO47" s="222">
        <f t="shared" si="163"/>
        <v>0.33256495681144038</v>
      </c>
      <c r="AP47" s="208">
        <f t="shared" si="163"/>
        <v>0.24653203064915807</v>
      </c>
      <c r="AQ47" s="208">
        <f t="shared" si="163"/>
        <v>0.43948782268481246</v>
      </c>
      <c r="AR47" s="208">
        <f t="shared" si="163"/>
        <v>0.44003965139812506</v>
      </c>
      <c r="AS47" s="208">
        <f t="shared" si="163"/>
        <v>0.46736833775175124</v>
      </c>
      <c r="AT47" s="222">
        <f t="shared" si="163"/>
        <v>0.40307977518555038</v>
      </c>
      <c r="AU47" s="364">
        <f t="shared" si="163"/>
        <v>0.36684732852461255</v>
      </c>
      <c r="AV47" s="208">
        <f t="shared" si="163"/>
        <v>0.31180855776488303</v>
      </c>
      <c r="AW47" s="208">
        <f t="shared" si="163"/>
        <v>0.27614053791712445</v>
      </c>
      <c r="AX47" s="208">
        <f t="shared" si="163"/>
        <v>0.2792170248403314</v>
      </c>
      <c r="AY47" s="222">
        <f t="shared" si="164"/>
        <v>0.30399990204228389</v>
      </c>
      <c r="AZ47" s="208">
        <f t="shared" si="164"/>
        <v>0.48022866451272073</v>
      </c>
      <c r="BA47" s="208">
        <f t="shared" si="164"/>
        <v>0.45177205385804453</v>
      </c>
      <c r="BB47" s="208">
        <f t="shared" si="164"/>
        <v>0.38429629353543659</v>
      </c>
      <c r="BC47" s="208">
        <f t="shared" si="164"/>
        <v>0.38076489255606738</v>
      </c>
      <c r="BD47" s="222">
        <f t="shared" si="164"/>
        <v>0.4199626527200313</v>
      </c>
      <c r="BE47" s="208">
        <f t="shared" si="164"/>
        <v>0.34787637045078368</v>
      </c>
      <c r="BF47" s="208">
        <f t="shared" si="164"/>
        <v>0.33122500944396127</v>
      </c>
      <c r="BG47" s="208">
        <f t="shared" si="164"/>
        <v>0.3299853556490826</v>
      </c>
      <c r="BH47" s="208">
        <f t="shared" si="164"/>
        <v>0.31575247646623139</v>
      </c>
      <c r="BI47" s="222">
        <f t="shared" si="165"/>
        <v>0.33036550862407887</v>
      </c>
      <c r="BJ47" s="208">
        <f t="shared" si="165"/>
        <v>0.25342395703589005</v>
      </c>
      <c r="BK47" s="208">
        <f t="shared" si="165"/>
        <v>0.22341207069590285</v>
      </c>
      <c r="BL47" s="208">
        <f t="shared" si="165"/>
        <v>0.22070448040567081</v>
      </c>
      <c r="BM47" s="208">
        <f t="shared" si="165"/>
        <v>0.20145839340809335</v>
      </c>
      <c r="BN47" s="222">
        <f t="shared" si="165"/>
        <v>0.22352268651782659</v>
      </c>
      <c r="BO47" s="208">
        <f t="shared" si="165"/>
        <v>0.19894287645642983</v>
      </c>
      <c r="BP47" s="208">
        <f t="shared" si="165"/>
        <v>0.20628740845417348</v>
      </c>
      <c r="BQ47" s="208">
        <f t="shared" si="165"/>
        <v>0.18936882844402092</v>
      </c>
      <c r="BR47" s="208">
        <f t="shared" si="165"/>
        <v>0.18471406730471873</v>
      </c>
      <c r="BS47" s="222">
        <f t="shared" si="166"/>
        <v>0.19449202004178767</v>
      </c>
      <c r="BT47" s="208">
        <f t="shared" si="166"/>
        <v>0.1584971334350096</v>
      </c>
      <c r="BU47" s="208">
        <f t="shared" si="166"/>
        <v>0.14339871673461446</v>
      </c>
      <c r="BV47" s="208">
        <f t="shared" si="166"/>
        <v>0.13567107983272941</v>
      </c>
      <c r="BW47" s="208">
        <f t="shared" si="166"/>
        <v>0.1282967977101932</v>
      </c>
      <c r="BX47" s="222">
        <f t="shared" si="166"/>
        <v>0.14092837824009918</v>
      </c>
      <c r="BY47" s="208">
        <f t="shared" si="166"/>
        <v>0.11139943261187168</v>
      </c>
      <c r="BZ47" s="208">
        <f t="shared" si="166"/>
        <v>0.10280961071962369</v>
      </c>
      <c r="CA47" s="208">
        <f t="shared" si="166"/>
        <v>0.10445620308732972</v>
      </c>
      <c r="CB47" s="208">
        <f t="shared" si="166"/>
        <v>0.10047562361112838</v>
      </c>
      <c r="CC47" s="222">
        <f t="shared" si="167"/>
        <v>0.1046410762850658</v>
      </c>
      <c r="CD47" s="208">
        <f t="shared" si="167"/>
        <v>0.10045607037686088</v>
      </c>
      <c r="CE47" s="208">
        <f t="shared" si="167"/>
        <v>0.10290112966922904</v>
      </c>
      <c r="CF47" s="208">
        <f t="shared" si="167"/>
        <v>9.2293844767116884E-2</v>
      </c>
      <c r="CG47" s="208">
        <f t="shared" si="167"/>
        <v>8.8325941540324804E-2</v>
      </c>
      <c r="CH47" s="222">
        <f t="shared" si="167"/>
        <v>9.5824074049421171E-2</v>
      </c>
      <c r="CI47" s="208">
        <f t="shared" si="167"/>
        <v>7.9534137461085619E-2</v>
      </c>
      <c r="CJ47" s="208">
        <f t="shared" si="167"/>
        <v>7.2186520726557069E-2</v>
      </c>
      <c r="CK47" s="208">
        <f t="shared" si="167"/>
        <v>6.7953735503624824E-2</v>
      </c>
      <c r="CL47" s="208">
        <f t="shared" si="167"/>
        <v>6.432530834054706E-2</v>
      </c>
      <c r="CM47" s="222">
        <f t="shared" si="168"/>
        <v>7.0825696012973616E-2</v>
      </c>
    </row>
    <row r="48" spans="1:91" s="13" customFormat="1" ht="12.75" customHeight="1">
      <c r="A48" s="198" t="str">
        <f>A13</f>
        <v>R&amp;D expense</v>
      </c>
      <c r="B48" s="201" t="s">
        <v>294</v>
      </c>
      <c r="C48" s="201" t="s">
        <v>294</v>
      </c>
      <c r="D48" s="201" t="s">
        <v>294</v>
      </c>
      <c r="E48" s="201" t="s">
        <v>294</v>
      </c>
      <c r="F48" s="219" t="s">
        <v>294</v>
      </c>
      <c r="G48" s="52">
        <f t="shared" ref="G48:J51" si="169">G13/B13-1</f>
        <v>0.76673249945139332</v>
      </c>
      <c r="H48" s="52">
        <f t="shared" si="169"/>
        <v>1.1200224340998317</v>
      </c>
      <c r="I48" s="52">
        <f t="shared" si="169"/>
        <v>1.0570221752903906</v>
      </c>
      <c r="J48" s="52">
        <f t="shared" si="169"/>
        <v>1.0205808080808083</v>
      </c>
      <c r="K48" s="220">
        <f t="shared" ref="K48:T51" si="170">K13/F13-1</f>
        <v>1.0049069719893686</v>
      </c>
      <c r="L48" s="52">
        <f t="shared" si="170"/>
        <v>0.87628865979381421</v>
      </c>
      <c r="M48" s="52">
        <f t="shared" si="170"/>
        <v>0.59647266313932978</v>
      </c>
      <c r="N48" s="52">
        <f t="shared" si="170"/>
        <v>0.65026400704018794</v>
      </c>
      <c r="O48" s="52">
        <f t="shared" si="170"/>
        <v>0.5417109292007749</v>
      </c>
      <c r="P48" s="220">
        <f t="shared" si="170"/>
        <v>0.63950642463797647</v>
      </c>
      <c r="Q48" s="52">
        <f t="shared" si="170"/>
        <v>0.72408314576989286</v>
      </c>
      <c r="R48" s="52">
        <f t="shared" si="170"/>
        <v>0.86251657092355294</v>
      </c>
      <c r="S48" s="52">
        <f t="shared" si="170"/>
        <v>0.50073323556859095</v>
      </c>
      <c r="T48" s="52">
        <f t="shared" si="170"/>
        <v>0.52261673151750943</v>
      </c>
      <c r="U48" s="220">
        <f t="shared" ref="U48:AD51" si="171">U13/P13-1</f>
        <v>0.63090128755364816</v>
      </c>
      <c r="V48" s="52">
        <f t="shared" si="171"/>
        <v>0.96271694056212609</v>
      </c>
      <c r="W48" s="52">
        <f t="shared" si="171"/>
        <v>0.75168302737329085</v>
      </c>
      <c r="X48" s="52">
        <f t="shared" si="171"/>
        <v>0.96452577655384819</v>
      </c>
      <c r="Y48" s="52">
        <f t="shared" si="171"/>
        <v>0.79217909812064136</v>
      </c>
      <c r="Z48" s="220">
        <f t="shared" si="171"/>
        <v>0.86003813882532421</v>
      </c>
      <c r="AA48" s="52">
        <f t="shared" si="171"/>
        <v>0.45210008412074254</v>
      </c>
      <c r="AB48" s="52">
        <f t="shared" si="171"/>
        <v>0.33898247693219319</v>
      </c>
      <c r="AC48" s="52">
        <f t="shared" si="171"/>
        <v>0.39283130350898321</v>
      </c>
      <c r="AD48" s="52">
        <f t="shared" si="171"/>
        <v>0.42487931674712232</v>
      </c>
      <c r="AE48" s="220">
        <f t="shared" ref="AE48:AN51" si="172">AE13/Z13-1</f>
        <v>0.401060483656003</v>
      </c>
      <c r="AF48" s="52">
        <f t="shared" si="172"/>
        <v>0.12910396486453712</v>
      </c>
      <c r="AG48" s="52">
        <f t="shared" si="172"/>
        <v>2.810828581182756E-2</v>
      </c>
      <c r="AH48" s="52">
        <f t="shared" si="172"/>
        <v>-8.3295457004956441E-2</v>
      </c>
      <c r="AI48" s="52">
        <f t="shared" si="172"/>
        <v>-0.16608985718753277</v>
      </c>
      <c r="AJ48" s="220">
        <f t="shared" si="172"/>
        <v>-3.4608517488657897E-2</v>
      </c>
      <c r="AK48" s="52">
        <f t="shared" si="172"/>
        <v>-0.12465099630115739</v>
      </c>
      <c r="AL48" s="52">
        <f t="shared" si="172"/>
        <v>-0.10231213872832357</v>
      </c>
      <c r="AM48" s="52">
        <f t="shared" si="172"/>
        <v>-0.19293109350836379</v>
      </c>
      <c r="AN48" s="52">
        <f t="shared" si="172"/>
        <v>1.4363038613948165E-2</v>
      </c>
      <c r="AO48" s="220">
        <f t="shared" ref="AO48:AT51" si="173">AO13/AJ13-1</f>
        <v>-0.10296338069163746</v>
      </c>
      <c r="AP48" s="52">
        <f t="shared" si="173"/>
        <v>2.0909722884832949E-2</v>
      </c>
      <c r="AQ48" s="52">
        <f t="shared" si="173"/>
        <v>-6.082941732542424E-3</v>
      </c>
      <c r="AR48" s="52">
        <f t="shared" si="173"/>
        <v>0.10859199017055277</v>
      </c>
      <c r="AS48" s="52">
        <f t="shared" si="173"/>
        <v>5.9127991521455092E-2</v>
      </c>
      <c r="AT48" s="220">
        <f t="shared" si="173"/>
        <v>4.4993341580310098E-2</v>
      </c>
      <c r="AU48" s="366">
        <v>5.1999999999999998E-2</v>
      </c>
      <c r="AV48" s="197">
        <v>5.1999999999999998E-2</v>
      </c>
      <c r="AW48" s="197">
        <v>5.1999999999999998E-2</v>
      </c>
      <c r="AX48" s="197">
        <v>5.1999999999999998E-2</v>
      </c>
      <c r="AY48" s="220">
        <f>AY13/AT13-1</f>
        <v>5.2000000000000046E-2</v>
      </c>
      <c r="AZ48" s="197">
        <v>0.05</v>
      </c>
      <c r="BA48" s="197">
        <v>0.05</v>
      </c>
      <c r="BB48" s="197">
        <v>0.05</v>
      </c>
      <c r="BC48" s="197">
        <v>0.05</v>
      </c>
      <c r="BD48" s="220">
        <f>BD13/AY13-1</f>
        <v>4.9999999999999822E-2</v>
      </c>
      <c r="BE48" s="197">
        <v>0.05</v>
      </c>
      <c r="BF48" s="197">
        <v>0.05</v>
      </c>
      <c r="BG48" s="197">
        <v>0.05</v>
      </c>
      <c r="BH48" s="197">
        <v>0.05</v>
      </c>
      <c r="BI48" s="220">
        <f>BI13/BD13-1</f>
        <v>5.0000000000000266E-2</v>
      </c>
      <c r="BJ48" s="197">
        <v>0.05</v>
      </c>
      <c r="BK48" s="197">
        <v>0.05</v>
      </c>
      <c r="BL48" s="197">
        <v>0.05</v>
      </c>
      <c r="BM48" s="197">
        <v>0.05</v>
      </c>
      <c r="BN48" s="220">
        <f>BN13/BI13-1</f>
        <v>5.0000000000000044E-2</v>
      </c>
      <c r="BO48" s="197">
        <v>0.05</v>
      </c>
      <c r="BP48" s="197">
        <v>0.05</v>
      </c>
      <c r="BQ48" s="197">
        <v>0.05</v>
      </c>
      <c r="BR48" s="197">
        <v>0.05</v>
      </c>
      <c r="BS48" s="220">
        <f>BS13/BN13-1</f>
        <v>5.0000000000000044E-2</v>
      </c>
      <c r="BT48" s="197">
        <v>0.05</v>
      </c>
      <c r="BU48" s="197">
        <v>0.05</v>
      </c>
      <c r="BV48" s="197">
        <v>0.05</v>
      </c>
      <c r="BW48" s="197">
        <v>0.05</v>
      </c>
      <c r="BX48" s="220">
        <f>BX13/BS13-1</f>
        <v>5.0000000000000044E-2</v>
      </c>
      <c r="BY48" s="197">
        <v>0.05</v>
      </c>
      <c r="BZ48" s="197">
        <v>0.05</v>
      </c>
      <c r="CA48" s="197">
        <v>0.05</v>
      </c>
      <c r="CB48" s="197">
        <v>0.05</v>
      </c>
      <c r="CC48" s="220">
        <f>CC13/BX13-1</f>
        <v>5.0000000000000044E-2</v>
      </c>
      <c r="CD48" s="197">
        <v>0.05</v>
      </c>
      <c r="CE48" s="197">
        <v>0.05</v>
      </c>
      <c r="CF48" s="197">
        <v>0.05</v>
      </c>
      <c r="CG48" s="197">
        <v>0.05</v>
      </c>
      <c r="CH48" s="220">
        <f>CH13/CC13-1</f>
        <v>5.0000000000000044E-2</v>
      </c>
      <c r="CI48" s="197">
        <v>0.05</v>
      </c>
      <c r="CJ48" s="197">
        <v>0.05</v>
      </c>
      <c r="CK48" s="197">
        <v>0.05</v>
      </c>
      <c r="CL48" s="197">
        <v>0.05</v>
      </c>
      <c r="CM48" s="220">
        <f>CM13/CH13-1</f>
        <v>5.0000000000000044E-2</v>
      </c>
    </row>
    <row r="49" spans="1:91" s="13" customFormat="1" ht="12.75" customHeight="1">
      <c r="A49" s="198" t="str">
        <f>A14</f>
        <v>S&amp;M expense</v>
      </c>
      <c r="B49" s="201" t="s">
        <v>294</v>
      </c>
      <c r="C49" s="201" t="s">
        <v>294</v>
      </c>
      <c r="D49" s="201" t="s">
        <v>294</v>
      </c>
      <c r="E49" s="201" t="s">
        <v>294</v>
      </c>
      <c r="F49" s="219" t="s">
        <v>294</v>
      </c>
      <c r="G49" s="52">
        <f t="shared" si="169"/>
        <v>0.57744447649264496</v>
      </c>
      <c r="H49" s="52">
        <f t="shared" si="169"/>
        <v>0.47747747747747726</v>
      </c>
      <c r="I49" s="52">
        <f t="shared" si="169"/>
        <v>0.76639566395663961</v>
      </c>
      <c r="J49" s="52">
        <f t="shared" si="169"/>
        <v>0.7331928345626979</v>
      </c>
      <c r="K49" s="220">
        <f t="shared" si="170"/>
        <v>0.64440771700092192</v>
      </c>
      <c r="L49" s="52">
        <f t="shared" si="170"/>
        <v>0.55247760102395316</v>
      </c>
      <c r="M49" s="52">
        <f t="shared" si="170"/>
        <v>0.66074584658890068</v>
      </c>
      <c r="N49" s="52">
        <f t="shared" si="170"/>
        <v>0.33046946916231978</v>
      </c>
      <c r="O49" s="52">
        <f t="shared" si="170"/>
        <v>0.24641293774319051</v>
      </c>
      <c r="P49" s="220">
        <f t="shared" si="170"/>
        <v>0.42291932428775758</v>
      </c>
      <c r="Q49" s="52">
        <f t="shared" si="170"/>
        <v>0.36534950827395329</v>
      </c>
      <c r="R49" s="52">
        <f t="shared" si="170"/>
        <v>0.22119938274889583</v>
      </c>
      <c r="S49" s="52">
        <f t="shared" si="170"/>
        <v>0.30973247232472301</v>
      </c>
      <c r="T49" s="52">
        <f t="shared" si="170"/>
        <v>0.37827423052534037</v>
      </c>
      <c r="U49" s="220">
        <f t="shared" si="171"/>
        <v>0.31904807182928319</v>
      </c>
      <c r="V49" s="52">
        <f t="shared" si="171"/>
        <v>0.35449644166486949</v>
      </c>
      <c r="W49" s="52">
        <f t="shared" si="171"/>
        <v>0.92692810457516339</v>
      </c>
      <c r="X49" s="52">
        <f t="shared" si="171"/>
        <v>1.029450607501321</v>
      </c>
      <c r="Y49" s="52">
        <f t="shared" si="171"/>
        <v>0.92493629671574173</v>
      </c>
      <c r="Z49" s="220">
        <f t="shared" si="171"/>
        <v>0.81365915948386824</v>
      </c>
      <c r="AA49" s="52">
        <f t="shared" si="171"/>
        <v>0.8743472169150428</v>
      </c>
      <c r="AB49" s="52">
        <f t="shared" si="171"/>
        <v>0.5244329873595186</v>
      </c>
      <c r="AC49" s="52">
        <f t="shared" si="171"/>
        <v>0.59779614325068886</v>
      </c>
      <c r="AD49" s="52">
        <f t="shared" si="171"/>
        <v>0.36096045301612412</v>
      </c>
      <c r="AE49" s="220">
        <f t="shared" si="172"/>
        <v>0.55554483048393433</v>
      </c>
      <c r="AF49" s="52">
        <f t="shared" si="172"/>
        <v>0.16509802589106726</v>
      </c>
      <c r="AG49" s="52">
        <f t="shared" si="172"/>
        <v>-3.4843877475339124E-2</v>
      </c>
      <c r="AH49" s="52">
        <f t="shared" si="172"/>
        <v>-0.13389899538419781</v>
      </c>
      <c r="AI49" s="52">
        <f t="shared" si="172"/>
        <v>-1.8034691451421225E-2</v>
      </c>
      <c r="AJ49" s="220">
        <f t="shared" si="172"/>
        <v>-1.3976441902314618E-2</v>
      </c>
      <c r="AK49" s="52">
        <f t="shared" si="172"/>
        <v>6.5850102070574623E-2</v>
      </c>
      <c r="AL49" s="52">
        <f t="shared" si="172"/>
        <v>0.1466664617465343</v>
      </c>
      <c r="AM49" s="52">
        <f t="shared" si="172"/>
        <v>0.32597144066335404</v>
      </c>
      <c r="AN49" s="52">
        <f t="shared" si="172"/>
        <v>0.31747582165114419</v>
      </c>
      <c r="AO49" s="220">
        <f t="shared" si="173"/>
        <v>0.21445811677254079</v>
      </c>
      <c r="AP49" s="52">
        <f t="shared" si="173"/>
        <v>0.28771752216263558</v>
      </c>
      <c r="AQ49" s="52">
        <f t="shared" si="173"/>
        <v>0.44529480357597584</v>
      </c>
      <c r="AR49" s="52">
        <f t="shared" si="173"/>
        <v>0.37037343515420917</v>
      </c>
      <c r="AS49" s="52">
        <f t="shared" si="173"/>
        <v>0.36307248919240642</v>
      </c>
      <c r="AT49" s="220">
        <f t="shared" si="173"/>
        <v>0.36686439231369494</v>
      </c>
      <c r="AU49" s="366">
        <v>0.245</v>
      </c>
      <c r="AV49" s="197">
        <v>0.245</v>
      </c>
      <c r="AW49" s="197">
        <v>0.245</v>
      </c>
      <c r="AX49" s="197">
        <v>0.245</v>
      </c>
      <c r="AY49" s="220">
        <f>AY14/AT14-1</f>
        <v>0.24500000000000011</v>
      </c>
      <c r="AZ49" s="197">
        <v>0.2</v>
      </c>
      <c r="BA49" s="197">
        <v>0.2</v>
      </c>
      <c r="BB49" s="197">
        <v>0.2</v>
      </c>
      <c r="BC49" s="197">
        <v>0.2</v>
      </c>
      <c r="BD49" s="220">
        <f>BD14/AY14-1</f>
        <v>0.19999999999999996</v>
      </c>
      <c r="BE49" s="197">
        <v>0.15</v>
      </c>
      <c r="BF49" s="197">
        <v>0.15</v>
      </c>
      <c r="BG49" s="197">
        <v>0.15</v>
      </c>
      <c r="BH49" s="197">
        <v>0.15</v>
      </c>
      <c r="BI49" s="220">
        <f>BI14/BD14-1</f>
        <v>0.14999999999999991</v>
      </c>
      <c r="BJ49" s="197">
        <v>0.13100000000000001</v>
      </c>
      <c r="BK49" s="197">
        <v>0.13100000000000001</v>
      </c>
      <c r="BL49" s="197">
        <v>0.13100000000000001</v>
      </c>
      <c r="BM49" s="197">
        <v>0.13100000000000001</v>
      </c>
      <c r="BN49" s="220">
        <f>BN14/BI14-1</f>
        <v>0.13100000000000001</v>
      </c>
      <c r="BO49" s="197">
        <v>0.12100000000000001</v>
      </c>
      <c r="BP49" s="197">
        <v>0.12100000000000001</v>
      </c>
      <c r="BQ49" s="197">
        <v>0.12100000000000001</v>
      </c>
      <c r="BR49" s="197">
        <v>0.12100000000000001</v>
      </c>
      <c r="BS49" s="220">
        <f>BS14/BN14-1</f>
        <v>0.121</v>
      </c>
      <c r="BT49" s="197">
        <v>0.11100000000000002</v>
      </c>
      <c r="BU49" s="197">
        <v>0.11100000000000002</v>
      </c>
      <c r="BV49" s="197">
        <v>0.11100000000000002</v>
      </c>
      <c r="BW49" s="197">
        <v>0.11100000000000002</v>
      </c>
      <c r="BX49" s="220">
        <f>BX14/BS14-1</f>
        <v>0.11099999999999999</v>
      </c>
      <c r="BY49" s="197">
        <v>0.10100000000000002</v>
      </c>
      <c r="BZ49" s="197">
        <v>0.10100000000000002</v>
      </c>
      <c r="CA49" s="197">
        <v>0.10100000000000002</v>
      </c>
      <c r="CB49" s="197">
        <v>0.10100000000000002</v>
      </c>
      <c r="CC49" s="220">
        <f>CC14/BX14-1</f>
        <v>0.10099999999999998</v>
      </c>
      <c r="CD49" s="197">
        <v>9.1000000000000025E-2</v>
      </c>
      <c r="CE49" s="197">
        <v>9.1000000000000025E-2</v>
      </c>
      <c r="CF49" s="197">
        <v>9.1000000000000025E-2</v>
      </c>
      <c r="CG49" s="197">
        <v>9.1000000000000025E-2</v>
      </c>
      <c r="CH49" s="220">
        <f>CH14/CC14-1</f>
        <v>9.1000000000000192E-2</v>
      </c>
      <c r="CI49" s="197">
        <v>8.100000000000003E-2</v>
      </c>
      <c r="CJ49" s="197">
        <v>8.100000000000003E-2</v>
      </c>
      <c r="CK49" s="197">
        <v>8.100000000000003E-2</v>
      </c>
      <c r="CL49" s="197">
        <v>8.100000000000003E-2</v>
      </c>
      <c r="CM49" s="220">
        <f>CM14/CH14-1</f>
        <v>8.0999999999999961E-2</v>
      </c>
    </row>
    <row r="50" spans="1:91" s="13" customFormat="1" ht="12.75" customHeight="1">
      <c r="A50" s="198" t="str">
        <f>A15</f>
        <v>G&amp;A expense</v>
      </c>
      <c r="B50" s="201" t="s">
        <v>294</v>
      </c>
      <c r="C50" s="201" t="s">
        <v>294</v>
      </c>
      <c r="D50" s="201" t="s">
        <v>294</v>
      </c>
      <c r="E50" s="201" t="s">
        <v>294</v>
      </c>
      <c r="F50" s="219" t="s">
        <v>294</v>
      </c>
      <c r="G50" s="52">
        <f t="shared" si="169"/>
        <v>0.16575844644803328</v>
      </c>
      <c r="H50" s="52">
        <f t="shared" si="169"/>
        <v>0.28565942084645513</v>
      </c>
      <c r="I50" s="52">
        <f t="shared" si="169"/>
        <v>-0.51656831593281893</v>
      </c>
      <c r="J50" s="52">
        <f t="shared" si="169"/>
        <v>0.53133695508148948</v>
      </c>
      <c r="K50" s="220">
        <f t="shared" si="170"/>
        <v>-3.6496350364963681E-2</v>
      </c>
      <c r="L50" s="52">
        <f t="shared" si="170"/>
        <v>0.98623151453340108</v>
      </c>
      <c r="M50" s="52">
        <f t="shared" si="170"/>
        <v>0.48452622774525023</v>
      </c>
      <c r="N50" s="52">
        <f t="shared" si="170"/>
        <v>0.97800134138162353</v>
      </c>
      <c r="O50" s="52">
        <f t="shared" si="170"/>
        <v>0.47763260361685567</v>
      </c>
      <c r="P50" s="220">
        <f t="shared" si="170"/>
        <v>0.68145743145743176</v>
      </c>
      <c r="Q50" s="52">
        <f t="shared" si="170"/>
        <v>0.42302096705177594</v>
      </c>
      <c r="R50" s="52">
        <f t="shared" si="170"/>
        <v>0.3028010302640054</v>
      </c>
      <c r="S50" s="52">
        <f t="shared" si="170"/>
        <v>3.9197070391970401E-2</v>
      </c>
      <c r="T50" s="52">
        <f t="shared" si="170"/>
        <v>0.10604907185102785</v>
      </c>
      <c r="U50" s="220">
        <f t="shared" si="171"/>
        <v>0.19834799399270553</v>
      </c>
      <c r="V50" s="52">
        <f t="shared" si="171"/>
        <v>9.6163098388261092E-2</v>
      </c>
      <c r="W50" s="52">
        <f t="shared" si="171"/>
        <v>0.32398368960830326</v>
      </c>
      <c r="X50" s="52">
        <f t="shared" si="171"/>
        <v>0.48146697990080956</v>
      </c>
      <c r="Y50" s="52">
        <f t="shared" si="171"/>
        <v>0.29441973739940686</v>
      </c>
      <c r="Z50" s="220">
        <f t="shared" si="171"/>
        <v>0.29513919971354396</v>
      </c>
      <c r="AA50" s="52">
        <f t="shared" si="171"/>
        <v>0.40708838536237435</v>
      </c>
      <c r="AB50" s="52">
        <f t="shared" si="171"/>
        <v>0.38777414839010738</v>
      </c>
      <c r="AC50" s="52">
        <f t="shared" si="171"/>
        <v>0.51691480926790589</v>
      </c>
      <c r="AD50" s="52">
        <f t="shared" si="171"/>
        <v>0.27608491144832081</v>
      </c>
      <c r="AE50" s="220">
        <f t="shared" si="172"/>
        <v>0.39414570085706391</v>
      </c>
      <c r="AF50" s="52">
        <f t="shared" si="172"/>
        <v>0.4015674347876943</v>
      </c>
      <c r="AG50" s="52">
        <f t="shared" si="172"/>
        <v>0.14710827168796214</v>
      </c>
      <c r="AH50" s="52">
        <f t="shared" si="172"/>
        <v>-0.16308040770101928</v>
      </c>
      <c r="AI50" s="52">
        <f t="shared" si="172"/>
        <v>-2.6731626013654197E-2</v>
      </c>
      <c r="AJ50" s="220">
        <f t="shared" si="172"/>
        <v>6.7954025267924045E-2</v>
      </c>
      <c r="AK50" s="52">
        <f t="shared" si="172"/>
        <v>-0.1645523841317531</v>
      </c>
      <c r="AL50" s="52">
        <f t="shared" si="172"/>
        <v>-8.6354975817089064E-2</v>
      </c>
      <c r="AM50" s="52">
        <f t="shared" si="172"/>
        <v>0.19291488844939431</v>
      </c>
      <c r="AN50" s="52">
        <f t="shared" si="172"/>
        <v>0.2438992260826609</v>
      </c>
      <c r="AO50" s="220">
        <f t="shared" si="173"/>
        <v>3.1760891935596058E-2</v>
      </c>
      <c r="AP50" s="52">
        <f t="shared" si="173"/>
        <v>1.7581832106822848E-2</v>
      </c>
      <c r="AQ50" s="52">
        <f t="shared" si="173"/>
        <v>0.12069684622541632</v>
      </c>
      <c r="AR50" s="52">
        <f t="shared" si="173"/>
        <v>8.0131467961956027E-2</v>
      </c>
      <c r="AS50" s="52">
        <f t="shared" si="173"/>
        <v>0.15218024410261832</v>
      </c>
      <c r="AT50" s="220">
        <f t="shared" si="173"/>
        <v>9.5934069230308117E-2</v>
      </c>
      <c r="AU50" s="366">
        <v>0.05</v>
      </c>
      <c r="AV50" s="197">
        <v>0.05</v>
      </c>
      <c r="AW50" s="197">
        <v>0.05</v>
      </c>
      <c r="AX50" s="197">
        <v>0.05</v>
      </c>
      <c r="AY50" s="220">
        <f>AY15/AT15-1</f>
        <v>4.9999999999999822E-2</v>
      </c>
      <c r="AZ50" s="197">
        <v>0.05</v>
      </c>
      <c r="BA50" s="197">
        <v>0.05</v>
      </c>
      <c r="BB50" s="197">
        <v>0.05</v>
      </c>
      <c r="BC50" s="197">
        <v>0.05</v>
      </c>
      <c r="BD50" s="220">
        <f>BD15/AY15-1</f>
        <v>5.0000000000000044E-2</v>
      </c>
      <c r="BE50" s="197">
        <v>0.05</v>
      </c>
      <c r="BF50" s="197">
        <v>0.05</v>
      </c>
      <c r="BG50" s="197">
        <v>0.05</v>
      </c>
      <c r="BH50" s="197">
        <v>0.05</v>
      </c>
      <c r="BI50" s="220">
        <f>BI15/BD15-1</f>
        <v>5.0000000000000044E-2</v>
      </c>
      <c r="BJ50" s="197">
        <v>0.05</v>
      </c>
      <c r="BK50" s="197">
        <v>0.05</v>
      </c>
      <c r="BL50" s="197">
        <v>0.05</v>
      </c>
      <c r="BM50" s="197">
        <v>0.05</v>
      </c>
      <c r="BN50" s="220">
        <f>BN15/BI15-1</f>
        <v>5.0000000000000044E-2</v>
      </c>
      <c r="BO50" s="197">
        <v>0.05</v>
      </c>
      <c r="BP50" s="197">
        <v>0.05</v>
      </c>
      <c r="BQ50" s="197">
        <v>0.05</v>
      </c>
      <c r="BR50" s="197">
        <v>0.05</v>
      </c>
      <c r="BS50" s="220">
        <f>BS15/BN15-1</f>
        <v>5.0000000000000044E-2</v>
      </c>
      <c r="BT50" s="197">
        <v>0.05</v>
      </c>
      <c r="BU50" s="197">
        <v>0.05</v>
      </c>
      <c r="BV50" s="197">
        <v>0.05</v>
      </c>
      <c r="BW50" s="197">
        <v>0.05</v>
      </c>
      <c r="BX50" s="220">
        <f>BX15/BS15-1</f>
        <v>5.0000000000000044E-2</v>
      </c>
      <c r="BY50" s="197">
        <v>0.05</v>
      </c>
      <c r="BZ50" s="197">
        <v>0.05</v>
      </c>
      <c r="CA50" s="197">
        <v>0.05</v>
      </c>
      <c r="CB50" s="197">
        <v>0.05</v>
      </c>
      <c r="CC50" s="220">
        <f>CC15/BX15-1</f>
        <v>5.0000000000000044E-2</v>
      </c>
      <c r="CD50" s="197">
        <v>0.05</v>
      </c>
      <c r="CE50" s="197">
        <v>0.05</v>
      </c>
      <c r="CF50" s="197">
        <v>0.05</v>
      </c>
      <c r="CG50" s="197">
        <v>0.05</v>
      </c>
      <c r="CH50" s="220">
        <f>CH15/CC15-1</f>
        <v>5.0000000000000044E-2</v>
      </c>
      <c r="CI50" s="197">
        <v>0.05</v>
      </c>
      <c r="CJ50" s="197">
        <v>0.05</v>
      </c>
      <c r="CK50" s="197">
        <v>0.05</v>
      </c>
      <c r="CL50" s="197">
        <v>0.05</v>
      </c>
      <c r="CM50" s="220">
        <f>CM15/CH15-1</f>
        <v>5.0000000000000044E-2</v>
      </c>
    </row>
    <row r="51" spans="1:91" s="13" customFormat="1" ht="12.75" customHeight="1">
      <c r="A51" s="342" t="s">
        <v>436</v>
      </c>
      <c r="B51" s="201" t="s">
        <v>294</v>
      </c>
      <c r="C51" s="201" t="s">
        <v>294</v>
      </c>
      <c r="D51" s="201" t="s">
        <v>294</v>
      </c>
      <c r="E51" s="201" t="s">
        <v>294</v>
      </c>
      <c r="F51" s="219" t="s">
        <v>294</v>
      </c>
      <c r="G51" s="52">
        <f t="shared" si="169"/>
        <v>0.50397581254724066</v>
      </c>
      <c r="H51" s="52">
        <f t="shared" si="169"/>
        <v>0.58959907775073628</v>
      </c>
      <c r="I51" s="52">
        <f t="shared" si="169"/>
        <v>0.15959904858987417</v>
      </c>
      <c r="J51" s="52">
        <f t="shared" si="169"/>
        <v>0.76335296710341827</v>
      </c>
      <c r="K51" s="220">
        <f>K16/F16-1</f>
        <v>0.48196634307069708</v>
      </c>
      <c r="L51" s="52">
        <f t="shared" si="170"/>
        <v>0.7598906400771952</v>
      </c>
      <c r="M51" s="52">
        <f t="shared" si="170"/>
        <v>0.58971796937953269</v>
      </c>
      <c r="N51" s="52">
        <f t="shared" si="170"/>
        <v>0.59970111641808566</v>
      </c>
      <c r="O51" s="52">
        <f t="shared" si="170"/>
        <v>0.4145155426286129</v>
      </c>
      <c r="P51" s="220">
        <f t="shared" si="170"/>
        <v>0.56631252238271457</v>
      </c>
      <c r="Q51" s="52">
        <f t="shared" si="170"/>
        <v>0.50454628529653678</v>
      </c>
      <c r="R51" s="52">
        <f t="shared" si="170"/>
        <v>0.47715983049816524</v>
      </c>
      <c r="S51" s="52">
        <f t="shared" si="170"/>
        <v>0.31538841976077503</v>
      </c>
      <c r="T51" s="52">
        <f t="shared" si="170"/>
        <v>0.36080321285140582</v>
      </c>
      <c r="U51" s="220">
        <f t="shared" si="171"/>
        <v>0.40630001524274073</v>
      </c>
      <c r="V51" s="52">
        <f t="shared" si="171"/>
        <v>0.52979941388159202</v>
      </c>
      <c r="W51" s="52">
        <f t="shared" si="171"/>
        <v>0.71186603527554704</v>
      </c>
      <c r="X51" s="52">
        <f t="shared" si="171"/>
        <v>0.8819818690729837</v>
      </c>
      <c r="Y51" s="52">
        <f t="shared" si="171"/>
        <v>0.72547515051351685</v>
      </c>
      <c r="Z51" s="220">
        <f t="shared" si="171"/>
        <v>0.71653575311702955</v>
      </c>
      <c r="AA51" s="52">
        <f t="shared" si="171"/>
        <v>0.57557470123476384</v>
      </c>
      <c r="AB51" s="52">
        <f t="shared" si="171"/>
        <v>0.41312400776150993</v>
      </c>
      <c r="AC51" s="52">
        <f t="shared" si="171"/>
        <v>0.48359194062761279</v>
      </c>
      <c r="AD51" s="52">
        <f t="shared" si="171"/>
        <v>0.37620497383094453</v>
      </c>
      <c r="AE51" s="220">
        <f t="shared" si="172"/>
        <v>0.4535634932850281</v>
      </c>
      <c r="AF51" s="52">
        <f t="shared" si="172"/>
        <v>0.18647313778852936</v>
      </c>
      <c r="AG51" s="52">
        <f t="shared" si="172"/>
        <v>2.4108895722926516E-2</v>
      </c>
      <c r="AH51" s="52">
        <f t="shared" si="172"/>
        <v>-0.11558929292828557</v>
      </c>
      <c r="AI51" s="52">
        <f t="shared" si="172"/>
        <v>-8.999120072780431E-2</v>
      </c>
      <c r="AJ51" s="220">
        <f t="shared" si="172"/>
        <v>-1.0085062595535876E-2</v>
      </c>
      <c r="AK51" s="52">
        <f t="shared" si="172"/>
        <v>-6.2898224449919216E-2</v>
      </c>
      <c r="AL51" s="52">
        <f t="shared" si="172"/>
        <v>-9.5406419156631728E-3</v>
      </c>
      <c r="AM51" s="52">
        <f t="shared" si="172"/>
        <v>5.6466302367941923E-2</v>
      </c>
      <c r="AN51" s="52">
        <f t="shared" si="172"/>
        <v>0.17280430044086081</v>
      </c>
      <c r="AO51" s="220">
        <f t="shared" si="173"/>
        <v>3.8503575812014468E-2</v>
      </c>
      <c r="AP51" s="52">
        <f t="shared" si="173"/>
        <v>0.13084594027990248</v>
      </c>
      <c r="AQ51" s="52">
        <f t="shared" si="173"/>
        <v>0.20440344802510491</v>
      </c>
      <c r="AR51" s="52">
        <f t="shared" ref="AR51:AS51" si="174">AR16/AM16-1</f>
        <v>0.22157574463542207</v>
      </c>
      <c r="AS51" s="52">
        <f t="shared" si="174"/>
        <v>0.2110833181947338</v>
      </c>
      <c r="AT51" s="220">
        <f t="shared" si="173"/>
        <v>0.19340219363460354</v>
      </c>
      <c r="AU51" s="365">
        <f t="shared" ref="AU51" si="175">AU16/AP16-1</f>
        <v>0.14271610808535806</v>
      </c>
      <c r="AV51" s="52">
        <f t="shared" ref="AV51" si="176">AV16/AQ16-1</f>
        <v>0.14833418791509922</v>
      </c>
      <c r="AW51" s="52">
        <f t="shared" ref="AW51" si="177">AW16/AR16-1</f>
        <v>0.14943963294734552</v>
      </c>
      <c r="AX51" s="52">
        <f t="shared" ref="AX51" si="178">AX16/AS16-1</f>
        <v>0.14856348678264131</v>
      </c>
      <c r="AY51" s="220">
        <f t="shared" ref="AY51" si="179">AY16/AT16-1</f>
        <v>0.14743938092951336</v>
      </c>
      <c r="AZ51" s="52">
        <f t="shared" ref="AZ51" si="180">AZ16/AU16-1</f>
        <v>0.12707489324976406</v>
      </c>
      <c r="BA51" s="52">
        <f t="shared" ref="BA51" si="181">BA16/AV16-1</f>
        <v>0.13144712806665071</v>
      </c>
      <c r="BB51" s="52">
        <f t="shared" ref="BB51" si="182">BB16/AW16-1</f>
        <v>0.13229944079675438</v>
      </c>
      <c r="BC51" s="52">
        <f t="shared" ref="BC51" si="183">BC16/AX16-1</f>
        <v>0.13163271251733422</v>
      </c>
      <c r="BD51" s="220">
        <f t="shared" ref="BD51" si="184">BD16/AY16-1</f>
        <v>0.13075518182778767</v>
      </c>
      <c r="BE51" s="52">
        <f t="shared" ref="BE51" si="185">BE16/AZ16-1</f>
        <v>0.10470791246358391</v>
      </c>
      <c r="BF51" s="52">
        <f t="shared" ref="BF51" si="186">BF16/BA16-1</f>
        <v>0.10758793392728672</v>
      </c>
      <c r="BG51" s="52">
        <f t="shared" ref="BG51" si="187">BG16/BB16-1</f>
        <v>0.10814676777644139</v>
      </c>
      <c r="BH51" s="52">
        <f t="shared" ref="BH51" si="188">BH16/BC16-1</f>
        <v>0.10770968733184882</v>
      </c>
      <c r="BI51" s="220">
        <f t="shared" ref="BI51" si="189">BI16/BD16-1</f>
        <v>0.1071336275972683</v>
      </c>
      <c r="BJ51" s="52">
        <f t="shared" ref="BJ51" si="190">BJ16/BE16-1</f>
        <v>9.6130221287347162E-2</v>
      </c>
      <c r="BK51" s="52">
        <f t="shared" ref="BK51" si="191">BK16/BF16-1</f>
        <v>9.843241679517023E-2</v>
      </c>
      <c r="BL51" s="52">
        <f t="shared" ref="BL51" si="192">BL16/BG16-1</f>
        <v>9.887774413892636E-2</v>
      </c>
      <c r="BM51" s="52">
        <f t="shared" ref="BM51" si="193">BM16/BH16-1</f>
        <v>9.8529478765416734E-2</v>
      </c>
      <c r="BN51" s="220">
        <f t="shared" ref="BN51" si="194">BN16/BI16-1</f>
        <v>9.8070054761460579E-2</v>
      </c>
      <c r="BO51" s="52">
        <f t="shared" ref="BO51" si="195">BO16/BJ16-1</f>
        <v>9.1721443013581316E-2</v>
      </c>
      <c r="BP51" s="52">
        <f t="shared" ref="BP51" si="196">BP16/BK16-1</f>
        <v>9.3711804424207346E-2</v>
      </c>
      <c r="BQ51" s="52">
        <f t="shared" ref="BQ51" si="197">BQ16/BL16-1</f>
        <v>9.4095849213731597E-2</v>
      </c>
      <c r="BR51" s="52">
        <f t="shared" ref="BR51" si="198">BR16/BM16-1</f>
        <v>9.3795536002931224E-2</v>
      </c>
      <c r="BS51" s="220">
        <f t="shared" ref="BS51" si="199">BS16/BN16-1</f>
        <v>9.3399078033273186E-2</v>
      </c>
      <c r="BT51" s="52">
        <f t="shared" ref="BT51" si="200">BT16/BO16-1</f>
        <v>8.6806504889033631E-2</v>
      </c>
      <c r="BU51" s="52">
        <f t="shared" ref="BU51" si="201">BU16/BP16-1</f>
        <v>8.8492217752384139E-2</v>
      </c>
      <c r="BV51" s="52">
        <f t="shared" ref="BV51" si="202">BV16/BQ16-1</f>
        <v>8.8816774023714906E-2</v>
      </c>
      <c r="BW51" s="52">
        <f t="shared" ref="BW51" si="203">BW16/BR16-1</f>
        <v>8.8562998742199861E-2</v>
      </c>
      <c r="BX51" s="220">
        <f t="shared" ref="BX51" si="204">BX16/BS16-1</f>
        <v>8.8227764247055473E-2</v>
      </c>
      <c r="BY51" s="52">
        <f t="shared" ref="BY51" si="205">BY16/BT16-1</f>
        <v>8.1457684330657143E-2</v>
      </c>
      <c r="BZ51" s="52">
        <f t="shared" ref="BZ51" si="206">BZ16/BU16-1</f>
        <v>8.2847476122602126E-2</v>
      </c>
      <c r="CA51" s="52">
        <f t="shared" ref="CA51" si="207">CA16/BV16-1</f>
        <v>8.3114563628851279E-2</v>
      </c>
      <c r="CB51" s="52">
        <f t="shared" ref="CB51" si="208">CB16/BW16-1</f>
        <v>8.2905737592068318E-2</v>
      </c>
      <c r="CC51" s="220">
        <f t="shared" ref="CC51" si="209">CC16/BX16-1</f>
        <v>8.2629731270277063E-2</v>
      </c>
      <c r="CD51" s="52">
        <f t="shared" ref="CD51" si="210">CD16/BY16-1</f>
        <v>7.5746501171614078E-2</v>
      </c>
      <c r="CE51" s="52">
        <f t="shared" ref="CE51" si="211">CE16/BZ16-1</f>
        <v>7.6849469956345562E-2</v>
      </c>
      <c r="CF51" s="52">
        <f t="shared" ref="CF51" si="212">CF16/CA16-1</f>
        <v>7.7061112117584152E-2</v>
      </c>
      <c r="CG51" s="52">
        <f t="shared" ref="CG51" si="213">CG16/CB16-1</f>
        <v>7.6895645688413561E-2</v>
      </c>
      <c r="CH51" s="220">
        <f t="shared" ref="CH51" si="214">CH16/CC16-1</f>
        <v>7.6676850017986187E-2</v>
      </c>
      <c r="CI51" s="52">
        <f t="shared" ref="CI51" si="215">CI16/CD16-1</f>
        <v>6.9742896295435619E-2</v>
      </c>
      <c r="CJ51" s="52">
        <f t="shared" ref="CJ51" si="216">CJ16/CE16-1</f>
        <v>7.0567585230272956E-2</v>
      </c>
      <c r="CK51" s="52">
        <f t="shared" ref="CK51" si="217">CK16/CF16-1</f>
        <v>7.0725636769690237E-2</v>
      </c>
      <c r="CL51" s="52">
        <f t="shared" ref="CL51" si="218">CL16/CG16-1</f>
        <v>7.0602073948702326E-2</v>
      </c>
      <c r="CM51" s="220">
        <f t="shared" ref="CM51" si="219">CM16/CH16-1</f>
        <v>7.0438628958128691E-2</v>
      </c>
    </row>
    <row r="52" spans="1:91" s="14" customFormat="1" ht="12.75" customHeight="1">
      <c r="A52" s="14" t="str">
        <f>A17</f>
        <v>Operating income (EBITA , ex-SBC)</v>
      </c>
      <c r="B52" s="207" t="s">
        <v>294</v>
      </c>
      <c r="C52" s="207" t="s">
        <v>294</v>
      </c>
      <c r="D52" s="207" t="s">
        <v>294</v>
      </c>
      <c r="E52" s="207" t="s">
        <v>294</v>
      </c>
      <c r="F52" s="218" t="s">
        <v>294</v>
      </c>
      <c r="G52" s="208">
        <f t="shared" ref="G52:J52" si="220">G17/B17-1</f>
        <v>0.21171956749215193</v>
      </c>
      <c r="H52" s="208">
        <f t="shared" si="220"/>
        <v>0.28942008147615605</v>
      </c>
      <c r="I52" s="208">
        <f t="shared" si="220"/>
        <v>-0.16661079450217919</v>
      </c>
      <c r="J52" s="208">
        <f t="shared" si="220"/>
        <v>0.76746173015307995</v>
      </c>
      <c r="K52" s="222">
        <f t="shared" ref="K52:AP52" si="221">K17/F17-1</f>
        <v>0.197055020231093</v>
      </c>
      <c r="L52" s="208">
        <f t="shared" si="221"/>
        <v>0.17915947035117985</v>
      </c>
      <c r="M52" s="208">
        <f t="shared" si="221"/>
        <v>-0.43999442456906568</v>
      </c>
      <c r="N52" s="208">
        <f t="shared" si="221"/>
        <v>-0.46397604362206113</v>
      </c>
      <c r="O52" s="208">
        <f t="shared" si="221"/>
        <v>-0.15847566870770236</v>
      </c>
      <c r="P52" s="222">
        <f t="shared" si="221"/>
        <v>-0.24012963027494172</v>
      </c>
      <c r="Q52" s="208">
        <f t="shared" si="221"/>
        <v>-9.5254369690459972E-2</v>
      </c>
      <c r="R52" s="208">
        <f t="shared" si="221"/>
        <v>1.3579191902430949</v>
      </c>
      <c r="S52" s="208">
        <f t="shared" si="221"/>
        <v>0.49912448928541564</v>
      </c>
      <c r="T52" s="208">
        <f t="shared" si="221"/>
        <v>0.61670655816180031</v>
      </c>
      <c r="U52" s="222">
        <f t="shared" si="221"/>
        <v>0.50880491607814382</v>
      </c>
      <c r="V52" s="208">
        <f t="shared" si="221"/>
        <v>1.6918676811828837</v>
      </c>
      <c r="W52" s="208">
        <f t="shared" si="221"/>
        <v>1.1642153413089358</v>
      </c>
      <c r="X52" s="208">
        <f t="shared" si="221"/>
        <v>2.9084487457589439</v>
      </c>
      <c r="Y52" s="208">
        <f t="shared" si="221"/>
        <v>1.0771918396352116</v>
      </c>
      <c r="Z52" s="222">
        <f t="shared" si="221"/>
        <v>1.5512193145091846</v>
      </c>
      <c r="AA52" s="208">
        <f t="shared" si="221"/>
        <v>0.87025639997594362</v>
      </c>
      <c r="AB52" s="208">
        <f t="shared" si="221"/>
        <v>0.66561529581998791</v>
      </c>
      <c r="AC52" s="208">
        <f t="shared" si="221"/>
        <v>0.73520705848868628</v>
      </c>
      <c r="AD52" s="208">
        <f t="shared" si="221"/>
        <v>0.69969922882841762</v>
      </c>
      <c r="AE52" s="222">
        <f t="shared" si="221"/>
        <v>0.73506927759885321</v>
      </c>
      <c r="AF52" s="208">
        <f t="shared" si="221"/>
        <v>0.18605698115634461</v>
      </c>
      <c r="AG52" s="208">
        <f t="shared" si="221"/>
        <v>-7.136372953820036E-2</v>
      </c>
      <c r="AH52" s="208">
        <f t="shared" si="221"/>
        <v>-0.26187332387458717</v>
      </c>
      <c r="AI52" s="208">
        <f t="shared" si="221"/>
        <v>-0.25752480312649406</v>
      </c>
      <c r="AJ52" s="222">
        <f t="shared" si="221"/>
        <v>-0.12036950147969949</v>
      </c>
      <c r="AK52" s="208">
        <f t="shared" si="221"/>
        <v>-0.35682138596681479</v>
      </c>
      <c r="AL52" s="208">
        <f t="shared" si="221"/>
        <v>-0.24391397578203777</v>
      </c>
      <c r="AM52" s="208">
        <f t="shared" si="221"/>
        <v>-0.26351636630297082</v>
      </c>
      <c r="AN52" s="208">
        <f t="shared" si="221"/>
        <v>-2.417205078389606E-3</v>
      </c>
      <c r="AO52" s="222">
        <f t="shared" si="221"/>
        <v>-0.22538132087156071</v>
      </c>
      <c r="AP52" s="208">
        <f t="shared" si="221"/>
        <v>-4.0354648793716419E-2</v>
      </c>
      <c r="AQ52" s="208">
        <f t="shared" ref="AQ52:BV52" si="222">AQ17/AL17-1</f>
        <v>-0.14476373190974712</v>
      </c>
      <c r="AR52" s="208">
        <f t="shared" si="222"/>
        <v>-0.17740061854114852</v>
      </c>
      <c r="AS52" s="208">
        <f t="shared" si="222"/>
        <v>-0.15560814330034656</v>
      </c>
      <c r="AT52" s="222">
        <f t="shared" si="222"/>
        <v>-0.13028756848268286</v>
      </c>
      <c r="AU52" s="364">
        <f t="shared" si="222"/>
        <v>-0.28812699492923977</v>
      </c>
      <c r="AV52" s="208">
        <f t="shared" si="222"/>
        <v>-0.26034376468313147</v>
      </c>
      <c r="AW52" s="208">
        <f t="shared" si="222"/>
        <v>-0.25563333330640048</v>
      </c>
      <c r="AX52" s="208">
        <f t="shared" si="222"/>
        <v>-0.17629473166602272</v>
      </c>
      <c r="AY52" s="222">
        <f t="shared" si="222"/>
        <v>-0.2424719980005775</v>
      </c>
      <c r="AZ52" s="208">
        <f t="shared" si="222"/>
        <v>-1.1763863467546796</v>
      </c>
      <c r="BA52" s="208">
        <f t="shared" si="222"/>
        <v>-1.2887963652368297</v>
      </c>
      <c r="BB52" s="208">
        <f t="shared" si="222"/>
        <v>-1.2489122574616902</v>
      </c>
      <c r="BC52" s="208">
        <f t="shared" si="222"/>
        <v>-0.83036690384957745</v>
      </c>
      <c r="BD52" s="222">
        <f t="shared" si="222"/>
        <v>-1.1091030407490778</v>
      </c>
      <c r="BE52" s="208">
        <f t="shared" si="222"/>
        <v>7.6366220154294613</v>
      </c>
      <c r="BF52" s="208">
        <f t="shared" si="222"/>
        <v>5.0920992654727542</v>
      </c>
      <c r="BG52" s="208">
        <f t="shared" si="222"/>
        <v>6.8702998125494448</v>
      </c>
      <c r="BH52" s="208">
        <f t="shared" si="222"/>
        <v>-6.4312232788460966</v>
      </c>
      <c r="BI52" s="222">
        <f t="shared" si="222"/>
        <v>12.562565910262048</v>
      </c>
      <c r="BJ52" s="208">
        <f t="shared" si="222"/>
        <v>0.8564839703208742</v>
      </c>
      <c r="BK52" s="208">
        <f t="shared" si="222"/>
        <v>0.70713143009424995</v>
      </c>
      <c r="BL52" s="208">
        <f t="shared" si="222"/>
        <v>0.7264245097707942</v>
      </c>
      <c r="BM52" s="208">
        <f t="shared" si="222"/>
        <v>0.88226250825049535</v>
      </c>
      <c r="BN52" s="222">
        <f t="shared" si="222"/>
        <v>0.78468219413759721</v>
      </c>
      <c r="BO52" s="208">
        <f t="shared" si="222"/>
        <v>0.44166069654189832</v>
      </c>
      <c r="BP52" s="208">
        <f t="shared" si="222"/>
        <v>0.48664015832582308</v>
      </c>
      <c r="BQ52" s="208">
        <f t="shared" si="222"/>
        <v>0.4411012047399856</v>
      </c>
      <c r="BR52" s="208">
        <f t="shared" si="222"/>
        <v>0.53568303150353835</v>
      </c>
      <c r="BS52" s="222">
        <f t="shared" si="222"/>
        <v>0.47271727054628121</v>
      </c>
      <c r="BT52" s="208">
        <f t="shared" si="222"/>
        <v>0.2813912873538631</v>
      </c>
      <c r="BU52" s="208">
        <f t="shared" si="222"/>
        <v>0.24399485897949735</v>
      </c>
      <c r="BV52" s="208">
        <f t="shared" si="222"/>
        <v>0.22966066361332405</v>
      </c>
      <c r="BW52" s="208">
        <f t="shared" ref="BW52:CM52" si="223">BW17/BR17-1</f>
        <v>0.23754415840172638</v>
      </c>
      <c r="BX52" s="222">
        <f t="shared" si="223"/>
        <v>0.24861226064564201</v>
      </c>
      <c r="BY52" s="208">
        <f t="shared" si="223"/>
        <v>0.15493221774387078</v>
      </c>
      <c r="BZ52" s="208">
        <f t="shared" si="223"/>
        <v>0.13481118151042693</v>
      </c>
      <c r="CA52" s="208">
        <f t="shared" si="223"/>
        <v>0.14236391049937525</v>
      </c>
      <c r="CB52" s="208">
        <f t="shared" si="223"/>
        <v>0.14296816159187831</v>
      </c>
      <c r="CC52" s="222">
        <f t="shared" si="223"/>
        <v>0.14383997069444843</v>
      </c>
      <c r="CD52" s="208">
        <f t="shared" si="223"/>
        <v>0.13409618806722934</v>
      </c>
      <c r="CE52" s="208">
        <f t="shared" si="223"/>
        <v>0.14275251247739429</v>
      </c>
      <c r="CF52" s="208">
        <f t="shared" si="223"/>
        <v>0.11794739533652066</v>
      </c>
      <c r="CG52" s="208">
        <f t="shared" si="223"/>
        <v>0.11451728166758768</v>
      </c>
      <c r="CH52" s="222">
        <f t="shared" si="223"/>
        <v>0.12809769817115835</v>
      </c>
      <c r="CI52" s="208">
        <f t="shared" si="223"/>
        <v>9.2178301802725793E-2</v>
      </c>
      <c r="CJ52" s="208">
        <f t="shared" si="223"/>
        <v>7.4520195642099107E-2</v>
      </c>
      <c r="CK52" s="208">
        <f t="shared" si="223"/>
        <v>6.3456284960516918E-2</v>
      </c>
      <c r="CL52" s="208">
        <f t="shared" si="223"/>
        <v>5.0428247010876115E-2</v>
      </c>
      <c r="CM52" s="222">
        <f t="shared" si="223"/>
        <v>7.1448378695984749E-2</v>
      </c>
    </row>
    <row r="53" spans="1:91" s="14" customFormat="1" ht="12.75" customHeight="1">
      <c r="A53" s="14" t="s">
        <v>14</v>
      </c>
      <c r="B53" s="207" t="s">
        <v>294</v>
      </c>
      <c r="C53" s="207" t="s">
        <v>294</v>
      </c>
      <c r="D53" s="207" t="s">
        <v>294</v>
      </c>
      <c r="E53" s="207" t="s">
        <v>294</v>
      </c>
      <c r="F53" s="218" t="s">
        <v>294</v>
      </c>
      <c r="G53" s="209" t="s">
        <v>394</v>
      </c>
      <c r="H53" s="209" t="s">
        <v>394</v>
      </c>
      <c r="I53" s="208">
        <f t="shared" ref="I53:J53" si="224">I42/D42-1</f>
        <v>-0.11557330786263209</v>
      </c>
      <c r="J53" s="208">
        <f t="shared" si="224"/>
        <v>0.7904844700861462</v>
      </c>
      <c r="K53" s="222">
        <f t="shared" ref="K53:AP53" si="225">K42/F42-1</f>
        <v>0.18350246578627849</v>
      </c>
      <c r="L53" s="208">
        <f t="shared" si="225"/>
        <v>0.13477308294209678</v>
      </c>
      <c r="M53" s="208">
        <f t="shared" si="225"/>
        <v>-0.52911696902876626</v>
      </c>
      <c r="N53" s="208">
        <f t="shared" si="225"/>
        <v>-0.5561828088949976</v>
      </c>
      <c r="O53" s="208">
        <f t="shared" si="225"/>
        <v>-0.23010372986095795</v>
      </c>
      <c r="P53" s="222">
        <f t="shared" si="225"/>
        <v>-0.3159774555126339</v>
      </c>
      <c r="Q53" s="208">
        <f t="shared" si="225"/>
        <v>-0.14739629302736112</v>
      </c>
      <c r="R53" s="208">
        <f t="shared" si="225"/>
        <v>1.6764580672626677</v>
      </c>
      <c r="S53" s="208">
        <f t="shared" si="225"/>
        <v>0.56276960513217444</v>
      </c>
      <c r="T53" s="208">
        <f t="shared" si="225"/>
        <v>0.70049306272216527</v>
      </c>
      <c r="U53" s="222">
        <f t="shared" si="225"/>
        <v>0.56263077008535944</v>
      </c>
      <c r="V53" s="208">
        <f t="shared" si="225"/>
        <v>1.93439440993789</v>
      </c>
      <c r="W53" s="208">
        <f t="shared" si="225"/>
        <v>1.2413313185939221</v>
      </c>
      <c r="X53" s="208">
        <f t="shared" si="225"/>
        <v>3.6158256069077828</v>
      </c>
      <c r="Y53" s="208">
        <f t="shared" si="225"/>
        <v>1.1764666217127444</v>
      </c>
      <c r="Z53" s="222">
        <f t="shared" si="225"/>
        <v>1.7430000118493245</v>
      </c>
      <c r="AA53" s="208">
        <f t="shared" si="225"/>
        <v>0.90882832826211568</v>
      </c>
      <c r="AB53" s="208">
        <f t="shared" si="225"/>
        <v>0.67268695112215027</v>
      </c>
      <c r="AC53" s="208">
        <f t="shared" si="225"/>
        <v>0.72987104589294161</v>
      </c>
      <c r="AD53" s="208">
        <f t="shared" si="225"/>
        <v>0.70028193450444576</v>
      </c>
      <c r="AE53" s="222">
        <f t="shared" si="225"/>
        <v>0.7427577865134567</v>
      </c>
      <c r="AF53" s="208">
        <f t="shared" si="225"/>
        <v>0.16649532764256758</v>
      </c>
      <c r="AG53" s="208">
        <f t="shared" si="225"/>
        <v>-9.6413911604671165E-2</v>
      </c>
      <c r="AH53" s="208">
        <f t="shared" si="225"/>
        <v>-0.29393619755887879</v>
      </c>
      <c r="AI53" s="208">
        <f t="shared" si="225"/>
        <v>-0.28612427113702643</v>
      </c>
      <c r="AJ53" s="222">
        <f t="shared" si="225"/>
        <v>-0.14684543329590438</v>
      </c>
      <c r="AK53" s="208">
        <f t="shared" si="225"/>
        <v>-0.39455573489657081</v>
      </c>
      <c r="AL53" s="208">
        <f t="shared" si="225"/>
        <v>-0.27386695777722947</v>
      </c>
      <c r="AM53" s="208">
        <f t="shared" si="225"/>
        <v>-0.29474239228683319</v>
      </c>
      <c r="AN53" s="208">
        <f t="shared" si="225"/>
        <v>0</v>
      </c>
      <c r="AO53" s="222">
        <f t="shared" si="225"/>
        <v>-0.25176283960265999</v>
      </c>
      <c r="AP53" s="208">
        <f t="shared" si="225"/>
        <v>-4.2540315985738264E-2</v>
      </c>
      <c r="AQ53" s="208">
        <f t="shared" ref="AQ53:BV53" si="226">AQ42/AL42-1</f>
        <v>-0.16113805366957679</v>
      </c>
      <c r="AR53" s="208">
        <f t="shared" si="226"/>
        <v>-0.18998540353875237</v>
      </c>
      <c r="AS53" s="208">
        <f t="shared" si="226"/>
        <v>-0.17156531172228973</v>
      </c>
      <c r="AT53" s="222">
        <f t="shared" si="226"/>
        <v>-0.1424466577358422</v>
      </c>
      <c r="AU53" s="364">
        <f t="shared" si="226"/>
        <v>-0.31508284669270825</v>
      </c>
      <c r="AV53" s="208">
        <f t="shared" si="226"/>
        <v>-0.2862878064360469</v>
      </c>
      <c r="AW53" s="208">
        <f t="shared" si="226"/>
        <v>-0.29293931275221063</v>
      </c>
      <c r="AX53" s="208">
        <f t="shared" si="226"/>
        <v>-0.18249357939775135</v>
      </c>
      <c r="AY53" s="222">
        <f t="shared" si="226"/>
        <v>-0.26478396392335646</v>
      </c>
      <c r="AZ53" s="208">
        <f t="shared" si="226"/>
        <v>-1.4246971188334245</v>
      </c>
      <c r="BA53" s="208">
        <f t="shared" si="226"/>
        <v>-1.5853681375305693</v>
      </c>
      <c r="BB53" s="208">
        <f t="shared" si="226"/>
        <v>-1.5819047854575605</v>
      </c>
      <c r="BC53" s="208">
        <f t="shared" si="226"/>
        <v>-0.9675207850255948</v>
      </c>
      <c r="BD53" s="222">
        <f t="shared" si="226"/>
        <v>-1.3430836508263442</v>
      </c>
      <c r="BE53" s="208">
        <f t="shared" si="226"/>
        <v>3.8725805266608653</v>
      </c>
      <c r="BF53" s="208">
        <f t="shared" si="226"/>
        <v>3.1127449821994055</v>
      </c>
      <c r="BG53" s="208">
        <f t="shared" si="226"/>
        <v>3.7432952486136699</v>
      </c>
      <c r="BH53" s="208">
        <f t="shared" si="226"/>
        <v>-39.332917276146972</v>
      </c>
      <c r="BI53" s="222">
        <f t="shared" si="226"/>
        <v>4.8701674633819847</v>
      </c>
      <c r="BJ53" s="208">
        <f t="shared" si="226"/>
        <v>0.77505404085223195</v>
      </c>
      <c r="BK53" s="208">
        <f t="shared" si="226"/>
        <v>0.64570699012314914</v>
      </c>
      <c r="BL53" s="208">
        <f t="shared" si="226"/>
        <v>0.66219498444450497</v>
      </c>
      <c r="BM53" s="208">
        <f t="shared" si="226"/>
        <v>0.77284360586362189</v>
      </c>
      <c r="BN53" s="222">
        <f t="shared" si="226"/>
        <v>0.70869031816448302</v>
      </c>
      <c r="BO53" s="208">
        <f t="shared" si="226"/>
        <v>0.42004381167272764</v>
      </c>
      <c r="BP53" s="208">
        <f t="shared" si="226"/>
        <v>0.46102626948041814</v>
      </c>
      <c r="BQ53" s="208">
        <f t="shared" si="226"/>
        <v>0.41796885867318867</v>
      </c>
      <c r="BR53" s="208">
        <f t="shared" si="226"/>
        <v>0.49704183719083428</v>
      </c>
      <c r="BS53" s="222">
        <f t="shared" si="226"/>
        <v>0.44639854683638958</v>
      </c>
      <c r="BT53" s="208">
        <f t="shared" si="226"/>
        <v>0.27224654158688177</v>
      </c>
      <c r="BU53" s="208">
        <f t="shared" si="226"/>
        <v>0.2366642102922869</v>
      </c>
      <c r="BV53" s="208">
        <f t="shared" si="226"/>
        <v>0.22263599265879885</v>
      </c>
      <c r="BW53" s="208">
        <f t="shared" ref="BW53:CM53" si="227">BW42/BR42-1</f>
        <v>0.22830961719680132</v>
      </c>
      <c r="BX53" s="222">
        <f t="shared" si="227"/>
        <v>0.2404265182338412</v>
      </c>
      <c r="BY53" s="208">
        <f t="shared" si="227"/>
        <v>0.15232730374161263</v>
      </c>
      <c r="BZ53" s="208">
        <f t="shared" si="227"/>
        <v>0.13297522761607894</v>
      </c>
      <c r="CA53" s="208">
        <f t="shared" si="227"/>
        <v>0.13995306655673412</v>
      </c>
      <c r="CB53" s="208">
        <f t="shared" si="227"/>
        <v>0.13990627005423861</v>
      </c>
      <c r="CC53" s="222">
        <f t="shared" si="227"/>
        <v>0.14138203394562776</v>
      </c>
      <c r="CD53" s="208">
        <f t="shared" si="227"/>
        <v>0.13218918105686717</v>
      </c>
      <c r="CE53" s="208">
        <f t="shared" si="227"/>
        <v>0.14028943235743818</v>
      </c>
      <c r="CF53" s="208">
        <f t="shared" si="227"/>
        <v>0.11645798862857859</v>
      </c>
      <c r="CG53" s="208">
        <f t="shared" si="227"/>
        <v>0.11282552747408858</v>
      </c>
      <c r="CH53" s="222">
        <f t="shared" si="227"/>
        <v>0.12615008837048891</v>
      </c>
      <c r="CI53" s="208">
        <f t="shared" si="227"/>
        <v>9.1811489647738886E-2</v>
      </c>
      <c r="CJ53" s="208">
        <f t="shared" si="227"/>
        <v>7.4833506940294781E-2</v>
      </c>
      <c r="CK53" s="208">
        <f t="shared" si="227"/>
        <v>6.423758973743765E-2</v>
      </c>
      <c r="CL53" s="208">
        <f t="shared" si="227"/>
        <v>5.2034648317796917E-2</v>
      </c>
      <c r="CM53" s="222">
        <f t="shared" si="227"/>
        <v>7.1895245094517612E-2</v>
      </c>
    </row>
    <row r="54" spans="1:91" s="13" customFormat="1" ht="12.75" customHeight="1">
      <c r="A54" s="13" t="str">
        <f>A21</f>
        <v>Income before taxes</v>
      </c>
      <c r="B54" s="201" t="s">
        <v>294</v>
      </c>
      <c r="C54" s="201" t="s">
        <v>294</v>
      </c>
      <c r="D54" s="201" t="s">
        <v>294</v>
      </c>
      <c r="E54" s="201" t="s">
        <v>294</v>
      </c>
      <c r="F54" s="219" t="s">
        <v>294</v>
      </c>
      <c r="G54" s="52">
        <f t="shared" ref="G54:J54" si="228">G21/B21-1</f>
        <v>-0.18252780849541428</v>
      </c>
      <c r="H54" s="52">
        <f t="shared" si="228"/>
        <v>0.14708686143666205</v>
      </c>
      <c r="I54" s="52">
        <f t="shared" si="228"/>
        <v>-0.1899174109645354</v>
      </c>
      <c r="J54" s="52">
        <f t="shared" si="228"/>
        <v>0.6819227060307107</v>
      </c>
      <c r="K54" s="220">
        <f t="shared" ref="K54:AP54" si="229">K21/F21-1</f>
        <v>5.3481469378863222E-2</v>
      </c>
      <c r="L54" s="52">
        <f t="shared" si="229"/>
        <v>0.44370175857404304</v>
      </c>
      <c r="M54" s="52">
        <f t="shared" si="229"/>
        <v>-0.54575674618693781</v>
      </c>
      <c r="N54" s="52">
        <f t="shared" si="229"/>
        <v>-0.63980255570420241</v>
      </c>
      <c r="O54" s="52">
        <f t="shared" si="229"/>
        <v>-0.22700008820675666</v>
      </c>
      <c r="P54" s="220">
        <f t="shared" si="229"/>
        <v>-0.3179879546100759</v>
      </c>
      <c r="Q54" s="52">
        <f t="shared" si="229"/>
        <v>-0.14931378493082748</v>
      </c>
      <c r="R54" s="52">
        <f t="shared" si="229"/>
        <v>1.529595350839434</v>
      </c>
      <c r="S54" s="52">
        <f t="shared" si="229"/>
        <v>0.96324282786885074</v>
      </c>
      <c r="T54" s="52">
        <f t="shared" si="229"/>
        <v>1.07616819763793</v>
      </c>
      <c r="U54" s="220">
        <f t="shared" si="229"/>
        <v>0.71796475270039828</v>
      </c>
      <c r="V54" s="52">
        <f t="shared" si="229"/>
        <v>2.1921731242710911</v>
      </c>
      <c r="W54" s="52">
        <f t="shared" si="229"/>
        <v>1.6103807700489234</v>
      </c>
      <c r="X54" s="52">
        <f t="shared" si="229"/>
        <v>3.5933850870898354</v>
      </c>
      <c r="Y54" s="52">
        <f t="shared" si="229"/>
        <v>0.93313913545302141</v>
      </c>
      <c r="Z54" s="220">
        <f t="shared" si="229"/>
        <v>1.7728912273735076</v>
      </c>
      <c r="AA54" s="52">
        <f t="shared" si="229"/>
        <v>0.89185678330762364</v>
      </c>
      <c r="AB54" s="52">
        <f t="shared" si="229"/>
        <v>2.277735221735091</v>
      </c>
      <c r="AC54" s="52">
        <f t="shared" si="229"/>
        <v>0.71449468840538488</v>
      </c>
      <c r="AD54" s="52">
        <f t="shared" si="229"/>
        <v>0.69150614826924439</v>
      </c>
      <c r="AE54" s="220">
        <f t="shared" si="229"/>
        <v>1.1243764470009787</v>
      </c>
      <c r="AF54" s="52">
        <f t="shared" si="229"/>
        <v>0.16177795897347869</v>
      </c>
      <c r="AG54" s="52">
        <f t="shared" si="229"/>
        <v>-0.5613240383467919</v>
      </c>
      <c r="AH54" s="52">
        <f t="shared" si="229"/>
        <v>-0.34804217990241981</v>
      </c>
      <c r="AI54" s="52">
        <f t="shared" si="229"/>
        <v>-0.35764650513913077</v>
      </c>
      <c r="AJ54" s="220">
        <f t="shared" si="229"/>
        <v>-0.34152013931801573</v>
      </c>
      <c r="AK54" s="52">
        <f t="shared" si="229"/>
        <v>-0.48274492783067224</v>
      </c>
      <c r="AL54" s="52">
        <f t="shared" si="229"/>
        <v>-0.33891388866848726</v>
      </c>
      <c r="AM54" s="52">
        <f t="shared" si="229"/>
        <v>-0.30125150879867835</v>
      </c>
      <c r="AN54" s="52">
        <f t="shared" si="229"/>
        <v>1.7531694425185762E-3</v>
      </c>
      <c r="AO54" s="220">
        <f t="shared" si="229"/>
        <v>-0.30072970697970669</v>
      </c>
      <c r="AP54" s="52">
        <f t="shared" si="229"/>
        <v>8.5428122545168961E-2</v>
      </c>
      <c r="AQ54" s="52">
        <f t="shared" ref="AQ54:BV54" si="230">AQ21/AL21-1</f>
        <v>-5.7558767553109846E-2</v>
      </c>
      <c r="AR54" s="52">
        <f t="shared" si="230"/>
        <v>-0.12490226384216796</v>
      </c>
      <c r="AS54" s="52">
        <f t="shared" si="230"/>
        <v>-0.14442253190016574</v>
      </c>
      <c r="AT54" s="220">
        <f t="shared" si="230"/>
        <v>-6.7097199233826177E-2</v>
      </c>
      <c r="AU54" s="365">
        <f t="shared" si="230"/>
        <v>-0.38365084416471684</v>
      </c>
      <c r="AV54" s="52">
        <f t="shared" si="230"/>
        <v>-0.36229991397819261</v>
      </c>
      <c r="AW54" s="52">
        <f t="shared" si="230"/>
        <v>-0.33248999304046767</v>
      </c>
      <c r="AX54" s="52">
        <f t="shared" si="230"/>
        <v>-0.18752957525505798</v>
      </c>
      <c r="AY54" s="220">
        <f t="shared" si="230"/>
        <v>-0.31179559453376526</v>
      </c>
      <c r="AZ54" s="52">
        <f t="shared" si="230"/>
        <v>-1.4116927577811609</v>
      </c>
      <c r="BA54" s="52">
        <f t="shared" si="230"/>
        <v>-1.562946847334195</v>
      </c>
      <c r="BB54" s="52">
        <f t="shared" si="230"/>
        <v>-1.5111235069131612</v>
      </c>
      <c r="BC54" s="52">
        <f t="shared" si="230"/>
        <v>-0.92399583446684352</v>
      </c>
      <c r="BD54" s="220">
        <f t="shared" si="230"/>
        <v>-1.3010888522977695</v>
      </c>
      <c r="BE54" s="52">
        <f t="shared" si="230"/>
        <v>4.015157796149186</v>
      </c>
      <c r="BF54" s="52">
        <f t="shared" si="230"/>
        <v>3.2304491308692365</v>
      </c>
      <c r="BG54" s="52">
        <f t="shared" si="230"/>
        <v>4.0526383356935023</v>
      </c>
      <c r="BH54" s="52">
        <f t="shared" si="230"/>
        <v>-15.967549223822839</v>
      </c>
      <c r="BI54" s="220">
        <f t="shared" si="230"/>
        <v>5.40294013366454</v>
      </c>
      <c r="BJ54" s="52">
        <f t="shared" si="230"/>
        <v>0.84013138136431031</v>
      </c>
      <c r="BK54" s="52">
        <f t="shared" si="230"/>
        <v>0.70395574443914533</v>
      </c>
      <c r="BL54" s="52">
        <f t="shared" si="230"/>
        <v>0.72572183806199164</v>
      </c>
      <c r="BM54" s="52">
        <f t="shared" si="230"/>
        <v>0.87235520960174107</v>
      </c>
      <c r="BN54" s="220">
        <f t="shared" si="230"/>
        <v>0.7780063556185719</v>
      </c>
      <c r="BO54" s="52">
        <f t="shared" si="230"/>
        <v>0.45038526541151302</v>
      </c>
      <c r="BP54" s="52">
        <f t="shared" si="230"/>
        <v>0.49432424984648771</v>
      </c>
      <c r="BQ54" s="52">
        <f t="shared" si="230"/>
        <v>0.45221718399250799</v>
      </c>
      <c r="BR54" s="52">
        <f t="shared" si="230"/>
        <v>0.54447171669792271</v>
      </c>
      <c r="BS54" s="220">
        <f t="shared" si="230"/>
        <v>0.48212979463322014</v>
      </c>
      <c r="BT54" s="52">
        <f t="shared" si="230"/>
        <v>0.29539929888944627</v>
      </c>
      <c r="BU54" s="52">
        <f t="shared" si="230"/>
        <v>0.2413151960096267</v>
      </c>
      <c r="BV54" s="52">
        <f t="shared" si="230"/>
        <v>0.22815436409163303</v>
      </c>
      <c r="BW54" s="52">
        <f t="shared" ref="BW54:CM54" si="231">BW21/BR21-1</f>
        <v>0.23549380830646616</v>
      </c>
      <c r="BX54" s="220">
        <f t="shared" si="231"/>
        <v>0.25055681430453203</v>
      </c>
      <c r="BY54" s="52">
        <f t="shared" si="231"/>
        <v>0.15756607774843423</v>
      </c>
      <c r="BZ54" s="52">
        <f t="shared" si="231"/>
        <v>0.15635507464937848</v>
      </c>
      <c r="CA54" s="52">
        <f t="shared" si="231"/>
        <v>0.16467115763927875</v>
      </c>
      <c r="CB54" s="52">
        <f t="shared" si="231"/>
        <v>0.16959125927046825</v>
      </c>
      <c r="CC54" s="220">
        <f t="shared" si="231"/>
        <v>0.16164990419799485</v>
      </c>
      <c r="CD54" s="52">
        <f t="shared" si="231"/>
        <v>0.15320387122795553</v>
      </c>
      <c r="CE54" s="52">
        <f t="shared" si="231"/>
        <v>0.16178796626193592</v>
      </c>
      <c r="CF54" s="52">
        <f t="shared" si="231"/>
        <v>0.12962325433758948</v>
      </c>
      <c r="CG54" s="52">
        <f t="shared" si="231"/>
        <v>0.12869139416289066</v>
      </c>
      <c r="CH54" s="220">
        <f t="shared" si="231"/>
        <v>0.14410989090285553</v>
      </c>
      <c r="CI54" s="52">
        <f t="shared" si="231"/>
        <v>0.10374061873983864</v>
      </c>
      <c r="CJ54" s="52">
        <f t="shared" si="231"/>
        <v>8.7636246774043913E-2</v>
      </c>
      <c r="CK54" s="52">
        <f t="shared" si="231"/>
        <v>8.7715833210767036E-2</v>
      </c>
      <c r="CL54" s="52">
        <f t="shared" si="231"/>
        <v>8.0530275456483613E-2</v>
      </c>
      <c r="CM54" s="220">
        <f t="shared" si="231"/>
        <v>9.0447748297609154E-2</v>
      </c>
    </row>
    <row r="55" spans="1:91" s="14" customFormat="1" ht="12.75" customHeight="1">
      <c r="A55" s="14" t="str">
        <f>A24</f>
        <v>Non-GAAP net income</v>
      </c>
      <c r="B55" s="207" t="s">
        <v>294</v>
      </c>
      <c r="C55" s="207" t="s">
        <v>294</v>
      </c>
      <c r="D55" s="207" t="s">
        <v>294</v>
      </c>
      <c r="E55" s="207" t="s">
        <v>294</v>
      </c>
      <c r="F55" s="218" t="s">
        <v>294</v>
      </c>
      <c r="G55" s="208">
        <f>G24/B24-1</f>
        <v>-0.18252780849541428</v>
      </c>
      <c r="H55" s="208">
        <f t="shared" ref="H55:J55" si="232">H31/C31-1</f>
        <v>-8.126353330785907E-2</v>
      </c>
      <c r="I55" s="208">
        <f t="shared" si="232"/>
        <v>-0.26565783942833132</v>
      </c>
      <c r="J55" s="208">
        <f t="shared" si="232"/>
        <v>0.66812749003984129</v>
      </c>
      <c r="K55" s="222">
        <f t="shared" ref="K55:U55" si="233">K31/F31-1</f>
        <v>-3.268248859979328E-2</v>
      </c>
      <c r="L55" s="208">
        <f t="shared" si="233"/>
        <v>0.88175382837330241</v>
      </c>
      <c r="M55" s="208">
        <f t="shared" si="233"/>
        <v>-0.46393086556680063</v>
      </c>
      <c r="N55" s="208">
        <f t="shared" si="233"/>
        <v>-0.4770627197644941</v>
      </c>
      <c r="O55" s="208">
        <f t="shared" si="233"/>
        <v>3.5029058196003326E-3</v>
      </c>
      <c r="P55" s="222">
        <f t="shared" si="233"/>
        <v>-0.1106474025134313</v>
      </c>
      <c r="Q55" s="208">
        <f t="shared" si="233"/>
        <v>6.4412114698092271E-2</v>
      </c>
      <c r="R55" s="208">
        <f t="shared" si="233"/>
        <v>3.7102586206896575</v>
      </c>
      <c r="S55" s="208">
        <f t="shared" si="233"/>
        <v>5.0727130570758394</v>
      </c>
      <c r="T55" s="208">
        <f t="shared" si="233"/>
        <v>2.7185640618802065</v>
      </c>
      <c r="U55" s="222">
        <f t="shared" si="233"/>
        <v>2.3546549285534901</v>
      </c>
      <c r="V55" s="208">
        <f t="shared" ref="V55:BA55" si="234">V24/Q24-1</f>
        <v>2.196400828586226</v>
      </c>
      <c r="W55" s="208">
        <f t="shared" si="234"/>
        <v>1.6101363694294553</v>
      </c>
      <c r="X55" s="208">
        <f t="shared" si="234"/>
        <v>3.5793336364226853</v>
      </c>
      <c r="Y55" s="208">
        <f t="shared" si="234"/>
        <v>0.91956782713085206</v>
      </c>
      <c r="Z55" s="222">
        <f t="shared" si="234"/>
        <v>1.7646425589876538</v>
      </c>
      <c r="AA55" s="208">
        <f t="shared" si="234"/>
        <v>0.88715622341933642</v>
      </c>
      <c r="AB55" s="208">
        <f t="shared" si="234"/>
        <v>0.65646158854166647</v>
      </c>
      <c r="AC55" s="208">
        <f t="shared" si="234"/>
        <v>0.71379134282634515</v>
      </c>
      <c r="AD55" s="208">
        <f t="shared" si="234"/>
        <v>0.69979816931036454</v>
      </c>
      <c r="AE55" s="222">
        <f t="shared" si="234"/>
        <v>0.72989725129329885</v>
      </c>
      <c r="AF55" s="208">
        <f t="shared" si="234"/>
        <v>0.16465273008241765</v>
      </c>
      <c r="AG55" s="208">
        <f t="shared" si="234"/>
        <v>-0.12826584654083129</v>
      </c>
      <c r="AH55" s="208">
        <f t="shared" si="234"/>
        <v>-0.34460756728127406</v>
      </c>
      <c r="AI55" s="208">
        <f t="shared" si="234"/>
        <v>-0.36540375111839551</v>
      </c>
      <c r="AJ55" s="222">
        <f t="shared" si="234"/>
        <v>-0.19075344982819764</v>
      </c>
      <c r="AK55" s="208">
        <f t="shared" si="234"/>
        <v>-0.48015701161922841</v>
      </c>
      <c r="AL55" s="208">
        <f t="shared" si="234"/>
        <v>-0.34111069782121017</v>
      </c>
      <c r="AM55" s="208">
        <f t="shared" si="234"/>
        <v>-0.3051960351032259</v>
      </c>
      <c r="AN55" s="208">
        <f t="shared" si="234"/>
        <v>1.8328677594476428E-2</v>
      </c>
      <c r="AO55" s="222">
        <f t="shared" si="234"/>
        <v>-0.29844493703399888</v>
      </c>
      <c r="AP55" s="208">
        <f t="shared" si="234"/>
        <v>8.2776468085860699E-2</v>
      </c>
      <c r="AQ55" s="208">
        <f t="shared" si="234"/>
        <v>-5.9052962912276463E-2</v>
      </c>
      <c r="AR55" s="208">
        <f t="shared" si="234"/>
        <v>-0.12290776919582058</v>
      </c>
      <c r="AS55" s="208">
        <f t="shared" si="234"/>
        <v>-0.1746955992909176</v>
      </c>
      <c r="AT55" s="222">
        <f t="shared" si="234"/>
        <v>-7.7052847913068434E-2</v>
      </c>
      <c r="AU55" s="364">
        <f t="shared" si="234"/>
        <v>-0.3896439712347779</v>
      </c>
      <c r="AV55" s="208">
        <f t="shared" si="234"/>
        <v>-0.36592677235049642</v>
      </c>
      <c r="AW55" s="208">
        <f t="shared" si="234"/>
        <v>-0.3376991491865281</v>
      </c>
      <c r="AX55" s="208">
        <f t="shared" si="234"/>
        <v>-0.16970298157249186</v>
      </c>
      <c r="AY55" s="222">
        <f t="shared" si="234"/>
        <v>-0.31144563248025248</v>
      </c>
      <c r="AZ55" s="208">
        <f t="shared" si="234"/>
        <v>-1.4116927577811609</v>
      </c>
      <c r="BA55" s="208">
        <f t="shared" si="234"/>
        <v>-1.562946847334195</v>
      </c>
      <c r="BB55" s="208">
        <f t="shared" ref="BB55:CG55" si="235">BB24/AW24-1</f>
        <v>-1.5111235069131612</v>
      </c>
      <c r="BC55" s="208">
        <f t="shared" si="235"/>
        <v>-0.92399583446684352</v>
      </c>
      <c r="BD55" s="222">
        <f t="shared" si="235"/>
        <v>-1.3010888522977695</v>
      </c>
      <c r="BE55" s="208">
        <f t="shared" si="235"/>
        <v>4.015157796149186</v>
      </c>
      <c r="BF55" s="208">
        <f t="shared" si="235"/>
        <v>3.2304491308692365</v>
      </c>
      <c r="BG55" s="208">
        <f t="shared" si="235"/>
        <v>4.0526383356935032</v>
      </c>
      <c r="BH55" s="208">
        <f t="shared" si="235"/>
        <v>-15.967549223822839</v>
      </c>
      <c r="BI55" s="222">
        <f t="shared" si="235"/>
        <v>5.40294013366454</v>
      </c>
      <c r="BJ55" s="208">
        <f t="shared" si="235"/>
        <v>0.84013138136431031</v>
      </c>
      <c r="BK55" s="208">
        <f t="shared" si="235"/>
        <v>0.70395574443914577</v>
      </c>
      <c r="BL55" s="208">
        <f t="shared" si="235"/>
        <v>0.72572183806199164</v>
      </c>
      <c r="BM55" s="208">
        <f t="shared" si="235"/>
        <v>0.87235520960174107</v>
      </c>
      <c r="BN55" s="222">
        <f t="shared" si="235"/>
        <v>0.7780063556185719</v>
      </c>
      <c r="BO55" s="208">
        <f t="shared" si="235"/>
        <v>0.45038526541151302</v>
      </c>
      <c r="BP55" s="208">
        <f t="shared" si="235"/>
        <v>0.49432424984648748</v>
      </c>
      <c r="BQ55" s="208">
        <f t="shared" si="235"/>
        <v>0.45221718399250799</v>
      </c>
      <c r="BR55" s="208">
        <f t="shared" si="235"/>
        <v>0.54447171669792271</v>
      </c>
      <c r="BS55" s="222">
        <f t="shared" si="235"/>
        <v>0.48212979463322014</v>
      </c>
      <c r="BT55" s="208">
        <f t="shared" si="235"/>
        <v>0.29539929888944627</v>
      </c>
      <c r="BU55" s="208">
        <f t="shared" si="235"/>
        <v>0.2413151960096267</v>
      </c>
      <c r="BV55" s="208">
        <f t="shared" si="235"/>
        <v>0.22815436409163303</v>
      </c>
      <c r="BW55" s="208">
        <f t="shared" si="235"/>
        <v>0.23549380830646593</v>
      </c>
      <c r="BX55" s="222">
        <f t="shared" si="235"/>
        <v>0.25055681430453203</v>
      </c>
      <c r="BY55" s="208">
        <f t="shared" si="235"/>
        <v>0.15756607774843445</v>
      </c>
      <c r="BZ55" s="208">
        <f t="shared" si="235"/>
        <v>0.15635507464937826</v>
      </c>
      <c r="CA55" s="208">
        <f t="shared" si="235"/>
        <v>0.16467115763927875</v>
      </c>
      <c r="CB55" s="208">
        <f t="shared" si="235"/>
        <v>0.16959125927046825</v>
      </c>
      <c r="CC55" s="222">
        <f t="shared" si="235"/>
        <v>0.16164990419799463</v>
      </c>
      <c r="CD55" s="208">
        <f t="shared" si="235"/>
        <v>0.15320387122795553</v>
      </c>
      <c r="CE55" s="208">
        <f t="shared" si="235"/>
        <v>0.16178796626193614</v>
      </c>
      <c r="CF55" s="208">
        <f t="shared" si="235"/>
        <v>0.12962325433758948</v>
      </c>
      <c r="CG55" s="208">
        <f t="shared" si="235"/>
        <v>0.12869139416289066</v>
      </c>
      <c r="CH55" s="222">
        <f t="shared" ref="CH55:CM55" si="236">CH24/CC24-1</f>
        <v>0.14410989090285553</v>
      </c>
      <c r="CI55" s="208">
        <f t="shared" si="236"/>
        <v>0.10374061873983864</v>
      </c>
      <c r="CJ55" s="208">
        <f t="shared" si="236"/>
        <v>8.7636246774043913E-2</v>
      </c>
      <c r="CK55" s="208">
        <f t="shared" si="236"/>
        <v>8.7715833210767258E-2</v>
      </c>
      <c r="CL55" s="208">
        <f t="shared" si="236"/>
        <v>8.0530275456483613E-2</v>
      </c>
      <c r="CM55" s="222">
        <f t="shared" si="236"/>
        <v>9.0447748297609376E-2</v>
      </c>
    </row>
    <row r="56" spans="1:91" s="13" customFormat="1" ht="12.75" customHeight="1">
      <c r="B56" s="46"/>
      <c r="C56" s="46"/>
      <c r="D56" s="52"/>
      <c r="E56" s="52"/>
      <c r="F56" s="220"/>
      <c r="G56" s="52"/>
      <c r="H56" s="52"/>
      <c r="I56" s="52"/>
      <c r="J56" s="52"/>
      <c r="K56" s="220"/>
      <c r="L56" s="52"/>
      <c r="M56" s="52"/>
      <c r="N56" s="52"/>
      <c r="O56" s="52"/>
      <c r="P56" s="220"/>
      <c r="Q56" s="52"/>
      <c r="R56" s="52"/>
      <c r="S56" s="52"/>
      <c r="T56" s="52"/>
      <c r="U56" s="220"/>
      <c r="V56" s="52"/>
      <c r="W56" s="52"/>
      <c r="X56" s="52"/>
      <c r="Y56" s="52"/>
      <c r="Z56" s="220"/>
      <c r="AA56" s="52"/>
      <c r="AB56" s="52"/>
      <c r="AC56" s="52"/>
      <c r="AD56" s="52"/>
      <c r="AE56" s="220"/>
      <c r="AF56" s="52"/>
      <c r="AG56" s="52"/>
      <c r="AH56" s="52"/>
      <c r="AI56" s="52"/>
      <c r="AJ56" s="220"/>
      <c r="AK56" s="52"/>
      <c r="AL56" s="52"/>
      <c r="AM56" s="52"/>
      <c r="AN56" s="52"/>
      <c r="AO56" s="220"/>
      <c r="AP56" s="52"/>
      <c r="AQ56" s="52"/>
      <c r="AR56" s="52"/>
      <c r="AS56" s="52"/>
      <c r="AT56" s="220"/>
      <c r="AU56" s="365"/>
      <c r="AV56" s="52"/>
      <c r="AW56" s="52"/>
      <c r="AX56" s="52"/>
      <c r="AY56" s="220"/>
      <c r="AZ56" s="52"/>
      <c r="BA56" s="52"/>
      <c r="BB56" s="52"/>
      <c r="BC56" s="52"/>
      <c r="BD56" s="220"/>
      <c r="BE56" s="52"/>
      <c r="BF56" s="52"/>
      <c r="BG56" s="52"/>
      <c r="BH56" s="52"/>
      <c r="BI56" s="220"/>
      <c r="BJ56" s="52"/>
      <c r="BK56" s="52"/>
      <c r="BL56" s="52"/>
      <c r="BM56" s="52"/>
      <c r="BN56" s="220"/>
      <c r="BO56" s="52"/>
      <c r="BP56" s="52"/>
      <c r="BQ56" s="52"/>
      <c r="BR56" s="52"/>
      <c r="BS56" s="220"/>
      <c r="BT56" s="52"/>
      <c r="BU56" s="52"/>
      <c r="BV56" s="52"/>
      <c r="BW56" s="52"/>
      <c r="BX56" s="220"/>
      <c r="BY56" s="52"/>
      <c r="BZ56" s="52"/>
      <c r="CA56" s="52"/>
      <c r="CB56" s="52"/>
      <c r="CC56" s="220"/>
      <c r="CD56" s="52"/>
      <c r="CE56" s="52"/>
      <c r="CF56" s="52"/>
      <c r="CG56" s="52"/>
      <c r="CH56" s="220"/>
      <c r="CI56" s="52"/>
      <c r="CJ56" s="52"/>
      <c r="CK56" s="52"/>
      <c r="CL56" s="52"/>
      <c r="CM56" s="220"/>
    </row>
    <row r="57" spans="1:91" s="14" customFormat="1" ht="12.75" customHeight="1">
      <c r="A57" s="14" t="str">
        <f>A37</f>
        <v>Non-GAAP diluted E.P.S.</v>
      </c>
      <c r="B57" s="207" t="s">
        <v>294</v>
      </c>
      <c r="C57" s="207" t="s">
        <v>294</v>
      </c>
      <c r="D57" s="207" t="s">
        <v>294</v>
      </c>
      <c r="E57" s="207" t="s">
        <v>294</v>
      </c>
      <c r="F57" s="218" t="s">
        <v>294</v>
      </c>
      <c r="G57" s="209" t="s">
        <v>394</v>
      </c>
      <c r="H57" s="209" t="s">
        <v>394</v>
      </c>
      <c r="I57" s="208">
        <f t="shared" ref="I57:J57" si="237">I37/D37-1</f>
        <v>-0.22268899241573969</v>
      </c>
      <c r="J57" s="208">
        <f t="shared" si="237"/>
        <v>-0.76281309996861191</v>
      </c>
      <c r="K57" s="222">
        <f t="shared" ref="K57:AP57" si="238">K37/F37-1</f>
        <v>-0.56385390224377085</v>
      </c>
      <c r="L57" s="208">
        <f t="shared" si="238"/>
        <v>-0.79945788820597918</v>
      </c>
      <c r="M57" s="208">
        <f t="shared" si="238"/>
        <v>-0.94501665240873711</v>
      </c>
      <c r="N57" s="208">
        <f t="shared" si="238"/>
        <v>-0.95268365210013872</v>
      </c>
      <c r="O57" s="208">
        <f t="shared" si="238"/>
        <v>-0.32937286227807305</v>
      </c>
      <c r="P57" s="222">
        <f t="shared" si="238"/>
        <v>-0.77935451140394962</v>
      </c>
      <c r="Q57" s="208">
        <f t="shared" si="238"/>
        <v>-0.22585530658663877</v>
      </c>
      <c r="R57" s="208">
        <f t="shared" si="238"/>
        <v>1.6999307947520759</v>
      </c>
      <c r="S57" s="208">
        <f t="shared" si="238"/>
        <v>0.89721557964456067</v>
      </c>
      <c r="T57" s="208">
        <f t="shared" si="238"/>
        <v>1.0231763337200364</v>
      </c>
      <c r="U57" s="222">
        <f t="shared" si="238"/>
        <v>0.66189596755626368</v>
      </c>
      <c r="V57" s="208">
        <f t="shared" si="238"/>
        <v>1.9882888713151923</v>
      </c>
      <c r="W57" s="208">
        <f t="shared" si="238"/>
        <v>1.4769877334172641</v>
      </c>
      <c r="X57" s="208">
        <f t="shared" si="238"/>
        <v>3.4950796769909687</v>
      </c>
      <c r="Y57" s="208">
        <f t="shared" si="238"/>
        <v>0.88883873558863358</v>
      </c>
      <c r="Z57" s="222">
        <f t="shared" si="238"/>
        <v>1.6606758006942006</v>
      </c>
      <c r="AA57" s="208">
        <f t="shared" si="238"/>
        <v>0.87051786923604735</v>
      </c>
      <c r="AB57" s="208">
        <f t="shared" si="238"/>
        <v>0.64225829113974409</v>
      </c>
      <c r="AC57" s="208">
        <f t="shared" si="238"/>
        <v>0.69923176479824756</v>
      </c>
      <c r="AD57" s="208">
        <f t="shared" si="238"/>
        <v>0.68621848710792577</v>
      </c>
      <c r="AE57" s="222">
        <f t="shared" si="238"/>
        <v>0.71526953079458666</v>
      </c>
      <c r="AF57" s="208">
        <f t="shared" si="238"/>
        <v>0.15546374562485488</v>
      </c>
      <c r="AG57" s="208">
        <f t="shared" si="238"/>
        <v>-0.18243277003485237</v>
      </c>
      <c r="AH57" s="208">
        <f t="shared" si="238"/>
        <v>-0.43059525930585585</v>
      </c>
      <c r="AI57" s="208">
        <f t="shared" si="238"/>
        <v>-0.45103900959980281</v>
      </c>
      <c r="AJ57" s="222">
        <f t="shared" si="238"/>
        <v>-0.26125151935088686</v>
      </c>
      <c r="AK57" s="208">
        <f t="shared" si="238"/>
        <v>-0.56151701791002406</v>
      </c>
      <c r="AL57" s="208">
        <f t="shared" si="238"/>
        <v>-0.41450237905812493</v>
      </c>
      <c r="AM57" s="208">
        <f t="shared" si="238"/>
        <v>-0.33520703114085537</v>
      </c>
      <c r="AN57" s="208">
        <f t="shared" si="238"/>
        <v>-2.4838834103413143E-2</v>
      </c>
      <c r="AO57" s="222">
        <f t="shared" si="238"/>
        <v>-0.36024489572387552</v>
      </c>
      <c r="AP57" s="208">
        <f t="shared" si="238"/>
        <v>6.3904299502436368E-2</v>
      </c>
      <c r="AQ57" s="208">
        <f t="shared" ref="AQ57:BV57" si="239">AQ37/AL37-1</f>
        <v>-7.1691011084321743E-2</v>
      </c>
      <c r="AR57" s="208">
        <f t="shared" si="239"/>
        <v>-0.13524821450170998</v>
      </c>
      <c r="AS57" s="208">
        <f t="shared" si="239"/>
        <v>-0.20614719132770254</v>
      </c>
      <c r="AT57" s="222">
        <f t="shared" si="239"/>
        <v>-9.6351123290288276E-2</v>
      </c>
      <c r="AU57" s="364">
        <f t="shared" si="239"/>
        <v>-0.41462397207137969</v>
      </c>
      <c r="AV57" s="208">
        <f t="shared" si="239"/>
        <v>-0.39209649090825149</v>
      </c>
      <c r="AW57" s="208">
        <f t="shared" si="239"/>
        <v>-0.36296475498449432</v>
      </c>
      <c r="AX57" s="208">
        <f t="shared" si="239"/>
        <v>-0.17864072291512267</v>
      </c>
      <c r="AY57" s="222">
        <f t="shared" si="239"/>
        <v>-0.33399642951690522</v>
      </c>
      <c r="AZ57" s="208">
        <f t="shared" si="239"/>
        <v>-1.4078242656331668</v>
      </c>
      <c r="BA57" s="208">
        <f t="shared" si="239"/>
        <v>-1.5575619600341546</v>
      </c>
      <c r="BB57" s="208">
        <f t="shared" si="239"/>
        <v>-1.5061483951102947</v>
      </c>
      <c r="BC57" s="208">
        <f t="shared" si="239"/>
        <v>-0.92474835095727081</v>
      </c>
      <c r="BD57" s="222">
        <f t="shared" si="239"/>
        <v>-1.2981834319830776</v>
      </c>
      <c r="BE57" s="208">
        <f t="shared" si="239"/>
        <v>3.9655027684645408</v>
      </c>
      <c r="BF57" s="208">
        <f t="shared" si="239"/>
        <v>3.1885634959101354</v>
      </c>
      <c r="BG57" s="208">
        <f t="shared" si="239"/>
        <v>4.0026122135579234</v>
      </c>
      <c r="BH57" s="208">
        <f t="shared" si="239"/>
        <v>-15.819355667151324</v>
      </c>
      <c r="BI57" s="222">
        <f t="shared" si="239"/>
        <v>5.3395446867965735</v>
      </c>
      <c r="BJ57" s="208">
        <f t="shared" si="239"/>
        <v>0.82191225877654506</v>
      </c>
      <c r="BK57" s="208">
        <f t="shared" si="239"/>
        <v>0.68708489548430274</v>
      </c>
      <c r="BL57" s="208">
        <f t="shared" si="239"/>
        <v>0.70863548322969483</v>
      </c>
      <c r="BM57" s="208">
        <f t="shared" si="239"/>
        <v>0.85381703920964469</v>
      </c>
      <c r="BN57" s="222">
        <f t="shared" si="239"/>
        <v>0.76040233229561593</v>
      </c>
      <c r="BO57" s="208">
        <f t="shared" si="239"/>
        <v>0.43602501525892379</v>
      </c>
      <c r="BP57" s="208">
        <f t="shared" si="239"/>
        <v>0.47952896024404734</v>
      </c>
      <c r="BQ57" s="208">
        <f t="shared" si="239"/>
        <v>0.43783879603218634</v>
      </c>
      <c r="BR57" s="208">
        <f t="shared" si="239"/>
        <v>0.52917991752269589</v>
      </c>
      <c r="BS57" s="222">
        <f t="shared" si="239"/>
        <v>0.46745524221110912</v>
      </c>
      <c r="BT57" s="208">
        <f t="shared" si="239"/>
        <v>0.28257356325687755</v>
      </c>
      <c r="BU57" s="208">
        <f t="shared" si="239"/>
        <v>0.22902494654418493</v>
      </c>
      <c r="BV57" s="208">
        <f t="shared" si="239"/>
        <v>0.21599441989270596</v>
      </c>
      <c r="BW57" s="208">
        <f t="shared" ref="BW57:CM57" si="240">BW37/BR37-1</f>
        <v>0.22326119634303598</v>
      </c>
      <c r="BX57" s="222">
        <f t="shared" si="240"/>
        <v>0.23817506366785368</v>
      </c>
      <c r="BY57" s="208">
        <f t="shared" si="240"/>
        <v>0.14610502747369769</v>
      </c>
      <c r="BZ57" s="208">
        <f t="shared" si="240"/>
        <v>0.14490601450433527</v>
      </c>
      <c r="CA57" s="208">
        <f t="shared" si="240"/>
        <v>0.1531397600388904</v>
      </c>
      <c r="CB57" s="208">
        <f t="shared" si="240"/>
        <v>0.15801114779254322</v>
      </c>
      <c r="CC57" s="222">
        <f t="shared" si="240"/>
        <v>0.15014841999801498</v>
      </c>
      <c r="CD57" s="208">
        <f t="shared" si="240"/>
        <v>0.1417860111167879</v>
      </c>
      <c r="CE57" s="208">
        <f t="shared" si="240"/>
        <v>0.15028511511082798</v>
      </c>
      <c r="CF57" s="208">
        <f t="shared" si="240"/>
        <v>0.11843886568078177</v>
      </c>
      <c r="CG57" s="208">
        <f t="shared" si="240"/>
        <v>0.11751623184444626</v>
      </c>
      <c r="CH57" s="222">
        <f t="shared" si="240"/>
        <v>0.13278207020084687</v>
      </c>
      <c r="CI57" s="208">
        <f t="shared" si="240"/>
        <v>9.2812493801820439E-2</v>
      </c>
      <c r="CJ57" s="208">
        <f t="shared" si="240"/>
        <v>7.6867571063409912E-2</v>
      </c>
      <c r="CK57" s="208">
        <f t="shared" si="240"/>
        <v>7.6946369515611401E-2</v>
      </c>
      <c r="CL57" s="208">
        <f t="shared" si="240"/>
        <v>6.9831955897508902E-2</v>
      </c>
      <c r="CM57" s="222">
        <f t="shared" si="240"/>
        <v>7.9651235938227538E-2</v>
      </c>
    </row>
    <row r="58" spans="1:91" ht="12.75" customHeight="1">
      <c r="D58" s="52"/>
      <c r="E58" s="52"/>
      <c r="F58" s="220"/>
      <c r="G58" s="52"/>
      <c r="H58" s="52"/>
      <c r="I58" s="52"/>
      <c r="J58" s="52"/>
      <c r="K58" s="220"/>
      <c r="L58" s="52"/>
      <c r="M58" s="52"/>
      <c r="N58" s="52"/>
      <c r="O58" s="52"/>
      <c r="P58" s="220"/>
      <c r="Q58" s="52"/>
      <c r="R58" s="52"/>
      <c r="S58" s="52"/>
      <c r="T58" s="52"/>
      <c r="U58" s="220"/>
      <c r="V58" s="52"/>
      <c r="W58" s="52"/>
      <c r="X58" s="52"/>
      <c r="Y58" s="52"/>
      <c r="Z58" s="220"/>
      <c r="AA58" s="52"/>
      <c r="AB58" s="52"/>
      <c r="AC58" s="52"/>
      <c r="AD58" s="52"/>
      <c r="AE58" s="220"/>
      <c r="AF58" s="52"/>
      <c r="AG58" s="52"/>
      <c r="AH58" s="52"/>
      <c r="AI58" s="52"/>
      <c r="AJ58" s="220"/>
      <c r="AK58" s="52"/>
      <c r="AL58" s="52"/>
      <c r="AM58" s="52"/>
      <c r="AN58" s="52"/>
      <c r="AO58" s="220"/>
      <c r="AP58" s="52"/>
      <c r="AQ58" s="52"/>
      <c r="AR58" s="52"/>
      <c r="AS58" s="52"/>
      <c r="AT58" s="220"/>
      <c r="AU58" s="365"/>
      <c r="AV58" s="52"/>
      <c r="AW58" s="52"/>
      <c r="AX58" s="52"/>
      <c r="AY58" s="220"/>
      <c r="AZ58" s="52"/>
      <c r="BA58" s="52"/>
      <c r="BB58" s="52"/>
      <c r="BC58" s="52"/>
      <c r="BD58" s="220"/>
      <c r="BE58" s="52"/>
      <c r="BF58" s="52"/>
      <c r="BG58" s="52"/>
      <c r="BH58" s="52"/>
      <c r="BI58" s="220"/>
      <c r="BJ58" s="52"/>
      <c r="BK58" s="52"/>
      <c r="BL58" s="52"/>
      <c r="BM58" s="52"/>
      <c r="BN58" s="220"/>
      <c r="BO58" s="52"/>
      <c r="BP58" s="52"/>
      <c r="BQ58" s="52"/>
      <c r="BR58" s="52"/>
      <c r="BS58" s="220"/>
      <c r="BT58" s="52"/>
      <c r="BU58" s="52"/>
      <c r="BV58" s="52"/>
      <c r="BW58" s="52"/>
      <c r="BX58" s="220"/>
      <c r="BY58" s="52"/>
      <c r="BZ58" s="52"/>
      <c r="CA58" s="52"/>
      <c r="CB58" s="52"/>
      <c r="CC58" s="220"/>
      <c r="CD58" s="52"/>
      <c r="CE58" s="52"/>
      <c r="CF58" s="52"/>
      <c r="CG58" s="52"/>
      <c r="CH58" s="220"/>
      <c r="CI58" s="52"/>
      <c r="CJ58" s="52"/>
      <c r="CK58" s="52"/>
      <c r="CL58" s="52"/>
      <c r="CM58" s="220"/>
    </row>
    <row r="59" spans="1:91" s="203" customFormat="1" ht="12.75" customHeight="1">
      <c r="A59" s="203" t="s">
        <v>15</v>
      </c>
      <c r="D59" s="206"/>
      <c r="E59" s="206"/>
      <c r="F59" s="221"/>
      <c r="G59" s="206"/>
      <c r="H59" s="206"/>
      <c r="I59" s="206"/>
      <c r="J59" s="206"/>
      <c r="K59" s="221"/>
      <c r="L59" s="206"/>
      <c r="M59" s="206"/>
      <c r="N59" s="206"/>
      <c r="O59" s="206"/>
      <c r="P59" s="221"/>
      <c r="Q59" s="206"/>
      <c r="R59" s="206"/>
      <c r="S59" s="206"/>
      <c r="T59" s="206"/>
      <c r="U59" s="221"/>
      <c r="V59" s="206"/>
      <c r="W59" s="206"/>
      <c r="X59" s="206"/>
      <c r="Y59" s="206"/>
      <c r="Z59" s="221"/>
      <c r="AA59" s="206"/>
      <c r="AB59" s="206"/>
      <c r="AC59" s="206"/>
      <c r="AD59" s="206"/>
      <c r="AE59" s="221"/>
      <c r="AF59" s="206"/>
      <c r="AG59" s="206"/>
      <c r="AH59" s="206"/>
      <c r="AI59" s="206"/>
      <c r="AJ59" s="221"/>
      <c r="AK59" s="206"/>
      <c r="AL59" s="206"/>
      <c r="AM59" s="206"/>
      <c r="AN59" s="206"/>
      <c r="AO59" s="221"/>
      <c r="AP59" s="206"/>
      <c r="AQ59" s="206"/>
      <c r="AR59" s="206"/>
      <c r="AS59" s="206"/>
      <c r="AT59" s="221"/>
      <c r="AU59" s="206"/>
      <c r="AV59" s="206"/>
      <c r="AW59" s="206"/>
      <c r="AX59" s="206"/>
      <c r="AY59" s="221"/>
      <c r="AZ59" s="206"/>
      <c r="BA59" s="206"/>
      <c r="BB59" s="206"/>
      <c r="BC59" s="206"/>
      <c r="BD59" s="221"/>
      <c r="BE59" s="206"/>
      <c r="BF59" s="206"/>
      <c r="BG59" s="206"/>
      <c r="BH59" s="206"/>
      <c r="BI59" s="221"/>
      <c r="BJ59" s="206"/>
      <c r="BK59" s="206"/>
      <c r="BL59" s="206"/>
      <c r="BM59" s="206"/>
      <c r="BN59" s="221"/>
      <c r="BO59" s="206"/>
      <c r="BP59" s="206"/>
      <c r="BQ59" s="206"/>
      <c r="BR59" s="206"/>
      <c r="BS59" s="221"/>
      <c r="BT59" s="206"/>
      <c r="BU59" s="206"/>
      <c r="BV59" s="206"/>
      <c r="BW59" s="206"/>
      <c r="BX59" s="221"/>
      <c r="BY59" s="206"/>
      <c r="BZ59" s="206"/>
      <c r="CA59" s="206"/>
      <c r="CB59" s="206"/>
      <c r="CC59" s="221"/>
      <c r="CD59" s="206"/>
      <c r="CE59" s="206"/>
      <c r="CF59" s="206"/>
      <c r="CG59" s="206"/>
      <c r="CH59" s="221"/>
      <c r="CI59" s="206"/>
      <c r="CJ59" s="206"/>
      <c r="CK59" s="206"/>
      <c r="CL59" s="206"/>
      <c r="CM59" s="221"/>
    </row>
    <row r="60" spans="1:91" s="14" customFormat="1" ht="12.75" customHeight="1">
      <c r="A60" s="14" t="s">
        <v>16</v>
      </c>
      <c r="B60" s="208">
        <f t="shared" ref="B60:C60" si="241">B11/B$7</f>
        <v>0.25875234962406007</v>
      </c>
      <c r="C60" s="208">
        <f t="shared" si="241"/>
        <v>0.27711847783444488</v>
      </c>
      <c r="D60" s="208">
        <f t="shared" ref="D60:AS60" si="242">D11/D$7</f>
        <v>0.23203377650017967</v>
      </c>
      <c r="E60" s="208">
        <f t="shared" si="242"/>
        <v>0.54554544545545447</v>
      </c>
      <c r="F60" s="222">
        <f t="shared" si="242"/>
        <v>0.37163436459211102</v>
      </c>
      <c r="G60" s="208">
        <f t="shared" si="242"/>
        <v>0.44943685597891209</v>
      </c>
      <c r="H60" s="208">
        <f t="shared" si="242"/>
        <v>0.49024868434630076</v>
      </c>
      <c r="I60" s="208">
        <f t="shared" si="242"/>
        <v>0.54181264982482025</v>
      </c>
      <c r="J60" s="208">
        <f t="shared" si="242"/>
        <v>0.58357922915462535</v>
      </c>
      <c r="K60" s="222">
        <f t="shared" si="242"/>
        <v>0.52892242853517801</v>
      </c>
      <c r="L60" s="208">
        <f t="shared" si="242"/>
        <v>0.63538398581366795</v>
      </c>
      <c r="M60" s="208">
        <f t="shared" si="242"/>
        <v>0.69046780917091244</v>
      </c>
      <c r="N60" s="208">
        <f t="shared" si="242"/>
        <v>0.70010518012095713</v>
      </c>
      <c r="O60" s="208">
        <f t="shared" si="242"/>
        <v>0.6575830325770704</v>
      </c>
      <c r="P60" s="222">
        <f t="shared" si="242"/>
        <v>0.67413644314868804</v>
      </c>
      <c r="Q60" s="208">
        <f t="shared" si="242"/>
        <v>0.70102207080432533</v>
      </c>
      <c r="R60" s="208">
        <f t="shared" si="242"/>
        <v>0.66985754126780728</v>
      </c>
      <c r="S60" s="208">
        <f t="shared" si="242"/>
        <v>0.7219085679035524</v>
      </c>
      <c r="T60" s="208">
        <f t="shared" si="242"/>
        <v>0.65040349353899585</v>
      </c>
      <c r="U60" s="222">
        <f t="shared" si="242"/>
        <v>0.68541833780908878</v>
      </c>
      <c r="V60" s="208">
        <f t="shared" si="242"/>
        <v>0.64660268226021744</v>
      </c>
      <c r="W60" s="208">
        <f t="shared" si="242"/>
        <v>0.68632262407574296</v>
      </c>
      <c r="X60" s="208">
        <f t="shared" si="242"/>
        <v>0.68450817164139732</v>
      </c>
      <c r="Y60" s="208">
        <f t="shared" si="242"/>
        <v>0.70311170311170312</v>
      </c>
      <c r="Z60" s="222">
        <f t="shared" si="242"/>
        <v>0.68235769550893477</v>
      </c>
      <c r="AA60" s="208">
        <f t="shared" si="242"/>
        <v>0.6809852339774608</v>
      </c>
      <c r="AB60" s="208">
        <f t="shared" si="242"/>
        <v>0.67612511910870055</v>
      </c>
      <c r="AC60" s="208">
        <f t="shared" si="242"/>
        <v>0.66922762427174542</v>
      </c>
      <c r="AD60" s="208">
        <f t="shared" si="242"/>
        <v>0.64554617742787113</v>
      </c>
      <c r="AE60" s="222">
        <f t="shared" si="242"/>
        <v>0.66673117734207121</v>
      </c>
      <c r="AF60" s="208">
        <f t="shared" si="242"/>
        <v>0.6035396304986248</v>
      </c>
      <c r="AG60" s="208">
        <f t="shared" si="242"/>
        <v>0.6223477943857092</v>
      </c>
      <c r="AH60" s="208">
        <f t="shared" si="242"/>
        <v>0.6105362511361252</v>
      </c>
      <c r="AI60" s="208">
        <f t="shared" si="242"/>
        <v>0.60958762753621321</v>
      </c>
      <c r="AJ60" s="222">
        <f t="shared" si="242"/>
        <v>0.61155106499180778</v>
      </c>
      <c r="AK60" s="208">
        <f t="shared" si="242"/>
        <v>0.62508383237086851</v>
      </c>
      <c r="AL60" s="208">
        <f t="shared" si="242"/>
        <v>0.60280418653200551</v>
      </c>
      <c r="AM60" s="208">
        <f t="shared" si="242"/>
        <v>0.63222022603354988</v>
      </c>
      <c r="AN60" s="208">
        <f t="shared" si="242"/>
        <v>0.62614585707631776</v>
      </c>
      <c r="AO60" s="222">
        <f t="shared" si="242"/>
        <v>0.62187963454106543</v>
      </c>
      <c r="AP60" s="208">
        <f t="shared" si="242"/>
        <v>0.64523199866320013</v>
      </c>
      <c r="AQ60" s="208">
        <f t="shared" si="242"/>
        <v>0.66264520354348355</v>
      </c>
      <c r="AR60" s="208">
        <f t="shared" si="242"/>
        <v>0.65734023137603881</v>
      </c>
      <c r="AS60" s="208">
        <f t="shared" si="242"/>
        <v>0.65924782945681315</v>
      </c>
      <c r="AT60" s="222">
        <f t="shared" ref="AT60" si="243">AT11/AT$7</f>
        <v>0.65663157916174919</v>
      </c>
      <c r="AU60" s="367">
        <f>AP60-0.008</f>
        <v>0.63723199866320013</v>
      </c>
      <c r="AV60" s="210">
        <f>AQ60-0.015</f>
        <v>0.64764520354348354</v>
      </c>
      <c r="AW60" s="210">
        <f>AR60-0.008</f>
        <v>0.6493402313760388</v>
      </c>
      <c r="AX60" s="210">
        <f>AS60-0.008</f>
        <v>0.65124782945681314</v>
      </c>
      <c r="AY60" s="222">
        <f t="shared" ref="AY60" si="244">AY11/AY$7</f>
        <v>0.64684550281518083</v>
      </c>
      <c r="AZ60" s="210">
        <f>AU60+0.005</f>
        <v>0.64223199866320013</v>
      </c>
      <c r="BA60" s="210">
        <f t="shared" ref="BA60" si="245">AV60+0.005</f>
        <v>0.65264520354348354</v>
      </c>
      <c r="BB60" s="210">
        <f t="shared" ref="BB60" si="246">AW60+0.005</f>
        <v>0.65434023137603881</v>
      </c>
      <c r="BC60" s="210">
        <f t="shared" ref="BC60" si="247">AX60+0.005</f>
        <v>0.65624782945681315</v>
      </c>
      <c r="BD60" s="222">
        <f t="shared" ref="BD60" si="248">BD11/BD$7</f>
        <v>0.65171120433386653</v>
      </c>
      <c r="BE60" s="210">
        <f>AZ60+0.005</f>
        <v>0.64723199866320014</v>
      </c>
      <c r="BF60" s="210">
        <f t="shared" ref="BF60" si="249">BA60+0.005</f>
        <v>0.65764520354348355</v>
      </c>
      <c r="BG60" s="210">
        <f t="shared" ref="BG60" si="250">BB60+0.005</f>
        <v>0.65934023137603881</v>
      </c>
      <c r="BH60" s="210">
        <f t="shared" ref="BH60" si="251">BC60+0.005</f>
        <v>0.66124782945681315</v>
      </c>
      <c r="BI60" s="222">
        <f t="shared" ref="BI60" si="252">BI11/BI$7</f>
        <v>0.65666975133396988</v>
      </c>
      <c r="BJ60" s="210">
        <f>+BE60+0.005</f>
        <v>0.65223199866320014</v>
      </c>
      <c r="BK60" s="210">
        <f t="shared" ref="BK60:BM60" si="253">+BF60+0.005</f>
        <v>0.66264520354348355</v>
      </c>
      <c r="BL60" s="210">
        <f t="shared" si="253"/>
        <v>0.66434023137603881</v>
      </c>
      <c r="BM60" s="210">
        <f t="shared" si="253"/>
        <v>0.66624782945681316</v>
      </c>
      <c r="BN60" s="222">
        <f t="shared" ref="BN60" si="254">BN11/BN$7</f>
        <v>0.66159350201430256</v>
      </c>
      <c r="BO60" s="210">
        <f>+BJ60+0.005</f>
        <v>0.65723199866320015</v>
      </c>
      <c r="BP60" s="210">
        <f t="shared" ref="BP60" si="255">+BK60+0.005</f>
        <v>0.66764520354348356</v>
      </c>
      <c r="BQ60" s="210">
        <f t="shared" ref="BQ60" si="256">+BL60+0.005</f>
        <v>0.66934023137603882</v>
      </c>
      <c r="BR60" s="210">
        <f t="shared" ref="BR60" si="257">+BM60+0.005</f>
        <v>0.67124782945681316</v>
      </c>
      <c r="BS60" s="222">
        <f t="shared" ref="BS60" si="258">BS11/BS$7</f>
        <v>0.6665751061066042</v>
      </c>
      <c r="BT60" s="210">
        <f>+BO60+0.005</f>
        <v>0.66223199866320015</v>
      </c>
      <c r="BU60" s="210">
        <f t="shared" ref="BU60" si="259">+BP60+0.005</f>
        <v>0.67264520354348356</v>
      </c>
      <c r="BV60" s="210">
        <f t="shared" ref="BV60" si="260">+BQ60+0.005</f>
        <v>0.67434023137603882</v>
      </c>
      <c r="BW60" s="210">
        <f t="shared" ref="BW60" si="261">+BR60+0.005</f>
        <v>0.67624782945681317</v>
      </c>
      <c r="BX60" s="222">
        <f t="shared" ref="BX60" si="262">BX11/BX$7</f>
        <v>0.67152536426837239</v>
      </c>
      <c r="BY60" s="210">
        <f>+BT60+0.005</f>
        <v>0.66723199866320015</v>
      </c>
      <c r="BZ60" s="210">
        <f t="shared" ref="BZ60" si="263">+BU60+0.005</f>
        <v>0.67764520354348357</v>
      </c>
      <c r="CA60" s="210">
        <f t="shared" ref="CA60" si="264">+BV60+0.005</f>
        <v>0.67934023137603883</v>
      </c>
      <c r="CB60" s="210">
        <f t="shared" ref="CB60" si="265">+BW60+0.005</f>
        <v>0.68124782945681317</v>
      </c>
      <c r="CC60" s="222">
        <f t="shared" ref="CC60" si="266">CC11/CC$7</f>
        <v>0.67650691552126341</v>
      </c>
      <c r="CD60" s="210">
        <f>+BY60+0.005</f>
        <v>0.67223199866320016</v>
      </c>
      <c r="CE60" s="210">
        <f t="shared" ref="CE60" si="267">+BZ60+0.005</f>
        <v>0.68264520354348357</v>
      </c>
      <c r="CF60" s="210">
        <f t="shared" ref="CF60" si="268">+CA60+0.005</f>
        <v>0.68434023137603883</v>
      </c>
      <c r="CG60" s="210">
        <f t="shared" ref="CG60" si="269">+CB60+0.005</f>
        <v>0.68624782945681317</v>
      </c>
      <c r="CH60" s="222">
        <f t="shared" ref="CH60" si="270">CH11/CH$7</f>
        <v>0.68148893718318715</v>
      </c>
      <c r="CI60" s="210">
        <f>+CD60+0.005</f>
        <v>0.67723199866320016</v>
      </c>
      <c r="CJ60" s="210">
        <f t="shared" ref="CJ60" si="271">+CE60+0.005</f>
        <v>0.68764520354348357</v>
      </c>
      <c r="CK60" s="210">
        <f t="shared" ref="CK60" si="272">+CF60+0.005</f>
        <v>0.68934023137603884</v>
      </c>
      <c r="CL60" s="210">
        <f t="shared" ref="CL60" si="273">+CG60+0.005</f>
        <v>0.69124782945681318</v>
      </c>
      <c r="CM60" s="222">
        <f t="shared" ref="CM60" si="274">CM11/CM$7</f>
        <v>0.68646211825074788</v>
      </c>
    </row>
    <row r="61" spans="1:91" s="13" customFormat="1" ht="12.75" customHeight="1">
      <c r="A61" s="350" t="s">
        <v>395</v>
      </c>
      <c r="B61" s="199" t="s">
        <v>294</v>
      </c>
      <c r="C61" s="199" t="s">
        <v>294</v>
      </c>
      <c r="D61" s="199" t="s">
        <v>294</v>
      </c>
      <c r="E61" s="199" t="s">
        <v>294</v>
      </c>
      <c r="F61" s="223" t="s">
        <v>294</v>
      </c>
      <c r="G61" s="200">
        <f>+(G60-B60)*10000</f>
        <v>1906.8450635485201</v>
      </c>
      <c r="H61" s="200">
        <f>+(H60-C60)*10000</f>
        <v>2131.3020651185589</v>
      </c>
      <c r="I61" s="200">
        <f>+(I60-D60)*10000</f>
        <v>3097.7887332464061</v>
      </c>
      <c r="J61" s="200">
        <f t="shared" ref="J61:BU61" si="275">+(J60-E60)*10000</f>
        <v>380.33783699170874</v>
      </c>
      <c r="K61" s="226">
        <f t="shared" si="275"/>
        <v>1572.8806394306698</v>
      </c>
      <c r="L61" s="200">
        <f t="shared" si="275"/>
        <v>1859.4712983475586</v>
      </c>
      <c r="M61" s="200">
        <f t="shared" si="275"/>
        <v>2002.1912482461169</v>
      </c>
      <c r="N61" s="200">
        <f t="shared" si="275"/>
        <v>1582.9253029613687</v>
      </c>
      <c r="O61" s="200">
        <f t="shared" si="275"/>
        <v>740.0380342244506</v>
      </c>
      <c r="P61" s="226">
        <f t="shared" si="275"/>
        <v>1452.1401461351002</v>
      </c>
      <c r="Q61" s="200">
        <f t="shared" si="275"/>
        <v>656.38084990657376</v>
      </c>
      <c r="R61" s="200">
        <f t="shared" si="275"/>
        <v>-206.10267903105162</v>
      </c>
      <c r="S61" s="200">
        <f t="shared" si="275"/>
        <v>218.03387782595274</v>
      </c>
      <c r="T61" s="200">
        <f t="shared" si="275"/>
        <v>-71.795390380745559</v>
      </c>
      <c r="U61" s="226">
        <f t="shared" si="275"/>
        <v>112.81894660400749</v>
      </c>
      <c r="V61" s="200">
        <f t="shared" si="275"/>
        <v>-544.19388544107881</v>
      </c>
      <c r="W61" s="200">
        <f t="shared" si="275"/>
        <v>164.65082807935681</v>
      </c>
      <c r="X61" s="200">
        <f t="shared" si="275"/>
        <v>-374.00396262155078</v>
      </c>
      <c r="Y61" s="200">
        <f t="shared" si="275"/>
        <v>527.08209572707278</v>
      </c>
      <c r="Z61" s="226">
        <f t="shared" si="275"/>
        <v>-30.606423001540151</v>
      </c>
      <c r="AA61" s="200">
        <f t="shared" si="275"/>
        <v>343.82551717243359</v>
      </c>
      <c r="AB61" s="200">
        <f t="shared" si="275"/>
        <v>-101.97504967042414</v>
      </c>
      <c r="AC61" s="200">
        <f t="shared" si="275"/>
        <v>-152.80547369651899</v>
      </c>
      <c r="AD61" s="200">
        <f t="shared" si="275"/>
        <v>-575.65525683831993</v>
      </c>
      <c r="AE61" s="226">
        <f t="shared" si="275"/>
        <v>-156.26518166863556</v>
      </c>
      <c r="AF61" s="200">
        <f t="shared" si="275"/>
        <v>-774.45603478836006</v>
      </c>
      <c r="AG61" s="200">
        <f t="shared" si="275"/>
        <v>-537.77324722991352</v>
      </c>
      <c r="AH61" s="200">
        <f t="shared" si="275"/>
        <v>-586.91373135620233</v>
      </c>
      <c r="AI61" s="200">
        <f t="shared" si="275"/>
        <v>-359.58549891657918</v>
      </c>
      <c r="AJ61" s="226">
        <f t="shared" si="275"/>
        <v>-551.80112350263437</v>
      </c>
      <c r="AK61" s="200">
        <f t="shared" si="275"/>
        <v>215.44201872243707</v>
      </c>
      <c r="AL61" s="200">
        <f t="shared" si="275"/>
        <v>-195.43607853703682</v>
      </c>
      <c r="AM61" s="200">
        <f t="shared" si="275"/>
        <v>216.83974897424685</v>
      </c>
      <c r="AN61" s="200">
        <f t="shared" si="275"/>
        <v>165.58229540104551</v>
      </c>
      <c r="AO61" s="226">
        <f t="shared" si="275"/>
        <v>103.28569549257649</v>
      </c>
      <c r="AP61" s="200">
        <f t="shared" si="275"/>
        <v>201.48166292331626</v>
      </c>
      <c r="AQ61" s="200">
        <f t="shared" si="275"/>
        <v>598.41017011478039</v>
      </c>
      <c r="AR61" s="200">
        <f t="shared" si="275"/>
        <v>251.20005342488926</v>
      </c>
      <c r="AS61" s="200">
        <f t="shared" si="275"/>
        <v>331.01972380495391</v>
      </c>
      <c r="AT61" s="226">
        <f t="shared" si="275"/>
        <v>347.51944620683759</v>
      </c>
      <c r="AU61" s="368">
        <f t="shared" si="275"/>
        <v>-80.000000000000071</v>
      </c>
      <c r="AV61" s="200">
        <f t="shared" si="275"/>
        <v>-150.00000000000014</v>
      </c>
      <c r="AW61" s="200">
        <f t="shared" si="275"/>
        <v>-80.000000000000071</v>
      </c>
      <c r="AX61" s="200">
        <f t="shared" si="275"/>
        <v>-80.000000000000071</v>
      </c>
      <c r="AY61" s="226">
        <f t="shared" si="275"/>
        <v>-97.860763465683618</v>
      </c>
      <c r="AZ61" s="200">
        <f t="shared" si="275"/>
        <v>50.000000000000043</v>
      </c>
      <c r="BA61" s="200">
        <f t="shared" si="275"/>
        <v>50.000000000000043</v>
      </c>
      <c r="BB61" s="200">
        <f t="shared" si="275"/>
        <v>50.000000000000043</v>
      </c>
      <c r="BC61" s="200">
        <f t="shared" si="275"/>
        <v>50.000000000000043</v>
      </c>
      <c r="BD61" s="226">
        <f t="shared" si="275"/>
        <v>48.657015186857052</v>
      </c>
      <c r="BE61" s="200">
        <f t="shared" si="275"/>
        <v>50.000000000000043</v>
      </c>
      <c r="BF61" s="200">
        <f t="shared" si="275"/>
        <v>50.000000000000043</v>
      </c>
      <c r="BG61" s="200">
        <f t="shared" si="275"/>
        <v>50.000000000000043</v>
      </c>
      <c r="BH61" s="200">
        <f t="shared" si="275"/>
        <v>50.000000000000043</v>
      </c>
      <c r="BI61" s="226">
        <f t="shared" si="275"/>
        <v>49.585470001033414</v>
      </c>
      <c r="BJ61" s="200">
        <f t="shared" si="275"/>
        <v>50.000000000000043</v>
      </c>
      <c r="BK61" s="200">
        <f t="shared" si="275"/>
        <v>50.000000000000043</v>
      </c>
      <c r="BL61" s="200">
        <f t="shared" si="275"/>
        <v>50.000000000000043</v>
      </c>
      <c r="BM61" s="200">
        <f t="shared" si="275"/>
        <v>50.000000000000043</v>
      </c>
      <c r="BN61" s="226">
        <f t="shared" si="275"/>
        <v>49.237506803326838</v>
      </c>
      <c r="BO61" s="200">
        <f t="shared" si="275"/>
        <v>50.000000000000043</v>
      </c>
      <c r="BP61" s="200">
        <f t="shared" si="275"/>
        <v>50.000000000000043</v>
      </c>
      <c r="BQ61" s="200">
        <f t="shared" si="275"/>
        <v>50.000000000000043</v>
      </c>
      <c r="BR61" s="200">
        <f t="shared" si="275"/>
        <v>50.000000000000043</v>
      </c>
      <c r="BS61" s="226">
        <f t="shared" si="275"/>
        <v>49.816040923016388</v>
      </c>
      <c r="BT61" s="200">
        <f t="shared" si="275"/>
        <v>50.000000000000043</v>
      </c>
      <c r="BU61" s="200">
        <f t="shared" si="275"/>
        <v>50.000000000000043</v>
      </c>
      <c r="BV61" s="200">
        <f t="shared" ref="BV61:CM61" si="276">+(BV60-BQ60)*10000</f>
        <v>50.000000000000043</v>
      </c>
      <c r="BW61" s="200">
        <f t="shared" si="276"/>
        <v>50.000000000000043</v>
      </c>
      <c r="BX61" s="226">
        <f t="shared" si="276"/>
        <v>49.502581617681955</v>
      </c>
      <c r="BY61" s="200">
        <f t="shared" si="276"/>
        <v>50.000000000000043</v>
      </c>
      <c r="BZ61" s="200">
        <f t="shared" si="276"/>
        <v>50.000000000000043</v>
      </c>
      <c r="CA61" s="200">
        <f t="shared" si="276"/>
        <v>50.000000000000043</v>
      </c>
      <c r="CB61" s="200">
        <f t="shared" si="276"/>
        <v>50.000000000000043</v>
      </c>
      <c r="CC61" s="226">
        <f t="shared" si="276"/>
        <v>49.815512528910148</v>
      </c>
      <c r="CD61" s="200">
        <f t="shared" si="276"/>
        <v>50.000000000000043</v>
      </c>
      <c r="CE61" s="200">
        <f t="shared" si="276"/>
        <v>50.000000000000043</v>
      </c>
      <c r="CF61" s="200">
        <f t="shared" si="276"/>
        <v>50.000000000000043</v>
      </c>
      <c r="CG61" s="200">
        <f t="shared" si="276"/>
        <v>50.000000000000043</v>
      </c>
      <c r="CH61" s="226">
        <f t="shared" si="276"/>
        <v>49.820216619237414</v>
      </c>
      <c r="CI61" s="200">
        <f t="shared" si="276"/>
        <v>50.000000000000043</v>
      </c>
      <c r="CJ61" s="200">
        <f t="shared" si="276"/>
        <v>50.000000000000043</v>
      </c>
      <c r="CK61" s="200">
        <f t="shared" si="276"/>
        <v>50.000000000000043</v>
      </c>
      <c r="CL61" s="200">
        <f t="shared" si="276"/>
        <v>50.000000000000043</v>
      </c>
      <c r="CM61" s="226">
        <f t="shared" si="276"/>
        <v>49.731810675607278</v>
      </c>
    </row>
    <row r="62" spans="1:91" s="13" customFormat="1" ht="12.75" customHeight="1">
      <c r="A62" s="64" t="str">
        <f>+A13</f>
        <v>R&amp;D expense</v>
      </c>
      <c r="B62" s="52">
        <f t="shared" ref="B62:C62" si="277">B13/B$7</f>
        <v>0.53536184210526316</v>
      </c>
      <c r="C62" s="52">
        <f t="shared" si="277"/>
        <v>0.52461749705766969</v>
      </c>
      <c r="D62" s="52">
        <f>D13/D$7</f>
        <v>0.59549047790154519</v>
      </c>
      <c r="E62" s="52">
        <f t="shared" ref="E62:BP62" si="278">E13/E$7</f>
        <v>0.39596040395960402</v>
      </c>
      <c r="F62" s="220">
        <f t="shared" si="278"/>
        <v>0.49065045543918784</v>
      </c>
      <c r="G62" s="52">
        <f t="shared" si="278"/>
        <v>0.48232686316798468</v>
      </c>
      <c r="H62" s="52">
        <f t="shared" si="278"/>
        <v>0.58507893922195842</v>
      </c>
      <c r="I62" s="52">
        <f t="shared" si="278"/>
        <v>0.62861884565738513</v>
      </c>
      <c r="J62" s="52">
        <f t="shared" si="278"/>
        <v>0.48681288595503913</v>
      </c>
      <c r="K62" s="220">
        <f t="shared" si="278"/>
        <v>0.54093712419598627</v>
      </c>
      <c r="L62" s="52">
        <f t="shared" si="278"/>
        <v>0.41211294502796336</v>
      </c>
      <c r="M62" s="52">
        <f t="shared" si="278"/>
        <v>0.33541454377026397</v>
      </c>
      <c r="N62" s="52">
        <f t="shared" si="278"/>
        <v>0.36982316592164083</v>
      </c>
      <c r="O62" s="52">
        <f t="shared" si="278"/>
        <v>0.39226036217943622</v>
      </c>
      <c r="P62" s="220">
        <f t="shared" si="278"/>
        <v>0.37497376093294454</v>
      </c>
      <c r="Q62" s="52">
        <f t="shared" si="278"/>
        <v>0.3857798844615612</v>
      </c>
      <c r="R62" s="52">
        <f t="shared" si="278"/>
        <v>0.5083138614607674</v>
      </c>
      <c r="S62" s="52">
        <f t="shared" si="278"/>
        <v>0.45288256514101033</v>
      </c>
      <c r="T62" s="52">
        <f t="shared" si="278"/>
        <v>0.47967209765565139</v>
      </c>
      <c r="U62" s="220">
        <f t="shared" si="278"/>
        <v>0.4572245666655041</v>
      </c>
      <c r="V62" s="52">
        <f t="shared" si="278"/>
        <v>0.64980613996059244</v>
      </c>
      <c r="W62" s="52">
        <f t="shared" si="278"/>
        <v>0.6413068262016699</v>
      </c>
      <c r="X62" s="52">
        <f t="shared" si="278"/>
        <v>0.69998628388145068</v>
      </c>
      <c r="Y62" s="52">
        <f t="shared" si="278"/>
        <v>0.62275687275687275</v>
      </c>
      <c r="Z62" s="220">
        <f t="shared" si="278"/>
        <v>0.65261352110112858</v>
      </c>
      <c r="AA62" s="52">
        <f t="shared" si="278"/>
        <v>0.77240137774586626</v>
      </c>
      <c r="AB62" s="52">
        <f t="shared" si="278"/>
        <v>0.72461152239243554</v>
      </c>
      <c r="AC62" s="52">
        <f t="shared" si="278"/>
        <v>0.78707710129126773</v>
      </c>
      <c r="AD62" s="52">
        <f t="shared" si="278"/>
        <v>0.75600318383494503</v>
      </c>
      <c r="AE62" s="220">
        <f t="shared" si="278"/>
        <v>0.76000249144677412</v>
      </c>
      <c r="AF62" s="52">
        <f t="shared" si="278"/>
        <v>0.65113352082912501</v>
      </c>
      <c r="AG62" s="52">
        <f t="shared" si="278"/>
        <v>0.59285453882610273</v>
      </c>
      <c r="AH62" s="52">
        <f t="shared" si="278"/>
        <v>0.59224638187792766</v>
      </c>
      <c r="AI62" s="52">
        <f t="shared" si="278"/>
        <v>0.51592993408747911</v>
      </c>
      <c r="AJ62" s="220">
        <f t="shared" si="278"/>
        <v>0.58485179484633343</v>
      </c>
      <c r="AK62" s="52">
        <f t="shared" si="278"/>
        <v>0.43541198046186441</v>
      </c>
      <c r="AL62" s="52">
        <f t="shared" si="278"/>
        <v>0.41183174880807966</v>
      </c>
      <c r="AM62" s="52">
        <f t="shared" si="278"/>
        <v>0.35704735841567614</v>
      </c>
      <c r="AN62" s="52">
        <f t="shared" si="278"/>
        <v>0.40208310622652543</v>
      </c>
      <c r="AO62" s="220">
        <f t="shared" si="278"/>
        <v>0.40035127791549846</v>
      </c>
      <c r="AP62" s="52">
        <f t="shared" si="278"/>
        <v>0.36809668208245888</v>
      </c>
      <c r="AQ62" s="52">
        <f t="shared" si="278"/>
        <v>0.31258401985453793</v>
      </c>
      <c r="AR62" s="52">
        <f t="shared" si="278"/>
        <v>0.28578862426280938</v>
      </c>
      <c r="AS62" s="52">
        <f t="shared" ref="AS62" si="279">AS13/AS$7</f>
        <v>0.30556128362475377</v>
      </c>
      <c r="AT62" s="220">
        <f t="shared" si="278"/>
        <v>0.31483848105081258</v>
      </c>
      <c r="AU62" s="365">
        <f t="shared" si="278"/>
        <v>0.27979459020418862</v>
      </c>
      <c r="AV62" s="52">
        <f t="shared" si="278"/>
        <v>0.24500116346164849</v>
      </c>
      <c r="AW62" s="52">
        <f t="shared" si="278"/>
        <v>0.23272566022174113</v>
      </c>
      <c r="AX62" s="52">
        <f t="shared" si="278"/>
        <v>0.24823751505510608</v>
      </c>
      <c r="AY62" s="220">
        <f t="shared" si="278"/>
        <v>0.25021007166941522</v>
      </c>
      <c r="AZ62" s="52">
        <f t="shared" si="278"/>
        <v>0.20002955396804742</v>
      </c>
      <c r="BA62" s="52">
        <f t="shared" si="278"/>
        <v>0.17856609891947042</v>
      </c>
      <c r="BB62" s="52">
        <f t="shared" si="278"/>
        <v>0.17788356548646825</v>
      </c>
      <c r="BC62" s="52">
        <f t="shared" si="278"/>
        <v>0.19022104765833309</v>
      </c>
      <c r="BD62" s="220">
        <f t="shared" si="278"/>
        <v>0.18641110846801556</v>
      </c>
      <c r="BE62" s="52">
        <f t="shared" si="278"/>
        <v>0.1570368033061712</v>
      </c>
      <c r="BF62" s="52">
        <f t="shared" si="278"/>
        <v>0.14192253120227624</v>
      </c>
      <c r="BG62" s="52">
        <f t="shared" si="278"/>
        <v>0.14150905111661002</v>
      </c>
      <c r="BH62" s="52">
        <f t="shared" si="278"/>
        <v>0.15295724466070468</v>
      </c>
      <c r="BI62" s="220">
        <f t="shared" si="278"/>
        <v>0.14824564202018312</v>
      </c>
      <c r="BJ62" s="52">
        <f t="shared" si="278"/>
        <v>0.13256683115421014</v>
      </c>
      <c r="BK62" s="52">
        <f t="shared" si="278"/>
        <v>0.12273185207453431</v>
      </c>
      <c r="BL62" s="52">
        <f t="shared" si="278"/>
        <v>0.12264333639011876</v>
      </c>
      <c r="BM62" s="52">
        <f t="shared" si="278"/>
        <v>0.13468590931903218</v>
      </c>
      <c r="BN62" s="220">
        <f t="shared" si="278"/>
        <v>0.12817502989991836</v>
      </c>
      <c r="BO62" s="52">
        <f t="shared" si="278"/>
        <v>0.11698825975702005</v>
      </c>
      <c r="BP62" s="52">
        <f t="shared" si="278"/>
        <v>0.10763672295862919</v>
      </c>
      <c r="BQ62" s="52">
        <f t="shared" ref="BQ62:CM62" si="280">BQ13/BQ$7</f>
        <v>0.10908702039855589</v>
      </c>
      <c r="BR62" s="52">
        <f t="shared" si="280"/>
        <v>0.12026659177300596</v>
      </c>
      <c r="BS62" s="220">
        <f t="shared" si="280"/>
        <v>0.11351868018420105</v>
      </c>
      <c r="BT62" s="52">
        <f t="shared" si="280"/>
        <v>0.10683857290032005</v>
      </c>
      <c r="BU62" s="52">
        <f t="shared" si="280"/>
        <v>9.9584645572500338E-2</v>
      </c>
      <c r="BV62" s="52">
        <f t="shared" si="280"/>
        <v>0.10161128726832137</v>
      </c>
      <c r="BW62" s="52">
        <f t="shared" si="280"/>
        <v>0.11275451390345127</v>
      </c>
      <c r="BX62" s="220">
        <f t="shared" si="280"/>
        <v>0.10524744955392264</v>
      </c>
      <c r="BY62" s="52">
        <f t="shared" si="280"/>
        <v>0.10169835088604615</v>
      </c>
      <c r="BZ62" s="52">
        <f t="shared" si="280"/>
        <v>9.5520691518878695E-2</v>
      </c>
      <c r="CA62" s="52">
        <f t="shared" si="280"/>
        <v>9.7317516598506168E-2</v>
      </c>
      <c r="CB62" s="52">
        <f t="shared" si="280"/>
        <v>0.10837823061920387</v>
      </c>
      <c r="CC62" s="220">
        <f t="shared" si="280"/>
        <v>0.10078351716372776</v>
      </c>
      <c r="CD62" s="52">
        <f t="shared" si="280"/>
        <v>9.7762616132576058E-2</v>
      </c>
      <c r="CE62" s="52">
        <f t="shared" si="280"/>
        <v>9.1609992963460271E-2</v>
      </c>
      <c r="CF62" s="52">
        <f t="shared" si="280"/>
        <v>9.4237893125219241E-2</v>
      </c>
      <c r="CG62" s="52">
        <f t="shared" si="280"/>
        <v>0.105329064408552</v>
      </c>
      <c r="CH62" s="220">
        <f t="shared" si="280"/>
        <v>9.7280219528089504E-2</v>
      </c>
      <c r="CI62" s="52">
        <f t="shared" si="280"/>
        <v>9.5795260380394612E-2</v>
      </c>
      <c r="CJ62" s="52">
        <f t="shared" si="280"/>
        <v>9.0371435472280326E-2</v>
      </c>
      <c r="CK62" s="52">
        <f t="shared" si="280"/>
        <v>9.3330583545552556E-2</v>
      </c>
      <c r="CL62" s="52">
        <f t="shared" si="280"/>
        <v>0.10466848380453769</v>
      </c>
      <c r="CM62" s="220">
        <f t="shared" si="280"/>
        <v>9.608438678690337E-2</v>
      </c>
    </row>
    <row r="63" spans="1:91" s="13" customFormat="1" ht="12.75" customHeight="1">
      <c r="A63" s="64" t="str">
        <f>+A14</f>
        <v>S&amp;M expense</v>
      </c>
      <c r="B63" s="52">
        <f t="shared" ref="B63:BM63" si="281">B14/B$7</f>
        <v>0.81461466165413521</v>
      </c>
      <c r="C63" s="52">
        <f t="shared" si="281"/>
        <v>0.75117693213024728</v>
      </c>
      <c r="D63" s="52">
        <f t="shared" si="281"/>
        <v>0.66295364714337046</v>
      </c>
      <c r="E63" s="52">
        <f t="shared" si="281"/>
        <v>0.47445255474452552</v>
      </c>
      <c r="F63" s="220">
        <f t="shared" si="281"/>
        <v>0.63125476505758193</v>
      </c>
      <c r="G63" s="52">
        <f t="shared" si="281"/>
        <v>0.65528396836808045</v>
      </c>
      <c r="H63" s="52">
        <f t="shared" si="281"/>
        <v>0.58384067691672681</v>
      </c>
      <c r="I63" s="52">
        <f t="shared" si="281"/>
        <v>0.6009588788493454</v>
      </c>
      <c r="J63" s="52">
        <f t="shared" si="281"/>
        <v>0.50034983116843612</v>
      </c>
      <c r="K63" s="220">
        <f t="shared" si="281"/>
        <v>0.57081388806143052</v>
      </c>
      <c r="L63" s="52">
        <f t="shared" si="281"/>
        <v>0.46326558450416033</v>
      </c>
      <c r="M63" s="52">
        <f t="shared" si="281"/>
        <v>0.34817971283001387</v>
      </c>
      <c r="N63" s="52">
        <f t="shared" si="281"/>
        <v>0.28503812779384696</v>
      </c>
      <c r="O63" s="52">
        <f t="shared" si="281"/>
        <v>0.32594559358951936</v>
      </c>
      <c r="P63" s="220">
        <f t="shared" si="281"/>
        <v>0.34341224489795918</v>
      </c>
      <c r="Q63" s="52">
        <f t="shared" si="281"/>
        <v>0.34343060287364829</v>
      </c>
      <c r="R63" s="52">
        <f t="shared" si="281"/>
        <v>0.34597120675359916</v>
      </c>
      <c r="S63" s="52">
        <f t="shared" si="281"/>
        <v>0.30463061057544016</v>
      </c>
      <c r="T63" s="52">
        <f t="shared" si="281"/>
        <v>0.36079472904642729</v>
      </c>
      <c r="U63" s="220">
        <f t="shared" si="281"/>
        <v>0.33867052627907784</v>
      </c>
      <c r="V63" s="52">
        <f t="shared" si="281"/>
        <v>0.39921184770863788</v>
      </c>
      <c r="W63" s="52">
        <f t="shared" si="281"/>
        <v>0.48015765301136792</v>
      </c>
      <c r="X63" s="52">
        <f t="shared" si="281"/>
        <v>0.48640521634539297</v>
      </c>
      <c r="Y63" s="52">
        <f t="shared" si="281"/>
        <v>0.50311725311725308</v>
      </c>
      <c r="Z63" s="220">
        <f t="shared" si="281"/>
        <v>0.47134373335688456</v>
      </c>
      <c r="AA63" s="52">
        <f t="shared" si="281"/>
        <v>0.61251417808718089</v>
      </c>
      <c r="AB63" s="52">
        <f t="shared" si="281"/>
        <v>0.617670233819541</v>
      </c>
      <c r="AC63" s="52">
        <f t="shared" si="281"/>
        <v>0.62740622125310908</v>
      </c>
      <c r="AD63" s="52">
        <f t="shared" si="281"/>
        <v>0.58336682664649187</v>
      </c>
      <c r="AE63" s="220">
        <f t="shared" si="281"/>
        <v>0.60942790153446424</v>
      </c>
      <c r="AF63" s="52">
        <f t="shared" si="281"/>
        <v>0.53280917382724491</v>
      </c>
      <c r="AG63" s="52">
        <f t="shared" si="281"/>
        <v>0.47441487422530076</v>
      </c>
      <c r="AH63" s="52">
        <f t="shared" si="281"/>
        <v>0.44603929245612806</v>
      </c>
      <c r="AI63" s="52">
        <f t="shared" si="281"/>
        <v>0.46879796715982813</v>
      </c>
      <c r="AJ63" s="220">
        <f t="shared" si="281"/>
        <v>0.4790016100775249</v>
      </c>
      <c r="AK63" s="52">
        <f t="shared" si="281"/>
        <v>0.43382732608863378</v>
      </c>
      <c r="AL63" s="52">
        <f t="shared" si="281"/>
        <v>0.42096087115975966</v>
      </c>
      <c r="AM63" s="52">
        <f t="shared" si="281"/>
        <v>0.44179427186697023</v>
      </c>
      <c r="AN63" s="52">
        <f t="shared" si="281"/>
        <v>0.47452604873794685</v>
      </c>
      <c r="AO63" s="220">
        <f t="shared" si="281"/>
        <v>0.44392002338244374</v>
      </c>
      <c r="AP63" s="52">
        <f t="shared" si="281"/>
        <v>0.46260646480333811</v>
      </c>
      <c r="AQ63" s="52">
        <f t="shared" si="281"/>
        <v>0.46461686946330699</v>
      </c>
      <c r="AR63" s="52">
        <f t="shared" si="281"/>
        <v>0.43712574850299402</v>
      </c>
      <c r="AS63" s="52">
        <f t="shared" ref="AS63" si="282">AS14/AS$7</f>
        <v>0.46410159777577092</v>
      </c>
      <c r="AT63" s="220">
        <f t="shared" si="281"/>
        <v>0.4566287278988943</v>
      </c>
      <c r="AU63" s="365">
        <f t="shared" si="281"/>
        <v>0.4161431206236329</v>
      </c>
      <c r="AV63" s="52">
        <f t="shared" si="281"/>
        <v>0.43097289854081772</v>
      </c>
      <c r="AW63" s="52">
        <f t="shared" si="281"/>
        <v>0.42126883703636869</v>
      </c>
      <c r="AX63" s="52">
        <f t="shared" si="281"/>
        <v>0.44620636859804519</v>
      </c>
      <c r="AY63" s="220">
        <f t="shared" si="281"/>
        <v>0.42947097804706885</v>
      </c>
      <c r="AZ63" s="52">
        <f t="shared" si="281"/>
        <v>0.34000830086291534</v>
      </c>
      <c r="BA63" s="52">
        <f t="shared" si="281"/>
        <v>0.35898208176467161</v>
      </c>
      <c r="BB63" s="52">
        <f t="shared" si="281"/>
        <v>0.36799577758620483</v>
      </c>
      <c r="BC63" s="52">
        <f t="shared" si="281"/>
        <v>0.390767886209756</v>
      </c>
      <c r="BD63" s="220">
        <f t="shared" si="281"/>
        <v>0.36567289484138316</v>
      </c>
      <c r="BE63" s="52">
        <f t="shared" si="281"/>
        <v>0.29235150957288197</v>
      </c>
      <c r="BF63" s="52">
        <f t="shared" si="281"/>
        <v>0.31248822016788075</v>
      </c>
      <c r="BG63" s="52">
        <f t="shared" si="281"/>
        <v>0.32062676253874733</v>
      </c>
      <c r="BH63" s="52">
        <f t="shared" si="281"/>
        <v>0.34414295968858311</v>
      </c>
      <c r="BI63" s="220">
        <f t="shared" si="281"/>
        <v>0.318501482005971</v>
      </c>
      <c r="BJ63" s="52">
        <f t="shared" si="281"/>
        <v>0.26583494845086197</v>
      </c>
      <c r="BK63" s="52">
        <f t="shared" si="281"/>
        <v>0.29108035506200414</v>
      </c>
      <c r="BL63" s="52">
        <f t="shared" si="281"/>
        <v>0.29931798536565651</v>
      </c>
      <c r="BM63" s="52">
        <f t="shared" si="281"/>
        <v>0.32641063944204246</v>
      </c>
      <c r="BN63" s="220">
        <f t="shared" ref="BN63:CM63" si="283">BN14/BN$7</f>
        <v>0.2966239784080717</v>
      </c>
      <c r="BO63" s="52">
        <f t="shared" si="283"/>
        <v>0.25045851124622603</v>
      </c>
      <c r="BP63" s="52">
        <f t="shared" si="283"/>
        <v>0.27254134108712991</v>
      </c>
      <c r="BQ63" s="52">
        <f t="shared" si="283"/>
        <v>0.28423545496738656</v>
      </c>
      <c r="BR63" s="52">
        <f t="shared" si="283"/>
        <v>0.31117411335297257</v>
      </c>
      <c r="BS63" s="220">
        <f t="shared" si="283"/>
        <v>0.28047003893012967</v>
      </c>
      <c r="BT63" s="52">
        <f t="shared" si="283"/>
        <v>0.24201726692018055</v>
      </c>
      <c r="BU63" s="52">
        <f t="shared" si="283"/>
        <v>0.2668019893494033</v>
      </c>
      <c r="BV63" s="52">
        <f t="shared" si="283"/>
        <v>0.28013790956880696</v>
      </c>
      <c r="BW63" s="52">
        <f t="shared" si="283"/>
        <v>0.30868615694377682</v>
      </c>
      <c r="BX63" s="220">
        <f t="shared" si="283"/>
        <v>0.27514110802732483</v>
      </c>
      <c r="BY63" s="52">
        <f t="shared" si="283"/>
        <v>0.24156288310837754</v>
      </c>
      <c r="BZ63" s="52">
        <f t="shared" si="283"/>
        <v>0.26834416684378493</v>
      </c>
      <c r="CA63" s="52">
        <f t="shared" si="283"/>
        <v>0.28133189271130887</v>
      </c>
      <c r="CB63" s="52">
        <f t="shared" si="283"/>
        <v>0.31111667826548656</v>
      </c>
      <c r="CC63" s="220">
        <f t="shared" si="283"/>
        <v>0.27626853947424607</v>
      </c>
      <c r="CD63" s="52">
        <f t="shared" si="283"/>
        <v>0.24128179778098613</v>
      </c>
      <c r="CE63" s="52">
        <f t="shared" si="283"/>
        <v>0.26740714217825878</v>
      </c>
      <c r="CF63" s="52">
        <f t="shared" si="283"/>
        <v>0.28306682241504805</v>
      </c>
      <c r="CG63" s="52">
        <f t="shared" si="283"/>
        <v>0.31417014675984339</v>
      </c>
      <c r="CH63" s="220">
        <f t="shared" si="283"/>
        <v>0.2770779175128768</v>
      </c>
      <c r="CI63" s="52">
        <f t="shared" si="283"/>
        <v>0.24340649486358862</v>
      </c>
      <c r="CJ63" s="52">
        <f t="shared" si="283"/>
        <v>0.27157996529336187</v>
      </c>
      <c r="CK63" s="52">
        <f t="shared" si="283"/>
        <v>0.28861824252356605</v>
      </c>
      <c r="CL63" s="52">
        <f t="shared" si="283"/>
        <v>0.32141712816619172</v>
      </c>
      <c r="CM63" s="220">
        <f t="shared" si="283"/>
        <v>0.2817517294886327</v>
      </c>
    </row>
    <row r="64" spans="1:91" s="13" customFormat="1" ht="12.75" customHeight="1">
      <c r="A64" s="64" t="str">
        <f>+A15</f>
        <v>G&amp;A expense</v>
      </c>
      <c r="B64" s="52">
        <f t="shared" ref="B64:BM64" si="284">B15/B$7</f>
        <v>0.59286889097744355</v>
      </c>
      <c r="C64" s="52">
        <f t="shared" si="284"/>
        <v>0.63843664182032167</v>
      </c>
      <c r="D64" s="52">
        <f t="shared" si="284"/>
        <v>1.3852856629536472</v>
      </c>
      <c r="E64" s="52">
        <f t="shared" si="284"/>
        <v>0.37731226877312268</v>
      </c>
      <c r="F64" s="220">
        <f t="shared" si="284"/>
        <v>0.69266883351390396</v>
      </c>
      <c r="G64" s="52">
        <f t="shared" si="284"/>
        <v>0.35244428468727534</v>
      </c>
      <c r="H64" s="52">
        <f t="shared" si="284"/>
        <v>0.43179238468682279</v>
      </c>
      <c r="I64" s="52">
        <f t="shared" si="284"/>
        <v>0.34367508758989485</v>
      </c>
      <c r="J64" s="52">
        <f t="shared" si="284"/>
        <v>0.35156511422748155</v>
      </c>
      <c r="K64" s="220">
        <f t="shared" si="284"/>
        <v>0.36699434018468868</v>
      </c>
      <c r="L64" s="52">
        <f t="shared" si="284"/>
        <v>0.31878324921565948</v>
      </c>
      <c r="M64" s="52">
        <f t="shared" si="284"/>
        <v>0.23018063918480777</v>
      </c>
      <c r="N64" s="52">
        <f t="shared" si="284"/>
        <v>0.24234157244280835</v>
      </c>
      <c r="O64" s="52">
        <f t="shared" si="284"/>
        <v>0.27150738508990896</v>
      </c>
      <c r="P64" s="220">
        <f t="shared" si="284"/>
        <v>0.26090728862973761</v>
      </c>
      <c r="Q64" s="52">
        <f t="shared" si="284"/>
        <v>0.24630425122204117</v>
      </c>
      <c r="R64" s="52">
        <f t="shared" si="284"/>
        <v>0.24400391949951014</v>
      </c>
      <c r="S64" s="52">
        <f t="shared" si="284"/>
        <v>0.20550094543308878</v>
      </c>
      <c r="T64" s="52">
        <f t="shared" si="284"/>
        <v>0.24117677103018545</v>
      </c>
      <c r="U64" s="220">
        <f t="shared" si="284"/>
        <v>0.23375998325951244</v>
      </c>
      <c r="V64" s="52">
        <f t="shared" si="284"/>
        <v>0.23170406152672729</v>
      </c>
      <c r="W64" s="52">
        <f t="shared" si="284"/>
        <v>0.23267934115807645</v>
      </c>
      <c r="X64" s="52">
        <f t="shared" si="284"/>
        <v>0.23952563331539689</v>
      </c>
      <c r="Y64" s="52">
        <f t="shared" si="284"/>
        <v>0.22615347615347617</v>
      </c>
      <c r="Z64" s="220">
        <f t="shared" si="284"/>
        <v>0.23232250242872399</v>
      </c>
      <c r="AA64" s="52">
        <f t="shared" si="284"/>
        <v>0.26688102893890675</v>
      </c>
      <c r="AB64" s="52">
        <f t="shared" si="284"/>
        <v>0.2724840577585575</v>
      </c>
      <c r="AC64" s="52">
        <f t="shared" si="284"/>
        <v>0.29332050015331679</v>
      </c>
      <c r="AD64" s="52">
        <f t="shared" si="284"/>
        <v>0.24587244170193312</v>
      </c>
      <c r="AE64" s="220">
        <f t="shared" si="284"/>
        <v>0.26921639549937937</v>
      </c>
      <c r="AF64" s="52">
        <f t="shared" si="284"/>
        <v>0.27927032024488402</v>
      </c>
      <c r="AG64" s="52">
        <f t="shared" si="284"/>
        <v>0.24874225300765582</v>
      </c>
      <c r="AH64" s="52">
        <f t="shared" si="284"/>
        <v>0.20150318115080754</v>
      </c>
      <c r="AI64" s="52">
        <f t="shared" si="284"/>
        <v>0.19583499941955707</v>
      </c>
      <c r="AJ64" s="220">
        <f t="shared" si="284"/>
        <v>0.22918247781710369</v>
      </c>
      <c r="AK64" s="52">
        <f t="shared" si="284"/>
        <v>0.17823503926025722</v>
      </c>
      <c r="AL64" s="52">
        <f t="shared" si="284"/>
        <v>0.17586255536434675</v>
      </c>
      <c r="AM64" s="52">
        <f t="shared" si="284"/>
        <v>0.17955775136309507</v>
      </c>
      <c r="AN64" s="52">
        <f t="shared" si="284"/>
        <v>0.1871574816415115</v>
      </c>
      <c r="AO64" s="220">
        <f t="shared" si="284"/>
        <v>0.1804453489504963</v>
      </c>
      <c r="AP64" s="52">
        <f t="shared" si="284"/>
        <v>0.15018847894785989</v>
      </c>
      <c r="AQ64" s="52">
        <f t="shared" si="284"/>
        <v>0.15050756609561894</v>
      </c>
      <c r="AR64" s="52">
        <f t="shared" si="284"/>
        <v>0.14003227801324303</v>
      </c>
      <c r="AS64" s="52">
        <f t="shared" ref="AS64" si="285">AS15/AS$7</f>
        <v>0.15472542006499185</v>
      </c>
      <c r="AT64" s="220">
        <f t="shared" si="284"/>
        <v>0.14882064640165538</v>
      </c>
      <c r="AU64" s="365">
        <f t="shared" si="284"/>
        <v>0.11394298393053319</v>
      </c>
      <c r="AV64" s="52">
        <f t="shared" si="284"/>
        <v>0.11774250377037321</v>
      </c>
      <c r="AW64" s="52">
        <f t="shared" si="284"/>
        <v>0.11381540453100983</v>
      </c>
      <c r="AX64" s="52">
        <f t="shared" si="284"/>
        <v>0.12545972147934289</v>
      </c>
      <c r="AY64" s="220">
        <f t="shared" si="284"/>
        <v>0.11804666569426019</v>
      </c>
      <c r="AZ64" s="52">
        <f t="shared" si="284"/>
        <v>8.1459631641840613E-2</v>
      </c>
      <c r="BA64" s="52">
        <f t="shared" si="284"/>
        <v>8.5815182582093003E-2</v>
      </c>
      <c r="BB64" s="52">
        <f t="shared" si="284"/>
        <v>8.6994661207408203E-2</v>
      </c>
      <c r="BC64" s="52">
        <f t="shared" si="284"/>
        <v>9.6138086354213975E-2</v>
      </c>
      <c r="BD64" s="220">
        <f t="shared" si="284"/>
        <v>8.7946938571258765E-2</v>
      </c>
      <c r="BE64" s="52">
        <f t="shared" si="284"/>
        <v>6.3951350676791946E-2</v>
      </c>
      <c r="BF64" s="52">
        <f t="shared" si="284"/>
        <v>6.8205040045863641E-2</v>
      </c>
      <c r="BG64" s="52">
        <f t="shared" si="284"/>
        <v>6.9205561098379095E-2</v>
      </c>
      <c r="BH64" s="52">
        <f t="shared" si="284"/>
        <v>7.7304888059001681E-2</v>
      </c>
      <c r="BI64" s="220">
        <f t="shared" si="284"/>
        <v>6.994084461679427E-2</v>
      </c>
      <c r="BJ64" s="52">
        <f t="shared" si="284"/>
        <v>5.3986248629405209E-2</v>
      </c>
      <c r="BK64" s="52">
        <f t="shared" si="284"/>
        <v>5.8982395640308077E-2</v>
      </c>
      <c r="BL64" s="52">
        <f t="shared" si="284"/>
        <v>5.9979208699952678E-2</v>
      </c>
      <c r="BM64" s="52">
        <f t="shared" si="284"/>
        <v>6.8070519746407848E-2</v>
      </c>
      <c r="BN64" s="220">
        <f t="shared" ref="BN64:CM64" si="286">BN15/BN$7</f>
        <v>6.0471726034028332E-2</v>
      </c>
      <c r="BO64" s="52">
        <f t="shared" si="286"/>
        <v>4.7642062671144604E-2</v>
      </c>
      <c r="BP64" s="52">
        <f t="shared" si="286"/>
        <v>5.172798806227244E-2</v>
      </c>
      <c r="BQ64" s="52">
        <f t="shared" si="286"/>
        <v>5.3349438750821009E-2</v>
      </c>
      <c r="BR64" s="52">
        <f t="shared" si="286"/>
        <v>6.0782968697385038E-2</v>
      </c>
      <c r="BS64" s="220">
        <f t="shared" si="286"/>
        <v>5.355700352247672E-2</v>
      </c>
      <c r="BT64" s="52">
        <f t="shared" si="286"/>
        <v>4.3508724690703562E-2</v>
      </c>
      <c r="BU64" s="52">
        <f t="shared" si="286"/>
        <v>4.7858325818223468E-2</v>
      </c>
      <c r="BV64" s="52">
        <f t="shared" si="286"/>
        <v>4.9693401897932421E-2</v>
      </c>
      <c r="BW64" s="52">
        <f t="shared" si="286"/>
        <v>5.6986349975044662E-2</v>
      </c>
      <c r="BX64" s="220">
        <f t="shared" si="286"/>
        <v>4.9654717772834159E-2</v>
      </c>
      <c r="BY64" s="52">
        <f t="shared" si="286"/>
        <v>4.1415431057169196E-2</v>
      </c>
      <c r="BZ64" s="52">
        <f t="shared" si="286"/>
        <v>4.5905273356266187E-2</v>
      </c>
      <c r="CA64" s="52">
        <f t="shared" si="286"/>
        <v>4.7593516370557518E-2</v>
      </c>
      <c r="CB64" s="52">
        <f t="shared" si="286"/>
        <v>5.4774567916903695E-2</v>
      </c>
      <c r="CC64" s="220">
        <f t="shared" si="286"/>
        <v>4.7548678111715564E-2</v>
      </c>
      <c r="CD64" s="52">
        <f t="shared" si="286"/>
        <v>3.981265038352496E-2</v>
      </c>
      <c r="CE64" s="52">
        <f t="shared" si="286"/>
        <v>4.4025872324449357E-2</v>
      </c>
      <c r="CF64" s="52">
        <f t="shared" si="286"/>
        <v>4.6087414331438238E-2</v>
      </c>
      <c r="CG64" s="52">
        <f t="shared" si="286"/>
        <v>5.3233513401240801E-2</v>
      </c>
      <c r="CH64" s="220">
        <f t="shared" si="286"/>
        <v>4.5895856536379141E-2</v>
      </c>
      <c r="CI64" s="52">
        <f t="shared" si="286"/>
        <v>3.9011468399652929E-2</v>
      </c>
      <c r="CJ64" s="52">
        <f t="shared" si="286"/>
        <v>4.343064715076194E-2</v>
      </c>
      <c r="CK64" s="52">
        <f t="shared" si="286"/>
        <v>4.5643690993211444E-2</v>
      </c>
      <c r="CL64" s="52">
        <f t="shared" si="286"/>
        <v>5.2899654683005191E-2</v>
      </c>
      <c r="CM64" s="220">
        <f t="shared" si="286"/>
        <v>4.5331674339862446E-2</v>
      </c>
    </row>
    <row r="65" spans="1:91" s="13" customFormat="1" ht="12.75" customHeight="1">
      <c r="A65" s="341" t="s">
        <v>436</v>
      </c>
      <c r="B65" s="52">
        <f>B16/B$7</f>
        <v>1.9428453947368423</v>
      </c>
      <c r="C65" s="52">
        <f t="shared" ref="B65:C66" si="287">C16/C$7</f>
        <v>1.9142310710082389</v>
      </c>
      <c r="D65" s="52">
        <f>D16/D$7</f>
        <v>2.6437297879985628</v>
      </c>
      <c r="E65" s="52">
        <f t="shared" ref="E65:BP66" si="288">E16/E$7</f>
        <v>1.2477252274772521</v>
      </c>
      <c r="F65" s="220">
        <f t="shared" si="288"/>
        <v>1.8145740540106736</v>
      </c>
      <c r="G65" s="52">
        <f t="shared" si="288"/>
        <v>1.4900551162233402</v>
      </c>
      <c r="H65" s="52">
        <f t="shared" si="288"/>
        <v>1.600712000825508</v>
      </c>
      <c r="I65" s="52">
        <f t="shared" si="288"/>
        <v>1.5732528120966252</v>
      </c>
      <c r="J65" s="52">
        <f t="shared" si="288"/>
        <v>1.338727831350957</v>
      </c>
      <c r="K65" s="220">
        <f t="shared" si="288"/>
        <v>1.4787453524421055</v>
      </c>
      <c r="L65" s="52">
        <f t="shared" si="288"/>
        <v>1.1941617787477832</v>
      </c>
      <c r="M65" s="52">
        <f t="shared" si="288"/>
        <v>0.91377489578508564</v>
      </c>
      <c r="N65" s="52">
        <f t="shared" si="288"/>
        <v>0.89720286615829614</v>
      </c>
      <c r="O65" s="52">
        <f t="shared" si="288"/>
        <v>0.98971334085886453</v>
      </c>
      <c r="P65" s="220">
        <f t="shared" si="288"/>
        <v>0.97929329446064128</v>
      </c>
      <c r="Q65" s="52">
        <f t="shared" si="288"/>
        <v>0.97551473855725068</v>
      </c>
      <c r="R65" s="52">
        <f t="shared" si="288"/>
        <v>1.0982889877138766</v>
      </c>
      <c r="S65" s="52">
        <f t="shared" si="288"/>
        <v>0.96301412114953922</v>
      </c>
      <c r="T65" s="52">
        <f t="shared" si="288"/>
        <v>1.0816435977322643</v>
      </c>
      <c r="U65" s="220">
        <f t="shared" si="288"/>
        <v>1.0296550762040944</v>
      </c>
      <c r="V65" s="52">
        <f t="shared" si="288"/>
        <v>1.2807220491959574</v>
      </c>
      <c r="W65" s="52">
        <f t="shared" si="288"/>
        <v>1.3541438203711142</v>
      </c>
      <c r="X65" s="52">
        <f t="shared" si="288"/>
        <v>1.4259171335422407</v>
      </c>
      <c r="Y65" s="52">
        <f t="shared" si="288"/>
        <v>1.3520276020276021</v>
      </c>
      <c r="Z65" s="220">
        <f t="shared" si="288"/>
        <v>1.3562797568867371</v>
      </c>
      <c r="AA65" s="52">
        <f t="shared" si="288"/>
        <v>1.6517965847719538</v>
      </c>
      <c r="AB65" s="52">
        <f t="shared" si="288"/>
        <v>1.6147658139705341</v>
      </c>
      <c r="AC65" s="52">
        <f t="shared" si="288"/>
        <v>1.7078038226976937</v>
      </c>
      <c r="AD65" s="52">
        <f t="shared" si="288"/>
        <v>1.5852424521833701</v>
      </c>
      <c r="AE65" s="220">
        <f t="shared" si="288"/>
        <v>1.638646788480618</v>
      </c>
      <c r="AF65" s="52">
        <f t="shared" si="288"/>
        <v>1.4632130149012539</v>
      </c>
      <c r="AG65" s="52">
        <f t="shared" si="288"/>
        <v>1.3160116660590593</v>
      </c>
      <c r="AH65" s="52">
        <f t="shared" si="288"/>
        <v>1.2397888554848631</v>
      </c>
      <c r="AI65" s="52">
        <f t="shared" si="288"/>
        <v>1.1805629006668643</v>
      </c>
      <c r="AJ65" s="220">
        <f t="shared" si="288"/>
        <v>1.293035882740962</v>
      </c>
      <c r="AK65" s="52">
        <f t="shared" si="288"/>
        <v>1.0474743458107554</v>
      </c>
      <c r="AL65" s="52">
        <f t="shared" si="288"/>
        <v>1.0086551753321862</v>
      </c>
      <c r="AM65" s="52">
        <f t="shared" si="288"/>
        <v>0.97839938164574147</v>
      </c>
      <c r="AN65" s="52">
        <f t="shared" si="288"/>
        <v>1.0637666366059837</v>
      </c>
      <c r="AO65" s="220">
        <f t="shared" si="288"/>
        <v>1.0247166502484386</v>
      </c>
      <c r="AP65" s="52">
        <f t="shared" si="288"/>
        <v>0.98089162583365685</v>
      </c>
      <c r="AQ65" s="52">
        <f t="shared" si="288"/>
        <v>0.92770845541346392</v>
      </c>
      <c r="AR65" s="52">
        <f t="shared" si="288"/>
        <v>0.86294665077904631</v>
      </c>
      <c r="AS65" s="52">
        <f t="shared" ref="AS65" si="289">AS16/AS$7</f>
        <v>0.92438830146551665</v>
      </c>
      <c r="AT65" s="220">
        <f t="shared" si="288"/>
        <v>0.92028785535136215</v>
      </c>
      <c r="AU65" s="365">
        <f t="shared" si="288"/>
        <v>0.80988069475835467</v>
      </c>
      <c r="AV65" s="52">
        <f t="shared" si="288"/>
        <v>0.79371656577283944</v>
      </c>
      <c r="AW65" s="52">
        <f t="shared" si="288"/>
        <v>0.76780990178911956</v>
      </c>
      <c r="AX65" s="52">
        <f t="shared" si="288"/>
        <v>0.81990360513249416</v>
      </c>
      <c r="AY65" s="220">
        <f t="shared" si="288"/>
        <v>0.79772771541074428</v>
      </c>
      <c r="AZ65" s="52">
        <f t="shared" si="288"/>
        <v>0.62149748647280334</v>
      </c>
      <c r="BA65" s="52">
        <f t="shared" si="288"/>
        <v>0.62336336326623498</v>
      </c>
      <c r="BB65" s="52">
        <f t="shared" si="288"/>
        <v>0.63287400428008134</v>
      </c>
      <c r="BC65" s="52">
        <f t="shared" si="288"/>
        <v>0.67712702022230298</v>
      </c>
      <c r="BD65" s="220">
        <f t="shared" si="288"/>
        <v>0.64003094188065746</v>
      </c>
      <c r="BE65" s="52">
        <f t="shared" si="288"/>
        <v>0.51333966355584515</v>
      </c>
      <c r="BF65" s="52">
        <f t="shared" si="288"/>
        <v>0.52261579141602055</v>
      </c>
      <c r="BG65" s="52">
        <f t="shared" si="288"/>
        <v>0.53134137475373655</v>
      </c>
      <c r="BH65" s="52">
        <f t="shared" si="288"/>
        <v>0.57440509240828941</v>
      </c>
      <c r="BI65" s="220">
        <f t="shared" si="288"/>
        <v>0.53668796864294843</v>
      </c>
      <c r="BJ65" s="52">
        <f t="shared" si="288"/>
        <v>0.45238802823447732</v>
      </c>
      <c r="BK65" s="52">
        <f t="shared" si="288"/>
        <v>0.4727946027768466</v>
      </c>
      <c r="BL65" s="52">
        <f t="shared" si="288"/>
        <v>0.48194053045572793</v>
      </c>
      <c r="BM65" s="52">
        <f t="shared" si="288"/>
        <v>0.52916706850748252</v>
      </c>
      <c r="BN65" s="220">
        <f t="shared" si="288"/>
        <v>0.48527073434201839</v>
      </c>
      <c r="BO65" s="52">
        <f t="shared" si="288"/>
        <v>0.41508883367439076</v>
      </c>
      <c r="BP65" s="52">
        <f t="shared" si="288"/>
        <v>0.43190605210803151</v>
      </c>
      <c r="BQ65" s="52">
        <f t="shared" ref="BQ65:CM66" si="290">BQ16/BQ$7</f>
        <v>0.44667191411676344</v>
      </c>
      <c r="BR65" s="52">
        <f t="shared" si="290"/>
        <v>0.49222367382336357</v>
      </c>
      <c r="BS65" s="220">
        <f t="shared" si="290"/>
        <v>0.44754572263680742</v>
      </c>
      <c r="BT65" s="52">
        <f t="shared" si="290"/>
        <v>0.39236456451120411</v>
      </c>
      <c r="BU65" s="52">
        <f t="shared" si="290"/>
        <v>0.41424496074012712</v>
      </c>
      <c r="BV65" s="52">
        <f t="shared" si="290"/>
        <v>0.4314425987350608</v>
      </c>
      <c r="BW65" s="52">
        <f t="shared" si="290"/>
        <v>0.47842702082227273</v>
      </c>
      <c r="BX65" s="220">
        <f t="shared" si="290"/>
        <v>0.43004327535408166</v>
      </c>
      <c r="BY65" s="52">
        <f t="shared" si="290"/>
        <v>0.38467666505159287</v>
      </c>
      <c r="BZ65" s="52">
        <f t="shared" si="290"/>
        <v>0.40977013171892979</v>
      </c>
      <c r="CA65" s="52">
        <f t="shared" si="290"/>
        <v>0.42624292568037253</v>
      </c>
      <c r="CB65" s="52">
        <f t="shared" si="290"/>
        <v>0.4742694768015942</v>
      </c>
      <c r="CC65" s="220">
        <f t="shared" si="290"/>
        <v>0.42460073474968935</v>
      </c>
      <c r="CD65" s="52">
        <f t="shared" si="290"/>
        <v>0.37885706429708715</v>
      </c>
      <c r="CE65" s="52">
        <f t="shared" si="290"/>
        <v>0.40304300746616845</v>
      </c>
      <c r="CF65" s="52">
        <f t="shared" si="290"/>
        <v>0.42339212987170549</v>
      </c>
      <c r="CG65" s="52">
        <f t="shared" si="290"/>
        <v>0.47273272456963622</v>
      </c>
      <c r="CH65" s="220">
        <f t="shared" si="290"/>
        <v>0.42025399357734544</v>
      </c>
      <c r="CI65" s="52">
        <f t="shared" si="290"/>
        <v>0.37821322364363613</v>
      </c>
      <c r="CJ65" s="52">
        <f t="shared" si="290"/>
        <v>0.40538204791640409</v>
      </c>
      <c r="CK65" s="52">
        <f t="shared" si="290"/>
        <v>0.42759251706233004</v>
      </c>
      <c r="CL65" s="52">
        <f t="shared" si="290"/>
        <v>0.47898526665373464</v>
      </c>
      <c r="CM65" s="220">
        <f t="shared" si="290"/>
        <v>0.4231677906153985</v>
      </c>
    </row>
    <row r="66" spans="1:91" s="14" customFormat="1" ht="12.75" customHeight="1">
      <c r="A66" s="14" t="s">
        <v>18</v>
      </c>
      <c r="B66" s="208">
        <f t="shared" si="287"/>
        <v>-1.684093045112782</v>
      </c>
      <c r="C66" s="208">
        <f t="shared" si="287"/>
        <v>-1.6371125931737938</v>
      </c>
      <c r="D66" s="208">
        <f>D17/D$7</f>
        <v>-2.4116960114983832</v>
      </c>
      <c r="E66" s="208">
        <f t="shared" si="288"/>
        <v>-0.70217978202179776</v>
      </c>
      <c r="F66" s="222">
        <f t="shared" si="288"/>
        <v>-1.4429396894185627</v>
      </c>
      <c r="G66" s="208">
        <f t="shared" si="288"/>
        <v>-1.0406182602444283</v>
      </c>
      <c r="H66" s="208">
        <f t="shared" si="288"/>
        <v>-1.1104633164792073</v>
      </c>
      <c r="I66" s="208">
        <f t="shared" si="288"/>
        <v>-1.031440162271805</v>
      </c>
      <c r="J66" s="208">
        <f t="shared" si="288"/>
        <v>-0.75514860219633151</v>
      </c>
      <c r="K66" s="222">
        <f t="shared" si="288"/>
        <v>-0.94982292390692735</v>
      </c>
      <c r="L66" s="208">
        <f t="shared" si="288"/>
        <v>-0.55877779293411522</v>
      </c>
      <c r="M66" s="208">
        <f t="shared" si="288"/>
        <v>-0.22330708661417317</v>
      </c>
      <c r="N66" s="208">
        <f t="shared" si="288"/>
        <v>-0.19709768603733899</v>
      </c>
      <c r="O66" s="208">
        <f t="shared" si="288"/>
        <v>-0.33213030828179407</v>
      </c>
      <c r="P66" s="222">
        <f t="shared" si="288"/>
        <v>-0.30515685131195325</v>
      </c>
      <c r="Q66" s="208">
        <f t="shared" si="288"/>
        <v>-0.27449266775292536</v>
      </c>
      <c r="R66" s="208">
        <f t="shared" si="288"/>
        <v>-0.42843144644606945</v>
      </c>
      <c r="S66" s="208">
        <f t="shared" si="288"/>
        <v>-0.24110555324598681</v>
      </c>
      <c r="T66" s="208">
        <f t="shared" si="288"/>
        <v>-0.43124010419326841</v>
      </c>
      <c r="U66" s="222">
        <f t="shared" si="288"/>
        <v>-0.34423673839500563</v>
      </c>
      <c r="V66" s="208">
        <f t="shared" si="288"/>
        <v>-0.63411936693574</v>
      </c>
      <c r="W66" s="208">
        <f t="shared" si="288"/>
        <v>-0.66782119629537129</v>
      </c>
      <c r="X66" s="208">
        <f t="shared" si="288"/>
        <v>-0.74140896190084327</v>
      </c>
      <c r="Y66" s="208">
        <f t="shared" si="288"/>
        <v>-0.64891589891589907</v>
      </c>
      <c r="Z66" s="222">
        <f t="shared" si="288"/>
        <v>-0.67392206137780231</v>
      </c>
      <c r="AA66" s="208">
        <f t="shared" si="288"/>
        <v>-0.97081135079449299</v>
      </c>
      <c r="AB66" s="208">
        <f t="shared" si="288"/>
        <v>-0.93864069486183366</v>
      </c>
      <c r="AC66" s="208">
        <f t="shared" si="288"/>
        <v>-1.0385761984259483</v>
      </c>
      <c r="AD66" s="208">
        <f t="shared" si="288"/>
        <v>-0.93969627475549888</v>
      </c>
      <c r="AE66" s="222">
        <f t="shared" si="288"/>
        <v>-0.97191561113854663</v>
      </c>
      <c r="AF66" s="208">
        <f t="shared" si="288"/>
        <v>-0.85967338440262897</v>
      </c>
      <c r="AG66" s="208">
        <f t="shared" si="288"/>
        <v>-0.69366387167335009</v>
      </c>
      <c r="AH66" s="208">
        <f t="shared" si="288"/>
        <v>-0.62925260434873787</v>
      </c>
      <c r="AI66" s="208">
        <f t="shared" si="288"/>
        <v>-0.57097527313065111</v>
      </c>
      <c r="AJ66" s="222">
        <f t="shared" si="288"/>
        <v>-0.68148481774915426</v>
      </c>
      <c r="AK66" s="208">
        <f t="shared" si="288"/>
        <v>-0.42239051343988693</v>
      </c>
      <c r="AL66" s="208">
        <f t="shared" si="288"/>
        <v>-0.40585098880018067</v>
      </c>
      <c r="AM66" s="208">
        <f t="shared" si="288"/>
        <v>-0.34617915561219165</v>
      </c>
      <c r="AN66" s="208">
        <f t="shared" si="288"/>
        <v>-0.43762077952966594</v>
      </c>
      <c r="AO66" s="222">
        <f t="shared" si="288"/>
        <v>-0.40283701570737318</v>
      </c>
      <c r="AP66" s="208">
        <f t="shared" si="288"/>
        <v>-0.33565962717045672</v>
      </c>
      <c r="AQ66" s="208">
        <f t="shared" si="288"/>
        <v>-0.26506325186998037</v>
      </c>
      <c r="AR66" s="208">
        <f t="shared" si="288"/>
        <v>-0.2056064194030075</v>
      </c>
      <c r="AS66" s="208">
        <f t="shared" ref="AS66" si="291">AS17/AS$7</f>
        <v>-0.26514047200870344</v>
      </c>
      <c r="AT66" s="222">
        <f t="shared" si="288"/>
        <v>-0.26365627618961301</v>
      </c>
      <c r="AU66" s="364">
        <f t="shared" si="288"/>
        <v>-0.17264869609515454</v>
      </c>
      <c r="AV66" s="208">
        <f t="shared" si="288"/>
        <v>-0.14607136222935588</v>
      </c>
      <c r="AW66" s="208">
        <f t="shared" si="288"/>
        <v>-0.11846967041308079</v>
      </c>
      <c r="AX66" s="208">
        <f t="shared" si="288"/>
        <v>-0.16865577567568096</v>
      </c>
      <c r="AY66" s="222">
        <f t="shared" si="288"/>
        <v>-0.1508822125955635</v>
      </c>
      <c r="AZ66" s="208">
        <f t="shared" si="288"/>
        <v>2.073451219039682E-2</v>
      </c>
      <c r="BA66" s="208">
        <f t="shared" si="288"/>
        <v>2.9281840277248457E-2</v>
      </c>
      <c r="BB66" s="208">
        <f t="shared" si="288"/>
        <v>2.1466227095957503E-2</v>
      </c>
      <c r="BC66" s="208">
        <f t="shared" si="288"/>
        <v>-2.0879190765489896E-2</v>
      </c>
      <c r="BD66" s="222">
        <f t="shared" si="288"/>
        <v>1.1680262453209035E-2</v>
      </c>
      <c r="BE66" s="208">
        <f t="shared" si="288"/>
        <v>0.13389233510735496</v>
      </c>
      <c r="BF66" s="208">
        <f t="shared" si="288"/>
        <v>0.13502941212746297</v>
      </c>
      <c r="BG66" s="208">
        <f t="shared" si="288"/>
        <v>0.12799885662230229</v>
      </c>
      <c r="BH66" s="208">
        <f t="shared" si="288"/>
        <v>8.6842737048523716E-2</v>
      </c>
      <c r="BI66" s="222">
        <f t="shared" si="288"/>
        <v>0.11998178269102149</v>
      </c>
      <c r="BJ66" s="208">
        <f t="shared" si="288"/>
        <v>0.19984397042872279</v>
      </c>
      <c r="BK66" s="208">
        <f t="shared" si="288"/>
        <v>0.18985060076663698</v>
      </c>
      <c r="BL66" s="208">
        <f t="shared" si="288"/>
        <v>0.18239970092031091</v>
      </c>
      <c r="BM66" s="208">
        <f t="shared" si="288"/>
        <v>0.13708076094933067</v>
      </c>
      <c r="BN66" s="222">
        <f t="shared" si="288"/>
        <v>0.17632276767228419</v>
      </c>
      <c r="BO66" s="208">
        <f t="shared" si="288"/>
        <v>0.24214316498880936</v>
      </c>
      <c r="BP66" s="208">
        <f t="shared" si="288"/>
        <v>0.23573915143545202</v>
      </c>
      <c r="BQ66" s="208">
        <f t="shared" si="290"/>
        <v>0.22266831725927533</v>
      </c>
      <c r="BR66" s="208">
        <f t="shared" si="290"/>
        <v>0.17902415563344964</v>
      </c>
      <c r="BS66" s="222">
        <f t="shared" si="290"/>
        <v>0.21902938346979678</v>
      </c>
      <c r="BT66" s="208">
        <f t="shared" si="290"/>
        <v>0.26986743415199604</v>
      </c>
      <c r="BU66" s="208">
        <f t="shared" si="290"/>
        <v>0.25840024280335638</v>
      </c>
      <c r="BV66" s="208">
        <f t="shared" si="290"/>
        <v>0.242897632640978</v>
      </c>
      <c r="BW66" s="208">
        <f t="shared" si="290"/>
        <v>0.19782080863454043</v>
      </c>
      <c r="BX66" s="222">
        <f t="shared" si="290"/>
        <v>0.24148208891429077</v>
      </c>
      <c r="BY66" s="208">
        <f t="shared" si="290"/>
        <v>0.28255533361160723</v>
      </c>
      <c r="BZ66" s="208">
        <f t="shared" si="290"/>
        <v>0.26787507182455378</v>
      </c>
      <c r="CA66" s="208">
        <f t="shared" si="290"/>
        <v>0.25309730569566635</v>
      </c>
      <c r="CB66" s="208">
        <f t="shared" si="290"/>
        <v>0.20697835265521894</v>
      </c>
      <c r="CC66" s="222">
        <f t="shared" si="290"/>
        <v>0.25190618077157406</v>
      </c>
      <c r="CD66" s="208">
        <f t="shared" si="290"/>
        <v>0.293374934366113</v>
      </c>
      <c r="CE66" s="208">
        <f t="shared" si="290"/>
        <v>0.27960219607731512</v>
      </c>
      <c r="CF66" s="208">
        <f t="shared" si="290"/>
        <v>0.26094810150433329</v>
      </c>
      <c r="CG66" s="208">
        <f t="shared" si="290"/>
        <v>0.21351510488717695</v>
      </c>
      <c r="CH66" s="222">
        <f t="shared" si="290"/>
        <v>0.26123494360584171</v>
      </c>
      <c r="CI66" s="208">
        <f t="shared" si="290"/>
        <v>0.29901877501956403</v>
      </c>
      <c r="CJ66" s="208">
        <f t="shared" si="290"/>
        <v>0.28226315562707949</v>
      </c>
      <c r="CK66" s="208">
        <f t="shared" si="290"/>
        <v>0.2617477143137088</v>
      </c>
      <c r="CL66" s="208">
        <f t="shared" si="290"/>
        <v>0.21226256280307854</v>
      </c>
      <c r="CM66" s="222">
        <f t="shared" si="290"/>
        <v>0.26329432763534938</v>
      </c>
    </row>
    <row r="67" spans="1:91" s="13" customFormat="1" ht="12.75" customHeight="1">
      <c r="A67" s="198" t="s">
        <v>395</v>
      </c>
      <c r="B67" s="199" t="s">
        <v>294</v>
      </c>
      <c r="C67" s="199" t="s">
        <v>294</v>
      </c>
      <c r="D67" s="199" t="s">
        <v>294</v>
      </c>
      <c r="E67" s="199" t="s">
        <v>294</v>
      </c>
      <c r="F67" s="223" t="s">
        <v>294</v>
      </c>
      <c r="G67" s="200">
        <f>+(G66-B66)*10000</f>
        <v>6434.7478486835371</v>
      </c>
      <c r="H67" s="200">
        <f>+(H66-C66)*10000</f>
        <v>5266.4927669458648</v>
      </c>
      <c r="I67" s="200">
        <f>+(I66-D66)*10000</f>
        <v>13802.558492265782</v>
      </c>
      <c r="J67" s="200">
        <f t="shared" ref="J67" si="292">+(J66-E66)*10000</f>
        <v>-529.68820174533744</v>
      </c>
      <c r="K67" s="226">
        <f t="shared" ref="K67" si="293">+(K66-F66)*10000</f>
        <v>4931.1676551163528</v>
      </c>
      <c r="L67" s="200">
        <f t="shared" ref="L67" si="294">+(L66-G66)*10000</f>
        <v>4818.4046731031303</v>
      </c>
      <c r="M67" s="200">
        <f t="shared" ref="M67" si="295">+(M66-H66)*10000</f>
        <v>8871.5622986503404</v>
      </c>
      <c r="N67" s="200">
        <f t="shared" ref="N67" si="296">+(N66-I66)*10000</f>
        <v>8343.4247623446608</v>
      </c>
      <c r="O67" s="200">
        <f t="shared" ref="O67" si="297">+(O66-J66)*10000</f>
        <v>4230.1829391453748</v>
      </c>
      <c r="P67" s="226">
        <f t="shared" ref="P67" si="298">+(P66-K66)*10000</f>
        <v>6446.6607259497414</v>
      </c>
      <c r="Q67" s="200">
        <f t="shared" ref="Q67" si="299">+(Q66-L66)*10000</f>
        <v>2842.8512518118987</v>
      </c>
      <c r="R67" s="200">
        <f t="shared" ref="R67" si="300">+(R66-M66)*10000</f>
        <v>-2051.243598318963</v>
      </c>
      <c r="S67" s="200">
        <f t="shared" ref="S67" si="301">+(S66-N66)*10000</f>
        <v>-440.07867208647826</v>
      </c>
      <c r="T67" s="200">
        <f t="shared" ref="T67" si="302">+(T66-O66)*10000</f>
        <v>-991.09795911474339</v>
      </c>
      <c r="U67" s="226">
        <f t="shared" ref="U67" si="303">+(U66-P66)*10000</f>
        <v>-390.79887083052375</v>
      </c>
      <c r="V67" s="200">
        <f t="shared" ref="V67" si="304">+(V66-Q66)*10000</f>
        <v>-3596.2669918281463</v>
      </c>
      <c r="W67" s="200">
        <f t="shared" ref="W67" si="305">+(W66-R66)*10000</f>
        <v>-2393.8974984930182</v>
      </c>
      <c r="X67" s="200">
        <f t="shared" ref="X67" si="306">+(X66-S66)*10000</f>
        <v>-5003.0340865485641</v>
      </c>
      <c r="Y67" s="200">
        <f t="shared" ref="Y67" si="307">+(Y66-T66)*10000</f>
        <v>-2176.7579472263064</v>
      </c>
      <c r="Z67" s="226">
        <f t="shared" ref="Z67" si="308">+(Z66-U66)*10000</f>
        <v>-3296.853229827967</v>
      </c>
      <c r="AA67" s="200">
        <f t="shared" ref="AA67" si="309">+(AA66-V66)*10000</f>
        <v>-3366.9198385875297</v>
      </c>
      <c r="AB67" s="200">
        <f t="shared" ref="AB67" si="310">+(AB66-W66)*10000</f>
        <v>-2708.1949856646238</v>
      </c>
      <c r="AC67" s="200">
        <f t="shared" ref="AC67" si="311">+(AC66-X66)*10000</f>
        <v>-2971.67236525105</v>
      </c>
      <c r="AD67" s="200">
        <f t="shared" ref="AD67" si="312">+(AD66-Y66)*10000</f>
        <v>-2907.8037583959981</v>
      </c>
      <c r="AE67" s="226">
        <f t="shared" ref="AE67" si="313">+(AE66-Z66)*10000</f>
        <v>-2979.9354976074433</v>
      </c>
      <c r="AF67" s="200">
        <f t="shared" ref="AF67" si="314">+(AF66-AA66)*10000</f>
        <v>1111.3796639186403</v>
      </c>
      <c r="AG67" s="200">
        <f t="shared" ref="AG67" si="315">+(AG66-AB66)*10000</f>
        <v>2449.7682318848356</v>
      </c>
      <c r="AH67" s="200">
        <f t="shared" ref="AH67" si="316">+(AH66-AC66)*10000</f>
        <v>4093.2359407721042</v>
      </c>
      <c r="AI67" s="200">
        <f t="shared" ref="AI67" si="317">+(AI66-AD66)*10000</f>
        <v>3687.2100162484776</v>
      </c>
      <c r="AJ67" s="226">
        <f t="shared" ref="AJ67" si="318">+(AJ66-AE66)*10000</f>
        <v>2904.3079338939237</v>
      </c>
      <c r="AK67" s="200">
        <f t="shared" ref="AK67" si="319">+(AK66-AF66)*10000</f>
        <v>4372.8287096274207</v>
      </c>
      <c r="AL67" s="200">
        <f t="shared" ref="AL67" si="320">+(AL66-AG66)*10000</f>
        <v>2878.1288287316943</v>
      </c>
      <c r="AM67" s="200">
        <f t="shared" ref="AM67" si="321">+(AM66-AH66)*10000</f>
        <v>2830.734487365462</v>
      </c>
      <c r="AN67" s="200">
        <f t="shared" ref="AN67" si="322">+(AN66-AI66)*10000</f>
        <v>1333.5449360098517</v>
      </c>
      <c r="AO67" s="226">
        <f t="shared" ref="AO67" si="323">+(AO66-AJ66)*10000</f>
        <v>2786.478020417811</v>
      </c>
      <c r="AP67" s="200">
        <f t="shared" ref="AP67" si="324">+(AP66-AK66)*10000</f>
        <v>867.30886269430209</v>
      </c>
      <c r="AQ67" s="200">
        <f t="shared" ref="AQ67" si="325">+(AQ66-AL66)*10000</f>
        <v>1407.877369302003</v>
      </c>
      <c r="AR67" s="200">
        <f t="shared" ref="AR67:AS67" si="326">+(AR66-AM66)*10000</f>
        <v>1405.7273620918415</v>
      </c>
      <c r="AS67" s="200">
        <f t="shared" si="326"/>
        <v>1724.8030752096249</v>
      </c>
      <c r="AT67" s="226">
        <f t="shared" ref="AT67" si="327">+(AT66-AO66)*10000</f>
        <v>1391.8073951776016</v>
      </c>
      <c r="AU67" s="368">
        <f t="shared" ref="AU67" si="328">+(AU66-AP66)*10000</f>
        <v>1630.1093107530219</v>
      </c>
      <c r="AV67" s="200">
        <f t="shared" ref="AV67" si="329">+(AV66-AQ66)*10000</f>
        <v>1189.9188964062448</v>
      </c>
      <c r="AW67" s="200">
        <f t="shared" ref="AW67" si="330">+(AW66-AR66)*10000</f>
        <v>871.36748989926707</v>
      </c>
      <c r="AX67" s="200">
        <f t="shared" ref="AX67" si="331">+(AX66-AS66)*10000</f>
        <v>964.84696333022475</v>
      </c>
      <c r="AY67" s="226">
        <f t="shared" ref="AY67" si="332">+(AY66-AT66)*10000</f>
        <v>1127.7406359404952</v>
      </c>
      <c r="AZ67" s="200">
        <f t="shared" ref="AZ67" si="333">+(AZ66-AU66)*10000</f>
        <v>1933.8320828555136</v>
      </c>
      <c r="BA67" s="200">
        <f t="shared" ref="BA67" si="334">+(BA66-AV66)*10000</f>
        <v>1753.5320250660434</v>
      </c>
      <c r="BB67" s="200">
        <f t="shared" ref="BB67" si="335">+(BB66-AW66)*10000</f>
        <v>1399.358975090383</v>
      </c>
      <c r="BC67" s="200">
        <f t="shared" ref="BC67" si="336">+(BC66-AX66)*10000</f>
        <v>1477.7658491019108</v>
      </c>
      <c r="BD67" s="226">
        <f t="shared" ref="BD67" si="337">+(BD66-AY66)*10000</f>
        <v>1625.6247504877254</v>
      </c>
      <c r="BE67" s="200">
        <f t="shared" ref="BE67" si="338">+(BE66-AZ66)*10000</f>
        <v>1131.5782291695814</v>
      </c>
      <c r="BF67" s="200">
        <f t="shared" ref="BF67" si="339">+(BF66-BA66)*10000</f>
        <v>1057.4757185021451</v>
      </c>
      <c r="BG67" s="200">
        <f t="shared" ref="BG67" si="340">+(BG66-BB66)*10000</f>
        <v>1065.3262952634479</v>
      </c>
      <c r="BH67" s="200">
        <f t="shared" ref="BH67" si="341">+(BH66-BC66)*10000</f>
        <v>1077.2192781401361</v>
      </c>
      <c r="BI67" s="226">
        <f t="shared" ref="BI67" si="342">+(BI66-BD66)*10000</f>
        <v>1083.0152023781245</v>
      </c>
      <c r="BJ67" s="200">
        <f t="shared" ref="BJ67" si="343">+(BJ66-BE66)*10000</f>
        <v>659.51635321367826</v>
      </c>
      <c r="BK67" s="200">
        <f t="shared" ref="BK67" si="344">+(BK66-BF66)*10000</f>
        <v>548.21188639174011</v>
      </c>
      <c r="BL67" s="200">
        <f t="shared" ref="BL67" si="345">+(BL66-BG66)*10000</f>
        <v>544.00844298008622</v>
      </c>
      <c r="BM67" s="200">
        <f t="shared" ref="BM67" si="346">+(BM66-BH66)*10000</f>
        <v>502.38023900806951</v>
      </c>
      <c r="BN67" s="226">
        <f t="shared" ref="BN67" si="347">+(BN66-BI66)*10000</f>
        <v>563.40984981262704</v>
      </c>
      <c r="BO67" s="200">
        <f t="shared" ref="BO67" si="348">+(BO66-BJ66)*10000</f>
        <v>422.99194560086573</v>
      </c>
      <c r="BP67" s="200">
        <f t="shared" ref="BP67" si="349">+(BP66-BK66)*10000</f>
        <v>458.88550668815031</v>
      </c>
      <c r="BQ67" s="200">
        <f t="shared" ref="BQ67" si="350">+(BQ66-BL66)*10000</f>
        <v>402.68616338964421</v>
      </c>
      <c r="BR67" s="200">
        <f t="shared" ref="BR67" si="351">+(BR66-BM66)*10000</f>
        <v>419.43394684118977</v>
      </c>
      <c r="BS67" s="226">
        <f t="shared" ref="BS67" si="352">+(BS66-BN66)*10000</f>
        <v>427.06615797512586</v>
      </c>
      <c r="BT67" s="200">
        <f t="shared" ref="BT67" si="353">+(BT66-BO66)*10000</f>
        <v>277.24269163186682</v>
      </c>
      <c r="BU67" s="200">
        <f t="shared" ref="BU67" si="354">+(BU66-BP66)*10000</f>
        <v>226.61091367904368</v>
      </c>
      <c r="BV67" s="200">
        <f t="shared" ref="BV67" si="355">+(BV66-BQ66)*10000</f>
        <v>202.29315381702668</v>
      </c>
      <c r="BW67" s="200">
        <f t="shared" ref="BW67" si="356">+(BW66-BR66)*10000</f>
        <v>187.96653001090792</v>
      </c>
      <c r="BX67" s="226">
        <f t="shared" ref="BX67" si="357">+(BX66-BS66)*10000</f>
        <v>224.52705444493986</v>
      </c>
      <c r="BY67" s="200">
        <f t="shared" ref="BY67" si="358">+(BY66-BT66)*10000</f>
        <v>126.87899459611185</v>
      </c>
      <c r="BZ67" s="200">
        <f t="shared" ref="BZ67" si="359">+(BZ66-BU66)*10000</f>
        <v>94.748290211973952</v>
      </c>
      <c r="CA67" s="200">
        <f t="shared" ref="CA67" si="360">+(CA66-BV66)*10000</f>
        <v>101.99673054688357</v>
      </c>
      <c r="CB67" s="200">
        <f t="shared" ref="CB67" si="361">+(CB66-BW66)*10000</f>
        <v>91.575440206785046</v>
      </c>
      <c r="CC67" s="226">
        <f t="shared" ref="CC67" si="362">+(CC66-BX66)*10000</f>
        <v>104.24091857283297</v>
      </c>
      <c r="CD67" s="200">
        <f t="shared" ref="CD67" si="363">+(CD66-BY66)*10000</f>
        <v>108.19600754505775</v>
      </c>
      <c r="CE67" s="200">
        <f t="shared" ref="CE67" si="364">+(CE66-BZ66)*10000</f>
        <v>117.27124252761345</v>
      </c>
      <c r="CF67" s="200">
        <f t="shared" ref="CF67" si="365">+(CF66-CA66)*10000</f>
        <v>78.507958086669333</v>
      </c>
      <c r="CG67" s="200">
        <f t="shared" ref="CG67" si="366">+(CG66-CB66)*10000</f>
        <v>65.367522319580146</v>
      </c>
      <c r="CH67" s="226">
        <f t="shared" ref="CH67" si="367">+(CH66-CC66)*10000</f>
        <v>93.287628342676456</v>
      </c>
      <c r="CI67" s="200">
        <f t="shared" ref="CI67" si="368">+(CI66-CD66)*10000</f>
        <v>56.438406534510264</v>
      </c>
      <c r="CJ67" s="200">
        <f t="shared" ref="CJ67" si="369">+(CJ66-CE66)*10000</f>
        <v>26.609595497643635</v>
      </c>
      <c r="CK67" s="200">
        <f t="shared" ref="CK67" si="370">+(CK66-CF66)*10000</f>
        <v>7.9961280937551615</v>
      </c>
      <c r="CL67" s="200">
        <f t="shared" ref="CL67" si="371">+(CL66-CG66)*10000</f>
        <v>-12.525420840984181</v>
      </c>
      <c r="CM67" s="226">
        <f t="shared" ref="CM67" si="372">+(CM66-CH66)*10000</f>
        <v>20.593840295076717</v>
      </c>
    </row>
    <row r="68" spans="1:91" s="14" customFormat="1" ht="12.75" customHeight="1">
      <c r="A68" s="14" t="s">
        <v>17</v>
      </c>
      <c r="B68" s="209" t="s">
        <v>294</v>
      </c>
      <c r="C68" s="209" t="s">
        <v>294</v>
      </c>
      <c r="D68" s="208">
        <f t="shared" ref="D68:AI68" si="373">D42/D7</f>
        <v>-2.0690801293568093</v>
      </c>
      <c r="E68" s="208">
        <f t="shared" si="373"/>
        <v>-0.63258674132586734</v>
      </c>
      <c r="F68" s="222">
        <f t="shared" si="373"/>
        <v>-1.3384896272220215</v>
      </c>
      <c r="G68" s="208">
        <f t="shared" si="373"/>
        <v>-0.95704529115744053</v>
      </c>
      <c r="H68" s="208">
        <f t="shared" si="373"/>
        <v>-1.0295119182746877</v>
      </c>
      <c r="I68" s="208">
        <f t="shared" si="373"/>
        <v>-0.9391019730776321</v>
      </c>
      <c r="J68" s="208">
        <f t="shared" si="373"/>
        <v>-0.68916740181912228</v>
      </c>
      <c r="K68" s="222">
        <f t="shared" si="373"/>
        <v>-0.87109301735456024</v>
      </c>
      <c r="L68" s="208">
        <f t="shared" si="373"/>
        <v>-0.49455735915973242</v>
      </c>
      <c r="M68" s="208">
        <f t="shared" si="373"/>
        <v>-0.17408059286706803</v>
      </c>
      <c r="N68" s="208">
        <f t="shared" si="373"/>
        <v>-0.14858335524585858</v>
      </c>
      <c r="O68" s="208">
        <f t="shared" si="373"/>
        <v>-0.27731052355438257</v>
      </c>
      <c r="P68" s="222">
        <f t="shared" si="373"/>
        <v>-0.25192769679300281</v>
      </c>
      <c r="Q68" s="208">
        <f t="shared" si="373"/>
        <v>-0.22894386016886373</v>
      </c>
      <c r="R68" s="208">
        <f t="shared" si="373"/>
        <v>-0.37910605261174374</v>
      </c>
      <c r="S68" s="208">
        <f t="shared" si="373"/>
        <v>-0.18947551931767881</v>
      </c>
      <c r="T68" s="208">
        <f t="shared" si="373"/>
        <v>-0.37872210020940811</v>
      </c>
      <c r="U68" s="222">
        <f t="shared" si="373"/>
        <v>-0.29432915983678015</v>
      </c>
      <c r="V68" s="208">
        <f t="shared" si="373"/>
        <v>-0.57654611326511152</v>
      </c>
      <c r="W68" s="208">
        <f t="shared" si="373"/>
        <v>-0.61199118359192617</v>
      </c>
      <c r="X68" s="208">
        <f t="shared" si="373"/>
        <v>-0.68809546418510459</v>
      </c>
      <c r="Y68" s="208">
        <f t="shared" si="373"/>
        <v>-0.5971250971250972</v>
      </c>
      <c r="Z68" s="222">
        <f t="shared" si="373"/>
        <v>-0.61953202570299171</v>
      </c>
      <c r="AA68" s="208">
        <f t="shared" si="373"/>
        <v>-0.90087305799227868</v>
      </c>
      <c r="AB68" s="208">
        <f t="shared" si="373"/>
        <v>-0.86382210657479996</v>
      </c>
      <c r="AC68" s="208">
        <f t="shared" si="373"/>
        <v>-0.96092978092739623</v>
      </c>
      <c r="AD68" s="208">
        <f t="shared" si="373"/>
        <v>-0.86499436524260986</v>
      </c>
      <c r="AE68" s="222">
        <f t="shared" si="373"/>
        <v>-0.89743469962494837</v>
      </c>
      <c r="AF68" s="208">
        <f t="shared" si="373"/>
        <v>-0.78458442749040502</v>
      </c>
      <c r="AG68" s="208">
        <f t="shared" si="373"/>
        <v>-0.62115202333211794</v>
      </c>
      <c r="AH68" s="208">
        <f t="shared" si="373"/>
        <v>-0.55691812906383265</v>
      </c>
      <c r="AI68" s="208">
        <f t="shared" si="373"/>
        <v>-0.50534007507062051</v>
      </c>
      <c r="AJ68" s="222">
        <f t="shared" ref="AJ68:BO68" si="374">AJ42/AJ7</f>
        <v>-0.6103204550774185</v>
      </c>
      <c r="AK68" s="208">
        <f t="shared" si="374"/>
        <v>-0.36287991643470563</v>
      </c>
      <c r="AL68" s="208">
        <f t="shared" si="374"/>
        <v>-0.34902812649871651</v>
      </c>
      <c r="AM68" s="208">
        <f t="shared" si="374"/>
        <v>-0.29339447241429739</v>
      </c>
      <c r="AN68" s="208">
        <f t="shared" si="374"/>
        <v>-0.38825354038867477</v>
      </c>
      <c r="AO68" s="222">
        <f t="shared" si="374"/>
        <v>-0.34848365935243636</v>
      </c>
      <c r="AP68" s="208">
        <f t="shared" si="374"/>
        <v>-0.28771176236416979</v>
      </c>
      <c r="AQ68" s="208">
        <f t="shared" si="374"/>
        <v>-0.22358760470166486</v>
      </c>
      <c r="AR68" s="208">
        <f t="shared" si="374"/>
        <v>-0.17159006923181336</v>
      </c>
      <c r="AS68" s="208">
        <f t="shared" ref="AS68" si="375">AS42/AS7</f>
        <v>-0.23078509311470277</v>
      </c>
      <c r="AT68" s="222">
        <f t="shared" si="374"/>
        <v>-0.22489335767768709</v>
      </c>
      <c r="AU68" s="364">
        <f t="shared" si="374"/>
        <v>-0.14238273494254552</v>
      </c>
      <c r="AV68" s="208">
        <f t="shared" si="374"/>
        <v>-0.11889305183190491</v>
      </c>
      <c r="AW68" s="208">
        <f t="shared" si="374"/>
        <v>-9.3914453121676761E-2</v>
      </c>
      <c r="AX68" s="208">
        <f t="shared" si="374"/>
        <v>-0.14569755883553925</v>
      </c>
      <c r="AY68" s="222">
        <f t="shared" si="374"/>
        <v>-0.12490874319937266</v>
      </c>
      <c r="AZ68" s="208">
        <f t="shared" si="374"/>
        <v>4.1172022342365028E-2</v>
      </c>
      <c r="BA68" s="208">
        <f t="shared" si="374"/>
        <v>4.8308896748355208E-2</v>
      </c>
      <c r="BB68" s="208">
        <f t="shared" si="374"/>
        <v>3.9782000486628812E-2</v>
      </c>
      <c r="BC68" s="208">
        <f t="shared" si="374"/>
        <v>-3.4535015400514709E-3</v>
      </c>
      <c r="BD68" s="222">
        <f t="shared" si="374"/>
        <v>3.0406789250405363E-2</v>
      </c>
      <c r="BE68" s="208">
        <f t="shared" si="374"/>
        <v>0.14999583687587922</v>
      </c>
      <c r="BF68" s="208">
        <f t="shared" si="374"/>
        <v>0.15039103179963162</v>
      </c>
      <c r="BG68" s="208">
        <f t="shared" si="374"/>
        <v>0.14296373000943161</v>
      </c>
      <c r="BH68" s="208">
        <f t="shared" si="374"/>
        <v>0.1013803320471944</v>
      </c>
      <c r="BI68" s="222">
        <f t="shared" si="374"/>
        <v>0.13518917016389295</v>
      </c>
      <c r="BJ68" s="208">
        <f t="shared" si="374"/>
        <v>0.21405970124414753</v>
      </c>
      <c r="BK68" s="208">
        <f t="shared" si="374"/>
        <v>0.20384078980609741</v>
      </c>
      <c r="BL68" s="208">
        <f t="shared" si="374"/>
        <v>0.19614546743630221</v>
      </c>
      <c r="BM68" s="208">
        <f t="shared" si="374"/>
        <v>0.15072557405171427</v>
      </c>
      <c r="BN68" s="222">
        <f t="shared" si="374"/>
        <v>0.19021179936403096</v>
      </c>
      <c r="BO68" s="208">
        <f t="shared" si="374"/>
        <v>0.25547873970141605</v>
      </c>
      <c r="BP68" s="208">
        <f t="shared" ref="BP68:CM68" si="376">BP42/BP7</f>
        <v>0.24874994768592071</v>
      </c>
      <c r="BQ68" s="208">
        <f t="shared" si="376"/>
        <v>0.23560515787814384</v>
      </c>
      <c r="BR68" s="208">
        <f t="shared" si="376"/>
        <v>0.19189092044955053</v>
      </c>
      <c r="BS68" s="222">
        <f t="shared" si="376"/>
        <v>0.23205986615886687</v>
      </c>
      <c r="BT68" s="208">
        <f t="shared" si="376"/>
        <v>0.28269787407081515</v>
      </c>
      <c r="BU68" s="208">
        <f t="shared" si="376"/>
        <v>0.27105498963394364</v>
      </c>
      <c r="BV68" s="208">
        <f t="shared" si="376"/>
        <v>0.25554156198902167</v>
      </c>
      <c r="BW68" s="208">
        <f t="shared" si="376"/>
        <v>0.21045629111059888</v>
      </c>
      <c r="BX68" s="222">
        <f t="shared" si="376"/>
        <v>0.25417101765040856</v>
      </c>
      <c r="BY68" s="208">
        <f t="shared" si="376"/>
        <v>0.29532140650051519</v>
      </c>
      <c r="BZ68" s="208">
        <f t="shared" si="376"/>
        <v>0.2805392277733903</v>
      </c>
      <c r="CA68" s="208">
        <f t="shared" si="376"/>
        <v>0.26571023393680016</v>
      </c>
      <c r="CB68" s="208">
        <f t="shared" si="376"/>
        <v>0.21960886904174926</v>
      </c>
      <c r="CC68" s="222">
        <f t="shared" si="376"/>
        <v>0.26457310296052117</v>
      </c>
      <c r="CD68" s="208">
        <f t="shared" si="376"/>
        <v>0.30611424070604892</v>
      </c>
      <c r="CE68" s="208">
        <f t="shared" si="376"/>
        <v>0.2921896240025057</v>
      </c>
      <c r="CF68" s="208">
        <f t="shared" si="376"/>
        <v>0.27358729056844039</v>
      </c>
      <c r="CG68" s="208">
        <f t="shared" si="376"/>
        <v>0.22620063822127776</v>
      </c>
      <c r="CH68" s="222">
        <f t="shared" si="376"/>
        <v>0.2738972668820861</v>
      </c>
      <c r="CI68" s="208">
        <f t="shared" si="376"/>
        <v>0.31189836809437577</v>
      </c>
      <c r="CJ68" s="208">
        <f t="shared" si="376"/>
        <v>0.2950563856525128</v>
      </c>
      <c r="CK68" s="208">
        <f t="shared" si="376"/>
        <v>0.27462724937879429</v>
      </c>
      <c r="CL68" s="208">
        <f t="shared" si="376"/>
        <v>0.22521757441976822</v>
      </c>
      <c r="CM68" s="222">
        <f t="shared" si="376"/>
        <v>0.27617160555758702</v>
      </c>
    </row>
    <row r="69" spans="1:91" s="13" customFormat="1" ht="12.75" customHeight="1">
      <c r="A69" s="198" t="s">
        <v>395</v>
      </c>
      <c r="B69" s="199" t="s">
        <v>294</v>
      </c>
      <c r="C69" s="199" t="s">
        <v>294</v>
      </c>
      <c r="D69" s="199" t="s">
        <v>294</v>
      </c>
      <c r="E69" s="199" t="s">
        <v>294</v>
      </c>
      <c r="F69" s="223" t="s">
        <v>294</v>
      </c>
      <c r="G69" s="199" t="s">
        <v>294</v>
      </c>
      <c r="H69" s="199" t="s">
        <v>294</v>
      </c>
      <c r="I69" s="200">
        <f>+(I68-D68)*10000</f>
        <v>11299.781562791772</v>
      </c>
      <c r="J69" s="200">
        <f t="shared" ref="J69" si="377">+(J68-E68)*10000</f>
        <v>-565.80660493254936</v>
      </c>
      <c r="K69" s="226">
        <f t="shared" ref="K69" si="378">+(K68-F68)*10000</f>
        <v>4673.9660986746121</v>
      </c>
      <c r="L69" s="200">
        <f t="shared" ref="L69" si="379">+(L68-G68)*10000</f>
        <v>4624.8793199770807</v>
      </c>
      <c r="M69" s="200">
        <f t="shared" ref="M69" si="380">+(M68-H68)*10000</f>
        <v>8554.3132540761962</v>
      </c>
      <c r="N69" s="200">
        <f t="shared" ref="N69" si="381">+(N68-I68)*10000</f>
        <v>7905.1861783177355</v>
      </c>
      <c r="O69" s="200">
        <f t="shared" ref="O69" si="382">+(O68-J68)*10000</f>
        <v>4118.5687826473968</v>
      </c>
      <c r="P69" s="226">
        <f t="shared" ref="P69" si="383">+(P68-K68)*10000</f>
        <v>6191.6532056155747</v>
      </c>
      <c r="Q69" s="200">
        <f t="shared" ref="Q69" si="384">+(Q68-L68)*10000</f>
        <v>2656.1349899086872</v>
      </c>
      <c r="R69" s="200">
        <f t="shared" ref="R69" si="385">+(R68-M68)*10000</f>
        <v>-2050.2545974467571</v>
      </c>
      <c r="S69" s="200">
        <f t="shared" ref="S69" si="386">+(S68-N68)*10000</f>
        <v>-408.92164071820224</v>
      </c>
      <c r="T69" s="200">
        <f t="shared" ref="T69" si="387">+(T68-O68)*10000</f>
        <v>-1014.1157665502553</v>
      </c>
      <c r="U69" s="226">
        <f t="shared" ref="U69" si="388">+(U68-P68)*10000</f>
        <v>-424.01463043777341</v>
      </c>
      <c r="V69" s="200">
        <f t="shared" ref="V69" si="389">+(V68-Q68)*10000</f>
        <v>-3476.022530962478</v>
      </c>
      <c r="W69" s="200">
        <f t="shared" ref="W69" si="390">+(W68-R68)*10000</f>
        <v>-2328.8513098018243</v>
      </c>
      <c r="X69" s="200">
        <f t="shared" ref="X69" si="391">+(X68-S68)*10000</f>
        <v>-4986.1994486742578</v>
      </c>
      <c r="Y69" s="200">
        <f t="shared" ref="Y69" si="392">+(Y68-T68)*10000</f>
        <v>-2184.0299691568912</v>
      </c>
      <c r="Z69" s="226">
        <f t="shared" ref="Z69" si="393">+(Z68-U68)*10000</f>
        <v>-3252.0286586621155</v>
      </c>
      <c r="AA69" s="200">
        <f t="shared" ref="AA69" si="394">+(AA68-V68)*10000</f>
        <v>-3243.2694472716717</v>
      </c>
      <c r="AB69" s="200">
        <f t="shared" ref="AB69" si="395">+(AB68-W68)*10000</f>
        <v>-2518.3092298287379</v>
      </c>
      <c r="AC69" s="200">
        <f t="shared" ref="AC69" si="396">+(AC68-X68)*10000</f>
        <v>-2728.3431674229164</v>
      </c>
      <c r="AD69" s="200">
        <f t="shared" ref="AD69" si="397">+(AD68-Y68)*10000</f>
        <v>-2678.6926811751264</v>
      </c>
      <c r="AE69" s="226">
        <f t="shared" ref="AE69" si="398">+(AE68-Z68)*10000</f>
        <v>-2779.0267392195665</v>
      </c>
      <c r="AF69" s="200">
        <f t="shared" ref="AF69" si="399">+(AF68-AA68)*10000</f>
        <v>1162.8863050187365</v>
      </c>
      <c r="AG69" s="200">
        <f t="shared" ref="AG69" si="400">+(AG68-AB68)*10000</f>
        <v>2426.7008324268204</v>
      </c>
      <c r="AH69" s="200">
        <f t="shared" ref="AH69" si="401">+(AH68-AC68)*10000</f>
        <v>4040.1165186356357</v>
      </c>
      <c r="AI69" s="200">
        <f t="shared" ref="AI69" si="402">+(AI68-AD68)*10000</f>
        <v>3596.5429017198935</v>
      </c>
      <c r="AJ69" s="226">
        <f t="shared" ref="AJ69" si="403">+(AJ68-AE68)*10000</f>
        <v>2871.1424454752987</v>
      </c>
      <c r="AK69" s="200">
        <f t="shared" ref="AK69" si="404">+(AK68-AF68)*10000</f>
        <v>4217.0451105569937</v>
      </c>
      <c r="AL69" s="200">
        <f t="shared" ref="AL69" si="405">+(AL68-AG68)*10000</f>
        <v>2721.2389683340143</v>
      </c>
      <c r="AM69" s="200">
        <f t="shared" ref="AM69" si="406">+(AM68-AH68)*10000</f>
        <v>2635.2365664953527</v>
      </c>
      <c r="AN69" s="200">
        <f t="shared" ref="AN69" si="407">+(AN68-AI68)*10000</f>
        <v>1170.8653468194575</v>
      </c>
      <c r="AO69" s="226">
        <f t="shared" ref="AO69" si="408">+(AO68-AJ68)*10000</f>
        <v>2618.3679572498213</v>
      </c>
      <c r="AP69" s="200">
        <f t="shared" ref="AP69" si="409">+(AP68-AK68)*10000</f>
        <v>751.68154070535843</v>
      </c>
      <c r="AQ69" s="200">
        <f t="shared" ref="AQ69" si="410">+(AQ68-AL68)*10000</f>
        <v>1254.4052179705166</v>
      </c>
      <c r="AR69" s="200">
        <f t="shared" ref="AR69:AS69" si="411">+(AR68-AM68)*10000</f>
        <v>1218.0440318248404</v>
      </c>
      <c r="AS69" s="200">
        <f t="shared" si="411"/>
        <v>1574.6844727397199</v>
      </c>
      <c r="AT69" s="226">
        <f t="shared" ref="AT69" si="412">+(AT68-AO68)*10000</f>
        <v>1235.9030167474928</v>
      </c>
      <c r="AU69" s="368">
        <f t="shared" ref="AU69" si="413">+(AU68-AP68)*10000</f>
        <v>1453.2902742162426</v>
      </c>
      <c r="AV69" s="200">
        <f t="shared" ref="AV69" si="414">+(AV68-AQ68)*10000</f>
        <v>1046.9455286975995</v>
      </c>
      <c r="AW69" s="200">
        <f t="shared" ref="AW69" si="415">+(AW68-AR68)*10000</f>
        <v>776.75616110136593</v>
      </c>
      <c r="AX69" s="200">
        <f t="shared" ref="AX69" si="416">+(AX68-AS68)*10000</f>
        <v>850.87534279163515</v>
      </c>
      <c r="AY69" s="226">
        <f t="shared" ref="AY69" si="417">+(AY68-AT68)*10000</f>
        <v>999.84614478314427</v>
      </c>
      <c r="AZ69" s="200">
        <f t="shared" ref="AZ69" si="418">+(AZ68-AU68)*10000</f>
        <v>1835.5475728491056</v>
      </c>
      <c r="BA69" s="200">
        <f t="shared" ref="BA69" si="419">+(BA68-AV68)*10000</f>
        <v>1672.0194858026011</v>
      </c>
      <c r="BB69" s="200">
        <f t="shared" ref="BB69" si="420">+(BB68-AW68)*10000</f>
        <v>1336.9645360830557</v>
      </c>
      <c r="BC69" s="200">
        <f t="shared" ref="BC69" si="421">+(BC68-AX68)*10000</f>
        <v>1422.4405729548778</v>
      </c>
      <c r="BD69" s="226">
        <f t="shared" ref="BD69" si="422">+(BD68-AY68)*10000</f>
        <v>1553.1553244977802</v>
      </c>
      <c r="BE69" s="200">
        <f t="shared" ref="BE69" si="423">+(BE68-AZ68)*10000</f>
        <v>1088.238145335142</v>
      </c>
      <c r="BF69" s="200">
        <f t="shared" ref="BF69" si="424">+(BF68-BA68)*10000</f>
        <v>1020.8213505127642</v>
      </c>
      <c r="BG69" s="200">
        <f t="shared" ref="BG69" si="425">+(BG68-BB68)*10000</f>
        <v>1031.8172952280281</v>
      </c>
      <c r="BH69" s="200">
        <f t="shared" ref="BH69" si="426">+(BH68-BC68)*10000</f>
        <v>1048.3383358724589</v>
      </c>
      <c r="BI69" s="226">
        <f t="shared" ref="BI69" si="427">+(BI68-BD68)*10000</f>
        <v>1047.8238091348758</v>
      </c>
      <c r="BJ69" s="200">
        <f t="shared" ref="BJ69" si="428">+(BJ68-BE68)*10000</f>
        <v>640.63864368268298</v>
      </c>
      <c r="BK69" s="200">
        <f t="shared" ref="BK69" si="429">+(BK68-BF68)*10000</f>
        <v>534.49758006465788</v>
      </c>
      <c r="BL69" s="200">
        <f t="shared" ref="BL69" si="430">+(BL68-BG68)*10000</f>
        <v>531.81737426870598</v>
      </c>
      <c r="BM69" s="200">
        <f t="shared" ref="BM69" si="431">+(BM68-BH68)*10000</f>
        <v>493.45242004519866</v>
      </c>
      <c r="BN69" s="226">
        <f t="shared" ref="BN69" si="432">+(BN68-BI68)*10000</f>
        <v>550.2262920013801</v>
      </c>
      <c r="BO69" s="200">
        <f t="shared" ref="BO69" si="433">+(BO68-BJ68)*10000</f>
        <v>414.19038457268522</v>
      </c>
      <c r="BP69" s="200">
        <f t="shared" ref="BP69" si="434">+(BP68-BK68)*10000</f>
        <v>449.091578798233</v>
      </c>
      <c r="BQ69" s="200">
        <f t="shared" ref="BQ69" si="435">+(BQ68-BL68)*10000</f>
        <v>394.59690441841639</v>
      </c>
      <c r="BR69" s="200">
        <f t="shared" ref="BR69" si="436">+(BR68-BM68)*10000</f>
        <v>411.65346397836254</v>
      </c>
      <c r="BS69" s="226">
        <f t="shared" ref="BS69" si="437">+(BS68-BN68)*10000</f>
        <v>418.4806679483591</v>
      </c>
      <c r="BT69" s="200">
        <f t="shared" ref="BT69" si="438">+(BT68-BO68)*10000</f>
        <v>272.19134369399103</v>
      </c>
      <c r="BU69" s="200">
        <f t="shared" ref="BU69" si="439">+(BU68-BP68)*10000</f>
        <v>223.05041948022935</v>
      </c>
      <c r="BV69" s="200">
        <f t="shared" ref="BV69" si="440">+(BV68-BQ68)*10000</f>
        <v>199.36404110877825</v>
      </c>
      <c r="BW69" s="200">
        <f t="shared" ref="BW69" si="441">+(BW68-BR68)*10000</f>
        <v>185.65370661048354</v>
      </c>
      <c r="BX69" s="226">
        <f t="shared" ref="BX69" si="442">+(BX68-BS68)*10000</f>
        <v>221.1115149154169</v>
      </c>
      <c r="BY69" s="200">
        <f t="shared" ref="BY69" si="443">+(BY68-BT68)*10000</f>
        <v>126.23532429700046</v>
      </c>
      <c r="BZ69" s="200">
        <f t="shared" ref="BZ69" si="444">+(BZ68-BU68)*10000</f>
        <v>94.842381394466543</v>
      </c>
      <c r="CA69" s="200">
        <f t="shared" ref="CA69" si="445">+(CA68-BV68)*10000</f>
        <v>101.68671947778485</v>
      </c>
      <c r="CB69" s="200">
        <f t="shared" ref="CB69" si="446">+(CB68-BW68)*10000</f>
        <v>91.52577931150374</v>
      </c>
      <c r="CC69" s="226">
        <f t="shared" ref="CC69" si="447">+(CC68-BX68)*10000</f>
        <v>104.02085310112608</v>
      </c>
      <c r="CD69" s="200">
        <f t="shared" ref="CD69" si="448">+(CD68-BY68)*10000</f>
        <v>107.9283420553373</v>
      </c>
      <c r="CE69" s="200">
        <f t="shared" ref="CE69" si="449">+(CE68-BZ68)*10000</f>
        <v>116.50396229115401</v>
      </c>
      <c r="CF69" s="200">
        <f t="shared" ref="CF69" si="450">+(CF68-CA68)*10000</f>
        <v>78.770566316402338</v>
      </c>
      <c r="CG69" s="200">
        <f t="shared" ref="CG69" si="451">+(CG68-CB68)*10000</f>
        <v>65.917691795285009</v>
      </c>
      <c r="CH69" s="226">
        <f t="shared" ref="CH69" si="452">+(CH68-CC68)*10000</f>
        <v>93.241639215649315</v>
      </c>
      <c r="CI69" s="200">
        <f t="shared" ref="CI69" si="453">+(CI68-CD68)*10000</f>
        <v>57.841273883268428</v>
      </c>
      <c r="CJ69" s="200">
        <f t="shared" ref="CJ69" si="454">+(CJ68-CE68)*10000</f>
        <v>28.667616500070991</v>
      </c>
      <c r="CK69" s="200">
        <f t="shared" ref="CK69" si="455">+(CK68-CF68)*10000</f>
        <v>10.399588103539026</v>
      </c>
      <c r="CL69" s="200">
        <f t="shared" ref="CL69" si="456">+(CL68-CG68)*10000</f>
        <v>-9.8306380150953174</v>
      </c>
      <c r="CM69" s="226">
        <f t="shared" ref="CM69" si="457">+(CM68-CH68)*10000</f>
        <v>22.743386755009197</v>
      </c>
    </row>
    <row r="70" spans="1:91" s="14" customFormat="1" ht="12.75" customHeight="1">
      <c r="A70" s="14" t="str">
        <f>A21</f>
        <v>Income before taxes</v>
      </c>
      <c r="B70" s="208">
        <f t="shared" ref="B70:AG70" si="458">B21/B$7</f>
        <v>-1.8060385338345866</v>
      </c>
      <c r="C70" s="208">
        <f t="shared" si="458"/>
        <v>-1.7490192232247943</v>
      </c>
      <c r="D70" s="208">
        <f t="shared" si="458"/>
        <v>-2.4037908731584623</v>
      </c>
      <c r="E70" s="208">
        <f t="shared" si="458"/>
        <v>-0.67398260173982594</v>
      </c>
      <c r="F70" s="222">
        <f t="shared" si="458"/>
        <v>-1.4735765017455158</v>
      </c>
      <c r="G70" s="208">
        <f t="shared" si="458"/>
        <v>-0.75287562904385308</v>
      </c>
      <c r="H70" s="208">
        <f t="shared" si="458"/>
        <v>-1.0554122381591164</v>
      </c>
      <c r="I70" s="208">
        <f t="shared" si="458"/>
        <v>-0.99930850082979883</v>
      </c>
      <c r="J70" s="208">
        <f t="shared" si="458"/>
        <v>-0.68974538374958194</v>
      </c>
      <c r="K70" s="222">
        <f t="shared" si="458"/>
        <v>-0.85365019472853831</v>
      </c>
      <c r="L70" s="208">
        <f t="shared" si="458"/>
        <v>-0.49496658027554202</v>
      </c>
      <c r="M70" s="208">
        <f t="shared" si="458"/>
        <v>-0.17215377489578504</v>
      </c>
      <c r="N70" s="208">
        <f t="shared" si="458"/>
        <v>-0.12831974756770972</v>
      </c>
      <c r="O70" s="208">
        <f t="shared" si="458"/>
        <v>-0.27866193936117789</v>
      </c>
      <c r="P70" s="222">
        <f t="shared" si="458"/>
        <v>-0.24615743440233223</v>
      </c>
      <c r="Q70" s="208">
        <f t="shared" si="458"/>
        <v>-0.22861798252110785</v>
      </c>
      <c r="R70" s="208">
        <f t="shared" si="458"/>
        <v>-0.35433783070777147</v>
      </c>
      <c r="S70" s="208">
        <f t="shared" si="458"/>
        <v>-0.20556799742520337</v>
      </c>
      <c r="T70" s="208">
        <f t="shared" si="458"/>
        <v>-0.46464324020634362</v>
      </c>
      <c r="U70" s="222">
        <f t="shared" si="458"/>
        <v>-0.31617549611132412</v>
      </c>
      <c r="V70" s="208">
        <f t="shared" si="458"/>
        <v>-0.62630140469077722</v>
      </c>
      <c r="W70" s="208">
        <f t="shared" si="458"/>
        <v>-0.66619254948371887</v>
      </c>
      <c r="X70" s="208">
        <f t="shared" si="458"/>
        <v>-0.7429071840808622</v>
      </c>
      <c r="Y70" s="208">
        <f t="shared" si="458"/>
        <v>-0.65069190069190075</v>
      </c>
      <c r="Z70" s="222">
        <f t="shared" si="458"/>
        <v>-0.67276858475644508</v>
      </c>
      <c r="AA70" s="208">
        <f t="shared" si="458"/>
        <v>-0.9699164403375683</v>
      </c>
      <c r="AB70" s="208">
        <f t="shared" si="458"/>
        <v>-1.8426299201055483</v>
      </c>
      <c r="AC70" s="208">
        <f t="shared" si="458"/>
        <v>-1.0282528704303091</v>
      </c>
      <c r="AD70" s="208">
        <f t="shared" si="458"/>
        <v>-0.93772607986382028</v>
      </c>
      <c r="AE70" s="222">
        <f t="shared" si="458"/>
        <v>-1.1879529650441119</v>
      </c>
      <c r="AF70" s="208">
        <f t="shared" si="458"/>
        <v>-0.84129931475985509</v>
      </c>
      <c r="AG70" s="208">
        <f t="shared" si="458"/>
        <v>-0.64325920524972624</v>
      </c>
      <c r="AH70" s="208">
        <f t="shared" ref="AH70:BM70" si="459">AH21/AH$7</f>
        <v>-0.55026917429909794</v>
      </c>
      <c r="AI70" s="208">
        <f t="shared" si="459"/>
        <v>-0.4929443935661123</v>
      </c>
      <c r="AJ70" s="222">
        <f t="shared" si="459"/>
        <v>-0.62354685183740355</v>
      </c>
      <c r="AK70" s="208">
        <f t="shared" si="459"/>
        <v>-0.33243318634229713</v>
      </c>
      <c r="AL70" s="208">
        <f t="shared" si="459"/>
        <v>-0.3290715716421701</v>
      </c>
      <c r="AM70" s="208">
        <f t="shared" si="459"/>
        <v>-0.28721615241596865</v>
      </c>
      <c r="AN70" s="208">
        <f t="shared" si="459"/>
        <v>-0.37939389735102619</v>
      </c>
      <c r="AO70" s="222">
        <f t="shared" si="459"/>
        <v>-0.33273569178475176</v>
      </c>
      <c r="AP70" s="208">
        <f t="shared" si="459"/>
        <v>-0.29879933749772691</v>
      </c>
      <c r="AQ70" s="208">
        <f t="shared" si="459"/>
        <v>-0.23683258074523456</v>
      </c>
      <c r="AR70" s="208">
        <f t="shared" si="459"/>
        <v>-0.18147332538952313</v>
      </c>
      <c r="AS70" s="208">
        <f t="shared" ref="AS70" si="460">AS21/AS$7</f>
        <v>-0.23290763903209061</v>
      </c>
      <c r="AT70" s="222">
        <f t="shared" si="459"/>
        <v>-0.23359785585033307</v>
      </c>
      <c r="AU70" s="364">
        <f t="shared" si="459"/>
        <v>-0.13306630767703115</v>
      </c>
      <c r="AV70" s="208">
        <f t="shared" si="459"/>
        <v>-0.1125235844076508</v>
      </c>
      <c r="AW70" s="208">
        <f t="shared" si="459"/>
        <v>-9.3767896090917263E-2</v>
      </c>
      <c r="AX70" s="208">
        <f t="shared" si="459"/>
        <v>-0.14613176960110233</v>
      </c>
      <c r="AY70" s="222">
        <f t="shared" si="459"/>
        <v>-0.12144720925252012</v>
      </c>
      <c r="AZ70" s="208">
        <f t="shared" si="459"/>
        <v>3.7299833034160297E-2</v>
      </c>
      <c r="BA70" s="208">
        <f t="shared" si="459"/>
        <v>4.3969599957074432E-2</v>
      </c>
      <c r="BB70" s="208">
        <f t="shared" si="459"/>
        <v>3.4888498760371513E-2</v>
      </c>
      <c r="BC70" s="208">
        <f t="shared" si="459"/>
        <v>-8.1055762137885092E-3</v>
      </c>
      <c r="BD70" s="222">
        <f t="shared" si="459"/>
        <v>2.5945372981593249E-2</v>
      </c>
      <c r="BE70" s="208">
        <f t="shared" si="459"/>
        <v>0.13986513547677104</v>
      </c>
      <c r="BF70" s="208">
        <f t="shared" si="459"/>
        <v>0.14079979741373691</v>
      </c>
      <c r="BG70" s="208">
        <f t="shared" si="459"/>
        <v>0.13355482699532631</v>
      </c>
      <c r="BH70" s="208">
        <f t="shared" si="459"/>
        <v>9.2908783166467265E-2</v>
      </c>
      <c r="BI70" s="222">
        <f t="shared" si="459"/>
        <v>0.12582304954292786</v>
      </c>
      <c r="BJ70" s="208">
        <f t="shared" si="459"/>
        <v>0.20691998209635995</v>
      </c>
      <c r="BK70" s="208">
        <f t="shared" si="459"/>
        <v>0.19759546893235402</v>
      </c>
      <c r="BL70" s="208">
        <f t="shared" si="459"/>
        <v>0.19023955555014468</v>
      </c>
      <c r="BM70" s="208">
        <f t="shared" si="459"/>
        <v>0.14588405533305349</v>
      </c>
      <c r="BN70" s="222">
        <f t="shared" ref="BN70:CM70" si="461">BN21/BN$7</f>
        <v>0.18421530480620821</v>
      </c>
      <c r="BO70" s="208">
        <f t="shared" si="461"/>
        <v>0.25223416880800792</v>
      </c>
      <c r="BP70" s="208">
        <f t="shared" si="461"/>
        <v>0.24662420924745515</v>
      </c>
      <c r="BQ70" s="208">
        <f t="shared" si="461"/>
        <v>0.23403036936251143</v>
      </c>
      <c r="BR70" s="208">
        <f t="shared" si="461"/>
        <v>0.19161139337492161</v>
      </c>
      <c r="BS70" s="222">
        <f t="shared" si="461"/>
        <v>0.23029608416734554</v>
      </c>
      <c r="BT70" s="208">
        <f t="shared" si="461"/>
        <v>0.28418691261614504</v>
      </c>
      <c r="BU70" s="208">
        <f t="shared" si="461"/>
        <v>0.26974934182739763</v>
      </c>
      <c r="BV70" s="208">
        <f t="shared" si="461"/>
        <v>0.25497919663037572</v>
      </c>
      <c r="BW70" s="208">
        <f t="shared" si="461"/>
        <v>0.21137885279190458</v>
      </c>
      <c r="BX70" s="222">
        <f t="shared" si="461"/>
        <v>0.25429916182332452</v>
      </c>
      <c r="BY70" s="208">
        <f t="shared" si="461"/>
        <v>0.29822661458308941</v>
      </c>
      <c r="BZ70" s="208">
        <f t="shared" si="461"/>
        <v>0.28494916002186943</v>
      </c>
      <c r="CA70" s="208">
        <f t="shared" si="461"/>
        <v>0.2708743202604551</v>
      </c>
      <c r="CB70" s="208">
        <f t="shared" si="461"/>
        <v>0.22631558951516306</v>
      </c>
      <c r="CC70" s="222">
        <f t="shared" si="461"/>
        <v>0.26940696572161138</v>
      </c>
      <c r="CD70" s="208">
        <f t="shared" si="461"/>
        <v>0.31486333799965999</v>
      </c>
      <c r="CE70" s="208">
        <f t="shared" si="461"/>
        <v>0.30237810968018503</v>
      </c>
      <c r="CF70" s="208">
        <f t="shared" si="461"/>
        <v>0.28219330748419102</v>
      </c>
      <c r="CG70" s="208">
        <f t="shared" si="461"/>
        <v>0.23643216315688148</v>
      </c>
      <c r="CH70" s="222">
        <f t="shared" si="461"/>
        <v>0.28334939729324249</v>
      </c>
      <c r="CI70" s="208">
        <f t="shared" si="461"/>
        <v>0.32431798191288003</v>
      </c>
      <c r="CJ70" s="208">
        <f t="shared" si="461"/>
        <v>0.30898190903609862</v>
      </c>
      <c r="CK70" s="208">
        <f t="shared" si="461"/>
        <v>0.28951513630704806</v>
      </c>
      <c r="CL70" s="208">
        <f t="shared" si="461"/>
        <v>0.24178085171413519</v>
      </c>
      <c r="CM70" s="222">
        <f t="shared" si="461"/>
        <v>0.29064719433181002</v>
      </c>
    </row>
    <row r="71" spans="1:91" s="13" customFormat="1" ht="12.75" customHeight="1">
      <c r="A71" s="64" t="str">
        <f>A22</f>
        <v>Income tax</v>
      </c>
      <c r="B71" s="52">
        <f>-B22/B21</f>
        <v>0</v>
      </c>
      <c r="C71" s="52">
        <f t="shared" ref="C71:AR71" si="462">-C22/C21</f>
        <v>0</v>
      </c>
      <c r="D71" s="52">
        <f t="shared" si="462"/>
        <v>0</v>
      </c>
      <c r="E71" s="52">
        <f t="shared" si="462"/>
        <v>5.1924931384912112E-4</v>
      </c>
      <c r="F71" s="220">
        <f t="shared" si="462"/>
        <v>9.5308117528524364E-5</v>
      </c>
      <c r="G71" s="52">
        <f t="shared" si="462"/>
        <v>0</v>
      </c>
      <c r="H71" s="52">
        <f t="shared" si="462"/>
        <v>1.466562377786469E-4</v>
      </c>
      <c r="I71" s="52">
        <f t="shared" si="462"/>
        <v>0</v>
      </c>
      <c r="J71" s="52">
        <f t="shared" si="462"/>
        <v>1.5436182411572724E-3</v>
      </c>
      <c r="K71" s="220">
        <f t="shared" si="462"/>
        <v>4.9112104841419623E-4</v>
      </c>
      <c r="L71" s="52">
        <f t="shared" si="462"/>
        <v>1.4330595822080146E-3</v>
      </c>
      <c r="M71" s="52">
        <f t="shared" si="462"/>
        <v>-0.12989668532070603</v>
      </c>
      <c r="N71" s="52">
        <f t="shared" si="462"/>
        <v>-2.587090163934426E-2</v>
      </c>
      <c r="O71" s="52">
        <f t="shared" si="462"/>
        <v>-2.7899811719062011E-2</v>
      </c>
      <c r="P71" s="220">
        <f t="shared" si="462"/>
        <v>-3.5474701534963064E-2</v>
      </c>
      <c r="Q71" s="52">
        <f t="shared" si="462"/>
        <v>9.070882467280036E-4</v>
      </c>
      <c r="R71" s="52">
        <f t="shared" si="462"/>
        <v>1.4465007445224412E-3</v>
      </c>
      <c r="S71" s="52">
        <f t="shared" si="462"/>
        <v>4.436036271120102E-3</v>
      </c>
      <c r="T71" s="52">
        <f t="shared" si="462"/>
        <v>7.2274588474538996E-3</v>
      </c>
      <c r="U71" s="220">
        <f t="shared" si="462"/>
        <v>4.1805927837894495E-3</v>
      </c>
      <c r="V71" s="52">
        <f t="shared" si="462"/>
        <v>2.2326865308110746E-3</v>
      </c>
      <c r="W71" s="52">
        <f t="shared" si="462"/>
        <v>1.3527388887983444E-3</v>
      </c>
      <c r="X71" s="52">
        <f t="shared" si="462"/>
        <v>1.3634039652331983E-3</v>
      </c>
      <c r="Y71" s="52">
        <f t="shared" si="462"/>
        <v>1.5637216575449566E-4</v>
      </c>
      <c r="Z71" s="220">
        <f t="shared" si="462"/>
        <v>1.1934028689404971E-3</v>
      </c>
      <c r="AA71" s="52">
        <f t="shared" si="462"/>
        <v>-2.5748862758561504E-4</v>
      </c>
      <c r="AB71" s="52">
        <f t="shared" si="462"/>
        <v>2.2176697561557745E-3</v>
      </c>
      <c r="AC71" s="52">
        <f t="shared" si="462"/>
        <v>9.5260973649986325E-4</v>
      </c>
      <c r="AD71" s="52">
        <f t="shared" si="462"/>
        <v>5.0592911949844093E-3</v>
      </c>
      <c r="AE71" s="220">
        <f t="shared" si="462"/>
        <v>2.1328389790835722E-3</v>
      </c>
      <c r="AF71" s="52">
        <f t="shared" si="462"/>
        <v>2.2163325237563145E-3</v>
      </c>
      <c r="AG71" s="52">
        <f t="shared" si="462"/>
        <v>5.6221166815909711E-3</v>
      </c>
      <c r="AH71" s="52">
        <f t="shared" si="462"/>
        <v>6.2257798106854726E-3</v>
      </c>
      <c r="AI71" s="52">
        <f t="shared" si="462"/>
        <v>-7.0780945403163577E-3</v>
      </c>
      <c r="AJ71" s="220">
        <f t="shared" si="462"/>
        <v>1.9479706979706978E-3</v>
      </c>
      <c r="AK71" s="52">
        <f t="shared" si="462"/>
        <v>7.2305934442619454E-3</v>
      </c>
      <c r="AL71" s="52">
        <f t="shared" si="462"/>
        <v>2.2804039572724305E-3</v>
      </c>
      <c r="AM71" s="52">
        <f t="shared" si="462"/>
        <v>5.4550413673970348E-4</v>
      </c>
      <c r="AN71" s="52">
        <f t="shared" si="462"/>
        <v>9.35128710802304E-3</v>
      </c>
      <c r="AO71" s="220">
        <f t="shared" si="462"/>
        <v>5.2216985160453344E-3</v>
      </c>
      <c r="AP71" s="52">
        <f t="shared" si="462"/>
        <v>4.7699722025757851E-3</v>
      </c>
      <c r="AQ71" s="52">
        <f t="shared" si="462"/>
        <v>6.9133646254047963E-4</v>
      </c>
      <c r="AR71" s="52">
        <f t="shared" si="462"/>
        <v>2.8259153056559875E-3</v>
      </c>
      <c r="AS71" s="52">
        <f t="shared" ref="AS71" si="463">-AS22/AS21</f>
        <v>-2.6362789845670063E-2</v>
      </c>
      <c r="AT71" s="220">
        <f>-AT22/AT21</f>
        <v>-5.5057149582821143E-3</v>
      </c>
      <c r="AU71" s="366">
        <v>5.0000000000000001E-3</v>
      </c>
      <c r="AV71" s="197">
        <v>5.0000000000000001E-3</v>
      </c>
      <c r="AW71" s="197">
        <v>5.0000000000000001E-3</v>
      </c>
      <c r="AX71" s="197">
        <v>5.0000000000000001E-3</v>
      </c>
      <c r="AY71" s="220">
        <f>-AY22/AY21</f>
        <v>-4.9999999999999984E-3</v>
      </c>
      <c r="AZ71" s="197">
        <v>5.0000000000000001E-3</v>
      </c>
      <c r="BA71" s="197">
        <v>5.0000000000000001E-3</v>
      </c>
      <c r="BB71" s="197">
        <v>5.0000000000000001E-3</v>
      </c>
      <c r="BC71" s="197">
        <v>5.0000000000000001E-3</v>
      </c>
      <c r="BD71" s="220">
        <f>-BD22/BD21</f>
        <v>-4.9999999999999689E-3</v>
      </c>
      <c r="BE71" s="197">
        <v>5.0000000000000001E-3</v>
      </c>
      <c r="BF71" s="197">
        <v>5.0000000000000001E-3</v>
      </c>
      <c r="BG71" s="197">
        <v>5.0000000000000001E-3</v>
      </c>
      <c r="BH71" s="197">
        <v>5.0000000000000001E-3</v>
      </c>
      <c r="BI71" s="220">
        <f>-BI22/BI21</f>
        <v>-4.9999999999999992E-3</v>
      </c>
      <c r="BJ71" s="197">
        <v>5.0000000000000001E-3</v>
      </c>
      <c r="BK71" s="197">
        <v>5.0000000000000001E-3</v>
      </c>
      <c r="BL71" s="197">
        <v>5.0000000000000001E-3</v>
      </c>
      <c r="BM71" s="197">
        <v>5.0000000000000001E-3</v>
      </c>
      <c r="BN71" s="220">
        <f>-BN22/BN21</f>
        <v>-4.9999999999999966E-3</v>
      </c>
      <c r="BO71" s="197">
        <v>5.0000000000000001E-3</v>
      </c>
      <c r="BP71" s="197">
        <v>5.0000000000000001E-3</v>
      </c>
      <c r="BQ71" s="197">
        <v>5.0000000000000001E-3</v>
      </c>
      <c r="BR71" s="197">
        <v>5.0000000000000001E-3</v>
      </c>
      <c r="BS71" s="220">
        <f>-BS22/BS21</f>
        <v>-4.9999999999999984E-3</v>
      </c>
      <c r="BT71" s="197">
        <v>5.0000000000000001E-3</v>
      </c>
      <c r="BU71" s="197">
        <v>5.0000000000000001E-3</v>
      </c>
      <c r="BV71" s="197">
        <v>5.0000000000000001E-3</v>
      </c>
      <c r="BW71" s="197">
        <v>5.0000000000000001E-3</v>
      </c>
      <c r="BX71" s="220">
        <f>-BX22/BX21</f>
        <v>-4.9999999999999984E-3</v>
      </c>
      <c r="BY71" s="197">
        <v>5.0000000000000001E-3</v>
      </c>
      <c r="BZ71" s="197">
        <v>5.0000000000000001E-3</v>
      </c>
      <c r="CA71" s="197">
        <v>5.0000000000000001E-3</v>
      </c>
      <c r="CB71" s="197">
        <v>5.0000000000000001E-3</v>
      </c>
      <c r="CC71" s="220">
        <f>-CC22/CC21</f>
        <v>-5.0000000000000018E-3</v>
      </c>
      <c r="CD71" s="197">
        <v>5.0000000000000001E-3</v>
      </c>
      <c r="CE71" s="197">
        <v>5.0000000000000001E-3</v>
      </c>
      <c r="CF71" s="197">
        <v>5.0000000000000001E-3</v>
      </c>
      <c r="CG71" s="197">
        <v>5.0000000000000001E-3</v>
      </c>
      <c r="CH71" s="220">
        <f>-CH22/CH21</f>
        <v>-4.9999999999999975E-3</v>
      </c>
      <c r="CI71" s="197">
        <v>5.0000000000000001E-3</v>
      </c>
      <c r="CJ71" s="197">
        <v>5.0000000000000001E-3</v>
      </c>
      <c r="CK71" s="197">
        <v>5.0000000000000001E-3</v>
      </c>
      <c r="CL71" s="197">
        <v>5.0000000000000001E-3</v>
      </c>
      <c r="CM71" s="220">
        <f>-CM22/CM21</f>
        <v>-4.9999999999999984E-3</v>
      </c>
    </row>
    <row r="72" spans="1:91" s="14" customFormat="1" ht="12.75" customHeight="1">
      <c r="A72" s="202" t="s">
        <v>206</v>
      </c>
      <c r="B72" s="208">
        <f>B24/B$7</f>
        <v>-1.8060385338345866</v>
      </c>
      <c r="C72" s="208">
        <f t="shared" ref="C72:BN72" si="464">C24/C$7</f>
        <v>-1.7490192232247943</v>
      </c>
      <c r="D72" s="208">
        <f t="shared" si="464"/>
        <v>-2.4037908731584623</v>
      </c>
      <c r="E72" s="208">
        <f t="shared" si="464"/>
        <v>-0.67433256674332565</v>
      </c>
      <c r="F72" s="222">
        <f t="shared" si="464"/>
        <v>-1.4737169455479315</v>
      </c>
      <c r="G72" s="208">
        <f t="shared" si="464"/>
        <v>-0.75287562904385308</v>
      </c>
      <c r="H72" s="208">
        <f t="shared" si="464"/>
        <v>-1.0555670209472703</v>
      </c>
      <c r="I72" s="208">
        <f t="shared" si="464"/>
        <v>-0.99930850082979883</v>
      </c>
      <c r="J72" s="208">
        <f t="shared" si="464"/>
        <v>-0.69081008730569182</v>
      </c>
      <c r="K72" s="222">
        <f t="shared" si="464"/>
        <v>-0.85406944030715237</v>
      </c>
      <c r="L72" s="208">
        <f t="shared" si="464"/>
        <v>-0.49567589687627861</v>
      </c>
      <c r="M72" s="208">
        <f t="shared" si="464"/>
        <v>-0.14979157017137559</v>
      </c>
      <c r="N72" s="208">
        <f t="shared" si="464"/>
        <v>-0.12500000000000003</v>
      </c>
      <c r="O72" s="208">
        <f t="shared" si="464"/>
        <v>-0.27088732371973234</v>
      </c>
      <c r="P72" s="222">
        <f t="shared" si="464"/>
        <v>-0.23742507288629724</v>
      </c>
      <c r="Q72" s="208">
        <f t="shared" si="464"/>
        <v>-0.22882535920604341</v>
      </c>
      <c r="R72" s="208">
        <f t="shared" si="464"/>
        <v>-0.35485038064370267</v>
      </c>
      <c r="S72" s="208">
        <f t="shared" si="464"/>
        <v>-0.20647990451796308</v>
      </c>
      <c r="T72" s="208">
        <f t="shared" si="464"/>
        <v>-0.46800143010368261</v>
      </c>
      <c r="U72" s="222">
        <f t="shared" si="464"/>
        <v>-0.31749729710877816</v>
      </c>
      <c r="V72" s="208">
        <f t="shared" si="464"/>
        <v>-0.62769973940125834</v>
      </c>
      <c r="W72" s="208">
        <f t="shared" si="464"/>
        <v>-0.66709373405283323</v>
      </c>
      <c r="X72" s="208">
        <f t="shared" si="464"/>
        <v>-0.74392006668143829</v>
      </c>
      <c r="Y72" s="208">
        <f t="shared" si="464"/>
        <v>-0.65079365079365081</v>
      </c>
      <c r="Z72" s="222">
        <f t="shared" si="464"/>
        <v>-0.67357146871562645</v>
      </c>
      <c r="AA72" s="208">
        <f t="shared" si="464"/>
        <v>-0.96966669788447313</v>
      </c>
      <c r="AB72" s="208">
        <f t="shared" si="464"/>
        <v>-0.93246536685479697</v>
      </c>
      <c r="AC72" s="208">
        <f t="shared" si="464"/>
        <v>-1.0292323941262651</v>
      </c>
      <c r="AD72" s="208">
        <f t="shared" si="464"/>
        <v>-0.94247030916298258</v>
      </c>
      <c r="AE72" s="222">
        <f t="shared" si="464"/>
        <v>-0.9685143413904943</v>
      </c>
      <c r="AF72" s="208">
        <f t="shared" si="464"/>
        <v>-0.8431639137933713</v>
      </c>
      <c r="AG72" s="208">
        <f t="shared" si="464"/>
        <v>-0.64687568355814762</v>
      </c>
      <c r="AH72" s="208">
        <f t="shared" si="464"/>
        <v>-0.55369502901489187</v>
      </c>
      <c r="AI72" s="208">
        <f t="shared" si="464"/>
        <v>-0.48945528654533249</v>
      </c>
      <c r="AJ72" s="222">
        <f t="shared" si="464"/>
        <v>-0.62476150283359466</v>
      </c>
      <c r="AK72" s="208">
        <f t="shared" si="464"/>
        <v>-0.33483687556011887</v>
      </c>
      <c r="AL72" s="208">
        <f t="shared" si="464"/>
        <v>-0.32982198775636878</v>
      </c>
      <c r="AM72" s="208">
        <f t="shared" si="464"/>
        <v>-0.28737283001525005</v>
      </c>
      <c r="AN72" s="208">
        <f t="shared" si="464"/>
        <v>-0.3829417186121874</v>
      </c>
      <c r="AO72" s="222">
        <f t="shared" si="464"/>
        <v>-0.3344731372527795</v>
      </c>
      <c r="AP72" s="208">
        <f t="shared" si="464"/>
        <v>-0.30022460203173912</v>
      </c>
      <c r="AQ72" s="208">
        <f t="shared" si="464"/>
        <v>-0.23699631174382127</v>
      </c>
      <c r="AR72" s="208">
        <f t="shared" si="464"/>
        <v>-0.18198615363730969</v>
      </c>
      <c r="AS72" s="208">
        <f t="shared" ref="AS72" si="465">AS24/AS$7</f>
        <v>-0.22676754389083642</v>
      </c>
      <c r="AT72" s="222">
        <f t="shared" si="464"/>
        <v>-0.23231173264115526</v>
      </c>
      <c r="AU72" s="364">
        <f t="shared" si="464"/>
        <v>-0.13240097613864599</v>
      </c>
      <c r="AV72" s="208">
        <f t="shared" si="464"/>
        <v>-0.11196096648561256</v>
      </c>
      <c r="AW72" s="208">
        <f t="shared" si="464"/>
        <v>-9.3299056610462686E-2</v>
      </c>
      <c r="AX72" s="208">
        <f t="shared" si="464"/>
        <v>-0.14540111075309681</v>
      </c>
      <c r="AY72" s="222">
        <f t="shared" si="464"/>
        <v>-0.12083997320625751</v>
      </c>
      <c r="AZ72" s="208">
        <f t="shared" si="464"/>
        <v>3.711333386898949E-2</v>
      </c>
      <c r="BA72" s="208">
        <f t="shared" si="464"/>
        <v>4.3749751957289057E-2</v>
      </c>
      <c r="BB72" s="208">
        <f t="shared" si="464"/>
        <v>3.4714056266569655E-2</v>
      </c>
      <c r="BC72" s="208">
        <f t="shared" si="464"/>
        <v>-8.0650483327195672E-3</v>
      </c>
      <c r="BD72" s="222">
        <f t="shared" si="464"/>
        <v>2.5815646116685284E-2</v>
      </c>
      <c r="BE72" s="208">
        <f t="shared" si="464"/>
        <v>0.1391658097993872</v>
      </c>
      <c r="BF72" s="208">
        <f t="shared" si="464"/>
        <v>0.14009579842666822</v>
      </c>
      <c r="BG72" s="208">
        <f t="shared" si="464"/>
        <v>0.13288705286034969</v>
      </c>
      <c r="BH72" s="208">
        <f t="shared" si="464"/>
        <v>9.2444239250634941E-2</v>
      </c>
      <c r="BI72" s="222">
        <f t="shared" si="464"/>
        <v>0.12519393429521322</v>
      </c>
      <c r="BJ72" s="208">
        <f t="shared" si="464"/>
        <v>0.20588538218587815</v>
      </c>
      <c r="BK72" s="208">
        <f t="shared" si="464"/>
        <v>0.19660749158769225</v>
      </c>
      <c r="BL72" s="208">
        <f t="shared" si="464"/>
        <v>0.18928835777239397</v>
      </c>
      <c r="BM72" s="208">
        <f t="shared" si="464"/>
        <v>0.1451546350563882</v>
      </c>
      <c r="BN72" s="222">
        <f t="shared" si="464"/>
        <v>0.18329422828217717</v>
      </c>
      <c r="BO72" s="208">
        <f t="shared" ref="BO72:CM72" si="466">BO24/BO$7</f>
        <v>0.25097299796396788</v>
      </c>
      <c r="BP72" s="208">
        <f t="shared" si="466"/>
        <v>0.24539108820121786</v>
      </c>
      <c r="BQ72" s="208">
        <f t="shared" si="466"/>
        <v>0.23286021751569888</v>
      </c>
      <c r="BR72" s="208">
        <f t="shared" si="466"/>
        <v>0.19065333640804699</v>
      </c>
      <c r="BS72" s="222">
        <f t="shared" si="466"/>
        <v>0.22914460374650883</v>
      </c>
      <c r="BT72" s="208">
        <f t="shared" si="466"/>
        <v>0.28276597805306425</v>
      </c>
      <c r="BU72" s="208">
        <f t="shared" si="466"/>
        <v>0.26840059511826064</v>
      </c>
      <c r="BV72" s="208">
        <f t="shared" si="466"/>
        <v>0.25370430064722382</v>
      </c>
      <c r="BW72" s="208">
        <f t="shared" si="466"/>
        <v>0.21032195852794502</v>
      </c>
      <c r="BX72" s="222">
        <f t="shared" si="466"/>
        <v>0.2530276660142079</v>
      </c>
      <c r="BY72" s="208">
        <f t="shared" si="466"/>
        <v>0.29673548151017398</v>
      </c>
      <c r="BZ72" s="208">
        <f t="shared" si="466"/>
        <v>0.28352441422176006</v>
      </c>
      <c r="CA72" s="208">
        <f t="shared" si="466"/>
        <v>0.2695199486591528</v>
      </c>
      <c r="CB72" s="208">
        <f t="shared" si="466"/>
        <v>0.22518401156758727</v>
      </c>
      <c r="CC72" s="222">
        <f t="shared" si="466"/>
        <v>0.26805993089300334</v>
      </c>
      <c r="CD72" s="208">
        <f t="shared" si="466"/>
        <v>0.31328902130966174</v>
      </c>
      <c r="CE72" s="208">
        <f t="shared" si="466"/>
        <v>0.30086621913178407</v>
      </c>
      <c r="CF72" s="208">
        <f t="shared" si="466"/>
        <v>0.28078234094677007</v>
      </c>
      <c r="CG72" s="208">
        <f t="shared" si="466"/>
        <v>0.23525000234109708</v>
      </c>
      <c r="CH72" s="222">
        <f t="shared" si="466"/>
        <v>0.28193265030677628</v>
      </c>
      <c r="CI72" s="208">
        <f t="shared" si="466"/>
        <v>0.32269639200331562</v>
      </c>
      <c r="CJ72" s="208">
        <f t="shared" si="466"/>
        <v>0.30743699949091813</v>
      </c>
      <c r="CK72" s="208">
        <f t="shared" si="466"/>
        <v>0.28806756062551286</v>
      </c>
      <c r="CL72" s="208">
        <f t="shared" si="466"/>
        <v>0.24057194745556451</v>
      </c>
      <c r="CM72" s="222">
        <f t="shared" si="466"/>
        <v>0.28919395836015099</v>
      </c>
    </row>
    <row r="73" spans="1:91" s="13" customFormat="1" ht="12.75" customHeight="1">
      <c r="F73" s="224"/>
      <c r="K73" s="224"/>
      <c r="P73" s="224"/>
      <c r="U73" s="224"/>
      <c r="Z73" s="224"/>
      <c r="AE73" s="224"/>
      <c r="AJ73" s="224"/>
      <c r="AO73" s="224"/>
      <c r="AT73" s="224"/>
      <c r="AU73" s="372"/>
      <c r="AY73" s="224"/>
      <c r="BD73" s="224"/>
      <c r="BI73" s="224"/>
      <c r="BN73" s="224"/>
      <c r="BS73" s="224"/>
      <c r="BX73" s="224"/>
      <c r="CC73" s="224"/>
      <c r="CH73" s="224"/>
      <c r="CM73" s="224"/>
    </row>
    <row r="74" spans="1:91" ht="12.75" customHeight="1">
      <c r="F74" s="214"/>
      <c r="K74" s="214"/>
      <c r="P74" s="214"/>
      <c r="U74" s="214"/>
      <c r="Z74" s="214"/>
      <c r="AE74" s="214"/>
      <c r="AJ74" s="214"/>
      <c r="AO74" s="214"/>
      <c r="AT74" s="214"/>
      <c r="AU74" s="360"/>
      <c r="AY74" s="214"/>
      <c r="BD74" s="214"/>
      <c r="BI74" s="214"/>
      <c r="BN74" s="214"/>
      <c r="BS74" s="214"/>
      <c r="BX74" s="214"/>
      <c r="CC74" s="214"/>
      <c r="CH74" s="214"/>
      <c r="CM74" s="214"/>
    </row>
    <row r="75" spans="1:91">
      <c r="F75" s="225"/>
      <c r="K75" s="225"/>
      <c r="P75" s="225"/>
      <c r="U75" s="225"/>
      <c r="Z75" s="225"/>
      <c r="AE75" s="225"/>
      <c r="AJ75" s="225"/>
      <c r="AO75" s="225"/>
      <c r="AT75" s="225"/>
      <c r="AU75" s="360"/>
      <c r="AY75" s="225"/>
      <c r="BD75" s="225"/>
      <c r="BI75" s="225"/>
      <c r="BN75" s="225"/>
      <c r="BS75" s="225"/>
      <c r="BX75" s="225"/>
      <c r="CC75" s="225"/>
      <c r="CH75" s="225"/>
      <c r="CM75" s="225"/>
    </row>
    <row r="77" spans="1:91">
      <c r="A77" s="1" t="s">
        <v>406</v>
      </c>
      <c r="AT77" s="9">
        <f>(AT17-AO17)/(AT7-AO7)</f>
        <v>0.15961399971194071</v>
      </c>
      <c r="AY77" s="9">
        <f>(AY17-AT17)/(AY7-AT7)</f>
        <v>0.19747831719145428</v>
      </c>
      <c r="BD77" s="9">
        <f>(BD17-AY17)/(BD7-AY7)</f>
        <v>0.4087928678207251</v>
      </c>
      <c r="BI77" s="9">
        <f>(BI17-BD17)/(BI7-BD7)</f>
        <v>0.45808608721568661</v>
      </c>
      <c r="BN77" s="9">
        <f>(BN17-BI17)/(BN7-BI7)</f>
        <v>0.43908648449269788</v>
      </c>
      <c r="BS77" s="9">
        <f>(BS17-BN17)/(BS7-BN7)</f>
        <v>0.44917300404740879</v>
      </c>
      <c r="BX77" s="9">
        <f>(BX17-BS17)/(BX7-BS7)</f>
        <v>0.41091365760229975</v>
      </c>
      <c r="CC77" s="9">
        <f>(CC17-BX17)/(CC7-BX7)</f>
        <v>0.35992013415720203</v>
      </c>
      <c r="CH77" s="9">
        <f>(CH17-CC17)/(CH7-CC7)</f>
        <v>0.36746929096425895</v>
      </c>
      <c r="CM77" s="9">
        <f>(CM17-CH17)/(CM7-CH7)</f>
        <v>0.29594775251817118</v>
      </c>
    </row>
    <row r="78" spans="1:91">
      <c r="F78" s="1">
        <f>+F11/(F13+F14+F15)</f>
        <v>0.20480528957785096</v>
      </c>
      <c r="K78" s="1">
        <f>+K11/(K13+K14+K15)</f>
        <v>0.35768323982332584</v>
      </c>
      <c r="P78" s="1">
        <f>+P11/(P13+P14+P15)</f>
        <v>0.68839074765642871</v>
      </c>
      <c r="U78" s="1">
        <f>+U11/(U13+U14+U15)</f>
        <v>0.66567761733952513</v>
      </c>
      <c r="Z78" s="1">
        <f>+Z11/(Z13+Z14+Z15)</f>
        <v>0.50310984296871608</v>
      </c>
      <c r="AE78" s="1">
        <f>+AE11/(AE13+AE14+AE15)</f>
        <v>0.4068791285767423</v>
      </c>
      <c r="AJ78" s="1">
        <f>+AJ11/(AJ13+AJ14+AJ15)</f>
        <v>0.47295753594668161</v>
      </c>
      <c r="AO78" s="1">
        <f>+AO11/(AO13+AO14+AO15)</f>
        <v>0.6068796036351054</v>
      </c>
      <c r="AT78" s="1">
        <f>+AT11/(AT13+AT14+AT15)</f>
        <v>0.71350673090328887</v>
      </c>
    </row>
    <row r="79" spans="1:91">
      <c r="A79" s="1" t="s">
        <v>417</v>
      </c>
    </row>
    <row r="80" spans="1:91">
      <c r="F80" s="1">
        <f>+CF!F13/IS!F16</f>
        <v>4.0578492293403511E-2</v>
      </c>
      <c r="K80" s="1">
        <f>+CF!K13/IS!K16</f>
        <v>5.1114659185866065E-2</v>
      </c>
      <c r="P80" s="1">
        <f>+CF!P13/IS!P16</f>
        <v>8.0757945278561102E-2</v>
      </c>
      <c r="U80" s="1">
        <f>+CF!U13/IS!U16</f>
        <v>0.48813310165191559</v>
      </c>
      <c r="Z80" s="1">
        <f>+CF!Z13/IS!Z16</f>
        <v>0.29884683234078829</v>
      </c>
      <c r="AE80" s="1">
        <f>+CF!AE13/IS!AE16</f>
        <v>0.12853737405550111</v>
      </c>
      <c r="AJ80" s="1">
        <f>+CF!AJ13/IS!AJ16</f>
        <v>0.12446294251959325</v>
      </c>
      <c r="AO80" s="1">
        <f>+CF!AO13/IS!AO16</f>
        <v>0.18541441629406219</v>
      </c>
      <c r="AT80" s="1">
        <f>+CF!AT13/IS!AT16</f>
        <v>0.18392085351792881</v>
      </c>
    </row>
    <row r="83" spans="1:57">
      <c r="A83" s="1" t="s">
        <v>424</v>
      </c>
    </row>
    <row r="84" spans="1:57">
      <c r="A84" s="1" t="s">
        <v>404</v>
      </c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>
        <f>3.526-AL84</f>
        <v>1.7559999999999998</v>
      </c>
      <c r="AL84" s="10">
        <v>1.77</v>
      </c>
      <c r="AM84" s="10"/>
      <c r="AN84" s="10"/>
      <c r="AO84" s="10">
        <v>9.3650000000000002</v>
      </c>
      <c r="AP84" s="10">
        <f>4.943-AQ84</f>
        <v>2.2859999999999996</v>
      </c>
      <c r="AQ84" s="10">
        <v>2.657</v>
      </c>
      <c r="AR84" s="10">
        <v>2.5640000000000001</v>
      </c>
      <c r="AS84" s="10">
        <v>3.4990000000000001</v>
      </c>
      <c r="AT84" s="59">
        <f>SUM(AP84:AS84)</f>
        <v>11.006</v>
      </c>
      <c r="AU84" s="10">
        <v>10.699</v>
      </c>
      <c r="AV84" s="10"/>
      <c r="AW84" s="10"/>
      <c r="AX84" s="10"/>
      <c r="AY84" s="10"/>
      <c r="AZ84" s="10"/>
      <c r="BA84" s="10"/>
      <c r="BB84" s="10"/>
      <c r="BC84" s="10"/>
      <c r="BD84" s="10"/>
      <c r="BE84" s="10"/>
    </row>
    <row r="85" spans="1:57">
      <c r="A85" s="1" t="s">
        <v>410</v>
      </c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>
        <f>19.77-AL85</f>
        <v>9.9320000000000004</v>
      </c>
      <c r="AL85" s="10">
        <v>9.8379999999999992</v>
      </c>
      <c r="AM85" s="10"/>
      <c r="AN85" s="10"/>
      <c r="AO85" s="10">
        <v>50.566000000000003</v>
      </c>
      <c r="AP85" s="10">
        <f>26.31-AQ85</f>
        <v>12.526999999999999</v>
      </c>
      <c r="AQ85" s="10">
        <v>13.782999999999999</v>
      </c>
      <c r="AR85" s="10">
        <v>13.75</v>
      </c>
      <c r="AS85" s="10">
        <v>11.904</v>
      </c>
      <c r="AT85" s="59">
        <f>SUM(AP85:AS85)</f>
        <v>51.963999999999999</v>
      </c>
      <c r="AU85" s="10">
        <v>50.936999999999998</v>
      </c>
      <c r="AV85" s="10"/>
      <c r="AW85" s="10"/>
      <c r="AX85" s="10"/>
      <c r="AY85" s="10"/>
      <c r="AZ85" s="10"/>
      <c r="BA85" s="10"/>
      <c r="BB85" s="10"/>
      <c r="BC85" s="10"/>
      <c r="BD85" s="10"/>
      <c r="BE85" s="10"/>
    </row>
    <row r="86" spans="1:57">
      <c r="A86" s="1" t="s">
        <v>411</v>
      </c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>
        <f>14.418-AL86</f>
        <v>7.2559999999999993</v>
      </c>
      <c r="AL86" s="10">
        <v>7.1619999999999999</v>
      </c>
      <c r="AM86" s="10"/>
      <c r="AN86" s="10"/>
      <c r="AO86" s="10">
        <v>36.478999999999999</v>
      </c>
      <c r="AP86" s="10">
        <f>21.273-AQ86</f>
        <v>9.8309999999999995</v>
      </c>
      <c r="AQ86" s="10">
        <v>11.442</v>
      </c>
      <c r="AR86" s="10">
        <v>11.451000000000001</v>
      </c>
      <c r="AS86" s="10">
        <v>12.846</v>
      </c>
      <c r="AT86" s="10">
        <f>SUM(AP86:AS86)</f>
        <v>45.570000000000007</v>
      </c>
      <c r="AU86" s="10">
        <v>44.723999999999997</v>
      </c>
      <c r="AV86" s="10"/>
      <c r="AW86" s="10"/>
      <c r="AX86" s="10"/>
      <c r="AY86" s="10"/>
      <c r="AZ86" s="10"/>
      <c r="BA86" s="10"/>
      <c r="BB86" s="10"/>
      <c r="BC86" s="10"/>
      <c r="BD86" s="10"/>
      <c r="BE86" s="10"/>
    </row>
    <row r="87" spans="1:57">
      <c r="A87" s="1" t="s">
        <v>412</v>
      </c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313">
        <f>16.562-AL87</f>
        <v>8.0970000000000013</v>
      </c>
      <c r="AL87" s="313">
        <v>8.4649999999999999</v>
      </c>
      <c r="AM87" s="313"/>
      <c r="AN87" s="313"/>
      <c r="AO87" s="10">
        <v>44.000999999999998</v>
      </c>
      <c r="AP87" s="313">
        <f>27.693-AQ87</f>
        <v>13.113000000000001</v>
      </c>
      <c r="AQ87" s="313">
        <v>14.58</v>
      </c>
      <c r="AR87" s="313">
        <v>15.779</v>
      </c>
      <c r="AS87" s="313">
        <v>17.062999999999999</v>
      </c>
      <c r="AT87" s="10">
        <f>SUM(AP87:AS87)</f>
        <v>60.534999999999997</v>
      </c>
      <c r="AU87" s="10">
        <v>59.856999999999999</v>
      </c>
      <c r="AV87" s="10"/>
      <c r="AW87" s="10"/>
      <c r="AX87" s="10"/>
      <c r="AY87" s="10"/>
      <c r="AZ87" s="10"/>
      <c r="BA87" s="10"/>
      <c r="BB87" s="10"/>
      <c r="BC87" s="10"/>
      <c r="BD87" s="10"/>
      <c r="BE87" s="10"/>
    </row>
    <row r="88" spans="1:57">
      <c r="A88" s="1" t="s">
        <v>3</v>
      </c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>
        <f>SUM(AK84:AK87)</f>
        <v>27.041</v>
      </c>
      <c r="AL88" s="10">
        <f>SUM(AL84:AL87)</f>
        <v>27.234999999999999</v>
      </c>
      <c r="AM88" s="10"/>
      <c r="AN88" s="10"/>
      <c r="AO88" s="10">
        <f t="shared" ref="AO88:AU88" si="467">SUM(AO84:AO87)</f>
        <v>140.411</v>
      </c>
      <c r="AP88" s="10">
        <f t="shared" si="467"/>
        <v>37.756999999999998</v>
      </c>
      <c r="AQ88" s="10">
        <f t="shared" si="467"/>
        <v>42.461999999999996</v>
      </c>
      <c r="AR88" s="10">
        <f t="shared" si="467"/>
        <v>43.543999999999997</v>
      </c>
      <c r="AS88" s="10">
        <f t="shared" si="467"/>
        <v>45.311999999999998</v>
      </c>
      <c r="AT88" s="10">
        <f t="shared" si="467"/>
        <v>169.07499999999999</v>
      </c>
      <c r="AU88" s="10">
        <f t="shared" si="467"/>
        <v>166.21699999999998</v>
      </c>
      <c r="AV88" s="10"/>
      <c r="AW88" s="10"/>
      <c r="AX88" s="10"/>
      <c r="AY88" s="10"/>
      <c r="AZ88" s="10"/>
      <c r="BA88" s="10"/>
      <c r="BB88" s="10"/>
      <c r="BC88" s="10"/>
      <c r="BD88" s="10"/>
      <c r="BE88" s="10"/>
    </row>
  </sheetData>
  <printOptions horizontalCentered="1" verticalCentered="1"/>
  <pageMargins left="0.5" right="0.5" top="0.5" bottom="0.5" header="0.5" footer="0.5"/>
  <pageSetup scale="71" orientation="landscape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O334"/>
  <sheetViews>
    <sheetView tabSelected="1" zoomScaleNormal="100" workbookViewId="0">
      <pane xSplit="1" ySplit="6" topLeftCell="AN9" activePane="bottomRight" state="frozen"/>
      <selection activeCell="DB8" sqref="DB8"/>
      <selection pane="topRight" activeCell="DB8" sqref="DB8"/>
      <selection pane="bottomLeft" activeCell="DB8" sqref="DB8"/>
      <selection pane="bottomRight" activeCell="AT25" sqref="AT25"/>
    </sheetView>
  </sheetViews>
  <sheetFormatPr defaultColWidth="8" defaultRowHeight="12.75" outlineLevelRow="1" outlineLevelCol="1"/>
  <cols>
    <col min="1" max="1" width="36.28515625" style="18" bestFit="1" customWidth="1"/>
    <col min="2" max="5" width="8.140625" style="18" hidden="1" customWidth="1" outlineLevel="1"/>
    <col min="6" max="6" width="8.140625" style="18" customWidth="1" collapsed="1"/>
    <col min="7" max="10" width="8.140625" style="18" hidden="1" customWidth="1" outlineLevel="1"/>
    <col min="11" max="11" width="8" style="18" customWidth="1" collapsed="1"/>
    <col min="12" max="15" width="8.140625" style="18" hidden="1" customWidth="1" outlineLevel="1"/>
    <col min="16" max="16" width="8" style="18" customWidth="1" collapsed="1"/>
    <col min="17" max="20" width="8.140625" style="18" hidden="1" customWidth="1" outlineLevel="1"/>
    <col min="21" max="21" width="8" style="18" customWidth="1" collapsed="1"/>
    <col min="22" max="25" width="8.140625" style="18" hidden="1" customWidth="1" outlineLevel="1"/>
    <col min="26" max="26" width="8" style="18" customWidth="1" collapsed="1"/>
    <col min="27" max="30" width="8.140625" style="18" hidden="1" customWidth="1" outlineLevel="1"/>
    <col min="31" max="31" width="8.140625" style="18" customWidth="1" collapsed="1"/>
    <col min="32" max="35" width="8.140625" style="18" customWidth="1" outlineLevel="1"/>
    <col min="36" max="36" width="8.140625" style="18" customWidth="1"/>
    <col min="37" max="40" width="8.140625" style="18" customWidth="1" outlineLevel="1"/>
    <col min="41" max="41" width="8.140625" style="18" customWidth="1"/>
    <col min="42" max="45" width="8.140625" style="18" customWidth="1" outlineLevel="1"/>
    <col min="46" max="46" width="8.140625" style="18" customWidth="1"/>
    <col min="47" max="50" width="8.140625" style="18" customWidth="1" outlineLevel="1"/>
    <col min="51" max="51" width="8.140625" style="18" customWidth="1"/>
    <col min="52" max="55" width="8.140625" style="18" customWidth="1" outlineLevel="1"/>
    <col min="56" max="56" width="8.140625" style="18" customWidth="1"/>
    <col min="57" max="60" width="8.140625" style="18" hidden="1" customWidth="1" outlineLevel="1"/>
    <col min="61" max="61" width="8.42578125" style="18" customWidth="1" collapsed="1"/>
    <col min="62" max="65" width="8.140625" style="18" hidden="1" customWidth="1" outlineLevel="1"/>
    <col min="66" max="66" width="9.140625" style="18" bestFit="1" customWidth="1" collapsed="1"/>
    <col min="67" max="70" width="8.140625" style="18" hidden="1" customWidth="1" outlineLevel="1"/>
    <col min="71" max="71" width="9.140625" style="18" bestFit="1" customWidth="1" collapsed="1"/>
    <col min="72" max="75" width="8.140625" style="18" hidden="1" customWidth="1" outlineLevel="1"/>
    <col min="76" max="76" width="8.140625" style="18" customWidth="1" collapsed="1"/>
    <col min="77" max="80" width="8.140625" style="18" hidden="1" customWidth="1" outlineLevel="1"/>
    <col min="81" max="81" width="8.140625" style="18" customWidth="1" collapsed="1"/>
    <col min="82" max="85" width="8.140625" style="18" hidden="1" customWidth="1" outlineLevel="1"/>
    <col min="86" max="86" width="8.140625" style="18" customWidth="1" collapsed="1"/>
    <col min="87" max="90" width="8.140625" style="18" hidden="1" customWidth="1" outlineLevel="1"/>
    <col min="91" max="91" width="8.28515625" style="18" customWidth="1" collapsed="1"/>
    <col min="92" max="16384" width="8" style="18"/>
  </cols>
  <sheetData>
    <row r="1" spans="1:93" s="1" customFormat="1">
      <c r="A1" s="194" t="s">
        <v>391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spans="1:93" s="1" customFormat="1">
      <c r="A2" s="192" t="s">
        <v>360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93" s="1" customFormat="1">
      <c r="A3" s="192" t="s">
        <v>390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54"/>
      <c r="AT3" s="353"/>
    </row>
    <row r="4" spans="1:93" s="1" customFormat="1">
      <c r="B4" s="3"/>
      <c r="C4" s="3"/>
      <c r="D4" s="3"/>
      <c r="AR4" s="1">
        <f>AR16/AQ16-1</f>
        <v>0.5</v>
      </c>
    </row>
    <row r="5" spans="1:93" s="4" customFormat="1">
      <c r="B5" s="183" t="str">
        <f>+IS!B5</f>
        <v>Mar</v>
      </c>
      <c r="C5" s="183" t="str">
        <f>+IS!C5</f>
        <v>Jun</v>
      </c>
      <c r="D5" s="183" t="str">
        <f>+IS!D5</f>
        <v>Sep</v>
      </c>
      <c r="E5" s="183" t="str">
        <f>+IS!E5</f>
        <v>Dec</v>
      </c>
      <c r="F5" s="184">
        <f>+IS!F5</f>
        <v>43070</v>
      </c>
      <c r="G5" s="183" t="str">
        <f>+IS!G5</f>
        <v>Mar</v>
      </c>
      <c r="H5" s="183" t="str">
        <f>+IS!H5</f>
        <v>Jun</v>
      </c>
      <c r="I5" s="183" t="str">
        <f>+IS!I5</f>
        <v>Sep</v>
      </c>
      <c r="J5" s="183" t="str">
        <f>+IS!J5</f>
        <v>Dec</v>
      </c>
      <c r="K5" s="184">
        <f>+IS!K5</f>
        <v>43435</v>
      </c>
      <c r="L5" s="183" t="str">
        <f>+IS!L5</f>
        <v>Mar</v>
      </c>
      <c r="M5" s="183" t="str">
        <f>+IS!M5</f>
        <v>Jun</v>
      </c>
      <c r="N5" s="183" t="str">
        <f>+IS!N5</f>
        <v>Sep</v>
      </c>
      <c r="O5" s="183" t="str">
        <f>+IS!O5</f>
        <v>Dec</v>
      </c>
      <c r="P5" s="184">
        <f>+IS!P5</f>
        <v>43800</v>
      </c>
      <c r="Q5" s="183" t="str">
        <f>+IS!Q5</f>
        <v>Mar</v>
      </c>
      <c r="R5" s="183" t="str">
        <f>+IS!R5</f>
        <v>Jun</v>
      </c>
      <c r="S5" s="183" t="str">
        <f>+IS!S5</f>
        <v>Sep</v>
      </c>
      <c r="T5" s="183" t="str">
        <f>+IS!T5</f>
        <v>Dec</v>
      </c>
      <c r="U5" s="184">
        <f>+IS!U5</f>
        <v>44166</v>
      </c>
      <c r="V5" s="183" t="str">
        <f>+IS!V5</f>
        <v>Mar</v>
      </c>
      <c r="W5" s="183" t="str">
        <f>+IS!W5</f>
        <v>Jun</v>
      </c>
      <c r="X5" s="183" t="str">
        <f>+IS!X5</f>
        <v>Sep</v>
      </c>
      <c r="Y5" s="183" t="str">
        <f>+IS!Y5</f>
        <v>Dec</v>
      </c>
      <c r="Z5" s="184">
        <f>+IS!Z5</f>
        <v>44531</v>
      </c>
      <c r="AA5" s="183" t="str">
        <f>+IS!AA5</f>
        <v>Mar</v>
      </c>
      <c r="AB5" s="183" t="str">
        <f>+IS!AB5</f>
        <v>Jun</v>
      </c>
      <c r="AC5" s="183" t="str">
        <f>+IS!AC5</f>
        <v>Sep</v>
      </c>
      <c r="AD5" s="183" t="str">
        <f>+IS!AD5</f>
        <v>Dec</v>
      </c>
      <c r="AE5" s="184">
        <f>+IS!AE5</f>
        <v>44896</v>
      </c>
      <c r="AF5" s="183" t="str">
        <f>+IS!AF5</f>
        <v>Mar</v>
      </c>
      <c r="AG5" s="183" t="str">
        <f>+IS!AG5</f>
        <v>Jun</v>
      </c>
      <c r="AH5" s="183" t="str">
        <f>+IS!AH5</f>
        <v>Sep</v>
      </c>
      <c r="AI5" s="183" t="str">
        <f>+IS!AI5</f>
        <v>Dec</v>
      </c>
      <c r="AJ5" s="184">
        <f>+IS!AJ5</f>
        <v>45261</v>
      </c>
      <c r="AK5" s="183" t="str">
        <f>+IS!AK5</f>
        <v>Mar</v>
      </c>
      <c r="AL5" s="183" t="str">
        <f>+IS!AL5</f>
        <v>Jun</v>
      </c>
      <c r="AM5" s="183" t="str">
        <f>+IS!AM5</f>
        <v>Sep</v>
      </c>
      <c r="AN5" s="183" t="str">
        <f>+IS!AN5</f>
        <v>Dec</v>
      </c>
      <c r="AO5" s="184">
        <f>+IS!AO5</f>
        <v>45627</v>
      </c>
      <c r="AP5" s="183" t="str">
        <f>+IS!AP5</f>
        <v>Mar</v>
      </c>
      <c r="AQ5" s="183" t="str">
        <f>+IS!AQ5</f>
        <v>Jun</v>
      </c>
      <c r="AR5" s="183" t="str">
        <f>+IS!AR5</f>
        <v>Sep</v>
      </c>
      <c r="AS5" s="183" t="str">
        <f>+IS!AS5</f>
        <v>Dec</v>
      </c>
      <c r="AT5" s="184">
        <f>+IS!AT5</f>
        <v>45992</v>
      </c>
      <c r="AU5" s="183" t="str">
        <f>+IS!AU5</f>
        <v>Mar</v>
      </c>
      <c r="AV5" s="183" t="str">
        <f>+IS!AV5</f>
        <v>Jun</v>
      </c>
      <c r="AW5" s="183" t="str">
        <f>+IS!AW5</f>
        <v>Sep</v>
      </c>
      <c r="AX5" s="183" t="str">
        <f>+IS!AX5</f>
        <v>Dec</v>
      </c>
      <c r="AY5" s="184">
        <f>+IS!AY5</f>
        <v>46357</v>
      </c>
      <c r="AZ5" s="183" t="str">
        <f>+IS!AZ5</f>
        <v>Mar</v>
      </c>
      <c r="BA5" s="183" t="str">
        <f>+IS!BA5</f>
        <v>Jun</v>
      </c>
      <c r="BB5" s="183" t="str">
        <f>+IS!BB5</f>
        <v>Sep</v>
      </c>
      <c r="BC5" s="183" t="str">
        <f>+IS!BC5</f>
        <v>Dec</v>
      </c>
      <c r="BD5" s="184">
        <f>+IS!BD5</f>
        <v>46722</v>
      </c>
      <c r="BE5" s="183" t="str">
        <f>+IS!BE5</f>
        <v>Mar</v>
      </c>
      <c r="BF5" s="183" t="str">
        <f>+IS!BF5</f>
        <v>Jun</v>
      </c>
      <c r="BG5" s="183" t="str">
        <f>+IS!BG5</f>
        <v>Sep</v>
      </c>
      <c r="BH5" s="183" t="str">
        <f>+IS!BH5</f>
        <v>Dec</v>
      </c>
      <c r="BI5" s="184">
        <f>+IS!BI5</f>
        <v>47088</v>
      </c>
      <c r="BJ5" s="183" t="str">
        <f>+IS!BJ5</f>
        <v>Mar</v>
      </c>
      <c r="BK5" s="183" t="str">
        <f>+IS!BK5</f>
        <v>Jun</v>
      </c>
      <c r="BL5" s="183" t="str">
        <f>+IS!BL5</f>
        <v>Sep</v>
      </c>
      <c r="BM5" s="183" t="str">
        <f>+IS!BM5</f>
        <v>Dec</v>
      </c>
      <c r="BN5" s="184">
        <f>+IS!BN5</f>
        <v>47453</v>
      </c>
      <c r="BO5" s="183" t="str">
        <f>+IS!BO5</f>
        <v>Mar</v>
      </c>
      <c r="BP5" s="183" t="str">
        <f>+IS!BP5</f>
        <v>Jun</v>
      </c>
      <c r="BQ5" s="183" t="str">
        <f>+IS!BQ5</f>
        <v>Sep</v>
      </c>
      <c r="BR5" s="183" t="str">
        <f>+IS!BR5</f>
        <v>Dec</v>
      </c>
      <c r="BS5" s="184">
        <f>+IS!BS5</f>
        <v>47818</v>
      </c>
      <c r="BT5" s="183" t="str">
        <f>+IS!BT5</f>
        <v>Mar</v>
      </c>
      <c r="BU5" s="183" t="str">
        <f>+IS!BU5</f>
        <v>Jun</v>
      </c>
      <c r="BV5" s="183" t="str">
        <f>+IS!BV5</f>
        <v>Sep</v>
      </c>
      <c r="BW5" s="183" t="str">
        <f>+IS!BW5</f>
        <v>Dec</v>
      </c>
      <c r="BX5" s="184">
        <f>+IS!BX5</f>
        <v>48183</v>
      </c>
      <c r="BY5" s="183" t="str">
        <f>+IS!BY5</f>
        <v>Mar</v>
      </c>
      <c r="BZ5" s="183" t="str">
        <f>+IS!BZ5</f>
        <v>Jun</v>
      </c>
      <c r="CA5" s="183" t="str">
        <f>+IS!CA5</f>
        <v>Sep</v>
      </c>
      <c r="CB5" s="183" t="str">
        <f>+IS!CB5</f>
        <v>Dec</v>
      </c>
      <c r="CC5" s="184">
        <f>+IS!CC5</f>
        <v>48549</v>
      </c>
      <c r="CD5" s="183" t="str">
        <f>+IS!CD5</f>
        <v>Mar</v>
      </c>
      <c r="CE5" s="183" t="str">
        <f>+IS!CE5</f>
        <v>Jun</v>
      </c>
      <c r="CF5" s="183" t="str">
        <f>+IS!CF5</f>
        <v>Sep</v>
      </c>
      <c r="CG5" s="183" t="str">
        <f>+IS!CG5</f>
        <v>Dec</v>
      </c>
      <c r="CH5" s="184">
        <f>+IS!CH5</f>
        <v>48914</v>
      </c>
      <c r="CI5" s="183" t="str">
        <f>+IS!CI5</f>
        <v>Mar</v>
      </c>
      <c r="CJ5" s="183" t="str">
        <f>+IS!CJ5</f>
        <v>Jun</v>
      </c>
      <c r="CK5" s="183" t="str">
        <f>+IS!CK5</f>
        <v>Sep</v>
      </c>
      <c r="CL5" s="183" t="str">
        <f>+IS!CL5</f>
        <v>Dec</v>
      </c>
      <c r="CM5" s="184">
        <f>+IS!CM5</f>
        <v>49279</v>
      </c>
    </row>
    <row r="6" spans="1:93" s="5" customFormat="1">
      <c r="A6" s="193"/>
      <c r="B6" s="185" t="str">
        <f>+IS!B6</f>
        <v>1Q17A</v>
      </c>
      <c r="C6" s="185" t="str">
        <f>+IS!C6</f>
        <v>2Q17A</v>
      </c>
      <c r="D6" s="185" t="str">
        <f>+IS!D6</f>
        <v>3Q17A</v>
      </c>
      <c r="E6" s="185" t="str">
        <f>+IS!E6</f>
        <v>4Q17A</v>
      </c>
      <c r="F6" s="186" t="str">
        <f>+IS!F6</f>
        <v>FY17A</v>
      </c>
      <c r="G6" s="185" t="str">
        <f>+IS!G6</f>
        <v>1Q18A</v>
      </c>
      <c r="H6" s="185" t="str">
        <f>+IS!H6</f>
        <v>2Q18A</v>
      </c>
      <c r="I6" s="185" t="str">
        <f>+IS!I6</f>
        <v>3Q18A</v>
      </c>
      <c r="J6" s="185" t="str">
        <f>+IS!J6</f>
        <v>4Q18A</v>
      </c>
      <c r="K6" s="186" t="str">
        <f>+IS!K6</f>
        <v>FY18A</v>
      </c>
      <c r="L6" s="185" t="str">
        <f>+IS!L6</f>
        <v>1Q19A</v>
      </c>
      <c r="M6" s="185" t="str">
        <f>+IS!M6</f>
        <v>2Q19A</v>
      </c>
      <c r="N6" s="185" t="str">
        <f>+IS!N6</f>
        <v>3Q19A</v>
      </c>
      <c r="O6" s="185" t="str">
        <f>+IS!O6</f>
        <v>4Q19A</v>
      </c>
      <c r="P6" s="186" t="str">
        <f>+IS!P6</f>
        <v>FY19A</v>
      </c>
      <c r="Q6" s="185" t="str">
        <f>+IS!Q6</f>
        <v>1Q20A</v>
      </c>
      <c r="R6" s="185" t="str">
        <f>+IS!R6</f>
        <v>2Q20A</v>
      </c>
      <c r="S6" s="185" t="str">
        <f>+IS!S6</f>
        <v>3Q20A</v>
      </c>
      <c r="T6" s="185" t="str">
        <f>+IS!T6</f>
        <v>4Q20A</v>
      </c>
      <c r="U6" s="186" t="str">
        <f>+IS!U6</f>
        <v>FY20A</v>
      </c>
      <c r="V6" s="185" t="str">
        <f>+IS!V6</f>
        <v>1Q21A</v>
      </c>
      <c r="W6" s="185" t="str">
        <f>+IS!W6</f>
        <v>2Q21A</v>
      </c>
      <c r="X6" s="185" t="str">
        <f>+IS!X6</f>
        <v>3Q21A</v>
      </c>
      <c r="Y6" s="185" t="str">
        <f>+IS!Y6</f>
        <v>4Q21A</v>
      </c>
      <c r="Z6" s="186" t="str">
        <f>+IS!Z6</f>
        <v>FY21A</v>
      </c>
      <c r="AA6" s="185" t="str">
        <f>+IS!AA6</f>
        <v>1Q22A</v>
      </c>
      <c r="AB6" s="185" t="str">
        <f>+IS!AB6</f>
        <v>2Q22A</v>
      </c>
      <c r="AC6" s="185" t="str">
        <f>+IS!AC6</f>
        <v>3Q22A</v>
      </c>
      <c r="AD6" s="185" t="str">
        <f>+IS!AD6</f>
        <v>4Q22A</v>
      </c>
      <c r="AE6" s="186" t="str">
        <f>+IS!AE6</f>
        <v>FY22A</v>
      </c>
      <c r="AF6" s="185" t="str">
        <f>+IS!AF6</f>
        <v>1Q23A</v>
      </c>
      <c r="AG6" s="185" t="str">
        <f>+IS!AG6</f>
        <v>2Q23A</v>
      </c>
      <c r="AH6" s="185" t="str">
        <f>+IS!AH6</f>
        <v>3Q23A</v>
      </c>
      <c r="AI6" s="185" t="str">
        <f>+IS!AI6</f>
        <v>4Q23A</v>
      </c>
      <c r="AJ6" s="186" t="str">
        <f>+IS!AJ6</f>
        <v>FY23A</v>
      </c>
      <c r="AK6" s="185" t="str">
        <f>+IS!AK6</f>
        <v>1Q24A</v>
      </c>
      <c r="AL6" s="185" t="str">
        <f>+IS!AL6</f>
        <v>2Q24A</v>
      </c>
      <c r="AM6" s="185" t="str">
        <f>+IS!AM6</f>
        <v>3Q24A</v>
      </c>
      <c r="AN6" s="185" t="str">
        <f>+IS!AN6</f>
        <v>4Q24A</v>
      </c>
      <c r="AO6" s="186" t="str">
        <f>+IS!AO6</f>
        <v>FY24A</v>
      </c>
      <c r="AP6" s="185" t="str">
        <f>+IS!AP6</f>
        <v>1Q25A</v>
      </c>
      <c r="AQ6" s="185" t="str">
        <f>+IS!AQ6</f>
        <v>2Q25A</v>
      </c>
      <c r="AR6" s="185" t="str">
        <f>+IS!AR6</f>
        <v>3Q25A</v>
      </c>
      <c r="AS6" s="185" t="str">
        <f>+IS!AS6</f>
        <v>4Q25A</v>
      </c>
      <c r="AT6" s="186" t="str">
        <f>+IS!AT6</f>
        <v>FY25A</v>
      </c>
      <c r="AU6" s="185" t="str">
        <f>+IS!AU6</f>
        <v>1Q26E</v>
      </c>
      <c r="AV6" s="185" t="str">
        <f>+IS!AV6</f>
        <v>2Q26E</v>
      </c>
      <c r="AW6" s="185" t="str">
        <f>+IS!AW6</f>
        <v>3Q26E</v>
      </c>
      <c r="AX6" s="185" t="str">
        <f>+IS!AX6</f>
        <v>4Q26E</v>
      </c>
      <c r="AY6" s="186" t="str">
        <f>+IS!AY6</f>
        <v>FY26E</v>
      </c>
      <c r="AZ6" s="185" t="str">
        <f>+IS!AZ6</f>
        <v>1Q27E</v>
      </c>
      <c r="BA6" s="185" t="str">
        <f>+IS!BA6</f>
        <v>2Q27E</v>
      </c>
      <c r="BB6" s="185" t="str">
        <f>+IS!BB6</f>
        <v>3Q27E</v>
      </c>
      <c r="BC6" s="185" t="str">
        <f>+IS!BC6</f>
        <v>4Q27E</v>
      </c>
      <c r="BD6" s="186" t="str">
        <f>+IS!BD6</f>
        <v>FY27E</v>
      </c>
      <c r="BE6" s="185" t="str">
        <f>+IS!BE6</f>
        <v>1Q28E</v>
      </c>
      <c r="BF6" s="185" t="str">
        <f>+IS!BF6</f>
        <v>2Q28E</v>
      </c>
      <c r="BG6" s="185" t="str">
        <f>+IS!BG6</f>
        <v>3Q28E</v>
      </c>
      <c r="BH6" s="185" t="str">
        <f>+IS!BH6</f>
        <v>4Q28E</v>
      </c>
      <c r="BI6" s="186" t="str">
        <f>+IS!BI6</f>
        <v>FY28E</v>
      </c>
      <c r="BJ6" s="185" t="str">
        <f>+IS!BJ6</f>
        <v>1Q29E</v>
      </c>
      <c r="BK6" s="185" t="str">
        <f>+IS!BK6</f>
        <v>2Q29E</v>
      </c>
      <c r="BL6" s="185" t="str">
        <f>+IS!BL6</f>
        <v>3Q29E</v>
      </c>
      <c r="BM6" s="185" t="str">
        <f>+IS!BM6</f>
        <v>4Q29E</v>
      </c>
      <c r="BN6" s="186" t="str">
        <f>+IS!BN6</f>
        <v>FY29E</v>
      </c>
      <c r="BO6" s="185" t="str">
        <f>+IS!BO6</f>
        <v>1Q30E</v>
      </c>
      <c r="BP6" s="185" t="str">
        <f>+IS!BP6</f>
        <v>2Q30E</v>
      </c>
      <c r="BQ6" s="185" t="str">
        <f>+IS!BQ6</f>
        <v>3Q30E</v>
      </c>
      <c r="BR6" s="185" t="str">
        <f>+IS!BR6</f>
        <v>4Q30E</v>
      </c>
      <c r="BS6" s="186" t="str">
        <f>+IS!BS6</f>
        <v>FY30E</v>
      </c>
      <c r="BT6" s="185" t="str">
        <f>+IS!BT6</f>
        <v>1Q31E</v>
      </c>
      <c r="BU6" s="185" t="str">
        <f>+IS!BU6</f>
        <v>2Q31E</v>
      </c>
      <c r="BV6" s="185" t="str">
        <f>+IS!BV6</f>
        <v>3Q31E</v>
      </c>
      <c r="BW6" s="185" t="str">
        <f>+IS!BW6</f>
        <v>4Q31E</v>
      </c>
      <c r="BX6" s="186" t="str">
        <f>+IS!BX6</f>
        <v>FY31E</v>
      </c>
      <c r="BY6" s="185" t="str">
        <f>+IS!BY6</f>
        <v>1Q32E</v>
      </c>
      <c r="BZ6" s="185" t="str">
        <f>+IS!BZ6</f>
        <v>2Q32E</v>
      </c>
      <c r="CA6" s="185" t="str">
        <f>+IS!CA6</f>
        <v>3Q32E</v>
      </c>
      <c r="CB6" s="185" t="str">
        <f>+IS!CB6</f>
        <v>4Q32E</v>
      </c>
      <c r="CC6" s="186" t="str">
        <f>+IS!CC6</f>
        <v>FY32E</v>
      </c>
      <c r="CD6" s="185" t="str">
        <f>+IS!CD6</f>
        <v>1Q33E</v>
      </c>
      <c r="CE6" s="185" t="str">
        <f>+IS!CE6</f>
        <v>2Q33E</v>
      </c>
      <c r="CF6" s="185" t="str">
        <f>+IS!CF6</f>
        <v>3Q33E</v>
      </c>
      <c r="CG6" s="185" t="str">
        <f>+IS!CG6</f>
        <v>4Q33E</v>
      </c>
      <c r="CH6" s="186" t="str">
        <f>+IS!CH6</f>
        <v>FY33E</v>
      </c>
      <c r="CI6" s="185" t="str">
        <f>+IS!CI6</f>
        <v>1Q34E</v>
      </c>
      <c r="CJ6" s="185" t="str">
        <f>+IS!CJ6</f>
        <v>2Q34E</v>
      </c>
      <c r="CK6" s="185" t="str">
        <f>+IS!CK6</f>
        <v>3Q34E</v>
      </c>
      <c r="CL6" s="185" t="str">
        <f>+IS!CL6</f>
        <v>4Q34E</v>
      </c>
      <c r="CM6" s="186" t="str">
        <f>+IS!CM6</f>
        <v>FY34E</v>
      </c>
    </row>
    <row r="7" spans="1:93">
      <c r="A7" s="172" t="s">
        <v>360</v>
      </c>
      <c r="B7" s="171"/>
      <c r="C7" s="171"/>
      <c r="D7" s="171"/>
      <c r="E7" s="171"/>
      <c r="F7" s="236"/>
      <c r="G7" s="171"/>
      <c r="H7" s="171"/>
      <c r="I7" s="171"/>
      <c r="J7" s="171"/>
      <c r="K7" s="236"/>
      <c r="L7" s="171"/>
      <c r="M7" s="171"/>
      <c r="N7" s="171"/>
      <c r="O7" s="171"/>
      <c r="P7" s="236"/>
      <c r="Q7" s="171"/>
      <c r="R7" s="171"/>
      <c r="S7" s="171"/>
      <c r="T7" s="171"/>
      <c r="U7" s="236"/>
      <c r="V7" s="171"/>
      <c r="W7" s="171"/>
      <c r="X7" s="171"/>
      <c r="Y7" s="171"/>
      <c r="Z7" s="236"/>
      <c r="AA7" s="171"/>
      <c r="AB7" s="171"/>
      <c r="AC7" s="171"/>
      <c r="AD7" s="171"/>
      <c r="AE7" s="236"/>
      <c r="AF7" s="171"/>
      <c r="AG7" s="171"/>
      <c r="AH7" s="171"/>
      <c r="AI7" s="171"/>
      <c r="AJ7" s="236"/>
      <c r="AK7" s="171"/>
      <c r="AL7" s="171"/>
      <c r="AM7" s="171"/>
      <c r="AN7" s="171"/>
      <c r="AO7" s="236"/>
      <c r="AP7" s="171"/>
      <c r="AQ7" s="171"/>
      <c r="AR7" s="171"/>
      <c r="AS7" s="171"/>
      <c r="AT7" s="236"/>
      <c r="AU7" s="171"/>
      <c r="AV7" s="171"/>
      <c r="AW7" s="171"/>
      <c r="AX7" s="171"/>
      <c r="AY7" s="236"/>
      <c r="AZ7" s="171"/>
      <c r="BA7" s="171"/>
      <c r="BB7" s="171"/>
      <c r="BC7" s="171"/>
      <c r="BD7" s="236"/>
      <c r="BE7" s="171"/>
      <c r="BF7" s="171"/>
      <c r="BG7" s="171"/>
      <c r="BH7" s="171"/>
      <c r="BI7" s="236"/>
      <c r="BJ7" s="171"/>
      <c r="BK7" s="171"/>
      <c r="BL7" s="171"/>
      <c r="BM7" s="171"/>
      <c r="BN7" s="236"/>
      <c r="BO7" s="171"/>
      <c r="BP7" s="171"/>
      <c r="BQ7" s="171"/>
      <c r="BR7" s="171"/>
      <c r="BS7" s="236"/>
      <c r="BT7" s="171"/>
      <c r="BU7" s="171"/>
      <c r="BV7" s="171"/>
      <c r="BW7" s="171"/>
      <c r="BX7" s="236"/>
      <c r="BY7" s="171"/>
      <c r="BZ7" s="171"/>
      <c r="CA7" s="171"/>
      <c r="CB7" s="171"/>
      <c r="CC7" s="236"/>
      <c r="CD7" s="171"/>
      <c r="CE7" s="171"/>
      <c r="CF7" s="171"/>
      <c r="CG7" s="171"/>
      <c r="CH7" s="236"/>
      <c r="CI7" s="171"/>
      <c r="CJ7" s="171"/>
      <c r="CK7" s="171"/>
      <c r="CL7" s="171"/>
      <c r="CM7" s="236"/>
      <c r="CN7" s="171"/>
      <c r="CO7" s="171"/>
    </row>
    <row r="8" spans="1:93">
      <c r="A8" s="175" t="s">
        <v>358</v>
      </c>
      <c r="B8" s="173"/>
      <c r="C8" s="173"/>
      <c r="D8" s="173"/>
      <c r="E8" s="173"/>
      <c r="F8" s="237"/>
      <c r="G8" s="173"/>
      <c r="H8" s="173"/>
      <c r="I8" s="173"/>
      <c r="J8" s="173"/>
      <c r="K8" s="237"/>
      <c r="L8" s="173"/>
      <c r="M8" s="173"/>
      <c r="N8" s="173"/>
      <c r="O8" s="173"/>
      <c r="P8" s="237"/>
      <c r="Q8" s="173"/>
      <c r="R8" s="173"/>
      <c r="S8" s="173"/>
      <c r="T8" s="173"/>
      <c r="U8" s="237"/>
      <c r="V8" s="173"/>
      <c r="W8" s="173"/>
      <c r="X8" s="173"/>
      <c r="Y8" s="173"/>
      <c r="Z8" s="237"/>
      <c r="AA8" s="173"/>
      <c r="AB8" s="173"/>
      <c r="AC8" s="173"/>
      <c r="AD8" s="173"/>
      <c r="AE8" s="237"/>
      <c r="AF8" s="173"/>
      <c r="AG8" s="173"/>
      <c r="AH8" s="173"/>
      <c r="AI8" s="173"/>
      <c r="AJ8" s="237"/>
      <c r="AK8" s="173"/>
      <c r="AL8" s="173"/>
      <c r="AM8" s="173"/>
      <c r="AN8" s="173"/>
      <c r="AO8" s="237"/>
      <c r="AP8" s="173"/>
      <c r="AQ8" s="173"/>
      <c r="AR8" s="173"/>
      <c r="AS8" s="173"/>
      <c r="AT8" s="237"/>
      <c r="AU8" s="173"/>
      <c r="AV8" s="173"/>
      <c r="AW8" s="173"/>
      <c r="AX8" s="173"/>
      <c r="AY8" s="237"/>
      <c r="AZ8" s="173"/>
      <c r="BA8" s="173"/>
      <c r="BB8" s="173"/>
      <c r="BC8" s="173"/>
      <c r="BD8" s="237"/>
      <c r="BE8" s="173"/>
      <c r="BF8" s="173"/>
      <c r="BG8" s="173"/>
      <c r="BH8" s="173"/>
      <c r="BI8" s="237"/>
      <c r="BJ8" s="173"/>
      <c r="BK8" s="173"/>
      <c r="BL8" s="173"/>
      <c r="BM8" s="173"/>
      <c r="BN8" s="237"/>
      <c r="BO8" s="173"/>
      <c r="BP8" s="173"/>
      <c r="BQ8" s="173"/>
      <c r="BR8" s="173"/>
      <c r="BS8" s="237"/>
      <c r="BT8" s="173"/>
      <c r="BU8" s="173"/>
      <c r="BV8" s="173"/>
      <c r="BW8" s="173"/>
      <c r="BX8" s="237"/>
      <c r="BY8" s="173"/>
      <c r="BZ8" s="173"/>
      <c r="CA8" s="173"/>
      <c r="CB8" s="173"/>
      <c r="CC8" s="237"/>
      <c r="CD8" s="173"/>
      <c r="CE8" s="173"/>
      <c r="CF8" s="173"/>
      <c r="CG8" s="173"/>
      <c r="CH8" s="237"/>
      <c r="CI8" s="173"/>
      <c r="CJ8" s="173"/>
      <c r="CK8" s="173"/>
      <c r="CL8" s="173"/>
      <c r="CM8" s="237"/>
      <c r="CN8" s="173"/>
      <c r="CO8" s="173"/>
    </row>
    <row r="9" spans="1:93" s="230" customFormat="1">
      <c r="A9" s="228" t="s">
        <v>359</v>
      </c>
      <c r="B9" s="178"/>
      <c r="C9" s="178"/>
      <c r="D9" s="178"/>
      <c r="E9" s="178"/>
      <c r="F9" s="238"/>
      <c r="G9" s="229"/>
      <c r="H9" s="229"/>
      <c r="I9" s="229"/>
      <c r="J9" s="229"/>
      <c r="K9" s="248"/>
      <c r="L9" s="229"/>
      <c r="M9" s="229"/>
      <c r="N9" s="229"/>
      <c r="O9" s="229"/>
      <c r="P9" s="248"/>
      <c r="Q9" s="229"/>
      <c r="R9" s="229"/>
      <c r="S9" s="229"/>
      <c r="T9" s="229"/>
      <c r="U9" s="248"/>
      <c r="V9" s="229"/>
      <c r="W9" s="229"/>
      <c r="X9" s="229"/>
      <c r="Y9" s="229"/>
      <c r="Z9" s="248"/>
      <c r="AA9" s="229"/>
      <c r="AB9" s="229"/>
      <c r="AC9" s="229"/>
      <c r="AD9" s="229"/>
      <c r="AE9" s="248"/>
      <c r="AF9" s="229"/>
      <c r="AG9" s="229"/>
      <c r="AH9" s="229"/>
      <c r="AI9" s="229"/>
      <c r="AJ9" s="248"/>
      <c r="AK9" s="229"/>
      <c r="AL9" s="229"/>
      <c r="AM9" s="229"/>
      <c r="AN9" s="229"/>
      <c r="AO9" s="248"/>
      <c r="AP9" s="229"/>
      <c r="AQ9" s="229"/>
      <c r="AR9" s="229"/>
      <c r="AS9" s="229"/>
      <c r="AT9" s="248"/>
      <c r="AU9" s="229"/>
      <c r="AV9" s="229"/>
      <c r="AW9" s="229"/>
      <c r="AX9" s="229"/>
      <c r="AY9" s="248"/>
      <c r="AZ9" s="229"/>
      <c r="BA9" s="229"/>
      <c r="BB9" s="229"/>
      <c r="BC9" s="229"/>
      <c r="BD9" s="248"/>
      <c r="BE9" s="229"/>
      <c r="BF9" s="229"/>
      <c r="BG9" s="229"/>
      <c r="BH9" s="229"/>
      <c r="BI9" s="248"/>
      <c r="BJ9" s="229"/>
      <c r="BK9" s="229"/>
      <c r="BL9" s="229"/>
      <c r="BM9" s="229"/>
      <c r="BN9" s="248"/>
      <c r="BO9" s="229"/>
      <c r="BP9" s="229"/>
      <c r="BQ9" s="229"/>
      <c r="BR9" s="229"/>
      <c r="BS9" s="248"/>
      <c r="BT9" s="229"/>
      <c r="BU9" s="229"/>
      <c r="BV9" s="229"/>
      <c r="BW9" s="229"/>
      <c r="BX9" s="248"/>
      <c r="BY9" s="229"/>
      <c r="BZ9" s="229"/>
      <c r="CA9" s="229"/>
      <c r="CB9" s="229"/>
      <c r="CC9" s="248"/>
      <c r="CD9" s="229"/>
      <c r="CE9" s="229"/>
      <c r="CF9" s="229"/>
      <c r="CG9" s="229"/>
      <c r="CH9" s="248"/>
      <c r="CI9" s="229"/>
      <c r="CJ9" s="229"/>
      <c r="CK9" s="229"/>
      <c r="CL9" s="229"/>
      <c r="CM9" s="248"/>
      <c r="CN9" s="178"/>
      <c r="CO9" s="178"/>
    </row>
    <row r="10" spans="1:93" s="42" customFormat="1">
      <c r="A10" s="162" t="s">
        <v>323</v>
      </c>
      <c r="B10" s="232" t="s">
        <v>294</v>
      </c>
      <c r="C10" s="232" t="s">
        <v>294</v>
      </c>
      <c r="D10" s="232" t="s">
        <v>294</v>
      </c>
      <c r="E10" s="232" t="s">
        <v>294</v>
      </c>
      <c r="F10" s="239" t="s">
        <v>294</v>
      </c>
      <c r="G10" s="167">
        <f>+G55</f>
        <v>7246</v>
      </c>
      <c r="H10" s="167">
        <f t="shared" ref="H10:BS10" si="0">+H55</f>
        <v>6723</v>
      </c>
      <c r="I10" s="167">
        <f t="shared" si="0"/>
        <v>7027</v>
      </c>
      <c r="J10" s="167">
        <f t="shared" si="0"/>
        <v>8596</v>
      </c>
      <c r="K10" s="249">
        <f t="shared" si="0"/>
        <v>29592</v>
      </c>
      <c r="L10" s="167">
        <f t="shared" si="0"/>
        <v>9521</v>
      </c>
      <c r="M10" s="167">
        <f t="shared" si="0"/>
        <v>11875</v>
      </c>
      <c r="N10" s="167">
        <f t="shared" si="0"/>
        <v>13259</v>
      </c>
      <c r="O10" s="167">
        <f t="shared" si="0"/>
        <v>15270</v>
      </c>
      <c r="P10" s="249">
        <f t="shared" si="0"/>
        <v>49925</v>
      </c>
      <c r="Q10" s="167">
        <f t="shared" si="0"/>
        <v>15257</v>
      </c>
      <c r="R10" s="167">
        <f t="shared" si="0"/>
        <v>13694</v>
      </c>
      <c r="S10" s="167">
        <f t="shared" si="0"/>
        <v>16950</v>
      </c>
      <c r="T10" s="167">
        <f t="shared" si="0"/>
        <v>17353</v>
      </c>
      <c r="U10" s="249">
        <f t="shared" si="0"/>
        <v>63254</v>
      </c>
      <c r="V10" s="167">
        <f>+V55</f>
        <v>18390</v>
      </c>
      <c r="W10" s="167">
        <f t="shared" si="0"/>
        <v>20830</v>
      </c>
      <c r="X10" s="167">
        <f t="shared" si="0"/>
        <v>22806</v>
      </c>
      <c r="Y10" s="167">
        <f t="shared" si="0"/>
        <v>25600</v>
      </c>
      <c r="Z10" s="249">
        <f t="shared" si="0"/>
        <v>87626</v>
      </c>
      <c r="AA10" s="167">
        <f t="shared" si="0"/>
        <v>27100</v>
      </c>
      <c r="AB10" s="167">
        <f t="shared" si="0"/>
        <v>29300</v>
      </c>
      <c r="AC10" s="167">
        <f t="shared" si="0"/>
        <v>32400</v>
      </c>
      <c r="AD10" s="167">
        <f t="shared" si="0"/>
        <v>36000</v>
      </c>
      <c r="AE10" s="249">
        <f t="shared" si="0"/>
        <v>124800</v>
      </c>
      <c r="AF10" s="167">
        <f t="shared" si="0"/>
        <v>39100</v>
      </c>
      <c r="AG10" s="167">
        <f t="shared" si="0"/>
        <v>43500</v>
      </c>
      <c r="AH10" s="167">
        <f t="shared" si="0"/>
        <v>43900</v>
      </c>
      <c r="AI10" s="167">
        <f t="shared" si="0"/>
        <v>46400</v>
      </c>
      <c r="AJ10" s="249">
        <f t="shared" si="0"/>
        <v>172900</v>
      </c>
      <c r="AK10" s="167">
        <f t="shared" si="0"/>
        <v>46900</v>
      </c>
      <c r="AL10" s="167">
        <f t="shared" si="0"/>
        <v>49400</v>
      </c>
      <c r="AM10" s="167">
        <f t="shared" si="0"/>
        <v>53100</v>
      </c>
      <c r="AN10" s="167">
        <f t="shared" si="0"/>
        <v>57300</v>
      </c>
      <c r="AO10" s="249">
        <f t="shared" si="0"/>
        <v>206700</v>
      </c>
      <c r="AP10" s="167">
        <f t="shared" si="0"/>
        <v>59000</v>
      </c>
      <c r="AQ10" s="167">
        <f t="shared" si="0"/>
        <v>64000</v>
      </c>
      <c r="AR10" s="167">
        <f t="shared" si="0"/>
        <v>74000</v>
      </c>
      <c r="AS10" s="167">
        <f t="shared" si="0"/>
        <v>79000</v>
      </c>
      <c r="AT10" s="249">
        <f t="shared" si="0"/>
        <v>276000</v>
      </c>
      <c r="AU10" s="386">
        <f t="shared" si="0"/>
        <v>79763.145813818192</v>
      </c>
      <c r="AV10" s="167">
        <f t="shared" si="0"/>
        <v>88305.257651153239</v>
      </c>
      <c r="AW10" s="167">
        <f t="shared" si="0"/>
        <v>95858.107765483292</v>
      </c>
      <c r="AX10" s="167">
        <f t="shared" si="0"/>
        <v>102991.56882161152</v>
      </c>
      <c r="AY10" s="249">
        <f t="shared" si="0"/>
        <v>366918.0800520663</v>
      </c>
      <c r="AZ10" s="167">
        <f t="shared" si="0"/>
        <v>113068.54607921444</v>
      </c>
      <c r="BA10" s="167">
        <f t="shared" si="0"/>
        <v>121287.7180994394</v>
      </c>
      <c r="BB10" s="167">
        <f t="shared" si="0"/>
        <v>129133.68679171239</v>
      </c>
      <c r="BC10" s="167">
        <f t="shared" si="0"/>
        <v>138597.44186618354</v>
      </c>
      <c r="BD10" s="249">
        <f t="shared" si="0"/>
        <v>502087.39283654978</v>
      </c>
      <c r="BE10" s="167">
        <f t="shared" si="0"/>
        <v>149342.14732275362</v>
      </c>
      <c r="BF10" s="167">
        <f t="shared" si="0"/>
        <v>158205.62907812561</v>
      </c>
      <c r="BG10" s="167">
        <f t="shared" si="0"/>
        <v>166638.42987180181</v>
      </c>
      <c r="BH10" s="167">
        <f t="shared" si="0"/>
        <v>175920.96208582976</v>
      </c>
      <c r="BI10" s="249">
        <f t="shared" si="0"/>
        <v>650107.16835851071</v>
      </c>
      <c r="BJ10" s="167">
        <f t="shared" si="0"/>
        <v>182458.75359919641</v>
      </c>
      <c r="BK10" s="167">
        <f t="shared" si="0"/>
        <v>186313.37728123408</v>
      </c>
      <c r="BL10" s="167">
        <f t="shared" si="0"/>
        <v>189673.17976745302</v>
      </c>
      <c r="BM10" s="167">
        <f t="shared" si="0"/>
        <v>194010.58854685246</v>
      </c>
      <c r="BN10" s="249">
        <f t="shared" si="0"/>
        <v>752455.89919473603</v>
      </c>
      <c r="BO10" s="167">
        <f t="shared" si="0"/>
        <v>203400.44092088233</v>
      </c>
      <c r="BP10" s="167">
        <f t="shared" si="0"/>
        <v>209810.60997387927</v>
      </c>
      <c r="BQ10" s="167">
        <f t="shared" si="0"/>
        <v>215652.40432280547</v>
      </c>
      <c r="BR10" s="167">
        <f t="shared" si="0"/>
        <v>222615.75395533984</v>
      </c>
      <c r="BS10" s="249">
        <f t="shared" si="0"/>
        <v>851479.20917290694</v>
      </c>
      <c r="BT10" s="167">
        <f t="shared" ref="BT10:CM10" si="1">+BT55</f>
        <v>226715.61924342916</v>
      </c>
      <c r="BU10" s="167">
        <f t="shared" si="1"/>
        <v>233304.36351474957</v>
      </c>
      <c r="BV10" s="167">
        <f t="shared" si="1"/>
        <v>239238.63201828994</v>
      </c>
      <c r="BW10" s="167">
        <f t="shared" si="1"/>
        <v>246465.36465166125</v>
      </c>
      <c r="BX10" s="249">
        <f t="shared" si="1"/>
        <v>945723.97942812997</v>
      </c>
      <c r="BY10" s="167">
        <f t="shared" si="1"/>
        <v>250580.70682761242</v>
      </c>
      <c r="BZ10" s="167">
        <f t="shared" si="1"/>
        <v>257005.48362342073</v>
      </c>
      <c r="CA10" s="167">
        <f t="shared" si="1"/>
        <v>262683.28724852431</v>
      </c>
      <c r="CB10" s="167">
        <f t="shared" si="1"/>
        <v>269837.24547597812</v>
      </c>
      <c r="CC10" s="249">
        <f t="shared" si="1"/>
        <v>1040106.7231755357</v>
      </c>
      <c r="CD10" s="167">
        <f t="shared" si="1"/>
        <v>271630.05026686873</v>
      </c>
      <c r="CE10" s="167">
        <f t="shared" si="1"/>
        <v>278247.92675185774</v>
      </c>
      <c r="CF10" s="167">
        <f t="shared" si="1"/>
        <v>284020.08599000482</v>
      </c>
      <c r="CG10" s="167">
        <f t="shared" si="1"/>
        <v>291465.33725816943</v>
      </c>
      <c r="CH10" s="249">
        <f t="shared" si="1"/>
        <v>1125363.4002669007</v>
      </c>
      <c r="CI10" s="167">
        <f t="shared" si="1"/>
        <v>293456.99286288203</v>
      </c>
      <c r="CJ10" s="167">
        <f t="shared" si="1"/>
        <v>300274.48208627728</v>
      </c>
      <c r="CK10" s="167">
        <f t="shared" si="1"/>
        <v>306143.2812632409</v>
      </c>
      <c r="CL10" s="167">
        <f t="shared" si="1"/>
        <v>313890.51924271625</v>
      </c>
      <c r="CM10" s="249">
        <f t="shared" si="1"/>
        <v>1213765.2754551163</v>
      </c>
    </row>
    <row r="11" spans="1:93">
      <c r="A11" s="161" t="s">
        <v>291</v>
      </c>
      <c r="B11" s="232" t="s">
        <v>294</v>
      </c>
      <c r="C11" s="232" t="s">
        <v>294</v>
      </c>
      <c r="D11" s="232" t="s">
        <v>294</v>
      </c>
      <c r="E11" s="232" t="s">
        <v>294</v>
      </c>
      <c r="F11" s="239" t="s">
        <v>294</v>
      </c>
      <c r="G11" s="158" t="s">
        <v>294</v>
      </c>
      <c r="H11" s="158" t="s">
        <v>294</v>
      </c>
      <c r="I11" s="158" t="s">
        <v>294</v>
      </c>
      <c r="J11" s="158" t="s">
        <v>294</v>
      </c>
      <c r="K11" s="250" t="s">
        <v>294</v>
      </c>
      <c r="L11" s="19">
        <f t="shared" ref="L11" si="2">+L10/G10-1</f>
        <v>0.31396632624896492</v>
      </c>
      <c r="M11" s="19">
        <f t="shared" ref="M11" si="3">+M10/H10-1</f>
        <v>0.76632455748921613</v>
      </c>
      <c r="N11" s="19">
        <f t="shared" ref="N11" si="4">+N10/I10-1</f>
        <v>0.88686494948057493</v>
      </c>
      <c r="O11" s="19">
        <f t="shared" ref="O11" si="5">+O10/J10-1</f>
        <v>0.77640763145649139</v>
      </c>
      <c r="P11" s="259">
        <f t="shared" ref="P11" si="6">+P10/K10-1</f>
        <v>0.68711138145444717</v>
      </c>
      <c r="Q11" s="19">
        <f t="shared" ref="Q11" si="7">+Q10/L10-1</f>
        <v>0.60245772502888362</v>
      </c>
      <c r="R11" s="19">
        <f t="shared" ref="R11" si="8">+R10/M10-1</f>
        <v>0.15317894736842108</v>
      </c>
      <c r="S11" s="19">
        <f t="shared" ref="S11" si="9">+S10/N10-1</f>
        <v>0.27837695150463837</v>
      </c>
      <c r="T11" s="19">
        <f t="shared" ref="T11" si="10">+T10/O10-1</f>
        <v>0.13641126391617542</v>
      </c>
      <c r="U11" s="259">
        <f t="shared" ref="U11" si="11">+U10/P10-1</f>
        <v>0.26698047070605901</v>
      </c>
      <c r="V11" s="19">
        <f t="shared" ref="V11" si="12">+V10/Q10-1</f>
        <v>0.20534836468506268</v>
      </c>
      <c r="W11" s="19">
        <f t="shared" ref="W11" si="13">+W10/R10-1</f>
        <v>0.52110413319702054</v>
      </c>
      <c r="X11" s="19">
        <f t="shared" ref="X11" si="14">+X10/S10-1</f>
        <v>0.34548672566371685</v>
      </c>
      <c r="Y11" s="19">
        <f t="shared" ref="Y11" si="15">+Y10/T10-1</f>
        <v>0.47524923644326633</v>
      </c>
      <c r="Z11" s="259">
        <f t="shared" ref="Z11" si="16">+Z10/U10-1</f>
        <v>0.38530369620893534</v>
      </c>
      <c r="AA11" s="19">
        <f t="shared" ref="AA11" si="17">+AA10/V10-1</f>
        <v>0.4736269711799892</v>
      </c>
      <c r="AB11" s="19">
        <f t="shared" ref="AB11" si="18">+AB10/W10-1</f>
        <v>0.40662506000960152</v>
      </c>
      <c r="AC11" s="19">
        <f t="shared" ref="AC11" si="19">+AC10/X10-1</f>
        <v>0.42067876874506704</v>
      </c>
      <c r="AD11" s="19">
        <f t="shared" ref="AD11" si="20">+AD10/Y10-1</f>
        <v>0.40625</v>
      </c>
      <c r="AE11" s="259">
        <f t="shared" ref="AE11" si="21">+AE10/Z10-1</f>
        <v>0.42423481615045766</v>
      </c>
      <c r="AF11" s="19">
        <f t="shared" ref="AF11" si="22">+AF10/AA10-1</f>
        <v>0.44280442804428044</v>
      </c>
      <c r="AG11" s="19">
        <f t="shared" ref="AG11" si="23">+AG10/AB10-1</f>
        <v>0.48464163822525608</v>
      </c>
      <c r="AH11" s="19">
        <f t="shared" ref="AH11" si="24">+AH10/AC10-1</f>
        <v>0.35493827160493829</v>
      </c>
      <c r="AI11" s="19">
        <f t="shared" ref="AI11" si="25">+AI10/AD10-1</f>
        <v>0.28888888888888897</v>
      </c>
      <c r="AJ11" s="259">
        <f t="shared" ref="AJ11" si="26">+AJ10/AE10-1</f>
        <v>0.38541666666666674</v>
      </c>
      <c r="AK11" s="19">
        <f t="shared" ref="AK11" si="27">+AK10/AF10-1</f>
        <v>0.19948849104859345</v>
      </c>
      <c r="AL11" s="19">
        <f t="shared" ref="AL11" si="28">+AL10/AG10-1</f>
        <v>0.13563218390804588</v>
      </c>
      <c r="AM11" s="19">
        <f t="shared" ref="AM11" si="29">+AM10/AH10-1</f>
        <v>0.20956719817767655</v>
      </c>
      <c r="AN11" s="19">
        <f t="shared" ref="AN11" si="30">+AN10/AI10-1</f>
        <v>0.23491379310344818</v>
      </c>
      <c r="AO11" s="259">
        <f t="shared" ref="AO11" si="31">+AO10/AJ10-1</f>
        <v>0.19548872180451138</v>
      </c>
      <c r="AP11" s="19">
        <f t="shared" ref="AP11" si="32">+AP10/AK10-1</f>
        <v>0.25799573560767586</v>
      </c>
      <c r="AQ11" s="19">
        <f t="shared" ref="AQ11" si="33">+AQ10/AL10-1</f>
        <v>0.29554655870445345</v>
      </c>
      <c r="AR11" s="19">
        <f t="shared" ref="AR11" si="34">+AR10/AM10-1</f>
        <v>0.39359698681732591</v>
      </c>
      <c r="AS11" s="19">
        <f t="shared" ref="AS11" si="35">+AS10/AN10-1</f>
        <v>0.37870855148342053</v>
      </c>
      <c r="AT11" s="310">
        <f t="shared" ref="AT11" si="36">+AT10/AO10-1</f>
        <v>0.33526850507982586</v>
      </c>
      <c r="AU11" s="379">
        <f t="shared" ref="AU11" si="37">+AU10/AP10-1</f>
        <v>0.35191772565793555</v>
      </c>
      <c r="AV11" s="19">
        <f t="shared" ref="AV11" si="38">+AV10/AQ10-1</f>
        <v>0.37976965079926939</v>
      </c>
      <c r="AW11" s="19">
        <f t="shared" ref="AW11" si="39">+AW10/AR10-1</f>
        <v>0.29537983466869311</v>
      </c>
      <c r="AX11" s="19">
        <f t="shared" ref="AX11" si="40">+AX10/AS10-1</f>
        <v>0.30369074457736112</v>
      </c>
      <c r="AY11" s="259">
        <f t="shared" ref="AY11" si="41">+AY10/AT10-1</f>
        <v>0.32941333352197932</v>
      </c>
      <c r="AZ11" s="19">
        <f t="shared" ref="AZ11" si="42">+AZ10/AU10-1</f>
        <v>0.41755374522385513</v>
      </c>
      <c r="BA11" s="19">
        <f t="shared" ref="BA11" si="43">+BA10/AV10-1</f>
        <v>0.37350505876538165</v>
      </c>
      <c r="BB11" s="19">
        <f t="shared" ref="BB11" si="44">+BB10/AW10-1</f>
        <v>0.34713369376785264</v>
      </c>
      <c r="BC11" s="19">
        <f t="shared" ref="BC11" si="45">+BC10/AX10-1</f>
        <v>0.34571638680680583</v>
      </c>
      <c r="BD11" s="259">
        <f t="shared" ref="BD11" si="46">+BD10/AY10-1</f>
        <v>0.36839098461788189</v>
      </c>
      <c r="BE11" s="19">
        <f t="shared" ref="BE11" si="47">+BE10/AZ10-1</f>
        <v>0.3208107161661593</v>
      </c>
      <c r="BF11" s="19">
        <f t="shared" ref="BF11" si="48">+BF10/BA10-1</f>
        <v>0.30438292975731107</v>
      </c>
      <c r="BG11" s="19">
        <f t="shared" ref="BG11" si="49">+BG10/BB10-1</f>
        <v>0.29043345707757195</v>
      </c>
      <c r="BH11" s="19">
        <f t="shared" ref="BH11" si="50">+BH10/BC10-1</f>
        <v>0.26929443802925479</v>
      </c>
      <c r="BI11" s="259">
        <f t="shared" ref="BI11" si="51">+BI10/BD10-1</f>
        <v>0.29480878754139028</v>
      </c>
      <c r="BJ11" s="19">
        <f t="shared" ref="BJ11" si="52">+BJ10/BE10-1</f>
        <v>0.2217499002801413</v>
      </c>
      <c r="BK11" s="19">
        <f t="shared" ref="BK11" si="53">+BK10/BF10-1</f>
        <v>0.1776659172426045</v>
      </c>
      <c r="BL11" s="19">
        <f t="shared" ref="BL11" si="54">+BL10/BG10-1</f>
        <v>0.13823191873190543</v>
      </c>
      <c r="BM11" s="19">
        <f t="shared" ref="BM11" si="55">+BM10/BH10-1</f>
        <v>0.10282814649568017</v>
      </c>
      <c r="BN11" s="259">
        <f t="shared" ref="BN11" si="56">+BN10/BI10-1</f>
        <v>0.15743362912710368</v>
      </c>
      <c r="BO11" s="19">
        <f t="shared" ref="BO11" si="57">+BO10/BJ10-1</f>
        <v>0.11477491163667675</v>
      </c>
      <c r="BP11" s="19">
        <f t="shared" ref="BP11" si="58">+BP10/BK10-1</f>
        <v>0.12611672353068282</v>
      </c>
      <c r="BQ11" s="19">
        <f t="shared" ref="BQ11" si="59">+BQ10/BL10-1</f>
        <v>0.13696836098389875</v>
      </c>
      <c r="BR11" s="19">
        <f t="shared" ref="BR11" si="60">+BR10/BM10-1</f>
        <v>0.14744125886499937</v>
      </c>
      <c r="BS11" s="259">
        <f t="shared" ref="BS11" si="61">+BS10/BN10-1</f>
        <v>0.131600151030969</v>
      </c>
      <c r="BT11" s="19">
        <f t="shared" ref="BT11" si="62">+BT10/BO10-1</f>
        <v>0.11462698024148255</v>
      </c>
      <c r="BU11" s="19">
        <f t="shared" ref="BU11" si="63">+BU10/BP10-1</f>
        <v>0.11197600323355994</v>
      </c>
      <c r="BV11" s="19">
        <f t="shared" ref="BV11" si="64">+BV10/BQ10-1</f>
        <v>0.10937150350607161</v>
      </c>
      <c r="BW11" s="19">
        <f t="shared" ref="BW11" si="65">+BW10/BR10-1</f>
        <v>0.10713352614346427</v>
      </c>
      <c r="BX11" s="259">
        <f t="shared" ref="BX11" si="66">+BX10/BS10-1</f>
        <v>0.11068358362709607</v>
      </c>
      <c r="BY11" s="19">
        <f t="shared" ref="BY11" si="67">+BY10/BT10-1</f>
        <v>0.1052644174398889</v>
      </c>
      <c r="BZ11" s="19">
        <f t="shared" ref="BZ11" si="68">+BZ10/BU10-1</f>
        <v>0.10158884193853823</v>
      </c>
      <c r="CA11" s="19">
        <f t="shared" ref="CA11" si="69">+CA10/BV10-1</f>
        <v>9.7996945695802307E-2</v>
      </c>
      <c r="CB11" s="19">
        <f t="shared" ref="CB11" si="70">+CB10/BW10-1</f>
        <v>9.4828256527440313E-2</v>
      </c>
      <c r="CC11" s="259">
        <f t="shared" ref="CC11" si="71">+CC10/BX10-1</f>
        <v>9.9799461365543518E-2</v>
      </c>
      <c r="CD11" s="19">
        <f t="shared" ref="CD11" si="72">+CD10/BY10-1</f>
        <v>8.4002251034183795E-2</v>
      </c>
      <c r="CE11" s="19">
        <f t="shared" ref="CE11" si="73">+CE10/BZ10-1</f>
        <v>8.2653657147497617E-2</v>
      </c>
      <c r="CF11" s="19">
        <f t="shared" ref="CF11" si="74">+CF10/CA10-1</f>
        <v>8.1226327586245706E-2</v>
      </c>
      <c r="CG11" s="19">
        <f t="shared" ref="CG11" si="75">+CG10/CB10-1</f>
        <v>8.0152359041616217E-2</v>
      </c>
      <c r="CH11" s="259">
        <f t="shared" ref="CH11" si="76">+CH10/CC10-1</f>
        <v>8.1969162578883203E-2</v>
      </c>
      <c r="CI11" s="19">
        <f t="shared" ref="CI11" si="77">+CI10/CD10-1</f>
        <v>8.0355404619514514E-2</v>
      </c>
      <c r="CJ11" s="19">
        <f t="shared" ref="CJ11" si="78">+CJ10/CE10-1</f>
        <v>7.9161615295926024E-2</v>
      </c>
      <c r="CK11" s="19">
        <f t="shared" ref="CK11" si="79">+CK10/CF10-1</f>
        <v>7.789306589398981E-2</v>
      </c>
      <c r="CL11" s="19">
        <f t="shared" ref="CL11" si="80">+CL10/CG10-1</f>
        <v>7.6939447398794547E-2</v>
      </c>
      <c r="CM11" s="259">
        <f t="shared" ref="CM11" si="81">+CM10/CH10-1</f>
        <v>7.8554069882892597E-2</v>
      </c>
    </row>
    <row r="12" spans="1:93">
      <c r="A12" s="161" t="s">
        <v>292</v>
      </c>
      <c r="B12" s="232" t="s">
        <v>294</v>
      </c>
      <c r="C12" s="232" t="s">
        <v>294</v>
      </c>
      <c r="D12" s="232" t="s">
        <v>294</v>
      </c>
      <c r="E12" s="232" t="s">
        <v>294</v>
      </c>
      <c r="F12" s="239" t="s">
        <v>294</v>
      </c>
      <c r="G12" s="147" t="s">
        <v>294</v>
      </c>
      <c r="H12" s="19">
        <f>+H10/G10-1</f>
        <v>-7.2177753243168663E-2</v>
      </c>
      <c r="I12" s="19">
        <f t="shared" ref="I12" si="82">+I10/H10-1</f>
        <v>4.5217908671723928E-2</v>
      </c>
      <c r="J12" s="19">
        <f t="shared" ref="J12" si="83">+J10/I10-1</f>
        <v>0.2232816280062615</v>
      </c>
      <c r="K12" s="251" t="s">
        <v>294</v>
      </c>
      <c r="L12" s="19">
        <f>+L10/J10-1</f>
        <v>0.10760818985574683</v>
      </c>
      <c r="M12" s="19">
        <f>+M10/L10-1</f>
        <v>0.24724293666631647</v>
      </c>
      <c r="N12" s="19">
        <f t="shared" ref="N12" si="84">+N10/M10-1</f>
        <v>0.11654736842105273</v>
      </c>
      <c r="O12" s="19">
        <f t="shared" ref="O12" si="85">+O10/N10-1</f>
        <v>0.15167056339090434</v>
      </c>
      <c r="P12" s="251" t="s">
        <v>294</v>
      </c>
      <c r="Q12" s="19">
        <f>+Q10/O10-1</f>
        <v>-8.5134250163720893E-4</v>
      </c>
      <c r="R12" s="19">
        <f>+R10/Q10-1</f>
        <v>-0.10244477944550046</v>
      </c>
      <c r="S12" s="19">
        <f t="shared" ref="S12" si="86">+S10/R10-1</f>
        <v>0.23776836570760906</v>
      </c>
      <c r="T12" s="19">
        <f t="shared" ref="T12" si="87">+T10/S10-1</f>
        <v>2.3775811209439501E-2</v>
      </c>
      <c r="U12" s="251" t="s">
        <v>294</v>
      </c>
      <c r="V12" s="19">
        <f>+V10/T10-1</f>
        <v>5.9759119460611965E-2</v>
      </c>
      <c r="W12" s="19">
        <f>+W10/V10-1</f>
        <v>0.13268080478520927</v>
      </c>
      <c r="X12" s="19">
        <f t="shared" ref="X12" si="88">+X10/W10-1</f>
        <v>9.4863178108497426E-2</v>
      </c>
      <c r="Y12" s="19">
        <f t="shared" ref="Y12" si="89">+Y10/X10-1</f>
        <v>0.12251161974918889</v>
      </c>
      <c r="Z12" s="251" t="s">
        <v>294</v>
      </c>
      <c r="AA12" s="19">
        <f>+AA10/Y10-1</f>
        <v>5.859375E-2</v>
      </c>
      <c r="AB12" s="19">
        <f>+AB10/AA10-1</f>
        <v>8.1180811808118092E-2</v>
      </c>
      <c r="AC12" s="19">
        <f t="shared" ref="AC12" si="90">+AC10/AB10-1</f>
        <v>0.10580204778156999</v>
      </c>
      <c r="AD12" s="19">
        <f t="shared" ref="AD12" si="91">+AD10/AC10-1</f>
        <v>0.11111111111111116</v>
      </c>
      <c r="AE12" s="251" t="s">
        <v>294</v>
      </c>
      <c r="AF12" s="19">
        <f>+AF10/AD10-1</f>
        <v>8.6111111111111027E-2</v>
      </c>
      <c r="AG12" s="19">
        <f>+AG10/AF10-1</f>
        <v>0.11253196930946285</v>
      </c>
      <c r="AH12" s="19">
        <f t="shared" ref="AH12" si="92">+AH10/AG10-1</f>
        <v>9.1954022988505191E-3</v>
      </c>
      <c r="AI12" s="19">
        <f t="shared" ref="AI12" si="93">+AI10/AH10-1</f>
        <v>5.6947608200455635E-2</v>
      </c>
      <c r="AJ12" s="251" t="s">
        <v>294</v>
      </c>
      <c r="AK12" s="19">
        <f>+AK10/AI10-1</f>
        <v>1.0775862068965525E-2</v>
      </c>
      <c r="AL12" s="19">
        <f>+AL10/AK10-1</f>
        <v>5.3304904051172608E-2</v>
      </c>
      <c r="AM12" s="19">
        <f t="shared" ref="AM12" si="94">+AM10/AL10-1</f>
        <v>7.4898785425101311E-2</v>
      </c>
      <c r="AN12" s="19">
        <f t="shared" ref="AN12" si="95">+AN10/AM10-1</f>
        <v>7.909604519774005E-2</v>
      </c>
      <c r="AO12" s="251" t="s">
        <v>294</v>
      </c>
      <c r="AP12" s="19">
        <f>+AP10/AN10-1</f>
        <v>2.9668411867364686E-2</v>
      </c>
      <c r="AQ12" s="19">
        <f>+AQ10/AP10-1</f>
        <v>8.4745762711864403E-2</v>
      </c>
      <c r="AR12" s="19">
        <f t="shared" ref="AR12" si="96">+AR10/AQ10-1</f>
        <v>0.15625</v>
      </c>
      <c r="AS12" s="19">
        <f t="shared" ref="AS12" si="97">+AS10/AR10-1</f>
        <v>6.7567567567567544E-2</v>
      </c>
      <c r="AT12" s="251" t="s">
        <v>294</v>
      </c>
      <c r="AU12" s="379">
        <f>+AU10/AS10-1</f>
        <v>9.6600735926353209E-3</v>
      </c>
      <c r="AV12" s="19">
        <f>+AV10/AU10-1</f>
        <v>0.10709346716682799</v>
      </c>
      <c r="AW12" s="19">
        <f t="shared" ref="AW12" si="98">+AW10/AV10-1</f>
        <v>8.5531148600090257E-2</v>
      </c>
      <c r="AX12" s="19">
        <f t="shared" ref="AX12" si="99">+AX10/AW10-1</f>
        <v>7.4416877428670203E-2</v>
      </c>
      <c r="AY12" s="251" t="s">
        <v>294</v>
      </c>
      <c r="AZ12" s="19">
        <f>+AZ10/AX10-1</f>
        <v>9.7842739681506696E-2</v>
      </c>
      <c r="BA12" s="19">
        <f>+BA10/AZ10-1</f>
        <v>7.2691940466508731E-2</v>
      </c>
      <c r="BB12" s="19">
        <f t="shared" ref="BB12" si="100">+BB10/BA10-1</f>
        <v>6.468889690743751E-2</v>
      </c>
      <c r="BC12" s="19">
        <f t="shared" ref="BC12" si="101">+BC10/BB10-1</f>
        <v>7.328649332018089E-2</v>
      </c>
      <c r="BD12" s="251" t="s">
        <v>294</v>
      </c>
      <c r="BE12" s="19">
        <f>+BE10/BC10-1</f>
        <v>7.752455825948168E-2</v>
      </c>
      <c r="BF12" s="19">
        <f>+BF10/BE10-1</f>
        <v>5.9350169488433302E-2</v>
      </c>
      <c r="BG12" s="19">
        <f t="shared" ref="BG12" si="102">+BG10/BF10-1</f>
        <v>5.3302786018516901E-2</v>
      </c>
      <c r="BH12" s="19">
        <f t="shared" ref="BH12" si="103">+BH10/BG10-1</f>
        <v>5.5704630805566202E-2</v>
      </c>
      <c r="BI12" s="251" t="s">
        <v>294</v>
      </c>
      <c r="BJ12" s="19">
        <f>+BJ10/BH10-1</f>
        <v>3.7163231918757589E-2</v>
      </c>
      <c r="BK12" s="19">
        <f>+BK10/BJ10-1</f>
        <v>2.1126000293222758E-2</v>
      </c>
      <c r="BL12" s="19">
        <f t="shared" ref="BL12" si="104">+BL10/BK10-1</f>
        <v>1.8033071673363654E-2</v>
      </c>
      <c r="BM12" s="19">
        <f t="shared" ref="BM12" si="105">+BM10/BL10-1</f>
        <v>2.2867802315104768E-2</v>
      </c>
      <c r="BN12" s="251" t="s">
        <v>294</v>
      </c>
      <c r="BO12" s="19">
        <f>+BO10/BM10-1</f>
        <v>4.8398659291537971E-2</v>
      </c>
      <c r="BP12" s="19">
        <f>+BP10/BO10-1</f>
        <v>3.1515020439362385E-2</v>
      </c>
      <c r="BQ12" s="19">
        <f t="shared" ref="BQ12" si="106">+BQ10/BP10-1</f>
        <v>2.7843178901455268E-2</v>
      </c>
      <c r="BR12" s="19">
        <f t="shared" ref="BR12" si="107">+BR10/BQ10-1</f>
        <v>3.2289691619255434E-2</v>
      </c>
      <c r="BS12" s="251" t="s">
        <v>294</v>
      </c>
      <c r="BT12" s="19">
        <f>+BT10/BR10-1</f>
        <v>1.8416779653931403E-2</v>
      </c>
      <c r="BU12" s="19">
        <f>+BU10/BT10-1</f>
        <v>2.9061713054035154E-2</v>
      </c>
      <c r="BV12" s="19">
        <f t="shared" ref="BV12" si="108">+BV10/BU10-1</f>
        <v>2.5435737309581929E-2</v>
      </c>
      <c r="BW12" s="19">
        <f t="shared" ref="BW12" si="109">+BW10/BV10-1</f>
        <v>3.0207214329911469E-2</v>
      </c>
      <c r="BX12" s="251" t="s">
        <v>294</v>
      </c>
      <c r="BY12" s="19">
        <f>+BY10/BW10-1</f>
        <v>1.669744623861269E-2</v>
      </c>
      <c r="BZ12" s="19">
        <f>+BZ10/BY10-1</f>
        <v>2.5639550934095867E-2</v>
      </c>
      <c r="CA12" s="19">
        <f t="shared" ref="CA12" si="110">+CA10/BZ10-1</f>
        <v>2.2092149727914068E-2</v>
      </c>
      <c r="CB12" s="19">
        <f t="shared" ref="CB12" si="111">+CB10/CA10-1</f>
        <v>2.7234158299098254E-2</v>
      </c>
      <c r="CC12" s="251" t="s">
        <v>294</v>
      </c>
      <c r="CD12" s="19">
        <f>+CD10/CB10-1</f>
        <v>6.6440227246176153E-3</v>
      </c>
      <c r="CE12" s="19">
        <f>+CE10/CD10-1</f>
        <v>2.4363565365787654E-2</v>
      </c>
      <c r="CF12" s="19">
        <f t="shared" ref="CF12" si="112">+CF10/CE10-1</f>
        <v>2.0744662163447947E-2</v>
      </c>
      <c r="CG12" s="19">
        <f t="shared" ref="CG12" si="113">+CG10/CF10-1</f>
        <v>2.6213819498761115E-2</v>
      </c>
      <c r="CH12" s="251" t="s">
        <v>294</v>
      </c>
      <c r="CI12" s="19">
        <f>+CI10/CG10-1</f>
        <v>6.8332503049872706E-3</v>
      </c>
      <c r="CJ12" s="19">
        <f>+CJ10/CI10-1</f>
        <v>2.3231646848438592E-2</v>
      </c>
      <c r="CK12" s="19">
        <f t="shared" ref="CK12" si="114">+CK10/CJ10-1</f>
        <v>1.9544781615100204E-2</v>
      </c>
      <c r="CL12" s="19">
        <f t="shared" ref="CL12" si="115">+CL10/CK10-1</f>
        <v>2.5305921944482668E-2</v>
      </c>
      <c r="CM12" s="251" t="s">
        <v>294</v>
      </c>
    </row>
    <row r="13" spans="1:93" s="42" customFormat="1">
      <c r="A13" s="162" t="s">
        <v>330</v>
      </c>
      <c r="B13" s="232" t="s">
        <v>294</v>
      </c>
      <c r="C13" s="232" t="s">
        <v>294</v>
      </c>
      <c r="D13" s="232" t="s">
        <v>294</v>
      </c>
      <c r="E13" s="232" t="s">
        <v>294</v>
      </c>
      <c r="F13" s="239" t="s">
        <v>294</v>
      </c>
      <c r="G13" s="167">
        <f>+G178</f>
        <v>2300</v>
      </c>
      <c r="H13" s="167">
        <f t="shared" ref="H13:BS13" si="116">+H178</f>
        <v>2500</v>
      </c>
      <c r="I13" s="167">
        <f t="shared" si="116"/>
        <v>2505</v>
      </c>
      <c r="J13" s="167">
        <f t="shared" si="116"/>
        <v>3025</v>
      </c>
      <c r="K13" s="249">
        <f t="shared" si="116"/>
        <v>10330</v>
      </c>
      <c r="L13" s="167">
        <f t="shared" si="116"/>
        <v>3750</v>
      </c>
      <c r="M13" s="167">
        <f t="shared" si="116"/>
        <v>5250</v>
      </c>
      <c r="N13" s="167">
        <f t="shared" si="116"/>
        <v>5250</v>
      </c>
      <c r="O13" s="167">
        <f t="shared" si="116"/>
        <v>6250</v>
      </c>
      <c r="P13" s="249">
        <f t="shared" si="116"/>
        <v>20500</v>
      </c>
      <c r="Q13" s="167">
        <f t="shared" si="116"/>
        <v>5266</v>
      </c>
      <c r="R13" s="167">
        <f t="shared" si="116"/>
        <v>2805</v>
      </c>
      <c r="S13" s="167">
        <f t="shared" si="116"/>
        <v>3071</v>
      </c>
      <c r="T13" s="167">
        <f t="shared" si="116"/>
        <v>4841</v>
      </c>
      <c r="U13" s="249">
        <f t="shared" si="116"/>
        <v>15983</v>
      </c>
      <c r="V13" s="167">
        <f t="shared" si="116"/>
        <v>3522</v>
      </c>
      <c r="W13" s="167">
        <f t="shared" si="116"/>
        <v>3653</v>
      </c>
      <c r="X13" s="167">
        <f t="shared" si="116"/>
        <v>4839</v>
      </c>
      <c r="Y13" s="167">
        <f t="shared" si="116"/>
        <v>6600</v>
      </c>
      <c r="Z13" s="249">
        <f t="shared" si="116"/>
        <v>18614</v>
      </c>
      <c r="AA13" s="167">
        <f t="shared" si="116"/>
        <v>5100</v>
      </c>
      <c r="AB13" s="167">
        <f t="shared" si="116"/>
        <v>6000</v>
      </c>
      <c r="AC13" s="167">
        <f t="shared" si="116"/>
        <v>6750</v>
      </c>
      <c r="AD13" s="167">
        <f t="shared" si="116"/>
        <v>8200</v>
      </c>
      <c r="AE13" s="249">
        <f t="shared" si="116"/>
        <v>26050</v>
      </c>
      <c r="AF13" s="167">
        <f t="shared" si="116"/>
        <v>6150</v>
      </c>
      <c r="AG13" s="167">
        <f t="shared" si="116"/>
        <v>6700</v>
      </c>
      <c r="AH13" s="167">
        <f t="shared" si="116"/>
        <v>7500</v>
      </c>
      <c r="AI13" s="167">
        <f t="shared" si="116"/>
        <v>9500</v>
      </c>
      <c r="AJ13" s="249">
        <f t="shared" si="116"/>
        <v>29850</v>
      </c>
      <c r="AK13" s="167">
        <f t="shared" si="116"/>
        <v>8450</v>
      </c>
      <c r="AL13" s="167">
        <f t="shared" si="116"/>
        <v>10475</v>
      </c>
      <c r="AM13" s="167">
        <f t="shared" si="116"/>
        <v>10500</v>
      </c>
      <c r="AN13" s="167">
        <f t="shared" si="116"/>
        <v>11050</v>
      </c>
      <c r="AO13" s="249">
        <f t="shared" si="116"/>
        <v>40475</v>
      </c>
      <c r="AP13" s="167">
        <f t="shared" si="116"/>
        <v>10225</v>
      </c>
      <c r="AQ13" s="167">
        <f t="shared" si="116"/>
        <v>12675</v>
      </c>
      <c r="AR13" s="167">
        <f t="shared" si="116"/>
        <v>12660</v>
      </c>
      <c r="AS13" s="167">
        <f t="shared" si="116"/>
        <v>11823</v>
      </c>
      <c r="AT13" s="249">
        <f t="shared" si="116"/>
        <v>47383</v>
      </c>
      <c r="AU13" s="386">
        <f t="shared" si="116"/>
        <v>11043</v>
      </c>
      <c r="AV13" s="167">
        <f t="shared" si="116"/>
        <v>13689</v>
      </c>
      <c r="AW13" s="167">
        <f t="shared" si="116"/>
        <v>13672.800000000001</v>
      </c>
      <c r="AX13" s="167">
        <f t="shared" si="116"/>
        <v>12768.84</v>
      </c>
      <c r="AY13" s="249">
        <f t="shared" si="116"/>
        <v>51173.64</v>
      </c>
      <c r="AZ13" s="167">
        <f t="shared" si="116"/>
        <v>12147.300000000001</v>
      </c>
      <c r="BA13" s="167">
        <f t="shared" si="116"/>
        <v>15057.900000000001</v>
      </c>
      <c r="BB13" s="167">
        <f t="shared" si="116"/>
        <v>15040.080000000002</v>
      </c>
      <c r="BC13" s="167">
        <f t="shared" si="116"/>
        <v>14045.724000000002</v>
      </c>
      <c r="BD13" s="249">
        <f t="shared" si="116"/>
        <v>56291.004000000008</v>
      </c>
      <c r="BE13" s="167">
        <f t="shared" si="116"/>
        <v>13119.084000000003</v>
      </c>
      <c r="BF13" s="167">
        <f t="shared" si="116"/>
        <v>16262.532000000003</v>
      </c>
      <c r="BG13" s="167">
        <f t="shared" si="116"/>
        <v>16243.286400000003</v>
      </c>
      <c r="BH13" s="167">
        <f t="shared" si="116"/>
        <v>15169.381920000003</v>
      </c>
      <c r="BI13" s="249">
        <f t="shared" si="116"/>
        <v>60794.284320000006</v>
      </c>
      <c r="BJ13" s="167">
        <f t="shared" si="116"/>
        <v>14168.610720000004</v>
      </c>
      <c r="BK13" s="167">
        <f t="shared" si="116"/>
        <v>17563.534560000004</v>
      </c>
      <c r="BL13" s="167">
        <f t="shared" si="116"/>
        <v>17542.749312000004</v>
      </c>
      <c r="BM13" s="167">
        <f t="shared" si="116"/>
        <v>16382.932473600005</v>
      </c>
      <c r="BN13" s="249">
        <f t="shared" si="116"/>
        <v>65657.827065600024</v>
      </c>
      <c r="BO13" s="167">
        <f t="shared" si="116"/>
        <v>15302.099577600005</v>
      </c>
      <c r="BP13" s="167">
        <f t="shared" si="116"/>
        <v>18968.617324800005</v>
      </c>
      <c r="BQ13" s="167">
        <f t="shared" si="116"/>
        <v>18946.169256960005</v>
      </c>
      <c r="BR13" s="167">
        <f t="shared" si="116"/>
        <v>17693.567071488007</v>
      </c>
      <c r="BS13" s="249">
        <f t="shared" si="116"/>
        <v>70910.453230848027</v>
      </c>
      <c r="BT13" s="167">
        <f t="shared" ref="BT13:CM13" si="117">+BT178</f>
        <v>16526.267543808008</v>
      </c>
      <c r="BU13" s="167">
        <f t="shared" si="117"/>
        <v>20486.106710784006</v>
      </c>
      <c r="BV13" s="167">
        <f t="shared" si="117"/>
        <v>20461.862797516806</v>
      </c>
      <c r="BW13" s="167">
        <f t="shared" si="117"/>
        <v>19109.05243720705</v>
      </c>
      <c r="BX13" s="249">
        <f t="shared" si="117"/>
        <v>76583.289489315866</v>
      </c>
      <c r="BY13" s="167">
        <f t="shared" si="117"/>
        <v>17848.368947312651</v>
      </c>
      <c r="BZ13" s="167">
        <f t="shared" si="117"/>
        <v>22124.99524764673</v>
      </c>
      <c r="CA13" s="167">
        <f t="shared" si="117"/>
        <v>22098.811821318151</v>
      </c>
      <c r="CB13" s="167">
        <f t="shared" si="117"/>
        <v>20637.776632183617</v>
      </c>
      <c r="CC13" s="249">
        <f t="shared" si="117"/>
        <v>82709.952648461156</v>
      </c>
      <c r="CD13" s="167">
        <f t="shared" si="117"/>
        <v>19276.238463097663</v>
      </c>
      <c r="CE13" s="167">
        <f t="shared" si="117"/>
        <v>23894.99486745847</v>
      </c>
      <c r="CF13" s="167">
        <f t="shared" si="117"/>
        <v>23866.716767023605</v>
      </c>
      <c r="CG13" s="167">
        <f t="shared" si="117"/>
        <v>22288.798762758306</v>
      </c>
      <c r="CH13" s="249">
        <f t="shared" si="117"/>
        <v>89326.748860338048</v>
      </c>
      <c r="CI13" s="167">
        <f t="shared" si="117"/>
        <v>20818.337540145476</v>
      </c>
      <c r="CJ13" s="167">
        <f t="shared" si="117"/>
        <v>25806.594456855149</v>
      </c>
      <c r="CK13" s="167">
        <f t="shared" si="117"/>
        <v>25776.054108385495</v>
      </c>
      <c r="CL13" s="167">
        <f t="shared" si="117"/>
        <v>24071.902663778972</v>
      </c>
      <c r="CM13" s="249">
        <f t="shared" si="117"/>
        <v>96472.888769165089</v>
      </c>
    </row>
    <row r="14" spans="1:93">
      <c r="A14" s="161" t="s">
        <v>291</v>
      </c>
      <c r="B14" s="232" t="s">
        <v>294</v>
      </c>
      <c r="C14" s="232" t="s">
        <v>294</v>
      </c>
      <c r="D14" s="232" t="s">
        <v>294</v>
      </c>
      <c r="E14" s="232" t="s">
        <v>294</v>
      </c>
      <c r="F14" s="239" t="s">
        <v>294</v>
      </c>
      <c r="G14" s="158" t="s">
        <v>294</v>
      </c>
      <c r="H14" s="158" t="s">
        <v>294</v>
      </c>
      <c r="I14" s="158" t="s">
        <v>294</v>
      </c>
      <c r="J14" s="158" t="s">
        <v>294</v>
      </c>
      <c r="K14" s="250" t="s">
        <v>294</v>
      </c>
      <c r="L14" s="19">
        <f t="shared" ref="L14" si="118">+L13/G13-1</f>
        <v>0.63043478260869557</v>
      </c>
      <c r="M14" s="19">
        <f t="shared" ref="M14" si="119">+M13/H13-1</f>
        <v>1.1000000000000001</v>
      </c>
      <c r="N14" s="19">
        <f t="shared" ref="N14" si="120">+N13/I13-1</f>
        <v>1.0958083832335328</v>
      </c>
      <c r="O14" s="19">
        <f t="shared" ref="O14" si="121">+O13/J13-1</f>
        <v>1.0661157024793386</v>
      </c>
      <c r="P14" s="259">
        <f t="shared" ref="P14" si="122">+P13/K13-1</f>
        <v>0.98451113262342682</v>
      </c>
      <c r="Q14" s="19">
        <f t="shared" ref="Q14" si="123">+Q13/L13-1</f>
        <v>0.40426666666666677</v>
      </c>
      <c r="R14" s="19">
        <f t="shared" ref="R14" si="124">+R13/M13-1</f>
        <v>-0.46571428571428575</v>
      </c>
      <c r="S14" s="19">
        <f t="shared" ref="S14" si="125">+S13/N13-1</f>
        <v>-0.415047619047619</v>
      </c>
      <c r="T14" s="19">
        <f t="shared" ref="T14" si="126">+T13/O13-1</f>
        <v>-0.22543999999999997</v>
      </c>
      <c r="U14" s="259">
        <f t="shared" ref="U14" si="127">+U13/P13-1</f>
        <v>-0.22034146341463412</v>
      </c>
      <c r="V14" s="19">
        <f t="shared" ref="V14" si="128">+V13/Q13-1</f>
        <v>-0.33118116217242688</v>
      </c>
      <c r="W14" s="19">
        <f t="shared" ref="W14" si="129">+W13/R13-1</f>
        <v>0.30231729055258461</v>
      </c>
      <c r="X14" s="19">
        <f t="shared" ref="X14" si="130">+X13/S13-1</f>
        <v>0.57570823835884077</v>
      </c>
      <c r="Y14" s="19">
        <f t="shared" ref="Y14" si="131">+Y13/T13-1</f>
        <v>0.36335467878537497</v>
      </c>
      <c r="Z14" s="259">
        <f t="shared" ref="Z14" si="132">+Z13/U13-1</f>
        <v>0.16461240067571792</v>
      </c>
      <c r="AA14" s="19">
        <f t="shared" ref="AA14" si="133">+AA13/V13-1</f>
        <v>0.44804088586030666</v>
      </c>
      <c r="AB14" s="19">
        <f t="shared" ref="AB14" si="134">+AB13/W13-1</f>
        <v>0.64248562825075273</v>
      </c>
      <c r="AC14" s="19">
        <f t="shared" ref="AC14" si="135">+AC13/X13-1</f>
        <v>0.39491630502169861</v>
      </c>
      <c r="AD14" s="19">
        <f t="shared" ref="AD14" si="136">+AD13/Y13-1</f>
        <v>0.24242424242424243</v>
      </c>
      <c r="AE14" s="259">
        <f t="shared" ref="AE14" si="137">+AE13/Z13-1</f>
        <v>0.39948425915977226</v>
      </c>
      <c r="AF14" s="19">
        <f t="shared" ref="AF14" si="138">+AF13/AA13-1</f>
        <v>0.20588235294117641</v>
      </c>
      <c r="AG14" s="19">
        <f t="shared" ref="AG14" si="139">+AG13/AB13-1</f>
        <v>0.1166666666666667</v>
      </c>
      <c r="AH14" s="19">
        <f t="shared" ref="AH14" si="140">+AH13/AC13-1</f>
        <v>0.11111111111111116</v>
      </c>
      <c r="AI14" s="19">
        <f t="shared" ref="AI14" si="141">+AI13/AD13-1</f>
        <v>0.15853658536585358</v>
      </c>
      <c r="AJ14" s="259">
        <f t="shared" ref="AJ14" si="142">+AJ13/AE13-1</f>
        <v>0.14587332053742808</v>
      </c>
      <c r="AK14" s="19">
        <f t="shared" ref="AK14" si="143">+AK13/AF13-1</f>
        <v>0.37398373983739841</v>
      </c>
      <c r="AL14" s="19">
        <f t="shared" ref="AL14" si="144">+AL13/AG13-1</f>
        <v>0.56343283582089554</v>
      </c>
      <c r="AM14" s="19">
        <f t="shared" ref="AM14" si="145">+AM13/AH13-1</f>
        <v>0.39999999999999991</v>
      </c>
      <c r="AN14" s="19">
        <f t="shared" ref="AN14" si="146">+AN13/AI13-1</f>
        <v>0.16315789473684217</v>
      </c>
      <c r="AO14" s="259">
        <f t="shared" ref="AO14" si="147">+AO13/AJ13-1</f>
        <v>0.35594639865996647</v>
      </c>
      <c r="AP14" s="19">
        <f t="shared" ref="AP14" si="148">+AP13/AK13-1</f>
        <v>0.21005917159763321</v>
      </c>
      <c r="AQ14" s="19">
        <f t="shared" ref="AQ14" si="149">+AQ13/AL13-1</f>
        <v>0.21002386634844861</v>
      </c>
      <c r="AR14" s="19">
        <f t="shared" ref="AR14" si="150">+AR13/AM13-1</f>
        <v>0.20571428571428574</v>
      </c>
      <c r="AS14" s="19">
        <f t="shared" ref="AS14" si="151">+AS13/AN13-1</f>
        <v>6.9954751131221737E-2</v>
      </c>
      <c r="AT14" s="259">
        <f t="shared" ref="AT14" si="152">+AT13/AO13-1</f>
        <v>0.17067325509573816</v>
      </c>
      <c r="AU14" s="379">
        <f t="shared" ref="AU14" si="153">+AU13/AP13-1</f>
        <v>8.0000000000000071E-2</v>
      </c>
      <c r="AV14" s="19">
        <f t="shared" ref="AV14" si="154">+AV13/AQ13-1</f>
        <v>8.0000000000000071E-2</v>
      </c>
      <c r="AW14" s="19">
        <f t="shared" ref="AW14" si="155">+AW13/AR13-1</f>
        <v>8.0000000000000071E-2</v>
      </c>
      <c r="AX14" s="19">
        <f t="shared" ref="AX14" si="156">+AX13/AS13-1</f>
        <v>8.0000000000000071E-2</v>
      </c>
      <c r="AY14" s="259">
        <f t="shared" ref="AY14" si="157">+AY13/AT13-1</f>
        <v>8.0000000000000071E-2</v>
      </c>
      <c r="AZ14" s="19">
        <f t="shared" ref="AZ14" si="158">+AZ13/AU13-1</f>
        <v>0.10000000000000009</v>
      </c>
      <c r="BA14" s="19">
        <f t="shared" ref="BA14" si="159">+BA13/AV13-1</f>
        <v>0.10000000000000009</v>
      </c>
      <c r="BB14" s="19">
        <f t="shared" ref="BB14" si="160">+BB13/AW13-1</f>
        <v>0.10000000000000009</v>
      </c>
      <c r="BC14" s="19">
        <f t="shared" ref="BC14" si="161">+BC13/AX13-1</f>
        <v>0.10000000000000009</v>
      </c>
      <c r="BD14" s="259">
        <f t="shared" ref="BD14" si="162">+BD13/AY13-1</f>
        <v>0.10000000000000009</v>
      </c>
      <c r="BE14" s="19">
        <f t="shared" ref="BE14" si="163">+BE13/AZ13-1</f>
        <v>8.0000000000000071E-2</v>
      </c>
      <c r="BF14" s="19">
        <f t="shared" ref="BF14" si="164">+BF13/BA13-1</f>
        <v>8.0000000000000071E-2</v>
      </c>
      <c r="BG14" s="19">
        <f t="shared" ref="BG14" si="165">+BG13/BB13-1</f>
        <v>8.0000000000000071E-2</v>
      </c>
      <c r="BH14" s="19">
        <f t="shared" ref="BH14" si="166">+BH13/BC13-1</f>
        <v>8.0000000000000071E-2</v>
      </c>
      <c r="BI14" s="259">
        <f t="shared" ref="BI14" si="167">+BI13/BD13-1</f>
        <v>7.9999999999999849E-2</v>
      </c>
      <c r="BJ14" s="19">
        <f t="shared" ref="BJ14" si="168">+BJ13/BE13-1</f>
        <v>8.0000000000000071E-2</v>
      </c>
      <c r="BK14" s="19">
        <f t="shared" ref="BK14" si="169">+BK13/BF13-1</f>
        <v>8.0000000000000071E-2</v>
      </c>
      <c r="BL14" s="19">
        <f t="shared" ref="BL14" si="170">+BL13/BG13-1</f>
        <v>8.0000000000000071E-2</v>
      </c>
      <c r="BM14" s="19">
        <f t="shared" ref="BM14" si="171">+BM13/BH13-1</f>
        <v>8.0000000000000071E-2</v>
      </c>
      <c r="BN14" s="259">
        <f t="shared" ref="BN14" si="172">+BN13/BI13-1</f>
        <v>8.0000000000000293E-2</v>
      </c>
      <c r="BO14" s="19">
        <f t="shared" ref="BO14" si="173">+BO13/BJ13-1</f>
        <v>8.0000000000000071E-2</v>
      </c>
      <c r="BP14" s="19">
        <f t="shared" ref="BP14" si="174">+BP13/BK13-1</f>
        <v>8.0000000000000071E-2</v>
      </c>
      <c r="BQ14" s="19">
        <f t="shared" ref="BQ14" si="175">+BQ13/BL13-1</f>
        <v>8.0000000000000071E-2</v>
      </c>
      <c r="BR14" s="19">
        <f t="shared" ref="BR14" si="176">+BR13/BM13-1</f>
        <v>8.0000000000000071E-2</v>
      </c>
      <c r="BS14" s="259">
        <f t="shared" ref="BS14" si="177">+BS13/BN13-1</f>
        <v>8.0000000000000071E-2</v>
      </c>
      <c r="BT14" s="19">
        <f t="shared" ref="BT14" si="178">+BT13/BO13-1</f>
        <v>8.0000000000000071E-2</v>
      </c>
      <c r="BU14" s="19">
        <f t="shared" ref="BU14" si="179">+BU13/BP13-1</f>
        <v>8.0000000000000071E-2</v>
      </c>
      <c r="BV14" s="19">
        <f t="shared" ref="BV14" si="180">+BV13/BQ13-1</f>
        <v>8.0000000000000071E-2</v>
      </c>
      <c r="BW14" s="19">
        <f t="shared" ref="BW14" si="181">+BW13/BR13-1</f>
        <v>8.0000000000000071E-2</v>
      </c>
      <c r="BX14" s="259">
        <f t="shared" ref="BX14" si="182">+BX13/BS13-1</f>
        <v>8.0000000000000071E-2</v>
      </c>
      <c r="BY14" s="19">
        <f t="shared" ref="BY14" si="183">+BY13/BT13-1</f>
        <v>8.0000000000000071E-2</v>
      </c>
      <c r="BZ14" s="19">
        <f t="shared" ref="BZ14" si="184">+BZ13/BU13-1</f>
        <v>8.0000000000000071E-2</v>
      </c>
      <c r="CA14" s="19">
        <f t="shared" ref="CA14" si="185">+CA13/BV13-1</f>
        <v>8.0000000000000071E-2</v>
      </c>
      <c r="CB14" s="19">
        <f t="shared" ref="CB14" si="186">+CB13/BW13-1</f>
        <v>8.0000000000000071E-2</v>
      </c>
      <c r="CC14" s="259">
        <f t="shared" ref="CC14" si="187">+CC13/BX13-1</f>
        <v>8.0000000000000293E-2</v>
      </c>
      <c r="CD14" s="19">
        <f t="shared" ref="CD14" si="188">+CD13/BY13-1</f>
        <v>8.0000000000000071E-2</v>
      </c>
      <c r="CE14" s="19">
        <f t="shared" ref="CE14" si="189">+CE13/BZ13-1</f>
        <v>8.0000000000000071E-2</v>
      </c>
      <c r="CF14" s="19">
        <f t="shared" ref="CF14" si="190">+CF13/CA13-1</f>
        <v>8.0000000000000071E-2</v>
      </c>
      <c r="CG14" s="19">
        <f t="shared" ref="CG14" si="191">+CG13/CB13-1</f>
        <v>8.0000000000000071E-2</v>
      </c>
      <c r="CH14" s="259">
        <f t="shared" ref="CH14" si="192">+CH13/CC13-1</f>
        <v>8.0000000000000071E-2</v>
      </c>
      <c r="CI14" s="19">
        <f t="shared" ref="CI14" si="193">+CI13/CD13-1</f>
        <v>8.0000000000000071E-2</v>
      </c>
      <c r="CJ14" s="19">
        <f t="shared" ref="CJ14" si="194">+CJ13/CE13-1</f>
        <v>8.0000000000000071E-2</v>
      </c>
      <c r="CK14" s="19">
        <f t="shared" ref="CK14" si="195">+CK13/CF13-1</f>
        <v>8.0000000000000071E-2</v>
      </c>
      <c r="CL14" s="19">
        <f t="shared" ref="CL14" si="196">+CL13/CG13-1</f>
        <v>8.0000000000000071E-2</v>
      </c>
      <c r="CM14" s="259">
        <f t="shared" ref="CM14" si="197">+CM13/CH13-1</f>
        <v>8.0000000000000071E-2</v>
      </c>
    </row>
    <row r="15" spans="1:93">
      <c r="A15" s="161" t="s">
        <v>292</v>
      </c>
      <c r="B15" s="232" t="s">
        <v>294</v>
      </c>
      <c r="C15" s="232" t="s">
        <v>294</v>
      </c>
      <c r="D15" s="232" t="s">
        <v>294</v>
      </c>
      <c r="E15" s="232" t="s">
        <v>294</v>
      </c>
      <c r="F15" s="239" t="s">
        <v>294</v>
      </c>
      <c r="G15" s="147" t="s">
        <v>294</v>
      </c>
      <c r="H15" s="19">
        <f>+H13/G13-1</f>
        <v>8.6956521739130377E-2</v>
      </c>
      <c r="I15" s="19">
        <f t="shared" ref="I15" si="198">+I13/H13-1</f>
        <v>2.0000000000000018E-3</v>
      </c>
      <c r="J15" s="19">
        <f t="shared" ref="J15" si="199">+J13/I13-1</f>
        <v>0.20758483033932129</v>
      </c>
      <c r="K15" s="251" t="s">
        <v>294</v>
      </c>
      <c r="L15" s="19">
        <f>+L13/J13-1</f>
        <v>0.2396694214876034</v>
      </c>
      <c r="M15" s="19">
        <f>+M13/L13-1</f>
        <v>0.39999999999999991</v>
      </c>
      <c r="N15" s="19">
        <f t="shared" ref="N15" si="200">+N13/M13-1</f>
        <v>0</v>
      </c>
      <c r="O15" s="19">
        <f t="shared" ref="O15" si="201">+O13/N13-1</f>
        <v>0.19047619047619047</v>
      </c>
      <c r="P15" s="251" t="s">
        <v>294</v>
      </c>
      <c r="Q15" s="19">
        <f>+Q13/O13-1</f>
        <v>-0.15744000000000002</v>
      </c>
      <c r="R15" s="19">
        <f>+R13/Q13-1</f>
        <v>-0.46733763767565517</v>
      </c>
      <c r="S15" s="19">
        <f t="shared" ref="S15" si="202">+S13/R13-1</f>
        <v>9.4830659536541795E-2</v>
      </c>
      <c r="T15" s="19">
        <f t="shared" ref="T15" si="203">+T13/S13-1</f>
        <v>0.57635949202214265</v>
      </c>
      <c r="U15" s="251" t="s">
        <v>294</v>
      </c>
      <c r="V15" s="19">
        <f>+V13/T13-1</f>
        <v>-0.27246436686634989</v>
      </c>
      <c r="W15" s="19">
        <f>+W13/V13-1</f>
        <v>3.7194775695627458E-2</v>
      </c>
      <c r="X15" s="19">
        <f t="shared" ref="X15" si="204">+X13/W13-1</f>
        <v>0.32466465918423215</v>
      </c>
      <c r="Y15" s="19">
        <f t="shared" ref="Y15" si="205">+Y13/X13-1</f>
        <v>0.36391816491010531</v>
      </c>
      <c r="Z15" s="251" t="s">
        <v>294</v>
      </c>
      <c r="AA15" s="19">
        <f>+AA13/Y13-1</f>
        <v>-0.22727272727272729</v>
      </c>
      <c r="AB15" s="19">
        <f>+AB13/AA13-1</f>
        <v>0.17647058823529416</v>
      </c>
      <c r="AC15" s="19">
        <f t="shared" ref="AC15" si="206">+AC13/AB13-1</f>
        <v>0.125</v>
      </c>
      <c r="AD15" s="19">
        <f t="shared" ref="AD15" si="207">+AD13/AC13-1</f>
        <v>0.21481481481481479</v>
      </c>
      <c r="AE15" s="251" t="s">
        <v>294</v>
      </c>
      <c r="AF15" s="19">
        <f>+AF13/AD13-1</f>
        <v>-0.25</v>
      </c>
      <c r="AG15" s="19">
        <f>+AG13/AF13-1</f>
        <v>8.9430894308943021E-2</v>
      </c>
      <c r="AH15" s="19">
        <f t="shared" ref="AH15" si="208">+AH13/AG13-1</f>
        <v>0.11940298507462677</v>
      </c>
      <c r="AI15" s="19">
        <f t="shared" ref="AI15" si="209">+AI13/AH13-1</f>
        <v>0.26666666666666661</v>
      </c>
      <c r="AJ15" s="251" t="s">
        <v>294</v>
      </c>
      <c r="AK15" s="19">
        <f>+AK13/AI13-1</f>
        <v>-0.11052631578947369</v>
      </c>
      <c r="AL15" s="19">
        <f>+AL13/AK13-1</f>
        <v>0.23964497041420119</v>
      </c>
      <c r="AM15" s="19">
        <f t="shared" ref="AM15" si="210">+AM13/AL13-1</f>
        <v>2.3866348448686736E-3</v>
      </c>
      <c r="AN15" s="19">
        <f t="shared" ref="AN15" si="211">+AN13/AM13-1</f>
        <v>5.2380952380952417E-2</v>
      </c>
      <c r="AO15" s="251" t="s">
        <v>294</v>
      </c>
      <c r="AP15" s="19">
        <f>+AP13/AN13-1</f>
        <v>-7.4660633484162853E-2</v>
      </c>
      <c r="AQ15" s="19">
        <f>+AQ13/AP13-1</f>
        <v>0.23960880195599032</v>
      </c>
      <c r="AR15" s="19">
        <f t="shared" ref="AR15" si="212">+AR13/AQ13-1</f>
        <v>-1.1834319526626835E-3</v>
      </c>
      <c r="AS15" s="19">
        <f t="shared" ref="AS15" si="213">+AS13/AR13-1</f>
        <v>-6.6113744075829373E-2</v>
      </c>
      <c r="AT15" s="251" t="s">
        <v>294</v>
      </c>
      <c r="AU15" s="379">
        <f>+AU13/AS13-1</f>
        <v>-6.5973103273280875E-2</v>
      </c>
      <c r="AV15" s="19">
        <f>+AV13/AU13-1</f>
        <v>0.23960880195599032</v>
      </c>
      <c r="AW15" s="19">
        <f t="shared" ref="AW15" si="214">+AW13/AV13-1</f>
        <v>-1.1834319526626835E-3</v>
      </c>
      <c r="AX15" s="19">
        <f t="shared" ref="AX15" si="215">+AX13/AW13-1</f>
        <v>-6.6113744075829484E-2</v>
      </c>
      <c r="AY15" s="251" t="s">
        <v>294</v>
      </c>
      <c r="AZ15" s="19">
        <f>+AZ13/AX13-1</f>
        <v>-4.8676308889452735E-2</v>
      </c>
      <c r="BA15" s="19">
        <f>+BA13/AZ13-1</f>
        <v>0.23960880195599032</v>
      </c>
      <c r="BB15" s="19">
        <f t="shared" ref="BB15" si="216">+BB13/BA13-1</f>
        <v>-1.1834319526626835E-3</v>
      </c>
      <c r="BC15" s="19">
        <f t="shared" ref="BC15" si="217">+BC13/BB13-1</f>
        <v>-6.6113744075829373E-2</v>
      </c>
      <c r="BD15" s="251" t="s">
        <v>294</v>
      </c>
      <c r="BE15" s="19">
        <f>+BE13/BC13-1</f>
        <v>-6.5973103273280875E-2</v>
      </c>
      <c r="BF15" s="19">
        <f>+BF13/BE13-1</f>
        <v>0.2396088019559901</v>
      </c>
      <c r="BG15" s="19">
        <f t="shared" ref="BG15" si="218">+BG13/BF13-1</f>
        <v>-1.1834319526626835E-3</v>
      </c>
      <c r="BH15" s="19">
        <f t="shared" ref="BH15" si="219">+BH13/BG13-1</f>
        <v>-6.6113744075829373E-2</v>
      </c>
      <c r="BI15" s="251" t="s">
        <v>294</v>
      </c>
      <c r="BJ15" s="19">
        <f>+BJ13/BH13-1</f>
        <v>-6.5973103273280875E-2</v>
      </c>
      <c r="BK15" s="19">
        <f>+BK13/BJ13-1</f>
        <v>0.2396088019559901</v>
      </c>
      <c r="BL15" s="19">
        <f t="shared" ref="BL15" si="220">+BL13/BK13-1</f>
        <v>-1.1834319526626835E-3</v>
      </c>
      <c r="BM15" s="19">
        <f t="shared" ref="BM15" si="221">+BM13/BL13-1</f>
        <v>-6.6113744075829262E-2</v>
      </c>
      <c r="BN15" s="251" t="s">
        <v>294</v>
      </c>
      <c r="BO15" s="19">
        <f>+BO13/BM13-1</f>
        <v>-6.5973103273280875E-2</v>
      </c>
      <c r="BP15" s="19">
        <f>+BP13/BO13-1</f>
        <v>0.2396088019559901</v>
      </c>
      <c r="BQ15" s="19">
        <f t="shared" ref="BQ15" si="222">+BQ13/BP13-1</f>
        <v>-1.1834319526626835E-3</v>
      </c>
      <c r="BR15" s="19">
        <f t="shared" ref="BR15" si="223">+BR13/BQ13-1</f>
        <v>-6.6113744075829262E-2</v>
      </c>
      <c r="BS15" s="251" t="s">
        <v>294</v>
      </c>
      <c r="BT15" s="19">
        <f>+BT13/BR13-1</f>
        <v>-6.5973103273280875E-2</v>
      </c>
      <c r="BU15" s="19">
        <f>+BU13/BT13-1</f>
        <v>0.2396088019559901</v>
      </c>
      <c r="BV15" s="19">
        <f t="shared" ref="BV15" si="224">+BV13/BU13-1</f>
        <v>-1.1834319526627946E-3</v>
      </c>
      <c r="BW15" s="19">
        <f t="shared" ref="BW15" si="225">+BW13/BV13-1</f>
        <v>-6.6113744075829151E-2</v>
      </c>
      <c r="BX15" s="251" t="s">
        <v>294</v>
      </c>
      <c r="BY15" s="19">
        <f>+BY13/BW13-1</f>
        <v>-6.5973103273280875E-2</v>
      </c>
      <c r="BZ15" s="19">
        <f>+BZ13/BY13-1</f>
        <v>0.2396088019559901</v>
      </c>
      <c r="CA15" s="19">
        <f t="shared" ref="CA15" si="226">+CA13/BZ13-1</f>
        <v>-1.1834319526627946E-3</v>
      </c>
      <c r="CB15" s="19">
        <f t="shared" ref="CB15" si="227">+CB13/CA13-1</f>
        <v>-6.611374407582904E-2</v>
      </c>
      <c r="CC15" s="251" t="s">
        <v>294</v>
      </c>
      <c r="CD15" s="19">
        <f>+CD13/CB13-1</f>
        <v>-6.5973103273280986E-2</v>
      </c>
      <c r="CE15" s="19">
        <f>+CE13/CD13-1</f>
        <v>0.2396088019559901</v>
      </c>
      <c r="CF15" s="19">
        <f t="shared" ref="CF15" si="228">+CF13/CE13-1</f>
        <v>-1.1834319526629056E-3</v>
      </c>
      <c r="CG15" s="19">
        <f t="shared" ref="CG15" si="229">+CG13/CF13-1</f>
        <v>-6.6113744075829151E-2</v>
      </c>
      <c r="CH15" s="251" t="s">
        <v>294</v>
      </c>
      <c r="CI15" s="19">
        <f>+CI13/CG13-1</f>
        <v>-6.5973103273280986E-2</v>
      </c>
      <c r="CJ15" s="19">
        <f>+CJ13/CI13-1</f>
        <v>0.2396088019559901</v>
      </c>
      <c r="CK15" s="19">
        <f t="shared" ref="CK15" si="230">+CK13/CJ13-1</f>
        <v>-1.1834319526629056E-3</v>
      </c>
      <c r="CL15" s="19">
        <f t="shared" ref="CL15" si="231">+CL13/CK13-1</f>
        <v>-6.6113744075829151E-2</v>
      </c>
      <c r="CM15" s="251" t="s">
        <v>294</v>
      </c>
    </row>
    <row r="16" spans="1:93" s="42" customFormat="1">
      <c r="A16" s="162" t="s">
        <v>324</v>
      </c>
      <c r="B16" s="232" t="s">
        <v>294</v>
      </c>
      <c r="C16" s="232" t="s">
        <v>294</v>
      </c>
      <c r="D16" s="232" t="s">
        <v>294</v>
      </c>
      <c r="E16" s="232" t="s">
        <v>294</v>
      </c>
      <c r="F16" s="239" t="s">
        <v>294</v>
      </c>
      <c r="G16" s="233" t="str">
        <f>+G196</f>
        <v xml:space="preserve">-- </v>
      </c>
      <c r="H16" s="233" t="str">
        <f t="shared" ref="H16:BS16" si="232">+H196</f>
        <v xml:space="preserve">-- </v>
      </c>
      <c r="I16" s="233" t="str">
        <f t="shared" si="232"/>
        <v xml:space="preserve">-- </v>
      </c>
      <c r="J16" s="233" t="str">
        <f t="shared" si="232"/>
        <v xml:space="preserve">-- </v>
      </c>
      <c r="K16" s="252" t="str">
        <f t="shared" si="232"/>
        <v xml:space="preserve">-- </v>
      </c>
      <c r="L16" s="233" t="str">
        <f t="shared" si="232"/>
        <v xml:space="preserve">-- </v>
      </c>
      <c r="M16" s="233" t="str">
        <f t="shared" si="232"/>
        <v xml:space="preserve">-- </v>
      </c>
      <c r="N16" s="233" t="str">
        <f t="shared" si="232"/>
        <v xml:space="preserve">-- </v>
      </c>
      <c r="O16" s="233" t="str">
        <f t="shared" si="232"/>
        <v xml:space="preserve">-- </v>
      </c>
      <c r="P16" s="252" t="str">
        <f t="shared" si="232"/>
        <v xml:space="preserve">-- </v>
      </c>
      <c r="Q16" s="233" t="str">
        <f t="shared" si="232"/>
        <v xml:space="preserve">-- </v>
      </c>
      <c r="R16" s="233" t="str">
        <f t="shared" si="232"/>
        <v xml:space="preserve">-- </v>
      </c>
      <c r="S16" s="233" t="str">
        <f t="shared" si="232"/>
        <v xml:space="preserve">-- </v>
      </c>
      <c r="T16" s="233" t="str">
        <f t="shared" si="232"/>
        <v xml:space="preserve">-- </v>
      </c>
      <c r="U16" s="252" t="str">
        <f t="shared" si="232"/>
        <v xml:space="preserve">-- </v>
      </c>
      <c r="V16" s="233" t="str">
        <f t="shared" si="232"/>
        <v xml:space="preserve">-- </v>
      </c>
      <c r="W16" s="233" t="str">
        <f t="shared" si="232"/>
        <v xml:space="preserve">-- </v>
      </c>
      <c r="X16" s="233" t="str">
        <f t="shared" si="232"/>
        <v xml:space="preserve">-- </v>
      </c>
      <c r="Y16" s="233" t="str">
        <f t="shared" si="232"/>
        <v xml:space="preserve">-- </v>
      </c>
      <c r="Z16" s="252" t="str">
        <f t="shared" si="232"/>
        <v xml:space="preserve">-- </v>
      </c>
      <c r="AA16" s="233" t="str">
        <f t="shared" si="232"/>
        <v xml:space="preserve">-- </v>
      </c>
      <c r="AB16" s="233" t="str">
        <f t="shared" si="232"/>
        <v xml:space="preserve">-- </v>
      </c>
      <c r="AC16" s="233" t="str">
        <f t="shared" si="232"/>
        <v xml:space="preserve">-- </v>
      </c>
      <c r="AD16" s="233" t="str">
        <f t="shared" si="232"/>
        <v xml:space="preserve">-- </v>
      </c>
      <c r="AE16" s="252" t="str">
        <f t="shared" si="232"/>
        <v xml:space="preserve">-- </v>
      </c>
      <c r="AF16" s="233" t="str">
        <f t="shared" si="232"/>
        <v xml:space="preserve">-- </v>
      </c>
      <c r="AG16" s="233" t="str">
        <f t="shared" si="232"/>
        <v xml:space="preserve">-- </v>
      </c>
      <c r="AH16" s="233" t="str">
        <f t="shared" si="232"/>
        <v xml:space="preserve">-- </v>
      </c>
      <c r="AI16" s="233" t="str">
        <f t="shared" si="232"/>
        <v xml:space="preserve">-- </v>
      </c>
      <c r="AJ16" s="252" t="str">
        <f t="shared" si="232"/>
        <v xml:space="preserve">-- </v>
      </c>
      <c r="AK16" s="167">
        <f t="shared" si="232"/>
        <v>0</v>
      </c>
      <c r="AL16" s="167">
        <f t="shared" si="232"/>
        <v>0</v>
      </c>
      <c r="AM16" s="167">
        <f t="shared" si="232"/>
        <v>4266.666666666667</v>
      </c>
      <c r="AN16" s="167">
        <f t="shared" si="232"/>
        <v>6400</v>
      </c>
      <c r="AO16" s="249">
        <f t="shared" si="232"/>
        <v>10666.666666666668</v>
      </c>
      <c r="AP16" s="167">
        <f t="shared" si="232"/>
        <v>9000</v>
      </c>
      <c r="AQ16" s="167">
        <f t="shared" si="232"/>
        <v>16000</v>
      </c>
      <c r="AR16" s="167">
        <f t="shared" si="232"/>
        <v>24000</v>
      </c>
      <c r="AS16" s="167">
        <f t="shared" si="232"/>
        <v>38000</v>
      </c>
      <c r="AT16" s="249">
        <f t="shared" si="232"/>
        <v>87000</v>
      </c>
      <c r="AU16" s="386">
        <f t="shared" si="232"/>
        <v>43713.342551144451</v>
      </c>
      <c r="AV16" s="167">
        <f t="shared" si="232"/>
        <v>48891.154395585145</v>
      </c>
      <c r="AW16" s="167">
        <f t="shared" si="232"/>
        <v>72317.647651004503</v>
      </c>
      <c r="AX16" s="167">
        <f t="shared" si="232"/>
        <v>90661.650303913251</v>
      </c>
      <c r="AY16" s="249">
        <f t="shared" si="232"/>
        <v>255583.79490164734</v>
      </c>
      <c r="AZ16" s="167">
        <f t="shared" si="232"/>
        <v>109768.34716386186</v>
      </c>
      <c r="BA16" s="167">
        <f t="shared" si="232"/>
        <v>131816.6764321884</v>
      </c>
      <c r="BB16" s="167">
        <f t="shared" si="232"/>
        <v>148204.35517256381</v>
      </c>
      <c r="BC16" s="167">
        <f t="shared" si="232"/>
        <v>172055.08533499896</v>
      </c>
      <c r="BD16" s="249">
        <f t="shared" si="232"/>
        <v>561844.46410361305</v>
      </c>
      <c r="BE16" s="167">
        <f t="shared" si="232"/>
        <v>193853.30483603186</v>
      </c>
      <c r="BF16" s="167">
        <f t="shared" si="232"/>
        <v>212677.88118979847</v>
      </c>
      <c r="BG16" s="167">
        <f t="shared" si="232"/>
        <v>231480.36862074322</v>
      </c>
      <c r="BH16" s="167">
        <f t="shared" si="232"/>
        <v>254218.78458414917</v>
      </c>
      <c r="BI16" s="249">
        <f t="shared" si="232"/>
        <v>892230.33923072263</v>
      </c>
      <c r="BJ16" s="167">
        <f t="shared" si="232"/>
        <v>267255.59790834831</v>
      </c>
      <c r="BK16" s="167">
        <f t="shared" si="232"/>
        <v>283251.41318297083</v>
      </c>
      <c r="BL16" s="167">
        <f t="shared" si="232"/>
        <v>312718.21106081171</v>
      </c>
      <c r="BM16" s="167">
        <f t="shared" si="232"/>
        <v>336960.76813652646</v>
      </c>
      <c r="BN16" s="249">
        <f t="shared" si="232"/>
        <v>1200185.9902886574</v>
      </c>
      <c r="BO16" s="167">
        <f t="shared" si="232"/>
        <v>359241.81887856126</v>
      </c>
      <c r="BP16" s="167">
        <f t="shared" si="232"/>
        <v>384038.98361644481</v>
      </c>
      <c r="BQ16" s="167">
        <f t="shared" si="232"/>
        <v>403117.31235651241</v>
      </c>
      <c r="BR16" s="167">
        <f t="shared" si="232"/>
        <v>424932.34395972395</v>
      </c>
      <c r="BS16" s="249">
        <f t="shared" si="232"/>
        <v>1571330.4588112426</v>
      </c>
      <c r="BT16" s="167">
        <f t="shared" ref="BT16:CM16" si="233">+BT196</f>
        <v>436739.67594299873</v>
      </c>
      <c r="BU16" s="167">
        <f t="shared" si="233"/>
        <v>452628.63526292966</v>
      </c>
      <c r="BV16" s="167">
        <f t="shared" si="233"/>
        <v>467622.13589434454</v>
      </c>
      <c r="BW16" s="167">
        <f t="shared" si="233"/>
        <v>484918.91188254452</v>
      </c>
      <c r="BX16" s="249">
        <f t="shared" si="233"/>
        <v>1841909.3589828173</v>
      </c>
      <c r="BY16" s="167">
        <f t="shared" si="233"/>
        <v>486280.92100642773</v>
      </c>
      <c r="BZ16" s="167">
        <f t="shared" si="233"/>
        <v>496669.86434996896</v>
      </c>
      <c r="CA16" s="167">
        <f t="shared" si="233"/>
        <v>517127.88700137078</v>
      </c>
      <c r="CB16" s="167">
        <f t="shared" si="233"/>
        <v>532742.95764236222</v>
      </c>
      <c r="CC16" s="249">
        <f t="shared" si="233"/>
        <v>2032821.6300001296</v>
      </c>
      <c r="CD16" s="167">
        <f t="shared" si="233"/>
        <v>539177.51162501215</v>
      </c>
      <c r="CE16" s="167">
        <f t="shared" si="233"/>
        <v>554183.77086018259</v>
      </c>
      <c r="CF16" s="167">
        <f t="shared" si="233"/>
        <v>564108.77470861608</v>
      </c>
      <c r="CG16" s="167">
        <f t="shared" si="233"/>
        <v>575765.55989316455</v>
      </c>
      <c r="CH16" s="249">
        <f t="shared" si="233"/>
        <v>2233235.6170869754</v>
      </c>
      <c r="CI16" s="167">
        <f t="shared" si="233"/>
        <v>572629.37654040346</v>
      </c>
      <c r="CJ16" s="167">
        <f t="shared" si="233"/>
        <v>578959.42893233837</v>
      </c>
      <c r="CK16" s="167">
        <f t="shared" si="233"/>
        <v>584270.77089983923</v>
      </c>
      <c r="CL16" s="167">
        <f t="shared" si="233"/>
        <v>591168.96453527</v>
      </c>
      <c r="CM16" s="249">
        <f t="shared" si="233"/>
        <v>2327028.540907851</v>
      </c>
    </row>
    <row r="17" spans="1:93">
      <c r="A17" s="161" t="s">
        <v>291</v>
      </c>
      <c r="B17" s="232" t="s">
        <v>294</v>
      </c>
      <c r="C17" s="232" t="s">
        <v>294</v>
      </c>
      <c r="D17" s="232" t="s">
        <v>294</v>
      </c>
      <c r="E17" s="232" t="s">
        <v>294</v>
      </c>
      <c r="F17" s="239" t="s">
        <v>294</v>
      </c>
      <c r="G17" s="158" t="s">
        <v>294</v>
      </c>
      <c r="H17" s="158" t="s">
        <v>294</v>
      </c>
      <c r="I17" s="158" t="s">
        <v>294</v>
      </c>
      <c r="J17" s="158" t="s">
        <v>294</v>
      </c>
      <c r="K17" s="250" t="s">
        <v>294</v>
      </c>
      <c r="L17" s="232" t="s">
        <v>294</v>
      </c>
      <c r="M17" s="232" t="s">
        <v>294</v>
      </c>
      <c r="N17" s="232" t="s">
        <v>294</v>
      </c>
      <c r="O17" s="232" t="s">
        <v>294</v>
      </c>
      <c r="P17" s="250" t="s">
        <v>294</v>
      </c>
      <c r="Q17" s="158" t="s">
        <v>294</v>
      </c>
      <c r="R17" s="158" t="s">
        <v>294</v>
      </c>
      <c r="S17" s="158" t="s">
        <v>294</v>
      </c>
      <c r="T17" s="158" t="s">
        <v>294</v>
      </c>
      <c r="U17" s="250" t="s">
        <v>294</v>
      </c>
      <c r="V17" s="158" t="s">
        <v>294</v>
      </c>
      <c r="W17" s="158" t="s">
        <v>294</v>
      </c>
      <c r="X17" s="158" t="s">
        <v>294</v>
      </c>
      <c r="Y17" s="158" t="s">
        <v>294</v>
      </c>
      <c r="Z17" s="250" t="s">
        <v>294</v>
      </c>
      <c r="AA17" s="158" t="s">
        <v>294</v>
      </c>
      <c r="AB17" s="158" t="s">
        <v>294</v>
      </c>
      <c r="AC17" s="158" t="s">
        <v>294</v>
      </c>
      <c r="AD17" s="158" t="s">
        <v>294</v>
      </c>
      <c r="AE17" s="250" t="s">
        <v>294</v>
      </c>
      <c r="AF17" s="158" t="s">
        <v>294</v>
      </c>
      <c r="AG17" s="158" t="s">
        <v>294</v>
      </c>
      <c r="AH17" s="158" t="s">
        <v>294</v>
      </c>
      <c r="AI17" s="158" t="s">
        <v>294</v>
      </c>
      <c r="AJ17" s="250" t="s">
        <v>294</v>
      </c>
      <c r="AK17" s="158" t="s">
        <v>294</v>
      </c>
      <c r="AL17" s="158" t="s">
        <v>294</v>
      </c>
      <c r="AM17" s="158" t="s">
        <v>294</v>
      </c>
      <c r="AN17" s="158" t="s">
        <v>294</v>
      </c>
      <c r="AO17" s="250" t="s">
        <v>294</v>
      </c>
      <c r="AP17" s="158" t="s">
        <v>294</v>
      </c>
      <c r="AQ17" s="158" t="s">
        <v>294</v>
      </c>
      <c r="AR17" s="158">
        <f t="shared" ref="AR17" si="234">+AR16/AM16-1</f>
        <v>4.625</v>
      </c>
      <c r="AS17" s="19">
        <f t="shared" ref="AS17" si="235">+AS16/AN16-1</f>
        <v>4.9375</v>
      </c>
      <c r="AT17" s="259">
        <f t="shared" ref="AT17" si="236">+AT16/AO16-1</f>
        <v>7.1562499999999982</v>
      </c>
      <c r="AU17" s="379">
        <f t="shared" ref="AU17" si="237">+AU16/AP16-1</f>
        <v>3.8570380612382724</v>
      </c>
      <c r="AV17" s="19">
        <f t="shared" ref="AV17" si="238">+AV16/AQ16-1</f>
        <v>2.0556971497240717</v>
      </c>
      <c r="AW17" s="19">
        <f t="shared" ref="AW17" si="239">+AW16/AR16-1</f>
        <v>2.0132353187918541</v>
      </c>
      <c r="AX17" s="19">
        <f t="shared" ref="AX17" si="240">+AX16/AS16-1</f>
        <v>1.3858329027345593</v>
      </c>
      <c r="AY17" s="259">
        <f t="shared" ref="AY17" si="241">+AY16/AT16-1</f>
        <v>1.937744768984452</v>
      </c>
      <c r="AZ17" s="19">
        <f t="shared" ref="AZ17" si="242">+AZ16/AU16-1</f>
        <v>1.5110947998413367</v>
      </c>
      <c r="BA17" s="19">
        <f t="shared" ref="BA17" si="243">+BA16/AV16-1</f>
        <v>1.6961252615481586</v>
      </c>
      <c r="BB17" s="19">
        <f t="shared" ref="BB17" si="244">+BB16/AW16-1</f>
        <v>1.0493525437632956</v>
      </c>
      <c r="BC17" s="19">
        <f t="shared" ref="BC17" si="245">+BC16/AX16-1</f>
        <v>0.89777138137504764</v>
      </c>
      <c r="BD17" s="259">
        <f t="shared" ref="BD17" si="246">+BD16/AY16-1</f>
        <v>1.19827890230607</v>
      </c>
      <c r="BE17" s="19">
        <f t="shared" ref="BE17" si="247">+BE16/AZ16-1</f>
        <v>0.76602189834058643</v>
      </c>
      <c r="BF17" s="19">
        <f t="shared" ref="BF17" si="248">+BF16/BA16-1</f>
        <v>0.61343683474835764</v>
      </c>
      <c r="BG17" s="19">
        <f t="shared" ref="BG17" si="249">+BG16/BB16-1</f>
        <v>0.5618999074029627</v>
      </c>
      <c r="BH17" s="19">
        <f t="shared" ref="BH17" si="250">+BH16/BC16-1</f>
        <v>0.47754298624288727</v>
      </c>
      <c r="BI17" s="259">
        <f t="shared" ref="BI17" si="251">+BI16/BD16-1</f>
        <v>0.58803796466023583</v>
      </c>
      <c r="BJ17" s="19">
        <f t="shared" ref="BJ17" si="252">+BJ16/BE16-1</f>
        <v>0.37864865463295949</v>
      </c>
      <c r="BK17" s="19">
        <f t="shared" ref="BK17" si="253">+BK16/BF16-1</f>
        <v>0.33183296541397733</v>
      </c>
      <c r="BL17" s="19">
        <f t="shared" ref="BL17" si="254">+BL16/BG16-1</f>
        <v>0.35094916654970576</v>
      </c>
      <c r="BM17" s="19">
        <f t="shared" ref="BM17" si="255">+BM16/BH16-1</f>
        <v>0.32547549028576528</v>
      </c>
      <c r="BN17" s="259">
        <f t="shared" ref="BN17" si="256">+BN16/BI16-1</f>
        <v>0.34515263325774459</v>
      </c>
      <c r="BO17" s="19">
        <f t="shared" ref="BO17" si="257">+BO16/BJ16-1</f>
        <v>0.3441881917165992</v>
      </c>
      <c r="BP17" s="19">
        <f t="shared" ref="BP17" si="258">+BP16/BK16-1</f>
        <v>0.35582371611459052</v>
      </c>
      <c r="BQ17" s="19">
        <f t="shared" ref="BQ17" si="259">+BQ16/BL16-1</f>
        <v>0.28907526999801592</v>
      </c>
      <c r="BR17" s="19">
        <f t="shared" ref="BR17" si="260">+BR16/BM16-1</f>
        <v>0.26107364459578286</v>
      </c>
      <c r="BS17" s="259">
        <f t="shared" ref="BS17" si="261">+BS16/BN16-1</f>
        <v>0.3092391275399915</v>
      </c>
      <c r="BT17" s="19">
        <f t="shared" ref="BT17" si="262">+BT16/BO16-1</f>
        <v>0.21572615712269005</v>
      </c>
      <c r="BU17" s="19">
        <f t="shared" ref="BU17" si="263">+BU16/BP16-1</f>
        <v>0.17860075297717204</v>
      </c>
      <c r="BV17" s="19">
        <f t="shared" ref="BV17" si="264">+BV16/BQ16-1</f>
        <v>0.16001501687127928</v>
      </c>
      <c r="BW17" s="19">
        <f t="shared" ref="BW17" si="265">+BW16/BR16-1</f>
        <v>0.14116733822574412</v>
      </c>
      <c r="BX17" s="259">
        <f t="shared" ref="BX17" si="266">+BX16/BS16-1</f>
        <v>0.17219732402837495</v>
      </c>
      <c r="BY17" s="19">
        <f t="shared" ref="BY17" si="267">+BY16/BT16-1</f>
        <v>0.11343426712139371</v>
      </c>
      <c r="BZ17" s="19">
        <f t="shared" ref="BZ17" si="268">+BZ16/BU16-1</f>
        <v>9.7301022639577406E-2</v>
      </c>
      <c r="CA17" s="19">
        <f t="shared" ref="CA17" si="269">+CA16/BV16-1</f>
        <v>0.10586699667744481</v>
      </c>
      <c r="CB17" s="19">
        <f t="shared" ref="CB17" si="270">+CB16/BW16-1</f>
        <v>9.862276885460286E-2</v>
      </c>
      <c r="CC17" s="259">
        <f t="shared" ref="CC17" si="271">+CC16/BX16-1</f>
        <v>0.10364911285468592</v>
      </c>
      <c r="CD17" s="19">
        <f t="shared" ref="CD17" si="272">+CD16/BY16-1</f>
        <v>0.10877784493191167</v>
      </c>
      <c r="CE17" s="19">
        <f t="shared" ref="CE17" si="273">+CE16/BZ16-1</f>
        <v>0.11579906621773128</v>
      </c>
      <c r="CF17" s="19">
        <f t="shared" ref="CF17" si="274">+CF16/CA16-1</f>
        <v>9.084965032473824E-2</v>
      </c>
      <c r="CG17" s="19">
        <f t="shared" ref="CG17" si="275">+CG16/CB16-1</f>
        <v>8.0756773287435912E-2</v>
      </c>
      <c r="CH17" s="259">
        <f t="shared" ref="CH17" si="276">+CH16/CC16-1</f>
        <v>9.8589066610252907E-2</v>
      </c>
      <c r="CI17" s="19">
        <f t="shared" ref="CI17" si="277">+CI16/CD16-1</f>
        <v>6.2042396417038459E-2</v>
      </c>
      <c r="CJ17" s="19">
        <f t="shared" ref="CJ17" si="278">+CJ16/CE16-1</f>
        <v>4.470657456045668E-2</v>
      </c>
      <c r="CK17" s="19">
        <f t="shared" ref="CK17" si="279">+CK16/CF16-1</f>
        <v>3.5741327019133129E-2</v>
      </c>
      <c r="CL17" s="19">
        <f t="shared" ref="CL17" si="280">+CL16/CG16-1</f>
        <v>2.6752910759308968E-2</v>
      </c>
      <c r="CM17" s="259">
        <f t="shared" ref="CM17" si="281">+CM16/CH16-1</f>
        <v>4.1998669152168988E-2</v>
      </c>
    </row>
    <row r="18" spans="1:93">
      <c r="A18" s="161" t="s">
        <v>292</v>
      </c>
      <c r="B18" s="232" t="s">
        <v>294</v>
      </c>
      <c r="C18" s="232" t="s">
        <v>294</v>
      </c>
      <c r="D18" s="232" t="s">
        <v>294</v>
      </c>
      <c r="E18" s="232" t="s">
        <v>294</v>
      </c>
      <c r="F18" s="239" t="s">
        <v>294</v>
      </c>
      <c r="G18" s="147" t="s">
        <v>294</v>
      </c>
      <c r="H18" s="158" t="s">
        <v>294</v>
      </c>
      <c r="I18" s="158" t="s">
        <v>294</v>
      </c>
      <c r="J18" s="158" t="s">
        <v>294</v>
      </c>
      <c r="K18" s="251" t="s">
        <v>294</v>
      </c>
      <c r="L18" s="232" t="s">
        <v>294</v>
      </c>
      <c r="M18" s="232" t="s">
        <v>294</v>
      </c>
      <c r="N18" s="232" t="s">
        <v>294</v>
      </c>
      <c r="O18" s="232" t="s">
        <v>294</v>
      </c>
      <c r="P18" s="250" t="s">
        <v>294</v>
      </c>
      <c r="Q18" s="158" t="s">
        <v>294</v>
      </c>
      <c r="R18" s="158" t="s">
        <v>294</v>
      </c>
      <c r="S18" s="158" t="s">
        <v>294</v>
      </c>
      <c r="T18" s="158" t="s">
        <v>294</v>
      </c>
      <c r="U18" s="250" t="s">
        <v>294</v>
      </c>
      <c r="V18" s="158" t="s">
        <v>294</v>
      </c>
      <c r="W18" s="158" t="s">
        <v>294</v>
      </c>
      <c r="X18" s="158" t="s">
        <v>294</v>
      </c>
      <c r="Y18" s="158" t="s">
        <v>294</v>
      </c>
      <c r="Z18" s="250" t="s">
        <v>294</v>
      </c>
      <c r="AA18" s="158" t="s">
        <v>294</v>
      </c>
      <c r="AB18" s="158" t="s">
        <v>294</v>
      </c>
      <c r="AC18" s="158" t="s">
        <v>294</v>
      </c>
      <c r="AD18" s="158" t="s">
        <v>294</v>
      </c>
      <c r="AE18" s="250" t="s">
        <v>294</v>
      </c>
      <c r="AF18" s="158" t="s">
        <v>294</v>
      </c>
      <c r="AG18" s="158" t="s">
        <v>294</v>
      </c>
      <c r="AH18" s="158" t="s">
        <v>294</v>
      </c>
      <c r="AI18" s="158" t="s">
        <v>294</v>
      </c>
      <c r="AJ18" s="250" t="s">
        <v>294</v>
      </c>
      <c r="AK18" s="158" t="s">
        <v>294</v>
      </c>
      <c r="AL18" s="158" t="s">
        <v>294</v>
      </c>
      <c r="AM18" s="158" t="s">
        <v>294</v>
      </c>
      <c r="AN18" s="158" t="s">
        <v>294</v>
      </c>
      <c r="AO18" s="250" t="s">
        <v>294</v>
      </c>
      <c r="AP18" s="19">
        <f>+AP16/AN16-1</f>
        <v>0.40625</v>
      </c>
      <c r="AQ18" s="158">
        <f>+AQ16/AP16-1</f>
        <v>0.77777777777777768</v>
      </c>
      <c r="AR18" s="158">
        <f t="shared" ref="AR18" si="282">+AR16/AQ16-1</f>
        <v>0.5</v>
      </c>
      <c r="AS18" s="19">
        <f t="shared" ref="AS18" si="283">+AS16/AR16-1</f>
        <v>0.58333333333333326</v>
      </c>
      <c r="AT18" s="251" t="s">
        <v>294</v>
      </c>
      <c r="AU18" s="379">
        <f>+AU16/AS16-1</f>
        <v>0.15035111976695914</v>
      </c>
      <c r="AV18" s="19">
        <f>+AV16/AU16-1</f>
        <v>0.11844923179650868</v>
      </c>
      <c r="AW18" s="19">
        <f t="shared" ref="AW18" si="284">+AW16/AV16-1</f>
        <v>0.47915606708469882</v>
      </c>
      <c r="AX18" s="19">
        <f t="shared" ref="AX18" si="285">+AX16/AW16-1</f>
        <v>0.25365872990552041</v>
      </c>
      <c r="AY18" s="251" t="s">
        <v>294</v>
      </c>
      <c r="AZ18" s="19">
        <f>+AZ16/AX16-1</f>
        <v>0.21074728725872216</v>
      </c>
      <c r="BA18" s="19">
        <f>+BA16/AZ16-1</f>
        <v>0.2008623600336521</v>
      </c>
      <c r="BB18" s="19">
        <f t="shared" ref="BB18" si="286">+BB16/BA16-1</f>
        <v>0.12432174125408069</v>
      </c>
      <c r="BC18" s="19">
        <f t="shared" ref="BC18" si="287">+BC16/BB16-1</f>
        <v>0.16093137165007221</v>
      </c>
      <c r="BD18" s="251" t="s">
        <v>294</v>
      </c>
      <c r="BE18" s="19">
        <f>+BE16/BC16-1</f>
        <v>0.12669325907217899</v>
      </c>
      <c r="BF18" s="19">
        <f>+BF16/BE16-1</f>
        <v>9.7107327469547755E-2</v>
      </c>
      <c r="BG18" s="19">
        <f t="shared" ref="BG18" si="288">+BG16/BF16-1</f>
        <v>8.8408288279705927E-2</v>
      </c>
      <c r="BH18" s="19">
        <f t="shared" ref="BH18" si="289">+BH16/BG16-1</f>
        <v>9.8230429210437675E-2</v>
      </c>
      <c r="BI18" s="251" t="s">
        <v>294</v>
      </c>
      <c r="BJ18" s="19">
        <f>+BJ16/BH16-1</f>
        <v>5.1281864735230887E-2</v>
      </c>
      <c r="BK18" s="19">
        <f>+BK16/BJ16-1</f>
        <v>5.9852124332707479E-2</v>
      </c>
      <c r="BL18" s="19">
        <f t="shared" ref="BL18" si="290">+BL16/BK16-1</f>
        <v>0.10403054144272295</v>
      </c>
      <c r="BM18" s="19">
        <f t="shared" ref="BM18" si="291">+BM16/BL16-1</f>
        <v>7.7522050901603912E-2</v>
      </c>
      <c r="BN18" s="251" t="s">
        <v>294</v>
      </c>
      <c r="BO18" s="19">
        <f>+BO16/BM16-1</f>
        <v>6.6123575350490515E-2</v>
      </c>
      <c r="BP18" s="19">
        <f>+BP16/BO16-1</f>
        <v>6.9026386781172677E-2</v>
      </c>
      <c r="BQ18" s="19">
        <f t="shared" ref="BQ18" si="292">+BQ16/BP16-1</f>
        <v>4.9678104447651306E-2</v>
      </c>
      <c r="BR18" s="19">
        <f t="shared" ref="BR18" si="293">+BR16/BQ16-1</f>
        <v>5.4115839073461958E-2</v>
      </c>
      <c r="BS18" s="251" t="s">
        <v>294</v>
      </c>
      <c r="BT18" s="19">
        <f>+BT16/BR16-1</f>
        <v>2.7786380940665545E-2</v>
      </c>
      <c r="BU18" s="19">
        <f>+BU16/BT16-1</f>
        <v>3.6380846978520731E-2</v>
      </c>
      <c r="BV18" s="19">
        <f t="shared" ref="BV18" si="294">+BV16/BU16-1</f>
        <v>3.3125391244204438E-2</v>
      </c>
      <c r="BW18" s="19">
        <f t="shared" ref="BW18" si="295">+BW16/BV16-1</f>
        <v>3.6988787870615436E-2</v>
      </c>
      <c r="BX18" s="251" t="s">
        <v>294</v>
      </c>
      <c r="BY18" s="19">
        <f>+BY16/BW16-1</f>
        <v>2.8087358329573764E-3</v>
      </c>
      <c r="BZ18" s="19">
        <f>+BZ16/BY16-1</f>
        <v>2.1364077624184574E-2</v>
      </c>
      <c r="CA18" s="19">
        <f t="shared" ref="CA18" si="296">+CA16/BZ16-1</f>
        <v>4.1190384438115402E-2</v>
      </c>
      <c r="CB18" s="19">
        <f t="shared" ref="CB18" si="297">+CB16/CA16-1</f>
        <v>3.0195762080318822E-2</v>
      </c>
      <c r="CC18" s="251" t="s">
        <v>294</v>
      </c>
      <c r="CD18" s="19">
        <f>+CD16/CB16-1</f>
        <v>1.2078158688621388E-2</v>
      </c>
      <c r="CE18" s="19">
        <f>+CE16/CD16-1</f>
        <v>2.7831760248945736E-2</v>
      </c>
      <c r="CF18" s="19">
        <f t="shared" ref="CF18" si="298">+CF16/CE16-1</f>
        <v>1.7909228617482453E-2</v>
      </c>
      <c r="CG18" s="19">
        <f t="shared" ref="CG18" si="299">+CG16/CF16-1</f>
        <v>2.0664073503500635E-2</v>
      </c>
      <c r="CH18" s="251" t="s">
        <v>294</v>
      </c>
      <c r="CI18" s="19">
        <f>+CI16/CG16-1</f>
        <v>-5.4469797626364169E-3</v>
      </c>
      <c r="CJ18" s="19">
        <f>+CJ16/CI16-1</f>
        <v>1.1054361950793679E-2</v>
      </c>
      <c r="CK18" s="19">
        <f t="shared" ref="CK18" si="300">+CK16/CJ16-1</f>
        <v>9.1739450159669111E-3</v>
      </c>
      <c r="CL18" s="19">
        <f t="shared" ref="CL18" si="301">+CL16/CK16-1</f>
        <v>1.1806501332946695E-2</v>
      </c>
      <c r="CM18" s="251" t="s">
        <v>294</v>
      </c>
    </row>
    <row r="19" spans="1:93" s="42" customFormat="1">
      <c r="A19" s="42" t="s">
        <v>418</v>
      </c>
      <c r="B19" s="232" t="s">
        <v>294</v>
      </c>
      <c r="C19" s="232" t="s">
        <v>294</v>
      </c>
      <c r="D19" s="232" t="s">
        <v>294</v>
      </c>
      <c r="E19" s="232" t="s">
        <v>294</v>
      </c>
      <c r="F19" s="239" t="s">
        <v>294</v>
      </c>
      <c r="G19" s="167">
        <f t="shared" ref="G19:AJ19" si="302">+G55+G178</f>
        <v>9546</v>
      </c>
      <c r="H19" s="167">
        <f t="shared" si="302"/>
        <v>9223</v>
      </c>
      <c r="I19" s="167">
        <f t="shared" si="302"/>
        <v>9532</v>
      </c>
      <c r="J19" s="167">
        <f t="shared" si="302"/>
        <v>11621</v>
      </c>
      <c r="K19" s="249">
        <f t="shared" si="302"/>
        <v>39922</v>
      </c>
      <c r="L19" s="167">
        <f t="shared" si="302"/>
        <v>13271</v>
      </c>
      <c r="M19" s="167">
        <f t="shared" si="302"/>
        <v>17125</v>
      </c>
      <c r="N19" s="167">
        <f t="shared" si="302"/>
        <v>18509</v>
      </c>
      <c r="O19" s="167">
        <f t="shared" si="302"/>
        <v>21520</v>
      </c>
      <c r="P19" s="249">
        <f t="shared" si="302"/>
        <v>70425</v>
      </c>
      <c r="Q19" s="167">
        <f t="shared" si="302"/>
        <v>20523</v>
      </c>
      <c r="R19" s="167">
        <f t="shared" si="302"/>
        <v>16499</v>
      </c>
      <c r="S19" s="167">
        <f t="shared" si="302"/>
        <v>20021</v>
      </c>
      <c r="T19" s="167">
        <f t="shared" si="302"/>
        <v>22194</v>
      </c>
      <c r="U19" s="249">
        <f t="shared" si="302"/>
        <v>79237</v>
      </c>
      <c r="V19" s="167">
        <f t="shared" si="302"/>
        <v>21912</v>
      </c>
      <c r="W19" s="167">
        <f t="shared" si="302"/>
        <v>24483</v>
      </c>
      <c r="X19" s="167">
        <f t="shared" si="302"/>
        <v>27645</v>
      </c>
      <c r="Y19" s="167">
        <f t="shared" si="302"/>
        <v>32200</v>
      </c>
      <c r="Z19" s="249">
        <f t="shared" si="302"/>
        <v>106240</v>
      </c>
      <c r="AA19" s="167">
        <f t="shared" si="302"/>
        <v>32200</v>
      </c>
      <c r="AB19" s="167">
        <f t="shared" si="302"/>
        <v>35300</v>
      </c>
      <c r="AC19" s="167">
        <f t="shared" si="302"/>
        <v>39150</v>
      </c>
      <c r="AD19" s="167">
        <f t="shared" si="302"/>
        <v>44200</v>
      </c>
      <c r="AE19" s="249">
        <f t="shared" si="302"/>
        <v>150850</v>
      </c>
      <c r="AF19" s="167">
        <f t="shared" si="302"/>
        <v>45250</v>
      </c>
      <c r="AG19" s="167">
        <f t="shared" si="302"/>
        <v>50200</v>
      </c>
      <c r="AH19" s="167">
        <f t="shared" si="302"/>
        <v>51400</v>
      </c>
      <c r="AI19" s="167">
        <f t="shared" si="302"/>
        <v>55900</v>
      </c>
      <c r="AJ19" s="249">
        <f t="shared" si="302"/>
        <v>202750</v>
      </c>
      <c r="AK19" s="167">
        <f t="shared" ref="AK19:BP19" si="303">+AK55+AK178+AK196</f>
        <v>55350</v>
      </c>
      <c r="AL19" s="167">
        <f t="shared" si="303"/>
        <v>59875</v>
      </c>
      <c r="AM19" s="167">
        <f t="shared" si="303"/>
        <v>67866.666666666672</v>
      </c>
      <c r="AN19" s="167">
        <f t="shared" si="303"/>
        <v>74750</v>
      </c>
      <c r="AO19" s="249">
        <f t="shared" si="303"/>
        <v>257841.66666666666</v>
      </c>
      <c r="AP19" s="167">
        <f t="shared" si="303"/>
        <v>78225</v>
      </c>
      <c r="AQ19" s="167">
        <f t="shared" si="303"/>
        <v>92675</v>
      </c>
      <c r="AR19" s="167">
        <f t="shared" si="303"/>
        <v>110660</v>
      </c>
      <c r="AS19" s="167">
        <f t="shared" si="303"/>
        <v>128823</v>
      </c>
      <c r="AT19" s="249">
        <f t="shared" si="303"/>
        <v>410383</v>
      </c>
      <c r="AU19" s="386">
        <f t="shared" si="303"/>
        <v>134519.48836496263</v>
      </c>
      <c r="AV19" s="167">
        <f t="shared" si="303"/>
        <v>150885.41204673838</v>
      </c>
      <c r="AW19" s="167">
        <f t="shared" si="303"/>
        <v>181848.5554164878</v>
      </c>
      <c r="AX19" s="167">
        <f t="shared" si="303"/>
        <v>206422.05912552477</v>
      </c>
      <c r="AY19" s="249">
        <f t="shared" si="303"/>
        <v>673675.51495371363</v>
      </c>
      <c r="AZ19" s="167">
        <f t="shared" si="303"/>
        <v>234984.19324307633</v>
      </c>
      <c r="BA19" s="167">
        <f t="shared" si="303"/>
        <v>268162.29453162779</v>
      </c>
      <c r="BB19" s="167">
        <f t="shared" si="303"/>
        <v>292378.12196427619</v>
      </c>
      <c r="BC19" s="167">
        <f t="shared" si="303"/>
        <v>324698.25120118249</v>
      </c>
      <c r="BD19" s="249">
        <f t="shared" si="303"/>
        <v>1120222.8609401628</v>
      </c>
      <c r="BE19" s="167">
        <f t="shared" si="303"/>
        <v>356314.53615878546</v>
      </c>
      <c r="BF19" s="167">
        <f t="shared" si="303"/>
        <v>387146.04226792406</v>
      </c>
      <c r="BG19" s="167">
        <f t="shared" si="303"/>
        <v>414362.08489254501</v>
      </c>
      <c r="BH19" s="167">
        <f t="shared" si="303"/>
        <v>445309.12858997891</v>
      </c>
      <c r="BI19" s="249">
        <f t="shared" si="303"/>
        <v>1603131.7919092332</v>
      </c>
      <c r="BJ19" s="167">
        <f t="shared" si="303"/>
        <v>463882.96222754475</v>
      </c>
      <c r="BK19" s="167">
        <f t="shared" si="303"/>
        <v>487128.32502420491</v>
      </c>
      <c r="BL19" s="167">
        <f t="shared" si="303"/>
        <v>519934.14014026476</v>
      </c>
      <c r="BM19" s="167">
        <f t="shared" si="303"/>
        <v>547354.28915697895</v>
      </c>
      <c r="BN19" s="249">
        <f t="shared" si="303"/>
        <v>2018299.7165489935</v>
      </c>
      <c r="BO19" s="167">
        <f t="shared" si="303"/>
        <v>577944.35937704355</v>
      </c>
      <c r="BP19" s="167">
        <f t="shared" si="303"/>
        <v>612818.21091512404</v>
      </c>
      <c r="BQ19" s="167">
        <f t="shared" ref="BQ19:CM19" si="304">+BQ55+BQ178+BQ196</f>
        <v>637715.88593627792</v>
      </c>
      <c r="BR19" s="167">
        <f t="shared" si="304"/>
        <v>665241.66498655174</v>
      </c>
      <c r="BS19" s="249">
        <f t="shared" si="304"/>
        <v>2493720.1212149975</v>
      </c>
      <c r="BT19" s="167">
        <f t="shared" si="304"/>
        <v>679981.56273023586</v>
      </c>
      <c r="BU19" s="167">
        <f t="shared" si="304"/>
        <v>706419.1054884633</v>
      </c>
      <c r="BV19" s="167">
        <f t="shared" si="304"/>
        <v>727322.63071015128</v>
      </c>
      <c r="BW19" s="167">
        <f t="shared" si="304"/>
        <v>750493.32897141285</v>
      </c>
      <c r="BX19" s="249">
        <f t="shared" si="304"/>
        <v>2864216.6279002633</v>
      </c>
      <c r="BY19" s="167">
        <f t="shared" si="304"/>
        <v>754709.99678135279</v>
      </c>
      <c r="BZ19" s="167">
        <f t="shared" si="304"/>
        <v>775800.34322103648</v>
      </c>
      <c r="CA19" s="167">
        <f t="shared" si="304"/>
        <v>801909.98607121326</v>
      </c>
      <c r="CB19" s="167">
        <f t="shared" si="304"/>
        <v>823217.97975052404</v>
      </c>
      <c r="CC19" s="249">
        <f t="shared" si="304"/>
        <v>3155638.3058241261</v>
      </c>
      <c r="CD19" s="167">
        <f t="shared" si="304"/>
        <v>830083.80035497854</v>
      </c>
      <c r="CE19" s="167">
        <f t="shared" si="304"/>
        <v>856326.6924794988</v>
      </c>
      <c r="CF19" s="167">
        <f t="shared" si="304"/>
        <v>871995.57746564457</v>
      </c>
      <c r="CG19" s="167">
        <f t="shared" si="304"/>
        <v>889519.69591409224</v>
      </c>
      <c r="CH19" s="249">
        <f t="shared" si="304"/>
        <v>3447925.7662142143</v>
      </c>
      <c r="CI19" s="167">
        <f t="shared" si="304"/>
        <v>886904.70694343094</v>
      </c>
      <c r="CJ19" s="167">
        <f t="shared" si="304"/>
        <v>905040.5054754708</v>
      </c>
      <c r="CK19" s="167">
        <f t="shared" si="304"/>
        <v>916190.10627146566</v>
      </c>
      <c r="CL19" s="167">
        <f t="shared" si="304"/>
        <v>929131.38644176524</v>
      </c>
      <c r="CM19" s="249">
        <f t="shared" si="304"/>
        <v>3637266.7051321324</v>
      </c>
    </row>
    <row r="20" spans="1:93">
      <c r="A20" s="139" t="s">
        <v>291</v>
      </c>
      <c r="B20" s="232" t="s">
        <v>294</v>
      </c>
      <c r="C20" s="232" t="s">
        <v>294</v>
      </c>
      <c r="D20" s="232" t="s">
        <v>294</v>
      </c>
      <c r="E20" s="232" t="s">
        <v>294</v>
      </c>
      <c r="F20" s="239" t="s">
        <v>294</v>
      </c>
      <c r="G20" s="158" t="s">
        <v>294</v>
      </c>
      <c r="H20" s="158" t="s">
        <v>294</v>
      </c>
      <c r="I20" s="158" t="s">
        <v>294</v>
      </c>
      <c r="J20" s="158" t="s">
        <v>294</v>
      </c>
      <c r="K20" s="250" t="s">
        <v>294</v>
      </c>
      <c r="L20" s="19">
        <f t="shared" ref="L20" si="305">+L19/G19-1</f>
        <v>0.39021579719254129</v>
      </c>
      <c r="M20" s="19">
        <f t="shared" ref="M20" si="306">+M19/H19-1</f>
        <v>0.8567711156890383</v>
      </c>
      <c r="N20" s="19">
        <f t="shared" ref="N20" si="307">+N19/I19-1</f>
        <v>0.94177507343684441</v>
      </c>
      <c r="O20" s="19">
        <f t="shared" ref="O20" si="308">+O19/J19-1</f>
        <v>0.85181998106875478</v>
      </c>
      <c r="P20" s="259">
        <f t="shared" ref="P20" si="309">+P19/K19-1</f>
        <v>0.76406492660688352</v>
      </c>
      <c r="Q20" s="19">
        <f t="shared" ref="Q20" si="310">+Q19/L19-1</f>
        <v>0.54645467560846961</v>
      </c>
      <c r="R20" s="19">
        <f t="shared" ref="R20" si="311">+R19/M19-1</f>
        <v>-3.6554744525547411E-2</v>
      </c>
      <c r="S20" s="19">
        <f t="shared" ref="S20" si="312">+S19/N19-1</f>
        <v>8.1689988654168211E-2</v>
      </c>
      <c r="T20" s="19">
        <f t="shared" ref="T20" si="313">+T19/O19-1</f>
        <v>3.1319702602230493E-2</v>
      </c>
      <c r="U20" s="259">
        <f t="shared" ref="U20" si="314">+U19/P19-1</f>
        <v>0.12512602058927946</v>
      </c>
      <c r="V20" s="19">
        <f t="shared" ref="V20" si="315">+V19/Q19-1</f>
        <v>6.7680163718754516E-2</v>
      </c>
      <c r="W20" s="19">
        <f t="shared" ref="W20" si="316">+W19/R19-1</f>
        <v>0.48390811564337222</v>
      </c>
      <c r="X20" s="19">
        <f t="shared" ref="X20" si="317">+X19/S19-1</f>
        <v>0.38080015983217619</v>
      </c>
      <c r="Y20" s="19">
        <f t="shared" ref="Y20" si="318">+Y19/T19-1</f>
        <v>0.45084257006398132</v>
      </c>
      <c r="Z20" s="259">
        <f t="shared" ref="Z20" si="319">+Z19/U19-1</f>
        <v>0.34078776329240124</v>
      </c>
      <c r="AA20" s="19">
        <f t="shared" ref="AA20" si="320">+AA19/V19-1</f>
        <v>0.46951442132165022</v>
      </c>
      <c r="AB20" s="19">
        <f t="shared" ref="AB20" si="321">+AB19/W19-1</f>
        <v>0.44181677082056936</v>
      </c>
      <c r="AC20" s="19">
        <f t="shared" ref="AC20" si="322">+AC19/X19-1</f>
        <v>0.41616928920238738</v>
      </c>
      <c r="AD20" s="19">
        <f t="shared" ref="AD20" si="323">+AD19/Y19-1</f>
        <v>0.37267080745341619</v>
      </c>
      <c r="AE20" s="259">
        <f t="shared" ref="AE20" si="324">+AE19/Z19-1</f>
        <v>0.41989834337349397</v>
      </c>
      <c r="AF20" s="19">
        <f t="shared" ref="AF20" si="325">+AF19/AA19-1</f>
        <v>0.40527950310559002</v>
      </c>
      <c r="AG20" s="19">
        <f t="shared" ref="AG20" si="326">+AG19/AB19-1</f>
        <v>0.42209631728045327</v>
      </c>
      <c r="AH20" s="19">
        <f t="shared" ref="AH20" si="327">+AH19/AC19-1</f>
        <v>0.31289910600255433</v>
      </c>
      <c r="AI20" s="19">
        <f t="shared" ref="AI20" si="328">+AI19/AD19-1</f>
        <v>0.26470588235294112</v>
      </c>
      <c r="AJ20" s="259">
        <f t="shared" ref="AJ20" si="329">+AJ19/AE19-1</f>
        <v>0.34405038117335107</v>
      </c>
      <c r="AK20" s="19">
        <f t="shared" ref="AK20" si="330">+AK19/AF19-1</f>
        <v>0.22320441988950268</v>
      </c>
      <c r="AL20" s="19">
        <f t="shared" ref="AL20" si="331">+AL19/AG19-1</f>
        <v>0.19272908366533859</v>
      </c>
      <c r="AM20" s="19">
        <f t="shared" ref="AM20" si="332">+AM19/AH19-1</f>
        <v>0.32036316472114157</v>
      </c>
      <c r="AN20" s="19">
        <f t="shared" ref="AN20" si="333">+AN19/AI19-1</f>
        <v>0.33720930232558133</v>
      </c>
      <c r="AO20" s="259">
        <f t="shared" ref="AO20" si="334">+AO19/AJ19-1</f>
        <v>0.27172215371968766</v>
      </c>
      <c r="AP20" s="19">
        <f t="shared" ref="AP20" si="335">+AP19/AK19-1</f>
        <v>0.41327913279132789</v>
      </c>
      <c r="AQ20" s="19">
        <f t="shared" ref="AQ20" si="336">+AQ19/AL19-1</f>
        <v>0.54780793319415455</v>
      </c>
      <c r="AR20" s="19">
        <f t="shared" ref="AR20" si="337">+AR19/AM19-1</f>
        <v>0.63055009823182706</v>
      </c>
      <c r="AS20" s="19">
        <f t="shared" ref="AS20" si="338">+AS19/AN19-1</f>
        <v>0.72338461538461529</v>
      </c>
      <c r="AT20" s="259">
        <f t="shared" ref="AT20" si="339">+AT19/AO19-1</f>
        <v>0.59160854529588569</v>
      </c>
      <c r="AU20" s="379">
        <f t="shared" ref="AU20" si="340">+AU19/AP19-1</f>
        <v>0.71964830124592694</v>
      </c>
      <c r="AV20" s="19">
        <f t="shared" ref="AV20" si="341">+AV19/AQ19-1</f>
        <v>0.62811342915282853</v>
      </c>
      <c r="AW20" s="19">
        <f t="shared" ref="AW20" si="342">+AW19/AR19-1</f>
        <v>0.64330883260878191</v>
      </c>
      <c r="AX20" s="19">
        <f t="shared" ref="AX20" si="343">+AX19/AS19-1</f>
        <v>0.60236960112343896</v>
      </c>
      <c r="AY20" s="259">
        <f t="shared" ref="AY20" si="344">+AY19/AT19-1</f>
        <v>0.64157753843047494</v>
      </c>
      <c r="AZ20" s="19">
        <f t="shared" ref="AZ20" si="345">+AZ19/AU19-1</f>
        <v>0.74684126515218785</v>
      </c>
      <c r="BA20" s="19">
        <f t="shared" ref="BA20" si="346">+BA19/AV19-1</f>
        <v>0.77725792635647006</v>
      </c>
      <c r="BB20" s="19">
        <f t="shared" ref="BB20" si="347">+BB19/AW19-1</f>
        <v>0.6078110782603825</v>
      </c>
      <c r="BC20" s="19">
        <f t="shared" ref="BC20" si="348">+BC19/AX19-1</f>
        <v>0.57298232842321495</v>
      </c>
      <c r="BD20" s="259">
        <f t="shared" ref="BD20" si="349">+BD19/AY19-1</f>
        <v>0.66285227245809897</v>
      </c>
      <c r="BE20" s="19">
        <f t="shared" ref="BE20" si="350">+BE19/AZ19-1</f>
        <v>0.51633406162856477</v>
      </c>
      <c r="BF20" s="19">
        <f t="shared" ref="BF20" si="351">+BF19/BA19-1</f>
        <v>0.44370051331829941</v>
      </c>
      <c r="BG20" s="19">
        <f t="shared" ref="BG20" si="352">+BG19/BB19-1</f>
        <v>0.41721303259199827</v>
      </c>
      <c r="BH20" s="19">
        <f t="shared" ref="BH20" si="353">+BH19/BC19-1</f>
        <v>0.37145527252644839</v>
      </c>
      <c r="BI20" s="259">
        <f t="shared" ref="BI20" si="354">+BI19/BD19-1</f>
        <v>0.43108291020215583</v>
      </c>
      <c r="BJ20" s="19">
        <f t="shared" ref="BJ20" si="355">+BJ19/BE19-1</f>
        <v>0.30189177019941527</v>
      </c>
      <c r="BK20" s="19">
        <f t="shared" ref="BK20" si="356">+BK19/BF19-1</f>
        <v>0.25825469419906466</v>
      </c>
      <c r="BL20" s="19">
        <f t="shared" ref="BL20" si="357">+BL19/BG19-1</f>
        <v>0.2547821316110459</v>
      </c>
      <c r="BM20" s="19">
        <f t="shared" ref="BM20" si="358">+BM19/BH19-1</f>
        <v>0.22915577969424183</v>
      </c>
      <c r="BN20" s="259">
        <f t="shared" ref="BN20" si="359">+BN19/BI19-1</f>
        <v>0.25897304684184475</v>
      </c>
      <c r="BO20" s="19">
        <f t="shared" ref="BO20" si="360">+BO19/BJ19-1</f>
        <v>0.24588399755356649</v>
      </c>
      <c r="BP20" s="19">
        <f t="shared" ref="BP20" si="361">+BP19/BK19-1</f>
        <v>0.25802212565790272</v>
      </c>
      <c r="BQ20" s="19">
        <f t="shared" ref="BQ20" si="362">+BQ19/BL19-1</f>
        <v>0.22653204839412688</v>
      </c>
      <c r="BR20" s="19">
        <f t="shared" ref="BR20" si="363">+BR19/BM19-1</f>
        <v>0.21537672795282181</v>
      </c>
      <c r="BS20" s="259">
        <f t="shared" ref="BS20" si="364">+BS19/BN19-1</f>
        <v>0.23555490830613879</v>
      </c>
      <c r="BT20" s="19">
        <f t="shared" ref="BT20" si="365">+BT19/BO19-1</f>
        <v>0.17655194950457953</v>
      </c>
      <c r="BU20" s="19">
        <f t="shared" ref="BU20" si="366">+BU19/BP19-1</f>
        <v>0.15273843516099928</v>
      </c>
      <c r="BV20" s="19">
        <f t="shared" ref="BV20" si="367">+BV19/BQ19-1</f>
        <v>0.14051201600900232</v>
      </c>
      <c r="BW20" s="19">
        <f t="shared" ref="BW20" si="368">+BW19/BR19-1</f>
        <v>0.12815141996042079</v>
      </c>
      <c r="BX20" s="259">
        <f t="shared" ref="BX20" si="369">+BX19/BS19-1</f>
        <v>0.14857180785177748</v>
      </c>
      <c r="BY20" s="19">
        <f t="shared" ref="BY20" si="370">+BY19/BT19-1</f>
        <v>0.10989773568428851</v>
      </c>
      <c r="BZ20" s="19">
        <f t="shared" ref="BZ20" si="371">+BZ19/BU19-1</f>
        <v>9.8215403849529981E-2</v>
      </c>
      <c r="CA20" s="19">
        <f t="shared" ref="CA20" si="372">+CA19/BV19-1</f>
        <v>0.10255057688530278</v>
      </c>
      <c r="CB20" s="19">
        <f t="shared" ref="CB20" si="373">+CB19/BW19-1</f>
        <v>9.690246131672331E-2</v>
      </c>
      <c r="CC20" s="259">
        <f t="shared" ref="CC20" si="374">+CC19/BX19-1</f>
        <v>0.10174568329962597</v>
      </c>
      <c r="CD20" s="19">
        <f t="shared" ref="CD20" si="375">+CD19/BY19-1</f>
        <v>9.9871213969704886E-2</v>
      </c>
      <c r="CE20" s="19">
        <f t="shared" ref="CE20" si="376">+CE19/BZ19-1</f>
        <v>0.10379777472658214</v>
      </c>
      <c r="CF20" s="19">
        <f t="shared" ref="CF20" si="377">+CF19/CA19-1</f>
        <v>8.7398327258400466E-2</v>
      </c>
      <c r="CG20" s="19">
        <f t="shared" ref="CG20" si="378">+CG19/CB19-1</f>
        <v>8.0539684256727417E-2</v>
      </c>
      <c r="CH20" s="259">
        <f t="shared" ref="CH20" si="379">+CH19/CC19-1</f>
        <v>9.2623878931446191E-2</v>
      </c>
      <c r="CI20" s="19">
        <f t="shared" ref="CI20" si="380">+CI19/CD19-1</f>
        <v>6.8452012392186568E-2</v>
      </c>
      <c r="CJ20" s="19">
        <f t="shared" ref="CJ20" si="381">+CJ19/CE19-1</f>
        <v>5.6886949132603615E-2</v>
      </c>
      <c r="CK20" s="19">
        <f t="shared" ref="CK20" si="382">+CK19/CF19-1</f>
        <v>5.0682056134123243E-2</v>
      </c>
      <c r="CL20" s="19">
        <f t="shared" ref="CL20" si="383">+CL19/CG19-1</f>
        <v>4.4531549677454985E-2</v>
      </c>
      <c r="CM20" s="259">
        <f t="shared" ref="CM20" si="384">+CM19/CH19-1</f>
        <v>5.4914447629135665E-2</v>
      </c>
    </row>
    <row r="21" spans="1:93">
      <c r="A21" s="139" t="s">
        <v>292</v>
      </c>
      <c r="B21" s="232" t="s">
        <v>294</v>
      </c>
      <c r="C21" s="232" t="s">
        <v>294</v>
      </c>
      <c r="D21" s="232" t="s">
        <v>294</v>
      </c>
      <c r="E21" s="232" t="s">
        <v>294</v>
      </c>
      <c r="F21" s="239" t="s">
        <v>294</v>
      </c>
      <c r="G21" s="147" t="s">
        <v>294</v>
      </c>
      <c r="H21" s="19">
        <f>+H19/G19-1</f>
        <v>-3.3836161743138526E-2</v>
      </c>
      <c r="I21" s="19">
        <f t="shared" ref="I21" si="385">+I19/H19-1</f>
        <v>3.3503198525425493E-2</v>
      </c>
      <c r="J21" s="19">
        <f t="shared" ref="J21" si="386">+J19/I19-1</f>
        <v>0.21915652538816621</v>
      </c>
      <c r="K21" s="251" t="s">
        <v>294</v>
      </c>
      <c r="L21" s="19">
        <f>+L19/J19-1</f>
        <v>0.14198433869718619</v>
      </c>
      <c r="M21" s="19">
        <f>+M19/L19-1</f>
        <v>0.29040765579082217</v>
      </c>
      <c r="N21" s="19">
        <f t="shared" ref="N21" si="387">+N19/M19-1</f>
        <v>8.081751824817518E-2</v>
      </c>
      <c r="O21" s="19">
        <f t="shared" ref="O21" si="388">+O19/N19-1</f>
        <v>0.16267761629477562</v>
      </c>
      <c r="P21" s="251" t="s">
        <v>294</v>
      </c>
      <c r="Q21" s="19">
        <f>+Q19/O19-1</f>
        <v>-4.6328996282527846E-2</v>
      </c>
      <c r="R21" s="19">
        <f>+R19/Q19-1</f>
        <v>-0.19607269892315937</v>
      </c>
      <c r="S21" s="19">
        <f t="shared" ref="S21" si="389">+S19/R19-1</f>
        <v>0.21346748287775008</v>
      </c>
      <c r="T21" s="19">
        <f t="shared" ref="T21" si="390">+T19/S19-1</f>
        <v>0.10853603716098092</v>
      </c>
      <c r="U21" s="251" t="s">
        <v>294</v>
      </c>
      <c r="V21" s="19">
        <f>+V19/T19-1</f>
        <v>-1.2706136793728007E-2</v>
      </c>
      <c r="W21" s="19">
        <f>+W19/V19-1</f>
        <v>0.11733296823658268</v>
      </c>
      <c r="X21" s="19">
        <f t="shared" ref="X21" si="391">+X19/W19-1</f>
        <v>0.12915083935792193</v>
      </c>
      <c r="Y21" s="19">
        <f t="shared" ref="Y21" si="392">+Y19/X19-1</f>
        <v>0.16476758907578226</v>
      </c>
      <c r="Z21" s="251" t="s">
        <v>294</v>
      </c>
      <c r="AA21" s="19">
        <f>+AA19/Y19-1</f>
        <v>0</v>
      </c>
      <c r="AB21" s="19">
        <f>+AB19/AA19-1</f>
        <v>9.6273291925465854E-2</v>
      </c>
      <c r="AC21" s="19">
        <f t="shared" ref="AC21" si="393">+AC19/AB19-1</f>
        <v>0.10906515580736542</v>
      </c>
      <c r="AD21" s="19">
        <f t="shared" ref="AD21" si="394">+AD19/AC19-1</f>
        <v>0.12899106002554284</v>
      </c>
      <c r="AE21" s="251" t="s">
        <v>294</v>
      </c>
      <c r="AF21" s="19">
        <f>+AF19/AD19-1</f>
        <v>2.3755656108597201E-2</v>
      </c>
      <c r="AG21" s="19">
        <f>+AG19/AF19-1</f>
        <v>0.10939226519337009</v>
      </c>
      <c r="AH21" s="19">
        <f t="shared" ref="AH21" si="395">+AH19/AG19-1</f>
        <v>2.3904382470119501E-2</v>
      </c>
      <c r="AI21" s="19">
        <f t="shared" ref="AI21" si="396">+AI19/AH19-1</f>
        <v>8.7548638132295631E-2</v>
      </c>
      <c r="AJ21" s="251" t="s">
        <v>294</v>
      </c>
      <c r="AK21" s="19">
        <f>+AK19/AI19-1</f>
        <v>-9.8389982110912433E-3</v>
      </c>
      <c r="AL21" s="19">
        <f>+AL19/AK19-1</f>
        <v>8.175248419150849E-2</v>
      </c>
      <c r="AM21" s="19">
        <f t="shared" ref="AM21" si="397">+AM19/AL19-1</f>
        <v>0.13347251217814904</v>
      </c>
      <c r="AN21" s="19">
        <f t="shared" ref="AN21" si="398">+AN19/AM19-1</f>
        <v>0.10142436149312362</v>
      </c>
      <c r="AO21" s="251" t="s">
        <v>294</v>
      </c>
      <c r="AP21" s="19">
        <f>+AP19/AN19-1</f>
        <v>4.6488294314381173E-2</v>
      </c>
      <c r="AQ21" s="19">
        <f>+AQ19/AP19-1</f>
        <v>0.18472355385107053</v>
      </c>
      <c r="AR21" s="19">
        <f t="shared" ref="AR21" si="399">+AR19/AQ19-1</f>
        <v>0.19406528189910977</v>
      </c>
      <c r="AS21" s="19">
        <f t="shared" ref="AS21" si="400">+AS19/AR19-1</f>
        <v>0.1641333815290078</v>
      </c>
      <c r="AT21" s="251" t="s">
        <v>294</v>
      </c>
      <c r="AU21" s="379">
        <f>+AU19/AS19-1</f>
        <v>4.4219497799016017E-2</v>
      </c>
      <c r="AV21" s="19">
        <f>+AV19/AU19-1</f>
        <v>0.12166210175713443</v>
      </c>
      <c r="AW21" s="19">
        <f t="shared" ref="AW21" si="401">+AW19/AV19-1</f>
        <v>0.20520965512662181</v>
      </c>
      <c r="AX21" s="19">
        <f t="shared" ref="AX21" si="402">+AX19/AW19-1</f>
        <v>0.13513169600251307</v>
      </c>
      <c r="AY21" s="251" t="s">
        <v>294</v>
      </c>
      <c r="AZ21" s="19">
        <f>+AZ19/AX19-1</f>
        <v>0.13836764461390727</v>
      </c>
      <c r="BA21" s="19">
        <f>+BA19/AZ19-1</f>
        <v>0.14119290676811946</v>
      </c>
      <c r="BB21" s="19">
        <f t="shared" ref="BB21" si="403">+BB19/BA19-1</f>
        <v>9.0302879735362218E-2</v>
      </c>
      <c r="BC21" s="19">
        <f t="shared" ref="BC21" si="404">+BC19/BB19-1</f>
        <v>0.1105422287405462</v>
      </c>
      <c r="BD21" s="251" t="s">
        <v>294</v>
      </c>
      <c r="BE21" s="19">
        <f>+BE19/BC19-1</f>
        <v>9.7371281922961739E-2</v>
      </c>
      <c r="BF21" s="19">
        <f>+BF19/BE19-1</f>
        <v>8.6528903483744202E-2</v>
      </c>
      <c r="BG21" s="19">
        <f t="shared" ref="BG21" si="405">+BG19/BF19-1</f>
        <v>7.0299162727294862E-2</v>
      </c>
      <c r="BH21" s="19">
        <f t="shared" ref="BH21" si="406">+BH19/BG19-1</f>
        <v>7.4685992820649361E-2</v>
      </c>
      <c r="BI21" s="251" t="s">
        <v>294</v>
      </c>
      <c r="BJ21" s="19">
        <f>+BJ19/BH19-1</f>
        <v>4.1709977283371114E-2</v>
      </c>
      <c r="BK21" s="19">
        <f>+BK19/BJ19-1</f>
        <v>5.0110404324912095E-2</v>
      </c>
      <c r="BL21" s="19">
        <f t="shared" ref="BL21" si="407">+BL19/BK19-1</f>
        <v>6.7345324488018221E-2</v>
      </c>
      <c r="BM21" s="19">
        <f t="shared" ref="BM21" si="408">+BM19/BL19-1</f>
        <v>5.2737735224151594E-2</v>
      </c>
      <c r="BN21" s="251" t="s">
        <v>294</v>
      </c>
      <c r="BO21" s="19">
        <f>+BO19/BM19-1</f>
        <v>5.5887148097768069E-2</v>
      </c>
      <c r="BP21" s="19">
        <f>+BP19/BO19-1</f>
        <v>6.0341191971611918E-2</v>
      </c>
      <c r="BQ21" s="19">
        <f t="shared" ref="BQ21" si="409">+BQ19/BP19-1</f>
        <v>4.0628157874052162E-2</v>
      </c>
      <c r="BR21" s="19">
        <f t="shared" ref="BR21" si="410">+BR19/BQ19-1</f>
        <v>4.3163075685124452E-2</v>
      </c>
      <c r="BS21" s="251" t="s">
        <v>294</v>
      </c>
      <c r="BT21" s="19">
        <f>+BT19/BR19-1</f>
        <v>2.2157207702830917E-2</v>
      </c>
      <c r="BU21" s="19">
        <f>+BU19/BT19-1</f>
        <v>3.8879793522748507E-2</v>
      </c>
      <c r="BV21" s="19">
        <f t="shared" ref="BV21" si="411">+BV19/BU19-1</f>
        <v>2.9590826549395155E-2</v>
      </c>
      <c r="BW21" s="19">
        <f t="shared" ref="BW21" si="412">+BW19/BV19-1</f>
        <v>3.1857524134286663E-2</v>
      </c>
      <c r="BX21" s="251" t="s">
        <v>294</v>
      </c>
      <c r="BY21" s="19">
        <f>+BY19/BW19-1</f>
        <v>5.6185280363771906E-3</v>
      </c>
      <c r="BZ21" s="19">
        <f>+BZ19/BY19-1</f>
        <v>2.7944967642708596E-2</v>
      </c>
      <c r="CA21" s="19">
        <f t="shared" ref="CA21" si="413">+CA19/BZ19-1</f>
        <v>3.365510608280009E-2</v>
      </c>
      <c r="CB21" s="19">
        <f t="shared" ref="CB21" si="414">+CB19/CA19-1</f>
        <v>2.6571552979037794E-2</v>
      </c>
      <c r="CC21" s="251" t="s">
        <v>294</v>
      </c>
      <c r="CD21" s="19">
        <f>+CD19/CB19-1</f>
        <v>8.3402218772421488E-3</v>
      </c>
      <c r="CE21" s="19">
        <f>+CE19/CD19-1</f>
        <v>3.1614750358093691E-2</v>
      </c>
      <c r="CF21" s="19">
        <f t="shared" ref="CF21" si="415">+CF19/CE19-1</f>
        <v>1.8297788827271511E-2</v>
      </c>
      <c r="CG21" s="19">
        <f t="shared" ref="CG21" si="416">+CG19/CF19-1</f>
        <v>2.0096568034644768E-2</v>
      </c>
      <c r="CH21" s="251" t="s">
        <v>294</v>
      </c>
      <c r="CI21" s="19">
        <f>+CI19/CG19-1</f>
        <v>-2.9397763564684709E-3</v>
      </c>
      <c r="CJ21" s="19">
        <f>+CJ19/CI19-1</f>
        <v>2.0448418403981483E-2</v>
      </c>
      <c r="CK21" s="19">
        <f t="shared" ref="CK21" si="417">+CK19/CJ19-1</f>
        <v>1.231944949263597E-2</v>
      </c>
      <c r="CL21" s="19">
        <f t="shared" ref="CL21" si="418">+CL19/CK19-1</f>
        <v>1.4125103602095734E-2</v>
      </c>
      <c r="CM21" s="251" t="s">
        <v>294</v>
      </c>
    </row>
    <row r="22" spans="1:93">
      <c r="F22" s="240"/>
      <c r="K22" s="240"/>
      <c r="P22" s="240"/>
      <c r="U22" s="240"/>
      <c r="Z22" s="240"/>
      <c r="AE22" s="240"/>
      <c r="AJ22" s="240"/>
      <c r="AO22" s="240"/>
      <c r="AT22" s="240"/>
      <c r="AU22" s="374"/>
      <c r="AY22" s="240"/>
      <c r="BD22" s="240"/>
      <c r="BI22" s="240"/>
      <c r="BN22" s="240"/>
      <c r="BS22" s="240"/>
      <c r="BX22" s="240"/>
      <c r="CC22" s="240"/>
      <c r="CH22" s="240"/>
      <c r="CM22" s="240"/>
    </row>
    <row r="23" spans="1:93">
      <c r="A23" s="228" t="s">
        <v>20</v>
      </c>
      <c r="B23" s="177"/>
      <c r="C23" s="177"/>
      <c r="D23" s="177"/>
      <c r="E23" s="177"/>
      <c r="F23" s="241"/>
      <c r="G23" s="177"/>
      <c r="H23" s="177"/>
      <c r="I23" s="177"/>
      <c r="J23" s="177"/>
      <c r="K23" s="241"/>
      <c r="L23" s="177"/>
      <c r="M23" s="177"/>
      <c r="N23" s="177"/>
      <c r="O23" s="177"/>
      <c r="P23" s="241"/>
      <c r="Q23" s="177"/>
      <c r="R23" s="177"/>
      <c r="S23" s="177"/>
      <c r="T23" s="177"/>
      <c r="U23" s="241"/>
      <c r="V23" s="177"/>
      <c r="W23" s="177"/>
      <c r="X23" s="177"/>
      <c r="Y23" s="177"/>
      <c r="Z23" s="241"/>
      <c r="AA23" s="177"/>
      <c r="AB23" s="177"/>
      <c r="AC23" s="177"/>
      <c r="AD23" s="177"/>
      <c r="AE23" s="241"/>
      <c r="AF23" s="177"/>
      <c r="AG23" s="177"/>
      <c r="AH23" s="177"/>
      <c r="AI23" s="177"/>
      <c r="AJ23" s="241"/>
      <c r="AK23" s="177"/>
      <c r="AL23" s="177"/>
      <c r="AM23" s="177"/>
      <c r="AN23" s="177"/>
      <c r="AO23" s="241"/>
      <c r="AP23" s="177"/>
      <c r="AQ23" s="177"/>
      <c r="AR23" s="177"/>
      <c r="AS23" s="177"/>
      <c r="AT23" s="241"/>
      <c r="AU23" s="177"/>
      <c r="AV23" s="177"/>
      <c r="AW23" s="177"/>
      <c r="AX23" s="177"/>
      <c r="AY23" s="241"/>
      <c r="AZ23" s="177"/>
      <c r="BA23" s="177"/>
      <c r="BB23" s="177"/>
      <c r="BC23" s="177"/>
      <c r="BD23" s="241"/>
      <c r="BE23" s="177"/>
      <c r="BF23" s="177"/>
      <c r="BG23" s="177"/>
      <c r="BH23" s="177"/>
      <c r="BI23" s="241"/>
      <c r="BJ23" s="177"/>
      <c r="BK23" s="177"/>
      <c r="BL23" s="177"/>
      <c r="BM23" s="177"/>
      <c r="BN23" s="241"/>
      <c r="BO23" s="177"/>
      <c r="BP23" s="177"/>
      <c r="BQ23" s="177"/>
      <c r="BR23" s="177"/>
      <c r="BS23" s="241"/>
      <c r="BT23" s="177"/>
      <c r="BU23" s="177"/>
      <c r="BV23" s="177"/>
      <c r="BW23" s="177"/>
      <c r="BX23" s="241"/>
      <c r="BY23" s="177"/>
      <c r="BZ23" s="177"/>
      <c r="CA23" s="177"/>
      <c r="CB23" s="177"/>
      <c r="CC23" s="241"/>
      <c r="CD23" s="177"/>
      <c r="CE23" s="177"/>
      <c r="CF23" s="177"/>
      <c r="CG23" s="177"/>
      <c r="CH23" s="241"/>
      <c r="CI23" s="177"/>
      <c r="CJ23" s="177"/>
      <c r="CK23" s="177"/>
      <c r="CL23" s="177"/>
      <c r="CM23" s="241"/>
      <c r="CN23" s="177"/>
      <c r="CO23" s="177"/>
    </row>
    <row r="24" spans="1:93" s="42" customFormat="1">
      <c r="A24" s="162" t="s">
        <v>323</v>
      </c>
      <c r="B24" s="232" t="s">
        <v>294</v>
      </c>
      <c r="C24" s="232" t="s">
        <v>294</v>
      </c>
      <c r="D24" s="232" t="s">
        <v>294</v>
      </c>
      <c r="E24" s="232" t="s">
        <v>294</v>
      </c>
      <c r="F24" s="239" t="s">
        <v>294</v>
      </c>
      <c r="G24" s="170">
        <f>+G89</f>
        <v>7.1</v>
      </c>
      <c r="H24" s="170">
        <f t="shared" ref="H24:BS24" si="419">+H89</f>
        <v>9.5</v>
      </c>
      <c r="I24" s="170">
        <f t="shared" si="419"/>
        <v>9.6</v>
      </c>
      <c r="J24" s="170">
        <f t="shared" si="419"/>
        <v>17</v>
      </c>
      <c r="K24" s="253">
        <f t="shared" si="419"/>
        <v>43.2</v>
      </c>
      <c r="L24" s="170">
        <f t="shared" si="419"/>
        <v>17.2</v>
      </c>
      <c r="M24" s="170">
        <f t="shared" si="419"/>
        <v>21.8</v>
      </c>
      <c r="N24" s="170">
        <f t="shared" si="419"/>
        <v>30.8</v>
      </c>
      <c r="O24" s="170">
        <f t="shared" si="419"/>
        <v>31.3</v>
      </c>
      <c r="P24" s="253">
        <f t="shared" si="419"/>
        <v>101.1</v>
      </c>
      <c r="Q24" s="170">
        <f t="shared" si="419"/>
        <v>38</v>
      </c>
      <c r="R24" s="170">
        <f t="shared" si="419"/>
        <v>39.6</v>
      </c>
      <c r="S24" s="170">
        <f t="shared" si="419"/>
        <v>48.3</v>
      </c>
      <c r="T24" s="170">
        <f t="shared" si="419"/>
        <v>45.9</v>
      </c>
      <c r="U24" s="253">
        <f t="shared" si="419"/>
        <v>171.79999999999998</v>
      </c>
      <c r="V24" s="170">
        <f t="shared" si="419"/>
        <v>49.8</v>
      </c>
      <c r="W24" s="170">
        <f t="shared" si="419"/>
        <v>61</v>
      </c>
      <c r="X24" s="170">
        <f t="shared" si="419"/>
        <v>61.3</v>
      </c>
      <c r="Y24" s="170">
        <f t="shared" si="419"/>
        <v>64.3</v>
      </c>
      <c r="Z24" s="253">
        <f t="shared" si="419"/>
        <v>236.39999999999998</v>
      </c>
      <c r="AA24" s="170">
        <f t="shared" si="419"/>
        <v>66.309640000000002</v>
      </c>
      <c r="AB24" s="170">
        <f t="shared" si="419"/>
        <v>70.872516000000019</v>
      </c>
      <c r="AC24" s="170">
        <f t="shared" si="419"/>
        <v>78.209589999999992</v>
      </c>
      <c r="AD24" s="170">
        <f t="shared" si="419"/>
        <v>84.417169999999999</v>
      </c>
      <c r="AE24" s="253">
        <f t="shared" si="419"/>
        <v>299.80891600000001</v>
      </c>
      <c r="AF24" s="170">
        <f t="shared" si="419"/>
        <v>91.556625000000011</v>
      </c>
      <c r="AG24" s="170">
        <f t="shared" si="419"/>
        <v>100.316216</v>
      </c>
      <c r="AH24" s="170">
        <f t="shared" si="419"/>
        <v>103.51346000000001</v>
      </c>
      <c r="AI24" s="170">
        <f t="shared" si="419"/>
        <v>109.07583999999999</v>
      </c>
      <c r="AJ24" s="253">
        <f t="shared" si="419"/>
        <v>404.46214099999997</v>
      </c>
      <c r="AK24" s="170">
        <f t="shared" si="419"/>
        <v>125.748</v>
      </c>
      <c r="AL24" s="170">
        <f t="shared" si="419"/>
        <v>130.26900000000001</v>
      </c>
      <c r="AM24" s="170">
        <f t="shared" si="419"/>
        <v>141.197</v>
      </c>
      <c r="AN24" s="170">
        <f t="shared" si="419"/>
        <v>145.613</v>
      </c>
      <c r="AO24" s="253">
        <f t="shared" si="419"/>
        <v>542.827</v>
      </c>
      <c r="AP24" s="170">
        <f t="shared" si="419"/>
        <v>150.559</v>
      </c>
      <c r="AQ24" s="170">
        <f>+AQ89</f>
        <v>158.685</v>
      </c>
      <c r="AR24" s="170">
        <f>+AR89</f>
        <v>184.40199999999999</v>
      </c>
      <c r="AS24" s="170">
        <f>+AS89</f>
        <v>189.94900000000001</v>
      </c>
      <c r="AT24" s="253">
        <f t="shared" si="419"/>
        <v>683.59500000000003</v>
      </c>
      <c r="AU24" s="356">
        <f t="shared" si="419"/>
        <v>196.15908931024387</v>
      </c>
      <c r="AV24" s="170">
        <f t="shared" si="419"/>
        <v>210.23004949826182</v>
      </c>
      <c r="AW24" s="170">
        <f t="shared" si="419"/>
        <v>224.22894320821271</v>
      </c>
      <c r="AX24" s="170">
        <f t="shared" si="419"/>
        <v>230.01104125655607</v>
      </c>
      <c r="AY24" s="253">
        <f t="shared" si="419"/>
        <v>860.62912327327444</v>
      </c>
      <c r="AZ24" s="170">
        <f t="shared" si="419"/>
        <v>264.85693048483364</v>
      </c>
      <c r="BA24" s="170">
        <f t="shared" si="419"/>
        <v>268.61309384505353</v>
      </c>
      <c r="BB24" s="170">
        <f t="shared" si="419"/>
        <v>278.04492004135227</v>
      </c>
      <c r="BC24" s="170">
        <f t="shared" si="419"/>
        <v>284.45086976822444</v>
      </c>
      <c r="BD24" s="253">
        <f t="shared" si="419"/>
        <v>1095.9658141394636</v>
      </c>
      <c r="BE24" s="170">
        <f t="shared" si="419"/>
        <v>324.76980300359338</v>
      </c>
      <c r="BF24" s="170">
        <f t="shared" si="419"/>
        <v>334.09966864566275</v>
      </c>
      <c r="BG24" s="170">
        <f t="shared" si="419"/>
        <v>347.72857541786919</v>
      </c>
      <c r="BH24" s="170">
        <f t="shared" si="419"/>
        <v>355.82883012805945</v>
      </c>
      <c r="BI24" s="253">
        <f t="shared" si="419"/>
        <v>1362.4268771951845</v>
      </c>
      <c r="BJ24" s="170">
        <f t="shared" si="419"/>
        <v>386.58952402567064</v>
      </c>
      <c r="BK24" s="170">
        <f t="shared" si="419"/>
        <v>388.9442769051098</v>
      </c>
      <c r="BL24" s="170">
        <f t="shared" si="419"/>
        <v>397.42124622472676</v>
      </c>
      <c r="BM24" s="170">
        <f t="shared" si="419"/>
        <v>397.40763093632773</v>
      </c>
      <c r="BN24" s="253">
        <f t="shared" si="419"/>
        <v>1570.3626780918353</v>
      </c>
      <c r="BO24" s="170">
        <f t="shared" si="419"/>
        <v>431.40143813688866</v>
      </c>
      <c r="BP24" s="170">
        <f t="shared" si="419"/>
        <v>436.22038197415833</v>
      </c>
      <c r="BQ24" s="170">
        <f t="shared" si="419"/>
        <v>447.66966724695271</v>
      </c>
      <c r="BR24" s="170">
        <f t="shared" si="419"/>
        <v>450.20967224795811</v>
      </c>
      <c r="BS24" s="253">
        <f t="shared" si="419"/>
        <v>1765.5011596059576</v>
      </c>
      <c r="BT24" s="170">
        <f t="shared" ref="BT24:CM24" si="420">+BT89</f>
        <v>480.31599442285517</v>
      </c>
      <c r="BU24" s="170">
        <f t="shared" si="420"/>
        <v>485.18290741510106</v>
      </c>
      <c r="BV24" s="170">
        <f t="shared" si="420"/>
        <v>497.08108273234234</v>
      </c>
      <c r="BW24" s="170">
        <f t="shared" si="420"/>
        <v>499.6534432995864</v>
      </c>
      <c r="BX24" s="253">
        <f t="shared" si="420"/>
        <v>1962.2334278698847</v>
      </c>
      <c r="BY24" s="170">
        <f t="shared" si="420"/>
        <v>527.44309322611412</v>
      </c>
      <c r="BZ24" s="170">
        <f t="shared" si="420"/>
        <v>531.1941464107183</v>
      </c>
      <c r="CA24" s="170">
        <f t="shared" si="420"/>
        <v>542.3221197071382</v>
      </c>
      <c r="CB24" s="170">
        <f t="shared" si="420"/>
        <v>543.9370738868588</v>
      </c>
      <c r="CC24" s="253">
        <f t="shared" si="420"/>
        <v>2144.8964332308292</v>
      </c>
      <c r="CD24" s="170">
        <f t="shared" si="420"/>
        <v>569.8596688339627</v>
      </c>
      <c r="CE24" s="170">
        <f t="shared" si="420"/>
        <v>573.71074334698051</v>
      </c>
      <c r="CF24" s="170">
        <f t="shared" si="420"/>
        <v>585.16992437893327</v>
      </c>
      <c r="CG24" s="170">
        <f t="shared" si="420"/>
        <v>586.96709093306276</v>
      </c>
      <c r="CH24" s="253">
        <f t="shared" si="420"/>
        <v>2315.7074274929387</v>
      </c>
      <c r="CI24" s="170">
        <f t="shared" si="420"/>
        <v>613.92246448530125</v>
      </c>
      <c r="CJ24" s="170">
        <f t="shared" si="420"/>
        <v>617.90100429429913</v>
      </c>
      <c r="CK24" s="170">
        <f t="shared" si="420"/>
        <v>629.70612450468082</v>
      </c>
      <c r="CL24" s="170">
        <f t="shared" si="420"/>
        <v>631.72599009658404</v>
      </c>
      <c r="CM24" s="253">
        <f t="shared" si="420"/>
        <v>2493.2555833808656</v>
      </c>
    </row>
    <row r="25" spans="1:93">
      <c r="A25" s="161" t="s">
        <v>291</v>
      </c>
      <c r="B25" s="232" t="s">
        <v>294</v>
      </c>
      <c r="C25" s="232" t="s">
        <v>294</v>
      </c>
      <c r="D25" s="232" t="s">
        <v>294</v>
      </c>
      <c r="E25" s="232" t="s">
        <v>294</v>
      </c>
      <c r="F25" s="239" t="s">
        <v>294</v>
      </c>
      <c r="G25" s="158" t="s">
        <v>294</v>
      </c>
      <c r="H25" s="158" t="s">
        <v>294</v>
      </c>
      <c r="I25" s="158" t="s">
        <v>294</v>
      </c>
      <c r="J25" s="158" t="s">
        <v>294</v>
      </c>
      <c r="K25" s="250" t="s">
        <v>294</v>
      </c>
      <c r="L25" s="19">
        <f t="shared" ref="L25" si="421">+L24/G24-1</f>
        <v>1.4225352112676055</v>
      </c>
      <c r="M25" s="19">
        <f t="shared" ref="M25" si="422">+M24/H24-1</f>
        <v>1.2947368421052632</v>
      </c>
      <c r="N25" s="19">
        <f t="shared" ref="N25" si="423">+N24/I24-1</f>
        <v>2.2083333333333335</v>
      </c>
      <c r="O25" s="19">
        <f t="shared" ref="O25" si="424">+O24/J24-1</f>
        <v>0.84117647058823541</v>
      </c>
      <c r="P25" s="259">
        <f t="shared" ref="P25" si="425">+P24/K24-1</f>
        <v>1.3402777777777777</v>
      </c>
      <c r="Q25" s="19">
        <f t="shared" ref="Q25" si="426">+Q24/L24-1</f>
        <v>1.2093023255813953</v>
      </c>
      <c r="R25" s="19">
        <f t="shared" ref="R25" si="427">+R24/M24-1</f>
        <v>0.8165137614678899</v>
      </c>
      <c r="S25" s="19">
        <f t="shared" ref="S25" si="428">+S24/N24-1</f>
        <v>0.56818181818181812</v>
      </c>
      <c r="T25" s="19">
        <f t="shared" ref="T25" si="429">+T24/O24-1</f>
        <v>0.46645367412140559</v>
      </c>
      <c r="U25" s="259">
        <f t="shared" ref="U25" si="430">+U24/P24-1</f>
        <v>0.69930761622156279</v>
      </c>
      <c r="V25" s="19">
        <f t="shared" ref="V25" si="431">+V24/Q24-1</f>
        <v>0.31052631578947354</v>
      </c>
      <c r="W25" s="19">
        <f t="shared" ref="W25" si="432">+W24/R24-1</f>
        <v>0.54040404040404044</v>
      </c>
      <c r="X25" s="19">
        <f t="shared" ref="X25" si="433">+X24/S24-1</f>
        <v>0.2691511387163561</v>
      </c>
      <c r="Y25" s="19">
        <f t="shared" ref="Y25" si="434">+Y24/T24-1</f>
        <v>0.40087145969498916</v>
      </c>
      <c r="Z25" s="259">
        <f t="shared" ref="Z25" si="435">+Z24/U24-1</f>
        <v>0.37601862630966232</v>
      </c>
      <c r="AA25" s="19">
        <f t="shared" ref="AA25" si="436">+AA24/V24-1</f>
        <v>0.3315188755020082</v>
      </c>
      <c r="AB25" s="19">
        <f t="shared" ref="AB25" si="437">+AB24/W24-1</f>
        <v>0.1618445245901643</v>
      </c>
      <c r="AC25" s="19">
        <f t="shared" ref="AC25" si="438">+AC24/X24-1</f>
        <v>0.27584975530179445</v>
      </c>
      <c r="AD25" s="19">
        <f t="shared" ref="AD25" si="439">+AD24/Y24-1</f>
        <v>0.31286423017107312</v>
      </c>
      <c r="AE25" s="259">
        <f t="shared" ref="AE25" si="440">+AE24/Z24-1</f>
        <v>0.26822722504230145</v>
      </c>
      <c r="AF25" s="19">
        <f t="shared" ref="AF25" si="441">+AF24/AA24-1</f>
        <v>0.38074381040222827</v>
      </c>
      <c r="AG25" s="19">
        <f t="shared" ref="AG25" si="442">+AG24/AB24-1</f>
        <v>0.41544595368957937</v>
      </c>
      <c r="AH25" s="19">
        <f t="shared" ref="AH25" si="443">+AH24/AC24-1</f>
        <v>0.32353922325893825</v>
      </c>
      <c r="AI25" s="19">
        <f t="shared" ref="AI25" si="444">+AI24/AD24-1</f>
        <v>0.29210491183250964</v>
      </c>
      <c r="AJ25" s="259">
        <f t="shared" ref="AJ25" si="445">+AJ24/AE24-1</f>
        <v>0.34906642002601407</v>
      </c>
      <c r="AK25" s="19">
        <f t="shared" ref="AK25" si="446">+AK24/AF24-1</f>
        <v>0.37344512207609215</v>
      </c>
      <c r="AL25" s="19">
        <f t="shared" ref="AL25" si="447">+AL24/AG24-1</f>
        <v>0.29858367065998581</v>
      </c>
      <c r="AM25" s="19">
        <f t="shared" ref="AM25" si="448">+AM24/AH24-1</f>
        <v>0.36404483049837189</v>
      </c>
      <c r="AN25" s="19">
        <f t="shared" ref="AN25" si="449">+AN24/AI24-1</f>
        <v>0.33497023722210173</v>
      </c>
      <c r="AO25" s="259">
        <f t="shared" ref="AO25" si="450">+AO24/AJ24-1</f>
        <v>0.34209594662655962</v>
      </c>
      <c r="AP25" s="19">
        <f t="shared" ref="AP25" si="451">+AP24/AK24-1</f>
        <v>0.19730731303877591</v>
      </c>
      <c r="AQ25" s="19">
        <f t="shared" ref="AQ25" si="452">+AQ24/AL24-1</f>
        <v>0.21813324735739115</v>
      </c>
      <c r="AR25" s="19">
        <f t="shared" ref="AR25" si="453">+AR24/AM24-1</f>
        <v>0.30599092048697907</v>
      </c>
      <c r="AS25" s="19">
        <f t="shared" ref="AS25" si="454">+AS24/AN24-1</f>
        <v>0.30447830894219607</v>
      </c>
      <c r="AT25" s="259">
        <f t="shared" ref="AT25" si="455">+AT24/AO24-1</f>
        <v>0.2593238729834737</v>
      </c>
      <c r="AU25" s="379">
        <f t="shared" ref="AU25" si="456">+AU24/AP24-1</f>
        <v>0.30287189281440408</v>
      </c>
      <c r="AV25" s="19">
        <f t="shared" ref="AV25" si="457">+AV24/AQ24-1</f>
        <v>0.32482622490003354</v>
      </c>
      <c r="AW25" s="19">
        <f t="shared" ref="AW25" si="458">+AW24/AR24-1</f>
        <v>0.21597891133617164</v>
      </c>
      <c r="AX25" s="19">
        <f t="shared" ref="AX25" si="459">+AX24/AS24-1</f>
        <v>0.21090946125831689</v>
      </c>
      <c r="AY25" s="259">
        <f t="shared" ref="AY25" si="460">+AY24/AT24-1</f>
        <v>0.25897515820518646</v>
      </c>
      <c r="AZ25" s="19">
        <f t="shared" ref="AZ25" si="461">+AZ24/AU24-1</f>
        <v>0.3502149271601569</v>
      </c>
      <c r="BA25" s="19">
        <f t="shared" ref="BA25" si="462">+BA24/AV24-1</f>
        <v>0.27771027256155612</v>
      </c>
      <c r="BB25" s="19">
        <f t="shared" ref="BB25" si="463">+BB24/AW24-1</f>
        <v>0.24000459558500231</v>
      </c>
      <c r="BC25" s="19">
        <f t="shared" ref="BC25" si="464">+BC24/AX24-1</f>
        <v>0.23668354446926654</v>
      </c>
      <c r="BD25" s="259">
        <f t="shared" ref="BD25" si="465">+BD24/AY24-1</f>
        <v>0.27344727769741417</v>
      </c>
      <c r="BE25" s="19">
        <f t="shared" ref="BE25" si="466">+BE24/AZ24-1</f>
        <v>0.22620843792566148</v>
      </c>
      <c r="BF25" s="19">
        <f t="shared" ref="BF25" si="467">+BF24/BA24-1</f>
        <v>0.24379516971121462</v>
      </c>
      <c r="BG25" s="19">
        <f t="shared" ref="BG25" si="468">+BG24/BB24-1</f>
        <v>0.25062013492695079</v>
      </c>
      <c r="BH25" s="19">
        <f t="shared" ref="BH25" si="469">+BH24/BC24-1</f>
        <v>0.25093247356914405</v>
      </c>
      <c r="BI25" s="259">
        <f t="shared" ref="BI25" si="470">+BI24/BD24-1</f>
        <v>0.24312899145028721</v>
      </c>
      <c r="BJ25" s="19">
        <f t="shared" ref="BJ25" si="471">+BJ24/BE24-1</f>
        <v>0.19034935037169465</v>
      </c>
      <c r="BK25" s="19">
        <f t="shared" ref="BK25" si="472">+BK24/BF24-1</f>
        <v>0.16415642817537113</v>
      </c>
      <c r="BL25" s="19">
        <f t="shared" ref="BL25" si="473">+BL24/BG24-1</f>
        <v>0.1429064917864209</v>
      </c>
      <c r="BM25" s="19">
        <f t="shared" ref="BM25" si="474">+BM24/BH24-1</f>
        <v>0.11685056771061664</v>
      </c>
      <c r="BN25" s="259">
        <f t="shared" ref="BN25" si="475">+BN24/BI24-1</f>
        <v>0.15262162276534519</v>
      </c>
      <c r="BO25" s="19">
        <f t="shared" ref="BO25" si="476">+BO24/BJ24-1</f>
        <v>0.11591600735730845</v>
      </c>
      <c r="BP25" s="19">
        <f t="shared" ref="BP25" si="477">+BP24/BK24-1</f>
        <v>0.12154981542660015</v>
      </c>
      <c r="BQ25" s="19">
        <f t="shared" ref="BQ25" si="478">+BQ24/BL24-1</f>
        <v>0.12643617194489987</v>
      </c>
      <c r="BR25" s="19">
        <f t="shared" ref="BR25" si="479">+BR24/BM24-1</f>
        <v>0.13286619883776285</v>
      </c>
      <c r="BS25" s="259">
        <f t="shared" ref="BS25" si="480">+BS24/BN24-1</f>
        <v>0.12426332097451342</v>
      </c>
      <c r="BT25" s="19">
        <f t="shared" ref="BT25" si="481">+BT24/BO24-1</f>
        <v>0.11338524159125618</v>
      </c>
      <c r="BU25" s="19">
        <f t="shared" ref="BU25" si="482">+BU24/BP24-1</f>
        <v>0.11224263575066806</v>
      </c>
      <c r="BV25" s="19">
        <f t="shared" ref="BV25" si="483">+BV24/BQ24-1</f>
        <v>0.11037472292741302</v>
      </c>
      <c r="BW25" s="19">
        <f t="shared" ref="BW25" si="484">+BW24/BR24-1</f>
        <v>0.10982387562832407</v>
      </c>
      <c r="BX25" s="259">
        <f t="shared" ref="BX25" si="485">+BX24/BS24-1</f>
        <v>0.11143140132960094</v>
      </c>
      <c r="BY25" s="19">
        <f t="shared" ref="BY25" si="486">+BY24/BT24-1</f>
        <v>9.8116863378423513E-2</v>
      </c>
      <c r="BZ25" s="19">
        <f t="shared" ref="BZ25" si="487">+BZ24/BU24-1</f>
        <v>9.4832769853229859E-2</v>
      </c>
      <c r="CA25" s="19">
        <f t="shared" ref="CA25" si="488">+CA24/BV24-1</f>
        <v>9.1013395090628002E-2</v>
      </c>
      <c r="CB25" s="19">
        <f t="shared" ref="CB25" si="489">+CB24/BW24-1</f>
        <v>8.8628690907910812E-2</v>
      </c>
      <c r="CC25" s="259">
        <f t="shared" ref="CC25" si="490">+CC24/BX24-1</f>
        <v>9.3089335227172887E-2</v>
      </c>
      <c r="CD25" s="19">
        <f t="shared" ref="CD25" si="491">+CD24/BY24-1</f>
        <v>8.0419245512168835E-2</v>
      </c>
      <c r="CE25" s="19">
        <f t="shared" ref="CE25" si="492">+CE24/BZ24-1</f>
        <v>8.0039656354549571E-2</v>
      </c>
      <c r="CF25" s="19">
        <f t="shared" ref="CF25" si="493">+CF24/CA24-1</f>
        <v>7.9008034366980118E-2</v>
      </c>
      <c r="CG25" s="19">
        <f t="shared" ref="CG25" si="494">+CG24/CB24-1</f>
        <v>7.9108446752343298E-2</v>
      </c>
      <c r="CH25" s="259">
        <f t="shared" ref="CH25" si="495">+CH24/CC24-1</f>
        <v>7.9636010212772446E-2</v>
      </c>
      <c r="CI25" s="19">
        <f t="shared" ref="CI25" si="496">+CI24/CD24-1</f>
        <v>7.7322186603412613E-2</v>
      </c>
      <c r="CJ25" s="19">
        <f t="shared" ref="CJ25" si="497">+CJ24/CE24-1</f>
        <v>7.70253328175734E-2</v>
      </c>
      <c r="CK25" s="19">
        <f t="shared" ref="CK25" si="498">+CK24/CF24-1</f>
        <v>7.6108149565300653E-2</v>
      </c>
      <c r="CL25" s="19">
        <f t="shared" ref="CL25" si="499">+CL24/CG24-1</f>
        <v>7.6254529180453723E-2</v>
      </c>
      <c r="CM25" s="259">
        <f t="shared" ref="CM25" si="500">+CM24/CH24-1</f>
        <v>7.6671238248843254E-2</v>
      </c>
    </row>
    <row r="26" spans="1:93">
      <c r="A26" s="161" t="s">
        <v>292</v>
      </c>
      <c r="B26" s="232" t="s">
        <v>294</v>
      </c>
      <c r="C26" s="232" t="s">
        <v>294</v>
      </c>
      <c r="D26" s="232" t="s">
        <v>294</v>
      </c>
      <c r="E26" s="232" t="s">
        <v>294</v>
      </c>
      <c r="F26" s="239" t="s">
        <v>294</v>
      </c>
      <c r="G26" s="147" t="s">
        <v>294</v>
      </c>
      <c r="H26" s="19">
        <f>+H24/G24-1</f>
        <v>0.3380281690140845</v>
      </c>
      <c r="I26" s="19">
        <f t="shared" ref="I26" si="501">+I24/H24-1</f>
        <v>1.0526315789473717E-2</v>
      </c>
      <c r="J26" s="19">
        <f t="shared" ref="J26" si="502">+J24/I24-1</f>
        <v>0.77083333333333348</v>
      </c>
      <c r="K26" s="251" t="s">
        <v>294</v>
      </c>
      <c r="L26" s="19">
        <f>+L24/J24-1</f>
        <v>1.1764705882352899E-2</v>
      </c>
      <c r="M26" s="19">
        <f>+M24/L24-1</f>
        <v>0.26744186046511631</v>
      </c>
      <c r="N26" s="19">
        <f t="shared" ref="N26" si="503">+N24/M24-1</f>
        <v>0.41284403669724767</v>
      </c>
      <c r="O26" s="19">
        <f t="shared" ref="O26" si="504">+O24/N24-1</f>
        <v>1.6233766233766156E-2</v>
      </c>
      <c r="P26" s="251" t="s">
        <v>294</v>
      </c>
      <c r="Q26" s="19">
        <f>+Q24/O24-1</f>
        <v>0.21405750798722045</v>
      </c>
      <c r="R26" s="19">
        <f>+R24/Q24-1</f>
        <v>4.2105263157894868E-2</v>
      </c>
      <c r="S26" s="19">
        <f t="shared" ref="S26" si="505">+S24/R24-1</f>
        <v>0.2196969696969695</v>
      </c>
      <c r="T26" s="19">
        <f t="shared" ref="T26" si="506">+T24/S24-1</f>
        <v>-4.9689440993788803E-2</v>
      </c>
      <c r="U26" s="251" t="s">
        <v>294</v>
      </c>
      <c r="V26" s="19">
        <f>+V24/T24-1</f>
        <v>8.4967320261437829E-2</v>
      </c>
      <c r="W26" s="19">
        <f>+W24/V24-1</f>
        <v>0.22489959839357443</v>
      </c>
      <c r="X26" s="19">
        <f t="shared" ref="X26" si="507">+X24/W24-1</f>
        <v>4.9180327868851847E-3</v>
      </c>
      <c r="Y26" s="19">
        <f t="shared" ref="Y26" si="508">+Y24/X24-1</f>
        <v>4.8939641109298604E-2</v>
      </c>
      <c r="Z26" s="251" t="s">
        <v>294</v>
      </c>
      <c r="AA26" s="19">
        <f>+AA24/Y24-1</f>
        <v>3.1254121306376392E-2</v>
      </c>
      <c r="AB26" s="19">
        <f>+AB24/AA24-1</f>
        <v>6.8811653931464711E-2</v>
      </c>
      <c r="AC26" s="19">
        <f t="shared" ref="AC26" si="509">+AC24/AB24-1</f>
        <v>0.10352495458182931</v>
      </c>
      <c r="AD26" s="19">
        <f t="shared" ref="AD26" si="510">+AD24/AC24-1</f>
        <v>7.9371084799191527E-2</v>
      </c>
      <c r="AE26" s="251" t="s">
        <v>294</v>
      </c>
      <c r="AF26" s="19">
        <f>+AF24/AD24-1</f>
        <v>8.4573493757253537E-2</v>
      </c>
      <c r="AG26" s="19">
        <f>+AG24/AF24-1</f>
        <v>9.5674026865887551E-2</v>
      </c>
      <c r="AH26" s="19">
        <f t="shared" ref="AH26" si="511">+AH24/AG24-1</f>
        <v>3.1871656721980113E-2</v>
      </c>
      <c r="AI26" s="19">
        <f t="shared" ref="AI26" si="512">+AI24/AH24-1</f>
        <v>5.3735813680655387E-2</v>
      </c>
      <c r="AJ26" s="251" t="s">
        <v>294</v>
      </c>
      <c r="AK26" s="19">
        <f>+AK24/AI24-1</f>
        <v>0.15284924690930657</v>
      </c>
      <c r="AL26" s="19">
        <f>+AL24/AK24-1</f>
        <v>3.5952858097146656E-2</v>
      </c>
      <c r="AM26" s="19">
        <f t="shared" ref="AM26" si="513">+AM24/AL24-1</f>
        <v>8.3887954924041663E-2</v>
      </c>
      <c r="AN26" s="19">
        <f t="shared" ref="AN26" si="514">+AN24/AM24-1</f>
        <v>3.1275452028017625E-2</v>
      </c>
      <c r="AO26" s="251" t="s">
        <v>294</v>
      </c>
      <c r="AP26" s="19">
        <f>+AP24/AN24-1</f>
        <v>3.3966747474470038E-2</v>
      </c>
      <c r="AQ26" s="19">
        <f>+AQ24/AP24-1</f>
        <v>5.3972196946047823E-2</v>
      </c>
      <c r="AR26" s="19">
        <f t="shared" ref="AR26" si="515">+AR24/AQ24-1</f>
        <v>0.16206320698238641</v>
      </c>
      <c r="AS26" s="19">
        <f t="shared" ref="AS26" si="516">+AS24/AR24-1</f>
        <v>3.0081018644049662E-2</v>
      </c>
      <c r="AT26" s="251" t="s">
        <v>294</v>
      </c>
      <c r="AU26" s="379">
        <f>+AU24/AS24-1</f>
        <v>3.2693456192156134E-2</v>
      </c>
      <c r="AV26" s="19">
        <f>+AV24/AU24-1</f>
        <v>7.1732389447237921E-2</v>
      </c>
      <c r="AW26" s="19">
        <f t="shared" ref="AW26" si="517">+AW24/AV24-1</f>
        <v>6.6588452713400637E-2</v>
      </c>
      <c r="AX26" s="19">
        <f t="shared" ref="AX26" si="518">+AX24/AW24-1</f>
        <v>2.5786582078185516E-2</v>
      </c>
      <c r="AY26" s="251" t="s">
        <v>294</v>
      </c>
      <c r="AZ26" s="19">
        <f>+AZ24/AX24-1</f>
        <v>0.15149659354574285</v>
      </c>
      <c r="BA26" s="19">
        <f>+BA24/AZ24-1</f>
        <v>1.4181857931163222E-2</v>
      </c>
      <c r="BB26" s="19">
        <f t="shared" ref="BB26" si="519">+BB24/BA24-1</f>
        <v>3.5113054472837302E-2</v>
      </c>
      <c r="BC26" s="19">
        <f t="shared" ref="BC26" si="520">+BC24/BB24-1</f>
        <v>2.3039261878690098E-2</v>
      </c>
      <c r="BD26" s="251" t="s">
        <v>294</v>
      </c>
      <c r="BE26" s="19">
        <f>+BE24/BC24-1</f>
        <v>0.14174304781778835</v>
      </c>
      <c r="BF26" s="19">
        <f>+BF24/BE24-1</f>
        <v>2.8727626632104597E-2</v>
      </c>
      <c r="BG26" s="19">
        <f t="shared" ref="BG26" si="521">+BG24/BF24-1</f>
        <v>4.0792937112011707E-2</v>
      </c>
      <c r="BH26" s="19">
        <f t="shared" ref="BH26" si="522">+BH24/BG24-1</f>
        <v>2.3294762877787978E-2</v>
      </c>
      <c r="BI26" s="251" t="s">
        <v>294</v>
      </c>
      <c r="BJ26" s="19">
        <f>+BJ24/BH24-1</f>
        <v>8.6448008966953926E-2</v>
      </c>
      <c r="BK26" s="19">
        <f>+BK24/BJ24-1</f>
        <v>6.0910933512072774E-3</v>
      </c>
      <c r="BL26" s="19">
        <f t="shared" ref="BL26" si="523">+BL24/BK24-1</f>
        <v>2.1794816951851148E-2</v>
      </c>
      <c r="BM26" s="19">
        <f t="shared" ref="BM26" si="524">+BM24/BL24-1</f>
        <v>-3.425908536180966E-5</v>
      </c>
      <c r="BN26" s="251" t="s">
        <v>294</v>
      </c>
      <c r="BO26" s="19">
        <f>+BO24/BM24-1</f>
        <v>8.553888892487671E-2</v>
      </c>
      <c r="BP26" s="19">
        <f>+BP24/BO24-1</f>
        <v>1.11704398995085E-2</v>
      </c>
      <c r="BQ26" s="19">
        <f t="shared" ref="BQ26" si="525">+BQ24/BP24-1</f>
        <v>2.6246561935000745E-2</v>
      </c>
      <c r="BR26" s="19">
        <f t="shared" ref="BR26" si="526">+BR24/BQ24-1</f>
        <v>5.6738376236784571E-3</v>
      </c>
      <c r="BS26" s="251" t="s">
        <v>294</v>
      </c>
      <c r="BT26" s="19">
        <f>+BT24/BR24-1</f>
        <v>6.6871780041001916E-2</v>
      </c>
      <c r="BU26" s="19">
        <f>+BU24/BT24-1</f>
        <v>1.0132731470027245E-2</v>
      </c>
      <c r="BV26" s="19">
        <f t="shared" ref="BV26" si="527">+BV24/BU24-1</f>
        <v>2.4523071887736059E-2</v>
      </c>
      <c r="BW26" s="19">
        <f t="shared" ref="BW26" si="528">+BW24/BV24-1</f>
        <v>5.1749315284830288E-3</v>
      </c>
      <c r="BX26" s="251" t="s">
        <v>294</v>
      </c>
      <c r="BY26" s="19">
        <f>+BY24/BW24-1</f>
        <v>5.5617849329751001E-2</v>
      </c>
      <c r="BZ26" s="19">
        <f>+BZ24/BY24-1</f>
        <v>7.1117685164114874E-3</v>
      </c>
      <c r="CA26" s="19">
        <f t="shared" ref="CA26" si="529">+CA24/BZ24-1</f>
        <v>2.0948975758885213E-2</v>
      </c>
      <c r="CB26" s="19">
        <f t="shared" ref="CB26" si="530">+CB24/CA24-1</f>
        <v>2.9778504712156817E-3</v>
      </c>
      <c r="CC26" s="251" t="s">
        <v>294</v>
      </c>
      <c r="CD26" s="19">
        <f>+CD24/CB24-1</f>
        <v>4.7657341614658844E-2</v>
      </c>
      <c r="CE26" s="19">
        <f>+CE24/CD24-1</f>
        <v>6.7579348454291921E-3</v>
      </c>
      <c r="CF26" s="19">
        <f t="shared" ref="CF26" si="531">+CF24/CE24-1</f>
        <v>1.9973795444549136E-2</v>
      </c>
      <c r="CG26" s="19">
        <f t="shared" ref="CG26" si="532">+CG24/CF24-1</f>
        <v>3.0711874948750051E-3</v>
      </c>
      <c r="CH26" s="251" t="s">
        <v>294</v>
      </c>
      <c r="CI26" s="19">
        <f>+CI24/CG24-1</f>
        <v>4.5923142827972274E-2</v>
      </c>
      <c r="CJ26" s="19">
        <f>+CJ24/CI24-1</f>
        <v>6.4805248857173758E-3</v>
      </c>
      <c r="CK26" s="19">
        <f t="shared" ref="CK26" si="533">+CK24/CJ24-1</f>
        <v>1.9105196671211466E-2</v>
      </c>
      <c r="CL26" s="19">
        <f t="shared" ref="CL26" si="534">+CL24/CK24-1</f>
        <v>3.2076321212406445E-3</v>
      </c>
      <c r="CM26" s="251" t="s">
        <v>294</v>
      </c>
    </row>
    <row r="27" spans="1:93" s="42" customFormat="1">
      <c r="A27" s="162" t="s">
        <v>330</v>
      </c>
      <c r="B27" s="232" t="s">
        <v>294</v>
      </c>
      <c r="C27" s="232" t="s">
        <v>294</v>
      </c>
      <c r="D27" s="232" t="s">
        <v>294</v>
      </c>
      <c r="E27" s="232" t="s">
        <v>294</v>
      </c>
      <c r="F27" s="239" t="s">
        <v>294</v>
      </c>
      <c r="G27" s="170">
        <f>+G173</f>
        <v>0</v>
      </c>
      <c r="H27" s="170">
        <f t="shared" ref="H27:BS27" si="535">+H173</f>
        <v>0</v>
      </c>
      <c r="I27" s="170">
        <f t="shared" si="535"/>
        <v>0</v>
      </c>
      <c r="J27" s="170">
        <f t="shared" si="535"/>
        <v>0</v>
      </c>
      <c r="K27" s="253">
        <f t="shared" si="535"/>
        <v>0</v>
      </c>
      <c r="L27" s="170">
        <f t="shared" si="535"/>
        <v>0</v>
      </c>
      <c r="M27" s="170">
        <f t="shared" si="535"/>
        <v>0</v>
      </c>
      <c r="N27" s="170">
        <f t="shared" si="535"/>
        <v>0</v>
      </c>
      <c r="O27" s="170">
        <f t="shared" si="535"/>
        <v>0</v>
      </c>
      <c r="P27" s="253">
        <f t="shared" si="535"/>
        <v>0</v>
      </c>
      <c r="Q27" s="170">
        <f t="shared" si="535"/>
        <v>0</v>
      </c>
      <c r="R27" s="170">
        <f t="shared" si="535"/>
        <v>0</v>
      </c>
      <c r="S27" s="170">
        <f t="shared" si="535"/>
        <v>0</v>
      </c>
      <c r="T27" s="170">
        <f t="shared" si="535"/>
        <v>0</v>
      </c>
      <c r="U27" s="253">
        <f t="shared" si="535"/>
        <v>0</v>
      </c>
      <c r="V27" s="170">
        <f t="shared" si="535"/>
        <v>0</v>
      </c>
      <c r="W27" s="170">
        <f t="shared" si="535"/>
        <v>0</v>
      </c>
      <c r="X27" s="170">
        <f t="shared" si="535"/>
        <v>0</v>
      </c>
      <c r="Y27" s="170">
        <f t="shared" si="535"/>
        <v>0</v>
      </c>
      <c r="Z27" s="253">
        <f t="shared" si="535"/>
        <v>0</v>
      </c>
      <c r="AA27" s="170">
        <f t="shared" si="535"/>
        <v>0</v>
      </c>
      <c r="AB27" s="170">
        <f t="shared" si="535"/>
        <v>0</v>
      </c>
      <c r="AC27" s="170">
        <f t="shared" si="535"/>
        <v>0</v>
      </c>
      <c r="AD27" s="170">
        <f t="shared" si="535"/>
        <v>0</v>
      </c>
      <c r="AE27" s="253">
        <f t="shared" si="535"/>
        <v>0</v>
      </c>
      <c r="AF27" s="170">
        <f>+AF173</f>
        <v>28.389660249999977</v>
      </c>
      <c r="AG27" s="170">
        <f t="shared" si="535"/>
        <v>31.48106924999999</v>
      </c>
      <c r="AH27" s="170">
        <f t="shared" si="535"/>
        <v>36.46282524999998</v>
      </c>
      <c r="AI27" s="170">
        <f t="shared" si="535"/>
        <v>39.666445249999995</v>
      </c>
      <c r="AJ27" s="253">
        <f t="shared" si="535"/>
        <v>136</v>
      </c>
      <c r="AK27" s="170">
        <f t="shared" si="535"/>
        <v>37.587000000000003</v>
      </c>
      <c r="AL27" s="170">
        <f t="shared" si="535"/>
        <v>43.933</v>
      </c>
      <c r="AM27" s="170">
        <f t="shared" si="535"/>
        <v>46.546999999999997</v>
      </c>
      <c r="AN27" s="170">
        <f t="shared" si="535"/>
        <v>49.512</v>
      </c>
      <c r="AO27" s="253">
        <f t="shared" si="535"/>
        <v>177.57900000000001</v>
      </c>
      <c r="AP27" s="170">
        <f t="shared" si="535"/>
        <v>45.375999999999998</v>
      </c>
      <c r="AQ27" s="170">
        <f t="shared" si="535"/>
        <v>56.02</v>
      </c>
      <c r="AR27" s="170">
        <f t="shared" si="535"/>
        <v>54.731000000000002</v>
      </c>
      <c r="AS27" s="170">
        <f t="shared" si="535"/>
        <v>54.005000000000003</v>
      </c>
      <c r="AT27" s="253">
        <f t="shared" si="535"/>
        <v>210.13200000000001</v>
      </c>
      <c r="AU27" s="356">
        <f t="shared" si="535"/>
        <v>49.616436249999992</v>
      </c>
      <c r="AV27" s="170">
        <f t="shared" si="535"/>
        <v>60.688311249999998</v>
      </c>
      <c r="AW27" s="170">
        <f t="shared" si="535"/>
        <v>60.273188000000005</v>
      </c>
      <c r="AX27" s="170">
        <f t="shared" si="535"/>
        <v>61.654111399999998</v>
      </c>
      <c r="AY27" s="253">
        <f t="shared" si="535"/>
        <v>232.2320469</v>
      </c>
      <c r="AZ27" s="170">
        <f t="shared" si="535"/>
        <v>55.580808000000005</v>
      </c>
      <c r="BA27" s="170">
        <f t="shared" si="535"/>
        <v>67.918467000000007</v>
      </c>
      <c r="BB27" s="170">
        <f t="shared" si="535"/>
        <v>67.426126800000006</v>
      </c>
      <c r="BC27" s="170">
        <f t="shared" si="535"/>
        <v>69.407304540000013</v>
      </c>
      <c r="BD27" s="253">
        <f t="shared" si="535"/>
        <v>260.33270634000007</v>
      </c>
      <c r="BE27" s="170">
        <f t="shared" si="535"/>
        <v>61.471201140000005</v>
      </c>
      <c r="BF27" s="170">
        <f t="shared" si="535"/>
        <v>75.024251820000018</v>
      </c>
      <c r="BG27" s="170">
        <f t="shared" si="535"/>
        <v>74.441109744000016</v>
      </c>
      <c r="BH27" s="170">
        <f t="shared" si="535"/>
        <v>77.246294983200016</v>
      </c>
      <c r="BI27" s="253">
        <f t="shared" si="535"/>
        <v>288.18285768720006</v>
      </c>
      <c r="BJ27" s="170">
        <f t="shared" si="535"/>
        <v>66.67768293120001</v>
      </c>
      <c r="BK27" s="170">
        <f t="shared" si="535"/>
        <v>81.360653457600009</v>
      </c>
      <c r="BL27" s="170">
        <f t="shared" si="535"/>
        <v>80.720577083520027</v>
      </c>
      <c r="BM27" s="170">
        <f t="shared" si="535"/>
        <v>83.883279797856034</v>
      </c>
      <c r="BN27" s="253">
        <f t="shared" si="535"/>
        <v>312.64219327017611</v>
      </c>
      <c r="BO27" s="170">
        <f t="shared" si="535"/>
        <v>72.329561835696012</v>
      </c>
      <c r="BP27" s="170">
        <f t="shared" si="535"/>
        <v>88.237413375408025</v>
      </c>
      <c r="BQ27" s="170">
        <f t="shared" si="535"/>
        <v>87.534819666201628</v>
      </c>
      <c r="BR27" s="170">
        <f t="shared" si="535"/>
        <v>91.096951519284517</v>
      </c>
      <c r="BS27" s="253">
        <f t="shared" si="535"/>
        <v>339.1987463965902</v>
      </c>
      <c r="BT27" s="170">
        <f t="shared" ref="BT27:CM27" si="536">+BT173</f>
        <v>78.465357479551713</v>
      </c>
      <c r="BU27" s="170">
        <f t="shared" si="536"/>
        <v>95.701104850760657</v>
      </c>
      <c r="BV27" s="170">
        <f t="shared" si="536"/>
        <v>94.929861297097759</v>
      </c>
      <c r="BW27" s="170">
        <f t="shared" si="536"/>
        <v>98.938017912187291</v>
      </c>
      <c r="BX27" s="253">
        <f t="shared" si="536"/>
        <v>368.03434153959745</v>
      </c>
      <c r="BY27" s="170">
        <f t="shared" si="536"/>
        <v>85.126959844615868</v>
      </c>
      <c r="BZ27" s="170">
        <f t="shared" si="536"/>
        <v>103.80236148467353</v>
      </c>
      <c r="CA27" s="170">
        <f t="shared" si="536"/>
        <v>102.95573186422558</v>
      </c>
      <c r="CB27" s="170">
        <f t="shared" si="536"/>
        <v>107.46170064365828</v>
      </c>
      <c r="CC27" s="253">
        <f t="shared" si="536"/>
        <v>399.34675383717325</v>
      </c>
      <c r="CD27" s="170">
        <f t="shared" si="536"/>
        <v>92.359927775555121</v>
      </c>
      <c r="CE27" s="170">
        <f t="shared" si="536"/>
        <v>112.59623547388462</v>
      </c>
      <c r="CF27" s="170">
        <f t="shared" si="536"/>
        <v>111.66682024305963</v>
      </c>
      <c r="CG27" s="170">
        <f t="shared" si="536"/>
        <v>116.72814212349655</v>
      </c>
      <c r="CH27" s="253">
        <f t="shared" si="536"/>
        <v>433.3511256159959</v>
      </c>
      <c r="CI27" s="170">
        <f t="shared" si="536"/>
        <v>100.21381425530653</v>
      </c>
      <c r="CJ27" s="170">
        <f t="shared" si="536"/>
        <v>122.14258788927631</v>
      </c>
      <c r="CK27" s="170">
        <f t="shared" si="536"/>
        <v>121.12225867517002</v>
      </c>
      <c r="CL27" s="170">
        <f t="shared" si="536"/>
        <v>126.80284946455643</v>
      </c>
      <c r="CM27" s="253">
        <f t="shared" si="536"/>
        <v>470.28151028430932</v>
      </c>
    </row>
    <row r="28" spans="1:93">
      <c r="A28" s="161" t="s">
        <v>291</v>
      </c>
      <c r="B28" s="232" t="s">
        <v>294</v>
      </c>
      <c r="C28" s="232" t="s">
        <v>294</v>
      </c>
      <c r="D28" s="232" t="s">
        <v>294</v>
      </c>
      <c r="E28" s="232" t="s">
        <v>294</v>
      </c>
      <c r="F28" s="239" t="s">
        <v>294</v>
      </c>
      <c r="G28" s="158" t="s">
        <v>294</v>
      </c>
      <c r="H28" s="158" t="s">
        <v>294</v>
      </c>
      <c r="I28" s="158" t="s">
        <v>294</v>
      </c>
      <c r="J28" s="158" t="s">
        <v>294</v>
      </c>
      <c r="K28" s="250" t="s">
        <v>294</v>
      </c>
      <c r="L28" s="158" t="s">
        <v>294</v>
      </c>
      <c r="M28" s="158" t="s">
        <v>294</v>
      </c>
      <c r="N28" s="158" t="s">
        <v>294</v>
      </c>
      <c r="O28" s="158" t="s">
        <v>294</v>
      </c>
      <c r="P28" s="250" t="s">
        <v>294</v>
      </c>
      <c r="Q28" s="158" t="s">
        <v>294</v>
      </c>
      <c r="R28" s="158" t="s">
        <v>294</v>
      </c>
      <c r="S28" s="158" t="s">
        <v>294</v>
      </c>
      <c r="T28" s="158" t="s">
        <v>294</v>
      </c>
      <c r="U28" s="250" t="s">
        <v>294</v>
      </c>
      <c r="V28" s="158" t="s">
        <v>294</v>
      </c>
      <c r="W28" s="158" t="s">
        <v>294</v>
      </c>
      <c r="X28" s="158" t="s">
        <v>294</v>
      </c>
      <c r="Y28" s="158" t="s">
        <v>294</v>
      </c>
      <c r="Z28" s="250" t="s">
        <v>294</v>
      </c>
      <c r="AA28" s="158" t="s">
        <v>294</v>
      </c>
      <c r="AB28" s="158" t="s">
        <v>294</v>
      </c>
      <c r="AC28" s="158" t="s">
        <v>294</v>
      </c>
      <c r="AD28" s="158" t="s">
        <v>294</v>
      </c>
      <c r="AE28" s="250" t="s">
        <v>294</v>
      </c>
      <c r="AF28" s="158" t="s">
        <v>294</v>
      </c>
      <c r="AG28" s="158" t="s">
        <v>294</v>
      </c>
      <c r="AH28" s="158" t="s">
        <v>294</v>
      </c>
      <c r="AI28" s="158" t="s">
        <v>294</v>
      </c>
      <c r="AJ28" s="250" t="s">
        <v>294</v>
      </c>
      <c r="AK28" s="19">
        <f t="shared" ref="AK28" si="537">+AK27/AF27-1</f>
        <v>0.32396794005310547</v>
      </c>
      <c r="AL28" s="19">
        <f t="shared" ref="AL28" si="538">+AL27/AG27-1</f>
        <v>0.39553709726679664</v>
      </c>
      <c r="AM28" s="19">
        <f t="shared" ref="AM28" si="539">+AM27/AH27-1</f>
        <v>0.2765604332867766</v>
      </c>
      <c r="AN28" s="19">
        <f t="shared" ref="AN28" si="540">+AN27/AI27-1</f>
        <v>0.24820864808902954</v>
      </c>
      <c r="AO28" s="259">
        <f t="shared" ref="AO28" si="541">+AO27/AJ27-1</f>
        <v>0.30572794117647062</v>
      </c>
      <c r="AP28" s="19">
        <f t="shared" ref="AP28" si="542">+AP27/AK27-1</f>
        <v>0.20722590257269791</v>
      </c>
      <c r="AQ28" s="19">
        <f t="shared" ref="AQ28" si="543">+AQ27/AL27-1</f>
        <v>0.27512348348621773</v>
      </c>
      <c r="AR28" s="19">
        <f t="shared" ref="AR28" si="544">+AR27/AM27-1</f>
        <v>0.17582228715062209</v>
      </c>
      <c r="AS28" s="19">
        <f t="shared" ref="AS28" si="545">+AS27/AN27-1</f>
        <v>9.0745677815479153E-2</v>
      </c>
      <c r="AT28" s="259">
        <f t="shared" ref="AT28" si="546">+AT27/AO27-1</f>
        <v>0.1833155947493792</v>
      </c>
      <c r="AU28" s="379">
        <f t="shared" ref="AU28" si="547">+AU27/AP27-1</f>
        <v>9.3451080967912548E-2</v>
      </c>
      <c r="AV28" s="19">
        <f t="shared" ref="AV28" si="548">+AV27/AQ27-1</f>
        <v>8.33329391288824E-2</v>
      </c>
      <c r="AW28" s="19">
        <f t="shared" ref="AW28" si="549">+AW27/AR27-1</f>
        <v>0.10126231934369923</v>
      </c>
      <c r="AX28" s="19">
        <f t="shared" ref="AX28" si="550">+AX27/AS27-1</f>
        <v>0.14163709656513279</v>
      </c>
      <c r="AY28" s="259">
        <f t="shared" ref="AY28" si="551">+AY27/AT27-1</f>
        <v>0.10517221032493862</v>
      </c>
      <c r="AZ28" s="19">
        <f t="shared" ref="AZ28" si="552">+AZ27/AU27-1</f>
        <v>0.1202095958675391</v>
      </c>
      <c r="BA28" s="19">
        <f t="shared" ref="BA28" si="553">+BA27/AV27-1</f>
        <v>0.11913588631946004</v>
      </c>
      <c r="BB28" s="19">
        <f t="shared" ref="BB28" si="554">+BB27/AW27-1</f>
        <v>0.11867530219241096</v>
      </c>
      <c r="BC28" s="19">
        <f t="shared" ref="BC28" si="555">+BC27/AX27-1</f>
        <v>0.1257530595112919</v>
      </c>
      <c r="BD28" s="259">
        <f t="shared" ref="BD28" si="556">+BD27/AY27-1</f>
        <v>0.12100250510258093</v>
      </c>
      <c r="BE28" s="19">
        <f t="shared" ref="BE28" si="557">+BE27/AZ27-1</f>
        <v>0.10597890444485802</v>
      </c>
      <c r="BF28" s="19">
        <f t="shared" ref="BF28" si="558">+BF27/BA27-1</f>
        <v>0.10462227923960676</v>
      </c>
      <c r="BG28" s="19">
        <f t="shared" ref="BG28" si="559">+BG27/BB27-1</f>
        <v>0.10403953596219329</v>
      </c>
      <c r="BH28" s="19">
        <f t="shared" ref="BH28" si="560">+BH27/BC27-1</f>
        <v>0.1129418653433274</v>
      </c>
      <c r="BI28" s="259">
        <f t="shared" ref="BI28" si="561">+BI27/BD27-1</f>
        <v>0.10697907204493573</v>
      </c>
      <c r="BJ28" s="19">
        <f t="shared" ref="BJ28" si="562">+BJ27/BE27-1</f>
        <v>8.4697902345234777E-2</v>
      </c>
      <c r="BK28" s="19">
        <f t="shared" ref="BK28" si="563">+BK27/BF27-1</f>
        <v>8.4458045017262284E-2</v>
      </c>
      <c r="BL28" s="19">
        <f t="shared" ref="BL28" si="564">+BL27/BG27-1</f>
        <v>8.4354832445604933E-2</v>
      </c>
      <c r="BM28" s="19">
        <f t="shared" ref="BM28" si="565">+BM27/BH27-1</f>
        <v>8.5919781862670241E-2</v>
      </c>
      <c r="BN28" s="259">
        <f t="shared" ref="BN28" si="566">+BN27/BI27-1</f>
        <v>8.4874359909098862E-2</v>
      </c>
      <c r="BO28" s="19">
        <f t="shared" ref="BO28" si="567">+BO27/BJ27-1</f>
        <v>8.4764176798521662E-2</v>
      </c>
      <c r="BP28" s="19">
        <f t="shared" ref="BP28" si="568">+BP27/BK27-1</f>
        <v>8.4521935672403847E-2</v>
      </c>
      <c r="BQ28" s="19">
        <f t="shared" ref="BQ28" si="569">+BQ27/BL27-1</f>
        <v>8.4417664353799493E-2</v>
      </c>
      <c r="BR28" s="19">
        <f t="shared" ref="BR28" si="570">+BR27/BM27-1</f>
        <v>8.5996538747795226E-2</v>
      </c>
      <c r="BS28" s="259">
        <f t="shared" ref="BS28" si="571">+BS27/BN27-1</f>
        <v>8.4942319680647582E-2</v>
      </c>
      <c r="BT28" s="19">
        <f t="shared" ref="BT28" si="572">+BT27/BO27-1</f>
        <v>8.4831091024632377E-2</v>
      </c>
      <c r="BU28" s="19">
        <f t="shared" ref="BU28" si="573">+BU27/BP27-1</f>
        <v>8.4586471767913229E-2</v>
      </c>
      <c r="BV28" s="19">
        <f t="shared" ref="BV28" si="574">+BV27/BQ27-1</f>
        <v>8.4481143150757498E-2</v>
      </c>
      <c r="BW28" s="19">
        <f t="shared" ref="BW28" si="575">+BW27/BR27-1</f>
        <v>8.6073861552248276E-2</v>
      </c>
      <c r="BX28" s="259">
        <f t="shared" ref="BX28" si="576">+BX27/BS27-1</f>
        <v>8.501091306892028E-2</v>
      </c>
      <c r="BY28" s="19">
        <f t="shared" ref="BY28" si="577">+BY27/BT27-1</f>
        <v>8.4898642904930099E-2</v>
      </c>
      <c r="BZ28" s="19">
        <f t="shared" ref="BZ28" si="578">+BZ27/BU27-1</f>
        <v>8.4651652105231401E-2</v>
      </c>
      <c r="CA28" s="19">
        <f t="shared" ref="CA28" si="579">+CA27/BV27-1</f>
        <v>8.4545268026986919E-2</v>
      </c>
      <c r="CB28" s="19">
        <f t="shared" ref="CB28" si="580">+CB27/BW27-1</f>
        <v>8.6151743397934188E-2</v>
      </c>
      <c r="CC28" s="259">
        <f t="shared" ref="CC28" si="581">+CC27/BX27-1</f>
        <v>8.5080137268132683E-2</v>
      </c>
      <c r="CD28" s="19">
        <f t="shared" ref="CD28" si="582">+CD27/BY27-1</f>
        <v>8.4966830063492704E-2</v>
      </c>
      <c r="CE28" s="19">
        <f t="shared" ref="CE28" si="583">+CE27/BZ27-1</f>
        <v>8.4717475242694906E-2</v>
      </c>
      <c r="CF28" s="19">
        <f t="shared" ref="CF28" si="584">+CF27/CA27-1</f>
        <v>8.4610037936711846E-2</v>
      </c>
      <c r="CG28" s="19">
        <f t="shared" ref="CG28" si="585">+CG27/CB27-1</f>
        <v>8.6230177117387008E-2</v>
      </c>
      <c r="CH28" s="259">
        <f t="shared" ref="CH28" si="586">+CH27/CC27-1</f>
        <v>8.5149989206340981E-2</v>
      </c>
      <c r="CI28" s="19">
        <f t="shared" ref="CI28" si="587">+CI27/CD27-1</f>
        <v>8.5035649863620888E-2</v>
      </c>
      <c r="CJ28" s="19">
        <f t="shared" ref="CJ28" si="588">+CJ27/CE27-1</f>
        <v>8.4783939491528182E-2</v>
      </c>
      <c r="CK28" s="19">
        <f t="shared" ref="CK28" si="589">+CK27/CF27-1</f>
        <v>8.467545159367118E-2</v>
      </c>
      <c r="CL28" s="19">
        <f t="shared" ref="CL28" si="590">+CL27/CG27-1</f>
        <v>8.6309155254103098E-2</v>
      </c>
      <c r="CM28" s="259">
        <f t="shared" ref="CM28" si="591">+CM27/CH27-1</f>
        <v>8.5220465542388935E-2</v>
      </c>
    </row>
    <row r="29" spans="1:93">
      <c r="A29" s="161" t="s">
        <v>292</v>
      </c>
      <c r="B29" s="232" t="s">
        <v>294</v>
      </c>
      <c r="C29" s="232" t="s">
        <v>294</v>
      </c>
      <c r="D29" s="232" t="s">
        <v>294</v>
      </c>
      <c r="E29" s="232" t="s">
        <v>294</v>
      </c>
      <c r="F29" s="239" t="s">
        <v>294</v>
      </c>
      <c r="G29" s="147" t="s">
        <v>294</v>
      </c>
      <c r="H29" s="158" t="s">
        <v>294</v>
      </c>
      <c r="I29" s="158" t="s">
        <v>294</v>
      </c>
      <c r="J29" s="158" t="s">
        <v>294</v>
      </c>
      <c r="K29" s="250" t="s">
        <v>294</v>
      </c>
      <c r="L29" s="158" t="s">
        <v>294</v>
      </c>
      <c r="M29" s="158" t="s">
        <v>294</v>
      </c>
      <c r="N29" s="158" t="s">
        <v>294</v>
      </c>
      <c r="O29" s="158" t="s">
        <v>294</v>
      </c>
      <c r="P29" s="250" t="s">
        <v>294</v>
      </c>
      <c r="Q29" s="158" t="s">
        <v>294</v>
      </c>
      <c r="R29" s="158" t="s">
        <v>294</v>
      </c>
      <c r="S29" s="158" t="s">
        <v>294</v>
      </c>
      <c r="T29" s="158" t="s">
        <v>294</v>
      </c>
      <c r="U29" s="250" t="s">
        <v>294</v>
      </c>
      <c r="V29" s="158" t="s">
        <v>294</v>
      </c>
      <c r="W29" s="158" t="s">
        <v>294</v>
      </c>
      <c r="X29" s="158" t="s">
        <v>294</v>
      </c>
      <c r="Y29" s="158" t="s">
        <v>294</v>
      </c>
      <c r="Z29" s="250" t="s">
        <v>294</v>
      </c>
      <c r="AA29" s="158" t="s">
        <v>294</v>
      </c>
      <c r="AB29" s="158" t="s">
        <v>294</v>
      </c>
      <c r="AC29" s="158" t="s">
        <v>294</v>
      </c>
      <c r="AD29" s="158" t="s">
        <v>294</v>
      </c>
      <c r="AE29" s="250" t="s">
        <v>294</v>
      </c>
      <c r="AF29" s="158" t="s">
        <v>294</v>
      </c>
      <c r="AG29" s="19">
        <f>+AG27/AF27-1</f>
        <v>0.10889207453618654</v>
      </c>
      <c r="AH29" s="19">
        <f t="shared" ref="AH29" si="592">+AH27/AG27-1</f>
        <v>0.15824608625706049</v>
      </c>
      <c r="AI29" s="19">
        <f t="shared" ref="AI29" si="593">+AI27/AH27-1</f>
        <v>8.7859895058461479E-2</v>
      </c>
      <c r="AJ29" s="251" t="s">
        <v>294</v>
      </c>
      <c r="AK29" s="19">
        <f>+AK27/AI27-1</f>
        <v>-5.2423282119034686E-2</v>
      </c>
      <c r="AL29" s="19">
        <f>+AL27/AK27-1</f>
        <v>0.1688349695373399</v>
      </c>
      <c r="AM29" s="19">
        <f t="shared" ref="AM29" si="594">+AM27/AL27-1</f>
        <v>5.9499692713905095E-2</v>
      </c>
      <c r="AN29" s="19">
        <f t="shared" ref="AN29" si="595">+AN27/AM27-1</f>
        <v>6.3699056867252635E-2</v>
      </c>
      <c r="AO29" s="251" t="s">
        <v>294</v>
      </c>
      <c r="AP29" s="19">
        <f>+AP27/AN27-1</f>
        <v>-8.3535304572628921E-2</v>
      </c>
      <c r="AQ29" s="19">
        <f>+AQ27/AP27-1</f>
        <v>0.23457334273624841</v>
      </c>
      <c r="AR29" s="19">
        <f t="shared" ref="AR29" si="596">+AR27/AQ27-1</f>
        <v>-2.3009639414494854E-2</v>
      </c>
      <c r="AS29" s="19">
        <f t="shared" ref="AS29" si="597">+AS27/AR27-1</f>
        <v>-1.3264877309020484E-2</v>
      </c>
      <c r="AT29" s="251" t="s">
        <v>294</v>
      </c>
      <c r="AU29" s="379">
        <f>+AU27/AS27-1</f>
        <v>-8.126217479862996E-2</v>
      </c>
      <c r="AV29" s="19">
        <f>+AV27/AU27-1</f>
        <v>0.22314933995284703</v>
      </c>
      <c r="AW29" s="19">
        <f t="shared" ref="AW29" si="598">+AW27/AV27-1</f>
        <v>-6.8402504773931172E-3</v>
      </c>
      <c r="AX29" s="19">
        <f t="shared" ref="AX29" si="599">+AX27/AW27-1</f>
        <v>2.2911072830592571E-2</v>
      </c>
      <c r="AY29" s="251" t="s">
        <v>294</v>
      </c>
      <c r="AZ29" s="19">
        <f>+AZ27/AX27-1</f>
        <v>-9.8506056807754039E-2</v>
      </c>
      <c r="BA29" s="19">
        <f>+BA27/AZ27-1</f>
        <v>0.22197696370301068</v>
      </c>
      <c r="BB29" s="19">
        <f t="shared" ref="BB29" si="600">+BB27/BA27-1</f>
        <v>-7.2489887028810429E-3</v>
      </c>
      <c r="BC29" s="19">
        <f t="shared" ref="BC29" si="601">+BC27/BB27-1</f>
        <v>2.9382938543639048E-2</v>
      </c>
      <c r="BD29" s="251" t="s">
        <v>294</v>
      </c>
      <c r="BE29" s="19">
        <f>+BE27/BC27-1</f>
        <v>-0.11434104022043334</v>
      </c>
      <c r="BF29" s="19">
        <f>+BF27/BE27-1</f>
        <v>0.22047805197645465</v>
      </c>
      <c r="BG29" s="19">
        <f t="shared" ref="BG29" si="602">+BG27/BF27-1</f>
        <v>-7.7727143137540367E-3</v>
      </c>
      <c r="BH29" s="19">
        <f t="shared" ref="BH29" si="603">+BH27/BG27-1</f>
        <v>3.7683280768474825E-2</v>
      </c>
      <c r="BI29" s="251" t="s">
        <v>294</v>
      </c>
      <c r="BJ29" s="19">
        <f>+BJ27/BH27-1</f>
        <v>-0.13681707393601894</v>
      </c>
      <c r="BK29" s="19">
        <f>+BK27/BJ27-1</f>
        <v>0.22020816982423219</v>
      </c>
      <c r="BL29" s="19">
        <f t="shared" ref="BL29" si="604">+BL27/BK27-1</f>
        <v>-7.8671488843627957E-3</v>
      </c>
      <c r="BM29" s="19">
        <f t="shared" ref="BM29" si="605">+BM27/BL27-1</f>
        <v>3.9180873435327612E-2</v>
      </c>
      <c r="BN29" s="251" t="s">
        <v>294</v>
      </c>
      <c r="BO29" s="19">
        <f>+BO27/BM27-1</f>
        <v>-0.1377356487491006</v>
      </c>
      <c r="BP29" s="19">
        <f>+BP27/BO27-1</f>
        <v>0.21993568239564798</v>
      </c>
      <c r="BQ29" s="19">
        <f t="shared" ref="BQ29" si="606">+BQ27/BP27-1</f>
        <v>-7.96253745808706E-3</v>
      </c>
      <c r="BR29" s="19">
        <f t="shared" ref="BR29" si="607">+BR27/BQ27-1</f>
        <v>4.0693884635467859E-2</v>
      </c>
      <c r="BS29" s="251" t="s">
        <v>294</v>
      </c>
      <c r="BT29" s="19">
        <f>+BT27/BR27-1</f>
        <v>-0.13866099610434046</v>
      </c>
      <c r="BU29" s="19">
        <f>+BU27/BT27-1</f>
        <v>0.2196605983181894</v>
      </c>
      <c r="BV29" s="19">
        <f t="shared" ref="BV29" si="608">+BV27/BU27-1</f>
        <v>-8.0588782633763678E-3</v>
      </c>
      <c r="BW29" s="19">
        <f t="shared" ref="BW29" si="609">+BW27/BV27-1</f>
        <v>4.2222295074732852E-2</v>
      </c>
      <c r="BX29" s="251" t="s">
        <v>294</v>
      </c>
      <c r="BY29" s="19">
        <f>+BY27/BW27-1</f>
        <v>-0.13959303368932929</v>
      </c>
      <c r="BZ29" s="19">
        <f>+BZ27/BY27-1</f>
        <v>0.21938292726706421</v>
      </c>
      <c r="CA29" s="19">
        <f t="shared" ref="CA29" si="610">+CA27/BZ27-1</f>
        <v>-8.1561691693589067E-3</v>
      </c>
      <c r="CB29" s="19">
        <f t="shared" ref="CB29" si="611">+CB27/CA27-1</f>
        <v>4.3766079827153304E-2</v>
      </c>
      <c r="CC29" s="251" t="s">
        <v>294</v>
      </c>
      <c r="CD29" s="19">
        <f>+CD27/CB27-1</f>
        <v>-0.14053167572864356</v>
      </c>
      <c r="CE29" s="19">
        <f>+CE27/CD27-1</f>
        <v>0.21910267997941668</v>
      </c>
      <c r="CF29" s="19">
        <f t="shared" ref="CF29" si="612">+CF27/CE27-1</f>
        <v>-8.254407679913589E-3</v>
      </c>
      <c r="CG29" s="19">
        <f t="shared" ref="CG29" si="613">+CG27/CF27-1</f>
        <v>4.5325208234820336E-2</v>
      </c>
      <c r="CH29" s="251" t="s">
        <v>294</v>
      </c>
      <c r="CI29" s="19">
        <f>+CI27/CG27-1</f>
        <v>-0.14147683298786784</v>
      </c>
      <c r="CJ29" s="19">
        <f>+CJ27/CI27-1</f>
        <v>0.21881986826789812</v>
      </c>
      <c r="CK29" s="19">
        <f t="shared" ref="CK29" si="614">+CK27/CJ27-1</f>
        <v>-8.3535909279344178E-3</v>
      </c>
      <c r="CL29" s="19">
        <f t="shared" ref="CL29" si="615">+CL27/CK27-1</f>
        <v>4.6899643810480951E-2</v>
      </c>
      <c r="CM29" s="251" t="s">
        <v>294</v>
      </c>
    </row>
    <row r="30" spans="1:93" s="42" customFormat="1">
      <c r="A30" s="162" t="s">
        <v>324</v>
      </c>
      <c r="B30" s="232" t="s">
        <v>294</v>
      </c>
      <c r="C30" s="232" t="s">
        <v>294</v>
      </c>
      <c r="D30" s="232" t="s">
        <v>294</v>
      </c>
      <c r="E30" s="232" t="s">
        <v>294</v>
      </c>
      <c r="F30" s="239" t="s">
        <v>294</v>
      </c>
      <c r="G30" s="234" t="str">
        <f>+G204</f>
        <v xml:space="preserve">-- </v>
      </c>
      <c r="H30" s="234" t="str">
        <f t="shared" ref="H30:BS30" si="616">+H204</f>
        <v xml:space="preserve">-- </v>
      </c>
      <c r="I30" s="234" t="str">
        <f t="shared" si="616"/>
        <v xml:space="preserve">-- </v>
      </c>
      <c r="J30" s="234" t="str">
        <f t="shared" si="616"/>
        <v xml:space="preserve">-- </v>
      </c>
      <c r="K30" s="254" t="str">
        <f t="shared" si="616"/>
        <v xml:space="preserve">-- </v>
      </c>
      <c r="L30" s="234" t="str">
        <f t="shared" si="616"/>
        <v xml:space="preserve">-- </v>
      </c>
      <c r="M30" s="234" t="str">
        <f t="shared" si="616"/>
        <v xml:space="preserve">-- </v>
      </c>
      <c r="N30" s="234" t="str">
        <f t="shared" si="616"/>
        <v xml:space="preserve">-- </v>
      </c>
      <c r="O30" s="234" t="str">
        <f t="shared" si="616"/>
        <v xml:space="preserve">-- </v>
      </c>
      <c r="P30" s="254" t="str">
        <f t="shared" si="616"/>
        <v xml:space="preserve">-- </v>
      </c>
      <c r="Q30" s="234" t="str">
        <f t="shared" si="616"/>
        <v xml:space="preserve">-- </v>
      </c>
      <c r="R30" s="234" t="str">
        <f t="shared" si="616"/>
        <v xml:space="preserve">-- </v>
      </c>
      <c r="S30" s="234" t="str">
        <f t="shared" si="616"/>
        <v xml:space="preserve">-- </v>
      </c>
      <c r="T30" s="234" t="str">
        <f t="shared" si="616"/>
        <v xml:space="preserve">-- </v>
      </c>
      <c r="U30" s="254" t="str">
        <f t="shared" si="616"/>
        <v xml:space="preserve">-- </v>
      </c>
      <c r="V30" s="234" t="str">
        <f t="shared" si="616"/>
        <v xml:space="preserve">-- </v>
      </c>
      <c r="W30" s="234" t="str">
        <f t="shared" si="616"/>
        <v xml:space="preserve">-- </v>
      </c>
      <c r="X30" s="234" t="str">
        <f t="shared" si="616"/>
        <v xml:space="preserve">-- </v>
      </c>
      <c r="Y30" s="234" t="str">
        <f t="shared" si="616"/>
        <v xml:space="preserve">-- </v>
      </c>
      <c r="Z30" s="254" t="str">
        <f t="shared" si="616"/>
        <v xml:space="preserve">-- </v>
      </c>
      <c r="AA30" s="234" t="str">
        <f t="shared" si="616"/>
        <v xml:space="preserve">-- </v>
      </c>
      <c r="AB30" s="234" t="str">
        <f t="shared" si="616"/>
        <v xml:space="preserve">-- </v>
      </c>
      <c r="AC30" s="234" t="str">
        <f t="shared" si="616"/>
        <v xml:space="preserve">-- </v>
      </c>
      <c r="AD30" s="234" t="str">
        <f t="shared" si="616"/>
        <v xml:space="preserve">-- </v>
      </c>
      <c r="AE30" s="254" t="str">
        <f t="shared" si="616"/>
        <v xml:space="preserve">-- </v>
      </c>
      <c r="AF30" s="234" t="str">
        <f t="shared" si="616"/>
        <v xml:space="preserve">-- </v>
      </c>
      <c r="AG30" s="234" t="str">
        <f t="shared" si="616"/>
        <v xml:space="preserve">-- </v>
      </c>
      <c r="AH30" s="234" t="str">
        <f t="shared" si="616"/>
        <v xml:space="preserve">-- </v>
      </c>
      <c r="AI30" s="234" t="str">
        <f t="shared" si="616"/>
        <v xml:space="preserve">-- </v>
      </c>
      <c r="AJ30" s="254" t="str">
        <f t="shared" si="616"/>
        <v xml:space="preserve">-- </v>
      </c>
      <c r="AK30" s="234">
        <f t="shared" si="616"/>
        <v>0</v>
      </c>
      <c r="AL30" s="234">
        <f t="shared" si="616"/>
        <v>0</v>
      </c>
      <c r="AM30" s="234">
        <f t="shared" si="616"/>
        <v>1.0029999999999999</v>
      </c>
      <c r="AN30" s="234">
        <f t="shared" si="616"/>
        <v>4.1210000000000004</v>
      </c>
      <c r="AO30" s="254">
        <f t="shared" si="616"/>
        <v>5.1240000000000006</v>
      </c>
      <c r="AP30" s="234">
        <f t="shared" si="616"/>
        <v>5.6769999999999996</v>
      </c>
      <c r="AQ30" s="234">
        <f t="shared" si="616"/>
        <v>14.814</v>
      </c>
      <c r="AR30" s="234">
        <f t="shared" si="616"/>
        <v>24.111999999999998</v>
      </c>
      <c r="AS30" s="234">
        <f t="shared" si="616"/>
        <v>35.128999999999998</v>
      </c>
      <c r="AT30" s="254">
        <f t="shared" si="616"/>
        <v>79.731999999999999</v>
      </c>
      <c r="AU30" s="387">
        <f t="shared" si="616"/>
        <v>33.877840477136949</v>
      </c>
      <c r="AV30" s="234">
        <f t="shared" si="616"/>
        <v>37.890644656578488</v>
      </c>
      <c r="AW30" s="234">
        <f t="shared" si="616"/>
        <v>56.046176929528492</v>
      </c>
      <c r="AX30" s="234">
        <f t="shared" si="616"/>
        <v>70.262778985532776</v>
      </c>
      <c r="AY30" s="254">
        <f t="shared" si="616"/>
        <v>198.07744104877671</v>
      </c>
      <c r="AZ30" s="234">
        <f t="shared" si="616"/>
        <v>91.107728146005343</v>
      </c>
      <c r="BA30" s="234">
        <f t="shared" si="616"/>
        <v>109.40784143871636</v>
      </c>
      <c r="BB30" s="234">
        <f t="shared" si="616"/>
        <v>123.00961479322795</v>
      </c>
      <c r="BC30" s="234">
        <f t="shared" si="616"/>
        <v>142.80572082804915</v>
      </c>
      <c r="BD30" s="254">
        <f t="shared" si="616"/>
        <v>466.33090520599876</v>
      </c>
      <c r="BE30" s="234">
        <f t="shared" si="616"/>
        <v>164.77530911062709</v>
      </c>
      <c r="BF30" s="234">
        <f t="shared" si="616"/>
        <v>180.77619901132869</v>
      </c>
      <c r="BG30" s="234">
        <f t="shared" si="616"/>
        <v>196.75831332763175</v>
      </c>
      <c r="BH30" s="234">
        <f t="shared" si="616"/>
        <v>216.08596689652677</v>
      </c>
      <c r="BI30" s="254">
        <f t="shared" si="616"/>
        <v>758.39578834611427</v>
      </c>
      <c r="BJ30" s="234">
        <f t="shared" si="616"/>
        <v>232.51237018026305</v>
      </c>
      <c r="BK30" s="234">
        <f t="shared" si="616"/>
        <v>246.42872946918465</v>
      </c>
      <c r="BL30" s="234">
        <f t="shared" si="616"/>
        <v>272.06484362290621</v>
      </c>
      <c r="BM30" s="234">
        <f t="shared" si="616"/>
        <v>293.15586827877803</v>
      </c>
      <c r="BN30" s="254">
        <f t="shared" si="616"/>
        <v>1044.1618115511319</v>
      </c>
      <c r="BO30" s="234">
        <f t="shared" si="616"/>
        <v>312.54038242434831</v>
      </c>
      <c r="BP30" s="234">
        <f t="shared" si="616"/>
        <v>334.11391574630693</v>
      </c>
      <c r="BQ30" s="234">
        <f t="shared" si="616"/>
        <v>350.71206175016584</v>
      </c>
      <c r="BR30" s="234">
        <f t="shared" si="616"/>
        <v>369.69113924495986</v>
      </c>
      <c r="BS30" s="254">
        <f t="shared" si="616"/>
        <v>1367.0574991657809</v>
      </c>
      <c r="BT30" s="234">
        <f t="shared" ref="BT30:CM30" si="617">+BT204</f>
        <v>379.9635180704089</v>
      </c>
      <c r="BU30" s="234">
        <f t="shared" si="617"/>
        <v>393.78691267874876</v>
      </c>
      <c r="BV30" s="234">
        <f t="shared" si="617"/>
        <v>406.83125822807972</v>
      </c>
      <c r="BW30" s="234">
        <f t="shared" si="617"/>
        <v>421.87945333781374</v>
      </c>
      <c r="BX30" s="254">
        <f t="shared" si="617"/>
        <v>1602.4611423150509</v>
      </c>
      <c r="BY30" s="234">
        <f t="shared" si="617"/>
        <v>423.06440127559216</v>
      </c>
      <c r="BZ30" s="234">
        <f t="shared" si="617"/>
        <v>432.10278198447298</v>
      </c>
      <c r="CA30" s="234">
        <f t="shared" si="617"/>
        <v>449.90126169119259</v>
      </c>
      <c r="CB30" s="234">
        <f t="shared" si="617"/>
        <v>463.48637314885514</v>
      </c>
      <c r="CC30" s="254">
        <f t="shared" si="617"/>
        <v>1768.5548181001129</v>
      </c>
      <c r="CD30" s="234">
        <f t="shared" si="617"/>
        <v>469.08443511376061</v>
      </c>
      <c r="CE30" s="234">
        <f t="shared" si="617"/>
        <v>482.13988064835883</v>
      </c>
      <c r="CF30" s="234">
        <f t="shared" si="617"/>
        <v>490.77463399649594</v>
      </c>
      <c r="CG30" s="234">
        <f t="shared" si="617"/>
        <v>500.91603710705317</v>
      </c>
      <c r="CH30" s="254">
        <f t="shared" si="617"/>
        <v>1942.9149868656684</v>
      </c>
      <c r="CI30" s="234">
        <f t="shared" si="617"/>
        <v>498.18755759015102</v>
      </c>
      <c r="CJ30" s="234">
        <f t="shared" si="617"/>
        <v>503.69470317113439</v>
      </c>
      <c r="CK30" s="234">
        <f t="shared" si="617"/>
        <v>508.31557068286014</v>
      </c>
      <c r="CL30" s="234">
        <f t="shared" si="617"/>
        <v>514.31699914568492</v>
      </c>
      <c r="CM30" s="254">
        <f t="shared" si="617"/>
        <v>2024.5148305898306</v>
      </c>
    </row>
    <row r="31" spans="1:93">
      <c r="A31" s="161" t="s">
        <v>291</v>
      </c>
      <c r="B31" s="232" t="s">
        <v>294</v>
      </c>
      <c r="C31" s="232" t="s">
        <v>294</v>
      </c>
      <c r="D31" s="232" t="s">
        <v>294</v>
      </c>
      <c r="E31" s="232" t="s">
        <v>294</v>
      </c>
      <c r="F31" s="239" t="s">
        <v>294</v>
      </c>
      <c r="G31" s="158" t="s">
        <v>294</v>
      </c>
      <c r="H31" s="158" t="s">
        <v>294</v>
      </c>
      <c r="I31" s="158" t="s">
        <v>294</v>
      </c>
      <c r="J31" s="158" t="s">
        <v>294</v>
      </c>
      <c r="K31" s="250" t="s">
        <v>294</v>
      </c>
      <c r="L31" s="158" t="s">
        <v>294</v>
      </c>
      <c r="M31" s="158" t="s">
        <v>294</v>
      </c>
      <c r="N31" s="158" t="s">
        <v>294</v>
      </c>
      <c r="O31" s="158" t="s">
        <v>294</v>
      </c>
      <c r="P31" s="250" t="s">
        <v>294</v>
      </c>
      <c r="Q31" s="158" t="s">
        <v>294</v>
      </c>
      <c r="R31" s="158" t="s">
        <v>294</v>
      </c>
      <c r="S31" s="158" t="s">
        <v>294</v>
      </c>
      <c r="T31" s="158" t="s">
        <v>294</v>
      </c>
      <c r="U31" s="250" t="s">
        <v>294</v>
      </c>
      <c r="V31" s="158" t="s">
        <v>294</v>
      </c>
      <c r="W31" s="158" t="s">
        <v>294</v>
      </c>
      <c r="X31" s="158" t="s">
        <v>294</v>
      </c>
      <c r="Y31" s="158" t="s">
        <v>294</v>
      </c>
      <c r="Z31" s="250" t="s">
        <v>294</v>
      </c>
      <c r="AA31" s="158" t="s">
        <v>294</v>
      </c>
      <c r="AB31" s="158" t="s">
        <v>294</v>
      </c>
      <c r="AC31" s="158" t="s">
        <v>294</v>
      </c>
      <c r="AD31" s="158" t="s">
        <v>294</v>
      </c>
      <c r="AE31" s="250" t="s">
        <v>294</v>
      </c>
      <c r="AF31" s="158" t="s">
        <v>294</v>
      </c>
      <c r="AG31" s="158" t="s">
        <v>294</v>
      </c>
      <c r="AH31" s="158" t="s">
        <v>294</v>
      </c>
      <c r="AI31" s="158" t="s">
        <v>294</v>
      </c>
      <c r="AJ31" s="250" t="s">
        <v>294</v>
      </c>
      <c r="AK31" s="158" t="s">
        <v>294</v>
      </c>
      <c r="AL31" s="158" t="s">
        <v>294</v>
      </c>
      <c r="AM31" s="158" t="s">
        <v>294</v>
      </c>
      <c r="AN31" s="158" t="s">
        <v>294</v>
      </c>
      <c r="AO31" s="250" t="s">
        <v>294</v>
      </c>
      <c r="AP31" s="158" t="s">
        <v>294</v>
      </c>
      <c r="AQ31" s="158" t="s">
        <v>294</v>
      </c>
      <c r="AR31" s="158">
        <f t="shared" ref="AR31" si="618">+AR30/AM30-1</f>
        <v>23.039880358923231</v>
      </c>
      <c r="AS31" s="19">
        <f t="shared" ref="AS31" si="619">+AS30/AN30-1</f>
        <v>7.5243872846396496</v>
      </c>
      <c r="AT31" s="259">
        <f t="shared" ref="AT31" si="620">+AT30/AO30-1</f>
        <v>14.560499609679935</v>
      </c>
      <c r="AU31" s="379">
        <f t="shared" ref="AU31" si="621">+AU30/AP30-1</f>
        <v>4.9675604152082</v>
      </c>
      <c r="AV31" s="19">
        <f t="shared" ref="AV31" si="622">+AV30/AQ30-1</f>
        <v>1.557759191074557</v>
      </c>
      <c r="AW31" s="19">
        <f t="shared" ref="AW31" si="623">+AW30/AR30-1</f>
        <v>1.3244101248145528</v>
      </c>
      <c r="AX31" s="19">
        <f t="shared" ref="AX31" si="624">+AX30/AS30-1</f>
        <v>1.0001360410354061</v>
      </c>
      <c r="AY31" s="259">
        <f t="shared" ref="AY31" si="625">+AY30/AT30-1</f>
        <v>1.4842903859024821</v>
      </c>
      <c r="AZ31" s="19">
        <f t="shared" ref="AZ31" si="626">+AZ30/AU30-1</f>
        <v>1.6893015275720122</v>
      </c>
      <c r="BA31" s="19">
        <f t="shared" ref="BA31" si="627">+BA30/AV30-1</f>
        <v>1.8874631833354467</v>
      </c>
      <c r="BB31" s="19">
        <f t="shared" ref="BB31" si="628">+BB30/AW30-1</f>
        <v>1.1947904662239166</v>
      </c>
      <c r="BC31" s="19">
        <f t="shared" ref="BC31" si="629">+BC30/AX30-1</f>
        <v>1.0324519310210185</v>
      </c>
      <c r="BD31" s="337">
        <f t="shared" ref="BD31" si="630">+BD30/AY30-1</f>
        <v>1.3542857921471456</v>
      </c>
      <c r="BE31" s="19">
        <f t="shared" ref="BE31" si="631">+BE30/AZ30-1</f>
        <v>0.80857664287891406</v>
      </c>
      <c r="BF31" s="19">
        <f t="shared" ref="BF31" si="632">+BF30/BA30-1</f>
        <v>0.65231483076639019</v>
      </c>
      <c r="BG31" s="19">
        <f t="shared" ref="BG31" si="633">+BG30/BB30-1</f>
        <v>0.59953604975002239</v>
      </c>
      <c r="BH31" s="19">
        <f t="shared" ref="BH31" si="634">+BH30/BC30-1</f>
        <v>0.5131464316945229</v>
      </c>
      <c r="BI31" s="259">
        <f t="shared" ref="BI31" si="635">+BI30/BD30-1</f>
        <v>0.62630393971229004</v>
      </c>
      <c r="BJ31" s="19">
        <f t="shared" ref="BJ31" si="636">+BJ30/BE30-1</f>
        <v>0.41108744650667628</v>
      </c>
      <c r="BK31" s="19">
        <f t="shared" ref="BK31" si="637">+BK30/BF30-1</f>
        <v>0.36317021165901231</v>
      </c>
      <c r="BL31" s="19">
        <f t="shared" ref="BL31" si="638">+BL30/BG30-1</f>
        <v>0.38273620576264</v>
      </c>
      <c r="BM31" s="19">
        <f t="shared" ref="BM31" si="639">+BM30/BH30-1</f>
        <v>0.35666314888072459</v>
      </c>
      <c r="BN31" s="259">
        <f t="shared" ref="BN31" si="640">+BN30/BI30-1</f>
        <v>0.3768032834520445</v>
      </c>
      <c r="BO31" s="19">
        <f t="shared" ref="BO31" si="641">+BO30/BJ30-1</f>
        <v>0.3441881917165992</v>
      </c>
      <c r="BP31" s="19">
        <f t="shared" ref="BP31" si="642">+BP30/BK30-1</f>
        <v>0.35582371611459007</v>
      </c>
      <c r="BQ31" s="19">
        <f t="shared" ref="BQ31" si="643">+BQ30/BL30-1</f>
        <v>0.28907526999801614</v>
      </c>
      <c r="BR31" s="19">
        <f t="shared" ref="BR31" si="644">+BR30/BM30-1</f>
        <v>0.26107364459578286</v>
      </c>
      <c r="BS31" s="259">
        <f t="shared" ref="BS31" si="645">+BS30/BN30-1</f>
        <v>0.3092391275399915</v>
      </c>
      <c r="BT31" s="19">
        <f t="shared" ref="BT31" si="646">+BT30/BO30-1</f>
        <v>0.21572615712269005</v>
      </c>
      <c r="BU31" s="19">
        <f t="shared" ref="BU31" si="647">+BU30/BP30-1</f>
        <v>0.17860075297717204</v>
      </c>
      <c r="BV31" s="19">
        <f t="shared" ref="BV31" si="648">+BV30/BQ30-1</f>
        <v>0.16001501687127906</v>
      </c>
      <c r="BW31" s="19">
        <f t="shared" ref="BW31" si="649">+BW30/BR30-1</f>
        <v>0.14116733822574412</v>
      </c>
      <c r="BX31" s="259">
        <f t="shared" ref="BX31" si="650">+BX30/BS30-1</f>
        <v>0.17219732402837495</v>
      </c>
      <c r="BY31" s="19">
        <f t="shared" ref="BY31" si="651">+BY30/BT30-1</f>
        <v>0.11343426712139371</v>
      </c>
      <c r="BZ31" s="19">
        <f t="shared" ref="BZ31" si="652">+BZ30/BU30-1</f>
        <v>9.7301022639577406E-2</v>
      </c>
      <c r="CA31" s="19">
        <f t="shared" ref="CA31" si="653">+CA30/BV30-1</f>
        <v>0.10586699667744504</v>
      </c>
      <c r="CB31" s="19">
        <f t="shared" ref="CB31" si="654">+CB30/BW30-1</f>
        <v>9.862276885460286E-2</v>
      </c>
      <c r="CC31" s="259">
        <f t="shared" ref="CC31" si="655">+CC30/BX30-1</f>
        <v>0.10364911285468614</v>
      </c>
      <c r="CD31" s="19">
        <f t="shared" ref="CD31" si="656">+CD30/BY30-1</f>
        <v>0.10877784493191167</v>
      </c>
      <c r="CE31" s="19">
        <f t="shared" ref="CE31" si="657">+CE30/BZ30-1</f>
        <v>0.11579906621773106</v>
      </c>
      <c r="CF31" s="19">
        <f t="shared" ref="CF31" si="658">+CF30/CA30-1</f>
        <v>9.0849650324738018E-2</v>
      </c>
      <c r="CG31" s="19">
        <f t="shared" ref="CG31" si="659">+CG30/CB30-1</f>
        <v>8.0756773287435912E-2</v>
      </c>
      <c r="CH31" s="259">
        <f t="shared" ref="CH31" si="660">+CH30/CC30-1</f>
        <v>9.8589066610252685E-2</v>
      </c>
      <c r="CI31" s="19">
        <f t="shared" ref="CI31" si="661">+CI30/CD30-1</f>
        <v>6.2042396417038237E-2</v>
      </c>
      <c r="CJ31" s="19">
        <f t="shared" ref="CJ31" si="662">+CJ30/CE30-1</f>
        <v>4.470657456045668E-2</v>
      </c>
      <c r="CK31" s="19">
        <f t="shared" ref="CK31" si="663">+CK30/CF30-1</f>
        <v>3.5741327019133351E-2</v>
      </c>
      <c r="CL31" s="19">
        <f t="shared" ref="CL31" si="664">+CL30/CG30-1</f>
        <v>2.6752910759308968E-2</v>
      </c>
      <c r="CM31" s="259">
        <f t="shared" ref="CM31" si="665">+CM30/CH30-1</f>
        <v>4.1998669152168988E-2</v>
      </c>
    </row>
    <row r="32" spans="1:93">
      <c r="A32" s="161" t="s">
        <v>292</v>
      </c>
      <c r="B32" s="232" t="s">
        <v>294</v>
      </c>
      <c r="C32" s="232" t="s">
        <v>294</v>
      </c>
      <c r="D32" s="232" t="s">
        <v>294</v>
      </c>
      <c r="E32" s="232" t="s">
        <v>294</v>
      </c>
      <c r="F32" s="239" t="s">
        <v>294</v>
      </c>
      <c r="G32" s="158" t="s">
        <v>294</v>
      </c>
      <c r="H32" s="158" t="s">
        <v>294</v>
      </c>
      <c r="I32" s="158" t="s">
        <v>294</v>
      </c>
      <c r="J32" s="158" t="s">
        <v>294</v>
      </c>
      <c r="K32" s="250" t="s">
        <v>294</v>
      </c>
      <c r="L32" s="158" t="s">
        <v>294</v>
      </c>
      <c r="M32" s="158" t="s">
        <v>294</v>
      </c>
      <c r="N32" s="158" t="s">
        <v>294</v>
      </c>
      <c r="O32" s="158" t="s">
        <v>294</v>
      </c>
      <c r="P32" s="250" t="s">
        <v>294</v>
      </c>
      <c r="Q32" s="158" t="s">
        <v>294</v>
      </c>
      <c r="R32" s="158" t="s">
        <v>294</v>
      </c>
      <c r="S32" s="158" t="s">
        <v>294</v>
      </c>
      <c r="T32" s="158" t="s">
        <v>294</v>
      </c>
      <c r="U32" s="250" t="s">
        <v>294</v>
      </c>
      <c r="V32" s="158" t="s">
        <v>294</v>
      </c>
      <c r="W32" s="158" t="s">
        <v>294</v>
      </c>
      <c r="X32" s="158" t="s">
        <v>294</v>
      </c>
      <c r="Y32" s="158" t="s">
        <v>294</v>
      </c>
      <c r="Z32" s="250" t="s">
        <v>294</v>
      </c>
      <c r="AA32" s="158" t="s">
        <v>294</v>
      </c>
      <c r="AB32" s="158" t="s">
        <v>294</v>
      </c>
      <c r="AC32" s="158" t="s">
        <v>294</v>
      </c>
      <c r="AD32" s="158" t="s">
        <v>294</v>
      </c>
      <c r="AE32" s="250" t="s">
        <v>294</v>
      </c>
      <c r="AF32" s="158" t="s">
        <v>294</v>
      </c>
      <c r="AG32" s="158" t="s">
        <v>294</v>
      </c>
      <c r="AH32" s="158" t="s">
        <v>294</v>
      </c>
      <c r="AI32" s="158" t="s">
        <v>294</v>
      </c>
      <c r="AJ32" s="250" t="s">
        <v>294</v>
      </c>
      <c r="AK32" s="158" t="s">
        <v>294</v>
      </c>
      <c r="AL32" s="158" t="s">
        <v>294</v>
      </c>
      <c r="AM32" s="158" t="s">
        <v>294</v>
      </c>
      <c r="AN32" s="19">
        <f t="shared" ref="AN32" si="666">+AN30/AM30-1</f>
        <v>3.108673978065803</v>
      </c>
      <c r="AO32" s="251" t="s">
        <v>294</v>
      </c>
      <c r="AP32" s="19">
        <f>+AP30/AN30-1</f>
        <v>0.37757825770444042</v>
      </c>
      <c r="AQ32" s="158">
        <f>+AQ30/AP30-1</f>
        <v>1.6094768363572309</v>
      </c>
      <c r="AR32" s="158">
        <f t="shared" ref="AR32" si="667">+AR30/AQ30-1</f>
        <v>0.62764952072363966</v>
      </c>
      <c r="AS32" s="19">
        <f t="shared" ref="AS32" si="668">+AS30/AR30-1</f>
        <v>0.45690942269409418</v>
      </c>
      <c r="AT32" s="251" t="s">
        <v>294</v>
      </c>
      <c r="AU32" s="379">
        <f>+AU30/AS30-1</f>
        <v>-3.5616144008171258E-2</v>
      </c>
      <c r="AV32" s="19">
        <f>+AV30/AU30-1</f>
        <v>0.11844923179650868</v>
      </c>
      <c r="AW32" s="19">
        <f t="shared" ref="AW32" si="669">+AW30/AV30-1</f>
        <v>0.47915606708469882</v>
      </c>
      <c r="AX32" s="19">
        <f t="shared" ref="AX32" si="670">+AX30/AW30-1</f>
        <v>0.25365872990552063</v>
      </c>
      <c r="AY32" s="251" t="s">
        <v>294</v>
      </c>
      <c r="AZ32" s="19">
        <f>+AZ30/AX30-1</f>
        <v>0.29667128828998601</v>
      </c>
      <c r="BA32" s="19">
        <f>+BA30/AZ30-1</f>
        <v>0.2008623600336521</v>
      </c>
      <c r="BB32" s="19">
        <f t="shared" ref="BB32" si="671">+BB30/BA30-1</f>
        <v>0.12432174125408069</v>
      </c>
      <c r="BC32" s="19">
        <f t="shared" ref="BC32" si="672">+BC30/BB30-1</f>
        <v>0.16093137165007221</v>
      </c>
      <c r="BD32" s="251" t="s">
        <v>294</v>
      </c>
      <c r="BE32" s="19">
        <f>+BE30/BC30-1</f>
        <v>0.15384249423054475</v>
      </c>
      <c r="BF32" s="19">
        <f>+BF30/BE30-1</f>
        <v>9.7107327469547533E-2</v>
      </c>
      <c r="BG32" s="19">
        <f t="shared" ref="BG32" si="673">+BG30/BF30-1</f>
        <v>8.8408288279706149E-2</v>
      </c>
      <c r="BH32" s="19">
        <f t="shared" ref="BH32" si="674">+BH30/BG30-1</f>
        <v>9.8230429210437453E-2</v>
      </c>
      <c r="BI32" s="251" t="s">
        <v>294</v>
      </c>
      <c r="BJ32" s="19">
        <f>+BJ30/BH30-1</f>
        <v>7.6017908611354157E-2</v>
      </c>
      <c r="BK32" s="19">
        <f>+BK30/BJ30-1</f>
        <v>5.9852124332707479E-2</v>
      </c>
      <c r="BL32" s="19">
        <f t="shared" ref="BL32" si="675">+BL30/BK30-1</f>
        <v>0.10403054144272295</v>
      </c>
      <c r="BM32" s="19">
        <f t="shared" ref="BM32" si="676">+BM30/BL30-1</f>
        <v>7.7522050901603912E-2</v>
      </c>
      <c r="BN32" s="251" t="s">
        <v>294</v>
      </c>
      <c r="BO32" s="19">
        <f>+BO30/BM30-1</f>
        <v>6.6123575350490515E-2</v>
      </c>
      <c r="BP32" s="19">
        <f>+BP30/BO30-1</f>
        <v>6.9026386781172455E-2</v>
      </c>
      <c r="BQ32" s="19">
        <f t="shared" ref="BQ32" si="677">+BQ30/BP30-1</f>
        <v>4.9678104447651528E-2</v>
      </c>
      <c r="BR32" s="19">
        <f t="shared" ref="BR32" si="678">+BR30/BQ30-1</f>
        <v>5.4115839073461958E-2</v>
      </c>
      <c r="BS32" s="251" t="s">
        <v>294</v>
      </c>
      <c r="BT32" s="19">
        <f>+BT30/BR30-1</f>
        <v>2.7786380940665323E-2</v>
      </c>
      <c r="BU32" s="19">
        <f>+BU30/BT30-1</f>
        <v>3.6380846978520509E-2</v>
      </c>
      <c r="BV32" s="19">
        <f t="shared" ref="BV32" si="679">+BV30/BU30-1</f>
        <v>3.3125391244204438E-2</v>
      </c>
      <c r="BW32" s="19">
        <f t="shared" ref="BW32" si="680">+BW30/BV30-1</f>
        <v>3.6988787870615436E-2</v>
      </c>
      <c r="BX32" s="251" t="s">
        <v>294</v>
      </c>
      <c r="BY32" s="19">
        <f>+BY30/BW30-1</f>
        <v>2.8087358329573764E-3</v>
      </c>
      <c r="BZ32" s="19">
        <f>+BZ30/BY30-1</f>
        <v>2.1364077624184352E-2</v>
      </c>
      <c r="CA32" s="19">
        <f t="shared" ref="CA32" si="681">+CA30/BZ30-1</f>
        <v>4.1190384438115402E-2</v>
      </c>
      <c r="CB32" s="19">
        <f t="shared" ref="CB32" si="682">+CB30/CA30-1</f>
        <v>3.0195762080318822E-2</v>
      </c>
      <c r="CC32" s="251" t="s">
        <v>294</v>
      </c>
      <c r="CD32" s="19">
        <f>+CD30/CB30-1</f>
        <v>1.2078158688621388E-2</v>
      </c>
      <c r="CE32" s="19">
        <f>+CE30/CD30-1</f>
        <v>2.7831760248945514E-2</v>
      </c>
      <c r="CF32" s="19">
        <f t="shared" ref="CF32" si="683">+CF30/CE30-1</f>
        <v>1.7909228617482453E-2</v>
      </c>
      <c r="CG32" s="19">
        <f t="shared" ref="CG32" si="684">+CG30/CF30-1</f>
        <v>2.0664073503500635E-2</v>
      </c>
      <c r="CH32" s="251" t="s">
        <v>294</v>
      </c>
      <c r="CI32" s="19">
        <f>+CI30/CG30-1</f>
        <v>-5.4469797626364169E-3</v>
      </c>
      <c r="CJ32" s="19">
        <f>+CJ30/CI30-1</f>
        <v>1.1054361950793679E-2</v>
      </c>
      <c r="CK32" s="19">
        <f t="shared" ref="CK32" si="685">+CK30/CJ30-1</f>
        <v>9.1739450159669111E-3</v>
      </c>
      <c r="CL32" s="19">
        <f t="shared" ref="CL32" si="686">+CL30/CK30-1</f>
        <v>1.1806501332946695E-2</v>
      </c>
      <c r="CM32" s="251" t="s">
        <v>294</v>
      </c>
    </row>
    <row r="33" spans="1:93" s="42" customFormat="1">
      <c r="A33" s="162" t="s">
        <v>339</v>
      </c>
      <c r="B33" s="232" t="s">
        <v>294</v>
      </c>
      <c r="C33" s="232" t="s">
        <v>294</v>
      </c>
      <c r="D33" s="232" t="s">
        <v>294</v>
      </c>
      <c r="E33" s="232" t="s">
        <v>294</v>
      </c>
      <c r="F33" s="239" t="s">
        <v>294</v>
      </c>
      <c r="G33" s="170" t="str">
        <f t="shared" ref="G33:AL33" si="687">+G269</f>
        <v xml:space="preserve">-- </v>
      </c>
      <c r="H33" s="170" t="str">
        <f t="shared" si="687"/>
        <v xml:space="preserve">-- </v>
      </c>
      <c r="I33" s="170" t="str">
        <f t="shared" si="687"/>
        <v xml:space="preserve">-- </v>
      </c>
      <c r="J33" s="170" t="str">
        <f t="shared" si="687"/>
        <v xml:space="preserve">-- </v>
      </c>
      <c r="K33" s="253" t="str">
        <f t="shared" si="687"/>
        <v xml:space="preserve">-- </v>
      </c>
      <c r="L33" s="170" t="str">
        <f t="shared" si="687"/>
        <v xml:space="preserve">-- </v>
      </c>
      <c r="M33" s="170" t="str">
        <f t="shared" si="687"/>
        <v xml:space="preserve">-- </v>
      </c>
      <c r="N33" s="170" t="str">
        <f t="shared" si="687"/>
        <v xml:space="preserve">-- </v>
      </c>
      <c r="O33" s="170" t="str">
        <f t="shared" si="687"/>
        <v xml:space="preserve">-- </v>
      </c>
      <c r="P33" s="253" t="str">
        <f t="shared" si="687"/>
        <v xml:space="preserve">-- </v>
      </c>
      <c r="Q33" s="170" t="str">
        <f t="shared" si="687"/>
        <v xml:space="preserve">-- </v>
      </c>
      <c r="R33" s="170" t="str">
        <f t="shared" si="687"/>
        <v xml:space="preserve">-- </v>
      </c>
      <c r="S33" s="170" t="str">
        <f t="shared" si="687"/>
        <v xml:space="preserve">-- </v>
      </c>
      <c r="T33" s="170" t="str">
        <f t="shared" si="687"/>
        <v xml:space="preserve">-- </v>
      </c>
      <c r="U33" s="253" t="str">
        <f t="shared" si="687"/>
        <v xml:space="preserve">-- </v>
      </c>
      <c r="V33" s="170" t="str">
        <f t="shared" si="687"/>
        <v xml:space="preserve">-- </v>
      </c>
      <c r="W33" s="170" t="str">
        <f t="shared" si="687"/>
        <v xml:space="preserve">-- </v>
      </c>
      <c r="X33" s="170" t="str">
        <f t="shared" si="687"/>
        <v xml:space="preserve">-- </v>
      </c>
      <c r="Y33" s="170" t="str">
        <f t="shared" si="687"/>
        <v xml:space="preserve">-- </v>
      </c>
      <c r="Z33" s="253" t="str">
        <f t="shared" si="687"/>
        <v xml:space="preserve">-- </v>
      </c>
      <c r="AA33" s="170" t="str">
        <f t="shared" si="687"/>
        <v xml:space="preserve">-- </v>
      </c>
      <c r="AB33" s="170" t="str">
        <f t="shared" si="687"/>
        <v xml:space="preserve">-- </v>
      </c>
      <c r="AC33" s="170" t="str">
        <f t="shared" si="687"/>
        <v xml:space="preserve">-- </v>
      </c>
      <c r="AD33" s="170" t="str">
        <f t="shared" si="687"/>
        <v xml:space="preserve">-- </v>
      </c>
      <c r="AE33" s="253" t="str">
        <f t="shared" si="687"/>
        <v xml:space="preserve">-- </v>
      </c>
      <c r="AF33" s="170">
        <f>+AF269</f>
        <v>8.7677147500000103</v>
      </c>
      <c r="AG33" s="170">
        <f>+AG269</f>
        <v>5.3527147500000183</v>
      </c>
      <c r="AH33" s="170">
        <f>+AH269</f>
        <v>3.0537147500000117</v>
      </c>
      <c r="AI33" s="170">
        <f>+AI269</f>
        <v>6.3117147500000215</v>
      </c>
      <c r="AJ33" s="253">
        <f>+AJ269</f>
        <v>23.485859000000062</v>
      </c>
      <c r="AK33" s="170">
        <f t="shared" si="687"/>
        <v>5.1559999999999997</v>
      </c>
      <c r="AL33" s="170">
        <f t="shared" si="687"/>
        <v>3.0330000000000084</v>
      </c>
      <c r="AM33" s="170">
        <f t="shared" ref="AM33:BR33" si="688">+AM269</f>
        <v>2.7289999999999992</v>
      </c>
      <c r="AN33" s="170">
        <f t="shared" si="688"/>
        <v>2.5680000000000209</v>
      </c>
      <c r="AO33" s="253">
        <f t="shared" si="688"/>
        <v>13.486000000000027</v>
      </c>
      <c r="AP33" s="170">
        <f t="shared" si="688"/>
        <v>1.859</v>
      </c>
      <c r="AQ33" s="170">
        <f t="shared" si="688"/>
        <v>2.569</v>
      </c>
      <c r="AR33" s="170">
        <f t="shared" si="688"/>
        <v>1.9510000000000001</v>
      </c>
      <c r="AS33" s="170">
        <f t="shared" si="688"/>
        <v>2.1829999999999998</v>
      </c>
      <c r="AT33" s="253">
        <f t="shared" si="688"/>
        <v>8.5619999999999994</v>
      </c>
      <c r="AU33" s="356">
        <f t="shared" si="688"/>
        <v>1.9519500000000001</v>
      </c>
      <c r="AV33" s="170">
        <f t="shared" si="688"/>
        <v>2.6974499999999999</v>
      </c>
      <c r="AW33" s="170">
        <f t="shared" si="688"/>
        <v>2.0485500000000001</v>
      </c>
      <c r="AX33" s="170">
        <f t="shared" si="688"/>
        <v>2.2921499999999999</v>
      </c>
      <c r="AY33" s="253">
        <f t="shared" si="688"/>
        <v>8.9901</v>
      </c>
      <c r="AZ33" s="170">
        <f t="shared" si="688"/>
        <v>2.0495475000000001</v>
      </c>
      <c r="BA33" s="170">
        <f t="shared" si="688"/>
        <v>2.8323225000000001</v>
      </c>
      <c r="BB33" s="170">
        <f t="shared" si="688"/>
        <v>2.1509775000000002</v>
      </c>
      <c r="BC33" s="170">
        <f t="shared" si="688"/>
        <v>2.4067574999999999</v>
      </c>
      <c r="BD33" s="253">
        <f t="shared" si="688"/>
        <v>9.4396050000000002</v>
      </c>
      <c r="BE33" s="170">
        <f t="shared" si="688"/>
        <v>2.1520248750000004</v>
      </c>
      <c r="BF33" s="170">
        <f t="shared" si="688"/>
        <v>2.9739386250000002</v>
      </c>
      <c r="BG33" s="170">
        <f t="shared" si="688"/>
        <v>2.2585263750000002</v>
      </c>
      <c r="BH33" s="170">
        <f t="shared" si="688"/>
        <v>2.527095375</v>
      </c>
      <c r="BI33" s="253">
        <f t="shared" si="688"/>
        <v>9.9115852500000017</v>
      </c>
      <c r="BJ33" s="170">
        <f t="shared" si="688"/>
        <v>2.2596261187500004</v>
      </c>
      <c r="BK33" s="170">
        <f t="shared" si="688"/>
        <v>3.1226355562500001</v>
      </c>
      <c r="BL33" s="170">
        <f t="shared" si="688"/>
        <v>2.3714526937500002</v>
      </c>
      <c r="BM33" s="170">
        <f t="shared" si="688"/>
        <v>2.6534501437500002</v>
      </c>
      <c r="BN33" s="253">
        <f t="shared" si="688"/>
        <v>10.407164512500001</v>
      </c>
      <c r="BO33" s="170">
        <f t="shared" si="688"/>
        <v>2.3726074246875006</v>
      </c>
      <c r="BP33" s="170">
        <f t="shared" si="688"/>
        <v>3.2787673340625001</v>
      </c>
      <c r="BQ33" s="170">
        <f t="shared" si="688"/>
        <v>2.4900253284375005</v>
      </c>
      <c r="BR33" s="170">
        <f t="shared" si="688"/>
        <v>2.7861226509375006</v>
      </c>
      <c r="BS33" s="253">
        <f t="shared" ref="BS33:CM33" si="689">+BS269</f>
        <v>10.927522738125001</v>
      </c>
      <c r="BT33" s="170">
        <f t="shared" si="689"/>
        <v>2.4912377959218759</v>
      </c>
      <c r="BU33" s="170">
        <f t="shared" si="689"/>
        <v>3.4427057007656252</v>
      </c>
      <c r="BV33" s="170">
        <f t="shared" si="689"/>
        <v>2.6145265948593757</v>
      </c>
      <c r="BW33" s="170">
        <f t="shared" si="689"/>
        <v>2.9254287834843757</v>
      </c>
      <c r="BX33" s="253">
        <f t="shared" si="689"/>
        <v>11.473898875031253</v>
      </c>
      <c r="BY33" s="170">
        <f t="shared" si="689"/>
        <v>2.6157996857179699</v>
      </c>
      <c r="BZ33" s="170">
        <f t="shared" si="689"/>
        <v>3.6148409858039066</v>
      </c>
      <c r="CA33" s="170">
        <f t="shared" si="689"/>
        <v>2.7452529246023447</v>
      </c>
      <c r="CB33" s="170">
        <f t="shared" si="689"/>
        <v>3.0717002226585945</v>
      </c>
      <c r="CC33" s="253">
        <f t="shared" si="689"/>
        <v>12.047593818782815</v>
      </c>
      <c r="CD33" s="170">
        <f t="shared" si="689"/>
        <v>2.7465896700038686</v>
      </c>
      <c r="CE33" s="170">
        <f t="shared" si="689"/>
        <v>3.795583035094102</v>
      </c>
      <c r="CF33" s="170">
        <f t="shared" si="689"/>
        <v>2.8825155708324619</v>
      </c>
      <c r="CG33" s="170">
        <f t="shared" si="689"/>
        <v>3.2252852337915243</v>
      </c>
      <c r="CH33" s="253">
        <f t="shared" si="689"/>
        <v>12.649973509721956</v>
      </c>
      <c r="CI33" s="170">
        <f t="shared" si="689"/>
        <v>2.883919153504062</v>
      </c>
      <c r="CJ33" s="170">
        <f t="shared" si="689"/>
        <v>3.9853621868488074</v>
      </c>
      <c r="CK33" s="170">
        <f t="shared" si="689"/>
        <v>3.0266413493740849</v>
      </c>
      <c r="CL33" s="170">
        <f t="shared" si="689"/>
        <v>3.3865494954811006</v>
      </c>
      <c r="CM33" s="253">
        <f t="shared" si="689"/>
        <v>13.282472185208055</v>
      </c>
    </row>
    <row r="34" spans="1:93">
      <c r="A34" s="161" t="s">
        <v>291</v>
      </c>
      <c r="B34" s="232" t="s">
        <v>294</v>
      </c>
      <c r="C34" s="232" t="s">
        <v>294</v>
      </c>
      <c r="D34" s="232" t="s">
        <v>294</v>
      </c>
      <c r="E34" s="232" t="s">
        <v>294</v>
      </c>
      <c r="F34" s="239" t="s">
        <v>294</v>
      </c>
      <c r="G34" s="158" t="s">
        <v>294</v>
      </c>
      <c r="H34" s="158" t="s">
        <v>294</v>
      </c>
      <c r="I34" s="158" t="s">
        <v>294</v>
      </c>
      <c r="J34" s="158" t="s">
        <v>294</v>
      </c>
      <c r="K34" s="250" t="s">
        <v>294</v>
      </c>
      <c r="L34" s="158" t="s">
        <v>294</v>
      </c>
      <c r="M34" s="158" t="s">
        <v>294</v>
      </c>
      <c r="N34" s="158" t="s">
        <v>294</v>
      </c>
      <c r="O34" s="158" t="s">
        <v>294</v>
      </c>
      <c r="P34" s="250" t="s">
        <v>294</v>
      </c>
      <c r="Q34" s="158" t="s">
        <v>294</v>
      </c>
      <c r="R34" s="158" t="s">
        <v>294</v>
      </c>
      <c r="S34" s="158" t="s">
        <v>294</v>
      </c>
      <c r="T34" s="158" t="s">
        <v>294</v>
      </c>
      <c r="U34" s="250" t="s">
        <v>294</v>
      </c>
      <c r="V34" s="158" t="s">
        <v>294</v>
      </c>
      <c r="W34" s="158" t="s">
        <v>294</v>
      </c>
      <c r="X34" s="158" t="s">
        <v>294</v>
      </c>
      <c r="Y34" s="158" t="s">
        <v>294</v>
      </c>
      <c r="Z34" s="250" t="s">
        <v>294</v>
      </c>
      <c r="AA34" s="158" t="s">
        <v>294</v>
      </c>
      <c r="AB34" s="158" t="s">
        <v>294</v>
      </c>
      <c r="AC34" s="158" t="s">
        <v>294</v>
      </c>
      <c r="AD34" s="158" t="s">
        <v>294</v>
      </c>
      <c r="AE34" s="250" t="s">
        <v>294</v>
      </c>
      <c r="AF34" s="158" t="s">
        <v>294</v>
      </c>
      <c r="AG34" s="158" t="s">
        <v>294</v>
      </c>
      <c r="AH34" s="158" t="s">
        <v>294</v>
      </c>
      <c r="AI34" s="158" t="s">
        <v>294</v>
      </c>
      <c r="AJ34" s="250" t="s">
        <v>294</v>
      </c>
      <c r="AK34" s="19">
        <f t="shared" ref="AK34" si="690">+AK33/AF33-1</f>
        <v>-0.41193342313058334</v>
      </c>
      <c r="AL34" s="19">
        <f t="shared" ref="AL34" si="691">+AL33/AG33-1</f>
        <v>-0.4333716363271557</v>
      </c>
      <c r="AM34" s="19">
        <f t="shared" ref="AM34" si="692">+AM33/AH33-1</f>
        <v>-0.10633434245946227</v>
      </c>
      <c r="AN34" s="19">
        <f t="shared" ref="AN34" si="693">+AN33/AI33-1</f>
        <v>-0.59313750672905297</v>
      </c>
      <c r="AO34" s="259">
        <f t="shared" ref="AO34" si="694">+AO33/AJ33-1</f>
        <v>-0.4257821270237554</v>
      </c>
      <c r="AP34" s="19">
        <f t="shared" ref="AP34" si="695">+AP33/AK33-1</f>
        <v>-0.63944918541505036</v>
      </c>
      <c r="AQ34" s="19">
        <f t="shared" ref="AQ34" si="696">+AQ33/AL33-1</f>
        <v>-0.15298384437850543</v>
      </c>
      <c r="AR34" s="19">
        <f t="shared" ref="AR34" si="697">+AR33/AM33-1</f>
        <v>-0.28508611212898471</v>
      </c>
      <c r="AS34" s="19">
        <f t="shared" ref="AS34" si="698">+AS33/AN33-1</f>
        <v>-0.1499221183800693</v>
      </c>
      <c r="AT34" s="259">
        <f t="shared" ref="AT34" si="699">+AT33/AO33-1</f>
        <v>-0.36511938306391944</v>
      </c>
      <c r="AU34" s="379">
        <f t="shared" ref="AU34" si="700">+AU33/AP33-1</f>
        <v>5.0000000000000044E-2</v>
      </c>
      <c r="AV34" s="19">
        <f t="shared" ref="AV34" si="701">+AV33/AQ33-1</f>
        <v>5.0000000000000044E-2</v>
      </c>
      <c r="AW34" s="19">
        <f t="shared" ref="AW34" si="702">+AW33/AR33-1</f>
        <v>5.0000000000000044E-2</v>
      </c>
      <c r="AX34" s="19">
        <f t="shared" ref="AX34" si="703">+AX33/AS33-1</f>
        <v>5.0000000000000044E-2</v>
      </c>
      <c r="AY34" s="259">
        <f t="shared" ref="AY34" si="704">+AY33/AT33-1</f>
        <v>5.0000000000000044E-2</v>
      </c>
      <c r="AZ34" s="19">
        <f t="shared" ref="AZ34" si="705">+AZ33/AU33-1</f>
        <v>5.0000000000000044E-2</v>
      </c>
      <c r="BA34" s="19">
        <f t="shared" ref="BA34" si="706">+BA33/AV33-1</f>
        <v>5.0000000000000044E-2</v>
      </c>
      <c r="BB34" s="19">
        <f t="shared" ref="BB34" si="707">+BB33/AW33-1</f>
        <v>5.0000000000000044E-2</v>
      </c>
      <c r="BC34" s="19">
        <f t="shared" ref="BC34" si="708">+BC33/AX33-1</f>
        <v>5.0000000000000044E-2</v>
      </c>
      <c r="BD34" s="337">
        <f t="shared" ref="BD34" si="709">+BD33/AY33-1</f>
        <v>5.0000000000000044E-2</v>
      </c>
      <c r="BE34" s="19">
        <f t="shared" ref="BE34" si="710">+BE33/AZ33-1</f>
        <v>5.0000000000000044E-2</v>
      </c>
      <c r="BF34" s="19">
        <f t="shared" ref="BF34" si="711">+BF33/BA33-1</f>
        <v>5.0000000000000044E-2</v>
      </c>
      <c r="BG34" s="19">
        <f t="shared" ref="BG34" si="712">+BG33/BB33-1</f>
        <v>5.0000000000000044E-2</v>
      </c>
      <c r="BH34" s="19">
        <f t="shared" ref="BH34" si="713">+BH33/BC33-1</f>
        <v>5.0000000000000044E-2</v>
      </c>
      <c r="BI34" s="259">
        <f t="shared" ref="BI34" si="714">+BI33/BD33-1</f>
        <v>5.0000000000000044E-2</v>
      </c>
      <c r="BJ34" s="19">
        <f t="shared" ref="BJ34" si="715">+BJ33/BE33-1</f>
        <v>5.0000000000000044E-2</v>
      </c>
      <c r="BK34" s="19">
        <f t="shared" ref="BK34" si="716">+BK33/BF33-1</f>
        <v>5.0000000000000044E-2</v>
      </c>
      <c r="BL34" s="19">
        <f t="shared" ref="BL34" si="717">+BL33/BG33-1</f>
        <v>5.0000000000000044E-2</v>
      </c>
      <c r="BM34" s="19">
        <f t="shared" ref="BM34" si="718">+BM33/BH33-1</f>
        <v>5.0000000000000044E-2</v>
      </c>
      <c r="BN34" s="259">
        <f t="shared" ref="BN34" si="719">+BN33/BI33-1</f>
        <v>5.0000000000000044E-2</v>
      </c>
      <c r="BO34" s="19">
        <f t="shared" ref="BO34" si="720">+BO33/BJ33-1</f>
        <v>5.0000000000000044E-2</v>
      </c>
      <c r="BP34" s="19">
        <f t="shared" ref="BP34" si="721">+BP33/BK33-1</f>
        <v>5.0000000000000044E-2</v>
      </c>
      <c r="BQ34" s="19">
        <f t="shared" ref="BQ34" si="722">+BQ33/BL33-1</f>
        <v>5.0000000000000044E-2</v>
      </c>
      <c r="BR34" s="19">
        <f t="shared" ref="BR34" si="723">+BR33/BM33-1</f>
        <v>5.0000000000000044E-2</v>
      </c>
      <c r="BS34" s="259">
        <f t="shared" ref="BS34" si="724">+BS33/BN33-1</f>
        <v>5.0000000000000044E-2</v>
      </c>
      <c r="BT34" s="19">
        <f t="shared" ref="BT34" si="725">+BT33/BO33-1</f>
        <v>5.0000000000000044E-2</v>
      </c>
      <c r="BU34" s="19">
        <f t="shared" ref="BU34" si="726">+BU33/BP33-1</f>
        <v>5.0000000000000044E-2</v>
      </c>
      <c r="BV34" s="19">
        <f t="shared" ref="BV34" si="727">+BV33/BQ33-1</f>
        <v>5.0000000000000044E-2</v>
      </c>
      <c r="BW34" s="19">
        <f t="shared" ref="BW34" si="728">+BW33/BR33-1</f>
        <v>5.0000000000000044E-2</v>
      </c>
      <c r="BX34" s="259">
        <f t="shared" ref="BX34" si="729">+BX33/BS33-1</f>
        <v>5.0000000000000266E-2</v>
      </c>
      <c r="BY34" s="19">
        <f t="shared" ref="BY34" si="730">+BY33/BT33-1</f>
        <v>5.0000000000000044E-2</v>
      </c>
      <c r="BZ34" s="19">
        <f t="shared" ref="BZ34" si="731">+BZ33/BU33-1</f>
        <v>5.0000000000000044E-2</v>
      </c>
      <c r="CA34" s="19">
        <f t="shared" ref="CA34" si="732">+CA33/BV33-1</f>
        <v>5.0000000000000044E-2</v>
      </c>
      <c r="CB34" s="19">
        <f t="shared" ref="CB34" si="733">+CB33/BW33-1</f>
        <v>5.0000000000000044E-2</v>
      </c>
      <c r="CC34" s="259">
        <f t="shared" ref="CC34" si="734">+CC33/BX33-1</f>
        <v>5.0000000000000044E-2</v>
      </c>
      <c r="CD34" s="19">
        <f t="shared" ref="CD34" si="735">+CD33/BY33-1</f>
        <v>5.0000000000000044E-2</v>
      </c>
      <c r="CE34" s="19">
        <f t="shared" ref="CE34" si="736">+CE33/BZ33-1</f>
        <v>5.0000000000000044E-2</v>
      </c>
      <c r="CF34" s="19">
        <f t="shared" ref="CF34" si="737">+CF33/CA33-1</f>
        <v>5.0000000000000044E-2</v>
      </c>
      <c r="CG34" s="19">
        <f t="shared" ref="CG34" si="738">+CG33/CB33-1</f>
        <v>5.0000000000000044E-2</v>
      </c>
      <c r="CH34" s="259">
        <f t="shared" ref="CH34" si="739">+CH33/CC33-1</f>
        <v>5.0000000000000044E-2</v>
      </c>
      <c r="CI34" s="19">
        <f t="shared" ref="CI34" si="740">+CI33/CD33-1</f>
        <v>5.0000000000000044E-2</v>
      </c>
      <c r="CJ34" s="19">
        <f t="shared" ref="CJ34" si="741">+CJ33/CE33-1</f>
        <v>5.0000000000000044E-2</v>
      </c>
      <c r="CK34" s="19">
        <f t="shared" ref="CK34" si="742">+CK33/CF33-1</f>
        <v>5.0000000000000044E-2</v>
      </c>
      <c r="CL34" s="19">
        <f t="shared" ref="CL34" si="743">+CL33/CG33-1</f>
        <v>5.0000000000000044E-2</v>
      </c>
      <c r="CM34" s="259">
        <f t="shared" ref="CM34" si="744">+CM33/CH33-1</f>
        <v>5.0000000000000044E-2</v>
      </c>
    </row>
    <row r="35" spans="1:93">
      <c r="A35" s="161" t="s">
        <v>292</v>
      </c>
      <c r="B35" s="232" t="s">
        <v>294</v>
      </c>
      <c r="C35" s="232" t="s">
        <v>294</v>
      </c>
      <c r="D35" s="232" t="s">
        <v>294</v>
      </c>
      <c r="E35" s="232" t="s">
        <v>294</v>
      </c>
      <c r="F35" s="239" t="s">
        <v>294</v>
      </c>
      <c r="G35" s="158" t="s">
        <v>294</v>
      </c>
      <c r="H35" s="158" t="s">
        <v>294</v>
      </c>
      <c r="I35" s="158" t="s">
        <v>294</v>
      </c>
      <c r="J35" s="158" t="s">
        <v>294</v>
      </c>
      <c r="K35" s="250" t="s">
        <v>294</v>
      </c>
      <c r="L35" s="158" t="s">
        <v>294</v>
      </c>
      <c r="M35" s="158" t="s">
        <v>294</v>
      </c>
      <c r="N35" s="158" t="s">
        <v>294</v>
      </c>
      <c r="O35" s="158" t="s">
        <v>294</v>
      </c>
      <c r="P35" s="250" t="s">
        <v>294</v>
      </c>
      <c r="Q35" s="158" t="s">
        <v>294</v>
      </c>
      <c r="R35" s="158" t="s">
        <v>294</v>
      </c>
      <c r="S35" s="158" t="s">
        <v>294</v>
      </c>
      <c r="T35" s="158" t="s">
        <v>294</v>
      </c>
      <c r="U35" s="250" t="s">
        <v>294</v>
      </c>
      <c r="V35" s="158" t="s">
        <v>294</v>
      </c>
      <c r="W35" s="158" t="s">
        <v>294</v>
      </c>
      <c r="X35" s="158" t="s">
        <v>294</v>
      </c>
      <c r="Y35" s="158" t="s">
        <v>294</v>
      </c>
      <c r="Z35" s="250" t="s">
        <v>294</v>
      </c>
      <c r="AA35" s="158" t="s">
        <v>294</v>
      </c>
      <c r="AB35" s="158" t="s">
        <v>294</v>
      </c>
      <c r="AC35" s="158" t="s">
        <v>294</v>
      </c>
      <c r="AD35" s="158" t="s">
        <v>294</v>
      </c>
      <c r="AE35" s="250" t="s">
        <v>294</v>
      </c>
      <c r="AF35" s="158" t="s">
        <v>294</v>
      </c>
      <c r="AG35" s="19">
        <f>+AG33/AF33-1</f>
        <v>-0.3894971605913603</v>
      </c>
      <c r="AH35" s="19">
        <f t="shared" ref="AH35" si="745">+AH33/AG33-1</f>
        <v>-0.42950168416876666</v>
      </c>
      <c r="AI35" s="19">
        <f t="shared" ref="AI35" si="746">+AI33/AH33-1</f>
        <v>1.0668972928791063</v>
      </c>
      <c r="AJ35" s="251" t="s">
        <v>294</v>
      </c>
      <c r="AK35" s="19">
        <f>+AK33/AI33-1</f>
        <v>-0.18310630245132953</v>
      </c>
      <c r="AL35" s="19">
        <f>+AL33/AK33-1</f>
        <v>-0.41175329712955611</v>
      </c>
      <c r="AM35" s="19">
        <f t="shared" ref="AM35" si="747">+AM33/AL33-1</f>
        <v>-0.10023079459281514</v>
      </c>
      <c r="AN35" s="19">
        <f t="shared" ref="AN35" si="748">+AN33/AM33-1</f>
        <v>-5.8995969219486355E-2</v>
      </c>
      <c r="AO35" s="251" t="s">
        <v>294</v>
      </c>
      <c r="AP35" s="19">
        <f>+AP33/AN33-1</f>
        <v>-0.27609034267913368</v>
      </c>
      <c r="AQ35" s="19">
        <f>+AQ33/AP33-1</f>
        <v>0.38192576654115107</v>
      </c>
      <c r="AR35" s="19">
        <f t="shared" ref="AR35" si="749">+AR33/AQ33-1</f>
        <v>-0.24056052938886718</v>
      </c>
      <c r="AS35" s="19">
        <f t="shared" ref="AS35" si="750">+AS33/AR33-1</f>
        <v>0.11891337775499733</v>
      </c>
      <c r="AT35" s="251" t="s">
        <v>294</v>
      </c>
      <c r="AU35" s="379">
        <f>+AU33/AS33-1</f>
        <v>-0.10584058634906079</v>
      </c>
      <c r="AV35" s="19">
        <f>+AV33/AU33-1</f>
        <v>0.38192576654115107</v>
      </c>
      <c r="AW35" s="19">
        <f t="shared" ref="AW35" si="751">+AW33/AV33-1</f>
        <v>-0.24056052938886718</v>
      </c>
      <c r="AX35" s="19">
        <f t="shared" ref="AX35" si="752">+AX33/AW33-1</f>
        <v>0.11891337775499733</v>
      </c>
      <c r="AY35" s="251" t="s">
        <v>294</v>
      </c>
      <c r="AZ35" s="19">
        <f>+AZ33/AX33-1</f>
        <v>-0.10584058634906091</v>
      </c>
      <c r="BA35" s="19">
        <f>+BA33/AZ33-1</f>
        <v>0.38192576654115107</v>
      </c>
      <c r="BB35" s="19">
        <f t="shared" ref="BB35" si="753">+BB33/BA33-1</f>
        <v>-0.24056052938886718</v>
      </c>
      <c r="BC35" s="19">
        <f t="shared" ref="BC35" si="754">+BC33/BB33-1</f>
        <v>0.11891337775499733</v>
      </c>
      <c r="BD35" s="251" t="s">
        <v>294</v>
      </c>
      <c r="BE35" s="19">
        <f>+BE33/BC33-1</f>
        <v>-0.10584058634906068</v>
      </c>
      <c r="BF35" s="19">
        <f>+BF33/BE33-1</f>
        <v>0.38192576654115107</v>
      </c>
      <c r="BG35" s="19">
        <f t="shared" ref="BG35" si="755">+BG33/BF33-1</f>
        <v>-0.24056052938886729</v>
      </c>
      <c r="BH35" s="19">
        <f t="shared" ref="BH35" si="756">+BH33/BG33-1</f>
        <v>0.11891337775499733</v>
      </c>
      <c r="BI35" s="251" t="s">
        <v>294</v>
      </c>
      <c r="BJ35" s="19">
        <f>+BJ33/BH33-1</f>
        <v>-0.10584058634906079</v>
      </c>
      <c r="BK35" s="19">
        <f>+BK33/BJ33-1</f>
        <v>0.38192576654115085</v>
      </c>
      <c r="BL35" s="19">
        <f t="shared" ref="BL35" si="757">+BL33/BK33-1</f>
        <v>-0.24056052938886718</v>
      </c>
      <c r="BM35" s="19">
        <f t="shared" ref="BM35" si="758">+BM33/BL33-1</f>
        <v>0.11891337775499733</v>
      </c>
      <c r="BN35" s="251" t="s">
        <v>294</v>
      </c>
      <c r="BO35" s="19">
        <f>+BO33/BM33-1</f>
        <v>-0.10584058634906079</v>
      </c>
      <c r="BP35" s="19">
        <f>+BP33/BO33-1</f>
        <v>0.38192576654115085</v>
      </c>
      <c r="BQ35" s="19">
        <f t="shared" ref="BQ35" si="759">+BQ33/BP33-1</f>
        <v>-0.24056052938886718</v>
      </c>
      <c r="BR35" s="19">
        <f t="shared" ref="BR35" si="760">+BR33/BQ33-1</f>
        <v>0.11891337775499755</v>
      </c>
      <c r="BS35" s="251" t="s">
        <v>294</v>
      </c>
      <c r="BT35" s="19">
        <f>+BT33/BR33-1</f>
        <v>-0.10584058634906079</v>
      </c>
      <c r="BU35" s="19">
        <f>+BU33/BT33-1</f>
        <v>0.38192576654115085</v>
      </c>
      <c r="BV35" s="19">
        <f t="shared" ref="BV35" si="761">+BV33/BU33-1</f>
        <v>-0.24056052938886707</v>
      </c>
      <c r="BW35" s="19">
        <f t="shared" ref="BW35" si="762">+BW33/BV33-1</f>
        <v>0.11891337775499733</v>
      </c>
      <c r="BX35" s="251" t="s">
        <v>294</v>
      </c>
      <c r="BY35" s="19">
        <f>+BY33/BW33-1</f>
        <v>-0.10584058634906079</v>
      </c>
      <c r="BZ35" s="19">
        <f>+BZ33/BY33-1</f>
        <v>0.38192576654115062</v>
      </c>
      <c r="CA35" s="19">
        <f t="shared" ref="CA35" si="763">+CA33/BZ33-1</f>
        <v>-0.24056052938886707</v>
      </c>
      <c r="CB35" s="19">
        <f t="shared" ref="CB35" si="764">+CB33/CA33-1</f>
        <v>0.11891337775499733</v>
      </c>
      <c r="CC35" s="251" t="s">
        <v>294</v>
      </c>
      <c r="CD35" s="19">
        <f>+CD33/CB33-1</f>
        <v>-0.10584058634906068</v>
      </c>
      <c r="CE35" s="19">
        <f>+CE33/CD33-1</f>
        <v>0.38192576654115062</v>
      </c>
      <c r="CF35" s="19">
        <f t="shared" ref="CF35" si="765">+CF33/CE33-1</f>
        <v>-0.24056052938886707</v>
      </c>
      <c r="CG35" s="19">
        <f t="shared" ref="CG35" si="766">+CG33/CF33-1</f>
        <v>0.11891337775499733</v>
      </c>
      <c r="CH35" s="251" t="s">
        <v>294</v>
      </c>
      <c r="CI35" s="19">
        <f>+CI33/CG33-1</f>
        <v>-0.10584058634906068</v>
      </c>
      <c r="CJ35" s="19">
        <f>+CJ33/CI33-1</f>
        <v>0.38192576654115062</v>
      </c>
      <c r="CK35" s="19">
        <f t="shared" ref="CK35" si="767">+CK33/CJ33-1</f>
        <v>-0.24056052938886718</v>
      </c>
      <c r="CL35" s="19">
        <f t="shared" ref="CL35" si="768">+CL33/CK33-1</f>
        <v>0.11891337775499733</v>
      </c>
      <c r="CM35" s="251" t="s">
        <v>294</v>
      </c>
    </row>
    <row r="36" spans="1:93" s="42" customFormat="1">
      <c r="A36" s="42" t="s">
        <v>419</v>
      </c>
      <c r="B36" s="232" t="s">
        <v>294</v>
      </c>
      <c r="C36" s="232" t="s">
        <v>294</v>
      </c>
      <c r="D36" s="232" t="s">
        <v>294</v>
      </c>
      <c r="E36" s="232" t="s">
        <v>294</v>
      </c>
      <c r="F36" s="239" t="s">
        <v>294</v>
      </c>
      <c r="G36" s="170">
        <f>+G286</f>
        <v>16.692</v>
      </c>
      <c r="H36" s="170">
        <f t="shared" ref="H36:AD36" si="769">+H286</f>
        <v>19.381999999999998</v>
      </c>
      <c r="I36" s="170">
        <f t="shared" si="769"/>
        <v>21.692</v>
      </c>
      <c r="J36" s="170">
        <f t="shared" si="769"/>
        <v>32.872999999999998</v>
      </c>
      <c r="K36" s="253">
        <f t="shared" si="769"/>
        <v>90.638999999999996</v>
      </c>
      <c r="L36" s="170">
        <f t="shared" si="769"/>
        <v>36.655000000000001</v>
      </c>
      <c r="M36" s="170">
        <f t="shared" si="769"/>
        <v>53.975000000000001</v>
      </c>
      <c r="N36" s="170">
        <f t="shared" si="769"/>
        <v>60.847999999999999</v>
      </c>
      <c r="O36" s="170">
        <f t="shared" si="769"/>
        <v>62.896999999999998</v>
      </c>
      <c r="P36" s="253">
        <f t="shared" si="769"/>
        <v>214.375</v>
      </c>
      <c r="Q36" s="170">
        <f t="shared" si="769"/>
        <v>67.510000000000005</v>
      </c>
      <c r="R36" s="170">
        <f t="shared" si="769"/>
        <v>66.334999999999994</v>
      </c>
      <c r="S36" s="170">
        <f t="shared" si="769"/>
        <v>74.569000000000003</v>
      </c>
      <c r="T36" s="170">
        <f t="shared" si="769"/>
        <v>78.316000000000003</v>
      </c>
      <c r="U36" s="253">
        <f t="shared" si="769"/>
        <v>286.72999999999996</v>
      </c>
      <c r="V36" s="170">
        <f t="shared" si="769"/>
        <v>78.664999999999992</v>
      </c>
      <c r="W36" s="170">
        <f t="shared" si="769"/>
        <v>92.100999999999999</v>
      </c>
      <c r="X36" s="170">
        <f t="shared" si="769"/>
        <v>94.8</v>
      </c>
      <c r="Y36" s="170">
        <f>+Y286</f>
        <v>108.10799999999999</v>
      </c>
      <c r="Z36" s="253">
        <f t="shared" si="769"/>
        <v>373.67399999999998</v>
      </c>
      <c r="AA36" s="170">
        <f t="shared" si="769"/>
        <v>96.09899999999999</v>
      </c>
      <c r="AB36" s="170">
        <f t="shared" si="769"/>
        <v>109.14400000000001</v>
      </c>
      <c r="AC36" s="170">
        <f t="shared" si="769"/>
        <v>117.404</v>
      </c>
      <c r="AD36" s="170">
        <f t="shared" si="769"/>
        <v>126.89099999999999</v>
      </c>
      <c r="AE36" s="253">
        <f>+AE286</f>
        <v>449.53800000000001</v>
      </c>
      <c r="AF36" s="170">
        <f>+AF89+AF173+AF269</f>
        <v>128.714</v>
      </c>
      <c r="AG36" s="170">
        <f>+AG89+AG173+AG269</f>
        <v>137.15</v>
      </c>
      <c r="AH36" s="170">
        <f>+AH89+AH173+AH269</f>
        <v>143.03</v>
      </c>
      <c r="AI36" s="170">
        <f>+AI89+AI173+AI269</f>
        <v>155.054</v>
      </c>
      <c r="AJ36" s="253">
        <f>+AJ89+AJ173+AJ269</f>
        <v>563.94800000000009</v>
      </c>
      <c r="AK36" s="170">
        <f t="shared" ref="AK36:BP36" si="770">+AK89+AK173+AK204+AK269</f>
        <v>168.49100000000001</v>
      </c>
      <c r="AL36" s="170">
        <f t="shared" si="770"/>
        <v>177.23500000000001</v>
      </c>
      <c r="AM36" s="170">
        <f t="shared" si="770"/>
        <v>191.476</v>
      </c>
      <c r="AN36" s="170">
        <f t="shared" si="770"/>
        <v>201.81400000000002</v>
      </c>
      <c r="AO36" s="253">
        <f t="shared" si="770"/>
        <v>739.01599999999996</v>
      </c>
      <c r="AP36" s="170">
        <f t="shared" si="770"/>
        <v>203.471</v>
      </c>
      <c r="AQ36" s="170">
        <f t="shared" si="770"/>
        <v>232.08799999999999</v>
      </c>
      <c r="AR36" s="170">
        <f t="shared" si="770"/>
        <v>265.19600000000003</v>
      </c>
      <c r="AS36" s="170">
        <f t="shared" si="770"/>
        <v>281.26600000000002</v>
      </c>
      <c r="AT36" s="253">
        <f t="shared" si="770"/>
        <v>982.02100000000007</v>
      </c>
      <c r="AU36" s="356">
        <f t="shared" si="770"/>
        <v>281.60531603738082</v>
      </c>
      <c r="AV36" s="170">
        <f t="shared" si="770"/>
        <v>311.50645540484032</v>
      </c>
      <c r="AW36" s="170">
        <f t="shared" si="770"/>
        <v>342.59685813774121</v>
      </c>
      <c r="AX36" s="170">
        <f t="shared" si="770"/>
        <v>364.22008164208887</v>
      </c>
      <c r="AY36" s="253">
        <f t="shared" si="770"/>
        <v>1299.9287112220511</v>
      </c>
      <c r="AZ36" s="170">
        <f t="shared" si="770"/>
        <v>413.59501413083899</v>
      </c>
      <c r="BA36" s="170">
        <f t="shared" si="770"/>
        <v>448.77172478376991</v>
      </c>
      <c r="BB36" s="170">
        <f t="shared" si="770"/>
        <v>470.63163913458027</v>
      </c>
      <c r="BC36" s="170">
        <f t="shared" si="770"/>
        <v>499.07065263627362</v>
      </c>
      <c r="BD36" s="253">
        <f t="shared" si="770"/>
        <v>1832.0690306854624</v>
      </c>
      <c r="BE36" s="170">
        <f t="shared" si="770"/>
        <v>553.1683381292205</v>
      </c>
      <c r="BF36" s="170">
        <f t="shared" si="770"/>
        <v>592.87405810199141</v>
      </c>
      <c r="BG36" s="170">
        <f t="shared" si="770"/>
        <v>621.18652486450094</v>
      </c>
      <c r="BH36" s="170">
        <f t="shared" si="770"/>
        <v>651.68818738278628</v>
      </c>
      <c r="BI36" s="253">
        <f t="shared" si="770"/>
        <v>2418.9171084784989</v>
      </c>
      <c r="BJ36" s="170">
        <f t="shared" si="770"/>
        <v>688.03920325588376</v>
      </c>
      <c r="BK36" s="170">
        <f t="shared" si="770"/>
        <v>719.85629538814442</v>
      </c>
      <c r="BL36" s="170">
        <f t="shared" si="770"/>
        <v>752.57811962490302</v>
      </c>
      <c r="BM36" s="170">
        <f t="shared" si="770"/>
        <v>777.10022915671175</v>
      </c>
      <c r="BN36" s="253">
        <f t="shared" si="770"/>
        <v>2937.5738474256432</v>
      </c>
      <c r="BO36" s="170">
        <f t="shared" si="770"/>
        <v>818.64398982162049</v>
      </c>
      <c r="BP36" s="170">
        <f t="shared" si="770"/>
        <v>861.85047842993583</v>
      </c>
      <c r="BQ36" s="170">
        <f t="shared" ref="BQ36:CM36" si="771">+BQ89+BQ173+BQ204+BQ269</f>
        <v>888.40657399175768</v>
      </c>
      <c r="BR36" s="170">
        <f t="shared" si="771"/>
        <v>913.78388566314004</v>
      </c>
      <c r="BS36" s="253">
        <f t="shared" si="771"/>
        <v>3482.6849279064536</v>
      </c>
      <c r="BT36" s="170">
        <f t="shared" si="771"/>
        <v>941.23610776873761</v>
      </c>
      <c r="BU36" s="170">
        <f t="shared" si="771"/>
        <v>978.11363064537602</v>
      </c>
      <c r="BV36" s="170">
        <f t="shared" si="771"/>
        <v>1001.4567288523792</v>
      </c>
      <c r="BW36" s="170">
        <f t="shared" si="771"/>
        <v>1023.3963433330717</v>
      </c>
      <c r="BX36" s="253">
        <f t="shared" si="771"/>
        <v>3944.2028105995646</v>
      </c>
      <c r="BY36" s="170">
        <f t="shared" si="771"/>
        <v>1038.2502540320402</v>
      </c>
      <c r="BZ36" s="170">
        <f t="shared" si="771"/>
        <v>1070.7141308656687</v>
      </c>
      <c r="CA36" s="170">
        <f t="shared" si="771"/>
        <v>1097.9243661871585</v>
      </c>
      <c r="CB36" s="170">
        <f t="shared" si="771"/>
        <v>1117.9568479020309</v>
      </c>
      <c r="CC36" s="253">
        <f t="shared" si="771"/>
        <v>4324.845598986898</v>
      </c>
      <c r="CD36" s="170">
        <f t="shared" si="771"/>
        <v>1134.0506213932824</v>
      </c>
      <c r="CE36" s="170">
        <f t="shared" si="771"/>
        <v>1172.242442504318</v>
      </c>
      <c r="CF36" s="170">
        <f t="shared" si="771"/>
        <v>1190.4938941893213</v>
      </c>
      <c r="CG36" s="170">
        <f t="shared" si="771"/>
        <v>1207.836555397404</v>
      </c>
      <c r="CH36" s="253">
        <f t="shared" si="771"/>
        <v>4704.6235134843255</v>
      </c>
      <c r="CI36" s="170">
        <f t="shared" si="771"/>
        <v>1215.2077554842629</v>
      </c>
      <c r="CJ36" s="170">
        <f t="shared" si="771"/>
        <v>1247.7236575415586</v>
      </c>
      <c r="CK36" s="170">
        <f t="shared" si="771"/>
        <v>1262.1705952120851</v>
      </c>
      <c r="CL36" s="170">
        <f t="shared" si="771"/>
        <v>1276.2323882023065</v>
      </c>
      <c r="CM36" s="253">
        <f t="shared" si="771"/>
        <v>5001.3343964402138</v>
      </c>
    </row>
    <row r="37" spans="1:93">
      <c r="A37" s="139" t="s">
        <v>291</v>
      </c>
      <c r="B37" s="232" t="s">
        <v>294</v>
      </c>
      <c r="C37" s="232" t="s">
        <v>294</v>
      </c>
      <c r="D37" s="232" t="s">
        <v>294</v>
      </c>
      <c r="E37" s="232" t="s">
        <v>294</v>
      </c>
      <c r="F37" s="239" t="s">
        <v>294</v>
      </c>
      <c r="G37" s="158" t="s">
        <v>294</v>
      </c>
      <c r="H37" s="158" t="s">
        <v>294</v>
      </c>
      <c r="I37" s="158" t="s">
        <v>294</v>
      </c>
      <c r="J37" s="158" t="s">
        <v>294</v>
      </c>
      <c r="K37" s="250" t="s">
        <v>294</v>
      </c>
      <c r="L37" s="19">
        <f t="shared" ref="L37" si="772">+L36/G36-1</f>
        <v>1.1959621375509228</v>
      </c>
      <c r="M37" s="19">
        <f t="shared" ref="M37" si="773">+M36/H36-1</f>
        <v>1.7848003302032818</v>
      </c>
      <c r="N37" s="19">
        <f t="shared" ref="N37" si="774">+N36/I36-1</f>
        <v>1.8050894338926793</v>
      </c>
      <c r="O37" s="19">
        <f t="shared" ref="O37" si="775">+O36/J36-1</f>
        <v>0.91333313053265597</v>
      </c>
      <c r="P37" s="259">
        <f t="shared" ref="P37" si="776">+P36/K36-1</f>
        <v>1.3651518661944637</v>
      </c>
      <c r="Q37" s="19">
        <f t="shared" ref="Q37" si="777">+Q36/L36-1</f>
        <v>0.84176783522029752</v>
      </c>
      <c r="R37" s="19">
        <f t="shared" ref="R37" si="778">+R36/M36-1</f>
        <v>0.22899490504863351</v>
      </c>
      <c r="S37" s="19">
        <f t="shared" ref="S37" si="779">+S36/N36-1</f>
        <v>0.22549631869576658</v>
      </c>
      <c r="T37" s="19">
        <f t="shared" ref="T37" si="780">+T36/O36-1</f>
        <v>0.24514682735265603</v>
      </c>
      <c r="U37" s="259">
        <f t="shared" ref="U37" si="781">+U36/P36-1</f>
        <v>0.33751603498542249</v>
      </c>
      <c r="V37" s="19">
        <f t="shared" ref="V37" si="782">+V36/Q36-1</f>
        <v>0.16523478003258751</v>
      </c>
      <c r="W37" s="19">
        <f t="shared" ref="W37" si="783">+W36/R36-1</f>
        <v>0.38842240144719997</v>
      </c>
      <c r="X37" s="19">
        <f t="shared" ref="X37" si="784">+X36/S36-1</f>
        <v>0.27130577049444127</v>
      </c>
      <c r="Y37" s="19">
        <f t="shared" ref="Y37" si="785">+Y36/T36-1</f>
        <v>0.38040757954951721</v>
      </c>
      <c r="Z37" s="259">
        <f t="shared" ref="Z37" si="786">+Z36/U36-1</f>
        <v>0.30322603145816629</v>
      </c>
      <c r="AA37" s="19">
        <f t="shared" ref="AA37" si="787">+AA36/V36-1</f>
        <v>0.22162333947753132</v>
      </c>
      <c r="AB37" s="19">
        <f t="shared" ref="AB37" si="788">+AB36/W36-1</f>
        <v>0.18504685073994853</v>
      </c>
      <c r="AC37" s="19">
        <f t="shared" ref="AC37" si="789">+AC36/X36-1</f>
        <v>0.23843881856540095</v>
      </c>
      <c r="AD37" s="19">
        <f t="shared" ref="AD37" si="790">+AD36/Y36-1</f>
        <v>0.17374292374292377</v>
      </c>
      <c r="AE37" s="259">
        <f t="shared" ref="AE37" si="791">+AE36/Z36-1</f>
        <v>0.20302188538672761</v>
      </c>
      <c r="AF37" s="19">
        <f t="shared" ref="AF37" si="792">+AF36/AA36-1</f>
        <v>0.33938958782089323</v>
      </c>
      <c r="AG37" s="19">
        <f t="shared" ref="AG37" si="793">+AG36/AB36-1</f>
        <v>0.25659678956241305</v>
      </c>
      <c r="AH37" s="19">
        <f t="shared" ref="AH37" si="794">+AH36/AC36-1</f>
        <v>0.21827194984838671</v>
      </c>
      <c r="AI37" s="19">
        <f t="shared" ref="AI37" si="795">+AI36/AD36-1</f>
        <v>0.22194639493738721</v>
      </c>
      <c r="AJ37" s="259">
        <f t="shared" ref="AJ37" si="796">+AJ36/AE36-1</f>
        <v>0.25450573700109902</v>
      </c>
      <c r="AK37" s="19">
        <f t="shared" ref="AK37" si="797">+AK36/AF36-1</f>
        <v>0.30903398231738599</v>
      </c>
      <c r="AL37" s="19">
        <f t="shared" ref="AL37" si="798">+AL36/AG36-1</f>
        <v>0.29227123587313164</v>
      </c>
      <c r="AM37" s="19">
        <f t="shared" ref="AM37" si="799">+AM36/AH36-1</f>
        <v>0.3387121582884709</v>
      </c>
      <c r="AN37" s="19">
        <f t="shared" ref="AN37" si="800">+AN36/AI36-1</f>
        <v>0.30157235543746053</v>
      </c>
      <c r="AO37" s="259">
        <f t="shared" ref="AO37" si="801">+AO36/AJ36-1</f>
        <v>0.31043287679005838</v>
      </c>
      <c r="AP37" s="19">
        <f t="shared" ref="AP37" si="802">+AP36/AK36-1</f>
        <v>0.20760752799852811</v>
      </c>
      <c r="AQ37" s="19">
        <f t="shared" ref="AQ37" si="803">+AQ36/AL36-1</f>
        <v>0.30949304595593397</v>
      </c>
      <c r="AR37" s="19">
        <f t="shared" ref="AR37" si="804">+AR36/AM36-1</f>
        <v>0.38500908730075856</v>
      </c>
      <c r="AS37" s="19">
        <f t="shared" ref="AS37" si="805">+AS36/AN36-1</f>
        <v>0.39368923860584504</v>
      </c>
      <c r="AT37" s="259">
        <f t="shared" ref="AT37" si="806">+AT36/AO36-1</f>
        <v>0.32882238002966124</v>
      </c>
      <c r="AU37" s="379">
        <f t="shared" ref="AU37" si="807">+AU36/AP36-1</f>
        <v>0.38400713633579642</v>
      </c>
      <c r="AV37" s="19">
        <f t="shared" ref="AV37" si="808">+AV36/AQ36-1</f>
        <v>0.34219113183292693</v>
      </c>
      <c r="AW37" s="19">
        <f t="shared" ref="AW37" si="809">+AW36/AR36-1</f>
        <v>0.29186284158788656</v>
      </c>
      <c r="AX37" s="19">
        <f t="shared" ref="AX37" si="810">+AX36/AS36-1</f>
        <v>0.29493106753780718</v>
      </c>
      <c r="AY37" s="259">
        <f t="shared" ref="AY37" si="811">+AY36/AT36-1</f>
        <v>0.3237280172440824</v>
      </c>
      <c r="AZ37" s="19">
        <f t="shared" ref="AZ37" si="812">+AZ36/AU36-1</f>
        <v>0.46870456833257235</v>
      </c>
      <c r="BA37" s="19">
        <f t="shared" ref="BA37" si="813">+BA36/AV36-1</f>
        <v>0.44064983886300779</v>
      </c>
      <c r="BB37" s="19">
        <f t="shared" ref="BB37" si="814">+BB36/AW36-1</f>
        <v>0.37371849144443292</v>
      </c>
      <c r="BC37" s="19">
        <f t="shared" ref="BC37" si="815">+BC36/AX36-1</f>
        <v>0.37024474429364229</v>
      </c>
      <c r="BD37" s="337">
        <f t="shared" ref="BD37" si="816">+BD36/AY36-1</f>
        <v>0.40936115563071995</v>
      </c>
      <c r="BE37" s="19">
        <f t="shared" ref="BE37" si="817">+BE36/AZ36-1</f>
        <v>0.33746374890831765</v>
      </c>
      <c r="BF37" s="19">
        <f t="shared" ref="BF37" si="818">+BF36/BA36-1</f>
        <v>0.32110386051539641</v>
      </c>
      <c r="BG37" s="19">
        <f t="shared" ref="BG37" si="819">+BG36/BB36-1</f>
        <v>0.31989962682230222</v>
      </c>
      <c r="BH37" s="19">
        <f t="shared" ref="BH37" si="820">+BH36/BC36-1</f>
        <v>0.30580346478064979</v>
      </c>
      <c r="BI37" s="259">
        <f t="shared" ref="BI37" si="821">+BI36/BD36-1</f>
        <v>0.32031985037892885</v>
      </c>
      <c r="BJ37" s="19">
        <f t="shared" ref="BJ37" si="822">+BJ36/BE36-1</f>
        <v>0.24381522916294851</v>
      </c>
      <c r="BK37" s="19">
        <f t="shared" ref="BK37" si="823">+BK36/BF36-1</f>
        <v>0.2141807953153998</v>
      </c>
      <c r="BL37" s="19">
        <f t="shared" ref="BL37" si="824">+BL36/BG36-1</f>
        <v>0.21151713615980716</v>
      </c>
      <c r="BM37" s="19">
        <f t="shared" ref="BM37" si="825">+BM36/BH36-1</f>
        <v>0.1924417907244671</v>
      </c>
      <c r="BN37" s="259">
        <f t="shared" ref="BN37" si="826">+BN36/BI36-1</f>
        <v>0.21441691289429099</v>
      </c>
      <c r="BO37" s="19">
        <f t="shared" ref="BO37" si="827">+BO36/BJ36-1</f>
        <v>0.18982172229096728</v>
      </c>
      <c r="BP37" s="19">
        <f t="shared" ref="BP37" si="828">+BP36/BK36-1</f>
        <v>0.19725351289069248</v>
      </c>
      <c r="BQ37" s="19">
        <f t="shared" ref="BQ37" si="829">+BQ36/BL36-1</f>
        <v>0.18048419270354787</v>
      </c>
      <c r="BR37" s="19">
        <f t="shared" ref="BR37" si="830">+BR36/BM36-1</f>
        <v>0.1758893529792851</v>
      </c>
      <c r="BS37" s="259">
        <f t="shared" ref="BS37" si="831">+BS36/BN36-1</f>
        <v>0.18556506450332177</v>
      </c>
      <c r="BT37" s="19">
        <f t="shared" ref="BT37" si="832">+BT36/BO36-1</f>
        <v>0.14975022045154152</v>
      </c>
      <c r="BU37" s="19">
        <f t="shared" ref="BU37" si="833">+BU36/BP36-1</f>
        <v>0.13489944616291338</v>
      </c>
      <c r="BV37" s="19">
        <f t="shared" ref="BV37" si="834">+BV36/BQ36-1</f>
        <v>0.12725047086568542</v>
      </c>
      <c r="BW37" s="19">
        <f t="shared" ref="BW37" si="835">+BW36/BR36-1</f>
        <v>0.11995446559049916</v>
      </c>
      <c r="BX37" s="259">
        <f t="shared" ref="BX37" si="836">+BX36/BS36-1</f>
        <v>0.13251783961133201</v>
      </c>
      <c r="BY37" s="19">
        <f t="shared" ref="BY37" si="837">+BY36/BT36-1</f>
        <v>0.10307099936197828</v>
      </c>
      <c r="BZ37" s="19">
        <f t="shared" ref="BZ37" si="838">+BZ36/BU36-1</f>
        <v>9.4672538362637226E-2</v>
      </c>
      <c r="CA37" s="19">
        <f t="shared" ref="CA37" si="839">+CA36/BV36-1</f>
        <v>9.6327314556392762E-2</v>
      </c>
      <c r="CB37" s="19">
        <f t="shared" ref="CB37" si="840">+CB36/BW36-1</f>
        <v>9.2398712566225782E-2</v>
      </c>
      <c r="CC37" s="259">
        <f t="shared" ref="CC37" si="841">+CC36/BX36-1</f>
        <v>9.6506900548927632E-2</v>
      </c>
      <c r="CD37" s="19">
        <f t="shared" ref="CD37" si="842">+CD36/BY36-1</f>
        <v>9.2270978975639073E-2</v>
      </c>
      <c r="CE37" s="19">
        <f t="shared" ref="CE37" si="843">+CE36/BZ36-1</f>
        <v>9.4822986558105837E-2</v>
      </c>
      <c r="CF37" s="19">
        <f t="shared" ref="CF37" si="844">+CF36/CA36-1</f>
        <v>8.4313210320339005E-2</v>
      </c>
      <c r="CG37" s="19">
        <f t="shared" ref="CG37" si="845">+CG36/CB36-1</f>
        <v>8.0396401403186823E-2</v>
      </c>
      <c r="CH37" s="259">
        <f t="shared" ref="CH37" si="846">+CH36/CC36-1</f>
        <v>8.7813057323107957E-2</v>
      </c>
      <c r="CI37" s="19">
        <f t="shared" ref="CI37" si="847">+CI36/CD36-1</f>
        <v>7.1563943055091839E-2</v>
      </c>
      <c r="CJ37" s="19">
        <f t="shared" ref="CJ37" si="848">+CJ36/CE36-1</f>
        <v>6.4390447146740915E-2</v>
      </c>
      <c r="CK37" s="19">
        <f t="shared" ref="CK37" si="849">+CK36/CF36-1</f>
        <v>6.0207533505724387E-2</v>
      </c>
      <c r="CL37" s="19">
        <f t="shared" ref="CL37" si="850">+CL36/CG36-1</f>
        <v>5.6626728591103737E-2</v>
      </c>
      <c r="CM37" s="259">
        <f t="shared" ref="CM37" si="851">+CM36/CH36-1</f>
        <v>6.3067933513799801E-2</v>
      </c>
    </row>
    <row r="38" spans="1:93">
      <c r="A38" s="139" t="s">
        <v>292</v>
      </c>
      <c r="B38" s="232" t="s">
        <v>294</v>
      </c>
      <c r="C38" s="232" t="s">
        <v>294</v>
      </c>
      <c r="D38" s="232" t="s">
        <v>294</v>
      </c>
      <c r="E38" s="232" t="s">
        <v>294</v>
      </c>
      <c r="F38" s="239" t="s">
        <v>294</v>
      </c>
      <c r="G38" s="147" t="s">
        <v>294</v>
      </c>
      <c r="H38" s="19">
        <f>+H36/G36-1</f>
        <v>0.16115504433261418</v>
      </c>
      <c r="I38" s="19">
        <f t="shared" ref="I38" si="852">+I36/H36-1</f>
        <v>0.11918274687854713</v>
      </c>
      <c r="J38" s="19">
        <f t="shared" ref="J38" si="853">+J36/I36-1</f>
        <v>0.51544348146782215</v>
      </c>
      <c r="K38" s="251" t="s">
        <v>294</v>
      </c>
      <c r="L38" s="19">
        <f>+L36/J36-1</f>
        <v>0.11504882426307317</v>
      </c>
      <c r="M38" s="19">
        <f>+M36/L36-1</f>
        <v>0.47251398172145676</v>
      </c>
      <c r="N38" s="19">
        <f t="shared" ref="N38" si="854">+N36/M36-1</f>
        <v>0.12733672996757761</v>
      </c>
      <c r="O38" s="19">
        <f t="shared" ref="O38" si="855">+O36/N36-1</f>
        <v>3.367407310018411E-2</v>
      </c>
      <c r="P38" s="251" t="s">
        <v>294</v>
      </c>
      <c r="Q38" s="19">
        <f>+Q36/O36-1</f>
        <v>7.3342130785252202E-2</v>
      </c>
      <c r="R38" s="19">
        <f>+R36/Q36-1</f>
        <v>-1.7404828914235115E-2</v>
      </c>
      <c r="S38" s="19">
        <f t="shared" ref="S38" si="856">+S36/R36-1</f>
        <v>0.12412753448405844</v>
      </c>
      <c r="T38" s="19">
        <f t="shared" ref="T38" si="857">+T36/S36-1</f>
        <v>5.0248762890745535E-2</v>
      </c>
      <c r="U38" s="251" t="s">
        <v>294</v>
      </c>
      <c r="V38" s="19">
        <f>+V36/T36-1</f>
        <v>4.456305224985746E-3</v>
      </c>
      <c r="W38" s="19">
        <f>+W36/V36-1</f>
        <v>0.17080022881840717</v>
      </c>
      <c r="X38" s="19">
        <f t="shared" ref="X38" si="858">+X36/W36-1</f>
        <v>2.9304784964332642E-2</v>
      </c>
      <c r="Y38" s="19">
        <f t="shared" ref="Y38" si="859">+Y36/X36-1</f>
        <v>0.14037974683544308</v>
      </c>
      <c r="Z38" s="251" t="s">
        <v>294</v>
      </c>
      <c r="AA38" s="19">
        <f>+AA36/Y36-1</f>
        <v>-0.11108336108336114</v>
      </c>
      <c r="AB38" s="19">
        <f>+AB36/AA36-1</f>
        <v>0.13574542919281174</v>
      </c>
      <c r="AC38" s="19">
        <f t="shared" ref="AC38" si="860">+AC36/AB36-1</f>
        <v>7.5679835813237561E-2</v>
      </c>
      <c r="AD38" s="19">
        <f t="shared" ref="AD38" si="861">+AD36/AC36-1</f>
        <v>8.0806446117679176E-2</v>
      </c>
      <c r="AE38" s="251" t="s">
        <v>294</v>
      </c>
      <c r="AF38" s="19">
        <f>+AF36/AD36-1</f>
        <v>1.4366661150120974E-2</v>
      </c>
      <c r="AG38" s="19">
        <f>+AG36/AF36-1</f>
        <v>6.5540656028093336E-2</v>
      </c>
      <c r="AH38" s="19">
        <f t="shared" ref="AH38" si="862">+AH36/AG36-1</f>
        <v>4.2872767043383053E-2</v>
      </c>
      <c r="AI38" s="19">
        <f t="shared" ref="AI38" si="863">+AI36/AH36-1</f>
        <v>8.4066279801440214E-2</v>
      </c>
      <c r="AJ38" s="251" t="s">
        <v>294</v>
      </c>
      <c r="AK38" s="19">
        <f>+AK36/AI36-1</f>
        <v>8.6660131309092447E-2</v>
      </c>
      <c r="AL38" s="19">
        <f>+AL36/AK36-1</f>
        <v>5.1895946964526374E-2</v>
      </c>
      <c r="AM38" s="19">
        <f t="shared" ref="AM38" si="864">+AM36/AL36-1</f>
        <v>8.0350946483482399E-2</v>
      </c>
      <c r="AN38" s="19">
        <f t="shared" ref="AN38" si="865">+AN36/AM36-1</f>
        <v>5.3991100712361018E-2</v>
      </c>
      <c r="AO38" s="251" t="s">
        <v>294</v>
      </c>
      <c r="AP38" s="19">
        <f>+AP36/AN36-1</f>
        <v>8.2105304884694252E-3</v>
      </c>
      <c r="AQ38" s="19">
        <f>+AQ36/AP36-1</f>
        <v>0.1406441212752676</v>
      </c>
      <c r="AR38" s="19">
        <f t="shared" ref="AR38" si="866">+AR36/AQ36-1</f>
        <v>0.14265278687394445</v>
      </c>
      <c r="AS38" s="19">
        <f t="shared" ref="AS38" si="867">+AS36/AR36-1</f>
        <v>6.0596690749483262E-2</v>
      </c>
      <c r="AT38" s="251" t="s">
        <v>294</v>
      </c>
      <c r="AU38" s="379">
        <f>+AU36/AS36-1</f>
        <v>1.2063883917032836E-3</v>
      </c>
      <c r="AV38" s="19">
        <f>+AV36/AU36-1</f>
        <v>0.10618101883946807</v>
      </c>
      <c r="AW38" s="19">
        <f t="shared" ref="AW38" si="868">+AW36/AV36-1</f>
        <v>9.9806608156788101E-2</v>
      </c>
      <c r="AX38" s="19">
        <f t="shared" ref="AX38" si="869">+AX36/AW36-1</f>
        <v>6.3115650335748397E-2</v>
      </c>
      <c r="AY38" s="251" t="s">
        <v>294</v>
      </c>
      <c r="AZ38" s="19">
        <f>+AZ36/AX36-1</f>
        <v>0.13556345456335883</v>
      </c>
      <c r="BA38" s="19">
        <f>+BA36/AZ36-1</f>
        <v>8.5051099387293272E-2</v>
      </c>
      <c r="BB38" s="19">
        <f t="shared" ref="BB38" si="870">+BB36/BA36-1</f>
        <v>4.871054289648713E-2</v>
      </c>
      <c r="BC38" s="19">
        <f t="shared" ref="BC38" si="871">+BC36/BB36-1</f>
        <v>6.0427330287416092E-2</v>
      </c>
      <c r="BD38" s="251" t="s">
        <v>294</v>
      </c>
      <c r="BE38" s="19">
        <f>+BE36/BC36-1</f>
        <v>0.10839684763506563</v>
      </c>
      <c r="BF38" s="19">
        <f>+BF36/BE36-1</f>
        <v>7.1778728527834845E-2</v>
      </c>
      <c r="BG38" s="19">
        <f t="shared" ref="BG38" si="872">+BG36/BF36-1</f>
        <v>4.7754605511241666E-2</v>
      </c>
      <c r="BH38" s="19">
        <f t="shared" ref="BH38" si="873">+BH36/BG36-1</f>
        <v>4.9102260428039113E-2</v>
      </c>
      <c r="BI38" s="251" t="s">
        <v>294</v>
      </c>
      <c r="BJ38" s="19">
        <f>+BJ36/BH36-1</f>
        <v>5.5779767957871096E-2</v>
      </c>
      <c r="BK38" s="19">
        <f>+BK36/BJ36-1</f>
        <v>4.6243138445743126E-2</v>
      </c>
      <c r="BL38" s="19">
        <f t="shared" ref="BL38" si="874">+BL36/BK36-1</f>
        <v>4.5456050667883829E-2</v>
      </c>
      <c r="BM38" s="19">
        <f t="shared" ref="BM38" si="875">+BM36/BL36-1</f>
        <v>3.2584138300527421E-2</v>
      </c>
      <c r="BN38" s="251" t="s">
        <v>294</v>
      </c>
      <c r="BO38" s="19">
        <f>+BO36/BM36-1</f>
        <v>5.3459977369960221E-2</v>
      </c>
      <c r="BP38" s="19">
        <f>+BP36/BO36-1</f>
        <v>5.2778117405747782E-2</v>
      </c>
      <c r="BQ38" s="19">
        <f t="shared" ref="BQ38" si="876">+BQ36/BP36-1</f>
        <v>3.0812880222796935E-2</v>
      </c>
      <c r="BR38" s="19">
        <f t="shared" ref="BR38" si="877">+BR36/BQ36-1</f>
        <v>2.8564975107464585E-2</v>
      </c>
      <c r="BS38" s="251" t="s">
        <v>294</v>
      </c>
      <c r="BT38" s="19">
        <f>+BT36/BR36-1</f>
        <v>3.0042357428611499E-2</v>
      </c>
      <c r="BU38" s="19">
        <f>+BU36/BT36-1</f>
        <v>3.9179885442409468E-2</v>
      </c>
      <c r="BV38" s="19">
        <f t="shared" ref="BV38" si="878">+BV36/BU36-1</f>
        <v>2.3865425729320489E-2</v>
      </c>
      <c r="BW38" s="19">
        <f t="shared" ref="BW38" si="879">+BW36/BV36-1</f>
        <v>2.1907700900701155E-2</v>
      </c>
      <c r="BX38" s="251" t="s">
        <v>294</v>
      </c>
      <c r="BY38" s="19">
        <f>+BY36/BW36-1</f>
        <v>1.4514328486450401E-2</v>
      </c>
      <c r="BZ38" s="19">
        <f>+BZ36/BY36-1</f>
        <v>3.1267872757608561E-2</v>
      </c>
      <c r="CA38" s="19">
        <f t="shared" ref="CA38" si="880">+CA36/BZ36-1</f>
        <v>2.5413165416515504E-2</v>
      </c>
      <c r="CB38" s="19">
        <f t="shared" ref="CB38" si="881">+CB36/CA36-1</f>
        <v>1.8245775694404776E-2</v>
      </c>
      <c r="CC38" s="251" t="s">
        <v>294</v>
      </c>
      <c r="CD38" s="19">
        <f>+CD36/CB36-1</f>
        <v>1.4395701874766687E-2</v>
      </c>
      <c r="CE38" s="19">
        <f>+CE36/CD36-1</f>
        <v>3.3677351249200349E-2</v>
      </c>
      <c r="CF38" s="19">
        <f t="shared" ref="CF38" si="882">+CF36/CE36-1</f>
        <v>1.5569690213580678E-2</v>
      </c>
      <c r="CG38" s="19">
        <f t="shared" ref="CG38" si="883">+CG36/CF36-1</f>
        <v>1.4567618777996616E-2</v>
      </c>
      <c r="CH38" s="251" t="s">
        <v>294</v>
      </c>
      <c r="CI38" s="19">
        <f>+CI36/CG36-1</f>
        <v>6.1028125485351747E-3</v>
      </c>
      <c r="CJ38" s="19">
        <f>+CJ36/CI36-1</f>
        <v>2.6757483986216135E-2</v>
      </c>
      <c r="CK38" s="19">
        <f t="shared" ref="CK38" si="884">+CK36/CJ36-1</f>
        <v>1.1578635688443972E-2</v>
      </c>
      <c r="CL38" s="19">
        <f t="shared" ref="CL38" si="885">+CL36/CK36-1</f>
        <v>1.1140960693873936E-2</v>
      </c>
      <c r="CM38" s="251" t="s">
        <v>294</v>
      </c>
    </row>
    <row r="39" spans="1:93">
      <c r="A39" s="139" t="s">
        <v>420</v>
      </c>
      <c r="B39" s="232"/>
      <c r="C39" s="232"/>
      <c r="D39" s="232"/>
      <c r="E39" s="232"/>
      <c r="F39" s="239"/>
      <c r="G39" s="147"/>
      <c r="H39" s="19"/>
      <c r="I39" s="19"/>
      <c r="J39" s="19"/>
      <c r="K39" s="259">
        <f>K36/IS!K7</f>
        <v>1</v>
      </c>
      <c r="L39" s="19"/>
      <c r="M39" s="19"/>
      <c r="N39" s="19"/>
      <c r="O39" s="19"/>
      <c r="P39" s="259">
        <f>P36/IS!P7</f>
        <v>1</v>
      </c>
      <c r="Q39" s="19"/>
      <c r="R39" s="19"/>
      <c r="S39" s="19"/>
      <c r="T39" s="19"/>
      <c r="U39" s="259">
        <f>U36/IS!U7</f>
        <v>0.99999999999999978</v>
      </c>
      <c r="V39" s="19"/>
      <c r="W39" s="19"/>
      <c r="X39" s="19"/>
      <c r="Y39" s="19"/>
      <c r="Z39" s="259">
        <f>Z36/IS!Z7</f>
        <v>1.0000562018771426</v>
      </c>
      <c r="AA39" s="19"/>
      <c r="AB39" s="19"/>
      <c r="AC39" s="19"/>
      <c r="AD39" s="19"/>
      <c r="AE39" s="259">
        <f>AE36/IS!AE7</f>
        <v>1</v>
      </c>
      <c r="AF39" s="19"/>
      <c r="AG39" s="19"/>
      <c r="AH39" s="19"/>
      <c r="AI39" s="19"/>
      <c r="AJ39" s="259">
        <f>AJ36/IS!AJ7</f>
        <v>1.0000000000000002</v>
      </c>
      <c r="AK39" s="19">
        <f>AK36/IS!AK7</f>
        <v>1</v>
      </c>
      <c r="AL39" s="19">
        <f>AL36/IS!AL7</f>
        <v>1</v>
      </c>
      <c r="AM39" s="19">
        <f>AM36/IS!AM7</f>
        <v>1</v>
      </c>
      <c r="AN39" s="19">
        <f>AN36/IS!AN7</f>
        <v>1.0000000000000002</v>
      </c>
      <c r="AO39" s="259">
        <f>AO36/IS!AO7</f>
        <v>1</v>
      </c>
      <c r="AP39" s="19">
        <f>AP36/IS!AP7</f>
        <v>1</v>
      </c>
      <c r="AQ39" s="19">
        <f>AQ36/IS!AQ7</f>
        <v>1</v>
      </c>
      <c r="AR39" s="19">
        <f>AR36/IS!AR7</f>
        <v>1</v>
      </c>
      <c r="AS39" s="19">
        <f>AS36/IS!AS7</f>
        <v>1</v>
      </c>
      <c r="AT39" s="259">
        <f>AT36/IS!AT7</f>
        <v>1.0000000000000002</v>
      </c>
      <c r="AU39" s="379">
        <f>AU36/IS!AU7</f>
        <v>1</v>
      </c>
      <c r="AV39" s="19">
        <f>AV36/IS!AV7</f>
        <v>1</v>
      </c>
      <c r="AW39" s="19">
        <f>AW36/IS!AW7</f>
        <v>1</v>
      </c>
      <c r="AX39" s="19">
        <f>AX36/IS!AX7</f>
        <v>1</v>
      </c>
      <c r="AY39" s="259">
        <f>AY36/IS!AY7</f>
        <v>0.99999999999999978</v>
      </c>
      <c r="AZ39" s="19">
        <f>AZ36/IS!AZ7</f>
        <v>1</v>
      </c>
      <c r="BA39" s="19">
        <f>BA36/IS!BA7</f>
        <v>1</v>
      </c>
      <c r="BB39" s="19">
        <f>BB36/IS!BB7</f>
        <v>1</v>
      </c>
      <c r="BC39" s="19">
        <f>BC36/IS!BC7</f>
        <v>1</v>
      </c>
      <c r="BD39" s="259">
        <f>BD36/IS!BD7</f>
        <v>0.99999999999999967</v>
      </c>
      <c r="BE39" s="19">
        <f>BE36/IS!BE7</f>
        <v>1</v>
      </c>
      <c r="BF39" s="19">
        <f>BF36/IS!BF7</f>
        <v>1</v>
      </c>
      <c r="BG39" s="19">
        <f>BG36/IS!BG7</f>
        <v>1</v>
      </c>
      <c r="BH39" s="19">
        <f>BH36/IS!BH7</f>
        <v>1</v>
      </c>
      <c r="BI39" s="259">
        <f>BI36/IS!BI7</f>
        <v>0.99999999999999978</v>
      </c>
      <c r="BJ39" s="19">
        <f>BJ36/IS!BJ7</f>
        <v>1</v>
      </c>
      <c r="BK39" s="19">
        <f>BK36/IS!BK7</f>
        <v>1</v>
      </c>
      <c r="BL39" s="19">
        <f>BL36/IS!BL7</f>
        <v>1</v>
      </c>
      <c r="BM39" s="19">
        <f>BM36/IS!BM7</f>
        <v>1</v>
      </c>
      <c r="BN39" s="259">
        <f>BN36/IS!BN7</f>
        <v>1</v>
      </c>
      <c r="BO39" s="19">
        <f>BO36/IS!BO7</f>
        <v>1</v>
      </c>
      <c r="BP39" s="19">
        <f>BP36/IS!BP7</f>
        <v>1</v>
      </c>
      <c r="BQ39" s="19">
        <f>BQ36/IS!BQ7</f>
        <v>1</v>
      </c>
      <c r="BR39" s="19">
        <f>BR36/IS!BR7</f>
        <v>1</v>
      </c>
      <c r="BS39" s="259">
        <f>BS36/IS!BS7</f>
        <v>0.99999999999999989</v>
      </c>
      <c r="BT39" s="19">
        <f>BT36/IS!BT7</f>
        <v>1</v>
      </c>
      <c r="BU39" s="19">
        <f>BU36/IS!BU7</f>
        <v>1</v>
      </c>
      <c r="BV39" s="19">
        <f>BV36/IS!BV7</f>
        <v>1</v>
      </c>
      <c r="BW39" s="19">
        <f>BW36/IS!BW7</f>
        <v>1</v>
      </c>
      <c r="BX39" s="259">
        <f>BX36/IS!BX7</f>
        <v>0.99999999999999989</v>
      </c>
      <c r="BY39" s="19">
        <f>BY36/IS!BY7</f>
        <v>1</v>
      </c>
      <c r="BZ39" s="19">
        <f>BZ36/IS!BZ7</f>
        <v>1</v>
      </c>
      <c r="CA39" s="19">
        <f>CA36/IS!CA7</f>
        <v>1</v>
      </c>
      <c r="CB39" s="19">
        <f>CB36/IS!CB7</f>
        <v>1</v>
      </c>
      <c r="CC39" s="259">
        <f>CC36/IS!CC7</f>
        <v>1</v>
      </c>
      <c r="CD39" s="19">
        <f>CD36/IS!CD7</f>
        <v>1</v>
      </c>
      <c r="CE39" s="19">
        <f>CE36/IS!CE7</f>
        <v>1</v>
      </c>
      <c r="CF39" s="19">
        <f>CF36/IS!CF7</f>
        <v>1</v>
      </c>
      <c r="CG39" s="19">
        <f>CG36/IS!CG7</f>
        <v>1</v>
      </c>
      <c r="CH39" s="259">
        <f>CH36/IS!CH7</f>
        <v>0.99999999999999978</v>
      </c>
      <c r="CI39" s="19">
        <f>CI36/IS!CI7</f>
        <v>1</v>
      </c>
      <c r="CJ39" s="19">
        <f>CJ36/IS!CJ7</f>
        <v>1</v>
      </c>
      <c r="CK39" s="19">
        <f>CK36/IS!CK7</f>
        <v>1</v>
      </c>
      <c r="CL39" s="19">
        <f>CL36/IS!CL7</f>
        <v>1</v>
      </c>
      <c r="CM39" s="259">
        <f>CM36/IS!CM7</f>
        <v>1</v>
      </c>
    </row>
    <row r="40" spans="1:93">
      <c r="F40" s="240"/>
      <c r="K40" s="240"/>
      <c r="P40" s="240"/>
      <c r="U40" s="240"/>
      <c r="Z40" s="240"/>
      <c r="AE40" s="240"/>
      <c r="AJ40" s="240"/>
      <c r="AO40" s="240"/>
      <c r="AP40" s="22"/>
      <c r="AS40" s="22"/>
      <c r="AT40" s="267"/>
      <c r="AU40" s="388"/>
      <c r="AV40" s="22"/>
      <c r="AW40" s="22"/>
      <c r="AX40" s="22"/>
      <c r="AY40" s="267"/>
      <c r="AZ40" s="22"/>
      <c r="BA40" s="22"/>
      <c r="BB40" s="22"/>
      <c r="BC40" s="22"/>
      <c r="BD40" s="267"/>
      <c r="BI40" s="240"/>
      <c r="BN40" s="240"/>
      <c r="BS40" s="240"/>
      <c r="BX40" s="240"/>
      <c r="CC40" s="240"/>
      <c r="CH40" s="240"/>
      <c r="CM40" s="240"/>
    </row>
    <row r="41" spans="1:93">
      <c r="A41" s="174" t="s">
        <v>323</v>
      </c>
      <c r="B41" s="173"/>
      <c r="C41" s="173"/>
      <c r="D41" s="173"/>
      <c r="E41" s="173"/>
      <c r="F41" s="237"/>
      <c r="G41" s="173"/>
      <c r="H41" s="173"/>
      <c r="I41" s="173"/>
      <c r="J41" s="173"/>
      <c r="K41" s="237"/>
      <c r="L41" s="173"/>
      <c r="M41" s="173"/>
      <c r="N41" s="173"/>
      <c r="O41" s="173"/>
      <c r="P41" s="237"/>
      <c r="Q41" s="173"/>
      <c r="R41" s="173"/>
      <c r="S41" s="173"/>
      <c r="T41" s="173"/>
      <c r="U41" s="237"/>
      <c r="V41" s="173"/>
      <c r="W41" s="173"/>
      <c r="X41" s="173"/>
      <c r="Y41" s="173"/>
      <c r="Z41" s="237"/>
      <c r="AA41" s="173"/>
      <c r="AB41" s="173"/>
      <c r="AC41" s="173"/>
      <c r="AD41" s="173"/>
      <c r="AE41" s="237"/>
      <c r="AF41" s="173"/>
      <c r="AG41" s="173"/>
      <c r="AH41" s="173"/>
      <c r="AI41" s="173"/>
      <c r="AJ41" s="237"/>
      <c r="AK41" s="173"/>
      <c r="AL41" s="173"/>
      <c r="AM41" s="173"/>
      <c r="AN41" s="173"/>
      <c r="AO41" s="237"/>
      <c r="AP41" s="173"/>
      <c r="AQ41" s="173"/>
      <c r="AR41" s="173"/>
      <c r="AS41" s="173"/>
      <c r="AT41" s="237"/>
      <c r="AU41" s="173"/>
      <c r="AV41" s="173"/>
      <c r="AW41" s="173"/>
      <c r="AX41" s="173"/>
      <c r="AY41" s="237"/>
      <c r="AZ41" s="173"/>
      <c r="BA41" s="173"/>
      <c r="BB41" s="173"/>
      <c r="BC41" s="173"/>
      <c r="BD41" s="237"/>
      <c r="BE41" s="173"/>
      <c r="BF41" s="173"/>
      <c r="BG41" s="173"/>
      <c r="BH41" s="173"/>
      <c r="BI41" s="237"/>
      <c r="BJ41" s="173"/>
      <c r="BK41" s="173"/>
      <c r="BL41" s="173"/>
      <c r="BM41" s="173"/>
      <c r="BN41" s="237"/>
      <c r="BO41" s="173"/>
      <c r="BP41" s="173"/>
      <c r="BQ41" s="173"/>
      <c r="BR41" s="173"/>
      <c r="BS41" s="237"/>
      <c r="BT41" s="173"/>
      <c r="BU41" s="173"/>
      <c r="BV41" s="173"/>
      <c r="BW41" s="173"/>
      <c r="BX41" s="237"/>
      <c r="BY41" s="173"/>
      <c r="BZ41" s="173"/>
      <c r="CA41" s="173"/>
      <c r="CB41" s="173"/>
      <c r="CC41" s="237"/>
      <c r="CD41" s="173"/>
      <c r="CE41" s="173"/>
      <c r="CF41" s="173"/>
      <c r="CG41" s="173"/>
      <c r="CH41" s="237"/>
      <c r="CI41" s="173"/>
      <c r="CJ41" s="173"/>
      <c r="CK41" s="173"/>
      <c r="CL41" s="173"/>
      <c r="CM41" s="237"/>
      <c r="CN41" s="173"/>
      <c r="CO41" s="173"/>
    </row>
    <row r="42" spans="1:93">
      <c r="A42" s="231" t="s">
        <v>359</v>
      </c>
      <c r="F42" s="240"/>
      <c r="K42" s="240"/>
      <c r="P42" s="240"/>
      <c r="U42" s="240"/>
      <c r="Z42" s="240"/>
      <c r="AE42" s="240"/>
      <c r="AJ42" s="240"/>
      <c r="AO42" s="240"/>
      <c r="AT42" s="240"/>
      <c r="AU42" s="374"/>
      <c r="AY42" s="240"/>
      <c r="BD42" s="240"/>
      <c r="BI42" s="240"/>
      <c r="BN42" s="240"/>
      <c r="BS42" s="240"/>
      <c r="BX42" s="240"/>
      <c r="CC42" s="240"/>
      <c r="CH42" s="240"/>
      <c r="CM42" s="240"/>
    </row>
    <row r="43" spans="1:93" s="42" customFormat="1">
      <c r="A43" s="162" t="s">
        <v>434</v>
      </c>
      <c r="B43" s="232" t="s">
        <v>294</v>
      </c>
      <c r="C43" s="232" t="s">
        <v>294</v>
      </c>
      <c r="D43" s="232" t="s">
        <v>294</v>
      </c>
      <c r="E43" s="232" t="s">
        <v>294</v>
      </c>
      <c r="F43" s="239" t="s">
        <v>294</v>
      </c>
      <c r="G43" s="167">
        <f>+G95</f>
        <v>7246</v>
      </c>
      <c r="H43" s="167">
        <f t="shared" ref="H43:BS43" si="886">+H95</f>
        <v>6723</v>
      </c>
      <c r="I43" s="167">
        <f t="shared" si="886"/>
        <v>7027</v>
      </c>
      <c r="J43" s="167">
        <f t="shared" si="886"/>
        <v>8596</v>
      </c>
      <c r="K43" s="249">
        <f t="shared" si="886"/>
        <v>29592</v>
      </c>
      <c r="L43" s="167">
        <f t="shared" si="886"/>
        <v>9521</v>
      </c>
      <c r="M43" s="167">
        <f t="shared" si="886"/>
        <v>11875</v>
      </c>
      <c r="N43" s="167">
        <f t="shared" si="886"/>
        <v>13259</v>
      </c>
      <c r="O43" s="167">
        <f t="shared" si="886"/>
        <v>15270</v>
      </c>
      <c r="P43" s="249">
        <f t="shared" si="886"/>
        <v>49925</v>
      </c>
      <c r="Q43" s="167">
        <f t="shared" si="886"/>
        <v>15257</v>
      </c>
      <c r="R43" s="167">
        <f>+R95</f>
        <v>13694</v>
      </c>
      <c r="S43" s="167">
        <f t="shared" si="886"/>
        <v>16950</v>
      </c>
      <c r="T43" s="167">
        <f t="shared" si="886"/>
        <v>17353</v>
      </c>
      <c r="U43" s="249">
        <f t="shared" si="886"/>
        <v>63254</v>
      </c>
      <c r="V43" s="167">
        <f t="shared" si="886"/>
        <v>18390</v>
      </c>
      <c r="W43" s="167">
        <f t="shared" si="886"/>
        <v>20830</v>
      </c>
      <c r="X43" s="167">
        <f t="shared" si="886"/>
        <v>22806</v>
      </c>
      <c r="Y43" s="167">
        <f t="shared" si="886"/>
        <v>25600</v>
      </c>
      <c r="Z43" s="249">
        <f t="shared" si="886"/>
        <v>87626</v>
      </c>
      <c r="AA43" s="167">
        <f>+AA95</f>
        <v>25106</v>
      </c>
      <c r="AB43" s="167">
        <f t="shared" si="886"/>
        <v>26952</v>
      </c>
      <c r="AC43" s="167">
        <f t="shared" si="886"/>
        <v>29179</v>
      </c>
      <c r="AD43" s="167">
        <f t="shared" si="886"/>
        <v>31226</v>
      </c>
      <c r="AE43" s="249">
        <f t="shared" si="886"/>
        <v>112463</v>
      </c>
      <c r="AF43" s="167">
        <f t="shared" si="886"/>
        <v>33633</v>
      </c>
      <c r="AG43" s="167">
        <f t="shared" si="886"/>
        <v>36300</v>
      </c>
      <c r="AH43" s="167">
        <f t="shared" si="886"/>
        <v>35499</v>
      </c>
      <c r="AI43" s="167">
        <f t="shared" si="886"/>
        <v>36783</v>
      </c>
      <c r="AJ43" s="249">
        <f t="shared" si="886"/>
        <v>142215</v>
      </c>
      <c r="AK43" s="167">
        <f t="shared" si="886"/>
        <v>38254</v>
      </c>
      <c r="AL43" s="167">
        <f t="shared" si="886"/>
        <v>39009</v>
      </c>
      <c r="AM43" s="167">
        <f t="shared" si="886"/>
        <v>41495</v>
      </c>
      <c r="AN43" s="167">
        <f t="shared" si="886"/>
        <v>43490</v>
      </c>
      <c r="AO43" s="249">
        <f t="shared" si="886"/>
        <v>162248</v>
      </c>
      <c r="AP43" s="167">
        <f>+AP95</f>
        <v>44326</v>
      </c>
      <c r="AQ43" s="167">
        <f t="shared" si="886"/>
        <v>46668</v>
      </c>
      <c r="AR43" s="167">
        <f t="shared" si="886"/>
        <v>54346</v>
      </c>
      <c r="AS43" s="167">
        <f t="shared" si="886"/>
        <v>57844</v>
      </c>
      <c r="AT43" s="249">
        <f t="shared" si="886"/>
        <v>203184</v>
      </c>
      <c r="AU43" s="386">
        <f t="shared" si="886"/>
        <v>54250</v>
      </c>
      <c r="AV43" s="167">
        <f t="shared" si="886"/>
        <v>59500.000000000007</v>
      </c>
      <c r="AW43" s="167">
        <f t="shared" si="886"/>
        <v>63000</v>
      </c>
      <c r="AX43" s="167">
        <f t="shared" si="886"/>
        <v>66500</v>
      </c>
      <c r="AY43" s="249">
        <f t="shared" si="886"/>
        <v>243250</v>
      </c>
      <c r="AZ43" s="167">
        <f t="shared" si="886"/>
        <v>68250</v>
      </c>
      <c r="BA43" s="167">
        <f t="shared" si="886"/>
        <v>69125</v>
      </c>
      <c r="BB43" s="167">
        <f t="shared" si="886"/>
        <v>70000</v>
      </c>
      <c r="BC43" s="167">
        <f t="shared" si="886"/>
        <v>71750</v>
      </c>
      <c r="BD43" s="249">
        <f t="shared" si="886"/>
        <v>279125</v>
      </c>
      <c r="BE43" s="167">
        <f t="shared" si="886"/>
        <v>73500</v>
      </c>
      <c r="BF43" s="167">
        <f t="shared" si="886"/>
        <v>75250.000000000015</v>
      </c>
      <c r="BG43" s="167">
        <f t="shared" si="886"/>
        <v>77000.000000000015</v>
      </c>
      <c r="BH43" s="167">
        <f t="shared" si="886"/>
        <v>78750.000000000015</v>
      </c>
      <c r="BI43" s="249">
        <f t="shared" si="886"/>
        <v>304500</v>
      </c>
      <c r="BJ43" s="167">
        <f t="shared" si="886"/>
        <v>80500.000000000015</v>
      </c>
      <c r="BK43" s="167">
        <f t="shared" si="886"/>
        <v>82250.000000000015</v>
      </c>
      <c r="BL43" s="167">
        <f t="shared" si="886"/>
        <v>84000.000000000015</v>
      </c>
      <c r="BM43" s="167">
        <f t="shared" si="886"/>
        <v>85750.000000000015</v>
      </c>
      <c r="BN43" s="249">
        <f t="shared" si="886"/>
        <v>332500.00000000006</v>
      </c>
      <c r="BO43" s="167">
        <f t="shared" si="886"/>
        <v>87500.000000000015</v>
      </c>
      <c r="BP43" s="167">
        <f t="shared" si="886"/>
        <v>89250.000000000015</v>
      </c>
      <c r="BQ43" s="167">
        <f t="shared" si="886"/>
        <v>91000.000000000029</v>
      </c>
      <c r="BR43" s="167">
        <f t="shared" si="886"/>
        <v>92750.000000000029</v>
      </c>
      <c r="BS43" s="249">
        <f t="shared" si="886"/>
        <v>360500.00000000012</v>
      </c>
      <c r="BT43" s="167">
        <f t="shared" ref="BT43:CM43" si="887">+BT95</f>
        <v>94500.000000000029</v>
      </c>
      <c r="BU43" s="167">
        <f t="shared" si="887"/>
        <v>96250.000000000029</v>
      </c>
      <c r="BV43" s="167">
        <f t="shared" si="887"/>
        <v>98000.000000000029</v>
      </c>
      <c r="BW43" s="167">
        <f t="shared" si="887"/>
        <v>99750.000000000029</v>
      </c>
      <c r="BX43" s="249">
        <f t="shared" si="887"/>
        <v>388500.00000000012</v>
      </c>
      <c r="BY43" s="167">
        <f t="shared" si="887"/>
        <v>101150.00000000003</v>
      </c>
      <c r="BZ43" s="167">
        <f t="shared" si="887"/>
        <v>102550.00000000003</v>
      </c>
      <c r="CA43" s="167">
        <f t="shared" si="887"/>
        <v>103950.00000000003</v>
      </c>
      <c r="CB43" s="167">
        <f t="shared" si="887"/>
        <v>105350.00000000003</v>
      </c>
      <c r="CC43" s="249">
        <f t="shared" si="887"/>
        <v>413000.00000000012</v>
      </c>
      <c r="CD43" s="167">
        <f t="shared" si="887"/>
        <v>106750.00000000004</v>
      </c>
      <c r="CE43" s="167">
        <f t="shared" si="887"/>
        <v>108150.00000000004</v>
      </c>
      <c r="CF43" s="167">
        <f t="shared" si="887"/>
        <v>109550.00000000004</v>
      </c>
      <c r="CG43" s="167">
        <f t="shared" si="887"/>
        <v>110950.00000000004</v>
      </c>
      <c r="CH43" s="249">
        <f t="shared" si="887"/>
        <v>435400.00000000017</v>
      </c>
      <c r="CI43" s="167">
        <f t="shared" si="887"/>
        <v>112350.00000000004</v>
      </c>
      <c r="CJ43" s="167">
        <f t="shared" si="887"/>
        <v>113750.00000000004</v>
      </c>
      <c r="CK43" s="167">
        <f t="shared" si="887"/>
        <v>115150.00000000004</v>
      </c>
      <c r="CL43" s="167">
        <f t="shared" si="887"/>
        <v>116550.00000000004</v>
      </c>
      <c r="CM43" s="249">
        <f t="shared" si="887"/>
        <v>457800.00000000017</v>
      </c>
    </row>
    <row r="44" spans="1:93">
      <c r="A44" s="161" t="s">
        <v>291</v>
      </c>
      <c r="B44" s="232" t="s">
        <v>294</v>
      </c>
      <c r="C44" s="232" t="s">
        <v>294</v>
      </c>
      <c r="D44" s="232" t="s">
        <v>294</v>
      </c>
      <c r="E44" s="232" t="s">
        <v>294</v>
      </c>
      <c r="F44" s="239" t="s">
        <v>294</v>
      </c>
      <c r="G44" s="158" t="s">
        <v>294</v>
      </c>
      <c r="H44" s="158" t="s">
        <v>294</v>
      </c>
      <c r="I44" s="158" t="s">
        <v>294</v>
      </c>
      <c r="J44" s="158" t="s">
        <v>294</v>
      </c>
      <c r="K44" s="250" t="s">
        <v>294</v>
      </c>
      <c r="L44" s="19">
        <f t="shared" ref="L44" si="888">+L43/G43-1</f>
        <v>0.31396632624896492</v>
      </c>
      <c r="M44" s="19">
        <f t="shared" ref="M44" si="889">+M43/H43-1</f>
        <v>0.76632455748921613</v>
      </c>
      <c r="N44" s="19">
        <f t="shared" ref="N44" si="890">+N43/I43-1</f>
        <v>0.88686494948057493</v>
      </c>
      <c r="O44" s="19">
        <f t="shared" ref="O44" si="891">+O43/J43-1</f>
        <v>0.77640763145649139</v>
      </c>
      <c r="P44" s="259">
        <f t="shared" ref="P44" si="892">+P43/K43-1</f>
        <v>0.68711138145444717</v>
      </c>
      <c r="Q44" s="19">
        <f t="shared" ref="Q44" si="893">+Q43/L43-1</f>
        <v>0.60245772502888362</v>
      </c>
      <c r="R44" s="19">
        <f t="shared" ref="R44" si="894">+R43/M43-1</f>
        <v>0.15317894736842108</v>
      </c>
      <c r="S44" s="19">
        <f t="shared" ref="S44" si="895">+S43/N43-1</f>
        <v>0.27837695150463837</v>
      </c>
      <c r="T44" s="19">
        <f t="shared" ref="T44" si="896">+T43/O43-1</f>
        <v>0.13641126391617542</v>
      </c>
      <c r="U44" s="259">
        <f t="shared" ref="U44" si="897">+U43/P43-1</f>
        <v>0.26698047070605901</v>
      </c>
      <c r="V44" s="19">
        <f t="shared" ref="V44" si="898">+V43/Q43-1</f>
        <v>0.20534836468506268</v>
      </c>
      <c r="W44" s="19">
        <f t="shared" ref="W44" si="899">+W43/R43-1</f>
        <v>0.52110413319702054</v>
      </c>
      <c r="X44" s="19">
        <f t="shared" ref="X44" si="900">+X43/S43-1</f>
        <v>0.34548672566371685</v>
      </c>
      <c r="Y44" s="19">
        <f t="shared" ref="Y44" si="901">+Y43/T43-1</f>
        <v>0.47524923644326633</v>
      </c>
      <c r="Z44" s="259">
        <f t="shared" ref="Z44" si="902">+Z43/U43-1</f>
        <v>0.38530369620893534</v>
      </c>
      <c r="AA44" s="19">
        <f t="shared" ref="AA44" si="903">+AA43/V43-1</f>
        <v>0.36519847743338762</v>
      </c>
      <c r="AB44" s="19">
        <f t="shared" ref="AB44" si="904">+AB43/W43-1</f>
        <v>0.29390302448391736</v>
      </c>
      <c r="AC44" s="19">
        <f t="shared" ref="AC44" si="905">+AC43/X43-1</f>
        <v>0.27944400596334296</v>
      </c>
      <c r="AD44" s="19">
        <f t="shared" ref="AD44" si="906">+AD43/Y43-1</f>
        <v>0.21976562499999996</v>
      </c>
      <c r="AE44" s="259">
        <f t="shared" ref="AE44" si="907">+AE43/Z43-1</f>
        <v>0.28344327026225091</v>
      </c>
      <c r="AF44" s="19">
        <f t="shared" ref="AF44" si="908">+AF43/AA43-1</f>
        <v>0.33963992671074639</v>
      </c>
      <c r="AG44" s="19">
        <f t="shared" ref="AG44" si="909">+AG43/AB43-1</f>
        <v>0.34683882457702575</v>
      </c>
      <c r="AH44" s="19">
        <f t="shared" ref="AH44" si="910">+AH43/AC43-1</f>
        <v>0.21659412591247129</v>
      </c>
      <c r="AI44" s="19">
        <f t="shared" ref="AI44" si="911">+AI43/AD43-1</f>
        <v>0.17796067379747638</v>
      </c>
      <c r="AJ44" s="259">
        <f t="shared" ref="AJ44" si="912">+AJ43/AE43-1</f>
        <v>0.26454922952437698</v>
      </c>
      <c r="AK44" s="19">
        <f t="shared" ref="AK44" si="913">+AK43/AF43-1</f>
        <v>0.13739482056313745</v>
      </c>
      <c r="AL44" s="19">
        <f t="shared" ref="AL44" si="914">+AL43/AG43-1</f>
        <v>7.462809917355373E-2</v>
      </c>
      <c r="AM44" s="19">
        <f t="shared" ref="AM44" si="915">+AM43/AH43-1</f>
        <v>0.16890616637088374</v>
      </c>
      <c r="AN44" s="19">
        <f t="shared" ref="AN44" si="916">+AN43/AI43-1</f>
        <v>0.18233966778131205</v>
      </c>
      <c r="AO44" s="259">
        <f t="shared" ref="AO44" si="917">+AO43/AJ43-1</f>
        <v>0.14086418450936966</v>
      </c>
      <c r="AP44" s="19">
        <f t="shared" ref="AP44" si="918">+AP43/AK43-1</f>
        <v>0.15872849898049868</v>
      </c>
      <c r="AQ44" s="19">
        <f t="shared" ref="AQ44" si="919">+AQ43/AL43-1</f>
        <v>0.1963393063139276</v>
      </c>
      <c r="AR44" s="19">
        <f t="shared" ref="AR44" si="920">+AR43/AM43-1</f>
        <v>0.30969996385106646</v>
      </c>
      <c r="AS44" s="404">
        <f t="shared" ref="AS44" si="921">+AS43/AN43-1</f>
        <v>0.33005288572085534</v>
      </c>
      <c r="AT44" s="259">
        <f t="shared" ref="AT44" si="922">+AT43/AO43-1</f>
        <v>0.25230511316010062</v>
      </c>
      <c r="AU44" s="379">
        <f t="shared" ref="AU44" si="923">+AU43/AP43-1</f>
        <v>0.22388665794341911</v>
      </c>
      <c r="AV44" s="19">
        <f t="shared" ref="AV44" si="924">+AV43/AQ43-1</f>
        <v>0.27496357246935821</v>
      </c>
      <c r="AW44" s="19">
        <f t="shared" ref="AW44" si="925">+AW43/AR43-1</f>
        <v>0.15923895042873437</v>
      </c>
      <c r="AX44" s="19">
        <f t="shared" ref="AX44" si="926">+AX43/AS43-1</f>
        <v>0.14964386971855337</v>
      </c>
      <c r="AY44" s="337">
        <f t="shared" ref="AY44" si="927">+AY43/AT43-1</f>
        <v>0.19719072367902979</v>
      </c>
      <c r="AZ44" s="19">
        <f t="shared" ref="AZ44" si="928">+AZ43/AU43-1</f>
        <v>0.25806451612903225</v>
      </c>
      <c r="BA44" s="19">
        <f t="shared" ref="BA44" si="929">+BA43/AV43-1</f>
        <v>0.16176470588235281</v>
      </c>
      <c r="BB44" s="19">
        <f t="shared" ref="BB44" si="930">+BB43/AW43-1</f>
        <v>0.11111111111111116</v>
      </c>
      <c r="BC44" s="19">
        <f t="shared" ref="BC44" si="931">+BC43/AX43-1</f>
        <v>7.8947368421052655E-2</v>
      </c>
      <c r="BD44" s="259">
        <f t="shared" ref="BD44" si="932">+BD43/AY43-1</f>
        <v>0.14748201438848918</v>
      </c>
      <c r="BE44" s="19">
        <f t="shared" ref="BE44" si="933">+BE43/AZ43-1</f>
        <v>7.6923076923076872E-2</v>
      </c>
      <c r="BF44" s="19">
        <f t="shared" ref="BF44" si="934">+BF43/BA43-1</f>
        <v>8.8607594936709111E-2</v>
      </c>
      <c r="BG44" s="19">
        <f t="shared" ref="BG44" si="935">+BG43/BB43-1</f>
        <v>0.10000000000000031</v>
      </c>
      <c r="BH44" s="19">
        <f t="shared" ref="BH44" si="936">+BH43/BC43-1</f>
        <v>9.7560975609756406E-2</v>
      </c>
      <c r="BI44" s="259">
        <f t="shared" ref="BI44" si="937">+BI43/BD43-1</f>
        <v>9.0909090909090828E-2</v>
      </c>
      <c r="BJ44" s="19">
        <f t="shared" ref="BJ44" si="938">+BJ43/BE43-1</f>
        <v>9.5238095238095344E-2</v>
      </c>
      <c r="BK44" s="19">
        <f t="shared" ref="BK44" si="939">+BK43/BF43-1</f>
        <v>9.3023255813953432E-2</v>
      </c>
      <c r="BL44" s="19">
        <f t="shared" ref="BL44" si="940">+BL43/BG43-1</f>
        <v>9.0909090909090828E-2</v>
      </c>
      <c r="BM44" s="19">
        <f t="shared" ref="BM44" si="941">+BM43/BH43-1</f>
        <v>8.8888888888888795E-2</v>
      </c>
      <c r="BN44" s="259">
        <f t="shared" ref="BN44" si="942">+BN43/BI43-1</f>
        <v>9.1954022988505857E-2</v>
      </c>
      <c r="BO44" s="19">
        <f t="shared" ref="BO44" si="943">+BO43/BJ43-1</f>
        <v>8.6956521739130377E-2</v>
      </c>
      <c r="BP44" s="19">
        <f t="shared" ref="BP44" si="944">+BP43/BK43-1</f>
        <v>8.5106382978723305E-2</v>
      </c>
      <c r="BQ44" s="19">
        <f t="shared" ref="BQ44" si="945">+BQ43/BL43-1</f>
        <v>8.3333333333333481E-2</v>
      </c>
      <c r="BR44" s="19">
        <f t="shared" ref="BR44" si="946">+BR43/BM43-1</f>
        <v>8.163265306122458E-2</v>
      </c>
      <c r="BS44" s="259">
        <f t="shared" ref="BS44" si="947">+BS43/BN43-1</f>
        <v>8.4210526315789735E-2</v>
      </c>
      <c r="BT44" s="19">
        <f t="shared" ref="BT44" si="948">+BT43/BO43-1</f>
        <v>8.0000000000000071E-2</v>
      </c>
      <c r="BU44" s="19">
        <f t="shared" ref="BU44" si="949">+BU43/BP43-1</f>
        <v>7.8431372549019773E-2</v>
      </c>
      <c r="BV44" s="19">
        <f t="shared" ref="BV44" si="950">+BV43/BQ43-1</f>
        <v>7.6923076923076872E-2</v>
      </c>
      <c r="BW44" s="19">
        <f t="shared" ref="BW44" si="951">+BW43/BR43-1</f>
        <v>7.547169811320753E-2</v>
      </c>
      <c r="BX44" s="259">
        <f t="shared" ref="BX44" si="952">+BX43/BS43-1</f>
        <v>7.7669902912621325E-2</v>
      </c>
      <c r="BY44" s="19">
        <f t="shared" ref="BY44" si="953">+BY43/BT43-1</f>
        <v>7.0370370370370416E-2</v>
      </c>
      <c r="BZ44" s="19">
        <f t="shared" ref="BZ44" si="954">+BZ43/BU43-1</f>
        <v>6.5454545454545432E-2</v>
      </c>
      <c r="CA44" s="19">
        <f t="shared" ref="CA44" si="955">+CA43/BV43-1</f>
        <v>6.0714285714285721E-2</v>
      </c>
      <c r="CB44" s="19">
        <f t="shared" ref="CB44" si="956">+CB43/BW43-1</f>
        <v>5.6140350877192935E-2</v>
      </c>
      <c r="CC44" s="259">
        <f t="shared" ref="CC44" si="957">+CC43/BX43-1</f>
        <v>6.3063063063063085E-2</v>
      </c>
      <c r="CD44" s="19">
        <f t="shared" ref="CD44" si="958">+CD43/BY43-1</f>
        <v>5.5363321799308141E-2</v>
      </c>
      <c r="CE44" s="19">
        <f t="shared" ref="CE44" si="959">+CE43/BZ43-1</f>
        <v>5.4607508532423354E-2</v>
      </c>
      <c r="CF44" s="19">
        <f t="shared" ref="CF44" si="960">+CF43/CA43-1</f>
        <v>5.3872053872054071E-2</v>
      </c>
      <c r="CG44" s="19">
        <f t="shared" ref="CG44" si="961">+CG43/CB43-1</f>
        <v>5.315614617940212E-2</v>
      </c>
      <c r="CH44" s="259">
        <f t="shared" ref="CH44" si="962">+CH43/CC43-1</f>
        <v>5.4237288135593253E-2</v>
      </c>
      <c r="CI44" s="19">
        <f t="shared" ref="CI44" si="963">+CI43/CD43-1</f>
        <v>5.2459016393442637E-2</v>
      </c>
      <c r="CJ44" s="19">
        <f t="shared" ref="CJ44" si="964">+CJ43/CE43-1</f>
        <v>5.1779935275080957E-2</v>
      </c>
      <c r="CK44" s="19">
        <f t="shared" ref="CK44" si="965">+CK43/CF43-1</f>
        <v>5.1118210862619806E-2</v>
      </c>
      <c r="CL44" s="19">
        <f t="shared" ref="CL44" si="966">+CL43/CG43-1</f>
        <v>5.0473186119873725E-2</v>
      </c>
      <c r="CM44" s="259">
        <f t="shared" ref="CM44" si="967">+CM43/CH43-1</f>
        <v>5.1446945337620509E-2</v>
      </c>
    </row>
    <row r="45" spans="1:93">
      <c r="A45" s="161" t="s">
        <v>292</v>
      </c>
      <c r="B45" s="232" t="s">
        <v>294</v>
      </c>
      <c r="C45" s="232" t="s">
        <v>294</v>
      </c>
      <c r="D45" s="232" t="s">
        <v>294</v>
      </c>
      <c r="E45" s="232" t="s">
        <v>294</v>
      </c>
      <c r="F45" s="239" t="s">
        <v>294</v>
      </c>
      <c r="G45" s="147" t="s">
        <v>294</v>
      </c>
      <c r="H45" s="19">
        <f>+H43/G43-1</f>
        <v>-7.2177753243168663E-2</v>
      </c>
      <c r="I45" s="19">
        <f t="shared" ref="I45" si="968">+I43/H43-1</f>
        <v>4.5217908671723928E-2</v>
      </c>
      <c r="J45" s="19">
        <f t="shared" ref="J45" si="969">+J43/I43-1</f>
        <v>0.2232816280062615</v>
      </c>
      <c r="K45" s="251" t="s">
        <v>294</v>
      </c>
      <c r="L45" s="19">
        <f>+L43/J43-1</f>
        <v>0.10760818985574683</v>
      </c>
      <c r="M45" s="19">
        <f>+M43/L43-1</f>
        <v>0.24724293666631647</v>
      </c>
      <c r="N45" s="19">
        <f t="shared" ref="N45" si="970">+N43/M43-1</f>
        <v>0.11654736842105273</v>
      </c>
      <c r="O45" s="19">
        <f t="shared" ref="O45" si="971">+O43/N43-1</f>
        <v>0.15167056339090434</v>
      </c>
      <c r="P45" s="251" t="s">
        <v>294</v>
      </c>
      <c r="Q45" s="19">
        <f>+Q43/O43-1</f>
        <v>-8.5134250163720893E-4</v>
      </c>
      <c r="R45" s="19">
        <f>+R43/Q43-1</f>
        <v>-0.10244477944550046</v>
      </c>
      <c r="S45" s="19">
        <f t="shared" ref="S45" si="972">+S43/R43-1</f>
        <v>0.23776836570760906</v>
      </c>
      <c r="T45" s="19">
        <f t="shared" ref="T45" si="973">+T43/S43-1</f>
        <v>2.3775811209439501E-2</v>
      </c>
      <c r="U45" s="251" t="s">
        <v>294</v>
      </c>
      <c r="V45" s="19">
        <f>+V43/T43-1</f>
        <v>5.9759119460611965E-2</v>
      </c>
      <c r="W45" s="19">
        <f>+W43/V43-1</f>
        <v>0.13268080478520927</v>
      </c>
      <c r="X45" s="19">
        <f t="shared" ref="X45" si="974">+X43/W43-1</f>
        <v>9.4863178108497426E-2</v>
      </c>
      <c r="Y45" s="19">
        <f t="shared" ref="Y45" si="975">+Y43/X43-1</f>
        <v>0.12251161974918889</v>
      </c>
      <c r="Z45" s="251" t="s">
        <v>294</v>
      </c>
      <c r="AA45" s="19">
        <f>+AA43/Y43-1</f>
        <v>-1.9296874999999991E-2</v>
      </c>
      <c r="AB45" s="19">
        <f>+AB43/AA43-1</f>
        <v>7.3528240261292011E-2</v>
      </c>
      <c r="AC45" s="19">
        <f t="shared" ref="AC45" si="976">+AC43/AB43-1</f>
        <v>8.2628376372810841E-2</v>
      </c>
      <c r="AD45" s="19">
        <f t="shared" ref="AD45" si="977">+AD43/AC43-1</f>
        <v>7.0153192364371675E-2</v>
      </c>
      <c r="AE45" s="251" t="s">
        <v>294</v>
      </c>
      <c r="AF45" s="19">
        <f>+AF43/AD43-1</f>
        <v>7.7083199897521215E-2</v>
      </c>
      <c r="AG45" s="19">
        <f>+AG43/AF43-1</f>
        <v>7.9297118901079378E-2</v>
      </c>
      <c r="AH45" s="19">
        <f t="shared" ref="AH45" si="978">+AH43/AG43-1</f>
        <v>-2.2066115702479294E-2</v>
      </c>
      <c r="AI45" s="19">
        <f t="shared" ref="AI45" si="979">+AI43/AH43-1</f>
        <v>3.6170032958674936E-2</v>
      </c>
      <c r="AJ45" s="251" t="s">
        <v>294</v>
      </c>
      <c r="AK45" s="19">
        <f>+AK43/AI43-1</f>
        <v>3.9991300328956259E-2</v>
      </c>
      <c r="AL45" s="19">
        <f>+AL43/AK43-1</f>
        <v>1.9736498143984926E-2</v>
      </c>
      <c r="AM45" s="19">
        <f t="shared" ref="AM45" si="980">+AM43/AL43-1</f>
        <v>6.3728883078264076E-2</v>
      </c>
      <c r="AN45" s="19">
        <f t="shared" ref="AN45" si="981">+AN43/AM43-1</f>
        <v>4.8078081696590003E-2</v>
      </c>
      <c r="AO45" s="251" t="s">
        <v>294</v>
      </c>
      <c r="AP45" s="19">
        <f>+AP43/AN43-1</f>
        <v>1.9222809841342947E-2</v>
      </c>
      <c r="AQ45" s="19">
        <f>+AQ43/AP43-1</f>
        <v>5.2835807426792503E-2</v>
      </c>
      <c r="AR45" s="19">
        <f t="shared" ref="AR45" si="982">+AR43/AQ43-1</f>
        <v>0.16452387074655017</v>
      </c>
      <c r="AS45" s="19">
        <f t="shared" ref="AS45" si="983">+AS43/AR43-1</f>
        <v>6.4365362676185978E-2</v>
      </c>
      <c r="AT45" s="251" t="s">
        <v>294</v>
      </c>
      <c r="AU45" s="379">
        <f>+AU43/AS43-1</f>
        <v>-6.2132632598022264E-2</v>
      </c>
      <c r="AV45" s="19">
        <f>+AV43/AU43-1</f>
        <v>9.6774193548387233E-2</v>
      </c>
      <c r="AW45" s="19">
        <f t="shared" ref="AW45" si="984">+AW43/AV43-1</f>
        <v>5.8823529411764497E-2</v>
      </c>
      <c r="AX45" s="19">
        <f t="shared" ref="AX45" si="985">+AX43/AW43-1</f>
        <v>5.555555555555558E-2</v>
      </c>
      <c r="AY45" s="251" t="s">
        <v>294</v>
      </c>
      <c r="AZ45" s="19">
        <f>+AZ43/AX43-1</f>
        <v>2.6315789473684292E-2</v>
      </c>
      <c r="BA45" s="19">
        <f>+BA43/AZ43-1</f>
        <v>1.2820512820512775E-2</v>
      </c>
      <c r="BB45" s="19">
        <f t="shared" ref="BB45" si="986">+BB43/BA43-1</f>
        <v>1.2658227848101333E-2</v>
      </c>
      <c r="BC45" s="19">
        <f t="shared" ref="BC45" si="987">+BC43/BB43-1</f>
        <v>2.4999999999999911E-2</v>
      </c>
      <c r="BD45" s="251" t="s">
        <v>294</v>
      </c>
      <c r="BE45" s="19">
        <f>+BE43/BC43-1</f>
        <v>2.4390243902439046E-2</v>
      </c>
      <c r="BF45" s="19">
        <f>+BF43/BE43-1</f>
        <v>2.3809523809523947E-2</v>
      </c>
      <c r="BG45" s="19">
        <f t="shared" ref="BG45" si="988">+BG43/BF43-1</f>
        <v>2.3255813953488413E-2</v>
      </c>
      <c r="BH45" s="19">
        <f t="shared" ref="BH45" si="989">+BH43/BG43-1</f>
        <v>2.2727272727272707E-2</v>
      </c>
      <c r="BI45" s="251" t="s">
        <v>294</v>
      </c>
      <c r="BJ45" s="19">
        <f>+BJ43/BH43-1</f>
        <v>2.2222222222222143E-2</v>
      </c>
      <c r="BK45" s="19">
        <f>+BK43/BJ43-1</f>
        <v>2.1739130434782705E-2</v>
      </c>
      <c r="BL45" s="19">
        <f t="shared" ref="BL45" si="990">+BL43/BK43-1</f>
        <v>2.1276595744680771E-2</v>
      </c>
      <c r="BM45" s="19">
        <f t="shared" ref="BM45" si="991">+BM43/BL43-1</f>
        <v>2.0833333333333259E-2</v>
      </c>
      <c r="BN45" s="251" t="s">
        <v>294</v>
      </c>
      <c r="BO45" s="19">
        <f>+BO43/BM43-1</f>
        <v>2.0408163265306145E-2</v>
      </c>
      <c r="BP45" s="19">
        <f>+BP43/BO43-1</f>
        <v>2.0000000000000018E-2</v>
      </c>
      <c r="BQ45" s="19">
        <f t="shared" ref="BQ45" si="992">+BQ43/BP43-1</f>
        <v>1.9607843137255054E-2</v>
      </c>
      <c r="BR45" s="19">
        <f t="shared" ref="BR45" si="993">+BR43/BQ43-1</f>
        <v>1.9230769230769162E-2</v>
      </c>
      <c r="BS45" s="251" t="s">
        <v>294</v>
      </c>
      <c r="BT45" s="19">
        <f>+BT43/BR43-1</f>
        <v>1.8867924528301883E-2</v>
      </c>
      <c r="BU45" s="19">
        <f>+BU43/BT43-1</f>
        <v>1.8518518518518601E-2</v>
      </c>
      <c r="BV45" s="19">
        <f t="shared" ref="BV45" si="994">+BV43/BU43-1</f>
        <v>1.8181818181818077E-2</v>
      </c>
      <c r="BW45" s="19">
        <f t="shared" ref="BW45" si="995">+BW43/BV43-1</f>
        <v>1.7857142857142794E-2</v>
      </c>
      <c r="BX45" s="251" t="s">
        <v>294</v>
      </c>
      <c r="BY45" s="19">
        <f>+BY43/BW43-1</f>
        <v>1.4035087719298289E-2</v>
      </c>
      <c r="BZ45" s="19">
        <f>+BZ43/BY43-1</f>
        <v>1.384083044982698E-2</v>
      </c>
      <c r="CA45" s="19">
        <f t="shared" ref="CA45" si="996">+CA43/BZ43-1</f>
        <v>1.3651877133105783E-2</v>
      </c>
      <c r="CB45" s="19">
        <f t="shared" ref="CB45" si="997">+CB43/CA43-1</f>
        <v>1.3468013468013407E-2</v>
      </c>
      <c r="CC45" s="251" t="s">
        <v>294</v>
      </c>
      <c r="CD45" s="19">
        <f>+CD43/CB43-1</f>
        <v>1.3289036544850585E-2</v>
      </c>
      <c r="CE45" s="19">
        <f>+CE43/CD43-1</f>
        <v>1.3114754098360715E-2</v>
      </c>
      <c r="CF45" s="19">
        <f t="shared" ref="CF45" si="998">+CF43/CE43-1</f>
        <v>1.2944983818770295E-2</v>
      </c>
      <c r="CG45" s="19">
        <f t="shared" ref="CG45" si="999">+CG43/CF43-1</f>
        <v>1.2779552715654896E-2</v>
      </c>
      <c r="CH45" s="251" t="s">
        <v>294</v>
      </c>
      <c r="CI45" s="19">
        <f>+CI43/CG43-1</f>
        <v>1.2618296529968376E-2</v>
      </c>
      <c r="CJ45" s="19">
        <f>+CJ43/CI43-1</f>
        <v>1.2461059190031154E-2</v>
      </c>
      <c r="CK45" s="19">
        <f t="shared" ref="CK45" si="1000">+CK43/CJ43-1</f>
        <v>1.2307692307692353E-2</v>
      </c>
      <c r="CL45" s="19">
        <f t="shared" ref="CL45" si="1001">+CL43/CK43-1</f>
        <v>1.2158054711246091E-2</v>
      </c>
      <c r="CM45" s="251" t="s">
        <v>294</v>
      </c>
    </row>
    <row r="46" spans="1:93" s="42" customFormat="1">
      <c r="A46" s="162" t="s">
        <v>435</v>
      </c>
      <c r="B46" s="232" t="s">
        <v>294</v>
      </c>
      <c r="C46" s="232" t="s">
        <v>294</v>
      </c>
      <c r="D46" s="232" t="s">
        <v>294</v>
      </c>
      <c r="E46" s="232" t="s">
        <v>294</v>
      </c>
      <c r="F46" s="239" t="s">
        <v>294</v>
      </c>
      <c r="G46" s="167" t="str">
        <f>+G111</f>
        <v xml:space="preserve">-- </v>
      </c>
      <c r="H46" s="167" t="str">
        <f t="shared" ref="H46:BS46" si="1002">+H111</f>
        <v xml:space="preserve">-- </v>
      </c>
      <c r="I46" s="167" t="str">
        <f t="shared" si="1002"/>
        <v xml:space="preserve">-- </v>
      </c>
      <c r="J46" s="167" t="str">
        <f t="shared" si="1002"/>
        <v xml:space="preserve">-- </v>
      </c>
      <c r="K46" s="249" t="str">
        <f t="shared" si="1002"/>
        <v xml:space="preserve">-- </v>
      </c>
      <c r="L46" s="167" t="str">
        <f t="shared" si="1002"/>
        <v xml:space="preserve">-- </v>
      </c>
      <c r="M46" s="167" t="str">
        <f t="shared" si="1002"/>
        <v xml:space="preserve">-- </v>
      </c>
      <c r="N46" s="167" t="str">
        <f t="shared" si="1002"/>
        <v xml:space="preserve">-- </v>
      </c>
      <c r="O46" s="167" t="str">
        <f t="shared" si="1002"/>
        <v xml:space="preserve">-- </v>
      </c>
      <c r="P46" s="249" t="str">
        <f t="shared" si="1002"/>
        <v xml:space="preserve">-- </v>
      </c>
      <c r="Q46" s="167" t="str">
        <f t="shared" si="1002"/>
        <v xml:space="preserve">-- </v>
      </c>
      <c r="R46" s="167" t="str">
        <f t="shared" si="1002"/>
        <v xml:space="preserve">-- </v>
      </c>
      <c r="S46" s="167" t="str">
        <f t="shared" si="1002"/>
        <v xml:space="preserve">-- </v>
      </c>
      <c r="T46" s="167" t="str">
        <f t="shared" si="1002"/>
        <v xml:space="preserve">-- </v>
      </c>
      <c r="U46" s="249" t="str">
        <f t="shared" si="1002"/>
        <v xml:space="preserve">-- </v>
      </c>
      <c r="V46" s="167" t="str">
        <f t="shared" si="1002"/>
        <v xml:space="preserve">-- </v>
      </c>
      <c r="W46" s="167" t="str">
        <f t="shared" si="1002"/>
        <v xml:space="preserve">-- </v>
      </c>
      <c r="X46" s="167" t="str">
        <f t="shared" si="1002"/>
        <v xml:space="preserve">-- </v>
      </c>
      <c r="Y46" s="167" t="str">
        <f t="shared" si="1002"/>
        <v xml:space="preserve">-- </v>
      </c>
      <c r="Z46" s="249" t="str">
        <f t="shared" si="1002"/>
        <v xml:space="preserve">-- </v>
      </c>
      <c r="AA46" s="167">
        <f>+AA111</f>
        <v>342</v>
      </c>
      <c r="AB46" s="167">
        <f t="shared" si="1002"/>
        <v>407</v>
      </c>
      <c r="AC46" s="167">
        <f t="shared" si="1002"/>
        <v>519</v>
      </c>
      <c r="AD46" s="167">
        <f t="shared" si="1002"/>
        <v>877</v>
      </c>
      <c r="AE46" s="249">
        <f t="shared" si="1002"/>
        <v>2145</v>
      </c>
      <c r="AF46" s="167">
        <f t="shared" si="1002"/>
        <v>999</v>
      </c>
      <c r="AG46" s="167">
        <f t="shared" si="1002"/>
        <v>1146</v>
      </c>
      <c r="AH46" s="167">
        <f t="shared" si="1002"/>
        <v>1395</v>
      </c>
      <c r="AI46" s="167">
        <f t="shared" si="1002"/>
        <v>1485</v>
      </c>
      <c r="AJ46" s="249">
        <f t="shared" si="1002"/>
        <v>5025</v>
      </c>
      <c r="AK46" s="167">
        <f t="shared" si="1002"/>
        <v>1960</v>
      </c>
      <c r="AL46" s="167">
        <f t="shared" si="1002"/>
        <v>2375</v>
      </c>
      <c r="AM46" s="167">
        <f t="shared" si="1002"/>
        <v>2650</v>
      </c>
      <c r="AN46" s="167">
        <f t="shared" si="1002"/>
        <v>3025</v>
      </c>
      <c r="AO46" s="249">
        <f t="shared" si="1002"/>
        <v>10010</v>
      </c>
      <c r="AP46" s="167">
        <f>+AP111</f>
        <v>3208</v>
      </c>
      <c r="AQ46" s="167">
        <f t="shared" si="1002"/>
        <v>3500</v>
      </c>
      <c r="AR46" s="167">
        <f t="shared" si="1002"/>
        <v>3725</v>
      </c>
      <c r="AS46" s="167">
        <f t="shared" si="1002"/>
        <v>4354</v>
      </c>
      <c r="AT46" s="249">
        <f t="shared" si="1002"/>
        <v>14787</v>
      </c>
      <c r="AU46" s="386">
        <f t="shared" si="1002"/>
        <v>4568.7018781606248</v>
      </c>
      <c r="AV46" s="167">
        <f t="shared" si="1002"/>
        <v>4787.8860032570501</v>
      </c>
      <c r="AW46" s="167">
        <f t="shared" si="1002"/>
        <v>4776.9207229774756</v>
      </c>
      <c r="AX46" s="167">
        <f t="shared" si="1002"/>
        <v>5354.0531184650945</v>
      </c>
      <c r="AY46" s="249">
        <f t="shared" si="1002"/>
        <v>19487.561722860246</v>
      </c>
      <c r="AZ46" s="167">
        <f t="shared" si="1002"/>
        <v>5618.6981473922178</v>
      </c>
      <c r="BA46" s="167">
        <f t="shared" si="1002"/>
        <v>5843.7494887288949</v>
      </c>
      <c r="BB46" s="167">
        <f t="shared" si="1002"/>
        <v>5680.4637933193007</v>
      </c>
      <c r="BC46" s="167">
        <f t="shared" si="1002"/>
        <v>6307.3814831910968</v>
      </c>
      <c r="BD46" s="249">
        <f t="shared" si="1002"/>
        <v>23450.29291263151</v>
      </c>
      <c r="BE46" s="167">
        <f t="shared" si="1002"/>
        <v>6599.0376409462087</v>
      </c>
      <c r="BF46" s="167">
        <f t="shared" si="1002"/>
        <v>6843.3359820524374</v>
      </c>
      <c r="BG46" s="167">
        <f t="shared" si="1002"/>
        <v>6633.4754999994839</v>
      </c>
      <c r="BH46" s="167">
        <f t="shared" si="1002"/>
        <v>7345.7179521566441</v>
      </c>
      <c r="BI46" s="249">
        <f t="shared" si="1002"/>
        <v>27421.567075154773</v>
      </c>
      <c r="BJ46" s="167">
        <f t="shared" si="1002"/>
        <v>7588.8932870881399</v>
      </c>
      <c r="BK46" s="167">
        <f t="shared" si="1002"/>
        <v>7869.8363793603021</v>
      </c>
      <c r="BL46" s="167">
        <f t="shared" si="1002"/>
        <v>7628.4968249994063</v>
      </c>
      <c r="BM46" s="167">
        <f t="shared" si="1002"/>
        <v>8447.5756449801393</v>
      </c>
      <c r="BN46" s="249">
        <f t="shared" si="1002"/>
        <v>31534.802136427985</v>
      </c>
      <c r="BO46" s="167">
        <f t="shared" si="1002"/>
        <v>8727.2272801513609</v>
      </c>
      <c r="BP46" s="167">
        <f t="shared" si="1002"/>
        <v>9050.3118362643472</v>
      </c>
      <c r="BQ46" s="167">
        <f t="shared" si="1002"/>
        <v>8772.7713487493165</v>
      </c>
      <c r="BR46" s="167">
        <f t="shared" si="1002"/>
        <v>9714.7119917271593</v>
      </c>
      <c r="BS46" s="249">
        <f t="shared" si="1002"/>
        <v>36265.022456892184</v>
      </c>
      <c r="BT46" s="167">
        <f t="shared" ref="BT46:CM46" si="1003">+BT111</f>
        <v>10036.311372174065</v>
      </c>
      <c r="BU46" s="167">
        <f t="shared" si="1003"/>
        <v>10407.858611703998</v>
      </c>
      <c r="BV46" s="167">
        <f t="shared" si="1003"/>
        <v>10088.687051061714</v>
      </c>
      <c r="BW46" s="167">
        <f t="shared" si="1003"/>
        <v>11171.918790486232</v>
      </c>
      <c r="BX46" s="249">
        <f t="shared" si="1003"/>
        <v>41704.775825426012</v>
      </c>
      <c r="BY46" s="167">
        <f t="shared" si="1003"/>
        <v>11441.394964278436</v>
      </c>
      <c r="BZ46" s="167">
        <f t="shared" si="1003"/>
        <v>11864.958817342558</v>
      </c>
      <c r="CA46" s="167">
        <f t="shared" si="1003"/>
        <v>11501.103238210355</v>
      </c>
      <c r="CB46" s="167">
        <f t="shared" si="1003"/>
        <v>12735.987421154307</v>
      </c>
      <c r="CC46" s="249">
        <f t="shared" si="1003"/>
        <v>47543.444440985651</v>
      </c>
      <c r="CD46" s="167">
        <f t="shared" si="1003"/>
        <v>12928.776309634632</v>
      </c>
      <c r="CE46" s="167">
        <f t="shared" si="1003"/>
        <v>13407.403463597089</v>
      </c>
      <c r="CF46" s="167">
        <f t="shared" si="1003"/>
        <v>12996.246659177699</v>
      </c>
      <c r="CG46" s="167">
        <f t="shared" si="1003"/>
        <v>14391.665785904364</v>
      </c>
      <c r="CH46" s="249">
        <f t="shared" si="1003"/>
        <v>53724.092218313781</v>
      </c>
      <c r="CI46" s="167">
        <f t="shared" si="1003"/>
        <v>14480.229466790788</v>
      </c>
      <c r="CJ46" s="167">
        <f t="shared" si="1003"/>
        <v>15016.291879228742</v>
      </c>
      <c r="CK46" s="167">
        <f t="shared" si="1003"/>
        <v>14555.796258279024</v>
      </c>
      <c r="CL46" s="167">
        <f t="shared" si="1003"/>
        <v>16118.665680212889</v>
      </c>
      <c r="CM46" s="249">
        <f t="shared" si="1003"/>
        <v>60170.983284511443</v>
      </c>
    </row>
    <row r="47" spans="1:93">
      <c r="A47" s="161" t="s">
        <v>291</v>
      </c>
      <c r="B47" s="232" t="s">
        <v>294</v>
      </c>
      <c r="C47" s="232" t="s">
        <v>294</v>
      </c>
      <c r="D47" s="232" t="s">
        <v>294</v>
      </c>
      <c r="E47" s="232" t="s">
        <v>294</v>
      </c>
      <c r="F47" s="239" t="s">
        <v>294</v>
      </c>
      <c r="G47" s="158" t="s">
        <v>294</v>
      </c>
      <c r="H47" s="158" t="s">
        <v>294</v>
      </c>
      <c r="I47" s="158" t="s">
        <v>294</v>
      </c>
      <c r="J47" s="158" t="s">
        <v>294</v>
      </c>
      <c r="K47" s="250" t="s">
        <v>294</v>
      </c>
      <c r="L47" s="158" t="s">
        <v>294</v>
      </c>
      <c r="M47" s="158" t="s">
        <v>294</v>
      </c>
      <c r="N47" s="158" t="s">
        <v>294</v>
      </c>
      <c r="O47" s="158" t="s">
        <v>294</v>
      </c>
      <c r="P47" s="250" t="s">
        <v>294</v>
      </c>
      <c r="Q47" s="158" t="s">
        <v>294</v>
      </c>
      <c r="R47" s="158" t="s">
        <v>294</v>
      </c>
      <c r="S47" s="158" t="s">
        <v>294</v>
      </c>
      <c r="T47" s="158" t="s">
        <v>294</v>
      </c>
      <c r="U47" s="250" t="s">
        <v>294</v>
      </c>
      <c r="V47" s="158" t="s">
        <v>294</v>
      </c>
      <c r="W47" s="158" t="s">
        <v>294</v>
      </c>
      <c r="X47" s="158" t="s">
        <v>294</v>
      </c>
      <c r="Y47" s="158" t="s">
        <v>294</v>
      </c>
      <c r="Z47" s="250" t="s">
        <v>294</v>
      </c>
      <c r="AA47" s="158" t="s">
        <v>294</v>
      </c>
      <c r="AB47" s="158" t="s">
        <v>294</v>
      </c>
      <c r="AC47" s="158" t="s">
        <v>294</v>
      </c>
      <c r="AD47" s="158" t="s">
        <v>294</v>
      </c>
      <c r="AE47" s="250" t="s">
        <v>294</v>
      </c>
      <c r="AF47" s="19">
        <f t="shared" ref="AF47" si="1004">+AF46/AA46-1</f>
        <v>1.9210526315789473</v>
      </c>
      <c r="AG47" s="19">
        <f t="shared" ref="AG47" si="1005">+AG46/AB46-1</f>
        <v>1.8157248157248156</v>
      </c>
      <c r="AH47" s="19">
        <f t="shared" ref="AH47" si="1006">+AH46/AC46-1</f>
        <v>1.6878612716763004</v>
      </c>
      <c r="AI47" s="19">
        <f t="shared" ref="AI47" si="1007">+AI46/AD46-1</f>
        <v>0.69327251995438988</v>
      </c>
      <c r="AJ47" s="259">
        <f t="shared" ref="AJ47" si="1008">+AJ46/AE46-1</f>
        <v>1.3426573426573425</v>
      </c>
      <c r="AK47" s="19">
        <f t="shared" ref="AK47" si="1009">+AK46/AF46-1</f>
        <v>0.96196196196196193</v>
      </c>
      <c r="AL47" s="19">
        <f t="shared" ref="AL47" si="1010">+AL46/AG46-1</f>
        <v>1.0724258289703315</v>
      </c>
      <c r="AM47" s="19">
        <f t="shared" ref="AM47" si="1011">+AM46/AH46-1</f>
        <v>0.89964157706093184</v>
      </c>
      <c r="AN47" s="19">
        <f t="shared" ref="AN47" si="1012">+AN46/AI46-1</f>
        <v>1.0370370370370372</v>
      </c>
      <c r="AO47" s="259">
        <f t="shared" ref="AO47" si="1013">+AO46/AJ46-1</f>
        <v>0.99203980099502487</v>
      </c>
      <c r="AP47" s="19">
        <f t="shared" ref="AP47" si="1014">+AP46/AK46-1</f>
        <v>0.63673469387755111</v>
      </c>
      <c r="AQ47" s="19">
        <f t="shared" ref="AQ47" si="1015">+AQ46/AL46-1</f>
        <v>0.47368421052631571</v>
      </c>
      <c r="AR47" s="19">
        <f t="shared" ref="AR47" si="1016">+AR46/AM46-1</f>
        <v>0.40566037735849059</v>
      </c>
      <c r="AS47" s="19">
        <f t="shared" ref="AS47" si="1017">+AS46/AN46-1</f>
        <v>0.43933884297520653</v>
      </c>
      <c r="AT47" s="259">
        <f t="shared" ref="AT47" si="1018">+AT46/AO46-1</f>
        <v>0.47722277722277728</v>
      </c>
      <c r="AU47" s="379">
        <f t="shared" ref="AU47" si="1019">+AU46/AP46-1</f>
        <v>0.42415893957625461</v>
      </c>
      <c r="AV47" s="19">
        <f t="shared" ref="AV47" si="1020">+AV46/AQ46-1</f>
        <v>0.36796742950201433</v>
      </c>
      <c r="AW47" s="19">
        <f t="shared" ref="AW47" si="1021">+AW46/AR46-1</f>
        <v>0.28239482496039625</v>
      </c>
      <c r="AX47" s="19">
        <f t="shared" ref="AX47" si="1022">+AX46/AS46-1</f>
        <v>0.22968606303745864</v>
      </c>
      <c r="AY47" s="259">
        <f t="shared" ref="AY47" si="1023">+AY46/AT46-1</f>
        <v>0.31788474490161933</v>
      </c>
      <c r="AZ47" s="19">
        <f t="shared" ref="AZ47" si="1024">+AZ46/AU46-1</f>
        <v>0.22982376553191197</v>
      </c>
      <c r="BA47" s="19">
        <f t="shared" ref="BA47" si="1025">+BA46/AV46-1</f>
        <v>0.22052811715934206</v>
      </c>
      <c r="BB47" s="19">
        <f t="shared" ref="BB47" si="1026">+BB46/AW46-1</f>
        <v>0.18914759585514807</v>
      </c>
      <c r="BC47" s="19">
        <f t="shared" ref="BC47" si="1027">+BC46/AX46-1</f>
        <v>0.17805732286034992</v>
      </c>
      <c r="BD47" s="259">
        <f t="shared" ref="BD47" si="1028">+BD46/AY46-1</f>
        <v>0.20334669088553592</v>
      </c>
      <c r="BE47" s="19">
        <f t="shared" ref="BE47" si="1029">+BE46/AZ46-1</f>
        <v>0.17447804951205503</v>
      </c>
      <c r="BF47" s="19">
        <f t="shared" ref="BF47" si="1030">+BF46/BA46-1</f>
        <v>0.17105224911702499</v>
      </c>
      <c r="BG47" s="19">
        <f t="shared" ref="BG47" si="1031">+BG46/BB46-1</f>
        <v>0.16777005212162499</v>
      </c>
      <c r="BH47" s="19">
        <f t="shared" ref="BH47" si="1032">+BH46/BC46-1</f>
        <v>0.1646224303592021</v>
      </c>
      <c r="BI47" s="259">
        <f t="shared" ref="BI47" si="1033">+BI46/BD46-1</f>
        <v>0.16934859523158163</v>
      </c>
      <c r="BJ47" s="19">
        <f t="shared" ref="BJ47" si="1034">+BJ46/BE46-1</f>
        <v>0.14999999999999991</v>
      </c>
      <c r="BK47" s="19">
        <f t="shared" ref="BK47" si="1035">+BK46/BF46-1</f>
        <v>0.14999999999999991</v>
      </c>
      <c r="BL47" s="19">
        <f t="shared" ref="BL47" si="1036">+BL46/BG46-1</f>
        <v>0.14999999999999991</v>
      </c>
      <c r="BM47" s="19">
        <f t="shared" ref="BM47" si="1037">+BM46/BH46-1</f>
        <v>0.14999999999999991</v>
      </c>
      <c r="BN47" s="259">
        <f t="shared" ref="BN47" si="1038">+BN46/BI46-1</f>
        <v>0.14999999999999991</v>
      </c>
      <c r="BO47" s="19">
        <f t="shared" ref="BO47" si="1039">+BO46/BJ46-1</f>
        <v>0.14999999999999991</v>
      </c>
      <c r="BP47" s="19">
        <f t="shared" ref="BP47" si="1040">+BP46/BK46-1</f>
        <v>0.14999999999999991</v>
      </c>
      <c r="BQ47" s="19">
        <f t="shared" ref="BQ47" si="1041">+BQ46/BL46-1</f>
        <v>0.14999999999999991</v>
      </c>
      <c r="BR47" s="19">
        <f t="shared" ref="BR47" si="1042">+BR46/BM46-1</f>
        <v>0.14999999999999991</v>
      </c>
      <c r="BS47" s="259">
        <f t="shared" ref="BS47" si="1043">+BS46/BN46-1</f>
        <v>0.15000000000000013</v>
      </c>
      <c r="BT47" s="19">
        <f t="shared" ref="BT47" si="1044">+BT46/BO46-1</f>
        <v>0.14999999999999991</v>
      </c>
      <c r="BU47" s="19">
        <f t="shared" ref="BU47" si="1045">+BU46/BP46-1</f>
        <v>0.14999999999999991</v>
      </c>
      <c r="BV47" s="19">
        <f t="shared" ref="BV47" si="1046">+BV46/BQ46-1</f>
        <v>0.14999999999999991</v>
      </c>
      <c r="BW47" s="19">
        <f t="shared" ref="BW47" si="1047">+BW46/BR46-1</f>
        <v>0.14999999999999991</v>
      </c>
      <c r="BX47" s="259">
        <f t="shared" ref="BX47" si="1048">+BX46/BS46-1</f>
        <v>0.14999999999999991</v>
      </c>
      <c r="BY47" s="19">
        <f t="shared" ref="BY47" si="1049">+BY46/BT46-1</f>
        <v>0.14000000000000012</v>
      </c>
      <c r="BZ47" s="19">
        <f t="shared" ref="BZ47" si="1050">+BZ46/BU46-1</f>
        <v>0.14000000000000012</v>
      </c>
      <c r="CA47" s="19">
        <f t="shared" ref="CA47" si="1051">+CA46/BV46-1</f>
        <v>0.14000000000000012</v>
      </c>
      <c r="CB47" s="19">
        <f t="shared" ref="CB47" si="1052">+CB46/BW46-1</f>
        <v>0.14000000000000012</v>
      </c>
      <c r="CC47" s="259">
        <f t="shared" ref="CC47" si="1053">+CC46/BX46-1</f>
        <v>0.1399999999999999</v>
      </c>
      <c r="CD47" s="19">
        <f t="shared" ref="CD47" si="1054">+CD46/BY46-1</f>
        <v>0.12999999999999989</v>
      </c>
      <c r="CE47" s="19">
        <f t="shared" ref="CE47" si="1055">+CE46/BZ46-1</f>
        <v>0.12999999999999989</v>
      </c>
      <c r="CF47" s="19">
        <f t="shared" ref="CF47" si="1056">+CF46/CA46-1</f>
        <v>0.12999999999999989</v>
      </c>
      <c r="CG47" s="19">
        <f t="shared" ref="CG47" si="1057">+CG46/CB46-1</f>
        <v>0.12999999999999989</v>
      </c>
      <c r="CH47" s="259">
        <f t="shared" ref="CH47" si="1058">+CH46/CC46-1</f>
        <v>0.12999999999999989</v>
      </c>
      <c r="CI47" s="19">
        <f t="shared" ref="CI47" si="1059">+CI46/CD46-1</f>
        <v>0.12000000000000011</v>
      </c>
      <c r="CJ47" s="19">
        <f t="shared" ref="CJ47" si="1060">+CJ46/CE46-1</f>
        <v>0.12000000000000011</v>
      </c>
      <c r="CK47" s="19">
        <f t="shared" ref="CK47" si="1061">+CK46/CF46-1</f>
        <v>0.12000000000000011</v>
      </c>
      <c r="CL47" s="19">
        <f t="shared" ref="CL47" si="1062">+CL46/CG46-1</f>
        <v>0.12000000000000011</v>
      </c>
      <c r="CM47" s="259">
        <f t="shared" ref="CM47" si="1063">+CM46/CH46-1</f>
        <v>0.12000000000000011</v>
      </c>
    </row>
    <row r="48" spans="1:93">
      <c r="A48" s="161" t="s">
        <v>292</v>
      </c>
      <c r="B48" s="232" t="s">
        <v>294</v>
      </c>
      <c r="C48" s="232" t="s">
        <v>294</v>
      </c>
      <c r="D48" s="232" t="s">
        <v>294</v>
      </c>
      <c r="E48" s="232" t="s">
        <v>294</v>
      </c>
      <c r="F48" s="239" t="s">
        <v>294</v>
      </c>
      <c r="G48" s="158" t="s">
        <v>294</v>
      </c>
      <c r="H48" s="158" t="s">
        <v>294</v>
      </c>
      <c r="I48" s="158" t="s">
        <v>294</v>
      </c>
      <c r="J48" s="158" t="s">
        <v>294</v>
      </c>
      <c r="K48" s="250" t="s">
        <v>294</v>
      </c>
      <c r="L48" s="158" t="s">
        <v>294</v>
      </c>
      <c r="M48" s="158" t="s">
        <v>294</v>
      </c>
      <c r="N48" s="158" t="s">
        <v>294</v>
      </c>
      <c r="O48" s="158" t="s">
        <v>294</v>
      </c>
      <c r="P48" s="250" t="s">
        <v>294</v>
      </c>
      <c r="Q48" s="158" t="s">
        <v>294</v>
      </c>
      <c r="R48" s="158" t="s">
        <v>294</v>
      </c>
      <c r="S48" s="158" t="s">
        <v>294</v>
      </c>
      <c r="T48" s="158" t="s">
        <v>294</v>
      </c>
      <c r="U48" s="250" t="s">
        <v>294</v>
      </c>
      <c r="V48" s="158" t="s">
        <v>294</v>
      </c>
      <c r="W48" s="158" t="s">
        <v>294</v>
      </c>
      <c r="X48" s="158" t="s">
        <v>294</v>
      </c>
      <c r="Y48" s="158" t="s">
        <v>294</v>
      </c>
      <c r="Z48" s="250" t="s">
        <v>294</v>
      </c>
      <c r="AA48" s="158" t="s">
        <v>294</v>
      </c>
      <c r="AB48" s="158" t="s">
        <v>294</v>
      </c>
      <c r="AC48" s="158" t="s">
        <v>294</v>
      </c>
      <c r="AD48" s="158" t="s">
        <v>294</v>
      </c>
      <c r="AE48" s="250" t="s">
        <v>294</v>
      </c>
      <c r="AF48" s="19">
        <f>+AF46/AD46-1</f>
        <v>0.1391106043329533</v>
      </c>
      <c r="AG48" s="19">
        <f>+AG46/AF46-1</f>
        <v>0.14714714714714705</v>
      </c>
      <c r="AH48" s="19">
        <f t="shared" ref="AH48" si="1064">+AH46/AG46-1</f>
        <v>0.2172774869109948</v>
      </c>
      <c r="AI48" s="19">
        <f t="shared" ref="AI48" si="1065">+AI46/AH46-1</f>
        <v>6.4516129032258007E-2</v>
      </c>
      <c r="AJ48" s="251" t="s">
        <v>294</v>
      </c>
      <c r="AK48" s="19">
        <f>+AK46/AI46-1</f>
        <v>0.31986531986531985</v>
      </c>
      <c r="AL48" s="19">
        <f>+AL46/AK46-1</f>
        <v>0.21173469387755106</v>
      </c>
      <c r="AM48" s="19">
        <f t="shared" ref="AM48" si="1066">+AM46/AL46-1</f>
        <v>0.11578947368421044</v>
      </c>
      <c r="AN48" s="19">
        <f t="shared" ref="AN48" si="1067">+AN46/AM46-1</f>
        <v>0.14150943396226423</v>
      </c>
      <c r="AO48" s="251" t="s">
        <v>294</v>
      </c>
      <c r="AP48" s="19">
        <f>+AP46/AN46-1</f>
        <v>6.0495867768594946E-2</v>
      </c>
      <c r="AQ48" s="19">
        <f>+AQ46/AP46-1</f>
        <v>9.1022443890274252E-2</v>
      </c>
      <c r="AR48" s="19">
        <f t="shared" ref="AR48" si="1068">+AR46/AQ46-1</f>
        <v>6.4285714285714279E-2</v>
      </c>
      <c r="AS48" s="19">
        <f t="shared" ref="AS48" si="1069">+AS46/AR46-1</f>
        <v>0.1688590604026845</v>
      </c>
      <c r="AT48" s="251" t="s">
        <v>294</v>
      </c>
      <c r="AU48" s="379">
        <f>+AU46/AS46-1</f>
        <v>4.9311409775063098E-2</v>
      </c>
      <c r="AV48" s="19">
        <f>+AV46/AU46-1</f>
        <v>4.7975142817738403E-2</v>
      </c>
      <c r="AW48" s="19">
        <f t="shared" ref="AW48" si="1070">+AW46/AV46-1</f>
        <v>-2.2902133158799742E-3</v>
      </c>
      <c r="AX48" s="19">
        <f t="shared" ref="AX48" si="1071">+AX46/AW46-1</f>
        <v>0.12081682509645875</v>
      </c>
      <c r="AY48" s="251" t="s">
        <v>294</v>
      </c>
      <c r="AZ48" s="19">
        <f>+AZ46/AX46-1</f>
        <v>4.9428913585936263E-2</v>
      </c>
      <c r="BA48" s="19">
        <f>+BA46/AZ46-1</f>
        <v>4.0054001021772034E-2</v>
      </c>
      <c r="BB48" s="19">
        <f t="shared" ref="BB48" si="1072">+BB46/BA46-1</f>
        <v>-2.7941939627037504E-2</v>
      </c>
      <c r="BC48" s="19">
        <f t="shared" ref="BC48" si="1073">+BC46/BB46-1</f>
        <v>0.11036382110367526</v>
      </c>
      <c r="BD48" s="251" t="s">
        <v>294</v>
      </c>
      <c r="BE48" s="19">
        <f>+BE46/BC46-1</f>
        <v>4.6240449944618511E-2</v>
      </c>
      <c r="BF48" s="19">
        <f>+BF46/BE46-1</f>
        <v>3.7020298170507226E-2</v>
      </c>
      <c r="BG48" s="19">
        <f t="shared" ref="BG48" si="1074">+BG46/BF46-1</f>
        <v>-3.0666400510414915E-2</v>
      </c>
      <c r="BH48" s="19">
        <f t="shared" ref="BH48" si="1075">+BH46/BG46-1</f>
        <v>0.10737093280245258</v>
      </c>
      <c r="BI48" s="251" t="s">
        <v>294</v>
      </c>
      <c r="BJ48" s="19">
        <f>+BJ46/BH46-1</f>
        <v>3.3104365906140076E-2</v>
      </c>
      <c r="BK48" s="19">
        <f>+BK46/BJ46-1</f>
        <v>3.7020298170507004E-2</v>
      </c>
      <c r="BL48" s="19">
        <f t="shared" ref="BL48" si="1076">+BL46/BK46-1</f>
        <v>-3.0666400510414804E-2</v>
      </c>
      <c r="BM48" s="19">
        <f t="shared" ref="BM48" si="1077">+BM46/BL46-1</f>
        <v>0.10737093280245236</v>
      </c>
      <c r="BN48" s="251" t="s">
        <v>294</v>
      </c>
      <c r="BO48" s="19">
        <f>+BO46/BM46-1</f>
        <v>3.3104365906140298E-2</v>
      </c>
      <c r="BP48" s="19">
        <f>+BP46/BO46-1</f>
        <v>3.7020298170507004E-2</v>
      </c>
      <c r="BQ48" s="19">
        <f t="shared" ref="BQ48" si="1078">+BQ46/BP46-1</f>
        <v>-3.0666400510414915E-2</v>
      </c>
      <c r="BR48" s="19">
        <f t="shared" ref="BR48" si="1079">+BR46/BQ46-1</f>
        <v>0.10737093280245236</v>
      </c>
      <c r="BS48" s="251" t="s">
        <v>294</v>
      </c>
      <c r="BT48" s="19">
        <f>+BT46/BR46-1</f>
        <v>3.3104365906140298E-2</v>
      </c>
      <c r="BU48" s="19">
        <f>+BU46/BT46-1</f>
        <v>3.7020298170506782E-2</v>
      </c>
      <c r="BV48" s="19">
        <f t="shared" ref="BV48" si="1080">+BV46/BU46-1</f>
        <v>-3.0666400510414804E-2</v>
      </c>
      <c r="BW48" s="19">
        <f t="shared" ref="BW48" si="1081">+BW46/BV46-1</f>
        <v>0.10737093280245236</v>
      </c>
      <c r="BX48" s="251" t="s">
        <v>294</v>
      </c>
      <c r="BY48" s="19">
        <f>+BY46/BW46-1</f>
        <v>2.4120849680869805E-2</v>
      </c>
      <c r="BZ48" s="19">
        <f>+BZ46/BY46-1</f>
        <v>3.7020298170506782E-2</v>
      </c>
      <c r="CA48" s="19">
        <f t="shared" ref="CA48" si="1082">+CA46/BZ46-1</f>
        <v>-3.0666400510414693E-2</v>
      </c>
      <c r="CB48" s="19">
        <f t="shared" ref="CB48" si="1083">+CB46/CA46-1</f>
        <v>0.10737093280245236</v>
      </c>
      <c r="CC48" s="251" t="s">
        <v>294</v>
      </c>
      <c r="CD48" s="19">
        <f>+CD46/CB46-1</f>
        <v>1.5137333455598867E-2</v>
      </c>
      <c r="CE48" s="19">
        <f>+CE46/CD46-1</f>
        <v>3.7020298170506782E-2</v>
      </c>
      <c r="CF48" s="19">
        <f t="shared" ref="CF48" si="1084">+CF46/CE46-1</f>
        <v>-3.0666400510414693E-2</v>
      </c>
      <c r="CG48" s="19">
        <f t="shared" ref="CG48" si="1085">+CG46/CF46-1</f>
        <v>0.10737093280245236</v>
      </c>
      <c r="CH48" s="251" t="s">
        <v>294</v>
      </c>
      <c r="CI48" s="19">
        <f>+CI46/CG46-1</f>
        <v>6.1538172303281513E-3</v>
      </c>
      <c r="CJ48" s="19">
        <f>+CJ46/CI46-1</f>
        <v>3.7020298170506782E-2</v>
      </c>
      <c r="CK48" s="19">
        <f t="shared" ref="CK48" si="1086">+CK46/CJ46-1</f>
        <v>-3.0666400510414804E-2</v>
      </c>
      <c r="CL48" s="19">
        <f t="shared" ref="CL48" si="1087">+CL46/CK46-1</f>
        <v>0.10737093280245236</v>
      </c>
      <c r="CM48" s="251" t="s">
        <v>294</v>
      </c>
    </row>
    <row r="49" spans="1:91" s="42" customFormat="1">
      <c r="A49" s="162" t="s">
        <v>293</v>
      </c>
      <c r="B49" s="232" t="s">
        <v>294</v>
      </c>
      <c r="C49" s="232" t="s">
        <v>294</v>
      </c>
      <c r="D49" s="232" t="s">
        <v>294</v>
      </c>
      <c r="E49" s="232" t="s">
        <v>294</v>
      </c>
      <c r="F49" s="239" t="s">
        <v>294</v>
      </c>
      <c r="G49" s="167" t="str">
        <f>+G136</f>
        <v xml:space="preserve">-- </v>
      </c>
      <c r="H49" s="167" t="str">
        <f t="shared" ref="H49:BS49" si="1088">+H136</f>
        <v xml:space="preserve">-- </v>
      </c>
      <c r="I49" s="167" t="str">
        <f t="shared" si="1088"/>
        <v xml:space="preserve">-- </v>
      </c>
      <c r="J49" s="167" t="str">
        <f t="shared" si="1088"/>
        <v xml:space="preserve">-- </v>
      </c>
      <c r="K49" s="249" t="str">
        <f t="shared" si="1088"/>
        <v xml:space="preserve">-- </v>
      </c>
      <c r="L49" s="167" t="str">
        <f t="shared" si="1088"/>
        <v xml:space="preserve">-- </v>
      </c>
      <c r="M49" s="167" t="str">
        <f t="shared" si="1088"/>
        <v xml:space="preserve">-- </v>
      </c>
      <c r="N49" s="167" t="str">
        <f t="shared" si="1088"/>
        <v xml:space="preserve">-- </v>
      </c>
      <c r="O49" s="167" t="str">
        <f t="shared" si="1088"/>
        <v xml:space="preserve">-- </v>
      </c>
      <c r="P49" s="249" t="str">
        <f t="shared" si="1088"/>
        <v xml:space="preserve">-- </v>
      </c>
      <c r="Q49" s="167">
        <f t="shared" si="1088"/>
        <v>0</v>
      </c>
      <c r="R49" s="167">
        <f t="shared" si="1088"/>
        <v>0</v>
      </c>
      <c r="S49" s="167">
        <f t="shared" si="1088"/>
        <v>0</v>
      </c>
      <c r="T49" s="167">
        <f t="shared" si="1088"/>
        <v>0</v>
      </c>
      <c r="U49" s="249">
        <f t="shared" si="1088"/>
        <v>0</v>
      </c>
      <c r="V49" s="167">
        <f t="shared" si="1088"/>
        <v>0</v>
      </c>
      <c r="W49" s="167">
        <f t="shared" si="1088"/>
        <v>0</v>
      </c>
      <c r="X49" s="167">
        <f t="shared" si="1088"/>
        <v>0</v>
      </c>
      <c r="Y49" s="167">
        <f t="shared" si="1088"/>
        <v>0</v>
      </c>
      <c r="Z49" s="249">
        <f t="shared" si="1088"/>
        <v>0</v>
      </c>
      <c r="AA49" s="167">
        <f>+AA136</f>
        <v>1652</v>
      </c>
      <c r="AB49" s="167">
        <f t="shared" si="1088"/>
        <v>1941</v>
      </c>
      <c r="AC49" s="167">
        <f t="shared" si="1088"/>
        <v>2702</v>
      </c>
      <c r="AD49" s="167">
        <f t="shared" si="1088"/>
        <v>3513</v>
      </c>
      <c r="AE49" s="249">
        <f t="shared" si="1088"/>
        <v>9808</v>
      </c>
      <c r="AF49" s="167">
        <f t="shared" si="1088"/>
        <v>4000</v>
      </c>
      <c r="AG49" s="167">
        <f t="shared" si="1088"/>
        <v>5500</v>
      </c>
      <c r="AH49" s="167">
        <f t="shared" si="1088"/>
        <v>6372</v>
      </c>
      <c r="AI49" s="167">
        <f t="shared" si="1088"/>
        <v>7290</v>
      </c>
      <c r="AJ49" s="249">
        <f t="shared" si="1088"/>
        <v>23162</v>
      </c>
      <c r="AK49" s="167">
        <f t="shared" si="1088"/>
        <v>6000</v>
      </c>
      <c r="AL49" s="167">
        <f t="shared" si="1088"/>
        <v>7213</v>
      </c>
      <c r="AM49" s="167">
        <f t="shared" si="1088"/>
        <v>7905</v>
      </c>
      <c r="AN49" s="167">
        <f t="shared" si="1088"/>
        <v>9470</v>
      </c>
      <c r="AO49" s="249">
        <f t="shared" si="1088"/>
        <v>30588</v>
      </c>
      <c r="AP49" s="167">
        <f>+AP136</f>
        <v>10531</v>
      </c>
      <c r="AQ49" s="167">
        <f t="shared" si="1088"/>
        <v>12730</v>
      </c>
      <c r="AR49" s="167">
        <f t="shared" si="1088"/>
        <v>14500</v>
      </c>
      <c r="AS49" s="167">
        <f t="shared" si="1088"/>
        <v>15100</v>
      </c>
      <c r="AT49" s="249">
        <f t="shared" si="1088"/>
        <v>52861</v>
      </c>
      <c r="AU49" s="386">
        <f t="shared" si="1088"/>
        <v>19052.873869260195</v>
      </c>
      <c r="AV49" s="167">
        <f t="shared" si="1088"/>
        <v>22548.101581498817</v>
      </c>
      <c r="AW49" s="167">
        <f t="shared" si="1088"/>
        <v>26051.106909711089</v>
      </c>
      <c r="AX49" s="167">
        <f t="shared" si="1088"/>
        <v>29529.735570351717</v>
      </c>
      <c r="AY49" s="249">
        <f t="shared" si="1088"/>
        <v>97181.817930821824</v>
      </c>
      <c r="AZ49" s="167">
        <f t="shared" si="1088"/>
        <v>37174.872235416187</v>
      </c>
      <c r="BA49" s="167">
        <f t="shared" si="1088"/>
        <v>43925.03075467702</v>
      </c>
      <c r="BB49" s="167">
        <f t="shared" si="1088"/>
        <v>50690.322982732134</v>
      </c>
      <c r="BC49" s="167">
        <f t="shared" si="1088"/>
        <v>57408.198207704023</v>
      </c>
      <c r="BD49" s="249">
        <f t="shared" si="1088"/>
        <v>189198.42418052937</v>
      </c>
      <c r="BE49" s="167">
        <f t="shared" si="1088"/>
        <v>65637.260616844083</v>
      </c>
      <c r="BF49" s="167">
        <f t="shared" si="1088"/>
        <v>72126.413006693518</v>
      </c>
      <c r="BG49" s="167">
        <f t="shared" si="1088"/>
        <v>78639.043258006393</v>
      </c>
      <c r="BH49" s="167">
        <f t="shared" si="1088"/>
        <v>85079.301995460904</v>
      </c>
      <c r="BI49" s="249">
        <f t="shared" si="1088"/>
        <v>301482.01887700486</v>
      </c>
      <c r="BJ49" s="167">
        <f t="shared" si="1088"/>
        <v>89090.107954600899</v>
      </c>
      <c r="BK49" s="167">
        <f t="shared" si="1088"/>
        <v>90522.356589217656</v>
      </c>
      <c r="BL49" s="167">
        <f t="shared" si="1088"/>
        <v>91982.066674648682</v>
      </c>
      <c r="BM49" s="167">
        <f t="shared" si="1088"/>
        <v>93358.964678918652</v>
      </c>
      <c r="BN49" s="249">
        <f t="shared" si="1088"/>
        <v>364953.49589738587</v>
      </c>
      <c r="BO49" s="167">
        <f t="shared" si="1088"/>
        <v>100122.36905728544</v>
      </c>
      <c r="BP49" s="167">
        <f t="shared" si="1088"/>
        <v>104056.27864036616</v>
      </c>
      <c r="BQ49" s="167">
        <f t="shared" si="1088"/>
        <v>108022.43856300414</v>
      </c>
      <c r="BR49" s="167">
        <f t="shared" si="1088"/>
        <v>111890.67263875745</v>
      </c>
      <c r="BS49" s="249">
        <f t="shared" si="1088"/>
        <v>424091.75889941317</v>
      </c>
      <c r="BT49" s="167">
        <f t="shared" ref="BT49:CM49" si="1089">+BT136</f>
        <v>113255.85730543685</v>
      </c>
      <c r="BU49" s="167">
        <f t="shared" si="1089"/>
        <v>117307.78417600998</v>
      </c>
      <c r="BV49" s="167">
        <f t="shared" si="1089"/>
        <v>121395.95407897531</v>
      </c>
      <c r="BW49" s="167">
        <f t="shared" si="1089"/>
        <v>125374.18481170476</v>
      </c>
      <c r="BX49" s="249">
        <f t="shared" si="1089"/>
        <v>477333.78037212696</v>
      </c>
      <c r="BY49" s="167">
        <f t="shared" si="1089"/>
        <v>127087.24471632577</v>
      </c>
      <c r="BZ49" s="167">
        <f t="shared" si="1089"/>
        <v>131260.72939301611</v>
      </c>
      <c r="CA49" s="167">
        <f t="shared" si="1089"/>
        <v>135474.66033119807</v>
      </c>
      <c r="CB49" s="167">
        <f t="shared" si="1089"/>
        <v>139566.00610965406</v>
      </c>
      <c r="CC49" s="249">
        <f t="shared" si="1089"/>
        <v>533388.64055019408</v>
      </c>
      <c r="CD49" s="167">
        <f t="shared" si="1089"/>
        <v>138959.90433967375</v>
      </c>
      <c r="CE49" s="167">
        <f t="shared" si="1089"/>
        <v>143258.5935566648</v>
      </c>
      <c r="CF49" s="167">
        <f t="shared" si="1089"/>
        <v>147601.34948519585</v>
      </c>
      <c r="CG49" s="167">
        <f t="shared" si="1089"/>
        <v>151810.62151259827</v>
      </c>
      <c r="CH49" s="249">
        <f t="shared" si="1089"/>
        <v>581630.46889413265</v>
      </c>
      <c r="CI49" s="167">
        <f t="shared" si="1089"/>
        <v>151430.54502017796</v>
      </c>
      <c r="CJ49" s="167">
        <f t="shared" si="1089"/>
        <v>155858.19491367872</v>
      </c>
      <c r="CK49" s="167">
        <f t="shared" si="1089"/>
        <v>160333.71279413547</v>
      </c>
      <c r="CL49" s="167">
        <f t="shared" si="1089"/>
        <v>164664.30443422045</v>
      </c>
      <c r="CM49" s="249">
        <f t="shared" si="1089"/>
        <v>632286.75716221251</v>
      </c>
    </row>
    <row r="50" spans="1:91">
      <c r="A50" s="161" t="s">
        <v>291</v>
      </c>
      <c r="B50" s="232" t="s">
        <v>294</v>
      </c>
      <c r="C50" s="232" t="s">
        <v>294</v>
      </c>
      <c r="D50" s="232" t="s">
        <v>294</v>
      </c>
      <c r="E50" s="232" t="s">
        <v>294</v>
      </c>
      <c r="F50" s="239" t="s">
        <v>294</v>
      </c>
      <c r="G50" s="158" t="s">
        <v>294</v>
      </c>
      <c r="H50" s="158" t="s">
        <v>294</v>
      </c>
      <c r="I50" s="158" t="s">
        <v>294</v>
      </c>
      <c r="J50" s="158" t="s">
        <v>294</v>
      </c>
      <c r="K50" s="250" t="s">
        <v>294</v>
      </c>
      <c r="L50" s="158" t="s">
        <v>294</v>
      </c>
      <c r="M50" s="158" t="s">
        <v>294</v>
      </c>
      <c r="N50" s="158" t="s">
        <v>294</v>
      </c>
      <c r="O50" s="158" t="s">
        <v>294</v>
      </c>
      <c r="P50" s="250" t="s">
        <v>294</v>
      </c>
      <c r="Q50" s="158" t="s">
        <v>294</v>
      </c>
      <c r="R50" s="158" t="s">
        <v>294</v>
      </c>
      <c r="S50" s="158" t="s">
        <v>294</v>
      </c>
      <c r="T50" s="158" t="s">
        <v>294</v>
      </c>
      <c r="U50" s="250" t="s">
        <v>294</v>
      </c>
      <c r="V50" s="158" t="s">
        <v>294</v>
      </c>
      <c r="W50" s="158" t="s">
        <v>294</v>
      </c>
      <c r="X50" s="158" t="s">
        <v>294</v>
      </c>
      <c r="Y50" s="158" t="s">
        <v>294</v>
      </c>
      <c r="Z50" s="250" t="s">
        <v>294</v>
      </c>
      <c r="AA50" s="158" t="s">
        <v>294</v>
      </c>
      <c r="AB50" s="158" t="s">
        <v>294</v>
      </c>
      <c r="AC50" s="158" t="s">
        <v>294</v>
      </c>
      <c r="AD50" s="158" t="s">
        <v>294</v>
      </c>
      <c r="AE50" s="250" t="s">
        <v>294</v>
      </c>
      <c r="AF50" s="19">
        <f t="shared" ref="AF50" si="1090">+AF49/AA49-1</f>
        <v>1.4213075060532687</v>
      </c>
      <c r="AG50" s="19">
        <f t="shared" ref="AG50" si="1091">+AG49/AB49-1</f>
        <v>1.8335909325090158</v>
      </c>
      <c r="AH50" s="19">
        <f t="shared" ref="AH50" si="1092">+AH49/AC49-1</f>
        <v>1.3582531458179128</v>
      </c>
      <c r="AI50" s="19">
        <f t="shared" ref="AI50" si="1093">+AI49/AD49-1</f>
        <v>1.0751494449188725</v>
      </c>
      <c r="AJ50" s="259">
        <f t="shared" ref="AJ50" si="1094">+AJ49/AE49-1</f>
        <v>1.3615415986949428</v>
      </c>
      <c r="AK50" s="19">
        <f t="shared" ref="AK50" si="1095">+AK49/AF49-1</f>
        <v>0.5</v>
      </c>
      <c r="AL50" s="19">
        <f t="shared" ref="AL50" si="1096">+AL49/AG49-1</f>
        <v>0.31145454545454543</v>
      </c>
      <c r="AM50" s="19">
        <f t="shared" ref="AM50" si="1097">+AM49/AH49-1</f>
        <v>0.24058380414312608</v>
      </c>
      <c r="AN50" s="19">
        <f t="shared" ref="AN50" si="1098">+AN49/AI49-1</f>
        <v>0.2990397805212619</v>
      </c>
      <c r="AO50" s="259">
        <f t="shared" ref="AO50" si="1099">+AO49/AJ49-1</f>
        <v>0.32061134617045162</v>
      </c>
      <c r="AP50" s="19">
        <f t="shared" ref="AP50" si="1100">+AP49/AK49-1</f>
        <v>0.75516666666666676</v>
      </c>
      <c r="AQ50" s="19">
        <f t="shared" ref="AQ50" si="1101">+AQ49/AL49-1</f>
        <v>0.76486898655205882</v>
      </c>
      <c r="AR50" s="19">
        <f t="shared" ref="AR50" si="1102">+AR49/AM49-1</f>
        <v>0.83428209993674884</v>
      </c>
      <c r="AS50" s="19">
        <f t="shared" ref="AS50" si="1103">+AS49/AN49-1</f>
        <v>0.59450897571277728</v>
      </c>
      <c r="AT50" s="259">
        <f t="shared" ref="AT50" si="1104">+AT49/AO49-1</f>
        <v>0.72816137047208063</v>
      </c>
      <c r="AU50" s="379">
        <f t="shared" ref="AU50" si="1105">+AU49/AP49-1</f>
        <v>0.80921791560727319</v>
      </c>
      <c r="AV50" s="19">
        <f t="shared" ref="AV50" si="1106">+AV49/AQ49-1</f>
        <v>0.77125699776110102</v>
      </c>
      <c r="AW50" s="19">
        <f t="shared" ref="AW50" si="1107">+AW49/AR49-1</f>
        <v>0.79662806273869569</v>
      </c>
      <c r="AX50" s="19">
        <f t="shared" ref="AX50" si="1108">+AX49/AS49-1</f>
        <v>0.95561162717561032</v>
      </c>
      <c r="AY50" s="259">
        <f t="shared" ref="AY50" si="1109">+AY49/AT49-1</f>
        <v>0.83844077733720179</v>
      </c>
      <c r="AZ50" s="19">
        <f t="shared" ref="AZ50" si="1110">+AZ49/AU49-1</f>
        <v>0.95114251479898404</v>
      </c>
      <c r="BA50" s="19">
        <f t="shared" ref="BA50" si="1111">+BA49/AV49-1</f>
        <v>0.94805893506876937</v>
      </c>
      <c r="BB50" s="19">
        <f t="shared" ref="BB50" si="1112">+BB49/AW49-1</f>
        <v>0.94580303855865222</v>
      </c>
      <c r="BC50" s="19">
        <f t="shared" ref="BC50" si="1113">+BC49/AX49-1</f>
        <v>0.9440810118646199</v>
      </c>
      <c r="BD50" s="259">
        <f t="shared" ref="BD50" si="1114">+BD49/AY49-1</f>
        <v>0.94685001998222451</v>
      </c>
      <c r="BE50" s="19">
        <f t="shared" ref="BE50" si="1115">+BE49/AZ49-1</f>
        <v>0.76563513658325411</v>
      </c>
      <c r="BF50" s="19">
        <f t="shared" ref="BF50" si="1116">+BF49/BA49-1</f>
        <v>0.64203443384074776</v>
      </c>
      <c r="BG50" s="19">
        <f t="shared" ref="BG50" si="1117">+BG49/BB49-1</f>
        <v>0.55136204763964725</v>
      </c>
      <c r="BH50" s="19">
        <f t="shared" ref="BH50" si="1118">+BH49/BC49-1</f>
        <v>0.48200613591184771</v>
      </c>
      <c r="BI50" s="259">
        <f t="shared" ref="BI50" si="1119">+BI49/BD49-1</f>
        <v>0.59347003117392094</v>
      </c>
      <c r="BJ50" s="19">
        <f t="shared" ref="BJ50" si="1120">+BJ49/BE49-1</f>
        <v>0.35730996567120998</v>
      </c>
      <c r="BK50" s="19">
        <f t="shared" ref="BK50" si="1121">+BK49/BF49-1</f>
        <v>0.2550514134234978</v>
      </c>
      <c r="BL50" s="19">
        <f t="shared" ref="BL50" si="1122">+BL49/BG49-1</f>
        <v>0.16967428472985402</v>
      </c>
      <c r="BM50" s="19">
        <f t="shared" ref="BM50" si="1123">+BM49/BH49-1</f>
        <v>9.7317002952133747E-2</v>
      </c>
      <c r="BN50" s="259">
        <f t="shared" ref="BN50" si="1124">+BN49/BI49-1</f>
        <v>0.21053155095884968</v>
      </c>
      <c r="BO50" s="19">
        <f t="shared" ref="BO50" si="1125">+BO49/BJ49-1</f>
        <v>0.12383261571875548</v>
      </c>
      <c r="BP50" s="19">
        <f t="shared" ref="BP50" si="1126">+BP49/BK49-1</f>
        <v>0.14950916614515708</v>
      </c>
      <c r="BQ50" s="19">
        <f t="shared" ref="BQ50" si="1127">+BQ49/BL49-1</f>
        <v>0.17438586094278707</v>
      </c>
      <c r="BR50" s="19">
        <f t="shared" ref="BR50" si="1128">+BR49/BM49-1</f>
        <v>0.19849950161265473</v>
      </c>
      <c r="BS50" s="259">
        <f t="shared" ref="BS50" si="1129">+BS49/BN49-1</f>
        <v>0.16204328405352553</v>
      </c>
      <c r="BT50" s="19">
        <f t="shared" ref="BT50" si="1130">+BT49/BO49-1</f>
        <v>0.13117436564687179</v>
      </c>
      <c r="BU50" s="19">
        <f t="shared" ref="BU50" si="1131">+BU49/BP49-1</f>
        <v>0.12734940850078802</v>
      </c>
      <c r="BV50" s="19">
        <f t="shared" ref="BV50" si="1132">+BV49/BQ49-1</f>
        <v>0.12380312547907413</v>
      </c>
      <c r="BW50" s="19">
        <f t="shared" ref="BW50" si="1133">+BW49/BR49-1</f>
        <v>0.12050613205695226</v>
      </c>
      <c r="BX50" s="259">
        <f t="shared" ref="BX50" si="1134">+BX49/BS49-1</f>
        <v>0.12554363614818986</v>
      </c>
      <c r="BY50" s="19">
        <f t="shared" ref="BY50" si="1135">+BY49/BT49-1</f>
        <v>0.12212513983791062</v>
      </c>
      <c r="BZ50" s="19">
        <f t="shared" ref="BZ50" si="1136">+BZ49/BU49-1</f>
        <v>0.11894304640577791</v>
      </c>
      <c r="CA50" s="19">
        <f t="shared" ref="CA50" si="1137">+CA49/BV49-1</f>
        <v>0.11597343881052025</v>
      </c>
      <c r="CB50" s="19">
        <f t="shared" ref="CB50" si="1138">+CB49/BW49-1</f>
        <v>0.11319572142593404</v>
      </c>
      <c r="CC50" s="259">
        <f t="shared" ref="CC50" si="1139">+CC49/BX49-1</f>
        <v>0.1174332563146212</v>
      </c>
      <c r="CD50" s="19">
        <f t="shared" ref="CD50" si="1140">+CD49/BY49-1</f>
        <v>9.3421331541565733E-2</v>
      </c>
      <c r="CE50" s="19">
        <f t="shared" ref="CE50" si="1141">+CE49/BZ49-1</f>
        <v>9.1404826250242044E-2</v>
      </c>
      <c r="CF50" s="19">
        <f t="shared" ref="CF50" si="1142">+CF49/CA49-1</f>
        <v>8.9512600543536269E-2</v>
      </c>
      <c r="CG50" s="19">
        <f t="shared" ref="CG50" si="1143">+CG49/CB49-1</f>
        <v>8.7733508640519986E-2</v>
      </c>
      <c r="CH50" s="259">
        <f t="shared" ref="CH50" si="1144">+CH49/CC49-1</f>
        <v>9.0444049003699734E-2</v>
      </c>
      <c r="CI50" s="19">
        <f t="shared" ref="CI50" si="1145">+CI49/CD49-1</f>
        <v>8.9742726434389075E-2</v>
      </c>
      <c r="CJ50" s="19">
        <f t="shared" ref="CJ50" si="1146">+CJ49/CE49-1</f>
        <v>8.7950056217955597E-2</v>
      </c>
      <c r="CK50" s="19">
        <f t="shared" ref="CK50" si="1147">+CK49/CF49-1</f>
        <v>8.6261835364971784E-2</v>
      </c>
      <c r="CL50" s="19">
        <f t="shared" ref="CL50" si="1148">+CL49/CG49-1</f>
        <v>8.4669193720121161E-2</v>
      </c>
      <c r="CM50" s="259">
        <f t="shared" ref="CM50" si="1149">+CM49/CH49-1</f>
        <v>8.7093594605512692E-2</v>
      </c>
    </row>
    <row r="51" spans="1:91">
      <c r="A51" s="161" t="s">
        <v>292</v>
      </c>
      <c r="B51" s="232" t="s">
        <v>294</v>
      </c>
      <c r="C51" s="232" t="s">
        <v>294</v>
      </c>
      <c r="D51" s="232" t="s">
        <v>294</v>
      </c>
      <c r="E51" s="232" t="s">
        <v>294</v>
      </c>
      <c r="F51" s="239" t="s">
        <v>294</v>
      </c>
      <c r="G51" s="158" t="s">
        <v>294</v>
      </c>
      <c r="H51" s="158" t="s">
        <v>294</v>
      </c>
      <c r="I51" s="158" t="s">
        <v>294</v>
      </c>
      <c r="J51" s="158" t="s">
        <v>294</v>
      </c>
      <c r="K51" s="250" t="s">
        <v>294</v>
      </c>
      <c r="L51" s="158" t="s">
        <v>294</v>
      </c>
      <c r="M51" s="158" t="s">
        <v>294</v>
      </c>
      <c r="N51" s="158" t="s">
        <v>294</v>
      </c>
      <c r="O51" s="158" t="s">
        <v>294</v>
      </c>
      <c r="P51" s="250" t="s">
        <v>294</v>
      </c>
      <c r="Q51" s="158" t="s">
        <v>294</v>
      </c>
      <c r="R51" s="158" t="s">
        <v>294</v>
      </c>
      <c r="S51" s="158" t="s">
        <v>294</v>
      </c>
      <c r="T51" s="158" t="s">
        <v>294</v>
      </c>
      <c r="U51" s="250" t="s">
        <v>294</v>
      </c>
      <c r="V51" s="158" t="s">
        <v>294</v>
      </c>
      <c r="W51" s="158" t="s">
        <v>294</v>
      </c>
      <c r="X51" s="158" t="s">
        <v>294</v>
      </c>
      <c r="Y51" s="158" t="s">
        <v>294</v>
      </c>
      <c r="Z51" s="250" t="s">
        <v>294</v>
      </c>
      <c r="AA51" s="158" t="s">
        <v>294</v>
      </c>
      <c r="AB51" s="19">
        <f>+AB49/AA49-1</f>
        <v>0.17493946731234877</v>
      </c>
      <c r="AC51" s="19">
        <f t="shared" ref="AC51" si="1150">+AC49/AB49-1</f>
        <v>0.39206594538897477</v>
      </c>
      <c r="AD51" s="19">
        <f t="shared" ref="AD51" si="1151">+AD49/AC49-1</f>
        <v>0.30014803849000748</v>
      </c>
      <c r="AE51" s="251" t="s">
        <v>294</v>
      </c>
      <c r="AF51" s="19">
        <f>+AF49/AD49-1</f>
        <v>0.13862795331625399</v>
      </c>
      <c r="AG51" s="19">
        <f>+AG49/AF49-1</f>
        <v>0.375</v>
      </c>
      <c r="AH51" s="19">
        <f t="shared" ref="AH51" si="1152">+AH49/AG49-1</f>
        <v>0.15854545454545454</v>
      </c>
      <c r="AI51" s="19">
        <f t="shared" ref="AI51" si="1153">+AI49/AH49-1</f>
        <v>0.14406779661016955</v>
      </c>
      <c r="AJ51" s="251" t="s">
        <v>294</v>
      </c>
      <c r="AK51" s="19">
        <f>+AK49/AI49-1</f>
        <v>-0.17695473251028804</v>
      </c>
      <c r="AL51" s="19">
        <f>+AL49/AK49-1</f>
        <v>0.20216666666666661</v>
      </c>
      <c r="AM51" s="19">
        <f t="shared" ref="AM51" si="1154">+AM49/AL49-1</f>
        <v>9.5937889920975961E-2</v>
      </c>
      <c r="AN51" s="19">
        <f t="shared" ref="AN51" si="1155">+AN49/AM49-1</f>
        <v>0.19797596457938016</v>
      </c>
      <c r="AO51" s="251" t="s">
        <v>294</v>
      </c>
      <c r="AP51" s="19">
        <f>+AP49/AN49-1</f>
        <v>0.11203801478352693</v>
      </c>
      <c r="AQ51" s="19">
        <f>+AQ49/AP49-1</f>
        <v>0.20881207862501183</v>
      </c>
      <c r="AR51" s="19">
        <f t="shared" ref="AR51" si="1156">+AR49/AQ49-1</f>
        <v>0.13904163393558533</v>
      </c>
      <c r="AS51" s="19">
        <f t="shared" ref="AS51" si="1157">+AS49/AR49-1</f>
        <v>4.1379310344827669E-2</v>
      </c>
      <c r="AT51" s="251" t="s">
        <v>294</v>
      </c>
      <c r="AU51" s="379">
        <f>+AU49/AS49-1</f>
        <v>0.26177972644107239</v>
      </c>
      <c r="AV51" s="19">
        <f>+AV49/AU49-1</f>
        <v>0.18344884536698713</v>
      </c>
      <c r="AW51" s="19">
        <f t="shared" ref="AW51" si="1158">+AW49/AV49-1</f>
        <v>0.15535699604469411</v>
      </c>
      <c r="AX51" s="19">
        <f t="shared" ref="AX51" si="1159">+AX49/AW49-1</f>
        <v>0.13353093489259371</v>
      </c>
      <c r="AY51" s="251" t="s">
        <v>294</v>
      </c>
      <c r="AZ51" s="19">
        <f>+AZ49/AX49-1</f>
        <v>0.25889621147641773</v>
      </c>
      <c r="BA51" s="19">
        <f>+BA49/AZ49-1</f>
        <v>0.18157852639046901</v>
      </c>
      <c r="BB51" s="19">
        <f t="shared" ref="BB51" si="1160">+BB49/BA49-1</f>
        <v>0.15401906639154173</v>
      </c>
      <c r="BC51" s="19">
        <f t="shared" ref="BC51" si="1161">+BC49/BB49-1</f>
        <v>0.13252776525532028</v>
      </c>
      <c r="BD51" s="251" t="s">
        <v>294</v>
      </c>
      <c r="BE51" s="19">
        <f>+BE49/BC49-1</f>
        <v>0.14334298351199148</v>
      </c>
      <c r="BF51" s="19">
        <f>+BF49/BE49-1</f>
        <v>9.8863851551174609E-2</v>
      </c>
      <c r="BG51" s="19">
        <f t="shared" ref="BG51" si="1162">+BG49/BF49-1</f>
        <v>9.0294664323713025E-2</v>
      </c>
      <c r="BH51" s="19">
        <f t="shared" ref="BH51" si="1163">+BH49/BG49-1</f>
        <v>8.1896453347285902E-2</v>
      </c>
      <c r="BI51" s="251" t="s">
        <v>294</v>
      </c>
      <c r="BJ51" s="19">
        <f>+BJ49/BH49-1</f>
        <v>4.7141970668188815E-2</v>
      </c>
      <c r="BK51" s="19">
        <f>+BK49/BJ49-1</f>
        <v>1.6076404749072903E-2</v>
      </c>
      <c r="BL51" s="19">
        <f t="shared" ref="BL51" si="1164">+BL49/BK49-1</f>
        <v>1.6125409682550051E-2</v>
      </c>
      <c r="BM51" s="19">
        <f t="shared" ref="BM51" si="1165">+BM49/BL49-1</f>
        <v>1.4969200563194729E-2</v>
      </c>
      <c r="BN51" s="251" t="s">
        <v>294</v>
      </c>
      <c r="BO51" s="19">
        <f>+BO49/BM49-1</f>
        <v>7.2445151910452088E-2</v>
      </c>
      <c r="BP51" s="19">
        <f>+BP49/BO49-1</f>
        <v>3.9291015785192895E-2</v>
      </c>
      <c r="BQ51" s="19">
        <f t="shared" ref="BQ51" si="1166">+BQ49/BP49-1</f>
        <v>3.811552723642575E-2</v>
      </c>
      <c r="BR51" s="19">
        <f t="shared" ref="BR51" si="1167">+BR49/BQ49-1</f>
        <v>3.5809542232257296E-2</v>
      </c>
      <c r="BS51" s="251" t="s">
        <v>294</v>
      </c>
      <c r="BT51" s="19">
        <f>+BT49/BR49-1</f>
        <v>1.2201058716368118E-2</v>
      </c>
      <c r="BU51" s="19">
        <f>+BU49/BT49-1</f>
        <v>3.5776753335110989E-2</v>
      </c>
      <c r="BV51" s="19">
        <f t="shared" ref="BV51" si="1168">+BV49/BU49-1</f>
        <v>3.4849945650933023E-2</v>
      </c>
      <c r="BW51" s="19">
        <f t="shared" ref="BW51" si="1169">+BW49/BV49-1</f>
        <v>3.2770702803994523E-2</v>
      </c>
      <c r="BX51" s="251" t="s">
        <v>294</v>
      </c>
      <c r="BY51" s="19">
        <f>+BY49/BW49-1</f>
        <v>1.3663577611242594E-2</v>
      </c>
      <c r="BZ51" s="19">
        <f>+BZ49/BY49-1</f>
        <v>3.2839524422817234E-2</v>
      </c>
      <c r="CA51" s="19">
        <f t="shared" ref="CA51" si="1170">+CA49/BZ49-1</f>
        <v>3.210351609097617E-2</v>
      </c>
      <c r="CB51" s="19">
        <f t="shared" ref="CB51" si="1171">+CB49/CA49-1</f>
        <v>3.0200081465078243E-2</v>
      </c>
      <c r="CC51" s="251" t="s">
        <v>294</v>
      </c>
      <c r="CD51" s="19">
        <f>+CD49/CB49-1</f>
        <v>-4.3427607257321421E-3</v>
      </c>
      <c r="CE51" s="19">
        <f>+CE49/CD49-1</f>
        <v>3.0934745079295167E-2</v>
      </c>
      <c r="CF51" s="19">
        <f t="shared" ref="CF51" si="1172">+CF49/CE49-1</f>
        <v>3.0314104171442313E-2</v>
      </c>
      <c r="CG51" s="19">
        <f t="shared" ref="CG51" si="1173">+CG49/CF49-1</f>
        <v>2.8517842432223883E-2</v>
      </c>
      <c r="CH51" s="251" t="s">
        <v>294</v>
      </c>
      <c r="CI51" s="19">
        <f>+CI49/CG49-1</f>
        <v>-2.503622530711902E-3</v>
      </c>
      <c r="CJ51" s="19">
        <f>+CJ49/CI49-1</f>
        <v>2.9238816335969586E-2</v>
      </c>
      <c r="CK51" s="19">
        <f t="shared" ref="CK51" si="1174">+CK49/CJ49-1</f>
        <v>2.8715319607900636E-2</v>
      </c>
      <c r="CL51" s="19">
        <f t="shared" ref="CL51" si="1175">+CL49/CK49-1</f>
        <v>2.7009863144910495E-2</v>
      </c>
      <c r="CM51" s="251" t="s">
        <v>294</v>
      </c>
    </row>
    <row r="52" spans="1:91" s="42" customFormat="1">
      <c r="A52" s="162" t="s">
        <v>364</v>
      </c>
      <c r="B52" s="232" t="s">
        <v>294</v>
      </c>
      <c r="C52" s="232" t="s">
        <v>294</v>
      </c>
      <c r="D52" s="232" t="s">
        <v>294</v>
      </c>
      <c r="E52" s="232" t="s">
        <v>294</v>
      </c>
      <c r="F52" s="239" t="s">
        <v>294</v>
      </c>
      <c r="G52" s="167" t="str">
        <f>+G157</f>
        <v xml:space="preserve">-- </v>
      </c>
      <c r="H52" s="167" t="str">
        <f t="shared" ref="H52:BS52" si="1176">+H157</f>
        <v xml:space="preserve">-- </v>
      </c>
      <c r="I52" s="167" t="str">
        <f t="shared" si="1176"/>
        <v xml:space="preserve">-- </v>
      </c>
      <c r="J52" s="167" t="str">
        <f t="shared" si="1176"/>
        <v xml:space="preserve">-- </v>
      </c>
      <c r="K52" s="249" t="str">
        <f t="shared" si="1176"/>
        <v xml:space="preserve">-- </v>
      </c>
      <c r="L52" s="167" t="str">
        <f t="shared" si="1176"/>
        <v xml:space="preserve">-- </v>
      </c>
      <c r="M52" s="167" t="str">
        <f t="shared" si="1176"/>
        <v xml:space="preserve">-- </v>
      </c>
      <c r="N52" s="167" t="str">
        <f t="shared" si="1176"/>
        <v xml:space="preserve">-- </v>
      </c>
      <c r="O52" s="167" t="str">
        <f t="shared" si="1176"/>
        <v xml:space="preserve">-- </v>
      </c>
      <c r="P52" s="249" t="str">
        <f t="shared" si="1176"/>
        <v xml:space="preserve">-- </v>
      </c>
      <c r="Q52" s="167">
        <f t="shared" si="1176"/>
        <v>0</v>
      </c>
      <c r="R52" s="167">
        <f t="shared" si="1176"/>
        <v>0</v>
      </c>
      <c r="S52" s="167">
        <f t="shared" si="1176"/>
        <v>0</v>
      </c>
      <c r="T52" s="167">
        <f t="shared" si="1176"/>
        <v>0</v>
      </c>
      <c r="U52" s="249">
        <f t="shared" si="1176"/>
        <v>0</v>
      </c>
      <c r="V52" s="167">
        <f t="shared" si="1176"/>
        <v>0</v>
      </c>
      <c r="W52" s="167">
        <f t="shared" si="1176"/>
        <v>0</v>
      </c>
      <c r="X52" s="167">
        <f t="shared" si="1176"/>
        <v>0</v>
      </c>
      <c r="Y52" s="167">
        <f t="shared" si="1176"/>
        <v>0</v>
      </c>
      <c r="Z52" s="249">
        <f t="shared" si="1176"/>
        <v>0</v>
      </c>
      <c r="AA52" s="167">
        <f>+AA157</f>
        <v>0</v>
      </c>
      <c r="AB52" s="167">
        <f t="shared" si="1176"/>
        <v>0</v>
      </c>
      <c r="AC52" s="167">
        <f t="shared" si="1176"/>
        <v>0</v>
      </c>
      <c r="AD52" s="167">
        <f t="shared" si="1176"/>
        <v>384</v>
      </c>
      <c r="AE52" s="249">
        <f t="shared" si="1176"/>
        <v>384</v>
      </c>
      <c r="AF52" s="167">
        <f t="shared" si="1176"/>
        <v>467.99999999999994</v>
      </c>
      <c r="AG52" s="167">
        <f t="shared" si="1176"/>
        <v>554</v>
      </c>
      <c r="AH52" s="167">
        <f t="shared" si="1176"/>
        <v>634</v>
      </c>
      <c r="AI52" s="167">
        <f t="shared" si="1176"/>
        <v>842</v>
      </c>
      <c r="AJ52" s="249">
        <f t="shared" si="1176"/>
        <v>2498</v>
      </c>
      <c r="AK52" s="167">
        <f t="shared" si="1176"/>
        <v>686</v>
      </c>
      <c r="AL52" s="167">
        <f t="shared" si="1176"/>
        <v>803</v>
      </c>
      <c r="AM52" s="167">
        <f t="shared" si="1176"/>
        <v>1050</v>
      </c>
      <c r="AN52" s="167">
        <f t="shared" si="1176"/>
        <v>1315</v>
      </c>
      <c r="AO52" s="249">
        <f t="shared" si="1176"/>
        <v>3854</v>
      </c>
      <c r="AP52" s="167">
        <f>+AP157</f>
        <v>934.99999999999989</v>
      </c>
      <c r="AQ52" s="167">
        <f t="shared" si="1176"/>
        <v>1102</v>
      </c>
      <c r="AR52" s="167">
        <f t="shared" si="1176"/>
        <v>1429</v>
      </c>
      <c r="AS52" s="167">
        <f t="shared" si="1176"/>
        <v>1702</v>
      </c>
      <c r="AT52" s="249">
        <f t="shared" si="1176"/>
        <v>5168</v>
      </c>
      <c r="AU52" s="386">
        <f t="shared" si="1176"/>
        <v>1891.5700663973641</v>
      </c>
      <c r="AV52" s="167">
        <f t="shared" si="1176"/>
        <v>1469.2700663973642</v>
      </c>
      <c r="AW52" s="167">
        <f t="shared" si="1176"/>
        <v>2030.0801327947283</v>
      </c>
      <c r="AX52" s="167">
        <f t="shared" si="1176"/>
        <v>1607.7801327947279</v>
      </c>
      <c r="AY52" s="249">
        <f t="shared" si="1176"/>
        <v>6998.7003983841851</v>
      </c>
      <c r="AZ52" s="167">
        <f t="shared" si="1176"/>
        <v>2024.9756964060307</v>
      </c>
      <c r="BA52" s="167">
        <f t="shared" si="1176"/>
        <v>2393.9378560334917</v>
      </c>
      <c r="BB52" s="167">
        <f t="shared" si="1176"/>
        <v>2762.9000156609527</v>
      </c>
      <c r="BC52" s="167">
        <f t="shared" si="1176"/>
        <v>3131.8621752884137</v>
      </c>
      <c r="BD52" s="249">
        <f t="shared" si="1176"/>
        <v>10313.675743388889</v>
      </c>
      <c r="BE52" s="167">
        <f t="shared" si="1176"/>
        <v>3605.8490649633504</v>
      </c>
      <c r="BF52" s="167">
        <f t="shared" si="1176"/>
        <v>3985.8800893796356</v>
      </c>
      <c r="BG52" s="167">
        <f t="shared" si="1176"/>
        <v>4365.9111137959208</v>
      </c>
      <c r="BH52" s="167">
        <f t="shared" si="1176"/>
        <v>4745.9421382122064</v>
      </c>
      <c r="BI52" s="249">
        <f t="shared" si="1176"/>
        <v>16703.582406351114</v>
      </c>
      <c r="BJ52" s="167">
        <f t="shared" si="1176"/>
        <v>5279.7523575073465</v>
      </c>
      <c r="BK52" s="167">
        <f t="shared" si="1176"/>
        <v>5671.1843126561198</v>
      </c>
      <c r="BL52" s="167">
        <f t="shared" si="1176"/>
        <v>6062.6162678048941</v>
      </c>
      <c r="BM52" s="167">
        <f t="shared" si="1176"/>
        <v>6454.0482229536674</v>
      </c>
      <c r="BN52" s="249">
        <f t="shared" si="1176"/>
        <v>23467.60116092203</v>
      </c>
      <c r="BO52" s="167">
        <f t="shared" si="1176"/>
        <v>7050.8445834455142</v>
      </c>
      <c r="BP52" s="167">
        <f t="shared" si="1176"/>
        <v>7454.0194972487516</v>
      </c>
      <c r="BQ52" s="167">
        <f t="shared" si="1176"/>
        <v>7857.194411051988</v>
      </c>
      <c r="BR52" s="167">
        <f t="shared" si="1176"/>
        <v>8260.3693248552245</v>
      </c>
      <c r="BS52" s="249">
        <f t="shared" si="1176"/>
        <v>30622.427816601477</v>
      </c>
      <c r="BT52" s="167">
        <f t="shared" ref="BT52:CM52" si="1177">+BT157</f>
        <v>8923.450565818217</v>
      </c>
      <c r="BU52" s="167">
        <f t="shared" si="1177"/>
        <v>9338.7207270355502</v>
      </c>
      <c r="BV52" s="167">
        <f t="shared" si="1177"/>
        <v>9753.9908882528853</v>
      </c>
      <c r="BW52" s="167">
        <f t="shared" si="1177"/>
        <v>10169.261049470218</v>
      </c>
      <c r="BX52" s="249">
        <f t="shared" si="1177"/>
        <v>38185.423230576867</v>
      </c>
      <c r="BY52" s="167">
        <f t="shared" si="1177"/>
        <v>10902.06714700818</v>
      </c>
      <c r="BZ52" s="167">
        <f t="shared" si="1177"/>
        <v>11329.795413062035</v>
      </c>
      <c r="CA52" s="167">
        <f t="shared" si="1177"/>
        <v>11757.52367911589</v>
      </c>
      <c r="CB52" s="167">
        <f t="shared" si="1177"/>
        <v>12185.251945169743</v>
      </c>
      <c r="CC52" s="249">
        <f t="shared" si="1177"/>
        <v>46174.638184355848</v>
      </c>
      <c r="CD52" s="167">
        <f t="shared" si="1177"/>
        <v>12991.369617560305</v>
      </c>
      <c r="CE52" s="167">
        <f t="shared" si="1177"/>
        <v>13431.929731595774</v>
      </c>
      <c r="CF52" s="167">
        <f t="shared" si="1177"/>
        <v>13872.489845631244</v>
      </c>
      <c r="CG52" s="167">
        <f t="shared" si="1177"/>
        <v>14313.049959666714</v>
      </c>
      <c r="CH52" s="249">
        <f t="shared" si="1177"/>
        <v>54608.839154454035</v>
      </c>
      <c r="CI52" s="167">
        <f t="shared" si="1177"/>
        <v>15196.218375913249</v>
      </c>
      <c r="CJ52" s="167">
        <f t="shared" si="1177"/>
        <v>15649.995293369784</v>
      </c>
      <c r="CK52" s="167">
        <f t="shared" si="1177"/>
        <v>16103.772210826317</v>
      </c>
      <c r="CL52" s="167">
        <f t="shared" si="1177"/>
        <v>16557.549128282852</v>
      </c>
      <c r="CM52" s="249">
        <f t="shared" si="1177"/>
        <v>63507.535008392202</v>
      </c>
    </row>
    <row r="53" spans="1:91">
      <c r="A53" s="161" t="s">
        <v>291</v>
      </c>
      <c r="B53" s="232" t="s">
        <v>294</v>
      </c>
      <c r="C53" s="232" t="s">
        <v>294</v>
      </c>
      <c r="D53" s="232" t="s">
        <v>294</v>
      </c>
      <c r="E53" s="232" t="s">
        <v>294</v>
      </c>
      <c r="F53" s="239" t="s">
        <v>294</v>
      </c>
      <c r="G53" s="158" t="s">
        <v>294</v>
      </c>
      <c r="H53" s="158" t="s">
        <v>294</v>
      </c>
      <c r="I53" s="158" t="s">
        <v>294</v>
      </c>
      <c r="J53" s="158" t="s">
        <v>294</v>
      </c>
      <c r="K53" s="250" t="s">
        <v>294</v>
      </c>
      <c r="L53" s="158" t="s">
        <v>294</v>
      </c>
      <c r="M53" s="158" t="s">
        <v>294</v>
      </c>
      <c r="N53" s="158" t="s">
        <v>294</v>
      </c>
      <c r="O53" s="158" t="s">
        <v>294</v>
      </c>
      <c r="P53" s="250" t="s">
        <v>294</v>
      </c>
      <c r="Q53" s="158" t="s">
        <v>294</v>
      </c>
      <c r="R53" s="158" t="s">
        <v>294</v>
      </c>
      <c r="S53" s="158" t="s">
        <v>294</v>
      </c>
      <c r="T53" s="158" t="s">
        <v>294</v>
      </c>
      <c r="U53" s="250" t="s">
        <v>294</v>
      </c>
      <c r="V53" s="158" t="s">
        <v>294</v>
      </c>
      <c r="W53" s="158" t="s">
        <v>294</v>
      </c>
      <c r="X53" s="158" t="s">
        <v>294</v>
      </c>
      <c r="Y53" s="158" t="s">
        <v>294</v>
      </c>
      <c r="Z53" s="250" t="s">
        <v>294</v>
      </c>
      <c r="AA53" s="158" t="s">
        <v>294</v>
      </c>
      <c r="AB53" s="158" t="s">
        <v>294</v>
      </c>
      <c r="AC53" s="158" t="s">
        <v>294</v>
      </c>
      <c r="AD53" s="158" t="s">
        <v>294</v>
      </c>
      <c r="AE53" s="250" t="s">
        <v>294</v>
      </c>
      <c r="AF53" s="158" t="s">
        <v>294</v>
      </c>
      <c r="AG53" s="158" t="s">
        <v>294</v>
      </c>
      <c r="AH53" s="158" t="s">
        <v>294</v>
      </c>
      <c r="AI53" s="19">
        <f t="shared" ref="AI53" si="1178">+AI52/AD52-1</f>
        <v>1.1927083333333335</v>
      </c>
      <c r="AJ53" s="259">
        <f t="shared" ref="AJ53" si="1179">+AJ52/AE52-1</f>
        <v>5.505208333333333</v>
      </c>
      <c r="AK53" s="19">
        <f t="shared" ref="AK53" si="1180">+AK52/AF52-1</f>
        <v>0.46581196581196593</v>
      </c>
      <c r="AL53" s="19">
        <f t="shared" ref="AL53" si="1181">+AL52/AG52-1</f>
        <v>0.44945848375451258</v>
      </c>
      <c r="AM53" s="19">
        <f t="shared" ref="AM53" si="1182">+AM52/AH52-1</f>
        <v>0.65615141955835954</v>
      </c>
      <c r="AN53" s="19">
        <f t="shared" ref="AN53" si="1183">+AN52/AI52-1</f>
        <v>0.56175771971496435</v>
      </c>
      <c r="AO53" s="259">
        <f t="shared" ref="AO53" si="1184">+AO52/AJ52-1</f>
        <v>0.54283426741393104</v>
      </c>
      <c r="AP53" s="19">
        <f t="shared" ref="AP53" si="1185">+AP52/AK52-1</f>
        <v>0.36297376093294442</v>
      </c>
      <c r="AQ53" s="19">
        <f t="shared" ref="AQ53" si="1186">+AQ52/AL52-1</f>
        <v>0.37235367372353667</v>
      </c>
      <c r="AR53" s="19">
        <f t="shared" ref="AR53" si="1187">+AR52/AM52-1</f>
        <v>0.36095238095238091</v>
      </c>
      <c r="AS53" s="19">
        <f t="shared" ref="AS53" si="1188">+AS52/AN52-1</f>
        <v>0.29429657794676811</v>
      </c>
      <c r="AT53" s="259">
        <f t="shared" ref="AT53" si="1189">+AT52/AO52-1</f>
        <v>0.34094447327451993</v>
      </c>
      <c r="AU53" s="379">
        <f t="shared" ref="AU53" si="1190">+AU52/AP52-1</f>
        <v>1.0230695897298014</v>
      </c>
      <c r="AV53" s="19">
        <f t="shared" ref="AV53" si="1191">+AV52/AQ52-1</f>
        <v>0.33327592232065717</v>
      </c>
      <c r="AW53" s="19">
        <f t="shared" ref="AW53" si="1192">+AW52/AR52-1</f>
        <v>0.42062990398511424</v>
      </c>
      <c r="AX53" s="19">
        <f t="shared" ref="AX53" si="1193">+AX52/AS52-1</f>
        <v>-5.5358323857386593E-2</v>
      </c>
      <c r="AY53" s="259">
        <f t="shared" ref="AY53" si="1194">+AY52/AT52-1</f>
        <v>0.35423769318579423</v>
      </c>
      <c r="AZ53" s="19">
        <f t="shared" ref="AZ53" si="1195">+AZ52/AU52-1</f>
        <v>7.052640152143419E-2</v>
      </c>
      <c r="BA53" s="19">
        <f t="shared" ref="BA53" si="1196">+BA52/AV52-1</f>
        <v>0.62933820730684586</v>
      </c>
      <c r="BB53" s="19">
        <f t="shared" ref="BB53" si="1197">+BB52/AW52-1</f>
        <v>0.36098076673327228</v>
      </c>
      <c r="BC53" s="19">
        <f t="shared" ref="BC53" si="1198">+BC52/AX52-1</f>
        <v>0.94794183073057781</v>
      </c>
      <c r="BD53" s="259">
        <f t="shared" ref="BD53" si="1199">+BD52/AY52-1</f>
        <v>0.4736558441292964</v>
      </c>
      <c r="BE53" s="19">
        <f t="shared" ref="BE53" si="1200">+BE52/AZ52-1</f>
        <v>0.78068757633145269</v>
      </c>
      <c r="BF53" s="19">
        <f t="shared" ref="BF53" si="1201">+BF52/BA52-1</f>
        <v>0.66498895505325617</v>
      </c>
      <c r="BG53" s="19">
        <f t="shared" ref="BG53" si="1202">+BG52/BB52-1</f>
        <v>0.58019149771928635</v>
      </c>
      <c r="BH53" s="19">
        <f t="shared" ref="BH53" si="1203">+BH52/BC52-1</f>
        <v>0.51537388064503564</v>
      </c>
      <c r="BI53" s="259">
        <f t="shared" ref="BI53" si="1204">+BI52/BD52-1</f>
        <v>0.61955667619841392</v>
      </c>
      <c r="BJ53" s="19">
        <f t="shared" ref="BJ53" si="1205">+BJ52/BE52-1</f>
        <v>0.46421890167524515</v>
      </c>
      <c r="BK53" s="19">
        <f t="shared" ref="BK53" si="1206">+BK52/BF52-1</f>
        <v>0.42281859601521177</v>
      </c>
      <c r="BL53" s="19">
        <f t="shared" ref="BL53" si="1207">+BL52/BG52-1</f>
        <v>0.38862567509620716</v>
      </c>
      <c r="BM53" s="19">
        <f t="shared" ref="BM53" si="1208">+BM52/BH52-1</f>
        <v>0.35990874625051861</v>
      </c>
      <c r="BN53" s="259">
        <f t="shared" ref="BN53" si="1209">+BN52/BI52-1</f>
        <v>0.40494419640178925</v>
      </c>
      <c r="BO53" s="19">
        <f t="shared" ref="BO53" si="1210">+BO52/BJ52-1</f>
        <v>0.33544986696579238</v>
      </c>
      <c r="BP53" s="19">
        <f t="shared" ref="BP53" si="1211">+BP52/BK52-1</f>
        <v>0.31436735015188289</v>
      </c>
      <c r="BQ53" s="19">
        <f t="shared" ref="BQ53" si="1212">+BQ52/BL52-1</f>
        <v>0.29600721272383312</v>
      </c>
      <c r="BR53" s="19">
        <f t="shared" ref="BR53" si="1213">+BR52/BM52-1</f>
        <v>0.27987412543299861</v>
      </c>
      <c r="BS53" s="259">
        <f t="shared" ref="BS53" si="1214">+BS52/BN52-1</f>
        <v>0.30488104031670615</v>
      </c>
      <c r="BT53" s="19">
        <f t="shared" ref="BT53" si="1215">+BT52/BO52-1</f>
        <v>0.26558605287788417</v>
      </c>
      <c r="BU53" s="19">
        <f t="shared" ref="BU53" si="1216">+BU52/BP52-1</f>
        <v>0.25284361417117762</v>
      </c>
      <c r="BV53" s="19">
        <f t="shared" ref="BV53" si="1217">+BV52/BQ52-1</f>
        <v>0.24140887675285838</v>
      </c>
      <c r="BW53" s="19">
        <f t="shared" ref="BW53" si="1218">+BW52/BR52-1</f>
        <v>0.23109036043596642</v>
      </c>
      <c r="BX53" s="259">
        <f t="shared" ref="BX53" si="1219">+BX52/BS52-1</f>
        <v>0.24697569569827604</v>
      </c>
      <c r="BY53" s="19">
        <f t="shared" ref="BY53" si="1220">+BY52/BT52-1</f>
        <v>0.22173222864809339</v>
      </c>
      <c r="BZ53" s="19">
        <f t="shared" ref="BZ53" si="1221">+BZ52/BU52-1</f>
        <v>0.21320636350783384</v>
      </c>
      <c r="CA53" s="19">
        <f t="shared" ref="CA53" si="1222">+CA52/BV52-1</f>
        <v>0.20540646529370221</v>
      </c>
      <c r="CB53" s="19">
        <f t="shared" ref="CB53" si="1223">+CB52/BW52-1</f>
        <v>0.19824359763136878</v>
      </c>
      <c r="CC53" s="259">
        <f t="shared" ref="CC53" si="1224">+CC52/BX52-1</f>
        <v>0.20922158975526672</v>
      </c>
      <c r="CD53" s="19">
        <f t="shared" ref="CD53" si="1225">+CD52/BY52-1</f>
        <v>0.19164278135321222</v>
      </c>
      <c r="CE53" s="19">
        <f t="shared" ref="CE53" si="1226">+CE52/BZ52-1</f>
        <v>0.18554035990007423</v>
      </c>
      <c r="CF53" s="19">
        <f t="shared" ref="CF53" si="1227">+CF52/CA52-1</f>
        <v>0.17988193978907563</v>
      </c>
      <c r="CG53" s="19">
        <f t="shared" ref="CG53" si="1228">+CG52/CB52-1</f>
        <v>0.17462076484519762</v>
      </c>
      <c r="CH53" s="259">
        <f t="shared" ref="CH53" si="1229">+CH52/CC52-1</f>
        <v>0.18265873435594626</v>
      </c>
      <c r="CI53" s="19">
        <f t="shared" ref="CI53" si="1230">+CI52/CD52-1</f>
        <v>0.16971642122880337</v>
      </c>
      <c r="CJ53" s="19">
        <f t="shared" ref="CJ53" si="1231">+CJ52/CE52-1</f>
        <v>0.16513379730959143</v>
      </c>
      <c r="CK53" s="19">
        <f t="shared" ref="CK53" si="1232">+CK52/CF52-1</f>
        <v>0.1608422417333939</v>
      </c>
      <c r="CL53" s="19">
        <f t="shared" ref="CL53" si="1233">+CL52/CG52-1</f>
        <v>0.15681487697877095</v>
      </c>
      <c r="CM53" s="259">
        <f t="shared" ref="CM53" si="1234">+CM52/CH52-1</f>
        <v>0.16295339713721724</v>
      </c>
    </row>
    <row r="54" spans="1:91">
      <c r="A54" s="161" t="s">
        <v>292</v>
      </c>
      <c r="B54" s="232" t="s">
        <v>294</v>
      </c>
      <c r="C54" s="232" t="s">
        <v>294</v>
      </c>
      <c r="D54" s="232" t="s">
        <v>294</v>
      </c>
      <c r="E54" s="232" t="s">
        <v>294</v>
      </c>
      <c r="F54" s="239" t="s">
        <v>294</v>
      </c>
      <c r="G54" s="158" t="s">
        <v>294</v>
      </c>
      <c r="H54" s="158" t="s">
        <v>294</v>
      </c>
      <c r="I54" s="158" t="s">
        <v>294</v>
      </c>
      <c r="J54" s="158" t="s">
        <v>294</v>
      </c>
      <c r="K54" s="250" t="s">
        <v>294</v>
      </c>
      <c r="L54" s="158" t="s">
        <v>294</v>
      </c>
      <c r="M54" s="158" t="s">
        <v>294</v>
      </c>
      <c r="N54" s="158" t="s">
        <v>294</v>
      </c>
      <c r="O54" s="158" t="s">
        <v>294</v>
      </c>
      <c r="P54" s="250" t="s">
        <v>294</v>
      </c>
      <c r="Q54" s="158" t="s">
        <v>294</v>
      </c>
      <c r="R54" s="158" t="s">
        <v>294</v>
      </c>
      <c r="S54" s="158" t="s">
        <v>294</v>
      </c>
      <c r="T54" s="158" t="s">
        <v>294</v>
      </c>
      <c r="U54" s="250" t="s">
        <v>294</v>
      </c>
      <c r="V54" s="158" t="s">
        <v>294</v>
      </c>
      <c r="W54" s="158" t="s">
        <v>294</v>
      </c>
      <c r="X54" s="158" t="s">
        <v>294</v>
      </c>
      <c r="Y54" s="158" t="s">
        <v>294</v>
      </c>
      <c r="Z54" s="250" t="s">
        <v>294</v>
      </c>
      <c r="AA54" s="158" t="s">
        <v>294</v>
      </c>
      <c r="AB54" s="158" t="s">
        <v>294</v>
      </c>
      <c r="AC54" s="158" t="s">
        <v>294</v>
      </c>
      <c r="AD54" s="158" t="s">
        <v>294</v>
      </c>
      <c r="AE54" s="250" t="s">
        <v>294</v>
      </c>
      <c r="AF54" s="19">
        <f>+AF52/AD52-1</f>
        <v>0.21874999999999978</v>
      </c>
      <c r="AG54" s="19">
        <f>+AG52/AF52-1</f>
        <v>0.183760683760684</v>
      </c>
      <c r="AH54" s="19">
        <f t="shared" ref="AH54" si="1235">+AH52/AG52-1</f>
        <v>0.14440433212996395</v>
      </c>
      <c r="AI54" s="19">
        <f t="shared" ref="AI54" si="1236">+AI52/AH52-1</f>
        <v>0.32807570977917977</v>
      </c>
      <c r="AJ54" s="251" t="s">
        <v>294</v>
      </c>
      <c r="AK54" s="19">
        <f>+AK52/AI52-1</f>
        <v>-0.18527315914489306</v>
      </c>
      <c r="AL54" s="19">
        <f>+AL52/AK52-1</f>
        <v>0.17055393586005829</v>
      </c>
      <c r="AM54" s="19">
        <f t="shared" ref="AM54" si="1237">+AM52/AL52-1</f>
        <v>0.30759651307596503</v>
      </c>
      <c r="AN54" s="19">
        <f t="shared" ref="AN54" si="1238">+AN52/AM52-1</f>
        <v>0.25238095238095237</v>
      </c>
      <c r="AO54" s="251" t="s">
        <v>294</v>
      </c>
      <c r="AP54" s="19">
        <f>+AP52/AN52-1</f>
        <v>-0.28897338403041839</v>
      </c>
      <c r="AQ54" s="19">
        <f>+AQ52/AP52-1</f>
        <v>0.17860962566844929</v>
      </c>
      <c r="AR54" s="19">
        <f t="shared" ref="AR54" si="1239">+AR52/AQ52-1</f>
        <v>0.29673321234119787</v>
      </c>
      <c r="AS54" s="19">
        <f t="shared" ref="AS54" si="1240">+AS52/AR52-1</f>
        <v>0.19104268719384176</v>
      </c>
      <c r="AT54" s="251" t="s">
        <v>294</v>
      </c>
      <c r="AU54" s="379">
        <f>+AU52/AS52-1</f>
        <v>0.11138076756601878</v>
      </c>
      <c r="AV54" s="19">
        <f>+AV52/AU52-1</f>
        <v>-0.22325369147139329</v>
      </c>
      <c r="AW54" s="19">
        <f t="shared" ref="AW54" si="1241">+AW52/AV52-1</f>
        <v>0.38169297750172304</v>
      </c>
      <c r="AX54" s="19">
        <f t="shared" ref="AX54" si="1242">+AX52/AW52-1</f>
        <v>-0.20802134515677329</v>
      </c>
      <c r="AY54" s="251" t="s">
        <v>294</v>
      </c>
      <c r="AZ54" s="19">
        <f>+AZ52/AX52-1</f>
        <v>0.25948545768264442</v>
      </c>
      <c r="BA54" s="19">
        <f>+BA52/AZ52-1</f>
        <v>0.18220572241054689</v>
      </c>
      <c r="BB54" s="19">
        <f t="shared" ref="BB54" si="1243">+BB52/BA52-1</f>
        <v>0.15412353277991664</v>
      </c>
      <c r="BC54" s="19">
        <f t="shared" ref="BC54" si="1244">+BC52/BB52-1</f>
        <v>0.13354162566002103</v>
      </c>
      <c r="BD54" s="251" t="s">
        <v>294</v>
      </c>
      <c r="BE54" s="19">
        <f>+BE52/BC52-1</f>
        <v>0.1513434701612586</v>
      </c>
      <c r="BF54" s="19">
        <f>+BF52/BE52-1</f>
        <v>0.1053929372998168</v>
      </c>
      <c r="BG54" s="19">
        <f t="shared" ref="BG54" si="1245">+BG52/BF52-1</f>
        <v>9.5344319421167834E-2</v>
      </c>
      <c r="BH54" s="19">
        <f t="shared" ref="BH54" si="1246">+BH52/BG52-1</f>
        <v>8.7045066770924162E-2</v>
      </c>
      <c r="BI54" s="251" t="s">
        <v>294</v>
      </c>
      <c r="BJ54" s="19">
        <f>+BJ52/BH52-1</f>
        <v>0.11247718656262973</v>
      </c>
      <c r="BK54" s="19">
        <f>+BK52/BJ52-1</f>
        <v>7.4138317224706762E-2</v>
      </c>
      <c r="BL54" s="19">
        <f t="shared" ref="BL54" si="1247">+BL52/BK52-1</f>
        <v>6.9021201493175477E-2</v>
      </c>
      <c r="BM54" s="19">
        <f t="shared" ref="BM54" si="1248">+BM52/BL52-1</f>
        <v>6.4564857457241054E-2</v>
      </c>
      <c r="BN54" s="251" t="s">
        <v>294</v>
      </c>
      <c r="BO54" s="19">
        <f>+BO52/BM52-1</f>
        <v>9.2468531358249617E-2</v>
      </c>
      <c r="BP54" s="19">
        <f>+BP52/BO52-1</f>
        <v>5.7181080795603023E-2</v>
      </c>
      <c r="BQ54" s="19">
        <f t="shared" ref="BQ54" si="1249">+BQ52/BP52-1</f>
        <v>5.4088255866790558E-2</v>
      </c>
      <c r="BR54" s="19">
        <f t="shared" ref="BR54" si="1250">+BR52/BQ52-1</f>
        <v>5.1312834163315113E-2</v>
      </c>
      <c r="BS54" s="251" t="s">
        <v>294</v>
      </c>
      <c r="BT54" s="19">
        <f>+BT52/BR52-1</f>
        <v>8.0272590108991793E-2</v>
      </c>
      <c r="BU54" s="19">
        <f>+BU52/BT52-1</f>
        <v>4.6536948700993452E-2</v>
      </c>
      <c r="BV54" s="19">
        <f t="shared" ref="BV54" si="1251">+BV52/BU52-1</f>
        <v>4.4467563958212164E-2</v>
      </c>
      <c r="BW54" s="19">
        <f t="shared" ref="BW54" si="1252">+BW52/BV52-1</f>
        <v>4.2574384780024621E-2</v>
      </c>
      <c r="BX54" s="251" t="s">
        <v>294</v>
      </c>
      <c r="BY54" s="19">
        <f>+BY52/BW52-1</f>
        <v>7.2060899407842216E-2</v>
      </c>
      <c r="BZ54" s="19">
        <f>+BZ52/BY52-1</f>
        <v>3.9233684794468981E-2</v>
      </c>
      <c r="CA54" s="19">
        <f t="shared" ref="CA54" si="1253">+CA52/BZ52-1</f>
        <v>3.7752514538853088E-2</v>
      </c>
      <c r="CB54" s="19">
        <f t="shared" ref="CB54" si="1254">+CB52/CA52-1</f>
        <v>3.6379111599290193E-2</v>
      </c>
      <c r="CC54" s="251" t="s">
        <v>294</v>
      </c>
      <c r="CD54" s="19">
        <f>+CD52/CB52-1</f>
        <v>6.6155191211299424E-2</v>
      </c>
      <c r="CE54" s="19">
        <f>+CE52/CD52-1</f>
        <v>3.3911752725437561E-2</v>
      </c>
      <c r="CF54" s="19">
        <f t="shared" ref="CF54" si="1255">+CF52/CE52-1</f>
        <v>3.2799465366405656E-2</v>
      </c>
      <c r="CG54" s="19">
        <f t="shared" ref="CG54" si="1256">+CG52/CF52-1</f>
        <v>3.1757825663445205E-2</v>
      </c>
      <c r="CH54" s="251" t="s">
        <v>294</v>
      </c>
      <c r="CI54" s="19">
        <f>+CI52/CG52-1</f>
        <v>6.1703719244692756E-2</v>
      </c>
      <c r="CJ54" s="19">
        <f>+CJ52/CI52-1</f>
        <v>2.98611737625325E-2</v>
      </c>
      <c r="CK54" s="19">
        <f t="shared" ref="CK54" si="1257">+CK52/CJ52-1</f>
        <v>2.8995338909065138E-2</v>
      </c>
      <c r="CL54" s="19">
        <f t="shared" ref="CL54" si="1258">+CL52/CK52-1</f>
        <v>2.8178299563345055E-2</v>
      </c>
      <c r="CM54" s="251" t="s">
        <v>294</v>
      </c>
    </row>
    <row r="55" spans="1:91" s="167" customFormat="1">
      <c r="A55" s="167" t="s">
        <v>357</v>
      </c>
      <c r="B55" s="232" t="s">
        <v>294</v>
      </c>
      <c r="C55" s="232" t="s">
        <v>294</v>
      </c>
      <c r="D55" s="232" t="s">
        <v>294</v>
      </c>
      <c r="E55" s="232" t="s">
        <v>294</v>
      </c>
      <c r="F55" s="239" t="s">
        <v>294</v>
      </c>
      <c r="G55" s="167">
        <v>7246</v>
      </c>
      <c r="H55" s="167">
        <v>6723</v>
      </c>
      <c r="I55" s="167">
        <v>7027</v>
      </c>
      <c r="J55" s="167">
        <v>8596</v>
      </c>
      <c r="K55" s="249">
        <f>+G55+H55+I55+J55</f>
        <v>29592</v>
      </c>
      <c r="L55" s="167">
        <v>9521</v>
      </c>
      <c r="M55" s="167">
        <v>11875</v>
      </c>
      <c r="N55" s="167">
        <v>13259</v>
      </c>
      <c r="O55" s="167">
        <v>15270</v>
      </c>
      <c r="P55" s="249">
        <f>+L55+M55+N55+O55</f>
        <v>49925</v>
      </c>
      <c r="Q55" s="167">
        <v>15257</v>
      </c>
      <c r="R55" s="167">
        <v>13694</v>
      </c>
      <c r="S55" s="167">
        <v>16950</v>
      </c>
      <c r="T55" s="167">
        <v>17353</v>
      </c>
      <c r="U55" s="249">
        <f>+Q55+R55+S55+T55</f>
        <v>63254</v>
      </c>
      <c r="V55" s="167">
        <v>18390</v>
      </c>
      <c r="W55" s="167">
        <v>20830</v>
      </c>
      <c r="X55" s="167">
        <v>22806</v>
      </c>
      <c r="Y55" s="167">
        <v>25600</v>
      </c>
      <c r="Z55" s="249">
        <f>+V55+W55+X55+Y55</f>
        <v>87626</v>
      </c>
      <c r="AA55" s="167">
        <v>27100</v>
      </c>
      <c r="AB55" s="167">
        <v>29300</v>
      </c>
      <c r="AC55" s="167">
        <v>32400</v>
      </c>
      <c r="AD55" s="167">
        <v>36000</v>
      </c>
      <c r="AE55" s="249">
        <f>+AA55+AB55+AC55+AD55</f>
        <v>124800</v>
      </c>
      <c r="AF55" s="167">
        <v>39100</v>
      </c>
      <c r="AG55" s="167">
        <v>43500</v>
      </c>
      <c r="AH55" s="167">
        <v>43900</v>
      </c>
      <c r="AI55" s="167">
        <v>46400</v>
      </c>
      <c r="AJ55" s="249">
        <f>+AF55+AG55+AH55+AI55</f>
        <v>172900</v>
      </c>
      <c r="AK55" s="167">
        <v>46900</v>
      </c>
      <c r="AL55" s="167">
        <v>49400</v>
      </c>
      <c r="AM55" s="167">
        <v>53100</v>
      </c>
      <c r="AN55" s="167">
        <v>57300</v>
      </c>
      <c r="AO55" s="249">
        <f>+AK55+AL55+AM55+AN55</f>
        <v>206700</v>
      </c>
      <c r="AP55" s="330">
        <v>59000</v>
      </c>
      <c r="AQ55" s="330">
        <v>64000</v>
      </c>
      <c r="AR55" s="330">
        <v>74000</v>
      </c>
      <c r="AS55" s="330">
        <v>79000</v>
      </c>
      <c r="AT55" s="249">
        <f t="shared" ref="AT55:CM55" si="1259">+AT95+AT111+AT136+AT157</f>
        <v>276000</v>
      </c>
      <c r="AU55" s="386">
        <f t="shared" si="1259"/>
        <v>79763.145813818192</v>
      </c>
      <c r="AV55" s="167">
        <f t="shared" si="1259"/>
        <v>88305.257651153239</v>
      </c>
      <c r="AW55" s="167">
        <f t="shared" si="1259"/>
        <v>95858.107765483292</v>
      </c>
      <c r="AX55" s="167">
        <f t="shared" si="1259"/>
        <v>102991.56882161152</v>
      </c>
      <c r="AY55" s="249">
        <f t="shared" si="1259"/>
        <v>366918.0800520663</v>
      </c>
      <c r="AZ55" s="167">
        <f t="shared" si="1259"/>
        <v>113068.54607921444</v>
      </c>
      <c r="BA55" s="167">
        <f t="shared" si="1259"/>
        <v>121287.7180994394</v>
      </c>
      <c r="BB55" s="167">
        <f t="shared" si="1259"/>
        <v>129133.68679171239</v>
      </c>
      <c r="BC55" s="167">
        <f t="shared" si="1259"/>
        <v>138597.44186618354</v>
      </c>
      <c r="BD55" s="249">
        <f t="shared" si="1259"/>
        <v>502087.39283654978</v>
      </c>
      <c r="BE55" s="167">
        <f t="shared" si="1259"/>
        <v>149342.14732275362</v>
      </c>
      <c r="BF55" s="167">
        <f t="shared" si="1259"/>
        <v>158205.62907812561</v>
      </c>
      <c r="BG55" s="167">
        <f t="shared" si="1259"/>
        <v>166638.42987180181</v>
      </c>
      <c r="BH55" s="167">
        <f t="shared" si="1259"/>
        <v>175920.96208582976</v>
      </c>
      <c r="BI55" s="249">
        <f t="shared" si="1259"/>
        <v>650107.16835851071</v>
      </c>
      <c r="BJ55" s="167">
        <f t="shared" si="1259"/>
        <v>182458.75359919641</v>
      </c>
      <c r="BK55" s="167">
        <f t="shared" si="1259"/>
        <v>186313.37728123408</v>
      </c>
      <c r="BL55" s="167">
        <f t="shared" si="1259"/>
        <v>189673.17976745302</v>
      </c>
      <c r="BM55" s="167">
        <f t="shared" si="1259"/>
        <v>194010.58854685246</v>
      </c>
      <c r="BN55" s="249">
        <f t="shared" si="1259"/>
        <v>752455.89919473603</v>
      </c>
      <c r="BO55" s="167">
        <f t="shared" si="1259"/>
        <v>203400.44092088233</v>
      </c>
      <c r="BP55" s="167">
        <f t="shared" si="1259"/>
        <v>209810.60997387927</v>
      </c>
      <c r="BQ55" s="167">
        <f t="shared" si="1259"/>
        <v>215652.40432280547</v>
      </c>
      <c r="BR55" s="167">
        <f t="shared" si="1259"/>
        <v>222615.75395533984</v>
      </c>
      <c r="BS55" s="249">
        <f t="shared" si="1259"/>
        <v>851479.20917290694</v>
      </c>
      <c r="BT55" s="167">
        <f t="shared" si="1259"/>
        <v>226715.61924342916</v>
      </c>
      <c r="BU55" s="167">
        <f t="shared" si="1259"/>
        <v>233304.36351474957</v>
      </c>
      <c r="BV55" s="167">
        <f t="shared" si="1259"/>
        <v>239238.63201828994</v>
      </c>
      <c r="BW55" s="167">
        <f t="shared" si="1259"/>
        <v>246465.36465166125</v>
      </c>
      <c r="BX55" s="249">
        <f t="shared" si="1259"/>
        <v>945723.97942812997</v>
      </c>
      <c r="BY55" s="167">
        <f t="shared" si="1259"/>
        <v>250580.70682761242</v>
      </c>
      <c r="BZ55" s="167">
        <f t="shared" si="1259"/>
        <v>257005.48362342073</v>
      </c>
      <c r="CA55" s="167">
        <f t="shared" si="1259"/>
        <v>262683.28724852431</v>
      </c>
      <c r="CB55" s="167">
        <f t="shared" si="1259"/>
        <v>269837.24547597812</v>
      </c>
      <c r="CC55" s="249">
        <f t="shared" si="1259"/>
        <v>1040106.7231755357</v>
      </c>
      <c r="CD55" s="167">
        <f t="shared" si="1259"/>
        <v>271630.05026686873</v>
      </c>
      <c r="CE55" s="167">
        <f t="shared" si="1259"/>
        <v>278247.92675185774</v>
      </c>
      <c r="CF55" s="167">
        <f t="shared" si="1259"/>
        <v>284020.08599000482</v>
      </c>
      <c r="CG55" s="167">
        <f t="shared" si="1259"/>
        <v>291465.33725816943</v>
      </c>
      <c r="CH55" s="249">
        <f t="shared" si="1259"/>
        <v>1125363.4002669007</v>
      </c>
      <c r="CI55" s="167">
        <f t="shared" si="1259"/>
        <v>293456.99286288203</v>
      </c>
      <c r="CJ55" s="167">
        <f t="shared" si="1259"/>
        <v>300274.48208627728</v>
      </c>
      <c r="CK55" s="167">
        <f t="shared" si="1259"/>
        <v>306143.2812632409</v>
      </c>
      <c r="CL55" s="167">
        <f t="shared" si="1259"/>
        <v>313890.51924271625</v>
      </c>
      <c r="CM55" s="249">
        <f t="shared" si="1259"/>
        <v>1213765.2754551163</v>
      </c>
    </row>
    <row r="56" spans="1:91">
      <c r="A56" s="139" t="s">
        <v>291</v>
      </c>
      <c r="B56" s="232" t="s">
        <v>294</v>
      </c>
      <c r="C56" s="232" t="s">
        <v>294</v>
      </c>
      <c r="D56" s="232" t="s">
        <v>294</v>
      </c>
      <c r="E56" s="232" t="s">
        <v>294</v>
      </c>
      <c r="F56" s="239" t="s">
        <v>294</v>
      </c>
      <c r="G56" s="158" t="s">
        <v>294</v>
      </c>
      <c r="H56" s="158" t="s">
        <v>294</v>
      </c>
      <c r="I56" s="158" t="s">
        <v>294</v>
      </c>
      <c r="J56" s="158" t="s">
        <v>294</v>
      </c>
      <c r="K56" s="250" t="s">
        <v>294</v>
      </c>
      <c r="L56" s="19">
        <f t="shared" ref="L56:AQ56" si="1260">+L55/G55-1</f>
        <v>0.31396632624896492</v>
      </c>
      <c r="M56" s="19">
        <f t="shared" si="1260"/>
        <v>0.76632455748921613</v>
      </c>
      <c r="N56" s="19">
        <f t="shared" si="1260"/>
        <v>0.88686494948057493</v>
      </c>
      <c r="O56" s="19">
        <f t="shared" si="1260"/>
        <v>0.77640763145649139</v>
      </c>
      <c r="P56" s="259">
        <f t="shared" si="1260"/>
        <v>0.68711138145444717</v>
      </c>
      <c r="Q56" s="19">
        <f t="shared" si="1260"/>
        <v>0.60245772502888362</v>
      </c>
      <c r="R56" s="19">
        <f t="shared" si="1260"/>
        <v>0.15317894736842108</v>
      </c>
      <c r="S56" s="19">
        <f t="shared" si="1260"/>
        <v>0.27837695150463837</v>
      </c>
      <c r="T56" s="19">
        <f t="shared" si="1260"/>
        <v>0.13641126391617542</v>
      </c>
      <c r="U56" s="259">
        <f t="shared" si="1260"/>
        <v>0.26698047070605901</v>
      </c>
      <c r="V56" s="19">
        <f t="shared" si="1260"/>
        <v>0.20534836468506268</v>
      </c>
      <c r="W56" s="19">
        <f t="shared" si="1260"/>
        <v>0.52110413319702054</v>
      </c>
      <c r="X56" s="19">
        <f t="shared" si="1260"/>
        <v>0.34548672566371685</v>
      </c>
      <c r="Y56" s="19">
        <f t="shared" si="1260"/>
        <v>0.47524923644326633</v>
      </c>
      <c r="Z56" s="259">
        <f t="shared" si="1260"/>
        <v>0.38530369620893534</v>
      </c>
      <c r="AA56" s="19">
        <f t="shared" si="1260"/>
        <v>0.4736269711799892</v>
      </c>
      <c r="AB56" s="19">
        <f t="shared" si="1260"/>
        <v>0.40662506000960152</v>
      </c>
      <c r="AC56" s="19">
        <f t="shared" si="1260"/>
        <v>0.42067876874506704</v>
      </c>
      <c r="AD56" s="19">
        <f t="shared" si="1260"/>
        <v>0.40625</v>
      </c>
      <c r="AE56" s="259">
        <f t="shared" si="1260"/>
        <v>0.42423481615045766</v>
      </c>
      <c r="AF56" s="19">
        <f t="shared" si="1260"/>
        <v>0.44280442804428044</v>
      </c>
      <c r="AG56" s="19">
        <f t="shared" si="1260"/>
        <v>0.48464163822525608</v>
      </c>
      <c r="AH56" s="19">
        <f t="shared" si="1260"/>
        <v>0.35493827160493829</v>
      </c>
      <c r="AI56" s="19">
        <f t="shared" si="1260"/>
        <v>0.28888888888888897</v>
      </c>
      <c r="AJ56" s="259">
        <f t="shared" si="1260"/>
        <v>0.38541666666666674</v>
      </c>
      <c r="AK56" s="19">
        <f t="shared" si="1260"/>
        <v>0.19948849104859345</v>
      </c>
      <c r="AL56" s="19">
        <f t="shared" si="1260"/>
        <v>0.13563218390804588</v>
      </c>
      <c r="AM56" s="19">
        <f t="shared" si="1260"/>
        <v>0.20956719817767655</v>
      </c>
      <c r="AN56" s="19">
        <f t="shared" si="1260"/>
        <v>0.23491379310344818</v>
      </c>
      <c r="AO56" s="259">
        <f t="shared" si="1260"/>
        <v>0.19548872180451138</v>
      </c>
      <c r="AP56" s="19">
        <f t="shared" si="1260"/>
        <v>0.25799573560767586</v>
      </c>
      <c r="AQ56" s="19">
        <f t="shared" si="1260"/>
        <v>0.29554655870445345</v>
      </c>
      <c r="AR56" s="19">
        <f t="shared" ref="AR56:BW56" si="1261">+AR55/AM55-1</f>
        <v>0.39359698681732591</v>
      </c>
      <c r="AS56" s="19">
        <f t="shared" si="1261"/>
        <v>0.37870855148342053</v>
      </c>
      <c r="AT56" s="259">
        <f t="shared" si="1261"/>
        <v>0.33526850507982586</v>
      </c>
      <c r="AU56" s="379">
        <f t="shared" si="1261"/>
        <v>0.35191772565793555</v>
      </c>
      <c r="AV56" s="19">
        <f t="shared" si="1261"/>
        <v>0.37976965079926939</v>
      </c>
      <c r="AW56" s="19">
        <f t="shared" si="1261"/>
        <v>0.29537983466869311</v>
      </c>
      <c r="AX56" s="19">
        <f t="shared" si="1261"/>
        <v>0.30369074457736112</v>
      </c>
      <c r="AY56" s="259">
        <f t="shared" si="1261"/>
        <v>0.32941333352197932</v>
      </c>
      <c r="AZ56" s="19">
        <f t="shared" si="1261"/>
        <v>0.41755374522385513</v>
      </c>
      <c r="BA56" s="19">
        <f t="shared" si="1261"/>
        <v>0.37350505876538165</v>
      </c>
      <c r="BB56" s="19">
        <f t="shared" si="1261"/>
        <v>0.34713369376785264</v>
      </c>
      <c r="BC56" s="19">
        <f t="shared" si="1261"/>
        <v>0.34571638680680583</v>
      </c>
      <c r="BD56" s="259">
        <f t="shared" si="1261"/>
        <v>0.36839098461788189</v>
      </c>
      <c r="BE56" s="19">
        <f t="shared" si="1261"/>
        <v>0.3208107161661593</v>
      </c>
      <c r="BF56" s="19">
        <f t="shared" si="1261"/>
        <v>0.30438292975731107</v>
      </c>
      <c r="BG56" s="19">
        <f t="shared" si="1261"/>
        <v>0.29043345707757195</v>
      </c>
      <c r="BH56" s="19">
        <f t="shared" si="1261"/>
        <v>0.26929443802925479</v>
      </c>
      <c r="BI56" s="259">
        <f t="shared" si="1261"/>
        <v>0.29480878754139028</v>
      </c>
      <c r="BJ56" s="19">
        <f t="shared" si="1261"/>
        <v>0.2217499002801413</v>
      </c>
      <c r="BK56" s="19">
        <f t="shared" si="1261"/>
        <v>0.1776659172426045</v>
      </c>
      <c r="BL56" s="19">
        <f t="shared" si="1261"/>
        <v>0.13823191873190543</v>
      </c>
      <c r="BM56" s="19">
        <f t="shared" si="1261"/>
        <v>0.10282814649568017</v>
      </c>
      <c r="BN56" s="259">
        <f t="shared" si="1261"/>
        <v>0.15743362912710368</v>
      </c>
      <c r="BO56" s="19">
        <f t="shared" si="1261"/>
        <v>0.11477491163667675</v>
      </c>
      <c r="BP56" s="19">
        <f t="shared" si="1261"/>
        <v>0.12611672353068282</v>
      </c>
      <c r="BQ56" s="19">
        <f t="shared" si="1261"/>
        <v>0.13696836098389875</v>
      </c>
      <c r="BR56" s="19">
        <f t="shared" si="1261"/>
        <v>0.14744125886499937</v>
      </c>
      <c r="BS56" s="259">
        <f t="shared" si="1261"/>
        <v>0.131600151030969</v>
      </c>
      <c r="BT56" s="19">
        <f t="shared" si="1261"/>
        <v>0.11462698024148255</v>
      </c>
      <c r="BU56" s="19">
        <f t="shared" si="1261"/>
        <v>0.11197600323355994</v>
      </c>
      <c r="BV56" s="19">
        <f t="shared" si="1261"/>
        <v>0.10937150350607161</v>
      </c>
      <c r="BW56" s="19">
        <f t="shared" si="1261"/>
        <v>0.10713352614346427</v>
      </c>
      <c r="BX56" s="259">
        <f t="shared" ref="BX56:CM56" si="1262">+BX55/BS55-1</f>
        <v>0.11068358362709607</v>
      </c>
      <c r="BY56" s="19">
        <f t="shared" si="1262"/>
        <v>0.1052644174398889</v>
      </c>
      <c r="BZ56" s="19">
        <f t="shared" si="1262"/>
        <v>0.10158884193853823</v>
      </c>
      <c r="CA56" s="19">
        <f t="shared" si="1262"/>
        <v>9.7996945695802307E-2</v>
      </c>
      <c r="CB56" s="19">
        <f t="shared" si="1262"/>
        <v>9.4828256527440313E-2</v>
      </c>
      <c r="CC56" s="259">
        <f t="shared" si="1262"/>
        <v>9.9799461365543518E-2</v>
      </c>
      <c r="CD56" s="19">
        <f t="shared" si="1262"/>
        <v>8.4002251034183795E-2</v>
      </c>
      <c r="CE56" s="19">
        <f t="shared" si="1262"/>
        <v>8.2653657147497617E-2</v>
      </c>
      <c r="CF56" s="19">
        <f t="shared" si="1262"/>
        <v>8.1226327586245706E-2</v>
      </c>
      <c r="CG56" s="19">
        <f t="shared" si="1262"/>
        <v>8.0152359041616217E-2</v>
      </c>
      <c r="CH56" s="259">
        <f t="shared" si="1262"/>
        <v>8.1969162578883203E-2</v>
      </c>
      <c r="CI56" s="19">
        <f t="shared" si="1262"/>
        <v>8.0355404619514514E-2</v>
      </c>
      <c r="CJ56" s="19">
        <f t="shared" si="1262"/>
        <v>7.9161615295926024E-2</v>
      </c>
      <c r="CK56" s="19">
        <f t="shared" si="1262"/>
        <v>7.789306589398981E-2</v>
      </c>
      <c r="CL56" s="19">
        <f t="shared" si="1262"/>
        <v>7.6939447398794547E-2</v>
      </c>
      <c r="CM56" s="259">
        <f t="shared" si="1262"/>
        <v>7.8554069882892597E-2</v>
      </c>
    </row>
    <row r="57" spans="1:91">
      <c r="A57" s="139" t="s">
        <v>292</v>
      </c>
      <c r="B57" s="232" t="s">
        <v>294</v>
      </c>
      <c r="C57" s="232" t="s">
        <v>294</v>
      </c>
      <c r="D57" s="232" t="s">
        <v>294</v>
      </c>
      <c r="E57" s="232" t="s">
        <v>294</v>
      </c>
      <c r="F57" s="239" t="s">
        <v>294</v>
      </c>
      <c r="G57" s="147" t="s">
        <v>294</v>
      </c>
      <c r="H57" s="19">
        <f>+H55/G55-1</f>
        <v>-7.2177753243168663E-2</v>
      </c>
      <c r="I57" s="19">
        <f t="shared" ref="I57:J57" si="1263">+I55/H55-1</f>
        <v>4.5217908671723928E-2</v>
      </c>
      <c r="J57" s="19">
        <f t="shared" si="1263"/>
        <v>0.2232816280062615</v>
      </c>
      <c r="K57" s="251" t="s">
        <v>294</v>
      </c>
      <c r="L57" s="19">
        <f>+L55/J55-1</f>
        <v>0.10760818985574683</v>
      </c>
      <c r="M57" s="19">
        <f>+M55/L55-1</f>
        <v>0.24724293666631647</v>
      </c>
      <c r="N57" s="19">
        <f t="shared" ref="N57:O57" si="1264">+N55/M55-1</f>
        <v>0.11654736842105273</v>
      </c>
      <c r="O57" s="19">
        <f t="shared" si="1264"/>
        <v>0.15167056339090434</v>
      </c>
      <c r="P57" s="251" t="s">
        <v>294</v>
      </c>
      <c r="Q57" s="19">
        <f>+Q55/O55-1</f>
        <v>-8.5134250163720893E-4</v>
      </c>
      <c r="R57" s="19">
        <f>+R55/Q55-1</f>
        <v>-0.10244477944550046</v>
      </c>
      <c r="S57" s="19">
        <f t="shared" ref="S57:T57" si="1265">+S55/R55-1</f>
        <v>0.23776836570760906</v>
      </c>
      <c r="T57" s="19">
        <f t="shared" si="1265"/>
        <v>2.3775811209439501E-2</v>
      </c>
      <c r="U57" s="251" t="s">
        <v>294</v>
      </c>
      <c r="V57" s="19">
        <f>+V55/T55-1</f>
        <v>5.9759119460611965E-2</v>
      </c>
      <c r="W57" s="19">
        <f>+W55/V55-1</f>
        <v>0.13268080478520927</v>
      </c>
      <c r="X57" s="19">
        <f t="shared" ref="X57:Y57" si="1266">+X55/W55-1</f>
        <v>9.4863178108497426E-2</v>
      </c>
      <c r="Y57" s="19">
        <f t="shared" si="1266"/>
        <v>0.12251161974918889</v>
      </c>
      <c r="Z57" s="251" t="s">
        <v>294</v>
      </c>
      <c r="AA57" s="19">
        <f>+AA55/Y55-1</f>
        <v>5.859375E-2</v>
      </c>
      <c r="AB57" s="19">
        <f>+AB55/AA55-1</f>
        <v>8.1180811808118092E-2</v>
      </c>
      <c r="AC57" s="19">
        <f t="shared" ref="AC57:AD57" si="1267">+AC55/AB55-1</f>
        <v>0.10580204778156999</v>
      </c>
      <c r="AD57" s="19">
        <f t="shared" si="1267"/>
        <v>0.11111111111111116</v>
      </c>
      <c r="AE57" s="251" t="s">
        <v>294</v>
      </c>
      <c r="AF57" s="19">
        <f>+AF55/AD55-1</f>
        <v>8.6111111111111027E-2</v>
      </c>
      <c r="AG57" s="19">
        <f>+AG55/AF55-1</f>
        <v>0.11253196930946285</v>
      </c>
      <c r="AH57" s="19">
        <f t="shared" ref="AH57:AI57" si="1268">+AH55/AG55-1</f>
        <v>9.1954022988505191E-3</v>
      </c>
      <c r="AI57" s="19">
        <f t="shared" si="1268"/>
        <v>5.6947608200455635E-2</v>
      </c>
      <c r="AJ57" s="251" t="s">
        <v>294</v>
      </c>
      <c r="AK57" s="19">
        <f>+AK55/AI55-1</f>
        <v>1.0775862068965525E-2</v>
      </c>
      <c r="AL57" s="19">
        <f>+AL55/AK55-1</f>
        <v>5.3304904051172608E-2</v>
      </c>
      <c r="AM57" s="19">
        <f t="shared" ref="AM57:AN57" si="1269">+AM55/AL55-1</f>
        <v>7.4898785425101311E-2</v>
      </c>
      <c r="AN57" s="19">
        <f t="shared" si="1269"/>
        <v>7.909604519774005E-2</v>
      </c>
      <c r="AO57" s="251" t="s">
        <v>294</v>
      </c>
      <c r="AP57" s="19">
        <f>+AP55/AN55-1</f>
        <v>2.9668411867364686E-2</v>
      </c>
      <c r="AQ57" s="19">
        <f>+AQ55/AP55-1</f>
        <v>8.4745762711864403E-2</v>
      </c>
      <c r="AR57" s="19">
        <f t="shared" ref="AR57:AS57" si="1270">+AR55/AQ55-1</f>
        <v>0.15625</v>
      </c>
      <c r="AS57" s="19">
        <f t="shared" si="1270"/>
        <v>6.7567567567567544E-2</v>
      </c>
      <c r="AT57" s="251" t="s">
        <v>294</v>
      </c>
      <c r="AU57" s="379">
        <f>+AU55/AS55-1</f>
        <v>9.6600735926353209E-3</v>
      </c>
      <c r="AV57" s="19">
        <f>+AV55/AU55-1</f>
        <v>0.10709346716682799</v>
      </c>
      <c r="AW57" s="19">
        <f t="shared" ref="AW57:AX57" si="1271">+AW55/AV55-1</f>
        <v>8.5531148600090257E-2</v>
      </c>
      <c r="AX57" s="19">
        <f t="shared" si="1271"/>
        <v>7.4416877428670203E-2</v>
      </c>
      <c r="AY57" s="251" t="s">
        <v>294</v>
      </c>
      <c r="AZ57" s="19">
        <f>+AZ55/AX55-1</f>
        <v>9.7842739681506696E-2</v>
      </c>
      <c r="BA57" s="19">
        <f>+BA55/AZ55-1</f>
        <v>7.2691940466508731E-2</v>
      </c>
      <c r="BB57" s="19">
        <f t="shared" ref="BB57:BC57" si="1272">+BB55/BA55-1</f>
        <v>6.468889690743751E-2</v>
      </c>
      <c r="BC57" s="19">
        <f t="shared" si="1272"/>
        <v>7.328649332018089E-2</v>
      </c>
      <c r="BD57" s="251" t="s">
        <v>294</v>
      </c>
      <c r="BE57" s="19">
        <f>+BE55/BC55-1</f>
        <v>7.752455825948168E-2</v>
      </c>
      <c r="BF57" s="19">
        <f>+BF55/BE55-1</f>
        <v>5.9350169488433302E-2</v>
      </c>
      <c r="BG57" s="19">
        <f t="shared" ref="BG57:BH57" si="1273">+BG55/BF55-1</f>
        <v>5.3302786018516901E-2</v>
      </c>
      <c r="BH57" s="19">
        <f t="shared" si="1273"/>
        <v>5.5704630805566202E-2</v>
      </c>
      <c r="BI57" s="251" t="s">
        <v>294</v>
      </c>
      <c r="BJ57" s="19">
        <f>+BJ55/BH55-1</f>
        <v>3.7163231918757589E-2</v>
      </c>
      <c r="BK57" s="19">
        <f>+BK55/BJ55-1</f>
        <v>2.1126000293222758E-2</v>
      </c>
      <c r="BL57" s="19">
        <f t="shared" ref="BL57:BM57" si="1274">+BL55/BK55-1</f>
        <v>1.8033071673363654E-2</v>
      </c>
      <c r="BM57" s="19">
        <f t="shared" si="1274"/>
        <v>2.2867802315104768E-2</v>
      </c>
      <c r="BN57" s="251" t="s">
        <v>294</v>
      </c>
      <c r="BO57" s="19">
        <f>+BO55/BM55-1</f>
        <v>4.8398659291537971E-2</v>
      </c>
      <c r="BP57" s="19">
        <f>+BP55/BO55-1</f>
        <v>3.1515020439362385E-2</v>
      </c>
      <c r="BQ57" s="19">
        <f t="shared" ref="BQ57:BR57" si="1275">+BQ55/BP55-1</f>
        <v>2.7843178901455268E-2</v>
      </c>
      <c r="BR57" s="19">
        <f t="shared" si="1275"/>
        <v>3.2289691619255434E-2</v>
      </c>
      <c r="BS57" s="251" t="s">
        <v>294</v>
      </c>
      <c r="BT57" s="19">
        <f>+BT55/BR55-1</f>
        <v>1.8416779653931403E-2</v>
      </c>
      <c r="BU57" s="19">
        <f>+BU55/BT55-1</f>
        <v>2.9061713054035154E-2</v>
      </c>
      <c r="BV57" s="19">
        <f t="shared" ref="BV57:BW57" si="1276">+BV55/BU55-1</f>
        <v>2.5435737309581929E-2</v>
      </c>
      <c r="BW57" s="19">
        <f t="shared" si="1276"/>
        <v>3.0207214329911469E-2</v>
      </c>
      <c r="BX57" s="251" t="s">
        <v>294</v>
      </c>
      <c r="BY57" s="19">
        <f>+BY55/BW55-1</f>
        <v>1.669744623861269E-2</v>
      </c>
      <c r="BZ57" s="19">
        <f>+BZ55/BY55-1</f>
        <v>2.5639550934095867E-2</v>
      </c>
      <c r="CA57" s="19">
        <f t="shared" ref="CA57:CB57" si="1277">+CA55/BZ55-1</f>
        <v>2.2092149727914068E-2</v>
      </c>
      <c r="CB57" s="19">
        <f t="shared" si="1277"/>
        <v>2.7234158299098254E-2</v>
      </c>
      <c r="CC57" s="251" t="s">
        <v>294</v>
      </c>
      <c r="CD57" s="19">
        <f>+CD55/CB55-1</f>
        <v>6.6440227246176153E-3</v>
      </c>
      <c r="CE57" s="19">
        <f>+CE55/CD55-1</f>
        <v>2.4363565365787654E-2</v>
      </c>
      <c r="CF57" s="19">
        <f t="shared" ref="CF57:CG57" si="1278">+CF55/CE55-1</f>
        <v>2.0744662163447947E-2</v>
      </c>
      <c r="CG57" s="19">
        <f t="shared" si="1278"/>
        <v>2.6213819498761115E-2</v>
      </c>
      <c r="CH57" s="251" t="s">
        <v>294</v>
      </c>
      <c r="CI57" s="19">
        <f>+CI55/CG55-1</f>
        <v>6.8332503049872706E-3</v>
      </c>
      <c r="CJ57" s="19">
        <f>+CJ55/CI55-1</f>
        <v>2.3231646848438592E-2</v>
      </c>
      <c r="CK57" s="19">
        <f t="shared" ref="CK57:CL57" si="1279">+CK55/CJ55-1</f>
        <v>1.9544781615100204E-2</v>
      </c>
      <c r="CL57" s="19">
        <f t="shared" si="1279"/>
        <v>2.5305921944482668E-2</v>
      </c>
      <c r="CM57" s="251" t="s">
        <v>294</v>
      </c>
    </row>
    <row r="58" spans="1:91">
      <c r="A58" s="139"/>
      <c r="F58" s="240"/>
      <c r="G58" s="147"/>
      <c r="H58" s="19"/>
      <c r="I58" s="19"/>
      <c r="J58" s="19"/>
      <c r="K58" s="251"/>
      <c r="L58" s="19"/>
      <c r="M58" s="19"/>
      <c r="N58" s="19"/>
      <c r="O58" s="19"/>
      <c r="P58" s="251"/>
      <c r="Q58" s="19"/>
      <c r="R58" s="19"/>
      <c r="S58" s="19"/>
      <c r="T58" s="19"/>
      <c r="U58" s="251"/>
      <c r="V58" s="19"/>
      <c r="W58" s="19"/>
      <c r="X58" s="19"/>
      <c r="Y58" s="19"/>
      <c r="Z58" s="251"/>
      <c r="AA58" s="19"/>
      <c r="AB58" s="19"/>
      <c r="AC58" s="19"/>
      <c r="AD58" s="19"/>
      <c r="AE58" s="251"/>
      <c r="AF58" s="19"/>
      <c r="AG58" s="19"/>
      <c r="AH58" s="19"/>
      <c r="AI58" s="19"/>
      <c r="AJ58" s="311"/>
      <c r="AK58" s="19"/>
      <c r="AL58" s="19"/>
      <c r="AM58" s="19"/>
      <c r="AN58" s="19"/>
      <c r="AO58" s="251"/>
      <c r="AP58" s="167"/>
      <c r="AQ58" s="19"/>
      <c r="AR58" s="19"/>
      <c r="AS58" s="19"/>
      <c r="AT58" s="311"/>
      <c r="AU58" s="379"/>
      <c r="AV58" s="19"/>
      <c r="AW58" s="19"/>
      <c r="AX58" s="19"/>
      <c r="AY58" s="251"/>
      <c r="AZ58" s="19"/>
      <c r="BA58" s="19"/>
      <c r="BB58" s="19"/>
      <c r="BC58" s="19"/>
      <c r="BD58" s="251"/>
      <c r="BE58" s="19"/>
      <c r="BF58" s="19"/>
      <c r="BG58" s="19"/>
      <c r="BH58" s="19"/>
      <c r="BI58" s="251"/>
      <c r="BJ58" s="19"/>
      <c r="BK58" s="19"/>
      <c r="BL58" s="19"/>
      <c r="BM58" s="19"/>
      <c r="BN58" s="251"/>
      <c r="BO58" s="19"/>
      <c r="BP58" s="19"/>
      <c r="BQ58" s="19"/>
      <c r="BR58" s="19"/>
      <c r="BS58" s="251"/>
      <c r="BT58" s="19"/>
      <c r="BU58" s="19"/>
      <c r="BV58" s="19"/>
      <c r="BW58" s="19"/>
      <c r="BX58" s="251"/>
      <c r="BY58" s="19"/>
      <c r="BZ58" s="19"/>
      <c r="CA58" s="19"/>
      <c r="CB58" s="19"/>
      <c r="CC58" s="251"/>
      <c r="CD58" s="19"/>
      <c r="CE58" s="19"/>
      <c r="CF58" s="19"/>
      <c r="CG58" s="19"/>
      <c r="CH58" s="251"/>
      <c r="CI58" s="19"/>
      <c r="CJ58" s="19"/>
      <c r="CK58" s="19"/>
      <c r="CL58" s="19"/>
      <c r="CM58" s="251"/>
    </row>
    <row r="59" spans="1:91">
      <c r="A59" s="231" t="s">
        <v>396</v>
      </c>
      <c r="F59" s="240"/>
      <c r="G59" s="147"/>
      <c r="H59" s="19"/>
      <c r="I59" s="19"/>
      <c r="J59" s="19"/>
      <c r="K59" s="251"/>
      <c r="L59" s="19"/>
      <c r="M59" s="19"/>
      <c r="N59" s="19"/>
      <c r="O59" s="19"/>
      <c r="P59" s="251"/>
      <c r="Q59" s="19"/>
      <c r="R59" s="19"/>
      <c r="S59" s="19"/>
      <c r="T59" s="19"/>
      <c r="U59" s="251"/>
      <c r="V59" s="19"/>
      <c r="W59" s="19"/>
      <c r="X59" s="19"/>
      <c r="Y59" s="19"/>
      <c r="Z59" s="251"/>
      <c r="AA59" s="19"/>
      <c r="AB59" s="19"/>
      <c r="AC59" s="19"/>
      <c r="AD59" s="19"/>
      <c r="AE59" s="251"/>
      <c r="AF59" s="19"/>
      <c r="AG59" s="19"/>
      <c r="AH59" s="19"/>
      <c r="AI59" s="19"/>
      <c r="AJ59" s="251"/>
      <c r="AK59" s="312"/>
      <c r="AL59" s="19"/>
      <c r="AM59" s="19"/>
      <c r="AN59" s="19"/>
      <c r="AO59" s="251"/>
      <c r="AP59" s="167"/>
      <c r="AQ59" s="19"/>
      <c r="AR59" s="19"/>
      <c r="AS59" s="19"/>
      <c r="AT59" s="251"/>
      <c r="AU59" s="389"/>
      <c r="AV59" s="19"/>
      <c r="AW59" s="19"/>
      <c r="AX59" s="19"/>
      <c r="AY59" s="251"/>
      <c r="AZ59" s="19"/>
      <c r="BA59" s="19"/>
      <c r="BB59" s="19"/>
      <c r="BC59" s="19"/>
      <c r="BD59" s="251"/>
      <c r="BE59" s="19"/>
      <c r="BF59" s="19"/>
      <c r="BG59" s="19"/>
      <c r="BH59" s="19"/>
      <c r="BI59" s="251"/>
      <c r="BJ59" s="19"/>
      <c r="BK59" s="19"/>
      <c r="BL59" s="19"/>
      <c r="BM59" s="19"/>
      <c r="BN59" s="251"/>
      <c r="BO59" s="19"/>
      <c r="BP59" s="19"/>
      <c r="BQ59" s="19"/>
      <c r="BR59" s="19"/>
      <c r="BS59" s="251"/>
      <c r="BT59" s="19"/>
      <c r="BU59" s="19"/>
      <c r="BV59" s="19"/>
      <c r="BW59" s="19"/>
      <c r="BX59" s="251"/>
      <c r="BY59" s="19"/>
      <c r="BZ59" s="19"/>
      <c r="CA59" s="19"/>
      <c r="CB59" s="19"/>
      <c r="CC59" s="251"/>
      <c r="CD59" s="19"/>
      <c r="CE59" s="19"/>
      <c r="CF59" s="19"/>
      <c r="CG59" s="19"/>
      <c r="CH59" s="251"/>
      <c r="CI59" s="19"/>
      <c r="CJ59" s="19"/>
      <c r="CK59" s="19"/>
      <c r="CL59" s="19"/>
      <c r="CM59" s="251"/>
    </row>
    <row r="60" spans="1:91" s="42" customFormat="1">
      <c r="A60" s="162" t="s">
        <v>434</v>
      </c>
      <c r="B60" s="232" t="s">
        <v>294</v>
      </c>
      <c r="C60" s="232" t="s">
        <v>294</v>
      </c>
      <c r="D60" s="232" t="s">
        <v>294</v>
      </c>
      <c r="E60" s="232" t="s">
        <v>294</v>
      </c>
      <c r="F60" s="239" t="s">
        <v>294</v>
      </c>
      <c r="G60" s="169">
        <f>+G102</f>
        <v>979.85095224951681</v>
      </c>
      <c r="H60" s="169">
        <f t="shared" ref="H60:BS60" si="1280">+H102</f>
        <v>1413.0596459913729</v>
      </c>
      <c r="I60" s="169">
        <f t="shared" si="1280"/>
        <v>1366.1591006119254</v>
      </c>
      <c r="J60" s="169">
        <f t="shared" si="1280"/>
        <v>1977.6640297812937</v>
      </c>
      <c r="K60" s="255">
        <f t="shared" si="1280"/>
        <v>1459.8540145985403</v>
      </c>
      <c r="L60" s="169">
        <f t="shared" si="1280"/>
        <v>1806.532927213528</v>
      </c>
      <c r="M60" s="169">
        <f t="shared" si="1280"/>
        <v>1835.7894736842106</v>
      </c>
      <c r="N60" s="169">
        <f t="shared" si="1280"/>
        <v>2322.9504487517911</v>
      </c>
      <c r="O60" s="169">
        <f t="shared" si="1280"/>
        <v>2049.7707924034053</v>
      </c>
      <c r="P60" s="255">
        <f t="shared" si="1280"/>
        <v>2025.0375563345019</v>
      </c>
      <c r="Q60" s="169">
        <f t="shared" si="1280"/>
        <v>2490.6600249066</v>
      </c>
      <c r="R60" s="169">
        <f t="shared" si="1280"/>
        <v>2891.7774207682196</v>
      </c>
      <c r="S60" s="169">
        <f t="shared" si="1280"/>
        <v>2849.5575221238937</v>
      </c>
      <c r="T60" s="169">
        <f t="shared" si="1280"/>
        <v>2645.0757794041374</v>
      </c>
      <c r="U60" s="255">
        <f t="shared" si="1280"/>
        <v>2716.033768615423</v>
      </c>
      <c r="V60" s="169">
        <f t="shared" si="1280"/>
        <v>2707.9934747145185</v>
      </c>
      <c r="W60" s="169">
        <f t="shared" si="1280"/>
        <v>2928.4685549687947</v>
      </c>
      <c r="X60" s="169">
        <f t="shared" si="1280"/>
        <v>2687.8891519775498</v>
      </c>
      <c r="Y60" s="169">
        <f t="shared" si="1280"/>
        <v>2511.71875</v>
      </c>
      <c r="Z60" s="255">
        <f t="shared" si="1280"/>
        <v>2697.829411361924</v>
      </c>
      <c r="AA60" s="169">
        <f t="shared" si="1280"/>
        <v>2612.9212140524173</v>
      </c>
      <c r="AB60" s="169">
        <f t="shared" si="1280"/>
        <v>2593.4995547640251</v>
      </c>
      <c r="AC60" s="169">
        <f t="shared" si="1280"/>
        <v>2632.0298845059801</v>
      </c>
      <c r="AD60" s="169">
        <f t="shared" si="1280"/>
        <v>2622.8143213988346</v>
      </c>
      <c r="AE60" s="255">
        <f t="shared" si="1280"/>
        <v>2615.97147506291</v>
      </c>
      <c r="AF60" s="169">
        <f t="shared" si="1280"/>
        <v>2628.3709452026287</v>
      </c>
      <c r="AG60" s="169">
        <f t="shared" si="1280"/>
        <v>2647.3829201101926</v>
      </c>
      <c r="AH60" s="169">
        <f t="shared" si="1280"/>
        <v>2769.0920871010449</v>
      </c>
      <c r="AI60" s="169">
        <f t="shared" si="1280"/>
        <v>2802.9252643884402</v>
      </c>
      <c r="AJ60" s="255">
        <f t="shared" si="1280"/>
        <v>2713.4971697781525</v>
      </c>
      <c r="AK60" s="169">
        <f t="shared" si="1280"/>
        <v>3121.1609243477806</v>
      </c>
      <c r="AL60" s="169">
        <f t="shared" si="1280"/>
        <v>3137.1555282114387</v>
      </c>
      <c r="AM60" s="169">
        <f t="shared" si="1280"/>
        <v>3188.9263766718891</v>
      </c>
      <c r="AN60" s="169">
        <f t="shared" si="1280"/>
        <v>3104.7476431363534</v>
      </c>
      <c r="AO60" s="255">
        <f t="shared" si="1280"/>
        <v>3137.9380023174404</v>
      </c>
      <c r="AP60" s="169">
        <f t="shared" si="1280"/>
        <v>3111.0796146731041</v>
      </c>
      <c r="AQ60" s="169">
        <f t="shared" si="1280"/>
        <v>3055.4115453844174</v>
      </c>
      <c r="AR60" s="169">
        <f t="shared" si="1280"/>
        <v>3058.2779781400654</v>
      </c>
      <c r="AS60" s="169">
        <f t="shared" si="1280"/>
        <v>2932.6109881750917</v>
      </c>
      <c r="AT60" s="255">
        <f t="shared" si="1280"/>
        <v>3033.3627943145129</v>
      </c>
      <c r="AU60" s="390">
        <f t="shared" si="1280"/>
        <v>3157.7458088932003</v>
      </c>
      <c r="AV60" s="169">
        <f t="shared" si="1280"/>
        <v>3070.688603111339</v>
      </c>
      <c r="AW60" s="169">
        <f t="shared" si="1280"/>
        <v>3073.5693680307654</v>
      </c>
      <c r="AX60" s="169">
        <f t="shared" si="1280"/>
        <v>2947.2740431159668</v>
      </c>
      <c r="AY60" s="255">
        <f t="shared" si="1280"/>
        <v>3057.1111040934461</v>
      </c>
      <c r="AZ60" s="169">
        <f t="shared" si="1280"/>
        <v>3236.6894541155302</v>
      </c>
      <c r="BA60" s="169">
        <f t="shared" si="1280"/>
        <v>3147.4558181891221</v>
      </c>
      <c r="BB60" s="169">
        <f t="shared" si="1280"/>
        <v>3150.4086022315341</v>
      </c>
      <c r="BC60" s="169">
        <f t="shared" si="1280"/>
        <v>3020.9558941938658</v>
      </c>
      <c r="BD60" s="255">
        <f t="shared" si="1280"/>
        <v>3137.4979892174661</v>
      </c>
      <c r="BE60" s="169">
        <f t="shared" si="1280"/>
        <v>3317.606690468418</v>
      </c>
      <c r="BF60" s="169">
        <f t="shared" si="1280"/>
        <v>3226.14221364385</v>
      </c>
      <c r="BG60" s="169">
        <f t="shared" si="1280"/>
        <v>3229.1688172873223</v>
      </c>
      <c r="BH60" s="169">
        <f t="shared" si="1280"/>
        <v>3096.479791548712</v>
      </c>
      <c r="BI60" s="255">
        <f t="shared" si="1280"/>
        <v>3215.4518090039851</v>
      </c>
      <c r="BJ60" s="169">
        <f t="shared" si="1280"/>
        <v>3317.606690468418</v>
      </c>
      <c r="BK60" s="169">
        <f t="shared" si="1280"/>
        <v>3226.14221364385</v>
      </c>
      <c r="BL60" s="169">
        <f t="shared" si="1280"/>
        <v>3229.1688172873223</v>
      </c>
      <c r="BM60" s="169">
        <f t="shared" si="1280"/>
        <v>3096.479791548712</v>
      </c>
      <c r="BN60" s="255">
        <f t="shared" si="1280"/>
        <v>3215.611604307825</v>
      </c>
      <c r="BO60" s="169">
        <f t="shared" si="1280"/>
        <v>3317.606690468418</v>
      </c>
      <c r="BP60" s="169">
        <f t="shared" si="1280"/>
        <v>3226.14221364385</v>
      </c>
      <c r="BQ60" s="169">
        <f t="shared" si="1280"/>
        <v>3229.1688172873223</v>
      </c>
      <c r="BR60" s="169">
        <f t="shared" si="1280"/>
        <v>3096.479791548712</v>
      </c>
      <c r="BS60" s="255">
        <f t="shared" si="1280"/>
        <v>3215.7465770401923</v>
      </c>
      <c r="BT60" s="169">
        <f t="shared" ref="BT60:CM60" si="1281">+BT102</f>
        <v>3317.606690468418</v>
      </c>
      <c r="BU60" s="169">
        <f t="shared" si="1281"/>
        <v>3226.14221364385</v>
      </c>
      <c r="BV60" s="169">
        <f t="shared" si="1281"/>
        <v>3229.1688172873223</v>
      </c>
      <c r="BW60" s="169">
        <f t="shared" si="1281"/>
        <v>3096.479791548712</v>
      </c>
      <c r="BX60" s="255">
        <f t="shared" si="1281"/>
        <v>3215.8620942435714</v>
      </c>
      <c r="BY60" s="169">
        <f t="shared" si="1281"/>
        <v>3317.606690468418</v>
      </c>
      <c r="BZ60" s="169">
        <f t="shared" si="1281"/>
        <v>3226.14221364385</v>
      </c>
      <c r="CA60" s="169">
        <f t="shared" si="1281"/>
        <v>3229.1688172873223</v>
      </c>
      <c r="CB60" s="169">
        <f t="shared" si="1281"/>
        <v>3096.479791548712</v>
      </c>
      <c r="CC60" s="255">
        <f t="shared" si="1281"/>
        <v>3216.2301340114559</v>
      </c>
      <c r="CD60" s="169">
        <f t="shared" si="1281"/>
        <v>3317.606690468418</v>
      </c>
      <c r="CE60" s="169">
        <f t="shared" si="1281"/>
        <v>3226.14221364385</v>
      </c>
      <c r="CF60" s="169">
        <f t="shared" si="1281"/>
        <v>3229.1688172873223</v>
      </c>
      <c r="CG60" s="169">
        <f t="shared" si="1281"/>
        <v>3096.479791548712</v>
      </c>
      <c r="CH60" s="255">
        <f t="shared" si="1281"/>
        <v>3216.2877157079502</v>
      </c>
      <c r="CI60" s="169">
        <f t="shared" si="1281"/>
        <v>3317.606690468418</v>
      </c>
      <c r="CJ60" s="169">
        <f t="shared" si="1281"/>
        <v>3226.14221364385</v>
      </c>
      <c r="CK60" s="169">
        <f t="shared" si="1281"/>
        <v>3229.1688172873223</v>
      </c>
      <c r="CL60" s="169">
        <f t="shared" si="1281"/>
        <v>3096.479791548712</v>
      </c>
      <c r="CM60" s="255">
        <f t="shared" si="1281"/>
        <v>3216.339662498367</v>
      </c>
    </row>
    <row r="61" spans="1:91">
      <c r="A61" s="161" t="s">
        <v>291</v>
      </c>
      <c r="B61" s="232" t="s">
        <v>294</v>
      </c>
      <c r="C61" s="232" t="s">
        <v>294</v>
      </c>
      <c r="D61" s="232" t="s">
        <v>294</v>
      </c>
      <c r="E61" s="232" t="s">
        <v>294</v>
      </c>
      <c r="F61" s="239" t="s">
        <v>294</v>
      </c>
      <c r="G61" s="158" t="s">
        <v>294</v>
      </c>
      <c r="H61" s="158" t="s">
        <v>294</v>
      </c>
      <c r="I61" s="158" t="s">
        <v>294</v>
      </c>
      <c r="J61" s="158" t="s">
        <v>294</v>
      </c>
      <c r="K61" s="250" t="s">
        <v>294</v>
      </c>
      <c r="L61" s="19">
        <f t="shared" ref="L61" si="1282">+L60/G60-1</f>
        <v>0.84368135078721496</v>
      </c>
      <c r="M61" s="19">
        <f t="shared" ref="M61" si="1283">+M60/H60-1</f>
        <v>0.29915922437673137</v>
      </c>
      <c r="N61" s="19">
        <f t="shared" ref="N61" si="1284">+N60/I60-1</f>
        <v>0.70035133368529556</v>
      </c>
      <c r="O61" s="19">
        <f t="shared" ref="O61" si="1285">+O60/J60-1</f>
        <v>3.646057244115708E-2</v>
      </c>
      <c r="P61" s="259">
        <f t="shared" ref="P61" si="1286">+P60/K60-1</f>
        <v>0.38715072608913359</v>
      </c>
      <c r="Q61" s="19">
        <f t="shared" ref="Q61" si="1287">+Q60/L60-1</f>
        <v>0.37869616843812448</v>
      </c>
      <c r="R61" s="19">
        <f t="shared" ref="R61" si="1288">+R60/M60-1</f>
        <v>0.57522279227626627</v>
      </c>
      <c r="S61" s="19">
        <f t="shared" ref="S61" si="1289">+S60/N60-1</f>
        <v>0.22669750603378924</v>
      </c>
      <c r="T61" s="19">
        <f t="shared" ref="T61" si="1290">+T60/O60-1</f>
        <v>0.29042514861026136</v>
      </c>
      <c r="U61" s="259">
        <f t="shared" ref="U61" si="1291">+U60/P60-1</f>
        <v>0.34122636892309588</v>
      </c>
      <c r="V61" s="19">
        <f t="shared" ref="V61" si="1292">+V60/Q60-1</f>
        <v>8.7259380097879369E-2</v>
      </c>
      <c r="W61" s="19">
        <f t="shared" ref="W61" si="1293">+W60/R60-1</f>
        <v>1.2688090700572641E-2</v>
      </c>
      <c r="X61" s="19">
        <f t="shared" ref="X61" si="1294">+X60/S60-1</f>
        <v>-5.6734552256325621E-2</v>
      </c>
      <c r="Y61" s="19">
        <f t="shared" ref="Y61" si="1295">+Y60/T60-1</f>
        <v>-5.0417092184095735E-2</v>
      </c>
      <c r="Z61" s="259">
        <f t="shared" ref="Z61" si="1296">+Z60/U60-1</f>
        <v>-6.7025518842422915E-3</v>
      </c>
      <c r="AA61" s="19">
        <f t="shared" ref="AA61" si="1297">+AA60/V60-1</f>
        <v>-3.5108009509559057E-2</v>
      </c>
      <c r="AB61" s="19">
        <f t="shared" ref="AB61" si="1298">+AB60/W60-1</f>
        <v>-0.11438367662730087</v>
      </c>
      <c r="AC61" s="19">
        <f t="shared" ref="AC61" si="1299">+AC60/X60-1</f>
        <v>-2.0781834485426032E-2</v>
      </c>
      <c r="AD61" s="19">
        <f t="shared" ref="AD61" si="1300">+AD60/Y60-1</f>
        <v>4.4230896233439676E-2</v>
      </c>
      <c r="AE61" s="259">
        <f t="shared" ref="AE61" si="1301">+AE60/Z60-1</f>
        <v>-3.0342146895674271E-2</v>
      </c>
      <c r="AF61" s="19">
        <f t="shared" ref="AF61" si="1302">+AF60/AA60-1</f>
        <v>5.9128193636770465E-3</v>
      </c>
      <c r="AG61" s="19">
        <f t="shared" ref="AG61" si="1303">+AG60/AB60-1</f>
        <v>2.0776315633904252E-2</v>
      </c>
      <c r="AH61" s="19">
        <f t="shared" ref="AH61" si="1304">+AH60/AC60-1</f>
        <v>5.2074713665643202E-2</v>
      </c>
      <c r="AI61" s="19">
        <f t="shared" ref="AI61" si="1305">+AI60/AD60-1</f>
        <v>6.8670870644608417E-2</v>
      </c>
      <c r="AJ61" s="259">
        <f t="shared" ref="AJ61" si="1306">+AJ60/AE60-1</f>
        <v>3.7280870852346437E-2</v>
      </c>
      <c r="AK61" s="19">
        <f t="shared" ref="AK61" si="1307">+AK60/AF60-1</f>
        <v>0.18748874851344888</v>
      </c>
      <c r="AL61" s="19">
        <f t="shared" ref="AL61" si="1308">+AL60/AG60-1</f>
        <v>0.18500255644198993</v>
      </c>
      <c r="AM61" s="19">
        <f t="shared" ref="AM61" si="1309">+AM60/AH60-1</f>
        <v>0.1516144195877458</v>
      </c>
      <c r="AN61" s="19">
        <f t="shared" ref="AN61" si="1310">+AN60/AI60-1</f>
        <v>0.10768120812303095</v>
      </c>
      <c r="AO61" s="259">
        <f t="shared" ref="AO61" si="1311">+AO60/AJ60-1</f>
        <v>0.15641838040833078</v>
      </c>
      <c r="AP61" s="19">
        <f t="shared" ref="AP61" si="1312">+AP60/AK60-1</f>
        <v>-3.2299871487027065E-3</v>
      </c>
      <c r="AQ61" s="19">
        <f t="shared" ref="AQ61" si="1313">+AQ60/AL60-1</f>
        <v>-2.6056719882684654E-2</v>
      </c>
      <c r="AR61" s="19">
        <f t="shared" ref="AR61" si="1314">+AR60/AM60-1</f>
        <v>-4.0969399446648347E-2</v>
      </c>
      <c r="AS61" s="19">
        <f t="shared" ref="AS61" si="1315">+AS60/AN60-1</f>
        <v>-5.5443042316757452E-2</v>
      </c>
      <c r="AT61" s="259">
        <f t="shared" ref="AT61" si="1316">+AT60/AO60-1</f>
        <v>-3.3326091186535955E-2</v>
      </c>
      <c r="AU61" s="379">
        <f t="shared" ref="AU61" si="1317">+AU60/AP60-1</f>
        <v>1.4999999999999902E-2</v>
      </c>
      <c r="AV61" s="19">
        <f t="shared" ref="AV61" si="1318">+AV60/AQ60-1</f>
        <v>4.9999999999998934E-3</v>
      </c>
      <c r="AW61" s="19">
        <f t="shared" ref="AW61" si="1319">+AW60/AR60-1</f>
        <v>4.9999999999998934E-3</v>
      </c>
      <c r="AX61" s="19">
        <f t="shared" ref="AX61" si="1320">+AX60/AS60-1</f>
        <v>4.9999999999998934E-3</v>
      </c>
      <c r="AY61" s="259">
        <f t="shared" ref="AY61" si="1321">+AY60/AT60-1</f>
        <v>7.829037075105294E-3</v>
      </c>
      <c r="AZ61" s="19">
        <f t="shared" ref="AZ61" si="1322">+AZ60/AU60-1</f>
        <v>2.4999999999999911E-2</v>
      </c>
      <c r="BA61" s="19">
        <f t="shared" ref="BA61" si="1323">+BA60/AV60-1</f>
        <v>2.4999999999999911E-2</v>
      </c>
      <c r="BB61" s="19">
        <f t="shared" ref="BB61" si="1324">+BB60/AW60-1</f>
        <v>2.4999999999999911E-2</v>
      </c>
      <c r="BC61" s="19">
        <f t="shared" ref="BC61" si="1325">+BC60/AX60-1</f>
        <v>2.4999999999999911E-2</v>
      </c>
      <c r="BD61" s="259">
        <f t="shared" ref="BD61" si="1326">+BD60/AY60-1</f>
        <v>2.6295048621681527E-2</v>
      </c>
      <c r="BE61" s="19">
        <f t="shared" ref="BE61" si="1327">+BE60/AZ60-1</f>
        <v>2.4999999999999911E-2</v>
      </c>
      <c r="BF61" s="19">
        <f t="shared" ref="BF61" si="1328">+BF60/BA60-1</f>
        <v>2.4999999999999911E-2</v>
      </c>
      <c r="BG61" s="19">
        <f t="shared" ref="BG61" si="1329">+BG60/BB60-1</f>
        <v>2.4999999999999911E-2</v>
      </c>
      <c r="BH61" s="19">
        <f t="shared" ref="BH61" si="1330">+BH60/BC60-1</f>
        <v>2.4999999999999911E-2</v>
      </c>
      <c r="BI61" s="259">
        <f t="shared" ref="BI61" si="1331">+BI60/BD60-1</f>
        <v>2.4845854899165021E-2</v>
      </c>
      <c r="BJ61" s="19">
        <f t="shared" ref="BJ61" si="1332">+BJ60/BE60-1</f>
        <v>0</v>
      </c>
      <c r="BK61" s="19">
        <f t="shared" ref="BK61" si="1333">+BK60/BF60-1</f>
        <v>0</v>
      </c>
      <c r="BL61" s="19">
        <f t="shared" ref="BL61" si="1334">+BL60/BG60-1</f>
        <v>0</v>
      </c>
      <c r="BM61" s="19">
        <f t="shared" ref="BM61" si="1335">+BM60/BH60-1</f>
        <v>0</v>
      </c>
      <c r="BN61" s="259">
        <f t="shared" ref="BN61" si="1336">+BN60/BI60-1</f>
        <v>4.9696065539617251E-5</v>
      </c>
      <c r="BO61" s="19">
        <f t="shared" ref="BO61" si="1337">+BO60/BJ60-1</f>
        <v>0</v>
      </c>
      <c r="BP61" s="19">
        <f t="shared" ref="BP61" si="1338">+BP60/BK60-1</f>
        <v>0</v>
      </c>
      <c r="BQ61" s="19">
        <f t="shared" ref="BQ61" si="1339">+BQ60/BL60-1</f>
        <v>0</v>
      </c>
      <c r="BR61" s="19">
        <f t="shared" ref="BR61" si="1340">+BR60/BM60-1</f>
        <v>0</v>
      </c>
      <c r="BS61" s="259">
        <f t="shared" ref="BS61" si="1341">+BS60/BN60-1</f>
        <v>4.1974202414918338E-5</v>
      </c>
      <c r="BT61" s="19">
        <f t="shared" ref="BT61" si="1342">+BT60/BO60-1</f>
        <v>0</v>
      </c>
      <c r="BU61" s="19">
        <f t="shared" ref="BU61" si="1343">+BU60/BP60-1</f>
        <v>0</v>
      </c>
      <c r="BV61" s="19">
        <f t="shared" ref="BV61" si="1344">+BV60/BQ60-1</f>
        <v>0</v>
      </c>
      <c r="BW61" s="19">
        <f t="shared" ref="BW61" si="1345">+BW60/BR60-1</f>
        <v>0</v>
      </c>
      <c r="BX61" s="259">
        <f t="shared" ref="BX61" si="1346">+BX60/BS60-1</f>
        <v>3.5922359119977543E-5</v>
      </c>
      <c r="BY61" s="19">
        <f t="shared" ref="BY61" si="1347">+BY60/BT60-1</f>
        <v>0</v>
      </c>
      <c r="BZ61" s="19">
        <f t="shared" ref="BZ61" si="1348">+BZ60/BU60-1</f>
        <v>0</v>
      </c>
      <c r="CA61" s="19">
        <f t="shared" ref="CA61" si="1349">+CA60/BV60-1</f>
        <v>0</v>
      </c>
      <c r="CB61" s="19">
        <f t="shared" ref="CB61" si="1350">+CB60/BW60-1</f>
        <v>0</v>
      </c>
      <c r="CC61" s="259">
        <f t="shared" ref="CC61" si="1351">+CC60/BX60-1</f>
        <v>1.144451338703778E-4</v>
      </c>
      <c r="CD61" s="19">
        <f t="shared" ref="CD61" si="1352">+CD60/BY60-1</f>
        <v>0</v>
      </c>
      <c r="CE61" s="19">
        <f t="shared" ref="CE61" si="1353">+CE60/BZ60-1</f>
        <v>0</v>
      </c>
      <c r="CF61" s="19">
        <f t="shared" ref="CF61" si="1354">+CF60/CA60-1</f>
        <v>0</v>
      </c>
      <c r="CG61" s="19">
        <f t="shared" ref="CG61" si="1355">+CG60/CB60-1</f>
        <v>0</v>
      </c>
      <c r="CH61" s="259">
        <f t="shared" ref="CH61" si="1356">+CH60/CC60-1</f>
        <v>1.7903475216352049E-5</v>
      </c>
      <c r="CI61" s="19">
        <f t="shared" ref="CI61" si="1357">+CI60/CD60-1</f>
        <v>0</v>
      </c>
      <c r="CJ61" s="19">
        <f t="shared" ref="CJ61" si="1358">+CJ60/CE60-1</f>
        <v>0</v>
      </c>
      <c r="CK61" s="19">
        <f t="shared" ref="CK61" si="1359">+CK60/CF60-1</f>
        <v>0</v>
      </c>
      <c r="CL61" s="19">
        <f t="shared" ref="CL61" si="1360">+CL60/CG60-1</f>
        <v>0</v>
      </c>
      <c r="CM61" s="259">
        <f t="shared" ref="CM61" si="1361">+CM60/CH60-1</f>
        <v>1.6151164015321129E-5</v>
      </c>
    </row>
    <row r="62" spans="1:91">
      <c r="A62" s="161" t="s">
        <v>292</v>
      </c>
      <c r="B62" s="232" t="s">
        <v>294</v>
      </c>
      <c r="C62" s="232" t="s">
        <v>294</v>
      </c>
      <c r="D62" s="232" t="s">
        <v>294</v>
      </c>
      <c r="E62" s="232" t="s">
        <v>294</v>
      </c>
      <c r="F62" s="239" t="s">
        <v>294</v>
      </c>
      <c r="G62" s="147" t="s">
        <v>294</v>
      </c>
      <c r="H62" s="19">
        <f>+H60/G60-1</f>
        <v>0.44211692885260412</v>
      </c>
      <c r="I62" s="19">
        <f t="shared" ref="I62" si="1362">+I60/H60-1</f>
        <v>-3.3190775430107955E-2</v>
      </c>
      <c r="J62" s="19">
        <f t="shared" ref="J62" si="1363">+J60/I60-1</f>
        <v>0.44760886846595316</v>
      </c>
      <c r="K62" s="251" t="s">
        <v>294</v>
      </c>
      <c r="L62" s="19">
        <f>+L60/J60-1</f>
        <v>-8.6531938686618459E-2</v>
      </c>
      <c r="M62" s="19">
        <f>+M60/L60-1</f>
        <v>1.6194859241126069E-2</v>
      </c>
      <c r="N62" s="19">
        <f t="shared" ref="N62" si="1364">+N60/M60-1</f>
        <v>0.26536865040951918</v>
      </c>
      <c r="O62" s="19">
        <f t="shared" ref="O62" si="1365">+O60/N60-1</f>
        <v>-0.11760029427023533</v>
      </c>
      <c r="P62" s="251" t="s">
        <v>294</v>
      </c>
      <c r="Q62" s="19">
        <f>+Q60/O60-1</f>
        <v>0.21509196742248515</v>
      </c>
      <c r="R62" s="19">
        <f>+R60/Q60-1</f>
        <v>0.16104863443844031</v>
      </c>
      <c r="S62" s="19">
        <f t="shared" ref="S62" si="1366">+S60/R60-1</f>
        <v>-1.4599982122106003E-2</v>
      </c>
      <c r="T62" s="19">
        <f t="shared" ref="T62" si="1367">+T60/S60-1</f>
        <v>-7.1759120892336825E-2</v>
      </c>
      <c r="U62" s="251" t="s">
        <v>294</v>
      </c>
      <c r="V62" s="19">
        <f>+V60/T60-1</f>
        <v>2.3786726943813674E-2</v>
      </c>
      <c r="W62" s="19">
        <f>+W60/V60-1</f>
        <v>8.1416400117994892E-2</v>
      </c>
      <c r="X62" s="19">
        <f t="shared" ref="X62" si="1368">+X60/W60-1</f>
        <v>-8.2151950234551352E-2</v>
      </c>
      <c r="Y62" s="19">
        <f t="shared" ref="Y62" si="1369">+Y60/X60-1</f>
        <v>-6.5542286908646052E-2</v>
      </c>
      <c r="Z62" s="251" t="s">
        <v>294</v>
      </c>
      <c r="AA62" s="19">
        <f>+AA60/Y60-1</f>
        <v>4.0292116325690186E-2</v>
      </c>
      <c r="AB62" s="19">
        <f>+AB60/AA60-1</f>
        <v>-7.4329295441215582E-3</v>
      </c>
      <c r="AC62" s="19">
        <f t="shared" ref="AC62" si="1370">+AC60/AB60-1</f>
        <v>1.4856501390631882E-2</v>
      </c>
      <c r="AD62" s="19">
        <f t="shared" ref="AD62" si="1371">+AD60/AC60-1</f>
        <v>-3.5013140091588735E-3</v>
      </c>
      <c r="AE62" s="251" t="s">
        <v>294</v>
      </c>
      <c r="AF62" s="19">
        <f>+AF60/AD60-1</f>
        <v>2.1185730756687615E-3</v>
      </c>
      <c r="AG62" s="19">
        <f>+AG60/AF60-1</f>
        <v>7.233368236041704E-3</v>
      </c>
      <c r="AH62" s="19">
        <f t="shared" ref="AH62" si="1372">+AH60/AG60-1</f>
        <v>4.5973389820686217E-2</v>
      </c>
      <c r="AI62" s="19">
        <f t="shared" ref="AI62" si="1373">+AI60/AH60-1</f>
        <v>1.2218148123349426E-2</v>
      </c>
      <c r="AJ62" s="251" t="s">
        <v>294</v>
      </c>
      <c r="AK62" s="19">
        <f>+AK60/AI60-1</f>
        <v>0.11353697653040173</v>
      </c>
      <c r="AL62" s="19">
        <f>+AL60/AK60-1</f>
        <v>5.124568790697781E-3</v>
      </c>
      <c r="AM62" s="19">
        <f t="shared" ref="AM62" si="1374">+AM60/AL60-1</f>
        <v>1.6502480669157604E-2</v>
      </c>
      <c r="AN62" s="19">
        <f t="shared" ref="AN62" si="1375">+AN60/AM60-1</f>
        <v>-2.6397201939603376E-2</v>
      </c>
      <c r="AO62" s="251" t="s">
        <v>294</v>
      </c>
      <c r="AP62" s="19">
        <f>+AP60/AN60-1</f>
        <v>2.0394480532899273E-3</v>
      </c>
      <c r="AQ62" s="19">
        <f>+AQ60/AP60-1</f>
        <v>-1.7893489136740048E-2</v>
      </c>
      <c r="AR62" s="19">
        <f t="shared" ref="AR62" si="1376">+AR60/AQ60-1</f>
        <v>9.3814948103410067E-4</v>
      </c>
      <c r="AS62" s="19">
        <f t="shared" ref="AS62" si="1377">+AS60/AR60-1</f>
        <v>-4.1090767701044584E-2</v>
      </c>
      <c r="AT62" s="251" t="s">
        <v>294</v>
      </c>
      <c r="AU62" s="379">
        <f>+AU60/AS60-1</f>
        <v>7.6769411840131419E-2</v>
      </c>
      <c r="AV62" s="19">
        <f>+AV60/AU60-1</f>
        <v>-2.7569415352141746E-2</v>
      </c>
      <c r="AW62" s="19">
        <f t="shared" ref="AW62" si="1378">+AW60/AV60-1</f>
        <v>9.3814948103410067E-4</v>
      </c>
      <c r="AX62" s="19">
        <f t="shared" ref="AX62" si="1379">+AX60/AW60-1</f>
        <v>-4.1090767701044584E-2</v>
      </c>
      <c r="AY62" s="251" t="s">
        <v>294</v>
      </c>
      <c r="AZ62" s="19">
        <f>+AZ60/AX60-1</f>
        <v>9.8197658841925328E-2</v>
      </c>
      <c r="BA62" s="19">
        <f>+BA60/AZ60-1</f>
        <v>-2.7569415352141857E-2</v>
      </c>
      <c r="BB62" s="19">
        <f t="shared" ref="BB62" si="1380">+BB60/BA60-1</f>
        <v>9.3814948103410067E-4</v>
      </c>
      <c r="BC62" s="19">
        <f t="shared" ref="BC62" si="1381">+BC60/BB60-1</f>
        <v>-4.1090767701044473E-2</v>
      </c>
      <c r="BD62" s="251" t="s">
        <v>294</v>
      </c>
      <c r="BE62" s="19">
        <f>+BE60/BC60-1</f>
        <v>9.8197658841925106E-2</v>
      </c>
      <c r="BF62" s="19">
        <f>+BF60/BE60-1</f>
        <v>-2.7569415352141746E-2</v>
      </c>
      <c r="BG62" s="19">
        <f t="shared" ref="BG62" si="1382">+BG60/BF60-1</f>
        <v>9.3814948103410067E-4</v>
      </c>
      <c r="BH62" s="19">
        <f t="shared" ref="BH62" si="1383">+BH60/BG60-1</f>
        <v>-4.1090767701044584E-2</v>
      </c>
      <c r="BI62" s="251" t="s">
        <v>294</v>
      </c>
      <c r="BJ62" s="19">
        <f>+BJ60/BH60-1</f>
        <v>7.1412350089683274E-2</v>
      </c>
      <c r="BK62" s="19">
        <f>+BK60/BJ60-1</f>
        <v>-2.7569415352141746E-2</v>
      </c>
      <c r="BL62" s="19">
        <f t="shared" ref="BL62" si="1384">+BL60/BK60-1</f>
        <v>9.3814948103410067E-4</v>
      </c>
      <c r="BM62" s="19">
        <f t="shared" ref="BM62" si="1385">+BM60/BL60-1</f>
        <v>-4.1090767701044584E-2</v>
      </c>
      <c r="BN62" s="251" t="s">
        <v>294</v>
      </c>
      <c r="BO62" s="19">
        <f>+BO60/BM60-1</f>
        <v>7.1412350089683274E-2</v>
      </c>
      <c r="BP62" s="19">
        <f>+BP60/BO60-1</f>
        <v>-2.7569415352141746E-2</v>
      </c>
      <c r="BQ62" s="19">
        <f t="shared" ref="BQ62" si="1386">+BQ60/BP60-1</f>
        <v>9.3814948103410067E-4</v>
      </c>
      <c r="BR62" s="19">
        <f t="shared" ref="BR62" si="1387">+BR60/BQ60-1</f>
        <v>-4.1090767701044584E-2</v>
      </c>
      <c r="BS62" s="251" t="s">
        <v>294</v>
      </c>
      <c r="BT62" s="19">
        <f>+BT60/BR60-1</f>
        <v>7.1412350089683274E-2</v>
      </c>
      <c r="BU62" s="19">
        <f>+BU60/BT60-1</f>
        <v>-2.7569415352141746E-2</v>
      </c>
      <c r="BV62" s="19">
        <f t="shared" ref="BV62" si="1388">+BV60/BU60-1</f>
        <v>9.3814948103410067E-4</v>
      </c>
      <c r="BW62" s="19">
        <f t="shared" ref="BW62" si="1389">+BW60/BV60-1</f>
        <v>-4.1090767701044584E-2</v>
      </c>
      <c r="BX62" s="251" t="s">
        <v>294</v>
      </c>
      <c r="BY62" s="19">
        <f>+BY60/BW60-1</f>
        <v>7.1412350089683274E-2</v>
      </c>
      <c r="BZ62" s="19">
        <f>+BZ60/BY60-1</f>
        <v>-2.7569415352141746E-2</v>
      </c>
      <c r="CA62" s="19">
        <f t="shared" ref="CA62" si="1390">+CA60/BZ60-1</f>
        <v>9.3814948103410067E-4</v>
      </c>
      <c r="CB62" s="19">
        <f t="shared" ref="CB62" si="1391">+CB60/CA60-1</f>
        <v>-4.1090767701044584E-2</v>
      </c>
      <c r="CC62" s="251" t="s">
        <v>294</v>
      </c>
      <c r="CD62" s="19">
        <f>+CD60/CB60-1</f>
        <v>7.1412350089683274E-2</v>
      </c>
      <c r="CE62" s="19">
        <f>+CE60/CD60-1</f>
        <v>-2.7569415352141746E-2</v>
      </c>
      <c r="CF62" s="19">
        <f t="shared" ref="CF62" si="1392">+CF60/CE60-1</f>
        <v>9.3814948103410067E-4</v>
      </c>
      <c r="CG62" s="19">
        <f t="shared" ref="CG62" si="1393">+CG60/CF60-1</f>
        <v>-4.1090767701044584E-2</v>
      </c>
      <c r="CH62" s="251" t="s">
        <v>294</v>
      </c>
      <c r="CI62" s="19">
        <f>+CI60/CG60-1</f>
        <v>7.1412350089683274E-2</v>
      </c>
      <c r="CJ62" s="19">
        <f>+CJ60/CI60-1</f>
        <v>-2.7569415352141746E-2</v>
      </c>
      <c r="CK62" s="19">
        <f t="shared" ref="CK62" si="1394">+CK60/CJ60-1</f>
        <v>9.3814948103410067E-4</v>
      </c>
      <c r="CL62" s="19">
        <f t="shared" ref="CL62" si="1395">+CL60/CK60-1</f>
        <v>-4.1090767701044584E-2</v>
      </c>
      <c r="CM62" s="251" t="s">
        <v>294</v>
      </c>
    </row>
    <row r="63" spans="1:91" s="42" customFormat="1">
      <c r="A63" s="162" t="s">
        <v>435</v>
      </c>
      <c r="B63" s="232" t="s">
        <v>294</v>
      </c>
      <c r="C63" s="232" t="s">
        <v>294</v>
      </c>
      <c r="D63" s="232" t="s">
        <v>294</v>
      </c>
      <c r="E63" s="232" t="s">
        <v>294</v>
      </c>
      <c r="F63" s="239" t="s">
        <v>294</v>
      </c>
      <c r="G63" s="169" t="str">
        <f>+G115</f>
        <v xml:space="preserve">-- </v>
      </c>
      <c r="H63" s="169" t="str">
        <f t="shared" ref="H63:BS63" si="1396">+H115</f>
        <v xml:space="preserve">-- </v>
      </c>
      <c r="I63" s="169" t="str">
        <f t="shared" si="1396"/>
        <v xml:space="preserve">-- </v>
      </c>
      <c r="J63" s="169" t="str">
        <f t="shared" si="1396"/>
        <v xml:space="preserve">-- </v>
      </c>
      <c r="K63" s="255" t="str">
        <f t="shared" si="1396"/>
        <v xml:space="preserve">-- </v>
      </c>
      <c r="L63" s="169" t="str">
        <f t="shared" si="1396"/>
        <v xml:space="preserve">-- </v>
      </c>
      <c r="M63" s="169" t="str">
        <f t="shared" si="1396"/>
        <v xml:space="preserve">-- </v>
      </c>
      <c r="N63" s="169" t="str">
        <f t="shared" si="1396"/>
        <v xml:space="preserve">-- </v>
      </c>
      <c r="O63" s="169" t="str">
        <f t="shared" si="1396"/>
        <v xml:space="preserve">-- </v>
      </c>
      <c r="P63" s="255" t="str">
        <f t="shared" si="1396"/>
        <v xml:space="preserve">-- </v>
      </c>
      <c r="Q63" s="169" t="str">
        <f t="shared" si="1396"/>
        <v xml:space="preserve">-- </v>
      </c>
      <c r="R63" s="169" t="str">
        <f t="shared" si="1396"/>
        <v xml:space="preserve">-- </v>
      </c>
      <c r="S63" s="169" t="str">
        <f t="shared" si="1396"/>
        <v xml:space="preserve">-- </v>
      </c>
      <c r="T63" s="169" t="str">
        <f t="shared" si="1396"/>
        <v xml:space="preserve">-- </v>
      </c>
      <c r="U63" s="255" t="str">
        <f t="shared" si="1396"/>
        <v xml:space="preserve">-- </v>
      </c>
      <c r="V63" s="169" t="str">
        <f t="shared" si="1396"/>
        <v xml:space="preserve">-- </v>
      </c>
      <c r="W63" s="169" t="str">
        <f t="shared" si="1396"/>
        <v xml:space="preserve">-- </v>
      </c>
      <c r="X63" s="169" t="str">
        <f t="shared" si="1396"/>
        <v xml:space="preserve">-- </v>
      </c>
      <c r="Y63" s="169" t="str">
        <f t="shared" si="1396"/>
        <v xml:space="preserve">-- </v>
      </c>
      <c r="Z63" s="255" t="str">
        <f t="shared" si="1396"/>
        <v xml:space="preserve">-- </v>
      </c>
      <c r="AA63" s="169">
        <f t="shared" si="1396"/>
        <v>650</v>
      </c>
      <c r="AB63" s="169">
        <f t="shared" si="1396"/>
        <v>768</v>
      </c>
      <c r="AC63" s="169">
        <f t="shared" si="1396"/>
        <v>1050</v>
      </c>
      <c r="AD63" s="169">
        <f t="shared" si="1396"/>
        <v>1100</v>
      </c>
      <c r="AE63" s="255">
        <f t="shared" si="1396"/>
        <v>953.15897435897455</v>
      </c>
      <c r="AF63" s="169">
        <f t="shared" si="1396"/>
        <v>1075</v>
      </c>
      <c r="AG63" s="169">
        <f t="shared" si="1396"/>
        <v>1111</v>
      </c>
      <c r="AH63" s="169">
        <f t="shared" si="1396"/>
        <v>1300</v>
      </c>
      <c r="AI63" s="169">
        <f t="shared" si="1396"/>
        <v>1284</v>
      </c>
      <c r="AJ63" s="255">
        <f t="shared" si="1396"/>
        <v>1207.4370149253732</v>
      </c>
      <c r="AK63" s="169">
        <f t="shared" si="1396"/>
        <v>1400</v>
      </c>
      <c r="AL63" s="169">
        <f t="shared" si="1396"/>
        <v>1500</v>
      </c>
      <c r="AM63" s="169">
        <f t="shared" si="1396"/>
        <v>1500</v>
      </c>
      <c r="AN63" s="169">
        <f t="shared" si="1396"/>
        <v>1550</v>
      </c>
      <c r="AO63" s="255">
        <f t="shared" si="1396"/>
        <v>1495.5294705294707</v>
      </c>
      <c r="AP63" s="169">
        <f t="shared" si="1396"/>
        <v>1730</v>
      </c>
      <c r="AQ63" s="169">
        <f t="shared" si="1396"/>
        <v>2005</v>
      </c>
      <c r="AR63" s="169">
        <f t="shared" si="1396"/>
        <v>2000</v>
      </c>
      <c r="AS63" s="169">
        <f t="shared" si="1396"/>
        <v>2050</v>
      </c>
      <c r="AT63" s="255">
        <f t="shared" si="1396"/>
        <v>1957.3300872387911</v>
      </c>
      <c r="AU63" s="390">
        <f t="shared" si="1396"/>
        <v>2200</v>
      </c>
      <c r="AV63" s="169">
        <f t="shared" si="1396"/>
        <v>2200</v>
      </c>
      <c r="AW63" s="169">
        <f t="shared" si="1396"/>
        <v>2200</v>
      </c>
      <c r="AX63" s="169">
        <f t="shared" si="1396"/>
        <v>2200</v>
      </c>
      <c r="AY63" s="255">
        <f t="shared" si="1396"/>
        <v>2200</v>
      </c>
      <c r="AZ63" s="169">
        <f t="shared" si="1396"/>
        <v>2500</v>
      </c>
      <c r="BA63" s="169">
        <f t="shared" si="1396"/>
        <v>2500</v>
      </c>
      <c r="BB63" s="169">
        <f t="shared" si="1396"/>
        <v>2500</v>
      </c>
      <c r="BC63" s="169">
        <f t="shared" si="1396"/>
        <v>2500</v>
      </c>
      <c r="BD63" s="255">
        <f t="shared" si="1396"/>
        <v>2500</v>
      </c>
      <c r="BE63" s="169">
        <f t="shared" si="1396"/>
        <v>3000</v>
      </c>
      <c r="BF63" s="169">
        <f t="shared" si="1396"/>
        <v>3000</v>
      </c>
      <c r="BG63" s="169">
        <f t="shared" si="1396"/>
        <v>3000</v>
      </c>
      <c r="BH63" s="169">
        <f t="shared" si="1396"/>
        <v>3000</v>
      </c>
      <c r="BI63" s="255">
        <f t="shared" si="1396"/>
        <v>3000</v>
      </c>
      <c r="BJ63" s="169">
        <f t="shared" si="1396"/>
        <v>3000</v>
      </c>
      <c r="BK63" s="169">
        <f t="shared" si="1396"/>
        <v>3000</v>
      </c>
      <c r="BL63" s="169">
        <f t="shared" si="1396"/>
        <v>3000</v>
      </c>
      <c r="BM63" s="169">
        <f t="shared" si="1396"/>
        <v>3000</v>
      </c>
      <c r="BN63" s="255">
        <f t="shared" si="1396"/>
        <v>3000</v>
      </c>
      <c r="BO63" s="169">
        <f t="shared" si="1396"/>
        <v>3000</v>
      </c>
      <c r="BP63" s="169">
        <f t="shared" si="1396"/>
        <v>3000</v>
      </c>
      <c r="BQ63" s="169">
        <f t="shared" si="1396"/>
        <v>3000</v>
      </c>
      <c r="BR63" s="169">
        <f t="shared" si="1396"/>
        <v>3000</v>
      </c>
      <c r="BS63" s="255">
        <f t="shared" si="1396"/>
        <v>3000</v>
      </c>
      <c r="BT63" s="169">
        <f t="shared" ref="BT63:CM63" si="1397">+BT115</f>
        <v>3000</v>
      </c>
      <c r="BU63" s="169">
        <f t="shared" si="1397"/>
        <v>3000</v>
      </c>
      <c r="BV63" s="169">
        <f t="shared" si="1397"/>
        <v>3000</v>
      </c>
      <c r="BW63" s="169">
        <f t="shared" si="1397"/>
        <v>3000</v>
      </c>
      <c r="BX63" s="255">
        <f t="shared" si="1397"/>
        <v>2999.9999999999995</v>
      </c>
      <c r="BY63" s="169">
        <f t="shared" si="1397"/>
        <v>3000</v>
      </c>
      <c r="BZ63" s="169">
        <f t="shared" si="1397"/>
        <v>3000</v>
      </c>
      <c r="CA63" s="169">
        <f t="shared" si="1397"/>
        <v>3000</v>
      </c>
      <c r="CB63" s="169">
        <f t="shared" si="1397"/>
        <v>3000</v>
      </c>
      <c r="CC63" s="255">
        <f t="shared" si="1397"/>
        <v>2999.9999999999995</v>
      </c>
      <c r="CD63" s="169">
        <f t="shared" si="1397"/>
        <v>3000</v>
      </c>
      <c r="CE63" s="169">
        <f t="shared" si="1397"/>
        <v>3000</v>
      </c>
      <c r="CF63" s="169">
        <f t="shared" si="1397"/>
        <v>3000</v>
      </c>
      <c r="CG63" s="169">
        <f t="shared" si="1397"/>
        <v>3000</v>
      </c>
      <c r="CH63" s="255">
        <f t="shared" si="1397"/>
        <v>3000</v>
      </c>
      <c r="CI63" s="169">
        <f t="shared" si="1397"/>
        <v>3000</v>
      </c>
      <c r="CJ63" s="169">
        <f t="shared" si="1397"/>
        <v>3000</v>
      </c>
      <c r="CK63" s="169">
        <f t="shared" si="1397"/>
        <v>3000</v>
      </c>
      <c r="CL63" s="169">
        <f t="shared" si="1397"/>
        <v>3000</v>
      </c>
      <c r="CM63" s="255">
        <f t="shared" si="1397"/>
        <v>3000</v>
      </c>
    </row>
    <row r="64" spans="1:91">
      <c r="A64" s="161" t="s">
        <v>291</v>
      </c>
      <c r="B64" s="232" t="s">
        <v>294</v>
      </c>
      <c r="C64" s="232" t="s">
        <v>294</v>
      </c>
      <c r="D64" s="232" t="s">
        <v>294</v>
      </c>
      <c r="E64" s="232" t="s">
        <v>294</v>
      </c>
      <c r="F64" s="239" t="s">
        <v>294</v>
      </c>
      <c r="G64" s="158" t="s">
        <v>294</v>
      </c>
      <c r="H64" s="158" t="s">
        <v>294</v>
      </c>
      <c r="I64" s="158" t="s">
        <v>294</v>
      </c>
      <c r="J64" s="158" t="s">
        <v>294</v>
      </c>
      <c r="K64" s="250" t="s">
        <v>294</v>
      </c>
      <c r="L64" s="158" t="s">
        <v>294</v>
      </c>
      <c r="M64" s="158" t="s">
        <v>294</v>
      </c>
      <c r="N64" s="158" t="s">
        <v>294</v>
      </c>
      <c r="O64" s="158" t="s">
        <v>294</v>
      </c>
      <c r="P64" s="250" t="s">
        <v>294</v>
      </c>
      <c r="Q64" s="158" t="s">
        <v>294</v>
      </c>
      <c r="R64" s="158" t="s">
        <v>294</v>
      </c>
      <c r="S64" s="158" t="s">
        <v>294</v>
      </c>
      <c r="T64" s="158" t="s">
        <v>294</v>
      </c>
      <c r="U64" s="250" t="s">
        <v>294</v>
      </c>
      <c r="V64" s="158" t="s">
        <v>294</v>
      </c>
      <c r="W64" s="158" t="s">
        <v>294</v>
      </c>
      <c r="X64" s="158" t="s">
        <v>294</v>
      </c>
      <c r="Y64" s="158" t="s">
        <v>294</v>
      </c>
      <c r="Z64" s="250" t="s">
        <v>294</v>
      </c>
      <c r="AA64" s="158" t="s">
        <v>294</v>
      </c>
      <c r="AB64" s="158" t="s">
        <v>294</v>
      </c>
      <c r="AC64" s="158" t="s">
        <v>294</v>
      </c>
      <c r="AD64" s="158" t="s">
        <v>294</v>
      </c>
      <c r="AE64" s="250" t="s">
        <v>294</v>
      </c>
      <c r="AF64" s="19">
        <f t="shared" ref="AF64" si="1398">+AF63/AA63-1</f>
        <v>0.65384615384615374</v>
      </c>
      <c r="AG64" s="19">
        <f t="shared" ref="AG64" si="1399">+AG63/AB63-1</f>
        <v>0.44661458333333326</v>
      </c>
      <c r="AH64" s="19">
        <f t="shared" ref="AH64" si="1400">+AH63/AC63-1</f>
        <v>0.23809523809523814</v>
      </c>
      <c r="AI64" s="19">
        <f t="shared" ref="AI64" si="1401">+AI63/AD63-1</f>
        <v>0.16727272727272724</v>
      </c>
      <c r="AJ64" s="259">
        <f t="shared" ref="AJ64" si="1402">+AJ63/AE63-1</f>
        <v>0.26677400875064694</v>
      </c>
      <c r="AK64" s="19">
        <f t="shared" ref="AK64" si="1403">+AK63/AF63-1</f>
        <v>0.30232558139534893</v>
      </c>
      <c r="AL64" s="19">
        <f t="shared" ref="AL64" si="1404">+AL63/AG63-1</f>
        <v>0.35013501350135012</v>
      </c>
      <c r="AM64" s="19">
        <f t="shared" ref="AM64" si="1405">+AM63/AH63-1</f>
        <v>0.15384615384615374</v>
      </c>
      <c r="AN64" s="19">
        <f t="shared" ref="AN64" si="1406">+AN63/AI63-1</f>
        <v>0.20716510903426788</v>
      </c>
      <c r="AO64" s="259">
        <f t="shared" ref="AO64" si="1407">+AO63/AJ63-1</f>
        <v>0.23859833021758359</v>
      </c>
      <c r="AP64" s="19">
        <f t="shared" ref="AP64" si="1408">+AP63/AK63-1</f>
        <v>0.23571428571428577</v>
      </c>
      <c r="AQ64" s="19">
        <f t="shared" ref="AQ64" si="1409">+AQ63/AL63-1</f>
        <v>0.33666666666666667</v>
      </c>
      <c r="AR64" s="19">
        <f t="shared" ref="AR64" si="1410">+AR63/AM63-1</f>
        <v>0.33333333333333326</v>
      </c>
      <c r="AS64" s="19">
        <f t="shared" ref="AS64" si="1411">+AS63/AN63-1</f>
        <v>0.32258064516129026</v>
      </c>
      <c r="AT64" s="259">
        <f t="shared" ref="AT64" si="1412">+AT63/AO63-1</f>
        <v>0.30878737317414839</v>
      </c>
      <c r="AU64" s="379">
        <f t="shared" ref="AU64" si="1413">+AU63/AP63-1</f>
        <v>0.27167630057803471</v>
      </c>
      <c r="AV64" s="19">
        <f t="shared" ref="AV64" si="1414">+AV63/AQ63-1</f>
        <v>9.7256857855361645E-2</v>
      </c>
      <c r="AW64" s="19">
        <f t="shared" ref="AW64" si="1415">+AW63/AR63-1</f>
        <v>0.10000000000000009</v>
      </c>
      <c r="AX64" s="19">
        <f t="shared" ref="AX64" si="1416">+AX63/AS63-1</f>
        <v>7.3170731707317138E-2</v>
      </c>
      <c r="AY64" s="259">
        <f t="shared" ref="AY64" si="1417">+AY63/AT63-1</f>
        <v>0.12398006567381992</v>
      </c>
      <c r="AZ64" s="19">
        <f t="shared" ref="AZ64" si="1418">+AZ63/AU63-1</f>
        <v>0.13636363636363646</v>
      </c>
      <c r="BA64" s="19">
        <f t="shared" ref="BA64" si="1419">+BA63/AV63-1</f>
        <v>0.13636363636363646</v>
      </c>
      <c r="BB64" s="19">
        <f t="shared" ref="BB64" si="1420">+BB63/AW63-1</f>
        <v>0.13636363636363646</v>
      </c>
      <c r="BC64" s="19">
        <f t="shared" ref="BC64" si="1421">+BC63/AX63-1</f>
        <v>0.13636363636363646</v>
      </c>
      <c r="BD64" s="259">
        <f t="shared" ref="BD64" si="1422">+BD63/AY63-1</f>
        <v>0.13636363636363646</v>
      </c>
      <c r="BE64" s="19">
        <f t="shared" ref="BE64" si="1423">+BE63/AZ63-1</f>
        <v>0.19999999999999996</v>
      </c>
      <c r="BF64" s="19">
        <f t="shared" ref="BF64" si="1424">+BF63/BA63-1</f>
        <v>0.19999999999999996</v>
      </c>
      <c r="BG64" s="19">
        <f t="shared" ref="BG64" si="1425">+BG63/BB63-1</f>
        <v>0.19999999999999996</v>
      </c>
      <c r="BH64" s="19">
        <f t="shared" ref="BH64" si="1426">+BH63/BC63-1</f>
        <v>0.19999999999999996</v>
      </c>
      <c r="BI64" s="259">
        <f t="shared" ref="BI64" si="1427">+BI63/BD63-1</f>
        <v>0.19999999999999996</v>
      </c>
      <c r="BJ64" s="19">
        <f t="shared" ref="BJ64" si="1428">+BJ63/BE63-1</f>
        <v>0</v>
      </c>
      <c r="BK64" s="19">
        <f t="shared" ref="BK64" si="1429">+BK63/BF63-1</f>
        <v>0</v>
      </c>
      <c r="BL64" s="19">
        <f t="shared" ref="BL64" si="1430">+BL63/BG63-1</f>
        <v>0</v>
      </c>
      <c r="BM64" s="19">
        <f t="shared" ref="BM64" si="1431">+BM63/BH63-1</f>
        <v>0</v>
      </c>
      <c r="BN64" s="259">
        <f t="shared" ref="BN64" si="1432">+BN63/BI63-1</f>
        <v>0</v>
      </c>
      <c r="BO64" s="19">
        <f t="shared" ref="BO64" si="1433">+BO63/BJ63-1</f>
        <v>0</v>
      </c>
      <c r="BP64" s="19">
        <f t="shared" ref="BP64" si="1434">+BP63/BK63-1</f>
        <v>0</v>
      </c>
      <c r="BQ64" s="19">
        <f t="shared" ref="BQ64" si="1435">+BQ63/BL63-1</f>
        <v>0</v>
      </c>
      <c r="BR64" s="19">
        <f t="shared" ref="BR64" si="1436">+BR63/BM63-1</f>
        <v>0</v>
      </c>
      <c r="BS64" s="259">
        <f t="shared" ref="BS64" si="1437">+BS63/BN63-1</f>
        <v>0</v>
      </c>
      <c r="BT64" s="19">
        <f t="shared" ref="BT64" si="1438">+BT63/BO63-1</f>
        <v>0</v>
      </c>
      <c r="BU64" s="19">
        <f t="shared" ref="BU64" si="1439">+BU63/BP63-1</f>
        <v>0</v>
      </c>
      <c r="BV64" s="19">
        <f t="shared" ref="BV64" si="1440">+BV63/BQ63-1</f>
        <v>0</v>
      </c>
      <c r="BW64" s="19">
        <f t="shared" ref="BW64" si="1441">+BW63/BR63-1</f>
        <v>0</v>
      </c>
      <c r="BX64" s="259">
        <f t="shared" ref="BX64" si="1442">+BX63/BS63-1</f>
        <v>0</v>
      </c>
      <c r="BY64" s="19">
        <f t="shared" ref="BY64" si="1443">+BY63/BT63-1</f>
        <v>0</v>
      </c>
      <c r="BZ64" s="19">
        <f t="shared" ref="BZ64" si="1444">+BZ63/BU63-1</f>
        <v>0</v>
      </c>
      <c r="CA64" s="19">
        <f t="shared" ref="CA64" si="1445">+CA63/BV63-1</f>
        <v>0</v>
      </c>
      <c r="CB64" s="19">
        <f t="shared" ref="CB64" si="1446">+CB63/BW63-1</f>
        <v>0</v>
      </c>
      <c r="CC64" s="259">
        <f t="shared" ref="CC64" si="1447">+CC63/BX63-1</f>
        <v>0</v>
      </c>
      <c r="CD64" s="19">
        <f t="shared" ref="CD64" si="1448">+CD63/BY63-1</f>
        <v>0</v>
      </c>
      <c r="CE64" s="19">
        <f t="shared" ref="CE64" si="1449">+CE63/BZ63-1</f>
        <v>0</v>
      </c>
      <c r="CF64" s="19">
        <f t="shared" ref="CF64" si="1450">+CF63/CA63-1</f>
        <v>0</v>
      </c>
      <c r="CG64" s="19">
        <f t="shared" ref="CG64" si="1451">+CG63/CB63-1</f>
        <v>0</v>
      </c>
      <c r="CH64" s="259">
        <f t="shared" ref="CH64" si="1452">+CH63/CC63-1</f>
        <v>0</v>
      </c>
      <c r="CI64" s="19">
        <f t="shared" ref="CI64" si="1453">+CI63/CD63-1</f>
        <v>0</v>
      </c>
      <c r="CJ64" s="19">
        <f t="shared" ref="CJ64" si="1454">+CJ63/CE63-1</f>
        <v>0</v>
      </c>
      <c r="CK64" s="19">
        <f t="shared" ref="CK64" si="1455">+CK63/CF63-1</f>
        <v>0</v>
      </c>
      <c r="CL64" s="19">
        <f t="shared" ref="CL64" si="1456">+CL63/CG63-1</f>
        <v>0</v>
      </c>
      <c r="CM64" s="259">
        <f t="shared" ref="CM64" si="1457">+CM63/CH63-1</f>
        <v>0</v>
      </c>
    </row>
    <row r="65" spans="1:91">
      <c r="A65" s="161" t="s">
        <v>292</v>
      </c>
      <c r="B65" s="232" t="s">
        <v>294</v>
      </c>
      <c r="C65" s="232" t="s">
        <v>294</v>
      </c>
      <c r="D65" s="232" t="s">
        <v>294</v>
      </c>
      <c r="E65" s="232" t="s">
        <v>294</v>
      </c>
      <c r="F65" s="239" t="s">
        <v>294</v>
      </c>
      <c r="G65" s="158" t="s">
        <v>294</v>
      </c>
      <c r="H65" s="158" t="s">
        <v>294</v>
      </c>
      <c r="I65" s="158" t="s">
        <v>294</v>
      </c>
      <c r="J65" s="158" t="s">
        <v>294</v>
      </c>
      <c r="K65" s="250" t="s">
        <v>294</v>
      </c>
      <c r="L65" s="158" t="s">
        <v>294</v>
      </c>
      <c r="M65" s="158" t="s">
        <v>294</v>
      </c>
      <c r="N65" s="158" t="s">
        <v>294</v>
      </c>
      <c r="O65" s="158" t="s">
        <v>294</v>
      </c>
      <c r="P65" s="250" t="s">
        <v>294</v>
      </c>
      <c r="Q65" s="158" t="s">
        <v>294</v>
      </c>
      <c r="R65" s="158" t="s">
        <v>294</v>
      </c>
      <c r="S65" s="158" t="s">
        <v>294</v>
      </c>
      <c r="T65" s="158" t="s">
        <v>294</v>
      </c>
      <c r="U65" s="250" t="s">
        <v>294</v>
      </c>
      <c r="V65" s="158" t="s">
        <v>294</v>
      </c>
      <c r="W65" s="158" t="s">
        <v>294</v>
      </c>
      <c r="X65" s="158" t="s">
        <v>294</v>
      </c>
      <c r="Y65" s="158" t="s">
        <v>294</v>
      </c>
      <c r="Z65" s="250" t="s">
        <v>294</v>
      </c>
      <c r="AA65" s="158" t="s">
        <v>294</v>
      </c>
      <c r="AB65" s="19">
        <f>+AB63/AA63-1</f>
        <v>0.18153846153846165</v>
      </c>
      <c r="AC65" s="19">
        <f t="shared" ref="AC65" si="1458">+AC63/AB63-1</f>
        <v>0.3671875</v>
      </c>
      <c r="AD65" s="19">
        <f t="shared" ref="AD65" si="1459">+AD63/AC63-1</f>
        <v>4.7619047619047672E-2</v>
      </c>
      <c r="AE65" s="251" t="s">
        <v>294</v>
      </c>
      <c r="AF65" s="19">
        <f>+AF63/AD63-1</f>
        <v>-2.2727272727272707E-2</v>
      </c>
      <c r="AG65" s="19">
        <f>+AG63/AF63-1</f>
        <v>3.3488372093023244E-2</v>
      </c>
      <c r="AH65" s="19">
        <f t="shared" ref="AH65" si="1460">+AH63/AG63-1</f>
        <v>0.17011701170117011</v>
      </c>
      <c r="AI65" s="19">
        <f t="shared" ref="AI65" si="1461">+AI63/AH63-1</f>
        <v>-1.2307692307692353E-2</v>
      </c>
      <c r="AJ65" s="251" t="s">
        <v>294</v>
      </c>
      <c r="AK65" s="19">
        <f>+AK63/AI63-1</f>
        <v>9.0342679127725756E-2</v>
      </c>
      <c r="AL65" s="19">
        <f>+AL63/AK63-1</f>
        <v>7.1428571428571397E-2</v>
      </c>
      <c r="AM65" s="19">
        <f t="shared" ref="AM65" si="1462">+AM63/AL63-1</f>
        <v>0</v>
      </c>
      <c r="AN65" s="19">
        <f t="shared" ref="AN65" si="1463">+AN63/AM63-1</f>
        <v>3.3333333333333437E-2</v>
      </c>
      <c r="AO65" s="251" t="s">
        <v>294</v>
      </c>
      <c r="AP65" s="19">
        <f>+AP63/AN63-1</f>
        <v>0.11612903225806459</v>
      </c>
      <c r="AQ65" s="19">
        <f>+AQ63/AP63-1</f>
        <v>0.15895953757225434</v>
      </c>
      <c r="AR65" s="19">
        <f t="shared" ref="AR65" si="1464">+AR63/AQ63-1</f>
        <v>-2.4937655860348684E-3</v>
      </c>
      <c r="AS65" s="19">
        <f t="shared" ref="AS65" si="1465">+AS63/AR63-1</f>
        <v>2.4999999999999911E-2</v>
      </c>
      <c r="AT65" s="251" t="s">
        <v>294</v>
      </c>
      <c r="AU65" s="379">
        <f>+AU63/AS63-1</f>
        <v>7.3170731707317138E-2</v>
      </c>
      <c r="AV65" s="19">
        <f>+AV63/AU63-1</f>
        <v>0</v>
      </c>
      <c r="AW65" s="19">
        <f t="shared" ref="AW65" si="1466">+AW63/AV63-1</f>
        <v>0</v>
      </c>
      <c r="AX65" s="19">
        <f t="shared" ref="AX65" si="1467">+AX63/AW63-1</f>
        <v>0</v>
      </c>
      <c r="AY65" s="251" t="s">
        <v>294</v>
      </c>
      <c r="AZ65" s="19">
        <f>+AZ63/AX63-1</f>
        <v>0.13636363636363646</v>
      </c>
      <c r="BA65" s="19">
        <f>+BA63/AZ63-1</f>
        <v>0</v>
      </c>
      <c r="BB65" s="19">
        <f t="shared" ref="BB65" si="1468">+BB63/BA63-1</f>
        <v>0</v>
      </c>
      <c r="BC65" s="19">
        <f t="shared" ref="BC65" si="1469">+BC63/BB63-1</f>
        <v>0</v>
      </c>
      <c r="BD65" s="251" t="s">
        <v>294</v>
      </c>
      <c r="BE65" s="19">
        <f>+BE63/BC63-1</f>
        <v>0.19999999999999996</v>
      </c>
      <c r="BF65" s="19">
        <f>+BF63/BE63-1</f>
        <v>0</v>
      </c>
      <c r="BG65" s="19">
        <f t="shared" ref="BG65" si="1470">+BG63/BF63-1</f>
        <v>0</v>
      </c>
      <c r="BH65" s="19">
        <f t="shared" ref="BH65" si="1471">+BH63/BG63-1</f>
        <v>0</v>
      </c>
      <c r="BI65" s="251" t="s">
        <v>294</v>
      </c>
      <c r="BJ65" s="19">
        <f>+BJ63/BH63-1</f>
        <v>0</v>
      </c>
      <c r="BK65" s="19">
        <f>+BK63/BJ63-1</f>
        <v>0</v>
      </c>
      <c r="BL65" s="19">
        <f t="shared" ref="BL65" si="1472">+BL63/BK63-1</f>
        <v>0</v>
      </c>
      <c r="BM65" s="19">
        <f t="shared" ref="BM65" si="1473">+BM63/BL63-1</f>
        <v>0</v>
      </c>
      <c r="BN65" s="251" t="s">
        <v>294</v>
      </c>
      <c r="BO65" s="19">
        <f>+BO63/BM63-1</f>
        <v>0</v>
      </c>
      <c r="BP65" s="19">
        <f>+BP63/BO63-1</f>
        <v>0</v>
      </c>
      <c r="BQ65" s="19">
        <f t="shared" ref="BQ65" si="1474">+BQ63/BP63-1</f>
        <v>0</v>
      </c>
      <c r="BR65" s="19">
        <f t="shared" ref="BR65" si="1475">+BR63/BQ63-1</f>
        <v>0</v>
      </c>
      <c r="BS65" s="251" t="s">
        <v>294</v>
      </c>
      <c r="BT65" s="19">
        <f>+BT63/BR63-1</f>
        <v>0</v>
      </c>
      <c r="BU65" s="19">
        <f>+BU63/BT63-1</f>
        <v>0</v>
      </c>
      <c r="BV65" s="19">
        <f t="shared" ref="BV65" si="1476">+BV63/BU63-1</f>
        <v>0</v>
      </c>
      <c r="BW65" s="19">
        <f t="shared" ref="BW65" si="1477">+BW63/BV63-1</f>
        <v>0</v>
      </c>
      <c r="BX65" s="251" t="s">
        <v>294</v>
      </c>
      <c r="BY65" s="19">
        <f>+BY63/BW63-1</f>
        <v>0</v>
      </c>
      <c r="BZ65" s="19">
        <f>+BZ63/BY63-1</f>
        <v>0</v>
      </c>
      <c r="CA65" s="19">
        <f t="shared" ref="CA65" si="1478">+CA63/BZ63-1</f>
        <v>0</v>
      </c>
      <c r="CB65" s="19">
        <f t="shared" ref="CB65" si="1479">+CB63/CA63-1</f>
        <v>0</v>
      </c>
      <c r="CC65" s="251" t="s">
        <v>294</v>
      </c>
      <c r="CD65" s="19">
        <f>+CD63/CB63-1</f>
        <v>0</v>
      </c>
      <c r="CE65" s="19">
        <f>+CE63/CD63-1</f>
        <v>0</v>
      </c>
      <c r="CF65" s="19">
        <f t="shared" ref="CF65" si="1480">+CF63/CE63-1</f>
        <v>0</v>
      </c>
      <c r="CG65" s="19">
        <f t="shared" ref="CG65" si="1481">+CG63/CF63-1</f>
        <v>0</v>
      </c>
      <c r="CH65" s="251" t="s">
        <v>294</v>
      </c>
      <c r="CI65" s="19">
        <f>+CI63/CG63-1</f>
        <v>0</v>
      </c>
      <c r="CJ65" s="19">
        <f>+CJ63/CI63-1</f>
        <v>0</v>
      </c>
      <c r="CK65" s="19">
        <f t="shared" ref="CK65" si="1482">+CK63/CJ63-1</f>
        <v>0</v>
      </c>
      <c r="CL65" s="19">
        <f t="shared" ref="CL65" si="1483">+CL63/CK63-1</f>
        <v>0</v>
      </c>
      <c r="CM65" s="251" t="s">
        <v>294</v>
      </c>
    </row>
    <row r="66" spans="1:91" s="42" customFormat="1">
      <c r="A66" s="162" t="s">
        <v>293</v>
      </c>
      <c r="B66" s="232" t="s">
        <v>294</v>
      </c>
      <c r="C66" s="232" t="s">
        <v>294</v>
      </c>
      <c r="D66" s="232" t="s">
        <v>294</v>
      </c>
      <c r="E66" s="232" t="s">
        <v>294</v>
      </c>
      <c r="F66" s="239" t="s">
        <v>294</v>
      </c>
      <c r="G66" s="169" t="str">
        <f>+G143</f>
        <v xml:space="preserve">-- </v>
      </c>
      <c r="H66" s="169" t="str">
        <f t="shared" ref="H66:BS66" si="1484">+H143</f>
        <v xml:space="preserve">-- </v>
      </c>
      <c r="I66" s="169" t="str">
        <f t="shared" si="1484"/>
        <v xml:space="preserve">-- </v>
      </c>
      <c r="J66" s="169" t="str">
        <f t="shared" si="1484"/>
        <v xml:space="preserve">-- </v>
      </c>
      <c r="K66" s="255" t="str">
        <f t="shared" si="1484"/>
        <v xml:space="preserve">-- </v>
      </c>
      <c r="L66" s="169" t="str">
        <f t="shared" si="1484"/>
        <v xml:space="preserve">-- </v>
      </c>
      <c r="M66" s="169" t="str">
        <f t="shared" si="1484"/>
        <v xml:space="preserve">-- </v>
      </c>
      <c r="N66" s="169" t="str">
        <f t="shared" si="1484"/>
        <v xml:space="preserve">-- </v>
      </c>
      <c r="O66" s="169" t="str">
        <f t="shared" si="1484"/>
        <v xml:space="preserve">-- </v>
      </c>
      <c r="P66" s="255" t="str">
        <f t="shared" si="1484"/>
        <v xml:space="preserve">-- </v>
      </c>
      <c r="Q66" s="169">
        <f t="shared" si="1484"/>
        <v>0</v>
      </c>
      <c r="R66" s="169">
        <f t="shared" si="1484"/>
        <v>0</v>
      </c>
      <c r="S66" s="169">
        <f t="shared" si="1484"/>
        <v>0</v>
      </c>
      <c r="T66" s="169">
        <f t="shared" si="1484"/>
        <v>0</v>
      </c>
      <c r="U66" s="250" t="s">
        <v>294</v>
      </c>
      <c r="V66" s="169">
        <f t="shared" si="1484"/>
        <v>0</v>
      </c>
      <c r="W66" s="169">
        <f t="shared" si="1484"/>
        <v>0</v>
      </c>
      <c r="X66" s="169">
        <f t="shared" si="1484"/>
        <v>0</v>
      </c>
      <c r="Y66" s="169">
        <f t="shared" si="1484"/>
        <v>0</v>
      </c>
      <c r="Z66" s="250" t="s">
        <v>294</v>
      </c>
      <c r="AA66" s="169">
        <f t="shared" si="1484"/>
        <v>295</v>
      </c>
      <c r="AB66" s="169">
        <f t="shared" si="1484"/>
        <v>340</v>
      </c>
      <c r="AC66" s="169">
        <f t="shared" si="1484"/>
        <v>320</v>
      </c>
      <c r="AD66" s="169">
        <f t="shared" si="1484"/>
        <v>390</v>
      </c>
      <c r="AE66" s="255">
        <f t="shared" si="1484"/>
        <v>344.8195350734095</v>
      </c>
      <c r="AF66" s="169">
        <f t="shared" si="1484"/>
        <v>430</v>
      </c>
      <c r="AG66" s="169">
        <f t="shared" si="1484"/>
        <v>453</v>
      </c>
      <c r="AH66" s="169">
        <f t="shared" si="1484"/>
        <v>450</v>
      </c>
      <c r="AI66" s="169">
        <f t="shared" si="1484"/>
        <v>460</v>
      </c>
      <c r="AJ66" s="255">
        <f t="shared" si="1484"/>
        <v>450.40583714705122</v>
      </c>
      <c r="AK66" s="169">
        <f t="shared" si="1484"/>
        <v>500</v>
      </c>
      <c r="AL66" s="169">
        <f t="shared" si="1484"/>
        <v>500</v>
      </c>
      <c r="AM66" s="169">
        <f t="shared" si="1484"/>
        <v>500</v>
      </c>
      <c r="AN66" s="169">
        <f t="shared" si="1484"/>
        <v>500</v>
      </c>
      <c r="AO66" s="255">
        <f t="shared" si="1484"/>
        <v>500</v>
      </c>
      <c r="AP66" s="169">
        <f t="shared" si="1484"/>
        <v>595</v>
      </c>
      <c r="AQ66" s="169">
        <f t="shared" si="1484"/>
        <v>635</v>
      </c>
      <c r="AR66" s="169">
        <f t="shared" si="1484"/>
        <v>650</v>
      </c>
      <c r="AS66" s="169">
        <f t="shared" si="1484"/>
        <v>650</v>
      </c>
      <c r="AT66" s="255">
        <f t="shared" si="1484"/>
        <v>635.43056317511969</v>
      </c>
      <c r="AU66" s="390">
        <f t="shared" si="1484"/>
        <v>680</v>
      </c>
      <c r="AV66" s="169">
        <f t="shared" si="1484"/>
        <v>690</v>
      </c>
      <c r="AW66" s="169">
        <f t="shared" si="1484"/>
        <v>695</v>
      </c>
      <c r="AX66" s="169">
        <f t="shared" si="1484"/>
        <v>700</v>
      </c>
      <c r="AY66" s="255">
        <f t="shared" si="1484"/>
        <v>692.41839632725089</v>
      </c>
      <c r="AZ66" s="169">
        <f t="shared" si="1484"/>
        <v>750</v>
      </c>
      <c r="BA66" s="169">
        <f t="shared" si="1484"/>
        <v>775</v>
      </c>
      <c r="BB66" s="169">
        <f t="shared" si="1484"/>
        <v>800</v>
      </c>
      <c r="BC66" s="169">
        <f t="shared" si="1484"/>
        <v>850</v>
      </c>
      <c r="BD66" s="255">
        <f t="shared" si="1484"/>
        <v>799.5430222496459</v>
      </c>
      <c r="BE66" s="169">
        <f t="shared" si="1484"/>
        <v>875</v>
      </c>
      <c r="BF66" s="169">
        <f t="shared" si="1484"/>
        <v>925</v>
      </c>
      <c r="BG66" s="169">
        <f t="shared" si="1484"/>
        <v>950</v>
      </c>
      <c r="BH66" s="169">
        <f t="shared" si="1484"/>
        <v>1000</v>
      </c>
      <c r="BI66" s="255">
        <f t="shared" si="1484"/>
        <v>941.80053994309333</v>
      </c>
      <c r="BJ66" s="169">
        <f t="shared" si="1484"/>
        <v>1025</v>
      </c>
      <c r="BK66" s="169">
        <f t="shared" si="1484"/>
        <v>1040</v>
      </c>
      <c r="BL66" s="169">
        <f t="shared" si="1484"/>
        <v>1055</v>
      </c>
      <c r="BM66" s="169">
        <f t="shared" si="1484"/>
        <v>1070</v>
      </c>
      <c r="BN66" s="255">
        <f t="shared" si="1484"/>
        <v>1047.7931800986721</v>
      </c>
      <c r="BO66" s="169">
        <f t="shared" si="1484"/>
        <v>1075</v>
      </c>
      <c r="BP66" s="169">
        <f t="shared" si="1484"/>
        <v>1090</v>
      </c>
      <c r="BQ66" s="169">
        <f t="shared" si="1484"/>
        <v>1105</v>
      </c>
      <c r="BR66" s="169">
        <f t="shared" si="1484"/>
        <v>1120</v>
      </c>
      <c r="BS66" s="255">
        <f t="shared" si="1484"/>
        <v>1098.194503073503</v>
      </c>
      <c r="BT66" s="169">
        <f t="shared" ref="BT66:CM66" si="1485">+BT143</f>
        <v>1125</v>
      </c>
      <c r="BU66" s="169">
        <f t="shared" si="1485"/>
        <v>1140</v>
      </c>
      <c r="BV66" s="169">
        <f t="shared" si="1485"/>
        <v>1155</v>
      </c>
      <c r="BW66" s="169">
        <f t="shared" si="1485"/>
        <v>1170</v>
      </c>
      <c r="BX66" s="255">
        <f t="shared" si="1485"/>
        <v>1148.1354539645754</v>
      </c>
      <c r="BY66" s="169">
        <f t="shared" si="1485"/>
        <v>1150</v>
      </c>
      <c r="BZ66" s="169">
        <f t="shared" si="1485"/>
        <v>1165</v>
      </c>
      <c r="CA66" s="169">
        <f t="shared" si="1485"/>
        <v>1180</v>
      </c>
      <c r="CB66" s="169">
        <f t="shared" si="1485"/>
        <v>1195</v>
      </c>
      <c r="CC66" s="255">
        <f t="shared" si="1485"/>
        <v>1173.085645418065</v>
      </c>
      <c r="CD66" s="169">
        <f t="shared" si="1485"/>
        <v>1175</v>
      </c>
      <c r="CE66" s="169">
        <f t="shared" si="1485"/>
        <v>1190</v>
      </c>
      <c r="CF66" s="169">
        <f t="shared" si="1485"/>
        <v>1205</v>
      </c>
      <c r="CG66" s="169">
        <f t="shared" si="1485"/>
        <v>1220</v>
      </c>
      <c r="CH66" s="255">
        <f t="shared" si="1485"/>
        <v>1198.0531206204973</v>
      </c>
      <c r="CI66" s="169">
        <f t="shared" si="1485"/>
        <v>1200</v>
      </c>
      <c r="CJ66" s="169">
        <f t="shared" si="1485"/>
        <v>1215</v>
      </c>
      <c r="CK66" s="169">
        <f t="shared" si="1485"/>
        <v>1230</v>
      </c>
      <c r="CL66" s="169">
        <f t="shared" si="1485"/>
        <v>1245</v>
      </c>
      <c r="CM66" s="255">
        <f t="shared" si="1485"/>
        <v>1223.0240121940978</v>
      </c>
    </row>
    <row r="67" spans="1:91">
      <c r="A67" s="161" t="s">
        <v>291</v>
      </c>
      <c r="B67" s="232" t="s">
        <v>294</v>
      </c>
      <c r="C67" s="232" t="s">
        <v>294</v>
      </c>
      <c r="D67" s="232" t="s">
        <v>294</v>
      </c>
      <c r="E67" s="232" t="s">
        <v>294</v>
      </c>
      <c r="F67" s="239" t="s">
        <v>294</v>
      </c>
      <c r="G67" s="158" t="s">
        <v>294</v>
      </c>
      <c r="H67" s="158" t="s">
        <v>294</v>
      </c>
      <c r="I67" s="158" t="s">
        <v>294</v>
      </c>
      <c r="J67" s="158" t="s">
        <v>294</v>
      </c>
      <c r="K67" s="250" t="s">
        <v>294</v>
      </c>
      <c r="L67" s="158" t="s">
        <v>294</v>
      </c>
      <c r="M67" s="158" t="s">
        <v>294</v>
      </c>
      <c r="N67" s="158" t="s">
        <v>294</v>
      </c>
      <c r="O67" s="158" t="s">
        <v>294</v>
      </c>
      <c r="P67" s="250" t="s">
        <v>294</v>
      </c>
      <c r="Q67" s="158" t="s">
        <v>294</v>
      </c>
      <c r="R67" s="158" t="s">
        <v>294</v>
      </c>
      <c r="S67" s="158" t="s">
        <v>294</v>
      </c>
      <c r="T67" s="158" t="s">
        <v>294</v>
      </c>
      <c r="U67" s="250" t="s">
        <v>294</v>
      </c>
      <c r="V67" s="158" t="s">
        <v>294</v>
      </c>
      <c r="W67" s="158" t="s">
        <v>294</v>
      </c>
      <c r="X67" s="158" t="s">
        <v>294</v>
      </c>
      <c r="Y67" s="158" t="s">
        <v>294</v>
      </c>
      <c r="Z67" s="250" t="s">
        <v>294</v>
      </c>
      <c r="AA67" s="158" t="s">
        <v>294</v>
      </c>
      <c r="AB67" s="158" t="s">
        <v>294</v>
      </c>
      <c r="AC67" s="158" t="s">
        <v>294</v>
      </c>
      <c r="AD67" s="158" t="s">
        <v>294</v>
      </c>
      <c r="AE67" s="250" t="s">
        <v>294</v>
      </c>
      <c r="AF67" s="158" t="s">
        <v>294</v>
      </c>
      <c r="AG67" s="19">
        <f t="shared" ref="AG67" si="1486">+AG66/AB66-1</f>
        <v>0.33235294117647052</v>
      </c>
      <c r="AH67" s="19">
        <f t="shared" ref="AH67" si="1487">+AH66/AC66-1</f>
        <v>0.40625</v>
      </c>
      <c r="AI67" s="19">
        <f t="shared" ref="AI67" si="1488">+AI66/AD66-1</f>
        <v>0.17948717948717952</v>
      </c>
      <c r="AJ67" s="259">
        <f t="shared" ref="AJ67" si="1489">+AJ66/AE66-1</f>
        <v>0.30620742543244606</v>
      </c>
      <c r="AK67" s="19">
        <f t="shared" ref="AK67" si="1490">+AK66/AF66-1</f>
        <v>0.16279069767441867</v>
      </c>
      <c r="AL67" s="19">
        <f t="shared" ref="AL67" si="1491">+AL66/AG66-1</f>
        <v>0.10375275938189854</v>
      </c>
      <c r="AM67" s="19">
        <f t="shared" ref="AM67" si="1492">+AM66/AH66-1</f>
        <v>0.11111111111111116</v>
      </c>
      <c r="AN67" s="19">
        <f t="shared" ref="AN67" si="1493">+AN66/AI66-1</f>
        <v>8.6956521739130377E-2</v>
      </c>
      <c r="AO67" s="259">
        <f t="shared" ref="AO67" si="1494">+AO66/AJ66-1</f>
        <v>0.11010994699155496</v>
      </c>
      <c r="AP67" s="19">
        <f t="shared" ref="AP67" si="1495">+AP66/AK66-1</f>
        <v>0.18999999999999995</v>
      </c>
      <c r="AQ67" s="19">
        <f t="shared" ref="AQ67" si="1496">+AQ66/AL66-1</f>
        <v>0.27</v>
      </c>
      <c r="AR67" s="19">
        <f t="shared" ref="AR67" si="1497">+AR66/AM66-1</f>
        <v>0.30000000000000004</v>
      </c>
      <c r="AS67" s="19">
        <f t="shared" ref="AS67" si="1498">+AS66/AN66-1</f>
        <v>0.30000000000000004</v>
      </c>
      <c r="AT67" s="259">
        <f t="shared" ref="AT67" si="1499">+AT66/AO66-1</f>
        <v>0.2708611263502394</v>
      </c>
      <c r="AU67" s="379">
        <f t="shared" ref="AU67" si="1500">+AU66/AP66-1</f>
        <v>0.14285714285714279</v>
      </c>
      <c r="AV67" s="19">
        <f t="shared" ref="AV67" si="1501">+AV66/AQ66-1</f>
        <v>8.6614173228346525E-2</v>
      </c>
      <c r="AW67" s="19">
        <f t="shared" ref="AW67" si="1502">+AW66/AR66-1</f>
        <v>6.9230769230769207E-2</v>
      </c>
      <c r="AX67" s="19">
        <f t="shared" ref="AX67" si="1503">+AX66/AS66-1</f>
        <v>7.6923076923076872E-2</v>
      </c>
      <c r="AY67" s="259">
        <f t="shared" ref="AY67" si="1504">+AY66/AT66-1</f>
        <v>8.9683808829361888E-2</v>
      </c>
      <c r="AZ67" s="19">
        <f t="shared" ref="AZ67" si="1505">+AZ66/AU66-1</f>
        <v>0.10294117647058831</v>
      </c>
      <c r="BA67" s="19">
        <f t="shared" ref="BA67" si="1506">+BA66/AV66-1</f>
        <v>0.12318840579710155</v>
      </c>
      <c r="BB67" s="19">
        <f t="shared" ref="BB67" si="1507">+BB66/AW66-1</f>
        <v>0.15107913669064743</v>
      </c>
      <c r="BC67" s="19">
        <f t="shared" ref="BC67" si="1508">+BC66/AX66-1</f>
        <v>0.21428571428571419</v>
      </c>
      <c r="BD67" s="259">
        <f t="shared" ref="BD67" si="1509">+BD66/AY66-1</f>
        <v>0.15471083161656174</v>
      </c>
      <c r="BE67" s="19">
        <f t="shared" ref="BE67" si="1510">+BE66/AZ66-1</f>
        <v>0.16666666666666674</v>
      </c>
      <c r="BF67" s="19">
        <f t="shared" ref="BF67" si="1511">+BF66/BA66-1</f>
        <v>0.19354838709677424</v>
      </c>
      <c r="BG67" s="19">
        <f t="shared" ref="BG67" si="1512">+BG66/BB66-1</f>
        <v>0.1875</v>
      </c>
      <c r="BH67" s="19">
        <f t="shared" ref="BH67" si="1513">+BH66/BC66-1</f>
        <v>0.17647058823529416</v>
      </c>
      <c r="BI67" s="259">
        <f t="shared" ref="BI67" si="1514">+BI66/BD66-1</f>
        <v>0.17792353098546521</v>
      </c>
      <c r="BJ67" s="19">
        <f t="shared" ref="BJ67" si="1515">+BJ66/BE66-1</f>
        <v>0.17142857142857149</v>
      </c>
      <c r="BK67" s="19">
        <f t="shared" ref="BK67" si="1516">+BK66/BF66-1</f>
        <v>0.12432432432432439</v>
      </c>
      <c r="BL67" s="19">
        <f t="shared" ref="BL67" si="1517">+BL66/BG66-1</f>
        <v>0.11052631578947358</v>
      </c>
      <c r="BM67" s="19">
        <f t="shared" ref="BM67" si="1518">+BM66/BH66-1</f>
        <v>7.0000000000000062E-2</v>
      </c>
      <c r="BN67" s="259">
        <f t="shared" ref="BN67" si="1519">+BN66/BI66-1</f>
        <v>0.11254255615736142</v>
      </c>
      <c r="BO67" s="19">
        <f t="shared" ref="BO67" si="1520">+BO66/BJ66-1</f>
        <v>4.8780487804878092E-2</v>
      </c>
      <c r="BP67" s="19">
        <f t="shared" ref="BP67" si="1521">+BP66/BK66-1</f>
        <v>4.8076923076923128E-2</v>
      </c>
      <c r="BQ67" s="19">
        <f t="shared" ref="BQ67" si="1522">+BQ66/BL66-1</f>
        <v>4.7393364928909998E-2</v>
      </c>
      <c r="BR67" s="19">
        <f t="shared" ref="BR67" si="1523">+BR66/BM66-1</f>
        <v>4.6728971962616717E-2</v>
      </c>
      <c r="BS67" s="259">
        <f t="shared" ref="BS67" si="1524">+BS66/BN66-1</f>
        <v>4.8102358301363113E-2</v>
      </c>
      <c r="BT67" s="19">
        <f t="shared" ref="BT67" si="1525">+BT66/BO66-1</f>
        <v>4.6511627906976827E-2</v>
      </c>
      <c r="BU67" s="19">
        <f t="shared" ref="BU67" si="1526">+BU66/BP66-1</f>
        <v>4.587155963302747E-2</v>
      </c>
      <c r="BV67" s="19">
        <f t="shared" ref="BV67" si="1527">+BV66/BQ66-1</f>
        <v>4.5248868778280604E-2</v>
      </c>
      <c r="BW67" s="19">
        <f t="shared" ref="BW67" si="1528">+BW66/BR66-1</f>
        <v>4.4642857142857206E-2</v>
      </c>
      <c r="BX67" s="259">
        <f t="shared" ref="BX67" si="1529">+BX66/BS66-1</f>
        <v>4.5475506161525292E-2</v>
      </c>
      <c r="BY67" s="19">
        <f t="shared" ref="BY67" si="1530">+BY66/BT66-1</f>
        <v>2.2222222222222143E-2</v>
      </c>
      <c r="BZ67" s="19">
        <f t="shared" ref="BZ67" si="1531">+BZ66/BU66-1</f>
        <v>2.1929824561403466E-2</v>
      </c>
      <c r="CA67" s="19">
        <f t="shared" ref="CA67" si="1532">+CA66/BV66-1</f>
        <v>2.1645021645021689E-2</v>
      </c>
      <c r="CB67" s="19">
        <f t="shared" ref="CB67" si="1533">+CB66/BW66-1</f>
        <v>2.1367521367521292E-2</v>
      </c>
      <c r="CC67" s="259">
        <f t="shared" ref="CC67" si="1534">+CC66/BX66-1</f>
        <v>2.1731052174493115E-2</v>
      </c>
      <c r="CD67" s="19">
        <f t="shared" ref="CD67" si="1535">+CD66/BY66-1</f>
        <v>2.1739130434782705E-2</v>
      </c>
      <c r="CE67" s="19">
        <f t="shared" ref="CE67" si="1536">+CE66/BZ66-1</f>
        <v>2.1459227467811148E-2</v>
      </c>
      <c r="CF67" s="19">
        <f t="shared" ref="CF67" si="1537">+CF66/CA66-1</f>
        <v>2.1186440677966045E-2</v>
      </c>
      <c r="CG67" s="19">
        <f t="shared" ref="CG67" si="1538">+CG66/CB66-1</f>
        <v>2.0920502092050208E-2</v>
      </c>
      <c r="CH67" s="259">
        <f t="shared" ref="CH67" si="1539">+CH66/CC66-1</f>
        <v>2.1283591100063504E-2</v>
      </c>
      <c r="CI67" s="19">
        <f t="shared" ref="CI67" si="1540">+CI66/CD66-1</f>
        <v>2.1276595744680771E-2</v>
      </c>
      <c r="CJ67" s="19">
        <f t="shared" ref="CJ67" si="1541">+CJ66/CE66-1</f>
        <v>2.1008403361344463E-2</v>
      </c>
      <c r="CK67" s="19">
        <f t="shared" ref="CK67" si="1542">+CK66/CF66-1</f>
        <v>2.0746887966804906E-2</v>
      </c>
      <c r="CL67" s="19">
        <f t="shared" ref="CL67" si="1543">+CL66/CG66-1</f>
        <v>2.0491803278688492E-2</v>
      </c>
      <c r="CM67" s="259">
        <f t="shared" ref="CM67" si="1544">+CM66/CH66-1</f>
        <v>2.0842891808225961E-2</v>
      </c>
    </row>
    <row r="68" spans="1:91">
      <c r="A68" s="161" t="s">
        <v>292</v>
      </c>
      <c r="B68" s="232" t="s">
        <v>294</v>
      </c>
      <c r="C68" s="232" t="s">
        <v>294</v>
      </c>
      <c r="D68" s="232" t="s">
        <v>294</v>
      </c>
      <c r="E68" s="232" t="s">
        <v>294</v>
      </c>
      <c r="F68" s="239" t="s">
        <v>294</v>
      </c>
      <c r="G68" s="158" t="s">
        <v>294</v>
      </c>
      <c r="H68" s="158" t="s">
        <v>294</v>
      </c>
      <c r="I68" s="158" t="s">
        <v>294</v>
      </c>
      <c r="J68" s="158" t="s">
        <v>294</v>
      </c>
      <c r="K68" s="250" t="s">
        <v>294</v>
      </c>
      <c r="L68" s="158" t="s">
        <v>294</v>
      </c>
      <c r="M68" s="158" t="s">
        <v>294</v>
      </c>
      <c r="N68" s="158" t="s">
        <v>294</v>
      </c>
      <c r="O68" s="158" t="s">
        <v>294</v>
      </c>
      <c r="P68" s="250" t="s">
        <v>294</v>
      </c>
      <c r="Q68" s="158" t="s">
        <v>294</v>
      </c>
      <c r="R68" s="158" t="s">
        <v>294</v>
      </c>
      <c r="S68" s="158" t="s">
        <v>294</v>
      </c>
      <c r="T68" s="158" t="s">
        <v>294</v>
      </c>
      <c r="U68" s="250" t="s">
        <v>294</v>
      </c>
      <c r="V68" s="158" t="s">
        <v>294</v>
      </c>
      <c r="W68" s="158" t="s">
        <v>294</v>
      </c>
      <c r="X68" s="158" t="s">
        <v>294</v>
      </c>
      <c r="Y68" s="158" t="s">
        <v>294</v>
      </c>
      <c r="Z68" s="250" t="s">
        <v>294</v>
      </c>
      <c r="AA68" s="158" t="s">
        <v>294</v>
      </c>
      <c r="AB68" s="158" t="s">
        <v>294</v>
      </c>
      <c r="AC68" s="19">
        <f t="shared" ref="AC68" si="1545">+AC66/AB66-1</f>
        <v>-5.8823529411764719E-2</v>
      </c>
      <c r="AD68" s="19">
        <f t="shared" ref="AD68" si="1546">+AD66/AC66-1</f>
        <v>0.21875</v>
      </c>
      <c r="AE68" s="251" t="s">
        <v>294</v>
      </c>
      <c r="AF68" s="19">
        <f>+AF66/AD66-1</f>
        <v>0.10256410256410264</v>
      </c>
      <c r="AG68" s="19">
        <f>+AG66/AF66-1</f>
        <v>5.3488372093023262E-2</v>
      </c>
      <c r="AH68" s="19">
        <f t="shared" ref="AH68" si="1547">+AH66/AG66-1</f>
        <v>-6.6225165562914245E-3</v>
      </c>
      <c r="AI68" s="19">
        <f t="shared" ref="AI68" si="1548">+AI66/AH66-1</f>
        <v>2.2222222222222143E-2</v>
      </c>
      <c r="AJ68" s="251" t="s">
        <v>294</v>
      </c>
      <c r="AK68" s="19">
        <f>+AK66/AI66-1</f>
        <v>8.6956521739130377E-2</v>
      </c>
      <c r="AL68" s="19">
        <f>+AL66/AK66-1</f>
        <v>0</v>
      </c>
      <c r="AM68" s="19">
        <f t="shared" ref="AM68" si="1549">+AM66/AL66-1</f>
        <v>0</v>
      </c>
      <c r="AN68" s="19">
        <f t="shared" ref="AN68" si="1550">+AN66/AM66-1</f>
        <v>0</v>
      </c>
      <c r="AO68" s="251" t="s">
        <v>294</v>
      </c>
      <c r="AP68" s="19">
        <f>+AP66/AN66-1</f>
        <v>0.18999999999999995</v>
      </c>
      <c r="AQ68" s="19">
        <f>+AQ66/AP66-1</f>
        <v>6.7226890756302504E-2</v>
      </c>
      <c r="AR68" s="19">
        <f t="shared" ref="AR68" si="1551">+AR66/AQ66-1</f>
        <v>2.3622047244094446E-2</v>
      </c>
      <c r="AS68" s="19">
        <f t="shared" ref="AS68" si="1552">+AS66/AR66-1</f>
        <v>0</v>
      </c>
      <c r="AT68" s="251" t="s">
        <v>294</v>
      </c>
      <c r="AU68" s="379">
        <f>+AU66/AS66-1</f>
        <v>4.6153846153846212E-2</v>
      </c>
      <c r="AV68" s="19">
        <f>+AV66/AU66-1</f>
        <v>1.4705882352941124E-2</v>
      </c>
      <c r="AW68" s="19">
        <f t="shared" ref="AW68" si="1553">+AW66/AV66-1</f>
        <v>7.2463768115942351E-3</v>
      </c>
      <c r="AX68" s="19">
        <f t="shared" ref="AX68" si="1554">+AX66/AW66-1</f>
        <v>7.194244604316502E-3</v>
      </c>
      <c r="AY68" s="251" t="s">
        <v>294</v>
      </c>
      <c r="AZ68" s="19">
        <f>+AZ66/AX66-1</f>
        <v>7.1428571428571397E-2</v>
      </c>
      <c r="BA68" s="19">
        <f>+BA66/AZ66-1</f>
        <v>3.3333333333333437E-2</v>
      </c>
      <c r="BB68" s="19">
        <f t="shared" ref="BB68" si="1555">+BB66/BA66-1</f>
        <v>3.2258064516129004E-2</v>
      </c>
      <c r="BC68" s="19">
        <f t="shared" ref="BC68" si="1556">+BC66/BB66-1</f>
        <v>6.25E-2</v>
      </c>
      <c r="BD68" s="251" t="s">
        <v>294</v>
      </c>
      <c r="BE68" s="19">
        <f>+BE66/BC66-1</f>
        <v>2.9411764705882248E-2</v>
      </c>
      <c r="BF68" s="19">
        <f>+BF66/BE66-1</f>
        <v>5.7142857142857162E-2</v>
      </c>
      <c r="BG68" s="19">
        <f t="shared" ref="BG68" si="1557">+BG66/BF66-1</f>
        <v>2.7027027027026973E-2</v>
      </c>
      <c r="BH68" s="19">
        <f t="shared" ref="BH68" si="1558">+BH66/BG66-1</f>
        <v>5.2631578947368363E-2</v>
      </c>
      <c r="BI68" s="251" t="s">
        <v>294</v>
      </c>
      <c r="BJ68" s="19">
        <f>+BJ66/BH66-1</f>
        <v>2.4999999999999911E-2</v>
      </c>
      <c r="BK68" s="19">
        <f>+BK66/BJ66-1</f>
        <v>1.4634146341463428E-2</v>
      </c>
      <c r="BL68" s="19">
        <f t="shared" ref="BL68" si="1559">+BL66/BK66-1</f>
        <v>1.4423076923076872E-2</v>
      </c>
      <c r="BM68" s="19">
        <f t="shared" ref="BM68" si="1560">+BM66/BL66-1</f>
        <v>1.4218009478673022E-2</v>
      </c>
      <c r="BN68" s="251" t="s">
        <v>294</v>
      </c>
      <c r="BO68" s="19">
        <f>+BO66/BM66-1</f>
        <v>4.6728971962617383E-3</v>
      </c>
      <c r="BP68" s="19">
        <f>+BP66/BO66-1</f>
        <v>1.3953488372093092E-2</v>
      </c>
      <c r="BQ68" s="19">
        <f t="shared" ref="BQ68" si="1561">+BQ66/BP66-1</f>
        <v>1.3761467889908285E-2</v>
      </c>
      <c r="BR68" s="19">
        <f t="shared" ref="BR68" si="1562">+BR66/BQ66-1</f>
        <v>1.3574660633484115E-2</v>
      </c>
      <c r="BS68" s="251" t="s">
        <v>294</v>
      </c>
      <c r="BT68" s="19">
        <f>+BT66/BR66-1</f>
        <v>4.4642857142858094E-3</v>
      </c>
      <c r="BU68" s="19">
        <f>+BU66/BT66-1</f>
        <v>1.3333333333333419E-2</v>
      </c>
      <c r="BV68" s="19">
        <f t="shared" ref="BV68" si="1563">+BV66/BU66-1</f>
        <v>1.3157894736842035E-2</v>
      </c>
      <c r="BW68" s="19">
        <f t="shared" ref="BW68" si="1564">+BW66/BV66-1</f>
        <v>1.298701298701288E-2</v>
      </c>
      <c r="BX68" s="251" t="s">
        <v>294</v>
      </c>
      <c r="BY68" s="19">
        <f>+BY66/BW66-1</f>
        <v>-1.7094017094017144E-2</v>
      </c>
      <c r="BZ68" s="19">
        <f>+BZ66/BY66-1</f>
        <v>1.304347826086949E-2</v>
      </c>
      <c r="CA68" s="19">
        <f t="shared" ref="CA68" si="1565">+CA66/BZ66-1</f>
        <v>1.2875536480686733E-2</v>
      </c>
      <c r="CB68" s="19">
        <f t="shared" ref="CB68" si="1566">+CB66/CA66-1</f>
        <v>1.2711864406779627E-2</v>
      </c>
      <c r="CC68" s="251" t="s">
        <v>294</v>
      </c>
      <c r="CD68" s="19">
        <f>+CD66/CB66-1</f>
        <v>-1.6736401673640211E-2</v>
      </c>
      <c r="CE68" s="19">
        <f>+CE66/CD66-1</f>
        <v>1.2765957446808418E-2</v>
      </c>
      <c r="CF68" s="19">
        <f t="shared" ref="CF68" si="1567">+CF66/CE66-1</f>
        <v>1.2605042016806678E-2</v>
      </c>
      <c r="CG68" s="19">
        <f t="shared" ref="CG68" si="1568">+CG66/CF66-1</f>
        <v>1.2448132780082943E-2</v>
      </c>
      <c r="CH68" s="251" t="s">
        <v>294</v>
      </c>
      <c r="CI68" s="19">
        <f>+CI66/CG66-1</f>
        <v>-1.6393442622950838E-2</v>
      </c>
      <c r="CJ68" s="19">
        <f>+CJ66/CI66-1</f>
        <v>1.2499999999999956E-2</v>
      </c>
      <c r="CK68" s="19">
        <f t="shared" ref="CK68" si="1569">+CK66/CJ66-1</f>
        <v>1.2345679012345734E-2</v>
      </c>
      <c r="CL68" s="19">
        <f t="shared" ref="CL68" si="1570">+CL66/CK66-1</f>
        <v>1.2195121951219523E-2</v>
      </c>
      <c r="CM68" s="251" t="s">
        <v>294</v>
      </c>
    </row>
    <row r="69" spans="1:91" s="42" customFormat="1">
      <c r="A69" s="162" t="s">
        <v>364</v>
      </c>
      <c r="B69" s="232" t="s">
        <v>294</v>
      </c>
      <c r="C69" s="232" t="s">
        <v>294</v>
      </c>
      <c r="D69" s="232" t="s">
        <v>294</v>
      </c>
      <c r="E69" s="232" t="s">
        <v>294</v>
      </c>
      <c r="F69" s="239" t="s">
        <v>294</v>
      </c>
      <c r="G69" s="169" t="str">
        <f>+G164</f>
        <v xml:space="preserve">-- </v>
      </c>
      <c r="H69" s="169" t="str">
        <f t="shared" ref="H69:BS69" si="1571">+H164</f>
        <v xml:space="preserve">-- </v>
      </c>
      <c r="I69" s="169" t="str">
        <f t="shared" si="1571"/>
        <v xml:space="preserve">-- </v>
      </c>
      <c r="J69" s="169" t="str">
        <f t="shared" si="1571"/>
        <v xml:space="preserve">-- </v>
      </c>
      <c r="K69" s="255" t="str">
        <f t="shared" si="1571"/>
        <v xml:space="preserve">-- </v>
      </c>
      <c r="L69" s="169" t="str">
        <f t="shared" si="1571"/>
        <v xml:space="preserve">-- </v>
      </c>
      <c r="M69" s="169" t="str">
        <f t="shared" si="1571"/>
        <v xml:space="preserve">-- </v>
      </c>
      <c r="N69" s="169" t="str">
        <f t="shared" si="1571"/>
        <v xml:space="preserve">-- </v>
      </c>
      <c r="O69" s="169" t="str">
        <f t="shared" si="1571"/>
        <v xml:space="preserve">-- </v>
      </c>
      <c r="P69" s="255" t="str">
        <f t="shared" si="1571"/>
        <v xml:space="preserve">-- </v>
      </c>
      <c r="Q69" s="169">
        <f t="shared" si="1571"/>
        <v>0</v>
      </c>
      <c r="R69" s="169">
        <f t="shared" si="1571"/>
        <v>0</v>
      </c>
      <c r="S69" s="169">
        <f t="shared" si="1571"/>
        <v>0</v>
      </c>
      <c r="T69" s="169">
        <f t="shared" si="1571"/>
        <v>0</v>
      </c>
      <c r="U69" s="250" t="s">
        <v>294</v>
      </c>
      <c r="V69" s="169">
        <f t="shared" si="1571"/>
        <v>0</v>
      </c>
      <c r="W69" s="169">
        <f t="shared" si="1571"/>
        <v>0</v>
      </c>
      <c r="X69" s="169">
        <f t="shared" si="1571"/>
        <v>0</v>
      </c>
      <c r="Y69" s="169">
        <f t="shared" si="1571"/>
        <v>0</v>
      </c>
      <c r="Z69" s="250" t="s">
        <v>294</v>
      </c>
      <c r="AA69" s="169">
        <f t="shared" si="1571"/>
        <v>0</v>
      </c>
      <c r="AB69" s="169">
        <f t="shared" si="1571"/>
        <v>0</v>
      </c>
      <c r="AC69" s="169">
        <f t="shared" si="1571"/>
        <v>0</v>
      </c>
      <c r="AD69" s="169">
        <f t="shared" si="1571"/>
        <v>475</v>
      </c>
      <c r="AE69" s="255">
        <f t="shared" si="1571"/>
        <v>475</v>
      </c>
      <c r="AF69" s="169">
        <f t="shared" si="1571"/>
        <v>775</v>
      </c>
      <c r="AG69" s="169">
        <f t="shared" si="1571"/>
        <v>815</v>
      </c>
      <c r="AH69" s="169">
        <f t="shared" si="1571"/>
        <v>840</v>
      </c>
      <c r="AI69" s="169">
        <f t="shared" si="1571"/>
        <v>850</v>
      </c>
      <c r="AJ69" s="255">
        <f t="shared" si="1571"/>
        <v>825.64851881505217</v>
      </c>
      <c r="AK69" s="169">
        <f t="shared" si="1571"/>
        <v>885</v>
      </c>
      <c r="AL69" s="169">
        <f t="shared" si="1571"/>
        <v>900</v>
      </c>
      <c r="AM69" s="169">
        <f>+AM164</f>
        <v>900</v>
      </c>
      <c r="AN69" s="169">
        <f t="shared" si="1571"/>
        <v>885</v>
      </c>
      <c r="AO69" s="255">
        <f t="shared" si="1571"/>
        <v>892.21198754540728</v>
      </c>
      <c r="AP69" s="169">
        <f t="shared" si="1571"/>
        <v>900</v>
      </c>
      <c r="AQ69" s="169">
        <f t="shared" si="1571"/>
        <v>902</v>
      </c>
      <c r="AR69" s="169">
        <f t="shared" si="1571"/>
        <v>925</v>
      </c>
      <c r="AS69" s="169">
        <f t="shared" si="1571"/>
        <v>925</v>
      </c>
      <c r="AT69" s="255">
        <f t="shared" si="1571"/>
        <v>915.57256191950455</v>
      </c>
      <c r="AU69" s="390">
        <f t="shared" si="1571"/>
        <v>975</v>
      </c>
      <c r="AV69" s="169">
        <f t="shared" si="1571"/>
        <v>975</v>
      </c>
      <c r="AW69" s="169">
        <f t="shared" si="1571"/>
        <v>975</v>
      </c>
      <c r="AX69" s="169">
        <f t="shared" si="1571"/>
        <v>975</v>
      </c>
      <c r="AY69" s="255">
        <f t="shared" si="1571"/>
        <v>975</v>
      </c>
      <c r="AZ69" s="169">
        <f t="shared" si="1571"/>
        <v>1000</v>
      </c>
      <c r="BA69" s="169">
        <f t="shared" si="1571"/>
        <v>1000</v>
      </c>
      <c r="BB69" s="169">
        <f t="shared" si="1571"/>
        <v>1000</v>
      </c>
      <c r="BC69" s="169">
        <f t="shared" si="1571"/>
        <v>1000</v>
      </c>
      <c r="BD69" s="255">
        <f t="shared" si="1571"/>
        <v>1000</v>
      </c>
      <c r="BE69" s="169">
        <f t="shared" si="1571"/>
        <v>1025</v>
      </c>
      <c r="BF69" s="169">
        <f t="shared" si="1571"/>
        <v>1025</v>
      </c>
      <c r="BG69" s="169">
        <f t="shared" si="1571"/>
        <v>1025</v>
      </c>
      <c r="BH69" s="169">
        <f t="shared" si="1571"/>
        <v>1025</v>
      </c>
      <c r="BI69" s="255">
        <f t="shared" si="1571"/>
        <v>1025</v>
      </c>
      <c r="BJ69" s="169">
        <f t="shared" si="1571"/>
        <v>1030</v>
      </c>
      <c r="BK69" s="169">
        <f t="shared" si="1571"/>
        <v>1030</v>
      </c>
      <c r="BL69" s="169">
        <f t="shared" si="1571"/>
        <v>1030</v>
      </c>
      <c r="BM69" s="169">
        <f t="shared" si="1571"/>
        <v>1030</v>
      </c>
      <c r="BN69" s="255">
        <f t="shared" si="1571"/>
        <v>1029.9999999999998</v>
      </c>
      <c r="BO69" s="169">
        <f t="shared" si="1571"/>
        <v>1035</v>
      </c>
      <c r="BP69" s="169">
        <f t="shared" si="1571"/>
        <v>1035</v>
      </c>
      <c r="BQ69" s="169">
        <f t="shared" si="1571"/>
        <v>1035</v>
      </c>
      <c r="BR69" s="169">
        <f t="shared" si="1571"/>
        <v>1035</v>
      </c>
      <c r="BS69" s="255">
        <f t="shared" si="1571"/>
        <v>1035</v>
      </c>
      <c r="BT69" s="169">
        <f t="shared" ref="BT69:CM69" si="1572">+BT164</f>
        <v>1040</v>
      </c>
      <c r="BU69" s="169">
        <f t="shared" si="1572"/>
        <v>1040</v>
      </c>
      <c r="BV69" s="169">
        <f t="shared" si="1572"/>
        <v>1040</v>
      </c>
      <c r="BW69" s="169">
        <f t="shared" si="1572"/>
        <v>1040</v>
      </c>
      <c r="BX69" s="255">
        <f t="shared" si="1572"/>
        <v>1040.0000000000002</v>
      </c>
      <c r="BY69" s="169">
        <f t="shared" si="1572"/>
        <v>1045</v>
      </c>
      <c r="BZ69" s="169">
        <f t="shared" si="1572"/>
        <v>1045</v>
      </c>
      <c r="CA69" s="169">
        <f t="shared" si="1572"/>
        <v>1045</v>
      </c>
      <c r="CB69" s="169">
        <f t="shared" si="1572"/>
        <v>1045</v>
      </c>
      <c r="CC69" s="255">
        <f t="shared" si="1572"/>
        <v>1045</v>
      </c>
      <c r="CD69" s="169">
        <f t="shared" si="1572"/>
        <v>1050</v>
      </c>
      <c r="CE69" s="169">
        <f t="shared" si="1572"/>
        <v>1050</v>
      </c>
      <c r="CF69" s="169">
        <f t="shared" si="1572"/>
        <v>1050</v>
      </c>
      <c r="CG69" s="169">
        <f t="shared" si="1572"/>
        <v>1050</v>
      </c>
      <c r="CH69" s="255">
        <f t="shared" si="1572"/>
        <v>1050</v>
      </c>
      <c r="CI69" s="169">
        <f t="shared" si="1572"/>
        <v>1055</v>
      </c>
      <c r="CJ69" s="169">
        <f t="shared" si="1572"/>
        <v>1055</v>
      </c>
      <c r="CK69" s="169">
        <f t="shared" si="1572"/>
        <v>1055</v>
      </c>
      <c r="CL69" s="169">
        <f t="shared" si="1572"/>
        <v>1055</v>
      </c>
      <c r="CM69" s="255">
        <f t="shared" si="1572"/>
        <v>1055</v>
      </c>
    </row>
    <row r="70" spans="1:91">
      <c r="A70" s="161" t="s">
        <v>291</v>
      </c>
      <c r="B70" s="232" t="s">
        <v>294</v>
      </c>
      <c r="C70" s="232" t="s">
        <v>294</v>
      </c>
      <c r="D70" s="232" t="s">
        <v>294</v>
      </c>
      <c r="E70" s="232" t="s">
        <v>294</v>
      </c>
      <c r="F70" s="239" t="s">
        <v>294</v>
      </c>
      <c r="G70" s="158" t="s">
        <v>294</v>
      </c>
      <c r="H70" s="158" t="s">
        <v>294</v>
      </c>
      <c r="I70" s="158" t="s">
        <v>294</v>
      </c>
      <c r="J70" s="158" t="s">
        <v>294</v>
      </c>
      <c r="K70" s="250" t="s">
        <v>294</v>
      </c>
      <c r="L70" s="158" t="s">
        <v>294</v>
      </c>
      <c r="M70" s="158" t="s">
        <v>294</v>
      </c>
      <c r="N70" s="158" t="s">
        <v>294</v>
      </c>
      <c r="O70" s="158" t="s">
        <v>294</v>
      </c>
      <c r="P70" s="250" t="s">
        <v>294</v>
      </c>
      <c r="Q70" s="158" t="s">
        <v>294</v>
      </c>
      <c r="R70" s="158" t="s">
        <v>294</v>
      </c>
      <c r="S70" s="158" t="s">
        <v>294</v>
      </c>
      <c r="T70" s="158" t="s">
        <v>294</v>
      </c>
      <c r="U70" s="250" t="s">
        <v>294</v>
      </c>
      <c r="V70" s="158" t="s">
        <v>294</v>
      </c>
      <c r="W70" s="158" t="s">
        <v>294</v>
      </c>
      <c r="X70" s="158" t="s">
        <v>294</v>
      </c>
      <c r="Y70" s="158" t="s">
        <v>294</v>
      </c>
      <c r="Z70" s="250" t="s">
        <v>294</v>
      </c>
      <c r="AA70" s="158" t="s">
        <v>294</v>
      </c>
      <c r="AB70" s="158" t="s">
        <v>294</v>
      </c>
      <c r="AC70" s="158" t="s">
        <v>294</v>
      </c>
      <c r="AD70" s="158" t="s">
        <v>294</v>
      </c>
      <c r="AE70" s="250" t="s">
        <v>294</v>
      </c>
      <c r="AF70" s="158" t="s">
        <v>294</v>
      </c>
      <c r="AG70" s="158" t="s">
        <v>294</v>
      </c>
      <c r="AH70" s="158" t="s">
        <v>294</v>
      </c>
      <c r="AI70" s="158" t="s">
        <v>294</v>
      </c>
      <c r="AJ70" s="250" t="s">
        <v>294</v>
      </c>
      <c r="AK70" s="158" t="s">
        <v>294</v>
      </c>
      <c r="AL70" s="158" t="s">
        <v>294</v>
      </c>
      <c r="AM70" s="158" t="s">
        <v>294</v>
      </c>
      <c r="AN70" s="19">
        <f t="shared" ref="AN70" si="1573">+AN69/AI69-1</f>
        <v>4.117647058823537E-2</v>
      </c>
      <c r="AO70" s="259">
        <f t="shared" ref="AO70" si="1574">+AO69/AJ69-1</f>
        <v>8.0619618655508818E-2</v>
      </c>
      <c r="AP70" s="19">
        <f t="shared" ref="AP70" si="1575">+AP69/AK69-1</f>
        <v>1.6949152542372836E-2</v>
      </c>
      <c r="AQ70" s="158">
        <f t="shared" ref="AQ70" si="1576">+AQ69/AL69-1</f>
        <v>2.2222222222221255E-3</v>
      </c>
      <c r="AR70" s="158">
        <f t="shared" ref="AR70" si="1577">+AR69/AM69-1</f>
        <v>2.7777777777777679E-2</v>
      </c>
      <c r="AS70" s="19">
        <f t="shared" ref="AS70" si="1578">+AS69/AN69-1</f>
        <v>4.5197740112994378E-2</v>
      </c>
      <c r="AT70" s="259">
        <f t="shared" ref="AT70" si="1579">+AT69/AO69-1</f>
        <v>2.6182762280929861E-2</v>
      </c>
      <c r="AU70" s="379">
        <f t="shared" ref="AU70" si="1580">+AU69/AP69-1</f>
        <v>8.3333333333333259E-2</v>
      </c>
      <c r="AV70" s="19">
        <f t="shared" ref="AV70" si="1581">+AV69/AQ69-1</f>
        <v>8.0931263858093017E-2</v>
      </c>
      <c r="AW70" s="19">
        <f t="shared" ref="AW70" si="1582">+AW69/AR69-1</f>
        <v>5.4054054054053946E-2</v>
      </c>
      <c r="AX70" s="19">
        <f t="shared" ref="AX70" si="1583">+AX69/AS69-1</f>
        <v>5.4054054054053946E-2</v>
      </c>
      <c r="AY70" s="259">
        <f t="shared" ref="AY70" si="1584">+AY69/AT69-1</f>
        <v>6.4907403904618244E-2</v>
      </c>
      <c r="AZ70" s="19">
        <f t="shared" ref="AZ70" si="1585">+AZ69/AU69-1</f>
        <v>2.564102564102555E-2</v>
      </c>
      <c r="BA70" s="19">
        <f t="shared" ref="BA70" si="1586">+BA69/AV69-1</f>
        <v>2.564102564102555E-2</v>
      </c>
      <c r="BB70" s="19">
        <f t="shared" ref="BB70" si="1587">+BB69/AW69-1</f>
        <v>2.564102564102555E-2</v>
      </c>
      <c r="BC70" s="19">
        <f t="shared" ref="BC70" si="1588">+BC69/AX69-1</f>
        <v>2.564102564102555E-2</v>
      </c>
      <c r="BD70" s="259">
        <f t="shared" ref="BD70" si="1589">+BD69/AY69-1</f>
        <v>2.564102564102555E-2</v>
      </c>
      <c r="BE70" s="19">
        <f t="shared" ref="BE70" si="1590">+BE69/AZ69-1</f>
        <v>2.4999999999999911E-2</v>
      </c>
      <c r="BF70" s="19">
        <f t="shared" ref="BF70" si="1591">+BF69/BA69-1</f>
        <v>2.4999999999999911E-2</v>
      </c>
      <c r="BG70" s="19">
        <f t="shared" ref="BG70" si="1592">+BG69/BB69-1</f>
        <v>2.4999999999999911E-2</v>
      </c>
      <c r="BH70" s="19">
        <f t="shared" ref="BH70" si="1593">+BH69/BC69-1</f>
        <v>2.4999999999999911E-2</v>
      </c>
      <c r="BI70" s="259">
        <f t="shared" ref="BI70" si="1594">+BI69/BD69-1</f>
        <v>2.4999999999999911E-2</v>
      </c>
      <c r="BJ70" s="19">
        <f t="shared" ref="BJ70" si="1595">+BJ69/BE69-1</f>
        <v>4.8780487804878092E-3</v>
      </c>
      <c r="BK70" s="19">
        <f t="shared" ref="BK70" si="1596">+BK69/BF69-1</f>
        <v>4.8780487804878092E-3</v>
      </c>
      <c r="BL70" s="19">
        <f t="shared" ref="BL70" si="1597">+BL69/BG69-1</f>
        <v>4.8780487804878092E-3</v>
      </c>
      <c r="BM70" s="19">
        <f t="shared" ref="BM70" si="1598">+BM69/BH69-1</f>
        <v>4.8780487804878092E-3</v>
      </c>
      <c r="BN70" s="259">
        <f t="shared" ref="BN70" si="1599">+BN69/BI69-1</f>
        <v>4.8780487804875872E-3</v>
      </c>
      <c r="BO70" s="19">
        <f t="shared" ref="BO70" si="1600">+BO69/BJ69-1</f>
        <v>4.8543689320388328E-3</v>
      </c>
      <c r="BP70" s="19">
        <f t="shared" ref="BP70" si="1601">+BP69/BK69-1</f>
        <v>4.8543689320388328E-3</v>
      </c>
      <c r="BQ70" s="19">
        <f t="shared" ref="BQ70" si="1602">+BQ69/BL69-1</f>
        <v>4.8543689320388328E-3</v>
      </c>
      <c r="BR70" s="19">
        <f t="shared" ref="BR70" si="1603">+BR69/BM69-1</f>
        <v>4.8543689320388328E-3</v>
      </c>
      <c r="BS70" s="259">
        <f t="shared" ref="BS70" si="1604">+BS69/BN69-1</f>
        <v>4.8543689320390548E-3</v>
      </c>
      <c r="BT70" s="19">
        <f t="shared" ref="BT70" si="1605">+BT69/BO69-1</f>
        <v>4.8309178743961567E-3</v>
      </c>
      <c r="BU70" s="19">
        <f t="shared" ref="BU70" si="1606">+BU69/BP69-1</f>
        <v>4.8309178743961567E-3</v>
      </c>
      <c r="BV70" s="19">
        <f t="shared" ref="BV70" si="1607">+BV69/BQ69-1</f>
        <v>4.8309178743961567E-3</v>
      </c>
      <c r="BW70" s="19">
        <f t="shared" ref="BW70" si="1608">+BW69/BR69-1</f>
        <v>4.8309178743961567E-3</v>
      </c>
      <c r="BX70" s="259">
        <f t="shared" ref="BX70" si="1609">+BX69/BS69-1</f>
        <v>4.8309178743963788E-3</v>
      </c>
      <c r="BY70" s="19">
        <f t="shared" ref="BY70" si="1610">+BY69/BT69-1</f>
        <v>4.8076923076922906E-3</v>
      </c>
      <c r="BZ70" s="19">
        <f t="shared" ref="BZ70" si="1611">+BZ69/BU69-1</f>
        <v>4.8076923076922906E-3</v>
      </c>
      <c r="CA70" s="19">
        <f t="shared" ref="CA70" si="1612">+CA69/BV69-1</f>
        <v>4.8076923076922906E-3</v>
      </c>
      <c r="CB70" s="19">
        <f t="shared" ref="CB70" si="1613">+CB69/BW69-1</f>
        <v>4.8076923076922906E-3</v>
      </c>
      <c r="CC70" s="259">
        <f t="shared" ref="CC70" si="1614">+CC69/BX69-1</f>
        <v>4.8076923076920686E-3</v>
      </c>
      <c r="CD70" s="19">
        <f t="shared" ref="CD70" si="1615">+CD69/BY69-1</f>
        <v>4.7846889952152249E-3</v>
      </c>
      <c r="CE70" s="19">
        <f t="shared" ref="CE70" si="1616">+CE69/BZ69-1</f>
        <v>4.7846889952152249E-3</v>
      </c>
      <c r="CF70" s="19">
        <f t="shared" ref="CF70" si="1617">+CF69/CA69-1</f>
        <v>4.7846889952152249E-3</v>
      </c>
      <c r="CG70" s="19">
        <f t="shared" ref="CG70" si="1618">+CG69/CB69-1</f>
        <v>4.7846889952152249E-3</v>
      </c>
      <c r="CH70" s="259">
        <f t="shared" ref="CH70" si="1619">+CH69/CC69-1</f>
        <v>4.7846889952152249E-3</v>
      </c>
      <c r="CI70" s="19">
        <f t="shared" ref="CI70" si="1620">+CI69/CD69-1</f>
        <v>4.761904761904745E-3</v>
      </c>
      <c r="CJ70" s="19">
        <f t="shared" ref="CJ70" si="1621">+CJ69/CE69-1</f>
        <v>4.761904761904745E-3</v>
      </c>
      <c r="CK70" s="19">
        <f t="shared" ref="CK70" si="1622">+CK69/CF69-1</f>
        <v>4.761904761904745E-3</v>
      </c>
      <c r="CL70" s="19">
        <f t="shared" ref="CL70" si="1623">+CL69/CG69-1</f>
        <v>4.761904761904745E-3</v>
      </c>
      <c r="CM70" s="259">
        <f t="shared" ref="CM70" si="1624">+CM69/CH69-1</f>
        <v>4.761904761904745E-3</v>
      </c>
    </row>
    <row r="71" spans="1:91">
      <c r="A71" s="161" t="s">
        <v>292</v>
      </c>
      <c r="B71" s="232" t="s">
        <v>294</v>
      </c>
      <c r="C71" s="232" t="s">
        <v>294</v>
      </c>
      <c r="D71" s="232" t="s">
        <v>294</v>
      </c>
      <c r="E71" s="232" t="s">
        <v>294</v>
      </c>
      <c r="F71" s="239" t="s">
        <v>294</v>
      </c>
      <c r="G71" s="158" t="s">
        <v>294</v>
      </c>
      <c r="H71" s="158" t="s">
        <v>294</v>
      </c>
      <c r="I71" s="158" t="s">
        <v>294</v>
      </c>
      <c r="J71" s="158" t="s">
        <v>294</v>
      </c>
      <c r="K71" s="250" t="s">
        <v>294</v>
      </c>
      <c r="L71" s="158" t="s">
        <v>294</v>
      </c>
      <c r="M71" s="158" t="s">
        <v>294</v>
      </c>
      <c r="N71" s="158" t="s">
        <v>294</v>
      </c>
      <c r="O71" s="158" t="s">
        <v>294</v>
      </c>
      <c r="P71" s="250" t="s">
        <v>294</v>
      </c>
      <c r="Q71" s="158" t="s">
        <v>294</v>
      </c>
      <c r="R71" s="158" t="s">
        <v>294</v>
      </c>
      <c r="S71" s="158" t="s">
        <v>294</v>
      </c>
      <c r="T71" s="158" t="s">
        <v>294</v>
      </c>
      <c r="U71" s="250" t="s">
        <v>294</v>
      </c>
      <c r="V71" s="158" t="s">
        <v>294</v>
      </c>
      <c r="W71" s="158" t="s">
        <v>294</v>
      </c>
      <c r="X71" s="158" t="s">
        <v>294</v>
      </c>
      <c r="Y71" s="158" t="s">
        <v>294</v>
      </c>
      <c r="Z71" s="250" t="s">
        <v>294</v>
      </c>
      <c r="AA71" s="158" t="s">
        <v>294</v>
      </c>
      <c r="AB71" s="158" t="s">
        <v>294</v>
      </c>
      <c r="AC71" s="158" t="s">
        <v>294</v>
      </c>
      <c r="AD71" s="158" t="s">
        <v>294</v>
      </c>
      <c r="AE71" s="250" t="s">
        <v>294</v>
      </c>
      <c r="AF71" s="158" t="s">
        <v>294</v>
      </c>
      <c r="AG71" s="158" t="s">
        <v>294</v>
      </c>
      <c r="AH71" s="158" t="s">
        <v>294</v>
      </c>
      <c r="AI71" s="158" t="s">
        <v>294</v>
      </c>
      <c r="AJ71" s="250" t="s">
        <v>294</v>
      </c>
      <c r="AK71" s="19">
        <f>+AK69/AI69-1</f>
        <v>4.117647058823537E-2</v>
      </c>
      <c r="AL71" s="19">
        <f>+AL69/AK69-1</f>
        <v>1.6949152542372836E-2</v>
      </c>
      <c r="AM71" s="19">
        <f t="shared" ref="AM71" si="1625">+AM69/AL69-1</f>
        <v>0</v>
      </c>
      <c r="AN71" s="19">
        <f t="shared" ref="AN71" si="1626">+AN69/AM69-1</f>
        <v>-1.6666666666666718E-2</v>
      </c>
      <c r="AO71" s="251" t="s">
        <v>294</v>
      </c>
      <c r="AP71" s="19">
        <f>+AP69/AN69-1</f>
        <v>1.6949152542372836E-2</v>
      </c>
      <c r="AQ71" s="19">
        <f>+AQ69/AP69-1</f>
        <v>2.2222222222221255E-3</v>
      </c>
      <c r="AR71" s="19">
        <f t="shared" ref="AR71" si="1627">+AR69/AQ69-1</f>
        <v>2.5498891352549791E-2</v>
      </c>
      <c r="AS71" s="19">
        <f t="shared" ref="AS71" si="1628">+AS69/AR69-1</f>
        <v>0</v>
      </c>
      <c r="AT71" s="251" t="s">
        <v>294</v>
      </c>
      <c r="AU71" s="379">
        <f>+AU69/AS69-1</f>
        <v>5.4054054054053946E-2</v>
      </c>
      <c r="AV71" s="19">
        <f>+AV69/AU69-1</f>
        <v>0</v>
      </c>
      <c r="AW71" s="19">
        <f t="shared" ref="AW71" si="1629">+AW69/AV69-1</f>
        <v>0</v>
      </c>
      <c r="AX71" s="19">
        <f t="shared" ref="AX71" si="1630">+AX69/AW69-1</f>
        <v>0</v>
      </c>
      <c r="AY71" s="251" t="s">
        <v>294</v>
      </c>
      <c r="AZ71" s="19">
        <f>+AZ69/AX69-1</f>
        <v>2.564102564102555E-2</v>
      </c>
      <c r="BA71" s="19">
        <f>+BA69/AZ69-1</f>
        <v>0</v>
      </c>
      <c r="BB71" s="19">
        <f t="shared" ref="BB71" si="1631">+BB69/BA69-1</f>
        <v>0</v>
      </c>
      <c r="BC71" s="19">
        <f t="shared" ref="BC71" si="1632">+BC69/BB69-1</f>
        <v>0</v>
      </c>
      <c r="BD71" s="251" t="s">
        <v>294</v>
      </c>
      <c r="BE71" s="19">
        <f>+BE69/BC69-1</f>
        <v>2.4999999999999911E-2</v>
      </c>
      <c r="BF71" s="19">
        <f>+BF69/BE69-1</f>
        <v>0</v>
      </c>
      <c r="BG71" s="19">
        <f t="shared" ref="BG71" si="1633">+BG69/BF69-1</f>
        <v>0</v>
      </c>
      <c r="BH71" s="19">
        <f t="shared" ref="BH71" si="1634">+BH69/BG69-1</f>
        <v>0</v>
      </c>
      <c r="BI71" s="251" t="s">
        <v>294</v>
      </c>
      <c r="BJ71" s="19">
        <f>+BJ69/BH69-1</f>
        <v>4.8780487804878092E-3</v>
      </c>
      <c r="BK71" s="19">
        <f>+BK69/BJ69-1</f>
        <v>0</v>
      </c>
      <c r="BL71" s="19">
        <f t="shared" ref="BL71" si="1635">+BL69/BK69-1</f>
        <v>0</v>
      </c>
      <c r="BM71" s="19">
        <f t="shared" ref="BM71" si="1636">+BM69/BL69-1</f>
        <v>0</v>
      </c>
      <c r="BN71" s="251" t="s">
        <v>294</v>
      </c>
      <c r="BO71" s="19">
        <f>+BO69/BM69-1</f>
        <v>4.8543689320388328E-3</v>
      </c>
      <c r="BP71" s="19">
        <f>+BP69/BO69-1</f>
        <v>0</v>
      </c>
      <c r="BQ71" s="19">
        <f t="shared" ref="BQ71" si="1637">+BQ69/BP69-1</f>
        <v>0</v>
      </c>
      <c r="BR71" s="19">
        <f t="shared" ref="BR71" si="1638">+BR69/BQ69-1</f>
        <v>0</v>
      </c>
      <c r="BS71" s="251" t="s">
        <v>294</v>
      </c>
      <c r="BT71" s="19">
        <f>+BT69/BR69-1</f>
        <v>4.8309178743961567E-3</v>
      </c>
      <c r="BU71" s="19">
        <f>+BU69/BT69-1</f>
        <v>0</v>
      </c>
      <c r="BV71" s="19">
        <f t="shared" ref="BV71" si="1639">+BV69/BU69-1</f>
        <v>0</v>
      </c>
      <c r="BW71" s="19">
        <f t="shared" ref="BW71" si="1640">+BW69/BV69-1</f>
        <v>0</v>
      </c>
      <c r="BX71" s="251" t="s">
        <v>294</v>
      </c>
      <c r="BY71" s="19">
        <f>+BY69/BW69-1</f>
        <v>4.8076923076922906E-3</v>
      </c>
      <c r="BZ71" s="19">
        <f>+BZ69/BY69-1</f>
        <v>0</v>
      </c>
      <c r="CA71" s="19">
        <f t="shared" ref="CA71" si="1641">+CA69/BZ69-1</f>
        <v>0</v>
      </c>
      <c r="CB71" s="19">
        <f t="shared" ref="CB71" si="1642">+CB69/CA69-1</f>
        <v>0</v>
      </c>
      <c r="CC71" s="251" t="s">
        <v>294</v>
      </c>
      <c r="CD71" s="19">
        <f>+CD69/CB69-1</f>
        <v>4.7846889952152249E-3</v>
      </c>
      <c r="CE71" s="19">
        <f>+CE69/CD69-1</f>
        <v>0</v>
      </c>
      <c r="CF71" s="19">
        <f t="shared" ref="CF71" si="1643">+CF69/CE69-1</f>
        <v>0</v>
      </c>
      <c r="CG71" s="19">
        <f t="shared" ref="CG71" si="1644">+CG69/CF69-1</f>
        <v>0</v>
      </c>
      <c r="CH71" s="251" t="s">
        <v>294</v>
      </c>
      <c r="CI71" s="19">
        <f>+CI69/CG69-1</f>
        <v>4.761904761904745E-3</v>
      </c>
      <c r="CJ71" s="19">
        <f>+CJ69/CI69-1</f>
        <v>0</v>
      </c>
      <c r="CK71" s="19">
        <f t="shared" ref="CK71" si="1645">+CK69/CJ69-1</f>
        <v>0</v>
      </c>
      <c r="CL71" s="19">
        <f t="shared" ref="CL71" si="1646">+CL69/CK69-1</f>
        <v>0</v>
      </c>
      <c r="CM71" s="251" t="s">
        <v>294</v>
      </c>
    </row>
    <row r="72" spans="1:91" s="42" customFormat="1">
      <c r="A72" s="42" t="s">
        <v>335</v>
      </c>
      <c r="B72" s="232" t="s">
        <v>294</v>
      </c>
      <c r="C72" s="232" t="s">
        <v>294</v>
      </c>
      <c r="D72" s="232" t="s">
        <v>294</v>
      </c>
      <c r="E72" s="232" t="s">
        <v>294</v>
      </c>
      <c r="F72" s="239" t="s">
        <v>294</v>
      </c>
      <c r="G72" s="169">
        <f t="shared" ref="G72:AL72" si="1647">+G89/G55*1000000</f>
        <v>979.85095224951681</v>
      </c>
      <c r="H72" s="169">
        <f t="shared" si="1647"/>
        <v>1413.0596459913729</v>
      </c>
      <c r="I72" s="169">
        <f t="shared" si="1647"/>
        <v>1366.1591006119254</v>
      </c>
      <c r="J72" s="169">
        <f t="shared" si="1647"/>
        <v>1977.6640297812937</v>
      </c>
      <c r="K72" s="255">
        <f t="shared" si="1647"/>
        <v>1459.8540145985403</v>
      </c>
      <c r="L72" s="169">
        <f t="shared" si="1647"/>
        <v>1806.532927213528</v>
      </c>
      <c r="M72" s="169">
        <f t="shared" si="1647"/>
        <v>1835.7894736842106</v>
      </c>
      <c r="N72" s="169">
        <f t="shared" si="1647"/>
        <v>2322.9504487517911</v>
      </c>
      <c r="O72" s="169">
        <f t="shared" si="1647"/>
        <v>2049.7707924034053</v>
      </c>
      <c r="P72" s="255">
        <f t="shared" si="1647"/>
        <v>2025.0375563345019</v>
      </c>
      <c r="Q72" s="169">
        <f t="shared" si="1647"/>
        <v>2490.6600249066</v>
      </c>
      <c r="R72" s="169">
        <f t="shared" si="1647"/>
        <v>2891.7774207682196</v>
      </c>
      <c r="S72" s="169">
        <f t="shared" si="1647"/>
        <v>2849.5575221238937</v>
      </c>
      <c r="T72" s="169">
        <f t="shared" si="1647"/>
        <v>2645.0757794041374</v>
      </c>
      <c r="U72" s="255">
        <f t="shared" si="1647"/>
        <v>2716.033768615423</v>
      </c>
      <c r="V72" s="169">
        <f t="shared" si="1647"/>
        <v>2707.9934747145185</v>
      </c>
      <c r="W72" s="169">
        <f t="shared" si="1647"/>
        <v>2928.4685549687947</v>
      </c>
      <c r="X72" s="169">
        <f t="shared" si="1647"/>
        <v>2687.8891519775498</v>
      </c>
      <c r="Y72" s="169">
        <f t="shared" si="1647"/>
        <v>2511.71875</v>
      </c>
      <c r="Z72" s="255">
        <f t="shared" si="1647"/>
        <v>2697.829411361924</v>
      </c>
      <c r="AA72" s="169">
        <f t="shared" si="1647"/>
        <v>2446.850184501845</v>
      </c>
      <c r="AB72" s="169">
        <f t="shared" si="1647"/>
        <v>2418.8572013651883</v>
      </c>
      <c r="AC72" s="169">
        <f t="shared" si="1647"/>
        <v>2413.8762345679006</v>
      </c>
      <c r="AD72" s="169">
        <f t="shared" si="1647"/>
        <v>2344.9213888888889</v>
      </c>
      <c r="AE72" s="255">
        <f t="shared" si="1647"/>
        <v>2402.3150320512823</v>
      </c>
      <c r="AF72" s="169">
        <f t="shared" si="1647"/>
        <v>2341.6016624040926</v>
      </c>
      <c r="AG72" s="169">
        <f t="shared" si="1647"/>
        <v>2306.1199080459769</v>
      </c>
      <c r="AH72" s="169">
        <f t="shared" si="1647"/>
        <v>2357.9375854214122</v>
      </c>
      <c r="AI72" s="169">
        <f t="shared" si="1647"/>
        <v>2350.7724137931032</v>
      </c>
      <c r="AJ72" s="255">
        <f t="shared" si="1647"/>
        <v>2339.283637941006</v>
      </c>
      <c r="AK72" s="169">
        <f t="shared" si="1647"/>
        <v>2681.1940298507466</v>
      </c>
      <c r="AL72" s="169">
        <f t="shared" si="1647"/>
        <v>2637.0242914979758</v>
      </c>
      <c r="AM72" s="169">
        <f>+AM89/AM55*1000000</f>
        <v>2659.0772128060266</v>
      </c>
      <c r="AN72" s="169">
        <f t="shared" ref="AN72:BR72" si="1648">+AN89/AN55*1000000</f>
        <v>2541.2390924956367</v>
      </c>
      <c r="AO72" s="255">
        <f t="shared" si="1648"/>
        <v>2626.1586840832124</v>
      </c>
      <c r="AP72" s="169">
        <f t="shared" si="1648"/>
        <v>2551.8474576271187</v>
      </c>
      <c r="AQ72" s="169">
        <f t="shared" si="1648"/>
        <v>2479.453125</v>
      </c>
      <c r="AR72" s="169">
        <f t="shared" si="1648"/>
        <v>2491.9189189189187</v>
      </c>
      <c r="AS72" s="169">
        <f t="shared" si="1648"/>
        <v>2404.4177215189875</v>
      </c>
      <c r="AT72" s="255">
        <f t="shared" si="1648"/>
        <v>2476.79347826087</v>
      </c>
      <c r="AU72" s="390">
        <f t="shared" si="1648"/>
        <v>2459.2697204811248</v>
      </c>
      <c r="AV72" s="169">
        <f t="shared" si="1648"/>
        <v>2380.719507424667</v>
      </c>
      <c r="AW72" s="169">
        <f t="shared" si="1648"/>
        <v>2339.1755630810953</v>
      </c>
      <c r="AX72" s="169">
        <f t="shared" si="1648"/>
        <v>2233.2997146101443</v>
      </c>
      <c r="AY72" s="255">
        <f t="shared" si="1648"/>
        <v>2345.5620479403733</v>
      </c>
      <c r="AZ72" s="169">
        <f t="shared" si="1648"/>
        <v>2342.4457081041628</v>
      </c>
      <c r="BA72" s="169">
        <f t="shared" si="1648"/>
        <v>2214.6767871815955</v>
      </c>
      <c r="BB72" s="169">
        <f t="shared" si="1648"/>
        <v>2153.1555936277719</v>
      </c>
      <c r="BC72" s="169">
        <f t="shared" si="1648"/>
        <v>2052.3529578768348</v>
      </c>
      <c r="BD72" s="255">
        <f t="shared" si="1648"/>
        <v>2182.8188275108628</v>
      </c>
      <c r="BE72" s="169">
        <f t="shared" si="1648"/>
        <v>2174.6694340862191</v>
      </c>
      <c r="BF72" s="169">
        <f t="shared" si="1648"/>
        <v>2111.8064546279616</v>
      </c>
      <c r="BG72" s="169">
        <f t="shared" si="1648"/>
        <v>2086.7249870596088</v>
      </c>
      <c r="BH72" s="169">
        <f t="shared" si="1648"/>
        <v>2022.6630522544253</v>
      </c>
      <c r="BI72" s="255">
        <f t="shared" si="1648"/>
        <v>2095.695822944464</v>
      </c>
      <c r="BJ72" s="169">
        <f t="shared" si="1648"/>
        <v>2118.7776217899873</v>
      </c>
      <c r="BK72" s="169">
        <f t="shared" si="1648"/>
        <v>2087.5810560720547</v>
      </c>
      <c r="BL72" s="169">
        <f t="shared" si="1648"/>
        <v>2095.2948999536006</v>
      </c>
      <c r="BM72" s="169">
        <f t="shared" si="1648"/>
        <v>2048.3811420445027</v>
      </c>
      <c r="BN72" s="255">
        <f t="shared" si="1648"/>
        <v>2086.9830109278264</v>
      </c>
      <c r="BO72" s="169">
        <f t="shared" si="1648"/>
        <v>2120.946425601373</v>
      </c>
      <c r="BP72" s="169">
        <f t="shared" si="1648"/>
        <v>2079.1149791160051</v>
      </c>
      <c r="BQ72" s="169">
        <f t="shared" si="1648"/>
        <v>2075.8853519520494</v>
      </c>
      <c r="BR72" s="169">
        <f t="shared" si="1648"/>
        <v>2022.3621385675924</v>
      </c>
      <c r="BS72" s="255">
        <f t="shared" ref="BS72:CM72" si="1649">+BS89/BS55*1000000</f>
        <v>2073.4518712687009</v>
      </c>
      <c r="BT72" s="169">
        <f t="shared" si="1649"/>
        <v>2118.5836071891022</v>
      </c>
      <c r="BU72" s="169">
        <f t="shared" si="1649"/>
        <v>2079.613514748633</v>
      </c>
      <c r="BV72" s="169">
        <f t="shared" si="1649"/>
        <v>2077.7626027151846</v>
      </c>
      <c r="BW72" s="169">
        <f t="shared" si="1649"/>
        <v>2027.2765059941196</v>
      </c>
      <c r="BX72" s="255">
        <f t="shared" si="1649"/>
        <v>2074.8479160446245</v>
      </c>
      <c r="BY72" s="169">
        <f t="shared" si="1649"/>
        <v>2104.8830929708001</v>
      </c>
      <c r="BZ72" s="169">
        <f t="shared" si="1649"/>
        <v>2066.8591927363491</v>
      </c>
      <c r="CA72" s="169">
        <f t="shared" si="1649"/>
        <v>2064.5474837310371</v>
      </c>
      <c r="CB72" s="169">
        <f t="shared" si="1649"/>
        <v>2015.796866468095</v>
      </c>
      <c r="CC72" s="255">
        <f t="shared" si="1649"/>
        <v>2062.1887979747648</v>
      </c>
      <c r="CD72" s="169">
        <f t="shared" si="1649"/>
        <v>2097.9257201995579</v>
      </c>
      <c r="CE72" s="169">
        <f t="shared" si="1649"/>
        <v>2061.8688880963964</v>
      </c>
      <c r="CF72" s="169">
        <f t="shared" si="1649"/>
        <v>2060.3117640050514</v>
      </c>
      <c r="CG72" s="169">
        <f t="shared" si="1649"/>
        <v>2013.8487013745603</v>
      </c>
      <c r="CH72" s="255">
        <f t="shared" si="1649"/>
        <v>2057.7419053647254</v>
      </c>
      <c r="CI72" s="169">
        <f t="shared" si="1649"/>
        <v>2092.0355602913064</v>
      </c>
      <c r="CJ72" s="169">
        <f t="shared" si="1649"/>
        <v>2057.787261845177</v>
      </c>
      <c r="CK72" s="169">
        <f t="shared" si="1649"/>
        <v>2056.9000302940522</v>
      </c>
      <c r="CL72" s="169">
        <f t="shared" si="1649"/>
        <v>2012.5679221553714</v>
      </c>
      <c r="CM72" s="255">
        <f t="shared" si="1649"/>
        <v>2054.1497057130659</v>
      </c>
    </row>
    <row r="73" spans="1:91">
      <c r="A73" s="139" t="s">
        <v>291</v>
      </c>
      <c r="B73" s="232" t="s">
        <v>294</v>
      </c>
      <c r="C73" s="232" t="s">
        <v>294</v>
      </c>
      <c r="D73" s="232" t="s">
        <v>294</v>
      </c>
      <c r="E73" s="232" t="s">
        <v>294</v>
      </c>
      <c r="F73" s="239" t="s">
        <v>294</v>
      </c>
      <c r="G73" s="158" t="s">
        <v>294</v>
      </c>
      <c r="H73" s="158" t="s">
        <v>294</v>
      </c>
      <c r="I73" s="158" t="s">
        <v>294</v>
      </c>
      <c r="J73" s="158" t="s">
        <v>294</v>
      </c>
      <c r="K73" s="250" t="s">
        <v>294</v>
      </c>
      <c r="L73" s="19">
        <f t="shared" ref="L73" si="1650">+L72/G72-1</f>
        <v>0.84368135078721496</v>
      </c>
      <c r="M73" s="19">
        <f t="shared" ref="M73" si="1651">+M72/H72-1</f>
        <v>0.29915922437673137</v>
      </c>
      <c r="N73" s="19">
        <f t="shared" ref="N73" si="1652">+N72/I72-1</f>
        <v>0.70035133368529556</v>
      </c>
      <c r="O73" s="19">
        <f t="shared" ref="O73" si="1653">+O72/J72-1</f>
        <v>3.646057244115708E-2</v>
      </c>
      <c r="P73" s="259">
        <f t="shared" ref="P73" si="1654">+P72/K72-1</f>
        <v>0.38715072608913359</v>
      </c>
      <c r="Q73" s="19">
        <f t="shared" ref="Q73" si="1655">+Q72/L72-1</f>
        <v>0.37869616843812448</v>
      </c>
      <c r="R73" s="19">
        <f t="shared" ref="R73" si="1656">+R72/M72-1</f>
        <v>0.57522279227626627</v>
      </c>
      <c r="S73" s="19">
        <f t="shared" ref="S73" si="1657">+S72/N72-1</f>
        <v>0.22669750603378924</v>
      </c>
      <c r="T73" s="19">
        <f t="shared" ref="T73" si="1658">+T72/O72-1</f>
        <v>0.29042514861026136</v>
      </c>
      <c r="U73" s="259">
        <f t="shared" ref="U73" si="1659">+U72/P72-1</f>
        <v>0.34122636892309588</v>
      </c>
      <c r="V73" s="19">
        <f t="shared" ref="V73" si="1660">+V72/Q72-1</f>
        <v>8.7259380097879369E-2</v>
      </c>
      <c r="W73" s="19">
        <f t="shared" ref="W73" si="1661">+W72/R72-1</f>
        <v>1.2688090700572641E-2</v>
      </c>
      <c r="X73" s="19">
        <f t="shared" ref="X73" si="1662">+X72/S72-1</f>
        <v>-5.6734552256325621E-2</v>
      </c>
      <c r="Y73" s="19">
        <f t="shared" ref="Y73" si="1663">+Y72/T72-1</f>
        <v>-5.0417092184095735E-2</v>
      </c>
      <c r="Z73" s="259">
        <f t="shared" ref="Z73" si="1664">+Z72/U72-1</f>
        <v>-6.7025518842422915E-3</v>
      </c>
      <c r="AA73" s="19">
        <f t="shared" ref="AA73" si="1665">+AA72/V72-1</f>
        <v>-9.6434239096607755E-2</v>
      </c>
      <c r="AB73" s="19">
        <f t="shared" ref="AB73" si="1666">+AB72/W72-1</f>
        <v>-0.17401974582890367</v>
      </c>
      <c r="AC73" s="19">
        <f t="shared" ref="AC73" si="1667">+AC72/X72-1</f>
        <v>-0.10194353335145934</v>
      </c>
      <c r="AD73" s="19">
        <f t="shared" ref="AD73" si="1668">+AD72/Y72-1</f>
        <v>-6.6407658545014625E-2</v>
      </c>
      <c r="AE73" s="259">
        <f t="shared" ref="AE73" si="1669">+AE72/Z72-1</f>
        <v>-0.10953782995547501</v>
      </c>
      <c r="AF73" s="19">
        <f t="shared" ref="AF73" si="1670">+AF72/AA72-1</f>
        <v>-4.3013880769810942E-2</v>
      </c>
      <c r="AG73" s="19">
        <f t="shared" ref="AG73" si="1671">+AG72/AB72-1</f>
        <v>-4.6607667974605138E-2</v>
      </c>
      <c r="AH73" s="19">
        <f t="shared" ref="AH73" si="1672">+AH72/AC72-1</f>
        <v>-2.3173785111854195E-2</v>
      </c>
      <c r="AI73" s="19">
        <f t="shared" ref="AI73" si="1673">+AI72/AD72-1</f>
        <v>2.4951902148782068E-3</v>
      </c>
      <c r="AJ73" s="259">
        <f t="shared" ref="AJ73" si="1674">+AJ72/AE72-1</f>
        <v>-2.6237772011298288E-2</v>
      </c>
      <c r="AK73" s="19">
        <f t="shared" ref="AK73" si="1675">+AK72/AF72-1</f>
        <v>0.14502567746642225</v>
      </c>
      <c r="AL73" s="19">
        <f t="shared" ref="AL73" si="1676">+AL72/AG72-1</f>
        <v>0.14348966950828723</v>
      </c>
      <c r="AM73" s="19">
        <f t="shared" ref="AM73" si="1677">+AM72/AH72-1</f>
        <v>0.12771314611823992</v>
      </c>
      <c r="AN73" s="19">
        <f t="shared" ref="AN73" si="1678">+AN72/AI72-1</f>
        <v>8.1023019321213141E-2</v>
      </c>
      <c r="AO73" s="259">
        <f t="shared" ref="AO73" si="1679">+AO72/AJ72-1</f>
        <v>0.12263371636058151</v>
      </c>
      <c r="AP73" s="19">
        <f t="shared" ref="AP73" si="1680">+AP72/AK72-1</f>
        <v>-4.8242152855617171E-2</v>
      </c>
      <c r="AQ73" s="19">
        <f t="shared" ref="AQ73" si="1681">+AQ72/AL72-1</f>
        <v>-5.9753399696013676E-2</v>
      </c>
      <c r="AR73" s="19">
        <f t="shared" ref="AR73" si="1682">+AR72/AM72-1</f>
        <v>-6.2863271920829966E-2</v>
      </c>
      <c r="AS73" s="19">
        <f t="shared" ref="AS73" si="1683">+AS72/AN72-1</f>
        <v>-5.3840416425470217E-2</v>
      </c>
      <c r="AT73" s="259">
        <f t="shared" ref="AT73" si="1684">+AT72/AO72-1</f>
        <v>-5.6875925559115803E-2</v>
      </c>
      <c r="AU73" s="379">
        <f t="shared" ref="AU73" si="1685">+AU72/AP72-1</f>
        <v>-3.6278711280053999E-2</v>
      </c>
      <c r="AV73" s="19">
        <f t="shared" ref="AV73" si="1686">+AV72/AQ72-1</f>
        <v>-3.9820723602239094E-2</v>
      </c>
      <c r="AW73" s="19">
        <f t="shared" ref="AW73" si="1687">+AW72/AR72-1</f>
        <v>-6.1295475819128531E-2</v>
      </c>
      <c r="AX73" s="19">
        <f t="shared" ref="AX73" si="1688">+AX72/AS72-1</f>
        <v>-7.1168169065373377E-2</v>
      </c>
      <c r="AY73" s="259">
        <f t="shared" ref="AY73" si="1689">+AY72/AT72-1</f>
        <v>-5.2984405632658382E-2</v>
      </c>
      <c r="AZ73" s="19">
        <f t="shared" ref="AZ73" si="1690">+AZ72/AU72-1</f>
        <v>-4.7503537901530724E-2</v>
      </c>
      <c r="BA73" s="19">
        <f t="shared" ref="BA73" si="1691">+BA72/AV72-1</f>
        <v>-6.9744764019969541E-2</v>
      </c>
      <c r="BB73" s="19">
        <f t="shared" ref="BB73" si="1692">+BB72/AW72-1</f>
        <v>-7.9523731518596819E-2</v>
      </c>
      <c r="BC73" s="19">
        <f t="shared" ref="BC73" si="1693">+BC72/AX72-1</f>
        <v>-8.1022155490176329E-2</v>
      </c>
      <c r="BD73" s="259">
        <f t="shared" ref="BD73" si="1694">+BD72/AY72-1</f>
        <v>-6.9383464220191704E-2</v>
      </c>
      <c r="BE73" s="19">
        <f t="shared" ref="BE73" si="1695">+BE72/AZ72-1</f>
        <v>-7.1624402408767884E-2</v>
      </c>
      <c r="BF73" s="19">
        <f t="shared" ref="BF73" si="1696">+BF72/BA72-1</f>
        <v>-4.6449365952197064E-2</v>
      </c>
      <c r="BG73" s="19">
        <f t="shared" ref="BG73" si="1697">+BG72/BB72-1</f>
        <v>-3.0852673520094576E-2</v>
      </c>
      <c r="BH73" s="19">
        <f t="shared" ref="BH73" si="1698">+BH72/BC72-1</f>
        <v>-1.4466276625792363E-2</v>
      </c>
      <c r="BI73" s="259">
        <f t="shared" ref="BI73" si="1699">+BI72/BD72-1</f>
        <v>-3.9913071789722365E-2</v>
      </c>
      <c r="BJ73" s="19">
        <f t="shared" ref="BJ73" si="1700">+BJ72/BE72-1</f>
        <v>-2.5701291157254502E-2</v>
      </c>
      <c r="BK73" s="19">
        <f t="shared" ref="BK73" si="1701">+BK72/BF72-1</f>
        <v>-1.1471410413969374E-2</v>
      </c>
      <c r="BL73" s="19">
        <f t="shared" ref="BL73" si="1702">+BL72/BG72-1</f>
        <v>4.1068722266404123E-3</v>
      </c>
      <c r="BM73" s="19">
        <f t="shared" ref="BM73" si="1703">+BM72/BH72-1</f>
        <v>1.2714964937641238E-2</v>
      </c>
      <c r="BN73" s="259">
        <f t="shared" ref="BN73" si="1704">+BN72/BI72-1</f>
        <v>-4.1574793065131121E-3</v>
      </c>
      <c r="BO73" s="19">
        <f t="shared" ref="BO73" si="1705">+BO72/BJ72-1</f>
        <v>1.0236108731191962E-3</v>
      </c>
      <c r="BP73" s="19">
        <f t="shared" ref="BP73" si="1706">+BP72/BK72-1</f>
        <v>-4.0554482574099993E-3</v>
      </c>
      <c r="BQ73" s="19">
        <f t="shared" ref="BQ73" si="1707">+BQ72/BL72-1</f>
        <v>-9.2633967667181683E-3</v>
      </c>
      <c r="BR73" s="19">
        <f t="shared" ref="BR73" si="1708">+BR72/BM72-1</f>
        <v>-1.2702227599566962E-2</v>
      </c>
      <c r="BS73" s="259">
        <f t="shared" ref="BS73" si="1709">+BS72/BN72-1</f>
        <v>-6.4835887921818047E-3</v>
      </c>
      <c r="BT73" s="19">
        <f t="shared" ref="BT73" si="1710">+BT72/BO72-1</f>
        <v>-1.1140396493517501E-3</v>
      </c>
      <c r="BU73" s="19">
        <f t="shared" ref="BU73" si="1711">+BU72/BP72-1</f>
        <v>2.3978261790968958E-4</v>
      </c>
      <c r="BV73" s="19">
        <f t="shared" ref="BV73" si="1712">+BV72/BQ72-1</f>
        <v>9.0431331449480901E-4</v>
      </c>
      <c r="BW73" s="19">
        <f t="shared" ref="BW73" si="1713">+BW72/BR72-1</f>
        <v>2.4300135632522313E-3</v>
      </c>
      <c r="BX73" s="259">
        <f t="shared" ref="BX73" si="1714">+BX72/BS72-1</f>
        <v>6.7329499915969038E-4</v>
      </c>
      <c r="BY73" s="19">
        <f t="shared" ref="BY73" si="1715">+BY72/BT72-1</f>
        <v>-6.4668272575183483E-3</v>
      </c>
      <c r="BZ73" s="19">
        <f t="shared" ref="BZ73" si="1716">+BZ72/BU72-1</f>
        <v>-6.1330251615648868E-3</v>
      </c>
      <c r="CA73" s="19">
        <f t="shared" ref="CA73" si="1717">+CA72/BV72-1</f>
        <v>-6.3602641451329101E-3</v>
      </c>
      <c r="CB73" s="19">
        <f t="shared" ref="CB73" si="1718">+CB72/BW72-1</f>
        <v>-5.6625919020332205E-3</v>
      </c>
      <c r="CC73" s="259">
        <f t="shared" ref="CC73" si="1719">+CC72/BX72-1</f>
        <v>-6.1012269728146773E-3</v>
      </c>
      <c r="CD73" s="19">
        <f t="shared" ref="CD73" si="1720">+CD72/BY72-1</f>
        <v>-3.3053487837287898E-3</v>
      </c>
      <c r="CE73" s="19">
        <f t="shared" ref="CE73" si="1721">+CE72/BZ72-1</f>
        <v>-2.4144386117304073E-3</v>
      </c>
      <c r="CF73" s="19">
        <f t="shared" ref="CF73" si="1722">+CF72/CA72-1</f>
        <v>-2.0516455830461577E-3</v>
      </c>
      <c r="CG73" s="19">
        <f t="shared" ref="CG73" si="1723">+CG72/CB72-1</f>
        <v>-9.6644911297438796E-4</v>
      </c>
      <c r="CH73" s="259">
        <f t="shared" ref="CH73" si="1724">+CH72/CC72-1</f>
        <v>-2.156394513638471E-3</v>
      </c>
      <c r="CI73" s="19">
        <f t="shared" ref="CI73" si="1725">+CI72/CD72-1</f>
        <v>-2.8076112760041516E-3</v>
      </c>
      <c r="CJ73" s="19">
        <f t="shared" ref="CJ73" si="1726">+CJ72/CE72-1</f>
        <v>-1.9795760413203745E-3</v>
      </c>
      <c r="CK73" s="19">
        <f t="shared" ref="CK73" si="1727">+CK72/CF72-1</f>
        <v>-1.655930801640948E-3</v>
      </c>
      <c r="CL73" s="19">
        <f t="shared" ref="CL73" si="1728">+CL72/CG72-1</f>
        <v>-6.3598582073953747E-4</v>
      </c>
      <c r="CM73" s="259">
        <f t="shared" ref="CM73" si="1729">+CM72/CH72-1</f>
        <v>-1.7456998092395537E-3</v>
      </c>
    </row>
    <row r="74" spans="1:91">
      <c r="A74" s="139" t="s">
        <v>292</v>
      </c>
      <c r="B74" s="232" t="s">
        <v>294</v>
      </c>
      <c r="C74" s="232" t="s">
        <v>294</v>
      </c>
      <c r="D74" s="232" t="s">
        <v>294</v>
      </c>
      <c r="E74" s="232" t="s">
        <v>294</v>
      </c>
      <c r="F74" s="239" t="s">
        <v>294</v>
      </c>
      <c r="G74" s="147" t="s">
        <v>294</v>
      </c>
      <c r="H74" s="19">
        <f>+H72/G72-1</f>
        <v>0.44211692885260412</v>
      </c>
      <c r="I74" s="19">
        <f t="shared" ref="I74" si="1730">+I72/H72-1</f>
        <v>-3.3190775430107955E-2</v>
      </c>
      <c r="J74" s="19">
        <f t="shared" ref="J74" si="1731">+J72/I72-1</f>
        <v>0.44760886846595316</v>
      </c>
      <c r="K74" s="251" t="s">
        <v>294</v>
      </c>
      <c r="L74" s="19">
        <f>+L72/J72-1</f>
        <v>-8.6531938686618459E-2</v>
      </c>
      <c r="M74" s="19">
        <f>+M72/L72-1</f>
        <v>1.6194859241126069E-2</v>
      </c>
      <c r="N74" s="19">
        <f t="shared" ref="N74" si="1732">+N72/M72-1</f>
        <v>0.26536865040951918</v>
      </c>
      <c r="O74" s="19">
        <f t="shared" ref="O74" si="1733">+O72/N72-1</f>
        <v>-0.11760029427023533</v>
      </c>
      <c r="P74" s="251" t="s">
        <v>294</v>
      </c>
      <c r="Q74" s="19">
        <f>+Q72/O72-1</f>
        <v>0.21509196742248515</v>
      </c>
      <c r="R74" s="19">
        <f>+R72/Q72-1</f>
        <v>0.16104863443844031</v>
      </c>
      <c r="S74" s="19">
        <f t="shared" ref="S74" si="1734">+S72/R72-1</f>
        <v>-1.4599982122106003E-2</v>
      </c>
      <c r="T74" s="19">
        <f t="shared" ref="T74" si="1735">+T72/S72-1</f>
        <v>-7.1759120892336825E-2</v>
      </c>
      <c r="U74" s="251" t="s">
        <v>294</v>
      </c>
      <c r="V74" s="19">
        <f>+V72/T72-1</f>
        <v>2.3786726943813674E-2</v>
      </c>
      <c r="W74" s="19">
        <f>+W72/V72-1</f>
        <v>8.1416400117994892E-2</v>
      </c>
      <c r="X74" s="19">
        <f t="shared" ref="X74" si="1736">+X72/W72-1</f>
        <v>-8.2151950234551352E-2</v>
      </c>
      <c r="Y74" s="19">
        <f t="shared" ref="Y74" si="1737">+Y72/X72-1</f>
        <v>-6.5542286908646052E-2</v>
      </c>
      <c r="Z74" s="251" t="s">
        <v>294</v>
      </c>
      <c r="AA74" s="19">
        <f>+AA72/Y72-1</f>
        <v>-2.5826365112795791E-2</v>
      </c>
      <c r="AB74" s="19">
        <f>+AB72/AA72-1</f>
        <v>-1.144041564700693E-2</v>
      </c>
      <c r="AC74" s="19">
        <f t="shared" ref="AC74" si="1738">+AC72/AB72-1</f>
        <v>-2.0592231713705278E-3</v>
      </c>
      <c r="AD74" s="19">
        <f t="shared" ref="AD74" si="1739">+AD72/AC72-1</f>
        <v>-2.8566023680727359E-2</v>
      </c>
      <c r="AE74" s="251" t="s">
        <v>294</v>
      </c>
      <c r="AF74" s="19">
        <f>+AF72/AD72-1</f>
        <v>-1.4157090726053534E-3</v>
      </c>
      <c r="AG74" s="19">
        <f>+AG72/AF72-1</f>
        <v>-1.5152771253880593E-2</v>
      </c>
      <c r="AH74" s="19">
        <f t="shared" ref="AH74" si="1740">+AH72/AG72-1</f>
        <v>2.2469637070754667E-2</v>
      </c>
      <c r="AI74" s="19">
        <f t="shared" ref="AI74" si="1741">+AI72/AH72-1</f>
        <v>-3.0387452461039244E-3</v>
      </c>
      <c r="AJ74" s="251" t="s">
        <v>294</v>
      </c>
      <c r="AK74" s="19">
        <f>+AK72/AI72-1</f>
        <v>0.14055874321091322</v>
      </c>
      <c r="AL74" s="19">
        <f>+AL72/AK72-1</f>
        <v>-1.6473905976595593E-2</v>
      </c>
      <c r="AM74" s="19">
        <f t="shared" ref="AM74" si="1742">+AM72/AL72-1</f>
        <v>8.3628055225548614E-3</v>
      </c>
      <c r="AN74" s="19">
        <f t="shared" ref="AN74" si="1743">+AN72/AM72-1</f>
        <v>-4.4315418801261441E-2</v>
      </c>
      <c r="AO74" s="251" t="s">
        <v>294</v>
      </c>
      <c r="AP74" s="19">
        <f>+AP72/AN72-1</f>
        <v>4.1744852591041326E-3</v>
      </c>
      <c r="AQ74" s="19">
        <f>+AQ72/AP72-1</f>
        <v>-2.8369380940362232E-2</v>
      </c>
      <c r="AR74" s="19">
        <f t="shared" ref="AR74" si="1744">+AR72/AQ72-1</f>
        <v>5.027638471253093E-3</v>
      </c>
      <c r="AS74" s="19">
        <f t="shared" ref="AS74" si="1745">+AS72/AR72-1</f>
        <v>-3.5113982535953547E-2</v>
      </c>
      <c r="AT74" s="251" t="s">
        <v>294</v>
      </c>
      <c r="AU74" s="379">
        <f>+AU72/AS72-1</f>
        <v>2.2813007270419128E-2</v>
      </c>
      <c r="AV74" s="19">
        <f>+AV72/AU72-1</f>
        <v>-3.1940462813932591E-2</v>
      </c>
      <c r="AW74" s="19">
        <f t="shared" ref="AW74" si="1746">+AW72/AV72-1</f>
        <v>-1.7450163370363425E-2</v>
      </c>
      <c r="AX74" s="19">
        <f t="shared" ref="AX74" si="1747">+AX72/AW72-1</f>
        <v>-4.5262035967704062E-2</v>
      </c>
      <c r="AY74" s="251" t="s">
        <v>294</v>
      </c>
      <c r="AZ74" s="19">
        <f>+AZ72/AX72-1</f>
        <v>4.8872076049618629E-2</v>
      </c>
      <c r="BA74" s="19">
        <f>+BA72/AZ72-1</f>
        <v>-5.4545093822462976E-2</v>
      </c>
      <c r="BB74" s="19">
        <f t="shared" ref="BB74" si="1748">+BB72/BA72-1</f>
        <v>-2.7778858707466658E-2</v>
      </c>
      <c r="BC74" s="19">
        <f t="shared" ref="BC74" si="1749">+BC72/BB72-1</f>
        <v>-4.6816233833384291E-2</v>
      </c>
      <c r="BD74" s="251" t="s">
        <v>294</v>
      </c>
      <c r="BE74" s="19">
        <f>+BE72/BC72-1</f>
        <v>5.9598167917433109E-2</v>
      </c>
      <c r="BF74" s="19">
        <f>+BF72/BE72-1</f>
        <v>-2.8906912688857478E-2</v>
      </c>
      <c r="BG74" s="19">
        <f t="shared" ref="BG74" si="1750">+BG72/BF72-1</f>
        <v>-1.1876783269313074E-2</v>
      </c>
      <c r="BH74" s="19">
        <f t="shared" ref="BH74" si="1751">+BH72/BG72-1</f>
        <v>-3.0699749704656942E-2</v>
      </c>
      <c r="BI74" s="251" t="s">
        <v>294</v>
      </c>
      <c r="BJ74" s="19">
        <f>+BJ72/BH72-1</f>
        <v>4.7518823972403368E-2</v>
      </c>
      <c r="BK74" s="19">
        <f>+BK72/BJ72-1</f>
        <v>-1.4723850864338028E-2</v>
      </c>
      <c r="BL74" s="19">
        <f t="shared" ref="BL74" si="1752">+BL72/BK72-1</f>
        <v>3.6951110756198169E-3</v>
      </c>
      <c r="BM74" s="19">
        <f t="shared" ref="BM74" si="1753">+BM72/BL72-1</f>
        <v>-2.2390050159591834E-2</v>
      </c>
      <c r="BN74" s="251" t="s">
        <v>294</v>
      </c>
      <c r="BO74" s="19">
        <f>+BO72/BM72-1</f>
        <v>3.5425674483823055E-2</v>
      </c>
      <c r="BP74" s="19">
        <f>+BP72/BO72-1</f>
        <v>-1.9723009492569776E-2</v>
      </c>
      <c r="BQ74" s="19">
        <f t="shared" ref="BQ74" si="1754">+BQ72/BP72-1</f>
        <v>-1.5533663103753925E-3</v>
      </c>
      <c r="BR74" s="19">
        <f t="shared" ref="BR74" si="1755">+BR72/BQ72-1</f>
        <v>-2.5783318589404081E-2</v>
      </c>
      <c r="BS74" s="251" t="s">
        <v>294</v>
      </c>
      <c r="BT74" s="19">
        <f>+BT72/BR72-1</f>
        <v>4.7578752977279315E-2</v>
      </c>
      <c r="BU74" s="19">
        <f>+BU72/BT72-1</f>
        <v>-1.8394408560620357E-2</v>
      </c>
      <c r="BV74" s="19">
        <f t="shared" ref="BV74" si="1756">+BV72/BU72-1</f>
        <v>-8.9002693063955363E-4</v>
      </c>
      <c r="BW74" s="19">
        <f t="shared" ref="BW74" si="1757">+BW72/BV72-1</f>
        <v>-2.4298298879328439E-2</v>
      </c>
      <c r="BX74" s="251" t="s">
        <v>294</v>
      </c>
      <c r="BY74" s="19">
        <f>+BY72/BW72-1</f>
        <v>3.8281204733157326E-2</v>
      </c>
      <c r="BZ74" s="19">
        <f>+BZ72/BY72-1</f>
        <v>-1.8064613831253018E-2</v>
      </c>
      <c r="CA74" s="19">
        <f t="shared" ref="CA74" si="1758">+CA72/BZ72-1</f>
        <v>-1.1184646798563236E-3</v>
      </c>
      <c r="CB74" s="19">
        <f t="shared" ref="CB74" si="1759">+CB72/CA72-1</f>
        <v>-2.3613221612534874E-2</v>
      </c>
      <c r="CC74" s="251" t="s">
        <v>294</v>
      </c>
      <c r="CD74" s="19">
        <f>+CD72/CB72-1</f>
        <v>4.074262397052042E-2</v>
      </c>
      <c r="CE74" s="19">
        <f>+CE72/CD72-1</f>
        <v>-1.7186896445376409E-2</v>
      </c>
      <c r="CF74" s="19">
        <f t="shared" ref="CF74" si="1760">+CF72/CE72-1</f>
        <v>-7.5520034291931548E-4</v>
      </c>
      <c r="CG74" s="19">
        <f t="shared" ref="CG74" si="1761">+CG72/CF72-1</f>
        <v>-2.255147179287631E-2</v>
      </c>
      <c r="CH74" s="251" t="s">
        <v>294</v>
      </c>
      <c r="CI74" s="19">
        <f>+CI72/CG72-1</f>
        <v>3.8824594351789976E-2</v>
      </c>
      <c r="CJ74" s="19">
        <f>+CJ72/CI72-1</f>
        <v>-1.6370801288559611E-2</v>
      </c>
      <c r="CK74" s="19">
        <f t="shared" ref="CK74" si="1762">+CK72/CJ72-1</f>
        <v>-4.3115805388416195E-4</v>
      </c>
      <c r="CL74" s="19">
        <f t="shared" ref="CL74" si="1763">+CL72/CK72-1</f>
        <v>-2.1552874464367155E-2</v>
      </c>
      <c r="CM74" s="251" t="s">
        <v>294</v>
      </c>
    </row>
    <row r="75" spans="1:91">
      <c r="F75" s="240"/>
      <c r="G75" s="154"/>
      <c r="H75" s="154"/>
      <c r="I75" s="154"/>
      <c r="J75" s="154"/>
      <c r="K75" s="256"/>
      <c r="L75" s="154"/>
      <c r="M75" s="154"/>
      <c r="N75" s="154"/>
      <c r="O75" s="154"/>
      <c r="P75" s="256"/>
      <c r="Q75" s="154"/>
      <c r="R75" s="154"/>
      <c r="S75" s="154"/>
      <c r="T75" s="154"/>
      <c r="U75" s="256"/>
      <c r="V75" s="154"/>
      <c r="W75" s="154"/>
      <c r="X75" s="154"/>
      <c r="Y75" s="154"/>
      <c r="Z75" s="256"/>
      <c r="AA75" s="154"/>
      <c r="AB75" s="154"/>
      <c r="AC75" s="154"/>
      <c r="AD75" s="154"/>
      <c r="AE75" s="256"/>
      <c r="AF75" s="154"/>
      <c r="AG75" s="154"/>
      <c r="AH75" s="154"/>
      <c r="AI75" s="154"/>
      <c r="AJ75" s="256"/>
      <c r="AK75" s="154"/>
      <c r="AL75" s="154"/>
      <c r="AM75" s="154"/>
      <c r="AN75" s="154"/>
      <c r="AO75" s="256"/>
      <c r="AP75" s="154"/>
      <c r="AQ75" s="154"/>
      <c r="AR75" s="154"/>
      <c r="AS75" s="154"/>
      <c r="AT75" s="310">
        <f>+AT72/AJ72-1</f>
        <v>5.8782884678703518E-2</v>
      </c>
      <c r="AU75" s="391"/>
      <c r="AV75" s="154"/>
      <c r="AW75" s="154"/>
      <c r="AX75" s="154"/>
      <c r="AY75" s="256"/>
      <c r="AZ75" s="154"/>
      <c r="BA75" s="154"/>
      <c r="BB75" s="154"/>
      <c r="BC75" s="154"/>
      <c r="BD75" s="256"/>
      <c r="BE75" s="154"/>
      <c r="BF75" s="154"/>
      <c r="BG75" s="154"/>
      <c r="BH75" s="154"/>
      <c r="BI75" s="256"/>
      <c r="BJ75" s="154"/>
      <c r="BK75" s="154"/>
      <c r="BL75" s="154"/>
      <c r="BM75" s="154"/>
      <c r="BN75" s="256"/>
      <c r="BO75" s="154"/>
      <c r="BP75" s="154"/>
      <c r="BQ75" s="154"/>
      <c r="BR75" s="154"/>
      <c r="BS75" s="256"/>
      <c r="BT75" s="154"/>
      <c r="BU75" s="154"/>
      <c r="BV75" s="154"/>
      <c r="BW75" s="154"/>
      <c r="BX75" s="256"/>
      <c r="BY75" s="154"/>
      <c r="BZ75" s="154"/>
      <c r="CA75" s="154"/>
      <c r="CB75" s="154"/>
      <c r="CC75" s="256"/>
      <c r="CD75" s="154"/>
      <c r="CE75" s="154"/>
      <c r="CF75" s="154"/>
      <c r="CG75" s="154"/>
      <c r="CH75" s="256"/>
      <c r="CI75" s="154"/>
      <c r="CJ75" s="154"/>
      <c r="CK75" s="154"/>
      <c r="CL75" s="154"/>
      <c r="CM75" s="256"/>
    </row>
    <row r="76" spans="1:91">
      <c r="A76" s="231" t="s">
        <v>20</v>
      </c>
      <c r="F76" s="240"/>
      <c r="G76" s="154"/>
      <c r="H76" s="154"/>
      <c r="I76" s="154"/>
      <c r="J76" s="154"/>
      <c r="K76" s="256"/>
      <c r="L76" s="154"/>
      <c r="M76" s="154"/>
      <c r="N76" s="154"/>
      <c r="O76" s="154"/>
      <c r="P76" s="256"/>
      <c r="Q76" s="154"/>
      <c r="R76" s="154"/>
      <c r="S76" s="154"/>
      <c r="T76" s="154"/>
      <c r="U76" s="256"/>
      <c r="V76" s="154"/>
      <c r="W76" s="154"/>
      <c r="X76" s="154"/>
      <c r="Y76" s="154"/>
      <c r="Z76" s="256"/>
      <c r="AA76" s="154"/>
      <c r="AB76" s="154"/>
      <c r="AC76" s="154"/>
      <c r="AD76" s="154"/>
      <c r="AE76" s="256"/>
      <c r="AF76" s="154"/>
      <c r="AG76" s="154"/>
      <c r="AH76" s="154"/>
      <c r="AI76" s="154"/>
      <c r="AJ76" s="256"/>
      <c r="AK76" s="154"/>
      <c r="AL76" s="154"/>
      <c r="AM76" s="154"/>
      <c r="AN76" s="154"/>
      <c r="AO76" s="256"/>
      <c r="AP76" s="154"/>
      <c r="AQ76" s="154"/>
      <c r="AR76" s="154"/>
      <c r="AS76" s="154"/>
      <c r="AT76" s="256"/>
      <c r="AU76" s="391"/>
      <c r="AV76" s="154"/>
      <c r="AW76" s="154"/>
      <c r="AX76" s="154"/>
      <c r="AY76" s="256"/>
      <c r="AZ76" s="154"/>
      <c r="BA76" s="154"/>
      <c r="BB76" s="154"/>
      <c r="BC76" s="154"/>
      <c r="BD76" s="256"/>
      <c r="BE76" s="154"/>
      <c r="BF76" s="154"/>
      <c r="BG76" s="154"/>
      <c r="BH76" s="154"/>
      <c r="BI76" s="256"/>
      <c r="BJ76" s="154"/>
      <c r="BK76" s="154"/>
      <c r="BL76" s="154"/>
      <c r="BM76" s="154"/>
      <c r="BN76" s="256"/>
      <c r="BO76" s="154"/>
      <c r="BP76" s="154"/>
      <c r="BQ76" s="154"/>
      <c r="BR76" s="154"/>
      <c r="BS76" s="256"/>
      <c r="BT76" s="154"/>
      <c r="BU76" s="154"/>
      <c r="BV76" s="154"/>
      <c r="BW76" s="154"/>
      <c r="BX76" s="256"/>
      <c r="BY76" s="154"/>
      <c r="BZ76" s="154"/>
      <c r="CA76" s="154"/>
      <c r="CB76" s="154"/>
      <c r="CC76" s="256"/>
      <c r="CD76" s="154"/>
      <c r="CE76" s="154"/>
      <c r="CF76" s="154"/>
      <c r="CG76" s="154"/>
      <c r="CH76" s="256"/>
      <c r="CI76" s="154"/>
      <c r="CJ76" s="154"/>
      <c r="CK76" s="154"/>
      <c r="CL76" s="154"/>
      <c r="CM76" s="256"/>
    </row>
    <row r="77" spans="1:91" s="42" customFormat="1">
      <c r="A77" s="162" t="s">
        <v>434</v>
      </c>
      <c r="B77" s="232" t="s">
        <v>294</v>
      </c>
      <c r="C77" s="232" t="s">
        <v>294</v>
      </c>
      <c r="D77" s="232" t="s">
        <v>294</v>
      </c>
      <c r="E77" s="232" t="s">
        <v>294</v>
      </c>
      <c r="F77" s="239" t="s">
        <v>294</v>
      </c>
      <c r="G77" s="170">
        <f>+G106</f>
        <v>7.1</v>
      </c>
      <c r="H77" s="170">
        <f t="shared" ref="H77:BS77" si="1764">+H106</f>
        <v>9.5</v>
      </c>
      <c r="I77" s="170">
        <f t="shared" si="1764"/>
        <v>9.6</v>
      </c>
      <c r="J77" s="170">
        <f t="shared" si="1764"/>
        <v>17</v>
      </c>
      <c r="K77" s="253">
        <f t="shared" si="1764"/>
        <v>43.2</v>
      </c>
      <c r="L77" s="170">
        <f t="shared" si="1764"/>
        <v>17.2</v>
      </c>
      <c r="M77" s="170">
        <f t="shared" si="1764"/>
        <v>21.8</v>
      </c>
      <c r="N77" s="170">
        <f t="shared" si="1764"/>
        <v>30.8</v>
      </c>
      <c r="O77" s="170">
        <f t="shared" si="1764"/>
        <v>31.3</v>
      </c>
      <c r="P77" s="253">
        <f t="shared" si="1764"/>
        <v>101.1</v>
      </c>
      <c r="Q77" s="170">
        <f t="shared" si="1764"/>
        <v>38</v>
      </c>
      <c r="R77" s="170">
        <f t="shared" si="1764"/>
        <v>39.6</v>
      </c>
      <c r="S77" s="170">
        <f t="shared" si="1764"/>
        <v>48.3</v>
      </c>
      <c r="T77" s="170">
        <f t="shared" si="1764"/>
        <v>45.9</v>
      </c>
      <c r="U77" s="253">
        <f t="shared" si="1764"/>
        <v>171.79999999999998</v>
      </c>
      <c r="V77" s="170">
        <f t="shared" si="1764"/>
        <v>49.8</v>
      </c>
      <c r="W77" s="170">
        <f t="shared" si="1764"/>
        <v>61</v>
      </c>
      <c r="X77" s="170">
        <f t="shared" si="1764"/>
        <v>61.3</v>
      </c>
      <c r="Y77" s="170">
        <f t="shared" si="1764"/>
        <v>64.3</v>
      </c>
      <c r="Z77" s="253">
        <f t="shared" si="1764"/>
        <v>236.39999999999998</v>
      </c>
      <c r="AA77" s="170">
        <f t="shared" si="1764"/>
        <v>65.599999999999994</v>
      </c>
      <c r="AB77" s="170">
        <f t="shared" si="1764"/>
        <v>69.900000000000006</v>
      </c>
      <c r="AC77" s="170">
        <f t="shared" si="1764"/>
        <v>76.8</v>
      </c>
      <c r="AD77" s="170">
        <f t="shared" si="1764"/>
        <v>81.900000000000006</v>
      </c>
      <c r="AE77" s="253">
        <f t="shared" si="1764"/>
        <v>294.20000000000005</v>
      </c>
      <c r="AF77" s="170">
        <f>+AF106</f>
        <v>88.4</v>
      </c>
      <c r="AG77" s="170">
        <f t="shared" si="1764"/>
        <v>96.1</v>
      </c>
      <c r="AH77" s="170">
        <f t="shared" si="1764"/>
        <v>98.3</v>
      </c>
      <c r="AI77" s="170">
        <f t="shared" si="1764"/>
        <v>103.1</v>
      </c>
      <c r="AJ77" s="253">
        <f t="shared" si="1764"/>
        <v>385.9</v>
      </c>
      <c r="AK77" s="170">
        <f t="shared" si="1764"/>
        <v>119.39689</v>
      </c>
      <c r="AL77" s="170">
        <f t="shared" si="1764"/>
        <v>122.37730000000001</v>
      </c>
      <c r="AM77" s="170">
        <f t="shared" si="1764"/>
        <v>132.32450000000003</v>
      </c>
      <c r="AN77" s="170">
        <f t="shared" si="1764"/>
        <v>135.025475</v>
      </c>
      <c r="AO77" s="253">
        <f t="shared" si="1764"/>
        <v>509.12416500000006</v>
      </c>
      <c r="AP77" s="170">
        <f t="shared" si="1764"/>
        <v>137.90171500000002</v>
      </c>
      <c r="AQ77" s="170">
        <f t="shared" si="1764"/>
        <v>142.589946</v>
      </c>
      <c r="AR77" s="170">
        <f t="shared" si="1764"/>
        <v>166.205175</v>
      </c>
      <c r="AS77" s="170">
        <f t="shared" si="1764"/>
        <v>169.63395</v>
      </c>
      <c r="AT77" s="253">
        <f t="shared" si="1764"/>
        <v>616.33078599999999</v>
      </c>
      <c r="AU77" s="356">
        <f t="shared" si="1764"/>
        <v>171.30771013245612</v>
      </c>
      <c r="AV77" s="170">
        <f t="shared" si="1764"/>
        <v>182.70597188512468</v>
      </c>
      <c r="AW77" s="170">
        <f t="shared" si="1764"/>
        <v>193.63487018593821</v>
      </c>
      <c r="AX77" s="170">
        <f t="shared" si="1764"/>
        <v>195.9937238672118</v>
      </c>
      <c r="AY77" s="253">
        <f t="shared" si="1764"/>
        <v>743.64227607073076</v>
      </c>
      <c r="AZ77" s="170">
        <f t="shared" si="1764"/>
        <v>220.90405524338493</v>
      </c>
      <c r="BA77" s="170">
        <f t="shared" si="1764"/>
        <v>217.56788343232307</v>
      </c>
      <c r="BB77" s="170">
        <f t="shared" si="1764"/>
        <v>220.52860215620737</v>
      </c>
      <c r="BC77" s="170">
        <f t="shared" si="1764"/>
        <v>216.75358540840986</v>
      </c>
      <c r="BD77" s="253">
        <f t="shared" si="1764"/>
        <v>875.75412624032526</v>
      </c>
      <c r="BE77" s="170">
        <f t="shared" si="1764"/>
        <v>243.84409174942871</v>
      </c>
      <c r="BF77" s="170">
        <f t="shared" si="1764"/>
        <v>242.76720157669976</v>
      </c>
      <c r="BG77" s="170">
        <f t="shared" si="1764"/>
        <v>248.64599893112384</v>
      </c>
      <c r="BH77" s="170">
        <f t="shared" si="1764"/>
        <v>243.84778358446113</v>
      </c>
      <c r="BI77" s="253">
        <f t="shared" si="1764"/>
        <v>979.10507584171341</v>
      </c>
      <c r="BJ77" s="170">
        <f t="shared" si="1764"/>
        <v>267.06733858270769</v>
      </c>
      <c r="BK77" s="170">
        <f t="shared" si="1764"/>
        <v>265.3501970722067</v>
      </c>
      <c r="BL77" s="170">
        <f t="shared" si="1764"/>
        <v>271.25018065213516</v>
      </c>
      <c r="BM77" s="170">
        <f t="shared" si="1764"/>
        <v>265.52314212530212</v>
      </c>
      <c r="BN77" s="253">
        <f t="shared" si="1764"/>
        <v>1069.1908584323519</v>
      </c>
      <c r="BO77" s="170">
        <f t="shared" si="1764"/>
        <v>290.29058541598658</v>
      </c>
      <c r="BP77" s="170">
        <f t="shared" si="1764"/>
        <v>287.93319256771366</v>
      </c>
      <c r="BQ77" s="170">
        <f t="shared" si="1764"/>
        <v>293.85436237314639</v>
      </c>
      <c r="BR77" s="170">
        <f t="shared" si="1764"/>
        <v>287.1985006661431</v>
      </c>
      <c r="BS77" s="253">
        <f t="shared" si="1764"/>
        <v>1159.2766410229897</v>
      </c>
      <c r="BT77" s="170">
        <f t="shared" ref="BT77:CM77" si="1765">+BT106</f>
        <v>313.51383224926559</v>
      </c>
      <c r="BU77" s="170">
        <f t="shared" si="1765"/>
        <v>310.51618806322068</v>
      </c>
      <c r="BV77" s="170">
        <f t="shared" si="1765"/>
        <v>316.45854409415767</v>
      </c>
      <c r="BW77" s="170">
        <f t="shared" si="1765"/>
        <v>308.87385920698409</v>
      </c>
      <c r="BX77" s="253">
        <f t="shared" si="1765"/>
        <v>1249.3624236136279</v>
      </c>
      <c r="BY77" s="170">
        <f t="shared" si="1765"/>
        <v>335.57591674088059</v>
      </c>
      <c r="BZ77" s="170">
        <f t="shared" si="1765"/>
        <v>330.84088400917693</v>
      </c>
      <c r="CA77" s="170">
        <f t="shared" si="1765"/>
        <v>335.67209855701725</v>
      </c>
      <c r="CB77" s="170">
        <f t="shared" si="1765"/>
        <v>326.2141460396569</v>
      </c>
      <c r="CC77" s="253">
        <f t="shared" si="1765"/>
        <v>1328.3030453467318</v>
      </c>
      <c r="CD77" s="170">
        <f t="shared" si="1765"/>
        <v>354.15451420750378</v>
      </c>
      <c r="CE77" s="170">
        <f t="shared" si="1765"/>
        <v>348.90728040558253</v>
      </c>
      <c r="CF77" s="170">
        <f t="shared" si="1765"/>
        <v>353.75544393382631</v>
      </c>
      <c r="CG77" s="170">
        <f t="shared" si="1765"/>
        <v>343.5544328723297</v>
      </c>
      <c r="CH77" s="253">
        <f t="shared" si="1765"/>
        <v>1400.3716714192421</v>
      </c>
      <c r="CI77" s="170">
        <f t="shared" si="1765"/>
        <v>372.73311167412692</v>
      </c>
      <c r="CJ77" s="170">
        <f t="shared" si="1765"/>
        <v>366.97367680198806</v>
      </c>
      <c r="CK77" s="170">
        <f t="shared" si="1765"/>
        <v>371.83878931063532</v>
      </c>
      <c r="CL77" s="170">
        <f t="shared" si="1765"/>
        <v>360.89471970500256</v>
      </c>
      <c r="CM77" s="253">
        <f t="shared" si="1765"/>
        <v>1472.440297491753</v>
      </c>
    </row>
    <row r="78" spans="1:91">
      <c r="A78" s="161" t="s">
        <v>291</v>
      </c>
      <c r="B78" s="232" t="s">
        <v>294</v>
      </c>
      <c r="C78" s="232" t="s">
        <v>294</v>
      </c>
      <c r="D78" s="232" t="s">
        <v>294</v>
      </c>
      <c r="E78" s="232" t="s">
        <v>294</v>
      </c>
      <c r="F78" s="239" t="s">
        <v>294</v>
      </c>
      <c r="G78" s="158" t="s">
        <v>294</v>
      </c>
      <c r="H78" s="158" t="s">
        <v>294</v>
      </c>
      <c r="I78" s="158" t="s">
        <v>294</v>
      </c>
      <c r="J78" s="158" t="s">
        <v>294</v>
      </c>
      <c r="K78" s="250" t="s">
        <v>294</v>
      </c>
      <c r="L78" s="19">
        <f t="shared" ref="L78" si="1766">+L77/G77-1</f>
        <v>1.4225352112676055</v>
      </c>
      <c r="M78" s="19">
        <f t="shared" ref="M78" si="1767">+M77/H77-1</f>
        <v>1.2947368421052632</v>
      </c>
      <c r="N78" s="19">
        <f t="shared" ref="N78" si="1768">+N77/I77-1</f>
        <v>2.2083333333333335</v>
      </c>
      <c r="O78" s="19">
        <f t="shared" ref="O78" si="1769">+O77/J77-1</f>
        <v>0.84117647058823541</v>
      </c>
      <c r="P78" s="259">
        <f t="shared" ref="P78" si="1770">+P77/K77-1</f>
        <v>1.3402777777777777</v>
      </c>
      <c r="Q78" s="19">
        <f t="shared" ref="Q78" si="1771">+Q77/L77-1</f>
        <v>1.2093023255813953</v>
      </c>
      <c r="R78" s="19">
        <f t="shared" ref="R78" si="1772">+R77/M77-1</f>
        <v>0.8165137614678899</v>
      </c>
      <c r="S78" s="19">
        <f t="shared" ref="S78" si="1773">+S77/N77-1</f>
        <v>0.56818181818181812</v>
      </c>
      <c r="T78" s="19">
        <f t="shared" ref="T78" si="1774">+T77/O77-1</f>
        <v>0.46645367412140559</v>
      </c>
      <c r="U78" s="259">
        <f t="shared" ref="U78" si="1775">+U77/P77-1</f>
        <v>0.69930761622156279</v>
      </c>
      <c r="V78" s="19">
        <f t="shared" ref="V78" si="1776">+V77/Q77-1</f>
        <v>0.31052631578947354</v>
      </c>
      <c r="W78" s="19">
        <f t="shared" ref="W78" si="1777">+W77/R77-1</f>
        <v>0.54040404040404044</v>
      </c>
      <c r="X78" s="19">
        <f t="shared" ref="X78" si="1778">+X77/S77-1</f>
        <v>0.2691511387163561</v>
      </c>
      <c r="Y78" s="19">
        <f t="shared" ref="Y78" si="1779">+Y77/T77-1</f>
        <v>0.40087145969498916</v>
      </c>
      <c r="Z78" s="259">
        <f t="shared" ref="Z78" si="1780">+Z77/U77-1</f>
        <v>0.37601862630966232</v>
      </c>
      <c r="AA78" s="19">
        <f t="shared" ref="AA78" si="1781">+AA77/V77-1</f>
        <v>0.31726907630522083</v>
      </c>
      <c r="AB78" s="19">
        <f t="shared" ref="AB78" si="1782">+AB77/W77-1</f>
        <v>0.14590163934426248</v>
      </c>
      <c r="AC78" s="19">
        <f t="shared" ref="AC78" si="1783">+AC77/X77-1</f>
        <v>0.25285481239804253</v>
      </c>
      <c r="AD78" s="19">
        <f t="shared" ref="AD78" si="1784">+AD77/Y77-1</f>
        <v>0.27371695178849165</v>
      </c>
      <c r="AE78" s="259">
        <f t="shared" ref="AE78" si="1785">+AE77/Z77-1</f>
        <v>0.24450084602368904</v>
      </c>
      <c r="AF78" s="19">
        <f t="shared" ref="AF78" si="1786">+AF77/AA77-1</f>
        <v>0.34756097560975641</v>
      </c>
      <c r="AG78" s="19">
        <f t="shared" ref="AG78" si="1787">+AG77/AB77-1</f>
        <v>0.37482117310443464</v>
      </c>
      <c r="AH78" s="19">
        <f t="shared" ref="AH78" si="1788">+AH77/AC77-1</f>
        <v>0.27994791666666674</v>
      </c>
      <c r="AI78" s="19">
        <f t="shared" ref="AI78" si="1789">+AI77/AD77-1</f>
        <v>0.2588522588522586</v>
      </c>
      <c r="AJ78" s="259">
        <f t="shared" ref="AJ78" si="1790">+AJ77/AE77-1</f>
        <v>0.3116927260367095</v>
      </c>
      <c r="AK78" s="19">
        <f t="shared" ref="AK78" si="1791">+AK77/AF77-1</f>
        <v>0.35064355203619901</v>
      </c>
      <c r="AL78" s="19">
        <f t="shared" ref="AL78" si="1792">+AL77/AG77-1</f>
        <v>0.27343704474505737</v>
      </c>
      <c r="AM78" s="19">
        <f t="shared" ref="AM78" si="1793">+AM77/AH77-1</f>
        <v>0.34612919633774197</v>
      </c>
      <c r="AN78" s="19">
        <f t="shared" ref="AN78" si="1794">+AN77/AI77-1</f>
        <v>0.30965543161978659</v>
      </c>
      <c r="AO78" s="259">
        <f t="shared" ref="AO78" si="1795">+AO77/AJ77-1</f>
        <v>0.31931631251619619</v>
      </c>
      <c r="AP78" s="19">
        <f t="shared" ref="AP78" si="1796">+AP77/AK77-1</f>
        <v>0.15498582081995615</v>
      </c>
      <c r="AQ78" s="19">
        <f t="shared" ref="AQ78" si="1797">+AQ77/AL77-1</f>
        <v>0.16516662812466021</v>
      </c>
      <c r="AR78" s="19">
        <f t="shared" ref="AR78" si="1798">+AR77/AM77-1</f>
        <v>0.25604234287679128</v>
      </c>
      <c r="AS78" s="19">
        <f t="shared" ref="AS78" si="1799">+AS77/AN77-1</f>
        <v>0.25631070729430872</v>
      </c>
      <c r="AT78" s="259">
        <f t="shared" ref="AT78" si="1800">+AT77/AO77-1</f>
        <v>0.2105706787655619</v>
      </c>
      <c r="AU78" s="379">
        <f t="shared" ref="AU78" si="1801">+AU77/AP77-1</f>
        <v>0.24224495781257027</v>
      </c>
      <c r="AV78" s="19">
        <f t="shared" ref="AV78" si="1802">+AV77/AQ77-1</f>
        <v>0.2813383903317046</v>
      </c>
      <c r="AW78" s="19">
        <f t="shared" ref="AW78" si="1803">+AW77/AR77-1</f>
        <v>0.16503514518087781</v>
      </c>
      <c r="AX78" s="19">
        <f t="shared" ref="AX78" si="1804">+AX77/AS77-1</f>
        <v>0.15539208906714608</v>
      </c>
      <c r="AY78" s="259">
        <f t="shared" ref="AY78" si="1805">+AY77/AT77-1</f>
        <v>0.20656357424068506</v>
      </c>
      <c r="AZ78" s="19">
        <f t="shared" ref="AZ78" si="1806">+AZ77/AU77-1</f>
        <v>0.28951612903225787</v>
      </c>
      <c r="BA78" s="19">
        <f t="shared" ref="BA78" si="1807">+BA77/AV77-1</f>
        <v>0.19080882352941164</v>
      </c>
      <c r="BB78" s="19">
        <f t="shared" ref="BB78" si="1808">+BB77/AW77-1</f>
        <v>0.13888888888888862</v>
      </c>
      <c r="BC78" s="19">
        <f t="shared" ref="BC78" si="1809">+BC77/AX77-1</f>
        <v>0.1059210526315788</v>
      </c>
      <c r="BD78" s="259">
        <f t="shared" ref="BD78" si="1810">+BD77/AY77-1</f>
        <v>0.17765510974933973</v>
      </c>
      <c r="BE78" s="19">
        <f t="shared" ref="BE78" si="1811">+BE77/AZ77-1</f>
        <v>0.1038461538461537</v>
      </c>
      <c r="BF78" s="19">
        <f t="shared" ref="BF78" si="1812">+BF77/BA77-1</f>
        <v>0.11582278481012676</v>
      </c>
      <c r="BG78" s="19">
        <f t="shared" ref="BG78" si="1813">+BG77/BB77-1</f>
        <v>0.12750000000000017</v>
      </c>
      <c r="BH78" s="19">
        <f t="shared" ref="BH78" si="1814">+BH77/BC77-1</f>
        <v>0.12500000000000022</v>
      </c>
      <c r="BI78" s="259">
        <f t="shared" ref="BI78" si="1815">+BI77/BD77-1</f>
        <v>0.11801365988999812</v>
      </c>
      <c r="BJ78" s="19">
        <f t="shared" ref="BJ78" si="1816">+BJ77/BE77-1</f>
        <v>9.5238095238095344E-2</v>
      </c>
      <c r="BK78" s="19">
        <f t="shared" ref="BK78" si="1817">+BK77/BF77-1</f>
        <v>9.3023255813953432E-2</v>
      </c>
      <c r="BL78" s="19">
        <f t="shared" ref="BL78" si="1818">+BL77/BG77-1</f>
        <v>9.090909090909105E-2</v>
      </c>
      <c r="BM78" s="19">
        <f t="shared" ref="BM78" si="1819">+BM77/BH77-1</f>
        <v>8.8888888888888795E-2</v>
      </c>
      <c r="BN78" s="259">
        <f t="shared" ref="BN78" si="1820">+BN77/BI77-1</f>
        <v>9.200828880719869E-2</v>
      </c>
      <c r="BO78" s="19">
        <f t="shared" ref="BO78" si="1821">+BO77/BJ77-1</f>
        <v>8.6956521739130377E-2</v>
      </c>
      <c r="BP78" s="19">
        <f t="shared" ref="BP78" si="1822">+BP77/BK77-1</f>
        <v>8.5106382978723527E-2</v>
      </c>
      <c r="BQ78" s="19">
        <f t="shared" ref="BQ78" si="1823">+BQ77/BL77-1</f>
        <v>8.3333333333333259E-2</v>
      </c>
      <c r="BR78" s="19">
        <f t="shared" ref="BR78" si="1824">+BR77/BM77-1</f>
        <v>8.163265306122458E-2</v>
      </c>
      <c r="BS78" s="259">
        <f t="shared" ref="BS78" si="1825">+BS77/BN77-1</f>
        <v>8.4256035187881828E-2</v>
      </c>
      <c r="BT78" s="19">
        <f t="shared" ref="BT78" si="1826">+BT77/BO77-1</f>
        <v>8.0000000000000293E-2</v>
      </c>
      <c r="BU78" s="19">
        <f t="shared" ref="BU78" si="1827">+BU77/BP77-1</f>
        <v>7.8431372549019773E-2</v>
      </c>
      <c r="BV78" s="19">
        <f t="shared" ref="BV78" si="1828">+BV77/BQ77-1</f>
        <v>7.6923076923077094E-2</v>
      </c>
      <c r="BW78" s="19">
        <f t="shared" ref="BW78" si="1829">+BW77/BR77-1</f>
        <v>7.547169811320753E-2</v>
      </c>
      <c r="BX78" s="259">
        <f t="shared" ref="BX78" si="1830">+BX77/BS77-1</f>
        <v>7.7708615357886535E-2</v>
      </c>
      <c r="BY78" s="19">
        <f t="shared" ref="BY78" si="1831">+BY77/BT77-1</f>
        <v>7.0370370370370416E-2</v>
      </c>
      <c r="BZ78" s="19">
        <f t="shared" ref="BZ78" si="1832">+BZ77/BU77-1</f>
        <v>6.5454545454545432E-2</v>
      </c>
      <c r="CA78" s="19">
        <f t="shared" ref="CA78" si="1833">+CA77/BV77-1</f>
        <v>6.0714285714285721E-2</v>
      </c>
      <c r="CB78" s="19">
        <f t="shared" ref="CB78" si="1834">+CB77/BW77-1</f>
        <v>5.6140350877192935E-2</v>
      </c>
      <c r="CC78" s="259">
        <f t="shared" ref="CC78" si="1835">+CC77/BX77-1</f>
        <v>6.3184725457628099E-2</v>
      </c>
      <c r="CD78" s="19">
        <f t="shared" ref="CD78" si="1836">+CD77/BY77-1</f>
        <v>5.5363321799308141E-2</v>
      </c>
      <c r="CE78" s="19">
        <f t="shared" ref="CE78" si="1837">+CE77/BZ77-1</f>
        <v>5.4607508532423354E-2</v>
      </c>
      <c r="CF78" s="19">
        <f t="shared" ref="CF78" si="1838">+CF77/CA77-1</f>
        <v>5.3872053872054071E-2</v>
      </c>
      <c r="CG78" s="19">
        <f t="shared" ref="CG78" si="1839">+CG77/CB77-1</f>
        <v>5.315614617940212E-2</v>
      </c>
      <c r="CH78" s="259">
        <f t="shared" ref="CH78" si="1840">+CH77/CC77-1</f>
        <v>5.4256162646753481E-2</v>
      </c>
      <c r="CI78" s="19">
        <f t="shared" ref="CI78" si="1841">+CI77/CD77-1</f>
        <v>5.2459016393442637E-2</v>
      </c>
      <c r="CJ78" s="19">
        <f t="shared" ref="CJ78" si="1842">+CJ77/CE77-1</f>
        <v>5.1779935275080735E-2</v>
      </c>
      <c r="CK78" s="19">
        <f t="shared" ref="CK78" si="1843">+CK77/CF77-1</f>
        <v>5.1118210862619806E-2</v>
      </c>
      <c r="CL78" s="19">
        <f t="shared" ref="CL78" si="1844">+CL77/CG77-1</f>
        <v>5.0473186119873947E-2</v>
      </c>
      <c r="CM78" s="259">
        <f t="shared" ref="CM78" si="1845">+CM77/CH77-1</f>
        <v>5.1463927429687972E-2</v>
      </c>
    </row>
    <row r="79" spans="1:91">
      <c r="A79" s="161" t="s">
        <v>292</v>
      </c>
      <c r="B79" s="232" t="s">
        <v>294</v>
      </c>
      <c r="C79" s="232" t="s">
        <v>294</v>
      </c>
      <c r="D79" s="232" t="s">
        <v>294</v>
      </c>
      <c r="E79" s="232" t="s">
        <v>294</v>
      </c>
      <c r="F79" s="239" t="s">
        <v>294</v>
      </c>
      <c r="G79" s="147" t="s">
        <v>294</v>
      </c>
      <c r="H79" s="19">
        <f>+H77/G77-1</f>
        <v>0.3380281690140845</v>
      </c>
      <c r="I79" s="19">
        <f t="shared" ref="I79" si="1846">+I77/H77-1</f>
        <v>1.0526315789473717E-2</v>
      </c>
      <c r="J79" s="19">
        <f t="shared" ref="J79" si="1847">+J77/I77-1</f>
        <v>0.77083333333333348</v>
      </c>
      <c r="K79" s="251" t="s">
        <v>294</v>
      </c>
      <c r="L79" s="19">
        <f>+L77/J77-1</f>
        <v>1.1764705882352899E-2</v>
      </c>
      <c r="M79" s="19">
        <f>+M77/L77-1</f>
        <v>0.26744186046511631</v>
      </c>
      <c r="N79" s="19">
        <f t="shared" ref="N79" si="1848">+N77/M77-1</f>
        <v>0.41284403669724767</v>
      </c>
      <c r="O79" s="19">
        <f t="shared" ref="O79" si="1849">+O77/N77-1</f>
        <v>1.6233766233766156E-2</v>
      </c>
      <c r="P79" s="251" t="s">
        <v>294</v>
      </c>
      <c r="Q79" s="19">
        <f>+Q77/O77-1</f>
        <v>0.21405750798722045</v>
      </c>
      <c r="R79" s="19">
        <f>+R77/Q77-1</f>
        <v>4.2105263157894868E-2</v>
      </c>
      <c r="S79" s="19">
        <f t="shared" ref="S79" si="1850">+S77/R77-1</f>
        <v>0.2196969696969695</v>
      </c>
      <c r="T79" s="19">
        <f t="shared" ref="T79" si="1851">+T77/S77-1</f>
        <v>-4.9689440993788803E-2</v>
      </c>
      <c r="U79" s="251" t="s">
        <v>294</v>
      </c>
      <c r="V79" s="19">
        <f>+V77/T77-1</f>
        <v>8.4967320261437829E-2</v>
      </c>
      <c r="W79" s="19">
        <f>+W77/V77-1</f>
        <v>0.22489959839357443</v>
      </c>
      <c r="X79" s="19">
        <f t="shared" ref="X79" si="1852">+X77/W77-1</f>
        <v>4.9180327868851847E-3</v>
      </c>
      <c r="Y79" s="19">
        <f t="shared" ref="Y79" si="1853">+Y77/X77-1</f>
        <v>4.8939641109298604E-2</v>
      </c>
      <c r="Z79" s="251" t="s">
        <v>294</v>
      </c>
      <c r="AA79" s="19">
        <f>+AA77/Y77-1</f>
        <v>2.0217729393467998E-2</v>
      </c>
      <c r="AB79" s="19">
        <f>+AB77/AA77-1</f>
        <v>6.5548780487804992E-2</v>
      </c>
      <c r="AC79" s="19">
        <f t="shared" ref="AC79" si="1854">+AC77/AB77-1</f>
        <v>9.8712446351931105E-2</v>
      </c>
      <c r="AD79" s="19">
        <f t="shared" ref="AD79" si="1855">+AD77/AC77-1</f>
        <v>6.6406250000000222E-2</v>
      </c>
      <c r="AE79" s="251" t="s">
        <v>294</v>
      </c>
      <c r="AF79" s="19">
        <f>+AF77/AD77-1</f>
        <v>7.9365079365079305E-2</v>
      </c>
      <c r="AG79" s="19">
        <f>+AG77/AF77-1</f>
        <v>8.7104072398189958E-2</v>
      </c>
      <c r="AH79" s="19">
        <f t="shared" ref="AH79" si="1856">+AH77/AG77-1</f>
        <v>2.2892819979188461E-2</v>
      </c>
      <c r="AI79" s="19">
        <f t="shared" ref="AI79" si="1857">+AI77/AH77-1</f>
        <v>4.8830111902339768E-2</v>
      </c>
      <c r="AJ79" s="251" t="s">
        <v>294</v>
      </c>
      <c r="AK79" s="19">
        <f>+AK77/AI77-1</f>
        <v>0.15806876818622695</v>
      </c>
      <c r="AL79" s="19">
        <f>+AL77/AK77-1</f>
        <v>2.4962207977109019E-2</v>
      </c>
      <c r="AM79" s="19">
        <f t="shared" ref="AM79" si="1858">+AM77/AL77-1</f>
        <v>8.1283048408487657E-2</v>
      </c>
      <c r="AN79" s="19">
        <f t="shared" ref="AN79" si="1859">+AN77/AM77-1</f>
        <v>2.0411752925572957E-2</v>
      </c>
      <c r="AO79" s="251" t="s">
        <v>294</v>
      </c>
      <c r="AP79" s="19">
        <f>+AP77/AN77-1</f>
        <v>2.1301461816742639E-2</v>
      </c>
      <c r="AQ79" s="19">
        <f>+AQ77/AP77-1</f>
        <v>3.3996901343830155E-2</v>
      </c>
      <c r="AR79" s="19">
        <f t="shared" ref="AR79" si="1860">+AR77/AQ77-1</f>
        <v>0.1656163682115428</v>
      </c>
      <c r="AS79" s="19">
        <f t="shared" ref="AS79" si="1861">+AS77/AR77-1</f>
        <v>2.0629772809420688E-2</v>
      </c>
      <c r="AT79" s="251" t="s">
        <v>294</v>
      </c>
      <c r="AU79" s="379">
        <f>+AU77/AS77-1</f>
        <v>9.866893581480074E-3</v>
      </c>
      <c r="AV79" s="19">
        <f>+AV77/AU77-1</f>
        <v>6.6536770258941447E-2</v>
      </c>
      <c r="AW79" s="19">
        <f t="shared" ref="AW79" si="1862">+AW77/AV77-1</f>
        <v>5.9816864156388982E-2</v>
      </c>
      <c r="AX79" s="19">
        <f t="shared" ref="AX79" si="1863">+AX77/AW77-1</f>
        <v>1.2181967426675211E-2</v>
      </c>
      <c r="AY79" s="251" t="s">
        <v>294</v>
      </c>
      <c r="AZ79" s="19">
        <f>+AZ77/AX77-1</f>
        <v>0.12709759723250214</v>
      </c>
      <c r="BA79" s="19">
        <f>+BA77/AZ77-1</f>
        <v>-1.5102356574605125E-2</v>
      </c>
      <c r="BB79" s="19">
        <f t="shared" ref="BB79" si="1864">+BB77/BA77-1</f>
        <v>1.3608252639021767E-2</v>
      </c>
      <c r="BC79" s="19">
        <f t="shared" ref="BC79" si="1865">+BC77/BB77-1</f>
        <v>-1.711803689357061E-2</v>
      </c>
      <c r="BD79" s="251" t="s">
        <v>294</v>
      </c>
      <c r="BE79" s="19">
        <f>+BE77/BC77-1</f>
        <v>0.12498296759416716</v>
      </c>
      <c r="BF79" s="19">
        <f>+BF77/BE77-1</f>
        <v>-4.4163061938591319E-3</v>
      </c>
      <c r="BG79" s="19">
        <f t="shared" ref="BG79" si="1866">+BG77/BF77-1</f>
        <v>2.4215780864313974E-2</v>
      </c>
      <c r="BH79" s="19">
        <f t="shared" ref="BH79" si="1867">+BH77/BG77-1</f>
        <v>-1.9297376057886395E-2</v>
      </c>
      <c r="BI79" s="251" t="s">
        <v>294</v>
      </c>
      <c r="BJ79" s="19">
        <f>+BJ77/BH77-1</f>
        <v>9.5221513425009396E-2</v>
      </c>
      <c r="BK79" s="19">
        <f>+BK77/BJ77-1</f>
        <v>-6.4296200337100595E-3</v>
      </c>
      <c r="BL79" s="19">
        <f t="shared" ref="BL79" si="1868">+BL77/BK77-1</f>
        <v>2.223470585297127E-2</v>
      </c>
      <c r="BM79" s="19">
        <f t="shared" ref="BM79" si="1869">+BM77/BL77-1</f>
        <v>-2.1113492028149827E-2</v>
      </c>
      <c r="BN79" s="251" t="s">
        <v>294</v>
      </c>
      <c r="BO79" s="19">
        <f>+BO77/BM77-1</f>
        <v>9.3277908254778552E-2</v>
      </c>
      <c r="BP79" s="19">
        <f>+BP77/BO77-1</f>
        <v>-8.120803659184439E-3</v>
      </c>
      <c r="BQ79" s="19">
        <f t="shared" ref="BQ79" si="1870">+BQ77/BP77-1</f>
        <v>2.0564387706152543E-2</v>
      </c>
      <c r="BR79" s="19">
        <f t="shared" ref="BR79" si="1871">+BR77/BQ77-1</f>
        <v>-2.2650205541449253E-2</v>
      </c>
      <c r="BS79" s="251" t="s">
        <v>294</v>
      </c>
      <c r="BT79" s="19">
        <f>+BT77/BR77-1</f>
        <v>9.1627677449866107E-2</v>
      </c>
      <c r="BU79" s="19">
        <f>+BU77/BT77-1</f>
        <v>-9.5614415623664906E-3</v>
      </c>
      <c r="BV79" s="19">
        <f t="shared" ref="BV79" si="1872">+BV77/BU77-1</f>
        <v>1.9137024926143775E-2</v>
      </c>
      <c r="BW79" s="19">
        <f t="shared" ref="BW79" si="1873">+BW77/BV77-1</f>
        <v>-2.3967388552848967E-2</v>
      </c>
      <c r="BX79" s="251" t="s">
        <v>294</v>
      </c>
      <c r="BY79" s="19">
        <f>+BY77/BW77-1</f>
        <v>8.6449716406731492E-2</v>
      </c>
      <c r="BZ79" s="19">
        <f>+BZ77/BY77-1</f>
        <v>-1.4110168505804488E-2</v>
      </c>
      <c r="CA79" s="19">
        <f t="shared" ref="CA79" si="1874">+CA77/BZ77-1</f>
        <v>1.4602834115587493E-2</v>
      </c>
      <c r="CB79" s="19">
        <f t="shared" ref="CB79" si="1875">+CB77/CA77-1</f>
        <v>-2.8176165245839879E-2</v>
      </c>
      <c r="CC79" s="251" t="s">
        <v>294</v>
      </c>
      <c r="CD79" s="19">
        <f>+CD77/CB77-1</f>
        <v>8.5650387964629315E-2</v>
      </c>
      <c r="CE79" s="19">
        <f>+CE77/CD77-1</f>
        <v>-1.4816227356759915E-2</v>
      </c>
      <c r="CF79" s="19">
        <f t="shared" ref="CF79" si="1876">+CF77/CE77-1</f>
        <v>1.3895277629655922E-2</v>
      </c>
      <c r="CG79" s="19">
        <f t="shared" ref="CG79" si="1877">+CG77/CF77-1</f>
        <v>-2.8836336617351965E-2</v>
      </c>
      <c r="CH79" s="251" t="s">
        <v>294</v>
      </c>
      <c r="CI79" s="19">
        <f>+CI77/CG77-1</f>
        <v>8.4931748828985354E-2</v>
      </c>
      <c r="CJ79" s="19">
        <f>+CJ77/CI77-1</f>
        <v>-1.5451900278648178E-2</v>
      </c>
      <c r="CK79" s="19">
        <f t="shared" ref="CK79" si="1878">+CK77/CJ77-1</f>
        <v>1.3257388243877788E-2</v>
      </c>
      <c r="CL79" s="19">
        <f t="shared" ref="CL79" si="1879">+CL77/CK77-1</f>
        <v>-2.9432296791634727E-2</v>
      </c>
      <c r="CM79" s="251" t="s">
        <v>294</v>
      </c>
    </row>
    <row r="80" spans="1:91" s="42" customFormat="1">
      <c r="A80" s="162" t="s">
        <v>435</v>
      </c>
      <c r="B80" s="232" t="s">
        <v>294</v>
      </c>
      <c r="C80" s="232" t="s">
        <v>294</v>
      </c>
      <c r="D80" s="232" t="s">
        <v>294</v>
      </c>
      <c r="E80" s="232" t="s">
        <v>294</v>
      </c>
      <c r="F80" s="239" t="s">
        <v>294</v>
      </c>
      <c r="G80" s="170" t="str">
        <f>+G119</f>
        <v xml:space="preserve">-- </v>
      </c>
      <c r="H80" s="170" t="str">
        <f t="shared" ref="H80:BS80" si="1880">+H119</f>
        <v xml:space="preserve">-- </v>
      </c>
      <c r="I80" s="170" t="str">
        <f t="shared" si="1880"/>
        <v xml:space="preserve">-- </v>
      </c>
      <c r="J80" s="170" t="str">
        <f t="shared" si="1880"/>
        <v xml:space="preserve">-- </v>
      </c>
      <c r="K80" s="253" t="str">
        <f t="shared" si="1880"/>
        <v xml:space="preserve">-- </v>
      </c>
      <c r="L80" s="170" t="str">
        <f t="shared" si="1880"/>
        <v xml:space="preserve">-- </v>
      </c>
      <c r="M80" s="170" t="str">
        <f t="shared" si="1880"/>
        <v xml:space="preserve">-- </v>
      </c>
      <c r="N80" s="170" t="str">
        <f t="shared" si="1880"/>
        <v xml:space="preserve">-- </v>
      </c>
      <c r="O80" s="170" t="str">
        <f t="shared" si="1880"/>
        <v xml:space="preserve">-- </v>
      </c>
      <c r="P80" s="253" t="str">
        <f t="shared" si="1880"/>
        <v xml:space="preserve">-- </v>
      </c>
      <c r="Q80" s="170" t="str">
        <f t="shared" si="1880"/>
        <v xml:space="preserve">-- </v>
      </c>
      <c r="R80" s="170" t="str">
        <f t="shared" si="1880"/>
        <v xml:space="preserve">-- </v>
      </c>
      <c r="S80" s="170" t="str">
        <f t="shared" si="1880"/>
        <v xml:space="preserve">-- </v>
      </c>
      <c r="T80" s="170" t="str">
        <f t="shared" si="1880"/>
        <v xml:space="preserve">-- </v>
      </c>
      <c r="U80" s="253" t="str">
        <f t="shared" si="1880"/>
        <v xml:space="preserve">-- </v>
      </c>
      <c r="V80" s="170" t="str">
        <f t="shared" si="1880"/>
        <v xml:space="preserve">-- </v>
      </c>
      <c r="W80" s="170" t="str">
        <f t="shared" si="1880"/>
        <v xml:space="preserve">-- </v>
      </c>
      <c r="X80" s="170" t="str">
        <f t="shared" si="1880"/>
        <v xml:space="preserve">-- </v>
      </c>
      <c r="Y80" s="170" t="str">
        <f t="shared" si="1880"/>
        <v xml:space="preserve">-- </v>
      </c>
      <c r="Z80" s="253" t="str">
        <f t="shared" si="1880"/>
        <v xml:space="preserve">-- </v>
      </c>
      <c r="AA80" s="170">
        <f t="shared" si="1880"/>
        <v>0.2223</v>
      </c>
      <c r="AB80" s="170">
        <f t="shared" si="1880"/>
        <v>0.31257600000000002</v>
      </c>
      <c r="AC80" s="170">
        <f t="shared" si="1880"/>
        <v>0.54495000000000005</v>
      </c>
      <c r="AD80" s="170">
        <f t="shared" si="1880"/>
        <v>0.9647</v>
      </c>
      <c r="AE80" s="253">
        <f t="shared" si="1880"/>
        <v>2.0445260000000003</v>
      </c>
      <c r="AF80" s="170">
        <f t="shared" si="1880"/>
        <v>1.073925</v>
      </c>
      <c r="AG80" s="170">
        <f t="shared" si="1880"/>
        <v>1.2732060000000001</v>
      </c>
      <c r="AH80" s="170">
        <f t="shared" si="1880"/>
        <v>1.8134999999999999</v>
      </c>
      <c r="AI80" s="170">
        <f t="shared" si="1880"/>
        <v>1.9067400000000001</v>
      </c>
      <c r="AJ80" s="253">
        <f t="shared" si="1880"/>
        <v>6.0673710000000005</v>
      </c>
      <c r="AK80" s="170">
        <f t="shared" si="1880"/>
        <v>2.7440000000000002</v>
      </c>
      <c r="AL80" s="170">
        <f t="shared" si="1880"/>
        <v>3.5625</v>
      </c>
      <c r="AM80" s="170">
        <f t="shared" si="1880"/>
        <v>3.9750000000000001</v>
      </c>
      <c r="AN80" s="170">
        <f t="shared" si="1880"/>
        <v>4.6887499999999998</v>
      </c>
      <c r="AO80" s="253">
        <f t="shared" si="1880"/>
        <v>14.97025</v>
      </c>
      <c r="AP80" s="170">
        <f t="shared" si="1880"/>
        <v>5.5498399999999997</v>
      </c>
      <c r="AQ80" s="170">
        <f t="shared" si="1880"/>
        <v>7.0175000000000001</v>
      </c>
      <c r="AR80" s="170">
        <f t="shared" si="1880"/>
        <v>7.45</v>
      </c>
      <c r="AS80" s="170">
        <f t="shared" si="1880"/>
        <v>8.9257000000000009</v>
      </c>
      <c r="AT80" s="253">
        <f t="shared" si="1880"/>
        <v>28.943040000000003</v>
      </c>
      <c r="AU80" s="356">
        <f t="shared" si="1880"/>
        <v>10.051144131953375</v>
      </c>
      <c r="AV80" s="170">
        <f t="shared" si="1880"/>
        <v>10.533349207165509</v>
      </c>
      <c r="AW80" s="170">
        <f t="shared" si="1880"/>
        <v>10.509225590550447</v>
      </c>
      <c r="AX80" s="170">
        <f t="shared" si="1880"/>
        <v>11.778916860623207</v>
      </c>
      <c r="AY80" s="253">
        <f t="shared" si="1880"/>
        <v>42.872635790292541</v>
      </c>
      <c r="AZ80" s="170">
        <f t="shared" si="1880"/>
        <v>14.046745368480545</v>
      </c>
      <c r="BA80" s="170">
        <f t="shared" si="1880"/>
        <v>14.609373721822237</v>
      </c>
      <c r="BB80" s="170">
        <f t="shared" si="1880"/>
        <v>14.201159483298252</v>
      </c>
      <c r="BC80" s="170">
        <f t="shared" si="1880"/>
        <v>15.768453707977741</v>
      </c>
      <c r="BD80" s="253">
        <f t="shared" si="1880"/>
        <v>58.625732281578777</v>
      </c>
      <c r="BE80" s="170">
        <f t="shared" si="1880"/>
        <v>19.797112922838625</v>
      </c>
      <c r="BF80" s="170">
        <f t="shared" si="1880"/>
        <v>20.530007946157316</v>
      </c>
      <c r="BG80" s="170">
        <f t="shared" si="1880"/>
        <v>19.900426499998449</v>
      </c>
      <c r="BH80" s="170">
        <f t="shared" si="1880"/>
        <v>22.037153856469931</v>
      </c>
      <c r="BI80" s="253">
        <f t="shared" si="1880"/>
        <v>82.264701225464322</v>
      </c>
      <c r="BJ80" s="170">
        <f t="shared" si="1880"/>
        <v>22.766679861264418</v>
      </c>
      <c r="BK80" s="170">
        <f t="shared" si="1880"/>
        <v>23.609509138080906</v>
      </c>
      <c r="BL80" s="170">
        <f t="shared" si="1880"/>
        <v>22.885490474998218</v>
      </c>
      <c r="BM80" s="170">
        <f t="shared" si="1880"/>
        <v>25.342726934940416</v>
      </c>
      <c r="BN80" s="253">
        <f t="shared" si="1880"/>
        <v>94.604406409283953</v>
      </c>
      <c r="BO80" s="170">
        <f t="shared" si="1880"/>
        <v>26.181681840454083</v>
      </c>
      <c r="BP80" s="170">
        <f t="shared" si="1880"/>
        <v>27.15093550879304</v>
      </c>
      <c r="BQ80" s="170">
        <f t="shared" si="1880"/>
        <v>26.318314046247949</v>
      </c>
      <c r="BR80" s="170">
        <f t="shared" si="1880"/>
        <v>29.144135975181477</v>
      </c>
      <c r="BS80" s="253">
        <f t="shared" si="1880"/>
        <v>108.79506737067655</v>
      </c>
      <c r="BT80" s="170">
        <f t="shared" ref="BT80:CM80" si="1881">+BT119</f>
        <v>30.108934116522192</v>
      </c>
      <c r="BU80" s="170">
        <f t="shared" si="1881"/>
        <v>31.223575835111994</v>
      </c>
      <c r="BV80" s="170">
        <f t="shared" si="1881"/>
        <v>30.266061153185142</v>
      </c>
      <c r="BW80" s="170">
        <f t="shared" si="1881"/>
        <v>33.515756371458693</v>
      </c>
      <c r="BX80" s="253">
        <f t="shared" si="1881"/>
        <v>125.11432747627802</v>
      </c>
      <c r="BY80" s="170">
        <f t="shared" si="1881"/>
        <v>34.324184892835305</v>
      </c>
      <c r="BZ80" s="170">
        <f t="shared" si="1881"/>
        <v>35.59487645202767</v>
      </c>
      <c r="CA80" s="170">
        <f t="shared" si="1881"/>
        <v>34.503309714631065</v>
      </c>
      <c r="CB80" s="170">
        <f t="shared" si="1881"/>
        <v>38.207962263462917</v>
      </c>
      <c r="CC80" s="253">
        <f t="shared" si="1881"/>
        <v>142.63033332295694</v>
      </c>
      <c r="CD80" s="170">
        <f t="shared" si="1881"/>
        <v>38.786328928903892</v>
      </c>
      <c r="CE80" s="170">
        <f t="shared" si="1881"/>
        <v>40.222210390791268</v>
      </c>
      <c r="CF80" s="170">
        <f t="shared" si="1881"/>
        <v>38.988739977533093</v>
      </c>
      <c r="CG80" s="170">
        <f t="shared" si="1881"/>
        <v>43.174997357713096</v>
      </c>
      <c r="CH80" s="253">
        <f t="shared" si="1881"/>
        <v>161.17227665494136</v>
      </c>
      <c r="CI80" s="170">
        <f t="shared" si="1881"/>
        <v>43.440688400372366</v>
      </c>
      <c r="CJ80" s="170">
        <f t="shared" si="1881"/>
        <v>45.048875637686223</v>
      </c>
      <c r="CK80" s="170">
        <f t="shared" si="1881"/>
        <v>43.667388774837072</v>
      </c>
      <c r="CL80" s="170">
        <f t="shared" si="1881"/>
        <v>48.35599704063867</v>
      </c>
      <c r="CM80" s="253">
        <f t="shared" si="1881"/>
        <v>180.51294985353434</v>
      </c>
    </row>
    <row r="81" spans="1:93">
      <c r="A81" s="161" t="s">
        <v>291</v>
      </c>
      <c r="B81" s="232" t="s">
        <v>294</v>
      </c>
      <c r="C81" s="232" t="s">
        <v>294</v>
      </c>
      <c r="D81" s="232" t="s">
        <v>294</v>
      </c>
      <c r="E81" s="232" t="s">
        <v>294</v>
      </c>
      <c r="F81" s="239" t="s">
        <v>294</v>
      </c>
      <c r="G81" s="158" t="s">
        <v>294</v>
      </c>
      <c r="H81" s="158" t="s">
        <v>294</v>
      </c>
      <c r="I81" s="158" t="s">
        <v>294</v>
      </c>
      <c r="J81" s="158" t="s">
        <v>294</v>
      </c>
      <c r="K81" s="250" t="s">
        <v>294</v>
      </c>
      <c r="L81" s="158" t="s">
        <v>294</v>
      </c>
      <c r="M81" s="158" t="s">
        <v>294</v>
      </c>
      <c r="N81" s="158" t="s">
        <v>294</v>
      </c>
      <c r="O81" s="158" t="s">
        <v>294</v>
      </c>
      <c r="P81" s="250" t="s">
        <v>294</v>
      </c>
      <c r="Q81" s="158" t="s">
        <v>294</v>
      </c>
      <c r="R81" s="158" t="s">
        <v>294</v>
      </c>
      <c r="S81" s="158" t="s">
        <v>294</v>
      </c>
      <c r="T81" s="158" t="s">
        <v>294</v>
      </c>
      <c r="U81" s="250" t="s">
        <v>294</v>
      </c>
      <c r="V81" s="158" t="s">
        <v>294</v>
      </c>
      <c r="W81" s="158" t="s">
        <v>294</v>
      </c>
      <c r="X81" s="158" t="s">
        <v>294</v>
      </c>
      <c r="Y81" s="158" t="s">
        <v>294</v>
      </c>
      <c r="Z81" s="250" t="s">
        <v>294</v>
      </c>
      <c r="AA81" s="158" t="s">
        <v>294</v>
      </c>
      <c r="AB81" s="158" t="s">
        <v>294</v>
      </c>
      <c r="AC81" s="158" t="s">
        <v>294</v>
      </c>
      <c r="AD81" s="158" t="s">
        <v>294</v>
      </c>
      <c r="AE81" s="250" t="s">
        <v>294</v>
      </c>
      <c r="AF81" s="19">
        <f t="shared" ref="AF81" si="1882">+AF80/AA80-1</f>
        <v>3.8309716599190287</v>
      </c>
      <c r="AG81" s="19">
        <f t="shared" ref="AG81" si="1883">+AG80/AB80-1</f>
        <v>3.0732685810810807</v>
      </c>
      <c r="AH81" s="19">
        <f t="shared" ref="AH81" si="1884">+AH80/AC80-1</f>
        <v>2.3278282411230382</v>
      </c>
      <c r="AI81" s="19">
        <f t="shared" ref="AI81" si="1885">+AI80/AD80-1</f>
        <v>0.97651083238312442</v>
      </c>
      <c r="AJ81" s="259">
        <f t="shared" ref="AJ81" si="1886">+AJ80/AE80-1</f>
        <v>1.9676174330871801</v>
      </c>
      <c r="AK81" s="19">
        <f t="shared" ref="AK81" si="1887">+AK80/AF80-1</f>
        <v>1.5551132527876717</v>
      </c>
      <c r="AL81" s="19">
        <f t="shared" ref="AL81" si="1888">+AL80/AG80-1</f>
        <v>1.7980546745774051</v>
      </c>
      <c r="AM81" s="19">
        <f t="shared" ref="AM81" si="1889">+AM80/AH80-1</f>
        <v>1.1918941273779984</v>
      </c>
      <c r="AN81" s="19">
        <f t="shared" ref="AN81" si="1890">+AN80/AI80-1</f>
        <v>1.4590400369216567</v>
      </c>
      <c r="AO81" s="259">
        <f t="shared" ref="AO81" si="1891">+AO80/AJ80-1</f>
        <v>1.467337171239405</v>
      </c>
      <c r="AP81" s="19">
        <f t="shared" ref="AP81" si="1892">+AP80/AK80-1</f>
        <v>1.0225364431486876</v>
      </c>
      <c r="AQ81" s="19">
        <f t="shared" ref="AQ81" si="1893">+AQ80/AL80-1</f>
        <v>0.96982456140350881</v>
      </c>
      <c r="AR81" s="19">
        <f t="shared" ref="AR81" si="1894">+AR80/AM80-1</f>
        <v>0.87421383647798745</v>
      </c>
      <c r="AS81" s="19">
        <f t="shared" ref="AS81" si="1895">+AS80/AN80-1</f>
        <v>0.90364169554785412</v>
      </c>
      <c r="AT81" s="259">
        <f t="shared" ref="AT81" si="1896">+AT80/AO80-1</f>
        <v>0.93337051819441919</v>
      </c>
      <c r="AU81" s="379">
        <f t="shared" ref="AU81" si="1897">+AU80/AP80-1</f>
        <v>0.81106917171546855</v>
      </c>
      <c r="AV81" s="19">
        <f t="shared" ref="AV81" si="1898">+AV80/AQ80-1</f>
        <v>0.50101164334385584</v>
      </c>
      <c r="AW81" s="19">
        <f t="shared" ref="AW81" si="1899">+AW80/AR80-1</f>
        <v>0.41063430745643581</v>
      </c>
      <c r="AX81" s="19">
        <f t="shared" ref="AX81" si="1900">+AX80/AS80-1</f>
        <v>0.31966309204019927</v>
      </c>
      <c r="AY81" s="259">
        <f t="shared" ref="AY81" si="1901">+AY80/AT80-1</f>
        <v>0.48127618212504752</v>
      </c>
      <c r="AZ81" s="19">
        <f t="shared" ref="AZ81" si="1902">+AZ80/AU80-1</f>
        <v>0.39752700628626347</v>
      </c>
      <c r="BA81" s="19">
        <f t="shared" ref="BA81" si="1903">+BA80/AV80-1</f>
        <v>0.38696376949925249</v>
      </c>
      <c r="BB81" s="19">
        <f t="shared" ref="BB81" si="1904">+BB80/AW80-1</f>
        <v>0.35130408619903175</v>
      </c>
      <c r="BC81" s="19">
        <f t="shared" ref="BC81" si="1905">+BC80/AX80-1</f>
        <v>0.3387015032503975</v>
      </c>
      <c r="BD81" s="259">
        <f t="shared" ref="BD81" si="1906">+BD80/AY80-1</f>
        <v>0.3674394214608363</v>
      </c>
      <c r="BE81" s="19">
        <f t="shared" ref="BE81" si="1907">+BE80/AZ80-1</f>
        <v>0.40937365941446591</v>
      </c>
      <c r="BF81" s="19">
        <f t="shared" ref="BF81" si="1908">+BF80/BA80-1</f>
        <v>0.40526269894043021</v>
      </c>
      <c r="BG81" s="19">
        <f t="shared" ref="BG81" si="1909">+BG80/BB80-1</f>
        <v>0.40132406254594999</v>
      </c>
      <c r="BH81" s="19">
        <f t="shared" ref="BH81" si="1910">+BH80/BC80-1</f>
        <v>0.39754691643104256</v>
      </c>
      <c r="BI81" s="259">
        <f t="shared" ref="BI81" si="1911">+BI80/BD80-1</f>
        <v>0.403218314277898</v>
      </c>
      <c r="BJ81" s="19">
        <f t="shared" ref="BJ81" si="1912">+BJ80/BE80-1</f>
        <v>0.14999999999999991</v>
      </c>
      <c r="BK81" s="19">
        <f t="shared" ref="BK81" si="1913">+BK80/BF80-1</f>
        <v>0.14999999999999969</v>
      </c>
      <c r="BL81" s="19">
        <f t="shared" ref="BL81" si="1914">+BL80/BG80-1</f>
        <v>0.15000000000000013</v>
      </c>
      <c r="BM81" s="19">
        <f t="shared" ref="BM81" si="1915">+BM80/BH80-1</f>
        <v>0.14999999999999969</v>
      </c>
      <c r="BN81" s="259">
        <f t="shared" ref="BN81" si="1916">+BN80/BI80-1</f>
        <v>0.14999999999999991</v>
      </c>
      <c r="BO81" s="19">
        <f t="shared" ref="BO81" si="1917">+BO80/BJ80-1</f>
        <v>0.15000000000000013</v>
      </c>
      <c r="BP81" s="19">
        <f t="shared" ref="BP81" si="1918">+BP80/BK80-1</f>
        <v>0.14999999999999991</v>
      </c>
      <c r="BQ81" s="19">
        <f t="shared" ref="BQ81" si="1919">+BQ80/BL80-1</f>
        <v>0.14999999999999991</v>
      </c>
      <c r="BR81" s="19">
        <f t="shared" ref="BR81" si="1920">+BR80/BM80-1</f>
        <v>0.14999999999999991</v>
      </c>
      <c r="BS81" s="259">
        <f t="shared" ref="BS81" si="1921">+BS80/BN80-1</f>
        <v>0.15000000000000013</v>
      </c>
      <c r="BT81" s="19">
        <f t="shared" ref="BT81" si="1922">+BT80/BO80-1</f>
        <v>0.14999999999999991</v>
      </c>
      <c r="BU81" s="19">
        <f t="shared" ref="BU81" si="1923">+BU80/BP80-1</f>
        <v>0.14999999999999991</v>
      </c>
      <c r="BV81" s="19">
        <f t="shared" ref="BV81" si="1924">+BV80/BQ80-1</f>
        <v>0.15000000000000013</v>
      </c>
      <c r="BW81" s="19">
        <f t="shared" ref="BW81" si="1925">+BW80/BR80-1</f>
        <v>0.14999999999999969</v>
      </c>
      <c r="BX81" s="259">
        <f t="shared" ref="BX81" si="1926">+BX80/BS80-1</f>
        <v>0.14999999999999991</v>
      </c>
      <c r="BY81" s="19">
        <f t="shared" ref="BY81" si="1927">+BY80/BT80-1</f>
        <v>0.14000000000000012</v>
      </c>
      <c r="BZ81" s="19">
        <f t="shared" ref="BZ81" si="1928">+BZ80/BU80-1</f>
        <v>0.1399999999999999</v>
      </c>
      <c r="CA81" s="19">
        <f t="shared" ref="CA81" si="1929">+CA80/BV80-1</f>
        <v>0.14000000000000012</v>
      </c>
      <c r="CB81" s="19">
        <f t="shared" ref="CB81" si="1930">+CB80/BW80-1</f>
        <v>0.14000000000000012</v>
      </c>
      <c r="CC81" s="259">
        <f t="shared" ref="CC81" si="1931">+CC80/BX80-1</f>
        <v>0.1399999999999999</v>
      </c>
      <c r="CD81" s="19">
        <f t="shared" ref="CD81" si="1932">+CD80/BY80-1</f>
        <v>0.12999999999999989</v>
      </c>
      <c r="CE81" s="19">
        <f t="shared" ref="CE81" si="1933">+CE80/BZ80-1</f>
        <v>0.13000000000000012</v>
      </c>
      <c r="CF81" s="19">
        <f t="shared" ref="CF81" si="1934">+CF80/CA80-1</f>
        <v>0.12999999999999967</v>
      </c>
      <c r="CG81" s="19">
        <f t="shared" ref="CG81" si="1935">+CG80/CB80-1</f>
        <v>0.12999999999999989</v>
      </c>
      <c r="CH81" s="259">
        <f t="shared" ref="CH81" si="1936">+CH80/CC80-1</f>
        <v>0.13000000000000012</v>
      </c>
      <c r="CI81" s="19">
        <f t="shared" ref="CI81" si="1937">+CI80/CD80-1</f>
        <v>0.12000000000000011</v>
      </c>
      <c r="CJ81" s="19">
        <f t="shared" ref="CJ81" si="1938">+CJ80/CE80-1</f>
        <v>0.12000000000000011</v>
      </c>
      <c r="CK81" s="19">
        <f t="shared" ref="CK81" si="1939">+CK80/CF80-1</f>
        <v>0.12000000000000011</v>
      </c>
      <c r="CL81" s="19">
        <f t="shared" ref="CL81" si="1940">+CL80/CG80-1</f>
        <v>0.12000000000000011</v>
      </c>
      <c r="CM81" s="259">
        <f t="shared" ref="CM81" si="1941">+CM80/CH80-1</f>
        <v>0.12000000000000011</v>
      </c>
    </row>
    <row r="82" spans="1:93">
      <c r="A82" s="161" t="s">
        <v>292</v>
      </c>
      <c r="B82" s="232" t="s">
        <v>294</v>
      </c>
      <c r="C82" s="232" t="s">
        <v>294</v>
      </c>
      <c r="D82" s="232" t="s">
        <v>294</v>
      </c>
      <c r="E82" s="232" t="s">
        <v>294</v>
      </c>
      <c r="F82" s="239" t="s">
        <v>294</v>
      </c>
      <c r="G82" s="158" t="s">
        <v>294</v>
      </c>
      <c r="H82" s="158" t="s">
        <v>294</v>
      </c>
      <c r="I82" s="158" t="s">
        <v>294</v>
      </c>
      <c r="J82" s="158" t="s">
        <v>294</v>
      </c>
      <c r="K82" s="250" t="s">
        <v>294</v>
      </c>
      <c r="L82" s="158" t="s">
        <v>294</v>
      </c>
      <c r="M82" s="158" t="s">
        <v>294</v>
      </c>
      <c r="N82" s="158" t="s">
        <v>294</v>
      </c>
      <c r="O82" s="158" t="s">
        <v>294</v>
      </c>
      <c r="P82" s="250" t="s">
        <v>294</v>
      </c>
      <c r="Q82" s="158" t="s">
        <v>294</v>
      </c>
      <c r="R82" s="158" t="s">
        <v>294</v>
      </c>
      <c r="S82" s="158" t="s">
        <v>294</v>
      </c>
      <c r="T82" s="158" t="s">
        <v>294</v>
      </c>
      <c r="U82" s="250" t="s">
        <v>294</v>
      </c>
      <c r="V82" s="158" t="s">
        <v>294</v>
      </c>
      <c r="W82" s="158" t="s">
        <v>294</v>
      </c>
      <c r="X82" s="158" t="s">
        <v>294</v>
      </c>
      <c r="Y82" s="158" t="s">
        <v>294</v>
      </c>
      <c r="Z82" s="250" t="s">
        <v>294</v>
      </c>
      <c r="AA82" s="158" t="s">
        <v>294</v>
      </c>
      <c r="AB82" s="19">
        <f>+AB80/AA80-1</f>
        <v>0.40609986504723361</v>
      </c>
      <c r="AC82" s="19">
        <f t="shared" ref="AC82" si="1942">+AC80/AB80-1</f>
        <v>0.74341600122850116</v>
      </c>
      <c r="AD82" s="19">
        <f t="shared" ref="AD82" si="1943">+AD80/AC80-1</f>
        <v>0.77025415175704182</v>
      </c>
      <c r="AE82" s="251" t="s">
        <v>294</v>
      </c>
      <c r="AF82" s="19">
        <f>+AF80/AD80-1</f>
        <v>0.1132217269617497</v>
      </c>
      <c r="AG82" s="19">
        <f>+AG80/AF80-1</f>
        <v>0.18556323765626104</v>
      </c>
      <c r="AH82" s="19">
        <f t="shared" ref="AH82" si="1944">+AH80/AG80-1</f>
        <v>0.42435709539540323</v>
      </c>
      <c r="AI82" s="19">
        <f t="shared" ref="AI82" si="1945">+AI80/AH80-1</f>
        <v>5.141439205955356E-2</v>
      </c>
      <c r="AJ82" s="251" t="s">
        <v>294</v>
      </c>
      <c r="AK82" s="19">
        <f>+AK80/AI80-1</f>
        <v>0.43910548894972568</v>
      </c>
      <c r="AL82" s="19">
        <f>+AL80/AK80-1</f>
        <v>0.29828717201166177</v>
      </c>
      <c r="AM82" s="19">
        <f t="shared" ref="AM82" si="1946">+AM80/AL80-1</f>
        <v>0.11578947368421044</v>
      </c>
      <c r="AN82" s="19">
        <f t="shared" ref="AN82" si="1947">+AN80/AM80-1</f>
        <v>0.17955974842767297</v>
      </c>
      <c r="AO82" s="251" t="s">
        <v>294</v>
      </c>
      <c r="AP82" s="19">
        <f>+AP80/AN80-1</f>
        <v>0.18365022660623831</v>
      </c>
      <c r="AQ82" s="19">
        <f>+AQ80/AP80-1</f>
        <v>0.26445086705202314</v>
      </c>
      <c r="AR82" s="19">
        <f t="shared" ref="AR82" si="1948">+AR80/AQ80-1</f>
        <v>6.1631635197719969E-2</v>
      </c>
      <c r="AS82" s="19">
        <f t="shared" ref="AS82" si="1949">+AS80/AR80-1</f>
        <v>0.19808053691275185</v>
      </c>
      <c r="AT82" s="251" t="s">
        <v>294</v>
      </c>
      <c r="AU82" s="379">
        <f>+AU80/AS80-1</f>
        <v>0.12609029341714084</v>
      </c>
      <c r="AV82" s="19">
        <f>+AV80/AU80-1</f>
        <v>4.7975142817738181E-2</v>
      </c>
      <c r="AW82" s="19">
        <f t="shared" ref="AW82" si="1950">+AW80/AV80-1</f>
        <v>-2.2902133158797522E-3</v>
      </c>
      <c r="AX82" s="19">
        <f t="shared" ref="AX82" si="1951">+AX80/AW80-1</f>
        <v>0.12081682509645852</v>
      </c>
      <c r="AY82" s="251" t="s">
        <v>294</v>
      </c>
      <c r="AZ82" s="19">
        <f>+AZ80/AX80-1</f>
        <v>0.19253285634765493</v>
      </c>
      <c r="BA82" s="19">
        <f>+BA80/AZ80-1</f>
        <v>4.0054001021772034E-2</v>
      </c>
      <c r="BB82" s="19">
        <f t="shared" ref="BB82" si="1952">+BB80/BA80-1</f>
        <v>-2.7941939627037504E-2</v>
      </c>
      <c r="BC82" s="19">
        <f t="shared" ref="BC82" si="1953">+BC80/BB80-1</f>
        <v>0.11036382110367526</v>
      </c>
      <c r="BD82" s="251" t="s">
        <v>294</v>
      </c>
      <c r="BE82" s="19">
        <f>+BE80/BC80-1</f>
        <v>0.25548853993354226</v>
      </c>
      <c r="BF82" s="19">
        <f>+BF80/BE80-1</f>
        <v>3.7020298170507449E-2</v>
      </c>
      <c r="BG82" s="19">
        <f t="shared" ref="BG82" si="1954">+BG80/BF80-1</f>
        <v>-3.0666400510415137E-2</v>
      </c>
      <c r="BH82" s="19">
        <f t="shared" ref="BH82" si="1955">+BH80/BG80-1</f>
        <v>0.10737093280245258</v>
      </c>
      <c r="BI82" s="251" t="s">
        <v>294</v>
      </c>
      <c r="BJ82" s="19">
        <f>+BJ80/BH80-1</f>
        <v>3.3104365906140076E-2</v>
      </c>
      <c r="BK82" s="19">
        <f>+BK80/BJ80-1</f>
        <v>3.7020298170507004E-2</v>
      </c>
      <c r="BL82" s="19">
        <f t="shared" ref="BL82" si="1956">+BL80/BK80-1</f>
        <v>-3.0666400510414804E-2</v>
      </c>
      <c r="BM82" s="19">
        <f t="shared" ref="BM82" si="1957">+BM80/BL80-1</f>
        <v>0.10737093280245236</v>
      </c>
      <c r="BN82" s="251" t="s">
        <v>294</v>
      </c>
      <c r="BO82" s="19">
        <f>+BO80/BM80-1</f>
        <v>3.3104365906140298E-2</v>
      </c>
      <c r="BP82" s="19">
        <f>+BP80/BO80-1</f>
        <v>3.7020298170507004E-2</v>
      </c>
      <c r="BQ82" s="19">
        <f t="shared" ref="BQ82" si="1958">+BQ80/BP80-1</f>
        <v>-3.0666400510414804E-2</v>
      </c>
      <c r="BR82" s="19">
        <f t="shared" ref="BR82" si="1959">+BR80/BQ80-1</f>
        <v>0.10737093280245236</v>
      </c>
      <c r="BS82" s="251" t="s">
        <v>294</v>
      </c>
      <c r="BT82" s="19">
        <f>+BT80/BR80-1</f>
        <v>3.3104365906140298E-2</v>
      </c>
      <c r="BU82" s="19">
        <f>+BU80/BT80-1</f>
        <v>3.7020298170507004E-2</v>
      </c>
      <c r="BV82" s="19">
        <f t="shared" ref="BV82" si="1960">+BV80/BU80-1</f>
        <v>-3.0666400510414804E-2</v>
      </c>
      <c r="BW82" s="19">
        <f t="shared" ref="BW82" si="1961">+BW80/BV80-1</f>
        <v>0.10737093280245213</v>
      </c>
      <c r="BX82" s="251" t="s">
        <v>294</v>
      </c>
      <c r="BY82" s="19">
        <f>+BY80/BW80-1</f>
        <v>2.4120849680869805E-2</v>
      </c>
      <c r="BZ82" s="19">
        <f>+BZ80/BY80-1</f>
        <v>3.7020298170506782E-2</v>
      </c>
      <c r="CA82" s="19">
        <f t="shared" ref="CA82" si="1962">+CA80/BZ80-1</f>
        <v>-3.0666400510414582E-2</v>
      </c>
      <c r="CB82" s="19">
        <f t="shared" ref="CB82" si="1963">+CB80/CA80-1</f>
        <v>0.10737093280245236</v>
      </c>
      <c r="CC82" s="251" t="s">
        <v>294</v>
      </c>
      <c r="CD82" s="19">
        <f>+CD80/CB80-1</f>
        <v>1.5137333455598867E-2</v>
      </c>
      <c r="CE82" s="19">
        <f>+CE80/CD80-1</f>
        <v>3.7020298170506782E-2</v>
      </c>
      <c r="CF82" s="19">
        <f t="shared" ref="CF82" si="1964">+CF80/CE80-1</f>
        <v>-3.0666400510414804E-2</v>
      </c>
      <c r="CG82" s="19">
        <f t="shared" ref="CG82" si="1965">+CG80/CF80-1</f>
        <v>0.10737093280245258</v>
      </c>
      <c r="CH82" s="251" t="s">
        <v>294</v>
      </c>
      <c r="CI82" s="19">
        <f>+CI80/CG80-1</f>
        <v>6.1538172303281513E-3</v>
      </c>
      <c r="CJ82" s="19">
        <f>+CJ80/CI80-1</f>
        <v>3.7020298170506782E-2</v>
      </c>
      <c r="CK82" s="19">
        <f t="shared" ref="CK82" si="1966">+CK80/CJ80-1</f>
        <v>-3.0666400510414693E-2</v>
      </c>
      <c r="CL82" s="19">
        <f t="shared" ref="CL82" si="1967">+CL80/CK80-1</f>
        <v>0.10737093280245236</v>
      </c>
      <c r="CM82" s="251" t="s">
        <v>294</v>
      </c>
    </row>
    <row r="83" spans="1:93" s="42" customFormat="1">
      <c r="A83" s="162" t="s">
        <v>293</v>
      </c>
      <c r="B83" s="232" t="s">
        <v>294</v>
      </c>
      <c r="C83" s="232" t="s">
        <v>294</v>
      </c>
      <c r="D83" s="232" t="s">
        <v>294</v>
      </c>
      <c r="E83" s="232" t="s">
        <v>294</v>
      </c>
      <c r="F83" s="239" t="s">
        <v>294</v>
      </c>
      <c r="G83" s="170" t="str">
        <f>+G147</f>
        <v xml:space="preserve">-- </v>
      </c>
      <c r="H83" s="170" t="str">
        <f t="shared" ref="H83:BS83" si="1968">+H147</f>
        <v xml:space="preserve">-- </v>
      </c>
      <c r="I83" s="170" t="str">
        <f t="shared" si="1968"/>
        <v xml:space="preserve">-- </v>
      </c>
      <c r="J83" s="170" t="str">
        <f t="shared" si="1968"/>
        <v xml:space="preserve">-- </v>
      </c>
      <c r="K83" s="253" t="str">
        <f t="shared" si="1968"/>
        <v xml:space="preserve">-- </v>
      </c>
      <c r="L83" s="170" t="str">
        <f t="shared" si="1968"/>
        <v xml:space="preserve">-- </v>
      </c>
      <c r="M83" s="170" t="str">
        <f t="shared" si="1968"/>
        <v xml:space="preserve">-- </v>
      </c>
      <c r="N83" s="170" t="str">
        <f t="shared" si="1968"/>
        <v xml:space="preserve">-- </v>
      </c>
      <c r="O83" s="170" t="str">
        <f t="shared" si="1968"/>
        <v xml:space="preserve">-- </v>
      </c>
      <c r="P83" s="253" t="str">
        <f t="shared" si="1968"/>
        <v xml:space="preserve">-- </v>
      </c>
      <c r="Q83" s="170">
        <f t="shared" si="1968"/>
        <v>0</v>
      </c>
      <c r="R83" s="170">
        <f t="shared" si="1968"/>
        <v>0</v>
      </c>
      <c r="S83" s="170">
        <f t="shared" si="1968"/>
        <v>0</v>
      </c>
      <c r="T83" s="170">
        <f t="shared" si="1968"/>
        <v>0</v>
      </c>
      <c r="U83" s="253">
        <f t="shared" si="1968"/>
        <v>0</v>
      </c>
      <c r="V83" s="170">
        <f t="shared" si="1968"/>
        <v>0</v>
      </c>
      <c r="W83" s="170">
        <f t="shared" si="1968"/>
        <v>0</v>
      </c>
      <c r="X83" s="170">
        <f t="shared" si="1968"/>
        <v>0</v>
      </c>
      <c r="Y83" s="170">
        <f t="shared" si="1968"/>
        <v>0</v>
      </c>
      <c r="Z83" s="253">
        <f t="shared" si="1968"/>
        <v>0</v>
      </c>
      <c r="AA83" s="170">
        <f t="shared" si="1968"/>
        <v>0.48734</v>
      </c>
      <c r="AB83" s="170">
        <f t="shared" si="1968"/>
        <v>0.65993999999999997</v>
      </c>
      <c r="AC83" s="170">
        <f t="shared" si="1968"/>
        <v>0.86463999999999996</v>
      </c>
      <c r="AD83" s="170">
        <f t="shared" si="1968"/>
        <v>1.3700699999999999</v>
      </c>
      <c r="AE83" s="253">
        <f t="shared" si="1968"/>
        <v>3.3819900000000001</v>
      </c>
      <c r="AF83" s="170">
        <f t="shared" si="1968"/>
        <v>1.72</v>
      </c>
      <c r="AG83" s="170">
        <f t="shared" si="1968"/>
        <v>2.4914999999999998</v>
      </c>
      <c r="AH83" s="170">
        <f t="shared" si="1968"/>
        <v>2.8673999999999999</v>
      </c>
      <c r="AI83" s="170">
        <f t="shared" si="1968"/>
        <v>3.3534000000000002</v>
      </c>
      <c r="AJ83" s="253">
        <f t="shared" si="1968"/>
        <v>10.4323</v>
      </c>
      <c r="AK83" s="170">
        <f t="shared" si="1968"/>
        <v>3</v>
      </c>
      <c r="AL83" s="170">
        <f t="shared" si="1968"/>
        <v>3.6065</v>
      </c>
      <c r="AM83" s="170">
        <f t="shared" si="1968"/>
        <v>3.9525000000000001</v>
      </c>
      <c r="AN83" s="170">
        <f t="shared" si="1968"/>
        <v>4.7350000000000003</v>
      </c>
      <c r="AO83" s="253">
        <f t="shared" si="1968"/>
        <v>15.294</v>
      </c>
      <c r="AP83" s="170">
        <f t="shared" si="1968"/>
        <v>6.2659450000000003</v>
      </c>
      <c r="AQ83" s="170">
        <f t="shared" si="1968"/>
        <v>8.0835500000000007</v>
      </c>
      <c r="AR83" s="170">
        <f t="shared" si="1968"/>
        <v>9.4250000000000007</v>
      </c>
      <c r="AS83" s="170">
        <f t="shared" si="1968"/>
        <v>9.8149999999999995</v>
      </c>
      <c r="AT83" s="253">
        <f t="shared" si="1968"/>
        <v>33.589494999999999</v>
      </c>
      <c r="AU83" s="356">
        <f t="shared" si="1968"/>
        <v>12.955954231096932</v>
      </c>
      <c r="AV83" s="170">
        <f t="shared" si="1968"/>
        <v>15.558190091234183</v>
      </c>
      <c r="AW83" s="170">
        <f t="shared" si="1968"/>
        <v>18.10551930224921</v>
      </c>
      <c r="AX83" s="170">
        <f t="shared" si="1968"/>
        <v>20.670814899246199</v>
      </c>
      <c r="AY83" s="253">
        <f t="shared" si="1968"/>
        <v>67.290478523826522</v>
      </c>
      <c r="AZ83" s="170">
        <f t="shared" si="1968"/>
        <v>27.881154176562141</v>
      </c>
      <c r="BA83" s="170">
        <f t="shared" si="1968"/>
        <v>34.041898834874686</v>
      </c>
      <c r="BB83" s="170">
        <f t="shared" si="1968"/>
        <v>40.552258386185706</v>
      </c>
      <c r="BC83" s="170">
        <f t="shared" si="1968"/>
        <v>48.796968476548422</v>
      </c>
      <c r="BD83" s="253">
        <f t="shared" si="1968"/>
        <v>151.27227987417095</v>
      </c>
      <c r="BE83" s="170">
        <f t="shared" si="1968"/>
        <v>57.432603039738574</v>
      </c>
      <c r="BF83" s="170">
        <f t="shared" si="1968"/>
        <v>66.716932031191504</v>
      </c>
      <c r="BG83" s="170">
        <f t="shared" si="1968"/>
        <v>74.70709109510608</v>
      </c>
      <c r="BH83" s="170">
        <f t="shared" si="1968"/>
        <v>85.079301995460895</v>
      </c>
      <c r="BI83" s="253">
        <f t="shared" si="1968"/>
        <v>283.93592816149703</v>
      </c>
      <c r="BJ83" s="170">
        <f t="shared" si="1968"/>
        <v>91.317360653465926</v>
      </c>
      <c r="BK83" s="170">
        <f t="shared" si="1968"/>
        <v>94.143250852786366</v>
      </c>
      <c r="BL83" s="170">
        <f t="shared" si="1968"/>
        <v>97.041080341754366</v>
      </c>
      <c r="BM83" s="170">
        <f t="shared" si="1968"/>
        <v>99.894092206442949</v>
      </c>
      <c r="BN83" s="253">
        <f t="shared" si="1968"/>
        <v>382.39578405444962</v>
      </c>
      <c r="BO83" s="170">
        <f t="shared" si="1968"/>
        <v>107.63154673658185</v>
      </c>
      <c r="BP83" s="170">
        <f t="shared" si="1968"/>
        <v>113.42134371799912</v>
      </c>
      <c r="BQ83" s="170">
        <f t="shared" si="1968"/>
        <v>119.36479461211957</v>
      </c>
      <c r="BR83" s="170">
        <f t="shared" si="1968"/>
        <v>125.31755335540834</v>
      </c>
      <c r="BS83" s="253">
        <f t="shared" si="1968"/>
        <v>465.73523842210886</v>
      </c>
      <c r="BT83" s="170">
        <f t="shared" ref="BT83:CM83" si="1969">+BT147</f>
        <v>127.41283946861645</v>
      </c>
      <c r="BU83" s="170">
        <f t="shared" si="1969"/>
        <v>133.73087396065139</v>
      </c>
      <c r="BV83" s="170">
        <f t="shared" si="1969"/>
        <v>140.21232696121649</v>
      </c>
      <c r="BW83" s="170">
        <f t="shared" si="1969"/>
        <v>146.68779622969458</v>
      </c>
      <c r="BX83" s="253">
        <f t="shared" si="1969"/>
        <v>548.04383662017892</v>
      </c>
      <c r="BY83" s="170">
        <f t="shared" si="1969"/>
        <v>146.15033142377462</v>
      </c>
      <c r="BZ83" s="170">
        <f t="shared" si="1969"/>
        <v>152.91874974286378</v>
      </c>
      <c r="CA83" s="170">
        <f t="shared" si="1969"/>
        <v>159.86009919081371</v>
      </c>
      <c r="CB83" s="170">
        <f t="shared" si="1969"/>
        <v>166.7813773010366</v>
      </c>
      <c r="CC83" s="253">
        <f t="shared" si="1969"/>
        <v>625.71055765848871</v>
      </c>
      <c r="CD83" s="170">
        <f t="shared" si="1969"/>
        <v>163.27788759911667</v>
      </c>
      <c r="CE83" s="170">
        <f t="shared" si="1969"/>
        <v>170.4777263324311</v>
      </c>
      <c r="CF83" s="170">
        <f t="shared" si="1969"/>
        <v>177.859626129661</v>
      </c>
      <c r="CG83" s="170">
        <f t="shared" si="1969"/>
        <v>185.20895824536987</v>
      </c>
      <c r="CH83" s="253">
        <f t="shared" si="1969"/>
        <v>696.82419830657864</v>
      </c>
      <c r="CI83" s="170">
        <f t="shared" si="1969"/>
        <v>181.71665402421354</v>
      </c>
      <c r="CJ83" s="170">
        <f t="shared" si="1969"/>
        <v>189.36770682011965</v>
      </c>
      <c r="CK83" s="170">
        <f t="shared" si="1969"/>
        <v>197.21046673678663</v>
      </c>
      <c r="CL83" s="170">
        <f t="shared" si="1969"/>
        <v>205.00705902060446</v>
      </c>
      <c r="CM83" s="253">
        <f t="shared" si="1969"/>
        <v>773.30188660172439</v>
      </c>
    </row>
    <row r="84" spans="1:93">
      <c r="A84" s="161" t="s">
        <v>291</v>
      </c>
      <c r="B84" s="232" t="s">
        <v>294</v>
      </c>
      <c r="C84" s="232" t="s">
        <v>294</v>
      </c>
      <c r="D84" s="232" t="s">
        <v>294</v>
      </c>
      <c r="E84" s="232" t="s">
        <v>294</v>
      </c>
      <c r="F84" s="239" t="s">
        <v>294</v>
      </c>
      <c r="G84" s="158" t="s">
        <v>294</v>
      </c>
      <c r="H84" s="158" t="s">
        <v>294</v>
      </c>
      <c r="I84" s="158" t="s">
        <v>294</v>
      </c>
      <c r="J84" s="158" t="s">
        <v>294</v>
      </c>
      <c r="K84" s="250" t="s">
        <v>294</v>
      </c>
      <c r="L84" s="158" t="s">
        <v>294</v>
      </c>
      <c r="M84" s="158" t="s">
        <v>294</v>
      </c>
      <c r="N84" s="158" t="s">
        <v>294</v>
      </c>
      <c r="O84" s="158" t="s">
        <v>294</v>
      </c>
      <c r="P84" s="250" t="s">
        <v>294</v>
      </c>
      <c r="Q84" s="158" t="s">
        <v>294</v>
      </c>
      <c r="R84" s="158" t="s">
        <v>294</v>
      </c>
      <c r="S84" s="158" t="s">
        <v>294</v>
      </c>
      <c r="T84" s="158" t="s">
        <v>294</v>
      </c>
      <c r="U84" s="250" t="s">
        <v>294</v>
      </c>
      <c r="V84" s="158" t="s">
        <v>294</v>
      </c>
      <c r="W84" s="158" t="s">
        <v>294</v>
      </c>
      <c r="X84" s="158" t="s">
        <v>294</v>
      </c>
      <c r="Y84" s="158" t="s">
        <v>294</v>
      </c>
      <c r="Z84" s="250" t="s">
        <v>294</v>
      </c>
      <c r="AA84" s="158" t="s">
        <v>294</v>
      </c>
      <c r="AB84" s="158" t="s">
        <v>294</v>
      </c>
      <c r="AC84" s="158" t="s">
        <v>294</v>
      </c>
      <c r="AD84" s="158" t="s">
        <v>294</v>
      </c>
      <c r="AE84" s="250" t="s">
        <v>294</v>
      </c>
      <c r="AF84" s="158" t="s">
        <v>294</v>
      </c>
      <c r="AG84" s="19">
        <f t="shared" ref="AG84" si="1970">+AG83/AB83-1</f>
        <v>2.7753432130193652</v>
      </c>
      <c r="AH84" s="19">
        <f t="shared" ref="AH84" si="1971">+AH83/AC83-1</f>
        <v>2.3162934863064399</v>
      </c>
      <c r="AI84" s="19">
        <f t="shared" ref="AI84" si="1972">+AI83/AD83-1</f>
        <v>1.4476121658017478</v>
      </c>
      <c r="AJ84" s="259">
        <f t="shared" ref="AJ84" si="1973">+AJ83/AE83-1</f>
        <v>2.0846631716829438</v>
      </c>
      <c r="AK84" s="19">
        <f t="shared" ref="AK84" si="1974">+AK83/AF83-1</f>
        <v>0.7441860465116279</v>
      </c>
      <c r="AL84" s="19">
        <f t="shared" ref="AL84" si="1975">+AL83/AG83-1</f>
        <v>0.44752157334938802</v>
      </c>
      <c r="AM84" s="19">
        <f t="shared" ref="AM84" si="1976">+AM83/AH83-1</f>
        <v>0.37842644904791811</v>
      </c>
      <c r="AN84" s="19">
        <f t="shared" ref="AN84" si="1977">+AN83/AI83-1</f>
        <v>0.41199976143615435</v>
      </c>
      <c r="AO84" s="259">
        <f t="shared" ref="AO84" si="1978">+AO83/AJ83-1</f>
        <v>0.46602379149372641</v>
      </c>
      <c r="AP84" s="19">
        <f t="shared" ref="AP84" si="1979">+AP83/AK83-1</f>
        <v>1.0886483333333334</v>
      </c>
      <c r="AQ84" s="19">
        <f t="shared" ref="AQ84" si="1980">+AQ83/AL83-1</f>
        <v>1.2413836129211147</v>
      </c>
      <c r="AR84" s="19">
        <f t="shared" ref="AR84" si="1981">+AR83/AM83-1</f>
        <v>1.3845667299177737</v>
      </c>
      <c r="AS84" s="19">
        <f t="shared" ref="AS84" si="1982">+AS83/AN83-1</f>
        <v>1.0728616684266101</v>
      </c>
      <c r="AT84" s="259">
        <f t="shared" ref="AT84" si="1983">+AT83/AO83-1</f>
        <v>1.1962531057931214</v>
      </c>
      <c r="AU84" s="379">
        <f t="shared" ref="AU84" si="1984">+AU83/AP83-1</f>
        <v>1.0676776178368836</v>
      </c>
      <c r="AV84" s="19">
        <f t="shared" ref="AV84" si="1985">+AV83/AQ83-1</f>
        <v>0.9246729581971016</v>
      </c>
      <c r="AW84" s="19">
        <f t="shared" ref="AW84" si="1986">+AW83/AR83-1</f>
        <v>0.92101000554368251</v>
      </c>
      <c r="AX84" s="19">
        <f t="shared" ref="AX84" si="1987">+AX83/AS83-1</f>
        <v>1.1060432908045033</v>
      </c>
      <c r="AY84" s="259">
        <f t="shared" ref="AY84" si="1988">+AY83/AT83-1</f>
        <v>1.0033191485560149</v>
      </c>
      <c r="AZ84" s="19">
        <f t="shared" ref="AZ84" si="1989">+AZ83/AU83-1</f>
        <v>1.1519954207341736</v>
      </c>
      <c r="BA84" s="19">
        <f t="shared" ref="BA84" si="1990">+BA83/AV83-1</f>
        <v>1.18803720967869</v>
      </c>
      <c r="BB84" s="19">
        <f t="shared" ref="BB84" si="1991">+BB83/AW83-1</f>
        <v>1.2397732817941316</v>
      </c>
      <c r="BC84" s="19">
        <f t="shared" ref="BC84" si="1992">+BC83/AX83-1</f>
        <v>1.3606698001213244</v>
      </c>
      <c r="BD84" s="259">
        <f t="shared" ref="BD84" si="1993">+BD83/AY83-1</f>
        <v>1.2480488056063943</v>
      </c>
      <c r="BE84" s="19">
        <f t="shared" ref="BE84" si="1994">+BE83/AZ83-1</f>
        <v>1.0599076593471297</v>
      </c>
      <c r="BF84" s="19">
        <f t="shared" ref="BF84" si="1995">+BF83/BA83-1</f>
        <v>0.95984755006798972</v>
      </c>
      <c r="BG84" s="19">
        <f t="shared" ref="BG84" si="1996">+BG83/BB83-1</f>
        <v>0.84224243157208134</v>
      </c>
      <c r="BH84" s="19">
        <f t="shared" ref="BH84" si="1997">+BH83/BC83-1</f>
        <v>0.74353663048452656</v>
      </c>
      <c r="BI84" s="259">
        <f t="shared" ref="BI84" si="1998">+BI83/BD83-1</f>
        <v>0.87698584563990423</v>
      </c>
      <c r="BJ84" s="19">
        <f t="shared" ref="BJ84" si="1999">+BJ83/BE83-1</f>
        <v>0.58999167407198883</v>
      </c>
      <c r="BK84" s="19">
        <f t="shared" ref="BK84" si="2000">+BK83/BF83-1</f>
        <v>0.41108483238966254</v>
      </c>
      <c r="BL84" s="19">
        <f t="shared" ref="BL84" si="2001">+BL83/BG83-1</f>
        <v>0.29895407409473274</v>
      </c>
      <c r="BM84" s="19">
        <f t="shared" ref="BM84" si="2002">+BM83/BH83-1</f>
        <v>0.17412919315878317</v>
      </c>
      <c r="BN84" s="259">
        <f t="shared" ref="BN84" si="2003">+BN83/BI83-1</f>
        <v>0.34676786601289367</v>
      </c>
      <c r="BO84" s="19">
        <f t="shared" ref="BO84" si="2004">+BO83/BJ83-1</f>
        <v>0.17865371892454851</v>
      </c>
      <c r="BP84" s="19">
        <f t="shared" ref="BP84" si="2005">+BP83/BK83-1</f>
        <v>0.20477402990213589</v>
      </c>
      <c r="BQ84" s="19">
        <f t="shared" ref="BQ84" si="2006">+BQ83/BL83-1</f>
        <v>0.23004395861780047</v>
      </c>
      <c r="BR84" s="19">
        <f t="shared" ref="BR84" si="2007">+BR83/BM83-1</f>
        <v>0.2545041512207229</v>
      </c>
      <c r="BS84" s="259">
        <f t="shared" ref="BS84" si="2008">+BS83/BN83-1</f>
        <v>0.2179403064647607</v>
      </c>
      <c r="BT84" s="19">
        <f t="shared" ref="BT84" si="2009">+BT83/BO83-1</f>
        <v>0.18378712683974952</v>
      </c>
      <c r="BU84" s="19">
        <f t="shared" ref="BU84" si="2010">+BU83/BP83-1</f>
        <v>0.17906268412009041</v>
      </c>
      <c r="BV84" s="19">
        <f t="shared" ref="BV84" si="2011">+BV83/BQ83-1</f>
        <v>0.17465394563649839</v>
      </c>
      <c r="BW84" s="19">
        <f t="shared" ref="BW84" si="2012">+BW83/BR83-1</f>
        <v>0.17052872723806622</v>
      </c>
      <c r="BX84" s="259">
        <f t="shared" ref="BX84" si="2013">+BX83/BS83-1</f>
        <v>0.1767283027089126</v>
      </c>
      <c r="BY84" s="19">
        <f t="shared" ref="BY84" si="2014">+BY83/BT83-1</f>
        <v>0.14706125405653059</v>
      </c>
      <c r="BZ84" s="19">
        <f t="shared" ref="BZ84" si="2015">+BZ83/BU83-1</f>
        <v>0.14348127110765896</v>
      </c>
      <c r="CA84" s="19">
        <f t="shared" ref="CA84" si="2016">+CA83/BV83-1</f>
        <v>0.14012870804884292</v>
      </c>
      <c r="CB84" s="19">
        <f t="shared" ref="CB84" si="2017">+CB83/BW83-1</f>
        <v>0.13698195478973596</v>
      </c>
      <c r="CC84" s="259">
        <f t="shared" ref="CC84" si="2018">+CC83/BX83-1</f>
        <v>0.14171625670910815</v>
      </c>
      <c r="CD84" s="19">
        <f t="shared" ref="CD84" si="2019">+CD83/BY83-1</f>
        <v>0.11719136048812184</v>
      </c>
      <c r="CE84" s="19">
        <f t="shared" ref="CE84" si="2020">+CE83/BZ83-1</f>
        <v>0.11482553067621293</v>
      </c>
      <c r="CF84" s="19">
        <f t="shared" ref="CF84" si="2021">+CF83/CA83-1</f>
        <v>0.11259549462284846</v>
      </c>
      <c r="CG84" s="19">
        <f t="shared" ref="CG84" si="2022">+CG83/CB83-1</f>
        <v>0.11048943978362713</v>
      </c>
      <c r="CH84" s="259">
        <f t="shared" ref="CH84" si="2023">+CH83/CC83-1</f>
        <v>0.11365261426019213</v>
      </c>
      <c r="CI84" s="19">
        <f t="shared" ref="CI84" si="2024">+CI83/CD83-1</f>
        <v>0.11292874189043967</v>
      </c>
      <c r="CJ84" s="19">
        <f t="shared" ref="CJ84" si="2025">+CJ83/CE83-1</f>
        <v>0.11080614983598003</v>
      </c>
      <c r="CK84" s="19">
        <f t="shared" ref="CK84" si="2026">+CK83/CF83-1</f>
        <v>0.10879838796590469</v>
      </c>
      <c r="CL84" s="19">
        <f t="shared" ref="CL84" si="2027">+CL83/CG83-1</f>
        <v>0.10689602146028765</v>
      </c>
      <c r="CM84" s="259">
        <f t="shared" ref="CM84" si="2028">+CM83/CH83-1</f>
        <v>0.10975176878329096</v>
      </c>
    </row>
    <row r="85" spans="1:93">
      <c r="A85" s="161" t="s">
        <v>292</v>
      </c>
      <c r="B85" s="232" t="s">
        <v>294</v>
      </c>
      <c r="C85" s="232" t="s">
        <v>294</v>
      </c>
      <c r="D85" s="232" t="s">
        <v>294</v>
      </c>
      <c r="E85" s="232" t="s">
        <v>294</v>
      </c>
      <c r="F85" s="239" t="s">
        <v>294</v>
      </c>
      <c r="G85" s="158" t="s">
        <v>294</v>
      </c>
      <c r="H85" s="158" t="s">
        <v>294</v>
      </c>
      <c r="I85" s="158" t="s">
        <v>294</v>
      </c>
      <c r="J85" s="158" t="s">
        <v>294</v>
      </c>
      <c r="K85" s="250" t="s">
        <v>294</v>
      </c>
      <c r="L85" s="158" t="s">
        <v>294</v>
      </c>
      <c r="M85" s="158" t="s">
        <v>294</v>
      </c>
      <c r="N85" s="158" t="s">
        <v>294</v>
      </c>
      <c r="O85" s="158" t="s">
        <v>294</v>
      </c>
      <c r="P85" s="250" t="s">
        <v>294</v>
      </c>
      <c r="Q85" s="158" t="s">
        <v>294</v>
      </c>
      <c r="R85" s="158" t="s">
        <v>294</v>
      </c>
      <c r="S85" s="158" t="s">
        <v>294</v>
      </c>
      <c r="T85" s="158" t="s">
        <v>294</v>
      </c>
      <c r="U85" s="250" t="s">
        <v>294</v>
      </c>
      <c r="V85" s="158" t="s">
        <v>294</v>
      </c>
      <c r="W85" s="158" t="s">
        <v>294</v>
      </c>
      <c r="X85" s="158" t="s">
        <v>294</v>
      </c>
      <c r="Y85" s="158" t="s">
        <v>294</v>
      </c>
      <c r="Z85" s="250" t="s">
        <v>294</v>
      </c>
      <c r="AA85" s="158" t="s">
        <v>294</v>
      </c>
      <c r="AB85" s="158" t="s">
        <v>294</v>
      </c>
      <c r="AC85" s="19">
        <f t="shared" ref="AC85" si="2029">+AC83/AB83-1</f>
        <v>0.31017971330727034</v>
      </c>
      <c r="AD85" s="19">
        <f t="shared" ref="AD85" si="2030">+AD83/AC83-1</f>
        <v>0.58455542190969645</v>
      </c>
      <c r="AE85" s="251" t="s">
        <v>294</v>
      </c>
      <c r="AF85" s="19">
        <f>+AF83/AD83-1</f>
        <v>0.25541030750253646</v>
      </c>
      <c r="AG85" s="19">
        <f>+AG83/AF83-1</f>
        <v>0.44854651162790682</v>
      </c>
      <c r="AH85" s="19">
        <f t="shared" ref="AH85" si="2031">+AH83/AG83-1</f>
        <v>0.15087296809151129</v>
      </c>
      <c r="AI85" s="19">
        <f t="shared" ref="AI85" si="2032">+AI83/AH83-1</f>
        <v>0.16949152542372881</v>
      </c>
      <c r="AJ85" s="251" t="s">
        <v>294</v>
      </c>
      <c r="AK85" s="19">
        <f>+AK83/AI83-1</f>
        <v>-0.10538557881553057</v>
      </c>
      <c r="AL85" s="19">
        <f>+AL83/AK83-1</f>
        <v>0.20216666666666661</v>
      </c>
      <c r="AM85" s="19">
        <f t="shared" ref="AM85" si="2033">+AM83/AL83-1</f>
        <v>9.5937889920975961E-2</v>
      </c>
      <c r="AN85" s="19">
        <f t="shared" ref="AN85" si="2034">+AN83/AM83-1</f>
        <v>0.19797596457938016</v>
      </c>
      <c r="AO85" s="251" t="s">
        <v>294</v>
      </c>
      <c r="AP85" s="19">
        <f>+AP83/AN83-1</f>
        <v>0.32332523759239695</v>
      </c>
      <c r="AQ85" s="19">
        <f>+AQ83/AP83-1</f>
        <v>0.29007675617963447</v>
      </c>
      <c r="AR85" s="19">
        <f t="shared" ref="AR85" si="2035">+AR83/AQ83-1</f>
        <v>0.16594812922540214</v>
      </c>
      <c r="AS85" s="19">
        <f t="shared" ref="AS85" si="2036">+AS83/AR83-1</f>
        <v>4.1379310344827447E-2</v>
      </c>
      <c r="AT85" s="251" t="s">
        <v>294</v>
      </c>
      <c r="AU85" s="379">
        <f>+AU83/AS83-1</f>
        <v>0.32001571381527594</v>
      </c>
      <c r="AV85" s="19">
        <f>+AV83/AU83-1</f>
        <v>0.20085250485767792</v>
      </c>
      <c r="AW85" s="19">
        <f t="shared" ref="AW85" si="2037">+AW83/AV83-1</f>
        <v>0.16372914818994566</v>
      </c>
      <c r="AX85" s="19">
        <f t="shared" ref="AX85" si="2038">+AX83/AW83-1</f>
        <v>0.14168583370477017</v>
      </c>
      <c r="AY85" s="251" t="s">
        <v>294</v>
      </c>
      <c r="AZ85" s="19">
        <f>+AZ83/AX83-1</f>
        <v>0.34881736943901909</v>
      </c>
      <c r="BA85" s="19">
        <f>+BA83/AZ83-1</f>
        <v>0.22096447727015112</v>
      </c>
      <c r="BB85" s="19">
        <f t="shared" ref="BB85" si="2039">+BB83/BA83-1</f>
        <v>0.19124548788804319</v>
      </c>
      <c r="BC85" s="19">
        <f t="shared" ref="BC85" si="2040">+BC83/BB83-1</f>
        <v>0.2033107505837779</v>
      </c>
      <c r="BD85" s="251" t="s">
        <v>294</v>
      </c>
      <c r="BE85" s="19">
        <f>+BE83/BC83-1</f>
        <v>0.17697071832116773</v>
      </c>
      <c r="BF85" s="19">
        <f>+BF83/BE83-1</f>
        <v>0.16165607163981321</v>
      </c>
      <c r="BG85" s="19">
        <f t="shared" ref="BG85" si="2041">+BG83/BF83-1</f>
        <v>0.11976208768381347</v>
      </c>
      <c r="BH85" s="19">
        <f t="shared" ref="BH85" si="2042">+BH83/BG83-1</f>
        <v>0.13883837194451121</v>
      </c>
      <c r="BI85" s="251" t="s">
        <v>294</v>
      </c>
      <c r="BJ85" s="19">
        <f>+BJ83/BH83-1</f>
        <v>7.3320519934893635E-2</v>
      </c>
      <c r="BK85" s="19">
        <f>+BK83/BJ83-1</f>
        <v>3.0945815550278866E-2</v>
      </c>
      <c r="BL85" s="19">
        <f t="shared" ref="BL85" si="2043">+BL83/BK83-1</f>
        <v>3.0781064629894717E-2</v>
      </c>
      <c r="BM85" s="19">
        <f t="shared" ref="BM85" si="2044">+BM83/BL83-1</f>
        <v>2.9400042277363259E-2</v>
      </c>
      <c r="BN85" s="251" t="s">
        <v>294</v>
      </c>
      <c r="BO85" s="19">
        <f>+BO83/BM83-1</f>
        <v>7.7456577853958875E-2</v>
      </c>
      <c r="BP85" s="19">
        <f>+BP83/BO83-1</f>
        <v>5.3792750889172458E-2</v>
      </c>
      <c r="BQ85" s="19">
        <f t="shared" ref="BQ85" si="2045">+BQ83/BP83-1</f>
        <v>5.2401520730504858E-2</v>
      </c>
      <c r="BR85" s="19">
        <f t="shared" ref="BR85" si="2046">+BR83/BQ83-1</f>
        <v>4.9870305248984614E-2</v>
      </c>
      <c r="BS85" s="251" t="s">
        <v>294</v>
      </c>
      <c r="BT85" s="19">
        <f>+BT83/BR83-1</f>
        <v>1.6719813442780396E-2</v>
      </c>
      <c r="BU85" s="19">
        <f>+BU83/BT83-1</f>
        <v>4.9587110046245941E-2</v>
      </c>
      <c r="BV85" s="19">
        <f t="shared" ref="BV85" si="2047">+BV83/BU83-1</f>
        <v>4.8466392304234773E-2</v>
      </c>
      <c r="BW85" s="19">
        <f t="shared" ref="BW85" si="2048">+BW83/BV83-1</f>
        <v>4.6183309333916345E-2</v>
      </c>
      <c r="BX85" s="251" t="s">
        <v>294</v>
      </c>
      <c r="BY85" s="19">
        <f>+BY83/BW83-1</f>
        <v>-3.6640049120266749E-3</v>
      </c>
      <c r="BZ85" s="19">
        <f>+BZ83/BY83-1</f>
        <v>4.6311344306593449E-2</v>
      </c>
      <c r="CA85" s="19">
        <f t="shared" ref="CA85" si="2049">+CA83/BZ83-1</f>
        <v>4.5392402564250478E-2</v>
      </c>
      <c r="CB85" s="19">
        <f t="shared" ref="CB85" si="2050">+CB83/CA83-1</f>
        <v>4.3295845212515838E-2</v>
      </c>
      <c r="CC85" s="251" t="s">
        <v>294</v>
      </c>
      <c r="CD85" s="19">
        <f>+CD83/CB83-1</f>
        <v>-2.1006480211493983E-2</v>
      </c>
      <c r="CE85" s="19">
        <f>+CE83/CD83-1</f>
        <v>4.4095614165413632E-2</v>
      </c>
      <c r="CF85" s="19">
        <f t="shared" ref="CF85" si="2051">+CF83/CE83-1</f>
        <v>4.3301256745031935E-2</v>
      </c>
      <c r="CG85" s="19">
        <f t="shared" ref="CG85" si="2052">+CG83/CF83-1</f>
        <v>4.1320969101504623E-2</v>
      </c>
      <c r="CH85" s="251" t="s">
        <v>294</v>
      </c>
      <c r="CI85" s="19">
        <f>+CI83/CG83-1</f>
        <v>-1.8856022161355845E-2</v>
      </c>
      <c r="CJ85" s="19">
        <f>+CJ83/CI83-1</f>
        <v>4.210430154016942E-2</v>
      </c>
      <c r="CK85" s="19">
        <f t="shared" ref="CK85" si="2053">+CK83/CJ83-1</f>
        <v>4.141550873886235E-2</v>
      </c>
      <c r="CL85" s="19">
        <f t="shared" ref="CL85" si="2054">+CL83/CK83-1</f>
        <v>3.9534373671067824E-2</v>
      </c>
      <c r="CM85" s="251" t="s">
        <v>294</v>
      </c>
    </row>
    <row r="86" spans="1:93" s="42" customFormat="1">
      <c r="A86" s="162" t="s">
        <v>364</v>
      </c>
      <c r="B86" s="232" t="s">
        <v>294</v>
      </c>
      <c r="C86" s="232" t="s">
        <v>294</v>
      </c>
      <c r="D86" s="232" t="s">
        <v>294</v>
      </c>
      <c r="E86" s="232" t="s">
        <v>294</v>
      </c>
      <c r="F86" s="239" t="s">
        <v>294</v>
      </c>
      <c r="G86" s="170" t="str">
        <f>+G168</f>
        <v xml:space="preserve">-- </v>
      </c>
      <c r="H86" s="170" t="str">
        <f t="shared" ref="H86:BS86" si="2055">+H168</f>
        <v xml:space="preserve">-- </v>
      </c>
      <c r="I86" s="170" t="str">
        <f t="shared" si="2055"/>
        <v xml:space="preserve">-- </v>
      </c>
      <c r="J86" s="170" t="str">
        <f t="shared" si="2055"/>
        <v xml:space="preserve">-- </v>
      </c>
      <c r="K86" s="253" t="str">
        <f t="shared" si="2055"/>
        <v xml:space="preserve">-- </v>
      </c>
      <c r="L86" s="170" t="str">
        <f t="shared" si="2055"/>
        <v xml:space="preserve">-- </v>
      </c>
      <c r="M86" s="170" t="str">
        <f t="shared" si="2055"/>
        <v xml:space="preserve">-- </v>
      </c>
      <c r="N86" s="170" t="str">
        <f t="shared" si="2055"/>
        <v xml:space="preserve">-- </v>
      </c>
      <c r="O86" s="170" t="str">
        <f t="shared" si="2055"/>
        <v xml:space="preserve">-- </v>
      </c>
      <c r="P86" s="253" t="str">
        <f t="shared" si="2055"/>
        <v xml:space="preserve">-- </v>
      </c>
      <c r="Q86" s="170">
        <f t="shared" si="2055"/>
        <v>0</v>
      </c>
      <c r="R86" s="170">
        <f t="shared" si="2055"/>
        <v>0</v>
      </c>
      <c r="S86" s="170">
        <f t="shared" si="2055"/>
        <v>0</v>
      </c>
      <c r="T86" s="170">
        <f t="shared" si="2055"/>
        <v>0</v>
      </c>
      <c r="U86" s="253">
        <f t="shared" si="2055"/>
        <v>0</v>
      </c>
      <c r="V86" s="170">
        <f t="shared" si="2055"/>
        <v>0</v>
      </c>
      <c r="W86" s="170">
        <f t="shared" si="2055"/>
        <v>0</v>
      </c>
      <c r="X86" s="170">
        <f t="shared" si="2055"/>
        <v>0</v>
      </c>
      <c r="Y86" s="170">
        <f t="shared" si="2055"/>
        <v>0</v>
      </c>
      <c r="Z86" s="253">
        <f t="shared" si="2055"/>
        <v>0</v>
      </c>
      <c r="AA86" s="170">
        <f t="shared" si="2055"/>
        <v>0</v>
      </c>
      <c r="AB86" s="170">
        <f t="shared" si="2055"/>
        <v>0</v>
      </c>
      <c r="AC86" s="170">
        <f t="shared" si="2055"/>
        <v>0</v>
      </c>
      <c r="AD86" s="170">
        <f t="shared" si="2055"/>
        <v>0.18240000000000001</v>
      </c>
      <c r="AE86" s="253">
        <f t="shared" si="2055"/>
        <v>0.18240000000000001</v>
      </c>
      <c r="AF86" s="170">
        <f t="shared" si="2055"/>
        <v>0.36269999999999997</v>
      </c>
      <c r="AG86" s="170">
        <f t="shared" si="2055"/>
        <v>0.45151000000000002</v>
      </c>
      <c r="AH86" s="170">
        <f t="shared" si="2055"/>
        <v>0.53256000000000003</v>
      </c>
      <c r="AI86" s="170">
        <f t="shared" si="2055"/>
        <v>0.7157</v>
      </c>
      <c r="AJ86" s="253">
        <f t="shared" si="2055"/>
        <v>2.0624700000000002</v>
      </c>
      <c r="AK86" s="170">
        <f t="shared" si="2055"/>
        <v>0.60711000000000004</v>
      </c>
      <c r="AL86" s="170">
        <f t="shared" si="2055"/>
        <v>0.72270000000000001</v>
      </c>
      <c r="AM86" s="170">
        <f t="shared" si="2055"/>
        <v>0.94499999999999995</v>
      </c>
      <c r="AN86" s="170">
        <f t="shared" si="2055"/>
        <v>1.163775</v>
      </c>
      <c r="AO86" s="253">
        <f t="shared" si="2055"/>
        <v>3.4385849999999998</v>
      </c>
      <c r="AP86" s="170">
        <f t="shared" si="2055"/>
        <v>0.84149999999999991</v>
      </c>
      <c r="AQ86" s="170">
        <f t="shared" si="2055"/>
        <v>0.994004</v>
      </c>
      <c r="AR86" s="170">
        <f t="shared" si="2055"/>
        <v>1.321825</v>
      </c>
      <c r="AS86" s="170">
        <f t="shared" si="2055"/>
        <v>1.5743499999999999</v>
      </c>
      <c r="AT86" s="253">
        <f t="shared" si="2055"/>
        <v>4.7316789999999997</v>
      </c>
      <c r="AU86" s="356">
        <f t="shared" si="2055"/>
        <v>1.8442808147374301</v>
      </c>
      <c r="AV86" s="170">
        <f t="shared" si="2055"/>
        <v>1.43253831473743</v>
      </c>
      <c r="AW86" s="170">
        <f t="shared" si="2055"/>
        <v>1.9793281294748601</v>
      </c>
      <c r="AX86" s="170">
        <f t="shared" si="2055"/>
        <v>1.5675856294748596</v>
      </c>
      <c r="AY86" s="253">
        <f t="shared" si="2055"/>
        <v>6.8237328884245798</v>
      </c>
      <c r="AZ86" s="170">
        <f t="shared" si="2055"/>
        <v>2.0249756964060306</v>
      </c>
      <c r="BA86" s="170">
        <f t="shared" si="2055"/>
        <v>2.3939378560334919</v>
      </c>
      <c r="BB86" s="170">
        <f t="shared" si="2055"/>
        <v>2.7629000156609527</v>
      </c>
      <c r="BC86" s="170">
        <f t="shared" si="2055"/>
        <v>3.1318621752884135</v>
      </c>
      <c r="BD86" s="253">
        <f t="shared" si="2055"/>
        <v>10.313675743388888</v>
      </c>
      <c r="BE86" s="170">
        <f t="shared" si="2055"/>
        <v>3.6959952915874341</v>
      </c>
      <c r="BF86" s="170">
        <f t="shared" si="2055"/>
        <v>4.0855270916141269</v>
      </c>
      <c r="BG86" s="170">
        <f t="shared" si="2055"/>
        <v>4.4750588916408187</v>
      </c>
      <c r="BH86" s="170">
        <f t="shared" si="2055"/>
        <v>4.8645906916675115</v>
      </c>
      <c r="BI86" s="253">
        <f t="shared" si="2055"/>
        <v>17.121171966509891</v>
      </c>
      <c r="BJ86" s="170">
        <f t="shared" si="2055"/>
        <v>5.4381449282325667</v>
      </c>
      <c r="BK86" s="170">
        <f t="shared" si="2055"/>
        <v>5.8413198420358032</v>
      </c>
      <c r="BL86" s="170">
        <f t="shared" si="2055"/>
        <v>6.2444947558390407</v>
      </c>
      <c r="BM86" s="170">
        <f t="shared" si="2055"/>
        <v>6.6476696696422772</v>
      </c>
      <c r="BN86" s="253">
        <f t="shared" si="2055"/>
        <v>24.171629195749688</v>
      </c>
      <c r="BO86" s="170">
        <f t="shared" si="2055"/>
        <v>7.2976241438661065</v>
      </c>
      <c r="BP86" s="170">
        <f t="shared" si="2055"/>
        <v>7.714910179652458</v>
      </c>
      <c r="BQ86" s="170">
        <f t="shared" si="2055"/>
        <v>8.1321962154388068</v>
      </c>
      <c r="BR86" s="170">
        <f t="shared" si="2055"/>
        <v>8.5494822512251574</v>
      </c>
      <c r="BS86" s="253">
        <f t="shared" si="2055"/>
        <v>31.694212790182529</v>
      </c>
      <c r="BT86" s="170">
        <f t="shared" ref="BT86:CM86" si="2056">+BT168</f>
        <v>9.2803885884509452</v>
      </c>
      <c r="BU86" s="170">
        <f t="shared" si="2056"/>
        <v>9.7122695561169721</v>
      </c>
      <c r="BV86" s="170">
        <f t="shared" si="2056"/>
        <v>10.144150523783001</v>
      </c>
      <c r="BW86" s="170">
        <f t="shared" si="2056"/>
        <v>10.576031491449026</v>
      </c>
      <c r="BX86" s="253">
        <f t="shared" si="2056"/>
        <v>39.712840159799946</v>
      </c>
      <c r="BY86" s="170">
        <f t="shared" si="2056"/>
        <v>11.392660168623548</v>
      </c>
      <c r="BZ86" s="170">
        <f t="shared" si="2056"/>
        <v>11.839636206649827</v>
      </c>
      <c r="CA86" s="170">
        <f t="shared" si="2056"/>
        <v>12.286612244676103</v>
      </c>
      <c r="CB86" s="170">
        <f t="shared" si="2056"/>
        <v>12.733588282702382</v>
      </c>
      <c r="CC86" s="253">
        <f t="shared" si="2056"/>
        <v>48.252496902651856</v>
      </c>
      <c r="CD86" s="170">
        <f t="shared" si="2056"/>
        <v>13.640938098438321</v>
      </c>
      <c r="CE86" s="170">
        <f t="shared" si="2056"/>
        <v>14.103526218175562</v>
      </c>
      <c r="CF86" s="170">
        <f t="shared" si="2056"/>
        <v>14.566114337912806</v>
      </c>
      <c r="CG86" s="170">
        <f t="shared" si="2056"/>
        <v>15.02870245765005</v>
      </c>
      <c r="CH86" s="253">
        <f t="shared" si="2056"/>
        <v>57.339281112176735</v>
      </c>
      <c r="CI86" s="170">
        <f t="shared" si="2056"/>
        <v>16.032010386588478</v>
      </c>
      <c r="CJ86" s="170">
        <f t="shared" si="2056"/>
        <v>16.510745034505121</v>
      </c>
      <c r="CK86" s="170">
        <f t="shared" si="2056"/>
        <v>16.989479682421766</v>
      </c>
      <c r="CL86" s="170">
        <f t="shared" si="2056"/>
        <v>17.468214330338409</v>
      </c>
      <c r="CM86" s="253">
        <f t="shared" si="2056"/>
        <v>67.000449433853774</v>
      </c>
    </row>
    <row r="87" spans="1:93">
      <c r="A87" s="161" t="s">
        <v>291</v>
      </c>
      <c r="B87" s="232" t="s">
        <v>294</v>
      </c>
      <c r="C87" s="232" t="s">
        <v>294</v>
      </c>
      <c r="D87" s="232" t="s">
        <v>294</v>
      </c>
      <c r="E87" s="232" t="s">
        <v>294</v>
      </c>
      <c r="F87" s="239" t="s">
        <v>294</v>
      </c>
      <c r="G87" s="158" t="s">
        <v>294</v>
      </c>
      <c r="H87" s="158" t="s">
        <v>294</v>
      </c>
      <c r="I87" s="158" t="s">
        <v>294</v>
      </c>
      <c r="J87" s="158" t="s">
        <v>294</v>
      </c>
      <c r="K87" s="250" t="s">
        <v>294</v>
      </c>
      <c r="L87" s="158" t="s">
        <v>294</v>
      </c>
      <c r="M87" s="158" t="s">
        <v>294</v>
      </c>
      <c r="N87" s="158" t="s">
        <v>294</v>
      </c>
      <c r="O87" s="158" t="s">
        <v>294</v>
      </c>
      <c r="P87" s="250" t="s">
        <v>294</v>
      </c>
      <c r="Q87" s="158" t="s">
        <v>294</v>
      </c>
      <c r="R87" s="158" t="s">
        <v>294</v>
      </c>
      <c r="S87" s="158" t="s">
        <v>294</v>
      </c>
      <c r="T87" s="158" t="s">
        <v>294</v>
      </c>
      <c r="U87" s="250" t="s">
        <v>294</v>
      </c>
      <c r="V87" s="158" t="s">
        <v>294</v>
      </c>
      <c r="W87" s="158" t="s">
        <v>294</v>
      </c>
      <c r="X87" s="158" t="s">
        <v>294</v>
      </c>
      <c r="Y87" s="158" t="s">
        <v>294</v>
      </c>
      <c r="Z87" s="250" t="s">
        <v>294</v>
      </c>
      <c r="AA87" s="158" t="s">
        <v>294</v>
      </c>
      <c r="AB87" s="158" t="s">
        <v>294</v>
      </c>
      <c r="AC87" s="158" t="s">
        <v>294</v>
      </c>
      <c r="AD87" s="158" t="s">
        <v>294</v>
      </c>
      <c r="AE87" s="250" t="s">
        <v>294</v>
      </c>
      <c r="AF87" s="158" t="s">
        <v>294</v>
      </c>
      <c r="AG87" s="158" t="s">
        <v>294</v>
      </c>
      <c r="AH87" s="158" t="s">
        <v>294</v>
      </c>
      <c r="AI87" s="158" t="s">
        <v>294</v>
      </c>
      <c r="AJ87" s="250" t="s">
        <v>294</v>
      </c>
      <c r="AK87" s="158" t="s">
        <v>294</v>
      </c>
      <c r="AL87" s="158" t="s">
        <v>294</v>
      </c>
      <c r="AM87" s="158" t="s">
        <v>294</v>
      </c>
      <c r="AN87" s="19">
        <f t="shared" ref="AN87" si="2057">+AN86/AI86-1</f>
        <v>0.62606539052675703</v>
      </c>
      <c r="AO87" s="259">
        <f t="shared" ref="AO87" si="2058">+AO86/AJ86-1</f>
        <v>0.66721697770149357</v>
      </c>
      <c r="AP87" s="19">
        <f t="shared" ref="AP87" si="2059">+AP86/AK86-1</f>
        <v>0.38607501111824849</v>
      </c>
      <c r="AQ87" s="158">
        <f t="shared" ref="AQ87" si="2060">+AQ86/AL86-1</f>
        <v>0.37540334855403357</v>
      </c>
      <c r="AR87" s="158">
        <f t="shared" ref="AR87" si="2061">+AR86/AM86-1</f>
        <v>0.39875661375661386</v>
      </c>
      <c r="AS87" s="19">
        <f t="shared" ref="AS87" si="2062">+AS86/AN86-1</f>
        <v>0.35279585830594384</v>
      </c>
      <c r="AT87" s="259">
        <f t="shared" ref="AT87" si="2063">+AT86/AO86-1</f>
        <v>0.37605410365019343</v>
      </c>
      <c r="AU87" s="379">
        <f t="shared" ref="AU87" si="2064">+AU86/AP86-1</f>
        <v>1.191658722207285</v>
      </c>
      <c r="AV87" s="19">
        <f t="shared" ref="AV87" si="2065">+AV86/AQ86-1</f>
        <v>0.44117962778563258</v>
      </c>
      <c r="AW87" s="19">
        <f t="shared" ref="AW87" si="2066">+AW86/AR86-1</f>
        <v>0.49742070960593132</v>
      </c>
      <c r="AX87" s="19">
        <f t="shared" ref="AX87" si="2067">+AX86/AS86-1</f>
        <v>-4.2966116334616222E-3</v>
      </c>
      <c r="AY87" s="259">
        <f t="shared" ref="AY87" si="2068">+AY86/AT86-1</f>
        <v>0.44213774612026313</v>
      </c>
      <c r="AZ87" s="19">
        <f t="shared" ref="AZ87" si="2069">+AZ86/AU86-1</f>
        <v>9.7975796432240081E-2</v>
      </c>
      <c r="BA87" s="19">
        <f t="shared" ref="BA87" si="2070">+BA86/AV86-1</f>
        <v>0.67111611005830363</v>
      </c>
      <c r="BB87" s="19">
        <f t="shared" ref="BB87" si="2071">+BB86/AW86-1</f>
        <v>0.39587770947002299</v>
      </c>
      <c r="BC87" s="19">
        <f t="shared" ref="BC87" si="2072">+BC86/AX86-1</f>
        <v>0.99788905715956688</v>
      </c>
      <c r="BD87" s="259">
        <f t="shared" ref="BD87" si="2073">+BD86/AY86-1</f>
        <v>0.51144189141466301</v>
      </c>
      <c r="BE87" s="19">
        <f t="shared" ref="BE87" si="2074">+BE86/AZ86-1</f>
        <v>0.825204765739739</v>
      </c>
      <c r="BF87" s="19">
        <f t="shared" ref="BF87" si="2075">+BF86/BA86-1</f>
        <v>0.7066136789295876</v>
      </c>
      <c r="BG87" s="19">
        <f t="shared" ref="BG87" si="2076">+BG86/BB86-1</f>
        <v>0.61969628516226849</v>
      </c>
      <c r="BH87" s="19">
        <f t="shared" ref="BH87" si="2077">+BH86/BC86-1</f>
        <v>0.55325822766116173</v>
      </c>
      <c r="BI87" s="259">
        <f t="shared" ref="BI87" si="2078">+BI86/BD86-1</f>
        <v>0.66004559310337418</v>
      </c>
      <c r="BJ87" s="19">
        <f t="shared" ref="BJ87" si="2079">+BJ86/BE86-1</f>
        <v>0.4713614329029292</v>
      </c>
      <c r="BK87" s="19">
        <f t="shared" ref="BK87" si="2080">+BK86/BF86-1</f>
        <v>0.42975917453235901</v>
      </c>
      <c r="BL87" s="19">
        <f t="shared" ref="BL87" si="2081">+BL86/BG86-1</f>
        <v>0.39539945887716432</v>
      </c>
      <c r="BM87" s="19">
        <f t="shared" ref="BM87" si="2082">+BM86/BH86-1</f>
        <v>0.36654244745174069</v>
      </c>
      <c r="BN87" s="259">
        <f t="shared" ref="BN87" si="2083">+BN86/BI86-1</f>
        <v>0.41179758272570033</v>
      </c>
      <c r="BO87" s="19">
        <f t="shared" ref="BO87" si="2084">+BO86/BJ86-1</f>
        <v>0.34193263331028634</v>
      </c>
      <c r="BP87" s="19">
        <f t="shared" ref="BP87" si="2085">+BP86/BK86-1</f>
        <v>0.32074777418174638</v>
      </c>
      <c r="BQ87" s="19">
        <f t="shared" ref="BQ87" si="2086">+BQ86/BL86-1</f>
        <v>0.30229850987297779</v>
      </c>
      <c r="BR87" s="19">
        <f t="shared" ref="BR87" si="2087">+BR86/BM86-1</f>
        <v>0.28608710662442105</v>
      </c>
      <c r="BS87" s="259">
        <f t="shared" ref="BS87" si="2088">+BS86/BN86-1</f>
        <v>0.31121541429882615</v>
      </c>
      <c r="BT87" s="19">
        <f t="shared" ref="BT87" si="2089">+BT86/BO86-1</f>
        <v>0.27169999516231824</v>
      </c>
      <c r="BU87" s="19">
        <f t="shared" ref="BU87" si="2090">+BU86/BP86-1</f>
        <v>0.25889599878070024</v>
      </c>
      <c r="BV87" s="19">
        <f t="shared" ref="BV87" si="2091">+BV86/BQ86-1</f>
        <v>0.24740602108499798</v>
      </c>
      <c r="BW87" s="19">
        <f t="shared" ref="BW87" si="2092">+BW86/BR86-1</f>
        <v>0.23703765686319311</v>
      </c>
      <c r="BX87" s="259">
        <f t="shared" ref="BX87" si="2093">+BX86/BS86-1</f>
        <v>0.25299973287556243</v>
      </c>
      <c r="BY87" s="19">
        <f t="shared" ref="BY87" si="2094">+BY86/BT86-1</f>
        <v>0.22760594128582468</v>
      </c>
      <c r="BZ87" s="19">
        <f t="shared" ref="BZ87" si="2095">+BZ86/BU86-1</f>
        <v>0.21903908640931391</v>
      </c>
      <c r="CA87" s="19">
        <f t="shared" ref="CA87" si="2096">+CA86/BV86-1</f>
        <v>0.21120168868453715</v>
      </c>
      <c r="CB87" s="19">
        <f t="shared" ref="CB87" si="2097">+CB86/BW86-1</f>
        <v>0.20400438415844269</v>
      </c>
      <c r="CC87" s="259">
        <f t="shared" ref="CC87" si="2098">+CC86/BX86-1</f>
        <v>0.2150351550906282</v>
      </c>
      <c r="CD87" s="19">
        <f t="shared" ref="CD87" si="2099">+CD86/BY86-1</f>
        <v>0.19734442145538056</v>
      </c>
      <c r="CE87" s="19">
        <f t="shared" ref="CE87" si="2100">+CE86/BZ86-1</f>
        <v>0.19121280181347156</v>
      </c>
      <c r="CF87" s="19">
        <f t="shared" ref="CF87" si="2101">+CF86/CA86-1</f>
        <v>0.18552730792203764</v>
      </c>
      <c r="CG87" s="19">
        <f t="shared" ref="CG87" si="2102">+CG86/CB86-1</f>
        <v>0.18024095989230382</v>
      </c>
      <c r="CH87" s="259">
        <f t="shared" ref="CH87" si="2103">+CH86/CC86-1</f>
        <v>0.18831738858731439</v>
      </c>
      <c r="CI87" s="19">
        <f t="shared" ref="CI87" si="2104">+CI86/CD86-1</f>
        <v>0.17528649942513108</v>
      </c>
      <c r="CJ87" s="19">
        <f t="shared" ref="CJ87" si="2105">+CJ86/CE86-1</f>
        <v>0.17068205348725596</v>
      </c>
      <c r="CK87" s="19">
        <f t="shared" ref="CK87" si="2106">+CK86/CF86-1</f>
        <v>0.16637006193212445</v>
      </c>
      <c r="CL87" s="19">
        <f t="shared" ref="CL87" si="2107">+CL86/CG86-1</f>
        <v>0.16232351925009847</v>
      </c>
      <c r="CM87" s="259">
        <f t="shared" ref="CM87" si="2108">+CM86/CH86-1</f>
        <v>0.16849127045691836</v>
      </c>
    </row>
    <row r="88" spans="1:93">
      <c r="A88" s="161" t="s">
        <v>292</v>
      </c>
      <c r="B88" s="232" t="s">
        <v>294</v>
      </c>
      <c r="C88" s="232" t="s">
        <v>294</v>
      </c>
      <c r="D88" s="232" t="s">
        <v>294</v>
      </c>
      <c r="E88" s="232" t="s">
        <v>294</v>
      </c>
      <c r="F88" s="239" t="s">
        <v>294</v>
      </c>
      <c r="G88" s="158" t="s">
        <v>294</v>
      </c>
      <c r="H88" s="158" t="s">
        <v>294</v>
      </c>
      <c r="I88" s="158" t="s">
        <v>294</v>
      </c>
      <c r="J88" s="158" t="s">
        <v>294</v>
      </c>
      <c r="K88" s="250" t="s">
        <v>294</v>
      </c>
      <c r="L88" s="158" t="s">
        <v>294</v>
      </c>
      <c r="M88" s="158" t="s">
        <v>294</v>
      </c>
      <c r="N88" s="158" t="s">
        <v>294</v>
      </c>
      <c r="O88" s="158" t="s">
        <v>294</v>
      </c>
      <c r="P88" s="250" t="s">
        <v>294</v>
      </c>
      <c r="Q88" s="158" t="s">
        <v>294</v>
      </c>
      <c r="R88" s="158" t="s">
        <v>294</v>
      </c>
      <c r="S88" s="158" t="s">
        <v>294</v>
      </c>
      <c r="T88" s="158" t="s">
        <v>294</v>
      </c>
      <c r="U88" s="250" t="s">
        <v>294</v>
      </c>
      <c r="V88" s="158" t="s">
        <v>294</v>
      </c>
      <c r="W88" s="158" t="s">
        <v>294</v>
      </c>
      <c r="X88" s="158" t="s">
        <v>294</v>
      </c>
      <c r="Y88" s="158" t="s">
        <v>294</v>
      </c>
      <c r="Z88" s="250" t="s">
        <v>294</v>
      </c>
      <c r="AA88" s="158" t="s">
        <v>294</v>
      </c>
      <c r="AB88" s="158" t="s">
        <v>294</v>
      </c>
      <c r="AC88" s="158" t="s">
        <v>294</v>
      </c>
      <c r="AD88" s="158" t="s">
        <v>294</v>
      </c>
      <c r="AE88" s="250" t="s">
        <v>294</v>
      </c>
      <c r="AF88" s="158" t="s">
        <v>294</v>
      </c>
      <c r="AG88" s="158" t="s">
        <v>294</v>
      </c>
      <c r="AH88" s="158" t="s">
        <v>294</v>
      </c>
      <c r="AI88" s="158" t="s">
        <v>294</v>
      </c>
      <c r="AJ88" s="250" t="s">
        <v>294</v>
      </c>
      <c r="AK88" s="19">
        <f>+AK86/AI86-1</f>
        <v>-0.15172558334497688</v>
      </c>
      <c r="AL88" s="19">
        <f>+AL86/AK86-1</f>
        <v>0.19039383307802527</v>
      </c>
      <c r="AM88" s="19">
        <f t="shared" ref="AM88" si="2109">+AM86/AL86-1</f>
        <v>0.30759651307596503</v>
      </c>
      <c r="AN88" s="19">
        <f t="shared" ref="AN88" si="2110">+AN86/AM86-1</f>
        <v>0.23150793650793666</v>
      </c>
      <c r="AO88" s="251" t="s">
        <v>294</v>
      </c>
      <c r="AP88" s="19">
        <f>+AP86/AN86-1</f>
        <v>-0.27692208545466268</v>
      </c>
      <c r="AQ88" s="19">
        <f>+AQ86/AP86-1</f>
        <v>0.18122875816993478</v>
      </c>
      <c r="AR88" s="19">
        <f t="shared" ref="AR88" si="2111">+AR86/AQ86-1</f>
        <v>0.32979847163592901</v>
      </c>
      <c r="AS88" s="19">
        <f t="shared" ref="AS88" si="2112">+AS86/AR86-1</f>
        <v>0.19104268719384176</v>
      </c>
      <c r="AT88" s="251" t="s">
        <v>294</v>
      </c>
      <c r="AU88" s="379">
        <f>+AU86/AS86-1</f>
        <v>0.17145540365066858</v>
      </c>
      <c r="AV88" s="19">
        <f>+AV86/AU86-1</f>
        <v>-0.22325369147139329</v>
      </c>
      <c r="AW88" s="19">
        <f t="shared" ref="AW88" si="2113">+AW86/AV86-1</f>
        <v>0.38169297750172304</v>
      </c>
      <c r="AX88" s="19">
        <f t="shared" ref="AX88" si="2114">+AX86/AW86-1</f>
        <v>-0.2080213451567734</v>
      </c>
      <c r="AY88" s="251" t="s">
        <v>294</v>
      </c>
      <c r="AZ88" s="19">
        <f>+AZ86/AX86-1</f>
        <v>0.29177995659758404</v>
      </c>
      <c r="BA88" s="19">
        <f>+BA86/AZ86-1</f>
        <v>0.18220572241054689</v>
      </c>
      <c r="BB88" s="19">
        <f t="shared" ref="BB88" si="2115">+BB86/BA86-1</f>
        <v>0.15412353277991642</v>
      </c>
      <c r="BC88" s="19">
        <f t="shared" ref="BC88" si="2116">+BC86/BB86-1</f>
        <v>0.13354162566002081</v>
      </c>
      <c r="BD88" s="251" t="s">
        <v>294</v>
      </c>
      <c r="BE88" s="19">
        <f>+BE86/BC86-1</f>
        <v>0.18012705691529018</v>
      </c>
      <c r="BF88" s="19">
        <f>+BF86/BE86-1</f>
        <v>0.1053929372998168</v>
      </c>
      <c r="BG88" s="19">
        <f t="shared" ref="BG88" si="2117">+BG86/BF86-1</f>
        <v>9.5344319421167834E-2</v>
      </c>
      <c r="BH88" s="19">
        <f t="shared" ref="BH88" si="2118">+BH86/BG86-1</f>
        <v>8.7045066770924162E-2</v>
      </c>
      <c r="BI88" s="251" t="s">
        <v>294</v>
      </c>
      <c r="BJ88" s="19">
        <f>+BJ86/BH86-1</f>
        <v>0.11790390454586208</v>
      </c>
      <c r="BK88" s="19">
        <f>+BK86/BJ86-1</f>
        <v>7.4138317224706762E-2</v>
      </c>
      <c r="BL88" s="19">
        <f t="shared" ref="BL88" si="2119">+BL86/BK86-1</f>
        <v>6.9021201493175477E-2</v>
      </c>
      <c r="BM88" s="19">
        <f t="shared" ref="BM88" si="2120">+BM86/BL86-1</f>
        <v>6.4564857457241054E-2</v>
      </c>
      <c r="BN88" s="251" t="s">
        <v>294</v>
      </c>
      <c r="BO88" s="19">
        <f>+BO86/BM86-1</f>
        <v>9.7771776656105258E-2</v>
      </c>
      <c r="BP88" s="19">
        <f>+BP86/BO86-1</f>
        <v>5.7181080795603023E-2</v>
      </c>
      <c r="BQ88" s="19">
        <f t="shared" ref="BQ88" si="2121">+BQ86/BP86-1</f>
        <v>5.4088255866790558E-2</v>
      </c>
      <c r="BR88" s="19">
        <f t="shared" ref="BR88" si="2122">+BR86/BQ86-1</f>
        <v>5.1312834163315113E-2</v>
      </c>
      <c r="BS88" s="251" t="s">
        <v>294</v>
      </c>
      <c r="BT88" s="19">
        <f>+BT86/BR86-1</f>
        <v>8.5491298273769445E-2</v>
      </c>
      <c r="BU88" s="19">
        <f>+BU86/BT86-1</f>
        <v>4.6536948700993452E-2</v>
      </c>
      <c r="BV88" s="19">
        <f t="shared" ref="BV88" si="2123">+BV86/BU86-1</f>
        <v>4.4467563958212164E-2</v>
      </c>
      <c r="BW88" s="19">
        <f t="shared" ref="BW88" si="2124">+BW86/BV86-1</f>
        <v>4.2574384780024621E-2</v>
      </c>
      <c r="BX88" s="251" t="s">
        <v>294</v>
      </c>
      <c r="BY88" s="19">
        <f>+BY86/BW86-1</f>
        <v>7.7215038347303144E-2</v>
      </c>
      <c r="BZ88" s="19">
        <f>+BZ86/BY86-1</f>
        <v>3.9233684794468981E-2</v>
      </c>
      <c r="CA88" s="19">
        <f t="shared" ref="CA88" si="2125">+CA86/BZ86-1</f>
        <v>3.7752514538852866E-2</v>
      </c>
      <c r="CB88" s="19">
        <f t="shared" ref="CB88" si="2126">+CB86/CA86-1</f>
        <v>3.6379111599290193E-2</v>
      </c>
      <c r="CC88" s="251" t="s">
        <v>294</v>
      </c>
      <c r="CD88" s="19">
        <f>+CD86/CB86-1</f>
        <v>7.1256412221879728E-2</v>
      </c>
      <c r="CE88" s="19">
        <f>+CE86/CD86-1</f>
        <v>3.3911752725437561E-2</v>
      </c>
      <c r="CF88" s="19">
        <f t="shared" ref="CF88" si="2127">+CF86/CE86-1</f>
        <v>3.2799465366405656E-2</v>
      </c>
      <c r="CG88" s="19">
        <f t="shared" ref="CG88" si="2128">+CG86/CF86-1</f>
        <v>3.1757825663445205E-2</v>
      </c>
      <c r="CH88" s="251" t="s">
        <v>294</v>
      </c>
      <c r="CI88" s="19">
        <f>+CI86/CG86-1</f>
        <v>6.6759451241096057E-2</v>
      </c>
      <c r="CJ88" s="19">
        <f>+CJ86/CI86-1</f>
        <v>2.9861173762532278E-2</v>
      </c>
      <c r="CK88" s="19">
        <f t="shared" ref="CK88" si="2129">+CK86/CJ86-1</f>
        <v>2.8995338909065582E-2</v>
      </c>
      <c r="CL88" s="19">
        <f t="shared" ref="CL88" si="2130">+CL86/CK86-1</f>
        <v>2.8178299563344833E-2</v>
      </c>
      <c r="CM88" s="251" t="s">
        <v>294</v>
      </c>
    </row>
    <row r="89" spans="1:93" s="170" customFormat="1">
      <c r="A89" s="170" t="s">
        <v>428</v>
      </c>
      <c r="B89" s="232" t="s">
        <v>294</v>
      </c>
      <c r="C89" s="232" t="s">
        <v>294</v>
      </c>
      <c r="D89" s="232" t="s">
        <v>294</v>
      </c>
      <c r="E89" s="232" t="s">
        <v>294</v>
      </c>
      <c r="F89" s="239" t="s">
        <v>294</v>
      </c>
      <c r="G89" s="170">
        <v>7.1</v>
      </c>
      <c r="H89" s="170">
        <v>9.5</v>
      </c>
      <c r="I89" s="170">
        <v>9.6</v>
      </c>
      <c r="J89" s="170">
        <v>17</v>
      </c>
      <c r="K89" s="253">
        <f>+G89+H89+I89+J89</f>
        <v>43.2</v>
      </c>
      <c r="L89" s="170">
        <v>17.2</v>
      </c>
      <c r="M89" s="170">
        <v>21.8</v>
      </c>
      <c r="N89" s="170">
        <v>30.8</v>
      </c>
      <c r="O89" s="170">
        <v>31.3</v>
      </c>
      <c r="P89" s="253">
        <f>+L89+M89+N89+O89</f>
        <v>101.1</v>
      </c>
      <c r="Q89" s="170">
        <v>38</v>
      </c>
      <c r="R89" s="170">
        <v>39.6</v>
      </c>
      <c r="S89" s="170">
        <v>48.3</v>
      </c>
      <c r="T89" s="170">
        <v>45.9</v>
      </c>
      <c r="U89" s="253">
        <f>+Q89+R89+S89+T89</f>
        <v>171.79999999999998</v>
      </c>
      <c r="V89" s="170">
        <v>49.8</v>
      </c>
      <c r="W89" s="170">
        <v>61</v>
      </c>
      <c r="X89" s="170">
        <v>61.3</v>
      </c>
      <c r="Y89" s="170">
        <v>64.3</v>
      </c>
      <c r="Z89" s="253">
        <f>+V89+W89+X89+Y89</f>
        <v>236.39999999999998</v>
      </c>
      <c r="AA89" s="170">
        <f>+AA106+AA119+AA147+AA168</f>
        <v>66.309640000000002</v>
      </c>
      <c r="AB89" s="170">
        <f>+AB106+AB119+AB147+AB168</f>
        <v>70.872516000000019</v>
      </c>
      <c r="AC89" s="170">
        <f>+AC106+AC119+AC147+AC168</f>
        <v>78.209589999999992</v>
      </c>
      <c r="AD89" s="170">
        <f>+AD106+AD119+AD147+AD168</f>
        <v>84.417169999999999</v>
      </c>
      <c r="AE89" s="253">
        <f>+AA89+AB89+AC89+AD89</f>
        <v>299.80891600000001</v>
      </c>
      <c r="AF89" s="170">
        <f>+AF106+AF119+AF147+AF168</f>
        <v>91.556625000000011</v>
      </c>
      <c r="AG89" s="170">
        <f>+AG106+AG119+AG147+AG168</f>
        <v>100.316216</v>
      </c>
      <c r="AH89" s="170">
        <f>+AH106+AH119+AH147+AH168</f>
        <v>103.51346000000001</v>
      </c>
      <c r="AI89" s="170">
        <f>+AI106+AI119+AI147+AI168</f>
        <v>109.07583999999999</v>
      </c>
      <c r="AJ89" s="253">
        <f>+AF89+AG89+AH89+AI89</f>
        <v>404.46214099999997</v>
      </c>
      <c r="AK89" s="170">
        <v>125.748</v>
      </c>
      <c r="AL89" s="170">
        <f>+AL278-AL186</f>
        <v>130.26900000000001</v>
      </c>
      <c r="AM89" s="170">
        <f>+AM278-AM186</f>
        <v>141.197</v>
      </c>
      <c r="AN89" s="170">
        <f>+AN278-AN186</f>
        <v>145.613</v>
      </c>
      <c r="AO89" s="253">
        <f>+AK89+AL89+AM89+AN89</f>
        <v>542.827</v>
      </c>
      <c r="AP89" s="170">
        <v>150.559</v>
      </c>
      <c r="AQ89" s="170">
        <v>158.685</v>
      </c>
      <c r="AR89" s="170">
        <v>184.40199999999999</v>
      </c>
      <c r="AS89" s="170">
        <v>189.94900000000001</v>
      </c>
      <c r="AT89" s="253">
        <f t="shared" ref="AT89:CM89" si="2131">+AT106+AT119+AT147+AT168</f>
        <v>683.59500000000003</v>
      </c>
      <c r="AU89" s="356">
        <f t="shared" si="2131"/>
        <v>196.15908931024387</v>
      </c>
      <c r="AV89" s="170">
        <f t="shared" si="2131"/>
        <v>210.23004949826182</v>
      </c>
      <c r="AW89" s="170">
        <f t="shared" si="2131"/>
        <v>224.22894320821271</v>
      </c>
      <c r="AX89" s="170">
        <f t="shared" si="2131"/>
        <v>230.01104125655607</v>
      </c>
      <c r="AY89" s="253">
        <f t="shared" si="2131"/>
        <v>860.62912327327444</v>
      </c>
      <c r="AZ89" s="170">
        <f t="shared" si="2131"/>
        <v>264.85693048483364</v>
      </c>
      <c r="BA89" s="170">
        <f t="shared" si="2131"/>
        <v>268.61309384505353</v>
      </c>
      <c r="BB89" s="170">
        <f t="shared" si="2131"/>
        <v>278.04492004135227</v>
      </c>
      <c r="BC89" s="170">
        <f t="shared" si="2131"/>
        <v>284.45086976822444</v>
      </c>
      <c r="BD89" s="253">
        <f t="shared" si="2131"/>
        <v>1095.9658141394636</v>
      </c>
      <c r="BE89" s="170">
        <f t="shared" si="2131"/>
        <v>324.76980300359338</v>
      </c>
      <c r="BF89" s="170">
        <f t="shared" si="2131"/>
        <v>334.09966864566275</v>
      </c>
      <c r="BG89" s="170">
        <f t="shared" si="2131"/>
        <v>347.72857541786919</v>
      </c>
      <c r="BH89" s="170">
        <f t="shared" si="2131"/>
        <v>355.82883012805945</v>
      </c>
      <c r="BI89" s="253">
        <f t="shared" si="2131"/>
        <v>1362.4268771951845</v>
      </c>
      <c r="BJ89" s="170">
        <f t="shared" si="2131"/>
        <v>386.58952402567064</v>
      </c>
      <c r="BK89" s="170">
        <f t="shared" si="2131"/>
        <v>388.9442769051098</v>
      </c>
      <c r="BL89" s="170">
        <f t="shared" si="2131"/>
        <v>397.42124622472676</v>
      </c>
      <c r="BM89" s="170">
        <f t="shared" si="2131"/>
        <v>397.40763093632773</v>
      </c>
      <c r="BN89" s="253">
        <f t="shared" si="2131"/>
        <v>1570.3626780918353</v>
      </c>
      <c r="BO89" s="170">
        <f t="shared" si="2131"/>
        <v>431.40143813688866</v>
      </c>
      <c r="BP89" s="170">
        <f t="shared" si="2131"/>
        <v>436.22038197415833</v>
      </c>
      <c r="BQ89" s="170">
        <f t="shared" si="2131"/>
        <v>447.66966724695271</v>
      </c>
      <c r="BR89" s="170">
        <f t="shared" si="2131"/>
        <v>450.20967224795811</v>
      </c>
      <c r="BS89" s="253">
        <f t="shared" si="2131"/>
        <v>1765.5011596059576</v>
      </c>
      <c r="BT89" s="170">
        <f t="shared" si="2131"/>
        <v>480.31599442285517</v>
      </c>
      <c r="BU89" s="170">
        <f t="shared" si="2131"/>
        <v>485.18290741510106</v>
      </c>
      <c r="BV89" s="170">
        <f t="shared" si="2131"/>
        <v>497.08108273234234</v>
      </c>
      <c r="BW89" s="170">
        <f t="shared" si="2131"/>
        <v>499.6534432995864</v>
      </c>
      <c r="BX89" s="253">
        <f t="shared" si="2131"/>
        <v>1962.2334278698847</v>
      </c>
      <c r="BY89" s="170">
        <f t="shared" si="2131"/>
        <v>527.44309322611412</v>
      </c>
      <c r="BZ89" s="170">
        <f t="shared" si="2131"/>
        <v>531.1941464107183</v>
      </c>
      <c r="CA89" s="170">
        <f t="shared" si="2131"/>
        <v>542.3221197071382</v>
      </c>
      <c r="CB89" s="170">
        <f t="shared" si="2131"/>
        <v>543.9370738868588</v>
      </c>
      <c r="CC89" s="253">
        <f t="shared" si="2131"/>
        <v>2144.8964332308292</v>
      </c>
      <c r="CD89" s="170">
        <f t="shared" si="2131"/>
        <v>569.8596688339627</v>
      </c>
      <c r="CE89" s="170">
        <f t="shared" si="2131"/>
        <v>573.71074334698051</v>
      </c>
      <c r="CF89" s="170">
        <f t="shared" si="2131"/>
        <v>585.16992437893327</v>
      </c>
      <c r="CG89" s="170">
        <f t="shared" si="2131"/>
        <v>586.96709093306276</v>
      </c>
      <c r="CH89" s="253">
        <f t="shared" si="2131"/>
        <v>2315.7074274929387</v>
      </c>
      <c r="CI89" s="170">
        <f t="shared" si="2131"/>
        <v>613.92246448530125</v>
      </c>
      <c r="CJ89" s="170">
        <f t="shared" si="2131"/>
        <v>617.90100429429913</v>
      </c>
      <c r="CK89" s="170">
        <f t="shared" si="2131"/>
        <v>629.70612450468082</v>
      </c>
      <c r="CL89" s="170">
        <f t="shared" si="2131"/>
        <v>631.72599009658404</v>
      </c>
      <c r="CM89" s="253">
        <f t="shared" si="2131"/>
        <v>2493.2555833808656</v>
      </c>
    </row>
    <row r="90" spans="1:93">
      <c r="A90" s="139" t="s">
        <v>291</v>
      </c>
      <c r="B90" s="232" t="s">
        <v>294</v>
      </c>
      <c r="C90" s="232" t="s">
        <v>294</v>
      </c>
      <c r="D90" s="232" t="s">
        <v>294</v>
      </c>
      <c r="E90" s="232" t="s">
        <v>294</v>
      </c>
      <c r="F90" s="239" t="s">
        <v>294</v>
      </c>
      <c r="G90" s="158" t="s">
        <v>294</v>
      </c>
      <c r="H90" s="158" t="s">
        <v>294</v>
      </c>
      <c r="I90" s="158" t="s">
        <v>294</v>
      </c>
      <c r="J90" s="158" t="s">
        <v>294</v>
      </c>
      <c r="K90" s="250" t="s">
        <v>294</v>
      </c>
      <c r="L90" s="19">
        <f t="shared" ref="L90:AQ90" si="2132">+L89/G89-1</f>
        <v>1.4225352112676055</v>
      </c>
      <c r="M90" s="19">
        <f t="shared" si="2132"/>
        <v>1.2947368421052632</v>
      </c>
      <c r="N90" s="19">
        <f t="shared" si="2132"/>
        <v>2.2083333333333335</v>
      </c>
      <c r="O90" s="19">
        <f t="shared" si="2132"/>
        <v>0.84117647058823541</v>
      </c>
      <c r="P90" s="259">
        <f t="shared" si="2132"/>
        <v>1.3402777777777777</v>
      </c>
      <c r="Q90" s="19">
        <f t="shared" si="2132"/>
        <v>1.2093023255813953</v>
      </c>
      <c r="R90" s="19">
        <f t="shared" si="2132"/>
        <v>0.8165137614678899</v>
      </c>
      <c r="S90" s="19">
        <f t="shared" si="2132"/>
        <v>0.56818181818181812</v>
      </c>
      <c r="T90" s="19">
        <f t="shared" si="2132"/>
        <v>0.46645367412140559</v>
      </c>
      <c r="U90" s="259">
        <f t="shared" si="2132"/>
        <v>0.69930761622156279</v>
      </c>
      <c r="V90" s="19">
        <f t="shared" si="2132"/>
        <v>0.31052631578947354</v>
      </c>
      <c r="W90" s="19">
        <f t="shared" si="2132"/>
        <v>0.54040404040404044</v>
      </c>
      <c r="X90" s="19">
        <f t="shared" si="2132"/>
        <v>0.2691511387163561</v>
      </c>
      <c r="Y90" s="19">
        <f t="shared" si="2132"/>
        <v>0.40087145969498916</v>
      </c>
      <c r="Z90" s="259">
        <f t="shared" si="2132"/>
        <v>0.37601862630966232</v>
      </c>
      <c r="AA90" s="19">
        <f t="shared" si="2132"/>
        <v>0.3315188755020082</v>
      </c>
      <c r="AB90" s="19">
        <f t="shared" si="2132"/>
        <v>0.1618445245901643</v>
      </c>
      <c r="AC90" s="19">
        <f t="shared" si="2132"/>
        <v>0.27584975530179445</v>
      </c>
      <c r="AD90" s="19">
        <f t="shared" si="2132"/>
        <v>0.31286423017107312</v>
      </c>
      <c r="AE90" s="259">
        <f t="shared" si="2132"/>
        <v>0.26822722504230145</v>
      </c>
      <c r="AF90" s="19">
        <f t="shared" si="2132"/>
        <v>0.38074381040222827</v>
      </c>
      <c r="AG90" s="19">
        <f t="shared" si="2132"/>
        <v>0.41544595368957937</v>
      </c>
      <c r="AH90" s="19">
        <f t="shared" si="2132"/>
        <v>0.32353922325893825</v>
      </c>
      <c r="AI90" s="19">
        <f t="shared" si="2132"/>
        <v>0.29210491183250964</v>
      </c>
      <c r="AJ90" s="259">
        <f t="shared" si="2132"/>
        <v>0.34906642002601407</v>
      </c>
      <c r="AK90" s="19">
        <f t="shared" si="2132"/>
        <v>0.37344512207609215</v>
      </c>
      <c r="AL90" s="19">
        <f t="shared" si="2132"/>
        <v>0.29858367065998581</v>
      </c>
      <c r="AM90" s="19">
        <f t="shared" si="2132"/>
        <v>0.36404483049837189</v>
      </c>
      <c r="AN90" s="19">
        <f t="shared" si="2132"/>
        <v>0.33497023722210173</v>
      </c>
      <c r="AO90" s="259">
        <f t="shared" si="2132"/>
        <v>0.34209594662655962</v>
      </c>
      <c r="AP90" s="19">
        <f t="shared" si="2132"/>
        <v>0.19730731303877591</v>
      </c>
      <c r="AQ90" s="19">
        <f t="shared" si="2132"/>
        <v>0.21813324735739115</v>
      </c>
      <c r="AR90" s="19">
        <f t="shared" ref="AR90:BW90" si="2133">+AR89/AM89-1</f>
        <v>0.30599092048697907</v>
      </c>
      <c r="AS90" s="19">
        <f t="shared" si="2133"/>
        <v>0.30447830894219607</v>
      </c>
      <c r="AT90" s="259">
        <f t="shared" si="2133"/>
        <v>0.2593238729834737</v>
      </c>
      <c r="AU90" s="379">
        <f t="shared" si="2133"/>
        <v>0.30287189281440408</v>
      </c>
      <c r="AV90" s="19">
        <f t="shared" si="2133"/>
        <v>0.32482622490003354</v>
      </c>
      <c r="AW90" s="19">
        <f t="shared" si="2133"/>
        <v>0.21597891133617164</v>
      </c>
      <c r="AX90" s="19">
        <f t="shared" si="2133"/>
        <v>0.21090946125831689</v>
      </c>
      <c r="AY90" s="259">
        <f t="shared" si="2133"/>
        <v>0.25897515820518646</v>
      </c>
      <c r="AZ90" s="19">
        <f t="shared" si="2133"/>
        <v>0.3502149271601569</v>
      </c>
      <c r="BA90" s="19">
        <f t="shared" si="2133"/>
        <v>0.27771027256155612</v>
      </c>
      <c r="BB90" s="19">
        <f t="shared" si="2133"/>
        <v>0.24000459558500231</v>
      </c>
      <c r="BC90" s="19">
        <f t="shared" si="2133"/>
        <v>0.23668354446926654</v>
      </c>
      <c r="BD90" s="259">
        <f t="shared" si="2133"/>
        <v>0.27344727769741417</v>
      </c>
      <c r="BE90" s="19">
        <f t="shared" si="2133"/>
        <v>0.22620843792566148</v>
      </c>
      <c r="BF90" s="19">
        <f t="shared" si="2133"/>
        <v>0.24379516971121462</v>
      </c>
      <c r="BG90" s="19">
        <f t="shared" si="2133"/>
        <v>0.25062013492695079</v>
      </c>
      <c r="BH90" s="19">
        <f t="shared" si="2133"/>
        <v>0.25093247356914405</v>
      </c>
      <c r="BI90" s="259">
        <f t="shared" si="2133"/>
        <v>0.24312899145028721</v>
      </c>
      <c r="BJ90" s="19">
        <f t="shared" si="2133"/>
        <v>0.19034935037169465</v>
      </c>
      <c r="BK90" s="19">
        <f t="shared" si="2133"/>
        <v>0.16415642817537113</v>
      </c>
      <c r="BL90" s="19">
        <f t="shared" si="2133"/>
        <v>0.1429064917864209</v>
      </c>
      <c r="BM90" s="19">
        <f t="shared" si="2133"/>
        <v>0.11685056771061664</v>
      </c>
      <c r="BN90" s="259">
        <f t="shared" si="2133"/>
        <v>0.15262162276534519</v>
      </c>
      <c r="BO90" s="19">
        <f t="shared" si="2133"/>
        <v>0.11591600735730845</v>
      </c>
      <c r="BP90" s="19">
        <f t="shared" si="2133"/>
        <v>0.12154981542660015</v>
      </c>
      <c r="BQ90" s="19">
        <f t="shared" si="2133"/>
        <v>0.12643617194489987</v>
      </c>
      <c r="BR90" s="19">
        <f t="shared" si="2133"/>
        <v>0.13286619883776285</v>
      </c>
      <c r="BS90" s="259">
        <f t="shared" si="2133"/>
        <v>0.12426332097451342</v>
      </c>
      <c r="BT90" s="19">
        <f t="shared" si="2133"/>
        <v>0.11338524159125618</v>
      </c>
      <c r="BU90" s="19">
        <f t="shared" si="2133"/>
        <v>0.11224263575066806</v>
      </c>
      <c r="BV90" s="19">
        <f t="shared" si="2133"/>
        <v>0.11037472292741302</v>
      </c>
      <c r="BW90" s="19">
        <f t="shared" si="2133"/>
        <v>0.10982387562832407</v>
      </c>
      <c r="BX90" s="259">
        <f t="shared" ref="BX90:CM90" si="2134">+BX89/BS89-1</f>
        <v>0.11143140132960094</v>
      </c>
      <c r="BY90" s="19">
        <f t="shared" si="2134"/>
        <v>9.8116863378423513E-2</v>
      </c>
      <c r="BZ90" s="19">
        <f t="shared" si="2134"/>
        <v>9.4832769853229859E-2</v>
      </c>
      <c r="CA90" s="19">
        <f t="shared" si="2134"/>
        <v>9.1013395090628002E-2</v>
      </c>
      <c r="CB90" s="19">
        <f t="shared" si="2134"/>
        <v>8.8628690907910812E-2</v>
      </c>
      <c r="CC90" s="259">
        <f t="shared" si="2134"/>
        <v>9.3089335227172887E-2</v>
      </c>
      <c r="CD90" s="19">
        <f t="shared" si="2134"/>
        <v>8.0419245512168835E-2</v>
      </c>
      <c r="CE90" s="19">
        <f t="shared" si="2134"/>
        <v>8.0039656354549571E-2</v>
      </c>
      <c r="CF90" s="19">
        <f t="shared" si="2134"/>
        <v>7.9008034366980118E-2</v>
      </c>
      <c r="CG90" s="19">
        <f t="shared" si="2134"/>
        <v>7.9108446752343298E-2</v>
      </c>
      <c r="CH90" s="259">
        <f t="shared" si="2134"/>
        <v>7.9636010212772446E-2</v>
      </c>
      <c r="CI90" s="19">
        <f t="shared" si="2134"/>
        <v>7.7322186603412613E-2</v>
      </c>
      <c r="CJ90" s="19">
        <f t="shared" si="2134"/>
        <v>7.70253328175734E-2</v>
      </c>
      <c r="CK90" s="19">
        <f t="shared" si="2134"/>
        <v>7.6108149565300653E-2</v>
      </c>
      <c r="CL90" s="19">
        <f t="shared" si="2134"/>
        <v>7.6254529180453723E-2</v>
      </c>
      <c r="CM90" s="259">
        <f t="shared" si="2134"/>
        <v>7.6671238248843254E-2</v>
      </c>
    </row>
    <row r="91" spans="1:93">
      <c r="A91" s="139" t="s">
        <v>292</v>
      </c>
      <c r="B91" s="232" t="s">
        <v>294</v>
      </c>
      <c r="C91" s="232" t="s">
        <v>294</v>
      </c>
      <c r="D91" s="232" t="s">
        <v>294</v>
      </c>
      <c r="E91" s="232" t="s">
        <v>294</v>
      </c>
      <c r="F91" s="239" t="s">
        <v>294</v>
      </c>
      <c r="G91" s="147" t="s">
        <v>294</v>
      </c>
      <c r="H91" s="19">
        <f>+H89/G89-1</f>
        <v>0.3380281690140845</v>
      </c>
      <c r="I91" s="19">
        <f t="shared" ref="I91:J91" si="2135">+I89/H89-1</f>
        <v>1.0526315789473717E-2</v>
      </c>
      <c r="J91" s="19">
        <f t="shared" si="2135"/>
        <v>0.77083333333333348</v>
      </c>
      <c r="K91" s="251" t="s">
        <v>294</v>
      </c>
      <c r="L91" s="19">
        <f>+L89/J89-1</f>
        <v>1.1764705882352899E-2</v>
      </c>
      <c r="M91" s="19">
        <f>+M89/L89-1</f>
        <v>0.26744186046511631</v>
      </c>
      <c r="N91" s="19">
        <f t="shared" ref="N91:O91" si="2136">+N89/M89-1</f>
        <v>0.41284403669724767</v>
      </c>
      <c r="O91" s="19">
        <f t="shared" si="2136"/>
        <v>1.6233766233766156E-2</v>
      </c>
      <c r="P91" s="251" t="s">
        <v>294</v>
      </c>
      <c r="Q91" s="19">
        <f>+Q89/O89-1</f>
        <v>0.21405750798722045</v>
      </c>
      <c r="R91" s="19">
        <f>+R89/Q89-1</f>
        <v>4.2105263157894868E-2</v>
      </c>
      <c r="S91" s="19">
        <f t="shared" ref="S91:T91" si="2137">+S89/R89-1</f>
        <v>0.2196969696969695</v>
      </c>
      <c r="T91" s="19">
        <f t="shared" si="2137"/>
        <v>-4.9689440993788803E-2</v>
      </c>
      <c r="U91" s="251" t="s">
        <v>294</v>
      </c>
      <c r="V91" s="19">
        <f>+V89/T89-1</f>
        <v>8.4967320261437829E-2</v>
      </c>
      <c r="W91" s="19">
        <f>+W89/V89-1</f>
        <v>0.22489959839357443</v>
      </c>
      <c r="X91" s="19">
        <f t="shared" ref="X91:Y91" si="2138">+X89/W89-1</f>
        <v>4.9180327868851847E-3</v>
      </c>
      <c r="Y91" s="19">
        <f t="shared" si="2138"/>
        <v>4.8939641109298604E-2</v>
      </c>
      <c r="Z91" s="251" t="s">
        <v>294</v>
      </c>
      <c r="AA91" s="19">
        <f>+AA89/Y89-1</f>
        <v>3.1254121306376392E-2</v>
      </c>
      <c r="AB91" s="19">
        <f>+AB89/AA89-1</f>
        <v>6.8811653931464711E-2</v>
      </c>
      <c r="AC91" s="19">
        <f t="shared" ref="AC91:AD91" si="2139">+AC89/AB89-1</f>
        <v>0.10352495458182931</v>
      </c>
      <c r="AD91" s="19">
        <f t="shared" si="2139"/>
        <v>7.9371084799191527E-2</v>
      </c>
      <c r="AE91" s="251" t="s">
        <v>294</v>
      </c>
      <c r="AF91" s="19">
        <f>+AF89/AD89-1</f>
        <v>8.4573493757253537E-2</v>
      </c>
      <c r="AG91" s="19">
        <f>+AG89/AF89-1</f>
        <v>9.5674026865887551E-2</v>
      </c>
      <c r="AH91" s="19">
        <f t="shared" ref="AH91:AI91" si="2140">+AH89/AG89-1</f>
        <v>3.1871656721980113E-2</v>
      </c>
      <c r="AI91" s="19">
        <f t="shared" si="2140"/>
        <v>5.3735813680655387E-2</v>
      </c>
      <c r="AJ91" s="251" t="s">
        <v>294</v>
      </c>
      <c r="AK91" s="19">
        <f>+AK89/AI89-1</f>
        <v>0.15284924690930657</v>
      </c>
      <c r="AL91" s="19">
        <f>+AL89/AK89-1</f>
        <v>3.5952858097146656E-2</v>
      </c>
      <c r="AM91" s="19">
        <f t="shared" ref="AM91:AN91" si="2141">+AM89/AL89-1</f>
        <v>8.3887954924041663E-2</v>
      </c>
      <c r="AN91" s="19">
        <f t="shared" si="2141"/>
        <v>3.1275452028017625E-2</v>
      </c>
      <c r="AO91" s="251" t="s">
        <v>294</v>
      </c>
      <c r="AP91" s="19">
        <f>+AP89/AN89-1</f>
        <v>3.3966747474470038E-2</v>
      </c>
      <c r="AQ91" s="19">
        <f>+AQ89/AP89-1</f>
        <v>5.3972196946047823E-2</v>
      </c>
      <c r="AR91" s="19">
        <f t="shared" ref="AR91:AS91" si="2142">+AR89/AQ89-1</f>
        <v>0.16206320698238641</v>
      </c>
      <c r="AS91" s="19">
        <f t="shared" si="2142"/>
        <v>3.0081018644049662E-2</v>
      </c>
      <c r="AT91" s="251" t="s">
        <v>294</v>
      </c>
      <c r="AU91" s="379">
        <f>+AU89/AS89-1</f>
        <v>3.2693456192156134E-2</v>
      </c>
      <c r="AV91" s="19">
        <f>+AV89/AU89-1</f>
        <v>7.1732389447237921E-2</v>
      </c>
      <c r="AW91" s="19">
        <f t="shared" ref="AW91:AX91" si="2143">+AW89/AV89-1</f>
        <v>6.6588452713400637E-2</v>
      </c>
      <c r="AX91" s="19">
        <f t="shared" si="2143"/>
        <v>2.5786582078185516E-2</v>
      </c>
      <c r="AY91" s="251" t="s">
        <v>294</v>
      </c>
      <c r="AZ91" s="19">
        <f>+AZ89/AX89-1</f>
        <v>0.15149659354574285</v>
      </c>
      <c r="BA91" s="19">
        <f>+BA89/AZ89-1</f>
        <v>1.4181857931163222E-2</v>
      </c>
      <c r="BB91" s="19">
        <f t="shared" ref="BB91:BC91" si="2144">+BB89/BA89-1</f>
        <v>3.5113054472837302E-2</v>
      </c>
      <c r="BC91" s="19">
        <f t="shared" si="2144"/>
        <v>2.3039261878690098E-2</v>
      </c>
      <c r="BD91" s="251" t="s">
        <v>294</v>
      </c>
      <c r="BE91" s="19">
        <f>+BE89/BC89-1</f>
        <v>0.14174304781778835</v>
      </c>
      <c r="BF91" s="19">
        <f>+BF89/BE89-1</f>
        <v>2.8727626632104597E-2</v>
      </c>
      <c r="BG91" s="19">
        <f t="shared" ref="BG91:BH91" si="2145">+BG89/BF89-1</f>
        <v>4.0792937112011707E-2</v>
      </c>
      <c r="BH91" s="19">
        <f t="shared" si="2145"/>
        <v>2.3294762877787978E-2</v>
      </c>
      <c r="BI91" s="251" t="s">
        <v>294</v>
      </c>
      <c r="BJ91" s="19">
        <f>+BJ89/BH89-1</f>
        <v>8.6448008966953926E-2</v>
      </c>
      <c r="BK91" s="19">
        <f>+BK89/BJ89-1</f>
        <v>6.0910933512072774E-3</v>
      </c>
      <c r="BL91" s="19">
        <f t="shared" ref="BL91:BM91" si="2146">+BL89/BK89-1</f>
        <v>2.1794816951851148E-2</v>
      </c>
      <c r="BM91" s="19">
        <f t="shared" si="2146"/>
        <v>-3.425908536180966E-5</v>
      </c>
      <c r="BN91" s="251" t="s">
        <v>294</v>
      </c>
      <c r="BO91" s="19">
        <f>+BO89/BM89-1</f>
        <v>8.553888892487671E-2</v>
      </c>
      <c r="BP91" s="19">
        <f>+BP89/BO89-1</f>
        <v>1.11704398995085E-2</v>
      </c>
      <c r="BQ91" s="19">
        <f t="shared" ref="BQ91:BR91" si="2147">+BQ89/BP89-1</f>
        <v>2.6246561935000745E-2</v>
      </c>
      <c r="BR91" s="19">
        <f t="shared" si="2147"/>
        <v>5.6738376236784571E-3</v>
      </c>
      <c r="BS91" s="251" t="s">
        <v>294</v>
      </c>
      <c r="BT91" s="19">
        <f>+BT89/BR89-1</f>
        <v>6.6871780041001916E-2</v>
      </c>
      <c r="BU91" s="19">
        <f>+BU89/BT89-1</f>
        <v>1.0132731470027245E-2</v>
      </c>
      <c r="BV91" s="19">
        <f t="shared" ref="BV91:BW91" si="2148">+BV89/BU89-1</f>
        <v>2.4523071887736059E-2</v>
      </c>
      <c r="BW91" s="19">
        <f t="shared" si="2148"/>
        <v>5.1749315284830288E-3</v>
      </c>
      <c r="BX91" s="251" t="s">
        <v>294</v>
      </c>
      <c r="BY91" s="19">
        <f>+BY89/BW89-1</f>
        <v>5.5617849329751001E-2</v>
      </c>
      <c r="BZ91" s="19">
        <f>+BZ89/BY89-1</f>
        <v>7.1117685164114874E-3</v>
      </c>
      <c r="CA91" s="19">
        <f t="shared" ref="CA91:CB91" si="2149">+CA89/BZ89-1</f>
        <v>2.0948975758885213E-2</v>
      </c>
      <c r="CB91" s="19">
        <f t="shared" si="2149"/>
        <v>2.9778504712156817E-3</v>
      </c>
      <c r="CC91" s="251" t="s">
        <v>294</v>
      </c>
      <c r="CD91" s="19">
        <f>+CD89/CB89-1</f>
        <v>4.7657341614658844E-2</v>
      </c>
      <c r="CE91" s="19">
        <f>+CE89/CD89-1</f>
        <v>6.7579348454291921E-3</v>
      </c>
      <c r="CF91" s="19">
        <f t="shared" ref="CF91:CG91" si="2150">+CF89/CE89-1</f>
        <v>1.9973795444549136E-2</v>
      </c>
      <c r="CG91" s="19">
        <f t="shared" si="2150"/>
        <v>3.0711874948750051E-3</v>
      </c>
      <c r="CH91" s="251" t="s">
        <v>294</v>
      </c>
      <c r="CI91" s="19">
        <f>+CI89/CG89-1</f>
        <v>4.5923142827972274E-2</v>
      </c>
      <c r="CJ91" s="19">
        <f>+CJ89/CI89-1</f>
        <v>6.4805248857173758E-3</v>
      </c>
      <c r="CK91" s="19">
        <f t="shared" ref="CK91:CL91" si="2151">+CK89/CJ89-1</f>
        <v>1.9105196671211466E-2</v>
      </c>
      <c r="CL91" s="19">
        <f t="shared" si="2151"/>
        <v>3.2076321212406445E-3</v>
      </c>
      <c r="CM91" s="251" t="s">
        <v>294</v>
      </c>
    </row>
    <row r="92" spans="1:93">
      <c r="A92" s="139"/>
      <c r="F92" s="240"/>
      <c r="G92" s="147"/>
      <c r="H92" s="19"/>
      <c r="I92" s="19"/>
      <c r="J92" s="19"/>
      <c r="K92" s="251"/>
      <c r="L92" s="19"/>
      <c r="M92" s="19"/>
      <c r="N92" s="19"/>
      <c r="O92" s="19"/>
      <c r="P92" s="251"/>
      <c r="Q92" s="19"/>
      <c r="R92" s="19"/>
      <c r="S92" s="19"/>
      <c r="T92" s="19"/>
      <c r="U92" s="251"/>
      <c r="V92" s="19"/>
      <c r="W92" s="19"/>
      <c r="X92" s="19"/>
      <c r="Y92" s="19"/>
      <c r="Z92" s="251"/>
      <c r="AA92" s="19"/>
      <c r="AB92" s="19"/>
      <c r="AC92" s="19"/>
      <c r="AD92" s="19"/>
      <c r="AE92" s="251"/>
      <c r="AF92" s="19"/>
      <c r="AG92" s="19"/>
      <c r="AH92" s="19"/>
      <c r="AI92" s="19"/>
      <c r="AJ92" s="251"/>
      <c r="AK92" s="19"/>
      <c r="AL92" s="19"/>
      <c r="AM92" s="19"/>
      <c r="AN92" s="19"/>
      <c r="AO92" s="251"/>
      <c r="AP92" s="19"/>
      <c r="AQ92" s="19"/>
      <c r="AR92" s="19"/>
      <c r="AS92" s="19"/>
      <c r="AT92" s="251"/>
      <c r="AU92" s="379"/>
      <c r="AV92" s="19"/>
      <c r="AW92" s="19"/>
      <c r="AX92" s="19"/>
      <c r="AY92" s="251"/>
      <c r="AZ92" s="19"/>
      <c r="BA92" s="19"/>
      <c r="BB92" s="19"/>
      <c r="BC92" s="19"/>
      <c r="BD92" s="251"/>
      <c r="BE92" s="19"/>
      <c r="BF92" s="19"/>
      <c r="BG92" s="19"/>
      <c r="BH92" s="19"/>
      <c r="BI92" s="251"/>
      <c r="BJ92" s="19"/>
      <c r="BK92" s="19"/>
      <c r="BL92" s="19"/>
      <c r="BM92" s="19"/>
      <c r="BN92" s="251"/>
      <c r="BO92" s="19"/>
      <c r="BP92" s="19"/>
      <c r="BQ92" s="19"/>
      <c r="BR92" s="19"/>
      <c r="BS92" s="251"/>
      <c r="BT92" s="19"/>
      <c r="BU92" s="19"/>
      <c r="BV92" s="19"/>
      <c r="BW92" s="19"/>
      <c r="BX92" s="251"/>
      <c r="BY92" s="19"/>
      <c r="BZ92" s="19"/>
      <c r="CA92" s="19"/>
      <c r="CB92" s="19"/>
      <c r="CC92" s="251"/>
      <c r="CD92" s="19"/>
      <c r="CE92" s="19"/>
      <c r="CF92" s="19"/>
      <c r="CG92" s="19"/>
      <c r="CH92" s="251"/>
      <c r="CI92" s="19"/>
      <c r="CJ92" s="19"/>
      <c r="CK92" s="19"/>
      <c r="CL92" s="19"/>
      <c r="CM92" s="251"/>
    </row>
    <row r="93" spans="1:93">
      <c r="A93" s="178" t="s">
        <v>434</v>
      </c>
      <c r="B93" s="177"/>
      <c r="C93" s="177"/>
      <c r="D93" s="177"/>
      <c r="E93" s="177"/>
      <c r="F93" s="241"/>
      <c r="G93" s="177"/>
      <c r="H93" s="177"/>
      <c r="I93" s="177"/>
      <c r="J93" s="177"/>
      <c r="K93" s="241"/>
      <c r="L93" s="177"/>
      <c r="M93" s="177"/>
      <c r="N93" s="177"/>
      <c r="O93" s="177"/>
      <c r="P93" s="241"/>
      <c r="Q93" s="177"/>
      <c r="R93" s="177"/>
      <c r="S93" s="177"/>
      <c r="T93" s="177"/>
      <c r="U93" s="241"/>
      <c r="V93" s="177"/>
      <c r="W93" s="177"/>
      <c r="X93" s="177"/>
      <c r="Y93" s="177"/>
      <c r="Z93" s="241"/>
      <c r="AA93" s="177"/>
      <c r="AB93" s="177"/>
      <c r="AC93" s="177"/>
      <c r="AD93" s="177"/>
      <c r="AE93" s="241"/>
      <c r="AF93" s="177"/>
      <c r="AG93" s="177"/>
      <c r="AH93" s="177"/>
      <c r="AI93" s="177"/>
      <c r="AJ93" s="241"/>
      <c r="AK93" s="177"/>
      <c r="AL93" s="177"/>
      <c r="AM93" s="177"/>
      <c r="AN93" s="177"/>
      <c r="AO93" s="241"/>
      <c r="AP93" s="177"/>
      <c r="AQ93" s="177"/>
      <c r="AR93" s="177"/>
      <c r="AS93" s="177"/>
      <c r="AT93" s="241"/>
      <c r="AU93" s="177"/>
      <c r="AV93" s="177"/>
      <c r="AW93" s="177"/>
      <c r="AX93" s="177"/>
      <c r="AY93" s="241"/>
      <c r="AZ93" s="177"/>
      <c r="BA93" s="177"/>
      <c r="BB93" s="177"/>
      <c r="BC93" s="177"/>
      <c r="BD93" s="241"/>
      <c r="BE93" s="177"/>
      <c r="BF93" s="177"/>
      <c r="BG93" s="177"/>
      <c r="BH93" s="177"/>
      <c r="BI93" s="241"/>
      <c r="BJ93" s="177"/>
      <c r="BK93" s="177"/>
      <c r="BL93" s="177"/>
      <c r="BM93" s="177"/>
      <c r="BN93" s="241"/>
      <c r="BO93" s="177"/>
      <c r="BP93" s="177"/>
      <c r="BQ93" s="177"/>
      <c r="BR93" s="177"/>
      <c r="BS93" s="241"/>
      <c r="BT93" s="177"/>
      <c r="BU93" s="177"/>
      <c r="BV93" s="177"/>
      <c r="BW93" s="177"/>
      <c r="BX93" s="241"/>
      <c r="BY93" s="177"/>
      <c r="BZ93" s="177"/>
      <c r="CA93" s="177"/>
      <c r="CB93" s="177"/>
      <c r="CC93" s="241"/>
      <c r="CD93" s="177"/>
      <c r="CE93" s="177"/>
      <c r="CF93" s="177"/>
      <c r="CG93" s="177"/>
      <c r="CH93" s="241"/>
      <c r="CI93" s="177"/>
      <c r="CJ93" s="177"/>
      <c r="CK93" s="177"/>
      <c r="CL93" s="177"/>
      <c r="CM93" s="241"/>
      <c r="CN93" s="177"/>
      <c r="CO93" s="177"/>
    </row>
    <row r="94" spans="1:93">
      <c r="A94" s="18" t="s">
        <v>336</v>
      </c>
      <c r="B94" s="232" t="s">
        <v>294</v>
      </c>
      <c r="C94" s="232" t="s">
        <v>294</v>
      </c>
      <c r="D94" s="232" t="s">
        <v>294</v>
      </c>
      <c r="E94" s="232" t="s">
        <v>294</v>
      </c>
      <c r="F94" s="239" t="s">
        <v>294</v>
      </c>
      <c r="G94" s="49">
        <f>+K94/4</f>
        <v>175000</v>
      </c>
      <c r="H94" s="49">
        <f>+K94/4</f>
        <v>175000</v>
      </c>
      <c r="I94" s="49">
        <f>+K94/4</f>
        <v>175000</v>
      </c>
      <c r="J94" s="49">
        <f>+K94/4</f>
        <v>175000</v>
      </c>
      <c r="K94" s="242">
        <v>700000</v>
      </c>
      <c r="L94" s="49">
        <f>+P94/4</f>
        <v>175000</v>
      </c>
      <c r="M94" s="49">
        <f>+P94/4</f>
        <v>175000</v>
      </c>
      <c r="N94" s="49">
        <f>+P94/4</f>
        <v>175000</v>
      </c>
      <c r="O94" s="49">
        <f>+P94/4</f>
        <v>175000</v>
      </c>
      <c r="P94" s="242">
        <v>700000</v>
      </c>
      <c r="Q94" s="49">
        <f>+U94/4</f>
        <v>175000</v>
      </c>
      <c r="R94" s="49">
        <f>+U94/4</f>
        <v>175000</v>
      </c>
      <c r="S94" s="49">
        <f>+U94/4</f>
        <v>175000</v>
      </c>
      <c r="T94" s="49">
        <f>+U94/4</f>
        <v>175000</v>
      </c>
      <c r="U94" s="242">
        <v>700000</v>
      </c>
      <c r="V94" s="49">
        <f>+Z94/4</f>
        <v>175000</v>
      </c>
      <c r="W94" s="49">
        <f>+Z94/4</f>
        <v>175000</v>
      </c>
      <c r="X94" s="49">
        <f>+Z94/4</f>
        <v>175000</v>
      </c>
      <c r="Y94" s="49">
        <f>+Z94/4</f>
        <v>175000</v>
      </c>
      <c r="Z94" s="242">
        <v>700000</v>
      </c>
      <c r="AA94" s="49">
        <f>+AE94/4</f>
        <v>175000</v>
      </c>
      <c r="AB94" s="49">
        <f>+AE94/4</f>
        <v>175000</v>
      </c>
      <c r="AC94" s="49">
        <f>+AE94/4</f>
        <v>175000</v>
      </c>
      <c r="AD94" s="49">
        <f>+AE94/4</f>
        <v>175000</v>
      </c>
      <c r="AE94" s="242">
        <v>700000</v>
      </c>
      <c r="AF94" s="49">
        <f>+AJ94/4</f>
        <v>175000</v>
      </c>
      <c r="AG94" s="49">
        <f>+AJ94/4</f>
        <v>175000</v>
      </c>
      <c r="AH94" s="49">
        <f>+AJ94/4</f>
        <v>175000</v>
      </c>
      <c r="AI94" s="49">
        <f>+AJ94/4</f>
        <v>175000</v>
      </c>
      <c r="AJ94" s="242">
        <v>700000</v>
      </c>
      <c r="AK94" s="49">
        <f>+AO94/4</f>
        <v>175000</v>
      </c>
      <c r="AL94" s="49">
        <f>+AO94/4</f>
        <v>175000</v>
      </c>
      <c r="AM94" s="49">
        <f>+AO94/4</f>
        <v>175000</v>
      </c>
      <c r="AN94" s="49">
        <f>+AO94/4</f>
        <v>175000</v>
      </c>
      <c r="AO94" s="336">
        <v>700000</v>
      </c>
      <c r="AP94" s="49">
        <f>+AT94/4</f>
        <v>175000</v>
      </c>
      <c r="AQ94" s="49">
        <f>+AT94/4</f>
        <v>175000</v>
      </c>
      <c r="AR94" s="49">
        <f>+AT94/4</f>
        <v>175000</v>
      </c>
      <c r="AS94" s="49">
        <f>+AT94/4</f>
        <v>175000</v>
      </c>
      <c r="AT94" s="336">
        <v>700000</v>
      </c>
      <c r="AU94" s="392">
        <f>+AY94/4</f>
        <v>175000</v>
      </c>
      <c r="AV94" s="49">
        <f>+AY94/4</f>
        <v>175000</v>
      </c>
      <c r="AW94" s="49">
        <f>+AY94/4</f>
        <v>175000</v>
      </c>
      <c r="AX94" s="49">
        <f>+AY94/4</f>
        <v>175000</v>
      </c>
      <c r="AY94" s="336">
        <v>700000</v>
      </c>
      <c r="AZ94" s="49">
        <f>+BD94/4</f>
        <v>175000</v>
      </c>
      <c r="BA94" s="49">
        <f>+BD94/4</f>
        <v>175000</v>
      </c>
      <c r="BB94" s="49">
        <f>+BD94/4</f>
        <v>175000</v>
      </c>
      <c r="BC94" s="49">
        <f>+BD94/4</f>
        <v>175000</v>
      </c>
      <c r="BD94" s="336">
        <v>700000</v>
      </c>
      <c r="BE94" s="49">
        <f>+BI94/4</f>
        <v>175000</v>
      </c>
      <c r="BF94" s="49">
        <f>+BI94/4</f>
        <v>175000</v>
      </c>
      <c r="BG94" s="49">
        <f>+BI94/4</f>
        <v>175000</v>
      </c>
      <c r="BH94" s="49">
        <f>+BI94/4</f>
        <v>175000</v>
      </c>
      <c r="BI94" s="336">
        <v>700000</v>
      </c>
      <c r="BJ94" s="49">
        <f>+BN94/4</f>
        <v>175000</v>
      </c>
      <c r="BK94" s="49">
        <f>+BN94/4</f>
        <v>175000</v>
      </c>
      <c r="BL94" s="49">
        <f>+BN94/4</f>
        <v>175000</v>
      </c>
      <c r="BM94" s="49">
        <f>+BN94/4</f>
        <v>175000</v>
      </c>
      <c r="BN94" s="336">
        <v>700000</v>
      </c>
      <c r="BO94" s="49">
        <f>+BS94/4</f>
        <v>175000</v>
      </c>
      <c r="BP94" s="49">
        <f>+BS94/4</f>
        <v>175000</v>
      </c>
      <c r="BQ94" s="49">
        <f>+BS94/4</f>
        <v>175000</v>
      </c>
      <c r="BR94" s="49">
        <f>+BS94/4</f>
        <v>175000</v>
      </c>
      <c r="BS94" s="336">
        <v>700000</v>
      </c>
      <c r="BT94" s="49">
        <f>+BX94/4</f>
        <v>175000</v>
      </c>
      <c r="BU94" s="49">
        <f>+BX94/4</f>
        <v>175000</v>
      </c>
      <c r="BV94" s="49">
        <f>+BX94/4</f>
        <v>175000</v>
      </c>
      <c r="BW94" s="49">
        <f>+BX94/4</f>
        <v>175000</v>
      </c>
      <c r="BX94" s="336">
        <v>700000</v>
      </c>
      <c r="BY94" s="49">
        <f>+CC94/4</f>
        <v>175000</v>
      </c>
      <c r="BZ94" s="49">
        <f>+CC94/4</f>
        <v>175000</v>
      </c>
      <c r="CA94" s="49">
        <f>+CC94/4</f>
        <v>175000</v>
      </c>
      <c r="CB94" s="49">
        <f>+CC94/4</f>
        <v>175000</v>
      </c>
      <c r="CC94" s="336">
        <v>700000</v>
      </c>
      <c r="CD94" s="49">
        <f>+CH94/4</f>
        <v>175000</v>
      </c>
      <c r="CE94" s="49">
        <f>+CH94/4</f>
        <v>175000</v>
      </c>
      <c r="CF94" s="49">
        <f>+CH94/4</f>
        <v>175000</v>
      </c>
      <c r="CG94" s="49">
        <f>+CH94/4</f>
        <v>175000</v>
      </c>
      <c r="CH94" s="336">
        <v>700000</v>
      </c>
      <c r="CI94" s="49">
        <f>+CM94/4</f>
        <v>175000</v>
      </c>
      <c r="CJ94" s="49">
        <f>+CM94/4</f>
        <v>175000</v>
      </c>
      <c r="CK94" s="49">
        <f>+CM94/4</f>
        <v>175000</v>
      </c>
      <c r="CL94" s="49">
        <f>+CM94/4</f>
        <v>175000</v>
      </c>
      <c r="CM94" s="336">
        <v>700000</v>
      </c>
    </row>
    <row r="95" spans="1:93" s="167" customFormat="1">
      <c r="A95" s="167" t="s">
        <v>334</v>
      </c>
      <c r="B95" s="232" t="s">
        <v>294</v>
      </c>
      <c r="C95" s="232" t="s">
        <v>294</v>
      </c>
      <c r="D95" s="232" t="s">
        <v>294</v>
      </c>
      <c r="E95" s="232" t="s">
        <v>294</v>
      </c>
      <c r="F95" s="239" t="s">
        <v>294</v>
      </c>
      <c r="G95" s="167">
        <f>+G55</f>
        <v>7246</v>
      </c>
      <c r="H95" s="167">
        <f>+H55</f>
        <v>6723</v>
      </c>
      <c r="I95" s="167">
        <f>+I55</f>
        <v>7027</v>
      </c>
      <c r="J95" s="167">
        <f>+J55</f>
        <v>8596</v>
      </c>
      <c r="K95" s="249">
        <f>+G95+H95+I95+J95</f>
        <v>29592</v>
      </c>
      <c r="L95" s="167">
        <f>+L55</f>
        <v>9521</v>
      </c>
      <c r="M95" s="167">
        <f>+M55</f>
        <v>11875</v>
      </c>
      <c r="N95" s="167">
        <f>+N55</f>
        <v>13259</v>
      </c>
      <c r="O95" s="167">
        <f>+O55</f>
        <v>15270</v>
      </c>
      <c r="P95" s="249">
        <f>+L95+M95+N95+O95</f>
        <v>49925</v>
      </c>
      <c r="Q95" s="167">
        <f>+Q55</f>
        <v>15257</v>
      </c>
      <c r="R95" s="167">
        <f>+R55</f>
        <v>13694</v>
      </c>
      <c r="S95" s="167">
        <f>+S55</f>
        <v>16950</v>
      </c>
      <c r="T95" s="167">
        <f>+T55</f>
        <v>17353</v>
      </c>
      <c r="U95" s="249">
        <f>+Q95+R95+S95+T95</f>
        <v>63254</v>
      </c>
      <c r="V95" s="167">
        <f>+V55</f>
        <v>18390</v>
      </c>
      <c r="W95" s="167">
        <f>+W55</f>
        <v>20830</v>
      </c>
      <c r="X95" s="167">
        <f>+X55</f>
        <v>22806</v>
      </c>
      <c r="Y95" s="167">
        <f>+Y55</f>
        <v>25600</v>
      </c>
      <c r="Z95" s="249">
        <f>+V95+W95+X95+Y95</f>
        <v>87626</v>
      </c>
      <c r="AA95" s="167">
        <f>+AA55-AA111-AA136-AA157</f>
        <v>25106</v>
      </c>
      <c r="AB95" s="167">
        <f>+AB55-AB111-AB136-AB157</f>
        <v>26952</v>
      </c>
      <c r="AC95" s="167">
        <f>+AC55-AC111-AC136-AC157</f>
        <v>29179</v>
      </c>
      <c r="AD95" s="167">
        <f>+AD55-AD111-AD136-AD157</f>
        <v>31226</v>
      </c>
      <c r="AE95" s="249">
        <f>+AA95+AB95+AC95+AD95</f>
        <v>112463</v>
      </c>
      <c r="AF95" s="167">
        <f>+AF55-AF111-AF136-AF157</f>
        <v>33633</v>
      </c>
      <c r="AG95" s="167">
        <f>+AG55-AG111-AG136-AG157</f>
        <v>36300</v>
      </c>
      <c r="AH95" s="167">
        <f>+AH55-AH111-AH136-AH157</f>
        <v>35499</v>
      </c>
      <c r="AI95" s="167">
        <f>+AI55-AI111-AI136-AI157</f>
        <v>36783</v>
      </c>
      <c r="AJ95" s="249">
        <f>+AF95+AG95+AH95+AI95</f>
        <v>142215</v>
      </c>
      <c r="AK95" s="167">
        <f>+AK55-AK111-AK136-AK157</f>
        <v>38254</v>
      </c>
      <c r="AL95" s="167">
        <f>+AL55-AL111-AL136-AL157</f>
        <v>39009</v>
      </c>
      <c r="AM95" s="167">
        <f>+AM55-AM111-AM136-AM157</f>
        <v>41495</v>
      </c>
      <c r="AN95" s="167">
        <f>+AN55-AN111-AN136-AN157</f>
        <v>43490</v>
      </c>
      <c r="AO95" s="249">
        <f>+AK95+AL95+AM95+AN95</f>
        <v>162248</v>
      </c>
      <c r="AP95" s="167">
        <f>+AP55-AP111-AP136-AP157</f>
        <v>44326</v>
      </c>
      <c r="AQ95" s="167">
        <f>+AQ55-AQ111-AQ136-AQ157</f>
        <v>46668</v>
      </c>
      <c r="AR95" s="167">
        <f>+AR55-AR111-AR136-AR157</f>
        <v>54346</v>
      </c>
      <c r="AS95" s="167">
        <f>+AS55-AS111-AS136-AS157</f>
        <v>57844</v>
      </c>
      <c r="AT95" s="249">
        <f>+AP95+AQ95+AR95+AS95</f>
        <v>203184</v>
      </c>
      <c r="AU95" s="386">
        <f>+AU94*AU98</f>
        <v>54250</v>
      </c>
      <c r="AV95" s="167">
        <f t="shared" ref="AV95" si="2152">+AV94*AV98</f>
        <v>59500.000000000007</v>
      </c>
      <c r="AW95" s="167">
        <f t="shared" ref="AW95" si="2153">+AW94*AW98</f>
        <v>63000</v>
      </c>
      <c r="AX95" s="167">
        <f t="shared" ref="AX95" si="2154">+AX94*AX98</f>
        <v>66500</v>
      </c>
      <c r="AY95" s="249">
        <f>+AU95+AV95+AW95+AX95</f>
        <v>243250</v>
      </c>
      <c r="AZ95" s="167">
        <f>+AZ94*AZ98</f>
        <v>68250</v>
      </c>
      <c r="BA95" s="167">
        <f t="shared" ref="BA95" si="2155">+BA94*BA98</f>
        <v>69125</v>
      </c>
      <c r="BB95" s="167">
        <f t="shared" ref="BB95" si="2156">+BB94*BB98</f>
        <v>70000</v>
      </c>
      <c r="BC95" s="167">
        <f t="shared" ref="BC95" si="2157">+BC94*BC98</f>
        <v>71750</v>
      </c>
      <c r="BD95" s="249">
        <f>+AZ95+BA95+BB95+BC95</f>
        <v>279125</v>
      </c>
      <c r="BE95" s="167">
        <f>+BE94*BE98</f>
        <v>73500</v>
      </c>
      <c r="BF95" s="167">
        <f t="shared" ref="BF95" si="2158">+BF94*BF98</f>
        <v>75250.000000000015</v>
      </c>
      <c r="BG95" s="167">
        <f t="shared" ref="BG95" si="2159">+BG94*BG98</f>
        <v>77000.000000000015</v>
      </c>
      <c r="BH95" s="167">
        <f t="shared" ref="BH95" si="2160">+BH94*BH98</f>
        <v>78750.000000000015</v>
      </c>
      <c r="BI95" s="249">
        <f>+BE95+BF95+BG95+BH95</f>
        <v>304500</v>
      </c>
      <c r="BJ95" s="167">
        <f>+BJ94*BJ98</f>
        <v>80500.000000000015</v>
      </c>
      <c r="BK95" s="167">
        <f t="shared" ref="BK95" si="2161">+BK94*BK98</f>
        <v>82250.000000000015</v>
      </c>
      <c r="BL95" s="167">
        <f t="shared" ref="BL95" si="2162">+BL94*BL98</f>
        <v>84000.000000000015</v>
      </c>
      <c r="BM95" s="167">
        <f t="shared" ref="BM95" si="2163">+BM94*BM98</f>
        <v>85750.000000000015</v>
      </c>
      <c r="BN95" s="249">
        <f>+BJ95+BK95+BL95+BM95</f>
        <v>332500.00000000006</v>
      </c>
      <c r="BO95" s="167">
        <f>+BO94*BO98</f>
        <v>87500.000000000015</v>
      </c>
      <c r="BP95" s="167">
        <f t="shared" ref="BP95" si="2164">+BP94*BP98</f>
        <v>89250.000000000015</v>
      </c>
      <c r="BQ95" s="167">
        <f t="shared" ref="BQ95" si="2165">+BQ94*BQ98</f>
        <v>91000.000000000029</v>
      </c>
      <c r="BR95" s="167">
        <f t="shared" ref="BR95" si="2166">+BR94*BR98</f>
        <v>92750.000000000029</v>
      </c>
      <c r="BS95" s="249">
        <f>+BO95+BP95+BQ95+BR95</f>
        <v>360500.00000000012</v>
      </c>
      <c r="BT95" s="167">
        <f>+BT94*BT98</f>
        <v>94500.000000000029</v>
      </c>
      <c r="BU95" s="167">
        <f t="shared" ref="BU95" si="2167">+BU94*BU98</f>
        <v>96250.000000000029</v>
      </c>
      <c r="BV95" s="167">
        <f t="shared" ref="BV95" si="2168">+BV94*BV98</f>
        <v>98000.000000000029</v>
      </c>
      <c r="BW95" s="167">
        <f t="shared" ref="BW95" si="2169">+BW94*BW98</f>
        <v>99750.000000000029</v>
      </c>
      <c r="BX95" s="249">
        <f>+BT95+BU95+BV95+BW95</f>
        <v>388500.00000000012</v>
      </c>
      <c r="BY95" s="167">
        <f>+BY94*BY98</f>
        <v>101150.00000000003</v>
      </c>
      <c r="BZ95" s="167">
        <f t="shared" ref="BZ95" si="2170">+BZ94*BZ98</f>
        <v>102550.00000000003</v>
      </c>
      <c r="CA95" s="167">
        <f t="shared" ref="CA95" si="2171">+CA94*CA98</f>
        <v>103950.00000000003</v>
      </c>
      <c r="CB95" s="167">
        <f t="shared" ref="CB95" si="2172">+CB94*CB98</f>
        <v>105350.00000000003</v>
      </c>
      <c r="CC95" s="249">
        <f>+BY95+BZ95+CA95+CB95</f>
        <v>413000.00000000012</v>
      </c>
      <c r="CD95" s="167">
        <f>+CD94*CD98</f>
        <v>106750.00000000004</v>
      </c>
      <c r="CE95" s="167">
        <f t="shared" ref="CE95" si="2173">+CE94*CE98</f>
        <v>108150.00000000004</v>
      </c>
      <c r="CF95" s="167">
        <f t="shared" ref="CF95" si="2174">+CF94*CF98</f>
        <v>109550.00000000004</v>
      </c>
      <c r="CG95" s="167">
        <f t="shared" ref="CG95" si="2175">+CG94*CG98</f>
        <v>110950.00000000004</v>
      </c>
      <c r="CH95" s="249">
        <f>+CD95+CE95+CF95+CG95</f>
        <v>435400.00000000017</v>
      </c>
      <c r="CI95" s="167">
        <f>+CI94*CI98</f>
        <v>112350.00000000004</v>
      </c>
      <c r="CJ95" s="167">
        <f t="shared" ref="CJ95" si="2176">+CJ94*CJ98</f>
        <v>113750.00000000004</v>
      </c>
      <c r="CK95" s="167">
        <f t="shared" ref="CK95" si="2177">+CK94*CK98</f>
        <v>115150.00000000004</v>
      </c>
      <c r="CL95" s="167">
        <f t="shared" ref="CL95" si="2178">+CL94*CL98</f>
        <v>116550.00000000004</v>
      </c>
      <c r="CM95" s="249">
        <f>+CI95+CJ95+CK95+CL95</f>
        <v>457800.00000000017</v>
      </c>
    </row>
    <row r="96" spans="1:93" s="102" customFormat="1">
      <c r="A96" s="165" t="s">
        <v>291</v>
      </c>
      <c r="B96" s="232" t="s">
        <v>294</v>
      </c>
      <c r="C96" s="232" t="s">
        <v>294</v>
      </c>
      <c r="D96" s="232" t="s">
        <v>294</v>
      </c>
      <c r="E96" s="232" t="s">
        <v>294</v>
      </c>
      <c r="F96" s="239" t="s">
        <v>294</v>
      </c>
      <c r="G96" s="157" t="s">
        <v>294</v>
      </c>
      <c r="H96" s="157" t="s">
        <v>294</v>
      </c>
      <c r="I96" s="157" t="s">
        <v>294</v>
      </c>
      <c r="J96" s="157" t="s">
        <v>294</v>
      </c>
      <c r="K96" s="257" t="s">
        <v>294</v>
      </c>
      <c r="L96" s="19">
        <f t="shared" ref="L96:AQ96" si="2179">+L95/G95-1</f>
        <v>0.31396632624896492</v>
      </c>
      <c r="M96" s="19">
        <f t="shared" si="2179"/>
        <v>0.76632455748921613</v>
      </c>
      <c r="N96" s="19">
        <f t="shared" si="2179"/>
        <v>0.88686494948057493</v>
      </c>
      <c r="O96" s="19">
        <f t="shared" si="2179"/>
        <v>0.77640763145649139</v>
      </c>
      <c r="P96" s="259">
        <f t="shared" si="2179"/>
        <v>0.68711138145444717</v>
      </c>
      <c r="Q96" s="19">
        <f t="shared" si="2179"/>
        <v>0.60245772502888362</v>
      </c>
      <c r="R96" s="19">
        <f t="shared" si="2179"/>
        <v>0.15317894736842108</v>
      </c>
      <c r="S96" s="19">
        <f t="shared" si="2179"/>
        <v>0.27837695150463837</v>
      </c>
      <c r="T96" s="19">
        <f t="shared" si="2179"/>
        <v>0.13641126391617542</v>
      </c>
      <c r="U96" s="259">
        <f t="shared" si="2179"/>
        <v>0.26698047070605901</v>
      </c>
      <c r="V96" s="19">
        <f t="shared" si="2179"/>
        <v>0.20534836468506268</v>
      </c>
      <c r="W96" s="19">
        <f t="shared" si="2179"/>
        <v>0.52110413319702054</v>
      </c>
      <c r="X96" s="19">
        <f t="shared" si="2179"/>
        <v>0.34548672566371685</v>
      </c>
      <c r="Y96" s="19">
        <f t="shared" si="2179"/>
        <v>0.47524923644326633</v>
      </c>
      <c r="Z96" s="259">
        <f t="shared" si="2179"/>
        <v>0.38530369620893534</v>
      </c>
      <c r="AA96" s="19">
        <f t="shared" si="2179"/>
        <v>0.36519847743338762</v>
      </c>
      <c r="AB96" s="19">
        <f t="shared" si="2179"/>
        <v>0.29390302448391736</v>
      </c>
      <c r="AC96" s="19">
        <f t="shared" si="2179"/>
        <v>0.27944400596334296</v>
      </c>
      <c r="AD96" s="19">
        <f t="shared" si="2179"/>
        <v>0.21976562499999996</v>
      </c>
      <c r="AE96" s="259">
        <f t="shared" si="2179"/>
        <v>0.28344327026225091</v>
      </c>
      <c r="AF96" s="19">
        <f t="shared" si="2179"/>
        <v>0.33963992671074639</v>
      </c>
      <c r="AG96" s="19">
        <f t="shared" si="2179"/>
        <v>0.34683882457702575</v>
      </c>
      <c r="AH96" s="19">
        <f t="shared" si="2179"/>
        <v>0.21659412591247129</v>
      </c>
      <c r="AI96" s="19">
        <f t="shared" si="2179"/>
        <v>0.17796067379747638</v>
      </c>
      <c r="AJ96" s="259">
        <f t="shared" si="2179"/>
        <v>0.26454922952437698</v>
      </c>
      <c r="AK96" s="19">
        <f t="shared" si="2179"/>
        <v>0.13739482056313745</v>
      </c>
      <c r="AL96" s="19">
        <f t="shared" si="2179"/>
        <v>7.462809917355373E-2</v>
      </c>
      <c r="AM96" s="19">
        <f t="shared" si="2179"/>
        <v>0.16890616637088374</v>
      </c>
      <c r="AN96" s="19">
        <f t="shared" si="2179"/>
        <v>0.18233966778131205</v>
      </c>
      <c r="AO96" s="259">
        <f t="shared" si="2179"/>
        <v>0.14086418450936966</v>
      </c>
      <c r="AP96" s="19">
        <f t="shared" si="2179"/>
        <v>0.15872849898049868</v>
      </c>
      <c r="AQ96" s="19">
        <f t="shared" si="2179"/>
        <v>0.1963393063139276</v>
      </c>
      <c r="AR96" s="19">
        <f t="shared" ref="AR96:BW96" si="2180">+AR95/AM95-1</f>
        <v>0.30969996385106646</v>
      </c>
      <c r="AS96" s="19">
        <f t="shared" si="2180"/>
        <v>0.33005288572085534</v>
      </c>
      <c r="AT96" s="259">
        <f t="shared" si="2180"/>
        <v>0.25230511316010062</v>
      </c>
      <c r="AU96" s="379">
        <f t="shared" si="2180"/>
        <v>0.22388665794341911</v>
      </c>
      <c r="AV96" s="19">
        <f t="shared" si="2180"/>
        <v>0.27496357246935821</v>
      </c>
      <c r="AW96" s="19">
        <f t="shared" si="2180"/>
        <v>0.15923895042873437</v>
      </c>
      <c r="AX96" s="19">
        <f t="shared" si="2180"/>
        <v>0.14964386971855337</v>
      </c>
      <c r="AY96" s="259">
        <f t="shared" si="2180"/>
        <v>0.19719072367902979</v>
      </c>
      <c r="AZ96" s="19">
        <f t="shared" si="2180"/>
        <v>0.25806451612903225</v>
      </c>
      <c r="BA96" s="19">
        <f t="shared" si="2180"/>
        <v>0.16176470588235281</v>
      </c>
      <c r="BB96" s="19">
        <f t="shared" si="2180"/>
        <v>0.11111111111111116</v>
      </c>
      <c r="BC96" s="19">
        <f t="shared" si="2180"/>
        <v>7.8947368421052655E-2</v>
      </c>
      <c r="BD96" s="259">
        <f t="shared" si="2180"/>
        <v>0.14748201438848918</v>
      </c>
      <c r="BE96" s="19">
        <f t="shared" si="2180"/>
        <v>7.6923076923076872E-2</v>
      </c>
      <c r="BF96" s="19">
        <f t="shared" si="2180"/>
        <v>8.8607594936709111E-2</v>
      </c>
      <c r="BG96" s="19">
        <f t="shared" si="2180"/>
        <v>0.10000000000000031</v>
      </c>
      <c r="BH96" s="19">
        <f t="shared" si="2180"/>
        <v>9.7560975609756406E-2</v>
      </c>
      <c r="BI96" s="259">
        <f t="shared" si="2180"/>
        <v>9.0909090909090828E-2</v>
      </c>
      <c r="BJ96" s="19">
        <f t="shared" si="2180"/>
        <v>9.5238095238095344E-2</v>
      </c>
      <c r="BK96" s="19">
        <f t="shared" si="2180"/>
        <v>9.3023255813953432E-2</v>
      </c>
      <c r="BL96" s="19">
        <f t="shared" si="2180"/>
        <v>9.0909090909090828E-2</v>
      </c>
      <c r="BM96" s="19">
        <f t="shared" si="2180"/>
        <v>8.8888888888888795E-2</v>
      </c>
      <c r="BN96" s="259">
        <f t="shared" si="2180"/>
        <v>9.1954022988505857E-2</v>
      </c>
      <c r="BO96" s="19">
        <f t="shared" si="2180"/>
        <v>8.6956521739130377E-2</v>
      </c>
      <c r="BP96" s="19">
        <f t="shared" si="2180"/>
        <v>8.5106382978723305E-2</v>
      </c>
      <c r="BQ96" s="19">
        <f t="shared" si="2180"/>
        <v>8.3333333333333481E-2</v>
      </c>
      <c r="BR96" s="19">
        <f t="shared" si="2180"/>
        <v>8.163265306122458E-2</v>
      </c>
      <c r="BS96" s="259">
        <f t="shared" si="2180"/>
        <v>8.4210526315789735E-2</v>
      </c>
      <c r="BT96" s="19">
        <f t="shared" si="2180"/>
        <v>8.0000000000000071E-2</v>
      </c>
      <c r="BU96" s="19">
        <f t="shared" si="2180"/>
        <v>7.8431372549019773E-2</v>
      </c>
      <c r="BV96" s="19">
        <f t="shared" si="2180"/>
        <v>7.6923076923076872E-2</v>
      </c>
      <c r="BW96" s="19">
        <f t="shared" si="2180"/>
        <v>7.547169811320753E-2</v>
      </c>
      <c r="BX96" s="259">
        <f t="shared" ref="BX96:CM96" si="2181">+BX95/BS95-1</f>
        <v>7.7669902912621325E-2</v>
      </c>
      <c r="BY96" s="19">
        <f t="shared" si="2181"/>
        <v>7.0370370370370416E-2</v>
      </c>
      <c r="BZ96" s="19">
        <f t="shared" si="2181"/>
        <v>6.5454545454545432E-2</v>
      </c>
      <c r="CA96" s="19">
        <f t="shared" si="2181"/>
        <v>6.0714285714285721E-2</v>
      </c>
      <c r="CB96" s="19">
        <f t="shared" si="2181"/>
        <v>5.6140350877192935E-2</v>
      </c>
      <c r="CC96" s="259">
        <f t="shared" si="2181"/>
        <v>6.3063063063063085E-2</v>
      </c>
      <c r="CD96" s="19">
        <f t="shared" si="2181"/>
        <v>5.5363321799308141E-2</v>
      </c>
      <c r="CE96" s="19">
        <f t="shared" si="2181"/>
        <v>5.4607508532423354E-2</v>
      </c>
      <c r="CF96" s="19">
        <f t="shared" si="2181"/>
        <v>5.3872053872054071E-2</v>
      </c>
      <c r="CG96" s="19">
        <f t="shared" si="2181"/>
        <v>5.315614617940212E-2</v>
      </c>
      <c r="CH96" s="259">
        <f t="shared" si="2181"/>
        <v>5.4237288135593253E-2</v>
      </c>
      <c r="CI96" s="19">
        <f t="shared" si="2181"/>
        <v>5.2459016393442637E-2</v>
      </c>
      <c r="CJ96" s="19">
        <f t="shared" si="2181"/>
        <v>5.1779935275080957E-2</v>
      </c>
      <c r="CK96" s="19">
        <f t="shared" si="2181"/>
        <v>5.1118210862619806E-2</v>
      </c>
      <c r="CL96" s="19">
        <f t="shared" si="2181"/>
        <v>5.0473186119873725E-2</v>
      </c>
      <c r="CM96" s="259">
        <f t="shared" si="2181"/>
        <v>5.1446945337620509E-2</v>
      </c>
    </row>
    <row r="97" spans="1:93">
      <c r="A97" s="139" t="s">
        <v>292</v>
      </c>
      <c r="B97" s="232" t="s">
        <v>294</v>
      </c>
      <c r="C97" s="232" t="s">
        <v>294</v>
      </c>
      <c r="D97" s="232" t="s">
        <v>294</v>
      </c>
      <c r="E97" s="232" t="s">
        <v>294</v>
      </c>
      <c r="F97" s="239" t="s">
        <v>294</v>
      </c>
      <c r="G97" s="147" t="s">
        <v>294</v>
      </c>
      <c r="H97" s="19">
        <f>+H95/G95-1</f>
        <v>-7.2177753243168663E-2</v>
      </c>
      <c r="I97" s="19">
        <f t="shared" ref="I97:J97" si="2182">+I95/H95-1</f>
        <v>4.5217908671723928E-2</v>
      </c>
      <c r="J97" s="19">
        <f t="shared" si="2182"/>
        <v>0.2232816280062615</v>
      </c>
      <c r="K97" s="251" t="s">
        <v>294</v>
      </c>
      <c r="L97" s="19">
        <f>+L95/J95-1</f>
        <v>0.10760818985574683</v>
      </c>
      <c r="M97" s="19">
        <f>+M95/L95-1</f>
        <v>0.24724293666631647</v>
      </c>
      <c r="N97" s="19">
        <f t="shared" ref="N97:O97" si="2183">+N95/M95-1</f>
        <v>0.11654736842105273</v>
      </c>
      <c r="O97" s="19">
        <f t="shared" si="2183"/>
        <v>0.15167056339090434</v>
      </c>
      <c r="P97" s="251" t="s">
        <v>294</v>
      </c>
      <c r="Q97" s="19">
        <f>+Q95/O95-1</f>
        <v>-8.5134250163720893E-4</v>
      </c>
      <c r="R97" s="19">
        <f>+R95/Q95-1</f>
        <v>-0.10244477944550046</v>
      </c>
      <c r="S97" s="19">
        <f t="shared" ref="S97:T97" si="2184">+S95/R95-1</f>
        <v>0.23776836570760906</v>
      </c>
      <c r="T97" s="19">
        <f t="shared" si="2184"/>
        <v>2.3775811209439501E-2</v>
      </c>
      <c r="U97" s="251" t="s">
        <v>294</v>
      </c>
      <c r="V97" s="19">
        <f>+V95/T95-1</f>
        <v>5.9759119460611965E-2</v>
      </c>
      <c r="W97" s="19">
        <f>+W95/V95-1</f>
        <v>0.13268080478520927</v>
      </c>
      <c r="X97" s="19">
        <f t="shared" ref="X97:Y97" si="2185">+X95/W95-1</f>
        <v>9.4863178108497426E-2</v>
      </c>
      <c r="Y97" s="19">
        <f t="shared" si="2185"/>
        <v>0.12251161974918889</v>
      </c>
      <c r="Z97" s="251" t="s">
        <v>294</v>
      </c>
      <c r="AA97" s="19">
        <f>+AA95/Y95-1</f>
        <v>-1.9296874999999991E-2</v>
      </c>
      <c r="AB97" s="19">
        <f>+AB95/AA95-1</f>
        <v>7.3528240261292011E-2</v>
      </c>
      <c r="AC97" s="19">
        <f t="shared" ref="AC97:AD97" si="2186">+AC95/AB95-1</f>
        <v>8.2628376372810841E-2</v>
      </c>
      <c r="AD97" s="19">
        <f t="shared" si="2186"/>
        <v>7.0153192364371675E-2</v>
      </c>
      <c r="AE97" s="251" t="s">
        <v>294</v>
      </c>
      <c r="AF97" s="19">
        <f>+AF95/AD95-1</f>
        <v>7.7083199897521215E-2</v>
      </c>
      <c r="AG97" s="19">
        <f>+AG95/AF95-1</f>
        <v>7.9297118901079378E-2</v>
      </c>
      <c r="AH97" s="19">
        <f t="shared" ref="AH97:AI97" si="2187">+AH95/AG95-1</f>
        <v>-2.2066115702479294E-2</v>
      </c>
      <c r="AI97" s="19">
        <f t="shared" si="2187"/>
        <v>3.6170032958674936E-2</v>
      </c>
      <c r="AJ97" s="251" t="s">
        <v>294</v>
      </c>
      <c r="AK97" s="19">
        <f>+AK95/AI95-1</f>
        <v>3.9991300328956259E-2</v>
      </c>
      <c r="AL97" s="19">
        <f>+AL95/AK95-1</f>
        <v>1.9736498143984926E-2</v>
      </c>
      <c r="AM97" s="19">
        <f t="shared" ref="AM97:AN97" si="2188">+AM95/AL95-1</f>
        <v>6.3728883078264076E-2</v>
      </c>
      <c r="AN97" s="19">
        <f t="shared" si="2188"/>
        <v>4.8078081696590003E-2</v>
      </c>
      <c r="AO97" s="251" t="s">
        <v>294</v>
      </c>
      <c r="AP97" s="19">
        <f>+AP95/AN95-1</f>
        <v>1.9222809841342947E-2</v>
      </c>
      <c r="AQ97" s="19">
        <f>+AQ95/AP95-1</f>
        <v>5.2835807426792503E-2</v>
      </c>
      <c r="AR97" s="19">
        <f t="shared" ref="AR97:AS97" si="2189">+AR95/AQ95-1</f>
        <v>0.16452387074655017</v>
      </c>
      <c r="AS97" s="19">
        <f t="shared" si="2189"/>
        <v>6.4365362676185978E-2</v>
      </c>
      <c r="AT97" s="251" t="s">
        <v>294</v>
      </c>
      <c r="AU97" s="379">
        <f>+AU95/AS95-1</f>
        <v>-6.2132632598022264E-2</v>
      </c>
      <c r="AV97" s="19">
        <f>+AV95/AU95-1</f>
        <v>9.6774193548387233E-2</v>
      </c>
      <c r="AW97" s="19">
        <f t="shared" ref="AW97:AX97" si="2190">+AW95/AV95-1</f>
        <v>5.8823529411764497E-2</v>
      </c>
      <c r="AX97" s="19">
        <f t="shared" si="2190"/>
        <v>5.555555555555558E-2</v>
      </c>
      <c r="AY97" s="251" t="s">
        <v>294</v>
      </c>
      <c r="AZ97" s="19">
        <f>+AZ95/AX95-1</f>
        <v>2.6315789473684292E-2</v>
      </c>
      <c r="BA97" s="19">
        <f>+BA95/AZ95-1</f>
        <v>1.2820512820512775E-2</v>
      </c>
      <c r="BB97" s="19">
        <f t="shared" ref="BB97:BC97" si="2191">+BB95/BA95-1</f>
        <v>1.2658227848101333E-2</v>
      </c>
      <c r="BC97" s="19">
        <f t="shared" si="2191"/>
        <v>2.4999999999999911E-2</v>
      </c>
      <c r="BD97" s="251" t="s">
        <v>294</v>
      </c>
      <c r="BE97" s="19">
        <f>+BE95/BC95-1</f>
        <v>2.4390243902439046E-2</v>
      </c>
      <c r="BF97" s="19">
        <f>+BF95/BE95-1</f>
        <v>2.3809523809523947E-2</v>
      </c>
      <c r="BG97" s="19">
        <f t="shared" ref="BG97:BH97" si="2192">+BG95/BF95-1</f>
        <v>2.3255813953488413E-2</v>
      </c>
      <c r="BH97" s="19">
        <f t="shared" si="2192"/>
        <v>2.2727272727272707E-2</v>
      </c>
      <c r="BI97" s="251" t="s">
        <v>294</v>
      </c>
      <c r="BJ97" s="19">
        <f>+BJ95/BH95-1</f>
        <v>2.2222222222222143E-2</v>
      </c>
      <c r="BK97" s="19">
        <f>+BK95/BJ95-1</f>
        <v>2.1739130434782705E-2</v>
      </c>
      <c r="BL97" s="19">
        <f t="shared" ref="BL97:BM97" si="2193">+BL95/BK95-1</f>
        <v>2.1276595744680771E-2</v>
      </c>
      <c r="BM97" s="19">
        <f t="shared" si="2193"/>
        <v>2.0833333333333259E-2</v>
      </c>
      <c r="BN97" s="251" t="s">
        <v>294</v>
      </c>
      <c r="BO97" s="19">
        <f>+BO95/BM95-1</f>
        <v>2.0408163265306145E-2</v>
      </c>
      <c r="BP97" s="19">
        <f>+BP95/BO95-1</f>
        <v>2.0000000000000018E-2</v>
      </c>
      <c r="BQ97" s="19">
        <f t="shared" ref="BQ97:BR97" si="2194">+BQ95/BP95-1</f>
        <v>1.9607843137255054E-2</v>
      </c>
      <c r="BR97" s="19">
        <f t="shared" si="2194"/>
        <v>1.9230769230769162E-2</v>
      </c>
      <c r="BS97" s="251" t="s">
        <v>294</v>
      </c>
      <c r="BT97" s="19">
        <f>+BT95/BR95-1</f>
        <v>1.8867924528301883E-2</v>
      </c>
      <c r="BU97" s="19">
        <f>+BU95/BT95-1</f>
        <v>1.8518518518518601E-2</v>
      </c>
      <c r="BV97" s="19">
        <f t="shared" ref="BV97:BW97" si="2195">+BV95/BU95-1</f>
        <v>1.8181818181818077E-2</v>
      </c>
      <c r="BW97" s="19">
        <f t="shared" si="2195"/>
        <v>1.7857142857142794E-2</v>
      </c>
      <c r="BX97" s="251" t="s">
        <v>294</v>
      </c>
      <c r="BY97" s="19">
        <f>+BY95/BW95-1</f>
        <v>1.4035087719298289E-2</v>
      </c>
      <c r="BZ97" s="19">
        <f>+BZ95/BY95-1</f>
        <v>1.384083044982698E-2</v>
      </c>
      <c r="CA97" s="19">
        <f t="shared" ref="CA97:CB97" si="2196">+CA95/BZ95-1</f>
        <v>1.3651877133105783E-2</v>
      </c>
      <c r="CB97" s="19">
        <f t="shared" si="2196"/>
        <v>1.3468013468013407E-2</v>
      </c>
      <c r="CC97" s="251" t="s">
        <v>294</v>
      </c>
      <c r="CD97" s="19">
        <f>+CD95/CB95-1</f>
        <v>1.3289036544850585E-2</v>
      </c>
      <c r="CE97" s="19">
        <f>+CE95/CD95-1</f>
        <v>1.3114754098360715E-2</v>
      </c>
      <c r="CF97" s="19">
        <f t="shared" ref="CF97:CG97" si="2197">+CF95/CE95-1</f>
        <v>1.2944983818770295E-2</v>
      </c>
      <c r="CG97" s="19">
        <f t="shared" si="2197"/>
        <v>1.2779552715654896E-2</v>
      </c>
      <c r="CH97" s="251" t="s">
        <v>294</v>
      </c>
      <c r="CI97" s="19">
        <f>+CI95/CG95-1</f>
        <v>1.2618296529968376E-2</v>
      </c>
      <c r="CJ97" s="19">
        <f>+CJ95/CI95-1</f>
        <v>1.2461059190031154E-2</v>
      </c>
      <c r="CK97" s="19">
        <f t="shared" ref="CK97:CL97" si="2198">+CK95/CJ95-1</f>
        <v>1.2307692307692353E-2</v>
      </c>
      <c r="CL97" s="19">
        <f t="shared" si="2198"/>
        <v>1.2158054711246091E-2</v>
      </c>
      <c r="CM97" s="251" t="s">
        <v>294</v>
      </c>
    </row>
    <row r="98" spans="1:93">
      <c r="A98" s="139" t="s">
        <v>300</v>
      </c>
      <c r="B98" s="232" t="s">
        <v>294</v>
      </c>
      <c r="C98" s="232" t="s">
        <v>294</v>
      </c>
      <c r="D98" s="232" t="s">
        <v>294</v>
      </c>
      <c r="E98" s="232" t="s">
        <v>294</v>
      </c>
      <c r="F98" s="239" t="s">
        <v>294</v>
      </c>
      <c r="G98" s="158">
        <f>+G95/G94</f>
        <v>4.1405714285714289E-2</v>
      </c>
      <c r="H98" s="158">
        <f t="shared" ref="H98:BI98" si="2199">+H95/H94</f>
        <v>3.8417142857142858E-2</v>
      </c>
      <c r="I98" s="158">
        <f t="shared" si="2199"/>
        <v>4.0154285714285712E-2</v>
      </c>
      <c r="J98" s="158">
        <f t="shared" si="2199"/>
        <v>4.9119999999999997E-2</v>
      </c>
      <c r="K98" s="250">
        <f t="shared" si="2199"/>
        <v>4.2274285714285716E-2</v>
      </c>
      <c r="L98" s="158">
        <f t="shared" si="2199"/>
        <v>5.4405714285714286E-2</v>
      </c>
      <c r="M98" s="158">
        <f t="shared" si="2199"/>
        <v>6.7857142857142852E-2</v>
      </c>
      <c r="N98" s="158">
        <f t="shared" si="2199"/>
        <v>7.5765714285714283E-2</v>
      </c>
      <c r="O98" s="158">
        <f t="shared" si="2199"/>
        <v>8.7257142857142853E-2</v>
      </c>
      <c r="P98" s="250">
        <f t="shared" si="2199"/>
        <v>7.1321428571428577E-2</v>
      </c>
      <c r="Q98" s="158">
        <f t="shared" si="2199"/>
        <v>8.7182857142857145E-2</v>
      </c>
      <c r="R98" s="158">
        <f t="shared" si="2199"/>
        <v>7.8251428571428569E-2</v>
      </c>
      <c r="S98" s="158">
        <f t="shared" si="2199"/>
        <v>9.6857142857142864E-2</v>
      </c>
      <c r="T98" s="158">
        <f t="shared" si="2199"/>
        <v>9.9159999999999998E-2</v>
      </c>
      <c r="U98" s="250">
        <f t="shared" si="2199"/>
        <v>9.0362857142857148E-2</v>
      </c>
      <c r="V98" s="158">
        <f t="shared" si="2199"/>
        <v>0.10508571428571428</v>
      </c>
      <c r="W98" s="158">
        <f t="shared" si="2199"/>
        <v>0.11902857142857143</v>
      </c>
      <c r="X98" s="158">
        <f t="shared" si="2199"/>
        <v>0.13031999999999999</v>
      </c>
      <c r="Y98" s="158">
        <f>+Y95/Y94</f>
        <v>0.1462857142857143</v>
      </c>
      <c r="Z98" s="250">
        <f t="shared" si="2199"/>
        <v>0.12518000000000001</v>
      </c>
      <c r="AA98" s="158">
        <f t="shared" si="2199"/>
        <v>0.14346285714285714</v>
      </c>
      <c r="AB98" s="158">
        <f t="shared" si="2199"/>
        <v>0.15401142857142858</v>
      </c>
      <c r="AC98" s="158">
        <f t="shared" si="2199"/>
        <v>0.16673714285714286</v>
      </c>
      <c r="AD98" s="158">
        <f t="shared" si="2199"/>
        <v>0.17843428571428571</v>
      </c>
      <c r="AE98" s="250">
        <f t="shared" si="2199"/>
        <v>0.16066142857142857</v>
      </c>
      <c r="AF98" s="158">
        <f t="shared" si="2199"/>
        <v>0.19218857142857143</v>
      </c>
      <c r="AG98" s="158">
        <f t="shared" si="2199"/>
        <v>0.20742857142857143</v>
      </c>
      <c r="AH98" s="158">
        <f t="shared" si="2199"/>
        <v>0.20285142857142857</v>
      </c>
      <c r="AI98" s="158">
        <f t="shared" si="2199"/>
        <v>0.21018857142857142</v>
      </c>
      <c r="AJ98" s="250">
        <f t="shared" si="2199"/>
        <v>0.20316428571428571</v>
      </c>
      <c r="AK98" s="158">
        <f t="shared" si="2199"/>
        <v>0.21859428571428571</v>
      </c>
      <c r="AL98" s="158">
        <f t="shared" si="2199"/>
        <v>0.22290857142857143</v>
      </c>
      <c r="AM98" s="158">
        <f t="shared" si="2199"/>
        <v>0.23711428571428572</v>
      </c>
      <c r="AN98" s="158">
        <f t="shared" si="2199"/>
        <v>0.24851428571428572</v>
      </c>
      <c r="AO98" s="250">
        <f t="shared" si="2199"/>
        <v>0.23178285714285715</v>
      </c>
      <c r="AP98" s="158">
        <f>+AP95/AP94</f>
        <v>0.25329142857142856</v>
      </c>
      <c r="AQ98" s="158">
        <v>0.27</v>
      </c>
      <c r="AR98" s="352">
        <v>0.28100000000000003</v>
      </c>
      <c r="AS98" s="352">
        <v>0.29899999999999999</v>
      </c>
      <c r="AT98" s="250">
        <f t="shared" si="2199"/>
        <v>0.29026285714285716</v>
      </c>
      <c r="AU98" s="393">
        <v>0.31</v>
      </c>
      <c r="AV98" s="335">
        <v>0.34</v>
      </c>
      <c r="AW98" s="335">
        <v>0.36</v>
      </c>
      <c r="AX98" s="335">
        <v>0.38</v>
      </c>
      <c r="AY98" s="250">
        <f t="shared" si="2199"/>
        <v>0.34749999999999998</v>
      </c>
      <c r="AZ98" s="335">
        <f>+AX98+0.01</f>
        <v>0.39</v>
      </c>
      <c r="BA98" s="335">
        <f>+AZ98+0.005</f>
        <v>0.39500000000000002</v>
      </c>
      <c r="BB98" s="335">
        <f>+BA98+0.005</f>
        <v>0.4</v>
      </c>
      <c r="BC98" s="335">
        <f>+BB98+0.01</f>
        <v>0.41000000000000003</v>
      </c>
      <c r="BD98" s="250">
        <f t="shared" si="2199"/>
        <v>0.39874999999999999</v>
      </c>
      <c r="BE98" s="335">
        <f>+BC98+0.01</f>
        <v>0.42000000000000004</v>
      </c>
      <c r="BF98" s="335">
        <f>+BE98+0.01</f>
        <v>0.43000000000000005</v>
      </c>
      <c r="BG98" s="335">
        <f>+BF98+0.01</f>
        <v>0.44000000000000006</v>
      </c>
      <c r="BH98" s="335">
        <f>+BG98+0.01</f>
        <v>0.45000000000000007</v>
      </c>
      <c r="BI98" s="250">
        <f t="shared" si="2199"/>
        <v>0.435</v>
      </c>
      <c r="BJ98" s="335">
        <f>+BH98+0.01</f>
        <v>0.46000000000000008</v>
      </c>
      <c r="BK98" s="335">
        <f>+BJ98+0.01</f>
        <v>0.47000000000000008</v>
      </c>
      <c r="BL98" s="335">
        <f>+BK98+0.01</f>
        <v>0.48000000000000009</v>
      </c>
      <c r="BM98" s="335">
        <f>+BL98+0.01</f>
        <v>0.4900000000000001</v>
      </c>
      <c r="BN98" s="250">
        <f>+BN95/BN94</f>
        <v>0.47500000000000009</v>
      </c>
      <c r="BO98" s="335">
        <f>+BM98+0.01</f>
        <v>0.50000000000000011</v>
      </c>
      <c r="BP98" s="335">
        <f>+BO98+0.01</f>
        <v>0.51000000000000012</v>
      </c>
      <c r="BQ98" s="335">
        <f>+BP98+0.01</f>
        <v>0.52000000000000013</v>
      </c>
      <c r="BR98" s="335">
        <f>+BQ98+0.01</f>
        <v>0.53000000000000014</v>
      </c>
      <c r="BS98" s="250">
        <f>+BS95/BS94</f>
        <v>0.51500000000000012</v>
      </c>
      <c r="BT98" s="335">
        <f>+BR98+0.01</f>
        <v>0.54000000000000015</v>
      </c>
      <c r="BU98" s="335">
        <f>+BT98+0.01</f>
        <v>0.55000000000000016</v>
      </c>
      <c r="BV98" s="335">
        <f>+BU98+0.01</f>
        <v>0.56000000000000016</v>
      </c>
      <c r="BW98" s="335">
        <f>+BV98+0.01</f>
        <v>0.57000000000000017</v>
      </c>
      <c r="BX98" s="250">
        <f>+BX95/BX94</f>
        <v>0.55500000000000016</v>
      </c>
      <c r="BY98" s="335">
        <f>+BW98+0.008</f>
        <v>0.57800000000000018</v>
      </c>
      <c r="BZ98" s="335">
        <f>+BY98+0.008</f>
        <v>0.58600000000000019</v>
      </c>
      <c r="CA98" s="335">
        <f>+BZ98+0.008</f>
        <v>0.59400000000000019</v>
      </c>
      <c r="CB98" s="335">
        <f>+CA98+0.008</f>
        <v>0.6020000000000002</v>
      </c>
      <c r="CC98" s="250">
        <f>+CC95/CC94</f>
        <v>0.59000000000000019</v>
      </c>
      <c r="CD98" s="163">
        <f>+CB98+0.008</f>
        <v>0.61000000000000021</v>
      </c>
      <c r="CE98" s="163">
        <f>+CD98+0.008</f>
        <v>0.61800000000000022</v>
      </c>
      <c r="CF98" s="163">
        <f>+CE98+0.008</f>
        <v>0.62600000000000022</v>
      </c>
      <c r="CG98" s="163">
        <f>+CF98+0.008</f>
        <v>0.63400000000000023</v>
      </c>
      <c r="CH98" s="250">
        <f t="shared" ref="CH98:CM98" si="2200">+CH95/CH94</f>
        <v>0.62200000000000022</v>
      </c>
      <c r="CI98" s="163">
        <f>+CG98+0.008</f>
        <v>0.64200000000000024</v>
      </c>
      <c r="CJ98" s="163">
        <f>+CI98+0.008</f>
        <v>0.65000000000000024</v>
      </c>
      <c r="CK98" s="163">
        <f>+CJ98+0.008</f>
        <v>0.65800000000000025</v>
      </c>
      <c r="CL98" s="163">
        <f>+CK98+0.008</f>
        <v>0.66600000000000026</v>
      </c>
      <c r="CM98" s="250">
        <f t="shared" si="2200"/>
        <v>0.65400000000000025</v>
      </c>
    </row>
    <row r="99" spans="1:93">
      <c r="A99" s="161" t="s">
        <v>340</v>
      </c>
      <c r="B99" s="232" t="s">
        <v>294</v>
      </c>
      <c r="C99" s="232" t="s">
        <v>294</v>
      </c>
      <c r="D99" s="232" t="s">
        <v>294</v>
      </c>
      <c r="E99" s="232" t="s">
        <v>294</v>
      </c>
      <c r="F99" s="239" t="s">
        <v>294</v>
      </c>
      <c r="G99" s="147" t="s">
        <v>294</v>
      </c>
      <c r="H99" s="147" t="s">
        <v>294</v>
      </c>
      <c r="I99" s="147" t="s">
        <v>294</v>
      </c>
      <c r="J99" s="147" t="s">
        <v>294</v>
      </c>
      <c r="K99" s="251" t="s">
        <v>294</v>
      </c>
      <c r="L99" s="166">
        <f>+(L98-G98)*100000</f>
        <v>1299.9999999999998</v>
      </c>
      <c r="M99" s="166">
        <f t="shared" ref="M99:BX99" si="2201">+(M98-H98)*100000</f>
        <v>2943.9999999999995</v>
      </c>
      <c r="N99" s="166">
        <f t="shared" si="2201"/>
        <v>3561.1428571428573</v>
      </c>
      <c r="O99" s="166">
        <f t="shared" si="2201"/>
        <v>3813.7142857142858</v>
      </c>
      <c r="P99" s="260">
        <f t="shared" si="2201"/>
        <v>2904.7142857142862</v>
      </c>
      <c r="Q99" s="166">
        <f t="shared" si="2201"/>
        <v>3277.7142857142858</v>
      </c>
      <c r="R99" s="166">
        <f t="shared" si="2201"/>
        <v>1039.4285714285718</v>
      </c>
      <c r="S99" s="166">
        <f t="shared" si="2201"/>
        <v>2109.1428571428582</v>
      </c>
      <c r="T99" s="166">
        <f t="shared" si="2201"/>
        <v>1190.2857142857144</v>
      </c>
      <c r="U99" s="260">
        <f t="shared" si="2201"/>
        <v>1904.1428571428571</v>
      </c>
      <c r="V99" s="166">
        <f t="shared" si="2201"/>
        <v>1790.2857142857138</v>
      </c>
      <c r="W99" s="166">
        <f t="shared" si="2201"/>
        <v>4077.7142857142858</v>
      </c>
      <c r="X99" s="166">
        <f t="shared" si="2201"/>
        <v>3346.2857142857129</v>
      </c>
      <c r="Y99" s="166">
        <f t="shared" si="2201"/>
        <v>4712.5714285714303</v>
      </c>
      <c r="Z99" s="260">
        <f t="shared" si="2201"/>
        <v>3481.7142857142867</v>
      </c>
      <c r="AA99" s="166">
        <f t="shared" si="2201"/>
        <v>3837.7142857142858</v>
      </c>
      <c r="AB99" s="166">
        <f t="shared" si="2201"/>
        <v>3498.2857142857147</v>
      </c>
      <c r="AC99" s="166">
        <f t="shared" si="2201"/>
        <v>3641.7142857142871</v>
      </c>
      <c r="AD99" s="166">
        <f t="shared" si="2201"/>
        <v>3214.8571428571413</v>
      </c>
      <c r="AE99" s="260">
        <f t="shared" si="2201"/>
        <v>3548.1428571428551</v>
      </c>
      <c r="AF99" s="166">
        <f t="shared" si="2201"/>
        <v>4872.5714285714284</v>
      </c>
      <c r="AG99" s="166">
        <f t="shared" si="2201"/>
        <v>5341.7142857142853</v>
      </c>
      <c r="AH99" s="166">
        <f t="shared" si="2201"/>
        <v>3611.4285714285711</v>
      </c>
      <c r="AI99" s="166">
        <f t="shared" si="2201"/>
        <v>3175.4285714285706</v>
      </c>
      <c r="AJ99" s="260">
        <f t="shared" si="2201"/>
        <v>4250.2857142857147</v>
      </c>
      <c r="AK99" s="166">
        <f t="shared" si="2201"/>
        <v>2640.5714285714284</v>
      </c>
      <c r="AL99" s="166">
        <f t="shared" si="2201"/>
        <v>1547.9999999999993</v>
      </c>
      <c r="AM99" s="166">
        <f t="shared" si="2201"/>
        <v>3426.2857142857151</v>
      </c>
      <c r="AN99" s="166">
        <f>+(AN98-AI98)*100000</f>
        <v>3832.5714285714298</v>
      </c>
      <c r="AO99" s="260">
        <f t="shared" si="2201"/>
        <v>2861.8571428571436</v>
      </c>
      <c r="AP99" s="166">
        <f>+(AP98-AK98)*100000</f>
        <v>3469.7142857142844</v>
      </c>
      <c r="AQ99" s="166">
        <f>+(AQ98-AL98)*100000</f>
        <v>4709.1428571428587</v>
      </c>
      <c r="AR99" s="166">
        <f>+(AR98-AM98)*100000</f>
        <v>4388.5714285714303</v>
      </c>
      <c r="AS99" s="166">
        <f t="shared" si="2201"/>
        <v>5048.5714285714275</v>
      </c>
      <c r="AT99" s="260">
        <f t="shared" si="2201"/>
        <v>5848</v>
      </c>
      <c r="AU99" s="394">
        <f t="shared" si="2201"/>
        <v>5670.857142857144</v>
      </c>
      <c r="AV99" s="166">
        <f t="shared" si="2201"/>
        <v>7000.0000000000009</v>
      </c>
      <c r="AW99" s="166">
        <f t="shared" si="2201"/>
        <v>7899.9999999999964</v>
      </c>
      <c r="AX99" s="166">
        <f t="shared" si="2201"/>
        <v>8100.0000000000018</v>
      </c>
      <c r="AY99" s="260">
        <f>+(AY98-AT98)*100000</f>
        <v>5723.7142857142817</v>
      </c>
      <c r="AZ99" s="166">
        <f t="shared" si="2201"/>
        <v>8000.0000000000018</v>
      </c>
      <c r="BA99" s="166">
        <f t="shared" si="2201"/>
        <v>5499.9999999999991</v>
      </c>
      <c r="BB99" s="166">
        <f t="shared" si="2201"/>
        <v>4000.0000000000036</v>
      </c>
      <c r="BC99" s="166">
        <f t="shared" si="2201"/>
        <v>3000.0000000000027</v>
      </c>
      <c r="BD99" s="260">
        <f t="shared" si="2201"/>
        <v>5125.0000000000018</v>
      </c>
      <c r="BE99" s="166">
        <f t="shared" si="2201"/>
        <v>3000.0000000000027</v>
      </c>
      <c r="BF99" s="166">
        <f t="shared" si="2201"/>
        <v>3500.0000000000032</v>
      </c>
      <c r="BG99" s="166">
        <f t="shared" si="2201"/>
        <v>4000.0000000000036</v>
      </c>
      <c r="BH99" s="166">
        <f t="shared" si="2201"/>
        <v>4000.0000000000036</v>
      </c>
      <c r="BI99" s="260">
        <f t="shared" si="2201"/>
        <v>3625.0000000000005</v>
      </c>
      <c r="BJ99" s="166">
        <f t="shared" si="2201"/>
        <v>4000.0000000000036</v>
      </c>
      <c r="BK99" s="166">
        <f t="shared" si="2201"/>
        <v>4000.0000000000036</v>
      </c>
      <c r="BL99" s="166">
        <f t="shared" si="2201"/>
        <v>4000.0000000000036</v>
      </c>
      <c r="BM99" s="166">
        <f t="shared" si="2201"/>
        <v>4000.0000000000036</v>
      </c>
      <c r="BN99" s="260">
        <f t="shared" si="2201"/>
        <v>4000.0000000000091</v>
      </c>
      <c r="BO99" s="166">
        <f t="shared" si="2201"/>
        <v>4000.0000000000036</v>
      </c>
      <c r="BP99" s="166">
        <f t="shared" si="2201"/>
        <v>4000.0000000000036</v>
      </c>
      <c r="BQ99" s="166">
        <f t="shared" si="2201"/>
        <v>4000.0000000000036</v>
      </c>
      <c r="BR99" s="166">
        <f t="shared" si="2201"/>
        <v>4000.0000000000036</v>
      </c>
      <c r="BS99" s="260">
        <f t="shared" si="2201"/>
        <v>4000.0000000000036</v>
      </c>
      <c r="BT99" s="166">
        <f t="shared" si="2201"/>
        <v>4000.0000000000036</v>
      </c>
      <c r="BU99" s="166">
        <f t="shared" si="2201"/>
        <v>4000.0000000000036</v>
      </c>
      <c r="BV99" s="166">
        <f t="shared" si="2201"/>
        <v>4000.0000000000036</v>
      </c>
      <c r="BW99" s="166">
        <f t="shared" si="2201"/>
        <v>4000.0000000000036</v>
      </c>
      <c r="BX99" s="260">
        <f t="shared" si="2201"/>
        <v>4000.0000000000036</v>
      </c>
      <c r="BY99" s="166">
        <f t="shared" ref="BY99:CM99" si="2202">+(BY98-BT98)*100000</f>
        <v>3800.0000000000032</v>
      </c>
      <c r="BZ99" s="166">
        <f t="shared" si="2202"/>
        <v>3600.0000000000032</v>
      </c>
      <c r="CA99" s="166">
        <f t="shared" si="2202"/>
        <v>3400.0000000000032</v>
      </c>
      <c r="CB99" s="166">
        <f t="shared" si="2202"/>
        <v>3200.0000000000027</v>
      </c>
      <c r="CC99" s="260">
        <f t="shared" si="2202"/>
        <v>3500.0000000000032</v>
      </c>
      <c r="CD99" s="166">
        <f t="shared" si="2202"/>
        <v>3200.0000000000027</v>
      </c>
      <c r="CE99" s="166">
        <f t="shared" si="2202"/>
        <v>3200.0000000000027</v>
      </c>
      <c r="CF99" s="166">
        <f t="shared" si="2202"/>
        <v>3200.0000000000027</v>
      </c>
      <c r="CG99" s="166">
        <f t="shared" si="2202"/>
        <v>3200.0000000000027</v>
      </c>
      <c r="CH99" s="260">
        <f t="shared" si="2202"/>
        <v>3200.0000000000027</v>
      </c>
      <c r="CI99" s="166">
        <f t="shared" si="2202"/>
        <v>3200.0000000000027</v>
      </c>
      <c r="CJ99" s="166">
        <f t="shared" si="2202"/>
        <v>3200.0000000000027</v>
      </c>
      <c r="CK99" s="166">
        <f t="shared" si="2202"/>
        <v>3200.0000000000027</v>
      </c>
      <c r="CL99" s="166">
        <f t="shared" si="2202"/>
        <v>3200.0000000000027</v>
      </c>
      <c r="CM99" s="260">
        <f t="shared" si="2202"/>
        <v>3200.0000000000027</v>
      </c>
    </row>
    <row r="100" spans="1:93">
      <c r="A100" s="161" t="s">
        <v>341</v>
      </c>
      <c r="B100" s="232" t="s">
        <v>294</v>
      </c>
      <c r="C100" s="232" t="s">
        <v>294</v>
      </c>
      <c r="D100" s="232" t="s">
        <v>294</v>
      </c>
      <c r="E100" s="232" t="s">
        <v>294</v>
      </c>
      <c r="F100" s="239" t="s">
        <v>294</v>
      </c>
      <c r="G100" s="147" t="s">
        <v>294</v>
      </c>
      <c r="H100" s="166">
        <f>+(H98-G98)*100000</f>
        <v>-298.85714285714306</v>
      </c>
      <c r="I100" s="166">
        <f t="shared" ref="I100:J100" si="2203">+(I98-H98)*100000</f>
        <v>173.71428571428538</v>
      </c>
      <c r="J100" s="166">
        <f t="shared" si="2203"/>
        <v>896.57142857142856</v>
      </c>
      <c r="K100" s="251" t="s">
        <v>294</v>
      </c>
      <c r="L100" s="166">
        <f>+(L98-J98)*100000</f>
        <v>528.5714285714289</v>
      </c>
      <c r="M100" s="166">
        <f>+(M98-L98)*100000</f>
        <v>1345.1428571428567</v>
      </c>
      <c r="N100" s="166">
        <f t="shared" ref="N100:O100" si="2204">+(N98-M98)*100000</f>
        <v>790.85714285714312</v>
      </c>
      <c r="O100" s="166">
        <f t="shared" si="2204"/>
        <v>1149.1428571428569</v>
      </c>
      <c r="P100" s="251" t="s">
        <v>294</v>
      </c>
      <c r="Q100" s="166">
        <f>+(Q98-O98)*100000</f>
        <v>-7.4285714285707289</v>
      </c>
      <c r="R100" s="166">
        <f>+(R98-Q98)*100000</f>
        <v>-893.14285714285768</v>
      </c>
      <c r="S100" s="166">
        <f t="shared" ref="S100:T100" si="2205">+(S98-R98)*100000</f>
        <v>1860.5714285714296</v>
      </c>
      <c r="T100" s="166">
        <f t="shared" si="2205"/>
        <v>230.28571428571342</v>
      </c>
      <c r="U100" s="251" t="s">
        <v>294</v>
      </c>
      <c r="V100" s="166">
        <f>+(V98-T98)*100000</f>
        <v>592.57142857142844</v>
      </c>
      <c r="W100" s="166">
        <f>+(W98-V98)*100000</f>
        <v>1394.2857142857147</v>
      </c>
      <c r="X100" s="166">
        <f t="shared" ref="X100:Y100" si="2206">+(X98-W98)*100000</f>
        <v>1129.1428571428564</v>
      </c>
      <c r="Y100" s="166">
        <f t="shared" si="2206"/>
        <v>1596.5714285714305</v>
      </c>
      <c r="Z100" s="251" t="s">
        <v>294</v>
      </c>
      <c r="AA100" s="166">
        <f>+(AA98-Y98)*100000</f>
        <v>-282.28571428571547</v>
      </c>
      <c r="AB100" s="166">
        <f>+(AB98-AA98)*100000</f>
        <v>1054.8571428571436</v>
      </c>
      <c r="AC100" s="166">
        <f t="shared" ref="AC100:AD100" si="2207">+(AC98-AB98)*100000</f>
        <v>1272.5714285714284</v>
      </c>
      <c r="AD100" s="166">
        <f t="shared" si="2207"/>
        <v>1169.7142857142851</v>
      </c>
      <c r="AE100" s="251" t="s">
        <v>294</v>
      </c>
      <c r="AF100" s="166">
        <f>+(AF98-AD98)*100000</f>
        <v>1375.4285714285718</v>
      </c>
      <c r="AG100" s="166">
        <f>+(AG98-AF98)*100000</f>
        <v>1524.0000000000005</v>
      </c>
      <c r="AH100" s="166">
        <f t="shared" ref="AH100:AI100" si="2208">+(AH98-AG98)*100000</f>
        <v>-457.71428571428629</v>
      </c>
      <c r="AI100" s="166">
        <f t="shared" si="2208"/>
        <v>733.71428571428476</v>
      </c>
      <c r="AJ100" s="251" t="s">
        <v>294</v>
      </c>
      <c r="AK100" s="166">
        <f>+(AK98-AI98)*100000</f>
        <v>840.57142857142946</v>
      </c>
      <c r="AL100" s="166">
        <f>+(AL98-AK98)*100000</f>
        <v>431.4285714285715</v>
      </c>
      <c r="AM100" s="166">
        <f t="shared" ref="AM100:AN100" si="2209">+(AM98-AL98)*100000</f>
        <v>1420.5714285714294</v>
      </c>
      <c r="AN100" s="166">
        <f t="shared" si="2209"/>
        <v>1139.9999999999993</v>
      </c>
      <c r="AO100" s="251" t="s">
        <v>294</v>
      </c>
      <c r="AP100" s="166">
        <f>+(AP98-AN98)*100000</f>
        <v>477.71428571428407</v>
      </c>
      <c r="AQ100" s="166">
        <f>+(AQ98-AO98)*100000</f>
        <v>3821.7142857142867</v>
      </c>
      <c r="AR100" s="166">
        <f t="shared" ref="AR100:AS100" si="2210">+(AR98-AQ98)*100000</f>
        <v>1100.0000000000009</v>
      </c>
      <c r="AS100" s="166">
        <f t="shared" si="2210"/>
        <v>1799.9999999999961</v>
      </c>
      <c r="AT100" s="251" t="s">
        <v>294</v>
      </c>
      <c r="AU100" s="394">
        <f>+(AU98-AS98)*100000</f>
        <v>1100.0000000000009</v>
      </c>
      <c r="AV100" s="166">
        <f>+(AV98-AU98)*100000</f>
        <v>3000.0000000000027</v>
      </c>
      <c r="AW100" s="166">
        <f t="shared" ref="AW100:AX100" si="2211">+(AW98-AV98)*100000</f>
        <v>1999.9999999999961</v>
      </c>
      <c r="AX100" s="166">
        <f t="shared" si="2211"/>
        <v>2000.0000000000018</v>
      </c>
      <c r="AY100" s="251" t="s">
        <v>294</v>
      </c>
      <c r="AZ100" s="166">
        <f>+(AZ98-AX98)*100000</f>
        <v>1000.0000000000009</v>
      </c>
      <c r="BA100" s="166">
        <f>+(BA98-AZ98)*100000</f>
        <v>500.00000000000045</v>
      </c>
      <c r="BB100" s="166">
        <f t="shared" ref="BB100:BC100" si="2212">+(BB98-BA98)*100000</f>
        <v>500.00000000000045</v>
      </c>
      <c r="BC100" s="166">
        <f t="shared" si="2212"/>
        <v>1000.0000000000009</v>
      </c>
      <c r="BD100" s="251" t="s">
        <v>294</v>
      </c>
      <c r="BE100" s="166">
        <f>+(BE98-BC98)*100000</f>
        <v>1000.0000000000009</v>
      </c>
      <c r="BF100" s="166">
        <f>+(BF98-BE98)*100000</f>
        <v>1000.0000000000009</v>
      </c>
      <c r="BG100" s="166">
        <f t="shared" ref="BG100:BH100" si="2213">+(BG98-BF98)*100000</f>
        <v>1000.0000000000009</v>
      </c>
      <c r="BH100" s="166">
        <f t="shared" si="2213"/>
        <v>1000.0000000000009</v>
      </c>
      <c r="BI100" s="251" t="s">
        <v>294</v>
      </c>
      <c r="BJ100" s="166">
        <f>+(BJ98-BH98)*100000</f>
        <v>1000.0000000000009</v>
      </c>
      <c r="BK100" s="166">
        <f>+(BK98-BJ98)*100000</f>
        <v>1000.0000000000009</v>
      </c>
      <c r="BL100" s="166">
        <f t="shared" ref="BL100:BM100" si="2214">+(BL98-BK98)*100000</f>
        <v>1000.0000000000009</v>
      </c>
      <c r="BM100" s="166">
        <f t="shared" si="2214"/>
        <v>1000.0000000000009</v>
      </c>
      <c r="BN100" s="251" t="s">
        <v>294</v>
      </c>
      <c r="BO100" s="166">
        <f>+(BO98-BM98)*100000</f>
        <v>1000.0000000000009</v>
      </c>
      <c r="BP100" s="166">
        <f>+(BP98-BO98)*100000</f>
        <v>1000.0000000000009</v>
      </c>
      <c r="BQ100" s="166">
        <f t="shared" ref="BQ100:BR100" si="2215">+(BQ98-BP98)*100000</f>
        <v>1000.0000000000009</v>
      </c>
      <c r="BR100" s="166">
        <f t="shared" si="2215"/>
        <v>1000.0000000000009</v>
      </c>
      <c r="BS100" s="251" t="s">
        <v>294</v>
      </c>
      <c r="BT100" s="166">
        <f>+(BT98-BR98)*100000</f>
        <v>1000.0000000000009</v>
      </c>
      <c r="BU100" s="166">
        <f>+(BU98-BT98)*100000</f>
        <v>1000.0000000000009</v>
      </c>
      <c r="BV100" s="166">
        <f t="shared" ref="BV100:BW100" si="2216">+(BV98-BU98)*100000</f>
        <v>1000.0000000000009</v>
      </c>
      <c r="BW100" s="166">
        <f t="shared" si="2216"/>
        <v>1000.0000000000009</v>
      </c>
      <c r="BX100" s="251" t="s">
        <v>294</v>
      </c>
      <c r="BY100" s="166">
        <f>+(BY98-BW98)*100000</f>
        <v>800.00000000000068</v>
      </c>
      <c r="BZ100" s="166">
        <f>+(BZ98-BY98)*100000</f>
        <v>800.00000000000068</v>
      </c>
      <c r="CA100" s="166">
        <f t="shared" ref="CA100:CB100" si="2217">+(CA98-BZ98)*100000</f>
        <v>800.00000000000068</v>
      </c>
      <c r="CB100" s="166">
        <f t="shared" si="2217"/>
        <v>800.00000000000068</v>
      </c>
      <c r="CC100" s="251" t="s">
        <v>294</v>
      </c>
      <c r="CD100" s="166">
        <f>+(CD98-CB98)*100000</f>
        <v>800.00000000000068</v>
      </c>
      <c r="CE100" s="166">
        <f>+(CE98-CD98)*100000</f>
        <v>800.00000000000068</v>
      </c>
      <c r="CF100" s="166">
        <f t="shared" ref="CF100:CG100" si="2218">+(CF98-CE98)*100000</f>
        <v>800.00000000000068</v>
      </c>
      <c r="CG100" s="166">
        <f t="shared" si="2218"/>
        <v>800.00000000000068</v>
      </c>
      <c r="CH100" s="251" t="s">
        <v>294</v>
      </c>
      <c r="CI100" s="166">
        <f>+(CI98-CG98)*100000</f>
        <v>800.00000000000068</v>
      </c>
      <c r="CJ100" s="166">
        <f>+(CJ98-CI98)*100000</f>
        <v>800.00000000000068</v>
      </c>
      <c r="CK100" s="166">
        <f t="shared" ref="CK100:CL100" si="2219">+(CK98-CJ98)*100000</f>
        <v>800.00000000000068</v>
      </c>
      <c r="CL100" s="166">
        <f t="shared" si="2219"/>
        <v>800.00000000000068</v>
      </c>
      <c r="CM100" s="251" t="s">
        <v>294</v>
      </c>
    </row>
    <row r="101" spans="1:93">
      <c r="F101" s="240"/>
      <c r="G101" s="147"/>
      <c r="H101" s="19"/>
      <c r="I101" s="19"/>
      <c r="J101" s="19"/>
      <c r="K101" s="251"/>
      <c r="L101" s="19"/>
      <c r="M101" s="19"/>
      <c r="N101" s="19"/>
      <c r="O101" s="19"/>
      <c r="P101" s="251"/>
      <c r="Q101" s="19"/>
      <c r="R101" s="19"/>
      <c r="S101" s="19"/>
      <c r="T101" s="19"/>
      <c r="U101" s="251"/>
      <c r="V101" s="19"/>
      <c r="W101" s="19"/>
      <c r="X101" s="19"/>
      <c r="Y101" s="19"/>
      <c r="Z101" s="251"/>
      <c r="AA101" s="19"/>
      <c r="AB101" s="19"/>
      <c r="AC101" s="19"/>
      <c r="AD101" s="19"/>
      <c r="AE101" s="251"/>
      <c r="AF101" s="19"/>
      <c r="AG101" s="19"/>
      <c r="AH101" s="19"/>
      <c r="AI101" s="19"/>
      <c r="AJ101" s="251"/>
      <c r="AK101" s="19"/>
      <c r="AL101" s="19"/>
      <c r="AM101" s="19"/>
      <c r="AN101" s="19"/>
      <c r="AO101" s="251"/>
      <c r="AP101" s="19"/>
      <c r="AQ101" s="19"/>
      <c r="AR101" s="19"/>
      <c r="AS101" s="19"/>
      <c r="AT101" s="251"/>
      <c r="AU101" s="379"/>
      <c r="AV101" s="19"/>
      <c r="AW101" s="19"/>
      <c r="AX101" s="19"/>
      <c r="AY101" s="251"/>
      <c r="AZ101" s="19"/>
      <c r="BA101" s="19"/>
      <c r="BB101" s="19"/>
      <c r="BC101" s="19"/>
      <c r="BD101" s="251"/>
      <c r="BE101" s="19"/>
      <c r="BF101" s="19"/>
      <c r="BG101" s="19"/>
      <c r="BH101" s="19"/>
      <c r="BI101" s="251"/>
      <c r="BJ101" s="19"/>
      <c r="BK101" s="19"/>
      <c r="BL101" s="19"/>
      <c r="BM101" s="19"/>
      <c r="BN101" s="251"/>
      <c r="BO101" s="19"/>
      <c r="BP101" s="19"/>
      <c r="BQ101" s="19"/>
      <c r="BR101" s="19"/>
      <c r="BS101" s="251"/>
      <c r="BT101" s="19"/>
      <c r="BU101" s="19"/>
      <c r="BV101" s="19"/>
      <c r="BW101" s="19"/>
      <c r="BX101" s="251"/>
      <c r="BY101" s="19"/>
      <c r="BZ101" s="19"/>
      <c r="CA101" s="19"/>
      <c r="CB101" s="19"/>
      <c r="CC101" s="251"/>
      <c r="CD101" s="19"/>
      <c r="CE101" s="19"/>
      <c r="CF101" s="19"/>
      <c r="CG101" s="19"/>
      <c r="CH101" s="251"/>
      <c r="CI101" s="19"/>
      <c r="CJ101" s="19"/>
      <c r="CK101" s="19"/>
      <c r="CL101" s="19"/>
      <c r="CM101" s="251"/>
    </row>
    <row r="102" spans="1:93" s="42" customFormat="1">
      <c r="A102" s="42" t="s">
        <v>335</v>
      </c>
      <c r="B102" s="232" t="s">
        <v>294</v>
      </c>
      <c r="C102" s="232" t="s">
        <v>294</v>
      </c>
      <c r="D102" s="232" t="s">
        <v>294</v>
      </c>
      <c r="E102" s="232" t="s">
        <v>294</v>
      </c>
      <c r="F102" s="239" t="s">
        <v>294</v>
      </c>
      <c r="G102" s="169">
        <f>+G106/G95*1000000</f>
        <v>979.85095224951681</v>
      </c>
      <c r="H102" s="169">
        <f t="shared" ref="H102:K102" si="2220">+H106/H95*1000000</f>
        <v>1413.0596459913729</v>
      </c>
      <c r="I102" s="169">
        <f t="shared" si="2220"/>
        <v>1366.1591006119254</v>
      </c>
      <c r="J102" s="169">
        <f t="shared" si="2220"/>
        <v>1977.6640297812937</v>
      </c>
      <c r="K102" s="255">
        <f t="shared" si="2220"/>
        <v>1459.8540145985403</v>
      </c>
      <c r="L102" s="169">
        <f>+L106/L95*1000000</f>
        <v>1806.532927213528</v>
      </c>
      <c r="M102" s="169">
        <f t="shared" ref="M102" si="2221">+M106/M95*1000000</f>
        <v>1835.7894736842106</v>
      </c>
      <c r="N102" s="169">
        <f t="shared" ref="N102" si="2222">+N106/N95*1000000</f>
        <v>2322.9504487517911</v>
      </c>
      <c r="O102" s="169">
        <f t="shared" ref="O102" si="2223">+O106/O95*1000000</f>
        <v>2049.7707924034053</v>
      </c>
      <c r="P102" s="255">
        <f t="shared" ref="P102" si="2224">+P106/P95*1000000</f>
        <v>2025.0375563345019</v>
      </c>
      <c r="Q102" s="169">
        <f>+Q106/Q95*1000000</f>
        <v>2490.6600249066</v>
      </c>
      <c r="R102" s="169">
        <f t="shared" ref="R102" si="2225">+R106/R95*1000000</f>
        <v>2891.7774207682196</v>
      </c>
      <c r="S102" s="169">
        <f t="shared" ref="S102" si="2226">+S106/S95*1000000</f>
        <v>2849.5575221238937</v>
      </c>
      <c r="T102" s="169">
        <f>+T106/T95*1000000</f>
        <v>2645.0757794041374</v>
      </c>
      <c r="U102" s="255">
        <f t="shared" ref="U102" si="2227">+U106/U95*1000000</f>
        <v>2716.033768615423</v>
      </c>
      <c r="V102" s="169">
        <f>+V106/V95*1000000</f>
        <v>2707.9934747145185</v>
      </c>
      <c r="W102" s="169">
        <f>+W106/W95*1000000</f>
        <v>2928.4685549687947</v>
      </c>
      <c r="X102" s="169">
        <f>+X106/X95*1000000</f>
        <v>2687.8891519775498</v>
      </c>
      <c r="Y102" s="169">
        <f>+Y106/Y95*1000000</f>
        <v>2511.71875</v>
      </c>
      <c r="Z102" s="255">
        <f t="shared" ref="Z102" si="2228">+Z106/Z95*1000000</f>
        <v>2697.829411361924</v>
      </c>
      <c r="AA102" s="169">
        <f t="shared" ref="AA102:AF102" si="2229">+AA106/AA95*1000000</f>
        <v>2612.9212140524173</v>
      </c>
      <c r="AB102" s="169">
        <f t="shared" si="2229"/>
        <v>2593.4995547640251</v>
      </c>
      <c r="AC102" s="169">
        <f t="shared" si="2229"/>
        <v>2632.0298845059801</v>
      </c>
      <c r="AD102" s="169">
        <f t="shared" si="2229"/>
        <v>2622.8143213988346</v>
      </c>
      <c r="AE102" s="255">
        <f t="shared" si="2229"/>
        <v>2615.97147506291</v>
      </c>
      <c r="AF102" s="169">
        <f t="shared" si="2229"/>
        <v>2628.3709452026287</v>
      </c>
      <c r="AG102" s="169">
        <f t="shared" ref="AG102" si="2230">+AG106/AG95*1000000</f>
        <v>2647.3829201101926</v>
      </c>
      <c r="AH102" s="169">
        <f t="shared" ref="AH102" si="2231">+AH106/AH95*1000000</f>
        <v>2769.0920871010449</v>
      </c>
      <c r="AI102" s="169">
        <f t="shared" ref="AI102:AL102" si="2232">+AI106/AI95*1000000</f>
        <v>2802.9252643884402</v>
      </c>
      <c r="AJ102" s="255">
        <f t="shared" si="2232"/>
        <v>2713.4971697781525</v>
      </c>
      <c r="AK102" s="169">
        <f>+AK106/AK95*1000000</f>
        <v>3121.1609243477806</v>
      </c>
      <c r="AL102" s="169">
        <f t="shared" si="2232"/>
        <v>3137.1555282114387</v>
      </c>
      <c r="AM102" s="169">
        <f t="shared" ref="AM102:AS102" si="2233">+AM106/AM95*1000000</f>
        <v>3188.9263766718891</v>
      </c>
      <c r="AN102" s="169">
        <f t="shared" si="2233"/>
        <v>3104.7476431363534</v>
      </c>
      <c r="AO102" s="255">
        <f t="shared" si="2233"/>
        <v>3137.9380023174404</v>
      </c>
      <c r="AP102" s="169">
        <f t="shared" si="2233"/>
        <v>3111.0796146731041</v>
      </c>
      <c r="AQ102" s="339">
        <f t="shared" si="2233"/>
        <v>3055.4115453844174</v>
      </c>
      <c r="AR102" s="339">
        <f t="shared" si="2233"/>
        <v>3058.2779781400654</v>
      </c>
      <c r="AS102" s="339">
        <f t="shared" si="2233"/>
        <v>2932.6109881750917</v>
      </c>
      <c r="AT102" s="255">
        <f>+AT106/AT95*1000000</f>
        <v>3033.3627943145129</v>
      </c>
      <c r="AU102" s="390">
        <f>+AP102*(1+AU103)</f>
        <v>3157.7458088932003</v>
      </c>
      <c r="AV102" s="169">
        <f>+AQ102*(1+AV103)</f>
        <v>3070.688603111339</v>
      </c>
      <c r="AW102" s="169">
        <f>+AR102*(1+AW103)</f>
        <v>3073.5693680307654</v>
      </c>
      <c r="AX102" s="169">
        <f>+AS102*(1+AX103)</f>
        <v>2947.2740431159668</v>
      </c>
      <c r="AY102" s="255">
        <f>+AY106/AY95*1000000</f>
        <v>3057.1111040934461</v>
      </c>
      <c r="AZ102" s="169">
        <f>+AU102*(1+AZ103)</f>
        <v>3236.6894541155302</v>
      </c>
      <c r="BA102" s="169">
        <f t="shared" ref="BA102" si="2234">+AV102*(1+BA103)</f>
        <v>3147.4558181891221</v>
      </c>
      <c r="BB102" s="169">
        <f t="shared" ref="BB102" si="2235">+AW102*(1+BB103)</f>
        <v>3150.4086022315341</v>
      </c>
      <c r="BC102" s="169">
        <f t="shared" ref="BC102" si="2236">+AX102*(1+BC103)</f>
        <v>3020.9558941938658</v>
      </c>
      <c r="BD102" s="255">
        <f>+BD106/BD95*1000000</f>
        <v>3137.4979892174661</v>
      </c>
      <c r="BE102" s="169">
        <f>+AZ102*(1+BE103)</f>
        <v>3317.606690468418</v>
      </c>
      <c r="BF102" s="169">
        <f>+BA102*(1+BF103)</f>
        <v>3226.14221364385</v>
      </c>
      <c r="BG102" s="169">
        <f t="shared" ref="BG102" si="2237">+BB102*(1+BG103)</f>
        <v>3229.1688172873223</v>
      </c>
      <c r="BH102" s="169">
        <f t="shared" ref="BH102" si="2238">+BC102*(1+BH103)</f>
        <v>3096.479791548712</v>
      </c>
      <c r="BI102" s="255">
        <f>+BI106/BI95*1000000</f>
        <v>3215.4518090039851</v>
      </c>
      <c r="BJ102" s="169">
        <f>+BE102*(1+BJ103)</f>
        <v>3317.606690468418</v>
      </c>
      <c r="BK102" s="169">
        <f t="shared" ref="BK102" si="2239">+BF102*(1+BK103)</f>
        <v>3226.14221364385</v>
      </c>
      <c r="BL102" s="169">
        <f t="shared" ref="BL102" si="2240">+BG102*(1+BL103)</f>
        <v>3229.1688172873223</v>
      </c>
      <c r="BM102" s="169">
        <f t="shared" ref="BM102" si="2241">+BH102*(1+BM103)</f>
        <v>3096.479791548712</v>
      </c>
      <c r="BN102" s="255">
        <f>+BN106/BN95*1000000</f>
        <v>3215.611604307825</v>
      </c>
      <c r="BO102" s="169">
        <f>+BJ102*(1+BO103)</f>
        <v>3317.606690468418</v>
      </c>
      <c r="BP102" s="169">
        <f t="shared" ref="BP102" si="2242">+BK102*(1+BP103)</f>
        <v>3226.14221364385</v>
      </c>
      <c r="BQ102" s="169">
        <f t="shared" ref="BQ102" si="2243">+BL102*(1+BQ103)</f>
        <v>3229.1688172873223</v>
      </c>
      <c r="BR102" s="169">
        <f t="shared" ref="BR102" si="2244">+BM102*(1+BR103)</f>
        <v>3096.479791548712</v>
      </c>
      <c r="BS102" s="255">
        <f>+BS106/BS95*1000000</f>
        <v>3215.7465770401923</v>
      </c>
      <c r="BT102" s="169">
        <f>+BO102*(1+BT103)</f>
        <v>3317.606690468418</v>
      </c>
      <c r="BU102" s="169">
        <f t="shared" ref="BU102" si="2245">+BP102*(1+BU103)</f>
        <v>3226.14221364385</v>
      </c>
      <c r="BV102" s="169">
        <f t="shared" ref="BV102" si="2246">+BQ102*(1+BV103)</f>
        <v>3229.1688172873223</v>
      </c>
      <c r="BW102" s="169">
        <f t="shared" ref="BW102" si="2247">+BR102*(1+BW103)</f>
        <v>3096.479791548712</v>
      </c>
      <c r="BX102" s="255">
        <f>+BX106/BX95*1000000</f>
        <v>3215.8620942435714</v>
      </c>
      <c r="BY102" s="169">
        <f>+BT102*(1+BY103)</f>
        <v>3317.606690468418</v>
      </c>
      <c r="BZ102" s="169">
        <f t="shared" ref="BZ102" si="2248">+BU102*(1+BZ103)</f>
        <v>3226.14221364385</v>
      </c>
      <c r="CA102" s="169">
        <f t="shared" ref="CA102" si="2249">+BV102*(1+CA103)</f>
        <v>3229.1688172873223</v>
      </c>
      <c r="CB102" s="169">
        <f t="shared" ref="CB102" si="2250">+BW102*(1+CB103)</f>
        <v>3096.479791548712</v>
      </c>
      <c r="CC102" s="255">
        <f>+CC106/CC95*1000000</f>
        <v>3216.2301340114559</v>
      </c>
      <c r="CD102" s="169">
        <f>+BY102*(1+CD103)</f>
        <v>3317.606690468418</v>
      </c>
      <c r="CE102" s="169">
        <f t="shared" ref="CE102" si="2251">+BZ102*(1+CE103)</f>
        <v>3226.14221364385</v>
      </c>
      <c r="CF102" s="169">
        <f t="shared" ref="CF102" si="2252">+CA102*(1+CF103)</f>
        <v>3229.1688172873223</v>
      </c>
      <c r="CG102" s="169">
        <f t="shared" ref="CG102" si="2253">+CB102*(1+CG103)</f>
        <v>3096.479791548712</v>
      </c>
      <c r="CH102" s="255">
        <f>+CH106/CH95*1000000</f>
        <v>3216.2877157079502</v>
      </c>
      <c r="CI102" s="169">
        <f>+CD102*(1+CI103)</f>
        <v>3317.606690468418</v>
      </c>
      <c r="CJ102" s="169">
        <f t="shared" ref="CJ102" si="2254">+CE102*(1+CJ103)</f>
        <v>3226.14221364385</v>
      </c>
      <c r="CK102" s="169">
        <f t="shared" ref="CK102" si="2255">+CF102*(1+CK103)</f>
        <v>3229.1688172873223</v>
      </c>
      <c r="CL102" s="169">
        <f t="shared" ref="CL102" si="2256">+CG102*(1+CL103)</f>
        <v>3096.479791548712</v>
      </c>
      <c r="CM102" s="255">
        <f>+CM106/CM95*1000000</f>
        <v>3216.339662498367</v>
      </c>
    </row>
    <row r="103" spans="1:93">
      <c r="A103" s="165" t="s">
        <v>291</v>
      </c>
      <c r="B103" s="232" t="s">
        <v>294</v>
      </c>
      <c r="C103" s="232" t="s">
        <v>294</v>
      </c>
      <c r="D103" s="232" t="s">
        <v>294</v>
      </c>
      <c r="E103" s="232" t="s">
        <v>294</v>
      </c>
      <c r="F103" s="239" t="s">
        <v>294</v>
      </c>
      <c r="G103" s="157" t="s">
        <v>294</v>
      </c>
      <c r="H103" s="157" t="s">
        <v>294</v>
      </c>
      <c r="I103" s="157" t="s">
        <v>294</v>
      </c>
      <c r="J103" s="157" t="s">
        <v>294</v>
      </c>
      <c r="K103" s="257" t="s">
        <v>294</v>
      </c>
      <c r="L103" s="19">
        <f t="shared" ref="L103" si="2257">+L102/G102-1</f>
        <v>0.84368135078721496</v>
      </c>
      <c r="M103" s="19">
        <f t="shared" ref="M103" si="2258">+M102/H102-1</f>
        <v>0.29915922437673137</v>
      </c>
      <c r="N103" s="19">
        <f t="shared" ref="N103" si="2259">+N102/I102-1</f>
        <v>0.70035133368529556</v>
      </c>
      <c r="O103" s="19">
        <f t="shared" ref="O103" si="2260">+O102/J102-1</f>
        <v>3.646057244115708E-2</v>
      </c>
      <c r="P103" s="259">
        <f t="shared" ref="P103" si="2261">+P102/K102-1</f>
        <v>0.38715072608913359</v>
      </c>
      <c r="Q103" s="19">
        <f t="shared" ref="Q103" si="2262">+Q102/L102-1</f>
        <v>0.37869616843812448</v>
      </c>
      <c r="R103" s="19">
        <f t="shared" ref="R103" si="2263">+R102/M102-1</f>
        <v>0.57522279227626627</v>
      </c>
      <c r="S103" s="19">
        <f t="shared" ref="S103" si="2264">+S102/N102-1</f>
        <v>0.22669750603378924</v>
      </c>
      <c r="T103" s="19">
        <f t="shared" ref="T103" si="2265">+T102/O102-1</f>
        <v>0.29042514861026136</v>
      </c>
      <c r="U103" s="259">
        <f t="shared" ref="U103" si="2266">+U102/P102-1</f>
        <v>0.34122636892309588</v>
      </c>
      <c r="V103" s="19">
        <f t="shared" ref="V103" si="2267">+V102/Q102-1</f>
        <v>8.7259380097879369E-2</v>
      </c>
      <c r="W103" s="19">
        <f t="shared" ref="W103" si="2268">+W102/R102-1</f>
        <v>1.2688090700572641E-2</v>
      </c>
      <c r="X103" s="19">
        <f t="shared" ref="X103" si="2269">+X102/S102-1</f>
        <v>-5.6734552256325621E-2</v>
      </c>
      <c r="Y103" s="19">
        <f t="shared" ref="Y103" si="2270">+Y102/T102-1</f>
        <v>-5.0417092184095735E-2</v>
      </c>
      <c r="Z103" s="259">
        <f t="shared" ref="Z103" si="2271">+Z102/U102-1</f>
        <v>-6.7025518842422915E-3</v>
      </c>
      <c r="AA103" s="19">
        <f t="shared" ref="AA103" si="2272">+AA102/V102-1</f>
        <v>-3.5108009509559057E-2</v>
      </c>
      <c r="AB103" s="19">
        <f t="shared" ref="AB103" si="2273">+AB102/W102-1</f>
        <v>-0.11438367662730087</v>
      </c>
      <c r="AC103" s="19">
        <f t="shared" ref="AC103" si="2274">+AC102/X102-1</f>
        <v>-2.0781834485426032E-2</v>
      </c>
      <c r="AD103" s="19">
        <f t="shared" ref="AD103" si="2275">+AD102/Y102-1</f>
        <v>4.4230896233439676E-2</v>
      </c>
      <c r="AE103" s="259">
        <f t="shared" ref="AE103" si="2276">+AE102/Z102-1</f>
        <v>-3.0342146895674271E-2</v>
      </c>
      <c r="AF103" s="19">
        <f t="shared" ref="AF103" si="2277">+AF102/AA102-1</f>
        <v>5.9128193636770465E-3</v>
      </c>
      <c r="AG103" s="19">
        <f t="shared" ref="AG103" si="2278">+AG102/AB102-1</f>
        <v>2.0776315633904252E-2</v>
      </c>
      <c r="AH103" s="19">
        <f t="shared" ref="AH103" si="2279">+AH102/AC102-1</f>
        <v>5.2074713665643202E-2</v>
      </c>
      <c r="AI103" s="19">
        <f t="shared" ref="AI103" si="2280">+AI102/AD102-1</f>
        <v>6.8670870644608417E-2</v>
      </c>
      <c r="AJ103" s="259">
        <f t="shared" ref="AJ103" si="2281">+AJ102/AE102-1</f>
        <v>3.7280870852346437E-2</v>
      </c>
      <c r="AK103" s="19">
        <f t="shared" ref="AK103" si="2282">+AK102/AF102-1</f>
        <v>0.18748874851344888</v>
      </c>
      <c r="AL103" s="19">
        <f t="shared" ref="AL103" si="2283">+AL102/AG102-1</f>
        <v>0.18500255644198993</v>
      </c>
      <c r="AM103" s="19">
        <f t="shared" ref="AM103" si="2284">+AM102/AH102-1</f>
        <v>0.1516144195877458</v>
      </c>
      <c r="AN103" s="19">
        <f t="shared" ref="AN103" si="2285">+AN102/AI102-1</f>
        <v>0.10768120812303095</v>
      </c>
      <c r="AO103" s="259">
        <f t="shared" ref="AO103" si="2286">+AO102/AJ102-1</f>
        <v>0.15641838040833078</v>
      </c>
      <c r="AP103" s="19">
        <f t="shared" ref="AP103" si="2287">+AP102/AK102-1</f>
        <v>-3.2299871487027065E-3</v>
      </c>
      <c r="AQ103" s="19">
        <f t="shared" ref="AQ103" si="2288">+AQ102/AL102-1</f>
        <v>-2.6056719882684654E-2</v>
      </c>
      <c r="AR103" s="19">
        <f>+AR102/AM102-1</f>
        <v>-4.0969399446648347E-2</v>
      </c>
      <c r="AS103" s="19">
        <f>+AS102/AN102-1</f>
        <v>-5.5443042316757452E-2</v>
      </c>
      <c r="AT103" s="259">
        <f t="shared" ref="AT103" si="2289">+AT102/AO102-1</f>
        <v>-3.3326091186535955E-2</v>
      </c>
      <c r="AU103" s="395">
        <v>1.4999999999999999E-2</v>
      </c>
      <c r="AV103" s="60">
        <v>5.0000000000000001E-3</v>
      </c>
      <c r="AW103" s="60">
        <v>5.0000000000000001E-3</v>
      </c>
      <c r="AX103" s="60">
        <v>5.0000000000000001E-3</v>
      </c>
      <c r="AY103" s="259">
        <f>+AY102/AT102-1</f>
        <v>7.829037075105294E-3</v>
      </c>
      <c r="AZ103" s="60">
        <v>2.5000000000000001E-2</v>
      </c>
      <c r="BA103" s="60">
        <v>2.5000000000000001E-2</v>
      </c>
      <c r="BB103" s="60">
        <v>2.5000000000000001E-2</v>
      </c>
      <c r="BC103" s="60">
        <v>2.5000000000000001E-2</v>
      </c>
      <c r="BD103" s="259">
        <v>0.01</v>
      </c>
      <c r="BE103" s="60">
        <v>2.5000000000000001E-2</v>
      </c>
      <c r="BF103" s="60">
        <v>2.5000000000000001E-2</v>
      </c>
      <c r="BG103" s="60">
        <v>2.5000000000000001E-2</v>
      </c>
      <c r="BH103" s="60">
        <v>2.5000000000000001E-2</v>
      </c>
      <c r="BI103" s="259">
        <f t="shared" ref="BI103" si="2290">+BI102/BD102-1</f>
        <v>2.4845854899165021E-2</v>
      </c>
      <c r="BJ103" s="60">
        <v>0</v>
      </c>
      <c r="BK103" s="60">
        <v>0</v>
      </c>
      <c r="BL103" s="60">
        <v>0</v>
      </c>
      <c r="BM103" s="60">
        <v>0</v>
      </c>
      <c r="BN103" s="250">
        <f t="shared" ref="BN103" si="2291">+BN102/BI102-1</f>
        <v>4.9696065539617251E-5</v>
      </c>
      <c r="BO103" s="60">
        <v>0</v>
      </c>
      <c r="BP103" s="60">
        <v>0</v>
      </c>
      <c r="BQ103" s="60">
        <v>0</v>
      </c>
      <c r="BR103" s="60">
        <v>0</v>
      </c>
      <c r="BS103" s="259">
        <f t="shared" ref="BS103" si="2292">+BS102/BN102-1</f>
        <v>4.1974202414918338E-5</v>
      </c>
      <c r="BT103" s="60">
        <v>0</v>
      </c>
      <c r="BU103" s="60">
        <v>0</v>
      </c>
      <c r="BV103" s="60">
        <v>0</v>
      </c>
      <c r="BW103" s="60">
        <v>0</v>
      </c>
      <c r="BX103" s="259">
        <f t="shared" ref="BX103" si="2293">+BX102/BS102-1</f>
        <v>3.5922359119977543E-5</v>
      </c>
      <c r="BY103" s="60">
        <v>0</v>
      </c>
      <c r="BZ103" s="60">
        <v>0</v>
      </c>
      <c r="CA103" s="60">
        <v>0</v>
      </c>
      <c r="CB103" s="60">
        <v>0</v>
      </c>
      <c r="CC103" s="259">
        <f t="shared" ref="CC103" si="2294">+CC102/BX102-1</f>
        <v>1.144451338703778E-4</v>
      </c>
      <c r="CD103" s="164">
        <v>0</v>
      </c>
      <c r="CE103" s="164">
        <v>0</v>
      </c>
      <c r="CF103" s="164">
        <v>0</v>
      </c>
      <c r="CG103" s="164">
        <v>0</v>
      </c>
      <c r="CH103" s="259">
        <f t="shared" ref="CH103" si="2295">+CH102/CC102-1</f>
        <v>1.7903475216352049E-5</v>
      </c>
      <c r="CI103" s="164">
        <v>0</v>
      </c>
      <c r="CJ103" s="164">
        <v>0</v>
      </c>
      <c r="CK103" s="164">
        <v>0</v>
      </c>
      <c r="CL103" s="164">
        <v>0</v>
      </c>
      <c r="CM103" s="259">
        <f t="shared" ref="CM103" si="2296">+CM102/CH102-1</f>
        <v>1.6151164015321129E-5</v>
      </c>
    </row>
    <row r="104" spans="1:93">
      <c r="A104" s="139" t="s">
        <v>292</v>
      </c>
      <c r="B104" s="232" t="s">
        <v>294</v>
      </c>
      <c r="C104" s="232" t="s">
        <v>294</v>
      </c>
      <c r="D104" s="232" t="s">
        <v>294</v>
      </c>
      <c r="E104" s="232" t="s">
        <v>294</v>
      </c>
      <c r="F104" s="239" t="s">
        <v>294</v>
      </c>
      <c r="G104" s="147" t="s">
        <v>294</v>
      </c>
      <c r="H104" s="19">
        <f>+H102/G102-1</f>
        <v>0.44211692885260412</v>
      </c>
      <c r="I104" s="19">
        <f t="shared" ref="I104" si="2297">+I102/H102-1</f>
        <v>-3.3190775430107955E-2</v>
      </c>
      <c r="J104" s="19">
        <f t="shared" ref="J104" si="2298">+J102/I102-1</f>
        <v>0.44760886846595316</v>
      </c>
      <c r="K104" s="251" t="s">
        <v>294</v>
      </c>
      <c r="L104" s="19">
        <f>+L102/J102-1</f>
        <v>-8.6531938686618459E-2</v>
      </c>
      <c r="M104" s="19">
        <f>+M102/L102-1</f>
        <v>1.6194859241126069E-2</v>
      </c>
      <c r="N104" s="19">
        <f t="shared" ref="N104" si="2299">+N102/M102-1</f>
        <v>0.26536865040951918</v>
      </c>
      <c r="O104" s="19">
        <f t="shared" ref="O104" si="2300">+O102/N102-1</f>
        <v>-0.11760029427023533</v>
      </c>
      <c r="P104" s="251" t="s">
        <v>294</v>
      </c>
      <c r="Q104" s="19">
        <f>+Q102/O102-1</f>
        <v>0.21509196742248515</v>
      </c>
      <c r="R104" s="19">
        <f>+R102/Q102-1</f>
        <v>0.16104863443844031</v>
      </c>
      <c r="S104" s="19">
        <f t="shared" ref="S104" si="2301">+S102/R102-1</f>
        <v>-1.4599982122106003E-2</v>
      </c>
      <c r="T104" s="19">
        <f t="shared" ref="T104" si="2302">+T102/S102-1</f>
        <v>-7.1759120892336825E-2</v>
      </c>
      <c r="U104" s="251" t="s">
        <v>294</v>
      </c>
      <c r="V104" s="19">
        <f>+V102/T102-1</f>
        <v>2.3786726943813674E-2</v>
      </c>
      <c r="W104" s="19">
        <f>+W102/V102-1</f>
        <v>8.1416400117994892E-2</v>
      </c>
      <c r="X104" s="19">
        <f t="shared" ref="X104" si="2303">+X102/W102-1</f>
        <v>-8.2151950234551352E-2</v>
      </c>
      <c r="Y104" s="19">
        <f t="shared" ref="Y104" si="2304">+Y102/X102-1</f>
        <v>-6.5542286908646052E-2</v>
      </c>
      <c r="Z104" s="251" t="s">
        <v>294</v>
      </c>
      <c r="AA104" s="19">
        <f>+AA102/Y102-1</f>
        <v>4.0292116325690186E-2</v>
      </c>
      <c r="AB104" s="19">
        <f>+AB102/AA102-1</f>
        <v>-7.4329295441215582E-3</v>
      </c>
      <c r="AC104" s="19">
        <f t="shared" ref="AC104" si="2305">+AC102/AB102-1</f>
        <v>1.4856501390631882E-2</v>
      </c>
      <c r="AD104" s="19">
        <f t="shared" ref="AD104" si="2306">+AD102/AC102-1</f>
        <v>-3.5013140091588735E-3</v>
      </c>
      <c r="AE104" s="251" t="s">
        <v>294</v>
      </c>
      <c r="AF104" s="19">
        <f>+AF102/AD102-1</f>
        <v>2.1185730756687615E-3</v>
      </c>
      <c r="AG104" s="19">
        <f>+AG102/AF102-1</f>
        <v>7.233368236041704E-3</v>
      </c>
      <c r="AH104" s="19">
        <f t="shared" ref="AH104" si="2307">+AH102/AG102-1</f>
        <v>4.5973389820686217E-2</v>
      </c>
      <c r="AI104" s="19">
        <f t="shared" ref="AI104" si="2308">+AI102/AH102-1</f>
        <v>1.2218148123349426E-2</v>
      </c>
      <c r="AJ104" s="251" t="s">
        <v>294</v>
      </c>
      <c r="AK104" s="19">
        <f>+AK102/AI102-1</f>
        <v>0.11353697653040173</v>
      </c>
      <c r="AL104" s="19">
        <f>+AL102/AK102-1</f>
        <v>5.124568790697781E-3</v>
      </c>
      <c r="AM104" s="19">
        <f t="shared" ref="AM104" si="2309">+AM102/AL102-1</f>
        <v>1.6502480669157604E-2</v>
      </c>
      <c r="AN104" s="19">
        <f t="shared" ref="AN104" si="2310">+AN102/AM102-1</f>
        <v>-2.6397201939603376E-2</v>
      </c>
      <c r="AO104" s="251" t="s">
        <v>294</v>
      </c>
      <c r="AP104" s="19">
        <f>+AP102/AN102-1</f>
        <v>2.0394480532899273E-3</v>
      </c>
      <c r="AQ104" s="19">
        <f>+AQ102/AP102-1</f>
        <v>-1.7893489136740048E-2</v>
      </c>
      <c r="AR104" s="19">
        <f t="shared" ref="AR104" si="2311">+AR102/AQ102-1</f>
        <v>9.3814948103410067E-4</v>
      </c>
      <c r="AS104" s="19">
        <f t="shared" ref="AS104" si="2312">+AS102/AR102-1</f>
        <v>-4.1090767701044584E-2</v>
      </c>
      <c r="AT104" s="251" t="s">
        <v>294</v>
      </c>
      <c r="AU104" s="379">
        <f>+AU102/AS102-1</f>
        <v>7.6769411840131419E-2</v>
      </c>
      <c r="AV104" s="19">
        <f>+AV102/AU102-1</f>
        <v>-2.7569415352141746E-2</v>
      </c>
      <c r="AW104" s="19">
        <f t="shared" ref="AW104" si="2313">+AW102/AV102-1</f>
        <v>9.3814948103410067E-4</v>
      </c>
      <c r="AX104" s="19">
        <f t="shared" ref="AX104" si="2314">+AX102/AW102-1</f>
        <v>-4.1090767701044584E-2</v>
      </c>
      <c r="AY104" s="251" t="s">
        <v>294</v>
      </c>
      <c r="AZ104" s="19">
        <f>+AZ102/AX102-1</f>
        <v>9.8197658841925328E-2</v>
      </c>
      <c r="BA104" s="19">
        <f>+BA102/AZ102-1</f>
        <v>-2.7569415352141857E-2</v>
      </c>
      <c r="BB104" s="19">
        <f t="shared" ref="BB104" si="2315">+BB102/BA102-1</f>
        <v>9.3814948103410067E-4</v>
      </c>
      <c r="BC104" s="19">
        <f t="shared" ref="BC104" si="2316">+BC102/BB102-1</f>
        <v>-4.1090767701044473E-2</v>
      </c>
      <c r="BD104" s="251" t="s">
        <v>294</v>
      </c>
      <c r="BE104" s="19">
        <f>+BE102/BC102-1</f>
        <v>9.8197658841925106E-2</v>
      </c>
      <c r="BF104" s="19">
        <f>+BF102/BE102-1</f>
        <v>-2.7569415352141746E-2</v>
      </c>
      <c r="BG104" s="19">
        <f t="shared" ref="BG104" si="2317">+BG102/BF102-1</f>
        <v>9.3814948103410067E-4</v>
      </c>
      <c r="BH104" s="19">
        <f t="shared" ref="BH104" si="2318">+BH102/BG102-1</f>
        <v>-4.1090767701044584E-2</v>
      </c>
      <c r="BI104" s="251" t="s">
        <v>294</v>
      </c>
      <c r="BJ104" s="19">
        <f>+BJ102/BH102-1</f>
        <v>7.1412350089683274E-2</v>
      </c>
      <c r="BK104" s="19">
        <f>+BK102/BJ102-1</f>
        <v>-2.7569415352141746E-2</v>
      </c>
      <c r="BL104" s="19">
        <f t="shared" ref="BL104" si="2319">+BL102/BK102-1</f>
        <v>9.3814948103410067E-4</v>
      </c>
      <c r="BM104" s="19">
        <f t="shared" ref="BM104" si="2320">+BM102/BL102-1</f>
        <v>-4.1090767701044584E-2</v>
      </c>
      <c r="BN104" s="251" t="s">
        <v>294</v>
      </c>
      <c r="BO104" s="19">
        <f>+BO102/BM102-1</f>
        <v>7.1412350089683274E-2</v>
      </c>
      <c r="BP104" s="19">
        <f>+BP102/BO102-1</f>
        <v>-2.7569415352141746E-2</v>
      </c>
      <c r="BQ104" s="19">
        <f t="shared" ref="BQ104" si="2321">+BQ102/BP102-1</f>
        <v>9.3814948103410067E-4</v>
      </c>
      <c r="BR104" s="19">
        <f t="shared" ref="BR104" si="2322">+BR102/BQ102-1</f>
        <v>-4.1090767701044584E-2</v>
      </c>
      <c r="BS104" s="251" t="s">
        <v>294</v>
      </c>
      <c r="BT104" s="19">
        <f>+BT102/BR102-1</f>
        <v>7.1412350089683274E-2</v>
      </c>
      <c r="BU104" s="19">
        <f>+BU102/BT102-1</f>
        <v>-2.7569415352141746E-2</v>
      </c>
      <c r="BV104" s="19">
        <f t="shared" ref="BV104" si="2323">+BV102/BU102-1</f>
        <v>9.3814948103410067E-4</v>
      </c>
      <c r="BW104" s="19">
        <f t="shared" ref="BW104" si="2324">+BW102/BV102-1</f>
        <v>-4.1090767701044584E-2</v>
      </c>
      <c r="BX104" s="251" t="s">
        <v>294</v>
      </c>
      <c r="BY104" s="19">
        <f>+BY102/BW102-1</f>
        <v>7.1412350089683274E-2</v>
      </c>
      <c r="BZ104" s="19">
        <f>+BZ102/BY102-1</f>
        <v>-2.7569415352141746E-2</v>
      </c>
      <c r="CA104" s="19">
        <f t="shared" ref="CA104" si="2325">+CA102/BZ102-1</f>
        <v>9.3814948103410067E-4</v>
      </c>
      <c r="CB104" s="19">
        <f t="shared" ref="CB104" si="2326">+CB102/CA102-1</f>
        <v>-4.1090767701044584E-2</v>
      </c>
      <c r="CC104" s="251" t="s">
        <v>294</v>
      </c>
      <c r="CD104" s="19">
        <f>+CD102/CB102-1</f>
        <v>7.1412350089683274E-2</v>
      </c>
      <c r="CE104" s="19">
        <f>+CE102/CD102-1</f>
        <v>-2.7569415352141746E-2</v>
      </c>
      <c r="CF104" s="19">
        <f t="shared" ref="CF104" si="2327">+CF102/CE102-1</f>
        <v>9.3814948103410067E-4</v>
      </c>
      <c r="CG104" s="19">
        <f t="shared" ref="CG104" si="2328">+CG102/CF102-1</f>
        <v>-4.1090767701044584E-2</v>
      </c>
      <c r="CH104" s="251" t="s">
        <v>294</v>
      </c>
      <c r="CI104" s="19">
        <f>+CI102/CG102-1</f>
        <v>7.1412350089683274E-2</v>
      </c>
      <c r="CJ104" s="19">
        <f>+CJ102/CI102-1</f>
        <v>-2.7569415352141746E-2</v>
      </c>
      <c r="CK104" s="19">
        <f t="shared" ref="CK104" si="2329">+CK102/CJ102-1</f>
        <v>9.3814948103410067E-4</v>
      </c>
      <c r="CL104" s="19">
        <f t="shared" ref="CL104" si="2330">+CL102/CK102-1</f>
        <v>-4.1090767701044584E-2</v>
      </c>
      <c r="CM104" s="251" t="s">
        <v>294</v>
      </c>
    </row>
    <row r="105" spans="1:93">
      <c r="F105" s="240"/>
      <c r="G105" s="154"/>
      <c r="H105" s="154"/>
      <c r="I105" s="154"/>
      <c r="J105" s="154"/>
      <c r="K105" s="256"/>
      <c r="L105" s="154"/>
      <c r="M105" s="154"/>
      <c r="N105" s="154"/>
      <c r="O105" s="154"/>
      <c r="P105" s="256"/>
      <c r="Q105" s="154"/>
      <c r="R105" s="154"/>
      <c r="S105" s="154"/>
      <c r="T105" s="154"/>
      <c r="U105" s="256"/>
      <c r="V105" s="154"/>
      <c r="W105" s="154"/>
      <c r="X105" s="154"/>
      <c r="Y105" s="154"/>
      <c r="Z105" s="256"/>
      <c r="AA105" s="154"/>
      <c r="AB105" s="154"/>
      <c r="AC105" s="154"/>
      <c r="AD105" s="154"/>
      <c r="AE105" s="256"/>
      <c r="AF105" s="154"/>
      <c r="AG105" s="154"/>
      <c r="AH105" s="154"/>
      <c r="AI105" s="154"/>
      <c r="AJ105" s="256"/>
      <c r="AK105" s="154"/>
      <c r="AL105" s="154"/>
      <c r="AM105" s="154"/>
      <c r="AN105" s="154"/>
      <c r="AO105" s="256"/>
      <c r="AP105" s="154"/>
      <c r="AQ105" s="154"/>
      <c r="AR105" s="154"/>
      <c r="AS105" s="154"/>
      <c r="AT105" s="256"/>
      <c r="AU105" s="391"/>
      <c r="AV105" s="154"/>
      <c r="AW105" s="154"/>
      <c r="AX105" s="154"/>
      <c r="AY105" s="256"/>
      <c r="AZ105" s="154"/>
      <c r="BA105" s="154"/>
      <c r="BB105" s="154"/>
      <c r="BC105" s="154"/>
      <c r="BD105" s="256"/>
      <c r="BE105" s="154"/>
      <c r="BF105" s="154"/>
      <c r="BG105" s="154"/>
      <c r="BH105" s="154"/>
      <c r="BI105" s="256"/>
      <c r="BJ105" s="154"/>
      <c r="BK105" s="154"/>
      <c r="BL105" s="154"/>
      <c r="BM105" s="154"/>
      <c r="BN105" s="256"/>
      <c r="BO105" s="154"/>
      <c r="BP105" s="154"/>
      <c r="BQ105" s="154"/>
      <c r="BR105" s="154"/>
      <c r="BS105" s="256"/>
      <c r="BT105" s="154"/>
      <c r="BU105" s="154"/>
      <c r="BV105" s="154"/>
      <c r="BW105" s="154"/>
      <c r="BX105" s="256"/>
      <c r="BY105" s="154"/>
      <c r="BZ105" s="154"/>
      <c r="CA105" s="154"/>
      <c r="CB105" s="154"/>
      <c r="CC105" s="256"/>
      <c r="CD105" s="154"/>
      <c r="CE105" s="154"/>
      <c r="CF105" s="154"/>
      <c r="CG105" s="154"/>
      <c r="CH105" s="256"/>
      <c r="CI105" s="154"/>
      <c r="CJ105" s="154"/>
      <c r="CK105" s="154"/>
      <c r="CL105" s="154"/>
      <c r="CM105" s="256"/>
    </row>
    <row r="106" spans="1:93" s="170" customFormat="1">
      <c r="A106" s="170" t="s">
        <v>425</v>
      </c>
      <c r="B106" s="232" t="s">
        <v>294</v>
      </c>
      <c r="C106" s="232" t="s">
        <v>294</v>
      </c>
      <c r="D106" s="232" t="s">
        <v>294</v>
      </c>
      <c r="E106" s="232" t="s">
        <v>294</v>
      </c>
      <c r="F106" s="239" t="s">
        <v>294</v>
      </c>
      <c r="G106" s="170">
        <f>+G89</f>
        <v>7.1</v>
      </c>
      <c r="H106" s="170">
        <f>+H89</f>
        <v>9.5</v>
      </c>
      <c r="I106" s="170">
        <f>+I89</f>
        <v>9.6</v>
      </c>
      <c r="J106" s="170">
        <f>+J89</f>
        <v>17</v>
      </c>
      <c r="K106" s="253">
        <f>+G106+H106+I106+J106</f>
        <v>43.2</v>
      </c>
      <c r="L106" s="170">
        <f t="shared" ref="L106:O106" si="2331">+L89</f>
        <v>17.2</v>
      </c>
      <c r="M106" s="170">
        <f t="shared" si="2331"/>
        <v>21.8</v>
      </c>
      <c r="N106" s="170">
        <f t="shared" si="2331"/>
        <v>30.8</v>
      </c>
      <c r="O106" s="170">
        <f t="shared" si="2331"/>
        <v>31.3</v>
      </c>
      <c r="P106" s="253">
        <f>+L106+M106+N106+O106</f>
        <v>101.1</v>
      </c>
      <c r="Q106" s="170">
        <f>+Q89</f>
        <v>38</v>
      </c>
      <c r="R106" s="170">
        <f t="shared" ref="R106:T106" si="2332">+R89</f>
        <v>39.6</v>
      </c>
      <c r="S106" s="170">
        <f t="shared" si="2332"/>
        <v>48.3</v>
      </c>
      <c r="T106" s="170">
        <f t="shared" si="2332"/>
        <v>45.9</v>
      </c>
      <c r="U106" s="253">
        <f>+Q106+R106+S106+T106</f>
        <v>171.79999999999998</v>
      </c>
      <c r="V106" s="170">
        <f t="shared" ref="V106:Y106" si="2333">+V89</f>
        <v>49.8</v>
      </c>
      <c r="W106" s="170">
        <f t="shared" si="2333"/>
        <v>61</v>
      </c>
      <c r="X106" s="170">
        <f t="shared" si="2333"/>
        <v>61.3</v>
      </c>
      <c r="Y106" s="170">
        <f t="shared" si="2333"/>
        <v>64.3</v>
      </c>
      <c r="Z106" s="253">
        <f>+V106+W106+X106+Y106</f>
        <v>236.39999999999998</v>
      </c>
      <c r="AA106" s="170">
        <v>65.599999999999994</v>
      </c>
      <c r="AB106" s="170">
        <v>69.900000000000006</v>
      </c>
      <c r="AC106" s="170">
        <v>76.8</v>
      </c>
      <c r="AD106" s="170">
        <v>81.900000000000006</v>
      </c>
      <c r="AE106" s="253">
        <f>+AA106+AB106+AC106+AD106</f>
        <v>294.20000000000005</v>
      </c>
      <c r="AF106" s="170">
        <v>88.4</v>
      </c>
      <c r="AG106" s="170">
        <v>96.1</v>
      </c>
      <c r="AH106" s="170">
        <v>98.3</v>
      </c>
      <c r="AI106" s="170">
        <v>103.1</v>
      </c>
      <c r="AJ106" s="253">
        <f>+AF106+AG106+AH106+AI106</f>
        <v>385.9</v>
      </c>
      <c r="AK106" s="170">
        <f>+AK89-AK119-AK147-AK168</f>
        <v>119.39689</v>
      </c>
      <c r="AL106" s="170">
        <f>+AL89-AL119-AL147-AL168</f>
        <v>122.37730000000001</v>
      </c>
      <c r="AM106" s="170">
        <f>+AM89-AM119-AM147-AM168</f>
        <v>132.32450000000003</v>
      </c>
      <c r="AN106" s="170">
        <f>+AN89-AN119-AN147-AN168</f>
        <v>135.025475</v>
      </c>
      <c r="AO106" s="253">
        <f>+AK106+AL106+AM106+AN106</f>
        <v>509.12416500000006</v>
      </c>
      <c r="AP106" s="170">
        <f>+AP89-AP119-AP147-AP168</f>
        <v>137.90171500000002</v>
      </c>
      <c r="AQ106" s="170">
        <f>+AQ89-AQ119-AQ147-AQ168</f>
        <v>142.589946</v>
      </c>
      <c r="AR106" s="170">
        <f>+AR89-AR119-AR147-AR168</f>
        <v>166.205175</v>
      </c>
      <c r="AS106" s="170">
        <f>+AS89-AS119-AS147-AS168</f>
        <v>169.63395</v>
      </c>
      <c r="AT106" s="253">
        <f>+AP106+AQ106+AR106+AS106</f>
        <v>616.33078599999999</v>
      </c>
      <c r="AU106" s="356">
        <f>+AU95*AU102/1000000</f>
        <v>171.30771013245612</v>
      </c>
      <c r="AV106" s="170">
        <f t="shared" ref="AV106:AX106" si="2334">+AV95*AV102/1000000</f>
        <v>182.70597188512468</v>
      </c>
      <c r="AW106" s="170">
        <f t="shared" si="2334"/>
        <v>193.63487018593821</v>
      </c>
      <c r="AX106" s="170">
        <f t="shared" si="2334"/>
        <v>195.9937238672118</v>
      </c>
      <c r="AY106" s="253">
        <f>+AU106+AV106+AW106+AX106</f>
        <v>743.64227607073076</v>
      </c>
      <c r="AZ106" s="170">
        <f>+AZ95*AZ102/1000000</f>
        <v>220.90405524338493</v>
      </c>
      <c r="BA106" s="170">
        <f t="shared" ref="BA106:BC106" si="2335">+BA95*BA102/1000000</f>
        <v>217.56788343232307</v>
      </c>
      <c r="BB106" s="170">
        <f t="shared" si="2335"/>
        <v>220.52860215620737</v>
      </c>
      <c r="BC106" s="170">
        <f t="shared" si="2335"/>
        <v>216.75358540840986</v>
      </c>
      <c r="BD106" s="253">
        <f>+AZ106+BA106+BB106+BC106</f>
        <v>875.75412624032526</v>
      </c>
      <c r="BE106" s="170">
        <f>+BE95*BE102/1000000</f>
        <v>243.84409174942871</v>
      </c>
      <c r="BF106" s="170">
        <f t="shared" ref="BF106:BH106" si="2336">+BF95*BF102/1000000</f>
        <v>242.76720157669976</v>
      </c>
      <c r="BG106" s="170">
        <f t="shared" si="2336"/>
        <v>248.64599893112384</v>
      </c>
      <c r="BH106" s="170">
        <f t="shared" si="2336"/>
        <v>243.84778358446113</v>
      </c>
      <c r="BI106" s="253">
        <f>+BE106+BF106+BG106+BH106</f>
        <v>979.10507584171341</v>
      </c>
      <c r="BJ106" s="170">
        <f>+BJ95*BJ102/1000000</f>
        <v>267.06733858270769</v>
      </c>
      <c r="BK106" s="170">
        <f t="shared" ref="BK106:BM106" si="2337">+BK95*BK102/1000000</f>
        <v>265.3501970722067</v>
      </c>
      <c r="BL106" s="170">
        <f t="shared" si="2337"/>
        <v>271.25018065213516</v>
      </c>
      <c r="BM106" s="170">
        <f t="shared" si="2337"/>
        <v>265.52314212530212</v>
      </c>
      <c r="BN106" s="253">
        <f>+BJ106+BK106+BL106+BM106</f>
        <v>1069.1908584323519</v>
      </c>
      <c r="BO106" s="170">
        <f>+BO95*BO102/1000000</f>
        <v>290.29058541598658</v>
      </c>
      <c r="BP106" s="170">
        <f t="shared" ref="BP106:BR106" si="2338">+BP95*BP102/1000000</f>
        <v>287.93319256771366</v>
      </c>
      <c r="BQ106" s="170">
        <f t="shared" si="2338"/>
        <v>293.85436237314639</v>
      </c>
      <c r="BR106" s="170">
        <f t="shared" si="2338"/>
        <v>287.1985006661431</v>
      </c>
      <c r="BS106" s="253">
        <f>+BO106+BP106+BQ106+BR106</f>
        <v>1159.2766410229897</v>
      </c>
      <c r="BT106" s="170">
        <f>+BT95*BT102/1000000</f>
        <v>313.51383224926559</v>
      </c>
      <c r="BU106" s="170">
        <f t="shared" ref="BU106:BW106" si="2339">+BU95*BU102/1000000</f>
        <v>310.51618806322068</v>
      </c>
      <c r="BV106" s="170">
        <f t="shared" si="2339"/>
        <v>316.45854409415767</v>
      </c>
      <c r="BW106" s="170">
        <f t="shared" si="2339"/>
        <v>308.87385920698409</v>
      </c>
      <c r="BX106" s="253">
        <f>+BT106+BU106+BV106+BW106</f>
        <v>1249.3624236136279</v>
      </c>
      <c r="BY106" s="170">
        <f>+BY95*BY102/1000000</f>
        <v>335.57591674088059</v>
      </c>
      <c r="BZ106" s="170">
        <f t="shared" ref="BZ106:CB106" si="2340">+BZ95*BZ102/1000000</f>
        <v>330.84088400917693</v>
      </c>
      <c r="CA106" s="170">
        <f t="shared" si="2340"/>
        <v>335.67209855701725</v>
      </c>
      <c r="CB106" s="170">
        <f t="shared" si="2340"/>
        <v>326.2141460396569</v>
      </c>
      <c r="CC106" s="253">
        <f>+BY106+BZ106+CA106+CB106</f>
        <v>1328.3030453467318</v>
      </c>
      <c r="CD106" s="170">
        <f>+CD95*CD102/1000000</f>
        <v>354.15451420750378</v>
      </c>
      <c r="CE106" s="170">
        <f t="shared" ref="CE106:CG106" si="2341">+CE95*CE102/1000000</f>
        <v>348.90728040558253</v>
      </c>
      <c r="CF106" s="170">
        <f t="shared" si="2341"/>
        <v>353.75544393382631</v>
      </c>
      <c r="CG106" s="170">
        <f t="shared" si="2341"/>
        <v>343.5544328723297</v>
      </c>
      <c r="CH106" s="253">
        <f>+CD106+CE106+CF106+CG106</f>
        <v>1400.3716714192421</v>
      </c>
      <c r="CI106" s="170">
        <f>+CI95*CI102/1000000</f>
        <v>372.73311167412692</v>
      </c>
      <c r="CJ106" s="170">
        <f t="shared" ref="CJ106:CK106" si="2342">+CJ95*CJ102/1000000</f>
        <v>366.97367680198806</v>
      </c>
      <c r="CK106" s="170">
        <f t="shared" si="2342"/>
        <v>371.83878931063532</v>
      </c>
      <c r="CL106" s="170">
        <f>+CL95*CL102/1000000</f>
        <v>360.89471970500256</v>
      </c>
      <c r="CM106" s="253">
        <f>+CI106+CJ106+CK106+CL106</f>
        <v>1472.440297491753</v>
      </c>
    </row>
    <row r="107" spans="1:93" s="102" customFormat="1">
      <c r="A107" s="165" t="s">
        <v>291</v>
      </c>
      <c r="B107" s="232" t="s">
        <v>294</v>
      </c>
      <c r="C107" s="232" t="s">
        <v>294</v>
      </c>
      <c r="D107" s="232" t="s">
        <v>294</v>
      </c>
      <c r="E107" s="232" t="s">
        <v>294</v>
      </c>
      <c r="F107" s="239" t="s">
        <v>294</v>
      </c>
      <c r="G107" s="157" t="s">
        <v>294</v>
      </c>
      <c r="H107" s="157" t="s">
        <v>294</v>
      </c>
      <c r="I107" s="157" t="s">
        <v>294</v>
      </c>
      <c r="J107" s="157" t="s">
        <v>294</v>
      </c>
      <c r="K107" s="257" t="s">
        <v>294</v>
      </c>
      <c r="L107" s="19">
        <f t="shared" ref="L107:AQ107" si="2343">+L106/G106-1</f>
        <v>1.4225352112676055</v>
      </c>
      <c r="M107" s="19">
        <f t="shared" si="2343"/>
        <v>1.2947368421052632</v>
      </c>
      <c r="N107" s="19">
        <f t="shared" si="2343"/>
        <v>2.2083333333333335</v>
      </c>
      <c r="O107" s="19">
        <f t="shared" si="2343"/>
        <v>0.84117647058823541</v>
      </c>
      <c r="P107" s="259">
        <f t="shared" si="2343"/>
        <v>1.3402777777777777</v>
      </c>
      <c r="Q107" s="19">
        <f t="shared" si="2343"/>
        <v>1.2093023255813953</v>
      </c>
      <c r="R107" s="19">
        <f t="shared" si="2343"/>
        <v>0.8165137614678899</v>
      </c>
      <c r="S107" s="19">
        <f t="shared" si="2343"/>
        <v>0.56818181818181812</v>
      </c>
      <c r="T107" s="19">
        <f t="shared" si="2343"/>
        <v>0.46645367412140559</v>
      </c>
      <c r="U107" s="259">
        <f t="shared" si="2343"/>
        <v>0.69930761622156279</v>
      </c>
      <c r="V107" s="19">
        <f t="shared" si="2343"/>
        <v>0.31052631578947354</v>
      </c>
      <c r="W107" s="19">
        <f t="shared" si="2343"/>
        <v>0.54040404040404044</v>
      </c>
      <c r="X107" s="19">
        <f t="shared" si="2343"/>
        <v>0.2691511387163561</v>
      </c>
      <c r="Y107" s="19">
        <f t="shared" si="2343"/>
        <v>0.40087145969498916</v>
      </c>
      <c r="Z107" s="259">
        <f t="shared" si="2343"/>
        <v>0.37601862630966232</v>
      </c>
      <c r="AA107" s="19">
        <f t="shared" si="2343"/>
        <v>0.31726907630522083</v>
      </c>
      <c r="AB107" s="19">
        <f t="shared" si="2343"/>
        <v>0.14590163934426248</v>
      </c>
      <c r="AC107" s="19">
        <f t="shared" si="2343"/>
        <v>0.25285481239804253</v>
      </c>
      <c r="AD107" s="19">
        <f t="shared" si="2343"/>
        <v>0.27371695178849165</v>
      </c>
      <c r="AE107" s="259">
        <f t="shared" si="2343"/>
        <v>0.24450084602368904</v>
      </c>
      <c r="AF107" s="19">
        <f t="shared" si="2343"/>
        <v>0.34756097560975641</v>
      </c>
      <c r="AG107" s="19">
        <f t="shared" si="2343"/>
        <v>0.37482117310443464</v>
      </c>
      <c r="AH107" s="19">
        <f t="shared" si="2343"/>
        <v>0.27994791666666674</v>
      </c>
      <c r="AI107" s="19">
        <f t="shared" si="2343"/>
        <v>0.2588522588522586</v>
      </c>
      <c r="AJ107" s="259">
        <f t="shared" si="2343"/>
        <v>0.3116927260367095</v>
      </c>
      <c r="AK107" s="19">
        <f t="shared" si="2343"/>
        <v>0.35064355203619901</v>
      </c>
      <c r="AL107" s="19">
        <f t="shared" si="2343"/>
        <v>0.27343704474505737</v>
      </c>
      <c r="AM107" s="19">
        <f t="shared" si="2343"/>
        <v>0.34612919633774197</v>
      </c>
      <c r="AN107" s="19">
        <f t="shared" si="2343"/>
        <v>0.30965543161978659</v>
      </c>
      <c r="AO107" s="259">
        <f t="shared" si="2343"/>
        <v>0.31931631251619619</v>
      </c>
      <c r="AP107" s="19">
        <f t="shared" si="2343"/>
        <v>0.15498582081995615</v>
      </c>
      <c r="AQ107" s="19">
        <f t="shared" si="2343"/>
        <v>0.16516662812466021</v>
      </c>
      <c r="AR107" s="19">
        <f t="shared" ref="AR107:BW107" si="2344">+AR106/AM106-1</f>
        <v>0.25604234287679128</v>
      </c>
      <c r="AS107" s="19">
        <f t="shared" si="2344"/>
        <v>0.25631070729430872</v>
      </c>
      <c r="AT107" s="259">
        <f t="shared" si="2344"/>
        <v>0.2105706787655619</v>
      </c>
      <c r="AU107" s="379">
        <f t="shared" si="2344"/>
        <v>0.24224495781257027</v>
      </c>
      <c r="AV107" s="19">
        <f t="shared" si="2344"/>
        <v>0.2813383903317046</v>
      </c>
      <c r="AW107" s="19">
        <f t="shared" si="2344"/>
        <v>0.16503514518087781</v>
      </c>
      <c r="AX107" s="19">
        <f t="shared" si="2344"/>
        <v>0.15539208906714608</v>
      </c>
      <c r="AY107" s="259">
        <f t="shared" si="2344"/>
        <v>0.20656357424068506</v>
      </c>
      <c r="AZ107" s="19">
        <f t="shared" si="2344"/>
        <v>0.28951612903225787</v>
      </c>
      <c r="BA107" s="19">
        <f t="shared" si="2344"/>
        <v>0.19080882352941164</v>
      </c>
      <c r="BB107" s="19">
        <f t="shared" si="2344"/>
        <v>0.13888888888888862</v>
      </c>
      <c r="BC107" s="19">
        <f t="shared" si="2344"/>
        <v>0.1059210526315788</v>
      </c>
      <c r="BD107" s="259">
        <f t="shared" si="2344"/>
        <v>0.17765510974933973</v>
      </c>
      <c r="BE107" s="19">
        <f t="shared" si="2344"/>
        <v>0.1038461538461537</v>
      </c>
      <c r="BF107" s="19">
        <f t="shared" si="2344"/>
        <v>0.11582278481012676</v>
      </c>
      <c r="BG107" s="19">
        <f t="shared" si="2344"/>
        <v>0.12750000000000017</v>
      </c>
      <c r="BH107" s="19">
        <f t="shared" si="2344"/>
        <v>0.12500000000000022</v>
      </c>
      <c r="BI107" s="259">
        <f t="shared" si="2344"/>
        <v>0.11801365988999812</v>
      </c>
      <c r="BJ107" s="19">
        <f t="shared" si="2344"/>
        <v>9.5238095238095344E-2</v>
      </c>
      <c r="BK107" s="19">
        <f t="shared" si="2344"/>
        <v>9.3023255813953432E-2</v>
      </c>
      <c r="BL107" s="19">
        <f t="shared" si="2344"/>
        <v>9.090909090909105E-2</v>
      </c>
      <c r="BM107" s="19">
        <f t="shared" si="2344"/>
        <v>8.8888888888888795E-2</v>
      </c>
      <c r="BN107" s="259">
        <f t="shared" si="2344"/>
        <v>9.200828880719869E-2</v>
      </c>
      <c r="BO107" s="19">
        <f t="shared" si="2344"/>
        <v>8.6956521739130377E-2</v>
      </c>
      <c r="BP107" s="19">
        <f t="shared" si="2344"/>
        <v>8.5106382978723527E-2</v>
      </c>
      <c r="BQ107" s="19">
        <f t="shared" si="2344"/>
        <v>8.3333333333333259E-2</v>
      </c>
      <c r="BR107" s="19">
        <f t="shared" si="2344"/>
        <v>8.163265306122458E-2</v>
      </c>
      <c r="BS107" s="259">
        <f t="shared" si="2344"/>
        <v>8.4256035187881828E-2</v>
      </c>
      <c r="BT107" s="19">
        <f t="shared" si="2344"/>
        <v>8.0000000000000293E-2</v>
      </c>
      <c r="BU107" s="19">
        <f t="shared" si="2344"/>
        <v>7.8431372549019773E-2</v>
      </c>
      <c r="BV107" s="19">
        <f t="shared" si="2344"/>
        <v>7.6923076923077094E-2</v>
      </c>
      <c r="BW107" s="19">
        <f t="shared" si="2344"/>
        <v>7.547169811320753E-2</v>
      </c>
      <c r="BX107" s="259">
        <f t="shared" ref="BX107:CM107" si="2345">+BX106/BS106-1</f>
        <v>7.7708615357886535E-2</v>
      </c>
      <c r="BY107" s="19">
        <f t="shared" si="2345"/>
        <v>7.0370370370370416E-2</v>
      </c>
      <c r="BZ107" s="19">
        <f t="shared" si="2345"/>
        <v>6.5454545454545432E-2</v>
      </c>
      <c r="CA107" s="19">
        <f t="shared" si="2345"/>
        <v>6.0714285714285721E-2</v>
      </c>
      <c r="CB107" s="19">
        <f t="shared" si="2345"/>
        <v>5.6140350877192935E-2</v>
      </c>
      <c r="CC107" s="259">
        <f t="shared" si="2345"/>
        <v>6.3184725457628099E-2</v>
      </c>
      <c r="CD107" s="19">
        <f t="shared" si="2345"/>
        <v>5.5363321799308141E-2</v>
      </c>
      <c r="CE107" s="19">
        <f t="shared" si="2345"/>
        <v>5.4607508532423354E-2</v>
      </c>
      <c r="CF107" s="19">
        <f t="shared" si="2345"/>
        <v>5.3872053872054071E-2</v>
      </c>
      <c r="CG107" s="19">
        <f t="shared" si="2345"/>
        <v>5.315614617940212E-2</v>
      </c>
      <c r="CH107" s="259">
        <f t="shared" si="2345"/>
        <v>5.4256162646753481E-2</v>
      </c>
      <c r="CI107" s="19">
        <f t="shared" si="2345"/>
        <v>5.2459016393442637E-2</v>
      </c>
      <c r="CJ107" s="19">
        <f t="shared" si="2345"/>
        <v>5.1779935275080735E-2</v>
      </c>
      <c r="CK107" s="19">
        <f t="shared" si="2345"/>
        <v>5.1118210862619806E-2</v>
      </c>
      <c r="CL107" s="19">
        <f t="shared" si="2345"/>
        <v>5.0473186119873947E-2</v>
      </c>
      <c r="CM107" s="259">
        <f t="shared" si="2345"/>
        <v>5.1463927429687972E-2</v>
      </c>
    </row>
    <row r="108" spans="1:93">
      <c r="A108" s="139" t="s">
        <v>292</v>
      </c>
      <c r="B108" s="232" t="s">
        <v>294</v>
      </c>
      <c r="C108" s="232" t="s">
        <v>294</v>
      </c>
      <c r="D108" s="232" t="s">
        <v>294</v>
      </c>
      <c r="E108" s="232" t="s">
        <v>294</v>
      </c>
      <c r="F108" s="239" t="s">
        <v>294</v>
      </c>
      <c r="G108" s="147" t="s">
        <v>294</v>
      </c>
      <c r="H108" s="19">
        <f>+H106/G106-1</f>
        <v>0.3380281690140845</v>
      </c>
      <c r="I108" s="19">
        <f t="shared" ref="I108:J108" si="2346">+I106/H106-1</f>
        <v>1.0526315789473717E-2</v>
      </c>
      <c r="J108" s="19">
        <f t="shared" si="2346"/>
        <v>0.77083333333333348</v>
      </c>
      <c r="K108" s="251" t="s">
        <v>294</v>
      </c>
      <c r="L108" s="19">
        <f>+L106/J106-1</f>
        <v>1.1764705882352899E-2</v>
      </c>
      <c r="M108" s="19">
        <f>+M106/L106-1</f>
        <v>0.26744186046511631</v>
      </c>
      <c r="N108" s="19">
        <f t="shared" ref="N108:O108" si="2347">+N106/M106-1</f>
        <v>0.41284403669724767</v>
      </c>
      <c r="O108" s="19">
        <f t="shared" si="2347"/>
        <v>1.6233766233766156E-2</v>
      </c>
      <c r="P108" s="251" t="s">
        <v>294</v>
      </c>
      <c r="Q108" s="19">
        <f>+Q106/O106-1</f>
        <v>0.21405750798722045</v>
      </c>
      <c r="R108" s="19">
        <f>+R106/Q106-1</f>
        <v>4.2105263157894868E-2</v>
      </c>
      <c r="S108" s="19">
        <f t="shared" ref="S108:T108" si="2348">+S106/R106-1</f>
        <v>0.2196969696969695</v>
      </c>
      <c r="T108" s="19">
        <f t="shared" si="2348"/>
        <v>-4.9689440993788803E-2</v>
      </c>
      <c r="U108" s="251" t="s">
        <v>294</v>
      </c>
      <c r="V108" s="19">
        <f>+V106/T106-1</f>
        <v>8.4967320261437829E-2</v>
      </c>
      <c r="W108" s="19">
        <f>+W106/V106-1</f>
        <v>0.22489959839357443</v>
      </c>
      <c r="X108" s="19">
        <f t="shared" ref="X108:Y108" si="2349">+X106/W106-1</f>
        <v>4.9180327868851847E-3</v>
      </c>
      <c r="Y108" s="19">
        <f t="shared" si="2349"/>
        <v>4.8939641109298604E-2</v>
      </c>
      <c r="Z108" s="251" t="s">
        <v>294</v>
      </c>
      <c r="AA108" s="19">
        <f>+AA106/Y106-1</f>
        <v>2.0217729393467998E-2</v>
      </c>
      <c r="AB108" s="19">
        <f>+AB106/AA106-1</f>
        <v>6.5548780487804992E-2</v>
      </c>
      <c r="AC108" s="19">
        <f t="shared" ref="AC108:AD108" si="2350">+AC106/AB106-1</f>
        <v>9.8712446351931105E-2</v>
      </c>
      <c r="AD108" s="19">
        <f t="shared" si="2350"/>
        <v>6.6406250000000222E-2</v>
      </c>
      <c r="AE108" s="251" t="s">
        <v>294</v>
      </c>
      <c r="AF108" s="19">
        <f>+AF106/AD106-1</f>
        <v>7.9365079365079305E-2</v>
      </c>
      <c r="AG108" s="19">
        <f>+AG106/AF106-1</f>
        <v>8.7104072398189958E-2</v>
      </c>
      <c r="AH108" s="19">
        <f t="shared" ref="AH108:AI108" si="2351">+AH106/AG106-1</f>
        <v>2.2892819979188461E-2</v>
      </c>
      <c r="AI108" s="19">
        <f t="shared" si="2351"/>
        <v>4.8830111902339768E-2</v>
      </c>
      <c r="AJ108" s="251" t="s">
        <v>294</v>
      </c>
      <c r="AK108" s="19">
        <f>+AK106/AI106-1</f>
        <v>0.15806876818622695</v>
      </c>
      <c r="AL108" s="19">
        <f>+AL106/AK106-1</f>
        <v>2.4962207977109019E-2</v>
      </c>
      <c r="AM108" s="19">
        <f t="shared" ref="AM108:AN108" si="2352">+AM106/AL106-1</f>
        <v>8.1283048408487657E-2</v>
      </c>
      <c r="AN108" s="19">
        <f t="shared" si="2352"/>
        <v>2.0411752925572957E-2</v>
      </c>
      <c r="AO108" s="251" t="s">
        <v>294</v>
      </c>
      <c r="AP108" s="19">
        <f>+AP106/AN106-1</f>
        <v>2.1301461816742639E-2</v>
      </c>
      <c r="AQ108" s="19">
        <f>+AQ106/AP106-1</f>
        <v>3.3996901343830155E-2</v>
      </c>
      <c r="AR108" s="19">
        <f t="shared" ref="AR108:AS108" si="2353">+AR106/AQ106-1</f>
        <v>0.1656163682115428</v>
      </c>
      <c r="AS108" s="19">
        <f t="shared" si="2353"/>
        <v>2.0629772809420688E-2</v>
      </c>
      <c r="AT108" s="251" t="s">
        <v>294</v>
      </c>
      <c r="AU108" s="379">
        <f>+AU106/AS106-1</f>
        <v>9.866893581480074E-3</v>
      </c>
      <c r="AV108" s="19">
        <f>+AV106/AU106-1</f>
        <v>6.6536770258941447E-2</v>
      </c>
      <c r="AW108" s="19">
        <f t="shared" ref="AW108:AX108" si="2354">+AW106/AV106-1</f>
        <v>5.9816864156388982E-2</v>
      </c>
      <c r="AX108" s="19">
        <f t="shared" si="2354"/>
        <v>1.2181967426675211E-2</v>
      </c>
      <c r="AY108" s="251" t="s">
        <v>294</v>
      </c>
      <c r="AZ108" s="19">
        <f>+AZ106/AX106-1</f>
        <v>0.12709759723250214</v>
      </c>
      <c r="BA108" s="19">
        <f>+BA106/AZ106-1</f>
        <v>-1.5102356574605125E-2</v>
      </c>
      <c r="BB108" s="19">
        <f t="shared" ref="BB108:BC108" si="2355">+BB106/BA106-1</f>
        <v>1.3608252639021767E-2</v>
      </c>
      <c r="BC108" s="19">
        <f t="shared" si="2355"/>
        <v>-1.711803689357061E-2</v>
      </c>
      <c r="BD108" s="251" t="s">
        <v>294</v>
      </c>
      <c r="BE108" s="19">
        <f>+BE106/BC106-1</f>
        <v>0.12498296759416716</v>
      </c>
      <c r="BF108" s="19">
        <f>+BF106/BE106-1</f>
        <v>-4.4163061938591319E-3</v>
      </c>
      <c r="BG108" s="19">
        <f t="shared" ref="BG108:BH108" si="2356">+BG106/BF106-1</f>
        <v>2.4215780864313974E-2</v>
      </c>
      <c r="BH108" s="19">
        <f t="shared" si="2356"/>
        <v>-1.9297376057886395E-2</v>
      </c>
      <c r="BI108" s="251" t="s">
        <v>294</v>
      </c>
      <c r="BJ108" s="19">
        <f>+BJ106/BH106-1</f>
        <v>9.5221513425009396E-2</v>
      </c>
      <c r="BK108" s="19">
        <f>+BK106/BJ106-1</f>
        <v>-6.4296200337100595E-3</v>
      </c>
      <c r="BL108" s="19">
        <f t="shared" ref="BL108:BM108" si="2357">+BL106/BK106-1</f>
        <v>2.223470585297127E-2</v>
      </c>
      <c r="BM108" s="19">
        <f t="shared" si="2357"/>
        <v>-2.1113492028149827E-2</v>
      </c>
      <c r="BN108" s="251" t="s">
        <v>294</v>
      </c>
      <c r="BO108" s="19">
        <f>+BO106/BM106-1</f>
        <v>9.3277908254778552E-2</v>
      </c>
      <c r="BP108" s="19">
        <f>+BP106/BO106-1</f>
        <v>-8.120803659184439E-3</v>
      </c>
      <c r="BQ108" s="19">
        <f t="shared" ref="BQ108:BR108" si="2358">+BQ106/BP106-1</f>
        <v>2.0564387706152543E-2</v>
      </c>
      <c r="BR108" s="19">
        <f t="shared" si="2358"/>
        <v>-2.2650205541449253E-2</v>
      </c>
      <c r="BS108" s="251" t="s">
        <v>294</v>
      </c>
      <c r="BT108" s="19">
        <f>+BT106/BR106-1</f>
        <v>9.1627677449866107E-2</v>
      </c>
      <c r="BU108" s="19">
        <f>+BU106/BT106-1</f>
        <v>-9.5614415623664906E-3</v>
      </c>
      <c r="BV108" s="19">
        <f t="shared" ref="BV108:BW108" si="2359">+BV106/BU106-1</f>
        <v>1.9137024926143775E-2</v>
      </c>
      <c r="BW108" s="19">
        <f t="shared" si="2359"/>
        <v>-2.3967388552848967E-2</v>
      </c>
      <c r="BX108" s="251" t="s">
        <v>294</v>
      </c>
      <c r="BY108" s="19">
        <f>+BY106/BW106-1</f>
        <v>8.6449716406731492E-2</v>
      </c>
      <c r="BZ108" s="19">
        <f>+BZ106/BY106-1</f>
        <v>-1.4110168505804488E-2</v>
      </c>
      <c r="CA108" s="19">
        <f t="shared" ref="CA108:CB108" si="2360">+CA106/BZ106-1</f>
        <v>1.4602834115587493E-2</v>
      </c>
      <c r="CB108" s="19">
        <f t="shared" si="2360"/>
        <v>-2.8176165245839879E-2</v>
      </c>
      <c r="CC108" s="251" t="s">
        <v>294</v>
      </c>
      <c r="CD108" s="19">
        <f>+CD106/CB106-1</f>
        <v>8.5650387964629315E-2</v>
      </c>
      <c r="CE108" s="19">
        <f>+CE106/CD106-1</f>
        <v>-1.4816227356759915E-2</v>
      </c>
      <c r="CF108" s="19">
        <f t="shared" ref="CF108:CG108" si="2361">+CF106/CE106-1</f>
        <v>1.3895277629655922E-2</v>
      </c>
      <c r="CG108" s="19">
        <f t="shared" si="2361"/>
        <v>-2.8836336617351965E-2</v>
      </c>
      <c r="CH108" s="251" t="s">
        <v>294</v>
      </c>
      <c r="CI108" s="19">
        <f>+CI106/CG106-1</f>
        <v>8.4931748828985354E-2</v>
      </c>
      <c r="CJ108" s="19">
        <f>+CJ106/CI106-1</f>
        <v>-1.5451900278648178E-2</v>
      </c>
      <c r="CK108" s="19">
        <f t="shared" ref="CK108:CL108" si="2362">+CK106/CJ106-1</f>
        <v>1.3257388243877788E-2</v>
      </c>
      <c r="CL108" s="19">
        <f t="shared" si="2362"/>
        <v>-2.9432296791634727E-2</v>
      </c>
      <c r="CM108" s="251" t="s">
        <v>294</v>
      </c>
    </row>
    <row r="109" spans="1:93">
      <c r="F109" s="240"/>
      <c r="K109" s="240"/>
      <c r="P109" s="240"/>
      <c r="U109" s="240"/>
      <c r="Z109" s="240"/>
      <c r="AE109" s="259"/>
      <c r="AJ109" s="259"/>
      <c r="AO109" s="259"/>
      <c r="AT109" s="259"/>
      <c r="AU109" s="374"/>
      <c r="AY109" s="259"/>
      <c r="BD109" s="259"/>
      <c r="BI109" s="259"/>
      <c r="BN109" s="259"/>
      <c r="BS109" s="259"/>
      <c r="BX109" s="259"/>
      <c r="CC109" s="240"/>
      <c r="CH109" s="240"/>
      <c r="CM109" s="240"/>
    </row>
    <row r="110" spans="1:93" s="230" customFormat="1">
      <c r="A110" s="178" t="s">
        <v>366</v>
      </c>
      <c r="B110" s="178"/>
      <c r="C110" s="178"/>
      <c r="D110" s="178"/>
      <c r="E110" s="178"/>
      <c r="F110" s="238"/>
      <c r="G110" s="178"/>
      <c r="H110" s="178"/>
      <c r="I110" s="178"/>
      <c r="J110" s="178"/>
      <c r="K110" s="238"/>
      <c r="L110" s="178"/>
      <c r="M110" s="178"/>
      <c r="N110" s="178"/>
      <c r="O110" s="178"/>
      <c r="P110" s="238"/>
      <c r="Q110" s="178"/>
      <c r="R110" s="178"/>
      <c r="S110" s="178"/>
      <c r="T110" s="178"/>
      <c r="U110" s="238"/>
      <c r="V110" s="178"/>
      <c r="W110" s="178"/>
      <c r="X110" s="178"/>
      <c r="Y110" s="178"/>
      <c r="Z110" s="238"/>
      <c r="AA110" s="178"/>
      <c r="AB110" s="178"/>
      <c r="AC110" s="178"/>
      <c r="AD110" s="178"/>
      <c r="AE110" s="238"/>
      <c r="AF110" s="178"/>
      <c r="AG110" s="178"/>
      <c r="AH110" s="178"/>
      <c r="AI110" s="178"/>
      <c r="AJ110" s="238"/>
      <c r="AK110" s="179"/>
      <c r="AL110" s="178"/>
      <c r="AM110" s="178"/>
      <c r="AN110" s="178"/>
      <c r="AO110" s="238"/>
      <c r="AP110" s="179"/>
      <c r="AQ110" s="178"/>
      <c r="AR110" s="178"/>
      <c r="AS110" s="178"/>
      <c r="AT110" s="238"/>
      <c r="AU110" s="179"/>
      <c r="AV110" s="178"/>
      <c r="AW110" s="178"/>
      <c r="AX110" s="178"/>
      <c r="AY110" s="238"/>
      <c r="AZ110" s="179"/>
      <c r="BA110" s="178"/>
      <c r="BB110" s="178"/>
      <c r="BC110" s="178"/>
      <c r="BD110" s="238"/>
      <c r="BE110" s="178"/>
      <c r="BF110" s="178"/>
      <c r="BG110" s="178"/>
      <c r="BH110" s="178"/>
      <c r="BI110" s="238"/>
      <c r="BJ110" s="178"/>
      <c r="BK110" s="178"/>
      <c r="BL110" s="178"/>
      <c r="BM110" s="178"/>
      <c r="BN110" s="238"/>
      <c r="BO110" s="178"/>
      <c r="BP110" s="178"/>
      <c r="BQ110" s="178"/>
      <c r="BR110" s="178"/>
      <c r="BS110" s="238"/>
      <c r="BT110" s="178"/>
      <c r="BU110" s="178"/>
      <c r="BV110" s="178"/>
      <c r="BW110" s="178"/>
      <c r="BX110" s="238"/>
      <c r="BY110" s="178"/>
      <c r="BZ110" s="178"/>
      <c r="CA110" s="178"/>
      <c r="CB110" s="178"/>
      <c r="CC110" s="238"/>
      <c r="CD110" s="178"/>
      <c r="CE110" s="178"/>
      <c r="CF110" s="178"/>
      <c r="CG110" s="178"/>
      <c r="CH110" s="238"/>
      <c r="CI110" s="178"/>
      <c r="CJ110" s="178"/>
      <c r="CK110" s="178"/>
      <c r="CL110" s="178"/>
      <c r="CM110" s="238"/>
      <c r="CN110" s="178"/>
      <c r="CO110" s="178"/>
    </row>
    <row r="111" spans="1:93" s="167" customFormat="1">
      <c r="A111" s="167" t="s">
        <v>432</v>
      </c>
      <c r="B111" s="232" t="s">
        <v>294</v>
      </c>
      <c r="C111" s="232" t="s">
        <v>294</v>
      </c>
      <c r="D111" s="232" t="s">
        <v>294</v>
      </c>
      <c r="E111" s="232" t="s">
        <v>294</v>
      </c>
      <c r="F111" s="239" t="s">
        <v>294</v>
      </c>
      <c r="G111" s="232" t="s">
        <v>294</v>
      </c>
      <c r="H111" s="232" t="s">
        <v>294</v>
      </c>
      <c r="I111" s="232" t="s">
        <v>294</v>
      </c>
      <c r="J111" s="232" t="s">
        <v>294</v>
      </c>
      <c r="K111" s="239" t="s">
        <v>294</v>
      </c>
      <c r="L111" s="232" t="s">
        <v>294</v>
      </c>
      <c r="M111" s="232" t="s">
        <v>294</v>
      </c>
      <c r="N111" s="232" t="s">
        <v>294</v>
      </c>
      <c r="O111" s="232" t="s">
        <v>294</v>
      </c>
      <c r="P111" s="239" t="s">
        <v>294</v>
      </c>
      <c r="Q111" s="232" t="s">
        <v>294</v>
      </c>
      <c r="R111" s="232" t="s">
        <v>294</v>
      </c>
      <c r="S111" s="232" t="s">
        <v>294</v>
      </c>
      <c r="T111" s="232" t="s">
        <v>294</v>
      </c>
      <c r="U111" s="239" t="s">
        <v>294</v>
      </c>
      <c r="V111" s="232" t="s">
        <v>294</v>
      </c>
      <c r="W111" s="232" t="s">
        <v>294</v>
      </c>
      <c r="X111" s="232" t="s">
        <v>294</v>
      </c>
      <c r="Y111" s="232" t="s">
        <v>294</v>
      </c>
      <c r="Z111" s="239" t="s">
        <v>294</v>
      </c>
      <c r="AA111" s="167">
        <v>342</v>
      </c>
      <c r="AB111" s="167">
        <v>407</v>
      </c>
      <c r="AC111" s="167">
        <v>519</v>
      </c>
      <c r="AD111" s="167">
        <v>877</v>
      </c>
      <c r="AE111" s="249">
        <f>+AA111+AB111+AC111+AD111</f>
        <v>2145</v>
      </c>
      <c r="AF111" s="167">
        <v>999</v>
      </c>
      <c r="AG111" s="167">
        <v>1146</v>
      </c>
      <c r="AH111" s="167">
        <v>1395</v>
      </c>
      <c r="AI111" s="167">
        <v>1485</v>
      </c>
      <c r="AJ111" s="249">
        <f>+AF111+AG111+AH111+AI111</f>
        <v>5025</v>
      </c>
      <c r="AK111" s="167">
        <v>1960</v>
      </c>
      <c r="AL111" s="167">
        <v>2375</v>
      </c>
      <c r="AM111" s="167">
        <v>2650</v>
      </c>
      <c r="AN111" s="167">
        <v>3025</v>
      </c>
      <c r="AO111" s="249">
        <f>+AK111+AL111+AM111+AN111</f>
        <v>10010</v>
      </c>
      <c r="AP111" s="167">
        <v>3208</v>
      </c>
      <c r="AQ111" s="167">
        <v>3500</v>
      </c>
      <c r="AR111" s="167">
        <v>3725</v>
      </c>
      <c r="AS111" s="167">
        <v>4354</v>
      </c>
      <c r="AT111" s="249">
        <f>+AP111+AQ111+AR111+AS111</f>
        <v>14787</v>
      </c>
      <c r="AU111" s="386">
        <f t="shared" ref="AU111:AX111" si="2363">+AP111*(1+AU112)</f>
        <v>4568.7018781606248</v>
      </c>
      <c r="AV111" s="167">
        <f t="shared" si="2363"/>
        <v>4787.8860032570501</v>
      </c>
      <c r="AW111" s="167">
        <f t="shared" si="2363"/>
        <v>4776.9207229774756</v>
      </c>
      <c r="AX111" s="167">
        <f t="shared" si="2363"/>
        <v>5354.0531184650945</v>
      </c>
      <c r="AY111" s="249">
        <f>+AU111+AV111+AW111+AX111</f>
        <v>19487.561722860246</v>
      </c>
      <c r="AZ111" s="167">
        <f t="shared" ref="AZ111" si="2364">+AU111*(1+AZ112)</f>
        <v>5618.6981473922178</v>
      </c>
      <c r="BA111" s="167">
        <f t="shared" ref="BA111" si="2365">+AV111*(1+BA112)</f>
        <v>5843.7494887288949</v>
      </c>
      <c r="BB111" s="167">
        <f t="shared" ref="BB111" si="2366">+AW111*(1+BB112)</f>
        <v>5680.4637933193007</v>
      </c>
      <c r="BC111" s="167">
        <f t="shared" ref="BC111" si="2367">+AX111*(1+BC112)</f>
        <v>6307.3814831910968</v>
      </c>
      <c r="BD111" s="249">
        <f>+AZ111+BA111+BB111+BC111</f>
        <v>23450.29291263151</v>
      </c>
      <c r="BE111" s="167">
        <f t="shared" ref="BE111" si="2368">+AZ111*(1+BE112)</f>
        <v>6599.0376409462087</v>
      </c>
      <c r="BF111" s="167">
        <f t="shared" ref="BF111" si="2369">+BA111*(1+BF112)</f>
        <v>6843.3359820524374</v>
      </c>
      <c r="BG111" s="167">
        <f t="shared" ref="BG111" si="2370">+BB111*(1+BG112)</f>
        <v>6633.4754999994839</v>
      </c>
      <c r="BH111" s="167">
        <f t="shared" ref="BH111" si="2371">+BC111*(1+BH112)</f>
        <v>7345.7179521566441</v>
      </c>
      <c r="BI111" s="249">
        <f>+BE111+BF111+BG111+BH111</f>
        <v>27421.567075154773</v>
      </c>
      <c r="BJ111" s="167">
        <f t="shared" ref="BJ111" si="2372">+BE111*(1+BJ112)</f>
        <v>7588.8932870881399</v>
      </c>
      <c r="BK111" s="167">
        <f t="shared" ref="BK111" si="2373">+BF111*(1+BK112)</f>
        <v>7869.8363793603021</v>
      </c>
      <c r="BL111" s="167">
        <f t="shared" ref="BL111" si="2374">+BG111*(1+BL112)</f>
        <v>7628.4968249994063</v>
      </c>
      <c r="BM111" s="167">
        <f t="shared" ref="BM111" si="2375">+BH111*(1+BM112)</f>
        <v>8447.5756449801393</v>
      </c>
      <c r="BN111" s="249">
        <f>+BJ111+BK111+BL111+BM111</f>
        <v>31534.802136427985</v>
      </c>
      <c r="BO111" s="167">
        <f t="shared" ref="BO111" si="2376">+BJ111*(1+BO112)</f>
        <v>8727.2272801513609</v>
      </c>
      <c r="BP111" s="167">
        <f t="shared" ref="BP111" si="2377">+BK111*(1+BP112)</f>
        <v>9050.3118362643472</v>
      </c>
      <c r="BQ111" s="167">
        <f t="shared" ref="BQ111" si="2378">+BL111*(1+BQ112)</f>
        <v>8772.7713487493165</v>
      </c>
      <c r="BR111" s="167">
        <f t="shared" ref="BR111" si="2379">+BM111*(1+BR112)</f>
        <v>9714.7119917271593</v>
      </c>
      <c r="BS111" s="249">
        <f>+BO111+BP111+BQ111+BR111</f>
        <v>36265.022456892184</v>
      </c>
      <c r="BT111" s="167">
        <f t="shared" ref="BT111" si="2380">+BO111*(1+BT112)</f>
        <v>10036.311372174065</v>
      </c>
      <c r="BU111" s="167">
        <f t="shared" ref="BU111" si="2381">+BP111*(1+BU112)</f>
        <v>10407.858611703998</v>
      </c>
      <c r="BV111" s="167">
        <f t="shared" ref="BV111" si="2382">+BQ111*(1+BV112)</f>
        <v>10088.687051061714</v>
      </c>
      <c r="BW111" s="167">
        <f t="shared" ref="BW111" si="2383">+BR111*(1+BW112)</f>
        <v>11171.918790486232</v>
      </c>
      <c r="BX111" s="249">
        <f>+BT111+BU111+BV111+BW111</f>
        <v>41704.775825426012</v>
      </c>
      <c r="BY111" s="167">
        <f t="shared" ref="BY111" si="2384">+BT111*(1+BY112)</f>
        <v>11441.394964278436</v>
      </c>
      <c r="BZ111" s="167">
        <f t="shared" ref="BZ111" si="2385">+BU111*(1+BZ112)</f>
        <v>11864.958817342558</v>
      </c>
      <c r="CA111" s="167">
        <f t="shared" ref="CA111" si="2386">+BV111*(1+CA112)</f>
        <v>11501.103238210355</v>
      </c>
      <c r="CB111" s="167">
        <f t="shared" ref="CB111" si="2387">+BW111*(1+CB112)</f>
        <v>12735.987421154307</v>
      </c>
      <c r="CC111" s="249">
        <f>+BY111+BZ111+CA111+CB111</f>
        <v>47543.444440985651</v>
      </c>
      <c r="CD111" s="167">
        <f t="shared" ref="CD111" si="2388">+BY111*(1+CD112)</f>
        <v>12928.776309634632</v>
      </c>
      <c r="CE111" s="167">
        <f t="shared" ref="CE111" si="2389">+BZ111*(1+CE112)</f>
        <v>13407.403463597089</v>
      </c>
      <c r="CF111" s="167">
        <f t="shared" ref="CF111" si="2390">+CA111*(1+CF112)</f>
        <v>12996.246659177699</v>
      </c>
      <c r="CG111" s="167">
        <f t="shared" ref="CG111" si="2391">+CB111*(1+CG112)</f>
        <v>14391.665785904364</v>
      </c>
      <c r="CH111" s="249">
        <f>+CD111+CE111+CF111+CG111</f>
        <v>53724.092218313781</v>
      </c>
      <c r="CI111" s="167">
        <f t="shared" ref="CI111" si="2392">+CD111*(1+CI112)</f>
        <v>14480.229466790788</v>
      </c>
      <c r="CJ111" s="167">
        <f t="shared" ref="CJ111" si="2393">+CE111*(1+CJ112)</f>
        <v>15016.291879228742</v>
      </c>
      <c r="CK111" s="167">
        <f t="shared" ref="CK111" si="2394">+CF111*(1+CK112)</f>
        <v>14555.796258279024</v>
      </c>
      <c r="CL111" s="167">
        <f t="shared" ref="CL111" si="2395">+CG111*(1+CL112)</f>
        <v>16118.665680212889</v>
      </c>
      <c r="CM111" s="249">
        <f>+CI111+CJ111+CK111+CL111</f>
        <v>60170.983284511443</v>
      </c>
    </row>
    <row r="112" spans="1:93" s="102" customFormat="1">
      <c r="A112" s="165" t="s">
        <v>291</v>
      </c>
      <c r="B112" s="232" t="s">
        <v>294</v>
      </c>
      <c r="C112" s="232" t="s">
        <v>294</v>
      </c>
      <c r="D112" s="232" t="s">
        <v>294</v>
      </c>
      <c r="E112" s="232" t="s">
        <v>294</v>
      </c>
      <c r="F112" s="239" t="s">
        <v>294</v>
      </c>
      <c r="G112" s="232" t="s">
        <v>294</v>
      </c>
      <c r="H112" s="232" t="s">
        <v>294</v>
      </c>
      <c r="I112" s="232" t="s">
        <v>294</v>
      </c>
      <c r="J112" s="232" t="s">
        <v>294</v>
      </c>
      <c r="K112" s="239" t="s">
        <v>294</v>
      </c>
      <c r="L112" s="232" t="s">
        <v>294</v>
      </c>
      <c r="M112" s="232" t="s">
        <v>294</v>
      </c>
      <c r="N112" s="232" t="s">
        <v>294</v>
      </c>
      <c r="O112" s="232" t="s">
        <v>294</v>
      </c>
      <c r="P112" s="239" t="s">
        <v>294</v>
      </c>
      <c r="Q112" s="232" t="s">
        <v>294</v>
      </c>
      <c r="R112" s="232" t="s">
        <v>294</v>
      </c>
      <c r="S112" s="232" t="s">
        <v>294</v>
      </c>
      <c r="T112" s="232" t="s">
        <v>294</v>
      </c>
      <c r="U112" s="239" t="s">
        <v>294</v>
      </c>
      <c r="V112" s="232" t="s">
        <v>294</v>
      </c>
      <c r="W112" s="232" t="s">
        <v>294</v>
      </c>
      <c r="X112" s="232" t="s">
        <v>294</v>
      </c>
      <c r="Y112" s="232" t="s">
        <v>294</v>
      </c>
      <c r="Z112" s="239" t="s">
        <v>294</v>
      </c>
      <c r="AA112" s="157" t="s">
        <v>294</v>
      </c>
      <c r="AB112" s="157" t="s">
        <v>294</v>
      </c>
      <c r="AC112" s="157" t="s">
        <v>294</v>
      </c>
      <c r="AD112" s="157" t="s">
        <v>294</v>
      </c>
      <c r="AE112" s="257" t="s">
        <v>294</v>
      </c>
      <c r="AF112" s="19">
        <f t="shared" ref="AF112:BI112" si="2396">+AF111/AA111-1</f>
        <v>1.9210526315789473</v>
      </c>
      <c r="AG112" s="19">
        <f t="shared" si="2396"/>
        <v>1.8157248157248156</v>
      </c>
      <c r="AH112" s="19">
        <f t="shared" si="2396"/>
        <v>1.6878612716763004</v>
      </c>
      <c r="AI112" s="19">
        <f t="shared" si="2396"/>
        <v>0.69327251995438988</v>
      </c>
      <c r="AJ112" s="259">
        <f t="shared" si="2396"/>
        <v>1.3426573426573425</v>
      </c>
      <c r="AK112" s="19">
        <f t="shared" si="2396"/>
        <v>0.96196196196196193</v>
      </c>
      <c r="AL112" s="19">
        <f t="shared" si="2396"/>
        <v>1.0724258289703315</v>
      </c>
      <c r="AM112" s="19">
        <f t="shared" si="2396"/>
        <v>0.89964157706093184</v>
      </c>
      <c r="AN112" s="19">
        <f t="shared" si="2396"/>
        <v>1.0370370370370372</v>
      </c>
      <c r="AO112" s="259">
        <f t="shared" si="2396"/>
        <v>0.99203980099502487</v>
      </c>
      <c r="AP112" s="19">
        <f t="shared" si="2396"/>
        <v>0.63673469387755111</v>
      </c>
      <c r="AQ112" s="19">
        <f t="shared" si="2396"/>
        <v>0.47368421052631571</v>
      </c>
      <c r="AR112" s="19">
        <f t="shared" si="2396"/>
        <v>0.40566037735849059</v>
      </c>
      <c r="AS112" s="19">
        <f t="shared" si="2396"/>
        <v>0.43933884297520653</v>
      </c>
      <c r="AT112" s="259">
        <f t="shared" si="2396"/>
        <v>0.47722277722277728</v>
      </c>
      <c r="AU112" s="395">
        <v>0.42415893957625461</v>
      </c>
      <c r="AV112" s="60">
        <v>0.36796742950201433</v>
      </c>
      <c r="AW112" s="60">
        <v>0.28239482496039603</v>
      </c>
      <c r="AX112" s="60">
        <v>0.22968606303745864</v>
      </c>
      <c r="AY112" s="259">
        <f t="shared" si="2396"/>
        <v>0.31788474490161933</v>
      </c>
      <c r="AZ112" s="60">
        <v>0.229823765531912</v>
      </c>
      <c r="BA112" s="60">
        <v>0.22052811715934201</v>
      </c>
      <c r="BB112" s="60">
        <v>0.18914759585514801</v>
      </c>
      <c r="BC112" s="60">
        <v>0.17805732286035</v>
      </c>
      <c r="BD112" s="259">
        <f t="shared" si="2396"/>
        <v>0.20334669088553592</v>
      </c>
      <c r="BE112" s="60">
        <v>0.17447804951205501</v>
      </c>
      <c r="BF112" s="60">
        <v>0.17105224911702499</v>
      </c>
      <c r="BG112" s="60">
        <v>0.16777005212162499</v>
      </c>
      <c r="BH112" s="60">
        <v>0.16462243035920199</v>
      </c>
      <c r="BI112" s="259">
        <f t="shared" si="2396"/>
        <v>0.16934859523158163</v>
      </c>
      <c r="BJ112" s="60">
        <v>0.15</v>
      </c>
      <c r="BK112" s="60">
        <v>0.15</v>
      </c>
      <c r="BL112" s="60">
        <v>0.15</v>
      </c>
      <c r="BM112" s="60">
        <v>0.15</v>
      </c>
      <c r="BN112" s="259">
        <f t="shared" ref="BN112:CM112" si="2397">+BN111/BI111-1</f>
        <v>0.14999999999999991</v>
      </c>
      <c r="BO112" s="60">
        <v>0.15</v>
      </c>
      <c r="BP112" s="60">
        <v>0.15</v>
      </c>
      <c r="BQ112" s="60">
        <v>0.15</v>
      </c>
      <c r="BR112" s="60">
        <v>0.15</v>
      </c>
      <c r="BS112" s="259">
        <f t="shared" si="2397"/>
        <v>0.15000000000000013</v>
      </c>
      <c r="BT112" s="60">
        <v>0.15</v>
      </c>
      <c r="BU112" s="60">
        <v>0.15</v>
      </c>
      <c r="BV112" s="60">
        <v>0.15</v>
      </c>
      <c r="BW112" s="60">
        <v>0.15</v>
      </c>
      <c r="BX112" s="259">
        <f t="shared" si="2397"/>
        <v>0.14999999999999991</v>
      </c>
      <c r="BY112" s="60">
        <v>0.14000000000000001</v>
      </c>
      <c r="BZ112" s="60">
        <v>0.14000000000000001</v>
      </c>
      <c r="CA112" s="60">
        <v>0.14000000000000001</v>
      </c>
      <c r="CB112" s="60">
        <v>0.14000000000000001</v>
      </c>
      <c r="CC112" s="259">
        <f t="shared" si="2397"/>
        <v>0.1399999999999999</v>
      </c>
      <c r="CD112" s="60">
        <v>0.13</v>
      </c>
      <c r="CE112" s="60">
        <v>0.13</v>
      </c>
      <c r="CF112" s="60">
        <v>0.13</v>
      </c>
      <c r="CG112" s="60">
        <v>0.13</v>
      </c>
      <c r="CH112" s="259">
        <f t="shared" si="2397"/>
        <v>0.12999999999999989</v>
      </c>
      <c r="CI112" s="60">
        <v>0.12</v>
      </c>
      <c r="CJ112" s="60">
        <v>0.12</v>
      </c>
      <c r="CK112" s="60">
        <v>0.12</v>
      </c>
      <c r="CL112" s="60">
        <v>0.12</v>
      </c>
      <c r="CM112" s="259">
        <f t="shared" si="2397"/>
        <v>0.12000000000000011</v>
      </c>
    </row>
    <row r="113" spans="1:93">
      <c r="A113" s="139" t="s">
        <v>292</v>
      </c>
      <c r="B113" s="232" t="s">
        <v>294</v>
      </c>
      <c r="C113" s="232" t="s">
        <v>294</v>
      </c>
      <c r="D113" s="232" t="s">
        <v>294</v>
      </c>
      <c r="E113" s="232" t="s">
        <v>294</v>
      </c>
      <c r="F113" s="239" t="s">
        <v>294</v>
      </c>
      <c r="G113" s="232" t="s">
        <v>294</v>
      </c>
      <c r="H113" s="232" t="s">
        <v>294</v>
      </c>
      <c r="I113" s="232" t="s">
        <v>294</v>
      </c>
      <c r="J113" s="232" t="s">
        <v>294</v>
      </c>
      <c r="K113" s="239" t="s">
        <v>294</v>
      </c>
      <c r="L113" s="232" t="s">
        <v>294</v>
      </c>
      <c r="M113" s="232" t="s">
        <v>294</v>
      </c>
      <c r="N113" s="232" t="s">
        <v>294</v>
      </c>
      <c r="O113" s="232" t="s">
        <v>294</v>
      </c>
      <c r="P113" s="239" t="s">
        <v>294</v>
      </c>
      <c r="Q113" s="232" t="s">
        <v>294</v>
      </c>
      <c r="R113" s="232" t="s">
        <v>294</v>
      </c>
      <c r="S113" s="232" t="s">
        <v>294</v>
      </c>
      <c r="T113" s="232" t="s">
        <v>294</v>
      </c>
      <c r="U113" s="239" t="s">
        <v>294</v>
      </c>
      <c r="V113" s="232" t="s">
        <v>294</v>
      </c>
      <c r="W113" s="232" t="s">
        <v>294</v>
      </c>
      <c r="X113" s="232" t="s">
        <v>294</v>
      </c>
      <c r="Y113" s="232" t="s">
        <v>294</v>
      </c>
      <c r="Z113" s="239" t="s">
        <v>294</v>
      </c>
      <c r="AA113" s="147" t="s">
        <v>294</v>
      </c>
      <c r="AB113" s="19">
        <f>+AB111/AA111-1</f>
        <v>0.19005847953216382</v>
      </c>
      <c r="AC113" s="19">
        <f>+AC111/AB111-1</f>
        <v>0.27518427518427524</v>
      </c>
      <c r="AD113" s="19">
        <f>+AD111/AC111-1</f>
        <v>0.68978805394990372</v>
      </c>
      <c r="AE113" s="251" t="s">
        <v>294</v>
      </c>
      <c r="AF113" s="19">
        <f>+AF111/AD111-1</f>
        <v>0.1391106043329533</v>
      </c>
      <c r="AG113" s="19">
        <f>+AG111/AF111-1</f>
        <v>0.14714714714714705</v>
      </c>
      <c r="AH113" s="19">
        <f>+AH111/AG111-1</f>
        <v>0.2172774869109948</v>
      </c>
      <c r="AI113" s="19">
        <f>+AI111/AH111-1</f>
        <v>6.4516129032258007E-2</v>
      </c>
      <c r="AJ113" s="251" t="s">
        <v>294</v>
      </c>
      <c r="AK113" s="19">
        <f>+AK111/AI111-1</f>
        <v>0.31986531986531985</v>
      </c>
      <c r="AL113" s="19">
        <f>+AL111/AK111-1</f>
        <v>0.21173469387755106</v>
      </c>
      <c r="AM113" s="19">
        <f>+AM111/AL111-1</f>
        <v>0.11578947368421044</v>
      </c>
      <c r="AN113" s="19">
        <f>+AN111/AM111-1</f>
        <v>0.14150943396226423</v>
      </c>
      <c r="AO113" s="251" t="s">
        <v>294</v>
      </c>
      <c r="AP113" s="19">
        <f>+AP111/AN111-1</f>
        <v>6.0495867768594946E-2</v>
      </c>
      <c r="AQ113" s="19">
        <f>+AQ111/AP111-1</f>
        <v>9.1022443890274252E-2</v>
      </c>
      <c r="AR113" s="19">
        <f>+AR111/AQ111-1</f>
        <v>6.4285714285714279E-2</v>
      </c>
      <c r="AS113" s="19">
        <f>+AS111/AR111-1</f>
        <v>0.1688590604026845</v>
      </c>
      <c r="AT113" s="251" t="s">
        <v>294</v>
      </c>
      <c r="AU113" s="379">
        <f>+AU111/AS111-1</f>
        <v>4.9311409775063098E-2</v>
      </c>
      <c r="AV113" s="19">
        <f>+AV111/AU111-1</f>
        <v>4.7975142817738403E-2</v>
      </c>
      <c r="AW113" s="19">
        <f>+AW111/AV111-1</f>
        <v>-2.2902133158799742E-3</v>
      </c>
      <c r="AX113" s="19">
        <f>+AX111/AW111-1</f>
        <v>0.12081682509645875</v>
      </c>
      <c r="AY113" s="251" t="s">
        <v>294</v>
      </c>
      <c r="AZ113" s="19">
        <f>+AZ111/AX111-1</f>
        <v>4.9428913585936263E-2</v>
      </c>
      <c r="BA113" s="19">
        <f>+BA111/AZ111-1</f>
        <v>4.0054001021772034E-2</v>
      </c>
      <c r="BB113" s="19">
        <f>+BB111/BA111-1</f>
        <v>-2.7941939627037504E-2</v>
      </c>
      <c r="BC113" s="19">
        <f>+BC111/BB111-1</f>
        <v>0.11036382110367526</v>
      </c>
      <c r="BD113" s="251" t="s">
        <v>294</v>
      </c>
      <c r="BE113" s="19">
        <f>+BE111/BC111-1</f>
        <v>4.6240449944618511E-2</v>
      </c>
      <c r="BF113" s="19">
        <f>+BF111/BE111-1</f>
        <v>3.7020298170507226E-2</v>
      </c>
      <c r="BG113" s="19">
        <f>+BG111/BF111-1</f>
        <v>-3.0666400510414915E-2</v>
      </c>
      <c r="BH113" s="19">
        <f>+BH111/BG111-1</f>
        <v>0.10737093280245258</v>
      </c>
      <c r="BI113" s="251" t="s">
        <v>294</v>
      </c>
      <c r="BJ113" s="19">
        <f>+BJ111/BH111-1</f>
        <v>3.3104365906140076E-2</v>
      </c>
      <c r="BK113" s="19">
        <f>+BK111/BJ111-1</f>
        <v>3.7020298170507004E-2</v>
      </c>
      <c r="BL113" s="19">
        <f>+BL111/BK111-1</f>
        <v>-3.0666400510414804E-2</v>
      </c>
      <c r="BM113" s="19">
        <f>+BM111/BL111-1</f>
        <v>0.10737093280245236</v>
      </c>
      <c r="BN113" s="251" t="s">
        <v>294</v>
      </c>
      <c r="BO113" s="19">
        <f>+BO111/BM111-1</f>
        <v>3.3104365906140298E-2</v>
      </c>
      <c r="BP113" s="19">
        <f>+BP111/BO111-1</f>
        <v>3.7020298170507004E-2</v>
      </c>
      <c r="BQ113" s="19">
        <f>+BQ111/BP111-1</f>
        <v>-3.0666400510414915E-2</v>
      </c>
      <c r="BR113" s="19">
        <f>+BR111/BQ111-1</f>
        <v>0.10737093280245236</v>
      </c>
      <c r="BS113" s="251" t="s">
        <v>294</v>
      </c>
      <c r="BT113" s="19">
        <f>+BT111/BR111-1</f>
        <v>3.3104365906140298E-2</v>
      </c>
      <c r="BU113" s="19">
        <f>+BU111/BT111-1</f>
        <v>3.7020298170506782E-2</v>
      </c>
      <c r="BV113" s="19">
        <f>+BV111/BU111-1</f>
        <v>-3.0666400510414804E-2</v>
      </c>
      <c r="BW113" s="19">
        <f>+BW111/BV111-1</f>
        <v>0.10737093280245236</v>
      </c>
      <c r="BX113" s="251" t="s">
        <v>294</v>
      </c>
      <c r="BY113" s="19">
        <f>+BY111/BW111-1</f>
        <v>2.4120849680869805E-2</v>
      </c>
      <c r="BZ113" s="19">
        <f>+BZ111/BY111-1</f>
        <v>3.7020298170506782E-2</v>
      </c>
      <c r="CA113" s="19">
        <f>+CA111/BZ111-1</f>
        <v>-3.0666400510414693E-2</v>
      </c>
      <c r="CB113" s="19">
        <f>+CB111/CA111-1</f>
        <v>0.10737093280245236</v>
      </c>
      <c r="CC113" s="251" t="s">
        <v>294</v>
      </c>
      <c r="CD113" s="19">
        <f>+CD111/CB111-1</f>
        <v>1.5137333455598867E-2</v>
      </c>
      <c r="CE113" s="19">
        <f>+CE111/CD111-1</f>
        <v>3.7020298170506782E-2</v>
      </c>
      <c r="CF113" s="19">
        <f>+CF111/CE111-1</f>
        <v>-3.0666400510414693E-2</v>
      </c>
      <c r="CG113" s="19">
        <f>+CG111/CF111-1</f>
        <v>0.10737093280245236</v>
      </c>
      <c r="CH113" s="251" t="s">
        <v>294</v>
      </c>
      <c r="CI113" s="19">
        <f>+CI111/CG111-1</f>
        <v>6.1538172303281513E-3</v>
      </c>
      <c r="CJ113" s="19">
        <f>+CJ111/CI111-1</f>
        <v>3.7020298170506782E-2</v>
      </c>
      <c r="CK113" s="19">
        <f>+CK111/CJ111-1</f>
        <v>-3.0666400510414804E-2</v>
      </c>
      <c r="CL113" s="19">
        <f>+CL111/CK111-1</f>
        <v>0.10737093280245236</v>
      </c>
      <c r="CM113" s="251" t="s">
        <v>294</v>
      </c>
    </row>
    <row r="114" spans="1:93">
      <c r="A114" s="161"/>
      <c r="F114" s="240"/>
      <c r="K114" s="240"/>
      <c r="P114" s="240"/>
      <c r="U114" s="240"/>
      <c r="Z114" s="240"/>
      <c r="AA114" s="147"/>
      <c r="AB114" s="19"/>
      <c r="AC114" s="19"/>
      <c r="AD114" s="19"/>
      <c r="AE114" s="251"/>
      <c r="AF114" s="19"/>
      <c r="AG114" s="19"/>
      <c r="AH114" s="19"/>
      <c r="AI114" s="19"/>
      <c r="AJ114" s="251"/>
      <c r="AK114" s="19"/>
      <c r="AL114" s="19"/>
      <c r="AM114" s="19"/>
      <c r="AN114" s="19"/>
      <c r="AO114" s="251"/>
      <c r="AP114" s="19"/>
      <c r="AQ114" s="19"/>
      <c r="AR114" s="19"/>
      <c r="AS114" s="19"/>
      <c r="AT114" s="251"/>
      <c r="AU114" s="379"/>
      <c r="AV114" s="19"/>
      <c r="AW114" s="19"/>
      <c r="AX114" s="19"/>
      <c r="AY114" s="251"/>
      <c r="AZ114" s="19"/>
      <c r="BA114" s="19"/>
      <c r="BB114" s="19"/>
      <c r="BC114" s="19"/>
      <c r="BD114" s="251"/>
      <c r="BE114" s="19"/>
      <c r="BF114" s="19"/>
      <c r="BG114" s="19"/>
      <c r="BH114" s="19"/>
      <c r="BI114" s="251"/>
      <c r="BJ114" s="19"/>
      <c r="BK114" s="19"/>
      <c r="BL114" s="19"/>
      <c r="BM114" s="19"/>
      <c r="BN114" s="251"/>
      <c r="BO114" s="19"/>
      <c r="BP114" s="19"/>
      <c r="BQ114" s="19"/>
      <c r="BR114" s="19"/>
      <c r="BS114" s="251"/>
      <c r="BT114" s="19"/>
      <c r="BU114" s="19"/>
      <c r="BV114" s="19"/>
      <c r="BW114" s="19"/>
      <c r="BX114" s="251"/>
      <c r="BY114" s="19"/>
      <c r="BZ114" s="19"/>
      <c r="CA114" s="19"/>
      <c r="CB114" s="19"/>
      <c r="CC114" s="251"/>
      <c r="CD114" s="19"/>
      <c r="CE114" s="19"/>
      <c r="CF114" s="19"/>
      <c r="CG114" s="19"/>
      <c r="CH114" s="251"/>
      <c r="CI114" s="19"/>
      <c r="CJ114" s="19"/>
      <c r="CK114" s="19"/>
      <c r="CL114" s="19"/>
      <c r="CM114" s="251"/>
    </row>
    <row r="115" spans="1:93" s="42" customFormat="1">
      <c r="A115" s="42" t="s">
        <v>335</v>
      </c>
      <c r="B115" s="232" t="s">
        <v>294</v>
      </c>
      <c r="C115" s="232" t="s">
        <v>294</v>
      </c>
      <c r="D115" s="232" t="s">
        <v>294</v>
      </c>
      <c r="E115" s="232" t="s">
        <v>294</v>
      </c>
      <c r="F115" s="239" t="s">
        <v>294</v>
      </c>
      <c r="G115" s="232" t="s">
        <v>294</v>
      </c>
      <c r="H115" s="232" t="s">
        <v>294</v>
      </c>
      <c r="I115" s="232" t="s">
        <v>294</v>
      </c>
      <c r="J115" s="232" t="s">
        <v>294</v>
      </c>
      <c r="K115" s="239" t="s">
        <v>294</v>
      </c>
      <c r="L115" s="232" t="s">
        <v>294</v>
      </c>
      <c r="M115" s="232" t="s">
        <v>294</v>
      </c>
      <c r="N115" s="232" t="s">
        <v>294</v>
      </c>
      <c r="O115" s="232" t="s">
        <v>294</v>
      </c>
      <c r="P115" s="239" t="s">
        <v>294</v>
      </c>
      <c r="Q115" s="232" t="s">
        <v>294</v>
      </c>
      <c r="R115" s="232" t="s">
        <v>294</v>
      </c>
      <c r="S115" s="232" t="s">
        <v>294</v>
      </c>
      <c r="T115" s="232" t="s">
        <v>294</v>
      </c>
      <c r="U115" s="239" t="s">
        <v>294</v>
      </c>
      <c r="V115" s="232" t="s">
        <v>294</v>
      </c>
      <c r="W115" s="232" t="s">
        <v>294</v>
      </c>
      <c r="X115" s="232" t="s">
        <v>294</v>
      </c>
      <c r="Y115" s="232" t="s">
        <v>294</v>
      </c>
      <c r="Z115" s="239" t="s">
        <v>294</v>
      </c>
      <c r="AA115" s="168">
        <v>650</v>
      </c>
      <c r="AB115" s="168">
        <v>768</v>
      </c>
      <c r="AC115" s="168">
        <v>1050</v>
      </c>
      <c r="AD115" s="168">
        <v>1100</v>
      </c>
      <c r="AE115" s="255">
        <f>+AE119/AE111*1000000</f>
        <v>953.15897435897455</v>
      </c>
      <c r="AF115" s="168">
        <v>1075</v>
      </c>
      <c r="AG115" s="168">
        <v>1111</v>
      </c>
      <c r="AH115" s="168">
        <v>1300</v>
      </c>
      <c r="AI115" s="168">
        <v>1284</v>
      </c>
      <c r="AJ115" s="255">
        <f>+AJ119/AJ111*1000000</f>
        <v>1207.4370149253732</v>
      </c>
      <c r="AK115" s="168">
        <v>1400</v>
      </c>
      <c r="AL115" s="168">
        <v>1500</v>
      </c>
      <c r="AM115" s="168">
        <v>1500</v>
      </c>
      <c r="AN115" s="168">
        <v>1550</v>
      </c>
      <c r="AO115" s="255">
        <f>+AO119/AO111*1000000</f>
        <v>1495.5294705294707</v>
      </c>
      <c r="AP115" s="168">
        <v>1730</v>
      </c>
      <c r="AQ115" s="168">
        <v>2005</v>
      </c>
      <c r="AR115" s="168">
        <v>2000</v>
      </c>
      <c r="AS115" s="168">
        <v>2050</v>
      </c>
      <c r="AT115" s="255">
        <f>+AT119/AT111*1000000</f>
        <v>1957.3300872387911</v>
      </c>
      <c r="AU115" s="396">
        <v>2200</v>
      </c>
      <c r="AV115" s="168">
        <v>2200</v>
      </c>
      <c r="AW115" s="168">
        <v>2200</v>
      </c>
      <c r="AX115" s="168">
        <v>2200</v>
      </c>
      <c r="AY115" s="255">
        <f>+AY119/AY111*1000000</f>
        <v>2200</v>
      </c>
      <c r="AZ115" s="168">
        <v>2500</v>
      </c>
      <c r="BA115" s="168">
        <v>2500</v>
      </c>
      <c r="BB115" s="168">
        <v>2500</v>
      </c>
      <c r="BC115" s="168">
        <v>2500</v>
      </c>
      <c r="BD115" s="255">
        <f>+BD119/BD111*1000000</f>
        <v>2500</v>
      </c>
      <c r="BE115" s="168">
        <v>3000</v>
      </c>
      <c r="BF115" s="168">
        <v>3000</v>
      </c>
      <c r="BG115" s="168">
        <v>3000</v>
      </c>
      <c r="BH115" s="168">
        <v>3000</v>
      </c>
      <c r="BI115" s="255">
        <f>+BI119/BI111*1000000</f>
        <v>3000</v>
      </c>
      <c r="BJ115" s="168">
        <v>3000</v>
      </c>
      <c r="BK115" s="168">
        <v>3000</v>
      </c>
      <c r="BL115" s="168">
        <v>3000</v>
      </c>
      <c r="BM115" s="168">
        <v>3000</v>
      </c>
      <c r="BN115" s="255">
        <f>+BN119/BN111*1000000</f>
        <v>3000</v>
      </c>
      <c r="BO115" s="168">
        <v>3000</v>
      </c>
      <c r="BP115" s="168">
        <v>3000</v>
      </c>
      <c r="BQ115" s="168">
        <v>3000</v>
      </c>
      <c r="BR115" s="168">
        <v>3000</v>
      </c>
      <c r="BS115" s="255">
        <f>+BS119/BS111*1000000</f>
        <v>3000</v>
      </c>
      <c r="BT115" s="168">
        <v>3000</v>
      </c>
      <c r="BU115" s="168">
        <v>3000</v>
      </c>
      <c r="BV115" s="168">
        <v>3000</v>
      </c>
      <c r="BW115" s="168">
        <v>3000</v>
      </c>
      <c r="BX115" s="255">
        <f>+BX119/BX111*1000000</f>
        <v>2999.9999999999995</v>
      </c>
      <c r="BY115" s="168">
        <v>3000</v>
      </c>
      <c r="BZ115" s="168">
        <v>3000</v>
      </c>
      <c r="CA115" s="168">
        <v>3000</v>
      </c>
      <c r="CB115" s="168">
        <v>3000</v>
      </c>
      <c r="CC115" s="255">
        <f>+CC119/CC111*1000000</f>
        <v>2999.9999999999995</v>
      </c>
      <c r="CD115" s="168">
        <v>3000</v>
      </c>
      <c r="CE115" s="168">
        <v>3000</v>
      </c>
      <c r="CF115" s="168">
        <v>3000</v>
      </c>
      <c r="CG115" s="168">
        <v>3000</v>
      </c>
      <c r="CH115" s="255">
        <f>+CH119/CH111*1000000</f>
        <v>3000</v>
      </c>
      <c r="CI115" s="168">
        <v>3000</v>
      </c>
      <c r="CJ115" s="168">
        <v>3000</v>
      </c>
      <c r="CK115" s="168">
        <v>3000</v>
      </c>
      <c r="CL115" s="168">
        <v>3000</v>
      </c>
      <c r="CM115" s="255">
        <f>+CM119/CM111*1000000</f>
        <v>3000</v>
      </c>
    </row>
    <row r="116" spans="1:93">
      <c r="A116" s="165" t="s">
        <v>291</v>
      </c>
      <c r="B116" s="232" t="s">
        <v>294</v>
      </c>
      <c r="C116" s="232" t="s">
        <v>294</v>
      </c>
      <c r="D116" s="232" t="s">
        <v>294</v>
      </c>
      <c r="E116" s="232" t="s">
        <v>294</v>
      </c>
      <c r="F116" s="239" t="s">
        <v>294</v>
      </c>
      <c r="G116" s="232" t="s">
        <v>294</v>
      </c>
      <c r="H116" s="232" t="s">
        <v>294</v>
      </c>
      <c r="I116" s="232" t="s">
        <v>294</v>
      </c>
      <c r="J116" s="232" t="s">
        <v>294</v>
      </c>
      <c r="K116" s="239" t="s">
        <v>294</v>
      </c>
      <c r="L116" s="232" t="s">
        <v>294</v>
      </c>
      <c r="M116" s="232" t="s">
        <v>294</v>
      </c>
      <c r="N116" s="232" t="s">
        <v>294</v>
      </c>
      <c r="O116" s="232" t="s">
        <v>294</v>
      </c>
      <c r="P116" s="239" t="s">
        <v>294</v>
      </c>
      <c r="Q116" s="232" t="s">
        <v>294</v>
      </c>
      <c r="R116" s="232" t="s">
        <v>294</v>
      </c>
      <c r="S116" s="232" t="s">
        <v>294</v>
      </c>
      <c r="T116" s="232" t="s">
        <v>294</v>
      </c>
      <c r="U116" s="239" t="s">
        <v>294</v>
      </c>
      <c r="V116" s="232" t="s">
        <v>294</v>
      </c>
      <c r="W116" s="232" t="s">
        <v>294</v>
      </c>
      <c r="X116" s="232" t="s">
        <v>294</v>
      </c>
      <c r="Y116" s="232" t="s">
        <v>294</v>
      </c>
      <c r="Z116" s="239" t="s">
        <v>294</v>
      </c>
      <c r="AA116" s="157" t="s">
        <v>294</v>
      </c>
      <c r="AB116" s="157" t="s">
        <v>294</v>
      </c>
      <c r="AC116" s="157" t="s">
        <v>294</v>
      </c>
      <c r="AD116" s="157" t="s">
        <v>294</v>
      </c>
      <c r="AE116" s="257" t="s">
        <v>294</v>
      </c>
      <c r="AF116" s="19">
        <f t="shared" ref="AF116" si="2398">+AF115/AA115-1</f>
        <v>0.65384615384615374</v>
      </c>
      <c r="AG116" s="19">
        <f t="shared" ref="AG116" si="2399">+AG115/AB115-1</f>
        <v>0.44661458333333326</v>
      </c>
      <c r="AH116" s="19">
        <f t="shared" ref="AH116" si="2400">+AH115/AC115-1</f>
        <v>0.23809523809523814</v>
      </c>
      <c r="AI116" s="19">
        <f t="shared" ref="AI116" si="2401">+AI115/AD115-1</f>
        <v>0.16727272727272724</v>
      </c>
      <c r="AJ116" s="259">
        <f t="shared" ref="AJ116" si="2402">+AJ115/AE115-1</f>
        <v>0.26677400875064694</v>
      </c>
      <c r="AK116" s="19">
        <f t="shared" ref="AK116" si="2403">+AK115/AF115-1</f>
        <v>0.30232558139534893</v>
      </c>
      <c r="AL116" s="19">
        <f t="shared" ref="AL116" si="2404">+AL115/AG115-1</f>
        <v>0.35013501350135012</v>
      </c>
      <c r="AM116" s="19">
        <f t="shared" ref="AM116" si="2405">+AM115/AH115-1</f>
        <v>0.15384615384615374</v>
      </c>
      <c r="AN116" s="19">
        <f t="shared" ref="AN116" si="2406">+AN115/AI115-1</f>
        <v>0.20716510903426788</v>
      </c>
      <c r="AO116" s="259">
        <f t="shared" ref="AO116" si="2407">+AO115/AJ115-1</f>
        <v>0.23859833021758359</v>
      </c>
      <c r="AP116" s="19">
        <f t="shared" ref="AP116" si="2408">+AP115/AK115-1</f>
        <v>0.23571428571428577</v>
      </c>
      <c r="AQ116" s="19">
        <f t="shared" ref="AQ116" si="2409">+AQ115/AL115-1</f>
        <v>0.33666666666666667</v>
      </c>
      <c r="AR116" s="19">
        <f t="shared" ref="AR116" si="2410">+AR115/AM115-1</f>
        <v>0.33333333333333326</v>
      </c>
      <c r="AS116" s="19">
        <f t="shared" ref="AS116" si="2411">+AS115/AN115-1</f>
        <v>0.32258064516129026</v>
      </c>
      <c r="AT116" s="259">
        <f t="shared" ref="AT116" si="2412">+AT115/AO115-1</f>
        <v>0.30878737317414839</v>
      </c>
      <c r="AU116" s="379">
        <f t="shared" ref="AU116" si="2413">+AU115/AP115-1</f>
        <v>0.27167630057803471</v>
      </c>
      <c r="AV116" s="19">
        <f t="shared" ref="AV116" si="2414">+AV115/AQ115-1</f>
        <v>9.7256857855361645E-2</v>
      </c>
      <c r="AW116" s="19">
        <f t="shared" ref="AW116" si="2415">+AW115/AR115-1</f>
        <v>0.10000000000000009</v>
      </c>
      <c r="AX116" s="19">
        <f t="shared" ref="AX116" si="2416">+AX115/AS115-1</f>
        <v>7.3170731707317138E-2</v>
      </c>
      <c r="AY116" s="259">
        <f t="shared" ref="AY116" si="2417">+AY115/AT115-1</f>
        <v>0.12398006567381992</v>
      </c>
      <c r="AZ116" s="19">
        <f t="shared" ref="AZ116" si="2418">+AZ115/AU115-1</f>
        <v>0.13636363636363646</v>
      </c>
      <c r="BA116" s="19">
        <f t="shared" ref="BA116" si="2419">+BA115/AV115-1</f>
        <v>0.13636363636363646</v>
      </c>
      <c r="BB116" s="19">
        <f t="shared" ref="BB116" si="2420">+BB115/AW115-1</f>
        <v>0.13636363636363646</v>
      </c>
      <c r="BC116" s="19">
        <f t="shared" ref="BC116" si="2421">+BC115/AX115-1</f>
        <v>0.13636363636363646</v>
      </c>
      <c r="BD116" s="259">
        <f t="shared" ref="BD116" si="2422">+BD115/AY115-1</f>
        <v>0.13636363636363646</v>
      </c>
      <c r="BE116" s="19">
        <f t="shared" ref="BE116" si="2423">+BE115/AZ115-1</f>
        <v>0.19999999999999996</v>
      </c>
      <c r="BF116" s="19">
        <f t="shared" ref="BF116" si="2424">+BF115/BA115-1</f>
        <v>0.19999999999999996</v>
      </c>
      <c r="BG116" s="19">
        <f t="shared" ref="BG116" si="2425">+BG115/BB115-1</f>
        <v>0.19999999999999996</v>
      </c>
      <c r="BH116" s="19">
        <f t="shared" ref="BH116" si="2426">+BH115/BC115-1</f>
        <v>0.19999999999999996</v>
      </c>
      <c r="BI116" s="259">
        <f t="shared" ref="BI116" si="2427">+BI115/BD115-1</f>
        <v>0.19999999999999996</v>
      </c>
      <c r="BJ116" s="19">
        <f t="shared" ref="BJ116" si="2428">+BJ115/BE115-1</f>
        <v>0</v>
      </c>
      <c r="BK116" s="19">
        <f t="shared" ref="BK116" si="2429">+BK115/BF115-1</f>
        <v>0</v>
      </c>
      <c r="BL116" s="19">
        <f t="shared" ref="BL116" si="2430">+BL115/BG115-1</f>
        <v>0</v>
      </c>
      <c r="BM116" s="19">
        <f t="shared" ref="BM116" si="2431">+BM115/BH115-1</f>
        <v>0</v>
      </c>
      <c r="BN116" s="259">
        <f t="shared" ref="BN116" si="2432">+BN115/BI115-1</f>
        <v>0</v>
      </c>
      <c r="BO116" s="19">
        <f t="shared" ref="BO116" si="2433">+BO115/BJ115-1</f>
        <v>0</v>
      </c>
      <c r="BP116" s="19">
        <f t="shared" ref="BP116" si="2434">+BP115/BK115-1</f>
        <v>0</v>
      </c>
      <c r="BQ116" s="19">
        <f t="shared" ref="BQ116" si="2435">+BQ115/BL115-1</f>
        <v>0</v>
      </c>
      <c r="BR116" s="19">
        <f t="shared" ref="BR116" si="2436">+BR115/BM115-1</f>
        <v>0</v>
      </c>
      <c r="BS116" s="259">
        <f t="shared" ref="BS116" si="2437">+BS115/BN115-1</f>
        <v>0</v>
      </c>
      <c r="BT116" s="19">
        <f t="shared" ref="BT116" si="2438">+BT115/BO115-1</f>
        <v>0</v>
      </c>
      <c r="BU116" s="19">
        <f t="shared" ref="BU116" si="2439">+BU115/BP115-1</f>
        <v>0</v>
      </c>
      <c r="BV116" s="19">
        <f t="shared" ref="BV116" si="2440">+BV115/BQ115-1</f>
        <v>0</v>
      </c>
      <c r="BW116" s="19">
        <f t="shared" ref="BW116" si="2441">+BW115/BR115-1</f>
        <v>0</v>
      </c>
      <c r="BX116" s="259">
        <f t="shared" ref="BX116" si="2442">+BX115/BS115-1</f>
        <v>0</v>
      </c>
      <c r="BY116" s="19">
        <f t="shared" ref="BY116" si="2443">+BY115/BT115-1</f>
        <v>0</v>
      </c>
      <c r="BZ116" s="19">
        <f t="shared" ref="BZ116" si="2444">+BZ115/BU115-1</f>
        <v>0</v>
      </c>
      <c r="CA116" s="19">
        <f t="shared" ref="CA116" si="2445">+CA115/BV115-1</f>
        <v>0</v>
      </c>
      <c r="CB116" s="19">
        <f t="shared" ref="CB116" si="2446">+CB115/BW115-1</f>
        <v>0</v>
      </c>
      <c r="CC116" s="259">
        <f t="shared" ref="CC116" si="2447">+CC115/BX115-1</f>
        <v>0</v>
      </c>
      <c r="CD116" s="19">
        <f t="shared" ref="CD116" si="2448">+CD115/BY115-1</f>
        <v>0</v>
      </c>
      <c r="CE116" s="19">
        <f t="shared" ref="CE116" si="2449">+CE115/BZ115-1</f>
        <v>0</v>
      </c>
      <c r="CF116" s="19">
        <f t="shared" ref="CF116" si="2450">+CF115/CA115-1</f>
        <v>0</v>
      </c>
      <c r="CG116" s="19">
        <f t="shared" ref="CG116" si="2451">+CG115/CB115-1</f>
        <v>0</v>
      </c>
      <c r="CH116" s="259">
        <f t="shared" ref="CH116" si="2452">+CH115/CC115-1</f>
        <v>0</v>
      </c>
      <c r="CI116" s="19">
        <f t="shared" ref="CI116" si="2453">+CI115/CD115-1</f>
        <v>0</v>
      </c>
      <c r="CJ116" s="19">
        <f t="shared" ref="CJ116" si="2454">+CJ115/CE115-1</f>
        <v>0</v>
      </c>
      <c r="CK116" s="19">
        <f t="shared" ref="CK116" si="2455">+CK115/CF115-1</f>
        <v>0</v>
      </c>
      <c r="CL116" s="19">
        <f t="shared" ref="CL116" si="2456">+CL115/CG115-1</f>
        <v>0</v>
      </c>
      <c r="CM116" s="259">
        <f t="shared" ref="CM116" si="2457">+CM115/CH115-1</f>
        <v>0</v>
      </c>
    </row>
    <row r="117" spans="1:93">
      <c r="A117" s="139" t="s">
        <v>292</v>
      </c>
      <c r="B117" s="232" t="s">
        <v>294</v>
      </c>
      <c r="C117" s="232" t="s">
        <v>294</v>
      </c>
      <c r="D117" s="232" t="s">
        <v>294</v>
      </c>
      <c r="E117" s="232" t="s">
        <v>294</v>
      </c>
      <c r="F117" s="239" t="s">
        <v>294</v>
      </c>
      <c r="G117" s="232" t="s">
        <v>294</v>
      </c>
      <c r="H117" s="232" t="s">
        <v>294</v>
      </c>
      <c r="I117" s="232" t="s">
        <v>294</v>
      </c>
      <c r="J117" s="232" t="s">
        <v>294</v>
      </c>
      <c r="K117" s="239" t="s">
        <v>294</v>
      </c>
      <c r="L117" s="232" t="s">
        <v>294</v>
      </c>
      <c r="M117" s="232" t="s">
        <v>294</v>
      </c>
      <c r="N117" s="232" t="s">
        <v>294</v>
      </c>
      <c r="O117" s="232" t="s">
        <v>294</v>
      </c>
      <c r="P117" s="239" t="s">
        <v>294</v>
      </c>
      <c r="Q117" s="232" t="s">
        <v>294</v>
      </c>
      <c r="R117" s="232" t="s">
        <v>294</v>
      </c>
      <c r="S117" s="232" t="s">
        <v>294</v>
      </c>
      <c r="T117" s="232" t="s">
        <v>294</v>
      </c>
      <c r="U117" s="239" t="s">
        <v>294</v>
      </c>
      <c r="V117" s="232" t="s">
        <v>294</v>
      </c>
      <c r="W117" s="232" t="s">
        <v>294</v>
      </c>
      <c r="X117" s="232" t="s">
        <v>294</v>
      </c>
      <c r="Y117" s="232" t="s">
        <v>294</v>
      </c>
      <c r="Z117" s="239" t="s">
        <v>294</v>
      </c>
      <c r="AA117" s="147" t="s">
        <v>294</v>
      </c>
      <c r="AB117" s="19">
        <f>+AB115/AA115-1</f>
        <v>0.18153846153846165</v>
      </c>
      <c r="AC117" s="19">
        <f>+AC115/AB115-1</f>
        <v>0.3671875</v>
      </c>
      <c r="AD117" s="19">
        <f>+AD115/AC115-1</f>
        <v>4.7619047619047672E-2</v>
      </c>
      <c r="AE117" s="251" t="s">
        <v>294</v>
      </c>
      <c r="AF117" s="19">
        <f>+AF115/AD115-1</f>
        <v>-2.2727272727272707E-2</v>
      </c>
      <c r="AG117" s="19">
        <f>+AG115/AF115-1</f>
        <v>3.3488372093023244E-2</v>
      </c>
      <c r="AH117" s="19">
        <f>+AH115/AG115-1</f>
        <v>0.17011701170117011</v>
      </c>
      <c r="AI117" s="19">
        <f>+AI115/AH115-1</f>
        <v>-1.2307692307692353E-2</v>
      </c>
      <c r="AJ117" s="251" t="s">
        <v>294</v>
      </c>
      <c r="AK117" s="19">
        <f>+AK115/AI115-1</f>
        <v>9.0342679127725756E-2</v>
      </c>
      <c r="AL117" s="19">
        <f>+AL115/AK115-1</f>
        <v>7.1428571428571397E-2</v>
      </c>
      <c r="AM117" s="19">
        <f>+AM115/AL115-1</f>
        <v>0</v>
      </c>
      <c r="AN117" s="19">
        <f>+AN115/AM115-1</f>
        <v>3.3333333333333437E-2</v>
      </c>
      <c r="AO117" s="251" t="s">
        <v>294</v>
      </c>
      <c r="AP117" s="19">
        <f>+AP115/AN115-1</f>
        <v>0.11612903225806459</v>
      </c>
      <c r="AQ117" s="19">
        <f>+AQ115/AP115-1</f>
        <v>0.15895953757225434</v>
      </c>
      <c r="AR117" s="19">
        <f>+AR115/AQ115-1</f>
        <v>-2.4937655860348684E-3</v>
      </c>
      <c r="AS117" s="19">
        <f>+AS115/AR115-1</f>
        <v>2.4999999999999911E-2</v>
      </c>
      <c r="AT117" s="251" t="s">
        <v>294</v>
      </c>
      <c r="AU117" s="379">
        <f>+AU115/AS115-1</f>
        <v>7.3170731707317138E-2</v>
      </c>
      <c r="AV117" s="19">
        <f>+AV115/AU115-1</f>
        <v>0</v>
      </c>
      <c r="AW117" s="19">
        <f>+AW115/AV115-1</f>
        <v>0</v>
      </c>
      <c r="AX117" s="19">
        <f>+AX115/AW115-1</f>
        <v>0</v>
      </c>
      <c r="AY117" s="251" t="s">
        <v>294</v>
      </c>
      <c r="AZ117" s="19">
        <f>+AZ115/AX115-1</f>
        <v>0.13636363636363646</v>
      </c>
      <c r="BA117" s="19">
        <f>+BA115/AZ115-1</f>
        <v>0</v>
      </c>
      <c r="BB117" s="19">
        <f>+BB115/BA115-1</f>
        <v>0</v>
      </c>
      <c r="BC117" s="19">
        <f>+BC115/BB115-1</f>
        <v>0</v>
      </c>
      <c r="BD117" s="251" t="s">
        <v>294</v>
      </c>
      <c r="BE117" s="19">
        <f>+BE115/BC115-1</f>
        <v>0.19999999999999996</v>
      </c>
      <c r="BF117" s="19">
        <f>+BF115/BE115-1</f>
        <v>0</v>
      </c>
      <c r="BG117" s="19">
        <f>+BG115/BF115-1</f>
        <v>0</v>
      </c>
      <c r="BH117" s="19">
        <f>+BH115/BG115-1</f>
        <v>0</v>
      </c>
      <c r="BI117" s="251" t="s">
        <v>294</v>
      </c>
      <c r="BJ117" s="19">
        <f>+BJ115/BH115-1</f>
        <v>0</v>
      </c>
      <c r="BK117" s="19">
        <f>+BK115/BJ115-1</f>
        <v>0</v>
      </c>
      <c r="BL117" s="19">
        <f>+BL115/BK115-1</f>
        <v>0</v>
      </c>
      <c r="BM117" s="19">
        <f>+BM115/BL115-1</f>
        <v>0</v>
      </c>
      <c r="BN117" s="251" t="s">
        <v>294</v>
      </c>
      <c r="BO117" s="19">
        <f>+BO115/BM115-1</f>
        <v>0</v>
      </c>
      <c r="BP117" s="19">
        <f>+BP115/BO115-1</f>
        <v>0</v>
      </c>
      <c r="BQ117" s="19">
        <f>+BQ115/BP115-1</f>
        <v>0</v>
      </c>
      <c r="BR117" s="19">
        <f>+BR115/BQ115-1</f>
        <v>0</v>
      </c>
      <c r="BS117" s="251" t="s">
        <v>294</v>
      </c>
      <c r="BT117" s="19">
        <f>+BT115/BR115-1</f>
        <v>0</v>
      </c>
      <c r="BU117" s="19">
        <f>+BU115/BT115-1</f>
        <v>0</v>
      </c>
      <c r="BV117" s="19">
        <f>+BV115/BU115-1</f>
        <v>0</v>
      </c>
      <c r="BW117" s="19">
        <f>+BW115/BV115-1</f>
        <v>0</v>
      </c>
      <c r="BX117" s="251" t="s">
        <v>294</v>
      </c>
      <c r="BY117" s="19">
        <f>+BY115/BW115-1</f>
        <v>0</v>
      </c>
      <c r="BZ117" s="19">
        <f>+BZ115/BY115-1</f>
        <v>0</v>
      </c>
      <c r="CA117" s="19">
        <f>+CA115/BZ115-1</f>
        <v>0</v>
      </c>
      <c r="CB117" s="19">
        <f>+CB115/CA115-1</f>
        <v>0</v>
      </c>
      <c r="CC117" s="251" t="s">
        <v>294</v>
      </c>
      <c r="CD117" s="19">
        <f>+CD115/CB115-1</f>
        <v>0</v>
      </c>
      <c r="CE117" s="19">
        <f>+CE115/CD115-1</f>
        <v>0</v>
      </c>
      <c r="CF117" s="19">
        <f>+CF115/CE115-1</f>
        <v>0</v>
      </c>
      <c r="CG117" s="19">
        <f>+CG115/CF115-1</f>
        <v>0</v>
      </c>
      <c r="CH117" s="251" t="s">
        <v>294</v>
      </c>
      <c r="CI117" s="19">
        <f>+CI115/CG115-1</f>
        <v>0</v>
      </c>
      <c r="CJ117" s="19">
        <f>+CJ115/CI115-1</f>
        <v>0</v>
      </c>
      <c r="CK117" s="19">
        <f>+CK115/CJ115-1</f>
        <v>0</v>
      </c>
      <c r="CL117" s="19">
        <f>+CL115/CK115-1</f>
        <v>0</v>
      </c>
      <c r="CM117" s="251" t="s">
        <v>294</v>
      </c>
    </row>
    <row r="118" spans="1:93">
      <c r="A118" s="139"/>
      <c r="F118" s="240"/>
      <c r="K118" s="240"/>
      <c r="P118" s="240"/>
      <c r="U118" s="240"/>
      <c r="Z118" s="240"/>
      <c r="AA118" s="155"/>
      <c r="AB118" s="155"/>
      <c r="AC118" s="155"/>
      <c r="AD118" s="155"/>
      <c r="AE118" s="256"/>
      <c r="AF118" s="155"/>
      <c r="AG118" s="155"/>
      <c r="AH118" s="155"/>
      <c r="AI118" s="155"/>
      <c r="AJ118" s="256"/>
      <c r="AK118" s="155"/>
      <c r="AL118" s="155"/>
      <c r="AM118" s="155"/>
      <c r="AN118" s="155"/>
      <c r="AO118" s="256"/>
      <c r="AP118" s="155"/>
      <c r="AQ118" s="155"/>
      <c r="AR118" s="155"/>
      <c r="AS118" s="155"/>
      <c r="AT118" s="256"/>
      <c r="AU118" s="397"/>
      <c r="AV118" s="155"/>
      <c r="AW118" s="155"/>
      <c r="AX118" s="155"/>
      <c r="AY118" s="256"/>
      <c r="AZ118" s="155"/>
      <c r="BA118" s="155"/>
      <c r="BB118" s="155"/>
      <c r="BC118" s="155"/>
      <c r="BD118" s="256"/>
      <c r="BE118" s="155"/>
      <c r="BF118" s="155"/>
      <c r="BG118" s="155"/>
      <c r="BH118" s="155"/>
      <c r="BI118" s="256"/>
      <c r="BJ118" s="155"/>
      <c r="BK118" s="155"/>
      <c r="BL118" s="155"/>
      <c r="BM118" s="155"/>
      <c r="BN118" s="256"/>
      <c r="BO118" s="155"/>
      <c r="BP118" s="155"/>
      <c r="BQ118" s="155"/>
      <c r="BR118" s="155"/>
      <c r="BS118" s="256"/>
      <c r="BT118" s="155"/>
      <c r="BU118" s="155"/>
      <c r="BV118" s="155"/>
      <c r="BW118" s="155"/>
      <c r="BX118" s="256"/>
      <c r="BY118" s="155"/>
      <c r="BZ118" s="155"/>
      <c r="CA118" s="155"/>
      <c r="CB118" s="155"/>
      <c r="CC118" s="256"/>
      <c r="CD118" s="155"/>
      <c r="CE118" s="155"/>
      <c r="CF118" s="155"/>
      <c r="CG118" s="155"/>
      <c r="CH118" s="256"/>
      <c r="CI118" s="155"/>
      <c r="CJ118" s="155"/>
      <c r="CK118" s="155"/>
      <c r="CL118" s="155"/>
      <c r="CM118" s="256"/>
    </row>
    <row r="119" spans="1:93" s="170" customFormat="1">
      <c r="A119" s="170" t="s">
        <v>433</v>
      </c>
      <c r="B119" s="232" t="s">
        <v>294</v>
      </c>
      <c r="C119" s="232" t="s">
        <v>294</v>
      </c>
      <c r="D119" s="232" t="s">
        <v>294</v>
      </c>
      <c r="E119" s="232" t="s">
        <v>294</v>
      </c>
      <c r="F119" s="239" t="s">
        <v>294</v>
      </c>
      <c r="G119" s="232" t="s">
        <v>294</v>
      </c>
      <c r="H119" s="232" t="s">
        <v>294</v>
      </c>
      <c r="I119" s="232" t="s">
        <v>294</v>
      </c>
      <c r="J119" s="232" t="s">
        <v>294</v>
      </c>
      <c r="K119" s="239" t="s">
        <v>294</v>
      </c>
      <c r="L119" s="232" t="s">
        <v>294</v>
      </c>
      <c r="M119" s="232" t="s">
        <v>294</v>
      </c>
      <c r="N119" s="232" t="s">
        <v>294</v>
      </c>
      <c r="O119" s="232" t="s">
        <v>294</v>
      </c>
      <c r="P119" s="239" t="s">
        <v>294</v>
      </c>
      <c r="Q119" s="232" t="s">
        <v>294</v>
      </c>
      <c r="R119" s="232" t="s">
        <v>294</v>
      </c>
      <c r="S119" s="232" t="s">
        <v>294</v>
      </c>
      <c r="T119" s="232" t="s">
        <v>294</v>
      </c>
      <c r="U119" s="239" t="s">
        <v>294</v>
      </c>
      <c r="V119" s="232" t="s">
        <v>294</v>
      </c>
      <c r="W119" s="232" t="s">
        <v>294</v>
      </c>
      <c r="X119" s="232" t="s">
        <v>294</v>
      </c>
      <c r="Y119" s="232" t="s">
        <v>294</v>
      </c>
      <c r="Z119" s="239" t="s">
        <v>294</v>
      </c>
      <c r="AA119" s="170">
        <f>+AA111*AA115/1000000</f>
        <v>0.2223</v>
      </c>
      <c r="AB119" s="170">
        <f>+AB111*AB115/1000000</f>
        <v>0.31257600000000002</v>
      </c>
      <c r="AC119" s="170">
        <f>+AC111*AC115/1000000</f>
        <v>0.54495000000000005</v>
      </c>
      <c r="AD119" s="170">
        <f>+AD111*AD115/1000000</f>
        <v>0.9647</v>
      </c>
      <c r="AE119" s="253">
        <f>+AA119+AB119+AC119+AD119</f>
        <v>2.0445260000000003</v>
      </c>
      <c r="AF119" s="170">
        <f>+AF111*AF115/1000000</f>
        <v>1.073925</v>
      </c>
      <c r="AG119" s="170">
        <f>+AG111*AG115/1000000</f>
        <v>1.2732060000000001</v>
      </c>
      <c r="AH119" s="170">
        <f>+AH111*AH115/1000000</f>
        <v>1.8134999999999999</v>
      </c>
      <c r="AI119" s="170">
        <f>+AI111*AI115/1000000</f>
        <v>1.9067400000000001</v>
      </c>
      <c r="AJ119" s="253">
        <f>+AF119+AG119+AH119+AI119</f>
        <v>6.0673710000000005</v>
      </c>
      <c r="AK119" s="170">
        <f>+AK111*AK115/1000000</f>
        <v>2.7440000000000002</v>
      </c>
      <c r="AL119" s="170">
        <f>+AL111*AL115/1000000</f>
        <v>3.5625</v>
      </c>
      <c r="AM119" s="170">
        <f>+AM111*AM115/1000000</f>
        <v>3.9750000000000001</v>
      </c>
      <c r="AN119" s="170">
        <f>+AN111*AN115/1000000</f>
        <v>4.6887499999999998</v>
      </c>
      <c r="AO119" s="253">
        <f>+AK119+AL119+AM119+AN119</f>
        <v>14.97025</v>
      </c>
      <c r="AP119" s="170">
        <f>+AP111*AP115/1000000</f>
        <v>5.5498399999999997</v>
      </c>
      <c r="AQ119" s="170">
        <f>+AQ111*AQ115/1000000</f>
        <v>7.0175000000000001</v>
      </c>
      <c r="AR119" s="170">
        <f>+AR111*AR115/1000000</f>
        <v>7.45</v>
      </c>
      <c r="AS119" s="170">
        <f>+AS111*AS115/1000000</f>
        <v>8.9257000000000009</v>
      </c>
      <c r="AT119" s="253">
        <f>+AP119+AQ119+AR119+AS119</f>
        <v>28.943040000000003</v>
      </c>
      <c r="AU119" s="356">
        <f>+AU111*AU115/1000000</f>
        <v>10.051144131953375</v>
      </c>
      <c r="AV119" s="170">
        <f>+AV111*AV115/1000000</f>
        <v>10.533349207165509</v>
      </c>
      <c r="AW119" s="170">
        <f>+AW111*AW115/1000000</f>
        <v>10.509225590550447</v>
      </c>
      <c r="AX119" s="170">
        <f>+AX111*AX115/1000000</f>
        <v>11.778916860623207</v>
      </c>
      <c r="AY119" s="253">
        <f>+AU119+AV119+AW119+AX119</f>
        <v>42.872635790292541</v>
      </c>
      <c r="AZ119" s="170">
        <f>+AZ111*AZ115/1000000</f>
        <v>14.046745368480545</v>
      </c>
      <c r="BA119" s="170">
        <f>+BA111*BA115/1000000</f>
        <v>14.609373721822237</v>
      </c>
      <c r="BB119" s="170">
        <f>+BB111*BB115/1000000</f>
        <v>14.201159483298252</v>
      </c>
      <c r="BC119" s="170">
        <f>+BC111*BC115/1000000</f>
        <v>15.768453707977741</v>
      </c>
      <c r="BD119" s="253">
        <f>+AZ119+BA119+BB119+BC119</f>
        <v>58.625732281578777</v>
      </c>
      <c r="BE119" s="170">
        <f>+BE111*BE115/1000000</f>
        <v>19.797112922838625</v>
      </c>
      <c r="BF119" s="170">
        <f>+BF111*BF115/1000000</f>
        <v>20.530007946157316</v>
      </c>
      <c r="BG119" s="170">
        <f>+BG111*BG115/1000000</f>
        <v>19.900426499998449</v>
      </c>
      <c r="BH119" s="170">
        <f>+BH111*BH115/1000000</f>
        <v>22.037153856469931</v>
      </c>
      <c r="BI119" s="253">
        <f>+BE119+BF119+BG119+BH119</f>
        <v>82.264701225464322</v>
      </c>
      <c r="BJ119" s="170">
        <f>+BJ111*BJ115/1000000</f>
        <v>22.766679861264418</v>
      </c>
      <c r="BK119" s="170">
        <f>+BK111*BK115/1000000</f>
        <v>23.609509138080906</v>
      </c>
      <c r="BL119" s="170">
        <f>+BL111*BL115/1000000</f>
        <v>22.885490474998218</v>
      </c>
      <c r="BM119" s="170">
        <f>+BM111*BM115/1000000</f>
        <v>25.342726934940416</v>
      </c>
      <c r="BN119" s="253">
        <f>+BJ119+BK119+BL119+BM119</f>
        <v>94.604406409283953</v>
      </c>
      <c r="BO119" s="170">
        <f>+BO111*BO115/1000000</f>
        <v>26.181681840454083</v>
      </c>
      <c r="BP119" s="170">
        <f>+BP111*BP115/1000000</f>
        <v>27.15093550879304</v>
      </c>
      <c r="BQ119" s="170">
        <f>+BQ111*BQ115/1000000</f>
        <v>26.318314046247949</v>
      </c>
      <c r="BR119" s="170">
        <f>+BR111*BR115/1000000</f>
        <v>29.144135975181477</v>
      </c>
      <c r="BS119" s="253">
        <f>+BO119+BP119+BQ119+BR119</f>
        <v>108.79506737067655</v>
      </c>
      <c r="BT119" s="170">
        <f>+BT111*BT115/1000000</f>
        <v>30.108934116522192</v>
      </c>
      <c r="BU119" s="170">
        <f>+BU111*BU115/1000000</f>
        <v>31.223575835111994</v>
      </c>
      <c r="BV119" s="170">
        <f>+BV111*BV115/1000000</f>
        <v>30.266061153185142</v>
      </c>
      <c r="BW119" s="170">
        <f>+BW111*BW115/1000000</f>
        <v>33.515756371458693</v>
      </c>
      <c r="BX119" s="253">
        <f>+BT119+BU119+BV119+BW119</f>
        <v>125.11432747627802</v>
      </c>
      <c r="BY119" s="170">
        <f>+BY111*BY115/1000000</f>
        <v>34.324184892835305</v>
      </c>
      <c r="BZ119" s="170">
        <f>+BZ111*BZ115/1000000</f>
        <v>35.59487645202767</v>
      </c>
      <c r="CA119" s="170">
        <f>+CA111*CA115/1000000</f>
        <v>34.503309714631065</v>
      </c>
      <c r="CB119" s="170">
        <f>+CB111*CB115/1000000</f>
        <v>38.207962263462917</v>
      </c>
      <c r="CC119" s="253">
        <f>+BY119+BZ119+CA119+CB119</f>
        <v>142.63033332295694</v>
      </c>
      <c r="CD119" s="170">
        <f>+CD111*CD115/1000000</f>
        <v>38.786328928903892</v>
      </c>
      <c r="CE119" s="170">
        <f>+CE111*CE115/1000000</f>
        <v>40.222210390791268</v>
      </c>
      <c r="CF119" s="170">
        <f>+CF111*CF115/1000000</f>
        <v>38.988739977533093</v>
      </c>
      <c r="CG119" s="170">
        <f>+CG111*CG115/1000000</f>
        <v>43.174997357713096</v>
      </c>
      <c r="CH119" s="253">
        <f>+CD119+CE119+CF119+CG119</f>
        <v>161.17227665494136</v>
      </c>
      <c r="CI119" s="170">
        <f>+CI111*CI115/1000000</f>
        <v>43.440688400372366</v>
      </c>
      <c r="CJ119" s="170">
        <f>+CJ111*CJ115/1000000</f>
        <v>45.048875637686223</v>
      </c>
      <c r="CK119" s="170">
        <f>+CK111*CK115/1000000</f>
        <v>43.667388774837072</v>
      </c>
      <c r="CL119" s="170">
        <f>+CL111*CL115/1000000</f>
        <v>48.35599704063867</v>
      </c>
      <c r="CM119" s="253">
        <f>+CI119+CJ119+CK119+CL119</f>
        <v>180.51294985353434</v>
      </c>
    </row>
    <row r="120" spans="1:93">
      <c r="A120" s="139" t="s">
        <v>291</v>
      </c>
      <c r="B120" s="232" t="s">
        <v>294</v>
      </c>
      <c r="C120" s="232" t="s">
        <v>294</v>
      </c>
      <c r="D120" s="232" t="s">
        <v>294</v>
      </c>
      <c r="E120" s="232" t="s">
        <v>294</v>
      </c>
      <c r="F120" s="239" t="s">
        <v>294</v>
      </c>
      <c r="G120" s="232" t="s">
        <v>294</v>
      </c>
      <c r="H120" s="232" t="s">
        <v>294</v>
      </c>
      <c r="I120" s="232" t="s">
        <v>294</v>
      </c>
      <c r="J120" s="232" t="s">
        <v>294</v>
      </c>
      <c r="K120" s="239" t="s">
        <v>294</v>
      </c>
      <c r="L120" s="232" t="s">
        <v>294</v>
      </c>
      <c r="M120" s="232" t="s">
        <v>294</v>
      </c>
      <c r="N120" s="232" t="s">
        <v>294</v>
      </c>
      <c r="O120" s="232" t="s">
        <v>294</v>
      </c>
      <c r="P120" s="239" t="s">
        <v>294</v>
      </c>
      <c r="Q120" s="232" t="s">
        <v>294</v>
      </c>
      <c r="R120" s="232" t="s">
        <v>294</v>
      </c>
      <c r="S120" s="232" t="s">
        <v>294</v>
      </c>
      <c r="T120" s="232" t="s">
        <v>294</v>
      </c>
      <c r="U120" s="239" t="s">
        <v>294</v>
      </c>
      <c r="V120" s="232" t="s">
        <v>294</v>
      </c>
      <c r="W120" s="232" t="s">
        <v>294</v>
      </c>
      <c r="X120" s="232" t="s">
        <v>294</v>
      </c>
      <c r="Y120" s="232" t="s">
        <v>294</v>
      </c>
      <c r="Z120" s="239" t="s">
        <v>294</v>
      </c>
      <c r="AA120" s="157" t="s">
        <v>294</v>
      </c>
      <c r="AB120" s="157" t="s">
        <v>294</v>
      </c>
      <c r="AC120" s="157" t="s">
        <v>294</v>
      </c>
      <c r="AD120" s="157" t="s">
        <v>294</v>
      </c>
      <c r="AE120" s="257" t="s">
        <v>294</v>
      </c>
      <c r="AF120" s="19">
        <f t="shared" ref="AF120:BK120" si="2458">+AF119/AA119-1</f>
        <v>3.8309716599190287</v>
      </c>
      <c r="AG120" s="19">
        <f t="shared" si="2458"/>
        <v>3.0732685810810807</v>
      </c>
      <c r="AH120" s="19">
        <f t="shared" si="2458"/>
        <v>2.3278282411230382</v>
      </c>
      <c r="AI120" s="19">
        <f t="shared" si="2458"/>
        <v>0.97651083238312442</v>
      </c>
      <c r="AJ120" s="259">
        <f t="shared" si="2458"/>
        <v>1.9676174330871801</v>
      </c>
      <c r="AK120" s="19">
        <f t="shared" si="2458"/>
        <v>1.5551132527876717</v>
      </c>
      <c r="AL120" s="19">
        <f t="shared" si="2458"/>
        <v>1.7980546745774051</v>
      </c>
      <c r="AM120" s="19">
        <f t="shared" si="2458"/>
        <v>1.1918941273779984</v>
      </c>
      <c r="AN120" s="19">
        <f t="shared" si="2458"/>
        <v>1.4590400369216567</v>
      </c>
      <c r="AO120" s="259">
        <f t="shared" si="2458"/>
        <v>1.467337171239405</v>
      </c>
      <c r="AP120" s="19">
        <f t="shared" si="2458"/>
        <v>1.0225364431486876</v>
      </c>
      <c r="AQ120" s="19">
        <f t="shared" si="2458"/>
        <v>0.96982456140350881</v>
      </c>
      <c r="AR120" s="19">
        <f t="shared" si="2458"/>
        <v>0.87421383647798745</v>
      </c>
      <c r="AS120" s="19">
        <f t="shared" si="2458"/>
        <v>0.90364169554785412</v>
      </c>
      <c r="AT120" s="259">
        <f t="shared" si="2458"/>
        <v>0.93337051819441919</v>
      </c>
      <c r="AU120" s="379">
        <f t="shared" si="2458"/>
        <v>0.81106917171546855</v>
      </c>
      <c r="AV120" s="19">
        <f t="shared" si="2458"/>
        <v>0.50101164334385584</v>
      </c>
      <c r="AW120" s="19">
        <f t="shared" si="2458"/>
        <v>0.41063430745643581</v>
      </c>
      <c r="AX120" s="19">
        <f t="shared" si="2458"/>
        <v>0.31966309204019927</v>
      </c>
      <c r="AY120" s="259">
        <f t="shared" si="2458"/>
        <v>0.48127618212504752</v>
      </c>
      <c r="AZ120" s="19">
        <f t="shared" si="2458"/>
        <v>0.39752700628626347</v>
      </c>
      <c r="BA120" s="19">
        <f t="shared" si="2458"/>
        <v>0.38696376949925249</v>
      </c>
      <c r="BB120" s="19">
        <f t="shared" si="2458"/>
        <v>0.35130408619903175</v>
      </c>
      <c r="BC120" s="19">
        <f t="shared" si="2458"/>
        <v>0.3387015032503975</v>
      </c>
      <c r="BD120" s="259">
        <f t="shared" si="2458"/>
        <v>0.3674394214608363</v>
      </c>
      <c r="BE120" s="19">
        <f t="shared" si="2458"/>
        <v>0.40937365941446591</v>
      </c>
      <c r="BF120" s="19">
        <f t="shared" si="2458"/>
        <v>0.40526269894043021</v>
      </c>
      <c r="BG120" s="19">
        <f t="shared" si="2458"/>
        <v>0.40132406254594999</v>
      </c>
      <c r="BH120" s="19">
        <f t="shared" si="2458"/>
        <v>0.39754691643104256</v>
      </c>
      <c r="BI120" s="259">
        <f t="shared" si="2458"/>
        <v>0.403218314277898</v>
      </c>
      <c r="BJ120" s="19">
        <f t="shared" si="2458"/>
        <v>0.14999999999999991</v>
      </c>
      <c r="BK120" s="19">
        <f t="shared" si="2458"/>
        <v>0.14999999999999969</v>
      </c>
      <c r="BL120" s="19">
        <f t="shared" ref="BL120:CM120" si="2459">+BL119/BG119-1</f>
        <v>0.15000000000000013</v>
      </c>
      <c r="BM120" s="19">
        <f t="shared" si="2459"/>
        <v>0.14999999999999969</v>
      </c>
      <c r="BN120" s="259">
        <f t="shared" si="2459"/>
        <v>0.14999999999999991</v>
      </c>
      <c r="BO120" s="19">
        <f t="shared" si="2459"/>
        <v>0.15000000000000013</v>
      </c>
      <c r="BP120" s="19">
        <f t="shared" si="2459"/>
        <v>0.14999999999999991</v>
      </c>
      <c r="BQ120" s="19">
        <f t="shared" si="2459"/>
        <v>0.14999999999999991</v>
      </c>
      <c r="BR120" s="19">
        <f t="shared" si="2459"/>
        <v>0.14999999999999991</v>
      </c>
      <c r="BS120" s="259">
        <f t="shared" si="2459"/>
        <v>0.15000000000000013</v>
      </c>
      <c r="BT120" s="19">
        <f t="shared" si="2459"/>
        <v>0.14999999999999991</v>
      </c>
      <c r="BU120" s="19">
        <f t="shared" si="2459"/>
        <v>0.14999999999999991</v>
      </c>
      <c r="BV120" s="19">
        <f t="shared" si="2459"/>
        <v>0.15000000000000013</v>
      </c>
      <c r="BW120" s="19">
        <f t="shared" si="2459"/>
        <v>0.14999999999999969</v>
      </c>
      <c r="BX120" s="259">
        <f t="shared" si="2459"/>
        <v>0.14999999999999991</v>
      </c>
      <c r="BY120" s="19">
        <f t="shared" si="2459"/>
        <v>0.14000000000000012</v>
      </c>
      <c r="BZ120" s="19">
        <f t="shared" si="2459"/>
        <v>0.1399999999999999</v>
      </c>
      <c r="CA120" s="19">
        <f t="shared" si="2459"/>
        <v>0.14000000000000012</v>
      </c>
      <c r="CB120" s="19">
        <f t="shared" si="2459"/>
        <v>0.14000000000000012</v>
      </c>
      <c r="CC120" s="259">
        <f t="shared" si="2459"/>
        <v>0.1399999999999999</v>
      </c>
      <c r="CD120" s="19">
        <f t="shared" si="2459"/>
        <v>0.12999999999999989</v>
      </c>
      <c r="CE120" s="19">
        <f t="shared" si="2459"/>
        <v>0.13000000000000012</v>
      </c>
      <c r="CF120" s="19">
        <f t="shared" si="2459"/>
        <v>0.12999999999999967</v>
      </c>
      <c r="CG120" s="19">
        <f t="shared" si="2459"/>
        <v>0.12999999999999989</v>
      </c>
      <c r="CH120" s="259">
        <f t="shared" si="2459"/>
        <v>0.13000000000000012</v>
      </c>
      <c r="CI120" s="19">
        <f t="shared" si="2459"/>
        <v>0.12000000000000011</v>
      </c>
      <c r="CJ120" s="19">
        <f t="shared" si="2459"/>
        <v>0.12000000000000011</v>
      </c>
      <c r="CK120" s="19">
        <f t="shared" si="2459"/>
        <v>0.12000000000000011</v>
      </c>
      <c r="CL120" s="19">
        <f t="shared" si="2459"/>
        <v>0.12000000000000011</v>
      </c>
      <c r="CM120" s="259">
        <f t="shared" si="2459"/>
        <v>0.12000000000000011</v>
      </c>
    </row>
    <row r="121" spans="1:93">
      <c r="A121" s="139" t="s">
        <v>292</v>
      </c>
      <c r="B121" s="232" t="s">
        <v>294</v>
      </c>
      <c r="C121" s="232" t="s">
        <v>294</v>
      </c>
      <c r="D121" s="232" t="s">
        <v>294</v>
      </c>
      <c r="E121" s="232" t="s">
        <v>294</v>
      </c>
      <c r="F121" s="239" t="s">
        <v>294</v>
      </c>
      <c r="G121" s="232" t="s">
        <v>294</v>
      </c>
      <c r="H121" s="232" t="s">
        <v>294</v>
      </c>
      <c r="I121" s="232" t="s">
        <v>294</v>
      </c>
      <c r="J121" s="232" t="s">
        <v>294</v>
      </c>
      <c r="K121" s="239" t="s">
        <v>294</v>
      </c>
      <c r="L121" s="232" t="s">
        <v>294</v>
      </c>
      <c r="M121" s="232" t="s">
        <v>294</v>
      </c>
      <c r="N121" s="232" t="s">
        <v>294</v>
      </c>
      <c r="O121" s="232" t="s">
        <v>294</v>
      </c>
      <c r="P121" s="239" t="s">
        <v>294</v>
      </c>
      <c r="Q121" s="232" t="s">
        <v>294</v>
      </c>
      <c r="R121" s="232" t="s">
        <v>294</v>
      </c>
      <c r="S121" s="232" t="s">
        <v>294</v>
      </c>
      <c r="T121" s="232" t="s">
        <v>294</v>
      </c>
      <c r="U121" s="239" t="s">
        <v>294</v>
      </c>
      <c r="V121" s="232" t="s">
        <v>294</v>
      </c>
      <c r="W121" s="232" t="s">
        <v>294</v>
      </c>
      <c r="X121" s="232" t="s">
        <v>294</v>
      </c>
      <c r="Y121" s="232" t="s">
        <v>294</v>
      </c>
      <c r="Z121" s="239" t="s">
        <v>294</v>
      </c>
      <c r="AA121" s="147" t="s">
        <v>294</v>
      </c>
      <c r="AB121" s="19">
        <f>+AB119/AA119-1</f>
        <v>0.40609986504723361</v>
      </c>
      <c r="AC121" s="19">
        <f>+AC119/AB119-1</f>
        <v>0.74341600122850116</v>
      </c>
      <c r="AD121" s="19">
        <f>+AD119/AC119-1</f>
        <v>0.77025415175704182</v>
      </c>
      <c r="AE121" s="251" t="s">
        <v>294</v>
      </c>
      <c r="AF121" s="19">
        <f>+AF119/AD119-1</f>
        <v>0.1132217269617497</v>
      </c>
      <c r="AG121" s="19">
        <f>+AG119/AF119-1</f>
        <v>0.18556323765626104</v>
      </c>
      <c r="AH121" s="19">
        <f>+AH119/AG119-1</f>
        <v>0.42435709539540323</v>
      </c>
      <c r="AI121" s="19">
        <f>+AI119/AH119-1</f>
        <v>5.141439205955356E-2</v>
      </c>
      <c r="AJ121" s="251" t="s">
        <v>294</v>
      </c>
      <c r="AK121" s="19">
        <f>+AK119/AI119-1</f>
        <v>0.43910548894972568</v>
      </c>
      <c r="AL121" s="19">
        <f>+AL119/AK119-1</f>
        <v>0.29828717201166177</v>
      </c>
      <c r="AM121" s="19">
        <f>+AM119/AL119-1</f>
        <v>0.11578947368421044</v>
      </c>
      <c r="AN121" s="19">
        <f>+AN119/AM119-1</f>
        <v>0.17955974842767297</v>
      </c>
      <c r="AO121" s="251" t="s">
        <v>294</v>
      </c>
      <c r="AP121" s="19">
        <f>+AP119/AN119-1</f>
        <v>0.18365022660623831</v>
      </c>
      <c r="AQ121" s="19">
        <f>+AQ119/AP119-1</f>
        <v>0.26445086705202314</v>
      </c>
      <c r="AR121" s="19">
        <f>+AR119/AQ119-1</f>
        <v>6.1631635197719969E-2</v>
      </c>
      <c r="AS121" s="19">
        <f>+AS119/AR119-1</f>
        <v>0.19808053691275185</v>
      </c>
      <c r="AT121" s="251" t="s">
        <v>294</v>
      </c>
      <c r="AU121" s="379">
        <f>+AU119/AS119-1</f>
        <v>0.12609029341714084</v>
      </c>
      <c r="AV121" s="19">
        <f>+AV119/AU119-1</f>
        <v>4.7975142817738181E-2</v>
      </c>
      <c r="AW121" s="19">
        <f>+AW119/AV119-1</f>
        <v>-2.2902133158797522E-3</v>
      </c>
      <c r="AX121" s="19">
        <f>+AX119/AW119-1</f>
        <v>0.12081682509645852</v>
      </c>
      <c r="AY121" s="251" t="s">
        <v>294</v>
      </c>
      <c r="AZ121" s="19">
        <f>+AZ119/AX119-1</f>
        <v>0.19253285634765493</v>
      </c>
      <c r="BA121" s="19">
        <f>+BA119/AZ119-1</f>
        <v>4.0054001021772034E-2</v>
      </c>
      <c r="BB121" s="19">
        <f>+BB119/BA119-1</f>
        <v>-2.7941939627037504E-2</v>
      </c>
      <c r="BC121" s="19">
        <f>+BC119/BB119-1</f>
        <v>0.11036382110367526</v>
      </c>
      <c r="BD121" s="251" t="s">
        <v>294</v>
      </c>
      <c r="BE121" s="19">
        <f>+BE119/BC119-1</f>
        <v>0.25548853993354226</v>
      </c>
      <c r="BF121" s="19">
        <f>+BF119/BE119-1</f>
        <v>3.7020298170507449E-2</v>
      </c>
      <c r="BG121" s="19">
        <f>+BG119/BF119-1</f>
        <v>-3.0666400510415137E-2</v>
      </c>
      <c r="BH121" s="19">
        <f>+BH119/BG119-1</f>
        <v>0.10737093280245258</v>
      </c>
      <c r="BI121" s="251" t="s">
        <v>294</v>
      </c>
      <c r="BJ121" s="19">
        <f>+BJ119/BH119-1</f>
        <v>3.3104365906140076E-2</v>
      </c>
      <c r="BK121" s="19">
        <f>+BK119/BJ119-1</f>
        <v>3.7020298170507004E-2</v>
      </c>
      <c r="BL121" s="19">
        <f>+BL119/BK119-1</f>
        <v>-3.0666400510414804E-2</v>
      </c>
      <c r="BM121" s="19">
        <f>+BM119/BL119-1</f>
        <v>0.10737093280245236</v>
      </c>
      <c r="BN121" s="251" t="s">
        <v>294</v>
      </c>
      <c r="BO121" s="19">
        <f>+BO119/BM119-1</f>
        <v>3.3104365906140298E-2</v>
      </c>
      <c r="BP121" s="19">
        <f>+BP119/BO119-1</f>
        <v>3.7020298170507004E-2</v>
      </c>
      <c r="BQ121" s="19">
        <f>+BQ119/BP119-1</f>
        <v>-3.0666400510414804E-2</v>
      </c>
      <c r="BR121" s="19">
        <f>+BR119/BQ119-1</f>
        <v>0.10737093280245236</v>
      </c>
      <c r="BS121" s="251" t="s">
        <v>294</v>
      </c>
      <c r="BT121" s="19">
        <f>+BT119/BR119-1</f>
        <v>3.3104365906140298E-2</v>
      </c>
      <c r="BU121" s="19">
        <f>+BU119/BT119-1</f>
        <v>3.7020298170507004E-2</v>
      </c>
      <c r="BV121" s="19">
        <f>+BV119/BU119-1</f>
        <v>-3.0666400510414804E-2</v>
      </c>
      <c r="BW121" s="19">
        <f>+BW119/BV119-1</f>
        <v>0.10737093280245213</v>
      </c>
      <c r="BX121" s="251" t="s">
        <v>294</v>
      </c>
      <c r="BY121" s="19">
        <f>+BY119/BW119-1</f>
        <v>2.4120849680869805E-2</v>
      </c>
      <c r="BZ121" s="19">
        <f>+BZ119/BY119-1</f>
        <v>3.7020298170506782E-2</v>
      </c>
      <c r="CA121" s="19">
        <f>+CA119/BZ119-1</f>
        <v>-3.0666400510414582E-2</v>
      </c>
      <c r="CB121" s="19">
        <f>+CB119/CA119-1</f>
        <v>0.10737093280245236</v>
      </c>
      <c r="CC121" s="251" t="s">
        <v>294</v>
      </c>
      <c r="CD121" s="19">
        <f>+CD119/CB119-1</f>
        <v>1.5137333455598867E-2</v>
      </c>
      <c r="CE121" s="19">
        <f>+CE119/CD119-1</f>
        <v>3.7020298170506782E-2</v>
      </c>
      <c r="CF121" s="19">
        <f>+CF119/CE119-1</f>
        <v>-3.0666400510414804E-2</v>
      </c>
      <c r="CG121" s="19">
        <f>+CG119/CF119-1</f>
        <v>0.10737093280245258</v>
      </c>
      <c r="CH121" s="251" t="s">
        <v>294</v>
      </c>
      <c r="CI121" s="19">
        <f>+CI119/CG119-1</f>
        <v>6.1538172303281513E-3</v>
      </c>
      <c r="CJ121" s="19">
        <f>+CJ119/CI119-1</f>
        <v>3.7020298170506782E-2</v>
      </c>
      <c r="CK121" s="19">
        <f>+CK119/CJ119-1</f>
        <v>-3.0666400510414693E-2</v>
      </c>
      <c r="CL121" s="19">
        <f>+CL119/CK119-1</f>
        <v>0.10737093280245236</v>
      </c>
      <c r="CM121" s="251" t="s">
        <v>294</v>
      </c>
    </row>
    <row r="122" spans="1:93">
      <c r="F122" s="240"/>
      <c r="K122" s="240"/>
      <c r="P122" s="240"/>
      <c r="U122" s="240"/>
      <c r="Z122" s="240"/>
      <c r="AE122" s="240"/>
      <c r="AJ122" s="240"/>
      <c r="AO122" s="240"/>
      <c r="AT122" s="240"/>
      <c r="AU122" s="374"/>
      <c r="AY122" s="240"/>
      <c r="BD122" s="240"/>
      <c r="BI122" s="240"/>
      <c r="BN122" s="240"/>
      <c r="BS122" s="240"/>
      <c r="BX122" s="240"/>
      <c r="CC122" s="240"/>
      <c r="CH122" s="240"/>
      <c r="CM122" s="240"/>
    </row>
    <row r="123" spans="1:93" s="230" customFormat="1">
      <c r="A123" s="178" t="s">
        <v>293</v>
      </c>
      <c r="B123" s="178"/>
      <c r="C123" s="178"/>
      <c r="D123" s="178"/>
      <c r="E123" s="178"/>
      <c r="F123" s="238"/>
      <c r="G123" s="178"/>
      <c r="H123" s="178"/>
      <c r="I123" s="178"/>
      <c r="J123" s="178"/>
      <c r="K123" s="238"/>
      <c r="L123" s="178"/>
      <c r="M123" s="178"/>
      <c r="N123" s="178"/>
      <c r="O123" s="178"/>
      <c r="P123" s="238"/>
      <c r="Q123" s="178"/>
      <c r="R123" s="178"/>
      <c r="S123" s="178"/>
      <c r="T123" s="178"/>
      <c r="U123" s="238"/>
      <c r="V123" s="178"/>
      <c r="W123" s="178"/>
      <c r="X123" s="178"/>
      <c r="Y123" s="178"/>
      <c r="Z123" s="238"/>
      <c r="AA123" s="178"/>
      <c r="AB123" s="178"/>
      <c r="AC123" s="178"/>
      <c r="AD123" s="178"/>
      <c r="AE123" s="238"/>
      <c r="AF123" s="178"/>
      <c r="AG123" s="178"/>
      <c r="AH123" s="178"/>
      <c r="AI123" s="178"/>
      <c r="AJ123" s="238"/>
      <c r="AK123" s="178"/>
      <c r="AL123" s="178"/>
      <c r="AM123" s="178"/>
      <c r="AN123" s="178"/>
      <c r="AO123" s="238"/>
      <c r="AP123" s="178"/>
      <c r="AQ123" s="178"/>
      <c r="AR123" s="178"/>
      <c r="AS123" s="178"/>
      <c r="AT123" s="238"/>
      <c r="AU123" s="178"/>
      <c r="AV123" s="178"/>
      <c r="AW123" s="178"/>
      <c r="AX123" s="178"/>
      <c r="AY123" s="238"/>
      <c r="AZ123" s="178"/>
      <c r="BA123" s="178"/>
      <c r="BB123" s="178"/>
      <c r="BC123" s="178"/>
      <c r="BD123" s="238"/>
      <c r="BE123" s="178"/>
      <c r="BF123" s="178"/>
      <c r="BG123" s="178"/>
      <c r="BH123" s="178"/>
      <c r="BI123" s="238"/>
      <c r="BJ123" s="178"/>
      <c r="BK123" s="178"/>
      <c r="BL123" s="178"/>
      <c r="BM123" s="178"/>
      <c r="BN123" s="238"/>
      <c r="BO123" s="178"/>
      <c r="BP123" s="178"/>
      <c r="BQ123" s="178"/>
      <c r="BR123" s="178"/>
      <c r="BS123" s="238"/>
      <c r="BT123" s="178"/>
      <c r="BU123" s="178"/>
      <c r="BV123" s="178"/>
      <c r="BW123" s="178"/>
      <c r="BX123" s="238"/>
      <c r="BY123" s="178"/>
      <c r="BZ123" s="178"/>
      <c r="CA123" s="178"/>
      <c r="CB123" s="178"/>
      <c r="CC123" s="238"/>
      <c r="CD123" s="178"/>
      <c r="CE123" s="178"/>
      <c r="CF123" s="178"/>
      <c r="CG123" s="178"/>
      <c r="CH123" s="238"/>
      <c r="CI123" s="178"/>
      <c r="CJ123" s="178"/>
      <c r="CK123" s="178"/>
      <c r="CL123" s="178"/>
      <c r="CM123" s="238"/>
      <c r="CN123" s="178"/>
      <c r="CO123" s="178"/>
    </row>
    <row r="124" spans="1:93" s="49" customFormat="1">
      <c r="A124" s="49" t="s">
        <v>295</v>
      </c>
      <c r="B124" s="232" t="s">
        <v>294</v>
      </c>
      <c r="C124" s="232" t="s">
        <v>294</v>
      </c>
      <c r="D124" s="232" t="s">
        <v>294</v>
      </c>
      <c r="E124" s="232" t="s">
        <v>294</v>
      </c>
      <c r="F124" s="239" t="s">
        <v>294</v>
      </c>
      <c r="G124" s="232" t="s">
        <v>294</v>
      </c>
      <c r="H124" s="232" t="s">
        <v>294</v>
      </c>
      <c r="I124" s="232" t="s">
        <v>294</v>
      </c>
      <c r="J124" s="232" t="s">
        <v>294</v>
      </c>
      <c r="K124" s="239" t="s">
        <v>294</v>
      </c>
      <c r="L124" s="232" t="s">
        <v>294</v>
      </c>
      <c r="M124" s="232" t="s">
        <v>294</v>
      </c>
      <c r="N124" s="232" t="s">
        <v>294</v>
      </c>
      <c r="O124" s="232" t="s">
        <v>294</v>
      </c>
      <c r="P124" s="239" t="s">
        <v>294</v>
      </c>
      <c r="Q124" s="49">
        <f>+U124/4</f>
        <v>28137.75</v>
      </c>
      <c r="R124" s="49">
        <f>+U124/4</f>
        <v>28137.75</v>
      </c>
      <c r="S124" s="49">
        <f>+U124/4</f>
        <v>28137.75</v>
      </c>
      <c r="T124" s="49">
        <f>+U124/4</f>
        <v>28137.75</v>
      </c>
      <c r="U124" s="242">
        <v>112551</v>
      </c>
      <c r="V124" s="49">
        <f>+Q124*(1+V125)</f>
        <v>28981.8825</v>
      </c>
      <c r="W124" s="49">
        <f>+R124*(1+W125)</f>
        <v>28981.8825</v>
      </c>
      <c r="X124" s="49">
        <f>+S124*(1+X125)</f>
        <v>28981.8825</v>
      </c>
      <c r="Y124" s="49">
        <f>+T124*(1+Y125)</f>
        <v>28981.8825</v>
      </c>
      <c r="Z124" s="242">
        <f>+V124+W124+X124+Y124</f>
        <v>115927.53</v>
      </c>
      <c r="AA124" s="49">
        <f>+V124*(1+AA125)</f>
        <v>29851.338974999999</v>
      </c>
      <c r="AB124" s="49">
        <f>+W124*(1+AB125)</f>
        <v>29851.338974999999</v>
      </c>
      <c r="AC124" s="49">
        <f>+X124*(1+AC125)</f>
        <v>29851.338974999999</v>
      </c>
      <c r="AD124" s="49">
        <f>+Y124*(1+AD125)</f>
        <v>29851.338974999999</v>
      </c>
      <c r="AE124" s="242">
        <f>+AA124+AB124+AC124+AD124</f>
        <v>119405.3559</v>
      </c>
      <c r="AF124" s="49">
        <f>+AA124*(1+AF125)</f>
        <v>30746.879144250001</v>
      </c>
      <c r="AG124" s="49">
        <f>+AB124*(1+AG125)</f>
        <v>30746.879144250001</v>
      </c>
      <c r="AH124" s="49">
        <f>+AC124*(1+AH125)</f>
        <v>30746.879144250001</v>
      </c>
      <c r="AI124" s="49">
        <f>+AD124*(1+AI125)</f>
        <v>30746.879144250001</v>
      </c>
      <c r="AJ124" s="242">
        <f>+AF124+AG124+AH124+AI124</f>
        <v>122987.516577</v>
      </c>
      <c r="AK124" s="49">
        <f>+AF124*(1+AK125)</f>
        <v>31669.285518577501</v>
      </c>
      <c r="AL124" s="49">
        <f>+AG124*(1+AL125)</f>
        <v>31669.285518577501</v>
      </c>
      <c r="AM124" s="49">
        <f>+AH124*(1+AM125)</f>
        <v>31669.285518577501</v>
      </c>
      <c r="AN124" s="49">
        <f>+AI124*(1+AN125)</f>
        <v>31669.285518577501</v>
      </c>
      <c r="AO124" s="242">
        <f>+AK124+AL124+AM124+AN124</f>
        <v>126677.14207431</v>
      </c>
      <c r="AP124" s="49">
        <f>+AK124*(1+AP125)</f>
        <v>32619.364084134828</v>
      </c>
      <c r="AQ124" s="49">
        <f>+AL124*(1+AQ125)</f>
        <v>32682.702655171983</v>
      </c>
      <c r="AR124" s="49">
        <f>+AM124*(1+AR125)</f>
        <v>32746.041226209138</v>
      </c>
      <c r="AS124" s="49">
        <f>+AN124*(1+AS125)</f>
        <v>32619.364084134828</v>
      </c>
      <c r="AT124" s="242">
        <f>+AP124+AQ124+AR124+AS124</f>
        <v>130667.47204965078</v>
      </c>
      <c r="AU124" s="392">
        <f>+AP124*(1+AU125)</f>
        <v>33663.183734827144</v>
      </c>
      <c r="AV124" s="49">
        <f>+AQ124*(1+AV125)</f>
        <v>33663.183734827144</v>
      </c>
      <c r="AW124" s="49">
        <f>+AR124*(1+AW125)</f>
        <v>33728.422462995411</v>
      </c>
      <c r="AX124" s="49">
        <f>+AS124*(1+AX125)</f>
        <v>33597.945006658876</v>
      </c>
      <c r="AY124" s="242">
        <f>+AU124+AV124+AW124+AX124</f>
        <v>134652.73493930858</v>
      </c>
      <c r="AZ124" s="49">
        <f>+AU124*(1+AZ125)</f>
        <v>34673.079246871959</v>
      </c>
      <c r="BA124" s="49">
        <f>+AV124*(1+BA125)</f>
        <v>34673.079246871959</v>
      </c>
      <c r="BB124" s="49">
        <f>+AW124*(1+BB125)</f>
        <v>34740.275136885277</v>
      </c>
      <c r="BC124" s="49">
        <f>+AX124*(1+BC125)</f>
        <v>34605.883356858641</v>
      </c>
      <c r="BD124" s="242">
        <f>+AZ124+BA124+BB124+BC124</f>
        <v>138692.31698748784</v>
      </c>
      <c r="BE124" s="49">
        <f>+AZ124*(1+BE125)</f>
        <v>35713.271624278117</v>
      </c>
      <c r="BF124" s="49">
        <f>+BA124*(1+BF125)</f>
        <v>35713.271624278117</v>
      </c>
      <c r="BG124" s="49">
        <f>+BB124*(1+BG125)</f>
        <v>35782.483390991838</v>
      </c>
      <c r="BH124" s="49">
        <f>+BC124*(1+BH125)</f>
        <v>35644.059857564404</v>
      </c>
      <c r="BI124" s="242">
        <f>+BE124+BF124+BG124+BH124</f>
        <v>142853.08649711247</v>
      </c>
      <c r="BJ124" s="49">
        <f>+BE124*(1+BJ125)</f>
        <v>36784.669773006462</v>
      </c>
      <c r="BK124" s="49">
        <f>+BF124*(1+BK125)</f>
        <v>36784.669773006462</v>
      </c>
      <c r="BL124" s="49">
        <f>+BG124*(1+BL125)</f>
        <v>36855.957892721592</v>
      </c>
      <c r="BM124" s="49">
        <f>+BH124*(1+BM125)</f>
        <v>36713.381653291333</v>
      </c>
      <c r="BN124" s="242">
        <f>+BJ124+BK124+BL124+BM124</f>
        <v>147138.67909202585</v>
      </c>
      <c r="BO124" s="49">
        <f>+BJ124*(1+BO125)</f>
        <v>37888.209866196659</v>
      </c>
      <c r="BP124" s="49">
        <f>+BK124*(1+BP125)</f>
        <v>37888.209866196659</v>
      </c>
      <c r="BQ124" s="49">
        <f>+BL124*(1+BQ125)</f>
        <v>37961.636629503242</v>
      </c>
      <c r="BR124" s="49">
        <f>+BM124*(1+BR125)</f>
        <v>37814.783102890076</v>
      </c>
      <c r="BS124" s="242">
        <f>+BO124+BP124+BQ124+BR124</f>
        <v>151552.83946478664</v>
      </c>
      <c r="BT124" s="49">
        <f>+BO124*(1+BT125)</f>
        <v>39024.856162182557</v>
      </c>
      <c r="BU124" s="49">
        <f>+BP124*(1+BU125)</f>
        <v>39024.856162182557</v>
      </c>
      <c r="BV124" s="49">
        <f>+BQ124*(1+BV125)</f>
        <v>39100.485728388339</v>
      </c>
      <c r="BW124" s="49">
        <f>+BR124*(1+BW125)</f>
        <v>38949.226595976783</v>
      </c>
      <c r="BX124" s="242">
        <f>+BT124+BU124+BV124+BW124</f>
        <v>156099.42464873026</v>
      </c>
      <c r="BY124" s="49">
        <f>+BT124*(1+BY125)</f>
        <v>40195.601847048034</v>
      </c>
      <c r="BZ124" s="49">
        <f>+BU124*(1+BZ125)</f>
        <v>40195.601847048034</v>
      </c>
      <c r="CA124" s="49">
        <f>+BV124*(1+CA125)</f>
        <v>40273.50030023999</v>
      </c>
      <c r="CB124" s="49">
        <f>+BW124*(1+CB125)</f>
        <v>40117.703393856085</v>
      </c>
      <c r="CC124" s="242">
        <f>+BY124+BZ124+CA124+CB124</f>
        <v>160782.40738819214</v>
      </c>
      <c r="CD124" s="49">
        <f>+BY124*(1+CD125)</f>
        <v>41401.469902459474</v>
      </c>
      <c r="CE124" s="49">
        <f>+BZ124*(1+CE125)</f>
        <v>41401.469902459474</v>
      </c>
      <c r="CF124" s="49">
        <f>+CA124*(1+CF125)</f>
        <v>41481.705309247191</v>
      </c>
      <c r="CG124" s="49">
        <f>+CB124*(1+CG125)</f>
        <v>41321.234495671772</v>
      </c>
      <c r="CH124" s="242">
        <f>+CD124+CE124+CF124+CG124</f>
        <v>165605.8796098379</v>
      </c>
      <c r="CI124" s="49">
        <f>+CD124*(1+CI125)</f>
        <v>42643.513999533257</v>
      </c>
      <c r="CJ124" s="49">
        <f>+CE124*(1+CJ125)</f>
        <v>42643.513999533257</v>
      </c>
      <c r="CK124" s="49">
        <f>+CF124*(1+CK125)</f>
        <v>42726.156468524605</v>
      </c>
      <c r="CL124" s="49">
        <f>+CG124*(1+CL125)</f>
        <v>42560.871530541925</v>
      </c>
      <c r="CM124" s="242">
        <f>+CI124+CJ124+CK124+CL124</f>
        <v>170574.05599813303</v>
      </c>
    </row>
    <row r="125" spans="1:93">
      <c r="A125" s="139" t="s">
        <v>291</v>
      </c>
      <c r="B125" s="232" t="s">
        <v>294</v>
      </c>
      <c r="C125" s="232" t="s">
        <v>294</v>
      </c>
      <c r="D125" s="232" t="s">
        <v>294</v>
      </c>
      <c r="E125" s="232" t="s">
        <v>294</v>
      </c>
      <c r="F125" s="239" t="s">
        <v>294</v>
      </c>
      <c r="G125" s="232" t="s">
        <v>294</v>
      </c>
      <c r="H125" s="232" t="s">
        <v>294</v>
      </c>
      <c r="I125" s="232" t="s">
        <v>294</v>
      </c>
      <c r="J125" s="232" t="s">
        <v>294</v>
      </c>
      <c r="K125" s="239" t="s">
        <v>294</v>
      </c>
      <c r="L125" s="232" t="s">
        <v>294</v>
      </c>
      <c r="M125" s="232" t="s">
        <v>294</v>
      </c>
      <c r="N125" s="232" t="s">
        <v>294</v>
      </c>
      <c r="O125" s="232" t="s">
        <v>294</v>
      </c>
      <c r="P125" s="239" t="s">
        <v>294</v>
      </c>
      <c r="Q125" s="147" t="s">
        <v>294</v>
      </c>
      <c r="R125" s="147" t="s">
        <v>294</v>
      </c>
      <c r="S125" s="147" t="s">
        <v>294</v>
      </c>
      <c r="T125" s="147" t="s">
        <v>294</v>
      </c>
      <c r="U125" s="251" t="s">
        <v>294</v>
      </c>
      <c r="V125" s="60">
        <v>0.03</v>
      </c>
      <c r="W125" s="60">
        <v>0.03</v>
      </c>
      <c r="X125" s="60">
        <v>0.03</v>
      </c>
      <c r="Y125" s="60">
        <v>0.03</v>
      </c>
      <c r="Z125" s="259">
        <f>+Z124/U124-1</f>
        <v>3.0000000000000027E-2</v>
      </c>
      <c r="AA125" s="60">
        <v>0.03</v>
      </c>
      <c r="AB125" s="60">
        <v>0.03</v>
      </c>
      <c r="AC125" s="60">
        <v>0.03</v>
      </c>
      <c r="AD125" s="60">
        <v>0.03</v>
      </c>
      <c r="AE125" s="259">
        <f>+AE124/Z124-1</f>
        <v>3.0000000000000027E-2</v>
      </c>
      <c r="AF125" s="60">
        <v>0.03</v>
      </c>
      <c r="AG125" s="60">
        <v>0.03</v>
      </c>
      <c r="AH125" s="60">
        <v>0.03</v>
      </c>
      <c r="AI125" s="60">
        <v>0.03</v>
      </c>
      <c r="AJ125" s="259">
        <f>+AJ124/AE124-1</f>
        <v>3.0000000000000027E-2</v>
      </c>
      <c r="AK125" s="60">
        <v>0.03</v>
      </c>
      <c r="AL125" s="60">
        <v>0.03</v>
      </c>
      <c r="AM125" s="60">
        <v>0.03</v>
      </c>
      <c r="AN125" s="60">
        <v>0.03</v>
      </c>
      <c r="AO125" s="259">
        <f>+AO124/AJ124-1</f>
        <v>3.0000000000000027E-2</v>
      </c>
      <c r="AP125" s="60">
        <v>0.03</v>
      </c>
      <c r="AQ125" s="60">
        <v>3.2000000000000001E-2</v>
      </c>
      <c r="AR125" s="60">
        <v>3.4000000000000002E-2</v>
      </c>
      <c r="AS125" s="60">
        <v>0.03</v>
      </c>
      <c r="AT125" s="259">
        <f>+AT124/AO124-1</f>
        <v>3.1500000000000083E-2</v>
      </c>
      <c r="AU125" s="395">
        <v>3.2000000000000001E-2</v>
      </c>
      <c r="AV125" s="60">
        <v>0.03</v>
      </c>
      <c r="AW125" s="60">
        <v>0.03</v>
      </c>
      <c r="AX125" s="60">
        <v>0.03</v>
      </c>
      <c r="AY125" s="259">
        <f>+AY124/AT124-1</f>
        <v>3.0499272903538488E-2</v>
      </c>
      <c r="AZ125" s="60">
        <v>0.03</v>
      </c>
      <c r="BA125" s="60">
        <v>0.03</v>
      </c>
      <c r="BB125" s="60">
        <v>0.03</v>
      </c>
      <c r="BC125" s="60">
        <v>0.03</v>
      </c>
      <c r="BD125" s="259">
        <f>+BD124/AY124-1</f>
        <v>3.0000000000000027E-2</v>
      </c>
      <c r="BE125" s="60">
        <v>0.03</v>
      </c>
      <c r="BF125" s="60">
        <v>0.03</v>
      </c>
      <c r="BG125" s="60">
        <v>0.03</v>
      </c>
      <c r="BH125" s="60">
        <v>0.03</v>
      </c>
      <c r="BI125" s="259">
        <f>+BI124/BD124-1</f>
        <v>3.0000000000000027E-2</v>
      </c>
      <c r="BJ125" s="60">
        <v>0.03</v>
      </c>
      <c r="BK125" s="60">
        <v>0.03</v>
      </c>
      <c r="BL125" s="60">
        <v>0.03</v>
      </c>
      <c r="BM125" s="60">
        <v>0.03</v>
      </c>
      <c r="BN125" s="259">
        <f>+BN124/BI124-1</f>
        <v>3.0000000000000027E-2</v>
      </c>
      <c r="BO125" s="60">
        <v>0.03</v>
      </c>
      <c r="BP125" s="60">
        <v>0.03</v>
      </c>
      <c r="BQ125" s="60">
        <v>0.03</v>
      </c>
      <c r="BR125" s="60">
        <v>0.03</v>
      </c>
      <c r="BS125" s="259">
        <f>+BS124/BN124-1</f>
        <v>3.0000000000000027E-2</v>
      </c>
      <c r="BT125" s="60">
        <v>0.03</v>
      </c>
      <c r="BU125" s="60">
        <v>0.03</v>
      </c>
      <c r="BV125" s="60">
        <v>0.03</v>
      </c>
      <c r="BW125" s="60">
        <v>0.03</v>
      </c>
      <c r="BX125" s="259">
        <f>+BX124/BS124-1</f>
        <v>3.0000000000000249E-2</v>
      </c>
      <c r="BY125" s="60">
        <v>0.03</v>
      </c>
      <c r="BZ125" s="60">
        <v>0.03</v>
      </c>
      <c r="CA125" s="60">
        <v>0.03</v>
      </c>
      <c r="CB125" s="60">
        <v>0.03</v>
      </c>
      <c r="CC125" s="259">
        <f>+CC124/BX124-1</f>
        <v>2.9999999999999805E-2</v>
      </c>
      <c r="CD125" s="60">
        <v>0.03</v>
      </c>
      <c r="CE125" s="60">
        <v>0.03</v>
      </c>
      <c r="CF125" s="60">
        <v>0.03</v>
      </c>
      <c r="CG125" s="60">
        <v>0.03</v>
      </c>
      <c r="CH125" s="259">
        <f>+CH124/CC124-1</f>
        <v>3.0000000000000027E-2</v>
      </c>
      <c r="CI125" s="60">
        <v>0.03</v>
      </c>
      <c r="CJ125" s="60">
        <v>0.03</v>
      </c>
      <c r="CK125" s="60">
        <v>0.03</v>
      </c>
      <c r="CL125" s="60">
        <v>0.03</v>
      </c>
      <c r="CM125" s="259">
        <f>+CM124/CH124-1</f>
        <v>3.0000000000000027E-2</v>
      </c>
    </row>
    <row r="126" spans="1:93" s="49" customFormat="1">
      <c r="A126" s="49" t="s">
        <v>296</v>
      </c>
      <c r="B126" s="232" t="s">
        <v>294</v>
      </c>
      <c r="C126" s="232" t="s">
        <v>294</v>
      </c>
      <c r="D126" s="232" t="s">
        <v>294</v>
      </c>
      <c r="E126" s="232" t="s">
        <v>294</v>
      </c>
      <c r="F126" s="239" t="s">
        <v>294</v>
      </c>
      <c r="G126" s="232" t="s">
        <v>294</v>
      </c>
      <c r="H126" s="232" t="s">
        <v>294</v>
      </c>
      <c r="I126" s="232" t="s">
        <v>294</v>
      </c>
      <c r="J126" s="232" t="s">
        <v>294</v>
      </c>
      <c r="K126" s="239" t="s">
        <v>294</v>
      </c>
      <c r="L126" s="232" t="s">
        <v>294</v>
      </c>
      <c r="M126" s="232" t="s">
        <v>294</v>
      </c>
      <c r="N126" s="232" t="s">
        <v>294</v>
      </c>
      <c r="O126" s="232" t="s">
        <v>294</v>
      </c>
      <c r="P126" s="239" t="s">
        <v>294</v>
      </c>
      <c r="Q126" s="49">
        <f>+Q124*Q127</f>
        <v>112551</v>
      </c>
      <c r="R126" s="49">
        <f t="shared" ref="R126:T126" si="2460">+R124*R127</f>
        <v>112551</v>
      </c>
      <c r="S126" s="49">
        <f t="shared" si="2460"/>
        <v>112551</v>
      </c>
      <c r="T126" s="49">
        <f t="shared" si="2460"/>
        <v>112551</v>
      </c>
      <c r="U126" s="242">
        <f>+Q126+R126+S126+T126</f>
        <v>450204</v>
      </c>
      <c r="V126" s="49">
        <f>+V124*V127</f>
        <v>115927.53</v>
      </c>
      <c r="W126" s="49">
        <f t="shared" ref="W126" si="2461">+W124*W127</f>
        <v>115927.53</v>
      </c>
      <c r="X126" s="49">
        <f t="shared" ref="X126" si="2462">+X124*X127</f>
        <v>115927.53</v>
      </c>
      <c r="Y126" s="49">
        <f t="shared" ref="Y126" si="2463">+Y124*Y127</f>
        <v>115927.53</v>
      </c>
      <c r="Z126" s="242">
        <f>+V126+W126+X126+Y126</f>
        <v>463710.12</v>
      </c>
      <c r="AA126" s="49">
        <f>+AA124*AA127</f>
        <v>119405.3559</v>
      </c>
      <c r="AB126" s="49">
        <f t="shared" ref="AB126" si="2464">+AB124*AB127</f>
        <v>119405.3559</v>
      </c>
      <c r="AC126" s="49">
        <f t="shared" ref="AC126" si="2465">+AC124*AC127</f>
        <v>119405.3559</v>
      </c>
      <c r="AD126" s="49">
        <f t="shared" ref="AD126" si="2466">+AD124*AD127</f>
        <v>119405.3559</v>
      </c>
      <c r="AE126" s="242">
        <f>+AA126+AB126+AC126+AD126</f>
        <v>477621.42359999998</v>
      </c>
      <c r="AF126" s="49">
        <f>+AF124*AF127</f>
        <v>122987.516577</v>
      </c>
      <c r="AG126" s="49">
        <f t="shared" ref="AG126" si="2467">+AG124*AG127</f>
        <v>122987.516577</v>
      </c>
      <c r="AH126" s="49">
        <f t="shared" ref="AH126" si="2468">+AH124*AH127</f>
        <v>122987.516577</v>
      </c>
      <c r="AI126" s="49">
        <f t="shared" ref="AI126" si="2469">+AI124*AI127</f>
        <v>122987.516577</v>
      </c>
      <c r="AJ126" s="242">
        <f>+AF126+AG126+AH126+AI126</f>
        <v>491950.06630800001</v>
      </c>
      <c r="AK126" s="49">
        <f>+AK124*AK127</f>
        <v>126677.14207431</v>
      </c>
      <c r="AL126" s="49">
        <f t="shared" ref="AL126" si="2470">+AL124*AL127</f>
        <v>126677.14207431</v>
      </c>
      <c r="AM126" s="49">
        <f t="shared" ref="AM126" si="2471">+AM124*AM127</f>
        <v>126677.14207431</v>
      </c>
      <c r="AN126" s="49">
        <f t="shared" ref="AN126" si="2472">+AN124*AN127</f>
        <v>126677.14207431</v>
      </c>
      <c r="AO126" s="242">
        <f>+AK126+AL126+AM126+AN126</f>
        <v>506708.56829724001</v>
      </c>
      <c r="AP126" s="49">
        <f>+AP124*AP127</f>
        <v>130477.45633653931</v>
      </c>
      <c r="AQ126" s="49">
        <f t="shared" ref="AQ126" si="2473">+AQ124*AQ127</f>
        <v>130730.81062068793</v>
      </c>
      <c r="AR126" s="49">
        <f t="shared" ref="AR126" si="2474">+AR124*AR127</f>
        <v>130984.16490483655</v>
      </c>
      <c r="AS126" s="49">
        <f t="shared" ref="AS126" si="2475">+AS124*AS127</f>
        <v>130477.45633653931</v>
      </c>
      <c r="AT126" s="242">
        <f>+AP126+AQ126+AR126+AS126</f>
        <v>522669.88819860312</v>
      </c>
      <c r="AU126" s="392">
        <f>+AU124*AU127</f>
        <v>134652.73493930858</v>
      </c>
      <c r="AV126" s="49">
        <f t="shared" ref="AV126" si="2476">+AV124*AV127</f>
        <v>134652.73493930858</v>
      </c>
      <c r="AW126" s="49">
        <f t="shared" ref="AW126" si="2477">+AW124*AW127</f>
        <v>134913.68985198165</v>
      </c>
      <c r="AX126" s="49">
        <f t="shared" ref="AX126" si="2478">+AX124*AX127</f>
        <v>134391.7800266355</v>
      </c>
      <c r="AY126" s="242">
        <f>+AU126+AV126+AW126+AX126</f>
        <v>538610.9397572343</v>
      </c>
      <c r="AZ126" s="49">
        <f>+AZ124*AZ127</f>
        <v>138692.31698748784</v>
      </c>
      <c r="BA126" s="49">
        <f t="shared" ref="BA126" si="2479">+BA124*BA127</f>
        <v>138692.31698748784</v>
      </c>
      <c r="BB126" s="49">
        <f t="shared" ref="BB126" si="2480">+BB124*BB127</f>
        <v>138961.10054754111</v>
      </c>
      <c r="BC126" s="49">
        <f t="shared" ref="BC126" si="2481">+BC124*BC127</f>
        <v>138423.53342743457</v>
      </c>
      <c r="BD126" s="242">
        <f>+AZ126+BA126+BB126+BC126</f>
        <v>554769.26794995135</v>
      </c>
      <c r="BE126" s="49">
        <f>+BE124*BE127</f>
        <v>142853.08649711247</v>
      </c>
      <c r="BF126" s="49">
        <f t="shared" ref="BF126" si="2482">+BF124*BF127</f>
        <v>142853.08649711247</v>
      </c>
      <c r="BG126" s="49">
        <f t="shared" ref="BG126" si="2483">+BG124*BG127</f>
        <v>143129.93356396735</v>
      </c>
      <c r="BH126" s="49">
        <f t="shared" ref="BH126" si="2484">+BH124*BH127</f>
        <v>142576.23943025761</v>
      </c>
      <c r="BI126" s="242">
        <f>+BE126+BF126+BG126+BH126</f>
        <v>571412.34598844987</v>
      </c>
      <c r="BJ126" s="49">
        <f>+BJ124*BJ127</f>
        <v>147138.67909202585</v>
      </c>
      <c r="BK126" s="49">
        <f t="shared" ref="BK126" si="2485">+BK124*BK127</f>
        <v>147138.67909202585</v>
      </c>
      <c r="BL126" s="49">
        <f t="shared" ref="BL126" si="2486">+BL124*BL127</f>
        <v>147423.83157088637</v>
      </c>
      <c r="BM126" s="49">
        <f t="shared" ref="BM126" si="2487">+BM124*BM127</f>
        <v>146853.52661316533</v>
      </c>
      <c r="BN126" s="242">
        <f>+BJ126+BK126+BL126+BM126</f>
        <v>588554.7163681034</v>
      </c>
      <c r="BO126" s="49">
        <f>+BO124*BO127</f>
        <v>151552.83946478664</v>
      </c>
      <c r="BP126" s="49">
        <f t="shared" ref="BP126" si="2488">+BP124*BP127</f>
        <v>151552.83946478664</v>
      </c>
      <c r="BQ126" s="49">
        <f t="shared" ref="BQ126" si="2489">+BQ124*BQ127</f>
        <v>151846.54651801297</v>
      </c>
      <c r="BR126" s="49">
        <f t="shared" ref="BR126" si="2490">+BR124*BR127</f>
        <v>151259.13241156031</v>
      </c>
      <c r="BS126" s="242">
        <f>+BO126+BP126+BQ126+BR126</f>
        <v>606211.35785914655</v>
      </c>
      <c r="BT126" s="49">
        <f>+BT124*BT127</f>
        <v>156099.42464873023</v>
      </c>
      <c r="BU126" s="49">
        <f t="shared" ref="BU126" si="2491">+BU124*BU127</f>
        <v>156099.42464873023</v>
      </c>
      <c r="BV126" s="49">
        <f t="shared" ref="BV126" si="2492">+BV124*BV127</f>
        <v>156401.94291355336</v>
      </c>
      <c r="BW126" s="49">
        <f t="shared" ref="BW126" si="2493">+BW124*BW127</f>
        <v>155796.90638390713</v>
      </c>
      <c r="BX126" s="242">
        <f>+BT126+BU126+BV126+BW126</f>
        <v>624397.69859492104</v>
      </c>
      <c r="BY126" s="49">
        <f>+BY124*BY127</f>
        <v>160782.40738819214</v>
      </c>
      <c r="BZ126" s="49">
        <f t="shared" ref="BZ126" si="2494">+BZ124*BZ127</f>
        <v>160782.40738819214</v>
      </c>
      <c r="CA126" s="49">
        <f t="shared" ref="CA126" si="2495">+CA124*CA127</f>
        <v>161094.00120095996</v>
      </c>
      <c r="CB126" s="49">
        <f t="shared" ref="CB126" si="2496">+CB124*CB127</f>
        <v>160470.81357542434</v>
      </c>
      <c r="CC126" s="242">
        <f>+BY126+BZ126+CA126+CB126</f>
        <v>643129.62955276854</v>
      </c>
      <c r="CD126" s="49">
        <f>+CD124*CD127</f>
        <v>165605.8796098379</v>
      </c>
      <c r="CE126" s="49">
        <f t="shared" ref="CE126" si="2497">+CE124*CE127</f>
        <v>165605.8796098379</v>
      </c>
      <c r="CF126" s="49">
        <f t="shared" ref="CF126" si="2498">+CF124*CF127</f>
        <v>165926.82123698876</v>
      </c>
      <c r="CG126" s="49">
        <f t="shared" ref="CG126" si="2499">+CG124*CG127</f>
        <v>165284.93798268709</v>
      </c>
      <c r="CH126" s="242">
        <f>+CD126+CE126+CF126+CG126</f>
        <v>662423.51843935158</v>
      </c>
      <c r="CI126" s="49">
        <f>+CI124*CI127</f>
        <v>170574.05599813303</v>
      </c>
      <c r="CJ126" s="49">
        <f t="shared" ref="CJ126" si="2500">+CJ124*CJ127</f>
        <v>170574.05599813303</v>
      </c>
      <c r="CK126" s="49">
        <f t="shared" ref="CK126" si="2501">+CK124*CK127</f>
        <v>170904.62587409842</v>
      </c>
      <c r="CL126" s="49">
        <f t="shared" ref="CL126" si="2502">+CL124*CL127</f>
        <v>170243.4861221677</v>
      </c>
      <c r="CM126" s="242">
        <f>+CI126+CJ126+CK126+CL126</f>
        <v>682296.22399253212</v>
      </c>
    </row>
    <row r="127" spans="1:93">
      <c r="A127" s="139" t="s">
        <v>297</v>
      </c>
      <c r="B127" s="232" t="s">
        <v>294</v>
      </c>
      <c r="C127" s="232" t="s">
        <v>294</v>
      </c>
      <c r="D127" s="232" t="s">
        <v>294</v>
      </c>
      <c r="E127" s="232" t="s">
        <v>294</v>
      </c>
      <c r="F127" s="239" t="s">
        <v>294</v>
      </c>
      <c r="G127" s="232" t="s">
        <v>294</v>
      </c>
      <c r="H127" s="232" t="s">
        <v>294</v>
      </c>
      <c r="I127" s="232" t="s">
        <v>294</v>
      </c>
      <c r="J127" s="232" t="s">
        <v>294</v>
      </c>
      <c r="K127" s="239" t="s">
        <v>294</v>
      </c>
      <c r="L127" s="232" t="s">
        <v>294</v>
      </c>
      <c r="M127" s="232" t="s">
        <v>294</v>
      </c>
      <c r="N127" s="232" t="s">
        <v>294</v>
      </c>
      <c r="O127" s="232" t="s">
        <v>294</v>
      </c>
      <c r="P127" s="239" t="s">
        <v>294</v>
      </c>
      <c r="Q127" s="156">
        <v>4</v>
      </c>
      <c r="R127" s="156">
        <v>4</v>
      </c>
      <c r="S127" s="156">
        <v>4</v>
      </c>
      <c r="T127" s="156">
        <v>4</v>
      </c>
      <c r="U127" s="261">
        <f>+U126/U124</f>
        <v>4</v>
      </c>
      <c r="V127" s="156">
        <v>4</v>
      </c>
      <c r="W127" s="156">
        <v>4</v>
      </c>
      <c r="X127" s="156">
        <v>4</v>
      </c>
      <c r="Y127" s="156">
        <v>4</v>
      </c>
      <c r="Z127" s="261">
        <f>+Z126/Z124</f>
        <v>4</v>
      </c>
      <c r="AA127" s="156">
        <v>4</v>
      </c>
      <c r="AB127" s="156">
        <v>4</v>
      </c>
      <c r="AC127" s="156">
        <v>4</v>
      </c>
      <c r="AD127" s="156">
        <v>4</v>
      </c>
      <c r="AE127" s="261">
        <f>+AE126/AE124</f>
        <v>4</v>
      </c>
      <c r="AF127" s="156">
        <v>4</v>
      </c>
      <c r="AG127" s="156">
        <v>4</v>
      </c>
      <c r="AH127" s="156">
        <v>4</v>
      </c>
      <c r="AI127" s="156">
        <v>4</v>
      </c>
      <c r="AJ127" s="261">
        <f>+AJ126/AJ124</f>
        <v>4</v>
      </c>
      <c r="AK127" s="156">
        <v>4</v>
      </c>
      <c r="AL127" s="156">
        <v>4</v>
      </c>
      <c r="AM127" s="156">
        <v>4</v>
      </c>
      <c r="AN127" s="156">
        <v>4</v>
      </c>
      <c r="AO127" s="261">
        <f>+AO126/AO124</f>
        <v>4</v>
      </c>
      <c r="AP127" s="156">
        <v>4</v>
      </c>
      <c r="AQ127" s="156">
        <v>4</v>
      </c>
      <c r="AR127" s="156">
        <v>4</v>
      </c>
      <c r="AS127" s="156">
        <v>4</v>
      </c>
      <c r="AT127" s="261">
        <f>+AT126/AT124</f>
        <v>4</v>
      </c>
      <c r="AU127" s="398">
        <v>4</v>
      </c>
      <c r="AV127" s="156">
        <v>4</v>
      </c>
      <c r="AW127" s="156">
        <v>4</v>
      </c>
      <c r="AX127" s="156">
        <v>4</v>
      </c>
      <c r="AY127" s="261">
        <f>+AY126/AY124</f>
        <v>4</v>
      </c>
      <c r="AZ127" s="156">
        <v>4</v>
      </c>
      <c r="BA127" s="156">
        <v>4</v>
      </c>
      <c r="BB127" s="156">
        <v>4</v>
      </c>
      <c r="BC127" s="156">
        <v>4</v>
      </c>
      <c r="BD127" s="261">
        <f>+BD126/BD124</f>
        <v>4</v>
      </c>
      <c r="BE127" s="156">
        <v>4</v>
      </c>
      <c r="BF127" s="156">
        <v>4</v>
      </c>
      <c r="BG127" s="156">
        <v>4</v>
      </c>
      <c r="BH127" s="156">
        <v>4</v>
      </c>
      <c r="BI127" s="261">
        <f>+BI126/BI124</f>
        <v>4</v>
      </c>
      <c r="BJ127" s="156">
        <v>4</v>
      </c>
      <c r="BK127" s="156">
        <v>4</v>
      </c>
      <c r="BL127" s="156">
        <v>4</v>
      </c>
      <c r="BM127" s="156">
        <v>4</v>
      </c>
      <c r="BN127" s="261">
        <f>+BN126/BN124</f>
        <v>4</v>
      </c>
      <c r="BO127" s="156">
        <v>4</v>
      </c>
      <c r="BP127" s="156">
        <v>4</v>
      </c>
      <c r="BQ127" s="156">
        <v>4</v>
      </c>
      <c r="BR127" s="156">
        <v>4</v>
      </c>
      <c r="BS127" s="261">
        <f>+BS126/BS124</f>
        <v>4</v>
      </c>
      <c r="BT127" s="156">
        <v>4</v>
      </c>
      <c r="BU127" s="156">
        <v>4</v>
      </c>
      <c r="BV127" s="156">
        <v>4</v>
      </c>
      <c r="BW127" s="156">
        <v>4</v>
      </c>
      <c r="BX127" s="261">
        <f>+BX126/BX124</f>
        <v>4</v>
      </c>
      <c r="BY127" s="156">
        <v>4</v>
      </c>
      <c r="BZ127" s="156">
        <v>4</v>
      </c>
      <c r="CA127" s="156">
        <v>4</v>
      </c>
      <c r="CB127" s="156">
        <v>4</v>
      </c>
      <c r="CC127" s="261">
        <f>+CC126/CC124</f>
        <v>4</v>
      </c>
      <c r="CD127" s="156">
        <v>4</v>
      </c>
      <c r="CE127" s="156">
        <v>4</v>
      </c>
      <c r="CF127" s="156">
        <v>4</v>
      </c>
      <c r="CG127" s="156">
        <v>4</v>
      </c>
      <c r="CH127" s="261">
        <f>+CH126/CH124</f>
        <v>4</v>
      </c>
      <c r="CI127" s="156">
        <v>4</v>
      </c>
      <c r="CJ127" s="156">
        <v>4</v>
      </c>
      <c r="CK127" s="156">
        <v>4</v>
      </c>
      <c r="CL127" s="156">
        <v>4</v>
      </c>
      <c r="CM127" s="261">
        <f>+CM126/CM124</f>
        <v>4</v>
      </c>
    </row>
    <row r="128" spans="1:93">
      <c r="F128" s="240"/>
      <c r="K128" s="240"/>
      <c r="P128" s="240"/>
      <c r="U128" s="240"/>
      <c r="Z128" s="240"/>
      <c r="AE128" s="240"/>
      <c r="AJ128" s="240"/>
      <c r="AO128" s="240"/>
      <c r="AT128" s="240"/>
      <c r="AU128" s="374"/>
      <c r="AY128" s="240"/>
      <c r="BD128" s="240"/>
      <c r="BI128" s="240"/>
      <c r="BN128" s="240"/>
      <c r="BS128" s="240"/>
      <c r="BX128" s="240"/>
      <c r="CC128" s="240"/>
      <c r="CH128" s="240"/>
      <c r="CM128" s="240"/>
    </row>
    <row r="129" spans="1:91" s="49" customFormat="1">
      <c r="A129" s="49" t="s">
        <v>298</v>
      </c>
      <c r="B129" s="232" t="s">
        <v>294</v>
      </c>
      <c r="C129" s="232" t="s">
        <v>294</v>
      </c>
      <c r="D129" s="232" t="s">
        <v>294</v>
      </c>
      <c r="E129" s="232" t="s">
        <v>294</v>
      </c>
      <c r="F129" s="239" t="s">
        <v>294</v>
      </c>
      <c r="G129" s="232" t="s">
        <v>294</v>
      </c>
      <c r="H129" s="232" t="s">
        <v>294</v>
      </c>
      <c r="I129" s="232" t="s">
        <v>294</v>
      </c>
      <c r="J129" s="232" t="s">
        <v>294</v>
      </c>
      <c r="K129" s="239" t="s">
        <v>294</v>
      </c>
      <c r="L129" s="232" t="s">
        <v>294</v>
      </c>
      <c r="M129" s="232" t="s">
        <v>294</v>
      </c>
      <c r="N129" s="232" t="s">
        <v>294</v>
      </c>
      <c r="O129" s="232" t="s">
        <v>294</v>
      </c>
      <c r="P129" s="239" t="s">
        <v>294</v>
      </c>
      <c r="Q129" s="49">
        <f>+U129/4</f>
        <v>309515</v>
      </c>
      <c r="R129" s="49">
        <f>+U129/4</f>
        <v>309515</v>
      </c>
      <c r="S129" s="49">
        <f>+U129/4</f>
        <v>309515</v>
      </c>
      <c r="T129" s="49">
        <f>+U129/4</f>
        <v>309515</v>
      </c>
      <c r="U129" s="242">
        <v>1238060</v>
      </c>
      <c r="V129" s="49">
        <f>+Q129*(1+V130)</f>
        <v>318800.45</v>
      </c>
      <c r="W129" s="49">
        <f>+R129*(1+W130)</f>
        <v>318800.45</v>
      </c>
      <c r="X129" s="49">
        <f>+S129*(1+X130)</f>
        <v>318800.45</v>
      </c>
      <c r="Y129" s="49">
        <f>+T129*(1+Y130)</f>
        <v>318800.45</v>
      </c>
      <c r="Z129" s="242">
        <f>+V129+W129+X129+Y129</f>
        <v>1275201.8</v>
      </c>
      <c r="AA129" s="49">
        <f>+V129*(1+AA130)</f>
        <v>328364.46350000001</v>
      </c>
      <c r="AB129" s="49">
        <f>+W129*(1+AB130)</f>
        <v>328364.46350000001</v>
      </c>
      <c r="AC129" s="49">
        <f>+X129*(1+AC130)</f>
        <v>328364.46350000001</v>
      </c>
      <c r="AD129" s="49">
        <f>+Y129*(1+AD130)</f>
        <v>328364.46350000001</v>
      </c>
      <c r="AE129" s="242">
        <f>+AA129+AB129+AC129+AD129</f>
        <v>1313457.8540000001</v>
      </c>
      <c r="AF129" s="49">
        <f>+AA129*(1+AF130)</f>
        <v>338215.397405</v>
      </c>
      <c r="AG129" s="49">
        <f>+AB129*(1+AG130)</f>
        <v>338215.397405</v>
      </c>
      <c r="AH129" s="49">
        <f>+AC129*(1+AH130)</f>
        <v>338215.397405</v>
      </c>
      <c r="AI129" s="49">
        <f>+AD129*(1+AI130)</f>
        <v>338215.397405</v>
      </c>
      <c r="AJ129" s="242">
        <f>+AF129+AG129+AH129+AI129</f>
        <v>1352861.58962</v>
      </c>
      <c r="AK129" s="49">
        <f>+AF129*(1+AK130)</f>
        <v>348361.85932714998</v>
      </c>
      <c r="AL129" s="49">
        <f>+AG129*(1+AL130)</f>
        <v>348361.85932714998</v>
      </c>
      <c r="AM129" s="49">
        <f>+AH129*(1+AM130)</f>
        <v>348361.85932714998</v>
      </c>
      <c r="AN129" s="49">
        <f>+AI129*(1+AN130)</f>
        <v>348361.85932714998</v>
      </c>
      <c r="AO129" s="242">
        <f>+AK129+AL129+AM129+AN129</f>
        <v>1393447.4373085999</v>
      </c>
      <c r="AP129" s="49">
        <f>+AK129*(1+AP130)</f>
        <v>358812.71510696452</v>
      </c>
      <c r="AQ129" s="49">
        <f>+AL129*(1+AQ130)</f>
        <v>358812.71510696452</v>
      </c>
      <c r="AR129" s="49">
        <f>+AM129*(1+AR130)</f>
        <v>358812.71510696452</v>
      </c>
      <c r="AS129" s="49">
        <f>+AN129*(1+AS130)</f>
        <v>358812.71510696452</v>
      </c>
      <c r="AT129" s="242">
        <f>+AP129+AQ129+AR129+AS129</f>
        <v>1435250.8604278581</v>
      </c>
      <c r="AU129" s="392">
        <f>+AP129*(1+AU130)</f>
        <v>369577.09656017344</v>
      </c>
      <c r="AV129" s="49">
        <f>+AQ129*(1+AV130)</f>
        <v>369577.09656017344</v>
      </c>
      <c r="AW129" s="49">
        <f>+AR129*(1+AW130)</f>
        <v>369577.09656017344</v>
      </c>
      <c r="AX129" s="49">
        <f>+AS129*(1+AX130)</f>
        <v>369577.09656017344</v>
      </c>
      <c r="AY129" s="242">
        <f>+AU129+AV129+AW129+AX129</f>
        <v>1478308.3862406937</v>
      </c>
      <c r="AZ129" s="49">
        <f>+AU129*(1+AZ130)</f>
        <v>380664.40945697867</v>
      </c>
      <c r="BA129" s="49">
        <f>+AV129*(1+BA130)</f>
        <v>380664.40945697867</v>
      </c>
      <c r="BB129" s="49">
        <f>+AW129*(1+BB130)</f>
        <v>380664.40945697867</v>
      </c>
      <c r="BC129" s="49">
        <f>+AX129*(1+BC130)</f>
        <v>380664.40945697867</v>
      </c>
      <c r="BD129" s="242">
        <f>+AZ129+BA129+BB129+BC129</f>
        <v>1522657.6378279147</v>
      </c>
      <c r="BE129" s="49">
        <f>+AZ129*(1+BE130)</f>
        <v>392084.34174068802</v>
      </c>
      <c r="BF129" s="49">
        <f>+BA129*(1+BF130)</f>
        <v>392084.34174068802</v>
      </c>
      <c r="BG129" s="49">
        <f>+BB129*(1+BG130)</f>
        <v>392084.34174068802</v>
      </c>
      <c r="BH129" s="49">
        <f>+BC129*(1+BH130)</f>
        <v>392084.34174068802</v>
      </c>
      <c r="BI129" s="242">
        <f>+BE129+BF129+BG129+BH129</f>
        <v>1568337.3669627521</v>
      </c>
      <c r="BJ129" s="49">
        <f>+BE129*(1+BJ130)</f>
        <v>403846.87199290865</v>
      </c>
      <c r="BK129" s="49">
        <f>+BF129*(1+BK130)</f>
        <v>403846.87199290865</v>
      </c>
      <c r="BL129" s="49">
        <f>+BG129*(1+BL130)</f>
        <v>403846.87199290865</v>
      </c>
      <c r="BM129" s="49">
        <f>+BH129*(1+BM130)</f>
        <v>403846.87199290865</v>
      </c>
      <c r="BN129" s="242">
        <f>+BJ129+BK129+BL129+BM129</f>
        <v>1615387.4879716346</v>
      </c>
      <c r="BO129" s="49">
        <f>+BJ129*(1+BO130)</f>
        <v>415962.27815269592</v>
      </c>
      <c r="BP129" s="49">
        <f>+BK129*(1+BP130)</f>
        <v>415962.27815269592</v>
      </c>
      <c r="BQ129" s="49">
        <f>+BL129*(1+BQ130)</f>
        <v>415962.27815269592</v>
      </c>
      <c r="BR129" s="49">
        <f>+BM129*(1+BR130)</f>
        <v>415962.27815269592</v>
      </c>
      <c r="BS129" s="242">
        <f>+BO129+BP129+BQ129+BR129</f>
        <v>1663849.1126107837</v>
      </c>
      <c r="BT129" s="49">
        <f>+BO129*(1+BT130)</f>
        <v>428441.14649727679</v>
      </c>
      <c r="BU129" s="49">
        <f>+BP129*(1+BU130)</f>
        <v>428441.14649727679</v>
      </c>
      <c r="BV129" s="49">
        <f>+BQ129*(1+BV130)</f>
        <v>428441.14649727679</v>
      </c>
      <c r="BW129" s="49">
        <f>+BR129*(1+BW130)</f>
        <v>428441.14649727679</v>
      </c>
      <c r="BX129" s="242">
        <f>+BT129+BU129+BV129+BW129</f>
        <v>1713764.5859891071</v>
      </c>
      <c r="BY129" s="49">
        <f>+BT129*(1+BY130)</f>
        <v>441294.3808921951</v>
      </c>
      <c r="BZ129" s="49">
        <f>+BU129*(1+BZ130)</f>
        <v>441294.3808921951</v>
      </c>
      <c r="CA129" s="49">
        <f>+BV129*(1+CA130)</f>
        <v>441294.3808921951</v>
      </c>
      <c r="CB129" s="49">
        <f>+BW129*(1+CB130)</f>
        <v>441294.3808921951</v>
      </c>
      <c r="CC129" s="242">
        <f>+BY129+BZ129+CA129+CB129</f>
        <v>1765177.5235687804</v>
      </c>
      <c r="CD129" s="49">
        <f>+BY129*(1+CD130)</f>
        <v>454533.21231896098</v>
      </c>
      <c r="CE129" s="49">
        <f>+BZ129*(1+CE130)</f>
        <v>454533.21231896098</v>
      </c>
      <c r="CF129" s="49">
        <f>+CA129*(1+CF130)</f>
        <v>454533.21231896098</v>
      </c>
      <c r="CG129" s="49">
        <f>+CB129*(1+CG130)</f>
        <v>454533.21231896098</v>
      </c>
      <c r="CH129" s="242">
        <f>+CD129+CE129+CF129+CG129</f>
        <v>1818132.8492758439</v>
      </c>
      <c r="CI129" s="49">
        <f>+CD129*(1+CI130)</f>
        <v>468169.20868852985</v>
      </c>
      <c r="CJ129" s="49">
        <f>+CE129*(1+CJ130)</f>
        <v>468169.20868852985</v>
      </c>
      <c r="CK129" s="49">
        <f>+CF129*(1+CK130)</f>
        <v>468169.20868852985</v>
      </c>
      <c r="CL129" s="49">
        <f>+CG129*(1+CL130)</f>
        <v>468169.20868852985</v>
      </c>
      <c r="CM129" s="242">
        <f>+CI129+CJ129+CK129+CL129</f>
        <v>1872676.8347541194</v>
      </c>
    </row>
    <row r="130" spans="1:91">
      <c r="A130" s="139" t="s">
        <v>291</v>
      </c>
      <c r="B130" s="232" t="s">
        <v>294</v>
      </c>
      <c r="C130" s="232" t="s">
        <v>294</v>
      </c>
      <c r="D130" s="232" t="s">
        <v>294</v>
      </c>
      <c r="E130" s="232" t="s">
        <v>294</v>
      </c>
      <c r="F130" s="239" t="s">
        <v>294</v>
      </c>
      <c r="G130" s="232" t="s">
        <v>294</v>
      </c>
      <c r="H130" s="232" t="s">
        <v>294</v>
      </c>
      <c r="I130" s="232" t="s">
        <v>294</v>
      </c>
      <c r="J130" s="232" t="s">
        <v>294</v>
      </c>
      <c r="K130" s="239" t="s">
        <v>294</v>
      </c>
      <c r="L130" s="232" t="s">
        <v>294</v>
      </c>
      <c r="M130" s="232" t="s">
        <v>294</v>
      </c>
      <c r="N130" s="232" t="s">
        <v>294</v>
      </c>
      <c r="O130" s="232" t="s">
        <v>294</v>
      </c>
      <c r="P130" s="239" t="s">
        <v>294</v>
      </c>
      <c r="Q130" s="147" t="s">
        <v>294</v>
      </c>
      <c r="R130" s="147" t="s">
        <v>294</v>
      </c>
      <c r="S130" s="147" t="s">
        <v>294</v>
      </c>
      <c r="T130" s="147" t="s">
        <v>294</v>
      </c>
      <c r="U130" s="251" t="s">
        <v>294</v>
      </c>
      <c r="V130" s="60">
        <v>0.03</v>
      </c>
      <c r="W130" s="60">
        <v>0.03</v>
      </c>
      <c r="X130" s="60">
        <v>0.03</v>
      </c>
      <c r="Y130" s="60">
        <v>0.03</v>
      </c>
      <c r="Z130" s="259">
        <f>+Z129/U129-1</f>
        <v>3.0000000000000027E-2</v>
      </c>
      <c r="AA130" s="60">
        <v>0.03</v>
      </c>
      <c r="AB130" s="60">
        <v>0.03</v>
      </c>
      <c r="AC130" s="60">
        <v>0.03</v>
      </c>
      <c r="AD130" s="60">
        <v>0.03</v>
      </c>
      <c r="AE130" s="259">
        <f>+AE129/Z129-1</f>
        <v>3.0000000000000027E-2</v>
      </c>
      <c r="AF130" s="60">
        <v>0.03</v>
      </c>
      <c r="AG130" s="60">
        <v>0.03</v>
      </c>
      <c r="AH130" s="60">
        <v>0.03</v>
      </c>
      <c r="AI130" s="60">
        <v>0.03</v>
      </c>
      <c r="AJ130" s="259">
        <f>+AJ129/AE129-1</f>
        <v>3.0000000000000027E-2</v>
      </c>
      <c r="AK130" s="60">
        <v>0.03</v>
      </c>
      <c r="AL130" s="60">
        <v>0.03</v>
      </c>
      <c r="AM130" s="60">
        <v>0.03</v>
      </c>
      <c r="AN130" s="60">
        <v>0.03</v>
      </c>
      <c r="AO130" s="259">
        <f>+AO129/AJ129-1</f>
        <v>3.0000000000000027E-2</v>
      </c>
      <c r="AP130" s="60">
        <v>0.03</v>
      </c>
      <c r="AQ130" s="60">
        <v>0.03</v>
      </c>
      <c r="AR130" s="60">
        <v>0.03</v>
      </c>
      <c r="AS130" s="60">
        <v>0.03</v>
      </c>
      <c r="AT130" s="259">
        <f>+AT129/AO129-1</f>
        <v>3.0000000000000027E-2</v>
      </c>
      <c r="AU130" s="395">
        <v>0.03</v>
      </c>
      <c r="AV130" s="60">
        <v>0.03</v>
      </c>
      <c r="AW130" s="60">
        <v>0.03</v>
      </c>
      <c r="AX130" s="60">
        <v>0.03</v>
      </c>
      <c r="AY130" s="259">
        <f>+AY129/AT129-1</f>
        <v>3.0000000000000027E-2</v>
      </c>
      <c r="AZ130" s="60">
        <v>0.03</v>
      </c>
      <c r="BA130" s="60">
        <v>0.03</v>
      </c>
      <c r="BB130" s="60">
        <v>0.03</v>
      </c>
      <c r="BC130" s="60">
        <v>0.03</v>
      </c>
      <c r="BD130" s="259">
        <f>+BD129/AY129-1</f>
        <v>3.0000000000000027E-2</v>
      </c>
      <c r="BE130" s="60">
        <v>0.03</v>
      </c>
      <c r="BF130" s="60">
        <v>0.03</v>
      </c>
      <c r="BG130" s="60">
        <v>0.03</v>
      </c>
      <c r="BH130" s="60">
        <v>0.03</v>
      </c>
      <c r="BI130" s="259">
        <f>+BI129/BD129-1</f>
        <v>3.0000000000000027E-2</v>
      </c>
      <c r="BJ130" s="60">
        <v>0.03</v>
      </c>
      <c r="BK130" s="60">
        <v>0.03</v>
      </c>
      <c r="BL130" s="60">
        <v>0.03</v>
      </c>
      <c r="BM130" s="60">
        <v>0.03</v>
      </c>
      <c r="BN130" s="259">
        <f>+BN129/BI129-1</f>
        <v>3.0000000000000027E-2</v>
      </c>
      <c r="BO130" s="60">
        <v>0.03</v>
      </c>
      <c r="BP130" s="60">
        <v>0.03</v>
      </c>
      <c r="BQ130" s="60">
        <v>0.03</v>
      </c>
      <c r="BR130" s="60">
        <v>0.03</v>
      </c>
      <c r="BS130" s="259">
        <f>+BS129/BN129-1</f>
        <v>3.0000000000000027E-2</v>
      </c>
      <c r="BT130" s="60">
        <v>0.03</v>
      </c>
      <c r="BU130" s="60">
        <v>0.03</v>
      </c>
      <c r="BV130" s="60">
        <v>0.03</v>
      </c>
      <c r="BW130" s="60">
        <v>0.03</v>
      </c>
      <c r="BX130" s="259">
        <f>+BX129/BS129-1</f>
        <v>3.0000000000000027E-2</v>
      </c>
      <c r="BY130" s="60">
        <v>0.03</v>
      </c>
      <c r="BZ130" s="60">
        <v>0.03</v>
      </c>
      <c r="CA130" s="60">
        <v>0.03</v>
      </c>
      <c r="CB130" s="60">
        <v>0.03</v>
      </c>
      <c r="CC130" s="259">
        <f>+CC129/BX129-1</f>
        <v>3.0000000000000027E-2</v>
      </c>
      <c r="CD130" s="60">
        <v>0.03</v>
      </c>
      <c r="CE130" s="60">
        <v>0.03</v>
      </c>
      <c r="CF130" s="60">
        <v>0.03</v>
      </c>
      <c r="CG130" s="60">
        <v>0.03</v>
      </c>
      <c r="CH130" s="259">
        <f>+CH129/CC129-1</f>
        <v>3.0000000000000027E-2</v>
      </c>
      <c r="CI130" s="60">
        <v>0.03</v>
      </c>
      <c r="CJ130" s="60">
        <v>0.03</v>
      </c>
      <c r="CK130" s="60">
        <v>0.03</v>
      </c>
      <c r="CL130" s="60">
        <v>0.03</v>
      </c>
      <c r="CM130" s="259">
        <f>+CM129/CH129-1</f>
        <v>3.0000000000000027E-2</v>
      </c>
    </row>
    <row r="131" spans="1:91" s="49" customFormat="1">
      <c r="A131" s="49" t="s">
        <v>302</v>
      </c>
      <c r="B131" s="232" t="s">
        <v>294</v>
      </c>
      <c r="C131" s="232" t="s">
        <v>294</v>
      </c>
      <c r="D131" s="232" t="s">
        <v>294</v>
      </c>
      <c r="E131" s="232" t="s">
        <v>294</v>
      </c>
      <c r="F131" s="239" t="s">
        <v>294</v>
      </c>
      <c r="G131" s="232" t="s">
        <v>294</v>
      </c>
      <c r="H131" s="232" t="s">
        <v>294</v>
      </c>
      <c r="I131" s="232" t="s">
        <v>294</v>
      </c>
      <c r="J131" s="232" t="s">
        <v>294</v>
      </c>
      <c r="K131" s="239" t="s">
        <v>294</v>
      </c>
      <c r="L131" s="232" t="s">
        <v>294</v>
      </c>
      <c r="M131" s="232" t="s">
        <v>294</v>
      </c>
      <c r="N131" s="232" t="s">
        <v>294</v>
      </c>
      <c r="O131" s="232" t="s">
        <v>294</v>
      </c>
      <c r="P131" s="239" t="s">
        <v>294</v>
      </c>
      <c r="Q131" s="49">
        <f>+Q129*Q132</f>
        <v>619030</v>
      </c>
      <c r="R131" s="49">
        <f t="shared" ref="R131" si="2503">+R129*R132</f>
        <v>619030</v>
      </c>
      <c r="S131" s="49">
        <f t="shared" ref="S131" si="2504">+S129*S132</f>
        <v>619030</v>
      </c>
      <c r="T131" s="49">
        <f t="shared" ref="T131" si="2505">+T129*T132</f>
        <v>619030</v>
      </c>
      <c r="U131" s="242">
        <f>+Q131+R131+S131+T131</f>
        <v>2476120</v>
      </c>
      <c r="V131" s="49">
        <f>+V129*V132</f>
        <v>637600.9</v>
      </c>
      <c r="W131" s="49">
        <f t="shared" ref="W131" si="2506">+W129*W132</f>
        <v>637600.9</v>
      </c>
      <c r="X131" s="49">
        <f t="shared" ref="X131" si="2507">+X129*X132</f>
        <v>637600.9</v>
      </c>
      <c r="Y131" s="49">
        <f t="shared" ref="Y131" si="2508">+Y129*Y132</f>
        <v>637600.9</v>
      </c>
      <c r="Z131" s="242">
        <f>+V131+W131+X131+Y131</f>
        <v>2550403.6</v>
      </c>
      <c r="AA131" s="49">
        <f>+AA129*AA132</f>
        <v>656728.92700000003</v>
      </c>
      <c r="AB131" s="49">
        <f t="shared" ref="AB131" si="2509">+AB129*AB132</f>
        <v>656728.92700000003</v>
      </c>
      <c r="AC131" s="49">
        <f t="shared" ref="AC131" si="2510">+AC129*AC132</f>
        <v>656728.92700000003</v>
      </c>
      <c r="AD131" s="49">
        <f t="shared" ref="AD131" si="2511">+AD129*AD132</f>
        <v>656728.92700000003</v>
      </c>
      <c r="AE131" s="242">
        <f>+AA131+AB131+AC131+AD131</f>
        <v>2626915.7080000001</v>
      </c>
      <c r="AF131" s="49">
        <f>+AF129*AF132</f>
        <v>676430.79480999999</v>
      </c>
      <c r="AG131" s="49">
        <f t="shared" ref="AG131" si="2512">+AG129*AG132</f>
        <v>676430.79480999999</v>
      </c>
      <c r="AH131" s="49">
        <f t="shared" ref="AH131" si="2513">+AH129*AH132</f>
        <v>676430.79480999999</v>
      </c>
      <c r="AI131" s="49">
        <f t="shared" ref="AI131" si="2514">+AI129*AI132</f>
        <v>676430.79480999999</v>
      </c>
      <c r="AJ131" s="242">
        <f>+AF131+AG131+AH131+AI131</f>
        <v>2705723.17924</v>
      </c>
      <c r="AK131" s="49">
        <f>+AK129*AK132</f>
        <v>696723.71865429997</v>
      </c>
      <c r="AL131" s="49">
        <f t="shared" ref="AL131" si="2515">+AL129*AL132</f>
        <v>696723.71865429997</v>
      </c>
      <c r="AM131" s="49">
        <f t="shared" ref="AM131" si="2516">+AM129*AM132</f>
        <v>696723.71865429997</v>
      </c>
      <c r="AN131" s="49">
        <f t="shared" ref="AN131" si="2517">+AN129*AN132</f>
        <v>696723.71865429997</v>
      </c>
      <c r="AO131" s="242">
        <f>+AK131+AL131+AM131+AN131</f>
        <v>2786894.8746171999</v>
      </c>
      <c r="AP131" s="49">
        <f>+AP129*AP132</f>
        <v>717625.43021392904</v>
      </c>
      <c r="AQ131" s="49">
        <f t="shared" ref="AQ131" si="2518">+AQ129*AQ132</f>
        <v>717625.43021392904</v>
      </c>
      <c r="AR131" s="49">
        <f t="shared" ref="AR131" si="2519">+AR129*AR132</f>
        <v>717625.43021392904</v>
      </c>
      <c r="AS131" s="49">
        <f t="shared" ref="AS131" si="2520">+AS129*AS132</f>
        <v>717625.43021392904</v>
      </c>
      <c r="AT131" s="242">
        <f>+AP131+AQ131+AR131+AS131</f>
        <v>2870501.7208557162</v>
      </c>
      <c r="AU131" s="392">
        <f>+AU129*AU132</f>
        <v>739154.19312034687</v>
      </c>
      <c r="AV131" s="49">
        <f t="shared" ref="AV131" si="2521">+AV129*AV132</f>
        <v>739154.19312034687</v>
      </c>
      <c r="AW131" s="49">
        <f t="shared" ref="AW131" si="2522">+AW129*AW132</f>
        <v>739154.19312034687</v>
      </c>
      <c r="AX131" s="49">
        <f t="shared" ref="AX131" si="2523">+AX129*AX132</f>
        <v>739154.19312034687</v>
      </c>
      <c r="AY131" s="242">
        <f>+AU131+AV131+AW131+AX131</f>
        <v>2956616.7724813875</v>
      </c>
      <c r="AZ131" s="49">
        <f>+AZ129*AZ132</f>
        <v>761328.81891395734</v>
      </c>
      <c r="BA131" s="49">
        <f t="shared" ref="BA131" si="2524">+BA129*BA132</f>
        <v>761328.81891395734</v>
      </c>
      <c r="BB131" s="49">
        <f t="shared" ref="BB131" si="2525">+BB129*BB132</f>
        <v>761328.81891395734</v>
      </c>
      <c r="BC131" s="49">
        <f t="shared" ref="BC131" si="2526">+BC129*BC132</f>
        <v>761328.81891395734</v>
      </c>
      <c r="BD131" s="242">
        <f>+AZ131+BA131+BB131+BC131</f>
        <v>3045315.2756558293</v>
      </c>
      <c r="BE131" s="49">
        <f>+BE129*BE132</f>
        <v>784168.68348137604</v>
      </c>
      <c r="BF131" s="49">
        <f t="shared" ref="BF131" si="2527">+BF129*BF132</f>
        <v>784168.68348137604</v>
      </c>
      <c r="BG131" s="49">
        <f t="shared" ref="BG131" si="2528">+BG129*BG132</f>
        <v>784168.68348137604</v>
      </c>
      <c r="BH131" s="49">
        <f t="shared" ref="BH131" si="2529">+BH129*BH132</f>
        <v>784168.68348137604</v>
      </c>
      <c r="BI131" s="242">
        <f>+BE131+BF131+BG131+BH131</f>
        <v>3136674.7339255041</v>
      </c>
      <c r="BJ131" s="49">
        <f>+BJ129*BJ132</f>
        <v>807693.7439858173</v>
      </c>
      <c r="BK131" s="49">
        <f t="shared" ref="BK131" si="2530">+BK129*BK132</f>
        <v>807693.7439858173</v>
      </c>
      <c r="BL131" s="49">
        <f t="shared" ref="BL131" si="2531">+BL129*BL132</f>
        <v>807693.7439858173</v>
      </c>
      <c r="BM131" s="49">
        <f t="shared" ref="BM131" si="2532">+BM129*BM132</f>
        <v>807693.7439858173</v>
      </c>
      <c r="BN131" s="242">
        <f>+BJ131+BK131+BL131+BM131</f>
        <v>3230774.9759432692</v>
      </c>
      <c r="BO131" s="49">
        <f>+BO129*BO132</f>
        <v>831924.55630539183</v>
      </c>
      <c r="BP131" s="49">
        <f t="shared" ref="BP131" si="2533">+BP129*BP132</f>
        <v>831924.55630539183</v>
      </c>
      <c r="BQ131" s="49">
        <f t="shared" ref="BQ131" si="2534">+BQ129*BQ132</f>
        <v>831924.55630539183</v>
      </c>
      <c r="BR131" s="49">
        <f t="shared" ref="BR131" si="2535">+BR129*BR132</f>
        <v>831924.55630539183</v>
      </c>
      <c r="BS131" s="242">
        <f>+BO131+BP131+BQ131+BR131</f>
        <v>3327698.2252215673</v>
      </c>
      <c r="BT131" s="49">
        <f>+BT129*BT132</f>
        <v>856882.29299455357</v>
      </c>
      <c r="BU131" s="49">
        <f t="shared" ref="BU131" si="2536">+BU129*BU132</f>
        <v>856882.29299455357</v>
      </c>
      <c r="BV131" s="49">
        <f t="shared" ref="BV131" si="2537">+BV129*BV132</f>
        <v>856882.29299455357</v>
      </c>
      <c r="BW131" s="49">
        <f t="shared" ref="BW131" si="2538">+BW129*BW132</f>
        <v>856882.29299455357</v>
      </c>
      <c r="BX131" s="242">
        <f>+BT131+BU131+BV131+BW131</f>
        <v>3427529.1719782143</v>
      </c>
      <c r="BY131" s="49">
        <f>+BY129*BY132</f>
        <v>882588.7617843902</v>
      </c>
      <c r="BZ131" s="49">
        <f t="shared" ref="BZ131" si="2539">+BZ129*BZ132</f>
        <v>882588.7617843902</v>
      </c>
      <c r="CA131" s="49">
        <f t="shared" ref="CA131" si="2540">+CA129*CA132</f>
        <v>882588.7617843902</v>
      </c>
      <c r="CB131" s="49">
        <f t="shared" ref="CB131" si="2541">+CB129*CB132</f>
        <v>882588.7617843902</v>
      </c>
      <c r="CC131" s="242">
        <f>+BY131+BZ131+CA131+CB131</f>
        <v>3530355.0471375608</v>
      </c>
      <c r="CD131" s="49">
        <f>+CD129*CD132</f>
        <v>909066.42463792197</v>
      </c>
      <c r="CE131" s="49">
        <f t="shared" ref="CE131" si="2542">+CE129*CE132</f>
        <v>909066.42463792197</v>
      </c>
      <c r="CF131" s="49">
        <f t="shared" ref="CF131" si="2543">+CF129*CF132</f>
        <v>909066.42463792197</v>
      </c>
      <c r="CG131" s="49">
        <f t="shared" ref="CG131" si="2544">+CG129*CG132</f>
        <v>909066.42463792197</v>
      </c>
      <c r="CH131" s="242">
        <f>+CD131+CE131+CF131+CG131</f>
        <v>3636265.6985516879</v>
      </c>
      <c r="CI131" s="49">
        <f>+CI129*CI132</f>
        <v>936338.4173770597</v>
      </c>
      <c r="CJ131" s="49">
        <f t="shared" ref="CJ131" si="2545">+CJ129*CJ132</f>
        <v>936338.4173770597</v>
      </c>
      <c r="CK131" s="49">
        <f t="shared" ref="CK131" si="2546">+CK129*CK132</f>
        <v>936338.4173770597</v>
      </c>
      <c r="CL131" s="49">
        <f t="shared" ref="CL131" si="2547">+CL129*CL132</f>
        <v>936338.4173770597</v>
      </c>
      <c r="CM131" s="242">
        <f>+CI131+CJ131+CK131+CL131</f>
        <v>3745353.6695082388</v>
      </c>
    </row>
    <row r="132" spans="1:91">
      <c r="A132" s="139" t="s">
        <v>297</v>
      </c>
      <c r="B132" s="232" t="s">
        <v>294</v>
      </c>
      <c r="C132" s="232" t="s">
        <v>294</v>
      </c>
      <c r="D132" s="232" t="s">
        <v>294</v>
      </c>
      <c r="E132" s="232" t="s">
        <v>294</v>
      </c>
      <c r="F132" s="239" t="s">
        <v>294</v>
      </c>
      <c r="G132" s="232" t="s">
        <v>294</v>
      </c>
      <c r="H132" s="232" t="s">
        <v>294</v>
      </c>
      <c r="I132" s="232" t="s">
        <v>294</v>
      </c>
      <c r="J132" s="232" t="s">
        <v>294</v>
      </c>
      <c r="K132" s="239" t="s">
        <v>294</v>
      </c>
      <c r="L132" s="232" t="s">
        <v>294</v>
      </c>
      <c r="M132" s="232" t="s">
        <v>294</v>
      </c>
      <c r="N132" s="232" t="s">
        <v>294</v>
      </c>
      <c r="O132" s="232" t="s">
        <v>294</v>
      </c>
      <c r="P132" s="239" t="s">
        <v>294</v>
      </c>
      <c r="Q132" s="156">
        <v>2</v>
      </c>
      <c r="R132" s="156">
        <v>2</v>
      </c>
      <c r="S132" s="156">
        <v>2</v>
      </c>
      <c r="T132" s="156">
        <v>2</v>
      </c>
      <c r="U132" s="261">
        <f>+U131/U129</f>
        <v>2</v>
      </c>
      <c r="V132" s="156">
        <v>2</v>
      </c>
      <c r="W132" s="156">
        <v>2</v>
      </c>
      <c r="X132" s="156">
        <v>2</v>
      </c>
      <c r="Y132" s="156">
        <v>2</v>
      </c>
      <c r="Z132" s="261">
        <f>+Z131/Z129</f>
        <v>2</v>
      </c>
      <c r="AA132" s="156">
        <v>2</v>
      </c>
      <c r="AB132" s="156">
        <v>2</v>
      </c>
      <c r="AC132" s="156">
        <v>2</v>
      </c>
      <c r="AD132" s="156">
        <v>2</v>
      </c>
      <c r="AE132" s="261">
        <f>+AE131/AE129</f>
        <v>2</v>
      </c>
      <c r="AF132" s="156">
        <v>2</v>
      </c>
      <c r="AG132" s="156">
        <v>2</v>
      </c>
      <c r="AH132" s="156">
        <v>2</v>
      </c>
      <c r="AI132" s="156">
        <v>2</v>
      </c>
      <c r="AJ132" s="261">
        <f>+AJ131/AJ129</f>
        <v>2</v>
      </c>
      <c r="AK132" s="156">
        <v>2</v>
      </c>
      <c r="AL132" s="156">
        <v>2</v>
      </c>
      <c r="AM132" s="156">
        <v>2</v>
      </c>
      <c r="AN132" s="156">
        <v>2</v>
      </c>
      <c r="AO132" s="261">
        <f>+AO131/AO129</f>
        <v>2</v>
      </c>
      <c r="AP132" s="156">
        <v>2</v>
      </c>
      <c r="AQ132" s="156">
        <v>2</v>
      </c>
      <c r="AR132" s="156">
        <v>2</v>
      </c>
      <c r="AS132" s="156">
        <v>2</v>
      </c>
      <c r="AT132" s="261">
        <f>+AT131/AT129</f>
        <v>2</v>
      </c>
      <c r="AU132" s="398">
        <v>2</v>
      </c>
      <c r="AV132" s="156">
        <v>2</v>
      </c>
      <c r="AW132" s="156">
        <v>2</v>
      </c>
      <c r="AX132" s="156">
        <v>2</v>
      </c>
      <c r="AY132" s="261">
        <f>+AY131/AY129</f>
        <v>2</v>
      </c>
      <c r="AZ132" s="156">
        <v>2</v>
      </c>
      <c r="BA132" s="156">
        <v>2</v>
      </c>
      <c r="BB132" s="156">
        <v>2</v>
      </c>
      <c r="BC132" s="156">
        <v>2</v>
      </c>
      <c r="BD132" s="261">
        <f>+BD131/BD129</f>
        <v>2</v>
      </c>
      <c r="BE132" s="156">
        <v>2</v>
      </c>
      <c r="BF132" s="156">
        <v>2</v>
      </c>
      <c r="BG132" s="156">
        <v>2</v>
      </c>
      <c r="BH132" s="156">
        <v>2</v>
      </c>
      <c r="BI132" s="261">
        <f>+BI131/BI129</f>
        <v>2</v>
      </c>
      <c r="BJ132" s="156">
        <v>2</v>
      </c>
      <c r="BK132" s="156">
        <v>2</v>
      </c>
      <c r="BL132" s="156">
        <v>2</v>
      </c>
      <c r="BM132" s="156">
        <v>2</v>
      </c>
      <c r="BN132" s="261">
        <f>+BN131/BN129</f>
        <v>2</v>
      </c>
      <c r="BO132" s="156">
        <v>2</v>
      </c>
      <c r="BP132" s="156">
        <v>2</v>
      </c>
      <c r="BQ132" s="156">
        <v>2</v>
      </c>
      <c r="BR132" s="156">
        <v>2</v>
      </c>
      <c r="BS132" s="261">
        <f>+BS131/BS129</f>
        <v>2</v>
      </c>
      <c r="BT132" s="156">
        <v>2</v>
      </c>
      <c r="BU132" s="156">
        <v>2</v>
      </c>
      <c r="BV132" s="156">
        <v>2</v>
      </c>
      <c r="BW132" s="156">
        <v>2</v>
      </c>
      <c r="BX132" s="261">
        <f>+BX131/BX129</f>
        <v>2</v>
      </c>
      <c r="BY132" s="156">
        <v>2</v>
      </c>
      <c r="BZ132" s="156">
        <v>2</v>
      </c>
      <c r="CA132" s="156">
        <v>2</v>
      </c>
      <c r="CB132" s="156">
        <v>2</v>
      </c>
      <c r="CC132" s="261">
        <f>+CC131/CC129</f>
        <v>2</v>
      </c>
      <c r="CD132" s="156">
        <v>2</v>
      </c>
      <c r="CE132" s="156">
        <v>2</v>
      </c>
      <c r="CF132" s="156">
        <v>2</v>
      </c>
      <c r="CG132" s="156">
        <v>2</v>
      </c>
      <c r="CH132" s="261">
        <f>+CH131/CH129</f>
        <v>2</v>
      </c>
      <c r="CI132" s="156">
        <v>2</v>
      </c>
      <c r="CJ132" s="156">
        <v>2</v>
      </c>
      <c r="CK132" s="156">
        <v>2</v>
      </c>
      <c r="CL132" s="156">
        <v>2</v>
      </c>
      <c r="CM132" s="261">
        <f>+CM131/CM129</f>
        <v>2</v>
      </c>
    </row>
    <row r="133" spans="1:91">
      <c r="F133" s="240"/>
      <c r="K133" s="240"/>
      <c r="P133" s="240"/>
      <c r="U133" s="240"/>
      <c r="Z133" s="240"/>
      <c r="AE133" s="240"/>
      <c r="AJ133" s="240"/>
      <c r="AO133" s="240"/>
      <c r="AT133" s="240"/>
      <c r="AU133" s="374"/>
      <c r="AY133" s="240"/>
      <c r="BD133" s="240"/>
      <c r="BI133" s="240"/>
      <c r="BN133" s="240"/>
      <c r="BS133" s="240"/>
      <c r="BX133" s="240"/>
      <c r="CC133" s="240"/>
      <c r="CH133" s="240"/>
      <c r="CM133" s="240"/>
    </row>
    <row r="134" spans="1:91" s="49" customFormat="1">
      <c r="A134" s="49" t="s">
        <v>299</v>
      </c>
      <c r="B134" s="232" t="s">
        <v>294</v>
      </c>
      <c r="C134" s="232" t="s">
        <v>294</v>
      </c>
      <c r="D134" s="232" t="s">
        <v>294</v>
      </c>
      <c r="E134" s="232" t="s">
        <v>294</v>
      </c>
      <c r="F134" s="239" t="s">
        <v>294</v>
      </c>
      <c r="G134" s="232" t="s">
        <v>294</v>
      </c>
      <c r="H134" s="232" t="s">
        <v>294</v>
      </c>
      <c r="I134" s="232" t="s">
        <v>294</v>
      </c>
      <c r="J134" s="232" t="s">
        <v>294</v>
      </c>
      <c r="K134" s="239" t="s">
        <v>294</v>
      </c>
      <c r="L134" s="232" t="s">
        <v>294</v>
      </c>
      <c r="M134" s="232" t="s">
        <v>294</v>
      </c>
      <c r="N134" s="232" t="s">
        <v>294</v>
      </c>
      <c r="O134" s="232" t="s">
        <v>294</v>
      </c>
      <c r="P134" s="239" t="s">
        <v>294</v>
      </c>
      <c r="Q134" s="49">
        <f>+Q126+Q131</f>
        <v>731581</v>
      </c>
      <c r="R134" s="49">
        <f t="shared" ref="R134:T134" si="2548">+R126+R131</f>
        <v>731581</v>
      </c>
      <c r="S134" s="49">
        <f t="shared" si="2548"/>
        <v>731581</v>
      </c>
      <c r="T134" s="49">
        <f t="shared" si="2548"/>
        <v>731581</v>
      </c>
      <c r="U134" s="242">
        <f>+Q134+R134+S134+T134</f>
        <v>2926324</v>
      </c>
      <c r="V134" s="49">
        <f>+V126+V131</f>
        <v>753528.43</v>
      </c>
      <c r="W134" s="49">
        <f t="shared" ref="W134:Y134" si="2549">+W126+W131</f>
        <v>753528.43</v>
      </c>
      <c r="X134" s="49">
        <f t="shared" si="2549"/>
        <v>753528.43</v>
      </c>
      <c r="Y134" s="49">
        <f t="shared" si="2549"/>
        <v>753528.43</v>
      </c>
      <c r="Z134" s="242">
        <f>+V134+W134+X134+Y134</f>
        <v>3014113.72</v>
      </c>
      <c r="AA134" s="49">
        <f>+AA126+AA131</f>
        <v>776134.28289999999</v>
      </c>
      <c r="AB134" s="49">
        <f t="shared" ref="AB134:AD134" si="2550">+AB126+AB131</f>
        <v>776134.28289999999</v>
      </c>
      <c r="AC134" s="49">
        <f t="shared" si="2550"/>
        <v>776134.28289999999</v>
      </c>
      <c r="AD134" s="49">
        <f t="shared" si="2550"/>
        <v>776134.28289999999</v>
      </c>
      <c r="AE134" s="242">
        <f>+AA134+AB134+AC134+AD134</f>
        <v>3104537.1316</v>
      </c>
      <c r="AF134" s="49">
        <f>+AF126+AF131</f>
        <v>799418.31138700002</v>
      </c>
      <c r="AG134" s="49">
        <f t="shared" ref="AG134:AI134" si="2551">+AG126+AG131</f>
        <v>799418.31138700002</v>
      </c>
      <c r="AH134" s="49">
        <f t="shared" si="2551"/>
        <v>799418.31138700002</v>
      </c>
      <c r="AI134" s="49">
        <f t="shared" si="2551"/>
        <v>799418.31138700002</v>
      </c>
      <c r="AJ134" s="242">
        <f>+AF134+AG134+AH134+AI134</f>
        <v>3197673.2455480001</v>
      </c>
      <c r="AK134" s="49">
        <f>+AK126+AK131</f>
        <v>823400.86072860996</v>
      </c>
      <c r="AL134" s="49">
        <f>+AL126+AL131</f>
        <v>823400.86072860996</v>
      </c>
      <c r="AM134" s="49">
        <f t="shared" ref="AM134:AN134" si="2552">+AM126+AM131</f>
        <v>823400.86072860996</v>
      </c>
      <c r="AN134" s="49">
        <f t="shared" si="2552"/>
        <v>823400.86072860996</v>
      </c>
      <c r="AO134" s="242">
        <f>+AK134+AL134+AM134+AN134</f>
        <v>3293603.4429144398</v>
      </c>
      <c r="AP134" s="49">
        <f>+AP126+AP131</f>
        <v>848102.88655046839</v>
      </c>
      <c r="AQ134" s="49">
        <f t="shared" ref="AQ134:AS134" si="2553">+AQ126+AQ131</f>
        <v>848356.24083461694</v>
      </c>
      <c r="AR134" s="49">
        <f t="shared" si="2553"/>
        <v>848609.5951187656</v>
      </c>
      <c r="AS134" s="49">
        <f t="shared" si="2553"/>
        <v>848102.88655046839</v>
      </c>
      <c r="AT134" s="242">
        <f>+AP134+AQ134+AR134+AS134</f>
        <v>3393171.6090543196</v>
      </c>
      <c r="AU134" s="392">
        <f>+AU126+AU131</f>
        <v>873806.92805965547</v>
      </c>
      <c r="AV134" s="49">
        <f t="shared" ref="AV134:AX134" si="2554">+AV126+AV131</f>
        <v>873806.92805965547</v>
      </c>
      <c r="AW134" s="49">
        <f t="shared" si="2554"/>
        <v>874067.88297232846</v>
      </c>
      <c r="AX134" s="49">
        <f t="shared" si="2554"/>
        <v>873545.97314698237</v>
      </c>
      <c r="AY134" s="242">
        <f>+AU134+AV134+AW134+AX134</f>
        <v>3495227.7122386219</v>
      </c>
      <c r="AZ134" s="49">
        <f>+AZ126+AZ131</f>
        <v>900021.13590144517</v>
      </c>
      <c r="BA134" s="49">
        <f t="shared" ref="BA134:BC134" si="2555">+BA126+BA131</f>
        <v>900021.13590144517</v>
      </c>
      <c r="BB134" s="49">
        <f t="shared" si="2555"/>
        <v>900289.9194614985</v>
      </c>
      <c r="BC134" s="49">
        <f t="shared" si="2555"/>
        <v>899752.35234139184</v>
      </c>
      <c r="BD134" s="242">
        <f>+AZ134+BA134+BB134+BC134</f>
        <v>3600084.5436057812</v>
      </c>
      <c r="BE134" s="49">
        <f>+BE126+BE131</f>
        <v>927021.76997848856</v>
      </c>
      <c r="BF134" s="49">
        <f t="shared" ref="BF134:BH134" si="2556">+BF126+BF131</f>
        <v>927021.76997848856</v>
      </c>
      <c r="BG134" s="49">
        <f t="shared" si="2556"/>
        <v>927298.61704534339</v>
      </c>
      <c r="BH134" s="49">
        <f t="shared" si="2556"/>
        <v>926744.92291163362</v>
      </c>
      <c r="BI134" s="242">
        <f>+BE134+BF134+BG134+BH134</f>
        <v>3708087.0799139543</v>
      </c>
      <c r="BJ134" s="49">
        <f>+BJ126+BJ131</f>
        <v>954832.42307784315</v>
      </c>
      <c r="BK134" s="49">
        <f t="shared" ref="BK134:BM134" si="2557">+BK126+BK131</f>
        <v>954832.42307784315</v>
      </c>
      <c r="BL134" s="49">
        <f t="shared" si="2557"/>
        <v>955117.57555670361</v>
      </c>
      <c r="BM134" s="49">
        <f t="shared" si="2557"/>
        <v>954547.27059898269</v>
      </c>
      <c r="BN134" s="242">
        <f>+BJ134+BK134+BL134+BM134</f>
        <v>3819329.6923113726</v>
      </c>
      <c r="BO134" s="49">
        <f>+BO126+BO131</f>
        <v>983477.39577017841</v>
      </c>
      <c r="BP134" s="49">
        <f t="shared" ref="BP134:BR134" si="2558">+BP126+BP131</f>
        <v>983477.39577017841</v>
      </c>
      <c r="BQ134" s="49">
        <f t="shared" si="2558"/>
        <v>983771.10282340483</v>
      </c>
      <c r="BR134" s="49">
        <f t="shared" si="2558"/>
        <v>983183.68871695211</v>
      </c>
      <c r="BS134" s="242">
        <f>+BO134+BP134+BQ134+BR134</f>
        <v>3933909.5830807141</v>
      </c>
      <c r="BT134" s="49">
        <f>+BT126+BT131</f>
        <v>1012981.7176432838</v>
      </c>
      <c r="BU134" s="49">
        <f t="shared" ref="BU134:BW134" si="2559">+BU126+BU131</f>
        <v>1012981.7176432838</v>
      </c>
      <c r="BV134" s="49">
        <f t="shared" si="2559"/>
        <v>1013284.2359081069</v>
      </c>
      <c r="BW134" s="49">
        <f t="shared" si="2559"/>
        <v>1012679.1993784606</v>
      </c>
      <c r="BX134" s="242">
        <f>+BT134+BU134+BV134+BW134</f>
        <v>4051926.8705731351</v>
      </c>
      <c r="BY134" s="49">
        <f>+BY126+BY131</f>
        <v>1043371.1691725823</v>
      </c>
      <c r="BZ134" s="49">
        <f t="shared" ref="BZ134:CB134" si="2560">+BZ126+BZ131</f>
        <v>1043371.1691725823</v>
      </c>
      <c r="CA134" s="49">
        <f t="shared" si="2560"/>
        <v>1043682.7629853501</v>
      </c>
      <c r="CB134" s="49">
        <f t="shared" si="2560"/>
        <v>1043059.5753598146</v>
      </c>
      <c r="CC134" s="242">
        <f>+BY134+BZ134+CA134+CB134</f>
        <v>4173484.6766903298</v>
      </c>
      <c r="CD134" s="49">
        <f>+CD126+CD131</f>
        <v>1074672.3042477597</v>
      </c>
      <c r="CE134" s="49">
        <f t="shared" ref="CE134:CG134" si="2561">+CE126+CE131</f>
        <v>1074672.3042477597</v>
      </c>
      <c r="CF134" s="49">
        <f t="shared" si="2561"/>
        <v>1074993.2458749106</v>
      </c>
      <c r="CG134" s="49">
        <f t="shared" si="2561"/>
        <v>1074351.3626206091</v>
      </c>
      <c r="CH134" s="242">
        <f>+CD134+CE134+CF134+CG134</f>
        <v>4298689.216991039</v>
      </c>
      <c r="CI134" s="49">
        <f>+CI126+CI131</f>
        <v>1106912.4733751928</v>
      </c>
      <c r="CJ134" s="49">
        <f t="shared" ref="CJ134:CL134" si="2562">+CJ126+CJ131</f>
        <v>1106912.4733751928</v>
      </c>
      <c r="CK134" s="49">
        <f t="shared" si="2562"/>
        <v>1107243.0432511582</v>
      </c>
      <c r="CL134" s="49">
        <f t="shared" si="2562"/>
        <v>1106581.9034992275</v>
      </c>
      <c r="CM134" s="242">
        <f>+CI134+CJ134+CK134+CL134</f>
        <v>4427649.8935007714</v>
      </c>
    </row>
    <row r="135" spans="1:91" s="49" customFormat="1">
      <c r="F135" s="242"/>
      <c r="K135" s="242"/>
      <c r="P135" s="242"/>
      <c r="U135" s="242"/>
      <c r="Z135" s="242"/>
      <c r="AE135" s="242"/>
      <c r="AJ135" s="242"/>
      <c r="AO135" s="242"/>
      <c r="AT135" s="242"/>
      <c r="AU135" s="392"/>
      <c r="AY135" s="242"/>
      <c r="BD135" s="242"/>
      <c r="BI135" s="242"/>
      <c r="BN135" s="242"/>
      <c r="BS135" s="242"/>
      <c r="BX135" s="242"/>
      <c r="CC135" s="242"/>
      <c r="CH135" s="242"/>
      <c r="CM135" s="242"/>
    </row>
    <row r="136" spans="1:91" s="167" customFormat="1">
      <c r="A136" s="167" t="s">
        <v>361</v>
      </c>
      <c r="B136" s="232" t="s">
        <v>294</v>
      </c>
      <c r="C136" s="232" t="s">
        <v>294</v>
      </c>
      <c r="D136" s="232" t="s">
        <v>294</v>
      </c>
      <c r="E136" s="232" t="s">
        <v>294</v>
      </c>
      <c r="F136" s="239" t="s">
        <v>294</v>
      </c>
      <c r="G136" s="232" t="s">
        <v>294</v>
      </c>
      <c r="H136" s="232" t="s">
        <v>294</v>
      </c>
      <c r="I136" s="232" t="s">
        <v>294</v>
      </c>
      <c r="J136" s="232" t="s">
        <v>294</v>
      </c>
      <c r="K136" s="239" t="s">
        <v>294</v>
      </c>
      <c r="L136" s="232" t="s">
        <v>294</v>
      </c>
      <c r="M136" s="232" t="s">
        <v>294</v>
      </c>
      <c r="N136" s="232" t="s">
        <v>294</v>
      </c>
      <c r="O136" s="232" t="s">
        <v>294</v>
      </c>
      <c r="P136" s="239" t="s">
        <v>294</v>
      </c>
      <c r="Q136" s="167">
        <f>+Q134*Q139</f>
        <v>0</v>
      </c>
      <c r="R136" s="167">
        <f>+R134*R139</f>
        <v>0</v>
      </c>
      <c r="S136" s="167">
        <f>+S134*S139</f>
        <v>0</v>
      </c>
      <c r="T136" s="167">
        <f>+T134*T139</f>
        <v>0</v>
      </c>
      <c r="U136" s="249">
        <f>+Q136+R136+S136+T136</f>
        <v>0</v>
      </c>
      <c r="V136" s="167">
        <f>+V134*V139</f>
        <v>0</v>
      </c>
      <c r="W136" s="167">
        <f>+W134*W139</f>
        <v>0</v>
      </c>
      <c r="X136" s="167">
        <f>+X134*X139</f>
        <v>0</v>
      </c>
      <c r="Y136" s="167">
        <f>+Y134*Y139</f>
        <v>0</v>
      </c>
      <c r="Z136" s="249">
        <f>+V136+W136+X136+Y136</f>
        <v>0</v>
      </c>
      <c r="AA136" s="167">
        <v>1652</v>
      </c>
      <c r="AB136" s="167">
        <v>1941</v>
      </c>
      <c r="AC136" s="167">
        <v>2702</v>
      </c>
      <c r="AD136" s="167">
        <v>3513</v>
      </c>
      <c r="AE136" s="249">
        <f>+AA136+AB136+AC136+AD136</f>
        <v>9808</v>
      </c>
      <c r="AF136" s="167">
        <v>4000</v>
      </c>
      <c r="AG136" s="167">
        <v>5500</v>
      </c>
      <c r="AH136" s="167">
        <v>6372</v>
      </c>
      <c r="AI136" s="167">
        <v>7290</v>
      </c>
      <c r="AJ136" s="249">
        <f>+AF136+AG136+AH136+AI136</f>
        <v>23162</v>
      </c>
      <c r="AK136" s="167">
        <v>6000</v>
      </c>
      <c r="AL136" s="167">
        <v>7213</v>
      </c>
      <c r="AM136" s="167">
        <v>7905</v>
      </c>
      <c r="AN136" s="167">
        <v>9470</v>
      </c>
      <c r="AO136" s="249">
        <f>+AK136+AL136+AM136+AN136</f>
        <v>30588</v>
      </c>
      <c r="AP136" s="330">
        <v>10531</v>
      </c>
      <c r="AQ136" s="330">
        <v>12730</v>
      </c>
      <c r="AR136" s="330">
        <v>14500</v>
      </c>
      <c r="AS136" s="330">
        <v>15100</v>
      </c>
      <c r="AT136" s="249">
        <f>+AP136+AQ136+AR136+AS136</f>
        <v>52861</v>
      </c>
      <c r="AU136" s="386">
        <f>+AU134*AU139</f>
        <v>19052.873869260195</v>
      </c>
      <c r="AV136" s="167">
        <f>+AV134*AV139</f>
        <v>22548.101581498817</v>
      </c>
      <c r="AW136" s="167">
        <f>+AW134*AW139</f>
        <v>26051.106909711089</v>
      </c>
      <c r="AX136" s="167">
        <f>+AX134*AX139</f>
        <v>29529.735570351717</v>
      </c>
      <c r="AY136" s="249">
        <f>+AU136+AV136+AW136+AX136</f>
        <v>97181.817930821824</v>
      </c>
      <c r="AZ136" s="167">
        <f>+AZ134*AZ139</f>
        <v>37174.872235416187</v>
      </c>
      <c r="BA136" s="167">
        <f>+BA134*BA139</f>
        <v>43925.03075467702</v>
      </c>
      <c r="BB136" s="167">
        <f>+BB134*BB139</f>
        <v>50690.322982732134</v>
      </c>
      <c r="BC136" s="167">
        <f>+BC134*BC139</f>
        <v>57408.198207704023</v>
      </c>
      <c r="BD136" s="249">
        <f>+AZ136+BA136+BB136+BC136</f>
        <v>189198.42418052937</v>
      </c>
      <c r="BE136" s="167">
        <f>+BE134*BE139</f>
        <v>65637.260616844083</v>
      </c>
      <c r="BF136" s="167">
        <f>+BF134*BF139</f>
        <v>72126.413006693518</v>
      </c>
      <c r="BG136" s="167">
        <f>+BG134*BG139</f>
        <v>78639.043258006393</v>
      </c>
      <c r="BH136" s="167">
        <f>+BH134*BH139</f>
        <v>85079.301995460904</v>
      </c>
      <c r="BI136" s="249">
        <f>+BE136+BF136+BG136+BH136</f>
        <v>301482.01887700486</v>
      </c>
      <c r="BJ136" s="167">
        <f>+BJ134*BJ139</f>
        <v>89090.107954600899</v>
      </c>
      <c r="BK136" s="167">
        <f>+BK134*BK139</f>
        <v>90522.356589217656</v>
      </c>
      <c r="BL136" s="167">
        <f>+BL134*BL139</f>
        <v>91982.066674648682</v>
      </c>
      <c r="BM136" s="167">
        <f>+BM134*BM139</f>
        <v>93358.964678918652</v>
      </c>
      <c r="BN136" s="249">
        <f>+BJ136+BK136+BL136+BM136</f>
        <v>364953.49589738587</v>
      </c>
      <c r="BO136" s="167">
        <f>+BO134*BO139</f>
        <v>100122.36905728544</v>
      </c>
      <c r="BP136" s="167">
        <f>+BP134*BP139</f>
        <v>104056.27864036616</v>
      </c>
      <c r="BQ136" s="167">
        <f>+BQ134*BQ139</f>
        <v>108022.43856300414</v>
      </c>
      <c r="BR136" s="167">
        <f>+BR134*BR139</f>
        <v>111890.67263875745</v>
      </c>
      <c r="BS136" s="249">
        <f>+BO136+BP136+BQ136+BR136</f>
        <v>424091.75889941317</v>
      </c>
      <c r="BT136" s="167">
        <f>+BT134*BT139</f>
        <v>113255.85730543685</v>
      </c>
      <c r="BU136" s="167">
        <f>+BU134*BU139</f>
        <v>117307.78417600998</v>
      </c>
      <c r="BV136" s="167">
        <f>+BV134*BV139</f>
        <v>121395.95407897531</v>
      </c>
      <c r="BW136" s="167">
        <f>+BW134*BW139</f>
        <v>125374.18481170476</v>
      </c>
      <c r="BX136" s="249">
        <f>+BT136+BU136+BV136+BW136</f>
        <v>477333.78037212696</v>
      </c>
      <c r="BY136" s="167">
        <f>+BY134*BY139</f>
        <v>127087.24471632577</v>
      </c>
      <c r="BZ136" s="167">
        <f>+BZ134*BZ139</f>
        <v>131260.72939301611</v>
      </c>
      <c r="CA136" s="167">
        <f>+CA134*CA139</f>
        <v>135474.66033119807</v>
      </c>
      <c r="CB136" s="167">
        <f>+CB134*CB139</f>
        <v>139566.00610965406</v>
      </c>
      <c r="CC136" s="249">
        <f>+BY136+BZ136+CA136+CB136</f>
        <v>533388.64055019408</v>
      </c>
      <c r="CD136" s="167">
        <f>+CD134*CD139</f>
        <v>138959.90433967375</v>
      </c>
      <c r="CE136" s="167">
        <f>+CE134*CE139</f>
        <v>143258.5935566648</v>
      </c>
      <c r="CF136" s="167">
        <f>+CF134*CF139</f>
        <v>147601.34948519585</v>
      </c>
      <c r="CG136" s="167">
        <f>+CG134*CG139</f>
        <v>151810.62151259827</v>
      </c>
      <c r="CH136" s="249">
        <f>+CD136+CE136+CF136+CG136</f>
        <v>581630.46889413265</v>
      </c>
      <c r="CI136" s="167">
        <f>+CI134*CI139</f>
        <v>151430.54502017796</v>
      </c>
      <c r="CJ136" s="167">
        <f>+CJ134*CJ139</f>
        <v>155858.19491367872</v>
      </c>
      <c r="CK136" s="167">
        <f>+CK134*CK139</f>
        <v>160333.71279413547</v>
      </c>
      <c r="CL136" s="167">
        <f>+CL134*CL139</f>
        <v>164664.30443422045</v>
      </c>
      <c r="CM136" s="249">
        <f>+CI136+CJ136+CK136+CL136</f>
        <v>632286.75716221251</v>
      </c>
    </row>
    <row r="137" spans="1:91" s="102" customFormat="1">
      <c r="A137" s="165" t="s">
        <v>291</v>
      </c>
      <c r="B137" s="232" t="s">
        <v>294</v>
      </c>
      <c r="C137" s="232" t="s">
        <v>294</v>
      </c>
      <c r="D137" s="232" t="s">
        <v>294</v>
      </c>
      <c r="E137" s="232" t="s">
        <v>294</v>
      </c>
      <c r="F137" s="239" t="s">
        <v>294</v>
      </c>
      <c r="G137" s="232" t="s">
        <v>294</v>
      </c>
      <c r="H137" s="232" t="s">
        <v>294</v>
      </c>
      <c r="I137" s="232" t="s">
        <v>294</v>
      </c>
      <c r="J137" s="232" t="s">
        <v>294</v>
      </c>
      <c r="K137" s="239" t="s">
        <v>294</v>
      </c>
      <c r="L137" s="232" t="s">
        <v>294</v>
      </c>
      <c r="M137" s="232" t="s">
        <v>294</v>
      </c>
      <c r="N137" s="232" t="s">
        <v>294</v>
      </c>
      <c r="O137" s="232" t="s">
        <v>294</v>
      </c>
      <c r="P137" s="239" t="s">
        <v>294</v>
      </c>
      <c r="Q137" s="158" t="s">
        <v>294</v>
      </c>
      <c r="R137" s="158" t="s">
        <v>294</v>
      </c>
      <c r="S137" s="158" t="s">
        <v>294</v>
      </c>
      <c r="T137" s="158" t="s">
        <v>294</v>
      </c>
      <c r="U137" s="250" t="s">
        <v>294</v>
      </c>
      <c r="V137" s="158" t="s">
        <v>294</v>
      </c>
      <c r="W137" s="158" t="s">
        <v>294</v>
      </c>
      <c r="X137" s="158" t="s">
        <v>294</v>
      </c>
      <c r="Y137" s="158" t="s">
        <v>294</v>
      </c>
      <c r="Z137" s="250" t="s">
        <v>294</v>
      </c>
      <c r="AA137" s="158" t="s">
        <v>294</v>
      </c>
      <c r="AB137" s="158" t="s">
        <v>294</v>
      </c>
      <c r="AC137" s="158" t="s">
        <v>294</v>
      </c>
      <c r="AD137" s="158" t="s">
        <v>294</v>
      </c>
      <c r="AE137" s="250" t="s">
        <v>294</v>
      </c>
      <c r="AF137" s="19">
        <f t="shared" ref="AF137:BK137" si="2563">+AF136/AA136-1</f>
        <v>1.4213075060532687</v>
      </c>
      <c r="AG137" s="19">
        <f t="shared" si="2563"/>
        <v>1.8335909325090158</v>
      </c>
      <c r="AH137" s="19">
        <f t="shared" si="2563"/>
        <v>1.3582531458179128</v>
      </c>
      <c r="AI137" s="19">
        <f t="shared" si="2563"/>
        <v>1.0751494449188725</v>
      </c>
      <c r="AJ137" s="259">
        <f t="shared" si="2563"/>
        <v>1.3615415986949428</v>
      </c>
      <c r="AK137" s="19">
        <f t="shared" si="2563"/>
        <v>0.5</v>
      </c>
      <c r="AL137" s="19">
        <f t="shared" si="2563"/>
        <v>0.31145454545454543</v>
      </c>
      <c r="AM137" s="19">
        <f t="shared" si="2563"/>
        <v>0.24058380414312608</v>
      </c>
      <c r="AN137" s="19">
        <f t="shared" si="2563"/>
        <v>0.2990397805212619</v>
      </c>
      <c r="AO137" s="259">
        <f t="shared" si="2563"/>
        <v>0.32061134617045162</v>
      </c>
      <c r="AP137" s="19">
        <f t="shared" si="2563"/>
        <v>0.75516666666666676</v>
      </c>
      <c r="AQ137" s="19">
        <f t="shared" si="2563"/>
        <v>0.76486898655205882</v>
      </c>
      <c r="AR137" s="19">
        <f t="shared" si="2563"/>
        <v>0.83428209993674884</v>
      </c>
      <c r="AS137" s="19">
        <f t="shared" si="2563"/>
        <v>0.59450897571277728</v>
      </c>
      <c r="AT137" s="259">
        <f t="shared" si="2563"/>
        <v>0.72816137047208063</v>
      </c>
      <c r="AU137" s="379">
        <f t="shared" si="2563"/>
        <v>0.80921791560727319</v>
      </c>
      <c r="AV137" s="19">
        <f t="shared" si="2563"/>
        <v>0.77125699776110102</v>
      </c>
      <c r="AW137" s="19">
        <f t="shared" si="2563"/>
        <v>0.79662806273869569</v>
      </c>
      <c r="AX137" s="19">
        <f t="shared" si="2563"/>
        <v>0.95561162717561032</v>
      </c>
      <c r="AY137" s="259">
        <f t="shared" si="2563"/>
        <v>0.83844077733720179</v>
      </c>
      <c r="AZ137" s="19">
        <f t="shared" si="2563"/>
        <v>0.95114251479898404</v>
      </c>
      <c r="BA137" s="19">
        <f t="shared" si="2563"/>
        <v>0.94805893506876937</v>
      </c>
      <c r="BB137" s="19">
        <f t="shared" si="2563"/>
        <v>0.94580303855865222</v>
      </c>
      <c r="BC137" s="19">
        <f t="shared" si="2563"/>
        <v>0.9440810118646199</v>
      </c>
      <c r="BD137" s="259">
        <f t="shared" si="2563"/>
        <v>0.94685001998222451</v>
      </c>
      <c r="BE137" s="19">
        <f t="shared" si="2563"/>
        <v>0.76563513658325411</v>
      </c>
      <c r="BF137" s="19">
        <f t="shared" si="2563"/>
        <v>0.64203443384074776</v>
      </c>
      <c r="BG137" s="19">
        <f t="shared" si="2563"/>
        <v>0.55136204763964725</v>
      </c>
      <c r="BH137" s="19">
        <f t="shared" si="2563"/>
        <v>0.48200613591184771</v>
      </c>
      <c r="BI137" s="259">
        <f t="shared" si="2563"/>
        <v>0.59347003117392094</v>
      </c>
      <c r="BJ137" s="19">
        <f t="shared" si="2563"/>
        <v>0.35730996567120998</v>
      </c>
      <c r="BK137" s="19">
        <f t="shared" si="2563"/>
        <v>0.2550514134234978</v>
      </c>
      <c r="BL137" s="19">
        <f t="shared" ref="BL137:CM137" si="2564">+BL136/BG136-1</f>
        <v>0.16967428472985402</v>
      </c>
      <c r="BM137" s="19">
        <f t="shared" si="2564"/>
        <v>9.7317002952133747E-2</v>
      </c>
      <c r="BN137" s="259">
        <f t="shared" si="2564"/>
        <v>0.21053155095884968</v>
      </c>
      <c r="BO137" s="19">
        <f t="shared" si="2564"/>
        <v>0.12383261571875548</v>
      </c>
      <c r="BP137" s="19">
        <f t="shared" si="2564"/>
        <v>0.14950916614515708</v>
      </c>
      <c r="BQ137" s="19">
        <f t="shared" si="2564"/>
        <v>0.17438586094278707</v>
      </c>
      <c r="BR137" s="19">
        <f t="shared" si="2564"/>
        <v>0.19849950161265473</v>
      </c>
      <c r="BS137" s="259">
        <f t="shared" si="2564"/>
        <v>0.16204328405352553</v>
      </c>
      <c r="BT137" s="19">
        <f t="shared" si="2564"/>
        <v>0.13117436564687179</v>
      </c>
      <c r="BU137" s="19">
        <f t="shared" si="2564"/>
        <v>0.12734940850078802</v>
      </c>
      <c r="BV137" s="19">
        <f t="shared" si="2564"/>
        <v>0.12380312547907413</v>
      </c>
      <c r="BW137" s="19">
        <f t="shared" si="2564"/>
        <v>0.12050613205695226</v>
      </c>
      <c r="BX137" s="259">
        <f t="shared" si="2564"/>
        <v>0.12554363614818986</v>
      </c>
      <c r="BY137" s="19">
        <f t="shared" si="2564"/>
        <v>0.12212513983791062</v>
      </c>
      <c r="BZ137" s="19">
        <f t="shared" si="2564"/>
        <v>0.11894304640577791</v>
      </c>
      <c r="CA137" s="19">
        <f t="shared" si="2564"/>
        <v>0.11597343881052025</v>
      </c>
      <c r="CB137" s="19">
        <f t="shared" si="2564"/>
        <v>0.11319572142593404</v>
      </c>
      <c r="CC137" s="259">
        <f t="shared" si="2564"/>
        <v>0.1174332563146212</v>
      </c>
      <c r="CD137" s="19">
        <f t="shared" si="2564"/>
        <v>9.3421331541565733E-2</v>
      </c>
      <c r="CE137" s="19">
        <f t="shared" si="2564"/>
        <v>9.1404826250242044E-2</v>
      </c>
      <c r="CF137" s="19">
        <f t="shared" si="2564"/>
        <v>8.9512600543536269E-2</v>
      </c>
      <c r="CG137" s="19">
        <f t="shared" si="2564"/>
        <v>8.7733508640519986E-2</v>
      </c>
      <c r="CH137" s="259">
        <f t="shared" si="2564"/>
        <v>9.0444049003699734E-2</v>
      </c>
      <c r="CI137" s="19">
        <f t="shared" si="2564"/>
        <v>8.9742726434389075E-2</v>
      </c>
      <c r="CJ137" s="19">
        <f t="shared" si="2564"/>
        <v>8.7950056217955597E-2</v>
      </c>
      <c r="CK137" s="19">
        <f t="shared" si="2564"/>
        <v>8.6261835364971784E-2</v>
      </c>
      <c r="CL137" s="19">
        <f t="shared" si="2564"/>
        <v>8.4669193720121161E-2</v>
      </c>
      <c r="CM137" s="259">
        <f t="shared" si="2564"/>
        <v>8.7093594605512692E-2</v>
      </c>
    </row>
    <row r="138" spans="1:91">
      <c r="A138" s="139" t="s">
        <v>292</v>
      </c>
      <c r="B138" s="232" t="s">
        <v>294</v>
      </c>
      <c r="C138" s="232" t="s">
        <v>294</v>
      </c>
      <c r="D138" s="232" t="s">
        <v>294</v>
      </c>
      <c r="E138" s="232" t="s">
        <v>294</v>
      </c>
      <c r="F138" s="239" t="s">
        <v>294</v>
      </c>
      <c r="G138" s="232" t="s">
        <v>294</v>
      </c>
      <c r="H138" s="232" t="s">
        <v>294</v>
      </c>
      <c r="I138" s="232" t="s">
        <v>294</v>
      </c>
      <c r="J138" s="232" t="s">
        <v>294</v>
      </c>
      <c r="K138" s="239" t="s">
        <v>294</v>
      </c>
      <c r="L138" s="232" t="s">
        <v>294</v>
      </c>
      <c r="M138" s="232" t="s">
        <v>294</v>
      </c>
      <c r="N138" s="232" t="s">
        <v>294</v>
      </c>
      <c r="O138" s="232" t="s">
        <v>294</v>
      </c>
      <c r="P138" s="239" t="s">
        <v>294</v>
      </c>
      <c r="Q138" s="158" t="s">
        <v>294</v>
      </c>
      <c r="R138" s="158" t="s">
        <v>294</v>
      </c>
      <c r="S138" s="158" t="s">
        <v>294</v>
      </c>
      <c r="T138" s="158" t="s">
        <v>294</v>
      </c>
      <c r="U138" s="250" t="s">
        <v>294</v>
      </c>
      <c r="V138" s="158" t="s">
        <v>294</v>
      </c>
      <c r="W138" s="158" t="s">
        <v>294</v>
      </c>
      <c r="X138" s="158" t="s">
        <v>294</v>
      </c>
      <c r="Y138" s="158" t="s">
        <v>294</v>
      </c>
      <c r="Z138" s="250" t="s">
        <v>294</v>
      </c>
      <c r="AA138" s="158" t="s">
        <v>294</v>
      </c>
      <c r="AB138" s="19">
        <f>+AB136/AA136-1</f>
        <v>0.17493946731234877</v>
      </c>
      <c r="AC138" s="19">
        <f>+AC136/AB136-1</f>
        <v>0.39206594538897477</v>
      </c>
      <c r="AD138" s="19">
        <f>+AD136/AC136-1</f>
        <v>0.30014803849000748</v>
      </c>
      <c r="AE138" s="251" t="s">
        <v>294</v>
      </c>
      <c r="AF138" s="19">
        <f>+AF136/AD136-1</f>
        <v>0.13862795331625399</v>
      </c>
      <c r="AG138" s="19">
        <f>+AG136/AF136-1</f>
        <v>0.375</v>
      </c>
      <c r="AH138" s="19">
        <f>+AH136/AG136-1</f>
        <v>0.15854545454545454</v>
      </c>
      <c r="AI138" s="19">
        <f>+AI136/AH136-1</f>
        <v>0.14406779661016955</v>
      </c>
      <c r="AJ138" s="251" t="s">
        <v>294</v>
      </c>
      <c r="AK138" s="19">
        <f>+AK136/AI136-1</f>
        <v>-0.17695473251028804</v>
      </c>
      <c r="AL138" s="19">
        <f>+AL136/AK136-1</f>
        <v>0.20216666666666661</v>
      </c>
      <c r="AM138" s="19">
        <f>+AM136/AL136-1</f>
        <v>9.5937889920975961E-2</v>
      </c>
      <c r="AN138" s="19">
        <f>+AN136/AM136-1</f>
        <v>0.19797596457938016</v>
      </c>
      <c r="AO138" s="251" t="s">
        <v>294</v>
      </c>
      <c r="AP138" s="19">
        <f>+AP136/AN136-1</f>
        <v>0.11203801478352693</v>
      </c>
      <c r="AQ138" s="19">
        <f>+AQ136/AP136-1</f>
        <v>0.20881207862501183</v>
      </c>
      <c r="AR138" s="19">
        <f>+AR136/AQ136-1</f>
        <v>0.13904163393558533</v>
      </c>
      <c r="AS138" s="19">
        <f>+AS136/AR136-1</f>
        <v>4.1379310344827669E-2</v>
      </c>
      <c r="AT138" s="251" t="s">
        <v>294</v>
      </c>
      <c r="AU138" s="379">
        <f>+AU136/AS136-1</f>
        <v>0.26177972644107239</v>
      </c>
      <c r="AV138" s="19">
        <f>+AV136/AU136-1</f>
        <v>0.18344884536698713</v>
      </c>
      <c r="AW138" s="19">
        <f>+AW136/AV136-1</f>
        <v>0.15535699604469411</v>
      </c>
      <c r="AX138" s="19">
        <f>+AX136/AW136-1</f>
        <v>0.13353093489259371</v>
      </c>
      <c r="AY138" s="251" t="s">
        <v>294</v>
      </c>
      <c r="AZ138" s="19">
        <f>+AZ136/AX136-1</f>
        <v>0.25889621147641773</v>
      </c>
      <c r="BA138" s="19">
        <f>+BA136/AZ136-1</f>
        <v>0.18157852639046901</v>
      </c>
      <c r="BB138" s="19">
        <f>+BB136/BA136-1</f>
        <v>0.15401906639154173</v>
      </c>
      <c r="BC138" s="19">
        <f>+BC136/BB136-1</f>
        <v>0.13252776525532028</v>
      </c>
      <c r="BD138" s="251" t="s">
        <v>294</v>
      </c>
      <c r="BE138" s="19">
        <f>+BE136/BC136-1</f>
        <v>0.14334298351199148</v>
      </c>
      <c r="BF138" s="19">
        <f>+BF136/BE136-1</f>
        <v>9.8863851551174609E-2</v>
      </c>
      <c r="BG138" s="19">
        <f>+BG136/BF136-1</f>
        <v>9.0294664323713025E-2</v>
      </c>
      <c r="BH138" s="19">
        <f>+BH136/BG136-1</f>
        <v>8.1896453347285902E-2</v>
      </c>
      <c r="BI138" s="251" t="s">
        <v>294</v>
      </c>
      <c r="BJ138" s="19">
        <f>+BJ136/BH136-1</f>
        <v>4.7141970668188815E-2</v>
      </c>
      <c r="BK138" s="19">
        <f>+BK136/BJ136-1</f>
        <v>1.6076404749072903E-2</v>
      </c>
      <c r="BL138" s="19">
        <f>+BL136/BK136-1</f>
        <v>1.6125409682550051E-2</v>
      </c>
      <c r="BM138" s="19">
        <f>+BM136/BL136-1</f>
        <v>1.4969200563194729E-2</v>
      </c>
      <c r="BN138" s="251" t="s">
        <v>294</v>
      </c>
      <c r="BO138" s="19">
        <f>+BO136/BM136-1</f>
        <v>7.2445151910452088E-2</v>
      </c>
      <c r="BP138" s="19">
        <f>+BP136/BO136-1</f>
        <v>3.9291015785192895E-2</v>
      </c>
      <c r="BQ138" s="19">
        <f>+BQ136/BP136-1</f>
        <v>3.811552723642575E-2</v>
      </c>
      <c r="BR138" s="19">
        <f>+BR136/BQ136-1</f>
        <v>3.5809542232257296E-2</v>
      </c>
      <c r="BS138" s="251" t="s">
        <v>294</v>
      </c>
      <c r="BT138" s="19">
        <f>+BT136/BR136-1</f>
        <v>1.2201058716368118E-2</v>
      </c>
      <c r="BU138" s="19">
        <f>+BU136/BT136-1</f>
        <v>3.5776753335110989E-2</v>
      </c>
      <c r="BV138" s="19">
        <f>+BV136/BU136-1</f>
        <v>3.4849945650933023E-2</v>
      </c>
      <c r="BW138" s="19">
        <f>+BW136/BV136-1</f>
        <v>3.2770702803994523E-2</v>
      </c>
      <c r="BX138" s="251" t="s">
        <v>294</v>
      </c>
      <c r="BY138" s="19">
        <f>+BY136/BW136-1</f>
        <v>1.3663577611242594E-2</v>
      </c>
      <c r="BZ138" s="19">
        <f>+BZ136/BY136-1</f>
        <v>3.2839524422817234E-2</v>
      </c>
      <c r="CA138" s="19">
        <f>+CA136/BZ136-1</f>
        <v>3.210351609097617E-2</v>
      </c>
      <c r="CB138" s="19">
        <f>+CB136/CA136-1</f>
        <v>3.0200081465078243E-2</v>
      </c>
      <c r="CC138" s="251" t="s">
        <v>294</v>
      </c>
      <c r="CD138" s="19">
        <f>+CD136/CB136-1</f>
        <v>-4.3427607257321421E-3</v>
      </c>
      <c r="CE138" s="19">
        <f>+CE136/CD136-1</f>
        <v>3.0934745079295167E-2</v>
      </c>
      <c r="CF138" s="19">
        <f>+CF136/CE136-1</f>
        <v>3.0314104171442313E-2</v>
      </c>
      <c r="CG138" s="19">
        <f>+CG136/CF136-1</f>
        <v>2.8517842432223883E-2</v>
      </c>
      <c r="CH138" s="251" t="s">
        <v>294</v>
      </c>
      <c r="CI138" s="19">
        <f>+CI136/CG136-1</f>
        <v>-2.503622530711902E-3</v>
      </c>
      <c r="CJ138" s="19">
        <f>+CJ136/CI136-1</f>
        <v>2.9238816335969586E-2</v>
      </c>
      <c r="CK138" s="19">
        <f>+CK136/CJ136-1</f>
        <v>2.8715319607900636E-2</v>
      </c>
      <c r="CL138" s="19">
        <f>+CL136/CK136-1</f>
        <v>2.7009863144910495E-2</v>
      </c>
      <c r="CM138" s="251" t="s">
        <v>294</v>
      </c>
    </row>
    <row r="139" spans="1:91">
      <c r="A139" s="139" t="s">
        <v>300</v>
      </c>
      <c r="B139" s="232" t="s">
        <v>294</v>
      </c>
      <c r="C139" s="232" t="s">
        <v>294</v>
      </c>
      <c r="D139" s="232" t="s">
        <v>294</v>
      </c>
      <c r="E139" s="232" t="s">
        <v>294</v>
      </c>
      <c r="F139" s="239" t="s">
        <v>294</v>
      </c>
      <c r="G139" s="232" t="s">
        <v>294</v>
      </c>
      <c r="H139" s="232" t="s">
        <v>294</v>
      </c>
      <c r="I139" s="232" t="s">
        <v>294</v>
      </c>
      <c r="J139" s="232" t="s">
        <v>294</v>
      </c>
      <c r="K139" s="239" t="s">
        <v>294</v>
      </c>
      <c r="L139" s="232" t="s">
        <v>294</v>
      </c>
      <c r="M139" s="232" t="s">
        <v>294</v>
      </c>
      <c r="N139" s="232" t="s">
        <v>294</v>
      </c>
      <c r="O139" s="232" t="s">
        <v>294</v>
      </c>
      <c r="P139" s="239" t="s">
        <v>294</v>
      </c>
      <c r="Q139" s="60">
        <v>0</v>
      </c>
      <c r="R139" s="60">
        <v>0</v>
      </c>
      <c r="S139" s="60">
        <v>0</v>
      </c>
      <c r="T139" s="60">
        <v>0</v>
      </c>
      <c r="U139" s="259">
        <f>+U136/U134</f>
        <v>0</v>
      </c>
      <c r="V139" s="60">
        <v>0</v>
      </c>
      <c r="W139" s="60">
        <v>0</v>
      </c>
      <c r="X139" s="60">
        <v>0</v>
      </c>
      <c r="Y139" s="60">
        <v>0</v>
      </c>
      <c r="Z139" s="262">
        <f t="shared" ref="Z139:AO139" si="2565">+Z136/Z134</f>
        <v>0</v>
      </c>
      <c r="AA139" s="19">
        <f t="shared" si="2565"/>
        <v>2.1284976535598413E-3</v>
      </c>
      <c r="AB139" s="19">
        <f t="shared" si="2565"/>
        <v>2.500855899249184E-3</v>
      </c>
      <c r="AC139" s="19">
        <f t="shared" si="2565"/>
        <v>3.48135633166991E-3</v>
      </c>
      <c r="AD139" s="19">
        <f t="shared" si="2565"/>
        <v>4.5262786059054013E-3</v>
      </c>
      <c r="AE139" s="262">
        <f t="shared" si="2565"/>
        <v>3.1592471225960839E-3</v>
      </c>
      <c r="AF139" s="19">
        <f t="shared" si="2565"/>
        <v>5.0036381992050617E-3</v>
      </c>
      <c r="AG139" s="19">
        <f t="shared" si="2565"/>
        <v>6.88000252390696E-3</v>
      </c>
      <c r="AH139" s="19">
        <f t="shared" si="2565"/>
        <v>7.9707956513336634E-3</v>
      </c>
      <c r="AI139" s="19">
        <f t="shared" si="2565"/>
        <v>9.1191306180512244E-3</v>
      </c>
      <c r="AJ139" s="262">
        <f t="shared" si="2565"/>
        <v>7.2433917481242276E-3</v>
      </c>
      <c r="AK139" s="19">
        <f t="shared" si="2565"/>
        <v>7.2868517464151385E-3</v>
      </c>
      <c r="AL139" s="19">
        <f t="shared" si="2565"/>
        <v>8.7600102744820659E-3</v>
      </c>
      <c r="AM139" s="19">
        <f>+AM136/AM134</f>
        <v>9.6004271759019457E-3</v>
      </c>
      <c r="AN139" s="19">
        <f>+AN136/AN134</f>
        <v>1.1501081006425228E-2</v>
      </c>
      <c r="AO139" s="262">
        <f t="shared" si="2565"/>
        <v>9.2870925508060937E-3</v>
      </c>
      <c r="AP139" s="19">
        <f>+AP136/AP134</f>
        <v>1.2417125524514209E-2</v>
      </c>
      <c r="AQ139" s="19">
        <f>+AQ136/AQ134</f>
        <v>1.5005488717188153E-2</v>
      </c>
      <c r="AR139" s="19">
        <f>+AR136/AR134</f>
        <v>1.7086773568675804E-2</v>
      </c>
      <c r="AS139" s="19">
        <f>+AS136/AS134</f>
        <v>1.7804443587519189E-2</v>
      </c>
      <c r="AT139" s="262">
        <f>+AT136/AT134</f>
        <v>1.5578640307771648E-2</v>
      </c>
      <c r="AU139" s="395">
        <f>AS139+0.004</f>
        <v>2.1804443587519189E-2</v>
      </c>
      <c r="AV139" s="60">
        <f>AU139+0.004</f>
        <v>2.5804443587519189E-2</v>
      </c>
      <c r="AW139" s="60">
        <f>AV139+0.004</f>
        <v>2.9804443587519189E-2</v>
      </c>
      <c r="AX139" s="60">
        <f>AW139+0.004</f>
        <v>3.380444358751919E-2</v>
      </c>
      <c r="AY139" s="262">
        <f>+AY136/AY134</f>
        <v>2.7804144946132526E-2</v>
      </c>
      <c r="AZ139" s="60">
        <f>AX139+0.0075</f>
        <v>4.1304443587519189E-2</v>
      </c>
      <c r="BA139" s="60">
        <f>AZ139+0.0075</f>
        <v>4.8804443587519189E-2</v>
      </c>
      <c r="BB139" s="60">
        <f>BA139+0.0075</f>
        <v>5.6304443587519189E-2</v>
      </c>
      <c r="BC139" s="60">
        <f>BB139+0.0075</f>
        <v>6.3804443587519188E-2</v>
      </c>
      <c r="BD139" s="262">
        <f>+BD136/BD134</f>
        <v>5.2553883634919189E-2</v>
      </c>
      <c r="BE139" s="60">
        <f>BC139+0.007</f>
        <v>7.0804443587519195E-2</v>
      </c>
      <c r="BF139" s="60">
        <f>BE139+0.007</f>
        <v>7.7804443587519201E-2</v>
      </c>
      <c r="BG139" s="60">
        <f>BF139+0.007</f>
        <v>8.4804443587519207E-2</v>
      </c>
      <c r="BH139" s="60">
        <f>BG139+0.007</f>
        <v>9.1804443587519213E-2</v>
      </c>
      <c r="BI139" s="262">
        <f>+BI136/BI134</f>
        <v>8.1303920965092522E-2</v>
      </c>
      <c r="BJ139" s="60">
        <f>BH139+0.0015</f>
        <v>9.3304443587519215E-2</v>
      </c>
      <c r="BK139" s="60">
        <f>BJ139+0.0015</f>
        <v>9.4804443587519216E-2</v>
      </c>
      <c r="BL139" s="60">
        <f>BK139+0.0015</f>
        <v>9.6304443587519217E-2</v>
      </c>
      <c r="BM139" s="60">
        <f>BL139+0.0015</f>
        <v>9.7804443587519219E-2</v>
      </c>
      <c r="BN139" s="262">
        <f>+BN136/BN134</f>
        <v>9.5554331596999206E-2</v>
      </c>
      <c r="BO139" s="60">
        <f>BM139+0.004</f>
        <v>0.10180444358751922</v>
      </c>
      <c r="BP139" s="60">
        <f>BO139+0.004</f>
        <v>0.10580444358751923</v>
      </c>
      <c r="BQ139" s="60">
        <f>BP139+0.004</f>
        <v>0.10980444358751923</v>
      </c>
      <c r="BR139" s="60">
        <f>BQ139+0.004</f>
        <v>0.11380444358751923</v>
      </c>
      <c r="BS139" s="262">
        <f>+BS136/BS134</f>
        <v>0.10780414494613255</v>
      </c>
      <c r="BT139" s="60">
        <f>+BO139+0.01</f>
        <v>0.11180444358751922</v>
      </c>
      <c r="BU139" s="60">
        <f>+BP139+0.01</f>
        <v>0.11580444358751922</v>
      </c>
      <c r="BV139" s="60">
        <f>+BQ139+0.01</f>
        <v>0.11980444358751922</v>
      </c>
      <c r="BW139" s="60">
        <f>+BR139+0.01</f>
        <v>0.12380444358751923</v>
      </c>
      <c r="BX139" s="262">
        <f>+BX136/BX134</f>
        <v>0.11780414494613257</v>
      </c>
      <c r="BY139" s="60">
        <f>+BT139+0.01</f>
        <v>0.12180444358751921</v>
      </c>
      <c r="BZ139" s="60">
        <f>+BU139+0.01</f>
        <v>0.12580444358751922</v>
      </c>
      <c r="CA139" s="60">
        <f>+BV139+0.01</f>
        <v>0.12980444358751922</v>
      </c>
      <c r="CB139" s="60">
        <f>+BW139+0.01</f>
        <v>0.13380444358751922</v>
      </c>
      <c r="CC139" s="262">
        <f>+CC136/CC134</f>
        <v>0.12780414494613254</v>
      </c>
      <c r="CD139" s="60">
        <f>+BY139+0.0075</f>
        <v>0.12930444358751922</v>
      </c>
      <c r="CE139" s="60">
        <f>+BZ139+0.0075</f>
        <v>0.13330444358751922</v>
      </c>
      <c r="CF139" s="60">
        <f>+CA139+0.0075</f>
        <v>0.13730444358751923</v>
      </c>
      <c r="CG139" s="60">
        <f>+CB139+0.0075</f>
        <v>0.14130444358751923</v>
      </c>
      <c r="CH139" s="262">
        <f>+CH136/CH134</f>
        <v>0.13530414494613258</v>
      </c>
      <c r="CI139" s="60">
        <f>+CD139+0.0075</f>
        <v>0.13680444358751923</v>
      </c>
      <c r="CJ139" s="60">
        <f>+CE139+0.0075</f>
        <v>0.14080444358751923</v>
      </c>
      <c r="CK139" s="60">
        <f>+CF139+0.0075</f>
        <v>0.14480444358751923</v>
      </c>
      <c r="CL139" s="60">
        <f>+CG139+0.0075</f>
        <v>0.14880444358751924</v>
      </c>
      <c r="CM139" s="262">
        <f>+CM136/CM134</f>
        <v>0.14280414494613256</v>
      </c>
    </row>
    <row r="140" spans="1:91">
      <c r="A140" s="161" t="s">
        <v>340</v>
      </c>
      <c r="B140" s="232" t="s">
        <v>294</v>
      </c>
      <c r="C140" s="232" t="s">
        <v>294</v>
      </c>
      <c r="D140" s="232" t="s">
        <v>294</v>
      </c>
      <c r="E140" s="232" t="s">
        <v>294</v>
      </c>
      <c r="F140" s="239" t="s">
        <v>294</v>
      </c>
      <c r="G140" s="232" t="s">
        <v>294</v>
      </c>
      <c r="H140" s="232" t="s">
        <v>294</v>
      </c>
      <c r="I140" s="232" t="s">
        <v>294</v>
      </c>
      <c r="J140" s="232" t="s">
        <v>294</v>
      </c>
      <c r="K140" s="239" t="s">
        <v>294</v>
      </c>
      <c r="L140" s="232" t="s">
        <v>294</v>
      </c>
      <c r="M140" s="232" t="s">
        <v>294</v>
      </c>
      <c r="N140" s="232" t="s">
        <v>294</v>
      </c>
      <c r="O140" s="232" t="s">
        <v>294</v>
      </c>
      <c r="P140" s="239" t="s">
        <v>294</v>
      </c>
      <c r="Q140" s="232" t="s">
        <v>294</v>
      </c>
      <c r="R140" s="232" t="s">
        <v>294</v>
      </c>
      <c r="S140" s="232" t="s">
        <v>294</v>
      </c>
      <c r="T140" s="232" t="s">
        <v>294</v>
      </c>
      <c r="U140" s="239" t="s">
        <v>294</v>
      </c>
      <c r="V140" s="166">
        <f t="shared" ref="V140" si="2566">+(V139-Q139)*100000</f>
        <v>0</v>
      </c>
      <c r="W140" s="166">
        <f t="shared" ref="W140" si="2567">+(W139-R139)*100000</f>
        <v>0</v>
      </c>
      <c r="X140" s="166">
        <f t="shared" ref="X140" si="2568">+(X139-S139)*100000</f>
        <v>0</v>
      </c>
      <c r="Y140" s="166">
        <f t="shared" ref="Y140" si="2569">+(Y139-T139)*100000</f>
        <v>0</v>
      </c>
      <c r="Z140" s="260">
        <f t="shared" ref="Z140" si="2570">+(Z139-U139)*100000</f>
        <v>0</v>
      </c>
      <c r="AA140" s="166">
        <f>+(AA139-V139)*100000</f>
        <v>212.84976535598412</v>
      </c>
      <c r="AB140" s="166">
        <f t="shared" ref="AB140" si="2571">+(AB139-W139)*100000</f>
        <v>250.08558992491839</v>
      </c>
      <c r="AC140" s="166">
        <f t="shared" ref="AC140" si="2572">+(AC139-X139)*100000</f>
        <v>348.135633166991</v>
      </c>
      <c r="AD140" s="166">
        <f t="shared" ref="AD140" si="2573">+(AD139-Y139)*100000</f>
        <v>452.62786059054014</v>
      </c>
      <c r="AE140" s="260">
        <f t="shared" ref="AE140" si="2574">+(AE139-Z139)*100000</f>
        <v>315.92471225960838</v>
      </c>
      <c r="AF140" s="166">
        <f t="shared" ref="AF140" si="2575">+(AF139-AA139)*100000</f>
        <v>287.51405456452204</v>
      </c>
      <c r="AG140" s="166">
        <f t="shared" ref="AG140" si="2576">+(AG139-AB139)*100000</f>
        <v>437.91466246577755</v>
      </c>
      <c r="AH140" s="166">
        <f t="shared" ref="AH140" si="2577">+(AH139-AC139)*100000</f>
        <v>448.94393196637532</v>
      </c>
      <c r="AI140" s="166">
        <f t="shared" ref="AI140" si="2578">+(AI139-AD139)*100000</f>
        <v>459.28520121458229</v>
      </c>
      <c r="AJ140" s="260">
        <f t="shared" ref="AJ140" si="2579">+(AJ139-AE139)*100000</f>
        <v>408.41446255281437</v>
      </c>
      <c r="AK140" s="166">
        <f t="shared" ref="AK140" si="2580">+(AK139-AF139)*100000</f>
        <v>228.32135472100768</v>
      </c>
      <c r="AL140" s="166">
        <f t="shared" ref="AL140" si="2581">+(AL139-AG139)*100000</f>
        <v>188.00077505751059</v>
      </c>
      <c r="AM140" s="166">
        <f t="shared" ref="AM140" si="2582">+(AM139-AH139)*100000</f>
        <v>162.96315245682823</v>
      </c>
      <c r="AN140" s="166">
        <f>+(AN139-AI139)*100000</f>
        <v>238.19503883740038</v>
      </c>
      <c r="AO140" s="260">
        <f t="shared" ref="AO140" si="2583">+(AO139-AJ139)*100000</f>
        <v>204.37008026818663</v>
      </c>
      <c r="AP140" s="166">
        <f>+(AP139-AK139)*100000</f>
        <v>513.02737780990708</v>
      </c>
      <c r="AQ140" s="166">
        <f t="shared" ref="AQ140" si="2584">+(AQ139-AL139)*100000</f>
        <v>624.54784427060872</v>
      </c>
      <c r="AR140" s="166">
        <f>+(AR139-AM139)*100000</f>
        <v>748.63463927738587</v>
      </c>
      <c r="AS140" s="166">
        <f t="shared" ref="AS140" si="2585">+(AS139-AN139)*100000</f>
        <v>630.33625810939611</v>
      </c>
      <c r="AT140" s="260">
        <f t="shared" ref="AT140" si="2586">+(AT139-AO139)*100000</f>
        <v>629.15477569655548</v>
      </c>
      <c r="AU140" s="394">
        <f t="shared" ref="AU140" si="2587">+(AU139-AP139)*100000</f>
        <v>938.73180630049796</v>
      </c>
      <c r="AV140" s="166">
        <f t="shared" ref="AV140" si="2588">+(AV139-AQ139)*100000</f>
        <v>1079.8954870331036</v>
      </c>
      <c r="AW140" s="166">
        <f t="shared" ref="AW140" si="2589">+(AW139-AR139)*100000</f>
        <v>1271.7670018843385</v>
      </c>
      <c r="AX140" s="166">
        <f t="shared" ref="AX140" si="2590">+(AX139-AS139)*100000</f>
        <v>1600</v>
      </c>
      <c r="AY140" s="260">
        <f>+(AY139-AT139)*100000</f>
        <v>1222.5504638360878</v>
      </c>
      <c r="AZ140" s="166">
        <f t="shared" ref="AZ140" si="2591">+(AZ139-AU139)*100000</f>
        <v>1950</v>
      </c>
      <c r="BA140" s="166">
        <f t="shared" ref="BA140" si="2592">+(BA139-AV139)*100000</f>
        <v>2300</v>
      </c>
      <c r="BB140" s="166">
        <f t="shared" ref="BB140" si="2593">+(BB139-AW139)*100000</f>
        <v>2650</v>
      </c>
      <c r="BC140" s="166">
        <f t="shared" ref="BC140" si="2594">+(BC139-AX139)*100000</f>
        <v>3000</v>
      </c>
      <c r="BD140" s="260">
        <f t="shared" ref="BD140" si="2595">+(BD139-AY139)*100000</f>
        <v>2474.9738688786665</v>
      </c>
      <c r="BE140" s="166">
        <f t="shared" ref="BE140" si="2596">+(BE139-AZ139)*100000</f>
        <v>2950.0000000000005</v>
      </c>
      <c r="BF140" s="166">
        <f t="shared" ref="BF140" si="2597">+(BF139-BA139)*100000</f>
        <v>2900.0000000000014</v>
      </c>
      <c r="BG140" s="166">
        <f t="shared" ref="BG140" si="2598">+(BG139-BB139)*100000</f>
        <v>2850.0000000000018</v>
      </c>
      <c r="BH140" s="166">
        <f t="shared" ref="BH140" si="2599">+(BH139-BC139)*100000</f>
        <v>2800.0000000000023</v>
      </c>
      <c r="BI140" s="260">
        <f t="shared" ref="BI140" si="2600">+(BI139-BD139)*100000</f>
        <v>2875.0037330173332</v>
      </c>
      <c r="BJ140" s="166">
        <f t="shared" ref="BJ140" si="2601">+(BJ139-BE139)*100000</f>
        <v>2250.0000000000018</v>
      </c>
      <c r="BK140" s="166">
        <f t="shared" ref="BK140" si="2602">+(BK139-BF139)*100000</f>
        <v>1700.0000000000016</v>
      </c>
      <c r="BL140" s="166">
        <f t="shared" ref="BL140" si="2603">+(BL139-BG139)*100000</f>
        <v>1150.0000000000009</v>
      </c>
      <c r="BM140" s="166">
        <f t="shared" ref="BM140" si="2604">+(BM139-BH139)*100000</f>
        <v>600.00000000000057</v>
      </c>
      <c r="BN140" s="260">
        <f t="shared" ref="BN140" si="2605">+(BN139-BI139)*100000</f>
        <v>1425.0410631906684</v>
      </c>
      <c r="BO140" s="166">
        <f t="shared" ref="BO140" si="2606">+(BO139-BJ139)*100000</f>
        <v>850.0000000000008</v>
      </c>
      <c r="BP140" s="166">
        <f t="shared" ref="BP140" si="2607">+(BP139-BK139)*100000</f>
        <v>1100.0000000000009</v>
      </c>
      <c r="BQ140" s="166">
        <f t="shared" ref="BQ140" si="2608">+(BQ139-BL139)*100000</f>
        <v>1350.0000000000011</v>
      </c>
      <c r="BR140" s="166">
        <f t="shared" ref="BR140" si="2609">+(BR139-BM139)*100000</f>
        <v>1600.0000000000014</v>
      </c>
      <c r="BS140" s="260">
        <f t="shared" ref="BS140" si="2610">+(BS139-BN139)*100000</f>
        <v>1224.9813349133346</v>
      </c>
      <c r="BT140" s="166">
        <f t="shared" ref="BT140" si="2611">+(BT139-BO139)*100000</f>
        <v>999.99999999999955</v>
      </c>
      <c r="BU140" s="166">
        <f t="shared" ref="BU140" si="2612">+(BU139-BP139)*100000</f>
        <v>999.99999999999955</v>
      </c>
      <c r="BV140" s="166">
        <f t="shared" ref="BV140" si="2613">+(BV139-BQ139)*100000</f>
        <v>999.99999999999955</v>
      </c>
      <c r="BW140" s="166">
        <f t="shared" ref="BW140" si="2614">+(BW139-BR139)*100000</f>
        <v>999.99999999999955</v>
      </c>
      <c r="BX140" s="260">
        <f t="shared" ref="BX140" si="2615">+(BX139-BS139)*100000</f>
        <v>1000.0000000000023</v>
      </c>
      <c r="BY140" s="166">
        <f t="shared" ref="BY140" si="2616">+(BY139-BT139)*100000</f>
        <v>999.99999999999955</v>
      </c>
      <c r="BZ140" s="166">
        <f t="shared" ref="BZ140" si="2617">+(BZ139-BU139)*100000</f>
        <v>999.99999999999955</v>
      </c>
      <c r="CA140" s="166">
        <f t="shared" ref="CA140" si="2618">+(CA139-BV139)*100000</f>
        <v>999.99999999999955</v>
      </c>
      <c r="CB140" s="166">
        <f t="shared" ref="CB140" si="2619">+(CB139-BW139)*100000</f>
        <v>999.99999999999955</v>
      </c>
      <c r="CC140" s="260">
        <f t="shared" ref="CC140" si="2620">+(CC139-BX139)*100000</f>
        <v>999.9999999999967</v>
      </c>
      <c r="CD140" s="166">
        <f t="shared" ref="CD140" si="2621">+(CD139-BY139)*100000</f>
        <v>750.00000000000068</v>
      </c>
      <c r="CE140" s="166">
        <f t="shared" ref="CE140" si="2622">+(CE139-BZ139)*100000</f>
        <v>750.00000000000068</v>
      </c>
      <c r="CF140" s="166">
        <f t="shared" ref="CF140" si="2623">+(CF139-CA139)*100000</f>
        <v>750.00000000000068</v>
      </c>
      <c r="CG140" s="166">
        <f t="shared" ref="CG140" si="2624">+(CG139-CB139)*100000</f>
        <v>750.00000000000068</v>
      </c>
      <c r="CH140" s="260">
        <f t="shared" ref="CH140" si="2625">+(CH139-CC139)*100000</f>
        <v>750.00000000000341</v>
      </c>
      <c r="CI140" s="166">
        <f t="shared" ref="CI140" si="2626">+(CI139-CD139)*100000</f>
        <v>750.00000000000068</v>
      </c>
      <c r="CJ140" s="166">
        <f t="shared" ref="CJ140" si="2627">+(CJ139-CE139)*100000</f>
        <v>750.00000000000068</v>
      </c>
      <c r="CK140" s="166">
        <f t="shared" ref="CK140" si="2628">+(CK139-CF139)*100000</f>
        <v>750.00000000000068</v>
      </c>
      <c r="CL140" s="166">
        <f t="shared" ref="CL140" si="2629">+(CL139-CG139)*100000</f>
        <v>750.00000000000068</v>
      </c>
      <c r="CM140" s="260">
        <f t="shared" ref="CM140" si="2630">+(CM139-CH139)*100000</f>
        <v>749.99999999999784</v>
      </c>
    </row>
    <row r="141" spans="1:91">
      <c r="A141" s="161" t="s">
        <v>341</v>
      </c>
      <c r="B141" s="232" t="s">
        <v>294</v>
      </c>
      <c r="C141" s="232" t="s">
        <v>294</v>
      </c>
      <c r="D141" s="232" t="s">
        <v>294</v>
      </c>
      <c r="E141" s="232" t="s">
        <v>294</v>
      </c>
      <c r="F141" s="239" t="s">
        <v>294</v>
      </c>
      <c r="G141" s="232" t="s">
        <v>294</v>
      </c>
      <c r="H141" s="232" t="s">
        <v>294</v>
      </c>
      <c r="I141" s="232" t="s">
        <v>294</v>
      </c>
      <c r="J141" s="232" t="s">
        <v>294</v>
      </c>
      <c r="K141" s="239" t="s">
        <v>294</v>
      </c>
      <c r="L141" s="232" t="s">
        <v>294</v>
      </c>
      <c r="M141" s="232" t="s">
        <v>294</v>
      </c>
      <c r="N141" s="232" t="s">
        <v>294</v>
      </c>
      <c r="O141" s="232" t="s">
        <v>294</v>
      </c>
      <c r="P141" s="239" t="s">
        <v>294</v>
      </c>
      <c r="Q141" s="232" t="s">
        <v>294</v>
      </c>
      <c r="R141" s="166">
        <f>+(R139-Q139)*100000</f>
        <v>0</v>
      </c>
      <c r="S141" s="166">
        <f t="shared" ref="S141:T141" si="2631">+(S139-R139)*100000</f>
        <v>0</v>
      </c>
      <c r="T141" s="166">
        <f t="shared" si="2631"/>
        <v>0</v>
      </c>
      <c r="U141" s="251" t="s">
        <v>294</v>
      </c>
      <c r="V141" s="166">
        <f>+(V139-T139)*100000</f>
        <v>0</v>
      </c>
      <c r="W141" s="166">
        <f>+(W139-V139)*100000</f>
        <v>0</v>
      </c>
      <c r="X141" s="166">
        <f t="shared" ref="X141:Y141" si="2632">+(X139-W139)*100000</f>
        <v>0</v>
      </c>
      <c r="Y141" s="166">
        <f t="shared" si="2632"/>
        <v>0</v>
      </c>
      <c r="Z141" s="251" t="s">
        <v>294</v>
      </c>
      <c r="AA141" s="166">
        <f>+(AA139-Y139)*100000</f>
        <v>212.84976535598412</v>
      </c>
      <c r="AB141" s="166">
        <f>+(AB139-AA139)*100000</f>
        <v>37.23582456893427</v>
      </c>
      <c r="AC141" s="166">
        <f t="shared" ref="AC141:AD141" si="2633">+(AC139-AB139)*100000</f>
        <v>98.050043242072604</v>
      </c>
      <c r="AD141" s="166">
        <f t="shared" si="2633"/>
        <v>104.49222742354912</v>
      </c>
      <c r="AE141" s="251" t="s">
        <v>294</v>
      </c>
      <c r="AF141" s="166">
        <f>+(AF139-AD139)*100000</f>
        <v>47.735959329966036</v>
      </c>
      <c r="AG141" s="166">
        <f>+(AG139-AF139)*100000</f>
        <v>187.63643247018985</v>
      </c>
      <c r="AH141" s="166">
        <f t="shared" ref="AH141:AI141" si="2634">+(AH139-AG139)*100000</f>
        <v>109.07931274267034</v>
      </c>
      <c r="AI141" s="166">
        <f t="shared" si="2634"/>
        <v>114.83349667175611</v>
      </c>
      <c r="AJ141" s="251" t="s">
        <v>294</v>
      </c>
      <c r="AK141" s="166">
        <f>+(AK139-AI139)*100000</f>
        <v>-183.22788716360859</v>
      </c>
      <c r="AL141" s="166">
        <f>+(AL139-AK139)*100000</f>
        <v>147.31585280669273</v>
      </c>
      <c r="AM141" s="166">
        <f t="shared" ref="AM141:AN141" si="2635">+(AM139-AL139)*100000</f>
        <v>84.041690141987985</v>
      </c>
      <c r="AN141" s="166">
        <f t="shared" si="2635"/>
        <v>190.06538305232826</v>
      </c>
      <c r="AO141" s="251" t="s">
        <v>294</v>
      </c>
      <c r="AP141" s="166">
        <f>+(AP139-AN139)*100000</f>
        <v>91.604451808898091</v>
      </c>
      <c r="AQ141" s="166">
        <f>+(AQ139-AP139)*100000</f>
        <v>258.8363192673944</v>
      </c>
      <c r="AR141" s="166">
        <f t="shared" ref="AR141:AS141" si="2636">+(AR139-AQ139)*100000</f>
        <v>208.12848514876504</v>
      </c>
      <c r="AS141" s="166">
        <f t="shared" si="2636"/>
        <v>71.767001884338526</v>
      </c>
      <c r="AT141" s="251" t="s">
        <v>294</v>
      </c>
      <c r="AU141" s="394">
        <f>+(AU139-AS139)*100000</f>
        <v>400</v>
      </c>
      <c r="AV141" s="166">
        <f>+(AV139-AU139)*100000</f>
        <v>400</v>
      </c>
      <c r="AW141" s="166">
        <f t="shared" ref="AW141:AX141" si="2637">+(AW139-AV139)*100000</f>
        <v>400</v>
      </c>
      <c r="AX141" s="166">
        <f t="shared" si="2637"/>
        <v>400</v>
      </c>
      <c r="AY141" s="251" t="s">
        <v>294</v>
      </c>
      <c r="AZ141" s="166">
        <f>+(AZ139-AX139)*100000</f>
        <v>750</v>
      </c>
      <c r="BA141" s="166">
        <f>+(BA139-AZ139)*100000</f>
        <v>750</v>
      </c>
      <c r="BB141" s="166">
        <f t="shared" ref="BB141:BC141" si="2638">+(BB139-BA139)*100000</f>
        <v>750</v>
      </c>
      <c r="BC141" s="166">
        <f t="shared" si="2638"/>
        <v>750</v>
      </c>
      <c r="BD141" s="251" t="s">
        <v>294</v>
      </c>
      <c r="BE141" s="166">
        <f>+(BE139-BC139)*100000</f>
        <v>700.00000000000057</v>
      </c>
      <c r="BF141" s="166">
        <f>+(BF139-BE139)*100000</f>
        <v>700.00000000000057</v>
      </c>
      <c r="BG141" s="166">
        <f t="shared" ref="BG141:BH141" si="2639">+(BG139-BF139)*100000</f>
        <v>700.00000000000057</v>
      </c>
      <c r="BH141" s="166">
        <f t="shared" si="2639"/>
        <v>700.00000000000057</v>
      </c>
      <c r="BI141" s="251" t="s">
        <v>294</v>
      </c>
      <c r="BJ141" s="166">
        <f>+(BJ139-BH139)*100000</f>
        <v>150.00000000000014</v>
      </c>
      <c r="BK141" s="166">
        <f>+(BK139-BJ139)*100000</f>
        <v>150.00000000000014</v>
      </c>
      <c r="BL141" s="166">
        <f t="shared" ref="BL141:BM141" si="2640">+(BL139-BK139)*100000</f>
        <v>150.00000000000014</v>
      </c>
      <c r="BM141" s="166">
        <f t="shared" si="2640"/>
        <v>150.00000000000014</v>
      </c>
      <c r="BN141" s="251" t="s">
        <v>294</v>
      </c>
      <c r="BO141" s="166">
        <f>+(BO139-BM139)*100000</f>
        <v>400.00000000000034</v>
      </c>
      <c r="BP141" s="166">
        <f>+(BP139-BO139)*100000</f>
        <v>400.00000000000034</v>
      </c>
      <c r="BQ141" s="166">
        <f t="shared" ref="BQ141:BR141" si="2641">+(BQ139-BP139)*100000</f>
        <v>400.00000000000034</v>
      </c>
      <c r="BR141" s="166">
        <f t="shared" si="2641"/>
        <v>400.00000000000034</v>
      </c>
      <c r="BS141" s="251" t="s">
        <v>294</v>
      </c>
      <c r="BT141" s="166">
        <f>+(BT139-BR139)*100000</f>
        <v>-200.00000000000156</v>
      </c>
      <c r="BU141" s="166">
        <f>+(BU139-BT139)*100000</f>
        <v>400.00000000000034</v>
      </c>
      <c r="BV141" s="166">
        <f t="shared" ref="BV141:BW141" si="2642">+(BV139-BU139)*100000</f>
        <v>400.00000000000034</v>
      </c>
      <c r="BW141" s="166">
        <f t="shared" si="2642"/>
        <v>400.00000000000034</v>
      </c>
      <c r="BX141" s="251" t="s">
        <v>294</v>
      </c>
      <c r="BY141" s="166">
        <f>+(BY139-BW139)*100000</f>
        <v>-200.00000000000156</v>
      </c>
      <c r="BZ141" s="166">
        <f>+(BZ139-BY139)*100000</f>
        <v>400.00000000000034</v>
      </c>
      <c r="CA141" s="166">
        <f t="shared" ref="CA141:CB141" si="2643">+(CA139-BZ139)*100000</f>
        <v>400.00000000000034</v>
      </c>
      <c r="CB141" s="166">
        <f t="shared" si="2643"/>
        <v>400.00000000000034</v>
      </c>
      <c r="CC141" s="251" t="s">
        <v>294</v>
      </c>
      <c r="CD141" s="166">
        <f>+(CD139-CB139)*100000</f>
        <v>-450.0000000000004</v>
      </c>
      <c r="CE141" s="166">
        <f>+(CE139-CD139)*100000</f>
        <v>400.00000000000034</v>
      </c>
      <c r="CF141" s="166">
        <f t="shared" ref="CF141:CG141" si="2644">+(CF139-CE139)*100000</f>
        <v>400.00000000000034</v>
      </c>
      <c r="CG141" s="166">
        <f t="shared" si="2644"/>
        <v>400.00000000000034</v>
      </c>
      <c r="CH141" s="251" t="s">
        <v>294</v>
      </c>
      <c r="CI141" s="166">
        <f>+(CI139-CG139)*100000</f>
        <v>-450.0000000000004</v>
      </c>
      <c r="CJ141" s="166">
        <f>+(CJ139-CI139)*100000</f>
        <v>400.00000000000034</v>
      </c>
      <c r="CK141" s="166">
        <f t="shared" ref="CK141:CL141" si="2645">+(CK139-CJ139)*100000</f>
        <v>400.00000000000034</v>
      </c>
      <c r="CL141" s="166">
        <f t="shared" si="2645"/>
        <v>400.00000000000034</v>
      </c>
      <c r="CM141" s="251" t="s">
        <v>294</v>
      </c>
    </row>
    <row r="142" spans="1:91">
      <c r="A142" s="139"/>
      <c r="F142" s="240"/>
      <c r="K142" s="240"/>
      <c r="P142" s="240"/>
      <c r="Q142" s="147"/>
      <c r="R142" s="19"/>
      <c r="S142" s="19"/>
      <c r="T142" s="19"/>
      <c r="U142" s="251"/>
      <c r="V142" s="19"/>
      <c r="W142" s="19"/>
      <c r="X142" s="19"/>
      <c r="Y142" s="19"/>
      <c r="Z142" s="251"/>
      <c r="AA142" s="19"/>
      <c r="AB142" s="19"/>
      <c r="AC142" s="19"/>
      <c r="AD142" s="19"/>
      <c r="AE142" s="251"/>
      <c r="AF142" s="19"/>
      <c r="AG142" s="19"/>
      <c r="AH142" s="19"/>
      <c r="AI142" s="19"/>
      <c r="AJ142" s="251"/>
      <c r="AK142" s="19"/>
      <c r="AL142" s="19"/>
      <c r="AM142" s="19"/>
      <c r="AN142" s="19"/>
      <c r="AO142" s="251"/>
      <c r="AP142" s="19"/>
      <c r="AQ142" s="19"/>
      <c r="AR142" s="19"/>
      <c r="AS142" s="19"/>
      <c r="AT142" s="251"/>
      <c r="AU142" s="379"/>
      <c r="AV142" s="19"/>
      <c r="AW142" s="19"/>
      <c r="AX142" s="19"/>
      <c r="AY142" s="251"/>
      <c r="AZ142" s="19"/>
      <c r="BA142" s="19"/>
      <c r="BB142" s="19"/>
      <c r="BC142" s="19"/>
      <c r="BD142" s="251"/>
      <c r="BE142" s="19"/>
      <c r="BF142" s="19"/>
      <c r="BG142" s="19"/>
      <c r="BH142" s="19"/>
      <c r="BI142" s="251"/>
      <c r="BJ142" s="19"/>
      <c r="BK142" s="19"/>
      <c r="BL142" s="19"/>
      <c r="BM142" s="19"/>
      <c r="BN142" s="251"/>
      <c r="BO142" s="19"/>
      <c r="BP142" s="19"/>
      <c r="BQ142" s="19"/>
      <c r="BR142" s="19"/>
      <c r="BS142" s="251"/>
      <c r="BT142" s="19"/>
      <c r="BU142" s="19"/>
      <c r="BV142" s="19"/>
      <c r="BW142" s="19"/>
      <c r="BX142" s="251"/>
      <c r="BY142" s="19"/>
      <c r="BZ142" s="19"/>
      <c r="CA142" s="19"/>
      <c r="CB142" s="19"/>
      <c r="CC142" s="251"/>
      <c r="CD142" s="19"/>
      <c r="CE142" s="19"/>
      <c r="CF142" s="19"/>
      <c r="CG142" s="19"/>
      <c r="CH142" s="251"/>
      <c r="CI142" s="19"/>
      <c r="CJ142" s="19"/>
      <c r="CK142" s="19"/>
      <c r="CL142" s="19"/>
      <c r="CM142" s="251"/>
    </row>
    <row r="143" spans="1:91" s="42" customFormat="1">
      <c r="A143" s="42" t="s">
        <v>335</v>
      </c>
      <c r="B143" s="232" t="s">
        <v>294</v>
      </c>
      <c r="C143" s="232" t="s">
        <v>294</v>
      </c>
      <c r="D143" s="232" t="s">
        <v>294</v>
      </c>
      <c r="E143" s="232" t="s">
        <v>294</v>
      </c>
      <c r="F143" s="239" t="s">
        <v>294</v>
      </c>
      <c r="G143" s="232" t="s">
        <v>294</v>
      </c>
      <c r="H143" s="232" t="s">
        <v>294</v>
      </c>
      <c r="I143" s="232" t="s">
        <v>294</v>
      </c>
      <c r="J143" s="232" t="s">
        <v>294</v>
      </c>
      <c r="K143" s="239" t="s">
        <v>294</v>
      </c>
      <c r="L143" s="232" t="s">
        <v>294</v>
      </c>
      <c r="M143" s="232" t="s">
        <v>294</v>
      </c>
      <c r="N143" s="232" t="s">
        <v>294</v>
      </c>
      <c r="O143" s="232" t="s">
        <v>294</v>
      </c>
      <c r="P143" s="239" t="s">
        <v>294</v>
      </c>
      <c r="Q143" s="168">
        <v>0</v>
      </c>
      <c r="R143" s="168">
        <v>0</v>
      </c>
      <c r="S143" s="168">
        <v>0</v>
      </c>
      <c r="T143" s="168">
        <v>0</v>
      </c>
      <c r="U143" s="338" t="s">
        <v>294</v>
      </c>
      <c r="V143" s="168">
        <v>0</v>
      </c>
      <c r="W143" s="168">
        <v>0</v>
      </c>
      <c r="X143" s="168">
        <v>0</v>
      </c>
      <c r="Y143" s="168">
        <v>0</v>
      </c>
      <c r="Z143" s="338" t="s">
        <v>294</v>
      </c>
      <c r="AA143" s="168">
        <v>295</v>
      </c>
      <c r="AB143" s="168">
        <v>340</v>
      </c>
      <c r="AC143" s="168">
        <v>320</v>
      </c>
      <c r="AD143" s="168">
        <v>390</v>
      </c>
      <c r="AE143" s="255">
        <f>+AE147/AE136*1000000</f>
        <v>344.8195350734095</v>
      </c>
      <c r="AF143" s="168">
        <v>430</v>
      </c>
      <c r="AG143" s="168">
        <v>453</v>
      </c>
      <c r="AH143" s="168">
        <v>450</v>
      </c>
      <c r="AI143" s="168">
        <v>460</v>
      </c>
      <c r="AJ143" s="255">
        <f>+AJ147/AJ136*1000000</f>
        <v>450.40583714705122</v>
      </c>
      <c r="AK143" s="168">
        <v>500</v>
      </c>
      <c r="AL143" s="168">
        <v>500</v>
      </c>
      <c r="AM143" s="168">
        <v>500</v>
      </c>
      <c r="AN143" s="168">
        <v>500</v>
      </c>
      <c r="AO143" s="255">
        <f>+AO147/AO136*1000000</f>
        <v>500</v>
      </c>
      <c r="AP143" s="168">
        <v>595</v>
      </c>
      <c r="AQ143" s="168">
        <v>635</v>
      </c>
      <c r="AR143" s="168">
        <v>650</v>
      </c>
      <c r="AS143" s="168">
        <v>650</v>
      </c>
      <c r="AT143" s="255">
        <f>+AT147/AT136*1000000</f>
        <v>635.43056317511969</v>
      </c>
      <c r="AU143" s="396">
        <v>680</v>
      </c>
      <c r="AV143" s="168">
        <v>690</v>
      </c>
      <c r="AW143" s="168">
        <v>695</v>
      </c>
      <c r="AX143" s="168">
        <v>700</v>
      </c>
      <c r="AY143" s="255">
        <f>+AY147/AY136*1000000</f>
        <v>692.41839632725089</v>
      </c>
      <c r="AZ143" s="168">
        <v>750</v>
      </c>
      <c r="BA143" s="168">
        <v>775</v>
      </c>
      <c r="BB143" s="168">
        <v>800</v>
      </c>
      <c r="BC143" s="168">
        <v>850</v>
      </c>
      <c r="BD143" s="255">
        <f>+BD147/BD136*1000000</f>
        <v>799.5430222496459</v>
      </c>
      <c r="BE143" s="168">
        <v>875</v>
      </c>
      <c r="BF143" s="168">
        <v>925</v>
      </c>
      <c r="BG143" s="168">
        <v>950</v>
      </c>
      <c r="BH143" s="168">
        <v>1000</v>
      </c>
      <c r="BI143" s="255">
        <f>+BI147/BI136*1000000</f>
        <v>941.80053994309333</v>
      </c>
      <c r="BJ143" s="168">
        <f>+BH143+25</f>
        <v>1025</v>
      </c>
      <c r="BK143" s="168">
        <f>+BJ143+15</f>
        <v>1040</v>
      </c>
      <c r="BL143" s="168">
        <f>+BK143+15</f>
        <v>1055</v>
      </c>
      <c r="BM143" s="168">
        <f>+BL143+15</f>
        <v>1070</v>
      </c>
      <c r="BN143" s="255">
        <f>+BN147/BN136*1000000</f>
        <v>1047.7931800986721</v>
      </c>
      <c r="BO143" s="168">
        <f>+BJ143+50</f>
        <v>1075</v>
      </c>
      <c r="BP143" s="168">
        <f>+BK143+50</f>
        <v>1090</v>
      </c>
      <c r="BQ143" s="168">
        <f>+BL143+50</f>
        <v>1105</v>
      </c>
      <c r="BR143" s="168">
        <f>+BM143+50</f>
        <v>1120</v>
      </c>
      <c r="BS143" s="255">
        <f>+BS147/BS136*1000000</f>
        <v>1098.194503073503</v>
      </c>
      <c r="BT143" s="168">
        <f>+BO143+50</f>
        <v>1125</v>
      </c>
      <c r="BU143" s="168">
        <f>+BP143+50</f>
        <v>1140</v>
      </c>
      <c r="BV143" s="168">
        <f>+BQ143+50</f>
        <v>1155</v>
      </c>
      <c r="BW143" s="168">
        <f>+BR143+50</f>
        <v>1170</v>
      </c>
      <c r="BX143" s="255">
        <f>+BX147/BX136*1000000</f>
        <v>1148.1354539645754</v>
      </c>
      <c r="BY143" s="168">
        <f>+BT143+25</f>
        <v>1150</v>
      </c>
      <c r="BZ143" s="168">
        <f t="shared" ref="BZ143:CB143" si="2646">+BU143+25</f>
        <v>1165</v>
      </c>
      <c r="CA143" s="168">
        <f t="shared" si="2646"/>
        <v>1180</v>
      </c>
      <c r="CB143" s="168">
        <f t="shared" si="2646"/>
        <v>1195</v>
      </c>
      <c r="CC143" s="255">
        <f>+CC147/CC136*1000000</f>
        <v>1173.085645418065</v>
      </c>
      <c r="CD143" s="168">
        <f>+BY143+25</f>
        <v>1175</v>
      </c>
      <c r="CE143" s="168">
        <f t="shared" ref="CE143" si="2647">+BZ143+25</f>
        <v>1190</v>
      </c>
      <c r="CF143" s="168">
        <f t="shared" ref="CF143" si="2648">+CA143+25</f>
        <v>1205</v>
      </c>
      <c r="CG143" s="168">
        <f t="shared" ref="CG143" si="2649">+CB143+25</f>
        <v>1220</v>
      </c>
      <c r="CH143" s="255">
        <f>+CH147/CH136*1000000</f>
        <v>1198.0531206204973</v>
      </c>
      <c r="CI143" s="168">
        <f>+CD143+25</f>
        <v>1200</v>
      </c>
      <c r="CJ143" s="168">
        <f t="shared" ref="CJ143" si="2650">+CE143+25</f>
        <v>1215</v>
      </c>
      <c r="CK143" s="168">
        <f t="shared" ref="CK143" si="2651">+CF143+25</f>
        <v>1230</v>
      </c>
      <c r="CL143" s="168">
        <f t="shared" ref="CL143" si="2652">+CG143+25</f>
        <v>1245</v>
      </c>
      <c r="CM143" s="255">
        <f>+CM147/CM136*1000000</f>
        <v>1223.0240121940978</v>
      </c>
    </row>
    <row r="144" spans="1:91">
      <c r="A144" s="165" t="s">
        <v>291</v>
      </c>
      <c r="B144" s="232" t="s">
        <v>294</v>
      </c>
      <c r="C144" s="232" t="s">
        <v>294</v>
      </c>
      <c r="D144" s="232" t="s">
        <v>294</v>
      </c>
      <c r="E144" s="232" t="s">
        <v>294</v>
      </c>
      <c r="F144" s="239" t="s">
        <v>294</v>
      </c>
      <c r="G144" s="232" t="s">
        <v>294</v>
      </c>
      <c r="H144" s="232" t="s">
        <v>294</v>
      </c>
      <c r="I144" s="232" t="s">
        <v>294</v>
      </c>
      <c r="J144" s="232" t="s">
        <v>294</v>
      </c>
      <c r="K144" s="239" t="s">
        <v>294</v>
      </c>
      <c r="L144" s="232" t="s">
        <v>294</v>
      </c>
      <c r="M144" s="232" t="s">
        <v>294</v>
      </c>
      <c r="N144" s="232" t="s">
        <v>294</v>
      </c>
      <c r="O144" s="232" t="s">
        <v>294</v>
      </c>
      <c r="P144" s="239" t="s">
        <v>294</v>
      </c>
      <c r="Q144" s="155"/>
      <c r="R144" s="155"/>
      <c r="S144" s="155"/>
      <c r="T144" s="155"/>
      <c r="U144" s="256"/>
      <c r="V144" s="155"/>
      <c r="W144" s="155"/>
      <c r="X144" s="155"/>
      <c r="Y144" s="155"/>
      <c r="Z144" s="256"/>
      <c r="AA144" s="155"/>
      <c r="AB144" s="155"/>
      <c r="AC144" s="155"/>
      <c r="AD144" s="155"/>
      <c r="AE144" s="256"/>
      <c r="AF144" s="155"/>
      <c r="AG144" s="155"/>
      <c r="AH144" s="155"/>
      <c r="AI144" s="155"/>
      <c r="AJ144" s="256"/>
      <c r="AK144" s="155"/>
      <c r="AL144" s="155"/>
      <c r="AM144" s="155"/>
      <c r="AN144" s="155"/>
      <c r="AO144" s="256"/>
      <c r="AP144" s="155"/>
      <c r="AQ144" s="155"/>
      <c r="AR144" s="155"/>
      <c r="AS144" s="155"/>
      <c r="AT144" s="256"/>
      <c r="AU144" s="397"/>
      <c r="AV144" s="155"/>
      <c r="AW144" s="155"/>
      <c r="AX144" s="155"/>
      <c r="AY144" s="256"/>
      <c r="AZ144" s="155"/>
      <c r="BA144" s="155"/>
      <c r="BB144" s="155"/>
      <c r="BC144" s="155"/>
      <c r="BD144" s="256"/>
      <c r="BE144" s="155"/>
      <c r="BF144" s="155"/>
      <c r="BG144" s="155"/>
      <c r="BH144" s="155"/>
      <c r="BI144" s="256"/>
      <c r="BJ144" s="155"/>
      <c r="BK144" s="155"/>
      <c r="BL144" s="155"/>
      <c r="BM144" s="155"/>
      <c r="BN144" s="256"/>
      <c r="BO144" s="155"/>
      <c r="BP144" s="155"/>
      <c r="BQ144" s="155"/>
      <c r="BR144" s="155"/>
      <c r="BS144" s="256"/>
      <c r="BT144" s="155"/>
      <c r="BU144" s="155"/>
      <c r="BV144" s="155"/>
      <c r="BW144" s="155"/>
      <c r="BX144" s="256"/>
      <c r="BY144" s="155"/>
      <c r="BZ144" s="155"/>
      <c r="CA144" s="155"/>
      <c r="CB144" s="155"/>
      <c r="CC144" s="256"/>
      <c r="CD144" s="155"/>
      <c r="CE144" s="155"/>
      <c r="CF144" s="155"/>
      <c r="CG144" s="155"/>
      <c r="CH144" s="256"/>
      <c r="CI144" s="155"/>
      <c r="CJ144" s="155"/>
      <c r="CK144" s="155"/>
      <c r="CL144" s="155"/>
      <c r="CM144" s="256"/>
    </row>
    <row r="145" spans="1:93">
      <c r="A145" s="139" t="s">
        <v>292</v>
      </c>
      <c r="B145" s="232" t="s">
        <v>294</v>
      </c>
      <c r="C145" s="232" t="s">
        <v>294</v>
      </c>
      <c r="D145" s="232" t="s">
        <v>294</v>
      </c>
      <c r="E145" s="232" t="s">
        <v>294</v>
      </c>
      <c r="F145" s="239" t="s">
        <v>294</v>
      </c>
      <c r="G145" s="232" t="s">
        <v>294</v>
      </c>
      <c r="H145" s="232" t="s">
        <v>294</v>
      </c>
      <c r="I145" s="232" t="s">
        <v>294</v>
      </c>
      <c r="J145" s="232" t="s">
        <v>294</v>
      </c>
      <c r="K145" s="239" t="s">
        <v>294</v>
      </c>
      <c r="L145" s="232" t="s">
        <v>294</v>
      </c>
      <c r="M145" s="232" t="s">
        <v>294</v>
      </c>
      <c r="N145" s="232" t="s">
        <v>294</v>
      </c>
      <c r="O145" s="232" t="s">
        <v>294</v>
      </c>
      <c r="P145" s="239" t="s">
        <v>294</v>
      </c>
      <c r="Q145" s="155"/>
      <c r="R145" s="155"/>
      <c r="S145" s="155"/>
      <c r="T145" s="155"/>
      <c r="U145" s="256"/>
      <c r="V145" s="155"/>
      <c r="W145" s="155"/>
      <c r="X145" s="155"/>
      <c r="Y145" s="155"/>
      <c r="Z145" s="256"/>
      <c r="AA145" s="155"/>
      <c r="AB145" s="155"/>
      <c r="AC145" s="155"/>
      <c r="AD145" s="155"/>
      <c r="AE145" s="256"/>
      <c r="AF145" s="155"/>
      <c r="AG145" s="155"/>
      <c r="AH145" s="155"/>
      <c r="AI145" s="155"/>
      <c r="AJ145" s="256"/>
      <c r="AK145" s="155"/>
      <c r="AL145" s="155"/>
      <c r="AM145" s="155"/>
      <c r="AN145" s="155"/>
      <c r="AO145" s="256"/>
      <c r="AP145" s="155"/>
      <c r="AQ145" s="155"/>
      <c r="AR145" s="155"/>
      <c r="AS145" s="155"/>
      <c r="AT145" s="256"/>
      <c r="AU145" s="397"/>
      <c r="AV145" s="155"/>
      <c r="AW145" s="155"/>
      <c r="AX145" s="155"/>
      <c r="AY145" s="256"/>
      <c r="AZ145" s="155"/>
      <c r="BA145" s="155"/>
      <c r="BB145" s="155"/>
      <c r="BC145" s="155"/>
      <c r="BD145" s="256"/>
      <c r="BE145" s="155"/>
      <c r="BF145" s="155"/>
      <c r="BG145" s="155"/>
      <c r="BH145" s="155"/>
      <c r="BI145" s="256"/>
      <c r="BJ145" s="155"/>
      <c r="BK145" s="155"/>
      <c r="BL145" s="155"/>
      <c r="BM145" s="155"/>
      <c r="BN145" s="256"/>
      <c r="BO145" s="155"/>
      <c r="BP145" s="155"/>
      <c r="BQ145" s="155"/>
      <c r="BR145" s="155"/>
      <c r="BS145" s="256"/>
      <c r="BT145" s="155"/>
      <c r="BU145" s="155"/>
      <c r="BV145" s="155"/>
      <c r="BW145" s="155"/>
      <c r="BX145" s="256"/>
      <c r="BY145" s="155"/>
      <c r="BZ145" s="155"/>
      <c r="CA145" s="155"/>
      <c r="CB145" s="155"/>
      <c r="CC145" s="256"/>
      <c r="CD145" s="155"/>
      <c r="CE145" s="155"/>
      <c r="CF145" s="155"/>
      <c r="CG145" s="155"/>
      <c r="CH145" s="256"/>
      <c r="CI145" s="155"/>
      <c r="CJ145" s="155"/>
      <c r="CK145" s="155"/>
      <c r="CL145" s="155"/>
      <c r="CM145" s="256"/>
    </row>
    <row r="146" spans="1:93">
      <c r="F146" s="240"/>
      <c r="K146" s="240"/>
      <c r="P146" s="240"/>
      <c r="Q146" s="155"/>
      <c r="R146" s="155"/>
      <c r="S146" s="155"/>
      <c r="T146" s="155"/>
      <c r="U146" s="256"/>
      <c r="V146" s="155"/>
      <c r="W146" s="155"/>
      <c r="X146" s="155"/>
      <c r="Y146" s="155"/>
      <c r="Z146" s="256"/>
      <c r="AA146" s="155"/>
      <c r="AB146" s="155"/>
      <c r="AC146" s="155"/>
      <c r="AD146" s="155"/>
      <c r="AE146" s="256"/>
      <c r="AF146" s="155"/>
      <c r="AG146" s="155"/>
      <c r="AH146" s="155"/>
      <c r="AI146" s="155"/>
      <c r="AJ146" s="256"/>
      <c r="AK146" s="155"/>
      <c r="AL146" s="155"/>
      <c r="AM146" s="155"/>
      <c r="AN146" s="155"/>
      <c r="AO146" s="256"/>
      <c r="AP146" s="155"/>
      <c r="AQ146" s="155"/>
      <c r="AR146" s="155"/>
      <c r="AS146" s="155"/>
      <c r="AT146" s="256"/>
      <c r="AU146" s="397"/>
      <c r="AV146" s="155"/>
      <c r="AW146" s="155"/>
      <c r="AX146" s="155"/>
      <c r="AY146" s="256"/>
      <c r="AZ146" s="155"/>
      <c r="BA146" s="155"/>
      <c r="BB146" s="155"/>
      <c r="BC146" s="155"/>
      <c r="BD146" s="256"/>
      <c r="BE146" s="155"/>
      <c r="BF146" s="155"/>
      <c r="BG146" s="155"/>
      <c r="BH146" s="155"/>
      <c r="BI146" s="256"/>
      <c r="BJ146" s="155"/>
      <c r="BK146" s="155"/>
      <c r="BL146" s="155"/>
      <c r="BM146" s="155"/>
      <c r="BN146" s="256"/>
      <c r="BO146" s="155"/>
      <c r="BP146" s="155"/>
      <c r="BQ146" s="155"/>
      <c r="BR146" s="155"/>
      <c r="BS146" s="256"/>
      <c r="BT146" s="155"/>
      <c r="BU146" s="155"/>
      <c r="BV146" s="155"/>
      <c r="BW146" s="155"/>
      <c r="BX146" s="256"/>
      <c r="BY146" s="155"/>
      <c r="BZ146" s="155"/>
      <c r="CA146" s="155"/>
      <c r="CB146" s="155"/>
      <c r="CC146" s="256"/>
      <c r="CD146" s="155"/>
      <c r="CE146" s="155"/>
      <c r="CF146" s="155"/>
      <c r="CG146" s="155"/>
      <c r="CH146" s="256"/>
      <c r="CI146" s="155"/>
      <c r="CJ146" s="155"/>
      <c r="CK146" s="155"/>
      <c r="CL146" s="155"/>
      <c r="CM146" s="256"/>
    </row>
    <row r="147" spans="1:93" s="170" customFormat="1">
      <c r="A147" s="170" t="s">
        <v>426</v>
      </c>
      <c r="B147" s="232" t="s">
        <v>294</v>
      </c>
      <c r="C147" s="232" t="s">
        <v>294</v>
      </c>
      <c r="D147" s="232" t="s">
        <v>294</v>
      </c>
      <c r="E147" s="232" t="s">
        <v>294</v>
      </c>
      <c r="F147" s="239" t="s">
        <v>294</v>
      </c>
      <c r="G147" s="232" t="s">
        <v>294</v>
      </c>
      <c r="H147" s="232" t="s">
        <v>294</v>
      </c>
      <c r="I147" s="232" t="s">
        <v>294</v>
      </c>
      <c r="J147" s="232" t="s">
        <v>294</v>
      </c>
      <c r="K147" s="239" t="s">
        <v>294</v>
      </c>
      <c r="L147" s="232" t="s">
        <v>294</v>
      </c>
      <c r="M147" s="232" t="s">
        <v>294</v>
      </c>
      <c r="N147" s="232" t="s">
        <v>294</v>
      </c>
      <c r="O147" s="232" t="s">
        <v>294</v>
      </c>
      <c r="P147" s="239" t="s">
        <v>294</v>
      </c>
      <c r="Q147" s="170">
        <f>+Q143*Q136/1000000</f>
        <v>0</v>
      </c>
      <c r="R147" s="170">
        <f>+R143*R136/1000000</f>
        <v>0</v>
      </c>
      <c r="S147" s="170">
        <f>+S143*S136/1000000</f>
        <v>0</v>
      </c>
      <c r="T147" s="170">
        <f>+T143*T136/1000000</f>
        <v>0</v>
      </c>
      <c r="U147" s="253">
        <f>+Q147+R147+S147+T147</f>
        <v>0</v>
      </c>
      <c r="V147" s="170">
        <f>+V143*V136/1000000</f>
        <v>0</v>
      </c>
      <c r="W147" s="170">
        <f>+W143*W136/1000000</f>
        <v>0</v>
      </c>
      <c r="X147" s="170">
        <f>+X143*X136/1000000</f>
        <v>0</v>
      </c>
      <c r="Y147" s="170">
        <f>+Y143*Y136/1000000</f>
        <v>0</v>
      </c>
      <c r="Z147" s="253">
        <f>+V147+W147+X147+Y147</f>
        <v>0</v>
      </c>
      <c r="AA147" s="170">
        <f>+AA143*AA136/1000000</f>
        <v>0.48734</v>
      </c>
      <c r="AB147" s="170">
        <f>+AB143*AB136/1000000</f>
        <v>0.65993999999999997</v>
      </c>
      <c r="AC147" s="170">
        <f>+AC143*AC136/1000000</f>
        <v>0.86463999999999996</v>
      </c>
      <c r="AD147" s="170">
        <f>+AD143*AD136/1000000</f>
        <v>1.3700699999999999</v>
      </c>
      <c r="AE147" s="253">
        <f>+AA147+AB147+AC147+AD147</f>
        <v>3.3819900000000001</v>
      </c>
      <c r="AF147" s="170">
        <f>+AF143*AF136/1000000</f>
        <v>1.72</v>
      </c>
      <c r="AG147" s="170">
        <f>+AG143*AG136/1000000</f>
        <v>2.4914999999999998</v>
      </c>
      <c r="AH147" s="170">
        <f>+AH143*AH136/1000000</f>
        <v>2.8673999999999999</v>
      </c>
      <c r="AI147" s="170">
        <f>+AI143*AI136/1000000</f>
        <v>3.3534000000000002</v>
      </c>
      <c r="AJ147" s="253">
        <f>+AF147+AG147+AH147+AI147</f>
        <v>10.4323</v>
      </c>
      <c r="AK147" s="170">
        <f>+AK143*AK136/1000000</f>
        <v>3</v>
      </c>
      <c r="AL147" s="170">
        <f>+AL143*AL136/1000000</f>
        <v>3.6065</v>
      </c>
      <c r="AM147" s="170">
        <f>+AM143*AM136/1000000</f>
        <v>3.9525000000000001</v>
      </c>
      <c r="AN147" s="170">
        <f>+AN143*AN136/1000000</f>
        <v>4.7350000000000003</v>
      </c>
      <c r="AO147" s="253">
        <f>+AK147+AL147+AM147+AN147</f>
        <v>15.294</v>
      </c>
      <c r="AP147" s="170">
        <f>+AP143*AP136/1000000</f>
        <v>6.2659450000000003</v>
      </c>
      <c r="AQ147" s="170">
        <f>+AQ143*AQ136/1000000</f>
        <v>8.0835500000000007</v>
      </c>
      <c r="AR147" s="170">
        <f>+AR143*AR136/1000000</f>
        <v>9.4250000000000007</v>
      </c>
      <c r="AS147" s="170">
        <f>+AS143*AS136/1000000</f>
        <v>9.8149999999999995</v>
      </c>
      <c r="AT147" s="253">
        <f>+AP147+AQ147+AR147+AS147</f>
        <v>33.589494999999999</v>
      </c>
      <c r="AU147" s="356">
        <f>+AU143*AU136/1000000</f>
        <v>12.955954231096932</v>
      </c>
      <c r="AV147" s="170">
        <f>+AV143*AV136/1000000</f>
        <v>15.558190091234183</v>
      </c>
      <c r="AW147" s="170">
        <f>+AW143*AW136/1000000</f>
        <v>18.10551930224921</v>
      </c>
      <c r="AX147" s="170">
        <f>+AX143*AX136/1000000</f>
        <v>20.670814899246199</v>
      </c>
      <c r="AY147" s="253">
        <f>+AU147+AV147+AW147+AX147</f>
        <v>67.290478523826522</v>
      </c>
      <c r="AZ147" s="170">
        <f>+AZ143*AZ136/1000000</f>
        <v>27.881154176562141</v>
      </c>
      <c r="BA147" s="170">
        <f>+BA143*BA136/1000000</f>
        <v>34.041898834874686</v>
      </c>
      <c r="BB147" s="170">
        <f>+BB143*BB136/1000000</f>
        <v>40.552258386185706</v>
      </c>
      <c r="BC147" s="170">
        <f>+BC143*BC136/1000000</f>
        <v>48.796968476548422</v>
      </c>
      <c r="BD147" s="253">
        <f>+AZ147+BA147+BB147+BC147</f>
        <v>151.27227987417095</v>
      </c>
      <c r="BE147" s="170">
        <f>+BE143*BE136/1000000</f>
        <v>57.432603039738574</v>
      </c>
      <c r="BF147" s="170">
        <f>+BF143*BF136/1000000</f>
        <v>66.716932031191504</v>
      </c>
      <c r="BG147" s="170">
        <f>+BG143*BG136/1000000</f>
        <v>74.70709109510608</v>
      </c>
      <c r="BH147" s="170">
        <f>+BH143*BH136/1000000</f>
        <v>85.079301995460895</v>
      </c>
      <c r="BI147" s="253">
        <f>+BE147+BF147+BG147+BH147</f>
        <v>283.93592816149703</v>
      </c>
      <c r="BJ147" s="170">
        <f>+BJ143*BJ136/1000000</f>
        <v>91.317360653465926</v>
      </c>
      <c r="BK147" s="170">
        <f>+BK143*BK136/1000000</f>
        <v>94.143250852786366</v>
      </c>
      <c r="BL147" s="170">
        <f>+BL143*BL136/1000000</f>
        <v>97.041080341754366</v>
      </c>
      <c r="BM147" s="170">
        <f>+BM143*BM136/1000000</f>
        <v>99.894092206442949</v>
      </c>
      <c r="BN147" s="253">
        <f>+BJ147+BK147+BL147+BM147</f>
        <v>382.39578405444962</v>
      </c>
      <c r="BO147" s="170">
        <f>+BO143*BO136/1000000</f>
        <v>107.63154673658185</v>
      </c>
      <c r="BP147" s="170">
        <f>+BP143*BP136/1000000</f>
        <v>113.42134371799912</v>
      </c>
      <c r="BQ147" s="170">
        <f>+BQ143*BQ136/1000000</f>
        <v>119.36479461211957</v>
      </c>
      <c r="BR147" s="170">
        <f>+BR143*BR136/1000000</f>
        <v>125.31755335540834</v>
      </c>
      <c r="BS147" s="253">
        <f>+BO147+BP147+BQ147+BR147</f>
        <v>465.73523842210886</v>
      </c>
      <c r="BT147" s="170">
        <f>+BT143*BT136/1000000</f>
        <v>127.41283946861645</v>
      </c>
      <c r="BU147" s="170">
        <f>+BU143*BU136/1000000</f>
        <v>133.73087396065139</v>
      </c>
      <c r="BV147" s="170">
        <f>+BV143*BV136/1000000</f>
        <v>140.21232696121649</v>
      </c>
      <c r="BW147" s="170">
        <f>+BW143*BW136/1000000</f>
        <v>146.68779622969458</v>
      </c>
      <c r="BX147" s="253">
        <f>+BT147+BU147+BV147+BW147</f>
        <v>548.04383662017892</v>
      </c>
      <c r="BY147" s="170">
        <f>+BY143*BY136/1000000</f>
        <v>146.15033142377462</v>
      </c>
      <c r="BZ147" s="170">
        <f>+BZ143*BZ136/1000000</f>
        <v>152.91874974286378</v>
      </c>
      <c r="CA147" s="170">
        <f>+CA143*CA136/1000000</f>
        <v>159.86009919081371</v>
      </c>
      <c r="CB147" s="170">
        <f>+CB143*CB136/1000000</f>
        <v>166.7813773010366</v>
      </c>
      <c r="CC147" s="253">
        <f>+BY147+BZ147+CA147+CB147</f>
        <v>625.71055765848871</v>
      </c>
      <c r="CD147" s="170">
        <f>+CD143*CD136/1000000</f>
        <v>163.27788759911667</v>
      </c>
      <c r="CE147" s="170">
        <f>+CE143*CE136/1000000</f>
        <v>170.4777263324311</v>
      </c>
      <c r="CF147" s="170">
        <f>+CF143*CF136/1000000</f>
        <v>177.859626129661</v>
      </c>
      <c r="CG147" s="170">
        <f>+CG143*CG136/1000000</f>
        <v>185.20895824536987</v>
      </c>
      <c r="CH147" s="253">
        <f>+CD147+CE147+CF147+CG147</f>
        <v>696.82419830657864</v>
      </c>
      <c r="CI147" s="170">
        <f>+CI143*CI136/1000000</f>
        <v>181.71665402421354</v>
      </c>
      <c r="CJ147" s="170">
        <f>+CJ143*CJ136/1000000</f>
        <v>189.36770682011965</v>
      </c>
      <c r="CK147" s="170">
        <f>+CK143*CK136/1000000</f>
        <v>197.21046673678663</v>
      </c>
      <c r="CL147" s="170">
        <f>+CL143*CL136/1000000</f>
        <v>205.00705902060446</v>
      </c>
      <c r="CM147" s="253">
        <f>+CI147+CJ147+CK147+CL147</f>
        <v>773.30188660172439</v>
      </c>
    </row>
    <row r="148" spans="1:93" s="102" customFormat="1">
      <c r="A148" s="165" t="s">
        <v>291</v>
      </c>
      <c r="B148" s="232" t="s">
        <v>294</v>
      </c>
      <c r="C148" s="232" t="s">
        <v>294</v>
      </c>
      <c r="D148" s="232" t="s">
        <v>294</v>
      </c>
      <c r="E148" s="232" t="s">
        <v>294</v>
      </c>
      <c r="F148" s="239" t="s">
        <v>294</v>
      </c>
      <c r="G148" s="232" t="s">
        <v>294</v>
      </c>
      <c r="H148" s="232" t="s">
        <v>294</v>
      </c>
      <c r="I148" s="232" t="s">
        <v>294</v>
      </c>
      <c r="J148" s="232" t="s">
        <v>294</v>
      </c>
      <c r="K148" s="239" t="s">
        <v>294</v>
      </c>
      <c r="L148" s="232" t="s">
        <v>294</v>
      </c>
      <c r="M148" s="232" t="s">
        <v>294</v>
      </c>
      <c r="N148" s="232" t="s">
        <v>294</v>
      </c>
      <c r="O148" s="232" t="s">
        <v>294</v>
      </c>
      <c r="P148" s="239" t="s">
        <v>294</v>
      </c>
      <c r="Q148" s="157" t="s">
        <v>294</v>
      </c>
      <c r="R148" s="157" t="s">
        <v>294</v>
      </c>
      <c r="S148" s="157" t="s">
        <v>294</v>
      </c>
      <c r="T148" s="157" t="s">
        <v>294</v>
      </c>
      <c r="U148" s="257" t="s">
        <v>294</v>
      </c>
      <c r="V148" s="157" t="s">
        <v>294</v>
      </c>
      <c r="W148" s="157" t="s">
        <v>294</v>
      </c>
      <c r="X148" s="157" t="s">
        <v>294</v>
      </c>
      <c r="Y148" s="157" t="s">
        <v>294</v>
      </c>
      <c r="Z148" s="257" t="s">
        <v>294</v>
      </c>
      <c r="AA148" s="157" t="s">
        <v>294</v>
      </c>
      <c r="AB148" s="157" t="s">
        <v>294</v>
      </c>
      <c r="AC148" s="157" t="s">
        <v>294</v>
      </c>
      <c r="AD148" s="157" t="s">
        <v>294</v>
      </c>
      <c r="AE148" s="257" t="s">
        <v>294</v>
      </c>
      <c r="AF148" s="157" t="s">
        <v>294</v>
      </c>
      <c r="AG148" s="19">
        <f t="shared" ref="AG148:BL148" si="2653">+AG147/AB147-1</f>
        <v>2.7753432130193652</v>
      </c>
      <c r="AH148" s="19">
        <f t="shared" si="2653"/>
        <v>2.3162934863064399</v>
      </c>
      <c r="AI148" s="19">
        <f t="shared" si="2653"/>
        <v>1.4476121658017478</v>
      </c>
      <c r="AJ148" s="259">
        <f t="shared" si="2653"/>
        <v>2.0846631716829438</v>
      </c>
      <c r="AK148" s="19">
        <f t="shared" si="2653"/>
        <v>0.7441860465116279</v>
      </c>
      <c r="AL148" s="19">
        <f t="shared" si="2653"/>
        <v>0.44752157334938802</v>
      </c>
      <c r="AM148" s="19">
        <f t="shared" si="2653"/>
        <v>0.37842644904791811</v>
      </c>
      <c r="AN148" s="19">
        <f t="shared" si="2653"/>
        <v>0.41199976143615435</v>
      </c>
      <c r="AO148" s="259">
        <f t="shared" si="2653"/>
        <v>0.46602379149372641</v>
      </c>
      <c r="AP148" s="19">
        <f t="shared" si="2653"/>
        <v>1.0886483333333334</v>
      </c>
      <c r="AQ148" s="19">
        <f t="shared" si="2653"/>
        <v>1.2413836129211147</v>
      </c>
      <c r="AR148" s="19">
        <f t="shared" si="2653"/>
        <v>1.3845667299177737</v>
      </c>
      <c r="AS148" s="19">
        <f t="shared" si="2653"/>
        <v>1.0728616684266101</v>
      </c>
      <c r="AT148" s="259">
        <f t="shared" si="2653"/>
        <v>1.1962531057931214</v>
      </c>
      <c r="AU148" s="379">
        <f t="shared" si="2653"/>
        <v>1.0676776178368836</v>
      </c>
      <c r="AV148" s="19">
        <f t="shared" si="2653"/>
        <v>0.9246729581971016</v>
      </c>
      <c r="AW148" s="19">
        <f t="shared" si="2653"/>
        <v>0.92101000554368251</v>
      </c>
      <c r="AX148" s="19">
        <f t="shared" si="2653"/>
        <v>1.1060432908045033</v>
      </c>
      <c r="AY148" s="259">
        <f t="shared" si="2653"/>
        <v>1.0033191485560149</v>
      </c>
      <c r="AZ148" s="19">
        <f t="shared" si="2653"/>
        <v>1.1519954207341736</v>
      </c>
      <c r="BA148" s="19">
        <f t="shared" si="2653"/>
        <v>1.18803720967869</v>
      </c>
      <c r="BB148" s="19">
        <f t="shared" si="2653"/>
        <v>1.2397732817941316</v>
      </c>
      <c r="BC148" s="19">
        <f t="shared" si="2653"/>
        <v>1.3606698001213244</v>
      </c>
      <c r="BD148" s="259">
        <f t="shared" si="2653"/>
        <v>1.2480488056063943</v>
      </c>
      <c r="BE148" s="19">
        <f t="shared" si="2653"/>
        <v>1.0599076593471297</v>
      </c>
      <c r="BF148" s="19">
        <f t="shared" si="2653"/>
        <v>0.95984755006798972</v>
      </c>
      <c r="BG148" s="19">
        <f t="shared" si="2653"/>
        <v>0.84224243157208134</v>
      </c>
      <c r="BH148" s="19">
        <f t="shared" si="2653"/>
        <v>0.74353663048452656</v>
      </c>
      <c r="BI148" s="259">
        <f t="shared" si="2653"/>
        <v>0.87698584563990423</v>
      </c>
      <c r="BJ148" s="19">
        <f t="shared" si="2653"/>
        <v>0.58999167407198883</v>
      </c>
      <c r="BK148" s="19">
        <f t="shared" si="2653"/>
        <v>0.41108483238966254</v>
      </c>
      <c r="BL148" s="19">
        <f t="shared" si="2653"/>
        <v>0.29895407409473274</v>
      </c>
      <c r="BM148" s="19">
        <f t="shared" ref="BM148:CM148" si="2654">+BM147/BH147-1</f>
        <v>0.17412919315878317</v>
      </c>
      <c r="BN148" s="259">
        <f t="shared" si="2654"/>
        <v>0.34676786601289367</v>
      </c>
      <c r="BO148" s="19">
        <f t="shared" si="2654"/>
        <v>0.17865371892454851</v>
      </c>
      <c r="BP148" s="19">
        <f t="shared" si="2654"/>
        <v>0.20477402990213589</v>
      </c>
      <c r="BQ148" s="19">
        <f t="shared" si="2654"/>
        <v>0.23004395861780047</v>
      </c>
      <c r="BR148" s="19">
        <f t="shared" si="2654"/>
        <v>0.2545041512207229</v>
      </c>
      <c r="BS148" s="259">
        <f t="shared" si="2654"/>
        <v>0.2179403064647607</v>
      </c>
      <c r="BT148" s="19">
        <f t="shared" si="2654"/>
        <v>0.18378712683974952</v>
      </c>
      <c r="BU148" s="19">
        <f t="shared" si="2654"/>
        <v>0.17906268412009041</v>
      </c>
      <c r="BV148" s="19">
        <f t="shared" si="2654"/>
        <v>0.17465394563649839</v>
      </c>
      <c r="BW148" s="19">
        <f t="shared" si="2654"/>
        <v>0.17052872723806622</v>
      </c>
      <c r="BX148" s="259">
        <f t="shared" si="2654"/>
        <v>0.1767283027089126</v>
      </c>
      <c r="BY148" s="19">
        <f t="shared" si="2654"/>
        <v>0.14706125405653059</v>
      </c>
      <c r="BZ148" s="19">
        <f t="shared" si="2654"/>
        <v>0.14348127110765896</v>
      </c>
      <c r="CA148" s="19">
        <f t="shared" si="2654"/>
        <v>0.14012870804884292</v>
      </c>
      <c r="CB148" s="19">
        <f t="shared" si="2654"/>
        <v>0.13698195478973596</v>
      </c>
      <c r="CC148" s="259">
        <f t="shared" si="2654"/>
        <v>0.14171625670910815</v>
      </c>
      <c r="CD148" s="19">
        <f t="shared" si="2654"/>
        <v>0.11719136048812184</v>
      </c>
      <c r="CE148" s="19">
        <f t="shared" si="2654"/>
        <v>0.11482553067621293</v>
      </c>
      <c r="CF148" s="19">
        <f t="shared" si="2654"/>
        <v>0.11259549462284846</v>
      </c>
      <c r="CG148" s="19">
        <f t="shared" si="2654"/>
        <v>0.11048943978362713</v>
      </c>
      <c r="CH148" s="259">
        <f t="shared" si="2654"/>
        <v>0.11365261426019213</v>
      </c>
      <c r="CI148" s="19">
        <f t="shared" si="2654"/>
        <v>0.11292874189043967</v>
      </c>
      <c r="CJ148" s="19">
        <f t="shared" si="2654"/>
        <v>0.11080614983598003</v>
      </c>
      <c r="CK148" s="19">
        <f t="shared" si="2654"/>
        <v>0.10879838796590469</v>
      </c>
      <c r="CL148" s="19">
        <f t="shared" si="2654"/>
        <v>0.10689602146028765</v>
      </c>
      <c r="CM148" s="259">
        <f t="shared" si="2654"/>
        <v>0.10975176878329096</v>
      </c>
    </row>
    <row r="149" spans="1:93">
      <c r="A149" s="139" t="s">
        <v>292</v>
      </c>
      <c r="B149" s="232" t="s">
        <v>294</v>
      </c>
      <c r="C149" s="232" t="s">
        <v>294</v>
      </c>
      <c r="D149" s="232" t="s">
        <v>294</v>
      </c>
      <c r="E149" s="232" t="s">
        <v>294</v>
      </c>
      <c r="F149" s="239" t="s">
        <v>294</v>
      </c>
      <c r="G149" s="232" t="s">
        <v>294</v>
      </c>
      <c r="H149" s="232" t="s">
        <v>294</v>
      </c>
      <c r="I149" s="232" t="s">
        <v>294</v>
      </c>
      <c r="J149" s="232" t="s">
        <v>294</v>
      </c>
      <c r="K149" s="239" t="s">
        <v>294</v>
      </c>
      <c r="L149" s="232" t="s">
        <v>294</v>
      </c>
      <c r="M149" s="232" t="s">
        <v>294</v>
      </c>
      <c r="N149" s="232" t="s">
        <v>294</v>
      </c>
      <c r="O149" s="232" t="s">
        <v>294</v>
      </c>
      <c r="P149" s="239" t="s">
        <v>294</v>
      </c>
      <c r="Q149" s="147" t="s">
        <v>294</v>
      </c>
      <c r="R149" s="157" t="s">
        <v>294</v>
      </c>
      <c r="S149" s="157" t="s">
        <v>294</v>
      </c>
      <c r="T149" s="157" t="s">
        <v>294</v>
      </c>
      <c r="U149" s="251" t="s">
        <v>294</v>
      </c>
      <c r="V149" s="157" t="s">
        <v>294</v>
      </c>
      <c r="W149" s="157" t="s">
        <v>294</v>
      </c>
      <c r="X149" s="157" t="s">
        <v>294</v>
      </c>
      <c r="Y149" s="157" t="s">
        <v>294</v>
      </c>
      <c r="Z149" s="257" t="s">
        <v>294</v>
      </c>
      <c r="AA149" s="157" t="s">
        <v>294</v>
      </c>
      <c r="AB149" s="157" t="s">
        <v>294</v>
      </c>
      <c r="AC149" s="19">
        <f>+AC147/AB147-1</f>
        <v>0.31017971330727034</v>
      </c>
      <c r="AD149" s="19">
        <f>+AD147/AC147-1</f>
        <v>0.58455542190969645</v>
      </c>
      <c r="AE149" s="251" t="s">
        <v>294</v>
      </c>
      <c r="AF149" s="19">
        <f>+AF147/AD147-1</f>
        <v>0.25541030750253646</v>
      </c>
      <c r="AG149" s="19">
        <f>+AG147/AF147-1</f>
        <v>0.44854651162790682</v>
      </c>
      <c r="AH149" s="19">
        <f>+AH147/AG147-1</f>
        <v>0.15087296809151129</v>
      </c>
      <c r="AI149" s="19">
        <f>+AI147/AH147-1</f>
        <v>0.16949152542372881</v>
      </c>
      <c r="AJ149" s="251" t="s">
        <v>294</v>
      </c>
      <c r="AK149" s="19">
        <f>+AK147/AI147-1</f>
        <v>-0.10538557881553057</v>
      </c>
      <c r="AL149" s="19">
        <f>+AL147/AK147-1</f>
        <v>0.20216666666666661</v>
      </c>
      <c r="AM149" s="19">
        <f>+AM147/AL147-1</f>
        <v>9.5937889920975961E-2</v>
      </c>
      <c r="AN149" s="19">
        <f>+AN147/AM147-1</f>
        <v>0.19797596457938016</v>
      </c>
      <c r="AO149" s="251" t="s">
        <v>294</v>
      </c>
      <c r="AP149" s="19">
        <f>+AP147/AN147-1</f>
        <v>0.32332523759239695</v>
      </c>
      <c r="AQ149" s="19">
        <f>+AQ147/AP147-1</f>
        <v>0.29007675617963447</v>
      </c>
      <c r="AR149" s="19">
        <f>+AR147/AQ147-1</f>
        <v>0.16594812922540214</v>
      </c>
      <c r="AS149" s="19">
        <f>+AS147/AR147-1</f>
        <v>4.1379310344827447E-2</v>
      </c>
      <c r="AT149" s="251" t="s">
        <v>294</v>
      </c>
      <c r="AU149" s="379">
        <f>+AU147/AS147-1</f>
        <v>0.32001571381527594</v>
      </c>
      <c r="AV149" s="19">
        <f>+AV147/AU147-1</f>
        <v>0.20085250485767792</v>
      </c>
      <c r="AW149" s="19">
        <f>+AW147/AV147-1</f>
        <v>0.16372914818994566</v>
      </c>
      <c r="AX149" s="19">
        <f>+AX147/AW147-1</f>
        <v>0.14168583370477017</v>
      </c>
      <c r="AY149" s="251" t="s">
        <v>294</v>
      </c>
      <c r="AZ149" s="19">
        <f>+AZ147/AX147-1</f>
        <v>0.34881736943901909</v>
      </c>
      <c r="BA149" s="19">
        <f>+BA147/AZ147-1</f>
        <v>0.22096447727015112</v>
      </c>
      <c r="BB149" s="19">
        <f>+BB147/BA147-1</f>
        <v>0.19124548788804319</v>
      </c>
      <c r="BC149" s="19">
        <f>+BC147/BB147-1</f>
        <v>0.2033107505837779</v>
      </c>
      <c r="BD149" s="251" t="s">
        <v>294</v>
      </c>
      <c r="BE149" s="19">
        <f>+BE147/BC147-1</f>
        <v>0.17697071832116773</v>
      </c>
      <c r="BF149" s="19">
        <f>+BF147/BE147-1</f>
        <v>0.16165607163981321</v>
      </c>
      <c r="BG149" s="19">
        <f>+BG147/BF147-1</f>
        <v>0.11976208768381347</v>
      </c>
      <c r="BH149" s="19">
        <f>+BH147/BG147-1</f>
        <v>0.13883837194451121</v>
      </c>
      <c r="BI149" s="251" t="s">
        <v>294</v>
      </c>
      <c r="BJ149" s="19">
        <f>+BJ147/BH147-1</f>
        <v>7.3320519934893635E-2</v>
      </c>
      <c r="BK149" s="19">
        <f>+BK147/BJ147-1</f>
        <v>3.0945815550278866E-2</v>
      </c>
      <c r="BL149" s="19">
        <f>+BL147/BK147-1</f>
        <v>3.0781064629894717E-2</v>
      </c>
      <c r="BM149" s="19">
        <f>+BM147/BL147-1</f>
        <v>2.9400042277363259E-2</v>
      </c>
      <c r="BN149" s="251" t="s">
        <v>294</v>
      </c>
      <c r="BO149" s="19">
        <f>+BO147/BM147-1</f>
        <v>7.7456577853958875E-2</v>
      </c>
      <c r="BP149" s="19">
        <f>+BP147/BO147-1</f>
        <v>5.3792750889172458E-2</v>
      </c>
      <c r="BQ149" s="19">
        <f>+BQ147/BP147-1</f>
        <v>5.2401520730504858E-2</v>
      </c>
      <c r="BR149" s="19">
        <f>+BR147/BQ147-1</f>
        <v>4.9870305248984614E-2</v>
      </c>
      <c r="BS149" s="251" t="s">
        <v>294</v>
      </c>
      <c r="BT149" s="19">
        <f>+BT147/BR147-1</f>
        <v>1.6719813442780396E-2</v>
      </c>
      <c r="BU149" s="19">
        <f>+BU147/BT147-1</f>
        <v>4.9587110046245941E-2</v>
      </c>
      <c r="BV149" s="19">
        <f>+BV147/BU147-1</f>
        <v>4.8466392304234773E-2</v>
      </c>
      <c r="BW149" s="19">
        <f>+BW147/BV147-1</f>
        <v>4.6183309333916345E-2</v>
      </c>
      <c r="BX149" s="251" t="s">
        <v>294</v>
      </c>
      <c r="BY149" s="19">
        <f>+BY147/BW147-1</f>
        <v>-3.6640049120266749E-3</v>
      </c>
      <c r="BZ149" s="19">
        <f>+BZ147/BY147-1</f>
        <v>4.6311344306593449E-2</v>
      </c>
      <c r="CA149" s="19">
        <f>+CA147/BZ147-1</f>
        <v>4.5392402564250478E-2</v>
      </c>
      <c r="CB149" s="19">
        <f>+CB147/CA147-1</f>
        <v>4.3295845212515838E-2</v>
      </c>
      <c r="CC149" s="251" t="s">
        <v>294</v>
      </c>
      <c r="CD149" s="19">
        <f>+CD147/CB147-1</f>
        <v>-2.1006480211493983E-2</v>
      </c>
      <c r="CE149" s="19">
        <f>+CE147/CD147-1</f>
        <v>4.4095614165413632E-2</v>
      </c>
      <c r="CF149" s="19">
        <f>+CF147/CE147-1</f>
        <v>4.3301256745031935E-2</v>
      </c>
      <c r="CG149" s="19">
        <f>+CG147/CF147-1</f>
        <v>4.1320969101504623E-2</v>
      </c>
      <c r="CH149" s="251" t="s">
        <v>294</v>
      </c>
      <c r="CI149" s="19">
        <f>+CI147/CG147-1</f>
        <v>-1.8856022161355845E-2</v>
      </c>
      <c r="CJ149" s="19">
        <f>+CJ147/CI147-1</f>
        <v>4.210430154016942E-2</v>
      </c>
      <c r="CK149" s="19">
        <f>+CK147/CJ147-1</f>
        <v>4.141550873886235E-2</v>
      </c>
      <c r="CL149" s="19">
        <f>+CL147/CK147-1</f>
        <v>3.9534373671067824E-2</v>
      </c>
      <c r="CM149" s="251" t="s">
        <v>294</v>
      </c>
    </row>
    <row r="150" spans="1:93" s="49" customFormat="1">
      <c r="A150" s="18"/>
      <c r="B150" s="18"/>
      <c r="C150" s="18"/>
      <c r="D150" s="18"/>
      <c r="E150" s="18"/>
      <c r="F150" s="240"/>
      <c r="G150" s="18"/>
      <c r="H150" s="18"/>
      <c r="I150" s="18"/>
      <c r="J150" s="18"/>
      <c r="K150" s="240"/>
      <c r="L150" s="18"/>
      <c r="M150" s="18"/>
      <c r="N150" s="18"/>
      <c r="O150" s="18"/>
      <c r="P150" s="240"/>
      <c r="Q150" s="18"/>
      <c r="R150" s="18"/>
      <c r="S150" s="18"/>
      <c r="T150" s="18"/>
      <c r="U150" s="240"/>
      <c r="V150" s="18"/>
      <c r="W150" s="18"/>
      <c r="X150" s="18"/>
      <c r="Y150" s="18"/>
      <c r="Z150" s="240"/>
      <c r="AA150" s="18"/>
      <c r="AB150" s="18"/>
      <c r="AC150" s="18"/>
      <c r="AD150" s="18"/>
      <c r="AE150" s="240"/>
      <c r="AF150" s="18"/>
      <c r="AG150" s="18"/>
      <c r="AH150" s="18"/>
      <c r="AI150" s="18"/>
      <c r="AJ150" s="240"/>
      <c r="AK150" s="18"/>
      <c r="AL150" s="18"/>
      <c r="AM150" s="18"/>
      <c r="AN150" s="18"/>
      <c r="AO150" s="240"/>
      <c r="AP150" s="18"/>
      <c r="AQ150" s="18"/>
      <c r="AR150" s="18"/>
      <c r="AS150" s="18"/>
      <c r="AT150" s="259"/>
      <c r="AU150" s="374"/>
      <c r="AV150" s="18"/>
      <c r="AW150" s="18"/>
      <c r="AX150" s="18"/>
      <c r="AY150" s="259"/>
      <c r="AZ150" s="18"/>
      <c r="BA150" s="18"/>
      <c r="BB150" s="18"/>
      <c r="BC150" s="18"/>
      <c r="BD150" s="242"/>
      <c r="BE150" s="9"/>
      <c r="BI150" s="242"/>
      <c r="BJ150" s="9"/>
      <c r="BN150" s="242"/>
      <c r="BO150" s="9"/>
      <c r="BR150" s="9"/>
      <c r="BS150" s="242"/>
      <c r="BT150" s="9"/>
      <c r="BX150" s="242"/>
      <c r="BY150" s="9"/>
      <c r="CC150" s="242"/>
      <c r="CD150" s="9"/>
      <c r="CH150" s="242"/>
      <c r="CI150" s="9"/>
      <c r="CM150" s="242"/>
    </row>
    <row r="151" spans="1:93" s="230" customFormat="1">
      <c r="A151" s="178" t="s">
        <v>301</v>
      </c>
      <c r="B151" s="178"/>
      <c r="C151" s="178"/>
      <c r="D151" s="178"/>
      <c r="E151" s="178"/>
      <c r="F151" s="238"/>
      <c r="G151" s="178"/>
      <c r="H151" s="178"/>
      <c r="I151" s="178"/>
      <c r="J151" s="178"/>
      <c r="K151" s="238"/>
      <c r="L151" s="178"/>
      <c r="M151" s="178"/>
      <c r="N151" s="178"/>
      <c r="O151" s="178"/>
      <c r="P151" s="238"/>
      <c r="Q151" s="178"/>
      <c r="R151" s="178"/>
      <c r="S151" s="178"/>
      <c r="T151" s="178"/>
      <c r="U151" s="238"/>
      <c r="V151" s="178"/>
      <c r="W151" s="178"/>
      <c r="X151" s="178"/>
      <c r="Y151" s="178"/>
      <c r="Z151" s="238"/>
      <c r="AA151" s="178"/>
      <c r="AB151" s="178"/>
      <c r="AC151" s="178"/>
      <c r="AD151" s="178"/>
      <c r="AE151" s="238"/>
      <c r="AF151" s="178"/>
      <c r="AG151" s="178"/>
      <c r="AH151" s="178"/>
      <c r="AI151" s="178"/>
      <c r="AJ151" s="238"/>
      <c r="AK151" s="178"/>
      <c r="AL151" s="178"/>
      <c r="AM151" s="178"/>
      <c r="AN151" s="178"/>
      <c r="AO151" s="238"/>
      <c r="AP151" s="178"/>
      <c r="AQ151" s="178"/>
      <c r="AR151" s="178"/>
      <c r="AS151" s="178"/>
      <c r="AT151" s="238"/>
      <c r="AU151" s="179"/>
      <c r="AV151" s="178"/>
      <c r="AW151" s="178"/>
      <c r="AX151" s="178"/>
      <c r="AY151" s="238"/>
      <c r="AZ151" s="179"/>
      <c r="BA151" s="178"/>
      <c r="BB151" s="178"/>
      <c r="BC151" s="178"/>
      <c r="BD151" s="268"/>
      <c r="BE151" s="179"/>
      <c r="BF151" s="178"/>
      <c r="BG151" s="178"/>
      <c r="BH151" s="178"/>
      <c r="BI151" s="268"/>
      <c r="BJ151" s="179"/>
      <c r="BK151" s="178"/>
      <c r="BL151" s="178"/>
      <c r="BM151" s="178"/>
      <c r="BN151" s="268"/>
      <c r="BO151" s="179"/>
      <c r="BP151" s="178"/>
      <c r="BQ151" s="178"/>
      <c r="BR151" s="178"/>
      <c r="BS151" s="268"/>
      <c r="BT151" s="178"/>
      <c r="BU151" s="178"/>
      <c r="BV151" s="178"/>
      <c r="BW151" s="178"/>
      <c r="BX151" s="268"/>
      <c r="BY151" s="179"/>
      <c r="BZ151" s="178"/>
      <c r="CA151" s="178"/>
      <c r="CB151" s="178"/>
      <c r="CC151" s="268"/>
      <c r="CD151" s="179"/>
      <c r="CE151" s="178"/>
      <c r="CF151" s="178"/>
      <c r="CG151" s="178"/>
      <c r="CH151" s="268"/>
      <c r="CI151" s="179"/>
      <c r="CJ151" s="178"/>
      <c r="CK151" s="178"/>
      <c r="CL151" s="178"/>
      <c r="CM151" s="238"/>
      <c r="CN151" s="178"/>
      <c r="CO151" s="178"/>
    </row>
    <row r="152" spans="1:93" s="49" customFormat="1">
      <c r="A152" s="49" t="s">
        <v>295</v>
      </c>
      <c r="B152" s="232" t="s">
        <v>294</v>
      </c>
      <c r="C152" s="232" t="s">
        <v>294</v>
      </c>
      <c r="D152" s="232" t="s">
        <v>294</v>
      </c>
      <c r="E152" s="232" t="s">
        <v>294</v>
      </c>
      <c r="F152" s="239" t="s">
        <v>294</v>
      </c>
      <c r="G152" s="232" t="s">
        <v>294</v>
      </c>
      <c r="H152" s="232" t="s">
        <v>294</v>
      </c>
      <c r="I152" s="232" t="s">
        <v>294</v>
      </c>
      <c r="J152" s="232" t="s">
        <v>294</v>
      </c>
      <c r="K152" s="239" t="s">
        <v>294</v>
      </c>
      <c r="L152" s="232" t="s">
        <v>294</v>
      </c>
      <c r="M152" s="232" t="s">
        <v>294</v>
      </c>
      <c r="N152" s="232" t="s">
        <v>294</v>
      </c>
      <c r="O152" s="232" t="s">
        <v>294</v>
      </c>
      <c r="P152" s="239" t="s">
        <v>294</v>
      </c>
      <c r="Q152" s="49">
        <f>+U152/4</f>
        <v>50000</v>
      </c>
      <c r="R152" s="49">
        <f>+U152/4</f>
        <v>50000</v>
      </c>
      <c r="S152" s="49">
        <f>+U152/4</f>
        <v>50000</v>
      </c>
      <c r="T152" s="49">
        <f>+U152/4</f>
        <v>50000</v>
      </c>
      <c r="U152" s="242">
        <v>200000</v>
      </c>
      <c r="V152" s="49">
        <f>+Q152*(1+V153)</f>
        <v>51500</v>
      </c>
      <c r="W152" s="49">
        <f>+R152*(1+W153)</f>
        <v>51500</v>
      </c>
      <c r="X152" s="49">
        <f>+S152*(1+X153)</f>
        <v>51500</v>
      </c>
      <c r="Y152" s="49">
        <f>+T152*(1+Y153)</f>
        <v>51500</v>
      </c>
      <c r="Z152" s="242">
        <f>+V152+W152+X152+Y152</f>
        <v>206000</v>
      </c>
      <c r="AA152" s="49">
        <f>+V152*(1+AA153)</f>
        <v>53045</v>
      </c>
      <c r="AB152" s="49">
        <f>+W152*(1+AB153)</f>
        <v>53045</v>
      </c>
      <c r="AC152" s="49">
        <f>+X152*(1+AC153)</f>
        <v>53045</v>
      </c>
      <c r="AD152" s="49">
        <f>+Y152*(1+AD153)</f>
        <v>53045</v>
      </c>
      <c r="AE152" s="242">
        <f>+AA152+AB152+AC152+AD152</f>
        <v>212180</v>
      </c>
      <c r="AF152" s="49">
        <f>+AA152*(1+AF153)</f>
        <v>54636.35</v>
      </c>
      <c r="AG152" s="49">
        <f>+AB152*(1+AG153)</f>
        <v>54636.35</v>
      </c>
      <c r="AH152" s="49">
        <f>+AC152*(1+AH153)</f>
        <v>54636.35</v>
      </c>
      <c r="AI152" s="49">
        <f>+AD152*(1+AI153)</f>
        <v>54636.35</v>
      </c>
      <c r="AJ152" s="242">
        <f>+AF152+AG152+AH152+AI152</f>
        <v>218545.4</v>
      </c>
      <c r="AK152" s="49">
        <f>+AF152*(1+AK153)</f>
        <v>56275.440499999997</v>
      </c>
      <c r="AL152" s="49">
        <f>+AG152*(1+AL153)</f>
        <v>56275.440499999997</v>
      </c>
      <c r="AM152" s="49">
        <f>+AH152*(1+AM153)</f>
        <v>56275.440499999997</v>
      </c>
      <c r="AN152" s="49">
        <f>+AI152*(1+AN153)</f>
        <v>56275.440499999997</v>
      </c>
      <c r="AO152" s="242">
        <f>+AK152+AL152+AM152+AN152</f>
        <v>225101.76199999999</v>
      </c>
      <c r="AP152" s="49">
        <f>+AK152*(1+AP153)</f>
        <v>57963.703714999996</v>
      </c>
      <c r="AQ152" s="49">
        <f>+AL152*(1+AQ153)</f>
        <v>57963.703714999996</v>
      </c>
      <c r="AR152" s="49">
        <f>+AM152*(1+AR153)</f>
        <v>57963.703714999996</v>
      </c>
      <c r="AS152" s="49">
        <f>+AN152*(1+AS153)</f>
        <v>57963.703714999996</v>
      </c>
      <c r="AT152" s="242">
        <f>+AP152+AQ152+AR152+AS152</f>
        <v>231854.81485999998</v>
      </c>
      <c r="AU152" s="49">
        <f>+AP152*(1+AU153)</f>
        <v>59702.614826450001</v>
      </c>
      <c r="AV152" s="49">
        <f>+AQ152*(1+AV153)</f>
        <v>59702.614826450001</v>
      </c>
      <c r="AW152" s="49">
        <f>+AR152*(1+AW153)</f>
        <v>59702.614826450001</v>
      </c>
      <c r="AX152" s="49">
        <f>+AS152*(1+AX153)</f>
        <v>59702.614826450001</v>
      </c>
      <c r="AY152" s="242">
        <f>+AU152+AV152+AW152+AX152</f>
        <v>238810.4593058</v>
      </c>
      <c r="AZ152" s="49">
        <f>+AU152*(1+AZ153)</f>
        <v>61493.693271243501</v>
      </c>
      <c r="BA152" s="49">
        <f>+AV152*(1+BA153)</f>
        <v>61493.693271243501</v>
      </c>
      <c r="BB152" s="49">
        <f>+AW152*(1+BB153)</f>
        <v>61493.693271243501</v>
      </c>
      <c r="BC152" s="49">
        <f>+AX152*(1+BC153)</f>
        <v>61493.693271243501</v>
      </c>
      <c r="BD152" s="242">
        <f>+AZ152+BA152+BB152+BC152</f>
        <v>245974.773084974</v>
      </c>
      <c r="BE152" s="49">
        <f>+AZ152*(1+BE153)</f>
        <v>63338.504069380804</v>
      </c>
      <c r="BF152" s="49">
        <f>+BA152*(1+BF153)</f>
        <v>63338.504069380804</v>
      </c>
      <c r="BG152" s="49">
        <f>+BB152*(1+BG153)</f>
        <v>63338.504069380804</v>
      </c>
      <c r="BH152" s="49">
        <f>+BC152*(1+BH153)</f>
        <v>63338.504069380804</v>
      </c>
      <c r="BI152" s="242">
        <f>+BE152+BF152+BG152+BH152</f>
        <v>253354.01627752322</v>
      </c>
      <c r="BJ152" s="49">
        <f>+BE152*(1+BJ153)</f>
        <v>65238.659191462233</v>
      </c>
      <c r="BK152" s="49">
        <f>+BF152*(1+BK153)</f>
        <v>65238.659191462233</v>
      </c>
      <c r="BL152" s="49">
        <f>+BG152*(1+BL153)</f>
        <v>65238.659191462233</v>
      </c>
      <c r="BM152" s="49">
        <f>+BH152*(1+BM153)</f>
        <v>65238.659191462233</v>
      </c>
      <c r="BN152" s="242">
        <f>+BJ152+BK152+BL152+BM152</f>
        <v>260954.63676584893</v>
      </c>
      <c r="BO152" s="49">
        <f>+BJ152*(1+BO153)</f>
        <v>67195.818967206098</v>
      </c>
      <c r="BP152" s="49">
        <f>+BK152*(1+BP153)</f>
        <v>67195.818967206098</v>
      </c>
      <c r="BQ152" s="49">
        <f>+BL152*(1+BQ153)</f>
        <v>67195.818967206098</v>
      </c>
      <c r="BR152" s="49">
        <f>+BM152*(1+BR153)</f>
        <v>67195.818967206098</v>
      </c>
      <c r="BS152" s="242">
        <f>+BO152+BP152+BQ152+BR152</f>
        <v>268783.27586882439</v>
      </c>
      <c r="BT152" s="49">
        <f>+BO152*(1+BT153)</f>
        <v>69211.693536222287</v>
      </c>
      <c r="BU152" s="49">
        <f>+BP152*(1+BU153)</f>
        <v>69211.693536222287</v>
      </c>
      <c r="BV152" s="49">
        <f>+BQ152*(1+BV153)</f>
        <v>69211.693536222287</v>
      </c>
      <c r="BW152" s="49">
        <f>+BR152*(1+BW153)</f>
        <v>69211.693536222287</v>
      </c>
      <c r="BX152" s="242">
        <f>+BT152+BU152+BV152+BW152</f>
        <v>276846.77414488915</v>
      </c>
      <c r="BY152" s="49">
        <f>+BT152*(1+BY153)</f>
        <v>71288.04434230896</v>
      </c>
      <c r="BZ152" s="49">
        <f>+BU152*(1+BZ153)</f>
        <v>71288.04434230896</v>
      </c>
      <c r="CA152" s="49">
        <f>+BV152*(1+CA153)</f>
        <v>71288.04434230896</v>
      </c>
      <c r="CB152" s="49">
        <f>+BW152*(1+CB153)</f>
        <v>71288.04434230896</v>
      </c>
      <c r="CC152" s="242">
        <f>+BY152+BZ152+CA152+CB152</f>
        <v>285152.17736923584</v>
      </c>
      <c r="CD152" s="49">
        <f>+BY152*(1+CD153)</f>
        <v>73426.685672578227</v>
      </c>
      <c r="CE152" s="49">
        <f>+BZ152*(1+CE153)</f>
        <v>73426.685672578227</v>
      </c>
      <c r="CF152" s="49">
        <f>+CA152*(1+CF153)</f>
        <v>73426.685672578227</v>
      </c>
      <c r="CG152" s="49">
        <f>+CB152*(1+CG153)</f>
        <v>73426.685672578227</v>
      </c>
      <c r="CH152" s="242">
        <f>+CD152+CE152+CF152+CG152</f>
        <v>293706.74269031291</v>
      </c>
      <c r="CI152" s="49">
        <f>+CD152*(1+CI153)</f>
        <v>75629.486242755578</v>
      </c>
      <c r="CJ152" s="49">
        <f>+CE152*(1+CJ153)</f>
        <v>75629.486242755578</v>
      </c>
      <c r="CK152" s="49">
        <f>+CF152*(1+CK153)</f>
        <v>75629.486242755578</v>
      </c>
      <c r="CL152" s="49">
        <f>+CG152*(1+CL153)</f>
        <v>75629.486242755578</v>
      </c>
      <c r="CM152" s="242">
        <f>+CI152+CJ152+CK152+CL152</f>
        <v>302517.94497102231</v>
      </c>
    </row>
    <row r="153" spans="1:93">
      <c r="A153" s="139" t="s">
        <v>291</v>
      </c>
      <c r="B153" s="232" t="s">
        <v>294</v>
      </c>
      <c r="C153" s="232" t="s">
        <v>294</v>
      </c>
      <c r="D153" s="232" t="s">
        <v>294</v>
      </c>
      <c r="E153" s="232" t="s">
        <v>294</v>
      </c>
      <c r="F153" s="239" t="s">
        <v>294</v>
      </c>
      <c r="G153" s="232" t="s">
        <v>294</v>
      </c>
      <c r="H153" s="232" t="s">
        <v>294</v>
      </c>
      <c r="I153" s="232" t="s">
        <v>294</v>
      </c>
      <c r="J153" s="232" t="s">
        <v>294</v>
      </c>
      <c r="K153" s="239" t="s">
        <v>294</v>
      </c>
      <c r="L153" s="232" t="s">
        <v>294</v>
      </c>
      <c r="M153" s="232" t="s">
        <v>294</v>
      </c>
      <c r="N153" s="232" t="s">
        <v>294</v>
      </c>
      <c r="O153" s="232" t="s">
        <v>294</v>
      </c>
      <c r="P153" s="239" t="s">
        <v>294</v>
      </c>
      <c r="Q153" s="147" t="s">
        <v>294</v>
      </c>
      <c r="R153" s="147" t="s">
        <v>294</v>
      </c>
      <c r="S153" s="147" t="s">
        <v>294</v>
      </c>
      <c r="T153" s="147" t="s">
        <v>294</v>
      </c>
      <c r="U153" s="251" t="s">
        <v>294</v>
      </c>
      <c r="V153" s="60">
        <v>0.03</v>
      </c>
      <c r="W153" s="60">
        <v>0.03</v>
      </c>
      <c r="X153" s="60">
        <v>0.03</v>
      </c>
      <c r="Y153" s="60">
        <v>0.03</v>
      </c>
      <c r="Z153" s="259">
        <f>+Z152/U152-1</f>
        <v>3.0000000000000027E-2</v>
      </c>
      <c r="AA153" s="60">
        <v>0.03</v>
      </c>
      <c r="AB153" s="60">
        <v>0.03</v>
      </c>
      <c r="AC153" s="60">
        <v>0.03</v>
      </c>
      <c r="AD153" s="60">
        <v>0.03</v>
      </c>
      <c r="AE153" s="259">
        <f>+AE152/Z152-1</f>
        <v>3.0000000000000027E-2</v>
      </c>
      <c r="AF153" s="60">
        <v>0.03</v>
      </c>
      <c r="AG153" s="60">
        <v>0.03</v>
      </c>
      <c r="AH153" s="60">
        <v>0.03</v>
      </c>
      <c r="AI153" s="60">
        <v>0.03</v>
      </c>
      <c r="AJ153" s="259">
        <f>+AJ152/AE152-1</f>
        <v>3.0000000000000027E-2</v>
      </c>
      <c r="AK153" s="60">
        <v>0.03</v>
      </c>
      <c r="AL153" s="60">
        <v>0.03</v>
      </c>
      <c r="AM153" s="60">
        <v>0.03</v>
      </c>
      <c r="AN153" s="60">
        <v>0.03</v>
      </c>
      <c r="AO153" s="259">
        <f>+AO152/AJ152-1</f>
        <v>3.0000000000000027E-2</v>
      </c>
      <c r="AP153" s="60">
        <v>0.03</v>
      </c>
      <c r="AQ153" s="60">
        <v>0.03</v>
      </c>
      <c r="AR153" s="60">
        <v>0.03</v>
      </c>
      <c r="AS153" s="60">
        <v>0.03</v>
      </c>
      <c r="AT153" s="259">
        <f>+AT152/AO152-1</f>
        <v>3.0000000000000027E-2</v>
      </c>
      <c r="AU153" s="395">
        <v>0.03</v>
      </c>
      <c r="AV153" s="60">
        <v>0.03</v>
      </c>
      <c r="AW153" s="60">
        <v>0.03</v>
      </c>
      <c r="AX153" s="60">
        <v>0.03</v>
      </c>
      <c r="AY153" s="259">
        <f>+AY152/AT152-1</f>
        <v>3.0000000000000027E-2</v>
      </c>
      <c r="AZ153" s="60">
        <v>0.03</v>
      </c>
      <c r="BA153" s="60">
        <v>0.03</v>
      </c>
      <c r="BB153" s="60">
        <v>0.03</v>
      </c>
      <c r="BC153" s="60">
        <v>0.03</v>
      </c>
      <c r="BD153" s="259">
        <f>+BD152/AY152-1</f>
        <v>3.0000000000000027E-2</v>
      </c>
      <c r="BE153" s="60">
        <v>0.03</v>
      </c>
      <c r="BF153" s="60">
        <v>0.03</v>
      </c>
      <c r="BG153" s="60">
        <v>0.03</v>
      </c>
      <c r="BH153" s="60">
        <v>0.03</v>
      </c>
      <c r="BI153" s="259">
        <f>+BI152/BD152-1</f>
        <v>3.0000000000000027E-2</v>
      </c>
      <c r="BJ153" s="60">
        <v>0.03</v>
      </c>
      <c r="BK153" s="60">
        <v>0.03</v>
      </c>
      <c r="BL153" s="60">
        <v>0.03</v>
      </c>
      <c r="BM153" s="60">
        <v>0.03</v>
      </c>
      <c r="BN153" s="259">
        <f>+BN152/BI152-1</f>
        <v>3.0000000000000027E-2</v>
      </c>
      <c r="BO153" s="60">
        <v>0.03</v>
      </c>
      <c r="BP153" s="60">
        <v>0.03</v>
      </c>
      <c r="BQ153" s="60">
        <v>0.03</v>
      </c>
      <c r="BR153" s="60">
        <v>0.03</v>
      </c>
      <c r="BS153" s="259">
        <f>+BS152/BN152-1</f>
        <v>3.0000000000000027E-2</v>
      </c>
      <c r="BT153" s="60">
        <v>0.03</v>
      </c>
      <c r="BU153" s="60">
        <v>0.03</v>
      </c>
      <c r="BV153" s="60">
        <v>0.03</v>
      </c>
      <c r="BW153" s="60">
        <v>0.03</v>
      </c>
      <c r="BX153" s="259">
        <f>+BX152/BS152-1</f>
        <v>3.0000000000000027E-2</v>
      </c>
      <c r="BY153" s="60">
        <v>0.03</v>
      </c>
      <c r="BZ153" s="60">
        <v>0.03</v>
      </c>
      <c r="CA153" s="60">
        <v>0.03</v>
      </c>
      <c r="CB153" s="60">
        <v>0.03</v>
      </c>
      <c r="CC153" s="259">
        <f>+CC152/BX152-1</f>
        <v>3.0000000000000027E-2</v>
      </c>
      <c r="CD153" s="60">
        <v>0.03</v>
      </c>
      <c r="CE153" s="60">
        <v>0.03</v>
      </c>
      <c r="CF153" s="60">
        <v>0.03</v>
      </c>
      <c r="CG153" s="60">
        <v>0.03</v>
      </c>
      <c r="CH153" s="259">
        <f>+CH152/CC152-1</f>
        <v>3.0000000000000027E-2</v>
      </c>
      <c r="CI153" s="60">
        <v>0.03</v>
      </c>
      <c r="CJ153" s="60">
        <v>0.03</v>
      </c>
      <c r="CK153" s="60">
        <v>0.03</v>
      </c>
      <c r="CL153" s="60">
        <v>0.03</v>
      </c>
      <c r="CM153" s="259">
        <f>+CM152/CH152-1</f>
        <v>3.0000000000000027E-2</v>
      </c>
    </row>
    <row r="154" spans="1:93" s="49" customFormat="1">
      <c r="A154" s="49" t="s">
        <v>296</v>
      </c>
      <c r="B154" s="232" t="s">
        <v>294</v>
      </c>
      <c r="C154" s="232" t="s">
        <v>294</v>
      </c>
      <c r="D154" s="232" t="s">
        <v>294</v>
      </c>
      <c r="E154" s="232" t="s">
        <v>294</v>
      </c>
      <c r="F154" s="239" t="s">
        <v>294</v>
      </c>
      <c r="G154" s="232" t="s">
        <v>294</v>
      </c>
      <c r="H154" s="232" t="s">
        <v>294</v>
      </c>
      <c r="I154" s="232" t="s">
        <v>294</v>
      </c>
      <c r="J154" s="232" t="s">
        <v>294</v>
      </c>
      <c r="K154" s="239" t="s">
        <v>294</v>
      </c>
      <c r="L154" s="232" t="s">
        <v>294</v>
      </c>
      <c r="M154" s="232" t="s">
        <v>294</v>
      </c>
      <c r="N154" s="232" t="s">
        <v>294</v>
      </c>
      <c r="O154" s="232" t="s">
        <v>294</v>
      </c>
      <c r="P154" s="239" t="s">
        <v>294</v>
      </c>
      <c r="Q154" s="49">
        <f>+Q152*Q155</f>
        <v>200000</v>
      </c>
      <c r="R154" s="49">
        <f t="shared" ref="R154" si="2655">+R152*R155</f>
        <v>200000</v>
      </c>
      <c r="S154" s="49">
        <f t="shared" ref="S154" si="2656">+S152*S155</f>
        <v>200000</v>
      </c>
      <c r="T154" s="49">
        <f t="shared" ref="T154" si="2657">+T152*T155</f>
        <v>200000</v>
      </c>
      <c r="U154" s="242">
        <f>+Q154+R154+S154+T154</f>
        <v>800000</v>
      </c>
      <c r="V154" s="49">
        <f>+V152*V155</f>
        <v>206000</v>
      </c>
      <c r="W154" s="49">
        <f t="shared" ref="W154" si="2658">+W152*W155</f>
        <v>206000</v>
      </c>
      <c r="X154" s="49">
        <f t="shared" ref="X154" si="2659">+X152*X155</f>
        <v>206000</v>
      </c>
      <c r="Y154" s="49">
        <f t="shared" ref="Y154" si="2660">+Y152*Y155</f>
        <v>206000</v>
      </c>
      <c r="Z154" s="242">
        <f>+V154+W154+X154+Y154</f>
        <v>824000</v>
      </c>
      <c r="AA154" s="49">
        <f>+AA152*AA155</f>
        <v>212180</v>
      </c>
      <c r="AB154" s="49">
        <f t="shared" ref="AB154" si="2661">+AB152*AB155</f>
        <v>212180</v>
      </c>
      <c r="AC154" s="49">
        <f t="shared" ref="AC154" si="2662">+AC152*AC155</f>
        <v>212180</v>
      </c>
      <c r="AD154" s="49">
        <f t="shared" ref="AD154" si="2663">+AD152*AD155</f>
        <v>212180</v>
      </c>
      <c r="AE154" s="242">
        <f>+AA154+AB154+AC154+AD154</f>
        <v>848720</v>
      </c>
      <c r="AF154" s="49">
        <f>+AF152*AF155</f>
        <v>218545.4</v>
      </c>
      <c r="AG154" s="49">
        <f t="shared" ref="AG154" si="2664">+AG152*AG155</f>
        <v>218545.4</v>
      </c>
      <c r="AH154" s="49">
        <f t="shared" ref="AH154" si="2665">+AH152*AH155</f>
        <v>218545.4</v>
      </c>
      <c r="AI154" s="49">
        <f t="shared" ref="AI154" si="2666">+AI152*AI155</f>
        <v>218545.4</v>
      </c>
      <c r="AJ154" s="242">
        <f>+AF154+AG154+AH154+AI154</f>
        <v>874181.6</v>
      </c>
      <c r="AK154" s="49">
        <f>+AK152*AK155</f>
        <v>225101.76199999999</v>
      </c>
      <c r="AL154" s="49">
        <f t="shared" ref="AL154" si="2667">+AL152*AL155</f>
        <v>225101.76199999999</v>
      </c>
      <c r="AM154" s="49">
        <f t="shared" ref="AM154" si="2668">+AM152*AM155</f>
        <v>225101.76199999999</v>
      </c>
      <c r="AN154" s="49">
        <f t="shared" ref="AN154" si="2669">+AN152*AN155</f>
        <v>225101.76199999999</v>
      </c>
      <c r="AO154" s="242">
        <f>+AK154+AL154+AM154+AN154</f>
        <v>900407.04799999995</v>
      </c>
      <c r="AP154" s="49">
        <f>+AP152*AP155</f>
        <v>231854.81485999998</v>
      </c>
      <c r="AQ154" s="49">
        <f t="shared" ref="AQ154" si="2670">+AQ152*AQ155</f>
        <v>231854.81485999998</v>
      </c>
      <c r="AR154" s="49">
        <f t="shared" ref="AR154" si="2671">+AR152*AR155</f>
        <v>231854.81485999998</v>
      </c>
      <c r="AS154" s="49">
        <f t="shared" ref="AS154" si="2672">+AS152*AS155</f>
        <v>231854.81485999998</v>
      </c>
      <c r="AT154" s="242">
        <f>+AP154+AQ154+AR154+AS154</f>
        <v>927419.25943999994</v>
      </c>
      <c r="AU154" s="392">
        <f>+AU152*AU155</f>
        <v>238810.4593058</v>
      </c>
      <c r="AV154" s="49">
        <f t="shared" ref="AV154" si="2673">+AV152*AV155</f>
        <v>238810.4593058</v>
      </c>
      <c r="AW154" s="49">
        <f t="shared" ref="AW154" si="2674">+AW152*AW155</f>
        <v>238810.4593058</v>
      </c>
      <c r="AX154" s="49">
        <f t="shared" ref="AX154" si="2675">+AX152*AX155</f>
        <v>238810.4593058</v>
      </c>
      <c r="AY154" s="242">
        <f>+AU154+AV154+AW154+AX154</f>
        <v>955241.83722320001</v>
      </c>
      <c r="AZ154" s="49">
        <f>+AZ152*AZ155</f>
        <v>245974.773084974</v>
      </c>
      <c r="BA154" s="49">
        <f t="shared" ref="BA154" si="2676">+BA152*BA155</f>
        <v>245974.773084974</v>
      </c>
      <c r="BB154" s="49">
        <f t="shared" ref="BB154" si="2677">+BB152*BB155</f>
        <v>245974.773084974</v>
      </c>
      <c r="BC154" s="49">
        <f t="shared" ref="BC154" si="2678">+BC152*BC155</f>
        <v>245974.773084974</v>
      </c>
      <c r="BD154" s="242">
        <f>+AZ154+BA154+BB154+BC154</f>
        <v>983899.09233989601</v>
      </c>
      <c r="BE154" s="49">
        <f>+BE152*BE155</f>
        <v>253354.01627752322</v>
      </c>
      <c r="BF154" s="49">
        <f t="shared" ref="BF154" si="2679">+BF152*BF155</f>
        <v>253354.01627752322</v>
      </c>
      <c r="BG154" s="49">
        <f t="shared" ref="BG154" si="2680">+BG152*BG155</f>
        <v>253354.01627752322</v>
      </c>
      <c r="BH154" s="49">
        <f t="shared" ref="BH154" si="2681">+BH152*BH155</f>
        <v>253354.01627752322</v>
      </c>
      <c r="BI154" s="242">
        <f>+BE154+BF154+BG154+BH154</f>
        <v>1013416.0651100929</v>
      </c>
      <c r="BJ154" s="49">
        <f>+BJ152*BJ155</f>
        <v>260954.63676584893</v>
      </c>
      <c r="BK154" s="49">
        <f t="shared" ref="BK154" si="2682">+BK152*BK155</f>
        <v>260954.63676584893</v>
      </c>
      <c r="BL154" s="49">
        <f t="shared" ref="BL154" si="2683">+BL152*BL155</f>
        <v>260954.63676584893</v>
      </c>
      <c r="BM154" s="49">
        <f t="shared" ref="BM154" si="2684">+BM152*BM155</f>
        <v>260954.63676584893</v>
      </c>
      <c r="BN154" s="242">
        <f>+BJ154+BK154+BL154+BM154</f>
        <v>1043818.5470633957</v>
      </c>
      <c r="BO154" s="49">
        <f>+BO152*BO155</f>
        <v>268783.27586882439</v>
      </c>
      <c r="BP154" s="49">
        <f t="shared" ref="BP154" si="2685">+BP152*BP155</f>
        <v>268783.27586882439</v>
      </c>
      <c r="BQ154" s="49">
        <f t="shared" ref="BQ154" si="2686">+BQ152*BQ155</f>
        <v>268783.27586882439</v>
      </c>
      <c r="BR154" s="49">
        <f t="shared" ref="BR154" si="2687">+BR152*BR155</f>
        <v>268783.27586882439</v>
      </c>
      <c r="BS154" s="242">
        <f>+BO154+BP154+BQ154+BR154</f>
        <v>1075133.1034752976</v>
      </c>
      <c r="BT154" s="49">
        <f>+BT152*BT155</f>
        <v>276846.77414488915</v>
      </c>
      <c r="BU154" s="49">
        <f t="shared" ref="BU154" si="2688">+BU152*BU155</f>
        <v>276846.77414488915</v>
      </c>
      <c r="BV154" s="49">
        <f t="shared" ref="BV154" si="2689">+BV152*BV155</f>
        <v>276846.77414488915</v>
      </c>
      <c r="BW154" s="49">
        <f t="shared" ref="BW154" si="2690">+BW152*BW155</f>
        <v>276846.77414488915</v>
      </c>
      <c r="BX154" s="242">
        <f>+BT154+BU154+BV154+BW154</f>
        <v>1107387.0965795566</v>
      </c>
      <c r="BY154" s="49">
        <f>+BY152*BY155</f>
        <v>285152.17736923584</v>
      </c>
      <c r="BZ154" s="49">
        <f t="shared" ref="BZ154" si="2691">+BZ152*BZ155</f>
        <v>285152.17736923584</v>
      </c>
      <c r="CA154" s="49">
        <f t="shared" ref="CA154" si="2692">+CA152*CA155</f>
        <v>285152.17736923584</v>
      </c>
      <c r="CB154" s="49">
        <f t="shared" ref="CB154" si="2693">+CB152*CB155</f>
        <v>285152.17736923584</v>
      </c>
      <c r="CC154" s="242">
        <f>+BY154+BZ154+CA154+CB154</f>
        <v>1140608.7094769434</v>
      </c>
      <c r="CD154" s="49">
        <f>+CD152*CD155</f>
        <v>293706.74269031291</v>
      </c>
      <c r="CE154" s="49">
        <f t="shared" ref="CE154" si="2694">+CE152*CE155</f>
        <v>293706.74269031291</v>
      </c>
      <c r="CF154" s="49">
        <f t="shared" ref="CF154" si="2695">+CF152*CF155</f>
        <v>293706.74269031291</v>
      </c>
      <c r="CG154" s="49">
        <f t="shared" ref="CG154" si="2696">+CG152*CG155</f>
        <v>293706.74269031291</v>
      </c>
      <c r="CH154" s="242">
        <f>+CD154+CE154+CF154+CG154</f>
        <v>1174826.9707612516</v>
      </c>
      <c r="CI154" s="49">
        <f>+CI152*CI155</f>
        <v>302517.94497102231</v>
      </c>
      <c r="CJ154" s="49">
        <f t="shared" ref="CJ154" si="2697">+CJ152*CJ155</f>
        <v>302517.94497102231</v>
      </c>
      <c r="CK154" s="49">
        <f t="shared" ref="CK154" si="2698">+CK152*CK155</f>
        <v>302517.94497102231</v>
      </c>
      <c r="CL154" s="49">
        <f t="shared" ref="CL154" si="2699">+CL152*CL155</f>
        <v>302517.94497102231</v>
      </c>
      <c r="CM154" s="242">
        <f>+CI154+CJ154+CK154+CL154</f>
        <v>1210071.7798840893</v>
      </c>
    </row>
    <row r="155" spans="1:93">
      <c r="A155" s="139" t="s">
        <v>297</v>
      </c>
      <c r="B155" s="232" t="s">
        <v>294</v>
      </c>
      <c r="C155" s="232" t="s">
        <v>294</v>
      </c>
      <c r="D155" s="232" t="s">
        <v>294</v>
      </c>
      <c r="E155" s="232" t="s">
        <v>294</v>
      </c>
      <c r="F155" s="239" t="s">
        <v>294</v>
      </c>
      <c r="G155" s="232" t="s">
        <v>294</v>
      </c>
      <c r="H155" s="232" t="s">
        <v>294</v>
      </c>
      <c r="I155" s="232" t="s">
        <v>294</v>
      </c>
      <c r="J155" s="232" t="s">
        <v>294</v>
      </c>
      <c r="K155" s="239" t="s">
        <v>294</v>
      </c>
      <c r="L155" s="232" t="s">
        <v>294</v>
      </c>
      <c r="M155" s="232" t="s">
        <v>294</v>
      </c>
      <c r="N155" s="232" t="s">
        <v>294</v>
      </c>
      <c r="O155" s="232" t="s">
        <v>294</v>
      </c>
      <c r="P155" s="239" t="s">
        <v>294</v>
      </c>
      <c r="Q155" s="156">
        <v>4</v>
      </c>
      <c r="R155" s="156">
        <v>4</v>
      </c>
      <c r="S155" s="156">
        <v>4</v>
      </c>
      <c r="T155" s="156">
        <v>4</v>
      </c>
      <c r="U155" s="261">
        <f>+U154/U152</f>
        <v>4</v>
      </c>
      <c r="V155" s="156">
        <v>4</v>
      </c>
      <c r="W155" s="156">
        <v>4</v>
      </c>
      <c r="X155" s="156">
        <v>4</v>
      </c>
      <c r="Y155" s="156">
        <v>4</v>
      </c>
      <c r="Z155" s="261">
        <f>+Z154/Z152</f>
        <v>4</v>
      </c>
      <c r="AA155" s="156">
        <v>4</v>
      </c>
      <c r="AB155" s="156">
        <v>4</v>
      </c>
      <c r="AC155" s="156">
        <v>4</v>
      </c>
      <c r="AD155" s="156">
        <v>4</v>
      </c>
      <c r="AE155" s="261">
        <f>+AE154/AE152</f>
        <v>4</v>
      </c>
      <c r="AF155" s="156">
        <v>4</v>
      </c>
      <c r="AG155" s="156">
        <v>4</v>
      </c>
      <c r="AH155" s="156">
        <v>4</v>
      </c>
      <c r="AI155" s="156">
        <v>4</v>
      </c>
      <c r="AJ155" s="261">
        <f>+AJ154/AJ152</f>
        <v>4</v>
      </c>
      <c r="AK155" s="156">
        <v>4</v>
      </c>
      <c r="AL155" s="156">
        <v>4</v>
      </c>
      <c r="AM155" s="156">
        <v>4</v>
      </c>
      <c r="AN155" s="156">
        <v>4</v>
      </c>
      <c r="AO155" s="261">
        <f>+AO154/AO152</f>
        <v>4</v>
      </c>
      <c r="AP155" s="156">
        <v>4</v>
      </c>
      <c r="AQ155" s="156">
        <v>4</v>
      </c>
      <c r="AR155" s="156">
        <v>4</v>
      </c>
      <c r="AS155" s="156">
        <v>4</v>
      </c>
      <c r="AT155" s="261">
        <f>+AT154/AT152</f>
        <v>4</v>
      </c>
      <c r="AU155" s="398">
        <v>4</v>
      </c>
      <c r="AV155" s="156">
        <v>4</v>
      </c>
      <c r="AW155" s="156">
        <v>4</v>
      </c>
      <c r="AX155" s="156">
        <v>4</v>
      </c>
      <c r="AY155" s="261">
        <f>+AY154/AY152</f>
        <v>4</v>
      </c>
      <c r="AZ155" s="156">
        <v>4</v>
      </c>
      <c r="BA155" s="156">
        <v>4</v>
      </c>
      <c r="BB155" s="156">
        <v>4</v>
      </c>
      <c r="BC155" s="156">
        <v>4</v>
      </c>
      <c r="BD155" s="261">
        <f>+BD154/BD152</f>
        <v>4</v>
      </c>
      <c r="BE155" s="156">
        <v>4</v>
      </c>
      <c r="BF155" s="156">
        <v>4</v>
      </c>
      <c r="BG155" s="156">
        <v>4</v>
      </c>
      <c r="BH155" s="156">
        <v>4</v>
      </c>
      <c r="BI155" s="261">
        <f>+BI154/BI152</f>
        <v>4</v>
      </c>
      <c r="BJ155" s="156">
        <v>4</v>
      </c>
      <c r="BK155" s="156">
        <v>4</v>
      </c>
      <c r="BL155" s="156">
        <v>4</v>
      </c>
      <c r="BM155" s="156">
        <v>4</v>
      </c>
      <c r="BN155" s="261">
        <f>+BN154/BN152</f>
        <v>4</v>
      </c>
      <c r="BO155" s="156">
        <v>4</v>
      </c>
      <c r="BP155" s="156">
        <v>4</v>
      </c>
      <c r="BQ155" s="156">
        <v>4</v>
      </c>
      <c r="BR155" s="156">
        <v>4</v>
      </c>
      <c r="BS155" s="261">
        <f>+BS154/BS152</f>
        <v>4</v>
      </c>
      <c r="BT155" s="156">
        <v>4</v>
      </c>
      <c r="BU155" s="156">
        <v>4</v>
      </c>
      <c r="BV155" s="156">
        <v>4</v>
      </c>
      <c r="BW155" s="156">
        <v>4</v>
      </c>
      <c r="BX155" s="261">
        <f>+BX154/BX152</f>
        <v>4</v>
      </c>
      <c r="BY155" s="156">
        <v>4</v>
      </c>
      <c r="BZ155" s="156">
        <v>4</v>
      </c>
      <c r="CA155" s="156">
        <v>4</v>
      </c>
      <c r="CB155" s="156">
        <v>4</v>
      </c>
      <c r="CC155" s="261">
        <f>+CC154/CC152</f>
        <v>4</v>
      </c>
      <c r="CD155" s="156">
        <v>4</v>
      </c>
      <c r="CE155" s="156">
        <v>4</v>
      </c>
      <c r="CF155" s="156">
        <v>4</v>
      </c>
      <c r="CG155" s="156">
        <v>4</v>
      </c>
      <c r="CH155" s="261">
        <f>+CH154/CH152</f>
        <v>4</v>
      </c>
      <c r="CI155" s="156">
        <v>4</v>
      </c>
      <c r="CJ155" s="156">
        <v>4</v>
      </c>
      <c r="CK155" s="156">
        <v>4</v>
      </c>
      <c r="CL155" s="156">
        <v>4</v>
      </c>
      <c r="CM155" s="261">
        <f>+CM154/CM152</f>
        <v>4</v>
      </c>
    </row>
    <row r="156" spans="1:93">
      <c r="A156" s="139"/>
      <c r="F156" s="240"/>
      <c r="K156" s="240"/>
      <c r="P156" s="240"/>
      <c r="Q156" s="60"/>
      <c r="R156" s="60"/>
      <c r="S156" s="60"/>
      <c r="T156" s="60"/>
      <c r="U156" s="262"/>
      <c r="V156" s="60"/>
      <c r="W156" s="60"/>
      <c r="X156" s="60"/>
      <c r="Y156" s="60"/>
      <c r="Z156" s="262"/>
      <c r="AA156" s="60"/>
      <c r="AB156" s="60"/>
      <c r="AC156" s="60"/>
      <c r="AD156" s="60"/>
      <c r="AE156" s="262"/>
      <c r="AF156" s="60"/>
      <c r="AG156" s="60"/>
      <c r="AH156" s="60"/>
      <c r="AI156" s="60"/>
      <c r="AJ156" s="262"/>
      <c r="AK156" s="60"/>
      <c r="AL156" s="60"/>
      <c r="AM156" s="60"/>
      <c r="AN156" s="60"/>
      <c r="AO156" s="262"/>
      <c r="AP156" s="60"/>
      <c r="AQ156" s="60"/>
      <c r="AR156" s="60"/>
      <c r="AS156" s="60"/>
      <c r="AT156" s="262"/>
      <c r="AU156" s="395"/>
      <c r="AV156" s="60"/>
      <c r="AW156" s="60"/>
      <c r="AX156" s="60"/>
      <c r="AY156" s="262"/>
      <c r="AZ156" s="60"/>
      <c r="BA156" s="60"/>
      <c r="BB156" s="60"/>
      <c r="BC156" s="60"/>
      <c r="BD156" s="262"/>
      <c r="BE156" s="60"/>
      <c r="BF156" s="60"/>
      <c r="BG156" s="60"/>
      <c r="BH156" s="60"/>
      <c r="BI156" s="262"/>
      <c r="BJ156" s="60"/>
      <c r="BK156" s="60"/>
      <c r="BL156" s="60"/>
      <c r="BM156" s="60"/>
      <c r="BN156" s="262"/>
      <c r="BO156" s="60"/>
      <c r="BP156" s="60"/>
      <c r="BQ156" s="60"/>
      <c r="BR156" s="60"/>
      <c r="BS156" s="262"/>
      <c r="BT156" s="60"/>
      <c r="BU156" s="60"/>
      <c r="BV156" s="60"/>
      <c r="BW156" s="60"/>
      <c r="BX156" s="262"/>
      <c r="BY156" s="60"/>
      <c r="BZ156" s="60"/>
      <c r="CA156" s="60"/>
      <c r="CB156" s="60"/>
      <c r="CC156" s="262"/>
      <c r="CD156" s="60"/>
      <c r="CE156" s="60"/>
      <c r="CF156" s="60"/>
      <c r="CG156" s="60"/>
      <c r="CH156" s="262"/>
      <c r="CI156" s="60"/>
      <c r="CJ156" s="60"/>
      <c r="CK156" s="60"/>
      <c r="CL156" s="60"/>
      <c r="CM156" s="262"/>
    </row>
    <row r="157" spans="1:93" s="167" customFormat="1">
      <c r="A157" s="167" t="s">
        <v>362</v>
      </c>
      <c r="B157" s="232" t="s">
        <v>294</v>
      </c>
      <c r="C157" s="232" t="s">
        <v>294</v>
      </c>
      <c r="D157" s="232" t="s">
        <v>294</v>
      </c>
      <c r="E157" s="232" t="s">
        <v>294</v>
      </c>
      <c r="F157" s="239" t="s">
        <v>294</v>
      </c>
      <c r="G157" s="232" t="s">
        <v>294</v>
      </c>
      <c r="H157" s="232" t="s">
        <v>294</v>
      </c>
      <c r="I157" s="232" t="s">
        <v>294</v>
      </c>
      <c r="J157" s="232" t="s">
        <v>294</v>
      </c>
      <c r="K157" s="239" t="s">
        <v>294</v>
      </c>
      <c r="L157" s="232" t="s">
        <v>294</v>
      </c>
      <c r="M157" s="232" t="s">
        <v>294</v>
      </c>
      <c r="N157" s="232" t="s">
        <v>294</v>
      </c>
      <c r="O157" s="232" t="s">
        <v>294</v>
      </c>
      <c r="P157" s="239" t="s">
        <v>294</v>
      </c>
      <c r="Q157" s="167">
        <f>+Q154*Q160</f>
        <v>0</v>
      </c>
      <c r="R157" s="167">
        <f>+R154*R160</f>
        <v>0</v>
      </c>
      <c r="S157" s="167">
        <f>+S154*S160</f>
        <v>0</v>
      </c>
      <c r="T157" s="167">
        <f>+T154*T160</f>
        <v>0</v>
      </c>
      <c r="U157" s="249">
        <f>+Q157+R157+S157+T157</f>
        <v>0</v>
      </c>
      <c r="V157" s="167">
        <f>+V154*V160</f>
        <v>0</v>
      </c>
      <c r="W157" s="167">
        <f>+W154*W160</f>
        <v>0</v>
      </c>
      <c r="X157" s="167">
        <f>+X154*X160</f>
        <v>0</v>
      </c>
      <c r="Y157" s="167">
        <f>+Y154*Y160</f>
        <v>0</v>
      </c>
      <c r="Z157" s="249">
        <f>+V157+W157+X157+Y157</f>
        <v>0</v>
      </c>
      <c r="AA157" s="167">
        <f>+AA154*AA160</f>
        <v>0</v>
      </c>
      <c r="AB157" s="167">
        <f>+AB154*AB160</f>
        <v>0</v>
      </c>
      <c r="AC157" s="167">
        <f>+AC154*AC160</f>
        <v>0</v>
      </c>
      <c r="AD157" s="167">
        <f>+AD154*AD160</f>
        <v>384</v>
      </c>
      <c r="AE157" s="249">
        <f>+AA157+AB157+AC157+AD157</f>
        <v>384</v>
      </c>
      <c r="AF157" s="167">
        <f>+AF154*AF160</f>
        <v>467.99999999999994</v>
      </c>
      <c r="AG157" s="167">
        <f>+AG154*AG160</f>
        <v>554</v>
      </c>
      <c r="AH157" s="167">
        <f>+AH154*AH160</f>
        <v>634</v>
      </c>
      <c r="AI157" s="167">
        <f>+AI154*AI160</f>
        <v>842</v>
      </c>
      <c r="AJ157" s="249">
        <f>+AF157+AG157+AH157+AI157</f>
        <v>2498</v>
      </c>
      <c r="AK157" s="167">
        <f>+AK154*AK160</f>
        <v>686</v>
      </c>
      <c r="AL157" s="167">
        <f>+AL154*AL160</f>
        <v>803</v>
      </c>
      <c r="AM157" s="167">
        <f>+AM154*AM160</f>
        <v>1050</v>
      </c>
      <c r="AN157" s="167">
        <f>+AN154*AN160</f>
        <v>1315</v>
      </c>
      <c r="AO157" s="249">
        <f>+AK157+AL157+AM157+AN157</f>
        <v>3854</v>
      </c>
      <c r="AP157" s="167">
        <f>+AP154*AP160</f>
        <v>934.99999999999989</v>
      </c>
      <c r="AQ157" s="167">
        <f>+AQ154*AQ160</f>
        <v>1102</v>
      </c>
      <c r="AR157" s="167">
        <f>+AR154*AR160</f>
        <v>1429</v>
      </c>
      <c r="AS157" s="167">
        <f>+AS154*AS160</f>
        <v>1702</v>
      </c>
      <c r="AT157" s="249">
        <f>+AP157+AQ157+AR157+AS157</f>
        <v>5168</v>
      </c>
      <c r="AU157" s="386">
        <f>+AU154*AU160</f>
        <v>1891.5700663973641</v>
      </c>
      <c r="AV157" s="167">
        <f>+AV154*AV160</f>
        <v>1469.2700663973642</v>
      </c>
      <c r="AW157" s="167">
        <f>+AW154*AW160</f>
        <v>2030.0801327947283</v>
      </c>
      <c r="AX157" s="167">
        <f>+AX154*AX160</f>
        <v>1607.7801327947279</v>
      </c>
      <c r="AY157" s="249">
        <f>+AU157+AV157+AW157+AX157</f>
        <v>6998.7003983841851</v>
      </c>
      <c r="AZ157" s="167">
        <f>+AZ154*AZ160</f>
        <v>2024.9756964060307</v>
      </c>
      <c r="BA157" s="167">
        <f>+BA154*BA160</f>
        <v>2393.9378560334917</v>
      </c>
      <c r="BB157" s="167">
        <f>+BB154*BB160</f>
        <v>2762.9000156609527</v>
      </c>
      <c r="BC157" s="167">
        <f>+BC154*BC160</f>
        <v>3131.8621752884137</v>
      </c>
      <c r="BD157" s="249">
        <f>+AZ157+BA157+BB157+BC157</f>
        <v>10313.675743388889</v>
      </c>
      <c r="BE157" s="167">
        <f>+BE154*BE160</f>
        <v>3605.8490649633504</v>
      </c>
      <c r="BF157" s="167">
        <f>+BF154*BF160</f>
        <v>3985.8800893796356</v>
      </c>
      <c r="BG157" s="167">
        <f>+BG154*BG160</f>
        <v>4365.9111137959208</v>
      </c>
      <c r="BH157" s="167">
        <f>+BH154*BH160</f>
        <v>4745.9421382122064</v>
      </c>
      <c r="BI157" s="249">
        <f>+BE157+BF157+BG157+BH157</f>
        <v>16703.582406351114</v>
      </c>
      <c r="BJ157" s="167">
        <f>+BJ154*BJ160</f>
        <v>5279.7523575073465</v>
      </c>
      <c r="BK157" s="167">
        <f>+BK154*BK160</f>
        <v>5671.1843126561198</v>
      </c>
      <c r="BL157" s="167">
        <f>+BL154*BL160</f>
        <v>6062.6162678048941</v>
      </c>
      <c r="BM157" s="167">
        <f>+BM154*BM160</f>
        <v>6454.0482229536674</v>
      </c>
      <c r="BN157" s="249">
        <f>+BJ157+BK157+BL157+BM157</f>
        <v>23467.60116092203</v>
      </c>
      <c r="BO157" s="167">
        <f>+BO154*BO160</f>
        <v>7050.8445834455142</v>
      </c>
      <c r="BP157" s="167">
        <f>+BP154*BP160</f>
        <v>7454.0194972487516</v>
      </c>
      <c r="BQ157" s="167">
        <f>+BQ154*BQ160</f>
        <v>7857.194411051988</v>
      </c>
      <c r="BR157" s="167">
        <f>+BR154*BR160</f>
        <v>8260.3693248552245</v>
      </c>
      <c r="BS157" s="249">
        <f>+BO157+BP157+BQ157+BR157</f>
        <v>30622.427816601477</v>
      </c>
      <c r="BT157" s="167">
        <f>+BT154*BT160</f>
        <v>8923.450565818217</v>
      </c>
      <c r="BU157" s="167">
        <f>+BU154*BU160</f>
        <v>9338.7207270355502</v>
      </c>
      <c r="BV157" s="167">
        <f>+BV154*BV160</f>
        <v>9753.9908882528853</v>
      </c>
      <c r="BW157" s="167">
        <f>+BW154*BW160</f>
        <v>10169.261049470218</v>
      </c>
      <c r="BX157" s="249">
        <f>+BT157+BU157+BV157+BW157</f>
        <v>38185.423230576867</v>
      </c>
      <c r="BY157" s="167">
        <f>+BY154*BY160</f>
        <v>10902.06714700818</v>
      </c>
      <c r="BZ157" s="167">
        <f>+BZ154*BZ160</f>
        <v>11329.795413062035</v>
      </c>
      <c r="CA157" s="167">
        <f>+CA154*CA160</f>
        <v>11757.52367911589</v>
      </c>
      <c r="CB157" s="167">
        <f>+CB154*CB160</f>
        <v>12185.251945169743</v>
      </c>
      <c r="CC157" s="249">
        <f>+BY157+BZ157+CA157+CB157</f>
        <v>46174.638184355848</v>
      </c>
      <c r="CD157" s="167">
        <f>+CD154*CD160</f>
        <v>12991.369617560305</v>
      </c>
      <c r="CE157" s="167">
        <f>+CE154*CE160</f>
        <v>13431.929731595774</v>
      </c>
      <c r="CF157" s="167">
        <f>+CF154*CF160</f>
        <v>13872.489845631244</v>
      </c>
      <c r="CG157" s="167">
        <f>+CG154*CG160</f>
        <v>14313.049959666714</v>
      </c>
      <c r="CH157" s="249">
        <f>+CD157+CE157+CF157+CG157</f>
        <v>54608.839154454035</v>
      </c>
      <c r="CI157" s="167">
        <f>+CI154*CI160</f>
        <v>15196.218375913249</v>
      </c>
      <c r="CJ157" s="167">
        <f>+CJ154*CJ160</f>
        <v>15649.995293369784</v>
      </c>
      <c r="CK157" s="167">
        <f>+CK154*CK160</f>
        <v>16103.772210826317</v>
      </c>
      <c r="CL157" s="167">
        <f>+CL154*CL160</f>
        <v>16557.549128282852</v>
      </c>
      <c r="CM157" s="249">
        <f>+CI157+CJ157+CK157+CL157</f>
        <v>63507.535008392202</v>
      </c>
    </row>
    <row r="158" spans="1:93" s="165" customFormat="1">
      <c r="A158" s="165" t="s">
        <v>291</v>
      </c>
      <c r="B158" s="232" t="s">
        <v>294</v>
      </c>
      <c r="C158" s="232" t="s">
        <v>294</v>
      </c>
      <c r="D158" s="232" t="s">
        <v>294</v>
      </c>
      <c r="E158" s="232" t="s">
        <v>294</v>
      </c>
      <c r="F158" s="239" t="s">
        <v>294</v>
      </c>
      <c r="G158" s="232" t="s">
        <v>294</v>
      </c>
      <c r="H158" s="232" t="s">
        <v>294</v>
      </c>
      <c r="I158" s="232" t="s">
        <v>294</v>
      </c>
      <c r="J158" s="232" t="s">
        <v>294</v>
      </c>
      <c r="K158" s="239" t="s">
        <v>294</v>
      </c>
      <c r="L158" s="232" t="s">
        <v>294</v>
      </c>
      <c r="M158" s="232" t="s">
        <v>294</v>
      </c>
      <c r="N158" s="232" t="s">
        <v>294</v>
      </c>
      <c r="O158" s="232" t="s">
        <v>294</v>
      </c>
      <c r="P158" s="239" t="s">
        <v>294</v>
      </c>
      <c r="Q158" s="180" t="s">
        <v>294</v>
      </c>
      <c r="R158" s="180" t="s">
        <v>294</v>
      </c>
      <c r="S158" s="180" t="s">
        <v>294</v>
      </c>
      <c r="T158" s="180" t="s">
        <v>294</v>
      </c>
      <c r="U158" s="263" t="s">
        <v>294</v>
      </c>
      <c r="V158" s="180" t="s">
        <v>294</v>
      </c>
      <c r="W158" s="180" t="s">
        <v>294</v>
      </c>
      <c r="X158" s="180" t="s">
        <v>294</v>
      </c>
      <c r="Y158" s="180" t="s">
        <v>294</v>
      </c>
      <c r="Z158" s="263" t="s">
        <v>294</v>
      </c>
      <c r="AA158" s="180" t="s">
        <v>294</v>
      </c>
      <c r="AB158" s="180" t="s">
        <v>294</v>
      </c>
      <c r="AC158" s="180" t="s">
        <v>294</v>
      </c>
      <c r="AD158" s="180" t="s">
        <v>294</v>
      </c>
      <c r="AE158" s="263" t="s">
        <v>294</v>
      </c>
      <c r="AF158" s="180" t="s">
        <v>294</v>
      </c>
      <c r="AG158" s="180" t="s">
        <v>294</v>
      </c>
      <c r="AH158" s="180" t="s">
        <v>294</v>
      </c>
      <c r="AI158" s="181">
        <f t="shared" ref="AI158:BN158" si="2700">+AI157/AD157-1</f>
        <v>1.1927083333333335</v>
      </c>
      <c r="AJ158" s="265">
        <f t="shared" si="2700"/>
        <v>5.505208333333333</v>
      </c>
      <c r="AK158" s="181">
        <f t="shared" si="2700"/>
        <v>0.46581196581196593</v>
      </c>
      <c r="AL158" s="181">
        <f t="shared" si="2700"/>
        <v>0.44945848375451258</v>
      </c>
      <c r="AM158" s="181">
        <f t="shared" si="2700"/>
        <v>0.65615141955835954</v>
      </c>
      <c r="AN158" s="181">
        <f t="shared" si="2700"/>
        <v>0.56175771971496435</v>
      </c>
      <c r="AO158" s="265">
        <f t="shared" si="2700"/>
        <v>0.54283426741393104</v>
      </c>
      <c r="AP158" s="181">
        <f t="shared" si="2700"/>
        <v>0.36297376093294442</v>
      </c>
      <c r="AQ158" s="181">
        <f t="shared" si="2700"/>
        <v>0.37235367372353667</v>
      </c>
      <c r="AR158" s="181">
        <f t="shared" si="2700"/>
        <v>0.36095238095238091</v>
      </c>
      <c r="AS158" s="181">
        <f t="shared" si="2700"/>
        <v>0.29429657794676811</v>
      </c>
      <c r="AT158" s="265">
        <f t="shared" si="2700"/>
        <v>0.34094447327451993</v>
      </c>
      <c r="AU158" s="399">
        <f t="shared" si="2700"/>
        <v>1.0230695897298014</v>
      </c>
      <c r="AV158" s="181">
        <f t="shared" si="2700"/>
        <v>0.33327592232065717</v>
      </c>
      <c r="AW158" s="181">
        <f t="shared" si="2700"/>
        <v>0.42062990398511424</v>
      </c>
      <c r="AX158" s="181">
        <f t="shared" si="2700"/>
        <v>-5.5358323857386593E-2</v>
      </c>
      <c r="AY158" s="265">
        <f t="shared" si="2700"/>
        <v>0.35423769318579423</v>
      </c>
      <c r="AZ158" s="181">
        <f t="shared" si="2700"/>
        <v>7.052640152143419E-2</v>
      </c>
      <c r="BA158" s="181">
        <f t="shared" si="2700"/>
        <v>0.62933820730684586</v>
      </c>
      <c r="BB158" s="181">
        <f t="shared" si="2700"/>
        <v>0.36098076673327228</v>
      </c>
      <c r="BC158" s="181">
        <f t="shared" si="2700"/>
        <v>0.94794183073057781</v>
      </c>
      <c r="BD158" s="265">
        <f t="shared" si="2700"/>
        <v>0.4736558441292964</v>
      </c>
      <c r="BE158" s="181">
        <f t="shared" si="2700"/>
        <v>0.78068757633145269</v>
      </c>
      <c r="BF158" s="181">
        <f t="shared" si="2700"/>
        <v>0.66498895505325617</v>
      </c>
      <c r="BG158" s="181">
        <f t="shared" si="2700"/>
        <v>0.58019149771928635</v>
      </c>
      <c r="BH158" s="181">
        <f t="shared" si="2700"/>
        <v>0.51537388064503564</v>
      </c>
      <c r="BI158" s="265">
        <f t="shared" si="2700"/>
        <v>0.61955667619841392</v>
      </c>
      <c r="BJ158" s="181">
        <f t="shared" si="2700"/>
        <v>0.46421890167524515</v>
      </c>
      <c r="BK158" s="181">
        <f t="shared" si="2700"/>
        <v>0.42281859601521177</v>
      </c>
      <c r="BL158" s="181">
        <f t="shared" si="2700"/>
        <v>0.38862567509620716</v>
      </c>
      <c r="BM158" s="181">
        <f t="shared" si="2700"/>
        <v>0.35990874625051861</v>
      </c>
      <c r="BN158" s="265">
        <f t="shared" si="2700"/>
        <v>0.40494419640178925</v>
      </c>
      <c r="BO158" s="181">
        <f t="shared" ref="BO158:CM158" si="2701">+BO157/BJ157-1</f>
        <v>0.33544986696579238</v>
      </c>
      <c r="BP158" s="181">
        <f t="shared" si="2701"/>
        <v>0.31436735015188289</v>
      </c>
      <c r="BQ158" s="181">
        <f t="shared" si="2701"/>
        <v>0.29600721272383312</v>
      </c>
      <c r="BR158" s="181">
        <f t="shared" si="2701"/>
        <v>0.27987412543299861</v>
      </c>
      <c r="BS158" s="265">
        <f t="shared" si="2701"/>
        <v>0.30488104031670615</v>
      </c>
      <c r="BT158" s="181">
        <f t="shared" si="2701"/>
        <v>0.26558605287788417</v>
      </c>
      <c r="BU158" s="181">
        <f t="shared" si="2701"/>
        <v>0.25284361417117762</v>
      </c>
      <c r="BV158" s="181">
        <f t="shared" si="2701"/>
        <v>0.24140887675285838</v>
      </c>
      <c r="BW158" s="181">
        <f t="shared" si="2701"/>
        <v>0.23109036043596642</v>
      </c>
      <c r="BX158" s="265">
        <f t="shared" si="2701"/>
        <v>0.24697569569827604</v>
      </c>
      <c r="BY158" s="181">
        <f t="shared" si="2701"/>
        <v>0.22173222864809339</v>
      </c>
      <c r="BZ158" s="181">
        <f t="shared" si="2701"/>
        <v>0.21320636350783384</v>
      </c>
      <c r="CA158" s="181">
        <f t="shared" si="2701"/>
        <v>0.20540646529370221</v>
      </c>
      <c r="CB158" s="181">
        <f t="shared" si="2701"/>
        <v>0.19824359763136878</v>
      </c>
      <c r="CC158" s="265">
        <f t="shared" si="2701"/>
        <v>0.20922158975526672</v>
      </c>
      <c r="CD158" s="181">
        <f t="shared" si="2701"/>
        <v>0.19164278135321222</v>
      </c>
      <c r="CE158" s="181">
        <f t="shared" si="2701"/>
        <v>0.18554035990007423</v>
      </c>
      <c r="CF158" s="181">
        <f t="shared" si="2701"/>
        <v>0.17988193978907563</v>
      </c>
      <c r="CG158" s="181">
        <f t="shared" si="2701"/>
        <v>0.17462076484519762</v>
      </c>
      <c r="CH158" s="265">
        <f t="shared" si="2701"/>
        <v>0.18265873435594626</v>
      </c>
      <c r="CI158" s="181">
        <f t="shared" si="2701"/>
        <v>0.16971642122880337</v>
      </c>
      <c r="CJ158" s="181">
        <f t="shared" si="2701"/>
        <v>0.16513379730959143</v>
      </c>
      <c r="CK158" s="181">
        <f t="shared" si="2701"/>
        <v>0.1608422417333939</v>
      </c>
      <c r="CL158" s="181">
        <f t="shared" si="2701"/>
        <v>0.15681487697877095</v>
      </c>
      <c r="CM158" s="265">
        <f t="shared" si="2701"/>
        <v>0.16295339713721724</v>
      </c>
    </row>
    <row r="159" spans="1:93" s="139" customFormat="1">
      <c r="A159" s="139" t="s">
        <v>292</v>
      </c>
      <c r="B159" s="232" t="s">
        <v>294</v>
      </c>
      <c r="C159" s="232" t="s">
        <v>294</v>
      </c>
      <c r="D159" s="232" t="s">
        <v>294</v>
      </c>
      <c r="E159" s="232" t="s">
        <v>294</v>
      </c>
      <c r="F159" s="239" t="s">
        <v>294</v>
      </c>
      <c r="G159" s="232" t="s">
        <v>294</v>
      </c>
      <c r="H159" s="232" t="s">
        <v>294</v>
      </c>
      <c r="I159" s="232" t="s">
        <v>294</v>
      </c>
      <c r="J159" s="232" t="s">
        <v>294</v>
      </c>
      <c r="K159" s="239" t="s">
        <v>294</v>
      </c>
      <c r="L159" s="232" t="s">
        <v>294</v>
      </c>
      <c r="M159" s="232" t="s">
        <v>294</v>
      </c>
      <c r="N159" s="232" t="s">
        <v>294</v>
      </c>
      <c r="O159" s="232" t="s">
        <v>294</v>
      </c>
      <c r="P159" s="239" t="s">
        <v>294</v>
      </c>
      <c r="Q159" s="182" t="s">
        <v>294</v>
      </c>
      <c r="R159" s="180" t="s">
        <v>294</v>
      </c>
      <c r="S159" s="180" t="s">
        <v>294</v>
      </c>
      <c r="T159" s="180" t="s">
        <v>294</v>
      </c>
      <c r="U159" s="264" t="s">
        <v>294</v>
      </c>
      <c r="V159" s="180" t="s">
        <v>294</v>
      </c>
      <c r="W159" s="180" t="s">
        <v>294</v>
      </c>
      <c r="X159" s="180" t="s">
        <v>294</v>
      </c>
      <c r="Y159" s="180" t="s">
        <v>294</v>
      </c>
      <c r="Z159" s="263" t="s">
        <v>294</v>
      </c>
      <c r="AA159" s="180" t="s">
        <v>294</v>
      </c>
      <c r="AB159" s="180" t="s">
        <v>294</v>
      </c>
      <c r="AC159" s="180" t="s">
        <v>294</v>
      </c>
      <c r="AD159" s="180" t="s">
        <v>294</v>
      </c>
      <c r="AE159" s="263" t="s">
        <v>294</v>
      </c>
      <c r="AF159" s="181">
        <f>+AF157/AD157-1</f>
        <v>0.21874999999999978</v>
      </c>
      <c r="AG159" s="181">
        <f>+AG157/AF157-1</f>
        <v>0.183760683760684</v>
      </c>
      <c r="AH159" s="181">
        <f t="shared" ref="AH159:AI159" si="2702">+AH157/AG157-1</f>
        <v>0.14440433212996395</v>
      </c>
      <c r="AI159" s="181">
        <f t="shared" si="2702"/>
        <v>0.32807570977917977</v>
      </c>
      <c r="AJ159" s="264" t="s">
        <v>294</v>
      </c>
      <c r="AK159" s="181">
        <f>+AK157/AI157-1</f>
        <v>-0.18527315914489306</v>
      </c>
      <c r="AL159" s="181">
        <f>+AL157/AK157-1</f>
        <v>0.17055393586005829</v>
      </c>
      <c r="AM159" s="181">
        <f t="shared" ref="AM159:AN159" si="2703">+AM157/AL157-1</f>
        <v>0.30759651307596503</v>
      </c>
      <c r="AN159" s="181">
        <f t="shared" si="2703"/>
        <v>0.25238095238095237</v>
      </c>
      <c r="AO159" s="264" t="s">
        <v>294</v>
      </c>
      <c r="AP159" s="181">
        <f>+AP157/AN157-1</f>
        <v>-0.28897338403041839</v>
      </c>
      <c r="AQ159" s="181">
        <f>+AQ157/AP157-1</f>
        <v>0.17860962566844929</v>
      </c>
      <c r="AR159" s="181">
        <f t="shared" ref="AR159:AS159" si="2704">+AR157/AQ157-1</f>
        <v>0.29673321234119787</v>
      </c>
      <c r="AS159" s="181">
        <f t="shared" si="2704"/>
        <v>0.19104268719384176</v>
      </c>
      <c r="AT159" s="264" t="s">
        <v>294</v>
      </c>
      <c r="AU159" s="399">
        <f>+AU157/AS157-1</f>
        <v>0.11138076756601878</v>
      </c>
      <c r="AV159" s="181">
        <f>+AV157/AU157-1</f>
        <v>-0.22325369147139329</v>
      </c>
      <c r="AW159" s="181">
        <f t="shared" ref="AW159:AX159" si="2705">+AW157/AV157-1</f>
        <v>0.38169297750172304</v>
      </c>
      <c r="AX159" s="181">
        <f t="shared" si="2705"/>
        <v>-0.20802134515677329</v>
      </c>
      <c r="AY159" s="264" t="s">
        <v>294</v>
      </c>
      <c r="AZ159" s="181">
        <f>+AZ157/AX157-1</f>
        <v>0.25948545768264442</v>
      </c>
      <c r="BA159" s="181">
        <f>+BA157/AZ157-1</f>
        <v>0.18220572241054689</v>
      </c>
      <c r="BB159" s="181">
        <f t="shared" ref="BB159:BC159" si="2706">+BB157/BA157-1</f>
        <v>0.15412353277991664</v>
      </c>
      <c r="BC159" s="181">
        <f t="shared" si="2706"/>
        <v>0.13354162566002103</v>
      </c>
      <c r="BD159" s="264" t="s">
        <v>294</v>
      </c>
      <c r="BE159" s="181">
        <f>+BE157/BC157-1</f>
        <v>0.1513434701612586</v>
      </c>
      <c r="BF159" s="181">
        <f>+BF157/BE157-1</f>
        <v>0.1053929372998168</v>
      </c>
      <c r="BG159" s="181">
        <f t="shared" ref="BG159:BH159" si="2707">+BG157/BF157-1</f>
        <v>9.5344319421167834E-2</v>
      </c>
      <c r="BH159" s="181">
        <f t="shared" si="2707"/>
        <v>8.7045066770924162E-2</v>
      </c>
      <c r="BI159" s="264" t="s">
        <v>294</v>
      </c>
      <c r="BJ159" s="181">
        <f>+BJ157/BH157-1</f>
        <v>0.11247718656262973</v>
      </c>
      <c r="BK159" s="181">
        <f>+BK157/BJ157-1</f>
        <v>7.4138317224706762E-2</v>
      </c>
      <c r="BL159" s="181">
        <f t="shared" ref="BL159:BM159" si="2708">+BL157/BK157-1</f>
        <v>6.9021201493175477E-2</v>
      </c>
      <c r="BM159" s="181">
        <f t="shared" si="2708"/>
        <v>6.4564857457241054E-2</v>
      </c>
      <c r="BN159" s="264" t="s">
        <v>294</v>
      </c>
      <c r="BO159" s="181">
        <f>+BO157/BM157-1</f>
        <v>9.2468531358249617E-2</v>
      </c>
      <c r="BP159" s="181">
        <f>+BP157/BO157-1</f>
        <v>5.7181080795603023E-2</v>
      </c>
      <c r="BQ159" s="181">
        <f t="shared" ref="BQ159:BR159" si="2709">+BQ157/BP157-1</f>
        <v>5.4088255866790558E-2</v>
      </c>
      <c r="BR159" s="181">
        <f t="shared" si="2709"/>
        <v>5.1312834163315113E-2</v>
      </c>
      <c r="BS159" s="264" t="s">
        <v>294</v>
      </c>
      <c r="BT159" s="181">
        <f>+BT157/BR157-1</f>
        <v>8.0272590108991793E-2</v>
      </c>
      <c r="BU159" s="181">
        <f>+BU157/BT157-1</f>
        <v>4.6536948700993452E-2</v>
      </c>
      <c r="BV159" s="181">
        <f t="shared" ref="BV159:BW159" si="2710">+BV157/BU157-1</f>
        <v>4.4467563958212164E-2</v>
      </c>
      <c r="BW159" s="181">
        <f t="shared" si="2710"/>
        <v>4.2574384780024621E-2</v>
      </c>
      <c r="BX159" s="264" t="s">
        <v>294</v>
      </c>
      <c r="BY159" s="181">
        <f>+BY157/BW157-1</f>
        <v>7.2060899407842216E-2</v>
      </c>
      <c r="BZ159" s="181">
        <f>+BZ157/BY157-1</f>
        <v>3.9233684794468981E-2</v>
      </c>
      <c r="CA159" s="181">
        <f t="shared" ref="CA159:CB159" si="2711">+CA157/BZ157-1</f>
        <v>3.7752514538853088E-2</v>
      </c>
      <c r="CB159" s="181">
        <f t="shared" si="2711"/>
        <v>3.6379111599290193E-2</v>
      </c>
      <c r="CC159" s="264" t="s">
        <v>294</v>
      </c>
      <c r="CD159" s="181">
        <f>+CD157/CB157-1</f>
        <v>6.6155191211299424E-2</v>
      </c>
      <c r="CE159" s="181">
        <f>+CE157/CD157-1</f>
        <v>3.3911752725437561E-2</v>
      </c>
      <c r="CF159" s="181">
        <f t="shared" ref="CF159:CG159" si="2712">+CF157/CE157-1</f>
        <v>3.2799465366405656E-2</v>
      </c>
      <c r="CG159" s="181">
        <f t="shared" si="2712"/>
        <v>3.1757825663445205E-2</v>
      </c>
      <c r="CH159" s="264" t="s">
        <v>294</v>
      </c>
      <c r="CI159" s="181">
        <f>+CI157/CG157-1</f>
        <v>6.1703719244692756E-2</v>
      </c>
      <c r="CJ159" s="181">
        <f>+CJ157/CI157-1</f>
        <v>2.98611737625325E-2</v>
      </c>
      <c r="CK159" s="181">
        <f t="shared" ref="CK159:CL159" si="2713">+CK157/CJ157-1</f>
        <v>2.8995338909065138E-2</v>
      </c>
      <c r="CL159" s="181">
        <f t="shared" si="2713"/>
        <v>2.8178299563345055E-2</v>
      </c>
      <c r="CM159" s="264" t="s">
        <v>294</v>
      </c>
    </row>
    <row r="160" spans="1:93">
      <c r="A160" s="139" t="s">
        <v>300</v>
      </c>
      <c r="B160" s="232" t="s">
        <v>294</v>
      </c>
      <c r="C160" s="232" t="s">
        <v>294</v>
      </c>
      <c r="D160" s="232" t="s">
        <v>294</v>
      </c>
      <c r="E160" s="232" t="s">
        <v>294</v>
      </c>
      <c r="F160" s="239" t="s">
        <v>294</v>
      </c>
      <c r="G160" s="232" t="s">
        <v>294</v>
      </c>
      <c r="H160" s="232" t="s">
        <v>294</v>
      </c>
      <c r="I160" s="232" t="s">
        <v>294</v>
      </c>
      <c r="J160" s="232" t="s">
        <v>294</v>
      </c>
      <c r="K160" s="239" t="s">
        <v>294</v>
      </c>
      <c r="L160" s="232" t="s">
        <v>294</v>
      </c>
      <c r="M160" s="232" t="s">
        <v>294</v>
      </c>
      <c r="N160" s="232" t="s">
        <v>294</v>
      </c>
      <c r="O160" s="232" t="s">
        <v>294</v>
      </c>
      <c r="P160" s="239" t="s">
        <v>294</v>
      </c>
      <c r="Q160" s="60">
        <v>0</v>
      </c>
      <c r="R160" s="60">
        <v>0</v>
      </c>
      <c r="S160" s="60">
        <v>0</v>
      </c>
      <c r="T160" s="60">
        <v>0</v>
      </c>
      <c r="U160" s="262">
        <f>+U157/U154</f>
        <v>0</v>
      </c>
      <c r="V160" s="60">
        <v>0</v>
      </c>
      <c r="W160" s="60">
        <v>0</v>
      </c>
      <c r="X160" s="60">
        <v>0</v>
      </c>
      <c r="Y160" s="60">
        <v>0</v>
      </c>
      <c r="Z160" s="262">
        <f>+Z157/Z154</f>
        <v>0</v>
      </c>
      <c r="AA160" s="60">
        <v>0</v>
      </c>
      <c r="AB160" s="60">
        <v>0</v>
      </c>
      <c r="AC160" s="60">
        <v>0</v>
      </c>
      <c r="AD160" s="60">
        <f>384/AD154</f>
        <v>1.8097841455368083E-3</v>
      </c>
      <c r="AE160" s="262">
        <f>+AE157/AE154</f>
        <v>4.5244603638420209E-4</v>
      </c>
      <c r="AF160" s="60">
        <f>468/AF154</f>
        <v>2.1414314828863933E-3</v>
      </c>
      <c r="AG160" s="60">
        <f>554/AG154</f>
        <v>2.5349423964082522E-3</v>
      </c>
      <c r="AH160" s="60">
        <f>634/AH154</f>
        <v>2.900999060149516E-3</v>
      </c>
      <c r="AI160" s="60">
        <f>842/AI154</f>
        <v>3.8527463858768021E-3</v>
      </c>
      <c r="AJ160" s="262">
        <f>+AJ157/AJ154</f>
        <v>2.8575298313302409E-3</v>
      </c>
      <c r="AK160" s="60">
        <f>686/AK154</f>
        <v>3.0475105743508132E-3</v>
      </c>
      <c r="AL160" s="60">
        <f>803/AL154</f>
        <v>3.567275497381491E-3</v>
      </c>
      <c r="AM160" s="60">
        <f>1050/AM154</f>
        <v>4.6645570015573668E-3</v>
      </c>
      <c r="AN160" s="60">
        <f>1315/AN154</f>
        <v>5.8418023400456549E-3</v>
      </c>
      <c r="AO160" s="262">
        <f>+AO157/AO154</f>
        <v>4.2802863533338313E-3</v>
      </c>
      <c r="AP160" s="60">
        <f>935/AP154</f>
        <v>4.0326960669959666E-3</v>
      </c>
      <c r="AQ160" s="60">
        <f>1102/AQ154</f>
        <v>4.752974401956744E-3</v>
      </c>
      <c r="AR160" s="60">
        <f>1429/AR154</f>
        <v>6.1633397644248519E-3</v>
      </c>
      <c r="AS160" s="332">
        <f>1702/AS154</f>
        <v>7.3408007551092362E-3</v>
      </c>
      <c r="AT160" s="262">
        <f>+AT157/AT154</f>
        <v>5.5724527471216999E-3</v>
      </c>
      <c r="AU160" s="395">
        <f>+AS160+0.00058</f>
        <v>7.920800755109236E-3</v>
      </c>
      <c r="AV160" s="60">
        <f t="shared" ref="AV160:AX160" si="2714">+AT160+0.00058</f>
        <v>6.1524527471216997E-3</v>
      </c>
      <c r="AW160" s="60">
        <f t="shared" si="2714"/>
        <v>8.5008007551092366E-3</v>
      </c>
      <c r="AX160" s="60">
        <f t="shared" si="2714"/>
        <v>6.7324527471216995E-3</v>
      </c>
      <c r="AY160" s="262">
        <f>+AY157/AY154</f>
        <v>7.3266267511154686E-3</v>
      </c>
      <c r="AZ160" s="60">
        <f>+AX160+0.0015</f>
        <v>8.2324527471216991E-3</v>
      </c>
      <c r="BA160" s="60">
        <f>+AZ160+0.0015</f>
        <v>9.7324527471216987E-3</v>
      </c>
      <c r="BB160" s="60">
        <f>+BA160+0.0015</f>
        <v>1.1232452747121698E-2</v>
      </c>
      <c r="BC160" s="60">
        <f>+BB160+0.0015</f>
        <v>1.2732452747121698E-2</v>
      </c>
      <c r="BD160" s="262">
        <f>+BD157/BD154</f>
        <v>1.0482452747121699E-2</v>
      </c>
      <c r="BE160" s="60">
        <f>+BC160+0.0015</f>
        <v>1.4232452747121697E-2</v>
      </c>
      <c r="BF160" s="60">
        <f>+BE160+0.0015</f>
        <v>1.5732452747121699E-2</v>
      </c>
      <c r="BG160" s="60">
        <f>+BF160+0.0015</f>
        <v>1.72324527471217E-2</v>
      </c>
      <c r="BH160" s="60">
        <f>+BG160+0.0015</f>
        <v>1.8732452747121701E-2</v>
      </c>
      <c r="BI160" s="262">
        <f>+BI157/BI154</f>
        <v>1.6482452747121699E-2</v>
      </c>
      <c r="BJ160" s="60">
        <f>+BH160+0.0015</f>
        <v>2.0232452747121703E-2</v>
      </c>
      <c r="BK160" s="60">
        <f>+BJ160+0.0015</f>
        <v>2.1732452747121704E-2</v>
      </c>
      <c r="BL160" s="60">
        <f>+BK160+0.0015</f>
        <v>2.3232452747121705E-2</v>
      </c>
      <c r="BM160" s="60">
        <f>+BL160+0.0015</f>
        <v>2.4732452747121707E-2</v>
      </c>
      <c r="BN160" s="262">
        <f>+BN157/BN154</f>
        <v>2.2482452747121705E-2</v>
      </c>
      <c r="BO160" s="60">
        <f>+BM160+0.0015</f>
        <v>2.6232452747121708E-2</v>
      </c>
      <c r="BP160" s="60">
        <f>+BO160+0.0015</f>
        <v>2.7732452747121709E-2</v>
      </c>
      <c r="BQ160" s="60">
        <f>+BP160+0.0015</f>
        <v>2.9232452747121711E-2</v>
      </c>
      <c r="BR160" s="60">
        <f>+BQ160+0.0015</f>
        <v>3.0732452747121712E-2</v>
      </c>
      <c r="BS160" s="262">
        <f>+BS157/BS154</f>
        <v>2.848245274712171E-2</v>
      </c>
      <c r="BT160" s="60">
        <f>+BR160+0.0015</f>
        <v>3.2232452747121713E-2</v>
      </c>
      <c r="BU160" s="60">
        <f>+BT160+0.0015</f>
        <v>3.3732452747121715E-2</v>
      </c>
      <c r="BV160" s="60">
        <f>+BU160+0.0015</f>
        <v>3.5232452747121716E-2</v>
      </c>
      <c r="BW160" s="60">
        <f>+BV160+0.0015</f>
        <v>3.6732452747121717E-2</v>
      </c>
      <c r="BX160" s="262">
        <f>+BX157/BX154</f>
        <v>3.4482452747121708E-2</v>
      </c>
      <c r="BY160" s="60">
        <f>+BW160+0.0015</f>
        <v>3.8232452747121719E-2</v>
      </c>
      <c r="BZ160" s="60">
        <f>+BY160+0.0015</f>
        <v>3.973245274712172E-2</v>
      </c>
      <c r="CA160" s="60">
        <f>+BZ160+0.0015</f>
        <v>4.1232452747121721E-2</v>
      </c>
      <c r="CB160" s="60">
        <f>+CA160+0.0015</f>
        <v>4.2732452747121723E-2</v>
      </c>
      <c r="CC160" s="262">
        <f>+CC157/CC154</f>
        <v>4.0482452747121721E-2</v>
      </c>
      <c r="CD160" s="60">
        <f>+CB160+0.0015</f>
        <v>4.4232452747121724E-2</v>
      </c>
      <c r="CE160" s="60">
        <f>+CD160+0.0015</f>
        <v>4.5732452747121725E-2</v>
      </c>
      <c r="CF160" s="60">
        <f>+CE160+0.0015</f>
        <v>4.7232452747121727E-2</v>
      </c>
      <c r="CG160" s="60">
        <f>+CF160+0.0015</f>
        <v>4.8732452747121728E-2</v>
      </c>
      <c r="CH160" s="262">
        <f>+CH157/CH154</f>
        <v>4.6482452747121726E-2</v>
      </c>
      <c r="CI160" s="60">
        <f>+CG160+0.0015</f>
        <v>5.0232452747121729E-2</v>
      </c>
      <c r="CJ160" s="60">
        <f>+CI160+0.0015</f>
        <v>5.1732452747121731E-2</v>
      </c>
      <c r="CK160" s="60">
        <f>+CJ160+0.0015</f>
        <v>5.3232452747121732E-2</v>
      </c>
      <c r="CL160" s="60">
        <f>+CK160+0.0015</f>
        <v>5.4732452747121733E-2</v>
      </c>
      <c r="CM160" s="262">
        <f>+CM157/CM154</f>
        <v>5.2482452747121731E-2</v>
      </c>
    </row>
    <row r="161" spans="1:93">
      <c r="A161" s="161" t="s">
        <v>340</v>
      </c>
      <c r="B161" s="232" t="s">
        <v>294</v>
      </c>
      <c r="C161" s="232" t="s">
        <v>294</v>
      </c>
      <c r="D161" s="232" t="s">
        <v>294</v>
      </c>
      <c r="E161" s="232" t="s">
        <v>294</v>
      </c>
      <c r="F161" s="239" t="s">
        <v>294</v>
      </c>
      <c r="G161" s="232" t="s">
        <v>294</v>
      </c>
      <c r="H161" s="232" t="s">
        <v>294</v>
      </c>
      <c r="I161" s="232" t="s">
        <v>294</v>
      </c>
      <c r="J161" s="232" t="s">
        <v>294</v>
      </c>
      <c r="K161" s="239" t="s">
        <v>294</v>
      </c>
      <c r="L161" s="232" t="s">
        <v>294</v>
      </c>
      <c r="M161" s="232" t="s">
        <v>294</v>
      </c>
      <c r="N161" s="232" t="s">
        <v>294</v>
      </c>
      <c r="O161" s="232" t="s">
        <v>294</v>
      </c>
      <c r="P161" s="239" t="s">
        <v>294</v>
      </c>
      <c r="Q161" s="232" t="s">
        <v>294</v>
      </c>
      <c r="R161" s="232" t="s">
        <v>294</v>
      </c>
      <c r="S161" s="232" t="s">
        <v>294</v>
      </c>
      <c r="T161" s="232" t="s">
        <v>294</v>
      </c>
      <c r="U161" s="239" t="s">
        <v>294</v>
      </c>
      <c r="V161" s="166">
        <f t="shared" ref="V161" si="2715">+(V160-Q160)*100000</f>
        <v>0</v>
      </c>
      <c r="W161" s="166">
        <f t="shared" ref="W161" si="2716">+(W160-R160)*100000</f>
        <v>0</v>
      </c>
      <c r="X161" s="166">
        <f t="shared" ref="X161" si="2717">+(X160-S160)*100000</f>
        <v>0</v>
      </c>
      <c r="Y161" s="166">
        <f t="shared" ref="Y161" si="2718">+(Y160-T160)*100000</f>
        <v>0</v>
      </c>
      <c r="Z161" s="260">
        <f t="shared" ref="Z161" si="2719">+(Z160-U160)*100000</f>
        <v>0</v>
      </c>
      <c r="AA161" s="166">
        <f t="shared" ref="AA161" si="2720">+(AA160-V160)*100000</f>
        <v>0</v>
      </c>
      <c r="AB161" s="166">
        <f t="shared" ref="AB161" si="2721">+(AB160-W160)*100000</f>
        <v>0</v>
      </c>
      <c r="AC161" s="166">
        <f t="shared" ref="AC161" si="2722">+(AC160-X160)*100000</f>
        <v>0</v>
      </c>
      <c r="AD161" s="166">
        <f>+(AD160-Y160)*100000</f>
        <v>180.97841455368084</v>
      </c>
      <c r="AE161" s="260">
        <f t="shared" ref="AE161" si="2723">+(AE160-Z160)*100000</f>
        <v>45.244603638420209</v>
      </c>
      <c r="AF161" s="166">
        <f t="shared" ref="AF161" si="2724">+(AF160-AA160)*100000</f>
        <v>214.14314828863934</v>
      </c>
      <c r="AG161" s="166">
        <f t="shared" ref="AG161" si="2725">+(AG160-AB160)*100000</f>
        <v>253.49423964082521</v>
      </c>
      <c r="AH161" s="166">
        <f t="shared" ref="AH161" si="2726">+(AH160-AC160)*100000</f>
        <v>290.09990601495161</v>
      </c>
      <c r="AI161" s="166">
        <f t="shared" ref="AI161" si="2727">+(AI160-AD160)*100000</f>
        <v>204.29622403399938</v>
      </c>
      <c r="AJ161" s="260">
        <f t="shared" ref="AJ161" si="2728">+(AJ160-AE160)*100000</f>
        <v>240.50837949460387</v>
      </c>
      <c r="AK161" s="166">
        <f t="shared" ref="AK161" si="2729">+(AK160-AF160)*100000</f>
        <v>90.607909146441997</v>
      </c>
      <c r="AL161" s="166">
        <f t="shared" ref="AL161" si="2730">+(AL160-AG160)*100000</f>
        <v>103.23331009732388</v>
      </c>
      <c r="AM161" s="166">
        <f t="shared" ref="AM161" si="2731">+(AM160-AH160)*100000</f>
        <v>176.35579414078506</v>
      </c>
      <c r="AN161" s="166">
        <f>+(AN160-AI160)*100000</f>
        <v>198.90559541688529</v>
      </c>
      <c r="AO161" s="260">
        <f t="shared" ref="AO161" si="2732">+(AO160-AJ160)*100000</f>
        <v>142.27565220035905</v>
      </c>
      <c r="AP161" s="166">
        <f>+(AP160-AK160)*100000</f>
        <v>98.518549264515343</v>
      </c>
      <c r="AQ161" s="166">
        <f t="shared" ref="AQ161" si="2733">+(AQ160-AL160)*100000</f>
        <v>118.5698904575253</v>
      </c>
      <c r="AR161" s="166">
        <f>+(AR160-AM160)*100000</f>
        <v>149.8782762867485</v>
      </c>
      <c r="AS161" s="166">
        <f t="shared" ref="AS161" si="2734">+(AS160-AN160)*100000</f>
        <v>149.89984150635811</v>
      </c>
      <c r="AT161" s="260">
        <f t="shared" ref="AT161" si="2735">+(AT160-AO160)*100000</f>
        <v>129.21663937878685</v>
      </c>
      <c r="AU161" s="394">
        <f t="shared" ref="AU161" si="2736">+(AU160-AP160)*100000</f>
        <v>388.81046881132693</v>
      </c>
      <c r="AV161" s="166">
        <f t="shared" ref="AV161" si="2737">+(AV160-AQ160)*100000</f>
        <v>139.94783451649556</v>
      </c>
      <c r="AW161" s="166">
        <f t="shared" ref="AW161" si="2738">+(AW160-AR160)*100000</f>
        <v>233.74609906843847</v>
      </c>
      <c r="AX161" s="166">
        <f t="shared" ref="AX161" si="2739">+(AX160-AS160)*100000</f>
        <v>-60.834800798753669</v>
      </c>
      <c r="AY161" s="260">
        <f>+(AY160-AT160)*100000</f>
        <v>175.41740039937687</v>
      </c>
      <c r="AZ161" s="166">
        <f t="shared" ref="AZ161" si="2740">+(AZ160-AU160)*100000</f>
        <v>31.16519920124631</v>
      </c>
      <c r="BA161" s="166">
        <f t="shared" ref="BA161" si="2741">+(BA160-AV160)*100000</f>
        <v>357.99999999999989</v>
      </c>
      <c r="BB161" s="166">
        <f t="shared" ref="BB161" si="2742">+(BB160-AW160)*100000</f>
        <v>273.16519920124614</v>
      </c>
      <c r="BC161" s="166">
        <f t="shared" ref="BC161" si="2743">+(BC160-AX160)*100000</f>
        <v>599.99999999999989</v>
      </c>
      <c r="BD161" s="260">
        <f t="shared" ref="BD161" si="2744">+(BD160-AY160)*100000</f>
        <v>315.5825996006231</v>
      </c>
      <c r="BE161" s="166">
        <f t="shared" ref="BE161" si="2745">+(BE160-AZ160)*100000</f>
        <v>599.99999999999989</v>
      </c>
      <c r="BF161" s="166">
        <f t="shared" ref="BF161" si="2746">+(BF160-BA160)*100000</f>
        <v>600</v>
      </c>
      <c r="BG161" s="166">
        <f t="shared" ref="BG161" si="2747">+(BG160-BB160)*100000</f>
        <v>600.00000000000023</v>
      </c>
      <c r="BH161" s="166">
        <f t="shared" ref="BH161" si="2748">+(BH160-BC160)*100000</f>
        <v>600.00000000000034</v>
      </c>
      <c r="BI161" s="260">
        <f t="shared" ref="BI161" si="2749">+(BI160-BD160)*100000</f>
        <v>600</v>
      </c>
      <c r="BJ161" s="166">
        <f t="shared" ref="BJ161" si="2750">+(BJ160-BE160)*100000</f>
        <v>600.00000000000057</v>
      </c>
      <c r="BK161" s="166">
        <f t="shared" ref="BK161" si="2751">+(BK160-BF160)*100000</f>
        <v>600.00000000000057</v>
      </c>
      <c r="BL161" s="166">
        <f t="shared" ref="BL161" si="2752">+(BL160-BG160)*100000</f>
        <v>600.00000000000057</v>
      </c>
      <c r="BM161" s="166">
        <f t="shared" ref="BM161" si="2753">+(BM160-BH160)*100000</f>
        <v>600.00000000000057</v>
      </c>
      <c r="BN161" s="260">
        <f t="shared" ref="BN161" si="2754">+(BN160-BI160)*100000</f>
        <v>600.00000000000057</v>
      </c>
      <c r="BO161" s="166">
        <f t="shared" ref="BO161" si="2755">+(BO160-BJ160)*100000</f>
        <v>600.00000000000057</v>
      </c>
      <c r="BP161" s="166">
        <f t="shared" ref="BP161" si="2756">+(BP160-BK160)*100000</f>
        <v>600.00000000000057</v>
      </c>
      <c r="BQ161" s="166">
        <f t="shared" ref="BQ161" si="2757">+(BQ160-BL160)*100000</f>
        <v>600.00000000000057</v>
      </c>
      <c r="BR161" s="166">
        <f t="shared" ref="BR161" si="2758">+(BR160-BM160)*100000</f>
        <v>600.00000000000057</v>
      </c>
      <c r="BS161" s="260">
        <f t="shared" ref="BS161" si="2759">+(BS160-BN160)*100000</f>
        <v>600.00000000000057</v>
      </c>
      <c r="BT161" s="166">
        <f t="shared" ref="BT161" si="2760">+(BT160-BO160)*100000</f>
        <v>600.00000000000057</v>
      </c>
      <c r="BU161" s="166">
        <f t="shared" ref="BU161" si="2761">+(BU160-BP160)*100000</f>
        <v>600.00000000000057</v>
      </c>
      <c r="BV161" s="166">
        <f t="shared" ref="BV161" si="2762">+(BV160-BQ160)*100000</f>
        <v>600.00000000000057</v>
      </c>
      <c r="BW161" s="166">
        <f t="shared" ref="BW161" si="2763">+(BW160-BR160)*100000</f>
        <v>600.00000000000057</v>
      </c>
      <c r="BX161" s="260">
        <f t="shared" ref="BX161" si="2764">+(BX160-BS160)*100000</f>
        <v>599.99999999999989</v>
      </c>
      <c r="BY161" s="166">
        <f t="shared" ref="BY161" si="2765">+(BY160-BT160)*100000</f>
        <v>600.00000000000057</v>
      </c>
      <c r="BZ161" s="166">
        <f t="shared" ref="BZ161" si="2766">+(BZ160-BU160)*100000</f>
        <v>600.00000000000057</v>
      </c>
      <c r="CA161" s="166">
        <f t="shared" ref="CA161" si="2767">+(CA160-BV160)*100000</f>
        <v>600.00000000000057</v>
      </c>
      <c r="CB161" s="166">
        <f t="shared" ref="CB161" si="2768">+(CB160-BW160)*100000</f>
        <v>600.00000000000057</v>
      </c>
      <c r="CC161" s="260">
        <f t="shared" ref="CC161" si="2769">+(CC160-BX160)*100000</f>
        <v>600.00000000000125</v>
      </c>
      <c r="CD161" s="166">
        <f t="shared" ref="CD161" si="2770">+(CD160-BY160)*100000</f>
        <v>600.00000000000057</v>
      </c>
      <c r="CE161" s="166">
        <f t="shared" ref="CE161" si="2771">+(CE160-BZ160)*100000</f>
        <v>600.00000000000057</v>
      </c>
      <c r="CF161" s="166">
        <f t="shared" ref="CF161" si="2772">+(CF160-CA160)*100000</f>
        <v>600.00000000000057</v>
      </c>
      <c r="CG161" s="166">
        <f t="shared" ref="CG161" si="2773">+(CG160-CB160)*100000</f>
        <v>600.00000000000057</v>
      </c>
      <c r="CH161" s="260">
        <f t="shared" ref="CH161" si="2774">+(CH160-CC160)*100000</f>
        <v>600.00000000000057</v>
      </c>
      <c r="CI161" s="166">
        <f t="shared" ref="CI161" si="2775">+(CI160-CD160)*100000</f>
        <v>600.00000000000057</v>
      </c>
      <c r="CJ161" s="166">
        <f t="shared" ref="CJ161" si="2776">+(CJ160-CE160)*100000</f>
        <v>600.00000000000057</v>
      </c>
      <c r="CK161" s="166">
        <f t="shared" ref="CK161" si="2777">+(CK160-CF160)*100000</f>
        <v>600.00000000000057</v>
      </c>
      <c r="CL161" s="166">
        <f t="shared" ref="CL161" si="2778">+(CL160-CG160)*100000</f>
        <v>600.00000000000057</v>
      </c>
      <c r="CM161" s="260">
        <f t="shared" ref="CM161" si="2779">+(CM160-CH160)*100000</f>
        <v>600.00000000000057</v>
      </c>
    </row>
    <row r="162" spans="1:93">
      <c r="A162" s="161" t="s">
        <v>341</v>
      </c>
      <c r="B162" s="232" t="s">
        <v>294</v>
      </c>
      <c r="C162" s="232" t="s">
        <v>294</v>
      </c>
      <c r="D162" s="232" t="s">
        <v>294</v>
      </c>
      <c r="E162" s="232" t="s">
        <v>294</v>
      </c>
      <c r="F162" s="239" t="s">
        <v>294</v>
      </c>
      <c r="G162" s="232" t="s">
        <v>294</v>
      </c>
      <c r="H162" s="232" t="s">
        <v>294</v>
      </c>
      <c r="I162" s="232" t="s">
        <v>294</v>
      </c>
      <c r="J162" s="232" t="s">
        <v>294</v>
      </c>
      <c r="K162" s="239" t="s">
        <v>294</v>
      </c>
      <c r="L162" s="232" t="s">
        <v>294</v>
      </c>
      <c r="M162" s="232" t="s">
        <v>294</v>
      </c>
      <c r="N162" s="232" t="s">
        <v>294</v>
      </c>
      <c r="O162" s="232" t="s">
        <v>294</v>
      </c>
      <c r="P162" s="239" t="s">
        <v>294</v>
      </c>
      <c r="Q162" s="232" t="s">
        <v>294</v>
      </c>
      <c r="R162" s="166">
        <f>+(R160-Q160)*100000</f>
        <v>0</v>
      </c>
      <c r="S162" s="166">
        <f t="shared" ref="S162:T162" si="2780">+(S160-R160)*100000</f>
        <v>0</v>
      </c>
      <c r="T162" s="166">
        <f t="shared" si="2780"/>
        <v>0</v>
      </c>
      <c r="U162" s="251" t="s">
        <v>294</v>
      </c>
      <c r="V162" s="166">
        <f>+(V160-T160)*100000</f>
        <v>0</v>
      </c>
      <c r="W162" s="166">
        <f>+(W160-V160)*100000</f>
        <v>0</v>
      </c>
      <c r="X162" s="166">
        <f t="shared" ref="X162:Y162" si="2781">+(X160-W160)*100000</f>
        <v>0</v>
      </c>
      <c r="Y162" s="166">
        <f t="shared" si="2781"/>
        <v>0</v>
      </c>
      <c r="Z162" s="251" t="s">
        <v>294</v>
      </c>
      <c r="AA162" s="166">
        <f>+(AA160-Y160)*100000</f>
        <v>0</v>
      </c>
      <c r="AB162" s="166">
        <f>+(AB160-AA160)*100000</f>
        <v>0</v>
      </c>
      <c r="AC162" s="166">
        <f t="shared" ref="AC162:AD162" si="2782">+(AC160-AB160)*100000</f>
        <v>0</v>
      </c>
      <c r="AD162" s="166">
        <f t="shared" si="2782"/>
        <v>180.97841455368084</v>
      </c>
      <c r="AE162" s="251" t="s">
        <v>294</v>
      </c>
      <c r="AF162" s="166">
        <f>+(AF160-AD160)*100000</f>
        <v>33.164733734958489</v>
      </c>
      <c r="AG162" s="166">
        <f>+(AG160-AF160)*100000</f>
        <v>39.351091352185897</v>
      </c>
      <c r="AH162" s="166">
        <f t="shared" ref="AH162:AI162" si="2783">+(AH160-AG160)*100000</f>
        <v>36.605666374126379</v>
      </c>
      <c r="AI162" s="166">
        <f t="shared" si="2783"/>
        <v>95.174732572728601</v>
      </c>
      <c r="AJ162" s="251" t="s">
        <v>294</v>
      </c>
      <c r="AK162" s="166">
        <f>+(AK160-AI160)*100000</f>
        <v>-80.523581152598879</v>
      </c>
      <c r="AL162" s="166">
        <f>+(AL160-AK160)*100000</f>
        <v>51.976492303067772</v>
      </c>
      <c r="AM162" s="166">
        <f t="shared" ref="AM162:AN162" si="2784">+(AM160-AL160)*100000</f>
        <v>109.72815041758759</v>
      </c>
      <c r="AN162" s="166">
        <f t="shared" si="2784"/>
        <v>117.72453384882881</v>
      </c>
      <c r="AO162" s="251" t="s">
        <v>294</v>
      </c>
      <c r="AP162" s="166">
        <f>+(AP160-AN160)*100000</f>
        <v>-180.91062730496884</v>
      </c>
      <c r="AQ162" s="166">
        <f>+(AQ160-AP160)*100000</f>
        <v>72.027833496077747</v>
      </c>
      <c r="AR162" s="166">
        <f t="shared" ref="AR162:AS162" si="2785">+(AR160-AQ160)*100000</f>
        <v>141.03653624681078</v>
      </c>
      <c r="AS162" s="166">
        <f t="shared" si="2785"/>
        <v>117.74609906843843</v>
      </c>
      <c r="AT162" s="251" t="s">
        <v>294</v>
      </c>
      <c r="AU162" s="394">
        <f>+(AU160-AS160)*100000</f>
        <v>57.999999999999979</v>
      </c>
      <c r="AV162" s="166">
        <f>+(AV160-AU160)*100000</f>
        <v>-176.83480079875363</v>
      </c>
      <c r="AW162" s="166">
        <f t="shared" ref="AW162:AX162" si="2786">+(AW160-AV160)*100000</f>
        <v>234.83480079875369</v>
      </c>
      <c r="AX162" s="166">
        <f t="shared" si="2786"/>
        <v>-176.83480079875372</v>
      </c>
      <c r="AY162" s="251" t="s">
        <v>294</v>
      </c>
      <c r="AZ162" s="166">
        <f>+(AZ160-AX160)*100000</f>
        <v>149.99999999999997</v>
      </c>
      <c r="BA162" s="166">
        <f>+(BA160-AZ160)*100000</f>
        <v>149.99999999999997</v>
      </c>
      <c r="BB162" s="166">
        <f t="shared" ref="BB162:BC162" si="2787">+(BB160-BA160)*100000</f>
        <v>149.99999999999997</v>
      </c>
      <c r="BC162" s="166">
        <f t="shared" si="2787"/>
        <v>149.99999999999997</v>
      </c>
      <c r="BD162" s="251" t="s">
        <v>294</v>
      </c>
      <c r="BE162" s="166">
        <f>+(BE160-BC160)*100000</f>
        <v>149.99999999999997</v>
      </c>
      <c r="BF162" s="166">
        <f>+(BF160-BE160)*100000</f>
        <v>150.00000000000014</v>
      </c>
      <c r="BG162" s="166">
        <f t="shared" ref="BG162:BH162" si="2788">+(BG160-BF160)*100000</f>
        <v>150.00000000000014</v>
      </c>
      <c r="BH162" s="166">
        <f t="shared" si="2788"/>
        <v>150.00000000000014</v>
      </c>
      <c r="BI162" s="251" t="s">
        <v>294</v>
      </c>
      <c r="BJ162" s="166">
        <f>+(BJ160-BH160)*100000</f>
        <v>150.00000000000014</v>
      </c>
      <c r="BK162" s="166">
        <f>+(BK160-BJ160)*100000</f>
        <v>150.00000000000014</v>
      </c>
      <c r="BL162" s="166">
        <f t="shared" ref="BL162:BM162" si="2789">+(BL160-BK160)*100000</f>
        <v>150.00000000000014</v>
      </c>
      <c r="BM162" s="166">
        <f t="shared" si="2789"/>
        <v>150.00000000000014</v>
      </c>
      <c r="BN162" s="251" t="s">
        <v>294</v>
      </c>
      <c r="BO162" s="166">
        <f>+(BO160-BM160)*100000</f>
        <v>150.00000000000014</v>
      </c>
      <c r="BP162" s="166">
        <f>+(BP160-BO160)*100000</f>
        <v>150.00000000000014</v>
      </c>
      <c r="BQ162" s="166">
        <f t="shared" ref="BQ162:BR162" si="2790">+(BQ160-BP160)*100000</f>
        <v>150.00000000000014</v>
      </c>
      <c r="BR162" s="166">
        <f t="shared" si="2790"/>
        <v>150.00000000000014</v>
      </c>
      <c r="BS162" s="251" t="s">
        <v>294</v>
      </c>
      <c r="BT162" s="166">
        <f>+(BT160-BR160)*100000</f>
        <v>150.00000000000014</v>
      </c>
      <c r="BU162" s="166">
        <f>+(BU160-BT160)*100000</f>
        <v>150.00000000000014</v>
      </c>
      <c r="BV162" s="166">
        <f t="shared" ref="BV162:BW162" si="2791">+(BV160-BU160)*100000</f>
        <v>150.00000000000014</v>
      </c>
      <c r="BW162" s="166">
        <f t="shared" si="2791"/>
        <v>150.00000000000014</v>
      </c>
      <c r="BX162" s="251" t="s">
        <v>294</v>
      </c>
      <c r="BY162" s="166">
        <f>+(BY160-BW160)*100000</f>
        <v>150.00000000000014</v>
      </c>
      <c r="BZ162" s="166">
        <f>+(BZ160-BY160)*100000</f>
        <v>150.00000000000014</v>
      </c>
      <c r="CA162" s="166">
        <f t="shared" ref="CA162:CB162" si="2792">+(CA160-BZ160)*100000</f>
        <v>150.00000000000014</v>
      </c>
      <c r="CB162" s="166">
        <f t="shared" si="2792"/>
        <v>150.00000000000014</v>
      </c>
      <c r="CC162" s="251" t="s">
        <v>294</v>
      </c>
      <c r="CD162" s="166">
        <f>+(CD160-CB160)*100000</f>
        <v>150.00000000000014</v>
      </c>
      <c r="CE162" s="166">
        <f>+(CE160-CD160)*100000</f>
        <v>150.00000000000014</v>
      </c>
      <c r="CF162" s="166">
        <f t="shared" ref="CF162:CG162" si="2793">+(CF160-CE160)*100000</f>
        <v>150.00000000000014</v>
      </c>
      <c r="CG162" s="166">
        <f t="shared" si="2793"/>
        <v>150.00000000000014</v>
      </c>
      <c r="CH162" s="251" t="s">
        <v>294</v>
      </c>
      <c r="CI162" s="166">
        <f>+(CI160-CG160)*100000</f>
        <v>150.00000000000014</v>
      </c>
      <c r="CJ162" s="166">
        <f>+(CJ160-CI160)*100000</f>
        <v>150.00000000000014</v>
      </c>
      <c r="CK162" s="166">
        <f t="shared" ref="CK162:CL162" si="2794">+(CK160-CJ160)*100000</f>
        <v>150.00000000000014</v>
      </c>
      <c r="CL162" s="166">
        <f t="shared" si="2794"/>
        <v>150.00000000000014</v>
      </c>
      <c r="CM162" s="251" t="s">
        <v>294</v>
      </c>
    </row>
    <row r="163" spans="1:93" s="139" customFormat="1">
      <c r="F163" s="243"/>
      <c r="K163" s="243"/>
      <c r="P163" s="243"/>
      <c r="Q163" s="182"/>
      <c r="R163" s="180"/>
      <c r="S163" s="180"/>
      <c r="T163" s="180"/>
      <c r="U163" s="264"/>
      <c r="V163" s="180"/>
      <c r="W163" s="180"/>
      <c r="X163" s="180"/>
      <c r="Y163" s="180"/>
      <c r="Z163" s="263"/>
      <c r="AA163" s="180"/>
      <c r="AB163" s="180"/>
      <c r="AC163" s="180"/>
      <c r="AD163" s="180"/>
      <c r="AE163" s="263"/>
      <c r="AF163" s="181"/>
      <c r="AG163" s="181"/>
      <c r="AH163" s="181"/>
      <c r="AI163" s="181"/>
      <c r="AJ163" s="264"/>
      <c r="AK163" s="181"/>
      <c r="AL163" s="181"/>
      <c r="AM163" s="181"/>
      <c r="AN163" s="181"/>
      <c r="AO163" s="264"/>
      <c r="AP163" s="181"/>
      <c r="AQ163" s="305"/>
      <c r="AR163" s="305"/>
      <c r="AS163" s="181"/>
      <c r="AT163" s="264"/>
      <c r="AU163" s="399"/>
      <c r="AV163" s="181"/>
      <c r="AW163" s="181"/>
      <c r="AX163" s="181"/>
      <c r="AY163" s="264"/>
      <c r="AZ163" s="181"/>
      <c r="BA163" s="181"/>
      <c r="BB163" s="181"/>
      <c r="BC163" s="181"/>
      <c r="BD163" s="264"/>
      <c r="BE163" s="181"/>
      <c r="BF163" s="181"/>
      <c r="BG163" s="181"/>
      <c r="BH163" s="181"/>
      <c r="BI163" s="264"/>
      <c r="BJ163" s="181"/>
      <c r="BK163" s="181"/>
      <c r="BL163" s="181"/>
      <c r="BM163" s="181"/>
      <c r="BN163" s="264"/>
      <c r="BO163" s="181"/>
      <c r="BP163" s="181"/>
      <c r="BQ163" s="181"/>
      <c r="BR163" s="181"/>
      <c r="BS163" s="264"/>
      <c r="BT163" s="181"/>
      <c r="BU163" s="181"/>
      <c r="BV163" s="181"/>
      <c r="BW163" s="181"/>
      <c r="BX163" s="264"/>
      <c r="BY163" s="181"/>
      <c r="BZ163" s="181"/>
      <c r="CA163" s="181"/>
      <c r="CB163" s="181"/>
      <c r="CC163" s="264"/>
      <c r="CD163" s="181"/>
      <c r="CE163" s="181"/>
      <c r="CF163" s="181"/>
      <c r="CG163" s="181"/>
      <c r="CH163" s="264"/>
      <c r="CI163" s="181"/>
      <c r="CJ163" s="181"/>
      <c r="CK163" s="181"/>
      <c r="CL163" s="181"/>
      <c r="CM163" s="264"/>
    </row>
    <row r="164" spans="1:93" s="42" customFormat="1">
      <c r="A164" s="42" t="s">
        <v>335</v>
      </c>
      <c r="B164" s="232" t="s">
        <v>294</v>
      </c>
      <c r="C164" s="232" t="s">
        <v>294</v>
      </c>
      <c r="D164" s="232" t="s">
        <v>294</v>
      </c>
      <c r="E164" s="232" t="s">
        <v>294</v>
      </c>
      <c r="F164" s="239" t="s">
        <v>294</v>
      </c>
      <c r="G164" s="232" t="s">
        <v>294</v>
      </c>
      <c r="H164" s="232" t="s">
        <v>294</v>
      </c>
      <c r="I164" s="232" t="s">
        <v>294</v>
      </c>
      <c r="J164" s="232" t="s">
        <v>294</v>
      </c>
      <c r="K164" s="239" t="s">
        <v>294</v>
      </c>
      <c r="L164" s="232" t="s">
        <v>294</v>
      </c>
      <c r="M164" s="232" t="s">
        <v>294</v>
      </c>
      <c r="N164" s="232" t="s">
        <v>294</v>
      </c>
      <c r="O164" s="232" t="s">
        <v>294</v>
      </c>
      <c r="P164" s="239" t="s">
        <v>294</v>
      </c>
      <c r="Q164" s="168">
        <v>0</v>
      </c>
      <c r="R164" s="168">
        <v>0</v>
      </c>
      <c r="S164" s="168">
        <v>0</v>
      </c>
      <c r="T164" s="168">
        <v>0</v>
      </c>
      <c r="U164" s="250" t="s">
        <v>294</v>
      </c>
      <c r="V164" s="168">
        <v>0</v>
      </c>
      <c r="W164" s="168">
        <v>0</v>
      </c>
      <c r="X164" s="168">
        <v>0</v>
      </c>
      <c r="Y164" s="168">
        <v>0</v>
      </c>
      <c r="Z164" s="250" t="s">
        <v>294</v>
      </c>
      <c r="AA164" s="168">
        <v>0</v>
      </c>
      <c r="AB164" s="168">
        <v>0</v>
      </c>
      <c r="AC164" s="168">
        <v>0</v>
      </c>
      <c r="AD164" s="168">
        <v>475</v>
      </c>
      <c r="AE164" s="255">
        <f>+AE168/AE157*1000000</f>
        <v>475</v>
      </c>
      <c r="AF164" s="168">
        <v>775</v>
      </c>
      <c r="AG164" s="168">
        <v>815</v>
      </c>
      <c r="AH164" s="168">
        <v>840</v>
      </c>
      <c r="AI164" s="168">
        <v>850</v>
      </c>
      <c r="AJ164" s="255">
        <f>+AJ168/AJ157*1000000</f>
        <v>825.64851881505217</v>
      </c>
      <c r="AK164" s="168">
        <v>885</v>
      </c>
      <c r="AL164" s="168">
        <v>900</v>
      </c>
      <c r="AM164" s="168">
        <v>900</v>
      </c>
      <c r="AN164" s="168">
        <v>885</v>
      </c>
      <c r="AO164" s="255">
        <f>+AO168/AO157*1000000</f>
        <v>892.21198754540728</v>
      </c>
      <c r="AP164" s="168">
        <v>900</v>
      </c>
      <c r="AQ164" s="168">
        <v>902</v>
      </c>
      <c r="AR164" s="168">
        <v>925</v>
      </c>
      <c r="AS164" s="168">
        <v>925</v>
      </c>
      <c r="AT164" s="255">
        <f>+AT168/AT157*1000000</f>
        <v>915.57256191950455</v>
      </c>
      <c r="AU164" s="396">
        <v>975</v>
      </c>
      <c r="AV164" s="168">
        <v>975</v>
      </c>
      <c r="AW164" s="168">
        <v>975</v>
      </c>
      <c r="AX164" s="168">
        <v>975</v>
      </c>
      <c r="AY164" s="255">
        <f>+AY168/AY157*1000000</f>
        <v>975</v>
      </c>
      <c r="AZ164" s="168">
        <v>1000</v>
      </c>
      <c r="BA164" s="168">
        <v>1000</v>
      </c>
      <c r="BB164" s="168">
        <v>1000</v>
      </c>
      <c r="BC164" s="168">
        <v>1000</v>
      </c>
      <c r="BD164" s="255">
        <f>+BD168/BD157*1000000</f>
        <v>1000</v>
      </c>
      <c r="BE164" s="168">
        <v>1025</v>
      </c>
      <c r="BF164" s="168">
        <v>1025</v>
      </c>
      <c r="BG164" s="168">
        <v>1025</v>
      </c>
      <c r="BH164" s="168">
        <v>1025</v>
      </c>
      <c r="BI164" s="255">
        <f>+BI168/BI157*1000000</f>
        <v>1025</v>
      </c>
      <c r="BJ164" s="168">
        <f>+BH164+5</f>
        <v>1030</v>
      </c>
      <c r="BK164" s="168">
        <f>+BJ164</f>
        <v>1030</v>
      </c>
      <c r="BL164" s="168">
        <f>+BK164</f>
        <v>1030</v>
      </c>
      <c r="BM164" s="168">
        <f>+BL164</f>
        <v>1030</v>
      </c>
      <c r="BN164" s="255">
        <f>+BN168/BN157*1000000</f>
        <v>1029.9999999999998</v>
      </c>
      <c r="BO164" s="168">
        <f>+BM164+5</f>
        <v>1035</v>
      </c>
      <c r="BP164" s="168">
        <f>+BO164</f>
        <v>1035</v>
      </c>
      <c r="BQ164" s="168">
        <f>+BP164</f>
        <v>1035</v>
      </c>
      <c r="BR164" s="168">
        <f>+BQ164</f>
        <v>1035</v>
      </c>
      <c r="BS164" s="255">
        <f>+BS168/BS157*1000000</f>
        <v>1035</v>
      </c>
      <c r="BT164" s="168">
        <f>+BR164+5</f>
        <v>1040</v>
      </c>
      <c r="BU164" s="168">
        <f>+BT164</f>
        <v>1040</v>
      </c>
      <c r="BV164" s="168">
        <f>+BU164</f>
        <v>1040</v>
      </c>
      <c r="BW164" s="168">
        <f>+BV164</f>
        <v>1040</v>
      </c>
      <c r="BX164" s="255">
        <f>+BX168/BX157*1000000</f>
        <v>1040.0000000000002</v>
      </c>
      <c r="BY164" s="168">
        <f>+BW164+5</f>
        <v>1045</v>
      </c>
      <c r="BZ164" s="168">
        <f>+BY164</f>
        <v>1045</v>
      </c>
      <c r="CA164" s="168">
        <f>+BZ164</f>
        <v>1045</v>
      </c>
      <c r="CB164" s="168">
        <f>+CA164</f>
        <v>1045</v>
      </c>
      <c r="CC164" s="255">
        <f>+CC168/CC157*1000000</f>
        <v>1045</v>
      </c>
      <c r="CD164" s="168">
        <f>+CB164+5</f>
        <v>1050</v>
      </c>
      <c r="CE164" s="168">
        <f>+CD164</f>
        <v>1050</v>
      </c>
      <c r="CF164" s="168">
        <f>+CE164</f>
        <v>1050</v>
      </c>
      <c r="CG164" s="168">
        <f>+CF164</f>
        <v>1050</v>
      </c>
      <c r="CH164" s="255">
        <f>+CH168/CH157*1000000</f>
        <v>1050</v>
      </c>
      <c r="CI164" s="168">
        <f>+CG164+5</f>
        <v>1055</v>
      </c>
      <c r="CJ164" s="168">
        <f>+CI164</f>
        <v>1055</v>
      </c>
      <c r="CK164" s="168">
        <f>+CJ164</f>
        <v>1055</v>
      </c>
      <c r="CL164" s="168">
        <f>+CK164</f>
        <v>1055</v>
      </c>
      <c r="CM164" s="255">
        <f>+CM168/CM157*1000000</f>
        <v>1055</v>
      </c>
    </row>
    <row r="165" spans="1:93">
      <c r="A165" s="165" t="s">
        <v>291</v>
      </c>
      <c r="B165" s="232" t="s">
        <v>294</v>
      </c>
      <c r="C165" s="232" t="s">
        <v>294</v>
      </c>
      <c r="D165" s="232" t="s">
        <v>294</v>
      </c>
      <c r="E165" s="232" t="s">
        <v>294</v>
      </c>
      <c r="F165" s="239" t="s">
        <v>294</v>
      </c>
      <c r="G165" s="232" t="s">
        <v>294</v>
      </c>
      <c r="H165" s="232" t="s">
        <v>294</v>
      </c>
      <c r="I165" s="232" t="s">
        <v>294</v>
      </c>
      <c r="J165" s="232" t="s">
        <v>294</v>
      </c>
      <c r="K165" s="239" t="s">
        <v>294</v>
      </c>
      <c r="L165" s="232" t="s">
        <v>294</v>
      </c>
      <c r="M165" s="232" t="s">
        <v>294</v>
      </c>
      <c r="N165" s="232" t="s">
        <v>294</v>
      </c>
      <c r="O165" s="232" t="s">
        <v>294</v>
      </c>
      <c r="P165" s="239" t="s">
        <v>294</v>
      </c>
      <c r="Q165" s="157" t="s">
        <v>294</v>
      </c>
      <c r="R165" s="157" t="s">
        <v>294</v>
      </c>
      <c r="S165" s="157" t="s">
        <v>294</v>
      </c>
      <c r="T165" s="157" t="s">
        <v>294</v>
      </c>
      <c r="U165" s="257" t="s">
        <v>294</v>
      </c>
      <c r="V165" s="157" t="s">
        <v>294</v>
      </c>
      <c r="W165" s="157" t="s">
        <v>294</v>
      </c>
      <c r="X165" s="157" t="s">
        <v>294</v>
      </c>
      <c r="Y165" s="157" t="s">
        <v>294</v>
      </c>
      <c r="Z165" s="257" t="s">
        <v>294</v>
      </c>
      <c r="AA165" s="157" t="s">
        <v>294</v>
      </c>
      <c r="AB165" s="157" t="s">
        <v>294</v>
      </c>
      <c r="AC165" s="157" t="s">
        <v>294</v>
      </c>
      <c r="AD165" s="157" t="s">
        <v>294</v>
      </c>
      <c r="AE165" s="257" t="s">
        <v>294</v>
      </c>
      <c r="AF165" s="157" t="s">
        <v>294</v>
      </c>
      <c r="AG165" s="157" t="s">
        <v>294</v>
      </c>
      <c r="AH165" s="157" t="s">
        <v>294</v>
      </c>
      <c r="AI165" s="157" t="s">
        <v>294</v>
      </c>
      <c r="AJ165" s="257" t="s">
        <v>294</v>
      </c>
      <c r="AK165" s="157" t="s">
        <v>294</v>
      </c>
      <c r="AL165" s="157" t="s">
        <v>294</v>
      </c>
      <c r="AM165" s="157" t="s">
        <v>294</v>
      </c>
      <c r="AN165" s="19">
        <f t="shared" ref="AN165" si="2795">+AN164/AI164-1</f>
        <v>4.117647058823537E-2</v>
      </c>
      <c r="AO165" s="259">
        <f t="shared" ref="AO165" si="2796">+AO164/AJ164-1</f>
        <v>8.0619618655508818E-2</v>
      </c>
      <c r="AP165" s="19">
        <f t="shared" ref="AP165" si="2797">+AP164/AK164-1</f>
        <v>1.6949152542372836E-2</v>
      </c>
      <c r="AQ165" s="157">
        <f t="shared" ref="AQ165" si="2798">+AQ164/AL164-1</f>
        <v>2.2222222222221255E-3</v>
      </c>
      <c r="AR165" s="157">
        <f t="shared" ref="AR165" si="2799">+AR164/AM164-1</f>
        <v>2.7777777777777679E-2</v>
      </c>
      <c r="AS165" s="19">
        <f t="shared" ref="AS165" si="2800">+AS164/AN164-1</f>
        <v>4.5197740112994378E-2</v>
      </c>
      <c r="AT165" s="259">
        <f t="shared" ref="AT165" si="2801">+AT164/AO164-1</f>
        <v>2.6182762280929861E-2</v>
      </c>
      <c r="AU165" s="379">
        <f t="shared" ref="AU165" si="2802">+AU164/AP164-1</f>
        <v>8.3333333333333259E-2</v>
      </c>
      <c r="AV165" s="19">
        <f t="shared" ref="AV165" si="2803">+AV164/AQ164-1</f>
        <v>8.0931263858093017E-2</v>
      </c>
      <c r="AW165" s="19">
        <f t="shared" ref="AW165" si="2804">+AW164/AR164-1</f>
        <v>5.4054054054053946E-2</v>
      </c>
      <c r="AX165" s="19">
        <f t="shared" ref="AX165" si="2805">+AX164/AS164-1</f>
        <v>5.4054054054053946E-2</v>
      </c>
      <c r="AY165" s="259">
        <f t="shared" ref="AY165" si="2806">+AY164/AT164-1</f>
        <v>6.4907403904618244E-2</v>
      </c>
      <c r="AZ165" s="19">
        <f t="shared" ref="AZ165" si="2807">+AZ164/AU164-1</f>
        <v>2.564102564102555E-2</v>
      </c>
      <c r="BA165" s="19">
        <f t="shared" ref="BA165" si="2808">+BA164/AV164-1</f>
        <v>2.564102564102555E-2</v>
      </c>
      <c r="BB165" s="19">
        <f t="shared" ref="BB165" si="2809">+BB164/AW164-1</f>
        <v>2.564102564102555E-2</v>
      </c>
      <c r="BC165" s="19">
        <f t="shared" ref="BC165" si="2810">+BC164/AX164-1</f>
        <v>2.564102564102555E-2</v>
      </c>
      <c r="BD165" s="259">
        <f t="shared" ref="BD165" si="2811">+BD164/AY164-1</f>
        <v>2.564102564102555E-2</v>
      </c>
      <c r="BE165" s="19">
        <f t="shared" ref="BE165" si="2812">+BE164/AZ164-1</f>
        <v>2.4999999999999911E-2</v>
      </c>
      <c r="BF165" s="19">
        <f t="shared" ref="BF165" si="2813">+BF164/BA164-1</f>
        <v>2.4999999999999911E-2</v>
      </c>
      <c r="BG165" s="19">
        <f t="shared" ref="BG165" si="2814">+BG164/BB164-1</f>
        <v>2.4999999999999911E-2</v>
      </c>
      <c r="BH165" s="19">
        <f t="shared" ref="BH165" si="2815">+BH164/BC164-1</f>
        <v>2.4999999999999911E-2</v>
      </c>
      <c r="BI165" s="259">
        <f t="shared" ref="BI165" si="2816">+BI164/BD164-1</f>
        <v>2.4999999999999911E-2</v>
      </c>
      <c r="BJ165" s="19">
        <f t="shared" ref="BJ165" si="2817">+BJ164/BE164-1</f>
        <v>4.8780487804878092E-3</v>
      </c>
      <c r="BK165" s="19">
        <f t="shared" ref="BK165" si="2818">+BK164/BF164-1</f>
        <v>4.8780487804878092E-3</v>
      </c>
      <c r="BL165" s="19">
        <f t="shared" ref="BL165" si="2819">+BL164/BG164-1</f>
        <v>4.8780487804878092E-3</v>
      </c>
      <c r="BM165" s="19">
        <f t="shared" ref="BM165" si="2820">+BM164/BH164-1</f>
        <v>4.8780487804878092E-3</v>
      </c>
      <c r="BN165" s="259">
        <f t="shared" ref="BN165" si="2821">+BN164/BI164-1</f>
        <v>4.8780487804875872E-3</v>
      </c>
      <c r="BO165" s="19">
        <f t="shared" ref="BO165" si="2822">+BO164/BJ164-1</f>
        <v>4.8543689320388328E-3</v>
      </c>
      <c r="BP165" s="19">
        <f t="shared" ref="BP165" si="2823">+BP164/BK164-1</f>
        <v>4.8543689320388328E-3</v>
      </c>
      <c r="BQ165" s="19">
        <f t="shared" ref="BQ165" si="2824">+BQ164/BL164-1</f>
        <v>4.8543689320388328E-3</v>
      </c>
      <c r="BR165" s="19">
        <f t="shared" ref="BR165" si="2825">+BR164/BM164-1</f>
        <v>4.8543689320388328E-3</v>
      </c>
      <c r="BS165" s="259">
        <f t="shared" ref="BS165" si="2826">+BS164/BN164-1</f>
        <v>4.8543689320390548E-3</v>
      </c>
      <c r="BT165" s="19">
        <f t="shared" ref="BT165" si="2827">+BT164/BO164-1</f>
        <v>4.8309178743961567E-3</v>
      </c>
      <c r="BU165" s="19">
        <f t="shared" ref="BU165" si="2828">+BU164/BP164-1</f>
        <v>4.8309178743961567E-3</v>
      </c>
      <c r="BV165" s="19">
        <f t="shared" ref="BV165" si="2829">+BV164/BQ164-1</f>
        <v>4.8309178743961567E-3</v>
      </c>
      <c r="BW165" s="19">
        <f t="shared" ref="BW165" si="2830">+BW164/BR164-1</f>
        <v>4.8309178743961567E-3</v>
      </c>
      <c r="BX165" s="259">
        <f t="shared" ref="BX165" si="2831">+BX164/BS164-1</f>
        <v>4.8309178743963788E-3</v>
      </c>
      <c r="BY165" s="19">
        <f t="shared" ref="BY165" si="2832">+BY164/BT164-1</f>
        <v>4.8076923076922906E-3</v>
      </c>
      <c r="BZ165" s="19">
        <f t="shared" ref="BZ165" si="2833">+BZ164/BU164-1</f>
        <v>4.8076923076922906E-3</v>
      </c>
      <c r="CA165" s="19">
        <f t="shared" ref="CA165" si="2834">+CA164/BV164-1</f>
        <v>4.8076923076922906E-3</v>
      </c>
      <c r="CB165" s="19">
        <f t="shared" ref="CB165" si="2835">+CB164/BW164-1</f>
        <v>4.8076923076922906E-3</v>
      </c>
      <c r="CC165" s="259">
        <f t="shared" ref="CC165" si="2836">+CC164/BX164-1</f>
        <v>4.8076923076920686E-3</v>
      </c>
      <c r="CD165" s="19">
        <f t="shared" ref="CD165" si="2837">+CD164/BY164-1</f>
        <v>4.7846889952152249E-3</v>
      </c>
      <c r="CE165" s="19">
        <f t="shared" ref="CE165" si="2838">+CE164/BZ164-1</f>
        <v>4.7846889952152249E-3</v>
      </c>
      <c r="CF165" s="19">
        <f t="shared" ref="CF165" si="2839">+CF164/CA164-1</f>
        <v>4.7846889952152249E-3</v>
      </c>
      <c r="CG165" s="19">
        <f t="shared" ref="CG165" si="2840">+CG164/CB164-1</f>
        <v>4.7846889952152249E-3</v>
      </c>
      <c r="CH165" s="259">
        <f t="shared" ref="CH165" si="2841">+CH164/CC164-1</f>
        <v>4.7846889952152249E-3</v>
      </c>
      <c r="CI165" s="19">
        <f t="shared" ref="CI165" si="2842">+CI164/CD164-1</f>
        <v>4.761904761904745E-3</v>
      </c>
      <c r="CJ165" s="19">
        <f t="shared" ref="CJ165" si="2843">+CJ164/CE164-1</f>
        <v>4.761904761904745E-3</v>
      </c>
      <c r="CK165" s="19">
        <f t="shared" ref="CK165" si="2844">+CK164/CF164-1</f>
        <v>4.761904761904745E-3</v>
      </c>
      <c r="CL165" s="19">
        <f t="shared" ref="CL165" si="2845">+CL164/CG164-1</f>
        <v>4.761904761904745E-3</v>
      </c>
      <c r="CM165" s="259">
        <f t="shared" ref="CM165" si="2846">+CM164/CH164-1</f>
        <v>4.761904761904745E-3</v>
      </c>
    </row>
    <row r="166" spans="1:93">
      <c r="A166" s="139" t="s">
        <v>292</v>
      </c>
      <c r="B166" s="232" t="s">
        <v>294</v>
      </c>
      <c r="C166" s="232" t="s">
        <v>294</v>
      </c>
      <c r="D166" s="232" t="s">
        <v>294</v>
      </c>
      <c r="E166" s="232" t="s">
        <v>294</v>
      </c>
      <c r="F166" s="239" t="s">
        <v>294</v>
      </c>
      <c r="G166" s="232" t="s">
        <v>294</v>
      </c>
      <c r="H166" s="232" t="s">
        <v>294</v>
      </c>
      <c r="I166" s="232" t="s">
        <v>294</v>
      </c>
      <c r="J166" s="232" t="s">
        <v>294</v>
      </c>
      <c r="K166" s="239" t="s">
        <v>294</v>
      </c>
      <c r="L166" s="232" t="s">
        <v>294</v>
      </c>
      <c r="M166" s="232" t="s">
        <v>294</v>
      </c>
      <c r="N166" s="232" t="s">
        <v>294</v>
      </c>
      <c r="O166" s="232" t="s">
        <v>294</v>
      </c>
      <c r="P166" s="239" t="s">
        <v>294</v>
      </c>
      <c r="Q166" s="147" t="s">
        <v>294</v>
      </c>
      <c r="R166" s="157" t="s">
        <v>294</v>
      </c>
      <c r="S166" s="157" t="s">
        <v>294</v>
      </c>
      <c r="T166" s="157" t="s">
        <v>294</v>
      </c>
      <c r="U166" s="251" t="s">
        <v>294</v>
      </c>
      <c r="V166" s="157" t="s">
        <v>294</v>
      </c>
      <c r="W166" s="157" t="s">
        <v>294</v>
      </c>
      <c r="X166" s="157" t="s">
        <v>294</v>
      </c>
      <c r="Y166" s="157" t="s">
        <v>294</v>
      </c>
      <c r="Z166" s="257" t="s">
        <v>294</v>
      </c>
      <c r="AA166" s="157" t="s">
        <v>294</v>
      </c>
      <c r="AB166" s="157" t="s">
        <v>294</v>
      </c>
      <c r="AC166" s="157" t="s">
        <v>294</v>
      </c>
      <c r="AD166" s="157" t="s">
        <v>294</v>
      </c>
      <c r="AE166" s="257" t="s">
        <v>294</v>
      </c>
      <c r="AF166" s="157" t="s">
        <v>294</v>
      </c>
      <c r="AG166" s="157" t="s">
        <v>294</v>
      </c>
      <c r="AH166" s="157" t="s">
        <v>294</v>
      </c>
      <c r="AI166" s="157" t="s">
        <v>294</v>
      </c>
      <c r="AJ166" s="257" t="s">
        <v>294</v>
      </c>
      <c r="AK166" s="19">
        <f>+AK164/AI164-1</f>
        <v>4.117647058823537E-2</v>
      </c>
      <c r="AL166" s="19">
        <f>+AL164/AK164-1</f>
        <v>1.6949152542372836E-2</v>
      </c>
      <c r="AM166" s="19">
        <f t="shared" ref="AM166" si="2847">+AM164/AL164-1</f>
        <v>0</v>
      </c>
      <c r="AN166" s="19">
        <f t="shared" ref="AN166" si="2848">+AN164/AM164-1</f>
        <v>-1.6666666666666718E-2</v>
      </c>
      <c r="AO166" s="251" t="s">
        <v>294</v>
      </c>
      <c r="AP166" s="19">
        <f>+AP164/AN164-1</f>
        <v>1.6949152542372836E-2</v>
      </c>
      <c r="AQ166" s="19">
        <f>+AQ164/AP164-1</f>
        <v>2.2222222222221255E-3</v>
      </c>
      <c r="AR166" s="19">
        <f t="shared" ref="AR166" si="2849">+AR164/AQ164-1</f>
        <v>2.5498891352549791E-2</v>
      </c>
      <c r="AS166" s="19">
        <f t="shared" ref="AS166" si="2850">+AS164/AR164-1</f>
        <v>0</v>
      </c>
      <c r="AT166" s="251" t="s">
        <v>294</v>
      </c>
      <c r="AU166" s="379">
        <f>+AU164/AS164-1</f>
        <v>5.4054054054053946E-2</v>
      </c>
      <c r="AV166" s="19">
        <f>+AV164/AU164-1</f>
        <v>0</v>
      </c>
      <c r="AW166" s="19">
        <f t="shared" ref="AW166" si="2851">+AW164/AV164-1</f>
        <v>0</v>
      </c>
      <c r="AX166" s="19">
        <f t="shared" ref="AX166" si="2852">+AX164/AW164-1</f>
        <v>0</v>
      </c>
      <c r="AY166" s="251" t="s">
        <v>294</v>
      </c>
      <c r="AZ166" s="19">
        <f>+AZ164/AX164-1</f>
        <v>2.564102564102555E-2</v>
      </c>
      <c r="BA166" s="19">
        <f>+BA164/AZ164-1</f>
        <v>0</v>
      </c>
      <c r="BB166" s="19">
        <f t="shared" ref="BB166" si="2853">+BB164/BA164-1</f>
        <v>0</v>
      </c>
      <c r="BC166" s="19">
        <f t="shared" ref="BC166" si="2854">+BC164/BB164-1</f>
        <v>0</v>
      </c>
      <c r="BD166" s="251" t="s">
        <v>294</v>
      </c>
      <c r="BE166" s="19">
        <f>+BE164/BC164-1</f>
        <v>2.4999999999999911E-2</v>
      </c>
      <c r="BF166" s="19">
        <f>+BF164/BE164-1</f>
        <v>0</v>
      </c>
      <c r="BG166" s="19">
        <f t="shared" ref="BG166" si="2855">+BG164/BF164-1</f>
        <v>0</v>
      </c>
      <c r="BH166" s="19">
        <f t="shared" ref="BH166" si="2856">+BH164/BG164-1</f>
        <v>0</v>
      </c>
      <c r="BI166" s="251" t="s">
        <v>294</v>
      </c>
      <c r="BJ166" s="19">
        <f>+BJ164/BH164-1</f>
        <v>4.8780487804878092E-3</v>
      </c>
      <c r="BK166" s="19">
        <f>+BK164/BJ164-1</f>
        <v>0</v>
      </c>
      <c r="BL166" s="19">
        <f t="shared" ref="BL166" si="2857">+BL164/BK164-1</f>
        <v>0</v>
      </c>
      <c r="BM166" s="19">
        <f t="shared" ref="BM166" si="2858">+BM164/BL164-1</f>
        <v>0</v>
      </c>
      <c r="BN166" s="251" t="s">
        <v>294</v>
      </c>
      <c r="BO166" s="19">
        <f>+BO164/BM164-1</f>
        <v>4.8543689320388328E-3</v>
      </c>
      <c r="BP166" s="19">
        <f>+BP164/BO164-1</f>
        <v>0</v>
      </c>
      <c r="BQ166" s="19">
        <f t="shared" ref="BQ166" si="2859">+BQ164/BP164-1</f>
        <v>0</v>
      </c>
      <c r="BR166" s="19">
        <f t="shared" ref="BR166" si="2860">+BR164/BQ164-1</f>
        <v>0</v>
      </c>
      <c r="BS166" s="251" t="s">
        <v>294</v>
      </c>
      <c r="BT166" s="19">
        <f>+BT164/BR164-1</f>
        <v>4.8309178743961567E-3</v>
      </c>
      <c r="BU166" s="19">
        <f>+BU164/BT164-1</f>
        <v>0</v>
      </c>
      <c r="BV166" s="19">
        <f t="shared" ref="BV166" si="2861">+BV164/BU164-1</f>
        <v>0</v>
      </c>
      <c r="BW166" s="19">
        <f t="shared" ref="BW166" si="2862">+BW164/BV164-1</f>
        <v>0</v>
      </c>
      <c r="BX166" s="251" t="s">
        <v>294</v>
      </c>
      <c r="BY166" s="19">
        <f>+BY164/BW164-1</f>
        <v>4.8076923076922906E-3</v>
      </c>
      <c r="BZ166" s="19">
        <f>+BZ164/BY164-1</f>
        <v>0</v>
      </c>
      <c r="CA166" s="19">
        <f t="shared" ref="CA166" si="2863">+CA164/BZ164-1</f>
        <v>0</v>
      </c>
      <c r="CB166" s="19">
        <f t="shared" ref="CB166" si="2864">+CB164/CA164-1</f>
        <v>0</v>
      </c>
      <c r="CC166" s="251" t="s">
        <v>294</v>
      </c>
      <c r="CD166" s="19">
        <f>+CD164/CB164-1</f>
        <v>4.7846889952152249E-3</v>
      </c>
      <c r="CE166" s="19">
        <f>+CE164/CD164-1</f>
        <v>0</v>
      </c>
      <c r="CF166" s="19">
        <f t="shared" ref="CF166" si="2865">+CF164/CE164-1</f>
        <v>0</v>
      </c>
      <c r="CG166" s="19">
        <f t="shared" ref="CG166" si="2866">+CG164/CF164-1</f>
        <v>0</v>
      </c>
      <c r="CH166" s="251" t="s">
        <v>294</v>
      </c>
      <c r="CI166" s="19">
        <f>+CI164/CG164-1</f>
        <v>4.761904761904745E-3</v>
      </c>
      <c r="CJ166" s="19">
        <f>+CJ164/CI164-1</f>
        <v>0</v>
      </c>
      <c r="CK166" s="19">
        <f t="shared" ref="CK166" si="2867">+CK164/CJ164-1</f>
        <v>0</v>
      </c>
      <c r="CL166" s="19">
        <f t="shared" ref="CL166" si="2868">+CL164/CK164-1</f>
        <v>0</v>
      </c>
      <c r="CM166" s="251" t="s">
        <v>294</v>
      </c>
    </row>
    <row r="167" spans="1:93">
      <c r="F167" s="240"/>
      <c r="K167" s="240"/>
      <c r="P167" s="240"/>
      <c r="Q167" s="155"/>
      <c r="R167" s="155"/>
      <c r="S167" s="155"/>
      <c r="T167" s="155"/>
      <c r="U167" s="256"/>
      <c r="V167" s="155"/>
      <c r="W167" s="155"/>
      <c r="X167" s="155"/>
      <c r="Y167" s="155"/>
      <c r="Z167" s="256"/>
      <c r="AA167" s="155"/>
      <c r="AB167" s="155"/>
      <c r="AC167" s="155"/>
      <c r="AD167" s="155"/>
      <c r="AE167" s="256"/>
      <c r="AF167" s="155"/>
      <c r="AG167" s="155"/>
      <c r="AH167" s="155"/>
      <c r="AI167" s="155"/>
      <c r="AJ167" s="256"/>
      <c r="AK167" s="155"/>
      <c r="AL167" s="155"/>
      <c r="AM167" s="155"/>
      <c r="AN167" s="155"/>
      <c r="AO167" s="256"/>
      <c r="AP167" s="155"/>
      <c r="AQ167" s="155"/>
      <c r="AR167" s="155"/>
      <c r="AS167" s="155"/>
      <c r="AT167" s="256"/>
      <c r="AU167" s="397"/>
      <c r="AV167" s="155"/>
      <c r="AW167" s="155"/>
      <c r="AX167" s="155"/>
      <c r="AY167" s="256"/>
      <c r="AZ167" s="155"/>
      <c r="BA167" s="155"/>
      <c r="BB167" s="155"/>
      <c r="BC167" s="155"/>
      <c r="BD167" s="256"/>
      <c r="BE167" s="155"/>
      <c r="BF167" s="155"/>
      <c r="BG167" s="155"/>
      <c r="BH167" s="155"/>
      <c r="BI167" s="256"/>
      <c r="BJ167" s="155"/>
      <c r="BK167" s="155"/>
      <c r="BL167" s="155"/>
      <c r="BM167" s="155"/>
      <c r="BN167" s="256"/>
      <c r="BO167" s="155"/>
      <c r="BP167" s="155"/>
      <c r="BQ167" s="155"/>
      <c r="BR167" s="155"/>
      <c r="BS167" s="256"/>
      <c r="BT167" s="155"/>
      <c r="BU167" s="155"/>
      <c r="BV167" s="155"/>
      <c r="BW167" s="155"/>
      <c r="BX167" s="256"/>
      <c r="BY167" s="155"/>
      <c r="BZ167" s="155"/>
      <c r="CA167" s="155"/>
      <c r="CB167" s="155"/>
      <c r="CC167" s="256"/>
      <c r="CD167" s="155"/>
      <c r="CE167" s="155"/>
      <c r="CF167" s="155"/>
      <c r="CG167" s="155"/>
      <c r="CH167" s="256"/>
      <c r="CI167" s="155"/>
      <c r="CJ167" s="155"/>
      <c r="CK167" s="155"/>
      <c r="CL167" s="155"/>
      <c r="CM167" s="256"/>
    </row>
    <row r="168" spans="1:93" s="170" customFormat="1">
      <c r="A168" s="170" t="s">
        <v>427</v>
      </c>
      <c r="B168" s="232" t="s">
        <v>294</v>
      </c>
      <c r="C168" s="232" t="s">
        <v>294</v>
      </c>
      <c r="D168" s="232" t="s">
        <v>294</v>
      </c>
      <c r="E168" s="232" t="s">
        <v>294</v>
      </c>
      <c r="F168" s="239" t="s">
        <v>294</v>
      </c>
      <c r="G168" s="232" t="s">
        <v>294</v>
      </c>
      <c r="H168" s="232" t="s">
        <v>294</v>
      </c>
      <c r="I168" s="232" t="s">
        <v>294</v>
      </c>
      <c r="J168" s="232" t="s">
        <v>294</v>
      </c>
      <c r="K168" s="239" t="s">
        <v>294</v>
      </c>
      <c r="L168" s="232" t="s">
        <v>294</v>
      </c>
      <c r="M168" s="232" t="s">
        <v>294</v>
      </c>
      <c r="N168" s="232" t="s">
        <v>294</v>
      </c>
      <c r="O168" s="232" t="s">
        <v>294</v>
      </c>
      <c r="P168" s="239" t="s">
        <v>294</v>
      </c>
      <c r="Q168" s="170">
        <f>+Q164*Q157/1000000</f>
        <v>0</v>
      </c>
      <c r="R168" s="170">
        <f>+R164*R157/1000000</f>
        <v>0</v>
      </c>
      <c r="S168" s="170">
        <f>+S164*S157/1000000</f>
        <v>0</v>
      </c>
      <c r="T168" s="170">
        <f>+T164*T157/1000000</f>
        <v>0</v>
      </c>
      <c r="U168" s="253">
        <f>+Q168+R168+S168+T168</f>
        <v>0</v>
      </c>
      <c r="V168" s="170">
        <f>+V164*V157/1000000</f>
        <v>0</v>
      </c>
      <c r="W168" s="170">
        <f>+W164*W157/1000000</f>
        <v>0</v>
      </c>
      <c r="X168" s="170">
        <f>+X164*X157/1000000</f>
        <v>0</v>
      </c>
      <c r="Y168" s="170">
        <f>+Y164*Y157/1000000</f>
        <v>0</v>
      </c>
      <c r="Z168" s="253">
        <f>+V168+W168+X168+Y168</f>
        <v>0</v>
      </c>
      <c r="AA168" s="170">
        <f>+AA164*AA157/1000000</f>
        <v>0</v>
      </c>
      <c r="AB168" s="170">
        <f>+AB164*AB157/1000000</f>
        <v>0</v>
      </c>
      <c r="AC168" s="170">
        <f>+AC164*AC157/1000000</f>
        <v>0</v>
      </c>
      <c r="AD168" s="170">
        <f>+AD164*AD157/1000000</f>
        <v>0.18240000000000001</v>
      </c>
      <c r="AE168" s="253">
        <f>+AA168+AB168+AC168+AD168</f>
        <v>0.18240000000000001</v>
      </c>
      <c r="AF168" s="170">
        <f>+AF164*AF157/1000000</f>
        <v>0.36269999999999997</v>
      </c>
      <c r="AG168" s="170">
        <f>+AG164*AG157/1000000</f>
        <v>0.45151000000000002</v>
      </c>
      <c r="AH168" s="170">
        <f>+AH164*AH157/1000000</f>
        <v>0.53256000000000003</v>
      </c>
      <c r="AI168" s="170">
        <f>+AI164*AI157/1000000</f>
        <v>0.7157</v>
      </c>
      <c r="AJ168" s="253">
        <f>+AF168+AG168+AH168+AI168</f>
        <v>2.0624700000000002</v>
      </c>
      <c r="AK168" s="170">
        <f>+AK164*AK157/1000000</f>
        <v>0.60711000000000004</v>
      </c>
      <c r="AL168" s="170">
        <f>+AL164*AL157/1000000</f>
        <v>0.72270000000000001</v>
      </c>
      <c r="AM168" s="170">
        <f>+AM164*AM157/1000000</f>
        <v>0.94499999999999995</v>
      </c>
      <c r="AN168" s="170">
        <f>+AN164*AN157/1000000</f>
        <v>1.163775</v>
      </c>
      <c r="AO168" s="253">
        <f>+AK168+AL168+AM168+AN168</f>
        <v>3.4385849999999998</v>
      </c>
      <c r="AP168" s="170">
        <f>+AP164*AP157/1000000</f>
        <v>0.84149999999999991</v>
      </c>
      <c r="AQ168" s="170">
        <f>+AQ164*AQ157/1000000</f>
        <v>0.994004</v>
      </c>
      <c r="AR168" s="170">
        <f>+AR164*AR157/1000000</f>
        <v>1.321825</v>
      </c>
      <c r="AS168" s="170">
        <f>+AS164*AS157/1000000</f>
        <v>1.5743499999999999</v>
      </c>
      <c r="AT168" s="253">
        <f>+AP168+AQ168+AR168+AS168</f>
        <v>4.7316789999999997</v>
      </c>
      <c r="AU168" s="356">
        <f>+AU164*AU157/1000000</f>
        <v>1.8442808147374301</v>
      </c>
      <c r="AV168" s="170">
        <f>+AV164*AV157/1000000</f>
        <v>1.43253831473743</v>
      </c>
      <c r="AW168" s="170">
        <f>+AW164*AW157/1000000</f>
        <v>1.9793281294748601</v>
      </c>
      <c r="AX168" s="170">
        <f>+AX164*AX157/1000000</f>
        <v>1.5675856294748596</v>
      </c>
      <c r="AY168" s="253">
        <f>+AU168+AV168+AW168+AX168</f>
        <v>6.8237328884245798</v>
      </c>
      <c r="AZ168" s="170">
        <f>+AZ164*AZ157/1000000</f>
        <v>2.0249756964060306</v>
      </c>
      <c r="BA168" s="170">
        <f>+BA164*BA157/1000000</f>
        <v>2.3939378560334919</v>
      </c>
      <c r="BB168" s="170">
        <f>+BB164*BB157/1000000</f>
        <v>2.7629000156609527</v>
      </c>
      <c r="BC168" s="170">
        <f>+BC164*BC157/1000000</f>
        <v>3.1318621752884135</v>
      </c>
      <c r="BD168" s="253">
        <f>+AZ168+BA168+BB168+BC168</f>
        <v>10.313675743388888</v>
      </c>
      <c r="BE168" s="170">
        <f>+BE164*BE157/1000000</f>
        <v>3.6959952915874341</v>
      </c>
      <c r="BF168" s="170">
        <f>+BF164*BF157/1000000</f>
        <v>4.0855270916141269</v>
      </c>
      <c r="BG168" s="170">
        <f>+BG164*BG157/1000000</f>
        <v>4.4750588916408187</v>
      </c>
      <c r="BH168" s="170">
        <f>+BH164*BH157/1000000</f>
        <v>4.8645906916675115</v>
      </c>
      <c r="BI168" s="253">
        <f>+BE168+BF168+BG168+BH168</f>
        <v>17.121171966509891</v>
      </c>
      <c r="BJ168" s="170">
        <f>+BJ164*BJ157/1000000</f>
        <v>5.4381449282325667</v>
      </c>
      <c r="BK168" s="170">
        <f>+BK164*BK157/1000000</f>
        <v>5.8413198420358032</v>
      </c>
      <c r="BL168" s="170">
        <f>+BL164*BL157/1000000</f>
        <v>6.2444947558390407</v>
      </c>
      <c r="BM168" s="170">
        <f>+BM164*BM157/1000000</f>
        <v>6.6476696696422772</v>
      </c>
      <c r="BN168" s="253">
        <f>+BJ168+BK168+BL168+BM168</f>
        <v>24.171629195749688</v>
      </c>
      <c r="BO168" s="170">
        <f>+BO164*BO157/1000000</f>
        <v>7.2976241438661065</v>
      </c>
      <c r="BP168" s="170">
        <f>+BP164*BP157/1000000</f>
        <v>7.714910179652458</v>
      </c>
      <c r="BQ168" s="170">
        <f>+BQ164*BQ157/1000000</f>
        <v>8.1321962154388068</v>
      </c>
      <c r="BR168" s="170">
        <f>+BR164*BR157/1000000</f>
        <v>8.5494822512251574</v>
      </c>
      <c r="BS168" s="253">
        <f>+BO168+BP168+BQ168+BR168</f>
        <v>31.694212790182529</v>
      </c>
      <c r="BT168" s="170">
        <f>+BT164*BT157/1000000</f>
        <v>9.2803885884509452</v>
      </c>
      <c r="BU168" s="170">
        <f>+BU164*BU157/1000000</f>
        <v>9.7122695561169721</v>
      </c>
      <c r="BV168" s="170">
        <f>+BV164*BV157/1000000</f>
        <v>10.144150523783001</v>
      </c>
      <c r="BW168" s="170">
        <f>+BW164*BW157/1000000</f>
        <v>10.576031491449026</v>
      </c>
      <c r="BX168" s="253">
        <f>+BT168+BU168+BV168+BW168</f>
        <v>39.712840159799946</v>
      </c>
      <c r="BY168" s="170">
        <f>+BY164*BY157/1000000</f>
        <v>11.392660168623548</v>
      </c>
      <c r="BZ168" s="170">
        <f>+BZ164*BZ157/1000000</f>
        <v>11.839636206649827</v>
      </c>
      <c r="CA168" s="170">
        <f>+CA164*CA157/1000000</f>
        <v>12.286612244676103</v>
      </c>
      <c r="CB168" s="170">
        <f>+CB164*CB157/1000000</f>
        <v>12.733588282702382</v>
      </c>
      <c r="CC168" s="253">
        <f>+BY168+BZ168+CA168+CB168</f>
        <v>48.252496902651856</v>
      </c>
      <c r="CD168" s="170">
        <f>+CD164*CD157/1000000</f>
        <v>13.640938098438321</v>
      </c>
      <c r="CE168" s="170">
        <f>+CE164*CE157/1000000</f>
        <v>14.103526218175562</v>
      </c>
      <c r="CF168" s="170">
        <f>+CF164*CF157/1000000</f>
        <v>14.566114337912806</v>
      </c>
      <c r="CG168" s="170">
        <f>+CG164*CG157/1000000</f>
        <v>15.02870245765005</v>
      </c>
      <c r="CH168" s="253">
        <f>+CD168+CE168+CF168+CG168</f>
        <v>57.339281112176735</v>
      </c>
      <c r="CI168" s="170">
        <f>+CI164*CI157/1000000</f>
        <v>16.032010386588478</v>
      </c>
      <c r="CJ168" s="170">
        <f>+CJ164*CJ157/1000000</f>
        <v>16.510745034505121</v>
      </c>
      <c r="CK168" s="170">
        <f>+CK164*CK157/1000000</f>
        <v>16.989479682421766</v>
      </c>
      <c r="CL168" s="170">
        <f>+CL164*CL157/1000000</f>
        <v>17.468214330338409</v>
      </c>
      <c r="CM168" s="253">
        <f>+CI168+CJ168+CK168+CL168</f>
        <v>67.000449433853774</v>
      </c>
    </row>
    <row r="169" spans="1:93" s="102" customFormat="1">
      <c r="A169" s="165" t="s">
        <v>291</v>
      </c>
      <c r="B169" s="232" t="s">
        <v>294</v>
      </c>
      <c r="C169" s="232" t="s">
        <v>294</v>
      </c>
      <c r="D169" s="232" t="s">
        <v>294</v>
      </c>
      <c r="E169" s="232" t="s">
        <v>294</v>
      </c>
      <c r="F169" s="239" t="s">
        <v>294</v>
      </c>
      <c r="G169" s="232" t="s">
        <v>294</v>
      </c>
      <c r="H169" s="232" t="s">
        <v>294</v>
      </c>
      <c r="I169" s="232" t="s">
        <v>294</v>
      </c>
      <c r="J169" s="232" t="s">
        <v>294</v>
      </c>
      <c r="K169" s="239" t="s">
        <v>294</v>
      </c>
      <c r="L169" s="232" t="s">
        <v>294</v>
      </c>
      <c r="M169" s="232" t="s">
        <v>294</v>
      </c>
      <c r="N169" s="232" t="s">
        <v>294</v>
      </c>
      <c r="O169" s="232" t="s">
        <v>294</v>
      </c>
      <c r="P169" s="239" t="s">
        <v>294</v>
      </c>
      <c r="Q169" s="157" t="s">
        <v>294</v>
      </c>
      <c r="R169" s="157" t="s">
        <v>294</v>
      </c>
      <c r="S169" s="157" t="s">
        <v>294</v>
      </c>
      <c r="T169" s="157" t="s">
        <v>294</v>
      </c>
      <c r="U169" s="257" t="s">
        <v>294</v>
      </c>
      <c r="V169" s="157" t="s">
        <v>294</v>
      </c>
      <c r="W169" s="157" t="s">
        <v>294</v>
      </c>
      <c r="X169" s="157" t="s">
        <v>294</v>
      </c>
      <c r="Y169" s="157" t="s">
        <v>294</v>
      </c>
      <c r="Z169" s="257" t="s">
        <v>294</v>
      </c>
      <c r="AA169" s="157" t="s">
        <v>294</v>
      </c>
      <c r="AB169" s="157" t="s">
        <v>294</v>
      </c>
      <c r="AC169" s="157" t="s">
        <v>294</v>
      </c>
      <c r="AD169" s="157" t="s">
        <v>294</v>
      </c>
      <c r="AE169" s="257" t="s">
        <v>294</v>
      </c>
      <c r="AF169" s="157" t="s">
        <v>294</v>
      </c>
      <c r="AG169" s="157" t="s">
        <v>294</v>
      </c>
      <c r="AH169" s="157" t="s">
        <v>294</v>
      </c>
      <c r="AI169" s="157" t="s">
        <v>294</v>
      </c>
      <c r="AJ169" s="257" t="s">
        <v>294</v>
      </c>
      <c r="AK169" s="157" t="s">
        <v>294</v>
      </c>
      <c r="AL169" s="157" t="s">
        <v>294</v>
      </c>
      <c r="AM169" s="157" t="s">
        <v>294</v>
      </c>
      <c r="AN169" s="19">
        <f t="shared" ref="AN169:BS169" si="2869">+AN168/AI168-1</f>
        <v>0.62606539052675703</v>
      </c>
      <c r="AO169" s="259">
        <f t="shared" si="2869"/>
        <v>0.66721697770149357</v>
      </c>
      <c r="AP169" s="19">
        <f t="shared" si="2869"/>
        <v>0.38607501111824849</v>
      </c>
      <c r="AQ169" s="157">
        <f t="shared" si="2869"/>
        <v>0.37540334855403357</v>
      </c>
      <c r="AR169" s="157">
        <f t="shared" si="2869"/>
        <v>0.39875661375661386</v>
      </c>
      <c r="AS169" s="19">
        <f t="shared" si="2869"/>
        <v>0.35279585830594384</v>
      </c>
      <c r="AT169" s="259">
        <f t="shared" si="2869"/>
        <v>0.37605410365019343</v>
      </c>
      <c r="AU169" s="379">
        <f t="shared" si="2869"/>
        <v>1.191658722207285</v>
      </c>
      <c r="AV169" s="19">
        <f t="shared" si="2869"/>
        <v>0.44117962778563258</v>
      </c>
      <c r="AW169" s="19">
        <f t="shared" si="2869"/>
        <v>0.49742070960593132</v>
      </c>
      <c r="AX169" s="19">
        <f t="shared" si="2869"/>
        <v>-4.2966116334616222E-3</v>
      </c>
      <c r="AY169" s="259">
        <f t="shared" si="2869"/>
        <v>0.44213774612026313</v>
      </c>
      <c r="AZ169" s="19">
        <f t="shared" si="2869"/>
        <v>9.7975796432240081E-2</v>
      </c>
      <c r="BA169" s="19">
        <f t="shared" si="2869"/>
        <v>0.67111611005830363</v>
      </c>
      <c r="BB169" s="19">
        <f t="shared" si="2869"/>
        <v>0.39587770947002299</v>
      </c>
      <c r="BC169" s="19">
        <f t="shared" si="2869"/>
        <v>0.99788905715956688</v>
      </c>
      <c r="BD169" s="259">
        <f t="shared" si="2869"/>
        <v>0.51144189141466301</v>
      </c>
      <c r="BE169" s="19">
        <f t="shared" si="2869"/>
        <v>0.825204765739739</v>
      </c>
      <c r="BF169" s="19">
        <f t="shared" si="2869"/>
        <v>0.7066136789295876</v>
      </c>
      <c r="BG169" s="19">
        <f t="shared" si="2869"/>
        <v>0.61969628516226849</v>
      </c>
      <c r="BH169" s="19">
        <f t="shared" si="2869"/>
        <v>0.55325822766116173</v>
      </c>
      <c r="BI169" s="259">
        <f t="shared" si="2869"/>
        <v>0.66004559310337418</v>
      </c>
      <c r="BJ169" s="19">
        <f t="shared" si="2869"/>
        <v>0.4713614329029292</v>
      </c>
      <c r="BK169" s="19">
        <f t="shared" si="2869"/>
        <v>0.42975917453235901</v>
      </c>
      <c r="BL169" s="19">
        <f t="shared" si="2869"/>
        <v>0.39539945887716432</v>
      </c>
      <c r="BM169" s="19">
        <f t="shared" si="2869"/>
        <v>0.36654244745174069</v>
      </c>
      <c r="BN169" s="259">
        <f t="shared" si="2869"/>
        <v>0.41179758272570033</v>
      </c>
      <c r="BO169" s="19">
        <f t="shared" si="2869"/>
        <v>0.34193263331028634</v>
      </c>
      <c r="BP169" s="19">
        <f t="shared" si="2869"/>
        <v>0.32074777418174638</v>
      </c>
      <c r="BQ169" s="19">
        <f t="shared" si="2869"/>
        <v>0.30229850987297779</v>
      </c>
      <c r="BR169" s="19">
        <f t="shared" si="2869"/>
        <v>0.28608710662442105</v>
      </c>
      <c r="BS169" s="259">
        <f t="shared" si="2869"/>
        <v>0.31121541429882615</v>
      </c>
      <c r="BT169" s="19">
        <f t="shared" ref="BT169:CM169" si="2870">+BT168/BO168-1</f>
        <v>0.27169999516231824</v>
      </c>
      <c r="BU169" s="19">
        <f t="shared" si="2870"/>
        <v>0.25889599878070024</v>
      </c>
      <c r="BV169" s="19">
        <f t="shared" si="2870"/>
        <v>0.24740602108499798</v>
      </c>
      <c r="BW169" s="19">
        <f t="shared" si="2870"/>
        <v>0.23703765686319311</v>
      </c>
      <c r="BX169" s="259">
        <f t="shared" si="2870"/>
        <v>0.25299973287556243</v>
      </c>
      <c r="BY169" s="19">
        <f t="shared" si="2870"/>
        <v>0.22760594128582468</v>
      </c>
      <c r="BZ169" s="19">
        <f t="shared" si="2870"/>
        <v>0.21903908640931391</v>
      </c>
      <c r="CA169" s="19">
        <f t="shared" si="2870"/>
        <v>0.21120168868453715</v>
      </c>
      <c r="CB169" s="19">
        <f t="shared" si="2870"/>
        <v>0.20400438415844269</v>
      </c>
      <c r="CC169" s="259">
        <f t="shared" si="2870"/>
        <v>0.2150351550906282</v>
      </c>
      <c r="CD169" s="19">
        <f t="shared" si="2870"/>
        <v>0.19734442145538056</v>
      </c>
      <c r="CE169" s="19">
        <f t="shared" si="2870"/>
        <v>0.19121280181347156</v>
      </c>
      <c r="CF169" s="19">
        <f t="shared" si="2870"/>
        <v>0.18552730792203764</v>
      </c>
      <c r="CG169" s="19">
        <f t="shared" si="2870"/>
        <v>0.18024095989230382</v>
      </c>
      <c r="CH169" s="259">
        <f t="shared" si="2870"/>
        <v>0.18831738858731439</v>
      </c>
      <c r="CI169" s="19">
        <f t="shared" si="2870"/>
        <v>0.17528649942513108</v>
      </c>
      <c r="CJ169" s="19">
        <f t="shared" si="2870"/>
        <v>0.17068205348725596</v>
      </c>
      <c r="CK169" s="19">
        <f t="shared" si="2870"/>
        <v>0.16637006193212445</v>
      </c>
      <c r="CL169" s="19">
        <f t="shared" si="2870"/>
        <v>0.16232351925009847</v>
      </c>
      <c r="CM169" s="259">
        <f t="shared" si="2870"/>
        <v>0.16849127045691836</v>
      </c>
    </row>
    <row r="170" spans="1:93">
      <c r="A170" s="139" t="s">
        <v>292</v>
      </c>
      <c r="B170" s="232" t="s">
        <v>294</v>
      </c>
      <c r="C170" s="232" t="s">
        <v>294</v>
      </c>
      <c r="D170" s="232" t="s">
        <v>294</v>
      </c>
      <c r="E170" s="232" t="s">
        <v>294</v>
      </c>
      <c r="F170" s="239" t="s">
        <v>294</v>
      </c>
      <c r="G170" s="232" t="s">
        <v>294</v>
      </c>
      <c r="H170" s="232" t="s">
        <v>294</v>
      </c>
      <c r="I170" s="232" t="s">
        <v>294</v>
      </c>
      <c r="J170" s="232" t="s">
        <v>294</v>
      </c>
      <c r="K170" s="239" t="s">
        <v>294</v>
      </c>
      <c r="L170" s="232" t="s">
        <v>294</v>
      </c>
      <c r="M170" s="232" t="s">
        <v>294</v>
      </c>
      <c r="N170" s="232" t="s">
        <v>294</v>
      </c>
      <c r="O170" s="232" t="s">
        <v>294</v>
      </c>
      <c r="P170" s="239" t="s">
        <v>294</v>
      </c>
      <c r="Q170" s="147" t="s">
        <v>294</v>
      </c>
      <c r="R170" s="157" t="s">
        <v>294</v>
      </c>
      <c r="S170" s="157" t="s">
        <v>294</v>
      </c>
      <c r="T170" s="157" t="s">
        <v>294</v>
      </c>
      <c r="U170" s="251" t="s">
        <v>294</v>
      </c>
      <c r="V170" s="157" t="s">
        <v>294</v>
      </c>
      <c r="W170" s="157" t="s">
        <v>294</v>
      </c>
      <c r="X170" s="157" t="s">
        <v>294</v>
      </c>
      <c r="Y170" s="157" t="s">
        <v>294</v>
      </c>
      <c r="Z170" s="257" t="s">
        <v>294</v>
      </c>
      <c r="AA170" s="157" t="s">
        <v>294</v>
      </c>
      <c r="AB170" s="157" t="s">
        <v>294</v>
      </c>
      <c r="AC170" s="157" t="s">
        <v>294</v>
      </c>
      <c r="AD170" s="157" t="s">
        <v>294</v>
      </c>
      <c r="AE170" s="257" t="s">
        <v>294</v>
      </c>
      <c r="AF170" s="157" t="s">
        <v>294</v>
      </c>
      <c r="AG170" s="157" t="s">
        <v>294</v>
      </c>
      <c r="AH170" s="157" t="s">
        <v>294</v>
      </c>
      <c r="AI170" s="157" t="s">
        <v>294</v>
      </c>
      <c r="AJ170" s="257" t="s">
        <v>294</v>
      </c>
      <c r="AK170" s="19">
        <f>+AK168/AI168-1</f>
        <v>-0.15172558334497688</v>
      </c>
      <c r="AL170" s="19">
        <f>+AL168/AK168-1</f>
        <v>0.19039383307802527</v>
      </c>
      <c r="AM170" s="19">
        <f t="shared" ref="AM170:AN170" si="2871">+AM168/AL168-1</f>
        <v>0.30759651307596503</v>
      </c>
      <c r="AN170" s="19">
        <f t="shared" si="2871"/>
        <v>0.23150793650793666</v>
      </c>
      <c r="AO170" s="251" t="s">
        <v>294</v>
      </c>
      <c r="AP170" s="19">
        <f>+AP168/AN168-1</f>
        <v>-0.27692208545466268</v>
      </c>
      <c r="AQ170" s="19">
        <f>+AQ168/AP168-1</f>
        <v>0.18122875816993478</v>
      </c>
      <c r="AR170" s="19">
        <f t="shared" ref="AR170:AS170" si="2872">+AR168/AQ168-1</f>
        <v>0.32979847163592901</v>
      </c>
      <c r="AS170" s="19">
        <f t="shared" si="2872"/>
        <v>0.19104268719384176</v>
      </c>
      <c r="AT170" s="251" t="s">
        <v>294</v>
      </c>
      <c r="AU170" s="379">
        <f>+AU168/AS168-1</f>
        <v>0.17145540365066858</v>
      </c>
      <c r="AV170" s="19">
        <f>+AV168/AU168-1</f>
        <v>-0.22325369147139329</v>
      </c>
      <c r="AW170" s="19">
        <f t="shared" ref="AW170:AX170" si="2873">+AW168/AV168-1</f>
        <v>0.38169297750172304</v>
      </c>
      <c r="AX170" s="19">
        <f t="shared" si="2873"/>
        <v>-0.2080213451567734</v>
      </c>
      <c r="AY170" s="251" t="s">
        <v>294</v>
      </c>
      <c r="AZ170" s="19">
        <f>+AZ168/AX168-1</f>
        <v>0.29177995659758404</v>
      </c>
      <c r="BA170" s="19">
        <f>+BA168/AZ168-1</f>
        <v>0.18220572241054689</v>
      </c>
      <c r="BB170" s="19">
        <f t="shared" ref="BB170:BC170" si="2874">+BB168/BA168-1</f>
        <v>0.15412353277991642</v>
      </c>
      <c r="BC170" s="19">
        <f t="shared" si="2874"/>
        <v>0.13354162566002081</v>
      </c>
      <c r="BD170" s="251" t="s">
        <v>294</v>
      </c>
      <c r="BE170" s="19">
        <f>+BE168/BC168-1</f>
        <v>0.18012705691529018</v>
      </c>
      <c r="BF170" s="19">
        <f>+BF168/BE168-1</f>
        <v>0.1053929372998168</v>
      </c>
      <c r="BG170" s="19">
        <f t="shared" ref="BG170:BH170" si="2875">+BG168/BF168-1</f>
        <v>9.5344319421167834E-2</v>
      </c>
      <c r="BH170" s="19">
        <f t="shared" si="2875"/>
        <v>8.7045066770924162E-2</v>
      </c>
      <c r="BI170" s="251" t="s">
        <v>294</v>
      </c>
      <c r="BJ170" s="19">
        <f>+BJ168/BH168-1</f>
        <v>0.11790390454586208</v>
      </c>
      <c r="BK170" s="19">
        <f>+BK168/BJ168-1</f>
        <v>7.4138317224706762E-2</v>
      </c>
      <c r="BL170" s="19">
        <f t="shared" ref="BL170:BM170" si="2876">+BL168/BK168-1</f>
        <v>6.9021201493175477E-2</v>
      </c>
      <c r="BM170" s="19">
        <f t="shared" si="2876"/>
        <v>6.4564857457241054E-2</v>
      </c>
      <c r="BN170" s="251" t="s">
        <v>294</v>
      </c>
      <c r="BO170" s="19">
        <f>+BO168/BM168-1</f>
        <v>9.7771776656105258E-2</v>
      </c>
      <c r="BP170" s="19">
        <f>+BP168/BO168-1</f>
        <v>5.7181080795603023E-2</v>
      </c>
      <c r="BQ170" s="19">
        <f t="shared" ref="BQ170:BR170" si="2877">+BQ168/BP168-1</f>
        <v>5.4088255866790558E-2</v>
      </c>
      <c r="BR170" s="19">
        <f t="shared" si="2877"/>
        <v>5.1312834163315113E-2</v>
      </c>
      <c r="BS170" s="251" t="s">
        <v>294</v>
      </c>
      <c r="BT170" s="19">
        <f>+BT168/BR168-1</f>
        <v>8.5491298273769445E-2</v>
      </c>
      <c r="BU170" s="19">
        <f>+BU168/BT168-1</f>
        <v>4.6536948700993452E-2</v>
      </c>
      <c r="BV170" s="19">
        <f t="shared" ref="BV170:BW170" si="2878">+BV168/BU168-1</f>
        <v>4.4467563958212164E-2</v>
      </c>
      <c r="BW170" s="19">
        <f t="shared" si="2878"/>
        <v>4.2574384780024621E-2</v>
      </c>
      <c r="BX170" s="251" t="s">
        <v>294</v>
      </c>
      <c r="BY170" s="19">
        <f>+BY168/BW168-1</f>
        <v>7.7215038347303144E-2</v>
      </c>
      <c r="BZ170" s="19">
        <f>+BZ168/BY168-1</f>
        <v>3.9233684794468981E-2</v>
      </c>
      <c r="CA170" s="19">
        <f t="shared" ref="CA170:CB170" si="2879">+CA168/BZ168-1</f>
        <v>3.7752514538852866E-2</v>
      </c>
      <c r="CB170" s="19">
        <f t="shared" si="2879"/>
        <v>3.6379111599290193E-2</v>
      </c>
      <c r="CC170" s="251" t="s">
        <v>294</v>
      </c>
      <c r="CD170" s="19">
        <f>+CD168/CB168-1</f>
        <v>7.1256412221879728E-2</v>
      </c>
      <c r="CE170" s="19">
        <f>+CE168/CD168-1</f>
        <v>3.3911752725437561E-2</v>
      </c>
      <c r="CF170" s="19">
        <f t="shared" ref="CF170:CG170" si="2880">+CF168/CE168-1</f>
        <v>3.2799465366405656E-2</v>
      </c>
      <c r="CG170" s="19">
        <f t="shared" si="2880"/>
        <v>3.1757825663445205E-2</v>
      </c>
      <c r="CH170" s="251" t="s">
        <v>294</v>
      </c>
      <c r="CI170" s="19">
        <f>+CI168/CG168-1</f>
        <v>6.6759451241096057E-2</v>
      </c>
      <c r="CJ170" s="19">
        <f>+CJ168/CI168-1</f>
        <v>2.9861173762532278E-2</v>
      </c>
      <c r="CK170" s="19">
        <f t="shared" ref="CK170:CL170" si="2881">+CK168/CJ168-1</f>
        <v>2.8995338909065582E-2</v>
      </c>
      <c r="CL170" s="19">
        <f t="shared" si="2881"/>
        <v>2.8178299563344833E-2</v>
      </c>
      <c r="CM170" s="251" t="s">
        <v>294</v>
      </c>
    </row>
    <row r="171" spans="1:93">
      <c r="F171" s="240"/>
      <c r="K171" s="240"/>
      <c r="P171" s="240"/>
      <c r="U171" s="240"/>
      <c r="Z171" s="240"/>
      <c r="AE171" s="240"/>
      <c r="AJ171" s="240"/>
      <c r="AO171" s="240"/>
      <c r="AT171" s="240"/>
      <c r="AU171" s="374"/>
      <c r="AY171" s="240"/>
      <c r="BD171" s="240"/>
      <c r="BI171" s="240"/>
      <c r="BN171" s="240"/>
      <c r="BS171" s="240"/>
      <c r="BX171" s="240"/>
      <c r="CC171" s="240"/>
      <c r="CH171" s="240"/>
      <c r="CM171" s="240"/>
    </row>
    <row r="172" spans="1:93" s="230" customFormat="1">
      <c r="A172" s="174" t="s">
        <v>330</v>
      </c>
      <c r="B172" s="174"/>
      <c r="C172" s="174"/>
      <c r="D172" s="174"/>
      <c r="E172" s="174"/>
      <c r="F172" s="244"/>
      <c r="G172" s="174"/>
      <c r="H172" s="174"/>
      <c r="I172" s="174"/>
      <c r="J172" s="174"/>
      <c r="K172" s="244"/>
      <c r="L172" s="174"/>
      <c r="M172" s="174"/>
      <c r="N172" s="174"/>
      <c r="O172" s="174"/>
      <c r="P172" s="244"/>
      <c r="Q172" s="174"/>
      <c r="R172" s="174"/>
      <c r="S172" s="174"/>
      <c r="T172" s="174"/>
      <c r="U172" s="244"/>
      <c r="V172" s="174"/>
      <c r="W172" s="174"/>
      <c r="X172" s="174"/>
      <c r="Y172" s="174"/>
      <c r="Z172" s="244"/>
      <c r="AA172" s="174"/>
      <c r="AB172" s="174"/>
      <c r="AC172" s="174"/>
      <c r="AD172" s="174"/>
      <c r="AE172" s="244"/>
      <c r="AF172" s="174"/>
      <c r="AG172" s="174"/>
      <c r="AH172" s="174"/>
      <c r="AI172" s="174"/>
      <c r="AJ172" s="244"/>
      <c r="AK172" s="174"/>
      <c r="AL172" s="174"/>
      <c r="AM172" s="174"/>
      <c r="AN172" s="174"/>
      <c r="AO172" s="244"/>
      <c r="AP172" s="174"/>
      <c r="AQ172" s="174"/>
      <c r="AR172" s="174"/>
      <c r="AS172" s="174"/>
      <c r="AT172" s="244"/>
      <c r="AU172" s="174"/>
      <c r="AV172" s="174"/>
      <c r="AW172" s="174"/>
      <c r="AX172" s="174"/>
      <c r="AY172" s="244"/>
      <c r="AZ172" s="174"/>
      <c r="BA172" s="174"/>
      <c r="BB172" s="174"/>
      <c r="BC172" s="174"/>
      <c r="BD172" s="244"/>
      <c r="BE172" s="174"/>
      <c r="BF172" s="174"/>
      <c r="BG172" s="174"/>
      <c r="BH172" s="174"/>
      <c r="BI172" s="244"/>
      <c r="BJ172" s="174"/>
      <c r="BK172" s="174"/>
      <c r="BL172" s="174"/>
      <c r="BM172" s="174"/>
      <c r="BN172" s="244"/>
      <c r="BO172" s="174"/>
      <c r="BP172" s="174"/>
      <c r="BQ172" s="174"/>
      <c r="BR172" s="174"/>
      <c r="BS172" s="244"/>
      <c r="BT172" s="174"/>
      <c r="BU172" s="174"/>
      <c r="BV172" s="174"/>
      <c r="BW172" s="174"/>
      <c r="BX172" s="244"/>
      <c r="BY172" s="174"/>
      <c r="BZ172" s="174"/>
      <c r="CA172" s="174"/>
      <c r="CB172" s="174"/>
      <c r="CC172" s="244"/>
      <c r="CD172" s="174"/>
      <c r="CE172" s="174"/>
      <c r="CF172" s="174"/>
      <c r="CG172" s="174"/>
      <c r="CH172" s="244"/>
      <c r="CI172" s="174"/>
      <c r="CJ172" s="174"/>
      <c r="CK172" s="174"/>
      <c r="CL172" s="174"/>
      <c r="CM172" s="244"/>
      <c r="CN172" s="174"/>
      <c r="CO172" s="174"/>
    </row>
    <row r="173" spans="1:93" s="42" customFormat="1">
      <c r="A173" s="42" t="s">
        <v>20</v>
      </c>
      <c r="F173" s="245"/>
      <c r="K173" s="245"/>
      <c r="P173" s="245"/>
      <c r="U173" s="245"/>
      <c r="Z173" s="245"/>
      <c r="AE173" s="245"/>
      <c r="AF173" s="170">
        <f>+AF186+AF191</f>
        <v>28.389660249999977</v>
      </c>
      <c r="AG173" s="170">
        <f t="shared" ref="AG173:AI173" si="2882">+AG186+AG191</f>
        <v>31.48106924999999</v>
      </c>
      <c r="AH173" s="170">
        <f t="shared" si="2882"/>
        <v>36.46282524999998</v>
      </c>
      <c r="AI173" s="170">
        <f t="shared" si="2882"/>
        <v>39.666445249999995</v>
      </c>
      <c r="AJ173" s="253">
        <v>136</v>
      </c>
      <c r="AK173" s="170">
        <v>37.587000000000003</v>
      </c>
      <c r="AL173" s="170">
        <v>43.933</v>
      </c>
      <c r="AM173" s="170">
        <v>46.546999999999997</v>
      </c>
      <c r="AN173" s="170">
        <v>49.512</v>
      </c>
      <c r="AO173" s="253">
        <f>SUM(AK173:AN173)</f>
        <v>177.57900000000001</v>
      </c>
      <c r="AP173" s="170">
        <v>45.375999999999998</v>
      </c>
      <c r="AQ173" s="170">
        <v>56.02</v>
      </c>
      <c r="AR173" s="170">
        <v>54.731000000000002</v>
      </c>
      <c r="AS173" s="170">
        <v>54.005000000000003</v>
      </c>
      <c r="AT173" s="253">
        <f>+AP173+AQ173+AR173+AS173</f>
        <v>210.13200000000001</v>
      </c>
      <c r="AU173" s="356">
        <f>+AU186+AU191</f>
        <v>49.616436249999992</v>
      </c>
      <c r="AV173" s="170">
        <f>+AV186+AV191</f>
        <v>60.688311249999998</v>
      </c>
      <c r="AW173" s="170">
        <f>+AW186+AW191</f>
        <v>60.273188000000005</v>
      </c>
      <c r="AX173" s="170">
        <f>+AX186+AX191</f>
        <v>61.654111399999998</v>
      </c>
      <c r="AY173" s="253">
        <f>+AU173+AV173+AW173+AX173</f>
        <v>232.2320469</v>
      </c>
      <c r="AZ173" s="170">
        <f>+AZ186+AZ191</f>
        <v>55.580808000000005</v>
      </c>
      <c r="BA173" s="170">
        <f>+BA186+BA191</f>
        <v>67.918467000000007</v>
      </c>
      <c r="BB173" s="170">
        <f>+BB186+BB191</f>
        <v>67.426126800000006</v>
      </c>
      <c r="BC173" s="170">
        <f>+BC186+BC191</f>
        <v>69.407304540000013</v>
      </c>
      <c r="BD173" s="253">
        <f>+AZ173+BA173+BB173+BC173</f>
        <v>260.33270634000007</v>
      </c>
      <c r="BE173" s="170">
        <f>+BE186+BE191</f>
        <v>61.471201140000005</v>
      </c>
      <c r="BF173" s="170">
        <f>+BF186+BF191</f>
        <v>75.024251820000018</v>
      </c>
      <c r="BG173" s="170">
        <f>+BG186+BG191</f>
        <v>74.441109744000016</v>
      </c>
      <c r="BH173" s="170">
        <f>+BH186+BH191</f>
        <v>77.246294983200016</v>
      </c>
      <c r="BI173" s="253">
        <f>+BE173+BF173+BG173+BH173</f>
        <v>288.18285768720006</v>
      </c>
      <c r="BJ173" s="170">
        <f>+BJ186+BJ191</f>
        <v>66.67768293120001</v>
      </c>
      <c r="BK173" s="170">
        <f>+BK186+BK191</f>
        <v>81.360653457600009</v>
      </c>
      <c r="BL173" s="170">
        <f>+BL186+BL191</f>
        <v>80.720577083520027</v>
      </c>
      <c r="BM173" s="170">
        <f>+BM186+BM191</f>
        <v>83.883279797856034</v>
      </c>
      <c r="BN173" s="253">
        <f>+BJ173+BK173+BL173+BM173</f>
        <v>312.64219327017611</v>
      </c>
      <c r="BO173" s="170">
        <f>+BO186+BO191</f>
        <v>72.329561835696012</v>
      </c>
      <c r="BP173" s="170">
        <f>+BP186+BP191</f>
        <v>88.237413375408025</v>
      </c>
      <c r="BQ173" s="170">
        <f>+BQ186+BQ191</f>
        <v>87.534819666201628</v>
      </c>
      <c r="BR173" s="170">
        <f>+BR186+BR191</f>
        <v>91.096951519284517</v>
      </c>
      <c r="BS173" s="253">
        <f>+BO173+BP173+BQ173+BR173</f>
        <v>339.1987463965902</v>
      </c>
      <c r="BT173" s="170">
        <f>+BT186+BT191</f>
        <v>78.465357479551713</v>
      </c>
      <c r="BU173" s="170">
        <f>+BU186+BU191</f>
        <v>95.701104850760657</v>
      </c>
      <c r="BV173" s="170">
        <f>+BV186+BV191</f>
        <v>94.929861297097759</v>
      </c>
      <c r="BW173" s="170">
        <f>+BW186+BW191</f>
        <v>98.938017912187291</v>
      </c>
      <c r="BX173" s="253">
        <f>+BT173+BU173+BV173+BW173</f>
        <v>368.03434153959745</v>
      </c>
      <c r="BY173" s="170">
        <f>+BY186+BY191</f>
        <v>85.126959844615868</v>
      </c>
      <c r="BZ173" s="170">
        <f>+BZ186+BZ191</f>
        <v>103.80236148467353</v>
      </c>
      <c r="CA173" s="170">
        <f>+CA186+CA191</f>
        <v>102.95573186422558</v>
      </c>
      <c r="CB173" s="170">
        <f>+CB186+CB191</f>
        <v>107.46170064365828</v>
      </c>
      <c r="CC173" s="253">
        <f>+BY173+BZ173+CA173+CB173</f>
        <v>399.34675383717325</v>
      </c>
      <c r="CD173" s="170">
        <f>+CD186+CD191</f>
        <v>92.359927775555121</v>
      </c>
      <c r="CE173" s="170">
        <f>+CE186+CE191</f>
        <v>112.59623547388462</v>
      </c>
      <c r="CF173" s="170">
        <f>+CF186+CF191</f>
        <v>111.66682024305963</v>
      </c>
      <c r="CG173" s="170">
        <f>+CG186+CG191</f>
        <v>116.72814212349655</v>
      </c>
      <c r="CH173" s="253">
        <f>+CD173+CE173+CF173+CG173</f>
        <v>433.3511256159959</v>
      </c>
      <c r="CI173" s="170">
        <f>+CI186+CI191</f>
        <v>100.21381425530653</v>
      </c>
      <c r="CJ173" s="170">
        <f>+CJ186+CJ191</f>
        <v>122.14258788927631</v>
      </c>
      <c r="CK173" s="170">
        <f>+CK186+CK191</f>
        <v>121.12225867517002</v>
      </c>
      <c r="CL173" s="170">
        <f>+CL186+CL191</f>
        <v>126.80284946455643</v>
      </c>
      <c r="CM173" s="253">
        <f>+CI173+CJ173+CK173+CL173</f>
        <v>470.28151028430932</v>
      </c>
    </row>
    <row r="174" spans="1:93">
      <c r="A174" s="139" t="s">
        <v>291</v>
      </c>
      <c r="F174" s="240"/>
      <c r="K174" s="240"/>
      <c r="P174" s="240"/>
      <c r="U174" s="240"/>
      <c r="Z174" s="240"/>
      <c r="AE174" s="240"/>
      <c r="AF174" s="147" t="s">
        <v>294</v>
      </c>
      <c r="AG174" s="147" t="s">
        <v>294</v>
      </c>
      <c r="AH174" s="147" t="s">
        <v>294</v>
      </c>
      <c r="AI174" s="147" t="s">
        <v>294</v>
      </c>
      <c r="AJ174" s="251" t="s">
        <v>294</v>
      </c>
      <c r="AK174" s="19">
        <f t="shared" ref="AK174" si="2883">+AK173/AF173-1</f>
        <v>0.32396794005310547</v>
      </c>
      <c r="AL174" s="19">
        <f t="shared" ref="AL174" si="2884">+AL173/AG173-1</f>
        <v>0.39553709726679664</v>
      </c>
      <c r="AM174" s="19">
        <f t="shared" ref="AM174" si="2885">+AM173/AH173-1</f>
        <v>0.2765604332867766</v>
      </c>
      <c r="AN174" s="19">
        <f t="shared" ref="AN174" si="2886">+AN173/AI173-1</f>
        <v>0.24820864808902954</v>
      </c>
      <c r="AO174" s="259">
        <f t="shared" ref="AO174" si="2887">+AO173/AJ173-1</f>
        <v>0.30572794117647062</v>
      </c>
      <c r="AP174" s="19">
        <f t="shared" ref="AP174" si="2888">+AP173/AK173-1</f>
        <v>0.20722590257269791</v>
      </c>
      <c r="AQ174" s="19">
        <f t="shared" ref="AQ174" si="2889">+AQ173/AL173-1</f>
        <v>0.27512348348621773</v>
      </c>
      <c r="AR174" s="19">
        <f t="shared" ref="AR174" si="2890">+AR173/AM173-1</f>
        <v>0.17582228715062209</v>
      </c>
      <c r="AS174" s="19">
        <f t="shared" ref="AS174" si="2891">+AS173/AN173-1</f>
        <v>9.0745677815479153E-2</v>
      </c>
      <c r="AT174" s="259">
        <f t="shared" ref="AT174" si="2892">+AT173/AO173-1</f>
        <v>0.1833155947493792</v>
      </c>
      <c r="AU174" s="379">
        <f t="shared" ref="AU174" si="2893">+AU173/AP173-1</f>
        <v>9.3451080967912548E-2</v>
      </c>
      <c r="AV174" s="19">
        <f t="shared" ref="AV174" si="2894">+AV173/AQ173-1</f>
        <v>8.33329391288824E-2</v>
      </c>
      <c r="AW174" s="19">
        <f t="shared" ref="AW174" si="2895">+AW173/AR173-1</f>
        <v>0.10126231934369923</v>
      </c>
      <c r="AX174" s="19">
        <f t="shared" ref="AX174" si="2896">+AX173/AS173-1</f>
        <v>0.14163709656513279</v>
      </c>
      <c r="AY174" s="259">
        <f t="shared" ref="AY174" si="2897">+AY173/AT173-1</f>
        <v>0.10517221032493862</v>
      </c>
      <c r="AZ174" s="19">
        <f t="shared" ref="AZ174" si="2898">+AZ173/AU173-1</f>
        <v>0.1202095958675391</v>
      </c>
      <c r="BA174" s="19">
        <f t="shared" ref="BA174" si="2899">+BA173/AV173-1</f>
        <v>0.11913588631946004</v>
      </c>
      <c r="BB174" s="19">
        <f t="shared" ref="BB174" si="2900">+BB173/AW173-1</f>
        <v>0.11867530219241096</v>
      </c>
      <c r="BC174" s="19">
        <f t="shared" ref="BC174" si="2901">+BC173/AX173-1</f>
        <v>0.1257530595112919</v>
      </c>
      <c r="BD174" s="259">
        <f t="shared" ref="BD174" si="2902">+BD173/AY173-1</f>
        <v>0.12100250510258093</v>
      </c>
      <c r="BE174" s="19">
        <f t="shared" ref="BE174" si="2903">+BE173/AZ173-1</f>
        <v>0.10597890444485802</v>
      </c>
      <c r="BF174" s="19">
        <f t="shared" ref="BF174" si="2904">+BF173/BA173-1</f>
        <v>0.10462227923960676</v>
      </c>
      <c r="BG174" s="19">
        <f t="shared" ref="BG174" si="2905">+BG173/BB173-1</f>
        <v>0.10403953596219329</v>
      </c>
      <c r="BH174" s="19">
        <f t="shared" ref="BH174" si="2906">+BH173/BC173-1</f>
        <v>0.1129418653433274</v>
      </c>
      <c r="BI174" s="259">
        <f t="shared" ref="BI174" si="2907">+BI173/BD173-1</f>
        <v>0.10697907204493573</v>
      </c>
      <c r="BJ174" s="19">
        <f t="shared" ref="BJ174" si="2908">+BJ173/BE173-1</f>
        <v>8.4697902345234777E-2</v>
      </c>
      <c r="BK174" s="19">
        <f t="shared" ref="BK174" si="2909">+BK173/BF173-1</f>
        <v>8.4458045017262284E-2</v>
      </c>
      <c r="BL174" s="19">
        <f t="shared" ref="BL174" si="2910">+BL173/BG173-1</f>
        <v>8.4354832445604933E-2</v>
      </c>
      <c r="BM174" s="19">
        <f t="shared" ref="BM174" si="2911">+BM173/BH173-1</f>
        <v>8.5919781862670241E-2</v>
      </c>
      <c r="BN174" s="259">
        <f t="shared" ref="BN174" si="2912">+BN173/BI173-1</f>
        <v>8.4874359909098862E-2</v>
      </c>
      <c r="BO174" s="19">
        <f t="shared" ref="BO174" si="2913">+BO173/BJ173-1</f>
        <v>8.4764176798521662E-2</v>
      </c>
      <c r="BP174" s="19">
        <f t="shared" ref="BP174" si="2914">+BP173/BK173-1</f>
        <v>8.4521935672403847E-2</v>
      </c>
      <c r="BQ174" s="19">
        <f t="shared" ref="BQ174" si="2915">+BQ173/BL173-1</f>
        <v>8.4417664353799493E-2</v>
      </c>
      <c r="BR174" s="19">
        <f t="shared" ref="BR174" si="2916">+BR173/BM173-1</f>
        <v>8.5996538747795226E-2</v>
      </c>
      <c r="BS174" s="259">
        <f t="shared" ref="BS174" si="2917">+BS173/BN173-1</f>
        <v>8.4942319680647582E-2</v>
      </c>
      <c r="BT174" s="19">
        <f t="shared" ref="BT174" si="2918">+BT173/BO173-1</f>
        <v>8.4831091024632377E-2</v>
      </c>
      <c r="BU174" s="19">
        <f t="shared" ref="BU174" si="2919">+BU173/BP173-1</f>
        <v>8.4586471767913229E-2</v>
      </c>
      <c r="BV174" s="19">
        <f t="shared" ref="BV174" si="2920">+BV173/BQ173-1</f>
        <v>8.4481143150757498E-2</v>
      </c>
      <c r="BW174" s="19">
        <f t="shared" ref="BW174" si="2921">+BW173/BR173-1</f>
        <v>8.6073861552248276E-2</v>
      </c>
      <c r="BX174" s="259">
        <f t="shared" ref="BX174" si="2922">+BX173/BS173-1</f>
        <v>8.501091306892028E-2</v>
      </c>
      <c r="BY174" s="19">
        <f t="shared" ref="BY174" si="2923">+BY173/BT173-1</f>
        <v>8.4898642904930099E-2</v>
      </c>
      <c r="BZ174" s="19">
        <f t="shared" ref="BZ174" si="2924">+BZ173/BU173-1</f>
        <v>8.4651652105231401E-2</v>
      </c>
      <c r="CA174" s="19">
        <f t="shared" ref="CA174" si="2925">+CA173/BV173-1</f>
        <v>8.4545268026986919E-2</v>
      </c>
      <c r="CB174" s="19">
        <f t="shared" ref="CB174" si="2926">+CB173/BW173-1</f>
        <v>8.6151743397934188E-2</v>
      </c>
      <c r="CC174" s="259">
        <f t="shared" ref="CC174" si="2927">+CC173/BX173-1</f>
        <v>8.5080137268132683E-2</v>
      </c>
      <c r="CD174" s="19">
        <f t="shared" ref="CD174" si="2928">+CD173/BY173-1</f>
        <v>8.4966830063492704E-2</v>
      </c>
      <c r="CE174" s="19">
        <f t="shared" ref="CE174" si="2929">+CE173/BZ173-1</f>
        <v>8.4717475242694906E-2</v>
      </c>
      <c r="CF174" s="19">
        <f t="shared" ref="CF174" si="2930">+CF173/CA173-1</f>
        <v>8.4610037936711846E-2</v>
      </c>
      <c r="CG174" s="19">
        <f t="shared" ref="CG174" si="2931">+CG173/CB173-1</f>
        <v>8.6230177117387008E-2</v>
      </c>
      <c r="CH174" s="259">
        <f t="shared" ref="CH174" si="2932">+CH173/CC173-1</f>
        <v>8.5149989206340981E-2</v>
      </c>
      <c r="CI174" s="19">
        <f t="shared" ref="CI174" si="2933">+CI173/CD173-1</f>
        <v>8.5035649863620888E-2</v>
      </c>
      <c r="CJ174" s="19">
        <f t="shared" ref="CJ174" si="2934">+CJ173/CE173-1</f>
        <v>8.4783939491528182E-2</v>
      </c>
      <c r="CK174" s="19">
        <f t="shared" ref="CK174" si="2935">+CK173/CF173-1</f>
        <v>8.467545159367118E-2</v>
      </c>
      <c r="CL174" s="19">
        <f t="shared" ref="CL174" si="2936">+CL173/CG173-1</f>
        <v>8.6309155254103098E-2</v>
      </c>
      <c r="CM174" s="259">
        <f t="shared" ref="CM174" si="2937">+CM173/CH173-1</f>
        <v>8.5220465542388935E-2</v>
      </c>
    </row>
    <row r="175" spans="1:93">
      <c r="A175" s="139" t="s">
        <v>292</v>
      </c>
      <c r="F175" s="240"/>
      <c r="K175" s="240"/>
      <c r="P175" s="240"/>
      <c r="U175" s="240"/>
      <c r="Z175" s="240"/>
      <c r="AE175" s="240"/>
      <c r="AF175" s="147" t="s">
        <v>294</v>
      </c>
      <c r="AG175" s="19">
        <f>+AG173/AF173-1</f>
        <v>0.10889207453618654</v>
      </c>
      <c r="AH175" s="19">
        <f>+AH173/AG173-1</f>
        <v>0.15824608625706049</v>
      </c>
      <c r="AI175" s="19">
        <f>+AI173/AH173-1</f>
        <v>8.7859895058461479E-2</v>
      </c>
      <c r="AJ175" s="251" t="s">
        <v>294</v>
      </c>
      <c r="AK175" s="19">
        <f>+AK173/AI173-1</f>
        <v>-5.2423282119034686E-2</v>
      </c>
      <c r="AL175" s="19">
        <f>+AL173/AK173-1</f>
        <v>0.1688349695373399</v>
      </c>
      <c r="AM175" s="19">
        <f>+AM173/AL173-1</f>
        <v>5.9499692713905095E-2</v>
      </c>
      <c r="AN175" s="19">
        <f>+AN173/AM173-1</f>
        <v>6.3699056867252635E-2</v>
      </c>
      <c r="AO175" s="251" t="s">
        <v>294</v>
      </c>
      <c r="AP175" s="19">
        <f>+AP173/AN173-1</f>
        <v>-8.3535304572628921E-2</v>
      </c>
      <c r="AQ175" s="19">
        <f>+AQ173/AP173-1</f>
        <v>0.23457334273624841</v>
      </c>
      <c r="AR175" s="19">
        <f>+AR173/AQ173-1</f>
        <v>-2.3009639414494854E-2</v>
      </c>
      <c r="AS175" s="19">
        <f>+AS173/AR173-1</f>
        <v>-1.3264877309020484E-2</v>
      </c>
      <c r="AT175" s="251" t="s">
        <v>294</v>
      </c>
      <c r="AU175" s="379">
        <f>+AU173/AS173-1</f>
        <v>-8.126217479862996E-2</v>
      </c>
      <c r="AV175" s="19">
        <f>+AV173/AU173-1</f>
        <v>0.22314933995284703</v>
      </c>
      <c r="AW175" s="19">
        <f>+AW173/AV173-1</f>
        <v>-6.8402504773931172E-3</v>
      </c>
      <c r="AX175" s="19">
        <f>+AX173/AW173-1</f>
        <v>2.2911072830592571E-2</v>
      </c>
      <c r="AY175" s="251" t="s">
        <v>294</v>
      </c>
      <c r="AZ175" s="19">
        <f>+AZ173/AX173-1</f>
        <v>-9.8506056807754039E-2</v>
      </c>
      <c r="BA175" s="19">
        <f>+BA173/AZ173-1</f>
        <v>0.22197696370301068</v>
      </c>
      <c r="BB175" s="19">
        <f>+BB173/BA173-1</f>
        <v>-7.2489887028810429E-3</v>
      </c>
      <c r="BC175" s="19">
        <f>+BC173/BB173-1</f>
        <v>2.9382938543639048E-2</v>
      </c>
      <c r="BD175" s="251" t="s">
        <v>294</v>
      </c>
      <c r="BE175" s="19">
        <f>+BE173/BC173-1</f>
        <v>-0.11434104022043334</v>
      </c>
      <c r="BF175" s="19">
        <f>+BF173/BE173-1</f>
        <v>0.22047805197645465</v>
      </c>
      <c r="BG175" s="19">
        <f>+BG173/BF173-1</f>
        <v>-7.7727143137540367E-3</v>
      </c>
      <c r="BH175" s="19">
        <f>+BH173/BG173-1</f>
        <v>3.7683280768474825E-2</v>
      </c>
      <c r="BI175" s="251" t="s">
        <v>294</v>
      </c>
      <c r="BJ175" s="19">
        <f>+BJ173/BH173-1</f>
        <v>-0.13681707393601894</v>
      </c>
      <c r="BK175" s="19">
        <f>+BK173/BJ173-1</f>
        <v>0.22020816982423219</v>
      </c>
      <c r="BL175" s="19">
        <f>+BL173/BK173-1</f>
        <v>-7.8671488843627957E-3</v>
      </c>
      <c r="BM175" s="19">
        <f>+BM173/BL173-1</f>
        <v>3.9180873435327612E-2</v>
      </c>
      <c r="BN175" s="251" t="s">
        <v>294</v>
      </c>
      <c r="BO175" s="19">
        <f>+BO173/BM173-1</f>
        <v>-0.1377356487491006</v>
      </c>
      <c r="BP175" s="19">
        <f>+BP173/BO173-1</f>
        <v>0.21993568239564798</v>
      </c>
      <c r="BQ175" s="19">
        <f>+BQ173/BP173-1</f>
        <v>-7.96253745808706E-3</v>
      </c>
      <c r="BR175" s="19">
        <f>+BR173/BQ173-1</f>
        <v>4.0693884635467859E-2</v>
      </c>
      <c r="BS175" s="251" t="s">
        <v>294</v>
      </c>
      <c r="BT175" s="19">
        <f>+BT173/BR173-1</f>
        <v>-0.13866099610434046</v>
      </c>
      <c r="BU175" s="19">
        <f>+BU173/BT173-1</f>
        <v>0.2196605983181894</v>
      </c>
      <c r="BV175" s="19">
        <f>+BV173/BU173-1</f>
        <v>-8.0588782633763678E-3</v>
      </c>
      <c r="BW175" s="19">
        <f>+BW173/BV173-1</f>
        <v>4.2222295074732852E-2</v>
      </c>
      <c r="BX175" s="251" t="s">
        <v>294</v>
      </c>
      <c r="BY175" s="19">
        <f>+BY173/BW173-1</f>
        <v>-0.13959303368932929</v>
      </c>
      <c r="BZ175" s="19">
        <f>+BZ173/BY173-1</f>
        <v>0.21938292726706421</v>
      </c>
      <c r="CA175" s="19">
        <f>+CA173/BZ173-1</f>
        <v>-8.1561691693589067E-3</v>
      </c>
      <c r="CB175" s="19">
        <f>+CB173/CA173-1</f>
        <v>4.3766079827153304E-2</v>
      </c>
      <c r="CC175" s="251" t="s">
        <v>294</v>
      </c>
      <c r="CD175" s="19">
        <f>+CD173/CB173-1</f>
        <v>-0.14053167572864356</v>
      </c>
      <c r="CE175" s="19">
        <f>+CE173/CD173-1</f>
        <v>0.21910267997941668</v>
      </c>
      <c r="CF175" s="19">
        <f>+CF173/CE173-1</f>
        <v>-8.254407679913589E-3</v>
      </c>
      <c r="CG175" s="19">
        <f>+CG173/CF173-1</f>
        <v>4.5325208234820336E-2</v>
      </c>
      <c r="CH175" s="251" t="s">
        <v>294</v>
      </c>
      <c r="CI175" s="19">
        <f>+CI173/CG173-1</f>
        <v>-0.14147683298786784</v>
      </c>
      <c r="CJ175" s="19">
        <f>+CJ173/CI173-1</f>
        <v>0.21881986826789812</v>
      </c>
      <c r="CK175" s="19">
        <f>+CK173/CJ173-1</f>
        <v>-8.3535909279344178E-3</v>
      </c>
      <c r="CL175" s="19">
        <f>+CL173/CK173-1</f>
        <v>4.6899643810480951E-2</v>
      </c>
      <c r="CM175" s="251" t="s">
        <v>294</v>
      </c>
    </row>
    <row r="176" spans="1:93">
      <c r="F176" s="240"/>
      <c r="K176" s="240"/>
      <c r="P176" s="240"/>
      <c r="U176" s="240"/>
      <c r="Z176" s="240"/>
      <c r="AE176" s="240"/>
      <c r="AJ176" s="240"/>
      <c r="AO176" s="240"/>
      <c r="AT176" s="240"/>
      <c r="AU176" s="374"/>
      <c r="AY176" s="240"/>
      <c r="BD176" s="240"/>
      <c r="BI176" s="240"/>
      <c r="BN176" s="240"/>
      <c r="BS176" s="240"/>
      <c r="BX176" s="240"/>
      <c r="CC176" s="240"/>
      <c r="CH176" s="240"/>
      <c r="CM176" s="240"/>
    </row>
    <row r="177" spans="1:93" s="230" customFormat="1">
      <c r="A177" s="178" t="s">
        <v>331</v>
      </c>
      <c r="B177" s="178"/>
      <c r="C177" s="178"/>
      <c r="D177" s="178"/>
      <c r="E177" s="178"/>
      <c r="F177" s="238"/>
      <c r="G177" s="178"/>
      <c r="H177" s="178"/>
      <c r="I177" s="178"/>
      <c r="J177" s="178"/>
      <c r="K177" s="238"/>
      <c r="L177" s="178"/>
      <c r="M177" s="178"/>
      <c r="N177" s="178"/>
      <c r="O177" s="178"/>
      <c r="P177" s="238"/>
      <c r="Q177" s="178"/>
      <c r="R177" s="178"/>
      <c r="S177" s="178"/>
      <c r="T177" s="178"/>
      <c r="U177" s="238"/>
      <c r="V177" s="178"/>
      <c r="W177" s="178"/>
      <c r="X177" s="178"/>
      <c r="Y177" s="178"/>
      <c r="Z177" s="238"/>
      <c r="AA177" s="178"/>
      <c r="AB177" s="178"/>
      <c r="AC177" s="178"/>
      <c r="AD177" s="178"/>
      <c r="AE177" s="238"/>
      <c r="AF177" s="178"/>
      <c r="AG177" s="178"/>
      <c r="AH177" s="178"/>
      <c r="AI177" s="178"/>
      <c r="AJ177" s="238"/>
      <c r="AK177" s="178"/>
      <c r="AL177" s="178"/>
      <c r="AM177" s="178"/>
      <c r="AN177" s="178"/>
      <c r="AO177" s="238"/>
      <c r="AP177" s="178"/>
      <c r="AQ177" s="178"/>
      <c r="AR177" s="178"/>
      <c r="AS177" s="178"/>
      <c r="AT177" s="238"/>
      <c r="AU177" s="178"/>
      <c r="AV177" s="178"/>
      <c r="AW177" s="178"/>
      <c r="AX177" s="178"/>
      <c r="AY177" s="238"/>
      <c r="AZ177" s="178"/>
      <c r="BA177" s="178"/>
      <c r="BB177" s="178"/>
      <c r="BC177" s="178"/>
      <c r="BD177" s="238"/>
      <c r="BE177" s="178"/>
      <c r="BF177" s="178"/>
      <c r="BG177" s="178"/>
      <c r="BH177" s="178"/>
      <c r="BI177" s="238"/>
      <c r="BJ177" s="178"/>
      <c r="BK177" s="178"/>
      <c r="BL177" s="178"/>
      <c r="BM177" s="178"/>
      <c r="BN177" s="238"/>
      <c r="BO177" s="178"/>
      <c r="BP177" s="178"/>
      <c r="BQ177" s="178"/>
      <c r="BR177" s="178"/>
      <c r="BS177" s="238"/>
      <c r="BT177" s="178"/>
      <c r="BU177" s="178"/>
      <c r="BV177" s="178"/>
      <c r="BW177" s="178"/>
      <c r="BX177" s="238"/>
      <c r="BY177" s="178"/>
      <c r="BZ177" s="178"/>
      <c r="CA177" s="178"/>
      <c r="CB177" s="178"/>
      <c r="CC177" s="238"/>
      <c r="CD177" s="178"/>
      <c r="CE177" s="178"/>
      <c r="CF177" s="178"/>
      <c r="CG177" s="178"/>
      <c r="CH177" s="238"/>
      <c r="CI177" s="178"/>
      <c r="CJ177" s="178"/>
      <c r="CK177" s="178"/>
      <c r="CL177" s="178"/>
      <c r="CM177" s="238"/>
      <c r="CN177" s="178"/>
      <c r="CO177" s="178"/>
    </row>
    <row r="178" spans="1:93" s="42" customFormat="1">
      <c r="A178" s="42" t="s">
        <v>363</v>
      </c>
      <c r="B178" s="232" t="s">
        <v>294</v>
      </c>
      <c r="C178" s="232" t="s">
        <v>294</v>
      </c>
      <c r="D178" s="232" t="s">
        <v>294</v>
      </c>
      <c r="E178" s="232" t="s">
        <v>294</v>
      </c>
      <c r="F178" s="239" t="s">
        <v>294</v>
      </c>
      <c r="G178" s="167">
        <v>2300</v>
      </c>
      <c r="H178" s="167">
        <v>2500</v>
      </c>
      <c r="I178" s="167">
        <v>2505</v>
      </c>
      <c r="J178" s="167">
        <v>3025</v>
      </c>
      <c r="K178" s="249">
        <f>+G178+H178+I178+J178</f>
        <v>10330</v>
      </c>
      <c r="L178" s="167">
        <v>3750</v>
      </c>
      <c r="M178" s="167">
        <v>5250</v>
      </c>
      <c r="N178" s="167">
        <v>5250</v>
      </c>
      <c r="O178" s="167">
        <v>6250</v>
      </c>
      <c r="P178" s="249">
        <f>+L178+M178+N178+O178</f>
        <v>20500</v>
      </c>
      <c r="Q178" s="167">
        <v>5266</v>
      </c>
      <c r="R178" s="167">
        <v>2805</v>
      </c>
      <c r="S178" s="167">
        <v>3071</v>
      </c>
      <c r="T178" s="167">
        <v>4841</v>
      </c>
      <c r="U178" s="249">
        <f>+Q178+R178+S178+T178</f>
        <v>15983</v>
      </c>
      <c r="V178" s="167">
        <v>3522</v>
      </c>
      <c r="W178" s="167">
        <v>3653</v>
      </c>
      <c r="X178" s="167">
        <v>4839</v>
      </c>
      <c r="Y178" s="167">
        <v>6600</v>
      </c>
      <c r="Z178" s="249">
        <f>+V178+W178+X178+Y178</f>
        <v>18614</v>
      </c>
      <c r="AA178" s="167">
        <v>5100</v>
      </c>
      <c r="AB178" s="167">
        <v>6000</v>
      </c>
      <c r="AC178" s="167">
        <v>6750</v>
      </c>
      <c r="AD178" s="167">
        <v>8200</v>
      </c>
      <c r="AE178" s="249">
        <f>+AA178+AB178+AC178+AD178</f>
        <v>26050</v>
      </c>
      <c r="AF178" s="167">
        <v>6150</v>
      </c>
      <c r="AG178" s="167">
        <v>6700</v>
      </c>
      <c r="AH178" s="167">
        <v>7500</v>
      </c>
      <c r="AI178" s="167">
        <v>9500</v>
      </c>
      <c r="AJ178" s="249">
        <f>+AF178+AG178+AH178+AI178</f>
        <v>29850</v>
      </c>
      <c r="AK178" s="167">
        <v>8450</v>
      </c>
      <c r="AL178" s="167">
        <v>10475</v>
      </c>
      <c r="AM178" s="167">
        <v>10500</v>
      </c>
      <c r="AN178" s="167">
        <v>11050</v>
      </c>
      <c r="AO178" s="249">
        <f>+AK178+AL178+AM178+AN178</f>
        <v>40475</v>
      </c>
      <c r="AP178" s="330">
        <v>10225</v>
      </c>
      <c r="AQ178" s="330">
        <v>12675</v>
      </c>
      <c r="AR178" s="330">
        <v>12660</v>
      </c>
      <c r="AS178" s="330">
        <v>11823</v>
      </c>
      <c r="AT178" s="249">
        <f>+AP178+AQ178+AR178+AS178</f>
        <v>47383</v>
      </c>
      <c r="AU178" s="386">
        <f>+AP178*(1+AU179)</f>
        <v>11043</v>
      </c>
      <c r="AV178" s="167">
        <f>+AQ178*(1+AV179)</f>
        <v>13689</v>
      </c>
      <c r="AW178" s="167">
        <f>+AR178*(1+AW179)</f>
        <v>13672.800000000001</v>
      </c>
      <c r="AX178" s="167">
        <f>+AS178*(1+AX179)</f>
        <v>12768.84</v>
      </c>
      <c r="AY178" s="249">
        <f>+AU178+AV178+AW178+AX178</f>
        <v>51173.64</v>
      </c>
      <c r="AZ178" s="167">
        <f>+AU178*(1+AZ179)</f>
        <v>12147.300000000001</v>
      </c>
      <c r="BA178" s="167">
        <f>+AV178*(1+BA179)</f>
        <v>15057.900000000001</v>
      </c>
      <c r="BB178" s="167">
        <f>+AW178*(1+BB179)</f>
        <v>15040.080000000002</v>
      </c>
      <c r="BC178" s="167">
        <f>+AX178*(1+BC179)</f>
        <v>14045.724000000002</v>
      </c>
      <c r="BD178" s="249">
        <f>+AZ178+BA178+BB178+BC178</f>
        <v>56291.004000000008</v>
      </c>
      <c r="BE178" s="167">
        <f>+AZ178*(1+BE179)</f>
        <v>13119.084000000003</v>
      </c>
      <c r="BF178" s="167">
        <f>+BA178*(1+BF179)</f>
        <v>16262.532000000003</v>
      </c>
      <c r="BG178" s="167">
        <f>+BB178*(1+BG179)</f>
        <v>16243.286400000003</v>
      </c>
      <c r="BH178" s="167">
        <f>+BC178*(1+BH179)</f>
        <v>15169.381920000003</v>
      </c>
      <c r="BI178" s="249">
        <f>+BE178+BF178+BG178+BH178</f>
        <v>60794.284320000006</v>
      </c>
      <c r="BJ178" s="167">
        <f>+BE178*(1+BJ179)</f>
        <v>14168.610720000004</v>
      </c>
      <c r="BK178" s="167">
        <f>+BF178*(1+BK179)</f>
        <v>17563.534560000004</v>
      </c>
      <c r="BL178" s="167">
        <f>+BG178*(1+BL179)</f>
        <v>17542.749312000004</v>
      </c>
      <c r="BM178" s="167">
        <f>+BH178*(1+BM179)</f>
        <v>16382.932473600005</v>
      </c>
      <c r="BN178" s="249">
        <f>+BJ178+BK178+BL178+BM178</f>
        <v>65657.827065600024</v>
      </c>
      <c r="BO178" s="167">
        <f>+BJ178*(1+BO179)</f>
        <v>15302.099577600005</v>
      </c>
      <c r="BP178" s="167">
        <f>+BK178*(1+BP179)</f>
        <v>18968.617324800005</v>
      </c>
      <c r="BQ178" s="167">
        <f>+BL178*(1+BQ179)</f>
        <v>18946.169256960005</v>
      </c>
      <c r="BR178" s="167">
        <f>+BM178*(1+BR179)</f>
        <v>17693.567071488007</v>
      </c>
      <c r="BS178" s="249">
        <f>+BO178+BP178+BQ178+BR178</f>
        <v>70910.453230848027</v>
      </c>
      <c r="BT178" s="167">
        <f>+BO178*(1+BT179)</f>
        <v>16526.267543808008</v>
      </c>
      <c r="BU178" s="167">
        <f>+BP178*(1+BU179)</f>
        <v>20486.106710784006</v>
      </c>
      <c r="BV178" s="167">
        <f>+BQ178*(1+BV179)</f>
        <v>20461.862797516806</v>
      </c>
      <c r="BW178" s="167">
        <f>+BR178*(1+BW179)</f>
        <v>19109.05243720705</v>
      </c>
      <c r="BX178" s="249">
        <f>+BT178+BU178+BV178+BW178</f>
        <v>76583.289489315866</v>
      </c>
      <c r="BY178" s="167">
        <f>+BT178*(1+BY179)</f>
        <v>17848.368947312651</v>
      </c>
      <c r="BZ178" s="167">
        <f>+BU178*(1+BZ179)</f>
        <v>22124.99524764673</v>
      </c>
      <c r="CA178" s="167">
        <f>+BV178*(1+CA179)</f>
        <v>22098.811821318151</v>
      </c>
      <c r="CB178" s="167">
        <f>+BW178*(1+CB179)</f>
        <v>20637.776632183617</v>
      </c>
      <c r="CC178" s="249">
        <f>+BY178+BZ178+CA178+CB178</f>
        <v>82709.952648461156</v>
      </c>
      <c r="CD178" s="167">
        <f>+BY178*(1+CD179)</f>
        <v>19276.238463097663</v>
      </c>
      <c r="CE178" s="167">
        <f>+BZ178*(1+CE179)</f>
        <v>23894.99486745847</v>
      </c>
      <c r="CF178" s="167">
        <f>+CA178*(1+CF179)</f>
        <v>23866.716767023605</v>
      </c>
      <c r="CG178" s="167">
        <f>+CB178*(1+CG179)</f>
        <v>22288.798762758306</v>
      </c>
      <c r="CH178" s="249">
        <f>+CD178+CE178+CF178+CG178</f>
        <v>89326.748860338048</v>
      </c>
      <c r="CI178" s="167">
        <f>+CD178*(1+CI179)</f>
        <v>20818.337540145476</v>
      </c>
      <c r="CJ178" s="167">
        <f>+CE178*(1+CJ179)</f>
        <v>25806.594456855149</v>
      </c>
      <c r="CK178" s="167">
        <f>+CF178*(1+CK179)</f>
        <v>25776.054108385495</v>
      </c>
      <c r="CL178" s="167">
        <f>+CG178*(1+CL179)</f>
        <v>24071.902663778972</v>
      </c>
      <c r="CM178" s="249">
        <f>+CI178+CJ178+CK178+CL178</f>
        <v>96472.888769165089</v>
      </c>
    </row>
    <row r="179" spans="1:93">
      <c r="A179" s="139" t="s">
        <v>291</v>
      </c>
      <c r="B179" s="232" t="s">
        <v>294</v>
      </c>
      <c r="C179" s="232" t="s">
        <v>294</v>
      </c>
      <c r="D179" s="232" t="s">
        <v>294</v>
      </c>
      <c r="E179" s="232" t="s">
        <v>294</v>
      </c>
      <c r="F179" s="239" t="s">
        <v>294</v>
      </c>
      <c r="G179" s="147" t="s">
        <v>294</v>
      </c>
      <c r="H179" s="147" t="s">
        <v>294</v>
      </c>
      <c r="I179" s="147" t="s">
        <v>294</v>
      </c>
      <c r="J179" s="147" t="s">
        <v>294</v>
      </c>
      <c r="K179" s="251" t="s">
        <v>294</v>
      </c>
      <c r="L179" s="19">
        <f t="shared" ref="L179:AS179" si="2938">+L178/G178-1</f>
        <v>0.63043478260869557</v>
      </c>
      <c r="M179" s="19">
        <f t="shared" si="2938"/>
        <v>1.1000000000000001</v>
      </c>
      <c r="N179" s="19">
        <f t="shared" si="2938"/>
        <v>1.0958083832335328</v>
      </c>
      <c r="O179" s="19">
        <f t="shared" si="2938"/>
        <v>1.0661157024793386</v>
      </c>
      <c r="P179" s="259">
        <f t="shared" si="2938"/>
        <v>0.98451113262342682</v>
      </c>
      <c r="Q179" s="19">
        <f t="shared" si="2938"/>
        <v>0.40426666666666677</v>
      </c>
      <c r="R179" s="19">
        <f t="shared" si="2938"/>
        <v>-0.46571428571428575</v>
      </c>
      <c r="S179" s="19">
        <f t="shared" si="2938"/>
        <v>-0.415047619047619</v>
      </c>
      <c r="T179" s="19">
        <f t="shared" si="2938"/>
        <v>-0.22543999999999997</v>
      </c>
      <c r="U179" s="259">
        <f t="shared" si="2938"/>
        <v>-0.22034146341463412</v>
      </c>
      <c r="V179" s="19">
        <f t="shared" si="2938"/>
        <v>-0.33118116217242688</v>
      </c>
      <c r="W179" s="19">
        <f t="shared" si="2938"/>
        <v>0.30231729055258461</v>
      </c>
      <c r="X179" s="19">
        <f t="shared" si="2938"/>
        <v>0.57570823835884077</v>
      </c>
      <c r="Y179" s="19">
        <f t="shared" si="2938"/>
        <v>0.36335467878537497</v>
      </c>
      <c r="Z179" s="259">
        <f t="shared" si="2938"/>
        <v>0.16461240067571792</v>
      </c>
      <c r="AA179" s="19">
        <f t="shared" si="2938"/>
        <v>0.44804088586030666</v>
      </c>
      <c r="AB179" s="19">
        <f t="shared" si="2938"/>
        <v>0.64248562825075273</v>
      </c>
      <c r="AC179" s="19">
        <f t="shared" si="2938"/>
        <v>0.39491630502169861</v>
      </c>
      <c r="AD179" s="19">
        <f t="shared" si="2938"/>
        <v>0.24242424242424243</v>
      </c>
      <c r="AE179" s="259">
        <f t="shared" si="2938"/>
        <v>0.39948425915977226</v>
      </c>
      <c r="AF179" s="19">
        <f t="shared" si="2938"/>
        <v>0.20588235294117641</v>
      </c>
      <c r="AG179" s="19">
        <f t="shared" si="2938"/>
        <v>0.1166666666666667</v>
      </c>
      <c r="AH179" s="19">
        <f t="shared" si="2938"/>
        <v>0.11111111111111116</v>
      </c>
      <c r="AI179" s="19">
        <f t="shared" si="2938"/>
        <v>0.15853658536585358</v>
      </c>
      <c r="AJ179" s="259">
        <f t="shared" si="2938"/>
        <v>0.14587332053742808</v>
      </c>
      <c r="AK179" s="19">
        <f t="shared" si="2938"/>
        <v>0.37398373983739841</v>
      </c>
      <c r="AL179" s="19">
        <f t="shared" si="2938"/>
        <v>0.56343283582089554</v>
      </c>
      <c r="AM179" s="19">
        <f t="shared" si="2938"/>
        <v>0.39999999999999991</v>
      </c>
      <c r="AN179" s="19">
        <f t="shared" si="2938"/>
        <v>0.16315789473684217</v>
      </c>
      <c r="AO179" s="259">
        <f t="shared" si="2938"/>
        <v>0.35594639865996647</v>
      </c>
      <c r="AP179" s="19">
        <f t="shared" si="2938"/>
        <v>0.21005917159763321</v>
      </c>
      <c r="AQ179" s="19">
        <f t="shared" si="2938"/>
        <v>0.21002386634844861</v>
      </c>
      <c r="AR179" s="19">
        <f t="shared" si="2938"/>
        <v>0.20571428571428574</v>
      </c>
      <c r="AS179" s="19">
        <f t="shared" si="2938"/>
        <v>6.9954751131221737E-2</v>
      </c>
      <c r="AT179" s="259">
        <f>+AT178/AO178-1</f>
        <v>0.17067325509573816</v>
      </c>
      <c r="AU179" s="395">
        <v>0.08</v>
      </c>
      <c r="AV179" s="60">
        <v>0.08</v>
      </c>
      <c r="AW179" s="60">
        <v>0.08</v>
      </c>
      <c r="AX179" s="60">
        <v>0.08</v>
      </c>
      <c r="AY179" s="259">
        <f>+AY178/AT178-1</f>
        <v>8.0000000000000071E-2</v>
      </c>
      <c r="AZ179" s="60">
        <v>0.1</v>
      </c>
      <c r="BA179" s="60">
        <v>0.1</v>
      </c>
      <c r="BB179" s="60">
        <v>0.1</v>
      </c>
      <c r="BC179" s="60">
        <v>0.1</v>
      </c>
      <c r="BD179" s="259">
        <f>+BD178/AY178-1</f>
        <v>0.10000000000000009</v>
      </c>
      <c r="BE179" s="60">
        <v>0.08</v>
      </c>
      <c r="BF179" s="60">
        <v>0.08</v>
      </c>
      <c r="BG179" s="60">
        <v>0.08</v>
      </c>
      <c r="BH179" s="60">
        <v>0.08</v>
      </c>
      <c r="BI179" s="259">
        <f>+BI178/BD178-1</f>
        <v>7.9999999999999849E-2</v>
      </c>
      <c r="BJ179" s="60">
        <v>0.08</v>
      </c>
      <c r="BK179" s="60">
        <v>0.08</v>
      </c>
      <c r="BL179" s="60">
        <v>0.08</v>
      </c>
      <c r="BM179" s="60">
        <v>0.08</v>
      </c>
      <c r="BN179" s="259">
        <f>+BN178/BI178-1</f>
        <v>8.0000000000000293E-2</v>
      </c>
      <c r="BO179" s="60">
        <v>0.08</v>
      </c>
      <c r="BP179" s="60">
        <v>0.08</v>
      </c>
      <c r="BQ179" s="60">
        <v>0.08</v>
      </c>
      <c r="BR179" s="60">
        <v>0.08</v>
      </c>
      <c r="BS179" s="259">
        <f>+BS178/BN178-1</f>
        <v>8.0000000000000071E-2</v>
      </c>
      <c r="BT179" s="60">
        <v>0.08</v>
      </c>
      <c r="BU179" s="60">
        <v>0.08</v>
      </c>
      <c r="BV179" s="60">
        <v>0.08</v>
      </c>
      <c r="BW179" s="60">
        <v>0.08</v>
      </c>
      <c r="BX179" s="259">
        <f>+BX178/BS178-1</f>
        <v>8.0000000000000071E-2</v>
      </c>
      <c r="BY179" s="60">
        <v>0.08</v>
      </c>
      <c r="BZ179" s="60">
        <v>0.08</v>
      </c>
      <c r="CA179" s="60">
        <v>0.08</v>
      </c>
      <c r="CB179" s="60">
        <v>0.08</v>
      </c>
      <c r="CC179" s="259">
        <f>+CC178/BX178-1</f>
        <v>8.0000000000000293E-2</v>
      </c>
      <c r="CD179" s="60">
        <v>0.08</v>
      </c>
      <c r="CE179" s="60">
        <v>0.08</v>
      </c>
      <c r="CF179" s="60">
        <v>0.08</v>
      </c>
      <c r="CG179" s="60">
        <v>0.08</v>
      </c>
      <c r="CH179" s="259">
        <f>+CH178/CC178-1</f>
        <v>8.0000000000000071E-2</v>
      </c>
      <c r="CI179" s="60">
        <v>0.08</v>
      </c>
      <c r="CJ179" s="60">
        <v>0.08</v>
      </c>
      <c r="CK179" s="60">
        <v>0.08</v>
      </c>
      <c r="CL179" s="60">
        <v>0.08</v>
      </c>
      <c r="CM179" s="259">
        <f>+CM178/CH178-1</f>
        <v>8.0000000000000071E-2</v>
      </c>
    </row>
    <row r="180" spans="1:93">
      <c r="A180" s="139" t="s">
        <v>292</v>
      </c>
      <c r="B180" s="232" t="s">
        <v>294</v>
      </c>
      <c r="C180" s="232" t="s">
        <v>294</v>
      </c>
      <c r="D180" s="232" t="s">
        <v>294</v>
      </c>
      <c r="E180" s="232" t="s">
        <v>294</v>
      </c>
      <c r="F180" s="239" t="s">
        <v>294</v>
      </c>
      <c r="G180" s="147" t="s">
        <v>294</v>
      </c>
      <c r="H180" s="19">
        <f>+H178/G178-1</f>
        <v>8.6956521739130377E-2</v>
      </c>
      <c r="I180" s="19">
        <f>+I178/H178-1</f>
        <v>2.0000000000000018E-3</v>
      </c>
      <c r="J180" s="19">
        <f>+J178/I178-1</f>
        <v>0.20758483033932129</v>
      </c>
      <c r="K180" s="251" t="s">
        <v>294</v>
      </c>
      <c r="L180" s="19">
        <f>+L178/J178-1</f>
        <v>0.2396694214876034</v>
      </c>
      <c r="M180" s="19">
        <f>+M178/L178-1</f>
        <v>0.39999999999999991</v>
      </c>
      <c r="N180" s="19">
        <f>+N178/M178-1</f>
        <v>0</v>
      </c>
      <c r="O180" s="19">
        <f>+O178/N178-1</f>
        <v>0.19047619047619047</v>
      </c>
      <c r="P180" s="251" t="s">
        <v>294</v>
      </c>
      <c r="Q180" s="19">
        <f>+Q178/O178-1</f>
        <v>-0.15744000000000002</v>
      </c>
      <c r="R180" s="19">
        <f>+R178/Q178-1</f>
        <v>-0.46733763767565517</v>
      </c>
      <c r="S180" s="19">
        <f>+S178/R178-1</f>
        <v>9.4830659536541795E-2</v>
      </c>
      <c r="T180" s="19">
        <f>+T178/S178-1</f>
        <v>0.57635949202214265</v>
      </c>
      <c r="U180" s="251" t="s">
        <v>294</v>
      </c>
      <c r="V180" s="19">
        <f>+V178/T178-1</f>
        <v>-0.27246436686634989</v>
      </c>
      <c r="W180" s="19">
        <f>+W178/V178-1</f>
        <v>3.7194775695627458E-2</v>
      </c>
      <c r="X180" s="19">
        <f>+X178/W178-1</f>
        <v>0.32466465918423215</v>
      </c>
      <c r="Y180" s="19">
        <f>+Y178/X178-1</f>
        <v>0.36391816491010531</v>
      </c>
      <c r="Z180" s="251" t="s">
        <v>294</v>
      </c>
      <c r="AA180" s="19">
        <f>+AA178/Y178-1</f>
        <v>-0.22727272727272729</v>
      </c>
      <c r="AB180" s="19">
        <f>+AB178/AA178-1</f>
        <v>0.17647058823529416</v>
      </c>
      <c r="AC180" s="19">
        <f>+AC178/AB178-1</f>
        <v>0.125</v>
      </c>
      <c r="AD180" s="19">
        <f>+AD178/AC178-1</f>
        <v>0.21481481481481479</v>
      </c>
      <c r="AE180" s="251" t="s">
        <v>294</v>
      </c>
      <c r="AF180" s="19">
        <f>+AF178/AD178-1</f>
        <v>-0.25</v>
      </c>
      <c r="AG180" s="19">
        <f>+AG178/AF178-1</f>
        <v>8.9430894308943021E-2</v>
      </c>
      <c r="AH180" s="19">
        <f>+AH178/AG178-1</f>
        <v>0.11940298507462677</v>
      </c>
      <c r="AI180" s="19">
        <f>+AI178/AH178-1</f>
        <v>0.26666666666666661</v>
      </c>
      <c r="AJ180" s="251" t="s">
        <v>294</v>
      </c>
      <c r="AK180" s="19">
        <f>+AK178/AI178-1</f>
        <v>-0.11052631578947369</v>
      </c>
      <c r="AL180" s="19">
        <f>+AL178/AK178-1</f>
        <v>0.23964497041420119</v>
      </c>
      <c r="AM180" s="19">
        <f>+AM178/AL178-1</f>
        <v>2.3866348448686736E-3</v>
      </c>
      <c r="AN180" s="19">
        <f>+AN178/AM178-1</f>
        <v>5.2380952380952417E-2</v>
      </c>
      <c r="AO180" s="251" t="s">
        <v>294</v>
      </c>
      <c r="AP180" s="19">
        <f>+AP178/AN178-1</f>
        <v>-7.4660633484162853E-2</v>
      </c>
      <c r="AQ180" s="19">
        <f>+AQ178/AP178-1</f>
        <v>0.23960880195599032</v>
      </c>
      <c r="AR180" s="19">
        <f>+AR178/AQ178-1</f>
        <v>-1.1834319526626835E-3</v>
      </c>
      <c r="AS180" s="19">
        <f>+AS178/AR178-1</f>
        <v>-6.6113744075829373E-2</v>
      </c>
      <c r="AT180" s="251" t="s">
        <v>294</v>
      </c>
      <c r="AU180" s="379">
        <f>+AU178/AS178-1</f>
        <v>-6.5973103273280875E-2</v>
      </c>
      <c r="AV180" s="19">
        <f>+AV178/AU178-1</f>
        <v>0.23960880195599032</v>
      </c>
      <c r="AW180" s="19">
        <f>+AW178/AV178-1</f>
        <v>-1.1834319526626835E-3</v>
      </c>
      <c r="AX180" s="19">
        <f>+AX178/AW178-1</f>
        <v>-6.6113744075829484E-2</v>
      </c>
      <c r="AY180" s="251" t="s">
        <v>294</v>
      </c>
      <c r="AZ180" s="19">
        <f>+AZ178/AX178-1</f>
        <v>-4.8676308889452735E-2</v>
      </c>
      <c r="BA180" s="19">
        <f>+BA178/AZ178-1</f>
        <v>0.23960880195599032</v>
      </c>
      <c r="BB180" s="19">
        <f>+BB178/BA178-1</f>
        <v>-1.1834319526626835E-3</v>
      </c>
      <c r="BC180" s="19">
        <f>+BC178/BB178-1</f>
        <v>-6.6113744075829373E-2</v>
      </c>
      <c r="BD180" s="251" t="s">
        <v>294</v>
      </c>
      <c r="BE180" s="19">
        <f>+BE178/BC178-1</f>
        <v>-6.5973103273280875E-2</v>
      </c>
      <c r="BF180" s="19">
        <f>+BF178/BE178-1</f>
        <v>0.2396088019559901</v>
      </c>
      <c r="BG180" s="19">
        <f>+BG178/BF178-1</f>
        <v>-1.1834319526626835E-3</v>
      </c>
      <c r="BH180" s="19">
        <f>+BH178/BG178-1</f>
        <v>-6.6113744075829373E-2</v>
      </c>
      <c r="BI180" s="251" t="s">
        <v>294</v>
      </c>
      <c r="BJ180" s="19">
        <f>+BJ178/BH178-1</f>
        <v>-6.5973103273280875E-2</v>
      </c>
      <c r="BK180" s="19">
        <f>+BK178/BJ178-1</f>
        <v>0.2396088019559901</v>
      </c>
      <c r="BL180" s="19">
        <f>+BL178/BK178-1</f>
        <v>-1.1834319526626835E-3</v>
      </c>
      <c r="BM180" s="19">
        <f>+BM178/BL178-1</f>
        <v>-6.6113744075829262E-2</v>
      </c>
      <c r="BN180" s="251" t="s">
        <v>294</v>
      </c>
      <c r="BO180" s="19">
        <f>+BO178/BM178-1</f>
        <v>-6.5973103273280875E-2</v>
      </c>
      <c r="BP180" s="19">
        <f>+BP178/BO178-1</f>
        <v>0.2396088019559901</v>
      </c>
      <c r="BQ180" s="19">
        <f>+BQ178/BP178-1</f>
        <v>-1.1834319526626835E-3</v>
      </c>
      <c r="BR180" s="19">
        <f>+BR178/BQ178-1</f>
        <v>-6.6113744075829262E-2</v>
      </c>
      <c r="BS180" s="251" t="s">
        <v>294</v>
      </c>
      <c r="BT180" s="19">
        <f>+BT178/BR178-1</f>
        <v>-6.5973103273280875E-2</v>
      </c>
      <c r="BU180" s="19">
        <f>+BU178/BT178-1</f>
        <v>0.2396088019559901</v>
      </c>
      <c r="BV180" s="19">
        <f>+BV178/BU178-1</f>
        <v>-1.1834319526627946E-3</v>
      </c>
      <c r="BW180" s="19">
        <f>+BW178/BV178-1</f>
        <v>-6.6113744075829151E-2</v>
      </c>
      <c r="BX180" s="251" t="s">
        <v>294</v>
      </c>
      <c r="BY180" s="19">
        <f>+BY178/BW178-1</f>
        <v>-6.5973103273280875E-2</v>
      </c>
      <c r="BZ180" s="19">
        <f>+BZ178/BY178-1</f>
        <v>0.2396088019559901</v>
      </c>
      <c r="CA180" s="19">
        <f>+CA178/BZ178-1</f>
        <v>-1.1834319526627946E-3</v>
      </c>
      <c r="CB180" s="19">
        <f>+CB178/CA178-1</f>
        <v>-6.611374407582904E-2</v>
      </c>
      <c r="CC180" s="251" t="s">
        <v>294</v>
      </c>
      <c r="CD180" s="19">
        <f>+CD178/CB178-1</f>
        <v>-6.5973103273280986E-2</v>
      </c>
      <c r="CE180" s="19">
        <f>+CE178/CD178-1</f>
        <v>0.2396088019559901</v>
      </c>
      <c r="CF180" s="19">
        <f>+CF178/CE178-1</f>
        <v>-1.1834319526629056E-3</v>
      </c>
      <c r="CG180" s="19">
        <f>+CG178/CF178-1</f>
        <v>-6.6113744075829151E-2</v>
      </c>
      <c r="CH180" s="251" t="s">
        <v>294</v>
      </c>
      <c r="CI180" s="19">
        <f>+CI178/CG178-1</f>
        <v>-6.5973103273280986E-2</v>
      </c>
      <c r="CJ180" s="19">
        <f>+CJ178/CI178-1</f>
        <v>0.2396088019559901</v>
      </c>
      <c r="CK180" s="19">
        <f>+CK178/CJ178-1</f>
        <v>-1.1834319526629056E-3</v>
      </c>
      <c r="CL180" s="19">
        <f>+CL178/CK178-1</f>
        <v>-6.6113744075829151E-2</v>
      </c>
      <c r="CM180" s="251" t="s">
        <v>294</v>
      </c>
    </row>
    <row r="181" spans="1:93">
      <c r="F181" s="240"/>
      <c r="G181" s="147"/>
      <c r="H181" s="19"/>
      <c r="I181" s="19"/>
      <c r="J181" s="19"/>
      <c r="K181" s="251"/>
      <c r="L181" s="19"/>
      <c r="M181" s="19"/>
      <c r="N181" s="19"/>
      <c r="O181" s="19"/>
      <c r="P181" s="251"/>
      <c r="Q181" s="19"/>
      <c r="R181" s="19"/>
      <c r="S181" s="19"/>
      <c r="T181" s="19"/>
      <c r="U181" s="251"/>
      <c r="V181" s="19"/>
      <c r="W181" s="19"/>
      <c r="X181" s="19"/>
      <c r="Y181" s="19"/>
      <c r="Z181" s="251"/>
      <c r="AA181" s="19"/>
      <c r="AB181" s="19"/>
      <c r="AC181" s="19"/>
      <c r="AD181" s="19"/>
      <c r="AE181" s="251"/>
      <c r="AF181" s="19"/>
      <c r="AG181" s="19"/>
      <c r="AH181" s="19"/>
      <c r="AI181" s="19"/>
      <c r="AJ181" s="251"/>
      <c r="AK181" s="19"/>
      <c r="AL181" s="19"/>
      <c r="AM181" s="19"/>
      <c r="AN181" s="19"/>
      <c r="AO181" s="251"/>
      <c r="AP181" s="19"/>
      <c r="AQ181" s="19"/>
      <c r="AR181" s="19"/>
      <c r="AS181" s="19"/>
      <c r="AT181" s="251"/>
      <c r="AU181" s="379"/>
      <c r="AV181" s="19"/>
      <c r="AW181" s="19"/>
      <c r="AX181" s="19"/>
      <c r="AY181" s="251"/>
      <c r="AZ181" s="19"/>
      <c r="BA181" s="19"/>
      <c r="BB181" s="19"/>
      <c r="BC181" s="19"/>
      <c r="BD181" s="251"/>
      <c r="BE181" s="19"/>
      <c r="BF181" s="19"/>
      <c r="BG181" s="19"/>
      <c r="BH181" s="19"/>
      <c r="BI181" s="251"/>
      <c r="BJ181" s="19"/>
      <c r="BK181" s="19"/>
      <c r="BL181" s="19"/>
      <c r="BM181" s="19"/>
      <c r="BN181" s="251"/>
      <c r="BO181" s="19"/>
      <c r="BP181" s="19"/>
      <c r="BQ181" s="19"/>
      <c r="BR181" s="19"/>
      <c r="BS181" s="251"/>
      <c r="BT181" s="19"/>
      <c r="BU181" s="19"/>
      <c r="BV181" s="19"/>
      <c r="BW181" s="19"/>
      <c r="BX181" s="251"/>
      <c r="BY181" s="19"/>
      <c r="BZ181" s="19"/>
      <c r="CA181" s="19"/>
      <c r="CB181" s="19"/>
      <c r="CC181" s="251"/>
      <c r="CD181" s="19"/>
      <c r="CE181" s="19"/>
      <c r="CF181" s="19"/>
      <c r="CG181" s="19"/>
      <c r="CH181" s="251"/>
      <c r="CI181" s="19"/>
      <c r="CJ181" s="19"/>
      <c r="CK181" s="19"/>
      <c r="CL181" s="19"/>
      <c r="CM181" s="251"/>
    </row>
    <row r="182" spans="1:93" s="42" customFormat="1">
      <c r="A182" s="42" t="s">
        <v>335</v>
      </c>
      <c r="B182" s="232" t="s">
        <v>294</v>
      </c>
      <c r="C182" s="232" t="s">
        <v>294</v>
      </c>
      <c r="D182" s="232" t="s">
        <v>294</v>
      </c>
      <c r="E182" s="232" t="s">
        <v>294</v>
      </c>
      <c r="F182" s="239" t="s">
        <v>294</v>
      </c>
      <c r="G182" s="169">
        <f>+G186/G178*1000000</f>
        <v>3083.04347826087</v>
      </c>
      <c r="H182" s="169">
        <f t="shared" ref="H182:K182" si="2939">+H186/H178*1000000</f>
        <v>3328.7999999999997</v>
      </c>
      <c r="I182" s="169">
        <f t="shared" si="2939"/>
        <v>3472.2554890219553</v>
      </c>
      <c r="J182" s="169">
        <f t="shared" si="2939"/>
        <v>3668.0991735537191</v>
      </c>
      <c r="K182" s="255">
        <f t="shared" si="2939"/>
        <v>3408.2284607938041</v>
      </c>
      <c r="L182" s="169">
        <f>+L186/L178*1000000</f>
        <v>3103.2</v>
      </c>
      <c r="M182" s="169">
        <f t="shared" ref="M182" si="2940">+M186/M178*1000000</f>
        <v>3859.8095238095234</v>
      </c>
      <c r="N182" s="169">
        <f t="shared" ref="N182" si="2941">+N186/N178*1000000</f>
        <v>4066.0952380952376</v>
      </c>
      <c r="O182" s="169">
        <f t="shared" ref="O182" si="2942">+O186/O178*1000000</f>
        <v>4178.24</v>
      </c>
      <c r="P182" s="255">
        <f t="shared" ref="P182" si="2943">+P186/P178*1000000</f>
        <v>3871.3170731707314</v>
      </c>
      <c r="Q182" s="169">
        <f>+Q186/Q178*1000000</f>
        <v>4224.4587922521841</v>
      </c>
      <c r="R182" s="169">
        <f t="shared" ref="R182" si="2944">+R186/R178*1000000</f>
        <v>4060.9625668449194</v>
      </c>
      <c r="S182" s="169">
        <f t="shared" ref="S182" si="2945">+S186/S178*1000000</f>
        <v>3934.874633669815</v>
      </c>
      <c r="T182" s="169">
        <f t="shared" ref="T182" si="2946">+T186/T178*1000000</f>
        <v>3884.1148523032443</v>
      </c>
      <c r="U182" s="255">
        <f t="shared" ref="U182" si="2947">+U186/U178*1000000</f>
        <v>4037.0393543139585</v>
      </c>
      <c r="V182" s="169">
        <f>+V186/V178*1000000</f>
        <v>3954.8551959114147</v>
      </c>
      <c r="W182" s="169">
        <f t="shared" ref="W182" si="2948">+W186/W178*1000000</f>
        <v>3176.5672050369558</v>
      </c>
      <c r="X182" s="169">
        <f t="shared" ref="X182" si="2949">+X186/X178*1000000</f>
        <v>3719.7768133911964</v>
      </c>
      <c r="Y182" s="169">
        <f t="shared" ref="Y182" si="2950">+Y186/Y178*1000000</f>
        <v>3698.0303030303025</v>
      </c>
      <c r="Z182" s="255">
        <f t="shared" ref="Z182" si="2951">+Z186/Z178*1000000</f>
        <v>3649.9409046953906</v>
      </c>
      <c r="AA182" s="169">
        <f>+AA186/AA178*1000000</f>
        <v>3495.3647058823517</v>
      </c>
      <c r="AB182" s="169">
        <f t="shared" ref="AB182" si="2952">+AB186/AB178*1000000</f>
        <v>3531.5806666666631</v>
      </c>
      <c r="AC182" s="169">
        <f t="shared" ref="AC182" si="2953">+AC186/AC178*1000000</f>
        <v>3532.5051851851867</v>
      </c>
      <c r="AD182" s="169">
        <f t="shared" ref="AD182" si="2954">+AD186/AD178*1000000</f>
        <v>3582.906097560975</v>
      </c>
      <c r="AE182" s="255">
        <f t="shared" ref="AE182" si="2955">+AE186/AE178*1000000</f>
        <v>3540.8861420345479</v>
      </c>
      <c r="AF182" s="169">
        <f>+AF186/AF178*1000000</f>
        <v>3550.6300813008115</v>
      </c>
      <c r="AG182" s="169">
        <f t="shared" ref="AG182" si="2956">+AG186/AG178*1000000</f>
        <v>3720.5647761194036</v>
      </c>
      <c r="AH182" s="169">
        <f t="shared" ref="AH182" si="2957">+AH186/AH178*1000000</f>
        <v>3987.9386666666655</v>
      </c>
      <c r="AI182" s="169">
        <f t="shared" ref="AI182" si="2958">+AI186/AI178*1000000</f>
        <v>3485.5957894736848</v>
      </c>
      <c r="AJ182" s="255">
        <f t="shared" ref="AJ182" si="2959">+AJ186/AJ178*1000000</f>
        <v>3677.9517252931341</v>
      </c>
      <c r="AK182" s="169">
        <f>+AK186/AK178*1000000</f>
        <v>3607.2189349112427</v>
      </c>
      <c r="AL182" s="169">
        <f t="shared" ref="AL182" si="2960">+AL186/AL178*1000000</f>
        <v>3460.5250596658716</v>
      </c>
      <c r="AM182" s="169">
        <f t="shared" ref="AM182" si="2961">+AM186/AM178*1000000</f>
        <v>3753.0476190476184</v>
      </c>
      <c r="AN182" s="169">
        <f t="shared" ref="AN182" si="2962">+AN186/AN178*1000000</f>
        <v>3526.8778280542988</v>
      </c>
      <c r="AO182" s="255">
        <f t="shared" ref="AO182" si="2963">+AO186/AO178*1000000</f>
        <v>3585.1513279802357</v>
      </c>
      <c r="AP182" s="168">
        <v>3585</v>
      </c>
      <c r="AQ182" s="168">
        <v>3623</v>
      </c>
      <c r="AR182" s="168">
        <v>3550</v>
      </c>
      <c r="AS182" s="168">
        <v>3400</v>
      </c>
      <c r="AT182" s="255">
        <f t="shared" ref="AT182" si="2964">+AT186/AT178*1000000</f>
        <v>3539.6524069814068</v>
      </c>
      <c r="AU182" s="396">
        <v>3585</v>
      </c>
      <c r="AV182" s="168">
        <v>3585</v>
      </c>
      <c r="AW182" s="168">
        <v>3585</v>
      </c>
      <c r="AX182" s="168">
        <v>3585</v>
      </c>
      <c r="AY182" s="255">
        <f t="shared" ref="AY182" si="2965">+AY186/AY178*1000000</f>
        <v>3584.9999999999995</v>
      </c>
      <c r="AZ182" s="168">
        <v>3585</v>
      </c>
      <c r="BA182" s="168">
        <v>3585</v>
      </c>
      <c r="BB182" s="168">
        <v>3585</v>
      </c>
      <c r="BC182" s="168">
        <v>3585</v>
      </c>
      <c r="BD182" s="255">
        <f t="shared" ref="BD182" si="2966">+BD186/BD178*1000000</f>
        <v>3585</v>
      </c>
      <c r="BE182" s="168">
        <v>3585</v>
      </c>
      <c r="BF182" s="168">
        <v>3585</v>
      </c>
      <c r="BG182" s="168">
        <v>3585</v>
      </c>
      <c r="BH182" s="168">
        <v>3585</v>
      </c>
      <c r="BI182" s="255">
        <f t="shared" ref="BI182" si="2967">+BI186/BI178*1000000</f>
        <v>3585</v>
      </c>
      <c r="BJ182" s="168">
        <v>3585</v>
      </c>
      <c r="BK182" s="168">
        <v>3585</v>
      </c>
      <c r="BL182" s="168">
        <v>3585</v>
      </c>
      <c r="BM182" s="168">
        <v>3585</v>
      </c>
      <c r="BN182" s="255">
        <f t="shared" ref="BN182" si="2968">+BN186/BN178*1000000</f>
        <v>3584.9999999999995</v>
      </c>
      <c r="BO182" s="168">
        <v>3585</v>
      </c>
      <c r="BP182" s="168">
        <v>3585</v>
      </c>
      <c r="BQ182" s="168">
        <v>3585</v>
      </c>
      <c r="BR182" s="168">
        <v>3585</v>
      </c>
      <c r="BS182" s="255">
        <f t="shared" ref="BS182" si="2969">+BS186/BS178*1000000</f>
        <v>3585</v>
      </c>
      <c r="BT182" s="168">
        <v>3585</v>
      </c>
      <c r="BU182" s="168">
        <v>3585</v>
      </c>
      <c r="BV182" s="168">
        <v>3585</v>
      </c>
      <c r="BW182" s="168">
        <v>3585</v>
      </c>
      <c r="BX182" s="255">
        <f t="shared" ref="BX182" si="2970">+BX186/BX178*1000000</f>
        <v>3585</v>
      </c>
      <c r="BY182" s="168">
        <v>3585</v>
      </c>
      <c r="BZ182" s="168">
        <v>3585</v>
      </c>
      <c r="CA182" s="168">
        <v>3585</v>
      </c>
      <c r="CB182" s="168">
        <v>3585</v>
      </c>
      <c r="CC182" s="255">
        <f t="shared" ref="CC182" si="2971">+CC186/CC178*1000000</f>
        <v>3585</v>
      </c>
      <c r="CD182" s="168">
        <v>3585</v>
      </c>
      <c r="CE182" s="168">
        <v>3585</v>
      </c>
      <c r="CF182" s="168">
        <v>3585</v>
      </c>
      <c r="CG182" s="168">
        <v>3585</v>
      </c>
      <c r="CH182" s="255">
        <f t="shared" ref="CH182" si="2972">+CH186/CH178*1000000</f>
        <v>3584.9999999999995</v>
      </c>
      <c r="CI182" s="168">
        <v>3585</v>
      </c>
      <c r="CJ182" s="168">
        <v>3585</v>
      </c>
      <c r="CK182" s="168">
        <v>3585</v>
      </c>
      <c r="CL182" s="168">
        <v>3585</v>
      </c>
      <c r="CM182" s="255">
        <f t="shared" ref="CM182" si="2973">+CM186/CM178*1000000</f>
        <v>3584.9999999999995</v>
      </c>
    </row>
    <row r="183" spans="1:93">
      <c r="A183" s="139" t="s">
        <v>291</v>
      </c>
      <c r="B183" s="232" t="s">
        <v>294</v>
      </c>
      <c r="C183" s="232" t="s">
        <v>294</v>
      </c>
      <c r="D183" s="232" t="s">
        <v>294</v>
      </c>
      <c r="E183" s="232" t="s">
        <v>294</v>
      </c>
      <c r="F183" s="239" t="s">
        <v>294</v>
      </c>
      <c r="G183" s="147" t="s">
        <v>294</v>
      </c>
      <c r="H183" s="147" t="s">
        <v>294</v>
      </c>
      <c r="I183" s="147" t="s">
        <v>294</v>
      </c>
      <c r="J183" s="147" t="s">
        <v>294</v>
      </c>
      <c r="K183" s="251" t="s">
        <v>294</v>
      </c>
      <c r="L183" s="19">
        <f t="shared" ref="L183" si="2974">+L182/G182-1</f>
        <v>6.5378648991678556E-3</v>
      </c>
      <c r="M183" s="19">
        <f t="shared" ref="M183" si="2975">+M182/H182-1</f>
        <v>0.15951980407640098</v>
      </c>
      <c r="N183" s="19">
        <f t="shared" ref="N183" si="2976">+N182/I182-1</f>
        <v>0.17102420917780781</v>
      </c>
      <c r="O183" s="19">
        <f t="shared" ref="O183" si="2977">+O182/J182-1</f>
        <v>0.13907498197548662</v>
      </c>
      <c r="P183" s="259">
        <f t="shared" ref="P183" si="2978">+P182/K182-1</f>
        <v>0.13587370028271817</v>
      </c>
      <c r="Q183" s="19">
        <f t="shared" ref="Q183" si="2979">+Q182/L182-1</f>
        <v>0.36132340559815179</v>
      </c>
      <c r="R183" s="19">
        <f t="shared" ref="R183" si="2980">+R182/M182-1</f>
        <v>5.2114758978278219E-2</v>
      </c>
      <c r="S183" s="19">
        <f t="shared" ref="S183" si="2981">+S182/N182-1</f>
        <v>-3.227189643666406E-2</v>
      </c>
      <c r="T183" s="19">
        <f t="shared" ref="T183" si="2982">+T182/O182-1</f>
        <v>-7.0394507662737249E-2</v>
      </c>
      <c r="U183" s="259">
        <f t="shared" ref="U183" si="2983">+U182/P182-1</f>
        <v>4.2807726159070469E-2</v>
      </c>
      <c r="V183" s="19">
        <f t="shared" ref="V183" si="2984">+V182/Q182-1</f>
        <v>-6.3819677170299904E-2</v>
      </c>
      <c r="W183" s="19">
        <f t="shared" ref="W183" si="2985">+W182/R182-1</f>
        <v>-0.21777973750077584</v>
      </c>
      <c r="X183" s="19">
        <f t="shared" ref="X183" si="2986">+X182/S182-1</f>
        <v>-5.4664465911588689E-2</v>
      </c>
      <c r="Y183" s="19">
        <f t="shared" ref="Y183" si="2987">+Y182/T182-1</f>
        <v>-4.7909126364426458E-2</v>
      </c>
      <c r="Z183" s="259">
        <f t="shared" ref="Z183" si="2988">+Z182/U182-1</f>
        <v>-9.588671688447048E-2</v>
      </c>
      <c r="AA183" s="19">
        <f t="shared" ref="AA183" si="2989">+AA182/V182-1</f>
        <v>-0.11618389732804646</v>
      </c>
      <c r="AB183" s="19">
        <f t="shared" ref="AB183" si="2990">+AB182/W182-1</f>
        <v>0.11176009783982432</v>
      </c>
      <c r="AC183" s="19">
        <f t="shared" ref="AC183" si="2991">+AC182/X182-1</f>
        <v>-5.0344856049382214E-2</v>
      </c>
      <c r="AD183" s="19">
        <f t="shared" ref="AD183" si="2992">+AD182/Y182-1</f>
        <v>-3.1131222849902107E-2</v>
      </c>
      <c r="AE183" s="259">
        <f t="shared" ref="AE183" si="2993">+AE182/Z182-1</f>
        <v>-2.9878500915056283E-2</v>
      </c>
      <c r="AF183" s="19">
        <f t="shared" ref="AF183" si="2994">+AF182/AA182-1</f>
        <v>1.5811046934659956E-2</v>
      </c>
      <c r="AG183" s="19">
        <f t="shared" ref="AG183" si="2995">+AG182/AB182-1</f>
        <v>5.3512612988426023E-2</v>
      </c>
      <c r="AH183" s="19">
        <f t="shared" ref="AH183" si="2996">+AH182/AC182-1</f>
        <v>0.12892648633369341</v>
      </c>
      <c r="AI183" s="19">
        <f t="shared" ref="AI183" si="2997">+AI182/AD182-1</f>
        <v>-2.7159603248751996E-2</v>
      </c>
      <c r="AJ183" s="259">
        <f t="shared" ref="AJ183" si="2998">+AJ182/AE182-1</f>
        <v>3.8709401477628358E-2</v>
      </c>
      <c r="AK183" s="19">
        <f t="shared" ref="AK183" si="2999">+AK182/AF182-1</f>
        <v>1.5937693399392217E-2</v>
      </c>
      <c r="AL183" s="19">
        <f t="shared" ref="AL183" si="3000">+AL182/AG182-1</f>
        <v>-6.989253839164622E-2</v>
      </c>
      <c r="AM183" s="19">
        <f t="shared" ref="AM183" si="3001">+AM182/AH182-1</f>
        <v>-5.8900366142135785E-2</v>
      </c>
      <c r="AN183" s="19">
        <f t="shared" ref="AN183" si="3002">+AN182/AI182-1</f>
        <v>1.184361041096138E-2</v>
      </c>
      <c r="AO183" s="259">
        <f t="shared" ref="AO183" si="3003">+AO182/AJ182-1</f>
        <v>-2.5231543055531103E-2</v>
      </c>
      <c r="AP183" s="19">
        <f t="shared" ref="AP183" si="3004">+AP182/AK182-1</f>
        <v>-6.1595748170991671E-3</v>
      </c>
      <c r="AQ183" s="19">
        <f t="shared" ref="AQ183" si="3005">+AQ182/AL182-1</f>
        <v>4.6950950371044575E-2</v>
      </c>
      <c r="AR183" s="19">
        <f t="shared" ref="AR183" si="3006">+AR182/AM182-1</f>
        <v>-5.4102063085238461E-2</v>
      </c>
      <c r="AS183" s="19">
        <f t="shared" ref="AS183" si="3007">+AS182/AN182-1</f>
        <v>-3.5974545827773818E-2</v>
      </c>
      <c r="AT183" s="259">
        <f t="shared" ref="AT183" si="3008">+AT182/AO182-1</f>
        <v>-1.2690934590050218E-2</v>
      </c>
      <c r="AU183" s="379">
        <f t="shared" ref="AU183" si="3009">+AU182/AP182-1</f>
        <v>0</v>
      </c>
      <c r="AV183" s="19">
        <f t="shared" ref="AV183" si="3010">+AV182/AQ182-1</f>
        <v>-1.048854540436106E-2</v>
      </c>
      <c r="AW183" s="19">
        <f t="shared" ref="AW183" si="3011">+AW182/AR182-1</f>
        <v>9.8591549295774517E-3</v>
      </c>
      <c r="AX183" s="19">
        <f t="shared" ref="AX183" si="3012">+AX182/AS182-1</f>
        <v>5.4411764705882382E-2</v>
      </c>
      <c r="AY183" s="259">
        <f t="shared" ref="AY183" si="3013">+AY182/AT182-1</f>
        <v>1.2811312469312552E-2</v>
      </c>
      <c r="AZ183" s="19">
        <f t="shared" ref="AZ183" si="3014">+AZ182/AU182-1</f>
        <v>0</v>
      </c>
      <c r="BA183" s="19">
        <f t="shared" ref="BA183" si="3015">+BA182/AV182-1</f>
        <v>0</v>
      </c>
      <c r="BB183" s="19">
        <f t="shared" ref="BB183" si="3016">+BB182/AW182-1</f>
        <v>0</v>
      </c>
      <c r="BC183" s="19">
        <f t="shared" ref="BC183" si="3017">+BC182/AX182-1</f>
        <v>0</v>
      </c>
      <c r="BD183" s="259">
        <f t="shared" ref="BD183" si="3018">+BD182/AY182-1</f>
        <v>0</v>
      </c>
      <c r="BE183" s="19">
        <f t="shared" ref="BE183" si="3019">+BE182/AZ182-1</f>
        <v>0</v>
      </c>
      <c r="BF183" s="19">
        <f t="shared" ref="BF183" si="3020">+BF182/BA182-1</f>
        <v>0</v>
      </c>
      <c r="BG183" s="19">
        <f t="shared" ref="BG183" si="3021">+BG182/BB182-1</f>
        <v>0</v>
      </c>
      <c r="BH183" s="19">
        <f t="shared" ref="BH183" si="3022">+BH182/BC182-1</f>
        <v>0</v>
      </c>
      <c r="BI183" s="259">
        <f t="shared" ref="BI183" si="3023">+BI182/BD182-1</f>
        <v>0</v>
      </c>
      <c r="BJ183" s="19">
        <f t="shared" ref="BJ183" si="3024">+BJ182/BE182-1</f>
        <v>0</v>
      </c>
      <c r="BK183" s="19">
        <f t="shared" ref="BK183" si="3025">+BK182/BF182-1</f>
        <v>0</v>
      </c>
      <c r="BL183" s="19">
        <f t="shared" ref="BL183" si="3026">+BL182/BG182-1</f>
        <v>0</v>
      </c>
      <c r="BM183" s="19">
        <f t="shared" ref="BM183" si="3027">+BM182/BH182-1</f>
        <v>0</v>
      </c>
      <c r="BN183" s="259">
        <f t="shared" ref="BN183" si="3028">+BN182/BI182-1</f>
        <v>0</v>
      </c>
      <c r="BO183" s="19">
        <f t="shared" ref="BO183" si="3029">+BO182/BJ182-1</f>
        <v>0</v>
      </c>
      <c r="BP183" s="19">
        <f t="shared" ref="BP183" si="3030">+BP182/BK182-1</f>
        <v>0</v>
      </c>
      <c r="BQ183" s="19">
        <f t="shared" ref="BQ183" si="3031">+BQ182/BL182-1</f>
        <v>0</v>
      </c>
      <c r="BR183" s="19">
        <f t="shared" ref="BR183" si="3032">+BR182/BM182-1</f>
        <v>0</v>
      </c>
      <c r="BS183" s="259">
        <f t="shared" ref="BS183" si="3033">+BS182/BN182-1</f>
        <v>0</v>
      </c>
      <c r="BT183" s="19">
        <f t="shared" ref="BT183" si="3034">+BT182/BO182-1</f>
        <v>0</v>
      </c>
      <c r="BU183" s="19">
        <f t="shared" ref="BU183" si="3035">+BU182/BP182-1</f>
        <v>0</v>
      </c>
      <c r="BV183" s="19">
        <f t="shared" ref="BV183" si="3036">+BV182/BQ182-1</f>
        <v>0</v>
      </c>
      <c r="BW183" s="19">
        <f t="shared" ref="BW183" si="3037">+BW182/BR182-1</f>
        <v>0</v>
      </c>
      <c r="BX183" s="259">
        <f t="shared" ref="BX183" si="3038">+BX182/BS182-1</f>
        <v>0</v>
      </c>
      <c r="BY183" s="19">
        <f t="shared" ref="BY183" si="3039">+BY182/BT182-1</f>
        <v>0</v>
      </c>
      <c r="BZ183" s="19">
        <f t="shared" ref="BZ183" si="3040">+BZ182/BU182-1</f>
        <v>0</v>
      </c>
      <c r="CA183" s="19">
        <f t="shared" ref="CA183" si="3041">+CA182/BV182-1</f>
        <v>0</v>
      </c>
      <c r="CB183" s="19">
        <f t="shared" ref="CB183" si="3042">+CB182/BW182-1</f>
        <v>0</v>
      </c>
      <c r="CC183" s="259">
        <f t="shared" ref="CC183" si="3043">+CC182/BX182-1</f>
        <v>0</v>
      </c>
      <c r="CD183" s="19">
        <f t="shared" ref="CD183" si="3044">+CD182/BY182-1</f>
        <v>0</v>
      </c>
      <c r="CE183" s="19">
        <f t="shared" ref="CE183" si="3045">+CE182/BZ182-1</f>
        <v>0</v>
      </c>
      <c r="CF183" s="19">
        <f t="shared" ref="CF183" si="3046">+CF182/CA182-1</f>
        <v>0</v>
      </c>
      <c r="CG183" s="19">
        <f t="shared" ref="CG183" si="3047">+CG182/CB182-1</f>
        <v>0</v>
      </c>
      <c r="CH183" s="259">
        <f t="shared" ref="CH183" si="3048">+CH182/CC182-1</f>
        <v>0</v>
      </c>
      <c r="CI183" s="19">
        <f t="shared" ref="CI183" si="3049">+CI182/CD182-1</f>
        <v>0</v>
      </c>
      <c r="CJ183" s="19">
        <f t="shared" ref="CJ183" si="3050">+CJ182/CE182-1</f>
        <v>0</v>
      </c>
      <c r="CK183" s="19">
        <f t="shared" ref="CK183" si="3051">+CK182/CF182-1</f>
        <v>0</v>
      </c>
      <c r="CL183" s="19">
        <f t="shared" ref="CL183" si="3052">+CL182/CG182-1</f>
        <v>0</v>
      </c>
      <c r="CM183" s="259">
        <f t="shared" ref="CM183" si="3053">+CM182/CH182-1</f>
        <v>0</v>
      </c>
    </row>
    <row r="184" spans="1:93">
      <c r="A184" s="139" t="s">
        <v>292</v>
      </c>
      <c r="B184" s="232" t="s">
        <v>294</v>
      </c>
      <c r="C184" s="232" t="s">
        <v>294</v>
      </c>
      <c r="D184" s="232" t="s">
        <v>294</v>
      </c>
      <c r="E184" s="232" t="s">
        <v>294</v>
      </c>
      <c r="F184" s="239" t="s">
        <v>294</v>
      </c>
      <c r="G184" s="147" t="s">
        <v>294</v>
      </c>
      <c r="H184" s="19">
        <f>+H182/G182-1</f>
        <v>7.9712311380623069E-2</v>
      </c>
      <c r="I184" s="19">
        <f>+I182/H182-1</f>
        <v>4.3095256255093695E-2</v>
      </c>
      <c r="J184" s="19">
        <f>+J182/I182-1</f>
        <v>5.6402440762481909E-2</v>
      </c>
      <c r="K184" s="251" t="s">
        <v>294</v>
      </c>
      <c r="L184" s="19">
        <f>+L182/J182-1</f>
        <v>-0.15400324441240099</v>
      </c>
      <c r="M184" s="19">
        <f>+M182/L182-1</f>
        <v>0.24381590738899317</v>
      </c>
      <c r="N184" s="19">
        <f>+N182/M182-1</f>
        <v>5.3444532175286108E-2</v>
      </c>
      <c r="O184" s="19">
        <f>+O182/N182-1</f>
        <v>2.7580456270202003E-2</v>
      </c>
      <c r="P184" s="251" t="s">
        <v>294</v>
      </c>
      <c r="Q184" s="19">
        <f>+Q182/O182-1</f>
        <v>1.1061784926711837E-2</v>
      </c>
      <c r="R184" s="19">
        <f>+R182/Q182-1</f>
        <v>-3.8702289085438157E-2</v>
      </c>
      <c r="S184" s="19">
        <f>+S182/R182-1</f>
        <v>-3.1048779962792317E-2</v>
      </c>
      <c r="T184" s="19">
        <f>+T182/S182-1</f>
        <v>-1.2899974228462341E-2</v>
      </c>
      <c r="U184" s="251" t="s">
        <v>294</v>
      </c>
      <c r="V184" s="19">
        <f>+V182/T182-1</f>
        <v>1.8212732192051995E-2</v>
      </c>
      <c r="W184" s="19">
        <f>+W182/V182-1</f>
        <v>-0.19679304356808414</v>
      </c>
      <c r="X184" s="19">
        <f>+X182/W182-1</f>
        <v>0.17100523089607389</v>
      </c>
      <c r="Y184" s="19">
        <f>+Y182/X182-1</f>
        <v>-5.8461868686869867E-3</v>
      </c>
      <c r="Z184" s="251" t="s">
        <v>294</v>
      </c>
      <c r="AA184" s="19">
        <f>+AA182/Y182-1</f>
        <v>-5.4803660473490168E-2</v>
      </c>
      <c r="AB184" s="19">
        <f>+AB182/AA182-1</f>
        <v>1.0361139346450221E-2</v>
      </c>
      <c r="AC184" s="19">
        <f>+AC182/AB182-1</f>
        <v>2.6178604024251761E-4</v>
      </c>
      <c r="AD184" s="19">
        <f>+AD182/AC182-1</f>
        <v>1.4267753261102634E-2</v>
      </c>
      <c r="AE184" s="251" t="s">
        <v>294</v>
      </c>
      <c r="AF184" s="19">
        <f>+AF182/AD182-1</f>
        <v>-9.0083344026613554E-3</v>
      </c>
      <c r="AG184" s="19">
        <f>+AG182/AF182-1</f>
        <v>4.7860433480114706E-2</v>
      </c>
      <c r="AH184" s="19">
        <f>+AH182/AG182-1</f>
        <v>7.1863791288734546E-2</v>
      </c>
      <c r="AI184" s="19">
        <f>+AI182/AH182-1</f>
        <v>-0.12596554741220878</v>
      </c>
      <c r="AJ184" s="251" t="s">
        <v>294</v>
      </c>
      <c r="AK184" s="19">
        <f>+AK182/AI182-1</f>
        <v>3.4893072170001371E-2</v>
      </c>
      <c r="AL184" s="19">
        <f>+AL182/AK182-1</f>
        <v>-4.0666751281893232E-2</v>
      </c>
      <c r="AM184" s="19">
        <f>+AM182/AL182-1</f>
        <v>8.4531264573472376E-2</v>
      </c>
      <c r="AN184" s="19">
        <f>+AN182/AM182-1</f>
        <v>-6.0262968645922177E-2</v>
      </c>
      <c r="AO184" s="251" t="s">
        <v>294</v>
      </c>
      <c r="AP184" s="19">
        <f>+AP182/AN182-1</f>
        <v>1.647978035512665E-2</v>
      </c>
      <c r="AQ184" s="19">
        <f>+AQ182/AP182-1</f>
        <v>1.05997210599722E-2</v>
      </c>
      <c r="AR184" s="19">
        <f>+AR182/AQ182-1</f>
        <v>-2.0149047750482985E-2</v>
      </c>
      <c r="AS184" s="19">
        <f>+AS182/AR182-1</f>
        <v>-4.2253521126760618E-2</v>
      </c>
      <c r="AT184" s="251" t="s">
        <v>294</v>
      </c>
      <c r="AU184" s="379">
        <f>+AU182/AS182-1</f>
        <v>5.4411764705882382E-2</v>
      </c>
      <c r="AV184" s="19">
        <f>+AV182/AU182-1</f>
        <v>0</v>
      </c>
      <c r="AW184" s="19">
        <f>+AW182/AV182-1</f>
        <v>0</v>
      </c>
      <c r="AX184" s="19">
        <f>+AX182/AW182-1</f>
        <v>0</v>
      </c>
      <c r="AY184" s="251" t="s">
        <v>294</v>
      </c>
      <c r="AZ184" s="19">
        <f>+AZ182/AX182-1</f>
        <v>0</v>
      </c>
      <c r="BA184" s="19">
        <f>+BA182/AZ182-1</f>
        <v>0</v>
      </c>
      <c r="BB184" s="19">
        <f>+BB182/BA182-1</f>
        <v>0</v>
      </c>
      <c r="BC184" s="19">
        <f>+BC182/BB182-1</f>
        <v>0</v>
      </c>
      <c r="BD184" s="251" t="s">
        <v>294</v>
      </c>
      <c r="BE184" s="19">
        <f>+BE182/BC182-1</f>
        <v>0</v>
      </c>
      <c r="BF184" s="19">
        <f>+BF182/BE182-1</f>
        <v>0</v>
      </c>
      <c r="BG184" s="19">
        <f>+BG182/BF182-1</f>
        <v>0</v>
      </c>
      <c r="BH184" s="19">
        <f>+BH182/BG182-1</f>
        <v>0</v>
      </c>
      <c r="BI184" s="251" t="s">
        <v>294</v>
      </c>
      <c r="BJ184" s="19">
        <f>+BJ182/BH182-1</f>
        <v>0</v>
      </c>
      <c r="BK184" s="19">
        <f>+BK182/BJ182-1</f>
        <v>0</v>
      </c>
      <c r="BL184" s="19">
        <f>+BL182/BK182-1</f>
        <v>0</v>
      </c>
      <c r="BM184" s="19">
        <f>+BM182/BL182-1</f>
        <v>0</v>
      </c>
      <c r="BN184" s="251" t="s">
        <v>294</v>
      </c>
      <c r="BO184" s="19">
        <f>+BO182/BM182-1</f>
        <v>0</v>
      </c>
      <c r="BP184" s="19">
        <f>+BP182/BO182-1</f>
        <v>0</v>
      </c>
      <c r="BQ184" s="19">
        <f>+BQ182/BP182-1</f>
        <v>0</v>
      </c>
      <c r="BR184" s="19">
        <f>+BR182/BQ182-1</f>
        <v>0</v>
      </c>
      <c r="BS184" s="251" t="s">
        <v>294</v>
      </c>
      <c r="BT184" s="19">
        <f>+BT182/BR182-1</f>
        <v>0</v>
      </c>
      <c r="BU184" s="19">
        <f>+BU182/BT182-1</f>
        <v>0</v>
      </c>
      <c r="BV184" s="19">
        <f>+BV182/BU182-1</f>
        <v>0</v>
      </c>
      <c r="BW184" s="19">
        <f>+BW182/BV182-1</f>
        <v>0</v>
      </c>
      <c r="BX184" s="251" t="s">
        <v>294</v>
      </c>
      <c r="BY184" s="19">
        <f>+BY182/BW182-1</f>
        <v>0</v>
      </c>
      <c r="BZ184" s="19">
        <f>+BZ182/BY182-1</f>
        <v>0</v>
      </c>
      <c r="CA184" s="19">
        <f>+CA182/BZ182-1</f>
        <v>0</v>
      </c>
      <c r="CB184" s="19">
        <f>+CB182/CA182-1</f>
        <v>0</v>
      </c>
      <c r="CC184" s="251" t="s">
        <v>294</v>
      </c>
      <c r="CD184" s="19">
        <f>+CD182/CB182-1</f>
        <v>0</v>
      </c>
      <c r="CE184" s="19">
        <f>+CE182/CD182-1</f>
        <v>0</v>
      </c>
      <c r="CF184" s="19">
        <f>+CF182/CE182-1</f>
        <v>0</v>
      </c>
      <c r="CG184" s="19">
        <f>+CG182/CF182-1</f>
        <v>0</v>
      </c>
      <c r="CH184" s="251" t="s">
        <v>294</v>
      </c>
      <c r="CI184" s="19">
        <f>+CI182/CG182-1</f>
        <v>0</v>
      </c>
      <c r="CJ184" s="19">
        <f>+CJ182/CI182-1</f>
        <v>0</v>
      </c>
      <c r="CK184" s="19">
        <f>+CK182/CJ182-1</f>
        <v>0</v>
      </c>
      <c r="CL184" s="19">
        <f>+CL182/CK182-1</f>
        <v>0</v>
      </c>
      <c r="CM184" s="251" t="s">
        <v>294</v>
      </c>
    </row>
    <row r="185" spans="1:93">
      <c r="F185" s="240"/>
      <c r="G185" s="147"/>
      <c r="H185" s="19"/>
      <c r="I185" s="19"/>
      <c r="J185" s="19"/>
      <c r="K185" s="251"/>
      <c r="L185" s="19"/>
      <c r="M185" s="19"/>
      <c r="N185" s="19"/>
      <c r="O185" s="19"/>
      <c r="P185" s="251"/>
      <c r="Q185" s="19"/>
      <c r="R185" s="19"/>
      <c r="S185" s="19"/>
      <c r="T185" s="19"/>
      <c r="U185" s="251"/>
      <c r="V185" s="19"/>
      <c r="W185" s="19"/>
      <c r="X185" s="19"/>
      <c r="Y185" s="19"/>
      <c r="Z185" s="251"/>
      <c r="AA185" s="19"/>
      <c r="AB185" s="19"/>
      <c r="AC185" s="19"/>
      <c r="AD185" s="19"/>
      <c r="AE185" s="251"/>
      <c r="AF185" s="19"/>
      <c r="AG185" s="19"/>
      <c r="AH185" s="19"/>
      <c r="AI185" s="19"/>
      <c r="AJ185" s="251"/>
      <c r="AK185" s="19"/>
      <c r="AL185" s="19"/>
      <c r="AM185" s="19"/>
      <c r="AN185" s="19"/>
      <c r="AO185" s="251"/>
      <c r="AP185" s="155"/>
      <c r="AQ185" s="19"/>
      <c r="AR185" s="19"/>
      <c r="AS185" s="155"/>
      <c r="AT185" s="256"/>
      <c r="AU185" s="397"/>
      <c r="AV185" s="155"/>
      <c r="AW185" s="155"/>
      <c r="AX185" s="155"/>
      <c r="AY185" s="256"/>
      <c r="AZ185" s="155"/>
      <c r="BA185" s="155"/>
      <c r="BB185" s="155"/>
      <c r="BC185" s="155"/>
      <c r="BD185" s="256"/>
      <c r="BE185" s="155"/>
      <c r="BF185" s="155"/>
      <c r="BG185" s="155"/>
      <c r="BH185" s="155"/>
      <c r="BI185" s="256"/>
      <c r="BJ185" s="155"/>
      <c r="BK185" s="155"/>
      <c r="BL185" s="155"/>
      <c r="BM185" s="155"/>
      <c r="BN185" s="256"/>
      <c r="BO185" s="155"/>
      <c r="BP185" s="155"/>
      <c r="BQ185" s="155"/>
      <c r="BR185" s="155"/>
      <c r="BS185" s="256"/>
      <c r="BT185" s="155"/>
      <c r="BU185" s="155"/>
      <c r="BV185" s="155"/>
      <c r="BW185" s="155"/>
      <c r="BX185" s="256"/>
      <c r="BY185" s="155"/>
      <c r="BZ185" s="155"/>
      <c r="CA185" s="155"/>
      <c r="CB185" s="155"/>
      <c r="CC185" s="256"/>
      <c r="CD185" s="155"/>
      <c r="CE185" s="155"/>
      <c r="CF185" s="155"/>
      <c r="CG185" s="155"/>
      <c r="CH185" s="256"/>
      <c r="CI185" s="155"/>
      <c r="CJ185" s="155"/>
      <c r="CK185" s="155"/>
      <c r="CL185" s="155"/>
      <c r="CM185" s="256"/>
    </row>
    <row r="186" spans="1:93" s="42" customFormat="1">
      <c r="A186" s="42" t="s">
        <v>332</v>
      </c>
      <c r="B186" s="232" t="s">
        <v>294</v>
      </c>
      <c r="C186" s="232" t="s">
        <v>294</v>
      </c>
      <c r="D186" s="232" t="s">
        <v>294</v>
      </c>
      <c r="E186" s="232" t="s">
        <v>294</v>
      </c>
      <c r="F186" s="239" t="s">
        <v>294</v>
      </c>
      <c r="G186" s="170">
        <f t="shared" ref="G186:AJ186" si="3054">+G278-G89</f>
        <v>7.0910000000000011</v>
      </c>
      <c r="H186" s="170">
        <f t="shared" si="3054"/>
        <v>8.3219999999999992</v>
      </c>
      <c r="I186" s="170">
        <f t="shared" si="3054"/>
        <v>8.6979999999999986</v>
      </c>
      <c r="J186" s="170">
        <f t="shared" si="3054"/>
        <v>11.096</v>
      </c>
      <c r="K186" s="253">
        <f t="shared" si="3054"/>
        <v>35.206999999999994</v>
      </c>
      <c r="L186" s="170">
        <f t="shared" si="3054"/>
        <v>11.637</v>
      </c>
      <c r="M186" s="170">
        <f t="shared" si="3054"/>
        <v>20.263999999999999</v>
      </c>
      <c r="N186" s="170">
        <f t="shared" si="3054"/>
        <v>21.346999999999998</v>
      </c>
      <c r="O186" s="170">
        <f t="shared" si="3054"/>
        <v>26.114000000000001</v>
      </c>
      <c r="P186" s="253">
        <f t="shared" si="3054"/>
        <v>79.361999999999995</v>
      </c>
      <c r="Q186" s="170">
        <f t="shared" si="3054"/>
        <v>22.246000000000002</v>
      </c>
      <c r="R186" s="170">
        <f t="shared" si="3054"/>
        <v>11.390999999999998</v>
      </c>
      <c r="S186" s="170">
        <f t="shared" si="3054"/>
        <v>12.084000000000003</v>
      </c>
      <c r="T186" s="170">
        <f t="shared" si="3054"/>
        <v>18.803000000000004</v>
      </c>
      <c r="U186" s="253">
        <f t="shared" si="3054"/>
        <v>64.524000000000001</v>
      </c>
      <c r="V186" s="170">
        <f t="shared" si="3054"/>
        <v>13.929000000000002</v>
      </c>
      <c r="W186" s="170">
        <f t="shared" si="3054"/>
        <v>11.603999999999999</v>
      </c>
      <c r="X186" s="170">
        <f t="shared" si="3054"/>
        <v>18</v>
      </c>
      <c r="Y186" s="170">
        <f t="shared" si="3054"/>
        <v>24.406999999999996</v>
      </c>
      <c r="Z186" s="253">
        <f t="shared" si="3054"/>
        <v>67.94</v>
      </c>
      <c r="AA186" s="170">
        <f t="shared" si="3054"/>
        <v>17.826359999999994</v>
      </c>
      <c r="AB186" s="170">
        <f t="shared" si="3054"/>
        <v>21.189483999999979</v>
      </c>
      <c r="AC186" s="170">
        <f t="shared" si="3054"/>
        <v>23.844410000000011</v>
      </c>
      <c r="AD186" s="170">
        <f t="shared" si="3054"/>
        <v>29.379829999999998</v>
      </c>
      <c r="AE186" s="253">
        <f t="shared" si="3054"/>
        <v>92.240083999999968</v>
      </c>
      <c r="AF186" s="170">
        <f t="shared" si="3054"/>
        <v>21.83637499999999</v>
      </c>
      <c r="AG186" s="170">
        <f t="shared" si="3054"/>
        <v>24.927784000000003</v>
      </c>
      <c r="AH186" s="170">
        <f t="shared" si="3054"/>
        <v>29.909539999999993</v>
      </c>
      <c r="AI186" s="170">
        <f t="shared" si="3054"/>
        <v>33.113160000000008</v>
      </c>
      <c r="AJ186" s="253">
        <f t="shared" si="3054"/>
        <v>109.78685900000005</v>
      </c>
      <c r="AK186" s="170">
        <v>30.481000000000002</v>
      </c>
      <c r="AL186" s="170">
        <v>36.249000000000002</v>
      </c>
      <c r="AM186" s="170">
        <v>39.406999999999996</v>
      </c>
      <c r="AN186" s="170">
        <v>38.972000000000001</v>
      </c>
      <c r="AO186" s="253">
        <f>+AO278-AO89</f>
        <v>145.10900000000004</v>
      </c>
      <c r="AP186" s="170">
        <f>+AP178*AP182/1000000</f>
        <v>36.656624999999998</v>
      </c>
      <c r="AQ186" s="170">
        <f t="shared" ref="AQ186:AS186" si="3055">+AQ178*AQ182/1000000</f>
        <v>45.921525000000003</v>
      </c>
      <c r="AR186" s="170">
        <f t="shared" si="3055"/>
        <v>44.942999999999998</v>
      </c>
      <c r="AS186" s="170">
        <f t="shared" si="3055"/>
        <v>40.1982</v>
      </c>
      <c r="AT186" s="253">
        <f>+AP186+AQ186+AR186+AS186</f>
        <v>167.71934999999999</v>
      </c>
      <c r="AU186" s="356">
        <f>+AU178*AU182/1000000</f>
        <v>39.589154999999998</v>
      </c>
      <c r="AV186" s="170">
        <f t="shared" ref="AV186" si="3056">+AV178*AV182/1000000</f>
        <v>49.075065000000002</v>
      </c>
      <c r="AW186" s="170">
        <f t="shared" ref="AW186" si="3057">+AW178*AW182/1000000</f>
        <v>49.016988000000005</v>
      </c>
      <c r="AX186" s="170">
        <f t="shared" ref="AX186" si="3058">+AX178*AX182/1000000</f>
        <v>45.776291399999998</v>
      </c>
      <c r="AY186" s="253">
        <f>+AU186+AV186+AW186+AX186</f>
        <v>183.45749939999999</v>
      </c>
      <c r="AZ186" s="170">
        <f>+AZ178*AZ182/1000000</f>
        <v>43.548070500000009</v>
      </c>
      <c r="BA186" s="170">
        <f t="shared" ref="BA186" si="3059">+BA178*BA182/1000000</f>
        <v>53.982571500000006</v>
      </c>
      <c r="BB186" s="170">
        <f t="shared" ref="BB186" si="3060">+BB178*BB182/1000000</f>
        <v>53.918686800000003</v>
      </c>
      <c r="BC186" s="170">
        <f t="shared" ref="BC186" si="3061">+BC178*BC182/1000000</f>
        <v>50.353920540000004</v>
      </c>
      <c r="BD186" s="253">
        <f>+AZ186+BA186+BB186+BC186</f>
        <v>201.80324934000004</v>
      </c>
      <c r="BE186" s="170">
        <f>+BE178*BE182/1000000</f>
        <v>47.031916140000007</v>
      </c>
      <c r="BF186" s="170">
        <f t="shared" ref="BF186" si="3062">+BF178*BF182/1000000</f>
        <v>58.301177220000014</v>
      </c>
      <c r="BG186" s="170">
        <f t="shared" ref="BG186" si="3063">+BG178*BG182/1000000</f>
        <v>58.232181744000009</v>
      </c>
      <c r="BH186" s="170">
        <f t="shared" ref="BH186" si="3064">+BH178*BH182/1000000</f>
        <v>54.382234183200012</v>
      </c>
      <c r="BI186" s="253">
        <f>+BE186+BF186+BG186+BH186</f>
        <v>217.94750928720003</v>
      </c>
      <c r="BJ186" s="170">
        <f>+BJ178*BJ182/1000000</f>
        <v>50.794469431200014</v>
      </c>
      <c r="BK186" s="170">
        <f t="shared" ref="BK186" si="3065">+BK178*BK182/1000000</f>
        <v>62.965271397600013</v>
      </c>
      <c r="BL186" s="170">
        <f t="shared" ref="BL186" si="3066">+BL178*BL182/1000000</f>
        <v>62.890756283520012</v>
      </c>
      <c r="BM186" s="170">
        <f t="shared" ref="BM186" si="3067">+BM178*BM182/1000000</f>
        <v>58.732812917856023</v>
      </c>
      <c r="BN186" s="253">
        <f>+BJ186+BK186+BL186+BM186</f>
        <v>235.38331003017606</v>
      </c>
      <c r="BO186" s="170">
        <f>+BO178*BO182/1000000</f>
        <v>54.858026985696014</v>
      </c>
      <c r="BP186" s="170">
        <f t="shared" ref="BP186" si="3068">+BP178*BP182/1000000</f>
        <v>68.002493109408022</v>
      </c>
      <c r="BQ186" s="170">
        <f t="shared" ref="BQ186" si="3069">+BQ178*BQ182/1000000</f>
        <v>67.922016786201624</v>
      </c>
      <c r="BR186" s="170">
        <f t="shared" ref="BR186" si="3070">+BR178*BR182/1000000</f>
        <v>63.431437951284508</v>
      </c>
      <c r="BS186" s="253">
        <f>+BO186+BP186+BQ186+BR186</f>
        <v>254.21397483259017</v>
      </c>
      <c r="BT186" s="170">
        <f>+BT178*BT182/1000000</f>
        <v>59.24666914455171</v>
      </c>
      <c r="BU186" s="170">
        <f t="shared" ref="BU186" si="3071">+BU178*BU182/1000000</f>
        <v>73.442692558160658</v>
      </c>
      <c r="BV186" s="170">
        <f t="shared" ref="BV186" si="3072">+BV178*BV182/1000000</f>
        <v>73.355778129097743</v>
      </c>
      <c r="BW186" s="170">
        <f t="shared" ref="BW186" si="3073">+BW178*BW182/1000000</f>
        <v>68.505952987387275</v>
      </c>
      <c r="BX186" s="253">
        <f>+BT186+BU186+BV186+BW186</f>
        <v>274.55109281919738</v>
      </c>
      <c r="BY186" s="170">
        <f>+BY178*BY182/1000000</f>
        <v>63.986402676115858</v>
      </c>
      <c r="BZ186" s="170">
        <f t="shared" ref="BZ186" si="3074">+BZ178*BZ182/1000000</f>
        <v>79.318107962813528</v>
      </c>
      <c r="CA186" s="170">
        <f t="shared" ref="CA186" si="3075">+CA178*CA182/1000000</f>
        <v>79.224240379425567</v>
      </c>
      <c r="CB186" s="170">
        <f t="shared" ref="CB186" si="3076">+CB178*CB182/1000000</f>
        <v>73.986429226378263</v>
      </c>
      <c r="CC186" s="253">
        <f>+BY186+BZ186+CA186+CB186</f>
        <v>296.51518024473324</v>
      </c>
      <c r="CD186" s="170">
        <f>+CD178*CD182/1000000</f>
        <v>69.105314890205122</v>
      </c>
      <c r="CE186" s="170">
        <f t="shared" ref="CE186" si="3077">+CE178*CE182/1000000</f>
        <v>85.663556599838614</v>
      </c>
      <c r="CF186" s="170">
        <f t="shared" ref="CF186" si="3078">+CF178*CF182/1000000</f>
        <v>85.562179609779619</v>
      </c>
      <c r="CG186" s="170">
        <f t="shared" ref="CG186" si="3079">+CG178*CG182/1000000</f>
        <v>79.905343564488533</v>
      </c>
      <c r="CH186" s="253">
        <f>+CD186+CE186+CF186+CG186</f>
        <v>320.23639466431189</v>
      </c>
      <c r="CI186" s="170">
        <f>+CI178*CI182/1000000</f>
        <v>74.633740081421521</v>
      </c>
      <c r="CJ186" s="170">
        <f t="shared" ref="CJ186" si="3080">+CJ178*CJ182/1000000</f>
        <v>92.516641127825707</v>
      </c>
      <c r="CK186" s="170">
        <f t="shared" ref="CK186" si="3081">+CK178*CK182/1000000</f>
        <v>92.407153978561993</v>
      </c>
      <c r="CL186" s="170">
        <f t="shared" ref="CL186" si="3082">+CL178*CL182/1000000</f>
        <v>86.297771049647608</v>
      </c>
      <c r="CM186" s="253">
        <f>+CI186+CJ186+CK186+CL186</f>
        <v>345.85530623745683</v>
      </c>
    </row>
    <row r="187" spans="1:93">
      <c r="A187" s="139" t="s">
        <v>291</v>
      </c>
      <c r="B187" s="232" t="s">
        <v>294</v>
      </c>
      <c r="C187" s="232" t="s">
        <v>294</v>
      </c>
      <c r="D187" s="232" t="s">
        <v>294</v>
      </c>
      <c r="E187" s="232" t="s">
        <v>294</v>
      </c>
      <c r="F187" s="239" t="s">
        <v>294</v>
      </c>
      <c r="G187" s="147" t="s">
        <v>294</v>
      </c>
      <c r="H187" s="147" t="s">
        <v>294</v>
      </c>
      <c r="I187" s="147" t="s">
        <v>294</v>
      </c>
      <c r="J187" s="147" t="s">
        <v>294</v>
      </c>
      <c r="K187" s="251" t="s">
        <v>294</v>
      </c>
      <c r="L187" s="19">
        <f t="shared" ref="L187:AQ187" si="3083">+L186/G186-1</f>
        <v>0.6410943449442954</v>
      </c>
      <c r="M187" s="19">
        <f t="shared" si="3083"/>
        <v>1.4349915885604423</v>
      </c>
      <c r="N187" s="19">
        <f t="shared" si="3083"/>
        <v>1.454242354564268</v>
      </c>
      <c r="O187" s="19">
        <f t="shared" si="3083"/>
        <v>1.3534607065609228</v>
      </c>
      <c r="P187" s="259">
        <f t="shared" si="3083"/>
        <v>1.2541540034652203</v>
      </c>
      <c r="Q187" s="19">
        <f t="shared" si="3083"/>
        <v>0.91166108103463106</v>
      </c>
      <c r="R187" s="19">
        <f t="shared" si="3083"/>
        <v>-0.43787011448874857</v>
      </c>
      <c r="S187" s="19">
        <f t="shared" si="3083"/>
        <v>-0.43392514170609431</v>
      </c>
      <c r="T187" s="19">
        <f t="shared" si="3083"/>
        <v>-0.27996476985524987</v>
      </c>
      <c r="U187" s="259">
        <f t="shared" si="3083"/>
        <v>-0.18696605428290614</v>
      </c>
      <c r="V187" s="19">
        <f t="shared" si="3083"/>
        <v>-0.37386496448799778</v>
      </c>
      <c r="W187" s="19">
        <f t="shared" si="3083"/>
        <v>1.8698972873321118E-2</v>
      </c>
      <c r="X187" s="19">
        <f t="shared" si="3083"/>
        <v>0.4895729890764644</v>
      </c>
      <c r="Y187" s="19">
        <f t="shared" si="3083"/>
        <v>0.29803754719991438</v>
      </c>
      <c r="Z187" s="259">
        <f t="shared" si="3083"/>
        <v>5.2941541131981795E-2</v>
      </c>
      <c r="AA187" s="19">
        <f t="shared" si="3083"/>
        <v>0.27980185225069931</v>
      </c>
      <c r="AB187" s="19">
        <f t="shared" si="3083"/>
        <v>0.82604998276456221</v>
      </c>
      <c r="AC187" s="19">
        <f t="shared" si="3083"/>
        <v>0.32468944444444503</v>
      </c>
      <c r="AD187" s="19">
        <f t="shared" si="3083"/>
        <v>0.20374605645921262</v>
      </c>
      <c r="AE187" s="259">
        <f t="shared" si="3083"/>
        <v>0.35766976744186008</v>
      </c>
      <c r="AF187" s="19">
        <f t="shared" si="3083"/>
        <v>0.22494861542120748</v>
      </c>
      <c r="AG187" s="19">
        <f t="shared" si="3083"/>
        <v>0.17642241783707546</v>
      </c>
      <c r="AH187" s="19">
        <f t="shared" si="3083"/>
        <v>0.25436276259299273</v>
      </c>
      <c r="AI187" s="19">
        <f t="shared" si="3083"/>
        <v>0.12707119135815326</v>
      </c>
      <c r="AJ187" s="259">
        <f t="shared" si="3083"/>
        <v>0.19022939094461466</v>
      </c>
      <c r="AK187" s="19">
        <f t="shared" si="3083"/>
        <v>0.39588187141867714</v>
      </c>
      <c r="AL187" s="19">
        <f t="shared" si="3083"/>
        <v>0.45416054632052316</v>
      </c>
      <c r="AM187" s="19">
        <f t="shared" si="3083"/>
        <v>0.31753948740101001</v>
      </c>
      <c r="AN187" s="19">
        <f t="shared" si="3083"/>
        <v>0.17693388368853924</v>
      </c>
      <c r="AO187" s="259">
        <f t="shared" si="3083"/>
        <v>0.32173377872118536</v>
      </c>
      <c r="AP187" s="19">
        <f t="shared" si="3083"/>
        <v>0.20260572159706025</v>
      </c>
      <c r="AQ187" s="19">
        <f t="shared" si="3083"/>
        <v>0.26683563684515432</v>
      </c>
      <c r="AR187" s="19">
        <f t="shared" ref="AR187:BW187" si="3084">+AR186/AM186-1</f>
        <v>0.14048265536579807</v>
      </c>
      <c r="AS187" s="19">
        <f t="shared" si="3084"/>
        <v>3.1463614903007198E-2</v>
      </c>
      <c r="AT187" s="259">
        <f t="shared" si="3084"/>
        <v>0.15581631738899682</v>
      </c>
      <c r="AU187" s="379">
        <f t="shared" si="3084"/>
        <v>8.0000000000000071E-2</v>
      </c>
      <c r="AV187" s="19">
        <f t="shared" si="3084"/>
        <v>6.8672370963290152E-2</v>
      </c>
      <c r="AW187" s="19">
        <f t="shared" si="3084"/>
        <v>9.0647887323943799E-2</v>
      </c>
      <c r="AX187" s="19">
        <f t="shared" si="3084"/>
        <v>0.1387647058823529</v>
      </c>
      <c r="AY187" s="259">
        <f t="shared" si="3084"/>
        <v>9.3836217466857663E-2</v>
      </c>
      <c r="AZ187" s="19">
        <f t="shared" si="3084"/>
        <v>0.10000000000000031</v>
      </c>
      <c r="BA187" s="19">
        <f t="shared" si="3084"/>
        <v>0.10000000000000009</v>
      </c>
      <c r="BB187" s="19">
        <f t="shared" si="3084"/>
        <v>9.9999999999999867E-2</v>
      </c>
      <c r="BC187" s="19">
        <f t="shared" si="3084"/>
        <v>0.10000000000000009</v>
      </c>
      <c r="BD187" s="259">
        <f t="shared" si="3084"/>
        <v>0.10000000000000031</v>
      </c>
      <c r="BE187" s="19">
        <f t="shared" si="3084"/>
        <v>7.9999999999999849E-2</v>
      </c>
      <c r="BF187" s="19">
        <f t="shared" si="3084"/>
        <v>8.0000000000000071E-2</v>
      </c>
      <c r="BG187" s="19">
        <f t="shared" si="3084"/>
        <v>8.0000000000000071E-2</v>
      </c>
      <c r="BH187" s="19">
        <f t="shared" si="3084"/>
        <v>8.0000000000000071E-2</v>
      </c>
      <c r="BI187" s="259">
        <f t="shared" si="3084"/>
        <v>8.0000000000000071E-2</v>
      </c>
      <c r="BJ187" s="19">
        <f t="shared" si="3084"/>
        <v>8.0000000000000071E-2</v>
      </c>
      <c r="BK187" s="19">
        <f t="shared" si="3084"/>
        <v>8.0000000000000071E-2</v>
      </c>
      <c r="BL187" s="19">
        <f t="shared" si="3084"/>
        <v>8.0000000000000071E-2</v>
      </c>
      <c r="BM187" s="19">
        <f t="shared" si="3084"/>
        <v>8.0000000000000293E-2</v>
      </c>
      <c r="BN187" s="259">
        <f t="shared" si="3084"/>
        <v>8.0000000000000071E-2</v>
      </c>
      <c r="BO187" s="19">
        <f t="shared" si="3084"/>
        <v>8.0000000000000071E-2</v>
      </c>
      <c r="BP187" s="19">
        <f t="shared" si="3084"/>
        <v>8.0000000000000071E-2</v>
      </c>
      <c r="BQ187" s="19">
        <f t="shared" si="3084"/>
        <v>8.0000000000000071E-2</v>
      </c>
      <c r="BR187" s="19">
        <f t="shared" si="3084"/>
        <v>8.0000000000000071E-2</v>
      </c>
      <c r="BS187" s="259">
        <f t="shared" si="3084"/>
        <v>8.0000000000000071E-2</v>
      </c>
      <c r="BT187" s="19">
        <f t="shared" si="3084"/>
        <v>8.0000000000000293E-2</v>
      </c>
      <c r="BU187" s="19">
        <f t="shared" si="3084"/>
        <v>7.9999999999999849E-2</v>
      </c>
      <c r="BV187" s="19">
        <f t="shared" si="3084"/>
        <v>7.9999999999999849E-2</v>
      </c>
      <c r="BW187" s="19">
        <f t="shared" si="3084"/>
        <v>8.0000000000000071E-2</v>
      </c>
      <c r="BX187" s="259">
        <f t="shared" ref="BX187:CM187" si="3085">+BX186/BS186-1</f>
        <v>8.0000000000000071E-2</v>
      </c>
      <c r="BY187" s="19">
        <f t="shared" si="3085"/>
        <v>8.0000000000000293E-2</v>
      </c>
      <c r="BZ187" s="19">
        <f t="shared" si="3085"/>
        <v>8.0000000000000293E-2</v>
      </c>
      <c r="CA187" s="19">
        <f t="shared" si="3085"/>
        <v>8.0000000000000071E-2</v>
      </c>
      <c r="CB187" s="19">
        <f t="shared" si="3085"/>
        <v>8.0000000000000071E-2</v>
      </c>
      <c r="CC187" s="259">
        <f t="shared" si="3085"/>
        <v>8.0000000000000293E-2</v>
      </c>
      <c r="CD187" s="19">
        <f t="shared" si="3085"/>
        <v>7.9999999999999849E-2</v>
      </c>
      <c r="CE187" s="19">
        <f t="shared" si="3085"/>
        <v>8.0000000000000071E-2</v>
      </c>
      <c r="CF187" s="19">
        <f t="shared" si="3085"/>
        <v>8.0000000000000071E-2</v>
      </c>
      <c r="CG187" s="19">
        <f t="shared" si="3085"/>
        <v>8.0000000000000071E-2</v>
      </c>
      <c r="CH187" s="259">
        <f t="shared" si="3085"/>
        <v>7.9999999999999849E-2</v>
      </c>
      <c r="CI187" s="19">
        <f t="shared" si="3085"/>
        <v>7.9999999999999849E-2</v>
      </c>
      <c r="CJ187" s="19">
        <f t="shared" si="3085"/>
        <v>8.0000000000000071E-2</v>
      </c>
      <c r="CK187" s="19">
        <f t="shared" si="3085"/>
        <v>8.0000000000000071E-2</v>
      </c>
      <c r="CL187" s="19">
        <f t="shared" si="3085"/>
        <v>7.9999999999999849E-2</v>
      </c>
      <c r="CM187" s="259">
        <f t="shared" si="3085"/>
        <v>8.0000000000000071E-2</v>
      </c>
    </row>
    <row r="188" spans="1:93">
      <c r="A188" s="139" t="s">
        <v>292</v>
      </c>
      <c r="B188" s="232" t="s">
        <v>294</v>
      </c>
      <c r="C188" s="232" t="s">
        <v>294</v>
      </c>
      <c r="D188" s="232" t="s">
        <v>294</v>
      </c>
      <c r="E188" s="232" t="s">
        <v>294</v>
      </c>
      <c r="F188" s="239" t="s">
        <v>294</v>
      </c>
      <c r="G188" s="147" t="s">
        <v>294</v>
      </c>
      <c r="H188" s="19">
        <f>+H186/G186-1</f>
        <v>0.17360033845719891</v>
      </c>
      <c r="I188" s="19">
        <f>+I186/H186-1</f>
        <v>4.5181446767603939E-2</v>
      </c>
      <c r="J188" s="19">
        <f>+J186/I186-1</f>
        <v>0.27569556219820668</v>
      </c>
      <c r="K188" s="251" t="s">
        <v>294</v>
      </c>
      <c r="L188" s="19">
        <f>+L186/J186-1</f>
        <v>4.8756308579668284E-2</v>
      </c>
      <c r="M188" s="19">
        <f>+M186/L186-1</f>
        <v>0.74134227034459044</v>
      </c>
      <c r="N188" s="19">
        <f>+N186/M186-1</f>
        <v>5.3444532175286108E-2</v>
      </c>
      <c r="O188" s="19">
        <f>+O186/N186-1</f>
        <v>0.22331006698833566</v>
      </c>
      <c r="P188" s="251" t="s">
        <v>294</v>
      </c>
      <c r="Q188" s="19">
        <f>+Q186/O186-1</f>
        <v>-0.14811978249214974</v>
      </c>
      <c r="R188" s="19">
        <f>+R186/Q186-1</f>
        <v>-0.48795289040726431</v>
      </c>
      <c r="S188" s="19">
        <f>+S186/R186-1</f>
        <v>6.0837503292073158E-2</v>
      </c>
      <c r="T188" s="19">
        <f>+T186/S186-1</f>
        <v>0.55602449520026487</v>
      </c>
      <c r="U188" s="251" t="s">
        <v>294</v>
      </c>
      <c r="V188" s="19">
        <f>+V186/T186-1</f>
        <v>-0.25921395521991175</v>
      </c>
      <c r="W188" s="19">
        <f>+W186/V186-1</f>
        <v>-0.16691794098643131</v>
      </c>
      <c r="X188" s="19">
        <f>+X186/W186-1</f>
        <v>0.55118924508790079</v>
      </c>
      <c r="Y188" s="19">
        <f>+Y186/X186-1</f>
        <v>0.35594444444444417</v>
      </c>
      <c r="Z188" s="251" t="s">
        <v>294</v>
      </c>
      <c r="AA188" s="19">
        <f>+AA186/Y186-1</f>
        <v>-0.26962101036587882</v>
      </c>
      <c r="AB188" s="19">
        <f>+AB186/AA186-1</f>
        <v>0.18866016393700047</v>
      </c>
      <c r="AC188" s="19">
        <f>+AC186/AB186-1</f>
        <v>0.12529450929527286</v>
      </c>
      <c r="AD188" s="19">
        <f>+AD186/AC186-1</f>
        <v>0.23214749285052494</v>
      </c>
      <c r="AE188" s="251" t="s">
        <v>294</v>
      </c>
      <c r="AF188" s="19">
        <f>+AF186/AD186-1</f>
        <v>-0.25675625080199616</v>
      </c>
      <c r="AG188" s="19">
        <f>+AG186/AF186-1</f>
        <v>0.14157152915719817</v>
      </c>
      <c r="AH188" s="19">
        <f>+AH186/AG186-1</f>
        <v>0.1998475275620164</v>
      </c>
      <c r="AI188" s="19">
        <f>+AI186/AH186-1</f>
        <v>0.10711030661120224</v>
      </c>
      <c r="AJ188" s="251" t="s">
        <v>294</v>
      </c>
      <c r="AK188" s="19">
        <f>+AK186/AI186-1</f>
        <v>-7.9489846332998937E-2</v>
      </c>
      <c r="AL188" s="19">
        <f>+AL186/AK186-1</f>
        <v>0.18923263672451696</v>
      </c>
      <c r="AM188" s="19">
        <f>+AM186/AL186-1</f>
        <v>8.7119644679853003E-2</v>
      </c>
      <c r="AN188" s="19">
        <f>+AN186/AM186-1</f>
        <v>-1.1038647955946779E-2</v>
      </c>
      <c r="AO188" s="251" t="s">
        <v>294</v>
      </c>
      <c r="AP188" s="19">
        <f>+AP186/AN186-1</f>
        <v>-5.9411243970029837E-2</v>
      </c>
      <c r="AQ188" s="19">
        <f>+AQ186/AP186-1</f>
        <v>0.2527483094802101</v>
      </c>
      <c r="AR188" s="19">
        <f>+AR186/AQ186-1</f>
        <v>-2.1308634676222238E-2</v>
      </c>
      <c r="AS188" s="19">
        <f>+AS186/AR186-1</f>
        <v>-0.10557372672051257</v>
      </c>
      <c r="AT188" s="251" t="s">
        <v>294</v>
      </c>
      <c r="AU188" s="379">
        <f>+AU186/AS186-1</f>
        <v>-1.5151051539621263E-2</v>
      </c>
      <c r="AV188" s="19">
        <f>+AV186/AU186-1</f>
        <v>0.23960880195599032</v>
      </c>
      <c r="AW188" s="19">
        <f>+AW186/AV186-1</f>
        <v>-1.1834319526626835E-3</v>
      </c>
      <c r="AX188" s="19">
        <f>+AX186/AW186-1</f>
        <v>-6.6113744075829484E-2</v>
      </c>
      <c r="AY188" s="251" t="s">
        <v>294</v>
      </c>
      <c r="AZ188" s="19">
        <f>+AZ186/AX186-1</f>
        <v>-4.8676308889452513E-2</v>
      </c>
      <c r="BA188" s="19">
        <f>+BA186/AZ186-1</f>
        <v>0.2396088019559901</v>
      </c>
      <c r="BB188" s="19">
        <f>+BB186/BA186-1</f>
        <v>-1.1834319526627946E-3</v>
      </c>
      <c r="BC188" s="19">
        <f>+BC186/BB186-1</f>
        <v>-6.6113744075829373E-2</v>
      </c>
      <c r="BD188" s="251" t="s">
        <v>294</v>
      </c>
      <c r="BE188" s="19">
        <f>+BE186/BC186-1</f>
        <v>-6.5973103273280875E-2</v>
      </c>
      <c r="BF188" s="19">
        <f>+BF186/BE186-1</f>
        <v>0.23960880195599032</v>
      </c>
      <c r="BG188" s="19">
        <f>+BG186/BF186-1</f>
        <v>-1.1834319526627946E-3</v>
      </c>
      <c r="BH188" s="19">
        <f>+BH186/BG186-1</f>
        <v>-6.6113744075829373E-2</v>
      </c>
      <c r="BI188" s="251" t="s">
        <v>294</v>
      </c>
      <c r="BJ188" s="19">
        <f>+BJ186/BH186-1</f>
        <v>-6.5973103273280875E-2</v>
      </c>
      <c r="BK188" s="19">
        <f>+BK186/BJ186-1</f>
        <v>0.2396088019559901</v>
      </c>
      <c r="BL188" s="19">
        <f>+BL186/BK186-1</f>
        <v>-1.1834319526626835E-3</v>
      </c>
      <c r="BM188" s="19">
        <f>+BM186/BL186-1</f>
        <v>-6.6113744075829151E-2</v>
      </c>
      <c r="BN188" s="251" t="s">
        <v>294</v>
      </c>
      <c r="BO188" s="19">
        <f>+BO186/BM186-1</f>
        <v>-6.5973103273280986E-2</v>
      </c>
      <c r="BP188" s="19">
        <f>+BP186/BO186-1</f>
        <v>0.23960880195599032</v>
      </c>
      <c r="BQ188" s="19">
        <f>+BQ186/BP186-1</f>
        <v>-1.1834319526626835E-3</v>
      </c>
      <c r="BR188" s="19">
        <f>+BR186/BQ186-1</f>
        <v>-6.6113744075829262E-2</v>
      </c>
      <c r="BS188" s="251" t="s">
        <v>294</v>
      </c>
      <c r="BT188" s="19">
        <f>+BT186/BR186-1</f>
        <v>-6.5973103273280875E-2</v>
      </c>
      <c r="BU188" s="19">
        <f>+BU186/BT186-1</f>
        <v>0.23960880195598988</v>
      </c>
      <c r="BV188" s="19">
        <f>+BV186/BU186-1</f>
        <v>-1.1834319526627946E-3</v>
      </c>
      <c r="BW188" s="19">
        <f>+BW186/BV186-1</f>
        <v>-6.611374407582904E-2</v>
      </c>
      <c r="BX188" s="251" t="s">
        <v>294</v>
      </c>
      <c r="BY188" s="19">
        <f>+BY186/BW186-1</f>
        <v>-6.5973103273280764E-2</v>
      </c>
      <c r="BZ188" s="19">
        <f>+BZ186/BY186-1</f>
        <v>0.23960880195598988</v>
      </c>
      <c r="CA188" s="19">
        <f>+CA186/BZ186-1</f>
        <v>-1.1834319526629056E-3</v>
      </c>
      <c r="CB188" s="19">
        <f>+CB186/CA186-1</f>
        <v>-6.611374407582904E-2</v>
      </c>
      <c r="CC188" s="251" t="s">
        <v>294</v>
      </c>
      <c r="CD188" s="19">
        <f>+CD186/CB186-1</f>
        <v>-6.5973103273280875E-2</v>
      </c>
      <c r="CE188" s="19">
        <f>+CE186/CD186-1</f>
        <v>0.2396088019559901</v>
      </c>
      <c r="CF188" s="19">
        <f>+CF186/CE186-1</f>
        <v>-1.1834319526629056E-3</v>
      </c>
      <c r="CG188" s="19">
        <f>+CG186/CF186-1</f>
        <v>-6.611374407582904E-2</v>
      </c>
      <c r="CH188" s="251" t="s">
        <v>294</v>
      </c>
      <c r="CI188" s="19">
        <f>+CI186/CG186-1</f>
        <v>-6.5973103273281097E-2</v>
      </c>
      <c r="CJ188" s="19">
        <f>+CJ186/CI186-1</f>
        <v>0.23960880195599032</v>
      </c>
      <c r="CK188" s="19">
        <f>+CK186/CJ186-1</f>
        <v>-1.1834319526629056E-3</v>
      </c>
      <c r="CL188" s="19">
        <f>+CL186/CK186-1</f>
        <v>-6.6113744075829151E-2</v>
      </c>
      <c r="CM188" s="251" t="s">
        <v>294</v>
      </c>
    </row>
    <row r="189" spans="1:93">
      <c r="F189" s="240"/>
      <c r="K189" s="240"/>
      <c r="P189" s="240"/>
      <c r="U189" s="240"/>
      <c r="Z189" s="240"/>
      <c r="AE189" s="240"/>
      <c r="AJ189" s="240"/>
      <c r="AO189" s="240"/>
      <c r="AT189" s="240"/>
      <c r="AU189" s="374"/>
      <c r="AY189" s="240"/>
      <c r="BD189" s="240"/>
      <c r="BI189" s="240"/>
      <c r="BN189" s="240"/>
      <c r="BS189" s="240"/>
      <c r="BX189" s="240"/>
      <c r="CC189" s="240"/>
      <c r="CH189" s="240"/>
      <c r="CM189" s="240"/>
    </row>
    <row r="190" spans="1:93" s="230" customFormat="1">
      <c r="A190" s="178" t="s">
        <v>338</v>
      </c>
      <c r="B190" s="178"/>
      <c r="C190" s="178"/>
      <c r="D190" s="178"/>
      <c r="E190" s="178"/>
      <c r="F190" s="238"/>
      <c r="G190" s="178"/>
      <c r="H190" s="178"/>
      <c r="I190" s="178"/>
      <c r="J190" s="178"/>
      <c r="K190" s="238"/>
      <c r="L190" s="178"/>
      <c r="M190" s="178"/>
      <c r="N190" s="178"/>
      <c r="O190" s="178"/>
      <c r="P190" s="238"/>
      <c r="Q190" s="178"/>
      <c r="R190" s="178"/>
      <c r="S190" s="178"/>
      <c r="T190" s="178"/>
      <c r="U190" s="238"/>
      <c r="V190" s="178"/>
      <c r="W190" s="178"/>
      <c r="X190" s="178"/>
      <c r="Y190" s="178"/>
      <c r="Z190" s="238"/>
      <c r="AA190" s="178"/>
      <c r="AB190" s="178"/>
      <c r="AC190" s="178"/>
      <c r="AD190" s="178"/>
      <c r="AE190" s="238"/>
      <c r="AF190" s="178"/>
      <c r="AG190" s="178"/>
      <c r="AH190" s="178"/>
      <c r="AI190" s="178"/>
      <c r="AJ190" s="238"/>
      <c r="AK190" s="178"/>
      <c r="AL190" s="178"/>
      <c r="AM190" s="178"/>
      <c r="AN190" s="178"/>
      <c r="AO190" s="238"/>
      <c r="AP190" s="178"/>
      <c r="AQ190" s="178"/>
      <c r="AR190" s="178"/>
      <c r="AS190" s="178"/>
      <c r="AT190" s="238"/>
      <c r="AU190" s="178"/>
      <c r="AV190" s="178"/>
      <c r="AW190" s="178"/>
      <c r="AX190" s="178"/>
      <c r="AY190" s="238"/>
      <c r="AZ190" s="178"/>
      <c r="BA190" s="178"/>
      <c r="BB190" s="178"/>
      <c r="BC190" s="178"/>
      <c r="BD190" s="238"/>
      <c r="BE190" s="178"/>
      <c r="BF190" s="178"/>
      <c r="BG190" s="178"/>
      <c r="BH190" s="178"/>
      <c r="BI190" s="238"/>
      <c r="BJ190" s="178"/>
      <c r="BK190" s="178"/>
      <c r="BL190" s="178"/>
      <c r="BM190" s="178"/>
      <c r="BN190" s="238"/>
      <c r="BO190" s="178"/>
      <c r="BP190" s="178"/>
      <c r="BQ190" s="178"/>
      <c r="BR190" s="178"/>
      <c r="BS190" s="238"/>
      <c r="BT190" s="178"/>
      <c r="BU190" s="178"/>
      <c r="BV190" s="178"/>
      <c r="BW190" s="178"/>
      <c r="BX190" s="238"/>
      <c r="BY190" s="178"/>
      <c r="BZ190" s="178"/>
      <c r="CA190" s="178"/>
      <c r="CB190" s="178"/>
      <c r="CC190" s="238"/>
      <c r="CD190" s="178"/>
      <c r="CE190" s="178"/>
      <c r="CF190" s="178"/>
      <c r="CG190" s="178"/>
      <c r="CH190" s="238"/>
      <c r="CI190" s="178"/>
      <c r="CJ190" s="178"/>
      <c r="CK190" s="178"/>
      <c r="CL190" s="178"/>
      <c r="CM190" s="238"/>
      <c r="CN190" s="178"/>
      <c r="CO190" s="178"/>
    </row>
    <row r="191" spans="1:93" s="42" customFormat="1">
      <c r="A191" s="42" t="s">
        <v>20</v>
      </c>
      <c r="B191" s="232" t="s">
        <v>294</v>
      </c>
      <c r="C191" s="232" t="s">
        <v>294</v>
      </c>
      <c r="D191" s="232" t="s">
        <v>294</v>
      </c>
      <c r="E191" s="232" t="s">
        <v>294</v>
      </c>
      <c r="F191" s="239" t="s">
        <v>294</v>
      </c>
      <c r="G191" s="232" t="s">
        <v>294</v>
      </c>
      <c r="H191" s="232" t="s">
        <v>294</v>
      </c>
      <c r="I191" s="232" t="s">
        <v>294</v>
      </c>
      <c r="J191" s="232" t="s">
        <v>294</v>
      </c>
      <c r="K191" s="239" t="s">
        <v>294</v>
      </c>
      <c r="L191" s="232" t="s">
        <v>294</v>
      </c>
      <c r="M191" s="232" t="s">
        <v>294</v>
      </c>
      <c r="N191" s="232" t="s">
        <v>294</v>
      </c>
      <c r="O191" s="232" t="s">
        <v>294</v>
      </c>
      <c r="P191" s="239" t="s">
        <v>294</v>
      </c>
      <c r="Q191" s="232" t="s">
        <v>294</v>
      </c>
      <c r="R191" s="232" t="s">
        <v>294</v>
      </c>
      <c r="S191" s="232" t="s">
        <v>294</v>
      </c>
      <c r="T191" s="232" t="s">
        <v>294</v>
      </c>
      <c r="U191" s="239" t="s">
        <v>294</v>
      </c>
      <c r="V191" s="232" t="s">
        <v>294</v>
      </c>
      <c r="W191" s="232" t="s">
        <v>294</v>
      </c>
      <c r="X191" s="232" t="s">
        <v>294</v>
      </c>
      <c r="Y191" s="232" t="s">
        <v>294</v>
      </c>
      <c r="Z191" s="239" t="s">
        <v>294</v>
      </c>
      <c r="AA191" s="232" t="s">
        <v>294</v>
      </c>
      <c r="AB191" s="232" t="s">
        <v>294</v>
      </c>
      <c r="AC191" s="232" t="s">
        <v>294</v>
      </c>
      <c r="AD191" s="232" t="s">
        <v>294</v>
      </c>
      <c r="AE191" s="239" t="s">
        <v>294</v>
      </c>
      <c r="AF191" s="170">
        <f>+AJ191/4</f>
        <v>6.5532852499999876</v>
      </c>
      <c r="AG191" s="170">
        <f>+AJ191/4</f>
        <v>6.5532852499999876</v>
      </c>
      <c r="AH191" s="170">
        <f>+AJ191/4</f>
        <v>6.5532852499999876</v>
      </c>
      <c r="AI191" s="170">
        <f>+AJ191/4</f>
        <v>6.5532852499999876</v>
      </c>
      <c r="AJ191" s="253">
        <f>+AJ173-AJ186</f>
        <v>26.213140999999951</v>
      </c>
      <c r="AK191" s="170">
        <f>+AK173-AK186</f>
        <v>7.1060000000000016</v>
      </c>
      <c r="AL191" s="170">
        <f t="shared" ref="AL191:AN191" si="3086">+AL173-AL186</f>
        <v>7.6839999999999975</v>
      </c>
      <c r="AM191" s="170">
        <f t="shared" si="3086"/>
        <v>7.1400000000000006</v>
      </c>
      <c r="AN191" s="170">
        <f t="shared" si="3086"/>
        <v>10.54</v>
      </c>
      <c r="AO191" s="253">
        <f>SUM(AK191:AN191)</f>
        <v>32.47</v>
      </c>
      <c r="AP191" s="170">
        <f>+AP173-AP186</f>
        <v>8.7193749999999994</v>
      </c>
      <c r="AQ191" s="170">
        <f>+AQ173-AQ186</f>
        <v>10.098475000000001</v>
      </c>
      <c r="AR191" s="170">
        <f>+AR173-AR186</f>
        <v>9.7880000000000038</v>
      </c>
      <c r="AS191" s="170">
        <f>+AS173-AS186</f>
        <v>13.806800000000003</v>
      </c>
      <c r="AT191" s="253">
        <f>+AP191+AQ191+AR191+AS191</f>
        <v>42.412650000000006</v>
      </c>
      <c r="AU191" s="356">
        <f>+AP191*(1+AU192)</f>
        <v>10.027281249999998</v>
      </c>
      <c r="AV191" s="170">
        <f t="shared" ref="AV191" si="3087">+AQ191*(1+AV192)</f>
        <v>11.61324625</v>
      </c>
      <c r="AW191" s="170">
        <f t="shared" ref="AW191" si="3088">+AR191*(1+AW192)</f>
        <v>11.256200000000003</v>
      </c>
      <c r="AX191" s="170">
        <f t="shared" ref="AX191" si="3089">+AS191*(1+AX192)</f>
        <v>15.877820000000002</v>
      </c>
      <c r="AY191" s="253">
        <f>+AU191+AV191+AW191+AX191</f>
        <v>48.774547499999997</v>
      </c>
      <c r="AZ191" s="170">
        <f>+AU191*(1+AZ192)</f>
        <v>12.032737499999998</v>
      </c>
      <c r="BA191" s="170">
        <f t="shared" ref="BA191" si="3090">+AV191*(1+BA192)</f>
        <v>13.935895499999999</v>
      </c>
      <c r="BB191" s="170">
        <f t="shared" ref="BB191" si="3091">+AW191*(1+BB192)</f>
        <v>13.507440000000004</v>
      </c>
      <c r="BC191" s="170">
        <f t="shared" ref="BC191" si="3092">+AX191*(1+BC192)</f>
        <v>19.053384000000001</v>
      </c>
      <c r="BD191" s="253">
        <f>+AZ191+BA191+BB191+BC191</f>
        <v>58.529457000000001</v>
      </c>
      <c r="BE191" s="170">
        <f>+AZ191*(1+BE192)</f>
        <v>14.439284999999996</v>
      </c>
      <c r="BF191" s="170">
        <f t="shared" ref="BF191" si="3093">+BA191*(1+BF192)</f>
        <v>16.723074599999997</v>
      </c>
      <c r="BG191" s="170">
        <f t="shared" ref="BG191" si="3094">+BB191*(1+BG192)</f>
        <v>16.208928000000004</v>
      </c>
      <c r="BH191" s="170">
        <f t="shared" ref="BH191" si="3095">+BC191*(1+BH192)</f>
        <v>22.864060800000001</v>
      </c>
      <c r="BI191" s="253">
        <f>+BE191+BF191+BG191+BH191</f>
        <v>70.235348400000007</v>
      </c>
      <c r="BJ191" s="170">
        <f>+BE191*(1+BJ192)</f>
        <v>15.883213499999997</v>
      </c>
      <c r="BK191" s="170">
        <f t="shared" ref="BK191" si="3096">+BF191*(1+BK192)</f>
        <v>18.395382059999999</v>
      </c>
      <c r="BL191" s="170">
        <f t="shared" ref="BL191" si="3097">+BG191*(1+BL192)</f>
        <v>17.829820800000007</v>
      </c>
      <c r="BM191" s="170">
        <f t="shared" ref="BM191" si="3098">+BH191*(1+BM192)</f>
        <v>25.150466880000003</v>
      </c>
      <c r="BN191" s="253">
        <f>+BJ191+BK191+BL191+BM191</f>
        <v>77.258883240000017</v>
      </c>
      <c r="BO191" s="170">
        <f>+BJ191*(1+BO192)</f>
        <v>17.471534849999998</v>
      </c>
      <c r="BP191" s="170">
        <f t="shared" ref="BP191" si="3099">+BK191*(1+BP192)</f>
        <v>20.234920266</v>
      </c>
      <c r="BQ191" s="170">
        <f t="shared" ref="BQ191" si="3100">+BL191*(1+BQ192)</f>
        <v>19.612802880000011</v>
      </c>
      <c r="BR191" s="170">
        <f t="shared" ref="BR191" si="3101">+BM191*(1+BR192)</f>
        <v>27.665513568000005</v>
      </c>
      <c r="BS191" s="253">
        <f>+BO191+BP191+BQ191+BR191</f>
        <v>84.984771564000013</v>
      </c>
      <c r="BT191" s="170">
        <f>+BO191*(1+BT192)</f>
        <v>19.218688335</v>
      </c>
      <c r="BU191" s="170">
        <f t="shared" ref="BU191" si="3102">+BP191*(1+BU192)</f>
        <v>22.258412292600003</v>
      </c>
      <c r="BV191" s="170">
        <f t="shared" ref="BV191" si="3103">+BQ191*(1+BV192)</f>
        <v>21.574083168000012</v>
      </c>
      <c r="BW191" s="170">
        <f t="shared" ref="BW191" si="3104">+BR191*(1+BW192)</f>
        <v>30.432064924800009</v>
      </c>
      <c r="BX191" s="253">
        <f>+BT191+BU191+BV191+BW191</f>
        <v>93.483248720400013</v>
      </c>
      <c r="BY191" s="170">
        <f>+BT191*(1+BY192)</f>
        <v>21.140557168500003</v>
      </c>
      <c r="BZ191" s="170">
        <f t="shared" ref="BZ191" si="3105">+BU191*(1+BZ192)</f>
        <v>24.484253521860005</v>
      </c>
      <c r="CA191" s="170">
        <f t="shared" ref="CA191" si="3106">+BV191*(1+CA192)</f>
        <v>23.731491484800014</v>
      </c>
      <c r="CB191" s="170">
        <f t="shared" ref="CB191" si="3107">+BW191*(1+CB192)</f>
        <v>33.475271417280013</v>
      </c>
      <c r="CC191" s="253">
        <f>+BY191+BZ191+CA191+CB191</f>
        <v>102.83157359244004</v>
      </c>
      <c r="CD191" s="170">
        <f>+BY191*(1+CD192)</f>
        <v>23.254612885350006</v>
      </c>
      <c r="CE191" s="170">
        <f t="shared" ref="CE191" si="3108">+BZ191*(1+CE192)</f>
        <v>26.932678874046008</v>
      </c>
      <c r="CF191" s="170">
        <f t="shared" ref="CF191" si="3109">+CA191*(1+CF192)</f>
        <v>26.104640633280017</v>
      </c>
      <c r="CG191" s="170">
        <f t="shared" ref="CG191" si="3110">+CB191*(1+CG192)</f>
        <v>36.822798559008014</v>
      </c>
      <c r="CH191" s="253">
        <f>+CD191+CE191+CF191+CG191</f>
        <v>113.11473095168404</v>
      </c>
      <c r="CI191" s="170">
        <f>+CD191*(1+CI192)</f>
        <v>25.580074173885009</v>
      </c>
      <c r="CJ191" s="170">
        <f t="shared" ref="CJ191" si="3111">+CE191*(1+CJ192)</f>
        <v>29.62594676145061</v>
      </c>
      <c r="CK191" s="170">
        <f t="shared" ref="CK191" si="3112">+CF191*(1+CK192)</f>
        <v>28.715104696608019</v>
      </c>
      <c r="CL191" s="170">
        <f t="shared" ref="CL191" si="3113">+CG191*(1+CL192)</f>
        <v>40.505078414908816</v>
      </c>
      <c r="CM191" s="253">
        <f>+CI191+CJ191+CK191+CL191</f>
        <v>124.42620404685246</v>
      </c>
    </row>
    <row r="192" spans="1:93">
      <c r="A192" s="139" t="s">
        <v>291</v>
      </c>
      <c r="B192" s="232" t="s">
        <v>294</v>
      </c>
      <c r="C192" s="232" t="s">
        <v>294</v>
      </c>
      <c r="D192" s="232" t="s">
        <v>294</v>
      </c>
      <c r="E192" s="232" t="s">
        <v>294</v>
      </c>
      <c r="F192" s="239" t="s">
        <v>294</v>
      </c>
      <c r="G192" s="232" t="s">
        <v>294</v>
      </c>
      <c r="H192" s="232" t="s">
        <v>294</v>
      </c>
      <c r="I192" s="232" t="s">
        <v>294</v>
      </c>
      <c r="J192" s="232" t="s">
        <v>294</v>
      </c>
      <c r="K192" s="239" t="s">
        <v>294</v>
      </c>
      <c r="L192" s="232" t="s">
        <v>294</v>
      </c>
      <c r="M192" s="232" t="s">
        <v>294</v>
      </c>
      <c r="N192" s="232" t="s">
        <v>294</v>
      </c>
      <c r="O192" s="232" t="s">
        <v>294</v>
      </c>
      <c r="P192" s="239" t="s">
        <v>294</v>
      </c>
      <c r="Q192" s="232" t="s">
        <v>294</v>
      </c>
      <c r="R192" s="232" t="s">
        <v>294</v>
      </c>
      <c r="S192" s="232" t="s">
        <v>294</v>
      </c>
      <c r="T192" s="232" t="s">
        <v>294</v>
      </c>
      <c r="U192" s="239" t="s">
        <v>294</v>
      </c>
      <c r="V192" s="232" t="s">
        <v>294</v>
      </c>
      <c r="W192" s="232" t="s">
        <v>294</v>
      </c>
      <c r="X192" s="232" t="s">
        <v>294</v>
      </c>
      <c r="Y192" s="232" t="s">
        <v>294</v>
      </c>
      <c r="Z192" s="239" t="s">
        <v>294</v>
      </c>
      <c r="AA192" s="232" t="s">
        <v>294</v>
      </c>
      <c r="AB192" s="232" t="s">
        <v>294</v>
      </c>
      <c r="AC192" s="232" t="s">
        <v>294</v>
      </c>
      <c r="AD192" s="232" t="s">
        <v>294</v>
      </c>
      <c r="AE192" s="239" t="s">
        <v>294</v>
      </c>
      <c r="AF192" s="147" t="s">
        <v>294</v>
      </c>
      <c r="AG192" s="147" t="s">
        <v>294</v>
      </c>
      <c r="AH192" s="147" t="s">
        <v>294</v>
      </c>
      <c r="AI192" s="147" t="s">
        <v>294</v>
      </c>
      <c r="AJ192" s="251" t="s">
        <v>294</v>
      </c>
      <c r="AK192" s="19">
        <f t="shared" ref="AK192" si="3114">+AK191/AF191-1</f>
        <v>8.4341628498471932E-2</v>
      </c>
      <c r="AL192" s="19">
        <f t="shared" ref="AL192" si="3115">+AL191/AG191-1</f>
        <v>0.17254166526628945</v>
      </c>
      <c r="AM192" s="19">
        <f t="shared" ref="AM192" si="3116">+AM191/AH191-1</f>
        <v>8.9529865955402244E-2</v>
      </c>
      <c r="AN192" s="19">
        <f t="shared" ref="AN192" si="3117">+AN191/AI191-1</f>
        <v>0.60835361164845048</v>
      </c>
      <c r="AO192" s="259">
        <f t="shared" ref="AO192" si="3118">+AO191/AJ191-1</f>
        <v>0.23869169284215341</v>
      </c>
      <c r="AP192" s="19">
        <f>+AP191/AK191-1</f>
        <v>0.22704404728398497</v>
      </c>
      <c r="AQ192" s="19">
        <f>+AQ191/AL191-1</f>
        <v>0.31422110879750176</v>
      </c>
      <c r="AR192" s="19">
        <f>+AR191/AM191-1</f>
        <v>0.37086834733893603</v>
      </c>
      <c r="AS192" s="19">
        <f>+AS191/AN191-1</f>
        <v>0.30994307400379539</v>
      </c>
      <c r="AT192" s="259">
        <f t="shared" ref="AT192" si="3119">+AT191/AO191-1</f>
        <v>0.30621034801355118</v>
      </c>
      <c r="AU192" s="395">
        <v>0.15</v>
      </c>
      <c r="AV192" s="60">
        <v>0.15</v>
      </c>
      <c r="AW192" s="60">
        <v>0.15</v>
      </c>
      <c r="AX192" s="60">
        <v>0.15</v>
      </c>
      <c r="AY192" s="259">
        <f t="shared" ref="AY192" si="3120">+AY191/AT191-1</f>
        <v>0.14999999999999969</v>
      </c>
      <c r="AZ192" s="60">
        <v>0.2</v>
      </c>
      <c r="BA192" s="60">
        <v>0.2</v>
      </c>
      <c r="BB192" s="60">
        <v>0.2</v>
      </c>
      <c r="BC192" s="60">
        <v>0.2</v>
      </c>
      <c r="BD192" s="259">
        <f t="shared" ref="BD192" si="3121">+BD191/AY191-1</f>
        <v>0.20000000000000018</v>
      </c>
      <c r="BE192" s="164">
        <v>0.2</v>
      </c>
      <c r="BF192" s="164">
        <v>0.2</v>
      </c>
      <c r="BG192" s="164">
        <v>0.2</v>
      </c>
      <c r="BH192" s="164">
        <v>0.2</v>
      </c>
      <c r="BI192" s="259">
        <f t="shared" ref="BI192" si="3122">+BI191/BD191-1</f>
        <v>0.20000000000000018</v>
      </c>
      <c r="BJ192" s="164">
        <v>0.1</v>
      </c>
      <c r="BK192" s="164">
        <v>0.1</v>
      </c>
      <c r="BL192" s="164">
        <v>0.1</v>
      </c>
      <c r="BM192" s="164">
        <v>0.1</v>
      </c>
      <c r="BN192" s="259">
        <f t="shared" ref="BN192" si="3123">+BN191/BI191-1</f>
        <v>0.10000000000000009</v>
      </c>
      <c r="BO192" s="164">
        <v>0.1</v>
      </c>
      <c r="BP192" s="164">
        <v>0.1</v>
      </c>
      <c r="BQ192" s="164">
        <v>0.1</v>
      </c>
      <c r="BR192" s="164">
        <v>0.1</v>
      </c>
      <c r="BS192" s="259">
        <f t="shared" ref="BS192" si="3124">+BS191/BN191-1</f>
        <v>9.9999999999999867E-2</v>
      </c>
      <c r="BT192" s="164">
        <v>0.1</v>
      </c>
      <c r="BU192" s="164">
        <v>0.1</v>
      </c>
      <c r="BV192" s="164">
        <v>0.1</v>
      </c>
      <c r="BW192" s="164">
        <v>0.1</v>
      </c>
      <c r="BX192" s="259">
        <f t="shared" ref="BX192" si="3125">+BX191/BS191-1</f>
        <v>0.10000000000000009</v>
      </c>
      <c r="BY192" s="164">
        <v>0.1</v>
      </c>
      <c r="BZ192" s="164">
        <v>0.1</v>
      </c>
      <c r="CA192" s="164">
        <v>0.1</v>
      </c>
      <c r="CB192" s="164">
        <v>0.1</v>
      </c>
      <c r="CC192" s="259">
        <f t="shared" ref="CC192" si="3126">+CC191/BX191-1</f>
        <v>0.10000000000000031</v>
      </c>
      <c r="CD192" s="164">
        <v>0.1</v>
      </c>
      <c r="CE192" s="164">
        <v>0.1</v>
      </c>
      <c r="CF192" s="164">
        <v>0.1</v>
      </c>
      <c r="CG192" s="164">
        <v>0.1</v>
      </c>
      <c r="CH192" s="259">
        <f t="shared" ref="CH192" si="3127">+CH191/CC191-1</f>
        <v>9.9999999999999867E-2</v>
      </c>
      <c r="CI192" s="164">
        <v>0.1</v>
      </c>
      <c r="CJ192" s="164">
        <v>0.1</v>
      </c>
      <c r="CK192" s="164">
        <v>0.1</v>
      </c>
      <c r="CL192" s="164">
        <v>0.1</v>
      </c>
      <c r="CM192" s="259">
        <f t="shared" ref="CM192" si="3128">+CM191/CH191-1</f>
        <v>0.10000000000000009</v>
      </c>
    </row>
    <row r="193" spans="1:93">
      <c r="A193" s="139" t="s">
        <v>292</v>
      </c>
      <c r="B193" s="232" t="s">
        <v>294</v>
      </c>
      <c r="C193" s="232" t="s">
        <v>294</v>
      </c>
      <c r="D193" s="232" t="s">
        <v>294</v>
      </c>
      <c r="E193" s="232" t="s">
        <v>294</v>
      </c>
      <c r="F193" s="239" t="s">
        <v>294</v>
      </c>
      <c r="G193" s="232" t="s">
        <v>294</v>
      </c>
      <c r="H193" s="232" t="s">
        <v>294</v>
      </c>
      <c r="I193" s="232" t="s">
        <v>294</v>
      </c>
      <c r="J193" s="232" t="s">
        <v>294</v>
      </c>
      <c r="K193" s="239" t="s">
        <v>294</v>
      </c>
      <c r="L193" s="232" t="s">
        <v>294</v>
      </c>
      <c r="M193" s="232" t="s">
        <v>294</v>
      </c>
      <c r="N193" s="232" t="s">
        <v>294</v>
      </c>
      <c r="O193" s="232" t="s">
        <v>294</v>
      </c>
      <c r="P193" s="239" t="s">
        <v>294</v>
      </c>
      <c r="Q193" s="232" t="s">
        <v>294</v>
      </c>
      <c r="R193" s="232" t="s">
        <v>294</v>
      </c>
      <c r="S193" s="232" t="s">
        <v>294</v>
      </c>
      <c r="T193" s="232" t="s">
        <v>294</v>
      </c>
      <c r="U193" s="239" t="s">
        <v>294</v>
      </c>
      <c r="V193" s="232" t="s">
        <v>294</v>
      </c>
      <c r="W193" s="232" t="s">
        <v>294</v>
      </c>
      <c r="X193" s="232" t="s">
        <v>294</v>
      </c>
      <c r="Y193" s="232" t="s">
        <v>294</v>
      </c>
      <c r="Z193" s="239" t="s">
        <v>294</v>
      </c>
      <c r="AA193" s="232" t="s">
        <v>294</v>
      </c>
      <c r="AB193" s="232" t="s">
        <v>294</v>
      </c>
      <c r="AC193" s="232" t="s">
        <v>294</v>
      </c>
      <c r="AD193" s="232" t="s">
        <v>294</v>
      </c>
      <c r="AE193" s="239" t="s">
        <v>294</v>
      </c>
      <c r="AF193" s="147" t="s">
        <v>294</v>
      </c>
      <c r="AG193" s="19">
        <f>+AG191/AF191-1</f>
        <v>0</v>
      </c>
      <c r="AH193" s="19">
        <f>+AH191/AG191-1</f>
        <v>0</v>
      </c>
      <c r="AI193" s="19">
        <f>+AI191/AH191-1</f>
        <v>0</v>
      </c>
      <c r="AJ193" s="251" t="s">
        <v>294</v>
      </c>
      <c r="AK193" s="19">
        <f>+AK191/AI191-1</f>
        <v>8.4341628498471932E-2</v>
      </c>
      <c r="AL193" s="19">
        <f>+AL191/AK191-1</f>
        <v>8.1339712918659712E-2</v>
      </c>
      <c r="AM193" s="19">
        <f>+AM191/AL191-1</f>
        <v>-7.0796460176990816E-2</v>
      </c>
      <c r="AN193" s="19">
        <f>+AN191/AM191-1</f>
        <v>0.47619047619047605</v>
      </c>
      <c r="AO193" s="251" t="s">
        <v>294</v>
      </c>
      <c r="AP193" s="19">
        <f>+AP191/AN191-1</f>
        <v>-0.17273481973434535</v>
      </c>
      <c r="AQ193" s="19">
        <f>+AQ191/AP191-1</f>
        <v>0.1581650060927533</v>
      </c>
      <c r="AR193" s="19">
        <f>+AR191/AQ191-1</f>
        <v>-3.0744741161412681E-2</v>
      </c>
      <c r="AS193" s="19">
        <f>+AS191/AR191-1</f>
        <v>0.41058438904781336</v>
      </c>
      <c r="AT193" s="251" t="s">
        <v>294</v>
      </c>
      <c r="AU193" s="379">
        <f>+AU191/AS191-1</f>
        <v>-0.27374328229568068</v>
      </c>
      <c r="AV193" s="19">
        <f>+AV191/AU191-1</f>
        <v>0.1581650060927533</v>
      </c>
      <c r="AW193" s="19">
        <f>+AW191/AV191-1</f>
        <v>-3.0744741161412681E-2</v>
      </c>
      <c r="AX193" s="19">
        <f>+AX191/AW191-1</f>
        <v>0.41058438904781336</v>
      </c>
      <c r="AY193" s="251" t="s">
        <v>294</v>
      </c>
      <c r="AZ193" s="19">
        <f>+AZ191/AX191-1</f>
        <v>-0.24216690326505796</v>
      </c>
      <c r="BA193" s="19">
        <f>+BA191/AZ191-1</f>
        <v>0.1581650060927533</v>
      </c>
      <c r="BB193" s="19">
        <f>+BB191/BA191-1</f>
        <v>-3.074474116141257E-2</v>
      </c>
      <c r="BC193" s="19">
        <f>+BC191/BB191-1</f>
        <v>0.41058438904781336</v>
      </c>
      <c r="BD193" s="251" t="s">
        <v>294</v>
      </c>
      <c r="BE193" s="19">
        <f>+BE191/BC191-1</f>
        <v>-0.24216690326505808</v>
      </c>
      <c r="BF193" s="19">
        <f>+BF191/BE191-1</f>
        <v>0.1581650060927533</v>
      </c>
      <c r="BG193" s="19">
        <f>+BG191/BF191-1</f>
        <v>-3.074474116141257E-2</v>
      </c>
      <c r="BH193" s="19">
        <f>+BH191/BG191-1</f>
        <v>0.41058438904781336</v>
      </c>
      <c r="BI193" s="251" t="s">
        <v>294</v>
      </c>
      <c r="BJ193" s="19">
        <f>+BJ191/BH191-1</f>
        <v>-0.30531966132630317</v>
      </c>
      <c r="BK193" s="19">
        <f>+BK191/BJ191-1</f>
        <v>0.15816500609275352</v>
      </c>
      <c r="BL193" s="19">
        <f>+BL191/BK191-1</f>
        <v>-3.074474116141257E-2</v>
      </c>
      <c r="BM193" s="19">
        <f>+BM191/BL191-1</f>
        <v>0.41058438904781336</v>
      </c>
      <c r="BN193" s="251" t="s">
        <v>294</v>
      </c>
      <c r="BO193" s="19">
        <f>+BO191/BM191-1</f>
        <v>-0.30531966132630317</v>
      </c>
      <c r="BP193" s="19">
        <f>+BP191/BO191-1</f>
        <v>0.1581650060927533</v>
      </c>
      <c r="BQ193" s="19">
        <f>+BQ191/BP191-1</f>
        <v>-3.0744741161412459E-2</v>
      </c>
      <c r="BR193" s="19">
        <f>+BR191/BQ191-1</f>
        <v>0.41058438904781314</v>
      </c>
      <c r="BS193" s="251" t="s">
        <v>294</v>
      </c>
      <c r="BT193" s="19">
        <f>+BT191/BR191-1</f>
        <v>-0.30531966132630317</v>
      </c>
      <c r="BU193" s="19">
        <f>+BU191/BT191-1</f>
        <v>0.1581650060927533</v>
      </c>
      <c r="BV193" s="19">
        <f>+BV191/BU191-1</f>
        <v>-3.074474116141257E-2</v>
      </c>
      <c r="BW193" s="19">
        <f>+BW191/BV191-1</f>
        <v>0.41058438904781336</v>
      </c>
      <c r="BX193" s="251" t="s">
        <v>294</v>
      </c>
      <c r="BY193" s="19">
        <f>+BY191/BW191-1</f>
        <v>-0.30531966132630306</v>
      </c>
      <c r="BZ193" s="19">
        <f>+BZ191/BY191-1</f>
        <v>0.1581650060927533</v>
      </c>
      <c r="CA193" s="19">
        <f>+CA191/BZ191-1</f>
        <v>-3.074474116141257E-2</v>
      </c>
      <c r="CB193" s="19">
        <f>+CB191/CA191-1</f>
        <v>0.41058438904781336</v>
      </c>
      <c r="CC193" s="251" t="s">
        <v>294</v>
      </c>
      <c r="CD193" s="19">
        <f>+CD191/CB191-1</f>
        <v>-0.30531966132630306</v>
      </c>
      <c r="CE193" s="19">
        <f>+CE191/CD191-1</f>
        <v>0.1581650060927533</v>
      </c>
      <c r="CF193" s="19">
        <f>+CF191/CE191-1</f>
        <v>-3.0744741161412681E-2</v>
      </c>
      <c r="CG193" s="19">
        <f>+CG191/CF191-1</f>
        <v>0.41058438904781336</v>
      </c>
      <c r="CH193" s="251" t="s">
        <v>294</v>
      </c>
      <c r="CI193" s="19">
        <f>+CI191/CG191-1</f>
        <v>-0.30531966132630295</v>
      </c>
      <c r="CJ193" s="19">
        <f>+CJ191/CI191-1</f>
        <v>0.15816500609275308</v>
      </c>
      <c r="CK193" s="19">
        <f>+CK191/CJ191-1</f>
        <v>-3.0744741161412681E-2</v>
      </c>
      <c r="CL193" s="19">
        <f>+CL191/CK191-1</f>
        <v>0.41058438904781314</v>
      </c>
      <c r="CM193" s="251" t="s">
        <v>294</v>
      </c>
    </row>
    <row r="194" spans="1:93">
      <c r="F194" s="240"/>
      <c r="K194" s="240"/>
      <c r="P194" s="240"/>
      <c r="U194" s="240"/>
      <c r="Z194" s="240"/>
      <c r="AE194" s="240"/>
      <c r="AJ194" s="240"/>
      <c r="AO194" s="240"/>
      <c r="AT194" s="240"/>
      <c r="AU194" s="374"/>
      <c r="AY194" s="240"/>
      <c r="BD194" s="240"/>
      <c r="BI194" s="240"/>
      <c r="BN194" s="240"/>
      <c r="BS194" s="240"/>
      <c r="BX194" s="240"/>
      <c r="CC194" s="240"/>
      <c r="CH194" s="240"/>
      <c r="CM194" s="240"/>
    </row>
    <row r="195" spans="1:93" s="230" customFormat="1">
      <c r="A195" s="174" t="s">
        <v>324</v>
      </c>
      <c r="B195" s="174"/>
      <c r="C195" s="174"/>
      <c r="D195" s="174"/>
      <c r="E195" s="174"/>
      <c r="F195" s="244"/>
      <c r="G195" s="174"/>
      <c r="H195" s="174"/>
      <c r="I195" s="174"/>
      <c r="J195" s="174"/>
      <c r="K195" s="244"/>
      <c r="L195" s="174"/>
      <c r="M195" s="174"/>
      <c r="N195" s="174"/>
      <c r="O195" s="174"/>
      <c r="P195" s="244"/>
      <c r="Q195" s="174"/>
      <c r="R195" s="174"/>
      <c r="S195" s="174"/>
      <c r="T195" s="174"/>
      <c r="U195" s="244"/>
      <c r="V195" s="174"/>
      <c r="W195" s="174"/>
      <c r="X195" s="174"/>
      <c r="Y195" s="174"/>
      <c r="Z195" s="244"/>
      <c r="AA195" s="174"/>
      <c r="AB195" s="174"/>
      <c r="AC195" s="174"/>
      <c r="AD195" s="174"/>
      <c r="AE195" s="244"/>
      <c r="AF195" s="174"/>
      <c r="AG195" s="174"/>
      <c r="AH195" s="174"/>
      <c r="AI195" s="174"/>
      <c r="AJ195" s="244"/>
      <c r="AK195" s="174"/>
      <c r="AL195" s="174"/>
      <c r="AM195" s="174"/>
      <c r="AN195" s="174"/>
      <c r="AO195" s="244"/>
      <c r="AP195" s="174"/>
      <c r="AQ195" s="174"/>
      <c r="AR195" s="174"/>
      <c r="AS195" s="174"/>
      <c r="AT195" s="244"/>
      <c r="AU195" s="174"/>
      <c r="AV195" s="174"/>
      <c r="AW195" s="174"/>
      <c r="AX195" s="174"/>
      <c r="AY195" s="244"/>
      <c r="AZ195" s="174"/>
      <c r="BA195" s="174"/>
      <c r="BB195" s="174"/>
      <c r="BC195" s="174"/>
      <c r="BD195" s="244"/>
      <c r="BE195" s="174"/>
      <c r="BF195" s="174"/>
      <c r="BG195" s="174"/>
      <c r="BH195" s="174"/>
      <c r="BI195" s="244"/>
      <c r="BJ195" s="174"/>
      <c r="BK195" s="174"/>
      <c r="BL195" s="174"/>
      <c r="BM195" s="174"/>
      <c r="BN195" s="244"/>
      <c r="BO195" s="174"/>
      <c r="BP195" s="174"/>
      <c r="BQ195" s="174"/>
      <c r="BR195" s="174"/>
      <c r="BS195" s="244"/>
      <c r="BT195" s="174"/>
      <c r="BU195" s="174"/>
      <c r="BV195" s="174"/>
      <c r="BW195" s="174"/>
      <c r="BX195" s="244"/>
      <c r="BY195" s="174"/>
      <c r="BZ195" s="174"/>
      <c r="CA195" s="174"/>
      <c r="CB195" s="174"/>
      <c r="CC195" s="244"/>
      <c r="CD195" s="174"/>
      <c r="CE195" s="174"/>
      <c r="CF195" s="174"/>
      <c r="CG195" s="174"/>
      <c r="CH195" s="244"/>
      <c r="CI195" s="174"/>
      <c r="CJ195" s="174"/>
      <c r="CK195" s="174"/>
      <c r="CL195" s="174"/>
      <c r="CM195" s="244"/>
      <c r="CN195" s="174"/>
      <c r="CO195" s="174"/>
    </row>
    <row r="196" spans="1:93" s="42" customFormat="1">
      <c r="A196" s="42" t="s">
        <v>355</v>
      </c>
      <c r="B196" s="232" t="s">
        <v>294</v>
      </c>
      <c r="C196" s="232" t="s">
        <v>294</v>
      </c>
      <c r="D196" s="232" t="s">
        <v>294</v>
      </c>
      <c r="E196" s="232" t="s">
        <v>294</v>
      </c>
      <c r="F196" s="239" t="s">
        <v>294</v>
      </c>
      <c r="G196" s="232" t="s">
        <v>294</v>
      </c>
      <c r="H196" s="232" t="s">
        <v>294</v>
      </c>
      <c r="I196" s="232" t="s">
        <v>294</v>
      </c>
      <c r="J196" s="232" t="s">
        <v>294</v>
      </c>
      <c r="K196" s="239" t="s">
        <v>294</v>
      </c>
      <c r="L196" s="232" t="s">
        <v>294</v>
      </c>
      <c r="M196" s="232" t="s">
        <v>294</v>
      </c>
      <c r="N196" s="232" t="s">
        <v>294</v>
      </c>
      <c r="O196" s="232" t="s">
        <v>294</v>
      </c>
      <c r="P196" s="239" t="s">
        <v>294</v>
      </c>
      <c r="Q196" s="232" t="s">
        <v>294</v>
      </c>
      <c r="R196" s="232" t="s">
        <v>294</v>
      </c>
      <c r="S196" s="232" t="s">
        <v>294</v>
      </c>
      <c r="T196" s="232" t="s">
        <v>294</v>
      </c>
      <c r="U196" s="239" t="s">
        <v>294</v>
      </c>
      <c r="V196" s="232" t="s">
        <v>294</v>
      </c>
      <c r="W196" s="232" t="s">
        <v>294</v>
      </c>
      <c r="X196" s="232" t="s">
        <v>294</v>
      </c>
      <c r="Y196" s="232" t="s">
        <v>294</v>
      </c>
      <c r="Z196" s="239" t="s">
        <v>294</v>
      </c>
      <c r="AA196" s="232" t="s">
        <v>294</v>
      </c>
      <c r="AB196" s="232" t="s">
        <v>294</v>
      </c>
      <c r="AC196" s="232" t="s">
        <v>294</v>
      </c>
      <c r="AD196" s="232" t="s">
        <v>294</v>
      </c>
      <c r="AE196" s="239" t="s">
        <v>294</v>
      </c>
      <c r="AF196" s="232" t="s">
        <v>294</v>
      </c>
      <c r="AG196" s="232" t="s">
        <v>294</v>
      </c>
      <c r="AH196" s="232" t="s">
        <v>294</v>
      </c>
      <c r="AI196" s="232" t="s">
        <v>294</v>
      </c>
      <c r="AJ196" s="239" t="s">
        <v>294</v>
      </c>
      <c r="AK196" s="167">
        <v>0</v>
      </c>
      <c r="AL196" s="167">
        <v>0</v>
      </c>
      <c r="AM196" s="167">
        <f>AN196*2/3</f>
        <v>4266.666666666667</v>
      </c>
      <c r="AN196" s="167">
        <f>+AN220+AN232+AN244+AN256+AN264</f>
        <v>6400</v>
      </c>
      <c r="AO196" s="249">
        <f>+AK196+AL196+AM196+AN196</f>
        <v>10666.666666666668</v>
      </c>
      <c r="AP196" s="330">
        <f>+AP220+AP232+AP244+AP256+AP264</f>
        <v>9000</v>
      </c>
      <c r="AQ196" s="330">
        <f>+AQ220+AQ232+AQ244+AQ256+AQ264</f>
        <v>16000</v>
      </c>
      <c r="AR196" s="330">
        <v>24000</v>
      </c>
      <c r="AS196" s="330">
        <v>38000</v>
      </c>
      <c r="AT196" s="249">
        <f>+AP196+AQ196+AR196+AS196</f>
        <v>87000</v>
      </c>
      <c r="AU196" s="386">
        <f>+AU220+AU232+AU244+AU256+AU264</f>
        <v>43713.342551144451</v>
      </c>
      <c r="AV196" s="167">
        <f>+AV220+AV232+AV244+AV256+AV264</f>
        <v>48891.154395585145</v>
      </c>
      <c r="AW196" s="167">
        <f>+AW220+AW232+AW244+AW256+AW264</f>
        <v>72317.647651004503</v>
      </c>
      <c r="AX196" s="167">
        <f>+AX220+AX232+AX244+AX256+AX264</f>
        <v>90661.650303913251</v>
      </c>
      <c r="AY196" s="249">
        <f>+AU196+AV196+AW196+AX196</f>
        <v>255583.79490164734</v>
      </c>
      <c r="AZ196" s="167">
        <f>+AZ220+AZ232+AZ244+AZ256+AZ264</f>
        <v>109768.34716386186</v>
      </c>
      <c r="BA196" s="167">
        <f>+BA220+BA232+BA244+BA256+BA264</f>
        <v>131816.6764321884</v>
      </c>
      <c r="BB196" s="167">
        <f>+BB220+BB232+BB244+BB256+BB264</f>
        <v>148204.35517256381</v>
      </c>
      <c r="BC196" s="167">
        <f>+BC220+BC232+BC244+BC256+BC264</f>
        <v>172055.08533499896</v>
      </c>
      <c r="BD196" s="249">
        <f>+AZ196+BA196+BB196+BC196</f>
        <v>561844.46410361305</v>
      </c>
      <c r="BE196" s="167">
        <f>+BE220+BE232+BE244+BE256+BE264</f>
        <v>193853.30483603186</v>
      </c>
      <c r="BF196" s="167">
        <f>+BF220+BF232+BF244+BF256+BF264</f>
        <v>212677.88118979847</v>
      </c>
      <c r="BG196" s="167">
        <f>+BG220+BG232+BG244+BG256+BG264</f>
        <v>231480.36862074322</v>
      </c>
      <c r="BH196" s="167">
        <f>+BH220+BH232+BH244+BH256+BH264</f>
        <v>254218.78458414917</v>
      </c>
      <c r="BI196" s="249">
        <f>+BE196+BF196+BG196+BH196</f>
        <v>892230.33923072263</v>
      </c>
      <c r="BJ196" s="167">
        <f>+BJ220+BJ232+BJ244+BJ256+BJ264</f>
        <v>267255.59790834831</v>
      </c>
      <c r="BK196" s="167">
        <f>+BK220+BK232+BK244+BK256+BK264</f>
        <v>283251.41318297083</v>
      </c>
      <c r="BL196" s="167">
        <f>+BL220+BL232+BL244+BL256+BL264</f>
        <v>312718.21106081171</v>
      </c>
      <c r="BM196" s="167">
        <f>+BM220+BM232+BM244+BM256+BM264</f>
        <v>336960.76813652646</v>
      </c>
      <c r="BN196" s="249">
        <f>+BJ196+BK196+BL196+BM196</f>
        <v>1200185.9902886574</v>
      </c>
      <c r="BO196" s="167">
        <f>+BO220+BO232+BO244+BO256+BO264</f>
        <v>359241.81887856126</v>
      </c>
      <c r="BP196" s="167">
        <f>+BP220+BP232+BP244+BP256+BP264</f>
        <v>384038.98361644481</v>
      </c>
      <c r="BQ196" s="167">
        <f>+BQ220+BQ232+BQ244+BQ256+BQ264</f>
        <v>403117.31235651241</v>
      </c>
      <c r="BR196" s="167">
        <f>+BR220+BR232+BR244+BR256+BR264</f>
        <v>424932.34395972395</v>
      </c>
      <c r="BS196" s="249">
        <f>+BO196+BP196+BQ196+BR196</f>
        <v>1571330.4588112426</v>
      </c>
      <c r="BT196" s="167">
        <f>+BT220+BT232+BT244+BT256+BT264</f>
        <v>436739.67594299873</v>
      </c>
      <c r="BU196" s="167">
        <f>+BU220+BU232+BU244+BU256+BU264</f>
        <v>452628.63526292966</v>
      </c>
      <c r="BV196" s="167">
        <f>+BV220+BV232+BV244+BV256+BV264</f>
        <v>467622.13589434454</v>
      </c>
      <c r="BW196" s="167">
        <f>+BW220+BW232+BW244+BW256+BW264</f>
        <v>484918.91188254452</v>
      </c>
      <c r="BX196" s="249">
        <f>+BT196+BU196+BV196+BW196</f>
        <v>1841909.3589828173</v>
      </c>
      <c r="BY196" s="167">
        <f>+BY220+BY232+BY244+BY256+BY264</f>
        <v>486280.92100642773</v>
      </c>
      <c r="BZ196" s="167">
        <f>+BZ220+BZ232+BZ244+BZ256+BZ264</f>
        <v>496669.86434996896</v>
      </c>
      <c r="CA196" s="167">
        <f>+CA220+CA232+CA244+CA256+CA264</f>
        <v>517127.88700137078</v>
      </c>
      <c r="CB196" s="167">
        <f>+CB220+CB232+CB244+CB256+CB264</f>
        <v>532742.95764236222</v>
      </c>
      <c r="CC196" s="249">
        <f>+BY196+BZ196+CA196+CB196</f>
        <v>2032821.6300001296</v>
      </c>
      <c r="CD196" s="167">
        <f>+CD220+CD232+CD244+CD256+CD264</f>
        <v>539177.51162501215</v>
      </c>
      <c r="CE196" s="167">
        <f>+CE220+CE232+CE244+CE256+CE264</f>
        <v>554183.77086018259</v>
      </c>
      <c r="CF196" s="167">
        <f>+CF220+CF232+CF244+CF256+CF264</f>
        <v>564108.77470861608</v>
      </c>
      <c r="CG196" s="167">
        <f>+CG220+CG232+CG244+CG256+CG264</f>
        <v>575765.55989316455</v>
      </c>
      <c r="CH196" s="249">
        <f>+CD196+CE196+CF196+CG196</f>
        <v>2233235.6170869754</v>
      </c>
      <c r="CI196" s="167">
        <f>+CI220+CI232+CI244+CI256+CI264</f>
        <v>572629.37654040346</v>
      </c>
      <c r="CJ196" s="167">
        <f>+CJ220+CJ232+CJ244+CJ256+CJ264</f>
        <v>578959.42893233837</v>
      </c>
      <c r="CK196" s="167">
        <f>+CK220+CK232+CK244+CK256+CK264</f>
        <v>584270.77089983923</v>
      </c>
      <c r="CL196" s="167">
        <f>+CL220+CL232+CL244+CL256+CL264</f>
        <v>591168.96453527</v>
      </c>
      <c r="CM196" s="249">
        <f>+CI196+CJ196+CK196+CL196</f>
        <v>2327028.540907851</v>
      </c>
    </row>
    <row r="197" spans="1:93">
      <c r="A197" s="139" t="s">
        <v>291</v>
      </c>
      <c r="B197" s="232" t="s">
        <v>294</v>
      </c>
      <c r="C197" s="232" t="s">
        <v>294</v>
      </c>
      <c r="D197" s="232" t="s">
        <v>294</v>
      </c>
      <c r="E197" s="232" t="s">
        <v>294</v>
      </c>
      <c r="F197" s="239" t="s">
        <v>294</v>
      </c>
      <c r="G197" s="232" t="s">
        <v>294</v>
      </c>
      <c r="H197" s="232" t="s">
        <v>294</v>
      </c>
      <c r="I197" s="232" t="s">
        <v>294</v>
      </c>
      <c r="J197" s="232" t="s">
        <v>294</v>
      </c>
      <c r="K197" s="239" t="s">
        <v>294</v>
      </c>
      <c r="L197" s="232" t="s">
        <v>294</v>
      </c>
      <c r="M197" s="232" t="s">
        <v>294</v>
      </c>
      <c r="N197" s="232" t="s">
        <v>294</v>
      </c>
      <c r="O197" s="232" t="s">
        <v>294</v>
      </c>
      <c r="P197" s="239" t="s">
        <v>294</v>
      </c>
      <c r="Q197" s="232" t="s">
        <v>294</v>
      </c>
      <c r="R197" s="232" t="s">
        <v>294</v>
      </c>
      <c r="S197" s="232" t="s">
        <v>294</v>
      </c>
      <c r="T197" s="232" t="s">
        <v>294</v>
      </c>
      <c r="U197" s="239" t="s">
        <v>294</v>
      </c>
      <c r="V197" s="232" t="s">
        <v>294</v>
      </c>
      <c r="W197" s="232" t="s">
        <v>294</v>
      </c>
      <c r="X197" s="232" t="s">
        <v>294</v>
      </c>
      <c r="Y197" s="232" t="s">
        <v>294</v>
      </c>
      <c r="Z197" s="239" t="s">
        <v>294</v>
      </c>
      <c r="AA197" s="232" t="s">
        <v>294</v>
      </c>
      <c r="AB197" s="232" t="s">
        <v>294</v>
      </c>
      <c r="AC197" s="232" t="s">
        <v>294</v>
      </c>
      <c r="AD197" s="232" t="s">
        <v>294</v>
      </c>
      <c r="AE197" s="239" t="s">
        <v>294</v>
      </c>
      <c r="AF197" s="232" t="s">
        <v>294</v>
      </c>
      <c r="AG197" s="232" t="s">
        <v>294</v>
      </c>
      <c r="AH197" s="232" t="s">
        <v>294</v>
      </c>
      <c r="AI197" s="232" t="s">
        <v>294</v>
      </c>
      <c r="AJ197" s="239" t="s">
        <v>294</v>
      </c>
      <c r="AK197" s="158" t="s">
        <v>294</v>
      </c>
      <c r="AL197" s="158" t="s">
        <v>294</v>
      </c>
      <c r="AM197" s="158" t="s">
        <v>294</v>
      </c>
      <c r="AN197" s="158" t="s">
        <v>294</v>
      </c>
      <c r="AO197" s="250" t="s">
        <v>294</v>
      </c>
      <c r="AP197" s="158" t="s">
        <v>294</v>
      </c>
      <c r="AQ197" s="158" t="s">
        <v>294</v>
      </c>
      <c r="AR197" s="158">
        <f t="shared" ref="AR197" si="3129">+AR196/AM196-1</f>
        <v>4.625</v>
      </c>
      <c r="AS197" s="19">
        <f t="shared" ref="AS197" si="3130">+AS196/AN196-1</f>
        <v>4.9375</v>
      </c>
      <c r="AT197" s="259">
        <f t="shared" ref="AT197" si="3131">+AT196/AO196-1</f>
        <v>7.1562499999999982</v>
      </c>
      <c r="AU197" s="379">
        <f t="shared" ref="AU197" si="3132">+AU196/AP196-1</f>
        <v>3.8570380612382724</v>
      </c>
      <c r="AV197" s="19">
        <f t="shared" ref="AV197" si="3133">+AV196/AQ196-1</f>
        <v>2.0556971497240717</v>
      </c>
      <c r="AW197" s="19">
        <f t="shared" ref="AW197" si="3134">+AW196/AR196-1</f>
        <v>2.0132353187918541</v>
      </c>
      <c r="AX197" s="19">
        <f t="shared" ref="AX197" si="3135">+AX196/AS196-1</f>
        <v>1.3858329027345593</v>
      </c>
      <c r="AY197" s="259">
        <f t="shared" ref="AY197" si="3136">+AY196/AT196-1</f>
        <v>1.937744768984452</v>
      </c>
      <c r="AZ197" s="19">
        <f t="shared" ref="AZ197" si="3137">+AZ196/AU196-1</f>
        <v>1.5110947998413367</v>
      </c>
      <c r="BA197" s="19">
        <f t="shared" ref="BA197" si="3138">+BA196/AV196-1</f>
        <v>1.6961252615481586</v>
      </c>
      <c r="BB197" s="19">
        <f t="shared" ref="BB197" si="3139">+BB196/AW196-1</f>
        <v>1.0493525437632956</v>
      </c>
      <c r="BC197" s="19">
        <f t="shared" ref="BC197" si="3140">+BC196/AX196-1</f>
        <v>0.89777138137504764</v>
      </c>
      <c r="BD197" s="259">
        <f t="shared" ref="BD197" si="3141">+BD196/AY196-1</f>
        <v>1.19827890230607</v>
      </c>
      <c r="BE197" s="19">
        <f t="shared" ref="BE197" si="3142">+BE196/AZ196-1</f>
        <v>0.76602189834058643</v>
      </c>
      <c r="BF197" s="19">
        <f t="shared" ref="BF197" si="3143">+BF196/BA196-1</f>
        <v>0.61343683474835764</v>
      </c>
      <c r="BG197" s="19">
        <f t="shared" ref="BG197" si="3144">+BG196/BB196-1</f>
        <v>0.5618999074029627</v>
      </c>
      <c r="BH197" s="19">
        <f t="shared" ref="BH197" si="3145">+BH196/BC196-1</f>
        <v>0.47754298624288727</v>
      </c>
      <c r="BI197" s="259">
        <f t="shared" ref="BI197" si="3146">+BI196/BD196-1</f>
        <v>0.58803796466023583</v>
      </c>
      <c r="BJ197" s="19">
        <f t="shared" ref="BJ197" si="3147">+BJ196/BE196-1</f>
        <v>0.37864865463295949</v>
      </c>
      <c r="BK197" s="19">
        <f t="shared" ref="BK197" si="3148">+BK196/BF196-1</f>
        <v>0.33183296541397733</v>
      </c>
      <c r="BL197" s="19">
        <f t="shared" ref="BL197" si="3149">+BL196/BG196-1</f>
        <v>0.35094916654970576</v>
      </c>
      <c r="BM197" s="19">
        <f t="shared" ref="BM197" si="3150">+BM196/BH196-1</f>
        <v>0.32547549028576528</v>
      </c>
      <c r="BN197" s="259">
        <f t="shared" ref="BN197" si="3151">+BN196/BI196-1</f>
        <v>0.34515263325774459</v>
      </c>
      <c r="BO197" s="19">
        <f t="shared" ref="BO197" si="3152">+BO196/BJ196-1</f>
        <v>0.3441881917165992</v>
      </c>
      <c r="BP197" s="19">
        <f t="shared" ref="BP197" si="3153">+BP196/BK196-1</f>
        <v>0.35582371611459052</v>
      </c>
      <c r="BQ197" s="19">
        <f t="shared" ref="BQ197" si="3154">+BQ196/BL196-1</f>
        <v>0.28907526999801592</v>
      </c>
      <c r="BR197" s="19">
        <f t="shared" ref="BR197" si="3155">+BR196/BM196-1</f>
        <v>0.26107364459578286</v>
      </c>
      <c r="BS197" s="259">
        <f t="shared" ref="BS197" si="3156">+BS196/BN196-1</f>
        <v>0.3092391275399915</v>
      </c>
      <c r="BT197" s="19">
        <f t="shared" ref="BT197" si="3157">+BT196/BO196-1</f>
        <v>0.21572615712269005</v>
      </c>
      <c r="BU197" s="19">
        <f t="shared" ref="BU197" si="3158">+BU196/BP196-1</f>
        <v>0.17860075297717204</v>
      </c>
      <c r="BV197" s="19">
        <f t="shared" ref="BV197" si="3159">+BV196/BQ196-1</f>
        <v>0.16001501687127928</v>
      </c>
      <c r="BW197" s="19">
        <f t="shared" ref="BW197" si="3160">+BW196/BR196-1</f>
        <v>0.14116733822574412</v>
      </c>
      <c r="BX197" s="259">
        <f t="shared" ref="BX197" si="3161">+BX196/BS196-1</f>
        <v>0.17219732402837495</v>
      </c>
      <c r="BY197" s="19">
        <f t="shared" ref="BY197" si="3162">+BY196/BT196-1</f>
        <v>0.11343426712139371</v>
      </c>
      <c r="BZ197" s="19">
        <f t="shared" ref="BZ197" si="3163">+BZ196/BU196-1</f>
        <v>9.7301022639577406E-2</v>
      </c>
      <c r="CA197" s="19">
        <f t="shared" ref="CA197" si="3164">+CA196/BV196-1</f>
        <v>0.10586699667744481</v>
      </c>
      <c r="CB197" s="19">
        <f t="shared" ref="CB197" si="3165">+CB196/BW196-1</f>
        <v>9.862276885460286E-2</v>
      </c>
      <c r="CC197" s="259">
        <f t="shared" ref="CC197" si="3166">+CC196/BX196-1</f>
        <v>0.10364911285468592</v>
      </c>
      <c r="CD197" s="19">
        <f t="shared" ref="CD197" si="3167">+CD196/BY196-1</f>
        <v>0.10877784493191167</v>
      </c>
      <c r="CE197" s="19">
        <f t="shared" ref="CE197" si="3168">+CE196/BZ196-1</f>
        <v>0.11579906621773128</v>
      </c>
      <c r="CF197" s="19">
        <f t="shared" ref="CF197" si="3169">+CF196/CA196-1</f>
        <v>9.084965032473824E-2</v>
      </c>
      <c r="CG197" s="19">
        <f t="shared" ref="CG197" si="3170">+CG196/CB196-1</f>
        <v>8.0756773287435912E-2</v>
      </c>
      <c r="CH197" s="259">
        <f t="shared" ref="CH197" si="3171">+CH196/CC196-1</f>
        <v>9.8589066610252907E-2</v>
      </c>
      <c r="CI197" s="19">
        <f t="shared" ref="CI197" si="3172">+CI196/CD196-1</f>
        <v>6.2042396417038459E-2</v>
      </c>
      <c r="CJ197" s="19">
        <f t="shared" ref="CJ197" si="3173">+CJ196/CE196-1</f>
        <v>4.470657456045668E-2</v>
      </c>
      <c r="CK197" s="19">
        <f t="shared" ref="CK197" si="3174">+CK196/CF196-1</f>
        <v>3.5741327019133129E-2</v>
      </c>
      <c r="CL197" s="19">
        <f t="shared" ref="CL197" si="3175">+CL196/CG196-1</f>
        <v>2.6752910759308968E-2</v>
      </c>
      <c r="CM197" s="259">
        <f t="shared" ref="CM197" si="3176">+CM196/CH196-1</f>
        <v>4.1998669152168988E-2</v>
      </c>
    </row>
    <row r="198" spans="1:93">
      <c r="A198" s="139" t="s">
        <v>292</v>
      </c>
      <c r="B198" s="232" t="s">
        <v>294</v>
      </c>
      <c r="C198" s="232" t="s">
        <v>294</v>
      </c>
      <c r="D198" s="232" t="s">
        <v>294</v>
      </c>
      <c r="E198" s="232" t="s">
        <v>294</v>
      </c>
      <c r="F198" s="239" t="s">
        <v>294</v>
      </c>
      <c r="G198" s="232" t="s">
        <v>294</v>
      </c>
      <c r="H198" s="232" t="s">
        <v>294</v>
      </c>
      <c r="I198" s="232" t="s">
        <v>294</v>
      </c>
      <c r="J198" s="232" t="s">
        <v>294</v>
      </c>
      <c r="K198" s="239" t="s">
        <v>294</v>
      </c>
      <c r="L198" s="232" t="s">
        <v>294</v>
      </c>
      <c r="M198" s="232" t="s">
        <v>294</v>
      </c>
      <c r="N198" s="232" t="s">
        <v>294</v>
      </c>
      <c r="O198" s="232" t="s">
        <v>294</v>
      </c>
      <c r="P198" s="239" t="s">
        <v>294</v>
      </c>
      <c r="Q198" s="232" t="s">
        <v>294</v>
      </c>
      <c r="R198" s="232" t="s">
        <v>294</v>
      </c>
      <c r="S198" s="232" t="s">
        <v>294</v>
      </c>
      <c r="T198" s="232" t="s">
        <v>294</v>
      </c>
      <c r="U198" s="239" t="s">
        <v>294</v>
      </c>
      <c r="V198" s="232" t="s">
        <v>294</v>
      </c>
      <c r="W198" s="232" t="s">
        <v>294</v>
      </c>
      <c r="X198" s="232" t="s">
        <v>294</v>
      </c>
      <c r="Y198" s="232" t="s">
        <v>294</v>
      </c>
      <c r="Z198" s="239" t="s">
        <v>294</v>
      </c>
      <c r="AA198" s="232" t="s">
        <v>294</v>
      </c>
      <c r="AB198" s="232" t="s">
        <v>294</v>
      </c>
      <c r="AC198" s="232" t="s">
        <v>294</v>
      </c>
      <c r="AD198" s="232" t="s">
        <v>294</v>
      </c>
      <c r="AE198" s="239" t="s">
        <v>294</v>
      </c>
      <c r="AF198" s="232" t="s">
        <v>294</v>
      </c>
      <c r="AG198" s="232" t="s">
        <v>294</v>
      </c>
      <c r="AH198" s="232" t="s">
        <v>294</v>
      </c>
      <c r="AI198" s="232" t="s">
        <v>294</v>
      </c>
      <c r="AJ198" s="239" t="s">
        <v>294</v>
      </c>
      <c r="AK198" s="158" t="s">
        <v>294</v>
      </c>
      <c r="AL198" s="158" t="s">
        <v>294</v>
      </c>
      <c r="AM198" s="158" t="s">
        <v>294</v>
      </c>
      <c r="AN198" s="158">
        <f t="shared" ref="AN198" si="3177">+AN196/AM196-1</f>
        <v>0.5</v>
      </c>
      <c r="AO198" s="250" t="s">
        <v>294</v>
      </c>
      <c r="AP198" s="19">
        <f>+AP196/AN196-1</f>
        <v>0.40625</v>
      </c>
      <c r="AQ198" s="158">
        <f>+AQ196/AP196-1</f>
        <v>0.77777777777777768</v>
      </c>
      <c r="AR198" s="158">
        <f t="shared" ref="AR198" si="3178">+AR196/AQ196-1</f>
        <v>0.5</v>
      </c>
      <c r="AS198" s="19">
        <f t="shared" ref="AS198" si="3179">+AS196/AR196-1</f>
        <v>0.58333333333333326</v>
      </c>
      <c r="AT198" s="259" t="s">
        <v>294</v>
      </c>
      <c r="AU198" s="379">
        <f>+AU196/AS196-1</f>
        <v>0.15035111976695914</v>
      </c>
      <c r="AV198" s="19">
        <f>+AV196/AU196-1</f>
        <v>0.11844923179650868</v>
      </c>
      <c r="AW198" s="19">
        <f t="shared" ref="AW198" si="3180">+AW196/AV196-1</f>
        <v>0.47915606708469882</v>
      </c>
      <c r="AX198" s="19">
        <f t="shared" ref="AX198" si="3181">+AX196/AW196-1</f>
        <v>0.25365872990552041</v>
      </c>
      <c r="AY198" s="259" t="s">
        <v>294</v>
      </c>
      <c r="AZ198" s="19">
        <f>+AZ196/AX196-1</f>
        <v>0.21074728725872216</v>
      </c>
      <c r="BA198" s="19">
        <f>+BA196/AZ196-1</f>
        <v>0.2008623600336521</v>
      </c>
      <c r="BB198" s="19">
        <f t="shared" ref="BB198" si="3182">+BB196/BA196-1</f>
        <v>0.12432174125408069</v>
      </c>
      <c r="BC198" s="19">
        <f t="shared" ref="BC198" si="3183">+BC196/BB196-1</f>
        <v>0.16093137165007221</v>
      </c>
      <c r="BD198" s="259" t="s">
        <v>294</v>
      </c>
      <c r="BE198" s="19">
        <f>+BE196/BC196-1</f>
        <v>0.12669325907217899</v>
      </c>
      <c r="BF198" s="19">
        <f>+BF196/BE196-1</f>
        <v>9.7107327469547755E-2</v>
      </c>
      <c r="BG198" s="19">
        <f t="shared" ref="BG198" si="3184">+BG196/BF196-1</f>
        <v>8.8408288279705927E-2</v>
      </c>
      <c r="BH198" s="19">
        <f t="shared" ref="BH198" si="3185">+BH196/BG196-1</f>
        <v>9.8230429210437675E-2</v>
      </c>
      <c r="BI198" s="259" t="s">
        <v>294</v>
      </c>
      <c r="BJ198" s="19">
        <f>+BJ196/BH196-1</f>
        <v>5.1281864735230887E-2</v>
      </c>
      <c r="BK198" s="19">
        <f>+BK196/BJ196-1</f>
        <v>5.9852124332707479E-2</v>
      </c>
      <c r="BL198" s="19">
        <f t="shared" ref="BL198" si="3186">+BL196/BK196-1</f>
        <v>0.10403054144272295</v>
      </c>
      <c r="BM198" s="19">
        <f t="shared" ref="BM198" si="3187">+BM196/BL196-1</f>
        <v>7.7522050901603912E-2</v>
      </c>
      <c r="BN198" s="259" t="s">
        <v>294</v>
      </c>
      <c r="BO198" s="19">
        <f>+BO196/BM196-1</f>
        <v>6.6123575350490515E-2</v>
      </c>
      <c r="BP198" s="19">
        <f>+BP196/BO196-1</f>
        <v>6.9026386781172677E-2</v>
      </c>
      <c r="BQ198" s="19">
        <f t="shared" ref="BQ198" si="3188">+BQ196/BP196-1</f>
        <v>4.9678104447651306E-2</v>
      </c>
      <c r="BR198" s="19">
        <f t="shared" ref="BR198" si="3189">+BR196/BQ196-1</f>
        <v>5.4115839073461958E-2</v>
      </c>
      <c r="BS198" s="259" t="s">
        <v>294</v>
      </c>
      <c r="BT198" s="19">
        <f>+BT196/BR196-1</f>
        <v>2.7786380940665545E-2</v>
      </c>
      <c r="BU198" s="19">
        <f>+BU196/BT196-1</f>
        <v>3.6380846978520731E-2</v>
      </c>
      <c r="BV198" s="19">
        <f t="shared" ref="BV198" si="3190">+BV196/BU196-1</f>
        <v>3.3125391244204438E-2</v>
      </c>
      <c r="BW198" s="19">
        <f t="shared" ref="BW198" si="3191">+BW196/BV196-1</f>
        <v>3.6988787870615436E-2</v>
      </c>
      <c r="BX198" s="259" t="s">
        <v>294</v>
      </c>
      <c r="BY198" s="19">
        <f>+BY196/BW196-1</f>
        <v>2.8087358329573764E-3</v>
      </c>
      <c r="BZ198" s="19">
        <f>+BZ196/BY196-1</f>
        <v>2.1364077624184574E-2</v>
      </c>
      <c r="CA198" s="19">
        <f t="shared" ref="CA198" si="3192">+CA196/BZ196-1</f>
        <v>4.1190384438115402E-2</v>
      </c>
      <c r="CB198" s="19">
        <f t="shared" ref="CB198" si="3193">+CB196/CA196-1</f>
        <v>3.0195762080318822E-2</v>
      </c>
      <c r="CC198" s="259" t="s">
        <v>294</v>
      </c>
      <c r="CD198" s="19">
        <f>+CD196/CB196-1</f>
        <v>1.2078158688621388E-2</v>
      </c>
      <c r="CE198" s="19">
        <f>+CE196/CD196-1</f>
        <v>2.7831760248945736E-2</v>
      </c>
      <c r="CF198" s="19">
        <f t="shared" ref="CF198" si="3194">+CF196/CE196-1</f>
        <v>1.7909228617482453E-2</v>
      </c>
      <c r="CG198" s="19">
        <f t="shared" ref="CG198" si="3195">+CG196/CF196-1</f>
        <v>2.0664073503500635E-2</v>
      </c>
      <c r="CH198" s="259" t="s">
        <v>294</v>
      </c>
      <c r="CI198" s="19">
        <f>+CI196/CG196-1</f>
        <v>-5.4469797626364169E-3</v>
      </c>
      <c r="CJ198" s="19">
        <f>+CJ196/CI196-1</f>
        <v>1.1054361950793679E-2</v>
      </c>
      <c r="CK198" s="19">
        <f t="shared" ref="CK198" si="3196">+CK196/CJ196-1</f>
        <v>9.1739450159669111E-3</v>
      </c>
      <c r="CL198" s="19">
        <f t="shared" ref="CL198" si="3197">+CL196/CK196-1</f>
        <v>1.1806501332946695E-2</v>
      </c>
      <c r="CM198" s="259" t="s">
        <v>294</v>
      </c>
    </row>
    <row r="199" spans="1:93">
      <c r="F199" s="240"/>
      <c r="K199" s="240"/>
      <c r="P199" s="240"/>
      <c r="U199" s="240"/>
      <c r="Z199" s="240"/>
      <c r="AE199" s="240"/>
      <c r="AJ199" s="240"/>
      <c r="AO199" s="240"/>
      <c r="AT199" s="240"/>
      <c r="AU199" s="374"/>
      <c r="AY199" s="240"/>
      <c r="BD199" s="240"/>
      <c r="BI199" s="240"/>
      <c r="BN199" s="240"/>
      <c r="BS199" s="240"/>
      <c r="BX199" s="240"/>
      <c r="CC199" s="240"/>
      <c r="CH199" s="240"/>
      <c r="CM199" s="240"/>
    </row>
    <row r="200" spans="1:93" s="42" customFormat="1">
      <c r="A200" s="42" t="s">
        <v>335</v>
      </c>
      <c r="B200" s="232" t="s">
        <v>294</v>
      </c>
      <c r="C200" s="232" t="s">
        <v>294</v>
      </c>
      <c r="D200" s="232" t="s">
        <v>294</v>
      </c>
      <c r="E200" s="232" t="s">
        <v>294</v>
      </c>
      <c r="F200" s="239" t="s">
        <v>294</v>
      </c>
      <c r="G200" s="232" t="s">
        <v>294</v>
      </c>
      <c r="H200" s="232" t="s">
        <v>294</v>
      </c>
      <c r="I200" s="232" t="s">
        <v>294</v>
      </c>
      <c r="J200" s="232" t="s">
        <v>294</v>
      </c>
      <c r="K200" s="239" t="s">
        <v>294</v>
      </c>
      <c r="L200" s="232" t="s">
        <v>294</v>
      </c>
      <c r="M200" s="232" t="s">
        <v>294</v>
      </c>
      <c r="N200" s="232" t="s">
        <v>294</v>
      </c>
      <c r="O200" s="232" t="s">
        <v>294</v>
      </c>
      <c r="P200" s="239" t="s">
        <v>294</v>
      </c>
      <c r="Q200" s="232" t="s">
        <v>294</v>
      </c>
      <c r="R200" s="232" t="s">
        <v>294</v>
      </c>
      <c r="S200" s="232" t="s">
        <v>294</v>
      </c>
      <c r="T200" s="232" t="s">
        <v>294</v>
      </c>
      <c r="U200" s="239" t="s">
        <v>294</v>
      </c>
      <c r="V200" s="232" t="s">
        <v>294</v>
      </c>
      <c r="W200" s="232" t="s">
        <v>294</v>
      </c>
      <c r="X200" s="232" t="s">
        <v>294</v>
      </c>
      <c r="Y200" s="232" t="s">
        <v>294</v>
      </c>
      <c r="Z200" s="239" t="s">
        <v>294</v>
      </c>
      <c r="AA200" s="232" t="s">
        <v>294</v>
      </c>
      <c r="AB200" s="232" t="s">
        <v>294</v>
      </c>
      <c r="AC200" s="232" t="s">
        <v>294</v>
      </c>
      <c r="AD200" s="232" t="s">
        <v>294</v>
      </c>
      <c r="AE200" s="239" t="s">
        <v>294</v>
      </c>
      <c r="AF200" s="232" t="s">
        <v>294</v>
      </c>
      <c r="AG200" s="232" t="s">
        <v>294</v>
      </c>
      <c r="AH200" s="232" t="s">
        <v>294</v>
      </c>
      <c r="AI200" s="232" t="s">
        <v>294</v>
      </c>
      <c r="AJ200" s="239" t="s">
        <v>294</v>
      </c>
      <c r="AK200" s="168"/>
      <c r="AL200" s="168"/>
      <c r="AM200" s="169">
        <f>+AM204/AM196*1000000</f>
        <v>235.07812499999997</v>
      </c>
      <c r="AN200" s="169">
        <f>+AN204/AN196*1000000</f>
        <v>643.90625</v>
      </c>
      <c r="AO200" s="255">
        <f>+AO204/AO196*1000000</f>
        <v>480.375</v>
      </c>
      <c r="AP200" s="169">
        <f>AP204*10^6/AP196</f>
        <v>630.77777777777783</v>
      </c>
      <c r="AQ200" s="169">
        <f>AQ204*10^6/AQ196</f>
        <v>925.875</v>
      </c>
      <c r="AR200" s="169">
        <f>AR204*10^6/AR196</f>
        <v>1004.6666666666666</v>
      </c>
      <c r="AS200" s="169">
        <f>AS204*10^6/AS196</f>
        <v>924.4473684210526</v>
      </c>
      <c r="AT200" s="255">
        <f>+AT204/AT196*1000000</f>
        <v>916.45977011494256</v>
      </c>
      <c r="AU200" s="396">
        <v>775</v>
      </c>
      <c r="AV200" s="168">
        <v>775</v>
      </c>
      <c r="AW200" s="168">
        <v>775</v>
      </c>
      <c r="AX200" s="168">
        <v>775</v>
      </c>
      <c r="AY200" s="255">
        <f>+AY204/AY196*1000000</f>
        <v>775.00000000000011</v>
      </c>
      <c r="AZ200" s="168">
        <v>830</v>
      </c>
      <c r="BA200" s="168">
        <v>830</v>
      </c>
      <c r="BB200" s="168">
        <v>830</v>
      </c>
      <c r="BC200" s="168">
        <v>830</v>
      </c>
      <c r="BD200" s="255">
        <f>+BD204/BD196*1000000</f>
        <v>829.99999999999989</v>
      </c>
      <c r="BE200" s="168">
        <v>850</v>
      </c>
      <c r="BF200" s="168">
        <v>850</v>
      </c>
      <c r="BG200" s="168">
        <v>850</v>
      </c>
      <c r="BH200" s="168">
        <v>850</v>
      </c>
      <c r="BI200" s="255">
        <f>+BI204/BI196*1000000</f>
        <v>850.00000000000011</v>
      </c>
      <c r="BJ200" s="168">
        <v>870</v>
      </c>
      <c r="BK200" s="168">
        <v>870</v>
      </c>
      <c r="BL200" s="168">
        <v>870</v>
      </c>
      <c r="BM200" s="168">
        <v>870</v>
      </c>
      <c r="BN200" s="255">
        <f>+BN204/BN196*1000000</f>
        <v>870</v>
      </c>
      <c r="BO200" s="168">
        <v>870</v>
      </c>
      <c r="BP200" s="168">
        <v>870</v>
      </c>
      <c r="BQ200" s="168">
        <v>870</v>
      </c>
      <c r="BR200" s="168">
        <v>870</v>
      </c>
      <c r="BS200" s="255">
        <f>+BS204/BS196*1000000</f>
        <v>869.99999999999989</v>
      </c>
      <c r="BT200" s="168">
        <v>870</v>
      </c>
      <c r="BU200" s="168">
        <v>870</v>
      </c>
      <c r="BV200" s="168">
        <v>870</v>
      </c>
      <c r="BW200" s="168">
        <v>870</v>
      </c>
      <c r="BX200" s="255">
        <f>+BX204/BX196*1000000</f>
        <v>869.99999999999989</v>
      </c>
      <c r="BY200" s="168">
        <v>870</v>
      </c>
      <c r="BZ200" s="168">
        <v>870</v>
      </c>
      <c r="CA200" s="168">
        <v>870</v>
      </c>
      <c r="CB200" s="168">
        <v>870</v>
      </c>
      <c r="CC200" s="255">
        <f>+CC204/CC196*1000000</f>
        <v>870.00000000000011</v>
      </c>
      <c r="CD200" s="168">
        <v>870</v>
      </c>
      <c r="CE200" s="168">
        <v>870</v>
      </c>
      <c r="CF200" s="168">
        <v>870</v>
      </c>
      <c r="CG200" s="168">
        <v>870</v>
      </c>
      <c r="CH200" s="255">
        <f>+CH204/CH196*1000000</f>
        <v>869.99999999999989</v>
      </c>
      <c r="CI200" s="168">
        <v>870</v>
      </c>
      <c r="CJ200" s="168">
        <v>870</v>
      </c>
      <c r="CK200" s="168">
        <v>870</v>
      </c>
      <c r="CL200" s="168">
        <v>870</v>
      </c>
      <c r="CM200" s="255">
        <f>+CM204/CM196*1000000</f>
        <v>870.00000000000011</v>
      </c>
    </row>
    <row r="201" spans="1:93">
      <c r="A201" s="139" t="s">
        <v>291</v>
      </c>
      <c r="B201" s="232" t="s">
        <v>294</v>
      </c>
      <c r="C201" s="232" t="s">
        <v>294</v>
      </c>
      <c r="D201" s="232" t="s">
        <v>294</v>
      </c>
      <c r="E201" s="232" t="s">
        <v>294</v>
      </c>
      <c r="F201" s="239" t="s">
        <v>294</v>
      </c>
      <c r="G201" s="232" t="s">
        <v>294</v>
      </c>
      <c r="H201" s="232" t="s">
        <v>294</v>
      </c>
      <c r="I201" s="232" t="s">
        <v>294</v>
      </c>
      <c r="J201" s="232" t="s">
        <v>294</v>
      </c>
      <c r="K201" s="239" t="s">
        <v>294</v>
      </c>
      <c r="L201" s="232" t="s">
        <v>294</v>
      </c>
      <c r="M201" s="232" t="s">
        <v>294</v>
      </c>
      <c r="N201" s="232" t="s">
        <v>294</v>
      </c>
      <c r="O201" s="232" t="s">
        <v>294</v>
      </c>
      <c r="P201" s="239" t="s">
        <v>294</v>
      </c>
      <c r="Q201" s="232" t="s">
        <v>294</v>
      </c>
      <c r="R201" s="232" t="s">
        <v>294</v>
      </c>
      <c r="S201" s="232" t="s">
        <v>294</v>
      </c>
      <c r="T201" s="232" t="s">
        <v>294</v>
      </c>
      <c r="U201" s="239" t="s">
        <v>294</v>
      </c>
      <c r="V201" s="232" t="s">
        <v>294</v>
      </c>
      <c r="W201" s="232" t="s">
        <v>294</v>
      </c>
      <c r="X201" s="232" t="s">
        <v>294</v>
      </c>
      <c r="Y201" s="232" t="s">
        <v>294</v>
      </c>
      <c r="Z201" s="239" t="s">
        <v>294</v>
      </c>
      <c r="AA201" s="232" t="s">
        <v>294</v>
      </c>
      <c r="AB201" s="232" t="s">
        <v>294</v>
      </c>
      <c r="AC201" s="232" t="s">
        <v>294</v>
      </c>
      <c r="AD201" s="232" t="s">
        <v>294</v>
      </c>
      <c r="AE201" s="239" t="s">
        <v>294</v>
      </c>
      <c r="AF201" s="232" t="s">
        <v>294</v>
      </c>
      <c r="AG201" s="232" t="s">
        <v>294</v>
      </c>
      <c r="AH201" s="232" t="s">
        <v>294</v>
      </c>
      <c r="AI201" s="232" t="s">
        <v>294</v>
      </c>
      <c r="AJ201" s="239" t="s">
        <v>294</v>
      </c>
      <c r="AK201" s="158" t="s">
        <v>294</v>
      </c>
      <c r="AL201" s="158" t="s">
        <v>294</v>
      </c>
      <c r="AM201" s="158" t="s">
        <v>294</v>
      </c>
      <c r="AN201" s="158" t="s">
        <v>294</v>
      </c>
      <c r="AO201" s="250" t="s">
        <v>294</v>
      </c>
      <c r="AP201" s="19"/>
      <c r="AQ201" s="158"/>
      <c r="AR201" s="158">
        <f t="shared" ref="AR201" si="3198">+AR200/AM200-1</f>
        <v>3.2737565082530189</v>
      </c>
      <c r="AS201" s="19">
        <f t="shared" ref="AS201" si="3199">+AS200/AN200-1</f>
        <v>0.435686279518257</v>
      </c>
      <c r="AT201" s="259">
        <f t="shared" ref="AT201" si="3200">+AT200/AO200-1</f>
        <v>0.90780071842819154</v>
      </c>
      <c r="AU201" s="379">
        <f t="shared" ref="AU201" si="3201">+AU200/AP200-1</f>
        <v>0.22864188832129639</v>
      </c>
      <c r="AV201" s="19">
        <f t="shared" ref="AV201" si="3202">+AV200/AQ200-1</f>
        <v>-0.1629539624679357</v>
      </c>
      <c r="AW201" s="19">
        <f t="shared" ref="AW201" si="3203">+AW200/AR200-1</f>
        <v>-0.22859986728599868</v>
      </c>
      <c r="AX201" s="19">
        <f t="shared" ref="AX201" si="3204">+AX200/AS200-1</f>
        <v>-0.16166130547410973</v>
      </c>
      <c r="AY201" s="259">
        <f t="shared" ref="AY201" si="3205">+AY200/AT200-1</f>
        <v>-0.15435458786936229</v>
      </c>
      <c r="AZ201" s="19">
        <f t="shared" ref="AZ201" si="3206">+AZ200/AU200-1</f>
        <v>7.0967741935483941E-2</v>
      </c>
      <c r="BA201" s="19">
        <f t="shared" ref="BA201" si="3207">+BA200/AV200-1</f>
        <v>7.0967741935483941E-2</v>
      </c>
      <c r="BB201" s="19">
        <f t="shared" ref="BB201" si="3208">+BB200/AW200-1</f>
        <v>7.0967741935483941E-2</v>
      </c>
      <c r="BC201" s="19">
        <f t="shared" ref="BC201" si="3209">+BC200/AX200-1</f>
        <v>7.0967741935483941E-2</v>
      </c>
      <c r="BD201" s="259">
        <f t="shared" ref="BD201" si="3210">+BD200/AY200-1</f>
        <v>7.0967741935483497E-2</v>
      </c>
      <c r="BE201" s="19">
        <f t="shared" ref="BE201" si="3211">+BE200/AZ200-1</f>
        <v>2.4096385542168752E-2</v>
      </c>
      <c r="BF201" s="19">
        <f t="shared" ref="BF201" si="3212">+BF200/BA200-1</f>
        <v>2.4096385542168752E-2</v>
      </c>
      <c r="BG201" s="19">
        <f t="shared" ref="BG201" si="3213">+BG200/BB200-1</f>
        <v>2.4096385542168752E-2</v>
      </c>
      <c r="BH201" s="19">
        <f t="shared" ref="BH201" si="3214">+BH200/BC200-1</f>
        <v>2.4096385542168752E-2</v>
      </c>
      <c r="BI201" s="259">
        <f t="shared" ref="BI201" si="3215">+BI200/BD200-1</f>
        <v>2.4096385542168974E-2</v>
      </c>
      <c r="BJ201" s="19">
        <f t="shared" ref="BJ201" si="3216">+BJ200/BE200-1</f>
        <v>2.3529411764705799E-2</v>
      </c>
      <c r="BK201" s="19">
        <f t="shared" ref="BK201" si="3217">+BK200/BF200-1</f>
        <v>2.3529411764705799E-2</v>
      </c>
      <c r="BL201" s="19">
        <f t="shared" ref="BL201" si="3218">+BL200/BG200-1</f>
        <v>2.3529411764705799E-2</v>
      </c>
      <c r="BM201" s="19">
        <f t="shared" ref="BM201" si="3219">+BM200/BH200-1</f>
        <v>2.3529411764705799E-2</v>
      </c>
      <c r="BN201" s="259">
        <f t="shared" ref="BN201" si="3220">+BN200/BI200-1</f>
        <v>2.3529411764705799E-2</v>
      </c>
      <c r="BO201" s="19">
        <f t="shared" ref="BO201" si="3221">+BO200/BJ200-1</f>
        <v>0</v>
      </c>
      <c r="BP201" s="19">
        <f t="shared" ref="BP201" si="3222">+BP200/BK200-1</f>
        <v>0</v>
      </c>
      <c r="BQ201" s="19">
        <f t="shared" ref="BQ201" si="3223">+BQ200/BL200-1</f>
        <v>0</v>
      </c>
      <c r="BR201" s="19">
        <f t="shared" ref="BR201" si="3224">+BR200/BM200-1</f>
        <v>0</v>
      </c>
      <c r="BS201" s="259">
        <f t="shared" ref="BS201" si="3225">+BS200/BN200-1</f>
        <v>0</v>
      </c>
      <c r="BT201" s="19">
        <f t="shared" ref="BT201" si="3226">+BT200/BO200-1</f>
        <v>0</v>
      </c>
      <c r="BU201" s="19">
        <f t="shared" ref="BU201" si="3227">+BU200/BP200-1</f>
        <v>0</v>
      </c>
      <c r="BV201" s="19">
        <f t="shared" ref="BV201" si="3228">+BV200/BQ200-1</f>
        <v>0</v>
      </c>
      <c r="BW201" s="19">
        <f t="shared" ref="BW201" si="3229">+BW200/BR200-1</f>
        <v>0</v>
      </c>
      <c r="BX201" s="259">
        <f t="shared" ref="BX201" si="3230">+BX200/BS200-1</f>
        <v>0</v>
      </c>
      <c r="BY201" s="19">
        <f t="shared" ref="BY201" si="3231">+BY200/BT200-1</f>
        <v>0</v>
      </c>
      <c r="BZ201" s="19">
        <f t="shared" ref="BZ201" si="3232">+BZ200/BU200-1</f>
        <v>0</v>
      </c>
      <c r="CA201" s="19">
        <f t="shared" ref="CA201" si="3233">+CA200/BV200-1</f>
        <v>0</v>
      </c>
      <c r="CB201" s="19">
        <f t="shared" ref="CB201" si="3234">+CB200/BW200-1</f>
        <v>0</v>
      </c>
      <c r="CC201" s="259">
        <f t="shared" ref="CC201" si="3235">+CC200/BX200-1</f>
        <v>0</v>
      </c>
      <c r="CD201" s="19">
        <f t="shared" ref="CD201" si="3236">+CD200/BY200-1</f>
        <v>0</v>
      </c>
      <c r="CE201" s="19">
        <f t="shared" ref="CE201" si="3237">+CE200/BZ200-1</f>
        <v>0</v>
      </c>
      <c r="CF201" s="19">
        <f t="shared" ref="CF201" si="3238">+CF200/CA200-1</f>
        <v>0</v>
      </c>
      <c r="CG201" s="19">
        <f t="shared" ref="CG201" si="3239">+CG200/CB200-1</f>
        <v>0</v>
      </c>
      <c r="CH201" s="259">
        <f t="shared" ref="CH201" si="3240">+CH200/CC200-1</f>
        <v>0</v>
      </c>
      <c r="CI201" s="19">
        <f t="shared" ref="CI201" si="3241">+CI200/CD200-1</f>
        <v>0</v>
      </c>
      <c r="CJ201" s="19">
        <f t="shared" ref="CJ201" si="3242">+CJ200/CE200-1</f>
        <v>0</v>
      </c>
      <c r="CK201" s="19">
        <f t="shared" ref="CK201" si="3243">+CK200/CF200-1</f>
        <v>0</v>
      </c>
      <c r="CL201" s="19">
        <f t="shared" ref="CL201" si="3244">+CL200/CG200-1</f>
        <v>0</v>
      </c>
      <c r="CM201" s="259">
        <f t="shared" ref="CM201" si="3245">+CM200/CH200-1</f>
        <v>0</v>
      </c>
    </row>
    <row r="202" spans="1:93">
      <c r="A202" s="139" t="s">
        <v>292</v>
      </c>
      <c r="B202" s="232" t="s">
        <v>294</v>
      </c>
      <c r="C202" s="232" t="s">
        <v>294</v>
      </c>
      <c r="D202" s="232" t="s">
        <v>294</v>
      </c>
      <c r="E202" s="232" t="s">
        <v>294</v>
      </c>
      <c r="F202" s="239" t="s">
        <v>294</v>
      </c>
      <c r="G202" s="232" t="s">
        <v>294</v>
      </c>
      <c r="H202" s="232" t="s">
        <v>294</v>
      </c>
      <c r="I202" s="232" t="s">
        <v>294</v>
      </c>
      <c r="J202" s="232" t="s">
        <v>294</v>
      </c>
      <c r="K202" s="239" t="s">
        <v>294</v>
      </c>
      <c r="L202" s="232" t="s">
        <v>294</v>
      </c>
      <c r="M202" s="232" t="s">
        <v>294</v>
      </c>
      <c r="N202" s="232" t="s">
        <v>294</v>
      </c>
      <c r="O202" s="232" t="s">
        <v>294</v>
      </c>
      <c r="P202" s="239" t="s">
        <v>294</v>
      </c>
      <c r="Q202" s="232" t="s">
        <v>294</v>
      </c>
      <c r="R202" s="232" t="s">
        <v>294</v>
      </c>
      <c r="S202" s="232" t="s">
        <v>294</v>
      </c>
      <c r="T202" s="232" t="s">
        <v>294</v>
      </c>
      <c r="U202" s="239" t="s">
        <v>294</v>
      </c>
      <c r="V202" s="232" t="s">
        <v>294</v>
      </c>
      <c r="W202" s="232" t="s">
        <v>294</v>
      </c>
      <c r="X202" s="232" t="s">
        <v>294</v>
      </c>
      <c r="Y202" s="232" t="s">
        <v>294</v>
      </c>
      <c r="Z202" s="239" t="s">
        <v>294</v>
      </c>
      <c r="AA202" s="232" t="s">
        <v>294</v>
      </c>
      <c r="AB202" s="232" t="s">
        <v>294</v>
      </c>
      <c r="AC202" s="232" t="s">
        <v>294</v>
      </c>
      <c r="AD202" s="232" t="s">
        <v>294</v>
      </c>
      <c r="AE202" s="239" t="s">
        <v>294</v>
      </c>
      <c r="AF202" s="232" t="s">
        <v>294</v>
      </c>
      <c r="AG202" s="232" t="s">
        <v>294</v>
      </c>
      <c r="AH202" s="232" t="s">
        <v>294</v>
      </c>
      <c r="AI202" s="232" t="s">
        <v>294</v>
      </c>
      <c r="AJ202" s="239" t="s">
        <v>294</v>
      </c>
      <c r="AK202" s="147" t="s">
        <v>294</v>
      </c>
      <c r="AL202" s="19" t="e">
        <f>+AL200/AK200-1</f>
        <v>#DIV/0!</v>
      </c>
      <c r="AM202" s="19" t="e">
        <f t="shared" ref="AM202" si="3246">+AM200/AL200-1</f>
        <v>#DIV/0!</v>
      </c>
      <c r="AN202" s="19">
        <f t="shared" ref="AN202" si="3247">+AN200/AM200-1</f>
        <v>1.739115985377202</v>
      </c>
      <c r="AO202" s="251" t="s">
        <v>294</v>
      </c>
      <c r="AP202" s="19">
        <f>+AP200/AN200-1</f>
        <v>-2.0388794521286502E-2</v>
      </c>
      <c r="AQ202" s="19">
        <f>+AQ200/AP200-1</f>
        <v>0.46783072045094221</v>
      </c>
      <c r="AR202" s="19">
        <f t="shared" ref="AR202" si="3248">+AR200/AQ200-1</f>
        <v>8.5099680482426443E-2</v>
      </c>
      <c r="AS202" s="19">
        <f t="shared" ref="AS202" si="3249">+AS200/AR200-1</f>
        <v>-7.9846680403729997E-2</v>
      </c>
      <c r="AT202" s="251" t="s">
        <v>294</v>
      </c>
      <c r="AU202" s="379">
        <f>+AU200/AS200-1</f>
        <v>-0.16166130547410973</v>
      </c>
      <c r="AV202" s="19">
        <f>+AV200/AU200-1</f>
        <v>0</v>
      </c>
      <c r="AW202" s="19">
        <f t="shared" ref="AW202" si="3250">+AW200/AV200-1</f>
        <v>0</v>
      </c>
      <c r="AX202" s="19">
        <f t="shared" ref="AX202" si="3251">+AX200/AW200-1</f>
        <v>0</v>
      </c>
      <c r="AY202" s="251" t="s">
        <v>294</v>
      </c>
      <c r="AZ202" s="19">
        <f>+AZ200/AX200-1</f>
        <v>7.0967741935483941E-2</v>
      </c>
      <c r="BA202" s="19">
        <f>+BA200/AZ200-1</f>
        <v>0</v>
      </c>
      <c r="BB202" s="19">
        <f t="shared" ref="BB202" si="3252">+BB200/BA200-1</f>
        <v>0</v>
      </c>
      <c r="BC202" s="19">
        <f t="shared" ref="BC202" si="3253">+BC200/BB200-1</f>
        <v>0</v>
      </c>
      <c r="BD202" s="251" t="s">
        <v>294</v>
      </c>
      <c r="BE202" s="19">
        <f>+BE200/BC200-1</f>
        <v>2.4096385542168752E-2</v>
      </c>
      <c r="BF202" s="19">
        <f>+BF200/BE200-1</f>
        <v>0</v>
      </c>
      <c r="BG202" s="19">
        <f t="shared" ref="BG202" si="3254">+BG200/BF200-1</f>
        <v>0</v>
      </c>
      <c r="BH202" s="19">
        <f t="shared" ref="BH202" si="3255">+BH200/BG200-1</f>
        <v>0</v>
      </c>
      <c r="BI202" s="251" t="s">
        <v>294</v>
      </c>
      <c r="BJ202" s="19">
        <f>+BJ200/BH200-1</f>
        <v>2.3529411764705799E-2</v>
      </c>
      <c r="BK202" s="19">
        <f>+BK200/BJ200-1</f>
        <v>0</v>
      </c>
      <c r="BL202" s="19">
        <f t="shared" ref="BL202" si="3256">+BL200/BK200-1</f>
        <v>0</v>
      </c>
      <c r="BM202" s="19">
        <f t="shared" ref="BM202" si="3257">+BM200/BL200-1</f>
        <v>0</v>
      </c>
      <c r="BN202" s="251" t="s">
        <v>294</v>
      </c>
      <c r="BO202" s="19">
        <f>+BO200/BM200-1</f>
        <v>0</v>
      </c>
      <c r="BP202" s="19">
        <f>+BP200/BO200-1</f>
        <v>0</v>
      </c>
      <c r="BQ202" s="19">
        <f t="shared" ref="BQ202" si="3258">+BQ200/BP200-1</f>
        <v>0</v>
      </c>
      <c r="BR202" s="19">
        <f t="shared" ref="BR202" si="3259">+BR200/BQ200-1</f>
        <v>0</v>
      </c>
      <c r="BS202" s="251" t="s">
        <v>294</v>
      </c>
      <c r="BT202" s="19">
        <f>+BT200/BR200-1</f>
        <v>0</v>
      </c>
      <c r="BU202" s="19">
        <f>+BU200/BT200-1</f>
        <v>0</v>
      </c>
      <c r="BV202" s="19">
        <f t="shared" ref="BV202" si="3260">+BV200/BU200-1</f>
        <v>0</v>
      </c>
      <c r="BW202" s="19">
        <f t="shared" ref="BW202" si="3261">+BW200/BV200-1</f>
        <v>0</v>
      </c>
      <c r="BX202" s="251" t="s">
        <v>294</v>
      </c>
      <c r="BY202" s="19">
        <f>+BY200/BW200-1</f>
        <v>0</v>
      </c>
      <c r="BZ202" s="19">
        <f>+BZ200/BY200-1</f>
        <v>0</v>
      </c>
      <c r="CA202" s="19">
        <f t="shared" ref="CA202" si="3262">+CA200/BZ200-1</f>
        <v>0</v>
      </c>
      <c r="CB202" s="19">
        <f t="shared" ref="CB202" si="3263">+CB200/CA200-1</f>
        <v>0</v>
      </c>
      <c r="CC202" s="251" t="s">
        <v>294</v>
      </c>
      <c r="CD202" s="19">
        <f>+CD200/CB200-1</f>
        <v>0</v>
      </c>
      <c r="CE202" s="19">
        <f>+CE200/CD200-1</f>
        <v>0</v>
      </c>
      <c r="CF202" s="19">
        <f t="shared" ref="CF202" si="3264">+CF200/CE200-1</f>
        <v>0</v>
      </c>
      <c r="CG202" s="19">
        <f t="shared" ref="CG202" si="3265">+CG200/CF200-1</f>
        <v>0</v>
      </c>
      <c r="CH202" s="251" t="s">
        <v>294</v>
      </c>
      <c r="CI202" s="19">
        <f>+CI200/CG200-1</f>
        <v>0</v>
      </c>
      <c r="CJ202" s="19">
        <f>+CJ200/CI200-1</f>
        <v>0</v>
      </c>
      <c r="CK202" s="19">
        <f t="shared" ref="CK202" si="3266">+CK200/CJ200-1</f>
        <v>0</v>
      </c>
      <c r="CL202" s="19">
        <f t="shared" ref="CL202" si="3267">+CL200/CK200-1</f>
        <v>0</v>
      </c>
      <c r="CM202" s="251" t="s">
        <v>294</v>
      </c>
    </row>
    <row r="203" spans="1:93">
      <c r="F203" s="240"/>
      <c r="K203" s="240"/>
      <c r="P203" s="240"/>
      <c r="U203" s="240"/>
      <c r="Z203" s="240"/>
      <c r="AE203" s="240"/>
      <c r="AJ203" s="240"/>
      <c r="AO203" s="240"/>
      <c r="AT203" s="240"/>
      <c r="AU203" s="374"/>
      <c r="AY203" s="240"/>
      <c r="BD203" s="240"/>
      <c r="BI203" s="240"/>
      <c r="BN203" s="240"/>
      <c r="BS203" s="240"/>
      <c r="BX203" s="240"/>
      <c r="CC203" s="240"/>
      <c r="CH203" s="240"/>
      <c r="CM203" s="240"/>
    </row>
    <row r="204" spans="1:93" s="42" customFormat="1">
      <c r="A204" s="42" t="s">
        <v>356</v>
      </c>
      <c r="B204" s="232" t="s">
        <v>294</v>
      </c>
      <c r="C204" s="232" t="s">
        <v>294</v>
      </c>
      <c r="D204" s="232" t="s">
        <v>294</v>
      </c>
      <c r="E204" s="232" t="s">
        <v>294</v>
      </c>
      <c r="F204" s="239" t="s">
        <v>294</v>
      </c>
      <c r="G204" s="232" t="s">
        <v>294</v>
      </c>
      <c r="H204" s="232" t="s">
        <v>294</v>
      </c>
      <c r="I204" s="232" t="s">
        <v>294</v>
      </c>
      <c r="J204" s="232" t="s">
        <v>294</v>
      </c>
      <c r="K204" s="239" t="s">
        <v>294</v>
      </c>
      <c r="L204" s="232" t="s">
        <v>294</v>
      </c>
      <c r="M204" s="232" t="s">
        <v>294</v>
      </c>
      <c r="N204" s="232" t="s">
        <v>294</v>
      </c>
      <c r="O204" s="232" t="s">
        <v>294</v>
      </c>
      <c r="P204" s="239" t="s">
        <v>294</v>
      </c>
      <c r="Q204" s="232" t="s">
        <v>294</v>
      </c>
      <c r="R204" s="232" t="s">
        <v>294</v>
      </c>
      <c r="S204" s="232" t="s">
        <v>294</v>
      </c>
      <c r="T204" s="232" t="s">
        <v>294</v>
      </c>
      <c r="U204" s="239" t="s">
        <v>294</v>
      </c>
      <c r="V204" s="232" t="s">
        <v>294</v>
      </c>
      <c r="W204" s="232" t="s">
        <v>294</v>
      </c>
      <c r="X204" s="232" t="s">
        <v>294</v>
      </c>
      <c r="Y204" s="232" t="s">
        <v>294</v>
      </c>
      <c r="Z204" s="239" t="s">
        <v>294</v>
      </c>
      <c r="AA204" s="232" t="s">
        <v>294</v>
      </c>
      <c r="AB204" s="232" t="s">
        <v>294</v>
      </c>
      <c r="AC204" s="232" t="s">
        <v>294</v>
      </c>
      <c r="AD204" s="232" t="s">
        <v>294</v>
      </c>
      <c r="AE204" s="239" t="s">
        <v>294</v>
      </c>
      <c r="AF204" s="232" t="s">
        <v>294</v>
      </c>
      <c r="AG204" s="232" t="s">
        <v>294</v>
      </c>
      <c r="AH204" s="232" t="s">
        <v>294</v>
      </c>
      <c r="AI204" s="232" t="s">
        <v>294</v>
      </c>
      <c r="AJ204" s="239" t="s">
        <v>294</v>
      </c>
      <c r="AK204" s="170">
        <f>+AK196*AK200/1000000</f>
        <v>0</v>
      </c>
      <c r="AL204" s="170">
        <f t="shared" ref="AL204" si="3268">+AL196*AL200/1000000</f>
        <v>0</v>
      </c>
      <c r="AM204" s="333">
        <v>1.0029999999999999</v>
      </c>
      <c r="AN204" s="333">
        <v>4.1210000000000004</v>
      </c>
      <c r="AO204" s="253">
        <f>+AK204+AL204+AM204+AN204</f>
        <v>5.1240000000000006</v>
      </c>
      <c r="AP204" s="333">
        <v>5.6769999999999996</v>
      </c>
      <c r="AQ204" s="333">
        <v>14.814</v>
      </c>
      <c r="AR204" s="333">
        <v>24.111999999999998</v>
      </c>
      <c r="AS204" s="333">
        <v>35.128999999999998</v>
      </c>
      <c r="AT204" s="253">
        <f>+AP204+AQ204+AR204+AS204</f>
        <v>79.731999999999999</v>
      </c>
      <c r="AU204" s="356">
        <f>+AU196*AU200/1000000</f>
        <v>33.877840477136949</v>
      </c>
      <c r="AV204" s="170">
        <f t="shared" ref="AV204:AX204" si="3269">+AV196*AV200/1000000</f>
        <v>37.890644656578488</v>
      </c>
      <c r="AW204" s="170">
        <f t="shared" si="3269"/>
        <v>56.046176929528492</v>
      </c>
      <c r="AX204" s="170">
        <f t="shared" si="3269"/>
        <v>70.262778985532776</v>
      </c>
      <c r="AY204" s="253">
        <f>+AU204+AV204+AW204+AX204</f>
        <v>198.07744104877671</v>
      </c>
      <c r="AZ204" s="170">
        <f>+AZ196*AZ200/1000000</f>
        <v>91.107728146005343</v>
      </c>
      <c r="BA204" s="170">
        <f t="shared" ref="BA204:BC204" si="3270">+BA196*BA200/1000000</f>
        <v>109.40784143871636</v>
      </c>
      <c r="BB204" s="170">
        <f t="shared" si="3270"/>
        <v>123.00961479322795</v>
      </c>
      <c r="BC204" s="170">
        <f t="shared" si="3270"/>
        <v>142.80572082804915</v>
      </c>
      <c r="BD204" s="253">
        <f>+AZ204+BA204+BB204+BC204</f>
        <v>466.33090520599876</v>
      </c>
      <c r="BE204" s="170">
        <f>+BE196*BE200/1000000</f>
        <v>164.77530911062709</v>
      </c>
      <c r="BF204" s="170">
        <f t="shared" ref="BF204:BH204" si="3271">+BF196*BF200/1000000</f>
        <v>180.77619901132869</v>
      </c>
      <c r="BG204" s="170">
        <f t="shared" si="3271"/>
        <v>196.75831332763175</v>
      </c>
      <c r="BH204" s="170">
        <f t="shared" si="3271"/>
        <v>216.08596689652677</v>
      </c>
      <c r="BI204" s="253">
        <f>+BE204+BF204+BG204+BH204</f>
        <v>758.39578834611427</v>
      </c>
      <c r="BJ204" s="170">
        <f>+BJ196*BJ200/1000000</f>
        <v>232.51237018026305</v>
      </c>
      <c r="BK204" s="170">
        <f t="shared" ref="BK204:BM204" si="3272">+BK196*BK200/1000000</f>
        <v>246.42872946918465</v>
      </c>
      <c r="BL204" s="170">
        <f t="shared" si="3272"/>
        <v>272.06484362290621</v>
      </c>
      <c r="BM204" s="170">
        <f t="shared" si="3272"/>
        <v>293.15586827877803</v>
      </c>
      <c r="BN204" s="253">
        <f>+BJ204+BK204+BL204+BM204</f>
        <v>1044.1618115511319</v>
      </c>
      <c r="BO204" s="170">
        <f>+BO196*BO200/1000000</f>
        <v>312.54038242434831</v>
      </c>
      <c r="BP204" s="170">
        <f t="shared" ref="BP204:BR204" si="3273">+BP196*BP200/1000000</f>
        <v>334.11391574630693</v>
      </c>
      <c r="BQ204" s="170">
        <f t="shared" si="3273"/>
        <v>350.71206175016584</v>
      </c>
      <c r="BR204" s="170">
        <f t="shared" si="3273"/>
        <v>369.69113924495986</v>
      </c>
      <c r="BS204" s="253">
        <f>+BO204+BP204+BQ204+BR204</f>
        <v>1367.0574991657809</v>
      </c>
      <c r="BT204" s="170">
        <f>+BT196*BT200/1000000</f>
        <v>379.9635180704089</v>
      </c>
      <c r="BU204" s="170">
        <f t="shared" ref="BU204:BW204" si="3274">+BU196*BU200/1000000</f>
        <v>393.78691267874876</v>
      </c>
      <c r="BV204" s="170">
        <f t="shared" si="3274"/>
        <v>406.83125822807972</v>
      </c>
      <c r="BW204" s="170">
        <f t="shared" si="3274"/>
        <v>421.87945333781374</v>
      </c>
      <c r="BX204" s="253">
        <f>+BT204+BU204+BV204+BW204</f>
        <v>1602.4611423150509</v>
      </c>
      <c r="BY204" s="170">
        <f>+BY196*BY200/1000000</f>
        <v>423.06440127559216</v>
      </c>
      <c r="BZ204" s="170">
        <f t="shared" ref="BZ204:CB204" si="3275">+BZ196*BZ200/1000000</f>
        <v>432.10278198447298</v>
      </c>
      <c r="CA204" s="170">
        <f t="shared" si="3275"/>
        <v>449.90126169119259</v>
      </c>
      <c r="CB204" s="170">
        <f t="shared" si="3275"/>
        <v>463.48637314885514</v>
      </c>
      <c r="CC204" s="253">
        <f>+BY204+BZ204+CA204+CB204</f>
        <v>1768.5548181001129</v>
      </c>
      <c r="CD204" s="170">
        <f>+CD196*CD200/1000000</f>
        <v>469.08443511376061</v>
      </c>
      <c r="CE204" s="170">
        <f t="shared" ref="CE204:CG204" si="3276">+CE196*CE200/1000000</f>
        <v>482.13988064835883</v>
      </c>
      <c r="CF204" s="170">
        <f t="shared" si="3276"/>
        <v>490.77463399649594</v>
      </c>
      <c r="CG204" s="170">
        <f t="shared" si="3276"/>
        <v>500.91603710705317</v>
      </c>
      <c r="CH204" s="253">
        <f>+CD204+CE204+CF204+CG204</f>
        <v>1942.9149868656684</v>
      </c>
      <c r="CI204" s="170">
        <f>+CI196*CI200/1000000</f>
        <v>498.18755759015102</v>
      </c>
      <c r="CJ204" s="170">
        <f t="shared" ref="CJ204:CL204" si="3277">+CJ196*CJ200/1000000</f>
        <v>503.69470317113439</v>
      </c>
      <c r="CK204" s="170">
        <f t="shared" si="3277"/>
        <v>508.31557068286014</v>
      </c>
      <c r="CL204" s="170">
        <f t="shared" si="3277"/>
        <v>514.31699914568492</v>
      </c>
      <c r="CM204" s="253">
        <f>+CI204+CJ204+CK204+CL204</f>
        <v>2024.5148305898306</v>
      </c>
    </row>
    <row r="205" spans="1:93">
      <c r="A205" s="139" t="s">
        <v>291</v>
      </c>
      <c r="B205" s="232" t="s">
        <v>294</v>
      </c>
      <c r="C205" s="232" t="s">
        <v>294</v>
      </c>
      <c r="D205" s="232" t="s">
        <v>294</v>
      </c>
      <c r="E205" s="232" t="s">
        <v>294</v>
      </c>
      <c r="F205" s="239" t="s">
        <v>294</v>
      </c>
      <c r="G205" s="232" t="s">
        <v>294</v>
      </c>
      <c r="H205" s="232" t="s">
        <v>294</v>
      </c>
      <c r="I205" s="232" t="s">
        <v>294</v>
      </c>
      <c r="J205" s="232" t="s">
        <v>294</v>
      </c>
      <c r="K205" s="239" t="s">
        <v>294</v>
      </c>
      <c r="L205" s="232" t="s">
        <v>294</v>
      </c>
      <c r="M205" s="232" t="s">
        <v>294</v>
      </c>
      <c r="N205" s="232" t="s">
        <v>294</v>
      </c>
      <c r="O205" s="232" t="s">
        <v>294</v>
      </c>
      <c r="P205" s="239" t="s">
        <v>294</v>
      </c>
      <c r="Q205" s="232" t="s">
        <v>294</v>
      </c>
      <c r="R205" s="232" t="s">
        <v>294</v>
      </c>
      <c r="S205" s="232" t="s">
        <v>294</v>
      </c>
      <c r="T205" s="232" t="s">
        <v>294</v>
      </c>
      <c r="U205" s="239" t="s">
        <v>294</v>
      </c>
      <c r="V205" s="232" t="s">
        <v>294</v>
      </c>
      <c r="W205" s="232" t="s">
        <v>294</v>
      </c>
      <c r="X205" s="232" t="s">
        <v>294</v>
      </c>
      <c r="Y205" s="232" t="s">
        <v>294</v>
      </c>
      <c r="Z205" s="239" t="s">
        <v>294</v>
      </c>
      <c r="AA205" s="232" t="s">
        <v>294</v>
      </c>
      <c r="AB205" s="232" t="s">
        <v>294</v>
      </c>
      <c r="AC205" s="232" t="s">
        <v>294</v>
      </c>
      <c r="AD205" s="232" t="s">
        <v>294</v>
      </c>
      <c r="AE205" s="239" t="s">
        <v>294</v>
      </c>
      <c r="AF205" s="232" t="s">
        <v>294</v>
      </c>
      <c r="AG205" s="232" t="s">
        <v>294</v>
      </c>
      <c r="AH205" s="232" t="s">
        <v>294</v>
      </c>
      <c r="AI205" s="232" t="s">
        <v>294</v>
      </c>
      <c r="AJ205" s="239" t="s">
        <v>294</v>
      </c>
      <c r="AK205" s="158" t="s">
        <v>294</v>
      </c>
      <c r="AL205" s="158" t="s">
        <v>294</v>
      </c>
      <c r="AM205" s="158" t="s">
        <v>294</v>
      </c>
      <c r="AN205" s="158" t="s">
        <v>294</v>
      </c>
      <c r="AO205" s="250" t="s">
        <v>294</v>
      </c>
      <c r="AP205" s="158" t="s">
        <v>294</v>
      </c>
      <c r="AQ205" s="158" t="s">
        <v>294</v>
      </c>
      <c r="AR205" s="158">
        <f t="shared" ref="AR205" si="3278">+AR204/AM204-1</f>
        <v>23.039880358923231</v>
      </c>
      <c r="AS205" s="19">
        <f t="shared" ref="AS205" si="3279">+AS204/AN204-1</f>
        <v>7.5243872846396496</v>
      </c>
      <c r="AT205" s="259">
        <f t="shared" ref="AT205" si="3280">+AT204/AO204-1</f>
        <v>14.560499609679935</v>
      </c>
      <c r="AU205" s="379">
        <f t="shared" ref="AU205" si="3281">+AU204/AP204-1</f>
        <v>4.9675604152082</v>
      </c>
      <c r="AV205" s="19">
        <f t="shared" ref="AV205" si="3282">+AV204/AQ204-1</f>
        <v>1.557759191074557</v>
      </c>
      <c r="AW205" s="19">
        <f t="shared" ref="AW205" si="3283">+AW204/AR204-1</f>
        <v>1.3244101248145528</v>
      </c>
      <c r="AX205" s="19">
        <f t="shared" ref="AX205" si="3284">+AX204/AS204-1</f>
        <v>1.0001360410354061</v>
      </c>
      <c r="AY205" s="259">
        <f t="shared" ref="AY205" si="3285">+AY204/AT204-1</f>
        <v>1.4842903859024821</v>
      </c>
      <c r="AZ205" s="19">
        <f t="shared" ref="AZ205" si="3286">+AZ204/AU204-1</f>
        <v>1.6893015275720122</v>
      </c>
      <c r="BA205" s="19">
        <f t="shared" ref="BA205" si="3287">+BA204/AV204-1</f>
        <v>1.8874631833354467</v>
      </c>
      <c r="BB205" s="19">
        <f t="shared" ref="BB205" si="3288">+BB204/AW204-1</f>
        <v>1.1947904662239166</v>
      </c>
      <c r="BC205" s="19">
        <f t="shared" ref="BC205" si="3289">+BC204/AX204-1</f>
        <v>1.0324519310210185</v>
      </c>
      <c r="BD205" s="259">
        <f t="shared" ref="BD205" si="3290">+BD204/AY204-1</f>
        <v>1.3542857921471456</v>
      </c>
      <c r="BE205" s="19">
        <f>+BE204/AZ204-1</f>
        <v>0.80857664287891406</v>
      </c>
      <c r="BF205" s="19">
        <f>+BF204/BA204-1</f>
        <v>0.65231483076639019</v>
      </c>
      <c r="BG205" s="19">
        <f t="shared" ref="BG205" si="3291">+BG204/BB204-1</f>
        <v>0.59953604975002239</v>
      </c>
      <c r="BH205" s="19">
        <f t="shared" ref="BH205" si="3292">+BH204/BC204-1</f>
        <v>0.5131464316945229</v>
      </c>
      <c r="BI205" s="259">
        <f t="shared" ref="BI205" si="3293">+BI204/BD204-1</f>
        <v>0.62630393971229004</v>
      </c>
      <c r="BJ205" s="19">
        <f t="shared" ref="BJ205" si="3294">+BJ204/BE204-1</f>
        <v>0.41108744650667628</v>
      </c>
      <c r="BK205" s="19">
        <f t="shared" ref="BK205" si="3295">+BK204/BF204-1</f>
        <v>0.36317021165901231</v>
      </c>
      <c r="BL205" s="19">
        <f t="shared" ref="BL205" si="3296">+BL204/BG204-1</f>
        <v>0.38273620576264</v>
      </c>
      <c r="BM205" s="19">
        <f t="shared" ref="BM205" si="3297">+BM204/BH204-1</f>
        <v>0.35666314888072459</v>
      </c>
      <c r="BN205" s="259">
        <f t="shared" ref="BN205" si="3298">+BN204/BI204-1</f>
        <v>0.3768032834520445</v>
      </c>
      <c r="BO205" s="19">
        <f t="shared" ref="BO205" si="3299">+BO204/BJ204-1</f>
        <v>0.3441881917165992</v>
      </c>
      <c r="BP205" s="19">
        <f t="shared" ref="BP205" si="3300">+BP204/BK204-1</f>
        <v>0.35582371611459007</v>
      </c>
      <c r="BQ205" s="19">
        <f t="shared" ref="BQ205" si="3301">+BQ204/BL204-1</f>
        <v>0.28907526999801614</v>
      </c>
      <c r="BR205" s="19">
        <f t="shared" ref="BR205" si="3302">+BR204/BM204-1</f>
        <v>0.26107364459578286</v>
      </c>
      <c r="BS205" s="259">
        <f t="shared" ref="BS205" si="3303">+BS204/BN204-1</f>
        <v>0.3092391275399915</v>
      </c>
      <c r="BT205" s="19">
        <f t="shared" ref="BT205" si="3304">+BT204/BO204-1</f>
        <v>0.21572615712269005</v>
      </c>
      <c r="BU205" s="19">
        <f t="shared" ref="BU205" si="3305">+BU204/BP204-1</f>
        <v>0.17860075297717204</v>
      </c>
      <c r="BV205" s="19">
        <f t="shared" ref="BV205" si="3306">+BV204/BQ204-1</f>
        <v>0.16001501687127906</v>
      </c>
      <c r="BW205" s="19">
        <f t="shared" ref="BW205" si="3307">+BW204/BR204-1</f>
        <v>0.14116733822574412</v>
      </c>
      <c r="BX205" s="259">
        <f t="shared" ref="BX205" si="3308">+BX204/BS204-1</f>
        <v>0.17219732402837495</v>
      </c>
      <c r="BY205" s="19">
        <f t="shared" ref="BY205" si="3309">+BY204/BT204-1</f>
        <v>0.11343426712139371</v>
      </c>
      <c r="BZ205" s="19">
        <f t="shared" ref="BZ205" si="3310">+BZ204/BU204-1</f>
        <v>9.7301022639577406E-2</v>
      </c>
      <c r="CA205" s="19">
        <f t="shared" ref="CA205" si="3311">+CA204/BV204-1</f>
        <v>0.10586699667744504</v>
      </c>
      <c r="CB205" s="19">
        <f t="shared" ref="CB205" si="3312">+CB204/BW204-1</f>
        <v>9.862276885460286E-2</v>
      </c>
      <c r="CC205" s="259">
        <f t="shared" ref="CC205" si="3313">+CC204/BX204-1</f>
        <v>0.10364911285468614</v>
      </c>
      <c r="CD205" s="19">
        <f t="shared" ref="CD205" si="3314">+CD204/BY204-1</f>
        <v>0.10877784493191167</v>
      </c>
      <c r="CE205" s="19">
        <f t="shared" ref="CE205" si="3315">+CE204/BZ204-1</f>
        <v>0.11579906621773106</v>
      </c>
      <c r="CF205" s="19">
        <f t="shared" ref="CF205" si="3316">+CF204/CA204-1</f>
        <v>9.0849650324738018E-2</v>
      </c>
      <c r="CG205" s="19">
        <f t="shared" ref="CG205" si="3317">+CG204/CB204-1</f>
        <v>8.0756773287435912E-2</v>
      </c>
      <c r="CH205" s="259">
        <f t="shared" ref="CH205" si="3318">+CH204/CC204-1</f>
        <v>9.8589066610252685E-2</v>
      </c>
      <c r="CI205" s="19">
        <f t="shared" ref="CI205" si="3319">+CI204/CD204-1</f>
        <v>6.2042396417038237E-2</v>
      </c>
      <c r="CJ205" s="19">
        <f t="shared" ref="CJ205" si="3320">+CJ204/CE204-1</f>
        <v>4.470657456045668E-2</v>
      </c>
      <c r="CK205" s="19">
        <f t="shared" ref="CK205" si="3321">+CK204/CF204-1</f>
        <v>3.5741327019133351E-2</v>
      </c>
      <c r="CL205" s="19">
        <f t="shared" ref="CL205" si="3322">+CL204/CG204-1</f>
        <v>2.6752910759308968E-2</v>
      </c>
      <c r="CM205" s="259">
        <f t="shared" ref="CM205" si="3323">+CM204/CH204-1</f>
        <v>4.1998669152168988E-2</v>
      </c>
    </row>
    <row r="206" spans="1:93">
      <c r="A206" s="139" t="s">
        <v>292</v>
      </c>
      <c r="B206" s="232" t="s">
        <v>294</v>
      </c>
      <c r="C206" s="232" t="s">
        <v>294</v>
      </c>
      <c r="D206" s="232" t="s">
        <v>294</v>
      </c>
      <c r="E206" s="232" t="s">
        <v>294</v>
      </c>
      <c r="F206" s="239" t="s">
        <v>294</v>
      </c>
      <c r="G206" s="232" t="s">
        <v>294</v>
      </c>
      <c r="H206" s="232" t="s">
        <v>294</v>
      </c>
      <c r="I206" s="232" t="s">
        <v>294</v>
      </c>
      <c r="J206" s="232" t="s">
        <v>294</v>
      </c>
      <c r="K206" s="239" t="s">
        <v>294</v>
      </c>
      <c r="L206" s="232" t="s">
        <v>294</v>
      </c>
      <c r="M206" s="232" t="s">
        <v>294</v>
      </c>
      <c r="N206" s="232" t="s">
        <v>294</v>
      </c>
      <c r="O206" s="232" t="s">
        <v>294</v>
      </c>
      <c r="P206" s="239" t="s">
        <v>294</v>
      </c>
      <c r="Q206" s="232" t="s">
        <v>294</v>
      </c>
      <c r="R206" s="232" t="s">
        <v>294</v>
      </c>
      <c r="S206" s="232" t="s">
        <v>294</v>
      </c>
      <c r="T206" s="232" t="s">
        <v>294</v>
      </c>
      <c r="U206" s="239" t="s">
        <v>294</v>
      </c>
      <c r="V206" s="232" t="s">
        <v>294</v>
      </c>
      <c r="W206" s="232" t="s">
        <v>294</v>
      </c>
      <c r="X206" s="232" t="s">
        <v>294</v>
      </c>
      <c r="Y206" s="232" t="s">
        <v>294</v>
      </c>
      <c r="Z206" s="239" t="s">
        <v>294</v>
      </c>
      <c r="AA206" s="232" t="s">
        <v>294</v>
      </c>
      <c r="AB206" s="232" t="s">
        <v>294</v>
      </c>
      <c r="AC206" s="232" t="s">
        <v>294</v>
      </c>
      <c r="AD206" s="232" t="s">
        <v>294</v>
      </c>
      <c r="AE206" s="239" t="s">
        <v>294</v>
      </c>
      <c r="AF206" s="232" t="s">
        <v>294</v>
      </c>
      <c r="AG206" s="232" t="s">
        <v>294</v>
      </c>
      <c r="AH206" s="232" t="s">
        <v>294</v>
      </c>
      <c r="AI206" s="232" t="s">
        <v>294</v>
      </c>
      <c r="AJ206" s="239" t="s">
        <v>294</v>
      </c>
      <c r="AK206" s="147" t="s">
        <v>294</v>
      </c>
      <c r="AL206" s="158" t="s">
        <v>294</v>
      </c>
      <c r="AM206" s="158" t="s">
        <v>294</v>
      </c>
      <c r="AN206" s="19">
        <f t="shared" ref="AN206" si="3324">+AN204/AM204-1</f>
        <v>3.108673978065803</v>
      </c>
      <c r="AO206" s="251" t="s">
        <v>294</v>
      </c>
      <c r="AP206" s="20">
        <f>+AP204/AN204-1</f>
        <v>0.37757825770444042</v>
      </c>
      <c r="AQ206" s="158">
        <f>+AQ204/AP204-1</f>
        <v>1.6094768363572309</v>
      </c>
      <c r="AR206" s="158">
        <f t="shared" ref="AR206" si="3325">+AR204/AQ204-1</f>
        <v>0.62764952072363966</v>
      </c>
      <c r="AS206" s="19">
        <f t="shared" ref="AS206" si="3326">+AS204/AR204-1</f>
        <v>0.45690942269409418</v>
      </c>
      <c r="AT206" s="251" t="s">
        <v>294</v>
      </c>
      <c r="AU206" s="379">
        <f>+AU204/AS204-1</f>
        <v>-3.5616144008171258E-2</v>
      </c>
      <c r="AV206" s="19">
        <f>+AV204/AU204-1</f>
        <v>0.11844923179650868</v>
      </c>
      <c r="AW206" s="19">
        <f t="shared" ref="AW206" si="3327">+AW204/AV204-1</f>
        <v>0.47915606708469882</v>
      </c>
      <c r="AX206" s="19">
        <f t="shared" ref="AX206" si="3328">+AX204/AW204-1</f>
        <v>0.25365872990552063</v>
      </c>
      <c r="AY206" s="251" t="s">
        <v>294</v>
      </c>
      <c r="AZ206" s="19">
        <f>+AZ204/AX204-1</f>
        <v>0.29667128828998601</v>
      </c>
      <c r="BA206" s="19">
        <f>+BA204/AZ204-1</f>
        <v>0.2008623600336521</v>
      </c>
      <c r="BB206" s="19">
        <f t="shared" ref="BB206" si="3329">+BB204/BA204-1</f>
        <v>0.12432174125408069</v>
      </c>
      <c r="BC206" s="19">
        <f t="shared" ref="BC206" si="3330">+BC204/BB204-1</f>
        <v>0.16093137165007221</v>
      </c>
      <c r="BD206" s="251" t="s">
        <v>294</v>
      </c>
      <c r="BE206" s="19">
        <f>+BE204/BC204-1</f>
        <v>0.15384249423054475</v>
      </c>
      <c r="BF206" s="19">
        <f>+BF204/BE204-1</f>
        <v>9.7107327469547533E-2</v>
      </c>
      <c r="BG206" s="19">
        <f t="shared" ref="BG206" si="3331">+BG204/BF204-1</f>
        <v>8.8408288279706149E-2</v>
      </c>
      <c r="BH206" s="19">
        <f t="shared" ref="BH206" si="3332">+BH204/BG204-1</f>
        <v>9.8230429210437453E-2</v>
      </c>
      <c r="BI206" s="251" t="s">
        <v>294</v>
      </c>
      <c r="BJ206" s="19">
        <f>+BJ204/BH204-1</f>
        <v>7.6017908611354157E-2</v>
      </c>
      <c r="BK206" s="19">
        <f>+BK204/BJ204-1</f>
        <v>5.9852124332707479E-2</v>
      </c>
      <c r="BL206" s="19">
        <f t="shared" ref="BL206" si="3333">+BL204/BK204-1</f>
        <v>0.10403054144272295</v>
      </c>
      <c r="BM206" s="19">
        <f t="shared" ref="BM206" si="3334">+BM204/BL204-1</f>
        <v>7.7522050901603912E-2</v>
      </c>
      <c r="BN206" s="251" t="s">
        <v>294</v>
      </c>
      <c r="BO206" s="19">
        <f>+BO204/BM204-1</f>
        <v>6.6123575350490515E-2</v>
      </c>
      <c r="BP206" s="19">
        <f>+BP204/BO204-1</f>
        <v>6.9026386781172455E-2</v>
      </c>
      <c r="BQ206" s="19">
        <f t="shared" ref="BQ206" si="3335">+BQ204/BP204-1</f>
        <v>4.9678104447651528E-2</v>
      </c>
      <c r="BR206" s="19">
        <f t="shared" ref="BR206" si="3336">+BR204/BQ204-1</f>
        <v>5.4115839073461958E-2</v>
      </c>
      <c r="BS206" s="251" t="s">
        <v>294</v>
      </c>
      <c r="BT206" s="19">
        <f>+BT204/BR204-1</f>
        <v>2.7786380940665323E-2</v>
      </c>
      <c r="BU206" s="19">
        <f>+BU204/BT204-1</f>
        <v>3.6380846978520509E-2</v>
      </c>
      <c r="BV206" s="19">
        <f t="shared" ref="BV206" si="3337">+BV204/BU204-1</f>
        <v>3.3125391244204438E-2</v>
      </c>
      <c r="BW206" s="19">
        <f t="shared" ref="BW206" si="3338">+BW204/BV204-1</f>
        <v>3.6988787870615436E-2</v>
      </c>
      <c r="BX206" s="251" t="s">
        <v>294</v>
      </c>
      <c r="BY206" s="19">
        <f>+BY204/BW204-1</f>
        <v>2.8087358329573764E-3</v>
      </c>
      <c r="BZ206" s="19">
        <f>+BZ204/BY204-1</f>
        <v>2.1364077624184352E-2</v>
      </c>
      <c r="CA206" s="19">
        <f t="shared" ref="CA206" si="3339">+CA204/BZ204-1</f>
        <v>4.1190384438115402E-2</v>
      </c>
      <c r="CB206" s="19">
        <f t="shared" ref="CB206" si="3340">+CB204/CA204-1</f>
        <v>3.0195762080318822E-2</v>
      </c>
      <c r="CC206" s="251" t="s">
        <v>294</v>
      </c>
      <c r="CD206" s="19">
        <f>+CD204/CB204-1</f>
        <v>1.2078158688621388E-2</v>
      </c>
      <c r="CE206" s="19">
        <f>+CE204/CD204-1</f>
        <v>2.7831760248945514E-2</v>
      </c>
      <c r="CF206" s="19">
        <f t="shared" ref="CF206" si="3341">+CF204/CE204-1</f>
        <v>1.7909228617482453E-2</v>
      </c>
      <c r="CG206" s="19">
        <f t="shared" ref="CG206" si="3342">+CG204/CF204-1</f>
        <v>2.0664073503500635E-2</v>
      </c>
      <c r="CH206" s="251" t="s">
        <v>294</v>
      </c>
      <c r="CI206" s="19">
        <f>+CI204/CG204-1</f>
        <v>-5.4469797626364169E-3</v>
      </c>
      <c r="CJ206" s="19">
        <f>+CJ204/CI204-1</f>
        <v>1.1054361950793679E-2</v>
      </c>
      <c r="CK206" s="19">
        <f t="shared" ref="CK206" si="3343">+CK204/CJ204-1</f>
        <v>9.1739450159669111E-3</v>
      </c>
      <c r="CL206" s="19">
        <f t="shared" ref="CL206" si="3344">+CL204/CK204-1</f>
        <v>1.1806501332946695E-2</v>
      </c>
      <c r="CM206" s="251" t="s">
        <v>294</v>
      </c>
    </row>
    <row r="207" spans="1:93">
      <c r="A207" s="139"/>
      <c r="B207" s="232"/>
      <c r="C207" s="232"/>
      <c r="D207" s="232"/>
      <c r="E207" s="232"/>
      <c r="F207" s="239"/>
      <c r="G207" s="232"/>
      <c r="H207" s="232"/>
      <c r="I207" s="232"/>
      <c r="J207" s="232"/>
      <c r="K207" s="239"/>
      <c r="L207" s="232"/>
      <c r="M207" s="232"/>
      <c r="N207" s="232"/>
      <c r="O207" s="232"/>
      <c r="P207" s="239"/>
      <c r="Q207" s="232"/>
      <c r="R207" s="232"/>
      <c r="S207" s="232"/>
      <c r="T207" s="232"/>
      <c r="U207" s="239"/>
      <c r="V207" s="232"/>
      <c r="W207" s="232"/>
      <c r="X207" s="232"/>
      <c r="Y207" s="232"/>
      <c r="Z207" s="239"/>
      <c r="AA207" s="232"/>
      <c r="AB207" s="232"/>
      <c r="AC207" s="232"/>
      <c r="AD207" s="232"/>
      <c r="AE207" s="239"/>
      <c r="AF207" s="232"/>
      <c r="AG207" s="232"/>
      <c r="AH207" s="232"/>
      <c r="AI207" s="232"/>
      <c r="AJ207" s="239"/>
      <c r="AK207" s="147"/>
      <c r="AL207" s="158"/>
      <c r="AM207" s="158"/>
      <c r="AN207" s="19"/>
      <c r="AO207" s="251"/>
      <c r="AP207" s="20"/>
      <c r="AQ207" s="158"/>
      <c r="AR207" s="158"/>
      <c r="AS207" s="19"/>
      <c r="AT207" s="251"/>
      <c r="AU207" s="379"/>
      <c r="AV207" s="19"/>
      <c r="AW207" s="19"/>
      <c r="AX207" s="19"/>
      <c r="AY207" s="251"/>
      <c r="AZ207" s="19"/>
      <c r="BA207" s="19"/>
      <c r="BB207" s="19"/>
      <c r="BC207" s="19"/>
      <c r="BD207" s="251"/>
      <c r="BE207" s="19"/>
      <c r="BF207" s="19"/>
      <c r="BG207" s="19"/>
      <c r="BH207" s="19"/>
      <c r="BI207" s="251"/>
      <c r="BJ207" s="19"/>
      <c r="BK207" s="19"/>
      <c r="BL207" s="19"/>
      <c r="BM207" s="19"/>
      <c r="BN207" s="251"/>
      <c r="BO207" s="19"/>
      <c r="BP207" s="19"/>
      <c r="BQ207" s="19"/>
      <c r="BR207" s="19"/>
      <c r="BS207" s="251"/>
      <c r="BT207" s="19"/>
      <c r="BU207" s="19"/>
      <c r="BV207" s="19"/>
      <c r="BW207" s="19"/>
      <c r="BX207" s="251"/>
      <c r="BY207" s="19"/>
      <c r="BZ207" s="19"/>
      <c r="CA207" s="19"/>
      <c r="CB207" s="19"/>
      <c r="CC207" s="251"/>
      <c r="CD207" s="19"/>
      <c r="CE207" s="19"/>
      <c r="CF207" s="19"/>
      <c r="CG207" s="19"/>
      <c r="CH207" s="251"/>
      <c r="CI207" s="19"/>
      <c r="CJ207" s="19"/>
      <c r="CK207" s="19"/>
      <c r="CL207" s="19"/>
      <c r="CM207" s="251"/>
    </row>
    <row r="208" spans="1:93">
      <c r="A208" s="139" t="s">
        <v>408</v>
      </c>
      <c r="B208" s="232"/>
      <c r="C208" s="232"/>
      <c r="D208" s="232"/>
      <c r="E208" s="232"/>
      <c r="F208" s="239"/>
      <c r="G208" s="232"/>
      <c r="H208" s="232"/>
      <c r="I208" s="232"/>
      <c r="J208" s="232"/>
      <c r="K208" s="239"/>
      <c r="L208" s="232"/>
      <c r="M208" s="232"/>
      <c r="N208" s="232"/>
      <c r="O208" s="232"/>
      <c r="P208" s="239"/>
      <c r="Q208" s="232"/>
      <c r="R208" s="232"/>
      <c r="S208" s="232"/>
      <c r="T208" s="232"/>
      <c r="U208" s="239"/>
      <c r="V208" s="232"/>
      <c r="W208" s="232"/>
      <c r="X208" s="232"/>
      <c r="Y208" s="232"/>
      <c r="Z208" s="239"/>
      <c r="AA208" s="232"/>
      <c r="AB208" s="232"/>
      <c r="AC208" s="232"/>
      <c r="AD208" s="232"/>
      <c r="AE208" s="239"/>
      <c r="AF208" s="232"/>
      <c r="AG208" s="232"/>
      <c r="AH208" s="232"/>
      <c r="AI208" s="232"/>
      <c r="AJ208" s="239"/>
      <c r="AK208" s="147"/>
      <c r="AL208" s="158"/>
      <c r="AM208" s="330">
        <v>50</v>
      </c>
      <c r="AN208" s="330">
        <v>100</v>
      </c>
      <c r="AO208" s="251"/>
      <c r="AP208" s="330">
        <v>125</v>
      </c>
      <c r="AQ208" s="158"/>
      <c r="AR208" s="330">
        <v>250</v>
      </c>
      <c r="AS208" s="330">
        <v>300</v>
      </c>
      <c r="AT208" s="251"/>
      <c r="AU208" s="379"/>
      <c r="AV208" s="19"/>
      <c r="AW208" s="19"/>
      <c r="AX208" s="330">
        <v>450</v>
      </c>
      <c r="AY208" s="251"/>
      <c r="AZ208" s="19"/>
      <c r="BA208" s="19"/>
      <c r="BB208" s="19"/>
      <c r="BC208" s="330">
        <v>450</v>
      </c>
      <c r="BD208" s="251"/>
      <c r="BE208" s="19"/>
      <c r="BF208" s="19"/>
      <c r="BG208" s="19"/>
      <c r="BH208" s="19"/>
      <c r="BI208" s="251"/>
      <c r="BJ208" s="19"/>
      <c r="BK208" s="19"/>
      <c r="BL208" s="19"/>
      <c r="BM208" s="19"/>
      <c r="BN208" s="251"/>
      <c r="BO208" s="19"/>
      <c r="BP208" s="19"/>
      <c r="BQ208" s="19"/>
      <c r="BR208" s="19"/>
      <c r="BS208" s="251"/>
      <c r="BT208" s="19"/>
      <c r="BU208" s="19"/>
      <c r="BV208" s="19"/>
      <c r="BW208" s="19"/>
      <c r="BX208" s="251"/>
      <c r="BY208" s="19"/>
      <c r="BZ208" s="19"/>
      <c r="CA208" s="19"/>
      <c r="CB208" s="19"/>
      <c r="CC208" s="251"/>
      <c r="CD208" s="19"/>
      <c r="CE208" s="19"/>
      <c r="CF208" s="19"/>
      <c r="CG208" s="19"/>
      <c r="CH208" s="251"/>
      <c r="CI208" s="19"/>
      <c r="CJ208" s="19"/>
      <c r="CK208" s="19"/>
      <c r="CL208" s="19"/>
      <c r="CM208" s="251"/>
    </row>
    <row r="209" spans="1:93">
      <c r="A209" s="139" t="s">
        <v>438</v>
      </c>
      <c r="B209" s="232"/>
      <c r="C209" s="232"/>
      <c r="D209" s="232"/>
      <c r="E209" s="232"/>
      <c r="F209" s="239"/>
      <c r="G209" s="232"/>
      <c r="H209" s="232"/>
      <c r="I209" s="232"/>
      <c r="J209" s="232"/>
      <c r="K209" s="239"/>
      <c r="L209" s="232"/>
      <c r="M209" s="232"/>
      <c r="N209" s="232"/>
      <c r="O209" s="232"/>
      <c r="P209" s="239"/>
      <c r="Q209" s="232"/>
      <c r="R209" s="232"/>
      <c r="S209" s="232"/>
      <c r="T209" s="232"/>
      <c r="U209" s="239"/>
      <c r="V209" s="232"/>
      <c r="W209" s="232"/>
      <c r="X209" s="232"/>
      <c r="Y209" s="232"/>
      <c r="Z209" s="239"/>
      <c r="AA209" s="232"/>
      <c r="AB209" s="232"/>
      <c r="AC209" s="232"/>
      <c r="AD209" s="232"/>
      <c r="AE209" s="239"/>
      <c r="AF209" s="232"/>
      <c r="AG209" s="232"/>
      <c r="AH209" s="232"/>
      <c r="AI209" s="232"/>
      <c r="AJ209" s="239"/>
      <c r="AK209" s="147"/>
      <c r="AL209" s="158"/>
      <c r="AM209" s="158"/>
      <c r="AN209" s="19"/>
      <c r="AO209" s="251"/>
      <c r="AP209" s="20"/>
      <c r="AQ209" s="158"/>
      <c r="AR209" s="158"/>
      <c r="AS209" s="167">
        <f>(AS204*4)/AS208*1000000</f>
        <v>468386.66666666663</v>
      </c>
      <c r="AT209" s="251"/>
      <c r="AU209" s="379"/>
      <c r="AV209" s="19"/>
      <c r="AW209" s="19"/>
      <c r="AX209" s="167">
        <f>(AX204*4)/AX208*1000000</f>
        <v>624558.035426958</v>
      </c>
      <c r="AY209" s="251"/>
      <c r="AZ209" s="19"/>
      <c r="BA209" s="19"/>
      <c r="BB209" s="19"/>
      <c r="BC209" s="167">
        <f>(BC204*4)/BC208*1000000</f>
        <v>1269384.1851382146</v>
      </c>
      <c r="BD209" s="251"/>
      <c r="BE209" s="19"/>
      <c r="BF209" s="19"/>
      <c r="BG209" s="19"/>
      <c r="BH209" s="19"/>
      <c r="BI209" s="251"/>
      <c r="BJ209" s="19"/>
      <c r="BK209" s="19"/>
      <c r="BL209" s="19"/>
      <c r="BM209" s="19"/>
      <c r="BN209" s="251"/>
      <c r="BO209" s="19"/>
      <c r="BP209" s="19"/>
      <c r="BQ209" s="19"/>
      <c r="BR209" s="19"/>
      <c r="BS209" s="251"/>
      <c r="BT209" s="19"/>
      <c r="BU209" s="19"/>
      <c r="BV209" s="19"/>
      <c r="BW209" s="19"/>
      <c r="BX209" s="251"/>
      <c r="BY209" s="19"/>
      <c r="BZ209" s="19"/>
      <c r="CA209" s="19"/>
      <c r="CB209" s="19"/>
      <c r="CC209" s="251"/>
      <c r="CD209" s="19"/>
      <c r="CE209" s="19"/>
      <c r="CF209" s="19"/>
      <c r="CG209" s="19"/>
      <c r="CH209" s="251"/>
      <c r="CI209" s="19"/>
      <c r="CJ209" s="19"/>
      <c r="CK209" s="19"/>
      <c r="CL209" s="19"/>
      <c r="CM209" s="251"/>
    </row>
    <row r="210" spans="1:93">
      <c r="F210" s="240"/>
      <c r="K210" s="240"/>
      <c r="P210" s="240"/>
      <c r="U210" s="240"/>
      <c r="Z210" s="240"/>
      <c r="AE210" s="240"/>
      <c r="AJ210" s="240"/>
      <c r="AO210" s="240"/>
      <c r="AT210" s="240"/>
      <c r="AU210" s="374"/>
      <c r="AY210" s="240"/>
      <c r="BD210" s="240"/>
      <c r="BI210" s="240"/>
      <c r="BN210" s="240"/>
      <c r="BS210" s="240"/>
      <c r="BX210" s="240"/>
      <c r="CC210" s="240"/>
      <c r="CH210" s="240"/>
      <c r="CM210" s="240"/>
    </row>
    <row r="211" spans="1:93">
      <c r="F211" s="240"/>
      <c r="K211" s="240"/>
      <c r="P211" s="240"/>
      <c r="U211" s="240"/>
      <c r="Z211" s="240"/>
      <c r="AE211" s="240"/>
      <c r="AJ211" s="240"/>
      <c r="AO211" s="240"/>
      <c r="AT211" s="240"/>
      <c r="AU211" s="374"/>
      <c r="AY211" s="240"/>
      <c r="BD211" s="240"/>
      <c r="BI211" s="240"/>
      <c r="BN211" s="240"/>
      <c r="BS211" s="240"/>
      <c r="BX211" s="240"/>
      <c r="CC211" s="240"/>
      <c r="CH211" s="240"/>
      <c r="CM211" s="240"/>
    </row>
    <row r="212" spans="1:93">
      <c r="F212" s="240"/>
      <c r="K212" s="240"/>
      <c r="P212" s="240"/>
      <c r="U212" s="240"/>
      <c r="Z212" s="240"/>
      <c r="AE212" s="240"/>
      <c r="AJ212" s="240"/>
      <c r="AO212" s="240"/>
      <c r="AT212" s="240"/>
      <c r="AU212" s="374"/>
      <c r="AY212" s="240"/>
      <c r="BD212" s="240"/>
      <c r="BI212" s="240"/>
      <c r="BN212" s="240"/>
      <c r="BS212" s="240"/>
      <c r="BX212" s="240"/>
      <c r="CC212" s="240"/>
      <c r="CH212" s="240"/>
      <c r="CM212" s="240"/>
    </row>
    <row r="213" spans="1:93" s="230" customFormat="1">
      <c r="A213" s="178" t="s">
        <v>342</v>
      </c>
      <c r="B213" s="178"/>
      <c r="C213" s="178"/>
      <c r="D213" s="178"/>
      <c r="E213" s="178"/>
      <c r="F213" s="238"/>
      <c r="G213" s="178"/>
      <c r="H213" s="178"/>
      <c r="I213" s="178"/>
      <c r="J213" s="178"/>
      <c r="K213" s="238"/>
      <c r="L213" s="178"/>
      <c r="M213" s="178"/>
      <c r="N213" s="178"/>
      <c r="O213" s="178"/>
      <c r="P213" s="238"/>
      <c r="Q213" s="178"/>
      <c r="R213" s="178"/>
      <c r="S213" s="178"/>
      <c r="T213" s="178"/>
      <c r="U213" s="238"/>
      <c r="V213" s="178"/>
      <c r="W213" s="178"/>
      <c r="X213" s="178"/>
      <c r="Y213" s="178"/>
      <c r="Z213" s="238"/>
      <c r="AA213" s="178"/>
      <c r="AB213" s="178"/>
      <c r="AC213" s="178"/>
      <c r="AD213" s="178"/>
      <c r="AE213" s="238"/>
      <c r="AF213" s="178"/>
      <c r="AG213" s="178"/>
      <c r="AH213" s="178"/>
      <c r="AI213" s="178"/>
      <c r="AJ213" s="238"/>
      <c r="AK213" s="178"/>
      <c r="AL213" s="178"/>
      <c r="AM213" s="178"/>
      <c r="AN213" s="178"/>
      <c r="AO213" s="238"/>
      <c r="AP213" s="178"/>
      <c r="AQ213" s="178"/>
      <c r="AR213" s="178"/>
      <c r="AS213" s="178"/>
      <c r="AT213" s="238"/>
      <c r="AU213" s="178"/>
      <c r="AV213" s="178"/>
      <c r="AW213" s="178"/>
      <c r="AX213" s="178"/>
      <c r="AY213" s="238"/>
      <c r="AZ213" s="178"/>
      <c r="BA213" s="178"/>
      <c r="BB213" s="178"/>
      <c r="BC213" s="178"/>
      <c r="BD213" s="238"/>
      <c r="BE213" s="178"/>
      <c r="BF213" s="178"/>
      <c r="BG213" s="178"/>
      <c r="BH213" s="178"/>
      <c r="BI213" s="238"/>
      <c r="BJ213" s="178"/>
      <c r="BK213" s="178"/>
      <c r="BL213" s="178"/>
      <c r="BM213" s="178"/>
      <c r="BN213" s="238"/>
      <c r="BO213" s="178"/>
      <c r="BP213" s="178"/>
      <c r="BQ213" s="178"/>
      <c r="BR213" s="178"/>
      <c r="BS213" s="238"/>
      <c r="BT213" s="178"/>
      <c r="BU213" s="178"/>
      <c r="BV213" s="178"/>
      <c r="BW213" s="178"/>
      <c r="BX213" s="238"/>
      <c r="BY213" s="178"/>
      <c r="BZ213" s="178"/>
      <c r="CA213" s="178"/>
      <c r="CB213" s="178"/>
      <c r="CC213" s="238"/>
      <c r="CD213" s="178"/>
      <c r="CE213" s="178"/>
      <c r="CF213" s="178"/>
      <c r="CG213" s="178"/>
      <c r="CH213" s="238"/>
      <c r="CI213" s="178"/>
      <c r="CJ213" s="178"/>
      <c r="CK213" s="178"/>
      <c r="CL213" s="178"/>
      <c r="CM213" s="238"/>
      <c r="CN213" s="178"/>
      <c r="CO213" s="178"/>
    </row>
    <row r="214" spans="1:93">
      <c r="A214" s="18" t="s">
        <v>343</v>
      </c>
      <c r="B214" s="232" t="s">
        <v>294</v>
      </c>
      <c r="C214" s="232" t="s">
        <v>294</v>
      </c>
      <c r="D214" s="232" t="s">
        <v>294</v>
      </c>
      <c r="E214" s="232" t="s">
        <v>294</v>
      </c>
      <c r="F214" s="239" t="s">
        <v>294</v>
      </c>
      <c r="G214" s="232" t="s">
        <v>294</v>
      </c>
      <c r="H214" s="232" t="s">
        <v>294</v>
      </c>
      <c r="I214" s="232" t="s">
        <v>294</v>
      </c>
      <c r="J214" s="232" t="s">
        <v>294</v>
      </c>
      <c r="K214" s="239" t="s">
        <v>294</v>
      </c>
      <c r="L214" s="232" t="s">
        <v>294</v>
      </c>
      <c r="M214" s="232" t="s">
        <v>294</v>
      </c>
      <c r="N214" s="232" t="s">
        <v>294</v>
      </c>
      <c r="O214" s="232" t="s">
        <v>294</v>
      </c>
      <c r="P214" s="239" t="s">
        <v>294</v>
      </c>
      <c r="Q214" s="232" t="s">
        <v>294</v>
      </c>
      <c r="R214" s="232" t="s">
        <v>294</v>
      </c>
      <c r="S214" s="232" t="s">
        <v>294</v>
      </c>
      <c r="T214" s="232" t="s">
        <v>294</v>
      </c>
      <c r="U214" s="239" t="s">
        <v>294</v>
      </c>
      <c r="V214" s="232" t="s">
        <v>294</v>
      </c>
      <c r="W214" s="232" t="s">
        <v>294</v>
      </c>
      <c r="X214" s="232" t="s">
        <v>294</v>
      </c>
      <c r="Y214" s="232" t="s">
        <v>294</v>
      </c>
      <c r="Z214" s="239" t="s">
        <v>294</v>
      </c>
      <c r="AA214" s="232" t="s">
        <v>294</v>
      </c>
      <c r="AB214" s="232" t="s">
        <v>294</v>
      </c>
      <c r="AC214" s="232" t="s">
        <v>294</v>
      </c>
      <c r="AD214" s="232" t="s">
        <v>294</v>
      </c>
      <c r="AE214" s="239" t="s">
        <v>294</v>
      </c>
      <c r="AF214" s="232" t="s">
        <v>294</v>
      </c>
      <c r="AG214" s="232" t="s">
        <v>294</v>
      </c>
      <c r="AH214" s="232" t="s">
        <v>294</v>
      </c>
      <c r="AI214" s="232" t="s">
        <v>294</v>
      </c>
      <c r="AJ214" s="239" t="s">
        <v>294</v>
      </c>
      <c r="AK214" s="49">
        <f>+AO214/4</f>
        <v>1675000</v>
      </c>
      <c r="AL214" s="49">
        <f>+AO214/4</f>
        <v>1675000</v>
      </c>
      <c r="AM214" s="49">
        <f>+AO214/4</f>
        <v>1675000</v>
      </c>
      <c r="AN214" s="49">
        <f>+AO214/4</f>
        <v>1675000</v>
      </c>
      <c r="AO214" s="242">
        <v>6700000</v>
      </c>
      <c r="AP214" s="49">
        <f>+AN214-AK215</f>
        <v>1675000</v>
      </c>
      <c r="AQ214" s="49">
        <f>+AP214-AL215</f>
        <v>1675000</v>
      </c>
      <c r="AR214" s="49">
        <f>+AQ214-AM215</f>
        <v>1675000</v>
      </c>
      <c r="AS214" s="49">
        <f>+AR214-AN215</f>
        <v>1675000</v>
      </c>
      <c r="AT214" s="242">
        <f>+AP214+AQ214+AR214+AS214</f>
        <v>6700000</v>
      </c>
      <c r="AU214" s="392">
        <f>+AS214-AP215</f>
        <v>1675000</v>
      </c>
      <c r="AV214" s="49">
        <f>+AU214-AQ215</f>
        <v>1675000</v>
      </c>
      <c r="AW214" s="49">
        <f>+AV214-AR215</f>
        <v>1675000</v>
      </c>
      <c r="AX214" s="49">
        <f>+AW214-AS215</f>
        <v>1675000</v>
      </c>
      <c r="AY214" s="242">
        <f>+AU214+AV214+AW214+AX214</f>
        <v>6700000</v>
      </c>
      <c r="AZ214" s="49">
        <f>+AX214-AU215</f>
        <v>1675000</v>
      </c>
      <c r="BA214" s="49">
        <f>+AZ214-AV215</f>
        <v>1675000</v>
      </c>
      <c r="BB214" s="49">
        <f>+BA214-AW215</f>
        <v>1675000</v>
      </c>
      <c r="BC214" s="49">
        <f>+BB214-AX215</f>
        <v>1675000</v>
      </c>
      <c r="BD214" s="242">
        <f>+AZ214+BA214+BB214+BC214</f>
        <v>6700000</v>
      </c>
      <c r="BE214" s="49">
        <f>+BC214-AZ215</f>
        <v>1675000</v>
      </c>
      <c r="BF214" s="49">
        <f>+BE214-BA215</f>
        <v>1675000</v>
      </c>
      <c r="BG214" s="49">
        <f>+BF214-BB215</f>
        <v>1675000</v>
      </c>
      <c r="BH214" s="49">
        <f>+BG214-BC215</f>
        <v>1675000</v>
      </c>
      <c r="BI214" s="242">
        <f>+BE214+BF214+BG214+BH214</f>
        <v>6700000</v>
      </c>
      <c r="BJ214" s="49">
        <f>+BH214-BE215</f>
        <v>1675000</v>
      </c>
      <c r="BK214" s="49">
        <f>+BJ214-BF215</f>
        <v>1675000</v>
      </c>
      <c r="BL214" s="49">
        <f>+BK214-BG215</f>
        <v>1675000</v>
      </c>
      <c r="BM214" s="49">
        <f>+BL214-BH215</f>
        <v>1675000</v>
      </c>
      <c r="BN214" s="242">
        <f>+BJ214+BK214+BL214+BM214</f>
        <v>6700000</v>
      </c>
      <c r="BO214" s="49">
        <f>+BM214-BJ215</f>
        <v>1675000</v>
      </c>
      <c r="BP214" s="49">
        <f>+BO214-BK215</f>
        <v>1675000</v>
      </c>
      <c r="BQ214" s="49">
        <f>+BP214-BL215</f>
        <v>1675000</v>
      </c>
      <c r="BR214" s="49">
        <f>+BQ214-BM215</f>
        <v>1675000</v>
      </c>
      <c r="BS214" s="242">
        <f>+BO214+BP214+BQ214+BR214</f>
        <v>6700000</v>
      </c>
      <c r="BT214" s="49">
        <f>+BR214-BO215</f>
        <v>1675000</v>
      </c>
      <c r="BU214" s="49">
        <f>+BT214-BP215</f>
        <v>1675000</v>
      </c>
      <c r="BV214" s="49">
        <f>+BU214-BQ215</f>
        <v>1675000</v>
      </c>
      <c r="BW214" s="49">
        <f>+BV214-BR215</f>
        <v>1675000</v>
      </c>
      <c r="BX214" s="242">
        <f>+BT214+BU214+BV214+BW214</f>
        <v>6700000</v>
      </c>
      <c r="BY214" s="49">
        <f>+BW214-BT215</f>
        <v>1675000</v>
      </c>
      <c r="BZ214" s="49">
        <f>+BY214-BU215</f>
        <v>1675000</v>
      </c>
      <c r="CA214" s="49">
        <f>+BZ214-BV215</f>
        <v>1675000</v>
      </c>
      <c r="CB214" s="49">
        <f>+CA214-BW215</f>
        <v>1675000</v>
      </c>
      <c r="CC214" s="242">
        <f>+BY214+BZ214+CA214+CB214</f>
        <v>6700000</v>
      </c>
      <c r="CD214" s="49">
        <f>+CB214-BY215</f>
        <v>1675000</v>
      </c>
      <c r="CE214" s="49">
        <f>+CD214-BZ215</f>
        <v>1675000</v>
      </c>
      <c r="CF214" s="49">
        <f>+CE214-CA215</f>
        <v>1675000</v>
      </c>
      <c r="CG214" s="49">
        <f>+CF214-CB215</f>
        <v>1675000</v>
      </c>
      <c r="CH214" s="242">
        <f>+CD214+CE214+CF214+CG214</f>
        <v>6700000</v>
      </c>
      <c r="CI214" s="49">
        <f>+CG214-CD215</f>
        <v>1675000</v>
      </c>
      <c r="CJ214" s="49">
        <f>+CI214-CE215</f>
        <v>1675000</v>
      </c>
      <c r="CK214" s="49">
        <f>+CJ214-CF215</f>
        <v>1675000</v>
      </c>
      <c r="CL214" s="49">
        <f>+CK214-CG215</f>
        <v>1675000</v>
      </c>
      <c r="CM214" s="242">
        <f>+CI214+CJ214+CK214+CL214</f>
        <v>6700000</v>
      </c>
    </row>
    <row r="215" spans="1:93">
      <c r="A215" s="18" t="s">
        <v>344</v>
      </c>
      <c r="B215" s="232" t="s">
        <v>294</v>
      </c>
      <c r="C215" s="232" t="s">
        <v>294</v>
      </c>
      <c r="D215" s="232" t="s">
        <v>294</v>
      </c>
      <c r="E215" s="232" t="s">
        <v>294</v>
      </c>
      <c r="F215" s="239" t="s">
        <v>294</v>
      </c>
      <c r="G215" s="232" t="s">
        <v>294</v>
      </c>
      <c r="H215" s="232" t="s">
        <v>294</v>
      </c>
      <c r="I215" s="232" t="s">
        <v>294</v>
      </c>
      <c r="J215" s="232" t="s">
        <v>294</v>
      </c>
      <c r="K215" s="239" t="s">
        <v>294</v>
      </c>
      <c r="L215" s="232" t="s">
        <v>294</v>
      </c>
      <c r="M215" s="232" t="s">
        <v>294</v>
      </c>
      <c r="N215" s="232" t="s">
        <v>294</v>
      </c>
      <c r="O215" s="232" t="s">
        <v>294</v>
      </c>
      <c r="P215" s="239" t="s">
        <v>294</v>
      </c>
      <c r="Q215" s="232" t="s">
        <v>294</v>
      </c>
      <c r="R215" s="232" t="s">
        <v>294</v>
      </c>
      <c r="S215" s="232" t="s">
        <v>294</v>
      </c>
      <c r="T215" s="232" t="s">
        <v>294</v>
      </c>
      <c r="U215" s="239" t="s">
        <v>294</v>
      </c>
      <c r="V215" s="232" t="s">
        <v>294</v>
      </c>
      <c r="W215" s="232" t="s">
        <v>294</v>
      </c>
      <c r="X215" s="232" t="s">
        <v>294</v>
      </c>
      <c r="Y215" s="232" t="s">
        <v>294</v>
      </c>
      <c r="Z215" s="239" t="s">
        <v>294</v>
      </c>
      <c r="AA215" s="232" t="s">
        <v>294</v>
      </c>
      <c r="AB215" s="232" t="s">
        <v>294</v>
      </c>
      <c r="AC215" s="232" t="s">
        <v>294</v>
      </c>
      <c r="AD215" s="232" t="s">
        <v>294</v>
      </c>
      <c r="AE215" s="239" t="s">
        <v>294</v>
      </c>
      <c r="AF215" s="232" t="s">
        <v>294</v>
      </c>
      <c r="AG215" s="232" t="s">
        <v>294</v>
      </c>
      <c r="AH215" s="232" t="s">
        <v>294</v>
      </c>
      <c r="AI215" s="232" t="s">
        <v>294</v>
      </c>
      <c r="AJ215" s="239" t="s">
        <v>294</v>
      </c>
      <c r="AK215" s="49">
        <f>+AK214*AK216</f>
        <v>0</v>
      </c>
      <c r="AL215" s="49">
        <f>+AL214*AL216</f>
        <v>0</v>
      </c>
      <c r="AM215" s="49">
        <f>+AM214*AM216</f>
        <v>0</v>
      </c>
      <c r="AN215" s="49">
        <f>+AN214*AN216</f>
        <v>0</v>
      </c>
      <c r="AO215" s="242">
        <f>+AK215+AL215+AM215+AN215</f>
        <v>0</v>
      </c>
      <c r="AP215" s="49">
        <f>+AP214*AP216</f>
        <v>0</v>
      </c>
      <c r="AQ215" s="49">
        <f>+AQ214*AQ216</f>
        <v>0</v>
      </c>
      <c r="AR215" s="49">
        <f>+AR214*AR216</f>
        <v>0</v>
      </c>
      <c r="AS215" s="49">
        <f>+AS214*AS216</f>
        <v>0</v>
      </c>
      <c r="AT215" s="242">
        <f>+AP215+AQ215+AR215+AS215</f>
        <v>0</v>
      </c>
      <c r="AU215" s="392">
        <f>+AU214*AU216</f>
        <v>0</v>
      </c>
      <c r="AV215" s="49">
        <f>+AV214*AV216</f>
        <v>0</v>
      </c>
      <c r="AW215" s="49">
        <f>+AW214*AW216</f>
        <v>0</v>
      </c>
      <c r="AX215" s="49">
        <f>+AX214*AX216</f>
        <v>0</v>
      </c>
      <c r="AY215" s="242">
        <f>+AU215+AV215+AW215+AX215</f>
        <v>0</v>
      </c>
      <c r="AZ215" s="49">
        <f>+AZ214*AZ216</f>
        <v>0</v>
      </c>
      <c r="BA215" s="49">
        <f>+BA214*BA216</f>
        <v>0</v>
      </c>
      <c r="BB215" s="49">
        <f>+BB214*BB216</f>
        <v>0</v>
      </c>
      <c r="BC215" s="49">
        <f>+BC214*BC216</f>
        <v>0</v>
      </c>
      <c r="BD215" s="242">
        <f>+AZ215+BA215+BB215+BC215</f>
        <v>0</v>
      </c>
      <c r="BE215" s="49">
        <f>+BE214*BE216</f>
        <v>0</v>
      </c>
      <c r="BF215" s="49">
        <f>+BF214*BF216</f>
        <v>0</v>
      </c>
      <c r="BG215" s="49">
        <f>+BG214*BG216</f>
        <v>0</v>
      </c>
      <c r="BH215" s="49">
        <f>+BH214*BH216</f>
        <v>0</v>
      </c>
      <c r="BI215" s="242">
        <f>+BE215+BF215+BG215+BH215</f>
        <v>0</v>
      </c>
      <c r="BJ215" s="49">
        <f>+BJ214*BJ216</f>
        <v>0</v>
      </c>
      <c r="BK215" s="49">
        <f>+BK214*BK216</f>
        <v>0</v>
      </c>
      <c r="BL215" s="49">
        <f>+BL214*BL216</f>
        <v>0</v>
      </c>
      <c r="BM215" s="49">
        <f>+BM214*BM216</f>
        <v>0</v>
      </c>
      <c r="BN215" s="242">
        <f>+BJ215+BK215+BL215+BM215</f>
        <v>0</v>
      </c>
      <c r="BO215" s="49">
        <f>+BO214*BO216</f>
        <v>0</v>
      </c>
      <c r="BP215" s="49">
        <f>+BP214*BP216</f>
        <v>0</v>
      </c>
      <c r="BQ215" s="49">
        <f>+BQ214*BQ216</f>
        <v>0</v>
      </c>
      <c r="BR215" s="49">
        <f>+BR214*BR216</f>
        <v>0</v>
      </c>
      <c r="BS215" s="242">
        <f>+BO215+BP215+BQ215+BR215</f>
        <v>0</v>
      </c>
      <c r="BT215" s="49">
        <f>+BT214*BT216</f>
        <v>0</v>
      </c>
      <c r="BU215" s="49">
        <f>+BU214*BU216</f>
        <v>0</v>
      </c>
      <c r="BV215" s="49">
        <f>+BV214*BV216</f>
        <v>0</v>
      </c>
      <c r="BW215" s="49">
        <f>+BW214*BW216</f>
        <v>0</v>
      </c>
      <c r="BX215" s="242">
        <f>+BT215+BU215+BV215+BW215</f>
        <v>0</v>
      </c>
      <c r="BY215" s="49">
        <f>+BY214*BY216</f>
        <v>0</v>
      </c>
      <c r="BZ215" s="49">
        <f>+BZ214*BZ216</f>
        <v>0</v>
      </c>
      <c r="CA215" s="49">
        <f>+CA214*CA216</f>
        <v>0</v>
      </c>
      <c r="CB215" s="49">
        <f>+CB214*CB216</f>
        <v>0</v>
      </c>
      <c r="CC215" s="242">
        <f>+BY215+BZ215+CA215+CB215</f>
        <v>0</v>
      </c>
      <c r="CD215" s="49">
        <f>+CD214*CD216</f>
        <v>0</v>
      </c>
      <c r="CE215" s="49">
        <f>+CE214*CE216</f>
        <v>0</v>
      </c>
      <c r="CF215" s="49">
        <f>+CF214*CF216</f>
        <v>0</v>
      </c>
      <c r="CG215" s="49">
        <f>+CG214*CG216</f>
        <v>0</v>
      </c>
      <c r="CH215" s="242">
        <f>+CD215+CE215+CF215+CG215</f>
        <v>0</v>
      </c>
      <c r="CI215" s="49">
        <f>+CI214*CI216</f>
        <v>0</v>
      </c>
      <c r="CJ215" s="49">
        <f>+CJ214*CJ216</f>
        <v>0</v>
      </c>
      <c r="CK215" s="49">
        <f>+CK214*CK216</f>
        <v>0</v>
      </c>
      <c r="CL215" s="49">
        <f>+CL214*CL216</f>
        <v>0</v>
      </c>
      <c r="CM215" s="242">
        <f>+CI215+CJ215+CK215+CL215</f>
        <v>0</v>
      </c>
    </row>
    <row r="216" spans="1:93">
      <c r="A216" s="139" t="s">
        <v>350</v>
      </c>
      <c r="B216" s="232" t="s">
        <v>294</v>
      </c>
      <c r="C216" s="232" t="s">
        <v>294</v>
      </c>
      <c r="D216" s="232" t="s">
        <v>294</v>
      </c>
      <c r="E216" s="232" t="s">
        <v>294</v>
      </c>
      <c r="F216" s="239" t="s">
        <v>294</v>
      </c>
      <c r="G216" s="232" t="s">
        <v>294</v>
      </c>
      <c r="H216" s="232" t="s">
        <v>294</v>
      </c>
      <c r="I216" s="232" t="s">
        <v>294</v>
      </c>
      <c r="J216" s="232" t="s">
        <v>294</v>
      </c>
      <c r="K216" s="239" t="s">
        <v>294</v>
      </c>
      <c r="L216" s="232" t="s">
        <v>294</v>
      </c>
      <c r="M216" s="232" t="s">
        <v>294</v>
      </c>
      <c r="N216" s="232" t="s">
        <v>294</v>
      </c>
      <c r="O216" s="232" t="s">
        <v>294</v>
      </c>
      <c r="P216" s="239" t="s">
        <v>294</v>
      </c>
      <c r="Q216" s="232" t="s">
        <v>294</v>
      </c>
      <c r="R216" s="232" t="s">
        <v>294</v>
      </c>
      <c r="S216" s="232" t="s">
        <v>294</v>
      </c>
      <c r="T216" s="232" t="s">
        <v>294</v>
      </c>
      <c r="U216" s="239" t="s">
        <v>294</v>
      </c>
      <c r="V216" s="232" t="s">
        <v>294</v>
      </c>
      <c r="W216" s="232" t="s">
        <v>294</v>
      </c>
      <c r="X216" s="232" t="s">
        <v>294</v>
      </c>
      <c r="Y216" s="232" t="s">
        <v>294</v>
      </c>
      <c r="Z216" s="239" t="s">
        <v>294</v>
      </c>
      <c r="AA216" s="232" t="s">
        <v>294</v>
      </c>
      <c r="AB216" s="232" t="s">
        <v>294</v>
      </c>
      <c r="AC216" s="232" t="s">
        <v>294</v>
      </c>
      <c r="AD216" s="232" t="s">
        <v>294</v>
      </c>
      <c r="AE216" s="239" t="s">
        <v>294</v>
      </c>
      <c r="AF216" s="232" t="s">
        <v>294</v>
      </c>
      <c r="AG216" s="232" t="s">
        <v>294</v>
      </c>
      <c r="AH216" s="232" t="s">
        <v>294</v>
      </c>
      <c r="AI216" s="232" t="s">
        <v>294</v>
      </c>
      <c r="AJ216" s="239" t="s">
        <v>294</v>
      </c>
      <c r="AK216" s="164">
        <v>0</v>
      </c>
      <c r="AL216" s="164">
        <v>0</v>
      </c>
      <c r="AM216" s="164">
        <v>0</v>
      </c>
      <c r="AN216" s="164">
        <v>0</v>
      </c>
      <c r="AO216" s="259">
        <f>+AO215/AO214</f>
        <v>0</v>
      </c>
      <c r="AP216" s="164">
        <v>0</v>
      </c>
      <c r="AQ216" s="164">
        <v>0</v>
      </c>
      <c r="AR216" s="164">
        <v>0</v>
      </c>
      <c r="AS216" s="164">
        <v>0</v>
      </c>
      <c r="AT216" s="259">
        <f>+AT215/AT214</f>
        <v>0</v>
      </c>
      <c r="AU216" s="400">
        <v>0</v>
      </c>
      <c r="AV216" s="164">
        <v>0</v>
      </c>
      <c r="AW216" s="164">
        <v>0</v>
      </c>
      <c r="AX216" s="164">
        <v>0</v>
      </c>
      <c r="AY216" s="259">
        <f>+AY215/AY214</f>
        <v>0</v>
      </c>
      <c r="AZ216" s="164">
        <v>0</v>
      </c>
      <c r="BA216" s="164">
        <v>0</v>
      </c>
      <c r="BB216" s="164">
        <v>0</v>
      </c>
      <c r="BC216" s="164">
        <v>0</v>
      </c>
      <c r="BD216" s="259">
        <f>+BD215/BD214</f>
        <v>0</v>
      </c>
      <c r="BE216" s="164">
        <v>0</v>
      </c>
      <c r="BF216" s="164">
        <v>0</v>
      </c>
      <c r="BG216" s="164">
        <v>0</v>
      </c>
      <c r="BH216" s="164">
        <v>0</v>
      </c>
      <c r="BI216" s="259">
        <f>+BI215/BI214</f>
        <v>0</v>
      </c>
      <c r="BJ216" s="164">
        <v>0</v>
      </c>
      <c r="BK216" s="164">
        <v>0</v>
      </c>
      <c r="BL216" s="164">
        <v>0</v>
      </c>
      <c r="BM216" s="164">
        <v>0</v>
      </c>
      <c r="BN216" s="259">
        <f>+BN215/BN214</f>
        <v>0</v>
      </c>
      <c r="BO216" s="164">
        <v>0</v>
      </c>
      <c r="BP216" s="164">
        <v>0</v>
      </c>
      <c r="BQ216" s="164">
        <v>0</v>
      </c>
      <c r="BR216" s="164">
        <v>0</v>
      </c>
      <c r="BS216" s="259">
        <f>+BS215/BS214</f>
        <v>0</v>
      </c>
      <c r="BT216" s="164">
        <v>0</v>
      </c>
      <c r="BU216" s="164">
        <v>0</v>
      </c>
      <c r="BV216" s="164">
        <v>0</v>
      </c>
      <c r="BW216" s="164">
        <v>0</v>
      </c>
      <c r="BX216" s="259">
        <f>+BX215/BX214</f>
        <v>0</v>
      </c>
      <c r="BY216" s="164">
        <v>0</v>
      </c>
      <c r="BZ216" s="164">
        <v>0</v>
      </c>
      <c r="CA216" s="164">
        <v>0</v>
      </c>
      <c r="CB216" s="164">
        <v>0</v>
      </c>
      <c r="CC216" s="259">
        <f>+CC215/CC214</f>
        <v>0</v>
      </c>
      <c r="CD216" s="164">
        <v>0</v>
      </c>
      <c r="CE216" s="164">
        <v>0</v>
      </c>
      <c r="CF216" s="164">
        <v>0</v>
      </c>
      <c r="CG216" s="164">
        <v>0</v>
      </c>
      <c r="CH216" s="259">
        <f>+CH215/CH214</f>
        <v>0</v>
      </c>
      <c r="CI216" s="164">
        <v>0</v>
      </c>
      <c r="CJ216" s="164">
        <v>0</v>
      </c>
      <c r="CK216" s="164">
        <v>0</v>
      </c>
      <c r="CL216" s="164">
        <v>0</v>
      </c>
      <c r="CM216" s="259">
        <f>+CM215/CM214</f>
        <v>0</v>
      </c>
    </row>
    <row r="217" spans="1:93">
      <c r="A217" s="161" t="s">
        <v>340</v>
      </c>
      <c r="B217" s="232" t="s">
        <v>294</v>
      </c>
      <c r="C217" s="232" t="s">
        <v>294</v>
      </c>
      <c r="D217" s="232" t="s">
        <v>294</v>
      </c>
      <c r="E217" s="232" t="s">
        <v>294</v>
      </c>
      <c r="F217" s="239" t="s">
        <v>294</v>
      </c>
      <c r="G217" s="232" t="s">
        <v>294</v>
      </c>
      <c r="H217" s="232" t="s">
        <v>294</v>
      </c>
      <c r="I217" s="232" t="s">
        <v>294</v>
      </c>
      <c r="J217" s="232" t="s">
        <v>294</v>
      </c>
      <c r="K217" s="239" t="s">
        <v>294</v>
      </c>
      <c r="L217" s="232" t="s">
        <v>294</v>
      </c>
      <c r="M217" s="232" t="s">
        <v>294</v>
      </c>
      <c r="N217" s="232" t="s">
        <v>294</v>
      </c>
      <c r="O217" s="232" t="s">
        <v>294</v>
      </c>
      <c r="P217" s="239" t="s">
        <v>294</v>
      </c>
      <c r="Q217" s="232" t="s">
        <v>294</v>
      </c>
      <c r="R217" s="232" t="s">
        <v>294</v>
      </c>
      <c r="S217" s="232" t="s">
        <v>294</v>
      </c>
      <c r="T217" s="232" t="s">
        <v>294</v>
      </c>
      <c r="U217" s="239" t="s">
        <v>294</v>
      </c>
      <c r="V217" s="232" t="s">
        <v>294</v>
      </c>
      <c r="W217" s="232" t="s">
        <v>294</v>
      </c>
      <c r="X217" s="232" t="s">
        <v>294</v>
      </c>
      <c r="Y217" s="232" t="s">
        <v>294</v>
      </c>
      <c r="Z217" s="239" t="s">
        <v>294</v>
      </c>
      <c r="AA217" s="232" t="s">
        <v>294</v>
      </c>
      <c r="AB217" s="232" t="s">
        <v>294</v>
      </c>
      <c r="AC217" s="232" t="s">
        <v>294</v>
      </c>
      <c r="AD217" s="232" t="s">
        <v>294</v>
      </c>
      <c r="AE217" s="239" t="s">
        <v>294</v>
      </c>
      <c r="AF217" s="232" t="s">
        <v>294</v>
      </c>
      <c r="AG217" s="232" t="s">
        <v>294</v>
      </c>
      <c r="AH217" s="232" t="s">
        <v>294</v>
      </c>
      <c r="AI217" s="232" t="s">
        <v>294</v>
      </c>
      <c r="AJ217" s="239" t="s">
        <v>294</v>
      </c>
      <c r="AK217" s="232" t="s">
        <v>294</v>
      </c>
      <c r="AL217" s="232" t="s">
        <v>294</v>
      </c>
      <c r="AM217" s="232" t="s">
        <v>294</v>
      </c>
      <c r="AN217" s="232" t="s">
        <v>294</v>
      </c>
      <c r="AO217" s="239" t="s">
        <v>294</v>
      </c>
      <c r="AP217" s="166">
        <f>+(AP216-AK216)*100000</f>
        <v>0</v>
      </c>
      <c r="AQ217" s="232">
        <f t="shared" ref="AQ217" si="3345">+(AQ216-AL216)*100000</f>
        <v>0</v>
      </c>
      <c r="AR217" s="232">
        <f>+(AR216-AM216)*100000</f>
        <v>0</v>
      </c>
      <c r="AS217" s="166">
        <f t="shared" ref="AS217" si="3346">+(AS216-AN216)*100000</f>
        <v>0</v>
      </c>
      <c r="AT217" s="260">
        <f t="shared" ref="AT217" si="3347">+(AT216-AO216)*100000</f>
        <v>0</v>
      </c>
      <c r="AU217" s="394">
        <f t="shared" ref="AU217" si="3348">+(AU216-AP216)*100000</f>
        <v>0</v>
      </c>
      <c r="AV217" s="166">
        <f t="shared" ref="AV217" si="3349">+(AV216-AQ216)*100000</f>
        <v>0</v>
      </c>
      <c r="AW217" s="166">
        <f t="shared" ref="AW217" si="3350">+(AW216-AR216)*100000</f>
        <v>0</v>
      </c>
      <c r="AX217" s="166">
        <f t="shared" ref="AX217" si="3351">+(AX216-AS216)*100000</f>
        <v>0</v>
      </c>
      <c r="AY217" s="260">
        <f>+(AY216-AT216)*100000</f>
        <v>0</v>
      </c>
      <c r="AZ217" s="166">
        <f t="shared" ref="AZ217" si="3352">+(AZ216-AU216)*100000</f>
        <v>0</v>
      </c>
      <c r="BA217" s="166">
        <f t="shared" ref="BA217" si="3353">+(BA216-AV216)*100000</f>
        <v>0</v>
      </c>
      <c r="BB217" s="166">
        <f t="shared" ref="BB217" si="3354">+(BB216-AW216)*100000</f>
        <v>0</v>
      </c>
      <c r="BC217" s="166">
        <f t="shared" ref="BC217" si="3355">+(BC216-AX216)*100000</f>
        <v>0</v>
      </c>
      <c r="BD217" s="260">
        <f t="shared" ref="BD217" si="3356">+(BD216-AY216)*100000</f>
        <v>0</v>
      </c>
      <c r="BE217" s="166">
        <f t="shared" ref="BE217" si="3357">+(BE216-AZ216)*100000</f>
        <v>0</v>
      </c>
      <c r="BF217" s="166">
        <f t="shared" ref="BF217" si="3358">+(BF216-BA216)*100000</f>
        <v>0</v>
      </c>
      <c r="BG217" s="166">
        <f t="shared" ref="BG217" si="3359">+(BG216-BB216)*100000</f>
        <v>0</v>
      </c>
      <c r="BH217" s="166">
        <f t="shared" ref="BH217" si="3360">+(BH216-BC216)*100000</f>
        <v>0</v>
      </c>
      <c r="BI217" s="260">
        <f t="shared" ref="BI217" si="3361">+(BI216-BD216)*100000</f>
        <v>0</v>
      </c>
      <c r="BJ217" s="166">
        <f t="shared" ref="BJ217" si="3362">+(BJ216-BE216)*100000</f>
        <v>0</v>
      </c>
      <c r="BK217" s="166">
        <f t="shared" ref="BK217" si="3363">+(BK216-BF216)*100000</f>
        <v>0</v>
      </c>
      <c r="BL217" s="166">
        <f t="shared" ref="BL217" si="3364">+(BL216-BG216)*100000</f>
        <v>0</v>
      </c>
      <c r="BM217" s="166">
        <f t="shared" ref="BM217" si="3365">+(BM216-BH216)*100000</f>
        <v>0</v>
      </c>
      <c r="BN217" s="260">
        <f t="shared" ref="BN217" si="3366">+(BN216-BI216)*100000</f>
        <v>0</v>
      </c>
      <c r="BO217" s="166">
        <f t="shared" ref="BO217" si="3367">+(BO216-BJ216)*100000</f>
        <v>0</v>
      </c>
      <c r="BP217" s="166">
        <f t="shared" ref="BP217" si="3368">+(BP216-BK216)*100000</f>
        <v>0</v>
      </c>
      <c r="BQ217" s="166">
        <f t="shared" ref="BQ217" si="3369">+(BQ216-BL216)*100000</f>
        <v>0</v>
      </c>
      <c r="BR217" s="166">
        <f t="shared" ref="BR217" si="3370">+(BR216-BM216)*100000</f>
        <v>0</v>
      </c>
      <c r="BS217" s="260">
        <f t="shared" ref="BS217" si="3371">+(BS216-BN216)*100000</f>
        <v>0</v>
      </c>
      <c r="BT217" s="166">
        <f t="shared" ref="BT217" si="3372">+(BT216-BO216)*100000</f>
        <v>0</v>
      </c>
      <c r="BU217" s="166">
        <f t="shared" ref="BU217" si="3373">+(BU216-BP216)*100000</f>
        <v>0</v>
      </c>
      <c r="BV217" s="166">
        <f t="shared" ref="BV217" si="3374">+(BV216-BQ216)*100000</f>
        <v>0</v>
      </c>
      <c r="BW217" s="166">
        <f t="shared" ref="BW217" si="3375">+(BW216-BR216)*100000</f>
        <v>0</v>
      </c>
      <c r="BX217" s="260">
        <f t="shared" ref="BX217" si="3376">+(BX216-BS216)*100000</f>
        <v>0</v>
      </c>
      <c r="BY217" s="166">
        <f t="shared" ref="BY217" si="3377">+(BY216-BT216)*100000</f>
        <v>0</v>
      </c>
      <c r="BZ217" s="166">
        <f t="shared" ref="BZ217" si="3378">+(BZ216-BU216)*100000</f>
        <v>0</v>
      </c>
      <c r="CA217" s="166">
        <f t="shared" ref="CA217" si="3379">+(CA216-BV216)*100000</f>
        <v>0</v>
      </c>
      <c r="CB217" s="166">
        <f t="shared" ref="CB217" si="3380">+(CB216-BW216)*100000</f>
        <v>0</v>
      </c>
      <c r="CC217" s="260">
        <f t="shared" ref="CC217" si="3381">+(CC216-BX216)*100000</f>
        <v>0</v>
      </c>
      <c r="CD217" s="166">
        <f t="shared" ref="CD217" si="3382">+(CD216-BY216)*100000</f>
        <v>0</v>
      </c>
      <c r="CE217" s="166">
        <f t="shared" ref="CE217" si="3383">+(CE216-BZ216)*100000</f>
        <v>0</v>
      </c>
      <c r="CF217" s="166">
        <f t="shared" ref="CF217" si="3384">+(CF216-CA216)*100000</f>
        <v>0</v>
      </c>
      <c r="CG217" s="166">
        <f t="shared" ref="CG217" si="3385">+(CG216-CB216)*100000</f>
        <v>0</v>
      </c>
      <c r="CH217" s="260">
        <f t="shared" ref="CH217" si="3386">+(CH216-CC216)*100000</f>
        <v>0</v>
      </c>
      <c r="CI217" s="166">
        <f t="shared" ref="CI217" si="3387">+(CI216-CD216)*100000</f>
        <v>0</v>
      </c>
      <c r="CJ217" s="166">
        <f t="shared" ref="CJ217" si="3388">+(CJ216-CE216)*100000</f>
        <v>0</v>
      </c>
      <c r="CK217" s="166">
        <f t="shared" ref="CK217" si="3389">+(CK216-CF216)*100000</f>
        <v>0</v>
      </c>
      <c r="CL217" s="166">
        <f t="shared" ref="CL217" si="3390">+(CL216-CG216)*100000</f>
        <v>0</v>
      </c>
      <c r="CM217" s="260">
        <f t="shared" ref="CM217" si="3391">+(CM216-CH216)*100000</f>
        <v>0</v>
      </c>
    </row>
    <row r="218" spans="1:93">
      <c r="A218" s="161" t="s">
        <v>341</v>
      </c>
      <c r="B218" s="232" t="s">
        <v>294</v>
      </c>
      <c r="C218" s="232" t="s">
        <v>294</v>
      </c>
      <c r="D218" s="232" t="s">
        <v>294</v>
      </c>
      <c r="E218" s="232" t="s">
        <v>294</v>
      </c>
      <c r="F218" s="239" t="s">
        <v>294</v>
      </c>
      <c r="G218" s="232" t="s">
        <v>294</v>
      </c>
      <c r="H218" s="232" t="s">
        <v>294</v>
      </c>
      <c r="I218" s="232" t="s">
        <v>294</v>
      </c>
      <c r="J218" s="232" t="s">
        <v>294</v>
      </c>
      <c r="K218" s="239" t="s">
        <v>294</v>
      </c>
      <c r="L218" s="232" t="s">
        <v>294</v>
      </c>
      <c r="M218" s="232" t="s">
        <v>294</v>
      </c>
      <c r="N218" s="232" t="s">
        <v>294</v>
      </c>
      <c r="O218" s="232" t="s">
        <v>294</v>
      </c>
      <c r="P218" s="239" t="s">
        <v>294</v>
      </c>
      <c r="Q218" s="232" t="s">
        <v>294</v>
      </c>
      <c r="R218" s="232" t="s">
        <v>294</v>
      </c>
      <c r="S218" s="232" t="s">
        <v>294</v>
      </c>
      <c r="T218" s="232" t="s">
        <v>294</v>
      </c>
      <c r="U218" s="239" t="s">
        <v>294</v>
      </c>
      <c r="V218" s="232" t="s">
        <v>294</v>
      </c>
      <c r="W218" s="232" t="s">
        <v>294</v>
      </c>
      <c r="X218" s="232" t="s">
        <v>294</v>
      </c>
      <c r="Y218" s="232" t="s">
        <v>294</v>
      </c>
      <c r="Z218" s="239" t="s">
        <v>294</v>
      </c>
      <c r="AA218" s="232" t="s">
        <v>294</v>
      </c>
      <c r="AB218" s="232" t="s">
        <v>294</v>
      </c>
      <c r="AC218" s="232" t="s">
        <v>294</v>
      </c>
      <c r="AD218" s="232" t="s">
        <v>294</v>
      </c>
      <c r="AE218" s="239" t="s">
        <v>294</v>
      </c>
      <c r="AF218" s="232" t="s">
        <v>294</v>
      </c>
      <c r="AG218" s="232" t="s">
        <v>294</v>
      </c>
      <c r="AH218" s="232" t="s">
        <v>294</v>
      </c>
      <c r="AI218" s="232" t="s">
        <v>294</v>
      </c>
      <c r="AJ218" s="239" t="s">
        <v>294</v>
      </c>
      <c r="AK218" s="232" t="s">
        <v>294</v>
      </c>
      <c r="AL218" s="166">
        <f>+(AL216-AK216)*100000</f>
        <v>0</v>
      </c>
      <c r="AM218" s="166">
        <f t="shared" ref="AM218:AN218" si="3392">+(AM216-AL216)*100000</f>
        <v>0</v>
      </c>
      <c r="AN218" s="166">
        <f t="shared" si="3392"/>
        <v>0</v>
      </c>
      <c r="AO218" s="251" t="s">
        <v>294</v>
      </c>
      <c r="AP218" s="166">
        <f>+(AP216-AN216)*100000</f>
        <v>0</v>
      </c>
      <c r="AQ218" s="166">
        <f>+(AQ216-AP216)*100000</f>
        <v>0</v>
      </c>
      <c r="AR218" s="166">
        <f t="shared" ref="AR218:AS218" si="3393">+(AR216-AQ216)*100000</f>
        <v>0</v>
      </c>
      <c r="AS218" s="166">
        <f t="shared" si="3393"/>
        <v>0</v>
      </c>
      <c r="AT218" s="251" t="s">
        <v>294</v>
      </c>
      <c r="AU218" s="394">
        <f>+(AU216-AS216)*100000</f>
        <v>0</v>
      </c>
      <c r="AV218" s="166">
        <f>+(AV216-AU216)*100000</f>
        <v>0</v>
      </c>
      <c r="AW218" s="166">
        <f t="shared" ref="AW218:AX218" si="3394">+(AW216-AV216)*100000</f>
        <v>0</v>
      </c>
      <c r="AX218" s="166">
        <f t="shared" si="3394"/>
        <v>0</v>
      </c>
      <c r="AY218" s="251" t="s">
        <v>294</v>
      </c>
      <c r="AZ218" s="166">
        <f>+(AZ216-AX216)*100000</f>
        <v>0</v>
      </c>
      <c r="BA218" s="166">
        <f>+(BA216-AZ216)*100000</f>
        <v>0</v>
      </c>
      <c r="BB218" s="166">
        <f t="shared" ref="BB218:BC218" si="3395">+(BB216-BA216)*100000</f>
        <v>0</v>
      </c>
      <c r="BC218" s="166">
        <f t="shared" si="3395"/>
        <v>0</v>
      </c>
      <c r="BD218" s="251" t="s">
        <v>294</v>
      </c>
      <c r="BE218" s="166">
        <f>+(BE216-BC216)*100000</f>
        <v>0</v>
      </c>
      <c r="BF218" s="166">
        <f>+(BF216-BE216)*100000</f>
        <v>0</v>
      </c>
      <c r="BG218" s="166">
        <f t="shared" ref="BG218:BH218" si="3396">+(BG216-BF216)*100000</f>
        <v>0</v>
      </c>
      <c r="BH218" s="166">
        <f t="shared" si="3396"/>
        <v>0</v>
      </c>
      <c r="BI218" s="251" t="s">
        <v>294</v>
      </c>
      <c r="BJ218" s="166">
        <f>+(BJ216-BH216)*100000</f>
        <v>0</v>
      </c>
      <c r="BK218" s="166">
        <f>+(BK216-BJ216)*100000</f>
        <v>0</v>
      </c>
      <c r="BL218" s="166">
        <f t="shared" ref="BL218:BM218" si="3397">+(BL216-BK216)*100000</f>
        <v>0</v>
      </c>
      <c r="BM218" s="166">
        <f t="shared" si="3397"/>
        <v>0</v>
      </c>
      <c r="BN218" s="251" t="s">
        <v>294</v>
      </c>
      <c r="BO218" s="166">
        <f>+(BO216-BM216)*100000</f>
        <v>0</v>
      </c>
      <c r="BP218" s="166">
        <f>+(BP216-BO216)*100000</f>
        <v>0</v>
      </c>
      <c r="BQ218" s="166">
        <f t="shared" ref="BQ218:BR218" si="3398">+(BQ216-BP216)*100000</f>
        <v>0</v>
      </c>
      <c r="BR218" s="166">
        <f t="shared" si="3398"/>
        <v>0</v>
      </c>
      <c r="BS218" s="251" t="s">
        <v>294</v>
      </c>
      <c r="BT218" s="166">
        <f>+(BT216-BR216)*100000</f>
        <v>0</v>
      </c>
      <c r="BU218" s="166">
        <f>+(BU216-BT216)*100000</f>
        <v>0</v>
      </c>
      <c r="BV218" s="166">
        <f t="shared" ref="BV218:BW218" si="3399">+(BV216-BU216)*100000</f>
        <v>0</v>
      </c>
      <c r="BW218" s="166">
        <f t="shared" si="3399"/>
        <v>0</v>
      </c>
      <c r="BX218" s="251" t="s">
        <v>294</v>
      </c>
      <c r="BY218" s="166">
        <f>+(BY216-BW216)*100000</f>
        <v>0</v>
      </c>
      <c r="BZ218" s="166">
        <f>+(BZ216-BY216)*100000</f>
        <v>0</v>
      </c>
      <c r="CA218" s="166">
        <f t="shared" ref="CA218:CB218" si="3400">+(CA216-BZ216)*100000</f>
        <v>0</v>
      </c>
      <c r="CB218" s="166">
        <f t="shared" si="3400"/>
        <v>0</v>
      </c>
      <c r="CC218" s="251" t="s">
        <v>294</v>
      </c>
      <c r="CD218" s="166">
        <f>+(CD216-CB216)*100000</f>
        <v>0</v>
      </c>
      <c r="CE218" s="166">
        <f>+(CE216-CD216)*100000</f>
        <v>0</v>
      </c>
      <c r="CF218" s="166">
        <f t="shared" ref="CF218:CG218" si="3401">+(CF216-CE216)*100000</f>
        <v>0</v>
      </c>
      <c r="CG218" s="166">
        <f t="shared" si="3401"/>
        <v>0</v>
      </c>
      <c r="CH218" s="251" t="s">
        <v>294</v>
      </c>
      <c r="CI218" s="166">
        <f>+(CI216-CG216)*100000</f>
        <v>0</v>
      </c>
      <c r="CJ218" s="166">
        <f>+(CJ216-CI216)*100000</f>
        <v>0</v>
      </c>
      <c r="CK218" s="166">
        <f t="shared" ref="CK218:CL218" si="3402">+(CK216-CJ216)*100000</f>
        <v>0</v>
      </c>
      <c r="CL218" s="166">
        <f t="shared" si="3402"/>
        <v>0</v>
      </c>
      <c r="CM218" s="251" t="s">
        <v>294</v>
      </c>
    </row>
    <row r="219" spans="1:93">
      <c r="A219" s="139"/>
      <c r="F219" s="240"/>
      <c r="K219" s="240"/>
      <c r="P219" s="240"/>
      <c r="U219" s="240"/>
      <c r="Z219" s="240"/>
      <c r="AE219" s="240"/>
      <c r="AJ219" s="240"/>
      <c r="AK219" s="164"/>
      <c r="AL219" s="164"/>
      <c r="AM219" s="164"/>
      <c r="AN219" s="164"/>
      <c r="AO219" s="259"/>
      <c r="AP219" s="164"/>
      <c r="AQ219" s="164"/>
      <c r="AR219" s="164"/>
      <c r="AS219" s="164"/>
      <c r="AT219" s="259"/>
      <c r="AU219" s="400"/>
      <c r="AV219" s="164"/>
      <c r="AW219" s="164"/>
      <c r="AX219" s="164"/>
      <c r="AY219" s="259"/>
      <c r="AZ219" s="164"/>
      <c r="BA219" s="164"/>
      <c r="BB219" s="164"/>
      <c r="BC219" s="164"/>
      <c r="BD219" s="259"/>
      <c r="BE219" s="164"/>
      <c r="BF219" s="164"/>
      <c r="BG219" s="164"/>
      <c r="BH219" s="164"/>
      <c r="BI219" s="259"/>
      <c r="BJ219" s="164"/>
      <c r="BK219" s="164"/>
      <c r="BL219" s="164"/>
      <c r="BM219" s="164"/>
      <c r="BN219" s="259"/>
      <c r="BO219" s="164"/>
      <c r="BP219" s="164"/>
      <c r="BQ219" s="164"/>
      <c r="BR219" s="164"/>
      <c r="BS219" s="259"/>
      <c r="BT219" s="164"/>
      <c r="BU219" s="164"/>
      <c r="BV219" s="164"/>
      <c r="BW219" s="164"/>
      <c r="BX219" s="259"/>
      <c r="BY219" s="164"/>
      <c r="BZ219" s="164"/>
      <c r="CA219" s="164"/>
      <c r="CB219" s="164"/>
      <c r="CC219" s="259"/>
      <c r="CD219" s="164"/>
      <c r="CE219" s="164"/>
      <c r="CF219" s="164"/>
      <c r="CG219" s="164"/>
      <c r="CH219" s="259"/>
      <c r="CI219" s="164"/>
      <c r="CJ219" s="164"/>
      <c r="CK219" s="164"/>
      <c r="CL219" s="164"/>
      <c r="CM219" s="259"/>
    </row>
    <row r="220" spans="1:93" s="42" customFormat="1">
      <c r="A220" s="42" t="s">
        <v>346</v>
      </c>
      <c r="B220" s="232" t="s">
        <v>294</v>
      </c>
      <c r="C220" s="232" t="s">
        <v>294</v>
      </c>
      <c r="D220" s="232" t="s">
        <v>294</v>
      </c>
      <c r="E220" s="232" t="s">
        <v>294</v>
      </c>
      <c r="F220" s="239" t="s">
        <v>294</v>
      </c>
      <c r="G220" s="232" t="s">
        <v>294</v>
      </c>
      <c r="H220" s="232" t="s">
        <v>294</v>
      </c>
      <c r="I220" s="232" t="s">
        <v>294</v>
      </c>
      <c r="J220" s="232" t="s">
        <v>294</v>
      </c>
      <c r="K220" s="239" t="s">
        <v>294</v>
      </c>
      <c r="L220" s="232" t="s">
        <v>294</v>
      </c>
      <c r="M220" s="232" t="s">
        <v>294</v>
      </c>
      <c r="N220" s="232" t="s">
        <v>294</v>
      </c>
      <c r="O220" s="232" t="s">
        <v>294</v>
      </c>
      <c r="P220" s="239" t="s">
        <v>294</v>
      </c>
      <c r="Q220" s="232" t="s">
        <v>294</v>
      </c>
      <c r="R220" s="232" t="s">
        <v>294</v>
      </c>
      <c r="S220" s="232" t="s">
        <v>294</v>
      </c>
      <c r="T220" s="232" t="s">
        <v>294</v>
      </c>
      <c r="U220" s="239" t="s">
        <v>294</v>
      </c>
      <c r="V220" s="232" t="s">
        <v>294</v>
      </c>
      <c r="W220" s="232" t="s">
        <v>294</v>
      </c>
      <c r="X220" s="232" t="s">
        <v>294</v>
      </c>
      <c r="Y220" s="232" t="s">
        <v>294</v>
      </c>
      <c r="Z220" s="239" t="s">
        <v>294</v>
      </c>
      <c r="AA220" s="232" t="s">
        <v>294</v>
      </c>
      <c r="AB220" s="232" t="s">
        <v>294</v>
      </c>
      <c r="AC220" s="232" t="s">
        <v>294</v>
      </c>
      <c r="AD220" s="232" t="s">
        <v>294</v>
      </c>
      <c r="AE220" s="239" t="s">
        <v>294</v>
      </c>
      <c r="AF220" s="232" t="s">
        <v>294</v>
      </c>
      <c r="AG220" s="232" t="s">
        <v>294</v>
      </c>
      <c r="AH220" s="232" t="s">
        <v>294</v>
      </c>
      <c r="AI220" s="232" t="s">
        <v>294</v>
      </c>
      <c r="AJ220" s="239" t="s">
        <v>294</v>
      </c>
      <c r="AK220" s="167">
        <f>+AK215*AK223</f>
        <v>0</v>
      </c>
      <c r="AL220" s="167">
        <f>+AL215*AL223</f>
        <v>0</v>
      </c>
      <c r="AM220" s="167">
        <f>+AM215*AM223</f>
        <v>0</v>
      </c>
      <c r="AN220" s="167">
        <f>+AN215*AN223</f>
        <v>0</v>
      </c>
      <c r="AO220" s="249">
        <f>+AK220+AL220+AM220+AN220</f>
        <v>0</v>
      </c>
      <c r="AP220" s="167">
        <f>+AP215*AP223</f>
        <v>0</v>
      </c>
      <c r="AQ220" s="167">
        <f>+AQ215*AQ223</f>
        <v>0</v>
      </c>
      <c r="AR220" s="167">
        <f>+AR215*AR223</f>
        <v>0</v>
      </c>
      <c r="AS220" s="167">
        <f>+AS215*AS223</f>
        <v>0</v>
      </c>
      <c r="AT220" s="249">
        <f>+AP220+AQ220+AR220+AS220</f>
        <v>0</v>
      </c>
      <c r="AU220" s="386">
        <f>+AU215*AU223</f>
        <v>0</v>
      </c>
      <c r="AV220" s="167">
        <f>+AV215*AV223</f>
        <v>0</v>
      </c>
      <c r="AW220" s="167">
        <f>+AW215*AW223</f>
        <v>0</v>
      </c>
      <c r="AX220" s="167">
        <f>+AX215*AX223</f>
        <v>0</v>
      </c>
      <c r="AY220" s="249">
        <f>+AU220+AV220+AW220+AX220</f>
        <v>0</v>
      </c>
      <c r="AZ220" s="167">
        <f>+AZ215*AZ223</f>
        <v>0</v>
      </c>
      <c r="BA220" s="167">
        <f>+BA215*BA223</f>
        <v>0</v>
      </c>
      <c r="BB220" s="167">
        <f>+BB215*BB223</f>
        <v>0</v>
      </c>
      <c r="BC220" s="167">
        <f>+BC215*BC223</f>
        <v>0</v>
      </c>
      <c r="BD220" s="249">
        <f>+AZ220+BA220+BB220+BC220</f>
        <v>0</v>
      </c>
      <c r="BE220" s="167">
        <f>+BE215*BE223</f>
        <v>0</v>
      </c>
      <c r="BF220" s="167">
        <f>+BF215*BF223</f>
        <v>0</v>
      </c>
      <c r="BG220" s="167">
        <f>+BG215*BG223</f>
        <v>0</v>
      </c>
      <c r="BH220" s="167">
        <f>+BH215*BH223</f>
        <v>0</v>
      </c>
      <c r="BI220" s="249">
        <f>+BE220+BF220+BG220+BH220</f>
        <v>0</v>
      </c>
      <c r="BJ220" s="167">
        <f>+BJ215*BJ223</f>
        <v>0</v>
      </c>
      <c r="BK220" s="167">
        <f>+BK215*BK223</f>
        <v>0</v>
      </c>
      <c r="BL220" s="167">
        <f>+BL215*BL223</f>
        <v>0</v>
      </c>
      <c r="BM220" s="167">
        <f>+BM215*BM223</f>
        <v>0</v>
      </c>
      <c r="BN220" s="249">
        <f>+BJ220+BK220+BL220+BM220</f>
        <v>0</v>
      </c>
      <c r="BO220" s="167">
        <f>+BO215*BO223</f>
        <v>0</v>
      </c>
      <c r="BP220" s="167">
        <f>+BP215*BP223</f>
        <v>0</v>
      </c>
      <c r="BQ220" s="167">
        <f>+BQ215*BQ223</f>
        <v>0</v>
      </c>
      <c r="BR220" s="167">
        <f>+BR215*BR223</f>
        <v>0</v>
      </c>
      <c r="BS220" s="249">
        <f>+BO220+BP220+BQ220+BR220</f>
        <v>0</v>
      </c>
      <c r="BT220" s="167">
        <f>+BT215*BT223</f>
        <v>0</v>
      </c>
      <c r="BU220" s="167">
        <f>+BU215*BU223</f>
        <v>0</v>
      </c>
      <c r="BV220" s="167">
        <f>+BV215*BV223</f>
        <v>0</v>
      </c>
      <c r="BW220" s="167">
        <f>+BW215*BW223</f>
        <v>0</v>
      </c>
      <c r="BX220" s="249">
        <f>+BT220+BU220+BV220+BW220</f>
        <v>0</v>
      </c>
      <c r="BY220" s="167">
        <f>+BY215*BY223</f>
        <v>0</v>
      </c>
      <c r="BZ220" s="167">
        <f>+BZ215*BZ223</f>
        <v>0</v>
      </c>
      <c r="CA220" s="167">
        <f>+CA215*CA223</f>
        <v>0</v>
      </c>
      <c r="CB220" s="167">
        <f>+CB215*CB223</f>
        <v>0</v>
      </c>
      <c r="CC220" s="249">
        <f>+BY220+BZ220+CA220+CB220</f>
        <v>0</v>
      </c>
      <c r="CD220" s="167">
        <f>+CD215*CD223</f>
        <v>0</v>
      </c>
      <c r="CE220" s="167">
        <f>+CE215*CE223</f>
        <v>0</v>
      </c>
      <c r="CF220" s="167">
        <f>+CF215*CF223</f>
        <v>0</v>
      </c>
      <c r="CG220" s="167">
        <f>+CG215*CG223</f>
        <v>0</v>
      </c>
      <c r="CH220" s="249">
        <f>+CD220+CE220+CF220+CG220</f>
        <v>0</v>
      </c>
      <c r="CI220" s="167">
        <f>+CI215*CI223</f>
        <v>0</v>
      </c>
      <c r="CJ220" s="167">
        <f>+CJ215*CJ223</f>
        <v>0</v>
      </c>
      <c r="CK220" s="167">
        <f>+CK215*CK223</f>
        <v>0</v>
      </c>
      <c r="CL220" s="167">
        <f>+CL215*CL223</f>
        <v>0</v>
      </c>
      <c r="CM220" s="249">
        <f>+CI220+CJ220+CK220+CL220</f>
        <v>0</v>
      </c>
    </row>
    <row r="221" spans="1:93">
      <c r="A221" s="139" t="s">
        <v>291</v>
      </c>
      <c r="B221" s="232" t="s">
        <v>294</v>
      </c>
      <c r="C221" s="232" t="s">
        <v>294</v>
      </c>
      <c r="D221" s="232" t="s">
        <v>294</v>
      </c>
      <c r="E221" s="232" t="s">
        <v>294</v>
      </c>
      <c r="F221" s="239" t="s">
        <v>294</v>
      </c>
      <c r="G221" s="232" t="s">
        <v>294</v>
      </c>
      <c r="H221" s="232" t="s">
        <v>294</v>
      </c>
      <c r="I221" s="232" t="s">
        <v>294</v>
      </c>
      <c r="J221" s="232" t="s">
        <v>294</v>
      </c>
      <c r="K221" s="239" t="s">
        <v>294</v>
      </c>
      <c r="L221" s="232" t="s">
        <v>294</v>
      </c>
      <c r="M221" s="232" t="s">
        <v>294</v>
      </c>
      <c r="N221" s="232" t="s">
        <v>294</v>
      </c>
      <c r="O221" s="232" t="s">
        <v>294</v>
      </c>
      <c r="P221" s="239" t="s">
        <v>294</v>
      </c>
      <c r="Q221" s="232" t="s">
        <v>294</v>
      </c>
      <c r="R221" s="232" t="s">
        <v>294</v>
      </c>
      <c r="S221" s="232" t="s">
        <v>294</v>
      </c>
      <c r="T221" s="232" t="s">
        <v>294</v>
      </c>
      <c r="U221" s="239" t="s">
        <v>294</v>
      </c>
      <c r="V221" s="232" t="s">
        <v>294</v>
      </c>
      <c r="W221" s="232" t="s">
        <v>294</v>
      </c>
      <c r="X221" s="232" t="s">
        <v>294</v>
      </c>
      <c r="Y221" s="232" t="s">
        <v>294</v>
      </c>
      <c r="Z221" s="239" t="s">
        <v>294</v>
      </c>
      <c r="AA221" s="232" t="s">
        <v>294</v>
      </c>
      <c r="AB221" s="232" t="s">
        <v>294</v>
      </c>
      <c r="AC221" s="232" t="s">
        <v>294</v>
      </c>
      <c r="AD221" s="232" t="s">
        <v>294</v>
      </c>
      <c r="AE221" s="239" t="s">
        <v>294</v>
      </c>
      <c r="AF221" s="232" t="s">
        <v>294</v>
      </c>
      <c r="AG221" s="232" t="s">
        <v>294</v>
      </c>
      <c r="AH221" s="232" t="s">
        <v>294</v>
      </c>
      <c r="AI221" s="232" t="s">
        <v>294</v>
      </c>
      <c r="AJ221" s="239" t="s">
        <v>294</v>
      </c>
      <c r="AK221" s="158" t="s">
        <v>294</v>
      </c>
      <c r="AL221" s="158" t="s">
        <v>294</v>
      </c>
      <c r="AM221" s="158" t="s">
        <v>294</v>
      </c>
      <c r="AN221" s="158" t="s">
        <v>294</v>
      </c>
      <c r="AO221" s="250" t="s">
        <v>294</v>
      </c>
      <c r="AP221" s="158" t="s">
        <v>294</v>
      </c>
      <c r="AQ221" s="158" t="s">
        <v>294</v>
      </c>
      <c r="AR221" s="158" t="s">
        <v>294</v>
      </c>
      <c r="AS221" s="158" t="s">
        <v>294</v>
      </c>
      <c r="AT221" s="250" t="s">
        <v>294</v>
      </c>
      <c r="AU221" s="401" t="s">
        <v>294</v>
      </c>
      <c r="AV221" s="158" t="s">
        <v>294</v>
      </c>
      <c r="AW221" s="158" t="s">
        <v>294</v>
      </c>
      <c r="AX221" s="158" t="s">
        <v>294</v>
      </c>
      <c r="AY221" s="250" t="s">
        <v>294</v>
      </c>
      <c r="AZ221" s="19" t="e">
        <f t="shared" ref="AZ221" si="3403">+AZ220/AU220-1</f>
        <v>#DIV/0!</v>
      </c>
      <c r="BA221" s="19" t="e">
        <f t="shared" ref="BA221" si="3404">+BA220/AV220-1</f>
        <v>#DIV/0!</v>
      </c>
      <c r="BB221" s="19" t="e">
        <f t="shared" ref="BB221" si="3405">+BB220/AW220-1</f>
        <v>#DIV/0!</v>
      </c>
      <c r="BC221" s="19" t="e">
        <f t="shared" ref="BC221" si="3406">+BC220/AX220-1</f>
        <v>#DIV/0!</v>
      </c>
      <c r="BD221" s="259" t="e">
        <f t="shared" ref="BD221" si="3407">+BD220/AY220-1</f>
        <v>#DIV/0!</v>
      </c>
      <c r="BE221" s="19" t="e">
        <f>+BE220/AZ220-1</f>
        <v>#DIV/0!</v>
      </c>
      <c r="BF221" s="19" t="e">
        <f>+BF220/BA220-1</f>
        <v>#DIV/0!</v>
      </c>
      <c r="BG221" s="19" t="e">
        <f t="shared" ref="BG221" si="3408">+BG220/BB220-1</f>
        <v>#DIV/0!</v>
      </c>
      <c r="BH221" s="19" t="e">
        <f t="shared" ref="BH221" si="3409">+BH220/BC220-1</f>
        <v>#DIV/0!</v>
      </c>
      <c r="BI221" s="259" t="e">
        <f t="shared" ref="BI221" si="3410">+BI220/BD220-1</f>
        <v>#DIV/0!</v>
      </c>
      <c r="BJ221" s="19" t="e">
        <f t="shared" ref="BJ221" si="3411">+BJ220/BE220-1</f>
        <v>#DIV/0!</v>
      </c>
      <c r="BK221" s="19" t="e">
        <f t="shared" ref="BK221" si="3412">+BK220/BF220-1</f>
        <v>#DIV/0!</v>
      </c>
      <c r="BL221" s="19" t="e">
        <f t="shared" ref="BL221" si="3413">+BL220/BG220-1</f>
        <v>#DIV/0!</v>
      </c>
      <c r="BM221" s="19" t="e">
        <f t="shared" ref="BM221" si="3414">+BM220/BH220-1</f>
        <v>#DIV/0!</v>
      </c>
      <c r="BN221" s="259" t="e">
        <f t="shared" ref="BN221" si="3415">+BN220/BI220-1</f>
        <v>#DIV/0!</v>
      </c>
      <c r="BO221" s="19" t="e">
        <f t="shared" ref="BO221" si="3416">+BO220/BJ220-1</f>
        <v>#DIV/0!</v>
      </c>
      <c r="BP221" s="19" t="e">
        <f t="shared" ref="BP221" si="3417">+BP220/BK220-1</f>
        <v>#DIV/0!</v>
      </c>
      <c r="BQ221" s="19" t="e">
        <f t="shared" ref="BQ221" si="3418">+BQ220/BL220-1</f>
        <v>#DIV/0!</v>
      </c>
      <c r="BR221" s="19" t="e">
        <f t="shared" ref="BR221" si="3419">+BR220/BM220-1</f>
        <v>#DIV/0!</v>
      </c>
      <c r="BS221" s="259" t="e">
        <f t="shared" ref="BS221" si="3420">+BS220/BN220-1</f>
        <v>#DIV/0!</v>
      </c>
      <c r="BT221" s="19" t="e">
        <f t="shared" ref="BT221" si="3421">+BT220/BO220-1</f>
        <v>#DIV/0!</v>
      </c>
      <c r="BU221" s="19" t="e">
        <f t="shared" ref="BU221" si="3422">+BU220/BP220-1</f>
        <v>#DIV/0!</v>
      </c>
      <c r="BV221" s="19" t="e">
        <f t="shared" ref="BV221" si="3423">+BV220/BQ220-1</f>
        <v>#DIV/0!</v>
      </c>
      <c r="BW221" s="19" t="e">
        <f t="shared" ref="BW221" si="3424">+BW220/BR220-1</f>
        <v>#DIV/0!</v>
      </c>
      <c r="BX221" s="259" t="e">
        <f t="shared" ref="BX221" si="3425">+BX220/BS220-1</f>
        <v>#DIV/0!</v>
      </c>
      <c r="BY221" s="19" t="e">
        <f t="shared" ref="BY221" si="3426">+BY220/BT220-1</f>
        <v>#DIV/0!</v>
      </c>
      <c r="BZ221" s="19" t="e">
        <f t="shared" ref="BZ221" si="3427">+BZ220/BU220-1</f>
        <v>#DIV/0!</v>
      </c>
      <c r="CA221" s="19" t="e">
        <f t="shared" ref="CA221" si="3428">+CA220/BV220-1</f>
        <v>#DIV/0!</v>
      </c>
      <c r="CB221" s="19" t="e">
        <f t="shared" ref="CB221" si="3429">+CB220/BW220-1</f>
        <v>#DIV/0!</v>
      </c>
      <c r="CC221" s="259" t="e">
        <f t="shared" ref="CC221" si="3430">+CC220/BX220-1</f>
        <v>#DIV/0!</v>
      </c>
      <c r="CD221" s="19" t="e">
        <f t="shared" ref="CD221" si="3431">+CD220/BY220-1</f>
        <v>#DIV/0!</v>
      </c>
      <c r="CE221" s="19" t="e">
        <f t="shared" ref="CE221" si="3432">+CE220/BZ220-1</f>
        <v>#DIV/0!</v>
      </c>
      <c r="CF221" s="19" t="e">
        <f t="shared" ref="CF221" si="3433">+CF220/CA220-1</f>
        <v>#DIV/0!</v>
      </c>
      <c r="CG221" s="19" t="e">
        <f t="shared" ref="CG221" si="3434">+CG220/CB220-1</f>
        <v>#DIV/0!</v>
      </c>
      <c r="CH221" s="259" t="e">
        <f t="shared" ref="CH221" si="3435">+CH220/CC220-1</f>
        <v>#DIV/0!</v>
      </c>
      <c r="CI221" s="19" t="e">
        <f t="shared" ref="CI221" si="3436">+CI220/CD220-1</f>
        <v>#DIV/0!</v>
      </c>
      <c r="CJ221" s="19" t="e">
        <f t="shared" ref="CJ221" si="3437">+CJ220/CE220-1</f>
        <v>#DIV/0!</v>
      </c>
      <c r="CK221" s="19" t="e">
        <f t="shared" ref="CK221" si="3438">+CK220/CF220-1</f>
        <v>#DIV/0!</v>
      </c>
      <c r="CL221" s="19" t="e">
        <f t="shared" ref="CL221" si="3439">+CL220/CG220-1</f>
        <v>#DIV/0!</v>
      </c>
      <c r="CM221" s="259" t="e">
        <f t="shared" ref="CM221" si="3440">+CM220/CH220-1</f>
        <v>#DIV/0!</v>
      </c>
    </row>
    <row r="222" spans="1:93">
      <c r="A222" s="139" t="s">
        <v>292</v>
      </c>
      <c r="B222" s="232" t="s">
        <v>294</v>
      </c>
      <c r="C222" s="232" t="s">
        <v>294</v>
      </c>
      <c r="D222" s="232" t="s">
        <v>294</v>
      </c>
      <c r="E222" s="232" t="s">
        <v>294</v>
      </c>
      <c r="F222" s="239" t="s">
        <v>294</v>
      </c>
      <c r="G222" s="232" t="s">
        <v>294</v>
      </c>
      <c r="H222" s="232" t="s">
        <v>294</v>
      </c>
      <c r="I222" s="232" t="s">
        <v>294</v>
      </c>
      <c r="J222" s="232" t="s">
        <v>294</v>
      </c>
      <c r="K222" s="239" t="s">
        <v>294</v>
      </c>
      <c r="L222" s="232" t="s">
        <v>294</v>
      </c>
      <c r="M222" s="232" t="s">
        <v>294</v>
      </c>
      <c r="N222" s="232" t="s">
        <v>294</v>
      </c>
      <c r="O222" s="232" t="s">
        <v>294</v>
      </c>
      <c r="P222" s="239" t="s">
        <v>294</v>
      </c>
      <c r="Q222" s="232" t="s">
        <v>294</v>
      </c>
      <c r="R222" s="232" t="s">
        <v>294</v>
      </c>
      <c r="S222" s="232" t="s">
        <v>294</v>
      </c>
      <c r="T222" s="232" t="s">
        <v>294</v>
      </c>
      <c r="U222" s="239" t="s">
        <v>294</v>
      </c>
      <c r="V222" s="232" t="s">
        <v>294</v>
      </c>
      <c r="W222" s="232" t="s">
        <v>294</v>
      </c>
      <c r="X222" s="232" t="s">
        <v>294</v>
      </c>
      <c r="Y222" s="232" t="s">
        <v>294</v>
      </c>
      <c r="Z222" s="239" t="s">
        <v>294</v>
      </c>
      <c r="AA222" s="232" t="s">
        <v>294</v>
      </c>
      <c r="AB222" s="232" t="s">
        <v>294</v>
      </c>
      <c r="AC222" s="232" t="s">
        <v>294</v>
      </c>
      <c r="AD222" s="232" t="s">
        <v>294</v>
      </c>
      <c r="AE222" s="239" t="s">
        <v>294</v>
      </c>
      <c r="AF222" s="232" t="s">
        <v>294</v>
      </c>
      <c r="AG222" s="232" t="s">
        <v>294</v>
      </c>
      <c r="AH222" s="232" t="s">
        <v>294</v>
      </c>
      <c r="AI222" s="232" t="s">
        <v>294</v>
      </c>
      <c r="AJ222" s="239" t="s">
        <v>294</v>
      </c>
      <c r="AK222" s="147" t="s">
        <v>294</v>
      </c>
      <c r="AL222" s="158" t="s">
        <v>294</v>
      </c>
      <c r="AM222" s="158" t="s">
        <v>294</v>
      </c>
      <c r="AN222" s="158" t="s">
        <v>294</v>
      </c>
      <c r="AO222" s="250" t="s">
        <v>294</v>
      </c>
      <c r="AP222" s="158" t="s">
        <v>294</v>
      </c>
      <c r="AQ222" s="158" t="s">
        <v>294</v>
      </c>
      <c r="AR222" s="158" t="s">
        <v>294</v>
      </c>
      <c r="AS222" s="158" t="s">
        <v>294</v>
      </c>
      <c r="AT222" s="250" t="s">
        <v>294</v>
      </c>
      <c r="AU222" s="401" t="s">
        <v>294</v>
      </c>
      <c r="AV222" s="19" t="e">
        <f>+AV220/AU220-1</f>
        <v>#DIV/0!</v>
      </c>
      <c r="AW222" s="19" t="e">
        <f t="shared" ref="AW222" si="3441">+AW220/AV220-1</f>
        <v>#DIV/0!</v>
      </c>
      <c r="AX222" s="19" t="e">
        <f t="shared" ref="AX222" si="3442">+AX220/AW220-1</f>
        <v>#DIV/0!</v>
      </c>
      <c r="AY222" s="251" t="s">
        <v>294</v>
      </c>
      <c r="AZ222" s="19" t="e">
        <f>+AZ220/AX220-1</f>
        <v>#DIV/0!</v>
      </c>
      <c r="BA222" s="19" t="e">
        <f>+BA220/AZ220-1</f>
        <v>#DIV/0!</v>
      </c>
      <c r="BB222" s="19" t="e">
        <f t="shared" ref="BB222" si="3443">+BB220/BA220-1</f>
        <v>#DIV/0!</v>
      </c>
      <c r="BC222" s="19" t="e">
        <f t="shared" ref="BC222" si="3444">+BC220/BB220-1</f>
        <v>#DIV/0!</v>
      </c>
      <c r="BD222" s="251" t="s">
        <v>294</v>
      </c>
      <c r="BE222" s="19" t="e">
        <f>+BE220/BC220-1</f>
        <v>#DIV/0!</v>
      </c>
      <c r="BF222" s="19" t="e">
        <f>+BF220/BE220-1</f>
        <v>#DIV/0!</v>
      </c>
      <c r="BG222" s="19" t="e">
        <f t="shared" ref="BG222" si="3445">+BG220/BF220-1</f>
        <v>#DIV/0!</v>
      </c>
      <c r="BH222" s="19" t="e">
        <f t="shared" ref="BH222" si="3446">+BH220/BG220-1</f>
        <v>#DIV/0!</v>
      </c>
      <c r="BI222" s="251" t="s">
        <v>294</v>
      </c>
      <c r="BJ222" s="19" t="e">
        <f>+BJ220/BH220-1</f>
        <v>#DIV/0!</v>
      </c>
      <c r="BK222" s="19" t="e">
        <f>+BK220/BJ220-1</f>
        <v>#DIV/0!</v>
      </c>
      <c r="BL222" s="19" t="e">
        <f t="shared" ref="BL222" si="3447">+BL220/BK220-1</f>
        <v>#DIV/0!</v>
      </c>
      <c r="BM222" s="19" t="e">
        <f t="shared" ref="BM222" si="3448">+BM220/BL220-1</f>
        <v>#DIV/0!</v>
      </c>
      <c r="BN222" s="251" t="s">
        <v>294</v>
      </c>
      <c r="BO222" s="19" t="e">
        <f>+BO220/BM220-1</f>
        <v>#DIV/0!</v>
      </c>
      <c r="BP222" s="19" t="e">
        <f>+BP220/BO220-1</f>
        <v>#DIV/0!</v>
      </c>
      <c r="BQ222" s="19" t="e">
        <f t="shared" ref="BQ222" si="3449">+BQ220/BP220-1</f>
        <v>#DIV/0!</v>
      </c>
      <c r="BR222" s="19" t="e">
        <f t="shared" ref="BR222" si="3450">+BR220/BQ220-1</f>
        <v>#DIV/0!</v>
      </c>
      <c r="BS222" s="251" t="s">
        <v>294</v>
      </c>
      <c r="BT222" s="19" t="e">
        <f>+BT220/BR220-1</f>
        <v>#DIV/0!</v>
      </c>
      <c r="BU222" s="19" t="e">
        <f>+BU220/BT220-1</f>
        <v>#DIV/0!</v>
      </c>
      <c r="BV222" s="19" t="e">
        <f t="shared" ref="BV222" si="3451">+BV220/BU220-1</f>
        <v>#DIV/0!</v>
      </c>
      <c r="BW222" s="19" t="e">
        <f t="shared" ref="BW222" si="3452">+BW220/BV220-1</f>
        <v>#DIV/0!</v>
      </c>
      <c r="BX222" s="251" t="s">
        <v>294</v>
      </c>
      <c r="BY222" s="19" t="e">
        <f>+BY220/BW220-1</f>
        <v>#DIV/0!</v>
      </c>
      <c r="BZ222" s="19" t="e">
        <f>+BZ220/BY220-1</f>
        <v>#DIV/0!</v>
      </c>
      <c r="CA222" s="19" t="e">
        <f t="shared" ref="CA222" si="3453">+CA220/BZ220-1</f>
        <v>#DIV/0!</v>
      </c>
      <c r="CB222" s="19" t="e">
        <f t="shared" ref="CB222" si="3454">+CB220/CA220-1</f>
        <v>#DIV/0!</v>
      </c>
      <c r="CC222" s="251" t="s">
        <v>294</v>
      </c>
      <c r="CD222" s="19" t="e">
        <f>+CD220/CB220-1</f>
        <v>#DIV/0!</v>
      </c>
      <c r="CE222" s="19" t="e">
        <f>+CE220/CD220-1</f>
        <v>#DIV/0!</v>
      </c>
      <c r="CF222" s="19" t="e">
        <f t="shared" ref="CF222" si="3455">+CF220/CE220-1</f>
        <v>#DIV/0!</v>
      </c>
      <c r="CG222" s="19" t="e">
        <f t="shared" ref="CG222" si="3456">+CG220/CF220-1</f>
        <v>#DIV/0!</v>
      </c>
      <c r="CH222" s="251" t="s">
        <v>294</v>
      </c>
      <c r="CI222" s="19" t="e">
        <f>+CI220/CG220-1</f>
        <v>#DIV/0!</v>
      </c>
      <c r="CJ222" s="19" t="e">
        <f>+CJ220/CI220-1</f>
        <v>#DIV/0!</v>
      </c>
      <c r="CK222" s="19" t="e">
        <f t="shared" ref="CK222" si="3457">+CK220/CJ220-1</f>
        <v>#DIV/0!</v>
      </c>
      <c r="CL222" s="19" t="e">
        <f t="shared" ref="CL222" si="3458">+CL220/CK220-1</f>
        <v>#DIV/0!</v>
      </c>
      <c r="CM222" s="251" t="s">
        <v>294</v>
      </c>
    </row>
    <row r="223" spans="1:93">
      <c r="A223" s="139" t="s">
        <v>345</v>
      </c>
      <c r="B223" s="232" t="s">
        <v>294</v>
      </c>
      <c r="C223" s="232" t="s">
        <v>294</v>
      </c>
      <c r="D223" s="232" t="s">
        <v>294</v>
      </c>
      <c r="E223" s="232" t="s">
        <v>294</v>
      </c>
      <c r="F223" s="239" t="s">
        <v>294</v>
      </c>
      <c r="G223" s="232" t="s">
        <v>294</v>
      </c>
      <c r="H223" s="232" t="s">
        <v>294</v>
      </c>
      <c r="I223" s="232" t="s">
        <v>294</v>
      </c>
      <c r="J223" s="232" t="s">
        <v>294</v>
      </c>
      <c r="K223" s="239" t="s">
        <v>294</v>
      </c>
      <c r="L223" s="232" t="s">
        <v>294</v>
      </c>
      <c r="M223" s="232" t="s">
        <v>294</v>
      </c>
      <c r="N223" s="232" t="s">
        <v>294</v>
      </c>
      <c r="O223" s="232" t="s">
        <v>294</v>
      </c>
      <c r="P223" s="239" t="s">
        <v>294</v>
      </c>
      <c r="Q223" s="232" t="s">
        <v>294</v>
      </c>
      <c r="R223" s="232" t="s">
        <v>294</v>
      </c>
      <c r="S223" s="232" t="s">
        <v>294</v>
      </c>
      <c r="T223" s="232" t="s">
        <v>294</v>
      </c>
      <c r="U223" s="239" t="s">
        <v>294</v>
      </c>
      <c r="V223" s="232" t="s">
        <v>294</v>
      </c>
      <c r="W223" s="232" t="s">
        <v>294</v>
      </c>
      <c r="X223" s="232" t="s">
        <v>294</v>
      </c>
      <c r="Y223" s="232" t="s">
        <v>294</v>
      </c>
      <c r="Z223" s="239" t="s">
        <v>294</v>
      </c>
      <c r="AA223" s="232" t="s">
        <v>294</v>
      </c>
      <c r="AB223" s="232" t="s">
        <v>294</v>
      </c>
      <c r="AC223" s="232" t="s">
        <v>294</v>
      </c>
      <c r="AD223" s="232" t="s">
        <v>294</v>
      </c>
      <c r="AE223" s="239" t="s">
        <v>294</v>
      </c>
      <c r="AF223" s="232" t="s">
        <v>294</v>
      </c>
      <c r="AG223" s="232" t="s">
        <v>294</v>
      </c>
      <c r="AH223" s="232" t="s">
        <v>294</v>
      </c>
      <c r="AI223" s="232" t="s">
        <v>294</v>
      </c>
      <c r="AJ223" s="239" t="s">
        <v>294</v>
      </c>
      <c r="AK223" s="164">
        <v>1</v>
      </c>
      <c r="AL223" s="164">
        <v>1</v>
      </c>
      <c r="AM223" s="164">
        <v>1</v>
      </c>
      <c r="AN223" s="164">
        <v>1</v>
      </c>
      <c r="AO223" s="259" t="e">
        <f>+AO220/AO215</f>
        <v>#DIV/0!</v>
      </c>
      <c r="AP223" s="164">
        <v>1</v>
      </c>
      <c r="AQ223" s="164">
        <v>1</v>
      </c>
      <c r="AR223" s="164">
        <v>1</v>
      </c>
      <c r="AS223" s="164">
        <v>1</v>
      </c>
      <c r="AT223" s="259" t="e">
        <f>+AT220/AT215</f>
        <v>#DIV/0!</v>
      </c>
      <c r="AU223" s="400">
        <v>1</v>
      </c>
      <c r="AV223" s="164">
        <v>1</v>
      </c>
      <c r="AW223" s="164">
        <v>1</v>
      </c>
      <c r="AX223" s="164">
        <v>1</v>
      </c>
      <c r="AY223" s="259" t="e">
        <f>+AY220/AY215</f>
        <v>#DIV/0!</v>
      </c>
      <c r="AZ223" s="164">
        <v>0.5</v>
      </c>
      <c r="BA223" s="164">
        <v>0.5</v>
      </c>
      <c r="BB223" s="164">
        <v>0.5</v>
      </c>
      <c r="BC223" s="164">
        <v>0.5</v>
      </c>
      <c r="BD223" s="259" t="e">
        <f>+BD220/BD215</f>
        <v>#DIV/0!</v>
      </c>
      <c r="BE223" s="164">
        <v>0.5</v>
      </c>
      <c r="BF223" s="164">
        <v>0.5</v>
      </c>
      <c r="BG223" s="164">
        <v>0.5</v>
      </c>
      <c r="BH223" s="164">
        <v>0.5</v>
      </c>
      <c r="BI223" s="259" t="e">
        <f>+BI220/BI215</f>
        <v>#DIV/0!</v>
      </c>
      <c r="BJ223" s="164">
        <v>0.45</v>
      </c>
      <c r="BK223" s="164">
        <v>0.45</v>
      </c>
      <c r="BL223" s="164">
        <v>0.45</v>
      </c>
      <c r="BM223" s="164">
        <v>0.45</v>
      </c>
      <c r="BN223" s="259" t="e">
        <f>+BN220/BN215</f>
        <v>#DIV/0!</v>
      </c>
      <c r="BO223" s="164">
        <v>0.4</v>
      </c>
      <c r="BP223" s="164">
        <v>0.4</v>
      </c>
      <c r="BQ223" s="164">
        <v>0.4</v>
      </c>
      <c r="BR223" s="164">
        <v>0.4</v>
      </c>
      <c r="BS223" s="259" t="e">
        <f>+BS220/BS215</f>
        <v>#DIV/0!</v>
      </c>
      <c r="BT223" s="164">
        <v>0.4</v>
      </c>
      <c r="BU223" s="164">
        <v>0.4</v>
      </c>
      <c r="BV223" s="164">
        <v>0.4</v>
      </c>
      <c r="BW223" s="164">
        <v>0.4</v>
      </c>
      <c r="BX223" s="259" t="e">
        <f>+BX220/BX215</f>
        <v>#DIV/0!</v>
      </c>
      <c r="BY223" s="164">
        <v>0.4</v>
      </c>
      <c r="BZ223" s="164">
        <v>0.4</v>
      </c>
      <c r="CA223" s="164">
        <v>0.4</v>
      </c>
      <c r="CB223" s="164">
        <v>0.4</v>
      </c>
      <c r="CC223" s="259" t="e">
        <f>+CC220/CC215</f>
        <v>#DIV/0!</v>
      </c>
      <c r="CD223" s="164">
        <v>0.4</v>
      </c>
      <c r="CE223" s="164">
        <v>0.4</v>
      </c>
      <c r="CF223" s="164">
        <v>0.4</v>
      </c>
      <c r="CG223" s="164">
        <v>0.4</v>
      </c>
      <c r="CH223" s="259" t="e">
        <f>+CH220/CH215</f>
        <v>#DIV/0!</v>
      </c>
      <c r="CI223" s="164">
        <v>0.4</v>
      </c>
      <c r="CJ223" s="164">
        <v>0.4</v>
      </c>
      <c r="CK223" s="164">
        <v>0.4</v>
      </c>
      <c r="CL223" s="164">
        <v>0.4</v>
      </c>
      <c r="CM223" s="259" t="e">
        <f>+CM220/CM215</f>
        <v>#DIV/0!</v>
      </c>
    </row>
    <row r="224" spans="1:93">
      <c r="F224" s="240"/>
      <c r="K224" s="240"/>
      <c r="P224" s="240"/>
      <c r="U224" s="240"/>
      <c r="Z224" s="240"/>
      <c r="AE224" s="240"/>
      <c r="AJ224" s="240"/>
      <c r="AO224" s="240"/>
      <c r="AT224" s="240"/>
      <c r="AU224" s="374"/>
      <c r="AY224" s="240"/>
      <c r="BD224" s="240"/>
      <c r="BI224" s="240"/>
      <c r="BN224" s="240"/>
      <c r="BS224" s="240"/>
      <c r="BX224" s="240"/>
      <c r="CC224" s="240"/>
      <c r="CH224" s="240"/>
      <c r="CM224" s="240"/>
    </row>
    <row r="225" spans="1:93" s="230" customFormat="1">
      <c r="A225" s="178" t="s">
        <v>347</v>
      </c>
      <c r="B225" s="178"/>
      <c r="C225" s="178"/>
      <c r="D225" s="178"/>
      <c r="E225" s="178"/>
      <c r="F225" s="238"/>
      <c r="G225" s="178"/>
      <c r="H225" s="178"/>
      <c r="I225" s="178"/>
      <c r="J225" s="178"/>
      <c r="K225" s="238"/>
      <c r="L225" s="178"/>
      <c r="M225" s="178"/>
      <c r="N225" s="178"/>
      <c r="O225" s="178"/>
      <c r="P225" s="238"/>
      <c r="Q225" s="178"/>
      <c r="R225" s="178"/>
      <c r="S225" s="178"/>
      <c r="T225" s="178"/>
      <c r="U225" s="238"/>
      <c r="V225" s="178"/>
      <c r="W225" s="178"/>
      <c r="X225" s="178"/>
      <c r="Y225" s="178"/>
      <c r="Z225" s="238"/>
      <c r="AA225" s="178"/>
      <c r="AB225" s="178"/>
      <c r="AC225" s="178"/>
      <c r="AD225" s="178"/>
      <c r="AE225" s="238"/>
      <c r="AF225" s="178"/>
      <c r="AG225" s="178"/>
      <c r="AH225" s="178"/>
      <c r="AI225" s="178"/>
      <c r="AJ225" s="238"/>
      <c r="AK225" s="178"/>
      <c r="AL225" s="178"/>
      <c r="AM225" s="178"/>
      <c r="AN225" s="178"/>
      <c r="AO225" s="238"/>
      <c r="AP225" s="178"/>
      <c r="AQ225" s="178"/>
      <c r="AR225" s="178"/>
      <c r="AS225" s="178"/>
      <c r="AT225" s="238"/>
      <c r="AU225" s="178"/>
      <c r="AV225" s="178"/>
      <c r="AW225" s="178"/>
      <c r="AX225" s="178"/>
      <c r="AY225" s="238"/>
      <c r="AZ225" s="178"/>
      <c r="BA225" s="178"/>
      <c r="BB225" s="178"/>
      <c r="BC225" s="178"/>
      <c r="BD225" s="238"/>
      <c r="BE225" s="178"/>
      <c r="BF225" s="178"/>
      <c r="BG225" s="178"/>
      <c r="BH225" s="178"/>
      <c r="BI225" s="238"/>
      <c r="BJ225" s="178"/>
      <c r="BK225" s="178"/>
      <c r="BL225" s="178"/>
      <c r="BM225" s="178"/>
      <c r="BN225" s="238"/>
      <c r="BO225" s="178"/>
      <c r="BP225" s="178"/>
      <c r="BQ225" s="178"/>
      <c r="BR225" s="178"/>
      <c r="BS225" s="238"/>
      <c r="BT225" s="178"/>
      <c r="BU225" s="178"/>
      <c r="BV225" s="178"/>
      <c r="BW225" s="178"/>
      <c r="BX225" s="238"/>
      <c r="BY225" s="178"/>
      <c r="BZ225" s="178"/>
      <c r="CA225" s="178"/>
      <c r="CB225" s="178"/>
      <c r="CC225" s="238"/>
      <c r="CD225" s="178"/>
      <c r="CE225" s="178"/>
      <c r="CF225" s="178"/>
      <c r="CG225" s="178"/>
      <c r="CH225" s="238"/>
      <c r="CI225" s="178"/>
      <c r="CJ225" s="178"/>
      <c r="CK225" s="178"/>
      <c r="CL225" s="178"/>
      <c r="CM225" s="238"/>
      <c r="CN225" s="178"/>
      <c r="CO225" s="178"/>
    </row>
    <row r="226" spans="1:93">
      <c r="A226" s="18" t="s">
        <v>351</v>
      </c>
      <c r="B226" s="232" t="s">
        <v>294</v>
      </c>
      <c r="C226" s="232" t="s">
        <v>294</v>
      </c>
      <c r="D226" s="232" t="s">
        <v>294</v>
      </c>
      <c r="E226" s="232" t="s">
        <v>294</v>
      </c>
      <c r="F226" s="239" t="s">
        <v>294</v>
      </c>
      <c r="G226" s="232" t="s">
        <v>294</v>
      </c>
      <c r="H226" s="232" t="s">
        <v>294</v>
      </c>
      <c r="I226" s="232" t="s">
        <v>294</v>
      </c>
      <c r="J226" s="232" t="s">
        <v>294</v>
      </c>
      <c r="K226" s="239" t="s">
        <v>294</v>
      </c>
      <c r="L226" s="232" t="s">
        <v>294</v>
      </c>
      <c r="M226" s="232" t="s">
        <v>294</v>
      </c>
      <c r="N226" s="232" t="s">
        <v>294</v>
      </c>
      <c r="O226" s="232" t="s">
        <v>294</v>
      </c>
      <c r="P226" s="239" t="s">
        <v>294</v>
      </c>
      <c r="Q226" s="232" t="s">
        <v>294</v>
      </c>
      <c r="R226" s="232" t="s">
        <v>294</v>
      </c>
      <c r="S226" s="232" t="s">
        <v>294</v>
      </c>
      <c r="T226" s="232" t="s">
        <v>294</v>
      </c>
      <c r="U226" s="239" t="s">
        <v>294</v>
      </c>
      <c r="V226" s="232" t="s">
        <v>294</v>
      </c>
      <c r="W226" s="232" t="s">
        <v>294</v>
      </c>
      <c r="X226" s="232" t="s">
        <v>294</v>
      </c>
      <c r="Y226" s="232" t="s">
        <v>294</v>
      </c>
      <c r="Z226" s="239" t="s">
        <v>294</v>
      </c>
      <c r="AA226" s="232" t="s">
        <v>294</v>
      </c>
      <c r="AB226" s="232" t="s">
        <v>294</v>
      </c>
      <c r="AC226" s="232" t="s">
        <v>294</v>
      </c>
      <c r="AD226" s="232" t="s">
        <v>294</v>
      </c>
      <c r="AE226" s="239" t="s">
        <v>294</v>
      </c>
      <c r="AF226" s="232" t="s">
        <v>294</v>
      </c>
      <c r="AG226" s="232" t="s">
        <v>294</v>
      </c>
      <c r="AH226" s="232" t="s">
        <v>294</v>
      </c>
      <c r="AI226" s="232" t="s">
        <v>294</v>
      </c>
      <c r="AJ226" s="239" t="s">
        <v>294</v>
      </c>
      <c r="AK226" s="49">
        <f>+AO226/4</f>
        <v>700000</v>
      </c>
      <c r="AL226" s="49">
        <f>+AO226/4</f>
        <v>700000</v>
      </c>
      <c r="AM226" s="49">
        <f>+AO226/4</f>
        <v>700000</v>
      </c>
      <c r="AN226" s="49">
        <f>+AO226/4</f>
        <v>700000</v>
      </c>
      <c r="AO226" s="242">
        <v>2800000</v>
      </c>
      <c r="AP226" s="49">
        <f>+AT226/4</f>
        <v>700000</v>
      </c>
      <c r="AQ226" s="49">
        <f>+AT226/4</f>
        <v>700000</v>
      </c>
      <c r="AR226" s="49">
        <f>+AT226/4</f>
        <v>700000</v>
      </c>
      <c r="AS226" s="49">
        <f>+AT226/4</f>
        <v>700000</v>
      </c>
      <c r="AT226" s="242">
        <v>2800000</v>
      </c>
      <c r="AU226" s="392">
        <f>+AY226/4</f>
        <v>700000</v>
      </c>
      <c r="AV226" s="49">
        <f>+AY226/4</f>
        <v>700000</v>
      </c>
      <c r="AW226" s="49">
        <f>+AY226/4</f>
        <v>700000</v>
      </c>
      <c r="AX226" s="49">
        <f>+AY226/4</f>
        <v>700000</v>
      </c>
      <c r="AY226" s="242">
        <v>2800000</v>
      </c>
      <c r="AZ226" s="49">
        <f>+AK226-AK227</f>
        <v>700000</v>
      </c>
      <c r="BA226" s="49">
        <f>+AL226-AL227</f>
        <v>700000</v>
      </c>
      <c r="BB226" s="49">
        <f>+AM226-AM227</f>
        <v>700000</v>
      </c>
      <c r="BC226" s="49">
        <f>+AN226-AN227</f>
        <v>700000</v>
      </c>
      <c r="BD226" s="242">
        <f>+AZ226+BA226+BB226+BC226</f>
        <v>2800000</v>
      </c>
      <c r="BE226" s="49">
        <f>+AP226-AP227</f>
        <v>700000</v>
      </c>
      <c r="BF226" s="49">
        <f>+AQ226-AQ227</f>
        <v>700000</v>
      </c>
      <c r="BG226" s="49">
        <f>+AR226-AR227</f>
        <v>700000</v>
      </c>
      <c r="BH226" s="49">
        <f>+AS226-AS227</f>
        <v>700000</v>
      </c>
      <c r="BI226" s="242">
        <f>+BE226+BF226+BG226+BH226</f>
        <v>2800000</v>
      </c>
      <c r="BJ226" s="49">
        <f>+AU226-AU227</f>
        <v>700000</v>
      </c>
      <c r="BK226" s="49">
        <f>+AV226-AV227</f>
        <v>700000</v>
      </c>
      <c r="BL226" s="49">
        <f>+AW226-AW227</f>
        <v>700000</v>
      </c>
      <c r="BM226" s="49">
        <f>+AX226-AX227</f>
        <v>700000</v>
      </c>
      <c r="BN226" s="242">
        <f>+BJ226+BK226+BL226+BM226</f>
        <v>2800000</v>
      </c>
      <c r="BO226" s="49">
        <f>+AZ226-AZ227</f>
        <v>700000</v>
      </c>
      <c r="BP226" s="49">
        <f>+BA226-BA227</f>
        <v>700000</v>
      </c>
      <c r="BQ226" s="49">
        <f>+BB226-BB227</f>
        <v>700000</v>
      </c>
      <c r="BR226" s="49">
        <f>+BC226-BC227</f>
        <v>700000</v>
      </c>
      <c r="BS226" s="242">
        <f>+BO226+BP226+BQ226+BR226</f>
        <v>2800000</v>
      </c>
      <c r="BT226" s="49">
        <f>+BE226-BE227</f>
        <v>700000</v>
      </c>
      <c r="BU226" s="49">
        <f>+BF226-BF227</f>
        <v>700000</v>
      </c>
      <c r="BV226" s="49">
        <f>+BG226-BG227</f>
        <v>700000</v>
      </c>
      <c r="BW226" s="49">
        <f>+BH226-BH227</f>
        <v>700000</v>
      </c>
      <c r="BX226" s="242">
        <f>+BT226+BU226+BV226+BW226</f>
        <v>2800000</v>
      </c>
      <c r="BY226" s="49">
        <f>+BJ226-BJ227</f>
        <v>700000</v>
      </c>
      <c r="BZ226" s="49">
        <f>+BK226-BK227</f>
        <v>700000</v>
      </c>
      <c r="CA226" s="49">
        <f>+BL226-BL227</f>
        <v>700000</v>
      </c>
      <c r="CB226" s="49">
        <f>+BM226-BM227</f>
        <v>700000</v>
      </c>
      <c r="CC226" s="242">
        <f>+BY226+BZ226+CA226+CB226</f>
        <v>2800000</v>
      </c>
      <c r="CD226" s="49">
        <f>+BO226-BO227</f>
        <v>700000</v>
      </c>
      <c r="CE226" s="49">
        <f>+BP226-BP227</f>
        <v>700000</v>
      </c>
      <c r="CF226" s="49">
        <f>+BQ226-BQ227</f>
        <v>700000</v>
      </c>
      <c r="CG226" s="49">
        <f>+BR226-BR227</f>
        <v>700000</v>
      </c>
      <c r="CH226" s="242">
        <f>+CD226+CE226+CF226+CG226</f>
        <v>2800000</v>
      </c>
      <c r="CI226" s="49">
        <f>+BT226-BT227</f>
        <v>700000</v>
      </c>
      <c r="CJ226" s="49">
        <f>+BU226-BU227</f>
        <v>700000</v>
      </c>
      <c r="CK226" s="49">
        <f>+BV226-BV227</f>
        <v>700000</v>
      </c>
      <c r="CL226" s="49">
        <f>+BW226-BW227</f>
        <v>700000</v>
      </c>
      <c r="CM226" s="242">
        <f>+CI226+CJ226+CK226+CL226</f>
        <v>2800000</v>
      </c>
    </row>
    <row r="227" spans="1:93">
      <c r="A227" s="18" t="s">
        <v>344</v>
      </c>
      <c r="B227" s="232" t="s">
        <v>294</v>
      </c>
      <c r="C227" s="232" t="s">
        <v>294</v>
      </c>
      <c r="D227" s="232" t="s">
        <v>294</v>
      </c>
      <c r="E227" s="232" t="s">
        <v>294</v>
      </c>
      <c r="F227" s="239" t="s">
        <v>294</v>
      </c>
      <c r="G227" s="232" t="s">
        <v>294</v>
      </c>
      <c r="H227" s="232" t="s">
        <v>294</v>
      </c>
      <c r="I227" s="232" t="s">
        <v>294</v>
      </c>
      <c r="J227" s="232" t="s">
        <v>294</v>
      </c>
      <c r="K227" s="239" t="s">
        <v>294</v>
      </c>
      <c r="L227" s="232" t="s">
        <v>294</v>
      </c>
      <c r="M227" s="232" t="s">
        <v>294</v>
      </c>
      <c r="N227" s="232" t="s">
        <v>294</v>
      </c>
      <c r="O227" s="232" t="s">
        <v>294</v>
      </c>
      <c r="P227" s="239" t="s">
        <v>294</v>
      </c>
      <c r="Q227" s="232" t="s">
        <v>294</v>
      </c>
      <c r="R227" s="232" t="s">
        <v>294</v>
      </c>
      <c r="S227" s="232" t="s">
        <v>294</v>
      </c>
      <c r="T227" s="232" t="s">
        <v>294</v>
      </c>
      <c r="U227" s="239" t="s">
        <v>294</v>
      </c>
      <c r="V227" s="232" t="s">
        <v>294</v>
      </c>
      <c r="W227" s="232" t="s">
        <v>294</v>
      </c>
      <c r="X227" s="232" t="s">
        <v>294</v>
      </c>
      <c r="Y227" s="232" t="s">
        <v>294</v>
      </c>
      <c r="Z227" s="239" t="s">
        <v>294</v>
      </c>
      <c r="AA227" s="232" t="s">
        <v>294</v>
      </c>
      <c r="AB227" s="232" t="s">
        <v>294</v>
      </c>
      <c r="AC227" s="232" t="s">
        <v>294</v>
      </c>
      <c r="AD227" s="232" t="s">
        <v>294</v>
      </c>
      <c r="AE227" s="239" t="s">
        <v>294</v>
      </c>
      <c r="AF227" s="232" t="s">
        <v>294</v>
      </c>
      <c r="AG227" s="232" t="s">
        <v>294</v>
      </c>
      <c r="AH227" s="232" t="s">
        <v>294</v>
      </c>
      <c r="AI227" s="232" t="s">
        <v>294</v>
      </c>
      <c r="AJ227" s="239" t="s">
        <v>294</v>
      </c>
      <c r="AK227" s="49">
        <f>+AK226*AK228</f>
        <v>0</v>
      </c>
      <c r="AL227" s="49">
        <f>+AL226*AL228</f>
        <v>0</v>
      </c>
      <c r="AM227" s="49">
        <f>+AM226*AM228</f>
        <v>0</v>
      </c>
      <c r="AN227" s="49">
        <f>+AN226*AN228</f>
        <v>0</v>
      </c>
      <c r="AO227" s="242">
        <f>+AK227+AL227+AM227+AN227</f>
        <v>0</v>
      </c>
      <c r="AP227" s="49">
        <f>+AP226*AP228</f>
        <v>0</v>
      </c>
      <c r="AQ227" s="49">
        <f>+AQ226*AQ228</f>
        <v>0</v>
      </c>
      <c r="AR227" s="49">
        <f>+AR226*AR228</f>
        <v>0</v>
      </c>
      <c r="AS227" s="49">
        <f>+AS226*AS228</f>
        <v>0</v>
      </c>
      <c r="AT227" s="242">
        <f>+AP227+AQ227+AR227+AS227</f>
        <v>0</v>
      </c>
      <c r="AU227" s="392">
        <f>+AU226*AU228</f>
        <v>0</v>
      </c>
      <c r="AV227" s="49">
        <f>+AV226*AV228</f>
        <v>0</v>
      </c>
      <c r="AW227" s="49">
        <f>+AW226*AW228</f>
        <v>0</v>
      </c>
      <c r="AX227" s="49">
        <f>+AX226*AX228</f>
        <v>0</v>
      </c>
      <c r="AY227" s="242">
        <f>+AU227+AV227+AW227+AX227</f>
        <v>0</v>
      </c>
      <c r="AZ227" s="49">
        <f>+AZ226*AZ228</f>
        <v>0</v>
      </c>
      <c r="BA227" s="49">
        <f>+BA226*BA228</f>
        <v>0</v>
      </c>
      <c r="BB227" s="49">
        <f>+BB226*BB228</f>
        <v>0</v>
      </c>
      <c r="BC227" s="49">
        <f>+BC226*BC228</f>
        <v>0</v>
      </c>
      <c r="BD227" s="242">
        <f>+AZ227+BA227+BB227+BC227</f>
        <v>0</v>
      </c>
      <c r="BE227" s="49">
        <f>+BE226*BE228</f>
        <v>0</v>
      </c>
      <c r="BF227" s="49">
        <f>+BF226*BF228</f>
        <v>0</v>
      </c>
      <c r="BG227" s="49">
        <f>+BG226*BG228</f>
        <v>0</v>
      </c>
      <c r="BH227" s="49">
        <f>+BH226*BH228</f>
        <v>0</v>
      </c>
      <c r="BI227" s="242">
        <f>+BE227+BF227+BG227+BH227</f>
        <v>0</v>
      </c>
      <c r="BJ227" s="49">
        <f>+BJ226*BJ228</f>
        <v>0</v>
      </c>
      <c r="BK227" s="49">
        <f>+BK226*BK228</f>
        <v>0</v>
      </c>
      <c r="BL227" s="49">
        <f>+BL226*BL228</f>
        <v>0</v>
      </c>
      <c r="BM227" s="49">
        <f>+BM226*BM228</f>
        <v>0</v>
      </c>
      <c r="BN227" s="242">
        <f>+BJ227+BK227+BL227+BM227</f>
        <v>0</v>
      </c>
      <c r="BO227" s="49">
        <f>+BO226*BO228</f>
        <v>0</v>
      </c>
      <c r="BP227" s="49">
        <f>+BP226*BP228</f>
        <v>0</v>
      </c>
      <c r="BQ227" s="49">
        <f>+BQ226*BQ228</f>
        <v>0</v>
      </c>
      <c r="BR227" s="49">
        <f>+BR226*BR228</f>
        <v>0</v>
      </c>
      <c r="BS227" s="242">
        <f>+BO227+BP227+BQ227+BR227</f>
        <v>0</v>
      </c>
      <c r="BT227" s="49">
        <f>+BT226*BT228</f>
        <v>0</v>
      </c>
      <c r="BU227" s="49">
        <f>+BU226*BU228</f>
        <v>0</v>
      </c>
      <c r="BV227" s="49">
        <f>+BV226*BV228</f>
        <v>0</v>
      </c>
      <c r="BW227" s="49">
        <f>+BW226*BW228</f>
        <v>0</v>
      </c>
      <c r="BX227" s="242">
        <f>+BT227+BU227+BV227+BW227</f>
        <v>0</v>
      </c>
      <c r="BY227" s="49">
        <f>+BY226*BY228</f>
        <v>0</v>
      </c>
      <c r="BZ227" s="49">
        <f>+BZ226*BZ228</f>
        <v>0</v>
      </c>
      <c r="CA227" s="49">
        <f>+CA226*CA228</f>
        <v>0</v>
      </c>
      <c r="CB227" s="49">
        <f>+CB226*CB228</f>
        <v>0</v>
      </c>
      <c r="CC227" s="242">
        <f>+BY227+BZ227+CA227+CB227</f>
        <v>0</v>
      </c>
      <c r="CD227" s="49">
        <f>+CD226*CD228</f>
        <v>0</v>
      </c>
      <c r="CE227" s="49">
        <f>+CE226*CE228</f>
        <v>0</v>
      </c>
      <c r="CF227" s="49">
        <f>+CF226*CF228</f>
        <v>0</v>
      </c>
      <c r="CG227" s="49">
        <f>+CG226*CG228</f>
        <v>0</v>
      </c>
      <c r="CH227" s="242">
        <f>+CD227+CE227+CF227+CG227</f>
        <v>0</v>
      </c>
      <c r="CI227" s="49">
        <f>+CI226*CI228</f>
        <v>0</v>
      </c>
      <c r="CJ227" s="49">
        <f>+CJ226*CJ228</f>
        <v>0</v>
      </c>
      <c r="CK227" s="49">
        <f>+CK226*CK228</f>
        <v>0</v>
      </c>
      <c r="CL227" s="49">
        <f>+CL226*CL228</f>
        <v>0</v>
      </c>
      <c r="CM227" s="242">
        <f>+CI227+CJ227+CK227+CL227</f>
        <v>0</v>
      </c>
    </row>
    <row r="228" spans="1:93">
      <c r="A228" s="139" t="s">
        <v>350</v>
      </c>
      <c r="B228" s="232" t="s">
        <v>294</v>
      </c>
      <c r="C228" s="232" t="s">
        <v>294</v>
      </c>
      <c r="D228" s="232" t="s">
        <v>294</v>
      </c>
      <c r="E228" s="232" t="s">
        <v>294</v>
      </c>
      <c r="F228" s="239" t="s">
        <v>294</v>
      </c>
      <c r="G228" s="232" t="s">
        <v>294</v>
      </c>
      <c r="H228" s="232" t="s">
        <v>294</v>
      </c>
      <c r="I228" s="232" t="s">
        <v>294</v>
      </c>
      <c r="J228" s="232" t="s">
        <v>294</v>
      </c>
      <c r="K228" s="239" t="s">
        <v>294</v>
      </c>
      <c r="L228" s="232" t="s">
        <v>294</v>
      </c>
      <c r="M228" s="232" t="s">
        <v>294</v>
      </c>
      <c r="N228" s="232" t="s">
        <v>294</v>
      </c>
      <c r="O228" s="232" t="s">
        <v>294</v>
      </c>
      <c r="P228" s="239" t="s">
        <v>294</v>
      </c>
      <c r="Q228" s="232" t="s">
        <v>294</v>
      </c>
      <c r="R228" s="232" t="s">
        <v>294</v>
      </c>
      <c r="S228" s="232" t="s">
        <v>294</v>
      </c>
      <c r="T228" s="232" t="s">
        <v>294</v>
      </c>
      <c r="U228" s="239" t="s">
        <v>294</v>
      </c>
      <c r="V228" s="232" t="s">
        <v>294</v>
      </c>
      <c r="W228" s="232" t="s">
        <v>294</v>
      </c>
      <c r="X228" s="232" t="s">
        <v>294</v>
      </c>
      <c r="Y228" s="232" t="s">
        <v>294</v>
      </c>
      <c r="Z228" s="239" t="s">
        <v>294</v>
      </c>
      <c r="AA228" s="232" t="s">
        <v>294</v>
      </c>
      <c r="AB228" s="232" t="s">
        <v>294</v>
      </c>
      <c r="AC228" s="232" t="s">
        <v>294</v>
      </c>
      <c r="AD228" s="232" t="s">
        <v>294</v>
      </c>
      <c r="AE228" s="239" t="s">
        <v>294</v>
      </c>
      <c r="AF228" s="232" t="s">
        <v>294</v>
      </c>
      <c r="AG228" s="232" t="s">
        <v>294</v>
      </c>
      <c r="AH228" s="232" t="s">
        <v>294</v>
      </c>
      <c r="AI228" s="232" t="s">
        <v>294</v>
      </c>
      <c r="AJ228" s="239" t="s">
        <v>294</v>
      </c>
      <c r="AK228" s="164">
        <v>0</v>
      </c>
      <c r="AL228" s="164">
        <v>0</v>
      </c>
      <c r="AM228" s="164">
        <v>0</v>
      </c>
      <c r="AN228" s="164">
        <v>0</v>
      </c>
      <c r="AO228" s="259">
        <f>+AO227/AO226</f>
        <v>0</v>
      </c>
      <c r="AP228" s="164">
        <v>0</v>
      </c>
      <c r="AQ228" s="164">
        <v>0</v>
      </c>
      <c r="AR228" s="164">
        <v>0</v>
      </c>
      <c r="AS228" s="164">
        <v>0</v>
      </c>
      <c r="AT228" s="259">
        <f>+AT227/AT226</f>
        <v>0</v>
      </c>
      <c r="AU228" s="400">
        <v>0</v>
      </c>
      <c r="AV228" s="164">
        <v>0</v>
      </c>
      <c r="AW228" s="164">
        <v>0</v>
      </c>
      <c r="AX228" s="164">
        <v>0</v>
      </c>
      <c r="AY228" s="259">
        <f>+AY227/AY226</f>
        <v>0</v>
      </c>
      <c r="AZ228" s="164">
        <v>0</v>
      </c>
      <c r="BA228" s="164">
        <v>0</v>
      </c>
      <c r="BB228" s="164">
        <v>0</v>
      </c>
      <c r="BC228" s="164">
        <v>0</v>
      </c>
      <c r="BD228" s="259">
        <f>+BD227/BD226</f>
        <v>0</v>
      </c>
      <c r="BE228" s="164">
        <v>0</v>
      </c>
      <c r="BF228" s="164">
        <v>0</v>
      </c>
      <c r="BG228" s="164">
        <v>0</v>
      </c>
      <c r="BH228" s="164">
        <v>0</v>
      </c>
      <c r="BI228" s="259">
        <f>+BI227/BI226</f>
        <v>0</v>
      </c>
      <c r="BJ228" s="164">
        <v>0</v>
      </c>
      <c r="BK228" s="164">
        <v>0</v>
      </c>
      <c r="BL228" s="164">
        <v>0</v>
      </c>
      <c r="BM228" s="164">
        <v>0</v>
      </c>
      <c r="BN228" s="259">
        <f>+BN227/BN226</f>
        <v>0</v>
      </c>
      <c r="BO228" s="164">
        <v>0</v>
      </c>
      <c r="BP228" s="164">
        <v>0</v>
      </c>
      <c r="BQ228" s="164">
        <v>0</v>
      </c>
      <c r="BR228" s="164">
        <v>0</v>
      </c>
      <c r="BS228" s="259">
        <f>+BS227/BS226</f>
        <v>0</v>
      </c>
      <c r="BT228" s="164">
        <v>0</v>
      </c>
      <c r="BU228" s="164">
        <v>0</v>
      </c>
      <c r="BV228" s="164">
        <v>0</v>
      </c>
      <c r="BW228" s="164">
        <v>0</v>
      </c>
      <c r="BX228" s="259">
        <f>+BX227/BX226</f>
        <v>0</v>
      </c>
      <c r="BY228" s="164">
        <v>0</v>
      </c>
      <c r="BZ228" s="164">
        <v>0</v>
      </c>
      <c r="CA228" s="164">
        <v>0</v>
      </c>
      <c r="CB228" s="164">
        <v>0</v>
      </c>
      <c r="CC228" s="259">
        <f>+CC227/CC226</f>
        <v>0</v>
      </c>
      <c r="CD228" s="164">
        <v>0</v>
      </c>
      <c r="CE228" s="164">
        <v>0</v>
      </c>
      <c r="CF228" s="164">
        <v>0</v>
      </c>
      <c r="CG228" s="164">
        <v>0</v>
      </c>
      <c r="CH228" s="259">
        <f>+CH227/CH226</f>
        <v>0</v>
      </c>
      <c r="CI228" s="164">
        <v>0</v>
      </c>
      <c r="CJ228" s="164">
        <v>0</v>
      </c>
      <c r="CK228" s="164">
        <v>0</v>
      </c>
      <c r="CL228" s="164">
        <v>0</v>
      </c>
      <c r="CM228" s="259">
        <f>+CM227/CM226</f>
        <v>0</v>
      </c>
    </row>
    <row r="229" spans="1:93">
      <c r="A229" s="161" t="s">
        <v>340</v>
      </c>
      <c r="B229" s="232" t="s">
        <v>294</v>
      </c>
      <c r="C229" s="232" t="s">
        <v>294</v>
      </c>
      <c r="D229" s="232" t="s">
        <v>294</v>
      </c>
      <c r="E229" s="232" t="s">
        <v>294</v>
      </c>
      <c r="F229" s="239" t="s">
        <v>294</v>
      </c>
      <c r="G229" s="232" t="s">
        <v>294</v>
      </c>
      <c r="H229" s="232" t="s">
        <v>294</v>
      </c>
      <c r="I229" s="232" t="s">
        <v>294</v>
      </c>
      <c r="J229" s="232" t="s">
        <v>294</v>
      </c>
      <c r="K229" s="239" t="s">
        <v>294</v>
      </c>
      <c r="L229" s="232" t="s">
        <v>294</v>
      </c>
      <c r="M229" s="232" t="s">
        <v>294</v>
      </c>
      <c r="N229" s="232" t="s">
        <v>294</v>
      </c>
      <c r="O229" s="232" t="s">
        <v>294</v>
      </c>
      <c r="P229" s="239" t="s">
        <v>294</v>
      </c>
      <c r="Q229" s="232" t="s">
        <v>294</v>
      </c>
      <c r="R229" s="232" t="s">
        <v>294</v>
      </c>
      <c r="S229" s="232" t="s">
        <v>294</v>
      </c>
      <c r="T229" s="232" t="s">
        <v>294</v>
      </c>
      <c r="U229" s="239" t="s">
        <v>294</v>
      </c>
      <c r="V229" s="232" t="s">
        <v>294</v>
      </c>
      <c r="W229" s="232" t="s">
        <v>294</v>
      </c>
      <c r="X229" s="232" t="s">
        <v>294</v>
      </c>
      <c r="Y229" s="232" t="s">
        <v>294</v>
      </c>
      <c r="Z229" s="239" t="s">
        <v>294</v>
      </c>
      <c r="AA229" s="232" t="s">
        <v>294</v>
      </c>
      <c r="AB229" s="232" t="s">
        <v>294</v>
      </c>
      <c r="AC229" s="232" t="s">
        <v>294</v>
      </c>
      <c r="AD229" s="232" t="s">
        <v>294</v>
      </c>
      <c r="AE229" s="239" t="s">
        <v>294</v>
      </c>
      <c r="AF229" s="232" t="s">
        <v>294</v>
      </c>
      <c r="AG229" s="232" t="s">
        <v>294</v>
      </c>
      <c r="AH229" s="232" t="s">
        <v>294</v>
      </c>
      <c r="AI229" s="232" t="s">
        <v>294</v>
      </c>
      <c r="AJ229" s="239" t="s">
        <v>294</v>
      </c>
      <c r="AK229" s="232" t="s">
        <v>294</v>
      </c>
      <c r="AL229" s="232" t="s">
        <v>294</v>
      </c>
      <c r="AM229" s="232" t="s">
        <v>294</v>
      </c>
      <c r="AN229" s="232" t="s">
        <v>294</v>
      </c>
      <c r="AO229" s="239" t="s">
        <v>294</v>
      </c>
      <c r="AP229" s="166">
        <f>+(AP228-AK228)*100000</f>
        <v>0</v>
      </c>
      <c r="AQ229" s="232">
        <f t="shared" ref="AQ229" si="3459">+(AQ228-AL228)*100000</f>
        <v>0</v>
      </c>
      <c r="AR229" s="232">
        <f>+(AR228-AM228)*100000</f>
        <v>0</v>
      </c>
      <c r="AS229" s="166">
        <f t="shared" ref="AS229" si="3460">+(AS228-AN228)*100000</f>
        <v>0</v>
      </c>
      <c r="AT229" s="260">
        <f t="shared" ref="AT229" si="3461">+(AT228-AO228)*100000</f>
        <v>0</v>
      </c>
      <c r="AU229" s="394">
        <f t="shared" ref="AU229" si="3462">+(AU228-AP228)*100000</f>
        <v>0</v>
      </c>
      <c r="AV229" s="166">
        <f t="shared" ref="AV229" si="3463">+(AV228-AQ228)*100000</f>
        <v>0</v>
      </c>
      <c r="AW229" s="166">
        <f t="shared" ref="AW229" si="3464">+(AW228-AR228)*100000</f>
        <v>0</v>
      </c>
      <c r="AX229" s="166">
        <f t="shared" ref="AX229" si="3465">+(AX228-AS228)*100000</f>
        <v>0</v>
      </c>
      <c r="AY229" s="260">
        <f>+(AY228-AT228)*100000</f>
        <v>0</v>
      </c>
      <c r="AZ229" s="166">
        <f t="shared" ref="AZ229" si="3466">+(AZ228-AU228)*100000</f>
        <v>0</v>
      </c>
      <c r="BA229" s="166">
        <f t="shared" ref="BA229" si="3467">+(BA228-AV228)*100000</f>
        <v>0</v>
      </c>
      <c r="BB229" s="166">
        <f t="shared" ref="BB229" si="3468">+(BB228-AW228)*100000</f>
        <v>0</v>
      </c>
      <c r="BC229" s="166">
        <f t="shared" ref="BC229" si="3469">+(BC228-AX228)*100000</f>
        <v>0</v>
      </c>
      <c r="BD229" s="260">
        <f t="shared" ref="BD229" si="3470">+(BD228-AY228)*100000</f>
        <v>0</v>
      </c>
      <c r="BE229" s="166">
        <f t="shared" ref="BE229" si="3471">+(BE228-AZ228)*100000</f>
        <v>0</v>
      </c>
      <c r="BF229" s="166">
        <f t="shared" ref="BF229" si="3472">+(BF228-BA228)*100000</f>
        <v>0</v>
      </c>
      <c r="BG229" s="166">
        <f t="shared" ref="BG229" si="3473">+(BG228-BB228)*100000</f>
        <v>0</v>
      </c>
      <c r="BH229" s="166">
        <f t="shared" ref="BH229" si="3474">+(BH228-BC228)*100000</f>
        <v>0</v>
      </c>
      <c r="BI229" s="260">
        <f t="shared" ref="BI229" si="3475">+(BI228-BD228)*100000</f>
        <v>0</v>
      </c>
      <c r="BJ229" s="166">
        <f t="shared" ref="BJ229" si="3476">+(BJ228-BE228)*100000</f>
        <v>0</v>
      </c>
      <c r="BK229" s="166">
        <f t="shared" ref="BK229" si="3477">+(BK228-BF228)*100000</f>
        <v>0</v>
      </c>
      <c r="BL229" s="166">
        <f t="shared" ref="BL229" si="3478">+(BL228-BG228)*100000</f>
        <v>0</v>
      </c>
      <c r="BM229" s="166">
        <f t="shared" ref="BM229" si="3479">+(BM228-BH228)*100000</f>
        <v>0</v>
      </c>
      <c r="BN229" s="260">
        <f t="shared" ref="BN229" si="3480">+(BN228-BI228)*100000</f>
        <v>0</v>
      </c>
      <c r="BO229" s="166">
        <f t="shared" ref="BO229" si="3481">+(BO228-BJ228)*100000</f>
        <v>0</v>
      </c>
      <c r="BP229" s="166">
        <f t="shared" ref="BP229" si="3482">+(BP228-BK228)*100000</f>
        <v>0</v>
      </c>
      <c r="BQ229" s="166">
        <f t="shared" ref="BQ229" si="3483">+(BQ228-BL228)*100000</f>
        <v>0</v>
      </c>
      <c r="BR229" s="166">
        <f t="shared" ref="BR229" si="3484">+(BR228-BM228)*100000</f>
        <v>0</v>
      </c>
      <c r="BS229" s="260">
        <f t="shared" ref="BS229" si="3485">+(BS228-BN228)*100000</f>
        <v>0</v>
      </c>
      <c r="BT229" s="166">
        <f t="shared" ref="BT229" si="3486">+(BT228-BO228)*100000</f>
        <v>0</v>
      </c>
      <c r="BU229" s="166">
        <f t="shared" ref="BU229" si="3487">+(BU228-BP228)*100000</f>
        <v>0</v>
      </c>
      <c r="BV229" s="166">
        <f t="shared" ref="BV229" si="3488">+(BV228-BQ228)*100000</f>
        <v>0</v>
      </c>
      <c r="BW229" s="166">
        <f t="shared" ref="BW229" si="3489">+(BW228-BR228)*100000</f>
        <v>0</v>
      </c>
      <c r="BX229" s="260">
        <f t="shared" ref="BX229" si="3490">+(BX228-BS228)*100000</f>
        <v>0</v>
      </c>
      <c r="BY229" s="166">
        <f t="shared" ref="BY229" si="3491">+(BY228-BT228)*100000</f>
        <v>0</v>
      </c>
      <c r="BZ229" s="166">
        <f t="shared" ref="BZ229" si="3492">+(BZ228-BU228)*100000</f>
        <v>0</v>
      </c>
      <c r="CA229" s="166">
        <f t="shared" ref="CA229" si="3493">+(CA228-BV228)*100000</f>
        <v>0</v>
      </c>
      <c r="CB229" s="166">
        <f t="shared" ref="CB229" si="3494">+(CB228-BW228)*100000</f>
        <v>0</v>
      </c>
      <c r="CC229" s="260">
        <f t="shared" ref="CC229" si="3495">+(CC228-BX228)*100000</f>
        <v>0</v>
      </c>
      <c r="CD229" s="166">
        <f t="shared" ref="CD229" si="3496">+(CD228-BY228)*100000</f>
        <v>0</v>
      </c>
      <c r="CE229" s="166">
        <f t="shared" ref="CE229" si="3497">+(CE228-BZ228)*100000</f>
        <v>0</v>
      </c>
      <c r="CF229" s="166">
        <f t="shared" ref="CF229" si="3498">+(CF228-CA228)*100000</f>
        <v>0</v>
      </c>
      <c r="CG229" s="166">
        <f t="shared" ref="CG229" si="3499">+(CG228-CB228)*100000</f>
        <v>0</v>
      </c>
      <c r="CH229" s="260">
        <f t="shared" ref="CH229" si="3500">+(CH228-CC228)*100000</f>
        <v>0</v>
      </c>
      <c r="CI229" s="166">
        <f t="shared" ref="CI229" si="3501">+(CI228-CD228)*100000</f>
        <v>0</v>
      </c>
      <c r="CJ229" s="166">
        <f t="shared" ref="CJ229" si="3502">+(CJ228-CE228)*100000</f>
        <v>0</v>
      </c>
      <c r="CK229" s="166">
        <f t="shared" ref="CK229" si="3503">+(CK228-CF228)*100000</f>
        <v>0</v>
      </c>
      <c r="CL229" s="166">
        <f t="shared" ref="CL229" si="3504">+(CL228-CG228)*100000</f>
        <v>0</v>
      </c>
      <c r="CM229" s="260">
        <f t="shared" ref="CM229" si="3505">+(CM228-CH228)*100000</f>
        <v>0</v>
      </c>
    </row>
    <row r="230" spans="1:93">
      <c r="A230" s="161" t="s">
        <v>341</v>
      </c>
      <c r="B230" s="232" t="s">
        <v>294</v>
      </c>
      <c r="C230" s="232" t="s">
        <v>294</v>
      </c>
      <c r="D230" s="232" t="s">
        <v>294</v>
      </c>
      <c r="E230" s="232" t="s">
        <v>294</v>
      </c>
      <c r="F230" s="239" t="s">
        <v>294</v>
      </c>
      <c r="G230" s="232" t="s">
        <v>294</v>
      </c>
      <c r="H230" s="232" t="s">
        <v>294</v>
      </c>
      <c r="I230" s="232" t="s">
        <v>294</v>
      </c>
      <c r="J230" s="232" t="s">
        <v>294</v>
      </c>
      <c r="K230" s="239" t="s">
        <v>294</v>
      </c>
      <c r="L230" s="232" t="s">
        <v>294</v>
      </c>
      <c r="M230" s="232" t="s">
        <v>294</v>
      </c>
      <c r="N230" s="232" t="s">
        <v>294</v>
      </c>
      <c r="O230" s="232" t="s">
        <v>294</v>
      </c>
      <c r="P230" s="239" t="s">
        <v>294</v>
      </c>
      <c r="Q230" s="232" t="s">
        <v>294</v>
      </c>
      <c r="R230" s="232" t="s">
        <v>294</v>
      </c>
      <c r="S230" s="232" t="s">
        <v>294</v>
      </c>
      <c r="T230" s="232" t="s">
        <v>294</v>
      </c>
      <c r="U230" s="239" t="s">
        <v>294</v>
      </c>
      <c r="V230" s="232" t="s">
        <v>294</v>
      </c>
      <c r="W230" s="232" t="s">
        <v>294</v>
      </c>
      <c r="X230" s="232" t="s">
        <v>294</v>
      </c>
      <c r="Y230" s="232" t="s">
        <v>294</v>
      </c>
      <c r="Z230" s="239" t="s">
        <v>294</v>
      </c>
      <c r="AA230" s="232" t="s">
        <v>294</v>
      </c>
      <c r="AB230" s="232" t="s">
        <v>294</v>
      </c>
      <c r="AC230" s="232" t="s">
        <v>294</v>
      </c>
      <c r="AD230" s="232" t="s">
        <v>294</v>
      </c>
      <c r="AE230" s="239" t="s">
        <v>294</v>
      </c>
      <c r="AF230" s="232" t="s">
        <v>294</v>
      </c>
      <c r="AG230" s="232" t="s">
        <v>294</v>
      </c>
      <c r="AH230" s="232" t="s">
        <v>294</v>
      </c>
      <c r="AI230" s="232" t="s">
        <v>294</v>
      </c>
      <c r="AJ230" s="239" t="s">
        <v>294</v>
      </c>
      <c r="AK230" s="232" t="s">
        <v>294</v>
      </c>
      <c r="AL230" s="166">
        <f>+(AL228-AK228)*100000</f>
        <v>0</v>
      </c>
      <c r="AM230" s="166">
        <f t="shared" ref="AM230:AN230" si="3506">+(AM228-AL228)*100000</f>
        <v>0</v>
      </c>
      <c r="AN230" s="166">
        <f t="shared" si="3506"/>
        <v>0</v>
      </c>
      <c r="AO230" s="251" t="s">
        <v>294</v>
      </c>
      <c r="AP230" s="166">
        <f>+(AP228-AN228)*100000</f>
        <v>0</v>
      </c>
      <c r="AQ230" s="166">
        <f>+(AQ228-AP228)*100000</f>
        <v>0</v>
      </c>
      <c r="AR230" s="166">
        <f t="shared" ref="AR230:AS230" si="3507">+(AR228-AQ228)*100000</f>
        <v>0</v>
      </c>
      <c r="AS230" s="166">
        <f t="shared" si="3507"/>
        <v>0</v>
      </c>
      <c r="AT230" s="251" t="s">
        <v>294</v>
      </c>
      <c r="AU230" s="394">
        <f>+(AU228-AS228)*100000</f>
        <v>0</v>
      </c>
      <c r="AV230" s="166">
        <f>+(AV228-AU228)*100000</f>
        <v>0</v>
      </c>
      <c r="AW230" s="166">
        <f t="shared" ref="AW230:AX230" si="3508">+(AW228-AV228)*100000</f>
        <v>0</v>
      </c>
      <c r="AX230" s="166">
        <f t="shared" si="3508"/>
        <v>0</v>
      </c>
      <c r="AY230" s="251" t="s">
        <v>294</v>
      </c>
      <c r="AZ230" s="166">
        <f>+(AZ228-AX228)*100000</f>
        <v>0</v>
      </c>
      <c r="BA230" s="166">
        <f>+(BA228-AZ228)*100000</f>
        <v>0</v>
      </c>
      <c r="BB230" s="166">
        <f t="shared" ref="BB230:BC230" si="3509">+(BB228-BA228)*100000</f>
        <v>0</v>
      </c>
      <c r="BC230" s="166">
        <f t="shared" si="3509"/>
        <v>0</v>
      </c>
      <c r="BD230" s="251" t="s">
        <v>294</v>
      </c>
      <c r="BE230" s="166">
        <f>+(BE228-BC228)*100000</f>
        <v>0</v>
      </c>
      <c r="BF230" s="166">
        <f>+(BF228-BE228)*100000</f>
        <v>0</v>
      </c>
      <c r="BG230" s="166">
        <f t="shared" ref="BG230:BH230" si="3510">+(BG228-BF228)*100000</f>
        <v>0</v>
      </c>
      <c r="BH230" s="166">
        <f t="shared" si="3510"/>
        <v>0</v>
      </c>
      <c r="BI230" s="251" t="s">
        <v>294</v>
      </c>
      <c r="BJ230" s="166">
        <f>+(BJ228-BH228)*100000</f>
        <v>0</v>
      </c>
      <c r="BK230" s="166">
        <f>+(BK228-BJ228)*100000</f>
        <v>0</v>
      </c>
      <c r="BL230" s="166">
        <f t="shared" ref="BL230:BM230" si="3511">+(BL228-BK228)*100000</f>
        <v>0</v>
      </c>
      <c r="BM230" s="166">
        <f t="shared" si="3511"/>
        <v>0</v>
      </c>
      <c r="BN230" s="251" t="s">
        <v>294</v>
      </c>
      <c r="BO230" s="166">
        <f>+(BO228-BM228)*100000</f>
        <v>0</v>
      </c>
      <c r="BP230" s="166">
        <f>+(BP228-BO228)*100000</f>
        <v>0</v>
      </c>
      <c r="BQ230" s="166">
        <f t="shared" ref="BQ230:BR230" si="3512">+(BQ228-BP228)*100000</f>
        <v>0</v>
      </c>
      <c r="BR230" s="166">
        <f t="shared" si="3512"/>
        <v>0</v>
      </c>
      <c r="BS230" s="251" t="s">
        <v>294</v>
      </c>
      <c r="BT230" s="166">
        <f>+(BT228-BR228)*100000</f>
        <v>0</v>
      </c>
      <c r="BU230" s="166">
        <f>+(BU228-BT228)*100000</f>
        <v>0</v>
      </c>
      <c r="BV230" s="166">
        <f t="shared" ref="BV230:BW230" si="3513">+(BV228-BU228)*100000</f>
        <v>0</v>
      </c>
      <c r="BW230" s="166">
        <f t="shared" si="3513"/>
        <v>0</v>
      </c>
      <c r="BX230" s="251" t="s">
        <v>294</v>
      </c>
      <c r="BY230" s="166">
        <f>+(BY228-BW228)*100000</f>
        <v>0</v>
      </c>
      <c r="BZ230" s="166">
        <f>+(BZ228-BY228)*100000</f>
        <v>0</v>
      </c>
      <c r="CA230" s="166">
        <f t="shared" ref="CA230:CB230" si="3514">+(CA228-BZ228)*100000</f>
        <v>0</v>
      </c>
      <c r="CB230" s="166">
        <f t="shared" si="3514"/>
        <v>0</v>
      </c>
      <c r="CC230" s="251" t="s">
        <v>294</v>
      </c>
      <c r="CD230" s="166">
        <f>+(CD228-CB228)*100000</f>
        <v>0</v>
      </c>
      <c r="CE230" s="166">
        <f>+(CE228-CD228)*100000</f>
        <v>0</v>
      </c>
      <c r="CF230" s="166">
        <f t="shared" ref="CF230:CG230" si="3515">+(CF228-CE228)*100000</f>
        <v>0</v>
      </c>
      <c r="CG230" s="166">
        <f t="shared" si="3515"/>
        <v>0</v>
      </c>
      <c r="CH230" s="251" t="s">
        <v>294</v>
      </c>
      <c r="CI230" s="166">
        <f>+(CI228-CG228)*100000</f>
        <v>0</v>
      </c>
      <c r="CJ230" s="166">
        <f>+(CJ228-CI228)*100000</f>
        <v>0</v>
      </c>
      <c r="CK230" s="166">
        <f t="shared" ref="CK230:CL230" si="3516">+(CK228-CJ228)*100000</f>
        <v>0</v>
      </c>
      <c r="CL230" s="166">
        <f t="shared" si="3516"/>
        <v>0</v>
      </c>
      <c r="CM230" s="251" t="s">
        <v>294</v>
      </c>
    </row>
    <row r="231" spans="1:93">
      <c r="A231" s="139"/>
      <c r="F231" s="240"/>
      <c r="K231" s="240"/>
      <c r="P231" s="240"/>
      <c r="U231" s="240"/>
      <c r="Z231" s="240"/>
      <c r="AE231" s="240"/>
      <c r="AJ231" s="240"/>
      <c r="AK231" s="164"/>
      <c r="AL231" s="164"/>
      <c r="AM231" s="164"/>
      <c r="AN231" s="164"/>
      <c r="AO231" s="259"/>
      <c r="AP231" s="164"/>
      <c r="AQ231" s="164"/>
      <c r="AR231" s="164"/>
      <c r="AS231" s="164"/>
      <c r="AT231" s="259"/>
      <c r="AU231" s="400"/>
      <c r="AV231" s="164"/>
      <c r="AW231" s="164"/>
      <c r="AX231" s="164"/>
      <c r="AY231" s="259"/>
      <c r="AZ231" s="164"/>
      <c r="BA231" s="164"/>
      <c r="BB231" s="164"/>
      <c r="BC231" s="164"/>
      <c r="BD231" s="259"/>
      <c r="BE231" s="164"/>
      <c r="BF231" s="164"/>
      <c r="BG231" s="164"/>
      <c r="BH231" s="164"/>
      <c r="BI231" s="259"/>
      <c r="BJ231" s="164"/>
      <c r="BK231" s="164"/>
      <c r="BL231" s="164"/>
      <c r="BM231" s="164"/>
      <c r="BN231" s="259"/>
      <c r="BO231" s="164"/>
      <c r="BP231" s="164"/>
      <c r="BQ231" s="164"/>
      <c r="BR231" s="164"/>
      <c r="BS231" s="259"/>
      <c r="BT231" s="164"/>
      <c r="BU231" s="164"/>
      <c r="BV231" s="164"/>
      <c r="BW231" s="164"/>
      <c r="BX231" s="259"/>
      <c r="BY231" s="164"/>
      <c r="BZ231" s="164"/>
      <c r="CA231" s="164"/>
      <c r="CB231" s="164"/>
      <c r="CC231" s="259"/>
      <c r="CD231" s="164"/>
      <c r="CE231" s="164"/>
      <c r="CF231" s="164"/>
      <c r="CG231" s="164"/>
      <c r="CH231" s="259"/>
      <c r="CI231" s="164"/>
      <c r="CJ231" s="164"/>
      <c r="CK231" s="164"/>
      <c r="CL231" s="164"/>
      <c r="CM231" s="259"/>
    </row>
    <row r="232" spans="1:93" s="42" customFormat="1">
      <c r="A232" s="42" t="s">
        <v>346</v>
      </c>
      <c r="B232" s="232" t="s">
        <v>294</v>
      </c>
      <c r="C232" s="232" t="s">
        <v>294</v>
      </c>
      <c r="D232" s="232" t="s">
        <v>294</v>
      </c>
      <c r="E232" s="232" t="s">
        <v>294</v>
      </c>
      <c r="F232" s="239" t="s">
        <v>294</v>
      </c>
      <c r="G232" s="232" t="s">
        <v>294</v>
      </c>
      <c r="H232" s="232" t="s">
        <v>294</v>
      </c>
      <c r="I232" s="232" t="s">
        <v>294</v>
      </c>
      <c r="J232" s="232" t="s">
        <v>294</v>
      </c>
      <c r="K232" s="239" t="s">
        <v>294</v>
      </c>
      <c r="L232" s="232" t="s">
        <v>294</v>
      </c>
      <c r="M232" s="232" t="s">
        <v>294</v>
      </c>
      <c r="N232" s="232" t="s">
        <v>294</v>
      </c>
      <c r="O232" s="232" t="s">
        <v>294</v>
      </c>
      <c r="P232" s="239" t="s">
        <v>294</v>
      </c>
      <c r="Q232" s="232" t="s">
        <v>294</v>
      </c>
      <c r="R232" s="232" t="s">
        <v>294</v>
      </c>
      <c r="S232" s="232" t="s">
        <v>294</v>
      </c>
      <c r="T232" s="232" t="s">
        <v>294</v>
      </c>
      <c r="U232" s="239" t="s">
        <v>294</v>
      </c>
      <c r="V232" s="232" t="s">
        <v>294</v>
      </c>
      <c r="W232" s="232" t="s">
        <v>294</v>
      </c>
      <c r="X232" s="232" t="s">
        <v>294</v>
      </c>
      <c r="Y232" s="232" t="s">
        <v>294</v>
      </c>
      <c r="Z232" s="239" t="s">
        <v>294</v>
      </c>
      <c r="AA232" s="232" t="s">
        <v>294</v>
      </c>
      <c r="AB232" s="232" t="s">
        <v>294</v>
      </c>
      <c r="AC232" s="232" t="s">
        <v>294</v>
      </c>
      <c r="AD232" s="232" t="s">
        <v>294</v>
      </c>
      <c r="AE232" s="239" t="s">
        <v>294</v>
      </c>
      <c r="AF232" s="232" t="s">
        <v>294</v>
      </c>
      <c r="AG232" s="232" t="s">
        <v>294</v>
      </c>
      <c r="AH232" s="232" t="s">
        <v>294</v>
      </c>
      <c r="AI232" s="232" t="s">
        <v>294</v>
      </c>
      <c r="AJ232" s="239" t="s">
        <v>294</v>
      </c>
      <c r="AK232" s="167">
        <f>+AK227*AK235</f>
        <v>0</v>
      </c>
      <c r="AL232" s="167">
        <f t="shared" ref="AL232" si="3517">+AL227*AL235</f>
        <v>0</v>
      </c>
      <c r="AM232" s="167">
        <f t="shared" ref="AM232" si="3518">+AM227*AM235</f>
        <v>0</v>
      </c>
      <c r="AN232" s="167">
        <f t="shared" ref="AN232" si="3519">+AN227*AN235</f>
        <v>0</v>
      </c>
      <c r="AO232" s="249">
        <f>+AK232+AL232+AM232+AN232</f>
        <v>0</v>
      </c>
      <c r="AP232" s="167">
        <f>+AP227*AP235</f>
        <v>0</v>
      </c>
      <c r="AQ232" s="167">
        <f t="shared" ref="AQ232" si="3520">+AQ227*AQ235</f>
        <v>0</v>
      </c>
      <c r="AR232" s="167">
        <f t="shared" ref="AR232" si="3521">+AR227*AR235</f>
        <v>0</v>
      </c>
      <c r="AS232" s="167">
        <f t="shared" ref="AS232" si="3522">+AS227*AS235</f>
        <v>0</v>
      </c>
      <c r="AT232" s="249">
        <f>+AP232+AQ232+AR232+AS232</f>
        <v>0</v>
      </c>
      <c r="AU232" s="386">
        <f>+AU227*AU235</f>
        <v>0</v>
      </c>
      <c r="AV232" s="167">
        <f t="shared" ref="AV232" si="3523">+AV227*AV235</f>
        <v>0</v>
      </c>
      <c r="AW232" s="167">
        <f t="shared" ref="AW232" si="3524">+AW227*AW235</f>
        <v>0</v>
      </c>
      <c r="AX232" s="167">
        <f t="shared" ref="AX232" si="3525">+AX227*AX235</f>
        <v>0</v>
      </c>
      <c r="AY232" s="249">
        <f>+AU232+AV232+AW232+AX232</f>
        <v>0</v>
      </c>
      <c r="AZ232" s="167">
        <f>+AZ227*AZ235</f>
        <v>0</v>
      </c>
      <c r="BA232" s="167">
        <f t="shared" ref="BA232" si="3526">+BA227*BA235</f>
        <v>0</v>
      </c>
      <c r="BB232" s="167">
        <f t="shared" ref="BB232" si="3527">+BB227*BB235</f>
        <v>0</v>
      </c>
      <c r="BC232" s="167">
        <f t="shared" ref="BC232" si="3528">+BC227*BC235</f>
        <v>0</v>
      </c>
      <c r="BD232" s="249">
        <f>+AZ232+BA232+BB232+BC232</f>
        <v>0</v>
      </c>
      <c r="BE232" s="167">
        <f>+BE227*BE235</f>
        <v>0</v>
      </c>
      <c r="BF232" s="167">
        <f t="shared" ref="BF232" si="3529">+BF227*BF235</f>
        <v>0</v>
      </c>
      <c r="BG232" s="167">
        <f t="shared" ref="BG232" si="3530">+BG227*BG235</f>
        <v>0</v>
      </c>
      <c r="BH232" s="167">
        <f t="shared" ref="BH232" si="3531">+BH227*BH235</f>
        <v>0</v>
      </c>
      <c r="BI232" s="249">
        <f>+BE232+BF232+BG232+BH232</f>
        <v>0</v>
      </c>
      <c r="BJ232" s="167">
        <f>+BJ227*BJ235</f>
        <v>0</v>
      </c>
      <c r="BK232" s="167">
        <f t="shared" ref="BK232" si="3532">+BK227*BK235</f>
        <v>0</v>
      </c>
      <c r="BL232" s="167">
        <f t="shared" ref="BL232" si="3533">+BL227*BL235</f>
        <v>0</v>
      </c>
      <c r="BM232" s="167">
        <f t="shared" ref="BM232" si="3534">+BM227*BM235</f>
        <v>0</v>
      </c>
      <c r="BN232" s="249">
        <f>+BJ232+BK232+BL232+BM232</f>
        <v>0</v>
      </c>
      <c r="BO232" s="167">
        <f>+BO227*BO235</f>
        <v>0</v>
      </c>
      <c r="BP232" s="167">
        <f t="shared" ref="BP232" si="3535">+BP227*BP235</f>
        <v>0</v>
      </c>
      <c r="BQ232" s="167">
        <f t="shared" ref="BQ232" si="3536">+BQ227*BQ235</f>
        <v>0</v>
      </c>
      <c r="BR232" s="167">
        <f t="shared" ref="BR232" si="3537">+BR227*BR235</f>
        <v>0</v>
      </c>
      <c r="BS232" s="249">
        <f>+BO232+BP232+BQ232+BR232</f>
        <v>0</v>
      </c>
      <c r="BT232" s="167">
        <f>+BT227*BT235</f>
        <v>0</v>
      </c>
      <c r="BU232" s="167">
        <f t="shared" ref="BU232" si="3538">+BU227*BU235</f>
        <v>0</v>
      </c>
      <c r="BV232" s="167">
        <f t="shared" ref="BV232" si="3539">+BV227*BV235</f>
        <v>0</v>
      </c>
      <c r="BW232" s="167">
        <f t="shared" ref="BW232" si="3540">+BW227*BW235</f>
        <v>0</v>
      </c>
      <c r="BX232" s="249">
        <f>+BT232+BU232+BV232+BW232</f>
        <v>0</v>
      </c>
      <c r="BY232" s="167">
        <f>+BY227*BY235</f>
        <v>0</v>
      </c>
      <c r="BZ232" s="167">
        <f t="shared" ref="BZ232" si="3541">+BZ227*BZ235</f>
        <v>0</v>
      </c>
      <c r="CA232" s="167">
        <f t="shared" ref="CA232" si="3542">+CA227*CA235</f>
        <v>0</v>
      </c>
      <c r="CB232" s="167">
        <f t="shared" ref="CB232" si="3543">+CB227*CB235</f>
        <v>0</v>
      </c>
      <c r="CC232" s="249">
        <f>+BY232+BZ232+CA232+CB232</f>
        <v>0</v>
      </c>
      <c r="CD232" s="167">
        <f>+CD227*CD235</f>
        <v>0</v>
      </c>
      <c r="CE232" s="167">
        <f>+CE227*CE235</f>
        <v>0</v>
      </c>
      <c r="CF232" s="167">
        <f t="shared" ref="CF232" si="3544">+CF227*CF235</f>
        <v>0</v>
      </c>
      <c r="CG232" s="167">
        <f t="shared" ref="CG232" si="3545">+CG227*CG235</f>
        <v>0</v>
      </c>
      <c r="CH232" s="249">
        <f>+CD232+CE232+CF232+CG232</f>
        <v>0</v>
      </c>
      <c r="CI232" s="167">
        <f>+CI227*CI235</f>
        <v>0</v>
      </c>
      <c r="CJ232" s="167">
        <f>+CJ227*CJ235</f>
        <v>0</v>
      </c>
      <c r="CK232" s="167">
        <f t="shared" ref="CK232" si="3546">+CK227*CK235</f>
        <v>0</v>
      </c>
      <c r="CL232" s="167">
        <f t="shared" ref="CL232" si="3547">+CL227*CL235</f>
        <v>0</v>
      </c>
      <c r="CM232" s="249">
        <f>+CI232+CJ232+CK232+CL232</f>
        <v>0</v>
      </c>
    </row>
    <row r="233" spans="1:93">
      <c r="A233" s="139" t="s">
        <v>291</v>
      </c>
      <c r="B233" s="232" t="s">
        <v>294</v>
      </c>
      <c r="C233" s="232" t="s">
        <v>294</v>
      </c>
      <c r="D233" s="232" t="s">
        <v>294</v>
      </c>
      <c r="E233" s="232" t="s">
        <v>294</v>
      </c>
      <c r="F233" s="239" t="s">
        <v>294</v>
      </c>
      <c r="G233" s="232" t="s">
        <v>294</v>
      </c>
      <c r="H233" s="232" t="s">
        <v>294</v>
      </c>
      <c r="I233" s="232" t="s">
        <v>294</v>
      </c>
      <c r="J233" s="232" t="s">
        <v>294</v>
      </c>
      <c r="K233" s="239" t="s">
        <v>294</v>
      </c>
      <c r="L233" s="232" t="s">
        <v>294</v>
      </c>
      <c r="M233" s="232" t="s">
        <v>294</v>
      </c>
      <c r="N233" s="232" t="s">
        <v>294</v>
      </c>
      <c r="O233" s="232" t="s">
        <v>294</v>
      </c>
      <c r="P233" s="239" t="s">
        <v>294</v>
      </c>
      <c r="Q233" s="232" t="s">
        <v>294</v>
      </c>
      <c r="R233" s="232" t="s">
        <v>294</v>
      </c>
      <c r="S233" s="232" t="s">
        <v>294</v>
      </c>
      <c r="T233" s="232" t="s">
        <v>294</v>
      </c>
      <c r="U233" s="239" t="s">
        <v>294</v>
      </c>
      <c r="V233" s="232" t="s">
        <v>294</v>
      </c>
      <c r="W233" s="232" t="s">
        <v>294</v>
      </c>
      <c r="X233" s="232" t="s">
        <v>294</v>
      </c>
      <c r="Y233" s="232" t="s">
        <v>294</v>
      </c>
      <c r="Z233" s="239" t="s">
        <v>294</v>
      </c>
      <c r="AA233" s="232" t="s">
        <v>294</v>
      </c>
      <c r="AB233" s="232" t="s">
        <v>294</v>
      </c>
      <c r="AC233" s="232" t="s">
        <v>294</v>
      </c>
      <c r="AD233" s="232" t="s">
        <v>294</v>
      </c>
      <c r="AE233" s="239" t="s">
        <v>294</v>
      </c>
      <c r="AF233" s="232" t="s">
        <v>294</v>
      </c>
      <c r="AG233" s="232" t="s">
        <v>294</v>
      </c>
      <c r="AH233" s="232" t="s">
        <v>294</v>
      </c>
      <c r="AI233" s="232" t="s">
        <v>294</v>
      </c>
      <c r="AJ233" s="239" t="s">
        <v>294</v>
      </c>
      <c r="AK233" s="147" t="s">
        <v>294</v>
      </c>
      <c r="AL233" s="147" t="s">
        <v>294</v>
      </c>
      <c r="AM233" s="147" t="s">
        <v>294</v>
      </c>
      <c r="AN233" s="147" t="s">
        <v>294</v>
      </c>
      <c r="AO233" s="251" t="s">
        <v>294</v>
      </c>
      <c r="AP233" s="147" t="s">
        <v>294</v>
      </c>
      <c r="AQ233" s="147" t="s">
        <v>294</v>
      </c>
      <c r="AR233" s="147" t="s">
        <v>294</v>
      </c>
      <c r="AS233" s="147" t="s">
        <v>294</v>
      </c>
      <c r="AT233" s="251" t="s">
        <v>294</v>
      </c>
      <c r="AU233" s="402" t="s">
        <v>294</v>
      </c>
      <c r="AV233" s="147" t="s">
        <v>294</v>
      </c>
      <c r="AW233" s="147" t="s">
        <v>294</v>
      </c>
      <c r="AX233" s="147" t="s">
        <v>294</v>
      </c>
      <c r="AY233" s="251" t="s">
        <v>294</v>
      </c>
      <c r="AZ233" s="147" t="s">
        <v>294</v>
      </c>
      <c r="BA233" s="147" t="s">
        <v>294</v>
      </c>
      <c r="BB233" s="147" t="s">
        <v>294</v>
      </c>
      <c r="BC233" s="147" t="s">
        <v>294</v>
      </c>
      <c r="BD233" s="251" t="s">
        <v>294</v>
      </c>
      <c r="BE233" s="147" t="s">
        <v>294</v>
      </c>
      <c r="BF233" s="147" t="s">
        <v>294</v>
      </c>
      <c r="BG233" s="147" t="s">
        <v>294</v>
      </c>
      <c r="BH233" s="147" t="s">
        <v>294</v>
      </c>
      <c r="BI233" s="251" t="s">
        <v>294</v>
      </c>
      <c r="BJ233" s="147" t="s">
        <v>294</v>
      </c>
      <c r="BK233" s="147" t="s">
        <v>294</v>
      </c>
      <c r="BL233" s="147" t="s">
        <v>294</v>
      </c>
      <c r="BM233" s="147" t="s">
        <v>294</v>
      </c>
      <c r="BN233" s="251" t="s">
        <v>294</v>
      </c>
      <c r="BO233" s="147" t="s">
        <v>294</v>
      </c>
      <c r="BP233" s="147" t="s">
        <v>294</v>
      </c>
      <c r="BQ233" s="147" t="s">
        <v>294</v>
      </c>
      <c r="BR233" s="147" t="s">
        <v>294</v>
      </c>
      <c r="BS233" s="251" t="s">
        <v>294</v>
      </c>
      <c r="BT233" s="147" t="s">
        <v>294</v>
      </c>
      <c r="BU233" s="147" t="s">
        <v>294</v>
      </c>
      <c r="BV233" s="147" t="s">
        <v>294</v>
      </c>
      <c r="BW233" s="147" t="s">
        <v>294</v>
      </c>
      <c r="BX233" s="251" t="s">
        <v>294</v>
      </c>
      <c r="BY233" s="147" t="s">
        <v>294</v>
      </c>
      <c r="BZ233" s="147" t="s">
        <v>294</v>
      </c>
      <c r="CA233" s="147" t="s">
        <v>294</v>
      </c>
      <c r="CB233" s="147" t="s">
        <v>294</v>
      </c>
      <c r="CC233" s="251" t="s">
        <v>294</v>
      </c>
      <c r="CD233" s="147" t="s">
        <v>294</v>
      </c>
      <c r="CE233" s="147" t="s">
        <v>294</v>
      </c>
      <c r="CF233" s="147" t="s">
        <v>294</v>
      </c>
      <c r="CG233" s="147" t="s">
        <v>294</v>
      </c>
      <c r="CH233" s="251" t="s">
        <v>294</v>
      </c>
      <c r="CI233" s="147" t="s">
        <v>294</v>
      </c>
      <c r="CJ233" s="147" t="s">
        <v>294</v>
      </c>
      <c r="CK233" s="147" t="s">
        <v>294</v>
      </c>
      <c r="CL233" s="147" t="s">
        <v>294</v>
      </c>
      <c r="CM233" s="251" t="s">
        <v>294</v>
      </c>
    </row>
    <row r="234" spans="1:93">
      <c r="A234" s="139" t="s">
        <v>292</v>
      </c>
      <c r="B234" s="232" t="s">
        <v>294</v>
      </c>
      <c r="C234" s="232" t="s">
        <v>294</v>
      </c>
      <c r="D234" s="232" t="s">
        <v>294</v>
      </c>
      <c r="E234" s="232" t="s">
        <v>294</v>
      </c>
      <c r="F234" s="239" t="s">
        <v>294</v>
      </c>
      <c r="G234" s="232" t="s">
        <v>294</v>
      </c>
      <c r="H234" s="232" t="s">
        <v>294</v>
      </c>
      <c r="I234" s="232" t="s">
        <v>294</v>
      </c>
      <c r="J234" s="232" t="s">
        <v>294</v>
      </c>
      <c r="K234" s="239" t="s">
        <v>294</v>
      </c>
      <c r="L234" s="232" t="s">
        <v>294</v>
      </c>
      <c r="M234" s="232" t="s">
        <v>294</v>
      </c>
      <c r="N234" s="232" t="s">
        <v>294</v>
      </c>
      <c r="O234" s="232" t="s">
        <v>294</v>
      </c>
      <c r="P234" s="239" t="s">
        <v>294</v>
      </c>
      <c r="Q234" s="232" t="s">
        <v>294</v>
      </c>
      <c r="R234" s="232" t="s">
        <v>294</v>
      </c>
      <c r="S234" s="232" t="s">
        <v>294</v>
      </c>
      <c r="T234" s="232" t="s">
        <v>294</v>
      </c>
      <c r="U234" s="239" t="s">
        <v>294</v>
      </c>
      <c r="V234" s="232" t="s">
        <v>294</v>
      </c>
      <c r="W234" s="232" t="s">
        <v>294</v>
      </c>
      <c r="X234" s="232" t="s">
        <v>294</v>
      </c>
      <c r="Y234" s="232" t="s">
        <v>294</v>
      </c>
      <c r="Z234" s="239" t="s">
        <v>294</v>
      </c>
      <c r="AA234" s="232" t="s">
        <v>294</v>
      </c>
      <c r="AB234" s="232" t="s">
        <v>294</v>
      </c>
      <c r="AC234" s="232" t="s">
        <v>294</v>
      </c>
      <c r="AD234" s="232" t="s">
        <v>294</v>
      </c>
      <c r="AE234" s="239" t="s">
        <v>294</v>
      </c>
      <c r="AF234" s="232" t="s">
        <v>294</v>
      </c>
      <c r="AG234" s="232" t="s">
        <v>294</v>
      </c>
      <c r="AH234" s="232" t="s">
        <v>294</v>
      </c>
      <c r="AI234" s="232" t="s">
        <v>294</v>
      </c>
      <c r="AJ234" s="239" t="s">
        <v>294</v>
      </c>
      <c r="AK234" s="147" t="s">
        <v>294</v>
      </c>
      <c r="AL234" s="147" t="s">
        <v>294</v>
      </c>
      <c r="AM234" s="147" t="s">
        <v>294</v>
      </c>
      <c r="AN234" s="147" t="s">
        <v>294</v>
      </c>
      <c r="AO234" s="251" t="s">
        <v>294</v>
      </c>
      <c r="AP234" s="147" t="s">
        <v>294</v>
      </c>
      <c r="AQ234" s="147" t="s">
        <v>294</v>
      </c>
      <c r="AR234" s="147" t="s">
        <v>294</v>
      </c>
      <c r="AS234" s="147" t="s">
        <v>294</v>
      </c>
      <c r="AT234" s="251" t="s">
        <v>294</v>
      </c>
      <c r="AU234" s="402" t="s">
        <v>294</v>
      </c>
      <c r="AV234" s="147" t="s">
        <v>294</v>
      </c>
      <c r="AW234" s="147" t="s">
        <v>294</v>
      </c>
      <c r="AX234" s="147" t="s">
        <v>294</v>
      </c>
      <c r="AY234" s="251" t="s">
        <v>294</v>
      </c>
      <c r="AZ234" s="147" t="s">
        <v>294</v>
      </c>
      <c r="BA234" s="147" t="s">
        <v>294</v>
      </c>
      <c r="BB234" s="147" t="s">
        <v>294</v>
      </c>
      <c r="BC234" s="147" t="s">
        <v>294</v>
      </c>
      <c r="BD234" s="251" t="s">
        <v>294</v>
      </c>
      <c r="BE234" s="147" t="s">
        <v>294</v>
      </c>
      <c r="BF234" s="147" t="s">
        <v>294</v>
      </c>
      <c r="BG234" s="147" t="s">
        <v>294</v>
      </c>
      <c r="BH234" s="147" t="s">
        <v>294</v>
      </c>
      <c r="BI234" s="251" t="s">
        <v>294</v>
      </c>
      <c r="BJ234" s="147" t="s">
        <v>294</v>
      </c>
      <c r="BK234" s="147" t="s">
        <v>294</v>
      </c>
      <c r="BL234" s="147" t="s">
        <v>294</v>
      </c>
      <c r="BM234" s="147" t="s">
        <v>294</v>
      </c>
      <c r="BN234" s="251" t="s">
        <v>294</v>
      </c>
      <c r="BO234" s="147" t="s">
        <v>294</v>
      </c>
      <c r="BP234" s="147" t="s">
        <v>294</v>
      </c>
      <c r="BQ234" s="147" t="s">
        <v>294</v>
      </c>
      <c r="BR234" s="147" t="s">
        <v>294</v>
      </c>
      <c r="BS234" s="251" t="s">
        <v>294</v>
      </c>
      <c r="BT234" s="147" t="s">
        <v>294</v>
      </c>
      <c r="BU234" s="147" t="s">
        <v>294</v>
      </c>
      <c r="BV234" s="147" t="s">
        <v>294</v>
      </c>
      <c r="BW234" s="147" t="s">
        <v>294</v>
      </c>
      <c r="BX234" s="251" t="s">
        <v>294</v>
      </c>
      <c r="BY234" s="147" t="s">
        <v>294</v>
      </c>
      <c r="BZ234" s="147" t="s">
        <v>294</v>
      </c>
      <c r="CA234" s="147" t="s">
        <v>294</v>
      </c>
      <c r="CB234" s="147" t="s">
        <v>294</v>
      </c>
      <c r="CC234" s="251" t="s">
        <v>294</v>
      </c>
      <c r="CD234" s="147" t="s">
        <v>294</v>
      </c>
      <c r="CE234" s="147" t="s">
        <v>294</v>
      </c>
      <c r="CF234" s="147" t="s">
        <v>294</v>
      </c>
      <c r="CG234" s="147" t="s">
        <v>294</v>
      </c>
      <c r="CH234" s="251" t="s">
        <v>294</v>
      </c>
      <c r="CI234" s="147" t="s">
        <v>294</v>
      </c>
      <c r="CJ234" s="147" t="s">
        <v>294</v>
      </c>
      <c r="CK234" s="147" t="s">
        <v>294</v>
      </c>
      <c r="CL234" s="147" t="s">
        <v>294</v>
      </c>
      <c r="CM234" s="251" t="s">
        <v>294</v>
      </c>
    </row>
    <row r="235" spans="1:93">
      <c r="A235" s="139" t="s">
        <v>345</v>
      </c>
      <c r="B235" s="232" t="s">
        <v>294</v>
      </c>
      <c r="C235" s="232" t="s">
        <v>294</v>
      </c>
      <c r="D235" s="232" t="s">
        <v>294</v>
      </c>
      <c r="E235" s="232" t="s">
        <v>294</v>
      </c>
      <c r="F235" s="239" t="s">
        <v>294</v>
      </c>
      <c r="G235" s="232" t="s">
        <v>294</v>
      </c>
      <c r="H235" s="232" t="s">
        <v>294</v>
      </c>
      <c r="I235" s="232" t="s">
        <v>294</v>
      </c>
      <c r="J235" s="232" t="s">
        <v>294</v>
      </c>
      <c r="K235" s="239" t="s">
        <v>294</v>
      </c>
      <c r="L235" s="232" t="s">
        <v>294</v>
      </c>
      <c r="M235" s="232" t="s">
        <v>294</v>
      </c>
      <c r="N235" s="232" t="s">
        <v>294</v>
      </c>
      <c r="O235" s="232" t="s">
        <v>294</v>
      </c>
      <c r="P235" s="239" t="s">
        <v>294</v>
      </c>
      <c r="Q235" s="232" t="s">
        <v>294</v>
      </c>
      <c r="R235" s="232" t="s">
        <v>294</v>
      </c>
      <c r="S235" s="232" t="s">
        <v>294</v>
      </c>
      <c r="T235" s="232" t="s">
        <v>294</v>
      </c>
      <c r="U235" s="239" t="s">
        <v>294</v>
      </c>
      <c r="V235" s="232" t="s">
        <v>294</v>
      </c>
      <c r="W235" s="232" t="s">
        <v>294</v>
      </c>
      <c r="X235" s="232" t="s">
        <v>294</v>
      </c>
      <c r="Y235" s="232" t="s">
        <v>294</v>
      </c>
      <c r="Z235" s="239" t="s">
        <v>294</v>
      </c>
      <c r="AA235" s="232" t="s">
        <v>294</v>
      </c>
      <c r="AB235" s="232" t="s">
        <v>294</v>
      </c>
      <c r="AC235" s="232" t="s">
        <v>294</v>
      </c>
      <c r="AD235" s="232" t="s">
        <v>294</v>
      </c>
      <c r="AE235" s="239" t="s">
        <v>294</v>
      </c>
      <c r="AF235" s="232" t="s">
        <v>294</v>
      </c>
      <c r="AG235" s="232" t="s">
        <v>294</v>
      </c>
      <c r="AH235" s="232" t="s">
        <v>294</v>
      </c>
      <c r="AI235" s="232" t="s">
        <v>294</v>
      </c>
      <c r="AJ235" s="239" t="s">
        <v>294</v>
      </c>
      <c r="AK235" s="164">
        <v>1</v>
      </c>
      <c r="AL235" s="164">
        <v>1</v>
      </c>
      <c r="AM235" s="164">
        <v>1</v>
      </c>
      <c r="AN235" s="164">
        <v>1</v>
      </c>
      <c r="AO235" s="259" t="e">
        <f>+AO232/AO227</f>
        <v>#DIV/0!</v>
      </c>
      <c r="AP235" s="164">
        <v>1</v>
      </c>
      <c r="AQ235" s="164">
        <v>1</v>
      </c>
      <c r="AR235" s="164">
        <v>1</v>
      </c>
      <c r="AS235" s="164">
        <v>1</v>
      </c>
      <c r="AT235" s="259" t="e">
        <f>+AT232/AT227</f>
        <v>#DIV/0!</v>
      </c>
      <c r="AU235" s="400">
        <v>1</v>
      </c>
      <c r="AV235" s="164">
        <v>1</v>
      </c>
      <c r="AW235" s="164">
        <v>1</v>
      </c>
      <c r="AX235" s="164">
        <v>1</v>
      </c>
      <c r="AY235" s="259" t="e">
        <f>+AY232/AY227</f>
        <v>#DIV/0!</v>
      </c>
      <c r="AZ235" s="164">
        <v>0.5</v>
      </c>
      <c r="BA235" s="164">
        <v>0.5</v>
      </c>
      <c r="BB235" s="164">
        <v>0.5</v>
      </c>
      <c r="BC235" s="164">
        <v>0.5</v>
      </c>
      <c r="BD235" s="259" t="e">
        <f>+BD232/BD227</f>
        <v>#DIV/0!</v>
      </c>
      <c r="BE235" s="164">
        <v>0.5</v>
      </c>
      <c r="BF235" s="164">
        <v>0.5</v>
      </c>
      <c r="BG235" s="164">
        <v>0.5</v>
      </c>
      <c r="BH235" s="164">
        <v>0.5</v>
      </c>
      <c r="BI235" s="259" t="e">
        <f>+BI232/BI227</f>
        <v>#DIV/0!</v>
      </c>
      <c r="BJ235" s="164">
        <v>0.45</v>
      </c>
      <c r="BK235" s="164">
        <v>0.45</v>
      </c>
      <c r="BL235" s="164">
        <v>0.45</v>
      </c>
      <c r="BM235" s="164">
        <v>0.45</v>
      </c>
      <c r="BN235" s="259" t="e">
        <f>+BN232/BN227</f>
        <v>#DIV/0!</v>
      </c>
      <c r="BO235" s="164">
        <v>0.5</v>
      </c>
      <c r="BP235" s="164">
        <v>0.5</v>
      </c>
      <c r="BQ235" s="164">
        <v>0.5</v>
      </c>
      <c r="BR235" s="164">
        <v>0.5</v>
      </c>
      <c r="BS235" s="259" t="e">
        <f>+BS232/BS227</f>
        <v>#DIV/0!</v>
      </c>
      <c r="BT235" s="164">
        <v>0.5</v>
      </c>
      <c r="BU235" s="164">
        <v>0.5</v>
      </c>
      <c r="BV235" s="164">
        <v>0.5</v>
      </c>
      <c r="BW235" s="164">
        <v>0.5</v>
      </c>
      <c r="BX235" s="259" t="e">
        <f>+BX232/BX227</f>
        <v>#DIV/0!</v>
      </c>
      <c r="BY235" s="164">
        <v>0.45</v>
      </c>
      <c r="BZ235" s="164">
        <v>0.45</v>
      </c>
      <c r="CA235" s="164">
        <v>0.45</v>
      </c>
      <c r="CB235" s="164">
        <v>0.45</v>
      </c>
      <c r="CC235" s="259" t="e">
        <f>+CC232/CC227</f>
        <v>#DIV/0!</v>
      </c>
      <c r="CD235" s="164">
        <v>0.45</v>
      </c>
      <c r="CE235" s="164">
        <v>0.45</v>
      </c>
      <c r="CF235" s="164">
        <v>0.45</v>
      </c>
      <c r="CG235" s="164">
        <v>0.45</v>
      </c>
      <c r="CH235" s="259" t="e">
        <f>+CH232/CH227</f>
        <v>#DIV/0!</v>
      </c>
      <c r="CI235" s="164">
        <v>0.45</v>
      </c>
      <c r="CJ235" s="164">
        <v>0.45</v>
      </c>
      <c r="CK235" s="164">
        <v>0.45</v>
      </c>
      <c r="CL235" s="164">
        <v>0.45</v>
      </c>
      <c r="CM235" s="259" t="e">
        <f>+CM232/CM227</f>
        <v>#DIV/0!</v>
      </c>
    </row>
    <row r="236" spans="1:93">
      <c r="F236" s="240"/>
      <c r="K236" s="240"/>
      <c r="P236" s="240"/>
      <c r="U236" s="240"/>
      <c r="Z236" s="240"/>
      <c r="AE236" s="240"/>
      <c r="AJ236" s="240"/>
      <c r="AO236" s="240"/>
      <c r="AT236" s="240"/>
      <c r="AU236" s="374"/>
      <c r="AY236" s="240"/>
      <c r="BD236" s="240"/>
      <c r="BI236" s="240"/>
      <c r="BN236" s="240"/>
      <c r="BS236" s="240"/>
      <c r="BX236" s="240"/>
      <c r="CC236" s="240"/>
      <c r="CH236" s="240"/>
      <c r="CM236" s="240"/>
    </row>
    <row r="237" spans="1:93" s="230" customFormat="1">
      <c r="A237" s="178" t="s">
        <v>348</v>
      </c>
      <c r="B237" s="178"/>
      <c r="C237" s="178"/>
      <c r="D237" s="178"/>
      <c r="E237" s="178"/>
      <c r="F237" s="238"/>
      <c r="G237" s="178"/>
      <c r="H237" s="178"/>
      <c r="I237" s="178"/>
      <c r="J237" s="178"/>
      <c r="K237" s="238"/>
      <c r="L237" s="178"/>
      <c r="M237" s="178"/>
      <c r="N237" s="178"/>
      <c r="O237" s="178"/>
      <c r="P237" s="238"/>
      <c r="Q237" s="178"/>
      <c r="R237" s="178"/>
      <c r="S237" s="178"/>
      <c r="T237" s="178"/>
      <c r="U237" s="238"/>
      <c r="V237" s="178"/>
      <c r="W237" s="178"/>
      <c r="X237" s="178"/>
      <c r="Y237" s="178"/>
      <c r="Z237" s="238"/>
      <c r="AA237" s="178"/>
      <c r="AB237" s="178"/>
      <c r="AC237" s="178"/>
      <c r="AD237" s="178"/>
      <c r="AE237" s="238"/>
      <c r="AF237" s="178"/>
      <c r="AG237" s="178"/>
      <c r="AH237" s="178"/>
      <c r="AI237" s="178"/>
      <c r="AJ237" s="238"/>
      <c r="AK237" s="178"/>
      <c r="AL237" s="178"/>
      <c r="AM237" s="178"/>
      <c r="AN237" s="178"/>
      <c r="AO237" s="238"/>
      <c r="AP237" s="178"/>
      <c r="AQ237" s="178"/>
      <c r="AR237" s="178"/>
      <c r="AS237" s="178"/>
      <c r="AT237" s="238"/>
      <c r="AU237" s="178"/>
      <c r="AV237" s="178"/>
      <c r="AW237" s="178"/>
      <c r="AX237" s="178"/>
      <c r="AY237" s="238"/>
      <c r="AZ237" s="178"/>
      <c r="BA237" s="178"/>
      <c r="BB237" s="178"/>
      <c r="BC237" s="178"/>
      <c r="BD237" s="238"/>
      <c r="BE237" s="178"/>
      <c r="BF237" s="178"/>
      <c r="BG237" s="178"/>
      <c r="BH237" s="178"/>
      <c r="BI237" s="238"/>
      <c r="BJ237" s="178"/>
      <c r="BK237" s="178"/>
      <c r="BL237" s="178"/>
      <c r="BM237" s="178"/>
      <c r="BN237" s="238"/>
      <c r="BO237" s="178"/>
      <c r="BP237" s="178"/>
      <c r="BQ237" s="178"/>
      <c r="BR237" s="178"/>
      <c r="BS237" s="238"/>
      <c r="BT237" s="178"/>
      <c r="BU237" s="178"/>
      <c r="BV237" s="178"/>
      <c r="BW237" s="178"/>
      <c r="BX237" s="238"/>
      <c r="BY237" s="178"/>
      <c r="BZ237" s="178"/>
      <c r="CA237" s="178"/>
      <c r="CB237" s="178"/>
      <c r="CC237" s="238"/>
      <c r="CD237" s="178"/>
      <c r="CE237" s="178"/>
      <c r="CF237" s="178"/>
      <c r="CG237" s="178"/>
      <c r="CH237" s="238"/>
      <c r="CI237" s="178"/>
      <c r="CJ237" s="178"/>
      <c r="CK237" s="178"/>
      <c r="CL237" s="178"/>
      <c r="CM237" s="238"/>
      <c r="CN237" s="178"/>
      <c r="CO237" s="178"/>
    </row>
    <row r="238" spans="1:93">
      <c r="A238" s="18" t="s">
        <v>343</v>
      </c>
      <c r="B238" s="232" t="s">
        <v>294</v>
      </c>
      <c r="C238" s="232" t="s">
        <v>294</v>
      </c>
      <c r="D238" s="232" t="s">
        <v>294</v>
      </c>
      <c r="E238" s="232" t="s">
        <v>294</v>
      </c>
      <c r="F238" s="239" t="s">
        <v>294</v>
      </c>
      <c r="G238" s="232" t="s">
        <v>294</v>
      </c>
      <c r="H238" s="232" t="s">
        <v>294</v>
      </c>
      <c r="I238" s="232" t="s">
        <v>294</v>
      </c>
      <c r="J238" s="232" t="s">
        <v>294</v>
      </c>
      <c r="K238" s="239" t="s">
        <v>294</v>
      </c>
      <c r="L238" s="232" t="s">
        <v>294</v>
      </c>
      <c r="M238" s="232" t="s">
        <v>294</v>
      </c>
      <c r="N238" s="232" t="s">
        <v>294</v>
      </c>
      <c r="O238" s="232" t="s">
        <v>294</v>
      </c>
      <c r="P238" s="239" t="s">
        <v>294</v>
      </c>
      <c r="Q238" s="232" t="s">
        <v>294</v>
      </c>
      <c r="R238" s="232" t="s">
        <v>294</v>
      </c>
      <c r="S238" s="232" t="s">
        <v>294</v>
      </c>
      <c r="T238" s="232" t="s">
        <v>294</v>
      </c>
      <c r="U238" s="239" t="s">
        <v>294</v>
      </c>
      <c r="V238" s="232" t="s">
        <v>294</v>
      </c>
      <c r="W238" s="232" t="s">
        <v>294</v>
      </c>
      <c r="X238" s="232" t="s">
        <v>294</v>
      </c>
      <c r="Y238" s="232" t="s">
        <v>294</v>
      </c>
      <c r="Z238" s="239" t="s">
        <v>294</v>
      </c>
      <c r="AA238" s="232" t="s">
        <v>294</v>
      </c>
      <c r="AB238" s="232" t="s">
        <v>294</v>
      </c>
      <c r="AC238" s="232" t="s">
        <v>294</v>
      </c>
      <c r="AD238" s="232" t="s">
        <v>294</v>
      </c>
      <c r="AE238" s="239" t="s">
        <v>294</v>
      </c>
      <c r="AF238" s="232" t="s">
        <v>294</v>
      </c>
      <c r="AG238" s="232" t="s">
        <v>294</v>
      </c>
      <c r="AH238" s="232" t="s">
        <v>294</v>
      </c>
      <c r="AI238" s="232" t="s">
        <v>294</v>
      </c>
      <c r="AJ238" s="239" t="s">
        <v>294</v>
      </c>
      <c r="AK238" s="49">
        <f>+AO238/4</f>
        <v>1300000</v>
      </c>
      <c r="AL238" s="49">
        <f>+AO238/4</f>
        <v>1300000</v>
      </c>
      <c r="AM238" s="49">
        <f>+AO238/4</f>
        <v>1300000</v>
      </c>
      <c r="AN238" s="49">
        <f>+AO238/4</f>
        <v>1300000</v>
      </c>
      <c r="AO238" s="242">
        <v>5200000</v>
      </c>
      <c r="AP238" s="49">
        <f>+AT238/4</f>
        <v>1300000</v>
      </c>
      <c r="AQ238" s="49">
        <f>+AT238/4</f>
        <v>1300000</v>
      </c>
      <c r="AR238" s="49">
        <f>+AT238/4</f>
        <v>1300000</v>
      </c>
      <c r="AS238" s="49">
        <f>+AT238/4</f>
        <v>1300000</v>
      </c>
      <c r="AT238" s="242">
        <v>5200000</v>
      </c>
      <c r="AU238" s="392">
        <f>+AY238/4</f>
        <v>1300000</v>
      </c>
      <c r="AV238" s="49">
        <f>+AY238/4</f>
        <v>1300000</v>
      </c>
      <c r="AW238" s="49">
        <f>+AY238/4</f>
        <v>1300000</v>
      </c>
      <c r="AX238" s="49">
        <f>+AY238/4</f>
        <v>1300000</v>
      </c>
      <c r="AY238" s="242">
        <v>5200000</v>
      </c>
      <c r="AZ238" s="49">
        <f>+BD238/4</f>
        <v>1300000</v>
      </c>
      <c r="BA238" s="49">
        <f>+BD238/4</f>
        <v>1300000</v>
      </c>
      <c r="BB238" s="49">
        <f>+BD238/4</f>
        <v>1300000</v>
      </c>
      <c r="BC238" s="49">
        <f>+BD238/4</f>
        <v>1300000</v>
      </c>
      <c r="BD238" s="242">
        <v>5200000</v>
      </c>
      <c r="BE238" s="49">
        <f>+BI238/4</f>
        <v>1300000</v>
      </c>
      <c r="BF238" s="49">
        <f>+BI238/4</f>
        <v>1300000</v>
      </c>
      <c r="BG238" s="49">
        <f>+BI238/4</f>
        <v>1300000</v>
      </c>
      <c r="BH238" s="49">
        <f>+BI238/4</f>
        <v>1300000</v>
      </c>
      <c r="BI238" s="242">
        <v>5200000</v>
      </c>
      <c r="BJ238" s="49">
        <f>+BN238/4</f>
        <v>1300000</v>
      </c>
      <c r="BK238" s="49">
        <f>+BN238/4</f>
        <v>1300000</v>
      </c>
      <c r="BL238" s="49">
        <f>+BN238/4</f>
        <v>1300000</v>
      </c>
      <c r="BM238" s="49">
        <f>+BN238/4</f>
        <v>1300000</v>
      </c>
      <c r="BN238" s="242">
        <v>5200000</v>
      </c>
      <c r="BO238" s="49">
        <f>+BS238/4</f>
        <v>1300000</v>
      </c>
      <c r="BP238" s="49">
        <f>+BS238/4</f>
        <v>1300000</v>
      </c>
      <c r="BQ238" s="49">
        <f>+BS238/4</f>
        <v>1300000</v>
      </c>
      <c r="BR238" s="49">
        <f>+BS238/4</f>
        <v>1300000</v>
      </c>
      <c r="BS238" s="242">
        <v>5200000</v>
      </c>
      <c r="BT238" s="49">
        <f>+BX238/4</f>
        <v>1300000</v>
      </c>
      <c r="BU238" s="49">
        <f>+BX238/4</f>
        <v>1300000</v>
      </c>
      <c r="BV238" s="49">
        <f>+BX238/4</f>
        <v>1300000</v>
      </c>
      <c r="BW238" s="49">
        <f>+BX238/4</f>
        <v>1300000</v>
      </c>
      <c r="BX238" s="242">
        <v>5200000</v>
      </c>
      <c r="BY238" s="49">
        <f>+CC238/4</f>
        <v>1300000</v>
      </c>
      <c r="BZ238" s="49">
        <f>+CC238/4</f>
        <v>1300000</v>
      </c>
      <c r="CA238" s="49">
        <f>+CC238/4</f>
        <v>1300000</v>
      </c>
      <c r="CB238" s="49">
        <f>+CC238/4</f>
        <v>1300000</v>
      </c>
      <c r="CC238" s="242">
        <v>5200000</v>
      </c>
      <c r="CD238" s="49">
        <f>+CH238/4</f>
        <v>1300000</v>
      </c>
      <c r="CE238" s="49">
        <f>+CH238/4</f>
        <v>1300000</v>
      </c>
      <c r="CF238" s="49">
        <f>+CH238/4</f>
        <v>1300000</v>
      </c>
      <c r="CG238" s="49">
        <f>+CH238/4</f>
        <v>1300000</v>
      </c>
      <c r="CH238" s="242">
        <v>5200000</v>
      </c>
      <c r="CI238" s="49">
        <f>+AK238-AK239</f>
        <v>1300000</v>
      </c>
      <c r="CJ238" s="49">
        <f t="shared" ref="CJ238:CL238" si="3548">+AL238-AL239</f>
        <v>1300000</v>
      </c>
      <c r="CK238" s="49">
        <f t="shared" si="3548"/>
        <v>1300000</v>
      </c>
      <c r="CL238" s="49">
        <f t="shared" si="3548"/>
        <v>1300000</v>
      </c>
      <c r="CM238" s="242">
        <f>+CI238+CJ238+CK238+CL238</f>
        <v>5200000</v>
      </c>
    </row>
    <row r="239" spans="1:93">
      <c r="A239" s="18" t="s">
        <v>344</v>
      </c>
      <c r="B239" s="232" t="s">
        <v>294</v>
      </c>
      <c r="C239" s="232" t="s">
        <v>294</v>
      </c>
      <c r="D239" s="232" t="s">
        <v>294</v>
      </c>
      <c r="E239" s="232" t="s">
        <v>294</v>
      </c>
      <c r="F239" s="239" t="s">
        <v>294</v>
      </c>
      <c r="G239" s="232" t="s">
        <v>294</v>
      </c>
      <c r="H239" s="232" t="s">
        <v>294</v>
      </c>
      <c r="I239" s="232" t="s">
        <v>294</v>
      </c>
      <c r="J239" s="232" t="s">
        <v>294</v>
      </c>
      <c r="K239" s="239" t="s">
        <v>294</v>
      </c>
      <c r="L239" s="232" t="s">
        <v>294</v>
      </c>
      <c r="M239" s="232" t="s">
        <v>294</v>
      </c>
      <c r="N239" s="232" t="s">
        <v>294</v>
      </c>
      <c r="O239" s="232" t="s">
        <v>294</v>
      </c>
      <c r="P239" s="239" t="s">
        <v>294</v>
      </c>
      <c r="Q239" s="232" t="s">
        <v>294</v>
      </c>
      <c r="R239" s="232" t="s">
        <v>294</v>
      </c>
      <c r="S239" s="232" t="s">
        <v>294</v>
      </c>
      <c r="T239" s="232" t="s">
        <v>294</v>
      </c>
      <c r="U239" s="239" t="s">
        <v>294</v>
      </c>
      <c r="V239" s="232" t="s">
        <v>294</v>
      </c>
      <c r="W239" s="232" t="s">
        <v>294</v>
      </c>
      <c r="X239" s="232" t="s">
        <v>294</v>
      </c>
      <c r="Y239" s="232" t="s">
        <v>294</v>
      </c>
      <c r="Z239" s="239" t="s">
        <v>294</v>
      </c>
      <c r="AA239" s="232" t="s">
        <v>294</v>
      </c>
      <c r="AB239" s="232" t="s">
        <v>294</v>
      </c>
      <c r="AC239" s="232" t="s">
        <v>294</v>
      </c>
      <c r="AD239" s="232" t="s">
        <v>294</v>
      </c>
      <c r="AE239" s="239" t="s">
        <v>294</v>
      </c>
      <c r="AF239" s="232" t="s">
        <v>294</v>
      </c>
      <c r="AG239" s="232" t="s">
        <v>294</v>
      </c>
      <c r="AH239" s="232" t="s">
        <v>294</v>
      </c>
      <c r="AI239" s="232" t="s">
        <v>294</v>
      </c>
      <c r="AJ239" s="239" t="s">
        <v>294</v>
      </c>
      <c r="AK239" s="49">
        <f>+AK238*AK240</f>
        <v>0</v>
      </c>
      <c r="AL239" s="49">
        <f>+AL238*AL240</f>
        <v>0</v>
      </c>
      <c r="AM239" s="49">
        <f>+AM238*AM240</f>
        <v>0</v>
      </c>
      <c r="AN239" s="49">
        <f>+AN238*AN240</f>
        <v>0</v>
      </c>
      <c r="AO239" s="242">
        <f>+AK239+AL239+AM239+AN239</f>
        <v>0</v>
      </c>
      <c r="AP239" s="49">
        <f>+AP238*AP240</f>
        <v>0</v>
      </c>
      <c r="AQ239" s="49">
        <f>+AQ238*AQ240</f>
        <v>0</v>
      </c>
      <c r="AR239" s="49">
        <f>+AR238*AR240</f>
        <v>0</v>
      </c>
      <c r="AS239" s="49">
        <f>+AS238*AS240</f>
        <v>0</v>
      </c>
      <c r="AT239" s="242">
        <f>+AP239+AQ239+AR239+AS239</f>
        <v>0</v>
      </c>
      <c r="AU239" s="392">
        <f>+AU238*AU240</f>
        <v>0</v>
      </c>
      <c r="AV239" s="49">
        <f>+AV238*AV240</f>
        <v>0</v>
      </c>
      <c r="AW239" s="49">
        <f>+AW238*AW240</f>
        <v>0</v>
      </c>
      <c r="AX239" s="49">
        <f>+AX238*AX240</f>
        <v>0</v>
      </c>
      <c r="AY239" s="242">
        <f>+AU239+AV239+AW239+AX239</f>
        <v>0</v>
      </c>
      <c r="AZ239" s="49">
        <f>+AZ238*AZ240</f>
        <v>0</v>
      </c>
      <c r="BA239" s="49">
        <f>+BA238*BA240</f>
        <v>0</v>
      </c>
      <c r="BB239" s="49">
        <f>+BB238*BB240</f>
        <v>0</v>
      </c>
      <c r="BC239" s="49">
        <f>+BC238*BC240</f>
        <v>0</v>
      </c>
      <c r="BD239" s="242">
        <f>+AZ239+BA239+BB239+BC239</f>
        <v>0</v>
      </c>
      <c r="BE239" s="49">
        <f>+BE238*BE240</f>
        <v>0</v>
      </c>
      <c r="BF239" s="49">
        <f>+BF238*BF240</f>
        <v>0</v>
      </c>
      <c r="BG239" s="49">
        <f>+BG238*BG240</f>
        <v>0</v>
      </c>
      <c r="BH239" s="49">
        <f>+BH238*BH240</f>
        <v>0</v>
      </c>
      <c r="BI239" s="242">
        <f>+BE239+BF239+BG239+BH239</f>
        <v>0</v>
      </c>
      <c r="BJ239" s="49">
        <f>+BJ238*BJ240</f>
        <v>0</v>
      </c>
      <c r="BK239" s="49">
        <f>+BK238*BK240</f>
        <v>0</v>
      </c>
      <c r="BL239" s="49">
        <f>+BL238*BL240</f>
        <v>0</v>
      </c>
      <c r="BM239" s="49">
        <f>+BM238*BM240</f>
        <v>0</v>
      </c>
      <c r="BN239" s="242">
        <f>+BJ239+BK239+BL239+BM239</f>
        <v>0</v>
      </c>
      <c r="BO239" s="49">
        <f>+BO238*BO240</f>
        <v>0</v>
      </c>
      <c r="BP239" s="49">
        <f>+BP238*BP240</f>
        <v>0</v>
      </c>
      <c r="BQ239" s="49">
        <f>+BQ238*BQ240</f>
        <v>0</v>
      </c>
      <c r="BR239" s="49">
        <f>+BR238*BR240</f>
        <v>0</v>
      </c>
      <c r="BS239" s="242">
        <f>+BO239+BP239+BQ239+BR239</f>
        <v>0</v>
      </c>
      <c r="BT239" s="49">
        <f>+BT238*BT240</f>
        <v>0</v>
      </c>
      <c r="BU239" s="49">
        <f>+BU238*BU240</f>
        <v>0</v>
      </c>
      <c r="BV239" s="49">
        <f>+BV238*BV240</f>
        <v>0</v>
      </c>
      <c r="BW239" s="49">
        <f>+BW238*BW240</f>
        <v>0</v>
      </c>
      <c r="BX239" s="242">
        <f>+BT239+BU239+BV239+BW239</f>
        <v>0</v>
      </c>
      <c r="BY239" s="49">
        <f>+BY238*BY240</f>
        <v>0</v>
      </c>
      <c r="BZ239" s="49">
        <f>+BZ238*BZ240</f>
        <v>0</v>
      </c>
      <c r="CA239" s="49">
        <f>+CA238*CA240</f>
        <v>0</v>
      </c>
      <c r="CB239" s="49">
        <f>+CB238*CB240</f>
        <v>0</v>
      </c>
      <c r="CC239" s="242">
        <f>+BY239+BZ239+CA239+CB239</f>
        <v>0</v>
      </c>
      <c r="CD239" s="49">
        <f>+CD238*CD240</f>
        <v>0</v>
      </c>
      <c r="CE239" s="49">
        <f>+CE238*CE240</f>
        <v>0</v>
      </c>
      <c r="CF239" s="49">
        <f>+CF238*CF240</f>
        <v>0</v>
      </c>
      <c r="CG239" s="49">
        <f>+CG238*CG240</f>
        <v>0</v>
      </c>
      <c r="CH239" s="242">
        <f>+CD239+CE239+CF239+CG239</f>
        <v>0</v>
      </c>
      <c r="CI239" s="49">
        <f>+CI238*CI240</f>
        <v>0</v>
      </c>
      <c r="CJ239" s="49">
        <f>+CJ238*CJ240</f>
        <v>0</v>
      </c>
      <c r="CK239" s="49">
        <f>+CK238*CK240</f>
        <v>0</v>
      </c>
      <c r="CL239" s="49">
        <f>+CL238*CL240</f>
        <v>0</v>
      </c>
      <c r="CM239" s="242">
        <f>+CI239+CJ239+CK239+CL239</f>
        <v>0</v>
      </c>
    </row>
    <row r="240" spans="1:93">
      <c r="A240" s="139" t="s">
        <v>350</v>
      </c>
      <c r="B240" s="232" t="s">
        <v>294</v>
      </c>
      <c r="C240" s="232" t="s">
        <v>294</v>
      </c>
      <c r="D240" s="232" t="s">
        <v>294</v>
      </c>
      <c r="E240" s="232" t="s">
        <v>294</v>
      </c>
      <c r="F240" s="239" t="s">
        <v>294</v>
      </c>
      <c r="G240" s="232" t="s">
        <v>294</v>
      </c>
      <c r="H240" s="232" t="s">
        <v>294</v>
      </c>
      <c r="I240" s="232" t="s">
        <v>294</v>
      </c>
      <c r="J240" s="232" t="s">
        <v>294</v>
      </c>
      <c r="K240" s="239" t="s">
        <v>294</v>
      </c>
      <c r="L240" s="232" t="s">
        <v>294</v>
      </c>
      <c r="M240" s="232" t="s">
        <v>294</v>
      </c>
      <c r="N240" s="232" t="s">
        <v>294</v>
      </c>
      <c r="O240" s="232" t="s">
        <v>294</v>
      </c>
      <c r="P240" s="239" t="s">
        <v>294</v>
      </c>
      <c r="Q240" s="232" t="s">
        <v>294</v>
      </c>
      <c r="R240" s="232" t="s">
        <v>294</v>
      </c>
      <c r="S240" s="232" t="s">
        <v>294</v>
      </c>
      <c r="T240" s="232" t="s">
        <v>294</v>
      </c>
      <c r="U240" s="239" t="s">
        <v>294</v>
      </c>
      <c r="V240" s="232" t="s">
        <v>294</v>
      </c>
      <c r="W240" s="232" t="s">
        <v>294</v>
      </c>
      <c r="X240" s="232" t="s">
        <v>294</v>
      </c>
      <c r="Y240" s="232" t="s">
        <v>294</v>
      </c>
      <c r="Z240" s="239" t="s">
        <v>294</v>
      </c>
      <c r="AA240" s="232" t="s">
        <v>294</v>
      </c>
      <c r="AB240" s="232" t="s">
        <v>294</v>
      </c>
      <c r="AC240" s="232" t="s">
        <v>294</v>
      </c>
      <c r="AD240" s="232" t="s">
        <v>294</v>
      </c>
      <c r="AE240" s="239" t="s">
        <v>294</v>
      </c>
      <c r="AF240" s="232" t="s">
        <v>294</v>
      </c>
      <c r="AG240" s="232" t="s">
        <v>294</v>
      </c>
      <c r="AH240" s="232" t="s">
        <v>294</v>
      </c>
      <c r="AI240" s="232" t="s">
        <v>294</v>
      </c>
      <c r="AJ240" s="239" t="s">
        <v>294</v>
      </c>
      <c r="AK240" s="164">
        <v>0</v>
      </c>
      <c r="AL240" s="164">
        <v>0</v>
      </c>
      <c r="AM240" s="164">
        <v>0</v>
      </c>
      <c r="AN240" s="164">
        <v>0</v>
      </c>
      <c r="AO240" s="259">
        <f>+AO239/AO238</f>
        <v>0</v>
      </c>
      <c r="AP240" s="164">
        <v>0</v>
      </c>
      <c r="AQ240" s="164">
        <v>0</v>
      </c>
      <c r="AR240" s="164">
        <v>0</v>
      </c>
      <c r="AS240" s="164">
        <v>0</v>
      </c>
      <c r="AT240" s="259">
        <f>+AT239/AT238</f>
        <v>0</v>
      </c>
      <c r="AU240" s="400">
        <v>0</v>
      </c>
      <c r="AV240" s="164">
        <v>0</v>
      </c>
      <c r="AW240" s="164">
        <v>0</v>
      </c>
      <c r="AX240" s="164">
        <v>0</v>
      </c>
      <c r="AY240" s="259">
        <f>+AY239/AY238</f>
        <v>0</v>
      </c>
      <c r="AZ240" s="164">
        <v>0</v>
      </c>
      <c r="BA240" s="164">
        <v>0</v>
      </c>
      <c r="BB240" s="164">
        <v>0</v>
      </c>
      <c r="BC240" s="164">
        <v>0</v>
      </c>
      <c r="BD240" s="259">
        <f>+BD239/BD238</f>
        <v>0</v>
      </c>
      <c r="BE240" s="164">
        <v>0</v>
      </c>
      <c r="BF240" s="164">
        <v>0</v>
      </c>
      <c r="BG240" s="164">
        <v>0</v>
      </c>
      <c r="BH240" s="164">
        <v>0</v>
      </c>
      <c r="BI240" s="259">
        <f>+BI239/BI238</f>
        <v>0</v>
      </c>
      <c r="BJ240" s="164">
        <v>0</v>
      </c>
      <c r="BK240" s="164">
        <v>0</v>
      </c>
      <c r="BL240" s="164">
        <v>0</v>
      </c>
      <c r="BM240" s="164">
        <v>0</v>
      </c>
      <c r="BN240" s="259">
        <f>+BN239/BN238</f>
        <v>0</v>
      </c>
      <c r="BO240" s="164">
        <v>0</v>
      </c>
      <c r="BP240" s="164">
        <v>0</v>
      </c>
      <c r="BQ240" s="164">
        <v>0</v>
      </c>
      <c r="BR240" s="164">
        <v>0</v>
      </c>
      <c r="BS240" s="259">
        <f>+BS239/BS238</f>
        <v>0</v>
      </c>
      <c r="BT240" s="164">
        <v>0</v>
      </c>
      <c r="BU240" s="164">
        <v>0</v>
      </c>
      <c r="BV240" s="164">
        <v>0</v>
      </c>
      <c r="BW240" s="164">
        <v>0</v>
      </c>
      <c r="BX240" s="259">
        <f>+BX239/BX238</f>
        <v>0</v>
      </c>
      <c r="BY240" s="164">
        <v>0</v>
      </c>
      <c r="BZ240" s="164">
        <v>0</v>
      </c>
      <c r="CA240" s="164">
        <v>0</v>
      </c>
      <c r="CB240" s="164">
        <v>0</v>
      </c>
      <c r="CC240" s="259">
        <f>+CC239/CC238</f>
        <v>0</v>
      </c>
      <c r="CD240" s="164">
        <v>0</v>
      </c>
      <c r="CE240" s="164">
        <v>0</v>
      </c>
      <c r="CF240" s="164">
        <v>0</v>
      </c>
      <c r="CG240" s="164">
        <v>0</v>
      </c>
      <c r="CH240" s="259">
        <f>+CH239/CH238</f>
        <v>0</v>
      </c>
      <c r="CI240" s="164">
        <v>0</v>
      </c>
      <c r="CJ240" s="164">
        <v>0</v>
      </c>
      <c r="CK240" s="164">
        <v>0</v>
      </c>
      <c r="CL240" s="164">
        <v>0</v>
      </c>
      <c r="CM240" s="259">
        <f>+CM239/CM238</f>
        <v>0</v>
      </c>
    </row>
    <row r="241" spans="1:93">
      <c r="A241" s="161" t="s">
        <v>340</v>
      </c>
      <c r="B241" s="232" t="s">
        <v>294</v>
      </c>
      <c r="C241" s="232" t="s">
        <v>294</v>
      </c>
      <c r="D241" s="232" t="s">
        <v>294</v>
      </c>
      <c r="E241" s="232" t="s">
        <v>294</v>
      </c>
      <c r="F241" s="239" t="s">
        <v>294</v>
      </c>
      <c r="G241" s="232" t="s">
        <v>294</v>
      </c>
      <c r="H241" s="232" t="s">
        <v>294</v>
      </c>
      <c r="I241" s="232" t="s">
        <v>294</v>
      </c>
      <c r="J241" s="232" t="s">
        <v>294</v>
      </c>
      <c r="K241" s="239" t="s">
        <v>294</v>
      </c>
      <c r="L241" s="232" t="s">
        <v>294</v>
      </c>
      <c r="M241" s="232" t="s">
        <v>294</v>
      </c>
      <c r="N241" s="232" t="s">
        <v>294</v>
      </c>
      <c r="O241" s="232" t="s">
        <v>294</v>
      </c>
      <c r="P241" s="239" t="s">
        <v>294</v>
      </c>
      <c r="Q241" s="232" t="s">
        <v>294</v>
      </c>
      <c r="R241" s="232" t="s">
        <v>294</v>
      </c>
      <c r="S241" s="232" t="s">
        <v>294</v>
      </c>
      <c r="T241" s="232" t="s">
        <v>294</v>
      </c>
      <c r="U241" s="239" t="s">
        <v>294</v>
      </c>
      <c r="V241" s="232" t="s">
        <v>294</v>
      </c>
      <c r="W241" s="232" t="s">
        <v>294</v>
      </c>
      <c r="X241" s="232" t="s">
        <v>294</v>
      </c>
      <c r="Y241" s="232" t="s">
        <v>294</v>
      </c>
      <c r="Z241" s="239" t="s">
        <v>294</v>
      </c>
      <c r="AA241" s="232" t="s">
        <v>294</v>
      </c>
      <c r="AB241" s="232" t="s">
        <v>294</v>
      </c>
      <c r="AC241" s="232" t="s">
        <v>294</v>
      </c>
      <c r="AD241" s="232" t="s">
        <v>294</v>
      </c>
      <c r="AE241" s="239" t="s">
        <v>294</v>
      </c>
      <c r="AF241" s="232" t="s">
        <v>294</v>
      </c>
      <c r="AG241" s="232" t="s">
        <v>294</v>
      </c>
      <c r="AH241" s="232" t="s">
        <v>294</v>
      </c>
      <c r="AI241" s="232" t="s">
        <v>294</v>
      </c>
      <c r="AJ241" s="239" t="s">
        <v>294</v>
      </c>
      <c r="AK241" s="232" t="s">
        <v>294</v>
      </c>
      <c r="AL241" s="232" t="s">
        <v>294</v>
      </c>
      <c r="AM241" s="232" t="s">
        <v>294</v>
      </c>
      <c r="AN241" s="232" t="s">
        <v>294</v>
      </c>
      <c r="AO241" s="239" t="s">
        <v>294</v>
      </c>
      <c r="AP241" s="166">
        <f>+(AP240-AK240)*100000</f>
        <v>0</v>
      </c>
      <c r="AQ241" s="232">
        <f t="shared" ref="AQ241" si="3549">+(AQ240-AL240)*100000</f>
        <v>0</v>
      </c>
      <c r="AR241" s="232">
        <f>+(AR240-AM240)*100000</f>
        <v>0</v>
      </c>
      <c r="AS241" s="166">
        <f t="shared" ref="AS241" si="3550">+(AS240-AN240)*100000</f>
        <v>0</v>
      </c>
      <c r="AT241" s="260">
        <f t="shared" ref="AT241" si="3551">+(AT240-AO240)*100000</f>
        <v>0</v>
      </c>
      <c r="AU241" s="394">
        <f t="shared" ref="AU241" si="3552">+(AU240-AP240)*100000</f>
        <v>0</v>
      </c>
      <c r="AV241" s="166">
        <f t="shared" ref="AV241" si="3553">+(AV240-AQ240)*100000</f>
        <v>0</v>
      </c>
      <c r="AW241" s="166">
        <f t="shared" ref="AW241" si="3554">+(AW240-AR240)*100000</f>
        <v>0</v>
      </c>
      <c r="AX241" s="166">
        <f t="shared" ref="AX241" si="3555">+(AX240-AS240)*100000</f>
        <v>0</v>
      </c>
      <c r="AY241" s="260">
        <f>+(AY240-AT240)*100000</f>
        <v>0</v>
      </c>
      <c r="AZ241" s="166">
        <f t="shared" ref="AZ241" si="3556">+(AZ240-AU240)*100000</f>
        <v>0</v>
      </c>
      <c r="BA241" s="166">
        <f t="shared" ref="BA241" si="3557">+(BA240-AV240)*100000</f>
        <v>0</v>
      </c>
      <c r="BB241" s="166">
        <f t="shared" ref="BB241" si="3558">+(BB240-AW240)*100000</f>
        <v>0</v>
      </c>
      <c r="BC241" s="166">
        <f t="shared" ref="BC241" si="3559">+(BC240-AX240)*100000</f>
        <v>0</v>
      </c>
      <c r="BD241" s="260">
        <f t="shared" ref="BD241" si="3560">+(BD240-AY240)*100000</f>
        <v>0</v>
      </c>
      <c r="BE241" s="166">
        <f t="shared" ref="BE241" si="3561">+(BE240-AZ240)*100000</f>
        <v>0</v>
      </c>
      <c r="BF241" s="166">
        <f t="shared" ref="BF241" si="3562">+(BF240-BA240)*100000</f>
        <v>0</v>
      </c>
      <c r="BG241" s="166">
        <f t="shared" ref="BG241" si="3563">+(BG240-BB240)*100000</f>
        <v>0</v>
      </c>
      <c r="BH241" s="166">
        <f t="shared" ref="BH241" si="3564">+(BH240-BC240)*100000</f>
        <v>0</v>
      </c>
      <c r="BI241" s="260">
        <f t="shared" ref="BI241" si="3565">+(BI240-BD240)*100000</f>
        <v>0</v>
      </c>
      <c r="BJ241" s="166">
        <f t="shared" ref="BJ241" si="3566">+(BJ240-BE240)*100000</f>
        <v>0</v>
      </c>
      <c r="BK241" s="166">
        <f t="shared" ref="BK241" si="3567">+(BK240-BF240)*100000</f>
        <v>0</v>
      </c>
      <c r="BL241" s="166">
        <f t="shared" ref="BL241" si="3568">+(BL240-BG240)*100000</f>
        <v>0</v>
      </c>
      <c r="BM241" s="166">
        <f t="shared" ref="BM241" si="3569">+(BM240-BH240)*100000</f>
        <v>0</v>
      </c>
      <c r="BN241" s="260">
        <f t="shared" ref="BN241" si="3570">+(BN240-BI240)*100000</f>
        <v>0</v>
      </c>
      <c r="BO241" s="166">
        <f t="shared" ref="BO241" si="3571">+(BO240-BJ240)*100000</f>
        <v>0</v>
      </c>
      <c r="BP241" s="166">
        <f t="shared" ref="BP241" si="3572">+(BP240-BK240)*100000</f>
        <v>0</v>
      </c>
      <c r="BQ241" s="166">
        <f t="shared" ref="BQ241" si="3573">+(BQ240-BL240)*100000</f>
        <v>0</v>
      </c>
      <c r="BR241" s="166">
        <f t="shared" ref="BR241" si="3574">+(BR240-BM240)*100000</f>
        <v>0</v>
      </c>
      <c r="BS241" s="260">
        <f t="shared" ref="BS241" si="3575">+(BS240-BN240)*100000</f>
        <v>0</v>
      </c>
      <c r="BT241" s="166">
        <f t="shared" ref="BT241" si="3576">+(BT240-BO240)*100000</f>
        <v>0</v>
      </c>
      <c r="BU241" s="166">
        <f t="shared" ref="BU241" si="3577">+(BU240-BP240)*100000</f>
        <v>0</v>
      </c>
      <c r="BV241" s="166">
        <f t="shared" ref="BV241" si="3578">+(BV240-BQ240)*100000</f>
        <v>0</v>
      </c>
      <c r="BW241" s="166">
        <f t="shared" ref="BW241" si="3579">+(BW240-BR240)*100000</f>
        <v>0</v>
      </c>
      <c r="BX241" s="260">
        <f t="shared" ref="BX241" si="3580">+(BX240-BS240)*100000</f>
        <v>0</v>
      </c>
      <c r="BY241" s="166">
        <f t="shared" ref="BY241" si="3581">+(BY240-BT240)*100000</f>
        <v>0</v>
      </c>
      <c r="BZ241" s="166">
        <f t="shared" ref="BZ241" si="3582">+(BZ240-BU240)*100000</f>
        <v>0</v>
      </c>
      <c r="CA241" s="166">
        <f t="shared" ref="CA241" si="3583">+(CA240-BV240)*100000</f>
        <v>0</v>
      </c>
      <c r="CB241" s="166">
        <f t="shared" ref="CB241" si="3584">+(CB240-BW240)*100000</f>
        <v>0</v>
      </c>
      <c r="CC241" s="260">
        <f t="shared" ref="CC241" si="3585">+(CC240-BX240)*100000</f>
        <v>0</v>
      </c>
      <c r="CD241" s="166">
        <f t="shared" ref="CD241" si="3586">+(CD240-BY240)*100000</f>
        <v>0</v>
      </c>
      <c r="CE241" s="166">
        <f t="shared" ref="CE241" si="3587">+(CE240-BZ240)*100000</f>
        <v>0</v>
      </c>
      <c r="CF241" s="166">
        <f t="shared" ref="CF241" si="3588">+(CF240-CA240)*100000</f>
        <v>0</v>
      </c>
      <c r="CG241" s="166">
        <f t="shared" ref="CG241" si="3589">+(CG240-CB240)*100000</f>
        <v>0</v>
      </c>
      <c r="CH241" s="260">
        <f t="shared" ref="CH241" si="3590">+(CH240-CC240)*100000</f>
        <v>0</v>
      </c>
      <c r="CI241" s="166">
        <f t="shared" ref="CI241" si="3591">+(CI240-CD240)*100000</f>
        <v>0</v>
      </c>
      <c r="CJ241" s="166">
        <f t="shared" ref="CJ241" si="3592">+(CJ240-CE240)*100000</f>
        <v>0</v>
      </c>
      <c r="CK241" s="166">
        <f t="shared" ref="CK241" si="3593">+(CK240-CF240)*100000</f>
        <v>0</v>
      </c>
      <c r="CL241" s="166">
        <f t="shared" ref="CL241" si="3594">+(CL240-CG240)*100000</f>
        <v>0</v>
      </c>
      <c r="CM241" s="260">
        <f t="shared" ref="CM241" si="3595">+(CM240-CH240)*100000</f>
        <v>0</v>
      </c>
    </row>
    <row r="242" spans="1:93">
      <c r="A242" s="161" t="s">
        <v>341</v>
      </c>
      <c r="B242" s="232" t="s">
        <v>294</v>
      </c>
      <c r="C242" s="232" t="s">
        <v>294</v>
      </c>
      <c r="D242" s="232" t="s">
        <v>294</v>
      </c>
      <c r="E242" s="232" t="s">
        <v>294</v>
      </c>
      <c r="F242" s="239" t="s">
        <v>294</v>
      </c>
      <c r="G242" s="232" t="s">
        <v>294</v>
      </c>
      <c r="H242" s="232" t="s">
        <v>294</v>
      </c>
      <c r="I242" s="232" t="s">
        <v>294</v>
      </c>
      <c r="J242" s="232" t="s">
        <v>294</v>
      </c>
      <c r="K242" s="239" t="s">
        <v>294</v>
      </c>
      <c r="L242" s="232" t="s">
        <v>294</v>
      </c>
      <c r="M242" s="232" t="s">
        <v>294</v>
      </c>
      <c r="N242" s="232" t="s">
        <v>294</v>
      </c>
      <c r="O242" s="232" t="s">
        <v>294</v>
      </c>
      <c r="P242" s="239" t="s">
        <v>294</v>
      </c>
      <c r="Q242" s="232" t="s">
        <v>294</v>
      </c>
      <c r="R242" s="232" t="s">
        <v>294</v>
      </c>
      <c r="S242" s="232" t="s">
        <v>294</v>
      </c>
      <c r="T242" s="232" t="s">
        <v>294</v>
      </c>
      <c r="U242" s="239" t="s">
        <v>294</v>
      </c>
      <c r="V242" s="232" t="s">
        <v>294</v>
      </c>
      <c r="W242" s="232" t="s">
        <v>294</v>
      </c>
      <c r="X242" s="232" t="s">
        <v>294</v>
      </c>
      <c r="Y242" s="232" t="s">
        <v>294</v>
      </c>
      <c r="Z242" s="239" t="s">
        <v>294</v>
      </c>
      <c r="AA242" s="232" t="s">
        <v>294</v>
      </c>
      <c r="AB242" s="232" t="s">
        <v>294</v>
      </c>
      <c r="AC242" s="232" t="s">
        <v>294</v>
      </c>
      <c r="AD242" s="232" t="s">
        <v>294</v>
      </c>
      <c r="AE242" s="239" t="s">
        <v>294</v>
      </c>
      <c r="AF242" s="232" t="s">
        <v>294</v>
      </c>
      <c r="AG242" s="232" t="s">
        <v>294</v>
      </c>
      <c r="AH242" s="232" t="s">
        <v>294</v>
      </c>
      <c r="AI242" s="232" t="s">
        <v>294</v>
      </c>
      <c r="AJ242" s="239" t="s">
        <v>294</v>
      </c>
      <c r="AK242" s="232" t="s">
        <v>294</v>
      </c>
      <c r="AL242" s="166">
        <f>+(AL240-AK240)*100000</f>
        <v>0</v>
      </c>
      <c r="AM242" s="166">
        <f t="shared" ref="AM242:AN242" si="3596">+(AM240-AL240)*100000</f>
        <v>0</v>
      </c>
      <c r="AN242" s="166">
        <f t="shared" si="3596"/>
        <v>0</v>
      </c>
      <c r="AO242" s="251" t="s">
        <v>294</v>
      </c>
      <c r="AP242" s="166">
        <f>+(AP240-AN240)*100000</f>
        <v>0</v>
      </c>
      <c r="AQ242" s="166">
        <f>+(AQ240-AP240)*100000</f>
        <v>0</v>
      </c>
      <c r="AR242" s="166">
        <f t="shared" ref="AR242:AS242" si="3597">+(AR240-AQ240)*100000</f>
        <v>0</v>
      </c>
      <c r="AS242" s="166">
        <f t="shared" si="3597"/>
        <v>0</v>
      </c>
      <c r="AT242" s="251" t="s">
        <v>294</v>
      </c>
      <c r="AU242" s="394">
        <f>+(AU240-AS240)*100000</f>
        <v>0</v>
      </c>
      <c r="AV242" s="166">
        <f>+(AV240-AU240)*100000</f>
        <v>0</v>
      </c>
      <c r="AW242" s="166">
        <f t="shared" ref="AW242:AX242" si="3598">+(AW240-AV240)*100000</f>
        <v>0</v>
      </c>
      <c r="AX242" s="166">
        <f t="shared" si="3598"/>
        <v>0</v>
      </c>
      <c r="AY242" s="251" t="s">
        <v>294</v>
      </c>
      <c r="AZ242" s="166">
        <f>+(AZ240-AX240)*100000</f>
        <v>0</v>
      </c>
      <c r="BA242" s="166">
        <f>+(BA240-AZ240)*100000</f>
        <v>0</v>
      </c>
      <c r="BB242" s="166">
        <f t="shared" ref="BB242:BC242" si="3599">+(BB240-BA240)*100000</f>
        <v>0</v>
      </c>
      <c r="BC242" s="166">
        <f t="shared" si="3599"/>
        <v>0</v>
      </c>
      <c r="BD242" s="251" t="s">
        <v>294</v>
      </c>
      <c r="BE242" s="166">
        <f>+(BE240-BC240)*100000</f>
        <v>0</v>
      </c>
      <c r="BF242" s="166">
        <f>+(BF240-BE240)*100000</f>
        <v>0</v>
      </c>
      <c r="BG242" s="166">
        <f t="shared" ref="BG242:BH242" si="3600">+(BG240-BF240)*100000</f>
        <v>0</v>
      </c>
      <c r="BH242" s="166">
        <f t="shared" si="3600"/>
        <v>0</v>
      </c>
      <c r="BI242" s="251" t="s">
        <v>294</v>
      </c>
      <c r="BJ242" s="166">
        <f>+(BJ240-BH240)*100000</f>
        <v>0</v>
      </c>
      <c r="BK242" s="166">
        <f>+(BK240-BJ240)*100000</f>
        <v>0</v>
      </c>
      <c r="BL242" s="166">
        <f t="shared" ref="BL242:BM242" si="3601">+(BL240-BK240)*100000</f>
        <v>0</v>
      </c>
      <c r="BM242" s="166">
        <f t="shared" si="3601"/>
        <v>0</v>
      </c>
      <c r="BN242" s="251" t="s">
        <v>294</v>
      </c>
      <c r="BO242" s="166">
        <f>+(BO240-BM240)*100000</f>
        <v>0</v>
      </c>
      <c r="BP242" s="166">
        <f>+(BP240-BO240)*100000</f>
        <v>0</v>
      </c>
      <c r="BQ242" s="166">
        <f t="shared" ref="BQ242:BR242" si="3602">+(BQ240-BP240)*100000</f>
        <v>0</v>
      </c>
      <c r="BR242" s="166">
        <f t="shared" si="3602"/>
        <v>0</v>
      </c>
      <c r="BS242" s="251" t="s">
        <v>294</v>
      </c>
      <c r="BT242" s="166">
        <f>+(BT240-BR240)*100000</f>
        <v>0</v>
      </c>
      <c r="BU242" s="166">
        <f>+(BU240-BT240)*100000</f>
        <v>0</v>
      </c>
      <c r="BV242" s="166">
        <f t="shared" ref="BV242:BW242" si="3603">+(BV240-BU240)*100000</f>
        <v>0</v>
      </c>
      <c r="BW242" s="166">
        <f t="shared" si="3603"/>
        <v>0</v>
      </c>
      <c r="BX242" s="251" t="s">
        <v>294</v>
      </c>
      <c r="BY242" s="166">
        <f>+(BY240-BW240)*100000</f>
        <v>0</v>
      </c>
      <c r="BZ242" s="166">
        <f>+(BZ240-BY240)*100000</f>
        <v>0</v>
      </c>
      <c r="CA242" s="166">
        <f t="shared" ref="CA242:CB242" si="3604">+(CA240-BZ240)*100000</f>
        <v>0</v>
      </c>
      <c r="CB242" s="166">
        <f t="shared" si="3604"/>
        <v>0</v>
      </c>
      <c r="CC242" s="251" t="s">
        <v>294</v>
      </c>
      <c r="CD242" s="166">
        <f>+(CD240-CB240)*100000</f>
        <v>0</v>
      </c>
      <c r="CE242" s="166">
        <f>+(CE240-CD240)*100000</f>
        <v>0</v>
      </c>
      <c r="CF242" s="166">
        <f t="shared" ref="CF242:CG242" si="3605">+(CF240-CE240)*100000</f>
        <v>0</v>
      </c>
      <c r="CG242" s="166">
        <f t="shared" si="3605"/>
        <v>0</v>
      </c>
      <c r="CH242" s="251" t="s">
        <v>294</v>
      </c>
      <c r="CI242" s="166">
        <f>+(CI240-CG240)*100000</f>
        <v>0</v>
      </c>
      <c r="CJ242" s="166">
        <f>+(CJ240-CI240)*100000</f>
        <v>0</v>
      </c>
      <c r="CK242" s="166">
        <f t="shared" ref="CK242:CL242" si="3606">+(CK240-CJ240)*100000</f>
        <v>0</v>
      </c>
      <c r="CL242" s="166">
        <f t="shared" si="3606"/>
        <v>0</v>
      </c>
      <c r="CM242" s="251" t="s">
        <v>294</v>
      </c>
    </row>
    <row r="243" spans="1:93">
      <c r="A243" s="139"/>
      <c r="F243" s="240"/>
      <c r="K243" s="240"/>
      <c r="P243" s="240"/>
      <c r="U243" s="240"/>
      <c r="Z243" s="240"/>
      <c r="AE243" s="240"/>
      <c r="AJ243" s="240"/>
      <c r="AK243" s="164"/>
      <c r="AL243" s="164"/>
      <c r="AM243" s="164"/>
      <c r="AN243" s="164"/>
      <c r="AO243" s="259"/>
      <c r="AP243" s="164"/>
      <c r="AQ243" s="164"/>
      <c r="AR243" s="164"/>
      <c r="AS243" s="164"/>
      <c r="AT243" s="259"/>
      <c r="AU243" s="400"/>
      <c r="AV243" s="164"/>
      <c r="AW243" s="164"/>
      <c r="AX243" s="164"/>
      <c r="AY243" s="259"/>
      <c r="AZ243" s="164"/>
      <c r="BA243" s="164"/>
      <c r="BB243" s="164"/>
      <c r="BC243" s="164"/>
      <c r="BD243" s="259"/>
      <c r="BE243" s="164"/>
      <c r="BF243" s="164"/>
      <c r="BG243" s="164"/>
      <c r="BH243" s="164"/>
      <c r="BI243" s="259"/>
      <c r="BJ243" s="164"/>
      <c r="BK243" s="164"/>
      <c r="BL243" s="164"/>
      <c r="BM243" s="164"/>
      <c r="BN243" s="259"/>
      <c r="BO243" s="164"/>
      <c r="BP243" s="164"/>
      <c r="BQ243" s="164"/>
      <c r="BR243" s="164"/>
      <c r="BS243" s="259"/>
      <c r="BT243" s="164"/>
      <c r="BU243" s="164"/>
      <c r="BV243" s="164"/>
      <c r="BW243" s="164"/>
      <c r="BX243" s="259"/>
      <c r="BY243" s="164"/>
      <c r="BZ243" s="164"/>
      <c r="CA243" s="164"/>
      <c r="CB243" s="164"/>
      <c r="CC243" s="259"/>
      <c r="CD243" s="164"/>
      <c r="CE243" s="164"/>
      <c r="CF243" s="164"/>
      <c r="CG243" s="164"/>
      <c r="CH243" s="259"/>
      <c r="CI243" s="164"/>
      <c r="CJ243" s="164"/>
      <c r="CK243" s="164"/>
      <c r="CL243" s="164"/>
      <c r="CM243" s="259"/>
    </row>
    <row r="244" spans="1:93" s="42" customFormat="1">
      <c r="A244" s="42" t="s">
        <v>346</v>
      </c>
      <c r="B244" s="232" t="s">
        <v>294</v>
      </c>
      <c r="C244" s="232" t="s">
        <v>294</v>
      </c>
      <c r="D244" s="232" t="s">
        <v>294</v>
      </c>
      <c r="E244" s="232" t="s">
        <v>294</v>
      </c>
      <c r="F244" s="239" t="s">
        <v>294</v>
      </c>
      <c r="G244" s="232" t="s">
        <v>294</v>
      </c>
      <c r="H244" s="232" t="s">
        <v>294</v>
      </c>
      <c r="I244" s="232" t="s">
        <v>294</v>
      </c>
      <c r="J244" s="232" t="s">
        <v>294</v>
      </c>
      <c r="K244" s="239" t="s">
        <v>294</v>
      </c>
      <c r="L244" s="232" t="s">
        <v>294</v>
      </c>
      <c r="M244" s="232" t="s">
        <v>294</v>
      </c>
      <c r="N244" s="232" t="s">
        <v>294</v>
      </c>
      <c r="O244" s="232" t="s">
        <v>294</v>
      </c>
      <c r="P244" s="239" t="s">
        <v>294</v>
      </c>
      <c r="Q244" s="232" t="s">
        <v>294</v>
      </c>
      <c r="R244" s="232" t="s">
        <v>294</v>
      </c>
      <c r="S244" s="232" t="s">
        <v>294</v>
      </c>
      <c r="T244" s="232" t="s">
        <v>294</v>
      </c>
      <c r="U244" s="239" t="s">
        <v>294</v>
      </c>
      <c r="V244" s="232" t="s">
        <v>294</v>
      </c>
      <c r="W244" s="232" t="s">
        <v>294</v>
      </c>
      <c r="X244" s="232" t="s">
        <v>294</v>
      </c>
      <c r="Y244" s="232" t="s">
        <v>294</v>
      </c>
      <c r="Z244" s="239" t="s">
        <v>294</v>
      </c>
      <c r="AA244" s="232" t="s">
        <v>294</v>
      </c>
      <c r="AB244" s="232" t="s">
        <v>294</v>
      </c>
      <c r="AC244" s="232" t="s">
        <v>294</v>
      </c>
      <c r="AD244" s="232" t="s">
        <v>294</v>
      </c>
      <c r="AE244" s="239" t="s">
        <v>294</v>
      </c>
      <c r="AF244" s="232" t="s">
        <v>294</v>
      </c>
      <c r="AG244" s="232" t="s">
        <v>294</v>
      </c>
      <c r="AH244" s="232" t="s">
        <v>294</v>
      </c>
      <c r="AI244" s="232" t="s">
        <v>294</v>
      </c>
      <c r="AJ244" s="239" t="s">
        <v>294</v>
      </c>
      <c r="AK244" s="167">
        <f>+AK239*AK247</f>
        <v>0</v>
      </c>
      <c r="AL244" s="167">
        <f t="shared" ref="AL244" si="3607">+AL239*AL247</f>
        <v>0</v>
      </c>
      <c r="AM244" s="167">
        <f t="shared" ref="AM244" si="3608">+AM239*AM247</f>
        <v>0</v>
      </c>
      <c r="AN244" s="167">
        <f t="shared" ref="AN244" si="3609">+AN239*AN247</f>
        <v>0</v>
      </c>
      <c r="AO244" s="249">
        <f>+AK244+AL244+AM244+AN244</f>
        <v>0</v>
      </c>
      <c r="AP244" s="167">
        <f>+AP239*AP247</f>
        <v>0</v>
      </c>
      <c r="AQ244" s="167">
        <f t="shared" ref="AQ244" si="3610">+AQ239*AQ247</f>
        <v>0</v>
      </c>
      <c r="AR244" s="167">
        <f t="shared" ref="AR244" si="3611">+AR239*AR247</f>
        <v>0</v>
      </c>
      <c r="AS244" s="167">
        <f t="shared" ref="AS244" si="3612">+AS239*AS247</f>
        <v>0</v>
      </c>
      <c r="AT244" s="249">
        <f>+AP244+AQ244+AR244+AS244</f>
        <v>0</v>
      </c>
      <c r="AU244" s="386">
        <f>+AU239*AU247</f>
        <v>0</v>
      </c>
      <c r="AV244" s="167">
        <f t="shared" ref="AV244" si="3613">+AV239*AV247</f>
        <v>0</v>
      </c>
      <c r="AW244" s="167">
        <f t="shared" ref="AW244" si="3614">+AW239*AW247</f>
        <v>0</v>
      </c>
      <c r="AX244" s="167">
        <f t="shared" ref="AX244" si="3615">+AX239*AX247</f>
        <v>0</v>
      </c>
      <c r="AY244" s="249">
        <f>+AU244+AV244+AW244+AX244</f>
        <v>0</v>
      </c>
      <c r="AZ244" s="167">
        <f>+AZ239*AZ247</f>
        <v>0</v>
      </c>
      <c r="BA244" s="167">
        <f t="shared" ref="BA244" si="3616">+BA239*BA247</f>
        <v>0</v>
      </c>
      <c r="BB244" s="167">
        <f t="shared" ref="BB244" si="3617">+BB239*BB247</f>
        <v>0</v>
      </c>
      <c r="BC244" s="167">
        <f t="shared" ref="BC244" si="3618">+BC239*BC247</f>
        <v>0</v>
      </c>
      <c r="BD244" s="249">
        <f>+AZ244+BA244+BB244+BC244</f>
        <v>0</v>
      </c>
      <c r="BE244" s="167">
        <f>+BE239*BE247</f>
        <v>0</v>
      </c>
      <c r="BF244" s="167">
        <f t="shared" ref="BF244" si="3619">+BF239*BF247</f>
        <v>0</v>
      </c>
      <c r="BG244" s="167">
        <f t="shared" ref="BG244" si="3620">+BG239*BG247</f>
        <v>0</v>
      </c>
      <c r="BH244" s="167">
        <f t="shared" ref="BH244" si="3621">+BH239*BH247</f>
        <v>0</v>
      </c>
      <c r="BI244" s="249">
        <f>+BE244+BF244+BG244+BH244</f>
        <v>0</v>
      </c>
      <c r="BJ244" s="167">
        <f>+BJ239*BJ247</f>
        <v>0</v>
      </c>
      <c r="BK244" s="167">
        <f t="shared" ref="BK244" si="3622">+BK239*BK247</f>
        <v>0</v>
      </c>
      <c r="BL244" s="167">
        <f t="shared" ref="BL244" si="3623">+BL239*BL247</f>
        <v>0</v>
      </c>
      <c r="BM244" s="167">
        <f t="shared" ref="BM244" si="3624">+BM239*BM247</f>
        <v>0</v>
      </c>
      <c r="BN244" s="249">
        <f>+BJ244+BK244+BL244+BM244</f>
        <v>0</v>
      </c>
      <c r="BO244" s="167">
        <f>+BO239*BO247</f>
        <v>0</v>
      </c>
      <c r="BP244" s="167">
        <f t="shared" ref="BP244" si="3625">+BP239*BP247</f>
        <v>0</v>
      </c>
      <c r="BQ244" s="167">
        <f t="shared" ref="BQ244" si="3626">+BQ239*BQ247</f>
        <v>0</v>
      </c>
      <c r="BR244" s="167">
        <f t="shared" ref="BR244" si="3627">+BR239*BR247</f>
        <v>0</v>
      </c>
      <c r="BS244" s="249">
        <f>+BO244+BP244+BQ244+BR244</f>
        <v>0</v>
      </c>
      <c r="BT244" s="167">
        <f>+BT239*BT247</f>
        <v>0</v>
      </c>
      <c r="BU244" s="167">
        <f t="shared" ref="BU244" si="3628">+BU239*BU247</f>
        <v>0</v>
      </c>
      <c r="BV244" s="167">
        <f t="shared" ref="BV244" si="3629">+BV239*BV247</f>
        <v>0</v>
      </c>
      <c r="BW244" s="167">
        <f t="shared" ref="BW244" si="3630">+BW239*BW247</f>
        <v>0</v>
      </c>
      <c r="BX244" s="249">
        <f>+BT244+BU244+BV244+BW244</f>
        <v>0</v>
      </c>
      <c r="BY244" s="167">
        <f>+BY239*BY247</f>
        <v>0</v>
      </c>
      <c r="BZ244" s="167">
        <f t="shared" ref="BZ244" si="3631">+BZ239*BZ247</f>
        <v>0</v>
      </c>
      <c r="CA244" s="167">
        <f t="shared" ref="CA244" si="3632">+CA239*CA247</f>
        <v>0</v>
      </c>
      <c r="CB244" s="167">
        <f t="shared" ref="CB244" si="3633">+CB239*CB247</f>
        <v>0</v>
      </c>
      <c r="CC244" s="249">
        <f>+BY244+BZ244+CA244+CB244</f>
        <v>0</v>
      </c>
      <c r="CD244" s="167">
        <f>+CD239*CD247</f>
        <v>0</v>
      </c>
      <c r="CE244" s="167">
        <f t="shared" ref="CE244" si="3634">+CE239*CE247</f>
        <v>0</v>
      </c>
      <c r="CF244" s="167">
        <f t="shared" ref="CF244" si="3635">+CF239*CF247</f>
        <v>0</v>
      </c>
      <c r="CG244" s="167">
        <f t="shared" ref="CG244" si="3636">+CG239*CG247</f>
        <v>0</v>
      </c>
      <c r="CH244" s="249">
        <f>+CD244+CE244+CF244+CG244</f>
        <v>0</v>
      </c>
      <c r="CI244" s="167">
        <f>+CI239*CI247</f>
        <v>0</v>
      </c>
      <c r="CJ244" s="167">
        <f t="shared" ref="CJ244" si="3637">+CJ239*CJ247</f>
        <v>0</v>
      </c>
      <c r="CK244" s="167">
        <f t="shared" ref="CK244" si="3638">+CK239*CK247</f>
        <v>0</v>
      </c>
      <c r="CL244" s="167">
        <f t="shared" ref="CL244" si="3639">+CL239*CL247</f>
        <v>0</v>
      </c>
      <c r="CM244" s="249">
        <f>+CI244+CJ244+CK244+CL244</f>
        <v>0</v>
      </c>
    </row>
    <row r="245" spans="1:93">
      <c r="A245" s="139" t="s">
        <v>291</v>
      </c>
      <c r="B245" s="232" t="s">
        <v>294</v>
      </c>
      <c r="C245" s="232" t="s">
        <v>294</v>
      </c>
      <c r="D245" s="232" t="s">
        <v>294</v>
      </c>
      <c r="E245" s="232" t="s">
        <v>294</v>
      </c>
      <c r="F245" s="239" t="s">
        <v>294</v>
      </c>
      <c r="G245" s="232" t="s">
        <v>294</v>
      </c>
      <c r="H245" s="232" t="s">
        <v>294</v>
      </c>
      <c r="I245" s="232" t="s">
        <v>294</v>
      </c>
      <c r="J245" s="232" t="s">
        <v>294</v>
      </c>
      <c r="K245" s="239" t="s">
        <v>294</v>
      </c>
      <c r="L245" s="232" t="s">
        <v>294</v>
      </c>
      <c r="M245" s="232" t="s">
        <v>294</v>
      </c>
      <c r="N245" s="232" t="s">
        <v>294</v>
      </c>
      <c r="O245" s="232" t="s">
        <v>294</v>
      </c>
      <c r="P245" s="239" t="s">
        <v>294</v>
      </c>
      <c r="Q245" s="232" t="s">
        <v>294</v>
      </c>
      <c r="R245" s="232" t="s">
        <v>294</v>
      </c>
      <c r="S245" s="232" t="s">
        <v>294</v>
      </c>
      <c r="T245" s="232" t="s">
        <v>294</v>
      </c>
      <c r="U245" s="239" t="s">
        <v>294</v>
      </c>
      <c r="V245" s="232" t="s">
        <v>294</v>
      </c>
      <c r="W245" s="232" t="s">
        <v>294</v>
      </c>
      <c r="X245" s="232" t="s">
        <v>294</v>
      </c>
      <c r="Y245" s="232" t="s">
        <v>294</v>
      </c>
      <c r="Z245" s="239" t="s">
        <v>294</v>
      </c>
      <c r="AA245" s="232" t="s">
        <v>294</v>
      </c>
      <c r="AB245" s="232" t="s">
        <v>294</v>
      </c>
      <c r="AC245" s="232" t="s">
        <v>294</v>
      </c>
      <c r="AD245" s="232" t="s">
        <v>294</v>
      </c>
      <c r="AE245" s="239" t="s">
        <v>294</v>
      </c>
      <c r="AF245" s="232" t="s">
        <v>294</v>
      </c>
      <c r="AG245" s="232" t="s">
        <v>294</v>
      </c>
      <c r="AH245" s="232" t="s">
        <v>294</v>
      </c>
      <c r="AI245" s="232" t="s">
        <v>294</v>
      </c>
      <c r="AJ245" s="239" t="s">
        <v>294</v>
      </c>
      <c r="AK245" s="158" t="s">
        <v>294</v>
      </c>
      <c r="AL245" s="158" t="s">
        <v>294</v>
      </c>
      <c r="AM245" s="158" t="s">
        <v>294</v>
      </c>
      <c r="AN245" s="158" t="s">
        <v>294</v>
      </c>
      <c r="AO245" s="250" t="s">
        <v>294</v>
      </c>
      <c r="AP245" s="19" t="e">
        <f t="shared" ref="AP245" si="3640">+AP244/AK244-1</f>
        <v>#DIV/0!</v>
      </c>
      <c r="AQ245" s="158" t="e">
        <f t="shared" ref="AQ245" si="3641">+AQ244/AL244-1</f>
        <v>#DIV/0!</v>
      </c>
      <c r="AR245" s="158" t="e">
        <f t="shared" ref="AR245" si="3642">+AR244/AM244-1</f>
        <v>#DIV/0!</v>
      </c>
      <c r="AS245" s="19" t="e">
        <f t="shared" ref="AS245" si="3643">+AS244/AN244-1</f>
        <v>#DIV/0!</v>
      </c>
      <c r="AT245" s="259" t="e">
        <f t="shared" ref="AT245" si="3644">+AT244/AO244-1</f>
        <v>#DIV/0!</v>
      </c>
      <c r="AU245" s="379" t="e">
        <f t="shared" ref="AU245" si="3645">+AU244/AP244-1</f>
        <v>#DIV/0!</v>
      </c>
      <c r="AV245" s="19" t="e">
        <f t="shared" ref="AV245" si="3646">+AV244/AQ244-1</f>
        <v>#DIV/0!</v>
      </c>
      <c r="AW245" s="19" t="e">
        <f t="shared" ref="AW245" si="3647">+AW244/AR244-1</f>
        <v>#DIV/0!</v>
      </c>
      <c r="AX245" s="19" t="e">
        <f t="shared" ref="AX245" si="3648">+AX244/AS244-1</f>
        <v>#DIV/0!</v>
      </c>
      <c r="AY245" s="259" t="e">
        <f t="shared" ref="AY245" si="3649">+AY244/AT244-1</f>
        <v>#DIV/0!</v>
      </c>
      <c r="AZ245" s="19" t="e">
        <f t="shared" ref="AZ245" si="3650">+AZ244/AU244-1</f>
        <v>#DIV/0!</v>
      </c>
      <c r="BA245" s="19" t="e">
        <f t="shared" ref="BA245" si="3651">+BA244/AV244-1</f>
        <v>#DIV/0!</v>
      </c>
      <c r="BB245" s="19" t="e">
        <f t="shared" ref="BB245" si="3652">+BB244/AW244-1</f>
        <v>#DIV/0!</v>
      </c>
      <c r="BC245" s="19" t="e">
        <f t="shared" ref="BC245" si="3653">+BC244/AX244-1</f>
        <v>#DIV/0!</v>
      </c>
      <c r="BD245" s="259" t="e">
        <f t="shared" ref="BD245" si="3654">+BD244/AY244-1</f>
        <v>#DIV/0!</v>
      </c>
      <c r="BE245" s="19" t="e">
        <f>+BE244/AZ244-1</f>
        <v>#DIV/0!</v>
      </c>
      <c r="BF245" s="19" t="e">
        <f>+BF244/BA244-1</f>
        <v>#DIV/0!</v>
      </c>
      <c r="BG245" s="19" t="e">
        <f t="shared" ref="BG245" si="3655">+BG244/BB244-1</f>
        <v>#DIV/0!</v>
      </c>
      <c r="BH245" s="19" t="e">
        <f t="shared" ref="BH245" si="3656">+BH244/BC244-1</f>
        <v>#DIV/0!</v>
      </c>
      <c r="BI245" s="259" t="e">
        <f t="shared" ref="BI245" si="3657">+BI244/BD244-1</f>
        <v>#DIV/0!</v>
      </c>
      <c r="BJ245" s="19" t="e">
        <f t="shared" ref="BJ245" si="3658">+BJ244/BE244-1</f>
        <v>#DIV/0!</v>
      </c>
      <c r="BK245" s="19" t="e">
        <f t="shared" ref="BK245" si="3659">+BK244/BF244-1</f>
        <v>#DIV/0!</v>
      </c>
      <c r="BL245" s="19" t="e">
        <f t="shared" ref="BL245" si="3660">+BL244/BG244-1</f>
        <v>#DIV/0!</v>
      </c>
      <c r="BM245" s="19" t="e">
        <f t="shared" ref="BM245" si="3661">+BM244/BH244-1</f>
        <v>#DIV/0!</v>
      </c>
      <c r="BN245" s="259" t="e">
        <f t="shared" ref="BN245" si="3662">+BN244/BI244-1</f>
        <v>#DIV/0!</v>
      </c>
      <c r="BO245" s="19" t="e">
        <f t="shared" ref="BO245" si="3663">+BO244/BJ244-1</f>
        <v>#DIV/0!</v>
      </c>
      <c r="BP245" s="19" t="e">
        <f t="shared" ref="BP245" si="3664">+BP244/BK244-1</f>
        <v>#DIV/0!</v>
      </c>
      <c r="BQ245" s="19" t="e">
        <f t="shared" ref="BQ245" si="3665">+BQ244/BL244-1</f>
        <v>#DIV/0!</v>
      </c>
      <c r="BR245" s="19" t="e">
        <f t="shared" ref="BR245" si="3666">+BR244/BM244-1</f>
        <v>#DIV/0!</v>
      </c>
      <c r="BS245" s="259" t="e">
        <f t="shared" ref="BS245" si="3667">+BS244/BN244-1</f>
        <v>#DIV/0!</v>
      </c>
      <c r="BT245" s="19" t="e">
        <f t="shared" ref="BT245" si="3668">+BT244/BO244-1</f>
        <v>#DIV/0!</v>
      </c>
      <c r="BU245" s="19" t="e">
        <f t="shared" ref="BU245" si="3669">+BU244/BP244-1</f>
        <v>#DIV/0!</v>
      </c>
      <c r="BV245" s="19" t="e">
        <f t="shared" ref="BV245" si="3670">+BV244/BQ244-1</f>
        <v>#DIV/0!</v>
      </c>
      <c r="BW245" s="19" t="e">
        <f t="shared" ref="BW245" si="3671">+BW244/BR244-1</f>
        <v>#DIV/0!</v>
      </c>
      <c r="BX245" s="259" t="e">
        <f t="shared" ref="BX245" si="3672">+BX244/BS244-1</f>
        <v>#DIV/0!</v>
      </c>
      <c r="BY245" s="19" t="e">
        <f t="shared" ref="BY245" si="3673">+BY244/BT244-1</f>
        <v>#DIV/0!</v>
      </c>
      <c r="BZ245" s="19" t="e">
        <f t="shared" ref="BZ245" si="3674">+BZ244/BU244-1</f>
        <v>#DIV/0!</v>
      </c>
      <c r="CA245" s="19" t="e">
        <f t="shared" ref="CA245" si="3675">+CA244/BV244-1</f>
        <v>#DIV/0!</v>
      </c>
      <c r="CB245" s="19" t="e">
        <f t="shared" ref="CB245" si="3676">+CB244/BW244-1</f>
        <v>#DIV/0!</v>
      </c>
      <c r="CC245" s="259" t="e">
        <f t="shared" ref="CC245" si="3677">+CC244/BX244-1</f>
        <v>#DIV/0!</v>
      </c>
      <c r="CD245" s="19" t="e">
        <f t="shared" ref="CD245" si="3678">+CD244/BY244-1</f>
        <v>#DIV/0!</v>
      </c>
      <c r="CE245" s="19" t="e">
        <f t="shared" ref="CE245" si="3679">+CE244/BZ244-1</f>
        <v>#DIV/0!</v>
      </c>
      <c r="CF245" s="19" t="e">
        <f t="shared" ref="CF245" si="3680">+CF244/CA244-1</f>
        <v>#DIV/0!</v>
      </c>
      <c r="CG245" s="19" t="e">
        <f t="shared" ref="CG245" si="3681">+CG244/CB244-1</f>
        <v>#DIV/0!</v>
      </c>
      <c r="CH245" s="259" t="e">
        <f t="shared" ref="CH245" si="3682">+CH244/CC244-1</f>
        <v>#DIV/0!</v>
      </c>
      <c r="CI245" s="19" t="e">
        <f t="shared" ref="CI245" si="3683">+CI244/CD244-1</f>
        <v>#DIV/0!</v>
      </c>
      <c r="CJ245" s="19" t="e">
        <f t="shared" ref="CJ245" si="3684">+CJ244/CE244-1</f>
        <v>#DIV/0!</v>
      </c>
      <c r="CK245" s="19" t="e">
        <f t="shared" ref="CK245" si="3685">+CK244/CF244-1</f>
        <v>#DIV/0!</v>
      </c>
      <c r="CL245" s="19" t="e">
        <f t="shared" ref="CL245" si="3686">+CL244/CG244-1</f>
        <v>#DIV/0!</v>
      </c>
      <c r="CM245" s="259" t="e">
        <f t="shared" ref="CM245" si="3687">+CM244/CH244-1</f>
        <v>#DIV/0!</v>
      </c>
    </row>
    <row r="246" spans="1:93">
      <c r="A246" s="139" t="s">
        <v>292</v>
      </c>
      <c r="B246" s="232" t="s">
        <v>294</v>
      </c>
      <c r="C246" s="232" t="s">
        <v>294</v>
      </c>
      <c r="D246" s="232" t="s">
        <v>294</v>
      </c>
      <c r="E246" s="232" t="s">
        <v>294</v>
      </c>
      <c r="F246" s="239" t="s">
        <v>294</v>
      </c>
      <c r="G246" s="232" t="s">
        <v>294</v>
      </c>
      <c r="H246" s="232" t="s">
        <v>294</v>
      </c>
      <c r="I246" s="232" t="s">
        <v>294</v>
      </c>
      <c r="J246" s="232" t="s">
        <v>294</v>
      </c>
      <c r="K246" s="239" t="s">
        <v>294</v>
      </c>
      <c r="L246" s="232" t="s">
        <v>294</v>
      </c>
      <c r="M246" s="232" t="s">
        <v>294</v>
      </c>
      <c r="N246" s="232" t="s">
        <v>294</v>
      </c>
      <c r="O246" s="232" t="s">
        <v>294</v>
      </c>
      <c r="P246" s="239" t="s">
        <v>294</v>
      </c>
      <c r="Q246" s="232" t="s">
        <v>294</v>
      </c>
      <c r="R246" s="232" t="s">
        <v>294</v>
      </c>
      <c r="S246" s="232" t="s">
        <v>294</v>
      </c>
      <c r="T246" s="232" t="s">
        <v>294</v>
      </c>
      <c r="U246" s="239" t="s">
        <v>294</v>
      </c>
      <c r="V246" s="232" t="s">
        <v>294</v>
      </c>
      <c r="W246" s="232" t="s">
        <v>294</v>
      </c>
      <c r="X246" s="232" t="s">
        <v>294</v>
      </c>
      <c r="Y246" s="232" t="s">
        <v>294</v>
      </c>
      <c r="Z246" s="239" t="s">
        <v>294</v>
      </c>
      <c r="AA246" s="232" t="s">
        <v>294</v>
      </c>
      <c r="AB246" s="232" t="s">
        <v>294</v>
      </c>
      <c r="AC246" s="232" t="s">
        <v>294</v>
      </c>
      <c r="AD246" s="232" t="s">
        <v>294</v>
      </c>
      <c r="AE246" s="239" t="s">
        <v>294</v>
      </c>
      <c r="AF246" s="232" t="s">
        <v>294</v>
      </c>
      <c r="AG246" s="232" t="s">
        <v>294</v>
      </c>
      <c r="AH246" s="232" t="s">
        <v>294</v>
      </c>
      <c r="AI246" s="232" t="s">
        <v>294</v>
      </c>
      <c r="AJ246" s="239" t="s">
        <v>294</v>
      </c>
      <c r="AK246" s="147" t="s">
        <v>294</v>
      </c>
      <c r="AL246" s="19" t="e">
        <f>+AL244/AK244-1</f>
        <v>#DIV/0!</v>
      </c>
      <c r="AM246" s="19" t="e">
        <f t="shared" ref="AM246" si="3688">+AM244/AL244-1</f>
        <v>#DIV/0!</v>
      </c>
      <c r="AN246" s="19" t="e">
        <f t="shared" ref="AN246" si="3689">+AN244/AM244-1</f>
        <v>#DIV/0!</v>
      </c>
      <c r="AO246" s="251" t="s">
        <v>294</v>
      </c>
      <c r="AP246" s="19" t="e">
        <f>+AP244/AN244-1</f>
        <v>#DIV/0!</v>
      </c>
      <c r="AQ246" s="19" t="e">
        <f>+AQ244/AP244-1</f>
        <v>#DIV/0!</v>
      </c>
      <c r="AR246" s="19" t="e">
        <f t="shared" ref="AR246" si="3690">+AR244/AQ244-1</f>
        <v>#DIV/0!</v>
      </c>
      <c r="AS246" s="19" t="e">
        <f t="shared" ref="AS246" si="3691">+AS244/AR244-1</f>
        <v>#DIV/0!</v>
      </c>
      <c r="AT246" s="251" t="s">
        <v>294</v>
      </c>
      <c r="AU246" s="379" t="e">
        <f>+AU244/AS244-1</f>
        <v>#DIV/0!</v>
      </c>
      <c r="AV246" s="19" t="e">
        <f>+AV244/AU244-1</f>
        <v>#DIV/0!</v>
      </c>
      <c r="AW246" s="19" t="e">
        <f t="shared" ref="AW246" si="3692">+AW244/AV244-1</f>
        <v>#DIV/0!</v>
      </c>
      <c r="AX246" s="19" t="e">
        <f t="shared" ref="AX246" si="3693">+AX244/AW244-1</f>
        <v>#DIV/0!</v>
      </c>
      <c r="AY246" s="251" t="s">
        <v>294</v>
      </c>
      <c r="AZ246" s="19" t="e">
        <f>+AZ244/AX244-1</f>
        <v>#DIV/0!</v>
      </c>
      <c r="BA246" s="19" t="e">
        <f>+BA244/AZ244-1</f>
        <v>#DIV/0!</v>
      </c>
      <c r="BB246" s="19" t="e">
        <f t="shared" ref="BB246" si="3694">+BB244/BA244-1</f>
        <v>#DIV/0!</v>
      </c>
      <c r="BC246" s="19" t="e">
        <f t="shared" ref="BC246" si="3695">+BC244/BB244-1</f>
        <v>#DIV/0!</v>
      </c>
      <c r="BD246" s="251" t="s">
        <v>294</v>
      </c>
      <c r="BE246" s="19" t="e">
        <f>+BE244/BC244-1</f>
        <v>#DIV/0!</v>
      </c>
      <c r="BF246" s="19" t="e">
        <f>+BF244/BE244-1</f>
        <v>#DIV/0!</v>
      </c>
      <c r="BG246" s="19" t="e">
        <f t="shared" ref="BG246" si="3696">+BG244/BF244-1</f>
        <v>#DIV/0!</v>
      </c>
      <c r="BH246" s="19" t="e">
        <f t="shared" ref="BH246" si="3697">+BH244/BG244-1</f>
        <v>#DIV/0!</v>
      </c>
      <c r="BI246" s="251" t="s">
        <v>294</v>
      </c>
      <c r="BJ246" s="19" t="e">
        <f>+BJ244/BH244-1</f>
        <v>#DIV/0!</v>
      </c>
      <c r="BK246" s="19" t="e">
        <f>+BK244/BJ244-1</f>
        <v>#DIV/0!</v>
      </c>
      <c r="BL246" s="19" t="e">
        <f t="shared" ref="BL246" si="3698">+BL244/BK244-1</f>
        <v>#DIV/0!</v>
      </c>
      <c r="BM246" s="19" t="e">
        <f t="shared" ref="BM246" si="3699">+BM244/BL244-1</f>
        <v>#DIV/0!</v>
      </c>
      <c r="BN246" s="251" t="s">
        <v>294</v>
      </c>
      <c r="BO246" s="19" t="e">
        <f>+BO244/BM244-1</f>
        <v>#DIV/0!</v>
      </c>
      <c r="BP246" s="19" t="e">
        <f>+BP244/BO244-1</f>
        <v>#DIV/0!</v>
      </c>
      <c r="BQ246" s="19" t="e">
        <f t="shared" ref="BQ246" si="3700">+BQ244/BP244-1</f>
        <v>#DIV/0!</v>
      </c>
      <c r="BR246" s="19" t="e">
        <f t="shared" ref="BR246" si="3701">+BR244/BQ244-1</f>
        <v>#DIV/0!</v>
      </c>
      <c r="BS246" s="251" t="s">
        <v>294</v>
      </c>
      <c r="BT246" s="19" t="e">
        <f>+BT244/BR244-1</f>
        <v>#DIV/0!</v>
      </c>
      <c r="BU246" s="19" t="e">
        <f>+BU244/BT244-1</f>
        <v>#DIV/0!</v>
      </c>
      <c r="BV246" s="19" t="e">
        <f t="shared" ref="BV246" si="3702">+BV244/BU244-1</f>
        <v>#DIV/0!</v>
      </c>
      <c r="BW246" s="19" t="e">
        <f t="shared" ref="BW246" si="3703">+BW244/BV244-1</f>
        <v>#DIV/0!</v>
      </c>
      <c r="BX246" s="251" t="s">
        <v>294</v>
      </c>
      <c r="BY246" s="19" t="e">
        <f>+BY244/BW244-1</f>
        <v>#DIV/0!</v>
      </c>
      <c r="BZ246" s="19" t="e">
        <f>+BZ244/BY244-1</f>
        <v>#DIV/0!</v>
      </c>
      <c r="CA246" s="19" t="e">
        <f t="shared" ref="CA246" si="3704">+CA244/BZ244-1</f>
        <v>#DIV/0!</v>
      </c>
      <c r="CB246" s="19" t="e">
        <f t="shared" ref="CB246" si="3705">+CB244/CA244-1</f>
        <v>#DIV/0!</v>
      </c>
      <c r="CC246" s="251" t="s">
        <v>294</v>
      </c>
      <c r="CD246" s="19" t="e">
        <f>+CD244/CB244-1</f>
        <v>#DIV/0!</v>
      </c>
      <c r="CE246" s="19" t="e">
        <f>+CE244/CD244-1</f>
        <v>#DIV/0!</v>
      </c>
      <c r="CF246" s="19" t="e">
        <f t="shared" ref="CF246" si="3706">+CF244/CE244-1</f>
        <v>#DIV/0!</v>
      </c>
      <c r="CG246" s="19" t="e">
        <f t="shared" ref="CG246" si="3707">+CG244/CF244-1</f>
        <v>#DIV/0!</v>
      </c>
      <c r="CH246" s="251" t="s">
        <v>294</v>
      </c>
      <c r="CI246" s="19" t="e">
        <f>+CI244/CG244-1</f>
        <v>#DIV/0!</v>
      </c>
      <c r="CJ246" s="19" t="e">
        <f>+CJ244/CI244-1</f>
        <v>#DIV/0!</v>
      </c>
      <c r="CK246" s="19" t="e">
        <f t="shared" ref="CK246" si="3708">+CK244/CJ244-1</f>
        <v>#DIV/0!</v>
      </c>
      <c r="CL246" s="19" t="e">
        <f t="shared" ref="CL246" si="3709">+CL244/CK244-1</f>
        <v>#DIV/0!</v>
      </c>
      <c r="CM246" s="251" t="s">
        <v>294</v>
      </c>
    </row>
    <row r="247" spans="1:93">
      <c r="A247" s="139" t="s">
        <v>345</v>
      </c>
      <c r="B247" s="232" t="s">
        <v>294</v>
      </c>
      <c r="C247" s="232" t="s">
        <v>294</v>
      </c>
      <c r="D247" s="232" t="s">
        <v>294</v>
      </c>
      <c r="E247" s="232" t="s">
        <v>294</v>
      </c>
      <c r="F247" s="239" t="s">
        <v>294</v>
      </c>
      <c r="G247" s="232" t="s">
        <v>294</v>
      </c>
      <c r="H247" s="232" t="s">
        <v>294</v>
      </c>
      <c r="I247" s="232" t="s">
        <v>294</v>
      </c>
      <c r="J247" s="232" t="s">
        <v>294</v>
      </c>
      <c r="K247" s="239" t="s">
        <v>294</v>
      </c>
      <c r="L247" s="232" t="s">
        <v>294</v>
      </c>
      <c r="M247" s="232" t="s">
        <v>294</v>
      </c>
      <c r="N247" s="232" t="s">
        <v>294</v>
      </c>
      <c r="O247" s="232" t="s">
        <v>294</v>
      </c>
      <c r="P247" s="239" t="s">
        <v>294</v>
      </c>
      <c r="Q247" s="232" t="s">
        <v>294</v>
      </c>
      <c r="R247" s="232" t="s">
        <v>294</v>
      </c>
      <c r="S247" s="232" t="s">
        <v>294</v>
      </c>
      <c r="T247" s="232" t="s">
        <v>294</v>
      </c>
      <c r="U247" s="239" t="s">
        <v>294</v>
      </c>
      <c r="V247" s="232" t="s">
        <v>294</v>
      </c>
      <c r="W247" s="232" t="s">
        <v>294</v>
      </c>
      <c r="X247" s="232" t="s">
        <v>294</v>
      </c>
      <c r="Y247" s="232" t="s">
        <v>294</v>
      </c>
      <c r="Z247" s="239" t="s">
        <v>294</v>
      </c>
      <c r="AA247" s="232" t="s">
        <v>294</v>
      </c>
      <c r="AB247" s="232" t="s">
        <v>294</v>
      </c>
      <c r="AC247" s="232" t="s">
        <v>294</v>
      </c>
      <c r="AD247" s="232" t="s">
        <v>294</v>
      </c>
      <c r="AE247" s="239" t="s">
        <v>294</v>
      </c>
      <c r="AF247" s="232" t="s">
        <v>294</v>
      </c>
      <c r="AG247" s="232" t="s">
        <v>294</v>
      </c>
      <c r="AH247" s="232" t="s">
        <v>294</v>
      </c>
      <c r="AI247" s="232" t="s">
        <v>294</v>
      </c>
      <c r="AJ247" s="239" t="s">
        <v>294</v>
      </c>
      <c r="AK247" s="164">
        <v>1</v>
      </c>
      <c r="AL247" s="164">
        <v>1</v>
      </c>
      <c r="AM247" s="164">
        <v>1</v>
      </c>
      <c r="AN247" s="164">
        <v>1</v>
      </c>
      <c r="AO247" s="259" t="e">
        <f>+AO244/AO239</f>
        <v>#DIV/0!</v>
      </c>
      <c r="AP247" s="164">
        <v>1</v>
      </c>
      <c r="AQ247" s="164">
        <v>1</v>
      </c>
      <c r="AR247" s="164">
        <v>1</v>
      </c>
      <c r="AS247" s="164">
        <v>1</v>
      </c>
      <c r="AT247" s="259" t="e">
        <f>+AT244/AT239</f>
        <v>#DIV/0!</v>
      </c>
      <c r="AU247" s="400">
        <v>1</v>
      </c>
      <c r="AV247" s="164">
        <v>1</v>
      </c>
      <c r="AW247" s="164">
        <v>1</v>
      </c>
      <c r="AX247" s="164">
        <v>1</v>
      </c>
      <c r="AY247" s="259" t="e">
        <f>+AY244/AY239</f>
        <v>#DIV/0!</v>
      </c>
      <c r="AZ247" s="164">
        <v>1</v>
      </c>
      <c r="BA247" s="164">
        <v>1</v>
      </c>
      <c r="BB247" s="164">
        <v>1</v>
      </c>
      <c r="BC247" s="164">
        <v>1</v>
      </c>
      <c r="BD247" s="259" t="e">
        <f>+BD244/BD239</f>
        <v>#DIV/0!</v>
      </c>
      <c r="BE247" s="164">
        <v>0.5</v>
      </c>
      <c r="BF247" s="164">
        <v>0.5</v>
      </c>
      <c r="BG247" s="164">
        <v>0.5</v>
      </c>
      <c r="BH247" s="164">
        <v>0.5</v>
      </c>
      <c r="BI247" s="259" t="e">
        <f>+BI244/BI239</f>
        <v>#DIV/0!</v>
      </c>
      <c r="BJ247" s="164">
        <v>0.45</v>
      </c>
      <c r="BK247" s="164">
        <v>0.45</v>
      </c>
      <c r="BL247" s="164">
        <v>0.45</v>
      </c>
      <c r="BM247" s="164">
        <v>0.45</v>
      </c>
      <c r="BN247" s="259" t="e">
        <f>+BN244/BN239</f>
        <v>#DIV/0!</v>
      </c>
      <c r="BO247" s="164">
        <v>0.4</v>
      </c>
      <c r="BP247" s="164">
        <v>0.4</v>
      </c>
      <c r="BQ247" s="164">
        <v>0.4</v>
      </c>
      <c r="BR247" s="164">
        <v>0.4</v>
      </c>
      <c r="BS247" s="259" t="e">
        <f>+BS244/BS239</f>
        <v>#DIV/0!</v>
      </c>
      <c r="BT247" s="60">
        <v>0.4</v>
      </c>
      <c r="BU247" s="60">
        <v>0.4</v>
      </c>
      <c r="BV247" s="60">
        <v>0.4</v>
      </c>
      <c r="BW247" s="60">
        <v>0.4</v>
      </c>
      <c r="BX247" s="259" t="e">
        <f>+BX244/BX239</f>
        <v>#DIV/0!</v>
      </c>
      <c r="BY247" s="60">
        <v>0.4</v>
      </c>
      <c r="BZ247" s="60">
        <v>0.4</v>
      </c>
      <c r="CA247" s="60">
        <v>0.4</v>
      </c>
      <c r="CB247" s="60">
        <v>0.4</v>
      </c>
      <c r="CC247" s="259" t="e">
        <f>+CC244/CC239</f>
        <v>#DIV/0!</v>
      </c>
      <c r="CD247" s="60">
        <v>0.4</v>
      </c>
      <c r="CE247" s="60">
        <v>0.4</v>
      </c>
      <c r="CF247" s="60">
        <v>0.4</v>
      </c>
      <c r="CG247" s="60">
        <v>0.4</v>
      </c>
      <c r="CH247" s="259" t="e">
        <f>+CH244/CH239</f>
        <v>#DIV/0!</v>
      </c>
      <c r="CI247" s="60">
        <v>0.4</v>
      </c>
      <c r="CJ247" s="60">
        <v>0.4</v>
      </c>
      <c r="CK247" s="60">
        <v>0.4</v>
      </c>
      <c r="CL247" s="60">
        <v>0.4</v>
      </c>
      <c r="CM247" s="259" t="e">
        <f>+CM244/CM239</f>
        <v>#DIV/0!</v>
      </c>
    </row>
    <row r="248" spans="1:93">
      <c r="F248" s="240"/>
      <c r="K248" s="240"/>
      <c r="P248" s="240"/>
      <c r="U248" s="240"/>
      <c r="Z248" s="240"/>
      <c r="AE248" s="240"/>
      <c r="AJ248" s="240"/>
      <c r="AO248" s="240"/>
      <c r="AT248" s="240"/>
      <c r="AU248" s="374"/>
      <c r="AY248" s="240"/>
      <c r="BD248" s="240"/>
      <c r="BI248" s="267"/>
      <c r="BN248" s="240"/>
      <c r="BS248" s="240"/>
      <c r="BX248" s="240"/>
      <c r="CC248" s="240"/>
      <c r="CH248" s="240"/>
      <c r="CM248" s="240"/>
    </row>
    <row r="249" spans="1:93" s="230" customFormat="1">
      <c r="A249" s="178" t="s">
        <v>349</v>
      </c>
      <c r="B249" s="178"/>
      <c r="C249" s="178"/>
      <c r="D249" s="178"/>
      <c r="E249" s="178"/>
      <c r="F249" s="238"/>
      <c r="G249" s="178"/>
      <c r="H249" s="178"/>
      <c r="I249" s="178"/>
      <c r="J249" s="178"/>
      <c r="K249" s="238"/>
      <c r="L249" s="178"/>
      <c r="M249" s="178"/>
      <c r="N249" s="178"/>
      <c r="O249" s="178"/>
      <c r="P249" s="238"/>
      <c r="Q249" s="178"/>
      <c r="R249" s="178"/>
      <c r="S249" s="178"/>
      <c r="T249" s="178"/>
      <c r="U249" s="238"/>
      <c r="V249" s="178"/>
      <c r="W249" s="178"/>
      <c r="X249" s="178"/>
      <c r="Y249" s="178"/>
      <c r="Z249" s="238"/>
      <c r="AA249" s="178"/>
      <c r="AB249" s="178"/>
      <c r="AC249" s="178"/>
      <c r="AD249" s="178"/>
      <c r="AE249" s="238"/>
      <c r="AF249" s="178"/>
      <c r="AG249" s="178"/>
      <c r="AH249" s="178"/>
      <c r="AI249" s="178"/>
      <c r="AJ249" s="238"/>
      <c r="AK249" s="178"/>
      <c r="AL249" s="178"/>
      <c r="AM249" s="178"/>
      <c r="AN249" s="178"/>
      <c r="AO249" s="238"/>
      <c r="AP249" s="178"/>
      <c r="AQ249" s="178"/>
      <c r="AR249" s="178"/>
      <c r="AS249" s="178"/>
      <c r="AT249" s="238"/>
      <c r="AU249" s="178"/>
      <c r="AV249" s="178"/>
      <c r="AW249" s="178"/>
      <c r="AX249" s="178"/>
      <c r="AY249" s="238"/>
      <c r="AZ249" s="178"/>
      <c r="BA249" s="178"/>
      <c r="BB249" s="178"/>
      <c r="BC249" s="178"/>
      <c r="BD249" s="238"/>
      <c r="BE249" s="178"/>
      <c r="BF249" s="178"/>
      <c r="BG249" s="178"/>
      <c r="BH249" s="178"/>
      <c r="BI249" s="238"/>
      <c r="BJ249" s="178"/>
      <c r="BK249" s="178"/>
      <c r="BL249" s="178"/>
      <c r="BM249" s="178"/>
      <c r="BN249" s="238"/>
      <c r="BO249" s="178"/>
      <c r="BP249" s="178"/>
      <c r="BQ249" s="178"/>
      <c r="BR249" s="178"/>
      <c r="BS249" s="238"/>
      <c r="BT249" s="178"/>
      <c r="BU249" s="178"/>
      <c r="BV249" s="178"/>
      <c r="BW249" s="178"/>
      <c r="BX249" s="238"/>
      <c r="BY249" s="178"/>
      <c r="BZ249" s="178"/>
      <c r="CA249" s="178"/>
      <c r="CB249" s="178"/>
      <c r="CC249" s="238"/>
      <c r="CD249" s="178"/>
      <c r="CE249" s="178"/>
      <c r="CF249" s="178"/>
      <c r="CG249" s="178"/>
      <c r="CH249" s="238"/>
      <c r="CI249" s="178"/>
      <c r="CJ249" s="178"/>
      <c r="CK249" s="178"/>
      <c r="CL249" s="178"/>
      <c r="CM249" s="238"/>
      <c r="CN249" s="178"/>
      <c r="CO249" s="178"/>
    </row>
    <row r="250" spans="1:93">
      <c r="A250" s="18" t="s">
        <v>343</v>
      </c>
      <c r="B250" s="232" t="s">
        <v>294</v>
      </c>
      <c r="C250" s="232" t="s">
        <v>294</v>
      </c>
      <c r="D250" s="232" t="s">
        <v>294</v>
      </c>
      <c r="E250" s="232" t="s">
        <v>294</v>
      </c>
      <c r="F250" s="239" t="s">
        <v>294</v>
      </c>
      <c r="G250" s="232" t="s">
        <v>294</v>
      </c>
      <c r="H250" s="232" t="s">
        <v>294</v>
      </c>
      <c r="I250" s="232" t="s">
        <v>294</v>
      </c>
      <c r="J250" s="232" t="s">
        <v>294</v>
      </c>
      <c r="K250" s="239" t="s">
        <v>294</v>
      </c>
      <c r="L250" s="232" t="s">
        <v>294</v>
      </c>
      <c r="M250" s="232" t="s">
        <v>294</v>
      </c>
      <c r="N250" s="232" t="s">
        <v>294</v>
      </c>
      <c r="O250" s="232" t="s">
        <v>294</v>
      </c>
      <c r="P250" s="239" t="s">
        <v>294</v>
      </c>
      <c r="Q250" s="232" t="s">
        <v>294</v>
      </c>
      <c r="R250" s="232" t="s">
        <v>294</v>
      </c>
      <c r="S250" s="232" t="s">
        <v>294</v>
      </c>
      <c r="T250" s="232" t="s">
        <v>294</v>
      </c>
      <c r="U250" s="239" t="s">
        <v>294</v>
      </c>
      <c r="V250" s="232" t="s">
        <v>294</v>
      </c>
      <c r="W250" s="232" t="s">
        <v>294</v>
      </c>
      <c r="X250" s="232" t="s">
        <v>294</v>
      </c>
      <c r="Y250" s="232" t="s">
        <v>294</v>
      </c>
      <c r="Z250" s="239" t="s">
        <v>294</v>
      </c>
      <c r="AA250" s="232" t="s">
        <v>294</v>
      </c>
      <c r="AB250" s="232" t="s">
        <v>294</v>
      </c>
      <c r="AC250" s="232" t="s">
        <v>294</v>
      </c>
      <c r="AD250" s="232" t="s">
        <v>294</v>
      </c>
      <c r="AE250" s="239" t="s">
        <v>294</v>
      </c>
      <c r="AF250" s="232" t="s">
        <v>294</v>
      </c>
      <c r="AG250" s="232" t="s">
        <v>294</v>
      </c>
      <c r="AH250" s="232" t="s">
        <v>294</v>
      </c>
      <c r="AI250" s="232" t="s">
        <v>294</v>
      </c>
      <c r="AJ250" s="239" t="s">
        <v>294</v>
      </c>
      <c r="AK250" s="49">
        <f>+AO250/4</f>
        <v>12000000</v>
      </c>
      <c r="AL250" s="49">
        <f>+AO250/4</f>
        <v>12000000</v>
      </c>
      <c r="AM250" s="49">
        <f>+AO250/4</f>
        <v>12000000</v>
      </c>
      <c r="AN250" s="49">
        <f>+AO250/4</f>
        <v>12000000</v>
      </c>
      <c r="AO250" s="336">
        <v>48000000</v>
      </c>
      <c r="AP250" s="49">
        <f>+AN250-AN251</f>
        <v>11993600</v>
      </c>
      <c r="AQ250" s="49">
        <f>+AP250-AP251</f>
        <v>11984600</v>
      </c>
      <c r="AR250" s="49">
        <f>+AQ250-AQ251</f>
        <v>11968600</v>
      </c>
      <c r="AS250" s="49">
        <f>+AR250-AR251</f>
        <v>11944600</v>
      </c>
      <c r="AT250" s="242">
        <f>+AVERAGE(AP250,AQ250,AR250,AS250)*4</f>
        <v>47891400</v>
      </c>
      <c r="AU250" s="392">
        <f>+AS250-AS251</f>
        <v>11906600</v>
      </c>
      <c r="AV250" s="49">
        <f>+AU250-AU251</f>
        <v>11862886.657448856</v>
      </c>
      <c r="AW250" s="49">
        <f>+AV250-AV251</f>
        <v>11813995.50305327</v>
      </c>
      <c r="AX250" s="49">
        <f>+AW250-AW251</f>
        <v>11741677.855402267</v>
      </c>
      <c r="AY250" s="242">
        <f>+AVERAGE(AU250,AV250,AW250,AX250)*4</f>
        <v>47325160.015904397</v>
      </c>
      <c r="AZ250" s="49">
        <f>+AX250-AX251</f>
        <v>11651016.205098353</v>
      </c>
      <c r="BA250" s="49">
        <f>+AZ250-AZ251</f>
        <v>11541247.857934492</v>
      </c>
      <c r="BB250" s="49">
        <f>+BA250-BA251</f>
        <v>11409431.181502303</v>
      </c>
      <c r="BC250" s="49">
        <f>+BB250-BB251</f>
        <v>11263146.82632974</v>
      </c>
      <c r="BD250" s="242">
        <f>+AVERAGE(AZ250,BA250,BB250,BC250)*4</f>
        <v>45864842.070864886</v>
      </c>
      <c r="BE250" s="49">
        <f>+BC250-BC251</f>
        <v>11096211.74099474</v>
      </c>
      <c r="BF250" s="49">
        <f>+BE250-BE251</f>
        <v>10909558.436158709</v>
      </c>
      <c r="BG250" s="49">
        <f>+BF250-BF251</f>
        <v>10709680.55496891</v>
      </c>
      <c r="BH250" s="49">
        <f>+BG250-BG251</f>
        <v>10497400.186348166</v>
      </c>
      <c r="BI250" s="242">
        <f>+AVERAGE(BE250,BF250,BG250,BH250)*4</f>
        <v>43212850.918470532</v>
      </c>
      <c r="BJ250" s="49">
        <f>+BH250-BH251</f>
        <v>10273581.401764017</v>
      </c>
      <c r="BK250" s="49">
        <f>+BJ250-BJ251</f>
        <v>10036555.969246227</v>
      </c>
      <c r="BL250" s="49">
        <f>+BK250-BK251</f>
        <v>9787435.0614232644</v>
      </c>
      <c r="BM250" s="49">
        <f>+BL250-BL251</f>
        <v>9527369.6604640726</v>
      </c>
      <c r="BN250" s="242">
        <f>+AVERAGE(BJ250,BK250,BL250,BM250)*4</f>
        <v>39624942.092897579</v>
      </c>
      <c r="BO250" s="49">
        <f>+BM250-BM251</f>
        <v>9257541.6524095871</v>
      </c>
      <c r="BP250" s="49">
        <f>+BO250-BO251</f>
        <v>8979154.840976283</v>
      </c>
      <c r="BQ250" s="49">
        <f>+BP250-BP251</f>
        <v>8693425.9769037757</v>
      </c>
      <c r="BR250" s="49">
        <f>+BQ250-BQ251</f>
        <v>8401575.8966797125</v>
      </c>
      <c r="BS250" s="242">
        <f>+AVERAGE(BO250,BP250,BQ250,BR250)*4</f>
        <v>35331698.366969362</v>
      </c>
      <c r="BT250" s="49">
        <f>+BR250-BR251</f>
        <v>8106921.2549446104</v>
      </c>
      <c r="BU250" s="49">
        <f>+BT250-BT251</f>
        <v>7810440.1685507437</v>
      </c>
      <c r="BV250" s="49">
        <f>+BU250-BU251</f>
        <v>7513086.1366443327</v>
      </c>
      <c r="BW250" s="49">
        <f>+BV250-BV251</f>
        <v>7215783.1461203853</v>
      </c>
      <c r="BX250" s="242">
        <f>+AVERAGE(BT250,BU250,BV250,BW250)*4</f>
        <v>30646230.70626007</v>
      </c>
      <c r="BY250" s="49">
        <f>+BW250-BW251</f>
        <v>6919421.1627359381</v>
      </c>
      <c r="BZ250" s="49">
        <f>+BY250-BY251</f>
        <v>6624852.0355145875</v>
      </c>
      <c r="CA250" s="49">
        <f>+BZ250-BZ251</f>
        <v>6332885.8368080016</v>
      </c>
      <c r="CB250" s="49">
        <f>+CA250-CA251</f>
        <v>6044287.6550212754</v>
      </c>
      <c r="CC250" s="242">
        <f>+AVERAGE(BY250,BZ250,CA250,CB250)*4</f>
        <v>25921446.690079805</v>
      </c>
      <c r="CD250" s="49">
        <f>+CB250-CB251</f>
        <v>5759774.8516340954</v>
      </c>
      <c r="CE250" s="49">
        <f>+CD250-CD251</f>
        <v>5480014.7888316922</v>
      </c>
      <c r="CF250" s="49">
        <f>+CE250-CE251</f>
        <v>5205623.0288683288</v>
      </c>
      <c r="CG250" s="49">
        <f>+CF250-CF251</f>
        <v>4937162.0012867665</v>
      </c>
      <c r="CH250" s="242">
        <f>+AVERAGE(CD250,CE250,CF250,CG250)*4</f>
        <v>21382574.670620885</v>
      </c>
      <c r="CI250" s="49">
        <f>+CG250-CG251</f>
        <v>4675140.1293696715</v>
      </c>
      <c r="CJ250" s="49">
        <f>+CI250-CI251</f>
        <v>4420011.4027570952</v>
      </c>
      <c r="CK250" s="49">
        <f>+CJ250-CJ251</f>
        <v>4172175.3790748157</v>
      </c>
      <c r="CL250" s="49">
        <f>+CK250-CK251</f>
        <v>3931977.5937212571</v>
      </c>
      <c r="CM250" s="242">
        <f>+AVERAGE(CI250,CJ250,CK250,CL250)*4</f>
        <v>17199304.504922837</v>
      </c>
    </row>
    <row r="251" spans="1:93">
      <c r="A251" s="18" t="s">
        <v>344</v>
      </c>
      <c r="B251" s="232" t="s">
        <v>294</v>
      </c>
      <c r="C251" s="232" t="s">
        <v>294</v>
      </c>
      <c r="D251" s="232" t="s">
        <v>294</v>
      </c>
      <c r="E251" s="232" t="s">
        <v>294</v>
      </c>
      <c r="F251" s="239" t="s">
        <v>294</v>
      </c>
      <c r="G251" s="232" t="s">
        <v>294</v>
      </c>
      <c r="H251" s="232" t="s">
        <v>294</v>
      </c>
      <c r="I251" s="232" t="s">
        <v>294</v>
      </c>
      <c r="J251" s="232" t="s">
        <v>294</v>
      </c>
      <c r="K251" s="239" t="s">
        <v>294</v>
      </c>
      <c r="L251" s="232" t="s">
        <v>294</v>
      </c>
      <c r="M251" s="232" t="s">
        <v>294</v>
      </c>
      <c r="N251" s="232" t="s">
        <v>294</v>
      </c>
      <c r="O251" s="232" t="s">
        <v>294</v>
      </c>
      <c r="P251" s="239" t="s">
        <v>294</v>
      </c>
      <c r="Q251" s="232" t="s">
        <v>294</v>
      </c>
      <c r="R251" s="232" t="s">
        <v>294</v>
      </c>
      <c r="S251" s="232" t="s">
        <v>294</v>
      </c>
      <c r="T251" s="232" t="s">
        <v>294</v>
      </c>
      <c r="U251" s="239" t="s">
        <v>294</v>
      </c>
      <c r="V251" s="232" t="s">
        <v>294</v>
      </c>
      <c r="W251" s="232" t="s">
        <v>294</v>
      </c>
      <c r="X251" s="232" t="s">
        <v>294</v>
      </c>
      <c r="Y251" s="232" t="s">
        <v>294</v>
      </c>
      <c r="Z251" s="239" t="s">
        <v>294</v>
      </c>
      <c r="AA251" s="232" t="s">
        <v>294</v>
      </c>
      <c r="AB251" s="232" t="s">
        <v>294</v>
      </c>
      <c r="AC251" s="232" t="s">
        <v>294</v>
      </c>
      <c r="AD251" s="232" t="s">
        <v>294</v>
      </c>
      <c r="AE251" s="239" t="s">
        <v>294</v>
      </c>
      <c r="AF251" s="232" t="s">
        <v>294</v>
      </c>
      <c r="AG251" s="232" t="s">
        <v>294</v>
      </c>
      <c r="AH251" s="232" t="s">
        <v>294</v>
      </c>
      <c r="AI251" s="232" t="s">
        <v>294</v>
      </c>
      <c r="AJ251" s="239" t="s">
        <v>294</v>
      </c>
      <c r="AK251" s="49">
        <v>0</v>
      </c>
      <c r="AL251" s="49">
        <v>0</v>
      </c>
      <c r="AM251" s="334">
        <v>2400</v>
      </c>
      <c r="AN251" s="334">
        <v>6400</v>
      </c>
      <c r="AO251" s="242">
        <f>+AK251+AL251+AM251+AN251</f>
        <v>8800</v>
      </c>
      <c r="AP251" s="49">
        <f>AP256/AP259</f>
        <v>9000</v>
      </c>
      <c r="AQ251" s="49">
        <f>AQ256/AQ259</f>
        <v>16000</v>
      </c>
      <c r="AR251" s="49">
        <f>AR256/AR259</f>
        <v>24000</v>
      </c>
      <c r="AS251" s="49">
        <f>AS256/AS259</f>
        <v>38000</v>
      </c>
      <c r="AT251" s="242">
        <f>+AP251+AQ251+AR251+AS251</f>
        <v>87000</v>
      </c>
      <c r="AU251" s="392">
        <f t="shared" ref="AU251:AW251" si="3710">+AU252*AU250</f>
        <v>43713.342551144451</v>
      </c>
      <c r="AV251" s="49">
        <f t="shared" si="3710"/>
        <v>48891.154395585145</v>
      </c>
      <c r="AW251" s="49">
        <f t="shared" si="3710"/>
        <v>72317.647651004503</v>
      </c>
      <c r="AX251" s="49">
        <f>+AX252*AX250</f>
        <v>90661.650303913251</v>
      </c>
      <c r="AY251" s="242">
        <f>+AU251+AV251+AW251+AX251</f>
        <v>255583.79490164734</v>
      </c>
      <c r="AZ251" s="49">
        <f>+AZ250*AZ252</f>
        <v>109768.34716386186</v>
      </c>
      <c r="BA251" s="49">
        <f>+BA250*BA252</f>
        <v>131816.6764321884</v>
      </c>
      <c r="BB251" s="49">
        <f>+BB250*BB252</f>
        <v>146284.35517256381</v>
      </c>
      <c r="BC251" s="49">
        <f>+BC250*BC252</f>
        <v>166935.08533499896</v>
      </c>
      <c r="BD251" s="242">
        <f>+AZ251+BA251+BB251+BC251</f>
        <v>554804.46410361305</v>
      </c>
      <c r="BE251" s="49">
        <f>+BE250*BE252</f>
        <v>186653.30483603186</v>
      </c>
      <c r="BF251" s="49">
        <f>+BF250*BF252</f>
        <v>199877.88118979847</v>
      </c>
      <c r="BG251" s="49">
        <f>+BG250*BG252</f>
        <v>212280.36862074322</v>
      </c>
      <c r="BH251" s="49">
        <f>+BH250*BH252</f>
        <v>223818.78458414917</v>
      </c>
      <c r="BI251" s="242">
        <f>+BE251+BF251+BG251+BH251</f>
        <v>822630.33923072263</v>
      </c>
      <c r="BJ251" s="49">
        <f>+BJ250*BJ252</f>
        <v>237025.43251778852</v>
      </c>
      <c r="BK251" s="49">
        <f>+BK250*BK252</f>
        <v>249120.90782296195</v>
      </c>
      <c r="BL251" s="49">
        <f>+BL250*BL252</f>
        <v>260065.40095919196</v>
      </c>
      <c r="BM251" s="49">
        <f>+BM250*BM252</f>
        <v>269828.00805448554</v>
      </c>
      <c r="BN251" s="242">
        <f>+BJ251+BK251+BL251+BM251</f>
        <v>1016039.7493544279</v>
      </c>
      <c r="BO251" s="49">
        <f>+BO250*BO252</f>
        <v>278386.81143330433</v>
      </c>
      <c r="BP251" s="49">
        <f>+BP250*BP252</f>
        <v>285728.86407250678</v>
      </c>
      <c r="BQ251" s="49">
        <f>+BQ250*BQ252</f>
        <v>291850.08022406296</v>
      </c>
      <c r="BR251" s="49">
        <f>+BR250*BR252</f>
        <v>294654.64173510234</v>
      </c>
      <c r="BS251" s="242">
        <f>+BO251+BP251+BQ251+BR251</f>
        <v>1150620.3974649764</v>
      </c>
      <c r="BT251" s="49">
        <f>+BT250*BT252</f>
        <v>296481.08639386657</v>
      </c>
      <c r="BU251" s="49">
        <f>+BU250*BU252</f>
        <v>297354.03190641146</v>
      </c>
      <c r="BV251" s="49">
        <f>+BV250*BV252</f>
        <v>297302.99052394734</v>
      </c>
      <c r="BW251" s="49">
        <f>+BW250*BW252</f>
        <v>296361.98338444758</v>
      </c>
      <c r="BX251" s="242">
        <f>+BT251+BU251+BV251+BW251</f>
        <v>1187500.092208673</v>
      </c>
      <c r="BY251" s="49">
        <f>+BY250*BY252</f>
        <v>294569.12722135033</v>
      </c>
      <c r="BZ251" s="49">
        <f>+BZ250*BZ252</f>
        <v>291966.19870658626</v>
      </c>
      <c r="CA251" s="49">
        <f>+CA250*CA252</f>
        <v>288598.18178672582</v>
      </c>
      <c r="CB251" s="49">
        <f>+CB250*CB252</f>
        <v>284512.80338717956</v>
      </c>
      <c r="CC251" s="242">
        <f>+BY251+BZ251+CA251+CB251</f>
        <v>1159646.311101842</v>
      </c>
      <c r="CD251" s="49">
        <f>+CD250*CD252</f>
        <v>279760.06280240347</v>
      </c>
      <c r="CE251" s="49">
        <f>+CE250*CE252</f>
        <v>274391.759963363</v>
      </c>
      <c r="CF251" s="49">
        <f>+CF250*CF252</f>
        <v>268461.02758156246</v>
      </c>
      <c r="CG251" s="49">
        <f>+CG250*CG252</f>
        <v>262021.87191709489</v>
      </c>
      <c r="CH251" s="242">
        <f>+CD251+CE251+CF251+CG251</f>
        <v>1084634.7222644237</v>
      </c>
      <c r="CI251" s="49">
        <f>+CI250*CI252</f>
        <v>255128.72661257655</v>
      </c>
      <c r="CJ251" s="49">
        <f>+CJ250*CJ252</f>
        <v>247836.02368227966</v>
      </c>
      <c r="CK251" s="49">
        <f>+CK250*CK252</f>
        <v>240197.78535355849</v>
      </c>
      <c r="CL251" s="49">
        <f>+CL250*CL252</f>
        <v>232267.24003341069</v>
      </c>
      <c r="CM251" s="242">
        <f>+CI251+CJ251+CK251+CL251</f>
        <v>975429.77568182535</v>
      </c>
    </row>
    <row r="252" spans="1:93">
      <c r="A252" s="139" t="s">
        <v>350</v>
      </c>
      <c r="B252" s="232" t="s">
        <v>294</v>
      </c>
      <c r="C252" s="232" t="s">
        <v>294</v>
      </c>
      <c r="D252" s="232" t="s">
        <v>294</v>
      </c>
      <c r="E252" s="232" t="s">
        <v>294</v>
      </c>
      <c r="F252" s="239" t="s">
        <v>294</v>
      </c>
      <c r="G252" s="232" t="s">
        <v>294</v>
      </c>
      <c r="H252" s="232" t="s">
        <v>294</v>
      </c>
      <c r="I252" s="232" t="s">
        <v>294</v>
      </c>
      <c r="J252" s="232" t="s">
        <v>294</v>
      </c>
      <c r="K252" s="239" t="s">
        <v>294</v>
      </c>
      <c r="L252" s="232" t="s">
        <v>294</v>
      </c>
      <c r="M252" s="232" t="s">
        <v>294</v>
      </c>
      <c r="N252" s="232" t="s">
        <v>294</v>
      </c>
      <c r="O252" s="232" t="s">
        <v>294</v>
      </c>
      <c r="P252" s="239" t="s">
        <v>294</v>
      </c>
      <c r="Q252" s="232" t="s">
        <v>294</v>
      </c>
      <c r="R252" s="232" t="s">
        <v>294</v>
      </c>
      <c r="S252" s="232" t="s">
        <v>294</v>
      </c>
      <c r="T252" s="232" t="s">
        <v>294</v>
      </c>
      <c r="U252" s="239" t="s">
        <v>294</v>
      </c>
      <c r="V252" s="232" t="s">
        <v>294</v>
      </c>
      <c r="W252" s="232" t="s">
        <v>294</v>
      </c>
      <c r="X252" s="232" t="s">
        <v>294</v>
      </c>
      <c r="Y252" s="232" t="s">
        <v>294</v>
      </c>
      <c r="Z252" s="239" t="s">
        <v>294</v>
      </c>
      <c r="AA252" s="232" t="s">
        <v>294</v>
      </c>
      <c r="AB252" s="232" t="s">
        <v>294</v>
      </c>
      <c r="AC252" s="232" t="s">
        <v>294</v>
      </c>
      <c r="AD252" s="232" t="s">
        <v>294</v>
      </c>
      <c r="AE252" s="239" t="s">
        <v>294</v>
      </c>
      <c r="AF252" s="232" t="s">
        <v>294</v>
      </c>
      <c r="AG252" s="232" t="s">
        <v>294</v>
      </c>
      <c r="AH252" s="232" t="s">
        <v>294</v>
      </c>
      <c r="AI252" s="232" t="s">
        <v>294</v>
      </c>
      <c r="AJ252" s="239" t="s">
        <v>294</v>
      </c>
      <c r="AK252" s="164"/>
      <c r="AL252" s="164"/>
      <c r="AM252" s="19">
        <f>AM251/AM250*3</f>
        <v>6.0000000000000006E-4</v>
      </c>
      <c r="AN252" s="19">
        <f>AN251/AN250*3</f>
        <v>1.6000000000000001E-3</v>
      </c>
      <c r="AO252" s="259">
        <f>+AO251/AO250*3</f>
        <v>5.5000000000000003E-4</v>
      </c>
      <c r="AP252" s="19">
        <f>AP251/AP250</f>
        <v>7.5040021344717186E-4</v>
      </c>
      <c r="AQ252" s="19">
        <f>AQ251/AQ250</f>
        <v>1.3350466431920965E-3</v>
      </c>
      <c r="AR252" s="19">
        <f>AR251/AR250</f>
        <v>2.0052470631485722E-3</v>
      </c>
      <c r="AS252" s="19">
        <f>AS251/AS250</f>
        <v>3.1813539172513101E-3</v>
      </c>
      <c r="AT252" s="259">
        <f>+AT251/AT250</f>
        <v>1.816610080306694E-3</v>
      </c>
      <c r="AU252" s="400">
        <f>+AS252+0.00049</f>
        <v>3.6713539172513101E-3</v>
      </c>
      <c r="AV252" s="164">
        <f>+AU252+0.00045</f>
        <v>4.12135391725131E-3</v>
      </c>
      <c r="AW252" s="164">
        <f>+AV252+0.002</f>
        <v>6.12135391725131E-3</v>
      </c>
      <c r="AX252" s="164">
        <f>+AW252+0.0016</f>
        <v>7.7213539172513099E-3</v>
      </c>
      <c r="AY252" s="259">
        <f>+AY251/AY250</f>
        <v>5.4005901895683864E-3</v>
      </c>
      <c r="AZ252" s="164">
        <f>+AX252+0.0017</f>
        <v>9.42135391725131E-3</v>
      </c>
      <c r="BA252" s="164">
        <f>+AZ252+0.002</f>
        <v>1.142135391725131E-2</v>
      </c>
      <c r="BB252" s="164">
        <f>+BA252+0.0014</f>
        <v>1.282135391725131E-2</v>
      </c>
      <c r="BC252" s="164">
        <f>+BB252+0.002</f>
        <v>1.482135391725131E-2</v>
      </c>
      <c r="BD252" s="259">
        <f>+BD251/BD250</f>
        <v>1.2096508764739566E-2</v>
      </c>
      <c r="BE252" s="164">
        <f>+BC252+0.002</f>
        <v>1.682135391725131E-2</v>
      </c>
      <c r="BF252" s="164">
        <f>+BE252+0.0015</f>
        <v>1.8321353917251312E-2</v>
      </c>
      <c r="BG252" s="164">
        <f>+BF252+0.0015</f>
        <v>1.9821353917251313E-2</v>
      </c>
      <c r="BH252" s="164">
        <f>+BG252+0.0015</f>
        <v>2.1321353917251314E-2</v>
      </c>
      <c r="BI252" s="259">
        <f>+BI251/BI250</f>
        <v>1.9036706020224749E-2</v>
      </c>
      <c r="BJ252" s="164">
        <f>+BH252+0.00175</f>
        <v>2.3071353917251316E-2</v>
      </c>
      <c r="BK252" s="164">
        <f>+BJ252+0.00175</f>
        <v>2.4821353917251317E-2</v>
      </c>
      <c r="BL252" s="164">
        <f>+BK252+0.00175</f>
        <v>2.6571353917251319E-2</v>
      </c>
      <c r="BM252" s="164">
        <f>+BL252+0.00175</f>
        <v>2.8321353917251321E-2</v>
      </c>
      <c r="BN252" s="259">
        <f>+BN251/BN250</f>
        <v>2.5641419158983304E-2</v>
      </c>
      <c r="BO252" s="164">
        <f>+BM252+0.00175</f>
        <v>3.0071353917251322E-2</v>
      </c>
      <c r="BP252" s="164">
        <f>+BO252+0.00175</f>
        <v>3.182135391725132E-2</v>
      </c>
      <c r="BQ252" s="164">
        <f>+BP252+0.00175</f>
        <v>3.3571353917251322E-2</v>
      </c>
      <c r="BR252" s="164">
        <f>+BQ252+0.0015</f>
        <v>3.5071353917251323E-2</v>
      </c>
      <c r="BS252" s="259">
        <f>+BS251/BS250</f>
        <v>3.2566235155586522E-2</v>
      </c>
      <c r="BT252" s="164">
        <f>+BR252+0.0015</f>
        <v>3.6571353917251324E-2</v>
      </c>
      <c r="BU252" s="164">
        <f>+BT252+0.0015</f>
        <v>3.8071353917251326E-2</v>
      </c>
      <c r="BV252" s="164">
        <f>+BU252+0.0015</f>
        <v>3.9571353917251327E-2</v>
      </c>
      <c r="BW252" s="164">
        <f>+BV252+0.0015</f>
        <v>4.1071353917251328E-2</v>
      </c>
      <c r="BX252" s="259">
        <f>+BX251/BX250</f>
        <v>3.8748650807686566E-2</v>
      </c>
      <c r="BY252" s="164">
        <f>+BW252+0.0015</f>
        <v>4.257135391725133E-2</v>
      </c>
      <c r="BZ252" s="164">
        <f>+BY252+0.0015</f>
        <v>4.4071353917251331E-2</v>
      </c>
      <c r="CA252" s="164">
        <f>+BZ252+0.0015</f>
        <v>4.5571353917251332E-2</v>
      </c>
      <c r="CB252" s="164">
        <f>+CA252+0.0015</f>
        <v>4.7071353917251334E-2</v>
      </c>
      <c r="CC252" s="259">
        <f>+CC251/CC250</f>
        <v>4.4736944082123364E-2</v>
      </c>
      <c r="CD252" s="164">
        <f>+CB252+0.0015</f>
        <v>4.8571353917251335E-2</v>
      </c>
      <c r="CE252" s="164">
        <f>+CD252+0.0015</f>
        <v>5.0071353917251336E-2</v>
      </c>
      <c r="CF252" s="164">
        <f>+CE252+0.0015</f>
        <v>5.1571353917251338E-2</v>
      </c>
      <c r="CG252" s="164">
        <f>+CF252+0.0015</f>
        <v>5.3071353917251339E-2</v>
      </c>
      <c r="CH252" s="259">
        <f>+CH251/CH250</f>
        <v>5.0725169394810268E-2</v>
      </c>
      <c r="CI252" s="164">
        <f>+CG252+0.0015</f>
        <v>5.457135391725134E-2</v>
      </c>
      <c r="CJ252" s="164">
        <f>+CI252+0.0015</f>
        <v>5.6071353917251342E-2</v>
      </c>
      <c r="CK252" s="164">
        <f>+CJ252+0.0015</f>
        <v>5.7571353917251343E-2</v>
      </c>
      <c r="CL252" s="164">
        <f>+CK252+0.0015</f>
        <v>5.9071353917251344E-2</v>
      </c>
      <c r="CM252" s="259">
        <f>+CM251/CM250</f>
        <v>5.6713326716358495E-2</v>
      </c>
    </row>
    <row r="253" spans="1:93">
      <c r="A253" s="161" t="s">
        <v>340</v>
      </c>
      <c r="B253" s="232" t="s">
        <v>294</v>
      </c>
      <c r="C253" s="232" t="s">
        <v>294</v>
      </c>
      <c r="D253" s="232" t="s">
        <v>294</v>
      </c>
      <c r="E253" s="232" t="s">
        <v>294</v>
      </c>
      <c r="F253" s="239" t="s">
        <v>294</v>
      </c>
      <c r="G253" s="232" t="s">
        <v>294</v>
      </c>
      <c r="H253" s="232" t="s">
        <v>294</v>
      </c>
      <c r="I253" s="232" t="s">
        <v>294</v>
      </c>
      <c r="J253" s="232" t="s">
        <v>294</v>
      </c>
      <c r="K253" s="239" t="s">
        <v>294</v>
      </c>
      <c r="L253" s="232" t="s">
        <v>294</v>
      </c>
      <c r="M253" s="232" t="s">
        <v>294</v>
      </c>
      <c r="N253" s="232" t="s">
        <v>294</v>
      </c>
      <c r="O253" s="232" t="s">
        <v>294</v>
      </c>
      <c r="P253" s="239" t="s">
        <v>294</v>
      </c>
      <c r="Q253" s="232" t="s">
        <v>294</v>
      </c>
      <c r="R253" s="232" t="s">
        <v>294</v>
      </c>
      <c r="S253" s="232" t="s">
        <v>294</v>
      </c>
      <c r="T253" s="232" t="s">
        <v>294</v>
      </c>
      <c r="U253" s="239" t="s">
        <v>294</v>
      </c>
      <c r="V253" s="232" t="s">
        <v>294</v>
      </c>
      <c r="W253" s="232" t="s">
        <v>294</v>
      </c>
      <c r="X253" s="232" t="s">
        <v>294</v>
      </c>
      <c r="Y253" s="232" t="s">
        <v>294</v>
      </c>
      <c r="Z253" s="239" t="s">
        <v>294</v>
      </c>
      <c r="AA253" s="232" t="s">
        <v>294</v>
      </c>
      <c r="AB253" s="232" t="s">
        <v>294</v>
      </c>
      <c r="AC253" s="232" t="s">
        <v>294</v>
      </c>
      <c r="AD253" s="232" t="s">
        <v>294</v>
      </c>
      <c r="AE253" s="239" t="s">
        <v>294</v>
      </c>
      <c r="AF253" s="232" t="s">
        <v>294</v>
      </c>
      <c r="AG253" s="232" t="s">
        <v>294</v>
      </c>
      <c r="AH253" s="232" t="s">
        <v>294</v>
      </c>
      <c r="AI253" s="232" t="s">
        <v>294</v>
      </c>
      <c r="AJ253" s="239" t="s">
        <v>294</v>
      </c>
      <c r="AK253" s="232" t="s">
        <v>294</v>
      </c>
      <c r="AL253" s="232" t="s">
        <v>294</v>
      </c>
      <c r="AM253" s="232" t="s">
        <v>294</v>
      </c>
      <c r="AN253" s="232" t="s">
        <v>294</v>
      </c>
      <c r="AO253" s="239" t="s">
        <v>294</v>
      </c>
      <c r="AP253" s="166">
        <f>+(AP252-AK252)*100000</f>
        <v>75.040021344717189</v>
      </c>
      <c r="AQ253" s="166">
        <f t="shared" ref="AQ253" si="3711">+(AQ252-AL252)*100000</f>
        <v>133.50466431920964</v>
      </c>
      <c r="AR253" s="166">
        <f>+(AR252-AM252)*100000</f>
        <v>140.52470631485721</v>
      </c>
      <c r="AS253" s="166">
        <f t="shared" ref="AS253" si="3712">+(AS252-AN252)*100000</f>
        <v>158.135391725131</v>
      </c>
      <c r="AT253" s="260">
        <f t="shared" ref="AT253" si="3713">+(AT252-AO252)*100000</f>
        <v>126.66100803066941</v>
      </c>
      <c r="AU253" s="394">
        <f t="shared" ref="AU253" si="3714">+(AU252-AP252)*100000</f>
        <v>292.09537038041384</v>
      </c>
      <c r="AV253" s="166">
        <f t="shared" ref="AV253" si="3715">+(AV252-AQ252)*100000</f>
        <v>278.63072740592139</v>
      </c>
      <c r="AW253" s="166">
        <f t="shared" ref="AW253" si="3716">+(AW252-AR252)*100000</f>
        <v>411.61068541027379</v>
      </c>
      <c r="AX253" s="166">
        <f t="shared" ref="AX253" si="3717">+(AX252-AS252)*100000</f>
        <v>454</v>
      </c>
      <c r="AY253" s="260">
        <f>+(AY252-AT252)*100000</f>
        <v>358.39801092616921</v>
      </c>
      <c r="AZ253" s="166">
        <f t="shared" ref="AZ253" si="3718">+(AZ252-AU252)*100000</f>
        <v>575</v>
      </c>
      <c r="BA253" s="166">
        <f t="shared" ref="BA253" si="3719">+(BA252-AV252)*100000</f>
        <v>730</v>
      </c>
      <c r="BB253" s="166">
        <f t="shared" ref="BB253" si="3720">+(BB252-AW252)*100000</f>
        <v>670</v>
      </c>
      <c r="BC253" s="166">
        <f t="shared" ref="BC253" si="3721">+(BC252-AX252)*100000</f>
        <v>710</v>
      </c>
      <c r="BD253" s="260">
        <f t="shared" ref="BD253" si="3722">+(BD252-AY252)*100000</f>
        <v>669.59185751711789</v>
      </c>
      <c r="BE253" s="166">
        <f t="shared" ref="BE253" si="3723">+(BE252-AZ252)*100000</f>
        <v>740</v>
      </c>
      <c r="BF253" s="166">
        <f t="shared" ref="BF253" si="3724">+(BF252-BA252)*100000</f>
        <v>690.00000000000011</v>
      </c>
      <c r="BG253" s="166">
        <f t="shared" ref="BG253" si="3725">+(BG252-BB252)*100000</f>
        <v>700.00000000000023</v>
      </c>
      <c r="BH253" s="166">
        <f t="shared" ref="BH253" si="3726">+(BH252-BC252)*100000</f>
        <v>650.00000000000045</v>
      </c>
      <c r="BI253" s="260">
        <f t="shared" ref="BI253" si="3727">+(BI252-BD252)*100000</f>
        <v>694.01972554851841</v>
      </c>
      <c r="BJ253" s="166">
        <f t="shared" ref="BJ253" si="3728">+(BJ252-BE252)*100000</f>
        <v>625.00000000000057</v>
      </c>
      <c r="BK253" s="166">
        <f t="shared" ref="BK253" si="3729">+(BK252-BF252)*100000</f>
        <v>650.00000000000057</v>
      </c>
      <c r="BL253" s="166">
        <f t="shared" ref="BL253" si="3730">+(BL252-BG252)*100000</f>
        <v>675.00000000000057</v>
      </c>
      <c r="BM253" s="166">
        <f t="shared" ref="BM253" si="3731">+(BM252-BH252)*100000</f>
        <v>700.00000000000057</v>
      </c>
      <c r="BN253" s="260">
        <f t="shared" ref="BN253" si="3732">+(BN252-BI252)*100000</f>
        <v>660.47131387585546</v>
      </c>
      <c r="BO253" s="166">
        <f t="shared" ref="BO253" si="3733">+(BO252-BJ252)*100000</f>
        <v>700.00000000000057</v>
      </c>
      <c r="BP253" s="166">
        <f t="shared" ref="BP253" si="3734">+(BP252-BK252)*100000</f>
        <v>700.00000000000023</v>
      </c>
      <c r="BQ253" s="166">
        <f t="shared" ref="BQ253" si="3735">+(BQ252-BL252)*100000</f>
        <v>700.00000000000023</v>
      </c>
      <c r="BR253" s="166">
        <f t="shared" ref="BR253" si="3736">+(BR252-BM252)*100000</f>
        <v>675.00000000000023</v>
      </c>
      <c r="BS253" s="260">
        <f t="shared" ref="BS253" si="3737">+(BS252-BN252)*100000</f>
        <v>692.48159966032176</v>
      </c>
      <c r="BT253" s="166">
        <f t="shared" ref="BT253" si="3738">+(BT252-BO252)*100000</f>
        <v>650.00000000000023</v>
      </c>
      <c r="BU253" s="166">
        <f t="shared" ref="BU253" si="3739">+(BU252-BP252)*100000</f>
        <v>625.00000000000057</v>
      </c>
      <c r="BV253" s="166">
        <f t="shared" ref="BV253" si="3740">+(BV252-BQ252)*100000</f>
        <v>600.00000000000057</v>
      </c>
      <c r="BW253" s="166">
        <f t="shared" ref="BW253" si="3741">+(BW252-BR252)*100000</f>
        <v>600.00000000000057</v>
      </c>
      <c r="BX253" s="260">
        <f t="shared" ref="BX253" si="3742">+(BX252-BS252)*100000</f>
        <v>618.24156521000441</v>
      </c>
      <c r="BY253" s="166">
        <f t="shared" ref="BY253" si="3743">+(BY252-BT252)*100000</f>
        <v>600.00000000000057</v>
      </c>
      <c r="BZ253" s="166">
        <f t="shared" ref="BZ253" si="3744">+(BZ252-BU252)*100000</f>
        <v>600.00000000000057</v>
      </c>
      <c r="CA253" s="166">
        <f t="shared" ref="CA253" si="3745">+(CA252-BV252)*100000</f>
        <v>600.00000000000057</v>
      </c>
      <c r="CB253" s="166">
        <f t="shared" ref="CB253" si="3746">+(CB252-BW252)*100000</f>
        <v>600.00000000000057</v>
      </c>
      <c r="CC253" s="260">
        <f t="shared" ref="CC253" si="3747">+(CC252-BX252)*100000</f>
        <v>598.82932744367986</v>
      </c>
      <c r="CD253" s="166">
        <f t="shared" ref="CD253" si="3748">+(CD252-BY252)*100000</f>
        <v>600.00000000000057</v>
      </c>
      <c r="CE253" s="166">
        <f t="shared" ref="CE253" si="3749">+(CE252-BZ252)*100000</f>
        <v>600.00000000000057</v>
      </c>
      <c r="CF253" s="166">
        <f t="shared" ref="CF253" si="3750">+(CF252-CA252)*100000</f>
        <v>600.00000000000057</v>
      </c>
      <c r="CG253" s="166">
        <f t="shared" ref="CG253" si="3751">+(CG252-CB252)*100000</f>
        <v>600.00000000000057</v>
      </c>
      <c r="CH253" s="260">
        <f t="shared" ref="CH253" si="3752">+(CH252-CC252)*100000</f>
        <v>598.82253126869034</v>
      </c>
      <c r="CI253" s="166">
        <f t="shared" ref="CI253" si="3753">+(CI252-CD252)*100000</f>
        <v>600.00000000000057</v>
      </c>
      <c r="CJ253" s="166">
        <f t="shared" ref="CJ253" si="3754">+(CJ252-CE252)*100000</f>
        <v>600.00000000000057</v>
      </c>
      <c r="CK253" s="166">
        <f t="shared" ref="CK253" si="3755">+(CK252-CF252)*100000</f>
        <v>600.00000000000057</v>
      </c>
      <c r="CL253" s="166">
        <f t="shared" ref="CL253" si="3756">+(CL252-CG252)*100000</f>
        <v>600.00000000000057</v>
      </c>
      <c r="CM253" s="260">
        <f t="shared" ref="CM253" si="3757">+(CM252-CH252)*100000</f>
        <v>598.81573215482263</v>
      </c>
    </row>
    <row r="254" spans="1:93">
      <c r="A254" s="161" t="s">
        <v>341</v>
      </c>
      <c r="B254" s="232" t="s">
        <v>294</v>
      </c>
      <c r="C254" s="232" t="s">
        <v>294</v>
      </c>
      <c r="D254" s="232" t="s">
        <v>294</v>
      </c>
      <c r="E254" s="232" t="s">
        <v>294</v>
      </c>
      <c r="F254" s="239" t="s">
        <v>294</v>
      </c>
      <c r="G254" s="232" t="s">
        <v>294</v>
      </c>
      <c r="H254" s="232" t="s">
        <v>294</v>
      </c>
      <c r="I254" s="232" t="s">
        <v>294</v>
      </c>
      <c r="J254" s="232" t="s">
        <v>294</v>
      </c>
      <c r="K254" s="239" t="s">
        <v>294</v>
      </c>
      <c r="L254" s="232" t="s">
        <v>294</v>
      </c>
      <c r="M254" s="232" t="s">
        <v>294</v>
      </c>
      <c r="N254" s="232" t="s">
        <v>294</v>
      </c>
      <c r="O254" s="232" t="s">
        <v>294</v>
      </c>
      <c r="P254" s="239" t="s">
        <v>294</v>
      </c>
      <c r="Q254" s="232" t="s">
        <v>294</v>
      </c>
      <c r="R254" s="232" t="s">
        <v>294</v>
      </c>
      <c r="S254" s="232" t="s">
        <v>294</v>
      </c>
      <c r="T254" s="232" t="s">
        <v>294</v>
      </c>
      <c r="U254" s="239" t="s">
        <v>294</v>
      </c>
      <c r="V254" s="232" t="s">
        <v>294</v>
      </c>
      <c r="W254" s="232" t="s">
        <v>294</v>
      </c>
      <c r="X254" s="232" t="s">
        <v>294</v>
      </c>
      <c r="Y254" s="232" t="s">
        <v>294</v>
      </c>
      <c r="Z254" s="239" t="s">
        <v>294</v>
      </c>
      <c r="AA254" s="232" t="s">
        <v>294</v>
      </c>
      <c r="AB254" s="232" t="s">
        <v>294</v>
      </c>
      <c r="AC254" s="232" t="s">
        <v>294</v>
      </c>
      <c r="AD254" s="232" t="s">
        <v>294</v>
      </c>
      <c r="AE254" s="239" t="s">
        <v>294</v>
      </c>
      <c r="AF254" s="232" t="s">
        <v>294</v>
      </c>
      <c r="AG254" s="232" t="s">
        <v>294</v>
      </c>
      <c r="AH254" s="232" t="s">
        <v>294</v>
      </c>
      <c r="AI254" s="232" t="s">
        <v>294</v>
      </c>
      <c r="AJ254" s="239" t="s">
        <v>294</v>
      </c>
      <c r="AK254" s="232" t="s">
        <v>294</v>
      </c>
      <c r="AL254" s="166">
        <f>+(AL252-AK252)*100000</f>
        <v>0</v>
      </c>
      <c r="AM254" s="166">
        <f t="shared" ref="AM254:AN254" si="3758">+(AM252-AL252)*100000</f>
        <v>60.000000000000007</v>
      </c>
      <c r="AN254" s="166">
        <f t="shared" si="3758"/>
        <v>100</v>
      </c>
      <c r="AO254" s="251" t="s">
        <v>294</v>
      </c>
      <c r="AP254" s="166">
        <f>+(AP252-AN252)*100000</f>
        <v>-84.959978655282825</v>
      </c>
      <c r="AQ254" s="166">
        <f>+(AQ252-AP252)*100000</f>
        <v>58.464642974492463</v>
      </c>
      <c r="AR254" s="166">
        <f t="shared" ref="AR254:AS254" si="3759">+(AR252-AQ252)*100000</f>
        <v>67.020041995647574</v>
      </c>
      <c r="AS254" s="166">
        <f t="shared" si="3759"/>
        <v>117.61068541027379</v>
      </c>
      <c r="AT254" s="251" t="s">
        <v>294</v>
      </c>
      <c r="AU254" s="394">
        <f>+(AU252-AS252)*100000</f>
        <v>49</v>
      </c>
      <c r="AV254" s="166">
        <f>+(AV252-AU252)*100000</f>
        <v>44.999999999999986</v>
      </c>
      <c r="AW254" s="166">
        <f t="shared" ref="AW254:AX254" si="3760">+(AW252-AV252)*100000</f>
        <v>200</v>
      </c>
      <c r="AX254" s="166">
        <f t="shared" si="3760"/>
        <v>160</v>
      </c>
      <c r="AY254" s="251" t="s">
        <v>294</v>
      </c>
      <c r="AZ254" s="166">
        <f>+(AZ252-AX252)*100000</f>
        <v>170</v>
      </c>
      <c r="BA254" s="166">
        <f>+(BA252-AZ252)*100000</f>
        <v>200</v>
      </c>
      <c r="BB254" s="166">
        <f t="shared" ref="BB254:BC254" si="3761">+(BB252-BA252)*100000</f>
        <v>140.00000000000003</v>
      </c>
      <c r="BC254" s="166">
        <f t="shared" si="3761"/>
        <v>200</v>
      </c>
      <c r="BD254" s="251" t="s">
        <v>294</v>
      </c>
      <c r="BE254" s="166">
        <f>+(BE252-BC252)*100000</f>
        <v>200</v>
      </c>
      <c r="BF254" s="166">
        <f>+(BF252-BE252)*100000</f>
        <v>150.00000000000014</v>
      </c>
      <c r="BG254" s="166">
        <f t="shared" ref="BG254:BH254" si="3762">+(BG252-BF252)*100000</f>
        <v>150.00000000000014</v>
      </c>
      <c r="BH254" s="166">
        <f t="shared" si="3762"/>
        <v>150.00000000000014</v>
      </c>
      <c r="BI254" s="251" t="s">
        <v>294</v>
      </c>
      <c r="BJ254" s="166">
        <f>+(BJ252-BH252)*100000</f>
        <v>175.00000000000014</v>
      </c>
      <c r="BK254" s="166">
        <f>+(BK252-BJ252)*100000</f>
        <v>175.00000000000014</v>
      </c>
      <c r="BL254" s="166">
        <f t="shared" ref="BL254:BM254" si="3763">+(BL252-BK252)*100000</f>
        <v>175.00000000000014</v>
      </c>
      <c r="BM254" s="166">
        <f t="shared" si="3763"/>
        <v>175.00000000000014</v>
      </c>
      <c r="BN254" s="251" t="s">
        <v>294</v>
      </c>
      <c r="BO254" s="166">
        <f>+(BO252-BM252)*100000</f>
        <v>175.00000000000014</v>
      </c>
      <c r="BP254" s="166">
        <f>+(BP252-BO252)*100000</f>
        <v>174.9999999999998</v>
      </c>
      <c r="BQ254" s="166">
        <f t="shared" ref="BQ254:BR254" si="3764">+(BQ252-BP252)*100000</f>
        <v>175.00000000000014</v>
      </c>
      <c r="BR254" s="166">
        <f t="shared" si="3764"/>
        <v>150.00000000000014</v>
      </c>
      <c r="BS254" s="251" t="s">
        <v>294</v>
      </c>
      <c r="BT254" s="166">
        <f>+(BT252-BR252)*100000</f>
        <v>150.00000000000014</v>
      </c>
      <c r="BU254" s="166">
        <f>+(BU252-BT252)*100000</f>
        <v>150.00000000000014</v>
      </c>
      <c r="BV254" s="166">
        <f t="shared" ref="BV254:BW254" si="3765">+(BV252-BU252)*100000</f>
        <v>150.00000000000014</v>
      </c>
      <c r="BW254" s="166">
        <f t="shared" si="3765"/>
        <v>150.00000000000014</v>
      </c>
      <c r="BX254" s="251" t="s">
        <v>294</v>
      </c>
      <c r="BY254" s="166">
        <f>+(BY252-BW252)*100000</f>
        <v>150.00000000000014</v>
      </c>
      <c r="BZ254" s="166">
        <f>+(BZ252-BY252)*100000</f>
        <v>150.00000000000014</v>
      </c>
      <c r="CA254" s="166">
        <f t="shared" ref="CA254:CB254" si="3766">+(CA252-BZ252)*100000</f>
        <v>150.00000000000014</v>
      </c>
      <c r="CB254" s="166">
        <f t="shared" si="3766"/>
        <v>150.00000000000014</v>
      </c>
      <c r="CC254" s="251" t="s">
        <v>294</v>
      </c>
      <c r="CD254" s="166">
        <f>+(CD252-CB252)*100000</f>
        <v>150.00000000000014</v>
      </c>
      <c r="CE254" s="166">
        <f>+(CE252-CD252)*100000</f>
        <v>150.00000000000014</v>
      </c>
      <c r="CF254" s="166">
        <f t="shared" ref="CF254:CG254" si="3767">+(CF252-CE252)*100000</f>
        <v>150.00000000000014</v>
      </c>
      <c r="CG254" s="166">
        <f t="shared" si="3767"/>
        <v>150.00000000000014</v>
      </c>
      <c r="CH254" s="251" t="s">
        <v>294</v>
      </c>
      <c r="CI254" s="166">
        <f>+(CI252-CG252)*100000</f>
        <v>150.00000000000014</v>
      </c>
      <c r="CJ254" s="166">
        <f>+(CJ252-CI252)*100000</f>
        <v>150.00000000000014</v>
      </c>
      <c r="CK254" s="166">
        <f t="shared" ref="CK254:CL254" si="3768">+(CK252-CJ252)*100000</f>
        <v>150.00000000000014</v>
      </c>
      <c r="CL254" s="166">
        <f t="shared" si="3768"/>
        <v>150.00000000000014</v>
      </c>
      <c r="CM254" s="251" t="s">
        <v>294</v>
      </c>
    </row>
    <row r="255" spans="1:93">
      <c r="A255" s="139"/>
      <c r="F255" s="240"/>
      <c r="K255" s="240"/>
      <c r="P255" s="240"/>
      <c r="U255" s="240"/>
      <c r="Z255" s="240"/>
      <c r="AE255" s="240"/>
      <c r="AJ255" s="240"/>
      <c r="AK255" s="164"/>
      <c r="AL255" s="164"/>
      <c r="AM255" s="164"/>
      <c r="AN255" s="164"/>
      <c r="AO255" s="259"/>
      <c r="AP255" s="164"/>
      <c r="AQ255" s="164"/>
      <c r="AR255" s="164"/>
      <c r="AS255" s="164"/>
      <c r="AT255" s="259"/>
      <c r="AU255" s="400"/>
      <c r="AV255" s="164"/>
      <c r="AW255" s="164"/>
      <c r="AX255" s="164"/>
      <c r="AY255" s="259"/>
      <c r="AZ255" s="164"/>
      <c r="BA255" s="164"/>
      <c r="BB255" s="164"/>
      <c r="BC255" s="164"/>
      <c r="BD255" s="259"/>
      <c r="BE255" s="164"/>
      <c r="BF255" s="164"/>
      <c r="BG255" s="164"/>
      <c r="BH255" s="164"/>
      <c r="BI255" s="259"/>
      <c r="BJ255" s="164"/>
      <c r="BK255" s="164"/>
      <c r="BL255" s="164"/>
      <c r="BM255" s="164"/>
      <c r="BN255" s="259"/>
      <c r="BO255" s="164"/>
      <c r="BP255" s="164"/>
      <c r="BQ255" s="164"/>
      <c r="BR255" s="164"/>
      <c r="BS255" s="259"/>
      <c r="BT255" s="164"/>
      <c r="BU255" s="164"/>
      <c r="BV255" s="164"/>
      <c r="BW255" s="164"/>
      <c r="BX255" s="259"/>
      <c r="BY255" s="164"/>
      <c r="BZ255" s="164"/>
      <c r="CA255" s="164"/>
      <c r="CB255" s="164"/>
      <c r="CC255" s="259"/>
      <c r="CD255" s="164"/>
      <c r="CE255" s="164"/>
      <c r="CF255" s="164"/>
      <c r="CG255" s="164"/>
      <c r="CH255" s="259"/>
      <c r="CI255" s="164"/>
      <c r="CJ255" s="164"/>
      <c r="CK255" s="164"/>
      <c r="CL255" s="164"/>
      <c r="CM255" s="259"/>
    </row>
    <row r="256" spans="1:93" s="42" customFormat="1">
      <c r="A256" s="42" t="s">
        <v>346</v>
      </c>
      <c r="B256" s="232" t="s">
        <v>294</v>
      </c>
      <c r="C256" s="232" t="s">
        <v>294</v>
      </c>
      <c r="D256" s="232" t="s">
        <v>294</v>
      </c>
      <c r="E256" s="232" t="s">
        <v>294</v>
      </c>
      <c r="F256" s="239" t="s">
        <v>294</v>
      </c>
      <c r="G256" s="232" t="s">
        <v>294</v>
      </c>
      <c r="H256" s="232" t="s">
        <v>294</v>
      </c>
      <c r="I256" s="232" t="s">
        <v>294</v>
      </c>
      <c r="J256" s="232" t="s">
        <v>294</v>
      </c>
      <c r="K256" s="239" t="s">
        <v>294</v>
      </c>
      <c r="L256" s="232" t="s">
        <v>294</v>
      </c>
      <c r="M256" s="232" t="s">
        <v>294</v>
      </c>
      <c r="N256" s="232" t="s">
        <v>294</v>
      </c>
      <c r="O256" s="232" t="s">
        <v>294</v>
      </c>
      <c r="P256" s="239" t="s">
        <v>294</v>
      </c>
      <c r="Q256" s="232" t="s">
        <v>294</v>
      </c>
      <c r="R256" s="232" t="s">
        <v>294</v>
      </c>
      <c r="S256" s="232" t="s">
        <v>294</v>
      </c>
      <c r="T256" s="232" t="s">
        <v>294</v>
      </c>
      <c r="U256" s="239" t="s">
        <v>294</v>
      </c>
      <c r="V256" s="232" t="s">
        <v>294</v>
      </c>
      <c r="W256" s="232" t="s">
        <v>294</v>
      </c>
      <c r="X256" s="232" t="s">
        <v>294</v>
      </c>
      <c r="Y256" s="232" t="s">
        <v>294</v>
      </c>
      <c r="Z256" s="239" t="s">
        <v>294</v>
      </c>
      <c r="AA256" s="232" t="s">
        <v>294</v>
      </c>
      <c r="AB256" s="232" t="s">
        <v>294</v>
      </c>
      <c r="AC256" s="232" t="s">
        <v>294</v>
      </c>
      <c r="AD256" s="232" t="s">
        <v>294</v>
      </c>
      <c r="AE256" s="239" t="s">
        <v>294</v>
      </c>
      <c r="AF256" s="232" t="s">
        <v>294</v>
      </c>
      <c r="AG256" s="232" t="s">
        <v>294</v>
      </c>
      <c r="AH256" s="232" t="s">
        <v>294</v>
      </c>
      <c r="AI256" s="232" t="s">
        <v>294</v>
      </c>
      <c r="AJ256" s="239" t="s">
        <v>294</v>
      </c>
      <c r="AK256" s="167">
        <f>+AK251*AK259</f>
        <v>0</v>
      </c>
      <c r="AL256" s="167">
        <f>+AL251*AL259</f>
        <v>0</v>
      </c>
      <c r="AM256" s="167">
        <f>+AM251*AM259</f>
        <v>2400</v>
      </c>
      <c r="AN256" s="167">
        <f>+AN251*AN259</f>
        <v>6400</v>
      </c>
      <c r="AO256" s="249">
        <f>+AK256+AL256+AM256+AN256</f>
        <v>8800</v>
      </c>
      <c r="AP256" s="330">
        <v>9000</v>
      </c>
      <c r="AQ256" s="330">
        <v>16000</v>
      </c>
      <c r="AR256" s="330">
        <v>24000</v>
      </c>
      <c r="AS256" s="330">
        <v>38000</v>
      </c>
      <c r="AT256" s="249">
        <f>+AP256+AQ256+AR256+AS256</f>
        <v>87000</v>
      </c>
      <c r="AU256" s="386">
        <f>+AU251*AU259</f>
        <v>43713.342551144451</v>
      </c>
      <c r="AV256" s="167">
        <f>+AV251*AV259</f>
        <v>48891.154395585145</v>
      </c>
      <c r="AW256" s="167">
        <f>+AW251*AW259</f>
        <v>72317.647651004503</v>
      </c>
      <c r="AX256" s="167">
        <f>+AX251*AX259</f>
        <v>90661.650303913251</v>
      </c>
      <c r="AY256" s="249">
        <f>+AU256+AV256+AW256+AX256</f>
        <v>255583.79490164734</v>
      </c>
      <c r="AZ256" s="167">
        <f>+AZ251*AZ259</f>
        <v>109768.34716386186</v>
      </c>
      <c r="BA256" s="167">
        <f>+BA251*BA259</f>
        <v>131816.6764321884</v>
      </c>
      <c r="BB256" s="167">
        <f>+BB251*BB259</f>
        <v>146284.35517256381</v>
      </c>
      <c r="BC256" s="167">
        <f>+BC251*BC259</f>
        <v>166935.08533499896</v>
      </c>
      <c r="BD256" s="249">
        <f>+AZ256+BA256+BB256+BC256</f>
        <v>554804.46410361305</v>
      </c>
      <c r="BE256" s="167">
        <f>+BE251*BE259</f>
        <v>186653.30483603186</v>
      </c>
      <c r="BF256" s="167">
        <f>+BF251*BF259</f>
        <v>199877.88118979847</v>
      </c>
      <c r="BG256" s="167">
        <f>+BG251*BG259</f>
        <v>212280.36862074322</v>
      </c>
      <c r="BH256" s="167">
        <f>+BH251*BH259</f>
        <v>223818.78458414917</v>
      </c>
      <c r="BI256" s="249">
        <f>+BE256+BF256+BG256+BH256</f>
        <v>822630.33923072263</v>
      </c>
      <c r="BJ256" s="167">
        <f>+BJ251*BJ259</f>
        <v>232284.92386743275</v>
      </c>
      <c r="BK256" s="167">
        <f>+BK251*BK259</f>
        <v>244138.48966650272</v>
      </c>
      <c r="BL256" s="167">
        <f>+BL251*BL259</f>
        <v>254864.09294000812</v>
      </c>
      <c r="BM256" s="167">
        <f>+BM251*BM259</f>
        <v>264431.44789339585</v>
      </c>
      <c r="BN256" s="249">
        <f>+BJ256+BK256+BL256+BM256</f>
        <v>995718.95436733938</v>
      </c>
      <c r="BO256" s="167">
        <f>+BO251*BO259</f>
        <v>271427.14114747173</v>
      </c>
      <c r="BP256" s="167">
        <f>+BP251*BP259</f>
        <v>278585.64247069409</v>
      </c>
      <c r="BQ256" s="167">
        <f>+BQ251*BQ259</f>
        <v>284553.82821846136</v>
      </c>
      <c r="BR256" s="167">
        <f>+BR251*BR259</f>
        <v>287288.27569172479</v>
      </c>
      <c r="BS256" s="249">
        <f>+BO256+BP256+BQ256+BR256</f>
        <v>1121854.887528352</v>
      </c>
      <c r="BT256" s="167">
        <f>+BT251*BT259</f>
        <v>281657.03207417321</v>
      </c>
      <c r="BU256" s="167">
        <f>+BU251*BU259</f>
        <v>282486.33031109086</v>
      </c>
      <c r="BV256" s="167">
        <f>+BV251*BV259</f>
        <v>282437.84099774994</v>
      </c>
      <c r="BW256" s="167">
        <f>+BW251*BW259</f>
        <v>281543.88421522517</v>
      </c>
      <c r="BX256" s="249">
        <f>+BT256+BU256+BV256+BW256</f>
        <v>1128125.0875982393</v>
      </c>
      <c r="BY256" s="167">
        <f>+BY251*BY259</f>
        <v>272476.44267974905</v>
      </c>
      <c r="BZ256" s="167">
        <f>+BZ251*BZ259</f>
        <v>270068.73380359227</v>
      </c>
      <c r="CA256" s="167">
        <f>+CA251*CA259</f>
        <v>266953.31815272139</v>
      </c>
      <c r="CB256" s="167">
        <f>+CB251*CB259</f>
        <v>263174.34313314105</v>
      </c>
      <c r="CC256" s="249">
        <f>+BY256+BZ256+CA256+CB256</f>
        <v>1072672.8377692038</v>
      </c>
      <c r="CD256" s="167">
        <f>+CD251*CD259</f>
        <v>251784.0565221631</v>
      </c>
      <c r="CE256" s="167">
        <f>+CE251*CE259</f>
        <v>246952.58396702667</v>
      </c>
      <c r="CF256" s="167">
        <f>+CF251*CF259</f>
        <v>241614.92482340618</v>
      </c>
      <c r="CG256" s="167">
        <f>+CG251*CG259</f>
        <v>235819.68472538539</v>
      </c>
      <c r="CH256" s="249">
        <f>+CD256+CE256+CF256+CG256</f>
        <v>976171.25003798131</v>
      </c>
      <c r="CI256" s="167">
        <f>+CI251*CI259</f>
        <v>223237.63578600445</v>
      </c>
      <c r="CJ256" s="167">
        <f>+CJ251*CJ259</f>
        <v>216856.52072199466</v>
      </c>
      <c r="CK256" s="167">
        <f>+CK251*CK259</f>
        <v>210173.06218436366</v>
      </c>
      <c r="CL256" s="167">
        <f>+CL251*CL259</f>
        <v>203233.83502923432</v>
      </c>
      <c r="CM256" s="249">
        <f>+CI256+CJ256+CK256+CL256</f>
        <v>853501.05372159707</v>
      </c>
    </row>
    <row r="257" spans="1:93">
      <c r="A257" s="139" t="s">
        <v>291</v>
      </c>
      <c r="B257" s="232" t="s">
        <v>294</v>
      </c>
      <c r="C257" s="232" t="s">
        <v>294</v>
      </c>
      <c r="D257" s="232" t="s">
        <v>294</v>
      </c>
      <c r="E257" s="232" t="s">
        <v>294</v>
      </c>
      <c r="F257" s="239" t="s">
        <v>294</v>
      </c>
      <c r="G257" s="232" t="s">
        <v>294</v>
      </c>
      <c r="H257" s="232" t="s">
        <v>294</v>
      </c>
      <c r="I257" s="232" t="s">
        <v>294</v>
      </c>
      <c r="J257" s="232" t="s">
        <v>294</v>
      </c>
      <c r="K257" s="239" t="s">
        <v>294</v>
      </c>
      <c r="L257" s="232" t="s">
        <v>294</v>
      </c>
      <c r="M257" s="232" t="s">
        <v>294</v>
      </c>
      <c r="N257" s="232" t="s">
        <v>294</v>
      </c>
      <c r="O257" s="232" t="s">
        <v>294</v>
      </c>
      <c r="P257" s="239" t="s">
        <v>294</v>
      </c>
      <c r="Q257" s="232" t="s">
        <v>294</v>
      </c>
      <c r="R257" s="232" t="s">
        <v>294</v>
      </c>
      <c r="S257" s="232" t="s">
        <v>294</v>
      </c>
      <c r="T257" s="232" t="s">
        <v>294</v>
      </c>
      <c r="U257" s="239" t="s">
        <v>294</v>
      </c>
      <c r="V257" s="232" t="s">
        <v>294</v>
      </c>
      <c r="W257" s="232" t="s">
        <v>294</v>
      </c>
      <c r="X257" s="232" t="s">
        <v>294</v>
      </c>
      <c r="Y257" s="232" t="s">
        <v>294</v>
      </c>
      <c r="Z257" s="239" t="s">
        <v>294</v>
      </c>
      <c r="AA257" s="232" t="s">
        <v>294</v>
      </c>
      <c r="AB257" s="232" t="s">
        <v>294</v>
      </c>
      <c r="AC257" s="232" t="s">
        <v>294</v>
      </c>
      <c r="AD257" s="232" t="s">
        <v>294</v>
      </c>
      <c r="AE257" s="239" t="s">
        <v>294</v>
      </c>
      <c r="AF257" s="232" t="s">
        <v>294</v>
      </c>
      <c r="AG257" s="232" t="s">
        <v>294</v>
      </c>
      <c r="AH257" s="232" t="s">
        <v>294</v>
      </c>
      <c r="AI257" s="232" t="s">
        <v>294</v>
      </c>
      <c r="AJ257" s="239" t="s">
        <v>294</v>
      </c>
      <c r="AK257" s="157" t="s">
        <v>294</v>
      </c>
      <c r="AL257" s="157" t="s">
        <v>294</v>
      </c>
      <c r="AM257" s="157" t="s">
        <v>294</v>
      </c>
      <c r="AN257" s="157" t="s">
        <v>294</v>
      </c>
      <c r="AO257" s="257" t="s">
        <v>294</v>
      </c>
      <c r="AP257" s="157" t="s">
        <v>294</v>
      </c>
      <c r="AQ257" s="157" t="s">
        <v>294</v>
      </c>
      <c r="AR257" s="157">
        <f t="shared" ref="AR257" si="3769">+AR256/AM256-1</f>
        <v>9</v>
      </c>
      <c r="AS257" s="19">
        <f t="shared" ref="AS257" si="3770">+AS256/AN256-1</f>
        <v>4.9375</v>
      </c>
      <c r="AT257" s="259">
        <f>+AT256/AO256-1</f>
        <v>8.8863636363636367</v>
      </c>
      <c r="AU257" s="379">
        <f t="shared" ref="AU257" si="3771">+AU256/AP256-1</f>
        <v>3.8570380612382724</v>
      </c>
      <c r="AV257" s="19">
        <f t="shared" ref="AV257" si="3772">+AV256/AQ256-1</f>
        <v>2.0556971497240717</v>
      </c>
      <c r="AW257" s="19">
        <f t="shared" ref="AW257" si="3773">+AW256/AR256-1</f>
        <v>2.0132353187918541</v>
      </c>
      <c r="AX257" s="19">
        <f t="shared" ref="AX257" si="3774">+AX256/AS256-1</f>
        <v>1.3858329027345593</v>
      </c>
      <c r="AY257" s="259">
        <f>+AY256/AT256-1</f>
        <v>1.937744768984452</v>
      </c>
      <c r="AZ257" s="19">
        <f t="shared" ref="AZ257" si="3775">+AZ256/AU256-1</f>
        <v>1.5110947998413367</v>
      </c>
      <c r="BA257" s="19">
        <f t="shared" ref="BA257" si="3776">+BA256/AV256-1</f>
        <v>1.6961252615481586</v>
      </c>
      <c r="BB257" s="19">
        <f t="shared" ref="BB257" si="3777">+BB256/AW256-1</f>
        <v>1.0228030076215</v>
      </c>
      <c r="BC257" s="19">
        <f t="shared" ref="BC257" si="3778">+BC256/AX256-1</f>
        <v>0.84129766858869437</v>
      </c>
      <c r="BD257" s="259">
        <f>+BD256/AY256-1</f>
        <v>1.1707341199668413</v>
      </c>
      <c r="BE257" s="19">
        <f t="shared" ref="BE257" si="3779">+BE256/AZ256-1</f>
        <v>0.70042921897508714</v>
      </c>
      <c r="BF257" s="19">
        <f t="shared" ref="BF257" si="3780">+BF256/BA256-1</f>
        <v>0.51633227752198252</v>
      </c>
      <c r="BG257" s="19">
        <f t="shared" ref="BG257" si="3781">+BG256/BB256-1</f>
        <v>0.45114881471998469</v>
      </c>
      <c r="BH257" s="19">
        <f t="shared" ref="BH257" si="3782">+BH256/BC256-1</f>
        <v>0.34075340803880838</v>
      </c>
      <c r="BI257" s="259">
        <f>+BI256/BD256-1</f>
        <v>0.48273922157391214</v>
      </c>
      <c r="BJ257" s="19">
        <f t="shared" ref="BJ257" si="3783">+BJ256/BE256-1</f>
        <v>0.24447260160481266</v>
      </c>
      <c r="BK257" s="19">
        <f t="shared" ref="BK257" si="3784">+BK256/BF256-1</f>
        <v>0.22143825126240757</v>
      </c>
      <c r="BL257" s="19">
        <f t="shared" ref="BL257" si="3785">+BL256/BG256-1</f>
        <v>0.2006013301933931</v>
      </c>
      <c r="BM257" s="19">
        <f t="shared" ref="BM257" si="3786">+BM256/BH256-1</f>
        <v>0.18145332789964086</v>
      </c>
      <c r="BN257" s="259">
        <f>+BN256/BI256-1</f>
        <v>0.21040874239877838</v>
      </c>
      <c r="BO257" s="19">
        <f t="shared" ref="BO257" si="3787">+BO256/BJ256-1</f>
        <v>0.16850950388143926</v>
      </c>
      <c r="BP257" s="19">
        <f t="shared" ref="BP257" si="3788">+BP256/BK256-1</f>
        <v>0.14109677196433368</v>
      </c>
      <c r="BQ257" s="19">
        <f t="shared" ref="BQ257" si="3789">+BQ256/BL256-1</f>
        <v>0.11649242125857984</v>
      </c>
      <c r="BR257" s="19">
        <f t="shared" ref="BR257" si="3790">+BR256/BM256-1</f>
        <v>8.6437630548177324E-2</v>
      </c>
      <c r="BS257" s="259">
        <f>+BS256/BN256-1</f>
        <v>0.12667824852360776</v>
      </c>
      <c r="BT257" s="19">
        <f t="shared" ref="BT257" si="3791">+BT256/BO256-1</f>
        <v>3.7689270437194056E-2</v>
      </c>
      <c r="BU257" s="19">
        <f t="shared" ref="BU257" si="3792">+BU256/BP256-1</f>
        <v>1.400175474156784E-2</v>
      </c>
      <c r="BV257" s="19">
        <f t="shared" ref="BV257" si="3793">+BV256/BQ256-1</f>
        <v>-7.4361579809318901E-3</v>
      </c>
      <c r="BW257" s="19">
        <f t="shared" ref="BW257" si="3794">+BW256/BR256-1</f>
        <v>-1.9995217217508854E-2</v>
      </c>
      <c r="BX257" s="259">
        <f>+BX256/BS256-1</f>
        <v>5.5891364735252136E-3</v>
      </c>
      <c r="BY257" s="19">
        <f t="shared" ref="BY257" si="3795">+BY256/BT256-1</f>
        <v>-3.2594923431581546E-2</v>
      </c>
      <c r="BZ257" s="19">
        <f t="shared" ref="BZ257" si="3796">+BZ256/BU256-1</f>
        <v>-4.3958220894524613E-2</v>
      </c>
      <c r="CA257" s="19">
        <f t="shared" ref="CA257" si="3797">+CA256/BV256-1</f>
        <v>-5.4824533392293984E-2</v>
      </c>
      <c r="CB257" s="19">
        <f t="shared" ref="CB257" si="3798">+CB256/BW256-1</f>
        <v>-6.5245747153369504E-2</v>
      </c>
      <c r="CC257" s="259">
        <f>+CC256/BX256-1</f>
        <v>-4.9154345062117577E-2</v>
      </c>
      <c r="CD257" s="19">
        <f t="shared" ref="CD257" si="3799">+CD256/BY256-1</f>
        <v>-7.5941927140859011E-2</v>
      </c>
      <c r="CE257" s="19">
        <f t="shared" ref="CE257" si="3800">+CE256/BZ256-1</f>
        <v>-8.5593580237899092E-2</v>
      </c>
      <c r="CF257" s="19">
        <f t="shared" ref="CF257" si="3801">+CF256/CA256-1</f>
        <v>-9.4916944672773673E-2</v>
      </c>
      <c r="CG257" s="19">
        <f t="shared" ref="CG257" si="3802">+CG256/CB256-1</f>
        <v>-0.10394120521815764</v>
      </c>
      <c r="CH257" s="259">
        <f>+CH256/CC256-1</f>
        <v>-8.9963672364365199E-2</v>
      </c>
      <c r="CI257" s="19">
        <f t="shared" ref="CI257" si="3803">+CI256/CD256-1</f>
        <v>-0.11337660188045251</v>
      </c>
      <c r="CJ257" s="19">
        <f>+CJ256/CE256-1</f>
        <v>-0.12186980497053823</v>
      </c>
      <c r="CK257" s="19">
        <f t="shared" ref="CK257" si="3804">+CK256/CF256-1</f>
        <v>-0.13013212102697314</v>
      </c>
      <c r="CL257" s="19">
        <f t="shared" ref="CL257" si="3805">+CL256/CG256-1</f>
        <v>-0.1381812113526385</v>
      </c>
      <c r="CM257" s="259">
        <f>+CM256/CH256-1</f>
        <v>-0.12566462729937122</v>
      </c>
    </row>
    <row r="258" spans="1:93">
      <c r="A258" s="139" t="s">
        <v>292</v>
      </c>
      <c r="B258" s="232" t="s">
        <v>294</v>
      </c>
      <c r="C258" s="232" t="s">
        <v>294</v>
      </c>
      <c r="D258" s="232" t="s">
        <v>294</v>
      </c>
      <c r="E258" s="232" t="s">
        <v>294</v>
      </c>
      <c r="F258" s="239" t="s">
        <v>294</v>
      </c>
      <c r="G258" s="232" t="s">
        <v>294</v>
      </c>
      <c r="H258" s="232" t="s">
        <v>294</v>
      </c>
      <c r="I258" s="232" t="s">
        <v>294</v>
      </c>
      <c r="J258" s="232" t="s">
        <v>294</v>
      </c>
      <c r="K258" s="239" t="s">
        <v>294</v>
      </c>
      <c r="L258" s="232" t="s">
        <v>294</v>
      </c>
      <c r="M258" s="232" t="s">
        <v>294</v>
      </c>
      <c r="N258" s="232" t="s">
        <v>294</v>
      </c>
      <c r="O258" s="232" t="s">
        <v>294</v>
      </c>
      <c r="P258" s="239" t="s">
        <v>294</v>
      </c>
      <c r="Q258" s="232" t="s">
        <v>294</v>
      </c>
      <c r="R258" s="232" t="s">
        <v>294</v>
      </c>
      <c r="S258" s="232" t="s">
        <v>294</v>
      </c>
      <c r="T258" s="232" t="s">
        <v>294</v>
      </c>
      <c r="U258" s="239" t="s">
        <v>294</v>
      </c>
      <c r="V258" s="232" t="s">
        <v>294</v>
      </c>
      <c r="W258" s="232" t="s">
        <v>294</v>
      </c>
      <c r="X258" s="232" t="s">
        <v>294</v>
      </c>
      <c r="Y258" s="232" t="s">
        <v>294</v>
      </c>
      <c r="Z258" s="239" t="s">
        <v>294</v>
      </c>
      <c r="AA258" s="232" t="s">
        <v>294</v>
      </c>
      <c r="AB258" s="232" t="s">
        <v>294</v>
      </c>
      <c r="AC258" s="232" t="s">
        <v>294</v>
      </c>
      <c r="AD258" s="232" t="s">
        <v>294</v>
      </c>
      <c r="AE258" s="239" t="s">
        <v>294</v>
      </c>
      <c r="AF258" s="232" t="s">
        <v>294</v>
      </c>
      <c r="AG258" s="232" t="s">
        <v>294</v>
      </c>
      <c r="AH258" s="232" t="s">
        <v>294</v>
      </c>
      <c r="AI258" s="232" t="s">
        <v>294</v>
      </c>
      <c r="AJ258" s="239" t="s">
        <v>294</v>
      </c>
      <c r="AK258" s="147" t="s">
        <v>294</v>
      </c>
      <c r="AL258" s="232" t="s">
        <v>294</v>
      </c>
      <c r="AM258" s="232" t="s">
        <v>294</v>
      </c>
      <c r="AN258" s="19">
        <f t="shared" ref="AN258" si="3806">+AN256/AM256-1</f>
        <v>1.6666666666666665</v>
      </c>
      <c r="AO258" s="251" t="s">
        <v>294</v>
      </c>
      <c r="AP258" s="19">
        <f>+AP256/AN256-1</f>
        <v>0.40625</v>
      </c>
      <c r="AQ258" s="158">
        <f>+AQ256/AP256-1</f>
        <v>0.77777777777777768</v>
      </c>
      <c r="AR258" s="158">
        <f>+AR256/AQ256-1</f>
        <v>0.5</v>
      </c>
      <c r="AS258" s="19">
        <f>+AS256/AR256-1</f>
        <v>0.58333333333333326</v>
      </c>
      <c r="AT258" s="251" t="s">
        <v>294</v>
      </c>
      <c r="AU258" s="379">
        <f>+AU256/AS256-1</f>
        <v>0.15035111976695914</v>
      </c>
      <c r="AV258" s="19">
        <f>+AV256/AU256-1</f>
        <v>0.11844923179650868</v>
      </c>
      <c r="AW258" s="19">
        <f t="shared" ref="AW258" si="3807">+AW256/AV256-1</f>
        <v>0.47915606708469882</v>
      </c>
      <c r="AX258" s="19">
        <f t="shared" ref="AX258" si="3808">+AX256/AW256-1</f>
        <v>0.25365872990552041</v>
      </c>
      <c r="AY258" s="251" t="s">
        <v>294</v>
      </c>
      <c r="AZ258" s="19">
        <f>+AZ256/AX256-1</f>
        <v>0.21074728725872216</v>
      </c>
      <c r="BA258" s="19">
        <f>+BA256/AZ256-1</f>
        <v>0.2008623600336521</v>
      </c>
      <c r="BB258" s="19">
        <f t="shared" ref="BB258" si="3809">+BB256/BA256-1</f>
        <v>0.10975605767012442</v>
      </c>
      <c r="BC258" s="19">
        <f t="shared" ref="BC258" si="3810">+BC256/BB256-1</f>
        <v>0.14116841228902843</v>
      </c>
      <c r="BD258" s="251" t="s">
        <v>294</v>
      </c>
      <c r="BE258" s="19">
        <f>+BE256/BC256-1</f>
        <v>0.11811908480151501</v>
      </c>
      <c r="BF258" s="19">
        <f>+BF256/BE256-1</f>
        <v>7.0851016355611307E-2</v>
      </c>
      <c r="BG258" s="19">
        <f t="shared" ref="BG258" si="3811">+BG256/BF256-1</f>
        <v>6.2050324713857075E-2</v>
      </c>
      <c r="BH258" s="19">
        <f t="shared" ref="BH258" si="3812">+BH256/BG256-1</f>
        <v>5.4354606779585479E-2</v>
      </c>
      <c r="BI258" s="251" t="s">
        <v>294</v>
      </c>
      <c r="BJ258" s="19">
        <f>+BJ256/BH256-1</f>
        <v>3.7825865684211868E-2</v>
      </c>
      <c r="BK258" s="19">
        <f>+BK256/BJ256-1</f>
        <v>5.103028471118054E-2</v>
      </c>
      <c r="BL258" s="19">
        <f t="shared" ref="BL258" si="3813">+BL256/BK256-1</f>
        <v>4.3932455255853986E-2</v>
      </c>
      <c r="BM258" s="19">
        <f t="shared" ref="BM258" si="3814">+BM256/BL256-1</f>
        <v>3.7539046175640634E-2</v>
      </c>
      <c r="BN258" s="251" t="s">
        <v>294</v>
      </c>
      <c r="BO258" s="19">
        <f>+BO256/BM256-1</f>
        <v>2.6455602424777291E-2</v>
      </c>
      <c r="BP258" s="19">
        <f>+BP256/BO256-1</f>
        <v>2.6373564902019142E-2</v>
      </c>
      <c r="BQ258" s="19">
        <f t="shared" ref="BQ258" si="3815">+BQ256/BP256-1</f>
        <v>2.1423163429519221E-2</v>
      </c>
      <c r="BR258" s="19">
        <f t="shared" ref="BR258" si="3816">+BR256/BQ256-1</f>
        <v>9.6095965054601162E-3</v>
      </c>
      <c r="BS258" s="251" t="s">
        <v>294</v>
      </c>
      <c r="BT258" s="19">
        <f>+BT256/BR256-1</f>
        <v>-1.9601369404974256E-2</v>
      </c>
      <c r="BU258" s="19">
        <f>+BU256/BT256-1</f>
        <v>2.9443548091470095E-3</v>
      </c>
      <c r="BV258" s="19">
        <f t="shared" ref="BV258" si="3817">+BV256/BU256-1</f>
        <v>-1.7165189298729011E-4</v>
      </c>
      <c r="BW258" s="19">
        <f t="shared" ref="BW258" si="3818">+BW256/BV256-1</f>
        <v>-3.1651452205084807E-3</v>
      </c>
      <c r="BX258" s="251" t="s">
        <v>294</v>
      </c>
      <c r="BY258" s="19">
        <f>+BY256/BW256-1</f>
        <v>-3.2206139233855846E-2</v>
      </c>
      <c r="BZ258" s="19">
        <f>+BZ256/BY256-1</f>
        <v>-8.8363927996030212E-3</v>
      </c>
      <c r="CA258" s="19">
        <f t="shared" ref="CA258" si="3819">+CA256/BZ256-1</f>
        <v>-1.1535639860986602E-2</v>
      </c>
      <c r="CB258" s="19">
        <f t="shared" ref="CB258" si="3820">+CB256/CA256-1</f>
        <v>-1.4155939494329139E-2</v>
      </c>
      <c r="CC258" s="251" t="s">
        <v>294</v>
      </c>
      <c r="CD258" s="19">
        <f>+CD256/CB256-1</f>
        <v>-4.3280383928670285E-2</v>
      </c>
      <c r="CE258" s="19">
        <f>+CE256/CD256-1</f>
        <v>-1.9188953509894469E-2</v>
      </c>
      <c r="CF258" s="19">
        <f t="shared" ref="CF258" si="3821">+CF256/CE256-1</f>
        <v>-2.1614105258089489E-2</v>
      </c>
      <c r="CG258" s="19">
        <f t="shared" ref="CG258" si="3822">+CG256/CF256-1</f>
        <v>-2.3985439236655082E-2</v>
      </c>
      <c r="CH258" s="251" t="s">
        <v>294</v>
      </c>
      <c r="CI258" s="19">
        <f>+CI256/CG256-1</f>
        <v>-5.3354532103767616E-2</v>
      </c>
      <c r="CJ258" s="19">
        <f>+CJ256/CI256-1</f>
        <v>-2.8584405320107975E-2</v>
      </c>
      <c r="CK258" s="19">
        <f t="shared" ref="CK258" si="3823">+CK256/CJ256-1</f>
        <v>-3.0819725943122767E-2</v>
      </c>
      <c r="CL258" s="19">
        <f t="shared" ref="CL258" si="3824">+CL256/CK256-1</f>
        <v>-3.3016729560909397E-2</v>
      </c>
      <c r="CM258" s="251" t="s">
        <v>294</v>
      </c>
    </row>
    <row r="259" spans="1:93">
      <c r="A259" s="139" t="s">
        <v>345</v>
      </c>
      <c r="B259" s="232" t="s">
        <v>294</v>
      </c>
      <c r="C259" s="232" t="s">
        <v>294</v>
      </c>
      <c r="D259" s="232" t="s">
        <v>294</v>
      </c>
      <c r="E259" s="232" t="s">
        <v>294</v>
      </c>
      <c r="F259" s="239" t="s">
        <v>294</v>
      </c>
      <c r="G259" s="232" t="s">
        <v>294</v>
      </c>
      <c r="H259" s="232" t="s">
        <v>294</v>
      </c>
      <c r="I259" s="232" t="s">
        <v>294</v>
      </c>
      <c r="J259" s="232" t="s">
        <v>294</v>
      </c>
      <c r="K259" s="239" t="s">
        <v>294</v>
      </c>
      <c r="L259" s="232" t="s">
        <v>294</v>
      </c>
      <c r="M259" s="232" t="s">
        <v>294</v>
      </c>
      <c r="N259" s="232" t="s">
        <v>294</v>
      </c>
      <c r="O259" s="232" t="s">
        <v>294</v>
      </c>
      <c r="P259" s="239" t="s">
        <v>294</v>
      </c>
      <c r="Q259" s="232" t="s">
        <v>294</v>
      </c>
      <c r="R259" s="232" t="s">
        <v>294</v>
      </c>
      <c r="S259" s="232" t="s">
        <v>294</v>
      </c>
      <c r="T259" s="232" t="s">
        <v>294</v>
      </c>
      <c r="U259" s="239" t="s">
        <v>294</v>
      </c>
      <c r="V259" s="232" t="s">
        <v>294</v>
      </c>
      <c r="W259" s="232" t="s">
        <v>294</v>
      </c>
      <c r="X259" s="232" t="s">
        <v>294</v>
      </c>
      <c r="Y259" s="232" t="s">
        <v>294</v>
      </c>
      <c r="Z259" s="239" t="s">
        <v>294</v>
      </c>
      <c r="AA259" s="232" t="s">
        <v>294</v>
      </c>
      <c r="AB259" s="232" t="s">
        <v>294</v>
      </c>
      <c r="AC259" s="232" t="s">
        <v>294</v>
      </c>
      <c r="AD259" s="232" t="s">
        <v>294</v>
      </c>
      <c r="AE259" s="239" t="s">
        <v>294</v>
      </c>
      <c r="AF259" s="232" t="s">
        <v>294</v>
      </c>
      <c r="AG259" s="232" t="s">
        <v>294</v>
      </c>
      <c r="AH259" s="232" t="s">
        <v>294</v>
      </c>
      <c r="AI259" s="232" t="s">
        <v>294</v>
      </c>
      <c r="AJ259" s="239" t="s">
        <v>294</v>
      </c>
      <c r="AK259" s="164">
        <v>1</v>
      </c>
      <c r="AL259" s="164">
        <v>1</v>
      </c>
      <c r="AM259" s="164">
        <v>1</v>
      </c>
      <c r="AN259" s="164">
        <v>1</v>
      </c>
      <c r="AO259" s="259">
        <f>+AO256/AO251</f>
        <v>1</v>
      </c>
      <c r="AP259" s="164">
        <v>1</v>
      </c>
      <c r="AQ259" s="164">
        <v>1</v>
      </c>
      <c r="AR259" s="164">
        <v>1</v>
      </c>
      <c r="AS259" s="164">
        <v>1</v>
      </c>
      <c r="AT259" s="259">
        <f>+AT256/AT251</f>
        <v>1</v>
      </c>
      <c r="AU259" s="400">
        <v>1</v>
      </c>
      <c r="AV259" s="164">
        <v>1</v>
      </c>
      <c r="AW259" s="164">
        <v>1</v>
      </c>
      <c r="AX259" s="164">
        <v>1</v>
      </c>
      <c r="AY259" s="259">
        <f>+AY256/AY251</f>
        <v>1</v>
      </c>
      <c r="AZ259" s="164">
        <v>1</v>
      </c>
      <c r="BA259" s="164">
        <v>1</v>
      </c>
      <c r="BB259" s="164">
        <v>1</v>
      </c>
      <c r="BC259" s="164">
        <v>1</v>
      </c>
      <c r="BD259" s="259">
        <f>+BD256/BD251</f>
        <v>1</v>
      </c>
      <c r="BE259" s="332">
        <v>1</v>
      </c>
      <c r="BF259" s="332">
        <v>1</v>
      </c>
      <c r="BG259" s="332">
        <v>1</v>
      </c>
      <c r="BH259" s="332">
        <v>1</v>
      </c>
      <c r="BI259" s="259">
        <f>+BI256/BI251</f>
        <v>1</v>
      </c>
      <c r="BJ259" s="60">
        <v>0.98</v>
      </c>
      <c r="BK259" s="60">
        <f>BJ259</f>
        <v>0.98</v>
      </c>
      <c r="BL259" s="60">
        <f t="shared" ref="BL259:BM259" si="3825">BK259</f>
        <v>0.98</v>
      </c>
      <c r="BM259" s="60">
        <f t="shared" si="3825"/>
        <v>0.98</v>
      </c>
      <c r="BN259" s="259">
        <f>+BN256/BN251</f>
        <v>0.98</v>
      </c>
      <c r="BO259" s="60">
        <v>0.97499999999999998</v>
      </c>
      <c r="BP259" s="60">
        <f>BO259</f>
        <v>0.97499999999999998</v>
      </c>
      <c r="BQ259" s="60">
        <f>BP259</f>
        <v>0.97499999999999998</v>
      </c>
      <c r="BR259" s="60">
        <f>BQ259</f>
        <v>0.97499999999999998</v>
      </c>
      <c r="BS259" s="259">
        <f>+BS256/BS251</f>
        <v>0.97499999999999998</v>
      </c>
      <c r="BT259" s="60">
        <f>BR259-2.5%</f>
        <v>0.95</v>
      </c>
      <c r="BU259" s="60">
        <f>BT259</f>
        <v>0.95</v>
      </c>
      <c r="BV259" s="60">
        <f>BU259</f>
        <v>0.95</v>
      </c>
      <c r="BW259" s="60">
        <f>BV259</f>
        <v>0.95</v>
      </c>
      <c r="BX259" s="259">
        <f>+BX256/BX251</f>
        <v>0.95</v>
      </c>
      <c r="BY259" s="60">
        <f>BW259-2.5%</f>
        <v>0.92499999999999993</v>
      </c>
      <c r="BZ259" s="60">
        <f>BY259</f>
        <v>0.92499999999999993</v>
      </c>
      <c r="CA259" s="60">
        <f>BZ259</f>
        <v>0.92499999999999993</v>
      </c>
      <c r="CB259" s="60">
        <f>CA259</f>
        <v>0.92499999999999993</v>
      </c>
      <c r="CC259" s="259">
        <f>+CC256/CC251</f>
        <v>0.92500000000000004</v>
      </c>
      <c r="CD259" s="60">
        <f>CB259-2.5%</f>
        <v>0.89999999999999991</v>
      </c>
      <c r="CE259" s="60">
        <f>CD259</f>
        <v>0.89999999999999991</v>
      </c>
      <c r="CF259" s="60">
        <f>CE259</f>
        <v>0.89999999999999991</v>
      </c>
      <c r="CG259" s="60">
        <f>CF259</f>
        <v>0.89999999999999991</v>
      </c>
      <c r="CH259" s="259">
        <f>+CH256/CH251</f>
        <v>0.89999999999999991</v>
      </c>
      <c r="CI259" s="60">
        <f>CG259-2.5%</f>
        <v>0.87499999999999989</v>
      </c>
      <c r="CJ259" s="60">
        <f>CI259</f>
        <v>0.87499999999999989</v>
      </c>
      <c r="CK259" s="60">
        <f>CJ259</f>
        <v>0.87499999999999989</v>
      </c>
      <c r="CL259" s="60">
        <f>CK259</f>
        <v>0.87499999999999989</v>
      </c>
      <c r="CM259" s="259">
        <f>+CM256/CM251</f>
        <v>0.87499999999999989</v>
      </c>
    </row>
    <row r="260" spans="1:93">
      <c r="F260" s="240"/>
      <c r="K260" s="240"/>
      <c r="P260" s="240"/>
      <c r="U260" s="240"/>
      <c r="Z260" s="240"/>
      <c r="AE260" s="240"/>
      <c r="AJ260" s="240"/>
      <c r="AO260" s="240"/>
      <c r="AT260" s="240"/>
      <c r="AU260" s="374"/>
      <c r="AY260" s="240"/>
      <c r="BD260" s="240"/>
      <c r="BI260" s="240"/>
      <c r="BN260" s="240"/>
      <c r="BS260" s="240"/>
      <c r="BX260" s="240"/>
      <c r="CC260" s="240"/>
      <c r="CH260" s="240"/>
      <c r="CM260" s="240"/>
    </row>
    <row r="261" spans="1:93" s="230" customFormat="1">
      <c r="A261" s="178" t="s">
        <v>352</v>
      </c>
      <c r="B261" s="178"/>
      <c r="C261" s="178"/>
      <c r="D261" s="178"/>
      <c r="E261" s="178"/>
      <c r="F261" s="238"/>
      <c r="G261" s="178"/>
      <c r="H261" s="178"/>
      <c r="I261" s="178"/>
      <c r="J261" s="178"/>
      <c r="K261" s="238"/>
      <c r="L261" s="178"/>
      <c r="M261" s="178"/>
      <c r="N261" s="178"/>
      <c r="O261" s="178"/>
      <c r="P261" s="238"/>
      <c r="Q261" s="178"/>
      <c r="R261" s="178"/>
      <c r="S261" s="178"/>
      <c r="T261" s="178"/>
      <c r="U261" s="238"/>
      <c r="V261" s="178"/>
      <c r="W261" s="178"/>
      <c r="X261" s="178"/>
      <c r="Y261" s="178"/>
      <c r="Z261" s="238"/>
      <c r="AA261" s="178"/>
      <c r="AB261" s="178"/>
      <c r="AC261" s="178"/>
      <c r="AD261" s="178"/>
      <c r="AE261" s="238"/>
      <c r="AF261" s="178"/>
      <c r="AG261" s="178"/>
      <c r="AH261" s="178"/>
      <c r="AI261" s="178"/>
      <c r="AJ261" s="238"/>
      <c r="AK261" s="178"/>
      <c r="AL261" s="178"/>
      <c r="AM261" s="178"/>
      <c r="AN261" s="178"/>
      <c r="AO261" s="238"/>
      <c r="AP261" s="178"/>
      <c r="AQ261" s="178"/>
      <c r="AR261" s="178"/>
      <c r="AS261" s="178"/>
      <c r="AT261" s="238"/>
      <c r="AU261" s="178"/>
      <c r="AV261" s="178"/>
      <c r="AW261" s="178"/>
      <c r="AX261" s="178"/>
      <c r="AY261" s="238"/>
      <c r="AZ261" s="178"/>
      <c r="BA261" s="178"/>
      <c r="BB261" s="178"/>
      <c r="BC261" s="178"/>
      <c r="BD261" s="238"/>
      <c r="BE261" s="178"/>
      <c r="BF261" s="178"/>
      <c r="BG261" s="178"/>
      <c r="BH261" s="178"/>
      <c r="BI261" s="238"/>
      <c r="BJ261" s="178"/>
      <c r="BK261" s="178"/>
      <c r="BL261" s="178"/>
      <c r="BM261" s="178"/>
      <c r="BN261" s="238"/>
      <c r="BO261" s="178"/>
      <c r="BP261" s="178"/>
      <c r="BQ261" s="178"/>
      <c r="BR261" s="178"/>
      <c r="BS261" s="238"/>
      <c r="BT261" s="178"/>
      <c r="BU261" s="178"/>
      <c r="BV261" s="178"/>
      <c r="BW261" s="178"/>
      <c r="BX261" s="238"/>
      <c r="BY261" s="178"/>
      <c r="BZ261" s="178"/>
      <c r="CA261" s="178"/>
      <c r="CB261" s="178"/>
      <c r="CC261" s="238"/>
      <c r="CD261" s="178"/>
      <c r="CE261" s="178"/>
      <c r="CF261" s="178"/>
      <c r="CG261" s="178"/>
      <c r="CH261" s="238"/>
      <c r="CI261" s="178"/>
      <c r="CJ261" s="178"/>
      <c r="CK261" s="178"/>
      <c r="CL261" s="178"/>
      <c r="CM261" s="238"/>
      <c r="CN261" s="178"/>
      <c r="CO261" s="178"/>
    </row>
    <row r="262" spans="1:93">
      <c r="A262" s="18" t="s">
        <v>354</v>
      </c>
      <c r="B262" s="232" t="s">
        <v>294</v>
      </c>
      <c r="C262" s="232" t="s">
        <v>294</v>
      </c>
      <c r="D262" s="232" t="s">
        <v>294</v>
      </c>
      <c r="E262" s="232" t="s">
        <v>294</v>
      </c>
      <c r="F262" s="239" t="s">
        <v>294</v>
      </c>
      <c r="G262" s="232" t="s">
        <v>294</v>
      </c>
      <c r="H262" s="232" t="s">
        <v>294</v>
      </c>
      <c r="I262" s="232" t="s">
        <v>294</v>
      </c>
      <c r="J262" s="232" t="s">
        <v>294</v>
      </c>
      <c r="K262" s="239" t="s">
        <v>294</v>
      </c>
      <c r="L262" s="232" t="s">
        <v>294</v>
      </c>
      <c r="M262" s="232" t="s">
        <v>294</v>
      </c>
      <c r="N262" s="232" t="s">
        <v>294</v>
      </c>
      <c r="O262" s="232" t="s">
        <v>294</v>
      </c>
      <c r="P262" s="239" t="s">
        <v>294</v>
      </c>
      <c r="Q262" s="232" t="s">
        <v>294</v>
      </c>
      <c r="R262" s="232" t="s">
        <v>294</v>
      </c>
      <c r="S262" s="232" t="s">
        <v>294</v>
      </c>
      <c r="T262" s="232" t="s">
        <v>294</v>
      </c>
      <c r="U262" s="239" t="s">
        <v>294</v>
      </c>
      <c r="V262" s="232" t="s">
        <v>294</v>
      </c>
      <c r="W262" s="232" t="s">
        <v>294</v>
      </c>
      <c r="X262" s="232" t="s">
        <v>294</v>
      </c>
      <c r="Y262" s="232" t="s">
        <v>294</v>
      </c>
      <c r="Z262" s="239" t="s">
        <v>294</v>
      </c>
      <c r="AA262" s="232" t="s">
        <v>294</v>
      </c>
      <c r="AB262" s="232" t="s">
        <v>294</v>
      </c>
      <c r="AC262" s="232" t="s">
        <v>294</v>
      </c>
      <c r="AD262" s="232" t="s">
        <v>294</v>
      </c>
      <c r="AE262" s="239" t="s">
        <v>294</v>
      </c>
      <c r="AF262" s="232" t="s">
        <v>294</v>
      </c>
      <c r="AG262" s="232" t="s">
        <v>294</v>
      </c>
      <c r="AH262" s="232" t="s">
        <v>294</v>
      </c>
      <c r="AI262" s="232" t="s">
        <v>294</v>
      </c>
      <c r="AJ262" s="239" t="s">
        <v>294</v>
      </c>
      <c r="AK262" s="49">
        <v>0</v>
      </c>
      <c r="AL262" s="49">
        <v>0</v>
      </c>
      <c r="AM262" s="49">
        <v>0</v>
      </c>
      <c r="AN262" s="49">
        <v>0</v>
      </c>
      <c r="AO262" s="242">
        <f>+AK262+AL262+AM262+AN262</f>
        <v>0</v>
      </c>
      <c r="AP262" s="49">
        <v>0</v>
      </c>
      <c r="AQ262" s="49">
        <v>0</v>
      </c>
      <c r="AR262" s="49">
        <v>0</v>
      </c>
      <c r="AS262" s="49">
        <v>0</v>
      </c>
      <c r="AT262" s="242">
        <f>+AP262+AQ262+AR262+AS262</f>
        <v>0</v>
      </c>
      <c r="AU262" s="392">
        <v>0</v>
      </c>
      <c r="AV262" s="49">
        <v>0</v>
      </c>
      <c r="AW262" s="49">
        <v>0</v>
      </c>
      <c r="AX262" s="49">
        <v>0</v>
      </c>
      <c r="AY262" s="242">
        <f>+AU262+AV262+AW262+AX262</f>
        <v>0</v>
      </c>
      <c r="AZ262" s="49">
        <f>+AK220+AK232+AK244+AK256</f>
        <v>0</v>
      </c>
      <c r="BA262" s="49">
        <f>+AL220+AL232+AL244+AL256</f>
        <v>0</v>
      </c>
      <c r="BB262" s="49">
        <f>+AM220+AM232+AM244+AM256</f>
        <v>2400</v>
      </c>
      <c r="BC262" s="49">
        <f>+AN220+AN232+AN244+AN256</f>
        <v>6400</v>
      </c>
      <c r="BD262" s="242">
        <f>+AZ262+BA262+BB262+BC262</f>
        <v>8800</v>
      </c>
      <c r="BE262" s="49">
        <f>+AP220+AP232+AP244+AP256</f>
        <v>9000</v>
      </c>
      <c r="BF262" s="49">
        <f>+AQ220+AQ232+AQ244+AQ256</f>
        <v>16000</v>
      </c>
      <c r="BG262" s="49">
        <f>+AR220+AR232+AR244+AR256</f>
        <v>24000</v>
      </c>
      <c r="BH262" s="49">
        <f>+AS220+AS232+AS244+AS256</f>
        <v>38000</v>
      </c>
      <c r="BI262" s="242">
        <f>+BE262+BF262+BG262+BH262</f>
        <v>87000</v>
      </c>
      <c r="BJ262" s="49">
        <f>+AU220+AU232+AU244+AU256</f>
        <v>43713.342551144451</v>
      </c>
      <c r="BK262" s="49">
        <f>+AV220+AV232+AV244+AV256</f>
        <v>48891.154395585145</v>
      </c>
      <c r="BL262" s="49">
        <f>+AW220+AW232+AW244+AW256</f>
        <v>72317.647651004503</v>
      </c>
      <c r="BM262" s="49">
        <f>+AX220+AX232+AX244+AX256</f>
        <v>90661.650303913251</v>
      </c>
      <c r="BN262" s="242">
        <f>+BJ262+BK262+BL262+BM262</f>
        <v>255583.79490164734</v>
      </c>
      <c r="BO262" s="49">
        <f>+AZ220+AZ232+AZ244+AZ256+AZ264</f>
        <v>109768.34716386186</v>
      </c>
      <c r="BP262" s="49">
        <f>+BA220+BA232+BA244+BA256+BA264</f>
        <v>131816.6764321884</v>
      </c>
      <c r="BQ262" s="49">
        <f>+BB220+BB232+BB244+BB256+BB264</f>
        <v>148204.35517256381</v>
      </c>
      <c r="BR262" s="49">
        <f>+BC220+BC232+BC244+BC256+BC264</f>
        <v>172055.08533499896</v>
      </c>
      <c r="BS262" s="242">
        <f>+BO262+BP262+BQ262+BR262</f>
        <v>561844.46410361305</v>
      </c>
      <c r="BT262" s="49">
        <f>+BE220+BE232+BE244+BE256+BE264</f>
        <v>193853.30483603186</v>
      </c>
      <c r="BU262" s="49">
        <f>+BF220+BF232+BF244+BF256+BF264</f>
        <v>212677.88118979847</v>
      </c>
      <c r="BV262" s="49">
        <f>+BG220+BG232+BG244+BG256+BG264</f>
        <v>231480.36862074322</v>
      </c>
      <c r="BW262" s="49">
        <f>+BH220+BH232+BH244+BH256+BH264</f>
        <v>254218.78458414917</v>
      </c>
      <c r="BX262" s="242">
        <f>+BT262+BU262+BV262+BW262</f>
        <v>892230.33923072263</v>
      </c>
      <c r="BY262" s="49">
        <f>+BJ220+BJ232+BJ244+BJ256+BJ264</f>
        <v>267255.59790834831</v>
      </c>
      <c r="BZ262" s="49">
        <f>+BK220+BK232+BK244+BK256+BK264</f>
        <v>283251.41318297083</v>
      </c>
      <c r="CA262" s="49">
        <f>+BL220+BL232+BL244+BL256+BL264</f>
        <v>312718.21106081171</v>
      </c>
      <c r="CB262" s="49">
        <f>+BM220+BM232+BM244+BM256+BM264</f>
        <v>336960.76813652646</v>
      </c>
      <c r="CC262" s="242">
        <f>+BY262+BZ262+CA262+CB262</f>
        <v>1200185.9902886574</v>
      </c>
      <c r="CD262" s="49">
        <f>+BO220+BO232+BO244+BO256+BO264</f>
        <v>359241.81887856126</v>
      </c>
      <c r="CE262" s="49">
        <f>+BP220+BP232+BP244+BP256+BP264</f>
        <v>384038.98361644481</v>
      </c>
      <c r="CF262" s="49">
        <f>+BQ220+BQ232+BQ244+BQ256+BQ264</f>
        <v>403117.31235651241</v>
      </c>
      <c r="CG262" s="49">
        <f>+BR220+BR232+BR244+BR256+BR264</f>
        <v>424932.34395972395</v>
      </c>
      <c r="CH262" s="242">
        <f>+CD262+CE262+CF262+CG262</f>
        <v>1571330.4588112426</v>
      </c>
      <c r="CI262" s="49">
        <f>+BT220+BT232+BT244+BT256+BT264</f>
        <v>436739.67594299873</v>
      </c>
      <c r="CJ262" s="49">
        <f>+BU220+BU232+BU244+BU256+BU264</f>
        <v>452628.63526292966</v>
      </c>
      <c r="CK262" s="49">
        <f>+BV220+BV232+BV244+BV256+BV264</f>
        <v>467622.13589434454</v>
      </c>
      <c r="CL262" s="49">
        <f>+BW220+BW232+BW244+BW256+BW264</f>
        <v>484918.91188254452</v>
      </c>
      <c r="CM262" s="242">
        <f>+CI262+CJ262+CK262+CL262</f>
        <v>1841909.3589828173</v>
      </c>
    </row>
    <row r="263" spans="1:93">
      <c r="A263" s="18" t="s">
        <v>353</v>
      </c>
      <c r="B263" s="232" t="s">
        <v>294</v>
      </c>
      <c r="C263" s="232" t="s">
        <v>294</v>
      </c>
      <c r="D263" s="232" t="s">
        <v>294</v>
      </c>
      <c r="E263" s="232" t="s">
        <v>294</v>
      </c>
      <c r="F263" s="239" t="s">
        <v>294</v>
      </c>
      <c r="G263" s="232" t="s">
        <v>294</v>
      </c>
      <c r="H263" s="232" t="s">
        <v>294</v>
      </c>
      <c r="I263" s="232" t="s">
        <v>294</v>
      </c>
      <c r="J263" s="232" t="s">
        <v>294</v>
      </c>
      <c r="K263" s="239" t="s">
        <v>294</v>
      </c>
      <c r="L263" s="232" t="s">
        <v>294</v>
      </c>
      <c r="M263" s="232" t="s">
        <v>294</v>
      </c>
      <c r="N263" s="232" t="s">
        <v>294</v>
      </c>
      <c r="O263" s="232" t="s">
        <v>294</v>
      </c>
      <c r="P263" s="239" t="s">
        <v>294</v>
      </c>
      <c r="Q263" s="232" t="s">
        <v>294</v>
      </c>
      <c r="R263" s="232" t="s">
        <v>294</v>
      </c>
      <c r="S263" s="232" t="s">
        <v>294</v>
      </c>
      <c r="T263" s="232" t="s">
        <v>294</v>
      </c>
      <c r="U263" s="239" t="s">
        <v>294</v>
      </c>
      <c r="V263" s="232" t="s">
        <v>294</v>
      </c>
      <c r="W263" s="232" t="s">
        <v>294</v>
      </c>
      <c r="X263" s="232" t="s">
        <v>294</v>
      </c>
      <c r="Y263" s="232" t="s">
        <v>294</v>
      </c>
      <c r="Z263" s="239" t="s">
        <v>294</v>
      </c>
      <c r="AA263" s="232" t="s">
        <v>294</v>
      </c>
      <c r="AB263" s="232" t="s">
        <v>294</v>
      </c>
      <c r="AC263" s="232" t="s">
        <v>294</v>
      </c>
      <c r="AD263" s="232" t="s">
        <v>294</v>
      </c>
      <c r="AE263" s="239" t="s">
        <v>294</v>
      </c>
      <c r="AF263" s="232" t="s">
        <v>294</v>
      </c>
      <c r="AG263" s="232" t="s">
        <v>294</v>
      </c>
      <c r="AH263" s="232" t="s">
        <v>294</v>
      </c>
      <c r="AI263" s="232" t="s">
        <v>294</v>
      </c>
      <c r="AJ263" s="239" t="s">
        <v>294</v>
      </c>
      <c r="AK263" s="164">
        <v>0.8</v>
      </c>
      <c r="AL263" s="164">
        <v>0.8</v>
      </c>
      <c r="AM263" s="164">
        <v>0.8</v>
      </c>
      <c r="AN263" s="164">
        <v>0.8</v>
      </c>
      <c r="AO263" s="259" t="e">
        <f>+AO264/AO262</f>
        <v>#DIV/0!</v>
      </c>
      <c r="AP263" s="164">
        <v>0.8</v>
      </c>
      <c r="AQ263" s="164">
        <v>0.8</v>
      </c>
      <c r="AR263" s="164">
        <v>0.8</v>
      </c>
      <c r="AS263" s="164">
        <v>0.8</v>
      </c>
      <c r="AT263" s="259" t="e">
        <f>+AT264/AT262</f>
        <v>#DIV/0!</v>
      </c>
      <c r="AU263" s="400">
        <v>0.8</v>
      </c>
      <c r="AV263" s="164">
        <v>0.8</v>
      </c>
      <c r="AW263" s="164">
        <v>0.8</v>
      </c>
      <c r="AX263" s="164">
        <v>0.8</v>
      </c>
      <c r="AY263" s="259" t="e">
        <f>+AY264/AY262</f>
        <v>#DIV/0!</v>
      </c>
      <c r="AZ263" s="60">
        <v>0.8</v>
      </c>
      <c r="BA263" s="60">
        <v>0.8</v>
      </c>
      <c r="BB263" s="60">
        <v>0.8</v>
      </c>
      <c r="BC263" s="60">
        <v>0.8</v>
      </c>
      <c r="BD263" s="259">
        <f>+BD264/BD262</f>
        <v>0.8</v>
      </c>
      <c r="BE263" s="60">
        <v>0.8</v>
      </c>
      <c r="BF263" s="60">
        <v>0.8</v>
      </c>
      <c r="BG263" s="60">
        <v>0.8</v>
      </c>
      <c r="BH263" s="60">
        <v>0.8</v>
      </c>
      <c r="BI263" s="259">
        <f>+BI264/BI262</f>
        <v>0.8</v>
      </c>
      <c r="BJ263" s="60">
        <v>0.8</v>
      </c>
      <c r="BK263" s="60">
        <v>0.8</v>
      </c>
      <c r="BL263" s="60">
        <v>0.8</v>
      </c>
      <c r="BM263" s="60">
        <v>0.8</v>
      </c>
      <c r="BN263" s="259">
        <f>+BN264/BN262</f>
        <v>0.8</v>
      </c>
      <c r="BO263" s="164">
        <v>0.8</v>
      </c>
      <c r="BP263" s="164">
        <v>0.8</v>
      </c>
      <c r="BQ263" s="164">
        <v>0.8</v>
      </c>
      <c r="BR263" s="164">
        <v>0.8</v>
      </c>
      <c r="BS263" s="259">
        <f>+BS264/BS262</f>
        <v>0.80000000000000016</v>
      </c>
      <c r="BT263" s="60">
        <v>0.8</v>
      </c>
      <c r="BU263" s="60">
        <v>0.8</v>
      </c>
      <c r="BV263" s="60">
        <v>0.8</v>
      </c>
      <c r="BW263" s="60">
        <v>0.8</v>
      </c>
      <c r="BX263" s="259">
        <f>+BX264/BX262</f>
        <v>0.80000000000000016</v>
      </c>
      <c r="BY263" s="60">
        <v>0.8</v>
      </c>
      <c r="BZ263" s="60">
        <v>0.8</v>
      </c>
      <c r="CA263" s="60">
        <v>0.8</v>
      </c>
      <c r="CB263" s="60">
        <v>0.8</v>
      </c>
      <c r="CC263" s="259">
        <f>+CC264/CC262</f>
        <v>0.79999999999999993</v>
      </c>
      <c r="CD263" s="60">
        <v>0.8</v>
      </c>
      <c r="CE263" s="60">
        <v>0.8</v>
      </c>
      <c r="CF263" s="60">
        <v>0.8</v>
      </c>
      <c r="CG263" s="60">
        <v>0.8</v>
      </c>
      <c r="CH263" s="259">
        <f>+CH264/CH262</f>
        <v>0.79999999999999993</v>
      </c>
      <c r="CI263" s="164">
        <v>0.8</v>
      </c>
      <c r="CJ263" s="164">
        <v>0.8</v>
      </c>
      <c r="CK263" s="164">
        <v>0.8</v>
      </c>
      <c r="CL263" s="164">
        <v>0.8</v>
      </c>
      <c r="CM263" s="259">
        <f>+CM264/CM262</f>
        <v>0.80000000000000016</v>
      </c>
    </row>
    <row r="264" spans="1:93" s="42" customFormat="1">
      <c r="A264" s="42" t="s">
        <v>346</v>
      </c>
      <c r="B264" s="232" t="s">
        <v>294</v>
      </c>
      <c r="C264" s="232" t="s">
        <v>294</v>
      </c>
      <c r="D264" s="232" t="s">
        <v>294</v>
      </c>
      <c r="E264" s="232" t="s">
        <v>294</v>
      </c>
      <c r="F264" s="239" t="s">
        <v>294</v>
      </c>
      <c r="G264" s="232" t="s">
        <v>294</v>
      </c>
      <c r="H264" s="232" t="s">
        <v>294</v>
      </c>
      <c r="I264" s="232" t="s">
        <v>294</v>
      </c>
      <c r="J264" s="232" t="s">
        <v>294</v>
      </c>
      <c r="K264" s="239" t="s">
        <v>294</v>
      </c>
      <c r="L264" s="232" t="s">
        <v>294</v>
      </c>
      <c r="M264" s="232" t="s">
        <v>294</v>
      </c>
      <c r="N264" s="232" t="s">
        <v>294</v>
      </c>
      <c r="O264" s="232" t="s">
        <v>294</v>
      </c>
      <c r="P264" s="239" t="s">
        <v>294</v>
      </c>
      <c r="Q264" s="232" t="s">
        <v>294</v>
      </c>
      <c r="R264" s="232" t="s">
        <v>294</v>
      </c>
      <c r="S264" s="232" t="s">
        <v>294</v>
      </c>
      <c r="T264" s="232" t="s">
        <v>294</v>
      </c>
      <c r="U264" s="239" t="s">
        <v>294</v>
      </c>
      <c r="V264" s="232" t="s">
        <v>294</v>
      </c>
      <c r="W264" s="232" t="s">
        <v>294</v>
      </c>
      <c r="X264" s="232" t="s">
        <v>294</v>
      </c>
      <c r="Y264" s="232" t="s">
        <v>294</v>
      </c>
      <c r="Z264" s="239" t="s">
        <v>294</v>
      </c>
      <c r="AA264" s="232" t="s">
        <v>294</v>
      </c>
      <c r="AB264" s="232" t="s">
        <v>294</v>
      </c>
      <c r="AC264" s="232" t="s">
        <v>294</v>
      </c>
      <c r="AD264" s="232" t="s">
        <v>294</v>
      </c>
      <c r="AE264" s="239" t="s">
        <v>294</v>
      </c>
      <c r="AF264" s="232" t="s">
        <v>294</v>
      </c>
      <c r="AG264" s="232" t="s">
        <v>294</v>
      </c>
      <c r="AH264" s="232" t="s">
        <v>294</v>
      </c>
      <c r="AI264" s="232" t="s">
        <v>294</v>
      </c>
      <c r="AJ264" s="239" t="s">
        <v>294</v>
      </c>
      <c r="AK264" s="167">
        <f>+AK262*AK263</f>
        <v>0</v>
      </c>
      <c r="AL264" s="167">
        <f t="shared" ref="AL264:AN264" si="3826">+AL262*AL263</f>
        <v>0</v>
      </c>
      <c r="AM264" s="167">
        <f t="shared" si="3826"/>
        <v>0</v>
      </c>
      <c r="AN264" s="167">
        <f t="shared" si="3826"/>
        <v>0</v>
      </c>
      <c r="AO264" s="249">
        <f>+AK264+AL264+AM264+AN264</f>
        <v>0</v>
      </c>
      <c r="AP264" s="167">
        <f>+AP262*AP263</f>
        <v>0</v>
      </c>
      <c r="AQ264" s="167">
        <f t="shared" ref="AQ264" si="3827">+AQ262*AQ263</f>
        <v>0</v>
      </c>
      <c r="AR264" s="167">
        <f t="shared" ref="AR264" si="3828">+AR262*AR263</f>
        <v>0</v>
      </c>
      <c r="AS264" s="167">
        <f t="shared" ref="AS264" si="3829">+AS262*AS263</f>
        <v>0</v>
      </c>
      <c r="AT264" s="249">
        <f>+AP264+AQ264+AR264+AS264</f>
        <v>0</v>
      </c>
      <c r="AU264" s="386">
        <f>+AU262*AU263</f>
        <v>0</v>
      </c>
      <c r="AV264" s="167">
        <f t="shared" ref="AV264" si="3830">+AV262*AV263</f>
        <v>0</v>
      </c>
      <c r="AW264" s="167">
        <f t="shared" ref="AW264" si="3831">+AW262*AW263</f>
        <v>0</v>
      </c>
      <c r="AX264" s="167">
        <f t="shared" ref="AX264" si="3832">+AX262*AX263</f>
        <v>0</v>
      </c>
      <c r="AY264" s="249">
        <f>+AU264+AV264+AW264+AX264</f>
        <v>0</v>
      </c>
      <c r="AZ264" s="167">
        <f>+AZ262*AZ263</f>
        <v>0</v>
      </c>
      <c r="BA264" s="167">
        <f t="shared" ref="BA264" si="3833">+BA262*BA263</f>
        <v>0</v>
      </c>
      <c r="BB264" s="167">
        <f t="shared" ref="BB264" si="3834">+BB262*BB263</f>
        <v>1920</v>
      </c>
      <c r="BC264" s="167">
        <f t="shared" ref="BC264" si="3835">+BC262*BC263</f>
        <v>5120</v>
      </c>
      <c r="BD264" s="249">
        <f>+AZ264+BA264+BB264+BC264</f>
        <v>7040</v>
      </c>
      <c r="BE264" s="167">
        <f>+BE262*BE263</f>
        <v>7200</v>
      </c>
      <c r="BF264" s="167">
        <f t="shared" ref="BF264" si="3836">+BF262*BF263</f>
        <v>12800</v>
      </c>
      <c r="BG264" s="167">
        <f t="shared" ref="BG264" si="3837">+BG262*BG263</f>
        <v>19200</v>
      </c>
      <c r="BH264" s="167">
        <f t="shared" ref="BH264" si="3838">+BH262*BH263</f>
        <v>30400</v>
      </c>
      <c r="BI264" s="249">
        <f>+BE264+BF264+BG264+BH264</f>
        <v>69600</v>
      </c>
      <c r="BJ264" s="167">
        <f>+BJ262*BJ263</f>
        <v>34970.674040915561</v>
      </c>
      <c r="BK264" s="167">
        <f t="shared" ref="BK264" si="3839">+BK262*BK263</f>
        <v>39112.923516468116</v>
      </c>
      <c r="BL264" s="167">
        <f t="shared" ref="BL264" si="3840">+BL262*BL263</f>
        <v>57854.118120803607</v>
      </c>
      <c r="BM264" s="167">
        <f t="shared" ref="BM264" si="3841">+BM262*BM263</f>
        <v>72529.320243130598</v>
      </c>
      <c r="BN264" s="249">
        <f>+BJ264+BK264+BL264+BM264</f>
        <v>204467.03592131787</v>
      </c>
      <c r="BO264" s="167">
        <f>+BO262*BO263</f>
        <v>87814.677731089498</v>
      </c>
      <c r="BP264" s="167">
        <f t="shared" ref="BP264" si="3842">+BP262*BP263</f>
        <v>105453.34114575072</v>
      </c>
      <c r="BQ264" s="167">
        <f t="shared" ref="BQ264" si="3843">+BQ262*BQ263</f>
        <v>118563.48413805105</v>
      </c>
      <c r="BR264" s="167">
        <f t="shared" ref="BR264" si="3844">+BR262*BR263</f>
        <v>137644.06826799919</v>
      </c>
      <c r="BS264" s="249">
        <f>+BO264+BP264+BQ264+BR264</f>
        <v>449475.57128289051</v>
      </c>
      <c r="BT264" s="167">
        <f>+BT262*BT263</f>
        <v>155082.64386882549</v>
      </c>
      <c r="BU264" s="167">
        <f t="shared" ref="BU264" si="3845">+BU262*BU263</f>
        <v>170142.3049518388</v>
      </c>
      <c r="BV264" s="167">
        <f t="shared" ref="BV264" si="3846">+BV262*BV263</f>
        <v>185184.2948965946</v>
      </c>
      <c r="BW264" s="167">
        <f t="shared" ref="BW264" si="3847">+BW262*BW263</f>
        <v>203375.02766731934</v>
      </c>
      <c r="BX264" s="249">
        <f>+BT264+BU264+BV264+BW264</f>
        <v>713784.2713845782</v>
      </c>
      <c r="BY264" s="167">
        <f>+BY262*BY263</f>
        <v>213804.47832667865</v>
      </c>
      <c r="BZ264" s="167">
        <f t="shared" ref="BZ264" si="3848">+BZ262*BZ263</f>
        <v>226601.13054637669</v>
      </c>
      <c r="CA264" s="167">
        <f t="shared" ref="CA264" si="3849">+CA262*CA263</f>
        <v>250174.56884864939</v>
      </c>
      <c r="CB264" s="167">
        <f t="shared" ref="CB264" si="3850">+CB262*CB263</f>
        <v>269568.61450922117</v>
      </c>
      <c r="CC264" s="249">
        <f>+BY264+BZ264+CA264+CB264</f>
        <v>960148.79223092587</v>
      </c>
      <c r="CD264" s="167">
        <f>+CD262*CD263</f>
        <v>287393.455102849</v>
      </c>
      <c r="CE264" s="167">
        <f t="shared" ref="CE264" si="3851">+CE262*CE263</f>
        <v>307231.18689315586</v>
      </c>
      <c r="CF264" s="167">
        <f t="shared" ref="CF264" si="3852">+CF262*CF263</f>
        <v>322493.84988520993</v>
      </c>
      <c r="CG264" s="167">
        <f t="shared" ref="CG264" si="3853">+CG262*CG263</f>
        <v>339945.87516777916</v>
      </c>
      <c r="CH264" s="249">
        <f>+CD264+CE264+CF264+CG264</f>
        <v>1257064.3670489939</v>
      </c>
      <c r="CI264" s="167">
        <f>+CI262*CI263</f>
        <v>349391.74075439898</v>
      </c>
      <c r="CJ264" s="167">
        <f>+CJ262*CJ263</f>
        <v>362102.90821034374</v>
      </c>
      <c r="CK264" s="167">
        <f t="shared" ref="CK264" si="3854">+CK262*CK263</f>
        <v>374097.70871547563</v>
      </c>
      <c r="CL264" s="167">
        <f t="shared" ref="CL264" si="3855">+CL262*CL263</f>
        <v>387935.12950603565</v>
      </c>
      <c r="CM264" s="249">
        <f>+CI264+CJ264+CK264+CL264</f>
        <v>1473527.487186254</v>
      </c>
    </row>
    <row r="265" spans="1:93">
      <c r="A265" s="139" t="s">
        <v>291</v>
      </c>
      <c r="B265" s="232" t="s">
        <v>294</v>
      </c>
      <c r="C265" s="232" t="s">
        <v>294</v>
      </c>
      <c r="D265" s="232" t="s">
        <v>294</v>
      </c>
      <c r="E265" s="232" t="s">
        <v>294</v>
      </c>
      <c r="F265" s="239" t="s">
        <v>294</v>
      </c>
      <c r="G265" s="232" t="s">
        <v>294</v>
      </c>
      <c r="H265" s="232" t="s">
        <v>294</v>
      </c>
      <c r="I265" s="232" t="s">
        <v>294</v>
      </c>
      <c r="J265" s="232" t="s">
        <v>294</v>
      </c>
      <c r="K265" s="239" t="s">
        <v>294</v>
      </c>
      <c r="L265" s="232" t="s">
        <v>294</v>
      </c>
      <c r="M265" s="232" t="s">
        <v>294</v>
      </c>
      <c r="N265" s="232" t="s">
        <v>294</v>
      </c>
      <c r="O265" s="232" t="s">
        <v>294</v>
      </c>
      <c r="P265" s="239" t="s">
        <v>294</v>
      </c>
      <c r="Q265" s="232" t="s">
        <v>294</v>
      </c>
      <c r="R265" s="232" t="s">
        <v>294</v>
      </c>
      <c r="S265" s="232" t="s">
        <v>294</v>
      </c>
      <c r="T265" s="232" t="s">
        <v>294</v>
      </c>
      <c r="U265" s="239" t="s">
        <v>294</v>
      </c>
      <c r="V265" s="232" t="s">
        <v>294</v>
      </c>
      <c r="W265" s="232" t="s">
        <v>294</v>
      </c>
      <c r="X265" s="232" t="s">
        <v>294</v>
      </c>
      <c r="Y265" s="232" t="s">
        <v>294</v>
      </c>
      <c r="Z265" s="239" t="s">
        <v>294</v>
      </c>
      <c r="AA265" s="232" t="s">
        <v>294</v>
      </c>
      <c r="AB265" s="232" t="s">
        <v>294</v>
      </c>
      <c r="AC265" s="232" t="s">
        <v>294</v>
      </c>
      <c r="AD265" s="232" t="s">
        <v>294</v>
      </c>
      <c r="AE265" s="239" t="s">
        <v>294</v>
      </c>
      <c r="AF265" s="232" t="s">
        <v>294</v>
      </c>
      <c r="AG265" s="232" t="s">
        <v>294</v>
      </c>
      <c r="AH265" s="232" t="s">
        <v>294</v>
      </c>
      <c r="AI265" s="232" t="s">
        <v>294</v>
      </c>
      <c r="AJ265" s="239" t="s">
        <v>294</v>
      </c>
      <c r="AK265" s="147" t="s">
        <v>294</v>
      </c>
      <c r="AL265" s="147" t="s">
        <v>294</v>
      </c>
      <c r="AM265" s="147" t="s">
        <v>294</v>
      </c>
      <c r="AN265" s="147" t="s">
        <v>294</v>
      </c>
      <c r="AO265" s="251" t="s">
        <v>294</v>
      </c>
      <c r="AP265" s="147" t="s">
        <v>294</v>
      </c>
      <c r="AQ265" s="147" t="s">
        <v>294</v>
      </c>
      <c r="AR265" s="147" t="s">
        <v>294</v>
      </c>
      <c r="AS265" s="147" t="s">
        <v>294</v>
      </c>
      <c r="AT265" s="251" t="s">
        <v>294</v>
      </c>
      <c r="AU265" s="402" t="s">
        <v>294</v>
      </c>
      <c r="AV265" s="147" t="s">
        <v>294</v>
      </c>
      <c r="AW265" s="147" t="s">
        <v>294</v>
      </c>
      <c r="AX265" s="147" t="s">
        <v>294</v>
      </c>
      <c r="AY265" s="251" t="s">
        <v>294</v>
      </c>
      <c r="AZ265" s="157" t="s">
        <v>294</v>
      </c>
      <c r="BA265" s="157" t="s">
        <v>294</v>
      </c>
      <c r="BB265" s="157" t="s">
        <v>294</v>
      </c>
      <c r="BC265" s="157" t="s">
        <v>294</v>
      </c>
      <c r="BD265" s="257" t="s">
        <v>294</v>
      </c>
      <c r="BE265" s="19" t="e">
        <f t="shared" ref="BE265" si="3856">+BE264/AZ264-1</f>
        <v>#DIV/0!</v>
      </c>
      <c r="BF265" s="19" t="e">
        <f t="shared" ref="BF265" si="3857">+BF264/BA264-1</f>
        <v>#DIV/0!</v>
      </c>
      <c r="BG265" s="19">
        <f t="shared" ref="BG265" si="3858">+BG264/BB264-1</f>
        <v>9</v>
      </c>
      <c r="BH265" s="19">
        <f t="shared" ref="BH265" si="3859">+BH264/BC264-1</f>
        <v>4.9375</v>
      </c>
      <c r="BI265" s="259">
        <f>+BI264/BD264-1</f>
        <v>8.8863636363636367</v>
      </c>
      <c r="BJ265" s="19">
        <f t="shared" ref="BJ265" si="3860">+BJ264/BE264-1</f>
        <v>3.8570380612382724</v>
      </c>
      <c r="BK265" s="19">
        <f t="shared" ref="BK265" si="3861">+BK264/BF264-1</f>
        <v>2.0556971497240717</v>
      </c>
      <c r="BL265" s="19">
        <f t="shared" ref="BL265" si="3862">+BL264/BG264-1</f>
        <v>2.0132353187918546</v>
      </c>
      <c r="BM265" s="19">
        <f t="shared" ref="BM265" si="3863">+BM264/BH264-1</f>
        <v>1.3858329027345593</v>
      </c>
      <c r="BN265" s="259">
        <f>+BN264/BI264-1</f>
        <v>1.937744768984452</v>
      </c>
      <c r="BO265" s="19">
        <f t="shared" ref="BO265" si="3864">+BO264/BJ264-1</f>
        <v>1.5110947998413371</v>
      </c>
      <c r="BP265" s="19">
        <f t="shared" ref="BP265" si="3865">+BP264/BK264-1</f>
        <v>1.6961252615481586</v>
      </c>
      <c r="BQ265" s="19">
        <f t="shared" ref="BQ265" si="3866">+BQ264/BL264-1</f>
        <v>1.0493525437632956</v>
      </c>
      <c r="BR265" s="19">
        <f t="shared" ref="BR265" si="3867">+BR264/BM264-1</f>
        <v>0.89777138137504808</v>
      </c>
      <c r="BS265" s="259">
        <f>+BS264/BN264-1</f>
        <v>1.1982789023060705</v>
      </c>
      <c r="BT265" s="19">
        <f t="shared" ref="BT265" si="3868">+BT264/BO264-1</f>
        <v>0.7660218983405862</v>
      </c>
      <c r="BU265" s="19">
        <f t="shared" ref="BU265" si="3869">+BU264/BP264-1</f>
        <v>0.61343683474835786</v>
      </c>
      <c r="BV265" s="19">
        <f t="shared" ref="BV265" si="3870">+BV264/BQ264-1</f>
        <v>0.56189990740296292</v>
      </c>
      <c r="BW265" s="19">
        <f t="shared" ref="BW265" si="3871">+BW264/BR264-1</f>
        <v>0.47754298624288705</v>
      </c>
      <c r="BX265" s="259">
        <f>+BX264/BS264-1</f>
        <v>0.58803796466023583</v>
      </c>
      <c r="BY265" s="19">
        <f t="shared" ref="BY265" si="3872">+BY264/BT264-1</f>
        <v>0.37864865463295949</v>
      </c>
      <c r="BZ265" s="19">
        <f t="shared" ref="BZ265" si="3873">+BZ264/BU264-1</f>
        <v>0.33183296541397733</v>
      </c>
      <c r="CA265" s="19">
        <f t="shared" ref="CA265" si="3874">+CA264/BV264-1</f>
        <v>0.35094916654970576</v>
      </c>
      <c r="CB265" s="19">
        <f t="shared" ref="CB265" si="3875">+CB264/BW264-1</f>
        <v>0.32547549028576528</v>
      </c>
      <c r="CC265" s="259">
        <f>+CC264/BX264-1</f>
        <v>0.34515263325774437</v>
      </c>
      <c r="CD265" s="19">
        <f t="shared" ref="CD265" si="3876">+CD264/BY264-1</f>
        <v>0.3441881917165992</v>
      </c>
      <c r="CE265" s="19">
        <f t="shared" ref="CE265" si="3877">+CE264/BZ264-1</f>
        <v>0.35582371611459029</v>
      </c>
      <c r="CF265" s="19">
        <f t="shared" ref="CF265" si="3878">+CF264/CA264-1</f>
        <v>0.28907526999801592</v>
      </c>
      <c r="CG265" s="19">
        <f t="shared" ref="CG265" si="3879">+CG264/CB264-1</f>
        <v>0.26107364459578286</v>
      </c>
      <c r="CH265" s="259">
        <f>+CH264/CC264-1</f>
        <v>0.3092391275399915</v>
      </c>
      <c r="CI265" s="19">
        <f t="shared" ref="CI265" si="3880">+CI264/CD264-1</f>
        <v>0.21572615712269005</v>
      </c>
      <c r="CJ265" s="19">
        <f t="shared" ref="CJ265" si="3881">+CJ264/CE264-1</f>
        <v>0.17860075297717204</v>
      </c>
      <c r="CK265" s="19">
        <f t="shared" ref="CK265" si="3882">+CK264/CF264-1</f>
        <v>0.16001501687127928</v>
      </c>
      <c r="CL265" s="19">
        <f t="shared" ref="CL265" si="3883">+CL264/CG264-1</f>
        <v>0.14116733822574412</v>
      </c>
      <c r="CM265" s="259">
        <f>+CM264/CH264-1</f>
        <v>0.17219732402837518</v>
      </c>
    </row>
    <row r="266" spans="1:93">
      <c r="A266" s="139" t="s">
        <v>292</v>
      </c>
      <c r="B266" s="232" t="s">
        <v>294</v>
      </c>
      <c r="C266" s="232" t="s">
        <v>294</v>
      </c>
      <c r="D266" s="232" t="s">
        <v>294</v>
      </c>
      <c r="E266" s="232" t="s">
        <v>294</v>
      </c>
      <c r="F266" s="239" t="s">
        <v>294</v>
      </c>
      <c r="G266" s="232" t="s">
        <v>294</v>
      </c>
      <c r="H266" s="232" t="s">
        <v>294</v>
      </c>
      <c r="I266" s="232" t="s">
        <v>294</v>
      </c>
      <c r="J266" s="232" t="s">
        <v>294</v>
      </c>
      <c r="K266" s="239" t="s">
        <v>294</v>
      </c>
      <c r="L266" s="232" t="s">
        <v>294</v>
      </c>
      <c r="M266" s="232" t="s">
        <v>294</v>
      </c>
      <c r="N266" s="232" t="s">
        <v>294</v>
      </c>
      <c r="O266" s="232" t="s">
        <v>294</v>
      </c>
      <c r="P266" s="239" t="s">
        <v>294</v>
      </c>
      <c r="Q266" s="232" t="s">
        <v>294</v>
      </c>
      <c r="R266" s="232" t="s">
        <v>294</v>
      </c>
      <c r="S266" s="232" t="s">
        <v>294</v>
      </c>
      <c r="T266" s="232" t="s">
        <v>294</v>
      </c>
      <c r="U266" s="239" t="s">
        <v>294</v>
      </c>
      <c r="V266" s="232" t="s">
        <v>294</v>
      </c>
      <c r="W266" s="232" t="s">
        <v>294</v>
      </c>
      <c r="X266" s="232" t="s">
        <v>294</v>
      </c>
      <c r="Y266" s="232" t="s">
        <v>294</v>
      </c>
      <c r="Z266" s="239" t="s">
        <v>294</v>
      </c>
      <c r="AA266" s="232" t="s">
        <v>294</v>
      </c>
      <c r="AB266" s="232" t="s">
        <v>294</v>
      </c>
      <c r="AC266" s="232" t="s">
        <v>294</v>
      </c>
      <c r="AD266" s="232" t="s">
        <v>294</v>
      </c>
      <c r="AE266" s="239" t="s">
        <v>294</v>
      </c>
      <c r="AF266" s="232" t="s">
        <v>294</v>
      </c>
      <c r="AG266" s="232" t="s">
        <v>294</v>
      </c>
      <c r="AH266" s="232" t="s">
        <v>294</v>
      </c>
      <c r="AI266" s="232" t="s">
        <v>294</v>
      </c>
      <c r="AJ266" s="239" t="s">
        <v>294</v>
      </c>
      <c r="AK266" s="147" t="s">
        <v>294</v>
      </c>
      <c r="AL266" s="147" t="s">
        <v>294</v>
      </c>
      <c r="AM266" s="147" t="s">
        <v>294</v>
      </c>
      <c r="AN266" s="147" t="s">
        <v>294</v>
      </c>
      <c r="AO266" s="251" t="s">
        <v>294</v>
      </c>
      <c r="AP266" s="147" t="s">
        <v>294</v>
      </c>
      <c r="AQ266" s="147" t="s">
        <v>294</v>
      </c>
      <c r="AR266" s="147" t="s">
        <v>294</v>
      </c>
      <c r="AS266" s="147" t="s">
        <v>294</v>
      </c>
      <c r="AT266" s="251" t="s">
        <v>294</v>
      </c>
      <c r="AU266" s="402" t="s">
        <v>294</v>
      </c>
      <c r="AV266" s="147" t="s">
        <v>294</v>
      </c>
      <c r="AW266" s="147" t="s">
        <v>294</v>
      </c>
      <c r="AX266" s="147" t="s">
        <v>294</v>
      </c>
      <c r="AY266" s="251" t="s">
        <v>294</v>
      </c>
      <c r="AZ266" s="147" t="s">
        <v>294</v>
      </c>
      <c r="BA266" s="19" t="e">
        <f>+BA264/AZ264-1</f>
        <v>#DIV/0!</v>
      </c>
      <c r="BB266" s="19" t="e">
        <f t="shared" ref="BB266" si="3884">+BB264/BA264-1</f>
        <v>#DIV/0!</v>
      </c>
      <c r="BC266" s="19">
        <f t="shared" ref="BC266" si="3885">+BC264/BB264-1</f>
        <v>1.6666666666666665</v>
      </c>
      <c r="BD266" s="251" t="s">
        <v>294</v>
      </c>
      <c r="BE266" s="19">
        <f>+BE264/BC264-1</f>
        <v>0.40625</v>
      </c>
      <c r="BF266" s="19">
        <f>+BF264/BE264-1</f>
        <v>0.77777777777777768</v>
      </c>
      <c r="BG266" s="19">
        <f t="shared" ref="BG266" si="3886">+BG264/BF264-1</f>
        <v>0.5</v>
      </c>
      <c r="BH266" s="19">
        <f t="shared" ref="BH266" si="3887">+BH264/BG264-1</f>
        <v>0.58333333333333326</v>
      </c>
      <c r="BI266" s="251" t="s">
        <v>294</v>
      </c>
      <c r="BJ266" s="19">
        <f>+BJ264/BH264-1</f>
        <v>0.15035111976695914</v>
      </c>
      <c r="BK266" s="19">
        <f>+BK264/BJ264-1</f>
        <v>0.11844923179650868</v>
      </c>
      <c r="BL266" s="19">
        <f t="shared" ref="BL266" si="3888">+BL264/BK264-1</f>
        <v>0.47915606708469882</v>
      </c>
      <c r="BM266" s="19">
        <f t="shared" ref="BM266" si="3889">+BM264/BL264-1</f>
        <v>0.25365872990552041</v>
      </c>
      <c r="BN266" s="251" t="s">
        <v>294</v>
      </c>
      <c r="BO266" s="19">
        <f>+BO264/BM264-1</f>
        <v>0.21074728725872216</v>
      </c>
      <c r="BP266" s="19">
        <f>+BP264/BO264-1</f>
        <v>0.20086236003365188</v>
      </c>
      <c r="BQ266" s="19">
        <f t="shared" ref="BQ266" si="3890">+BQ264/BP264-1</f>
        <v>0.12432174125408069</v>
      </c>
      <c r="BR266" s="19">
        <f t="shared" ref="BR266" si="3891">+BR264/BQ264-1</f>
        <v>0.16093137165007221</v>
      </c>
      <c r="BS266" s="251" t="s">
        <v>294</v>
      </c>
      <c r="BT266" s="19">
        <f>+BT264/BR264-1</f>
        <v>0.12669325907217899</v>
      </c>
      <c r="BU266" s="19">
        <f>+BU264/BT264-1</f>
        <v>9.7107327469547977E-2</v>
      </c>
      <c r="BV266" s="19">
        <f t="shared" ref="BV266" si="3892">+BV264/BU264-1</f>
        <v>8.8408288279705927E-2</v>
      </c>
      <c r="BW266" s="19">
        <f t="shared" ref="BW266" si="3893">+BW264/BV264-1</f>
        <v>9.8230429210437675E-2</v>
      </c>
      <c r="BX266" s="251" t="s">
        <v>294</v>
      </c>
      <c r="BY266" s="19">
        <f>+BY264/BW264-1</f>
        <v>5.1281864735230887E-2</v>
      </c>
      <c r="BZ266" s="19">
        <f>+BZ264/BY264-1</f>
        <v>5.9852124332707479E-2</v>
      </c>
      <c r="CA266" s="19">
        <f t="shared" ref="CA266" si="3894">+CA264/BZ264-1</f>
        <v>0.10403054144272295</v>
      </c>
      <c r="CB266" s="19">
        <f t="shared" ref="CB266" si="3895">+CB264/CA264-1</f>
        <v>7.752205090160369E-2</v>
      </c>
      <c r="CC266" s="251" t="s">
        <v>294</v>
      </c>
      <c r="CD266" s="19">
        <f>+CD264/CB264-1</f>
        <v>6.6123575350490515E-2</v>
      </c>
      <c r="CE266" s="19">
        <f>+CE264/CD264-1</f>
        <v>6.9026386781172677E-2</v>
      </c>
      <c r="CF266" s="19">
        <f t="shared" ref="CF266" si="3896">+CF264/CE264-1</f>
        <v>4.9678104447651306E-2</v>
      </c>
      <c r="CG266" s="19">
        <f t="shared" ref="CG266" si="3897">+CG264/CF264-1</f>
        <v>5.4115839073461958E-2</v>
      </c>
      <c r="CH266" s="251" t="s">
        <v>294</v>
      </c>
      <c r="CI266" s="19">
        <f>+CI264/CG264-1</f>
        <v>2.7786380940665545E-2</v>
      </c>
      <c r="CJ266" s="19">
        <f>+CJ264/CI264-1</f>
        <v>3.6380846978520731E-2</v>
      </c>
      <c r="CK266" s="19">
        <f t="shared" ref="CK266" si="3898">+CK264/CJ264-1</f>
        <v>3.3125391244204438E-2</v>
      </c>
      <c r="CL266" s="19">
        <f t="shared" ref="CL266" si="3899">+CL264/CK264-1</f>
        <v>3.6988787870615436E-2</v>
      </c>
      <c r="CM266" s="251" t="s">
        <v>294</v>
      </c>
    </row>
    <row r="267" spans="1:93">
      <c r="F267" s="240"/>
      <c r="K267" s="240"/>
      <c r="P267" s="240"/>
      <c r="U267" s="240"/>
      <c r="Z267" s="240"/>
      <c r="AE267" s="240"/>
      <c r="AJ267" s="240"/>
      <c r="AO267" s="240"/>
      <c r="AT267" s="240"/>
      <c r="AU267" s="374"/>
      <c r="AY267" s="240"/>
      <c r="BD267" s="240"/>
      <c r="BI267" s="240"/>
      <c r="BN267" s="240"/>
      <c r="BS267" s="240"/>
      <c r="BX267" s="240"/>
      <c r="CC267" s="240"/>
      <c r="CH267" s="240"/>
      <c r="CM267" s="240"/>
    </row>
    <row r="268" spans="1:93" s="235" customFormat="1">
      <c r="A268" s="174" t="s">
        <v>339</v>
      </c>
      <c r="B268" s="176"/>
      <c r="C268" s="176"/>
      <c r="D268" s="176"/>
      <c r="E268" s="176"/>
      <c r="F268" s="246"/>
      <c r="G268" s="176"/>
      <c r="H268" s="176"/>
      <c r="I268" s="176"/>
      <c r="J268" s="176"/>
      <c r="K268" s="246"/>
      <c r="L268" s="176"/>
      <c r="M268" s="176"/>
      <c r="N268" s="176"/>
      <c r="O268" s="176"/>
      <c r="P268" s="246"/>
      <c r="Q268" s="176"/>
      <c r="R268" s="176"/>
      <c r="S268" s="176"/>
      <c r="T268" s="176"/>
      <c r="U268" s="246"/>
      <c r="V268" s="176"/>
      <c r="W268" s="176"/>
      <c r="X268" s="176"/>
      <c r="Y268" s="176"/>
      <c r="Z268" s="246"/>
      <c r="AA268" s="176"/>
      <c r="AB268" s="176"/>
      <c r="AC268" s="176"/>
      <c r="AD268" s="176"/>
      <c r="AE268" s="246"/>
      <c r="AF268" s="176"/>
      <c r="AG268" s="176"/>
      <c r="AH268" s="176"/>
      <c r="AI268" s="176"/>
      <c r="AJ268" s="246"/>
      <c r="AK268" s="176"/>
      <c r="AL268" s="176"/>
      <c r="AM268" s="176"/>
      <c r="AN268" s="176"/>
      <c r="AO268" s="246"/>
      <c r="AP268" s="176"/>
      <c r="AQ268" s="176"/>
      <c r="AR268" s="176"/>
      <c r="AS268" s="176"/>
      <c r="AT268" s="246"/>
      <c r="AU268" s="176"/>
      <c r="AV268" s="176"/>
      <c r="AW268" s="176"/>
      <c r="AX268" s="176"/>
      <c r="AY268" s="246"/>
      <c r="AZ268" s="176"/>
      <c r="BA268" s="176"/>
      <c r="BB268" s="176"/>
      <c r="BC268" s="176"/>
      <c r="BD268" s="246"/>
      <c r="BE268" s="176"/>
      <c r="BF268" s="176"/>
      <c r="BG268" s="176"/>
      <c r="BH268" s="176"/>
      <c r="BI268" s="246"/>
      <c r="BJ268" s="176"/>
      <c r="BK268" s="176"/>
      <c r="BL268" s="176"/>
      <c r="BM268" s="176"/>
      <c r="BN268" s="246"/>
      <c r="BO268" s="176"/>
      <c r="BP268" s="176"/>
      <c r="BQ268" s="176"/>
      <c r="BR268" s="176"/>
      <c r="BS268" s="246"/>
      <c r="BT268" s="176"/>
      <c r="BU268" s="176"/>
      <c r="BV268" s="176"/>
      <c r="BW268" s="176"/>
      <c r="BX268" s="246"/>
      <c r="BY268" s="176"/>
      <c r="BZ268" s="176"/>
      <c r="CA268" s="176"/>
      <c r="CB268" s="176"/>
      <c r="CC268" s="246"/>
      <c r="CD268" s="176"/>
      <c r="CE268" s="176"/>
      <c r="CF268" s="176"/>
      <c r="CG268" s="176"/>
      <c r="CH268" s="246"/>
      <c r="CI268" s="176"/>
      <c r="CJ268" s="176"/>
      <c r="CK268" s="176"/>
      <c r="CL268" s="176"/>
      <c r="CM268" s="246"/>
      <c r="CN268" s="176"/>
      <c r="CO268" s="176"/>
    </row>
    <row r="269" spans="1:93" s="42" customFormat="1">
      <c r="A269" s="42" t="s">
        <v>20</v>
      </c>
      <c r="B269" s="232" t="s">
        <v>294</v>
      </c>
      <c r="C269" s="232" t="s">
        <v>294</v>
      </c>
      <c r="D269" s="232" t="s">
        <v>294</v>
      </c>
      <c r="E269" s="232" t="s">
        <v>294</v>
      </c>
      <c r="F269" s="239" t="s">
        <v>294</v>
      </c>
      <c r="G269" s="232" t="s">
        <v>294</v>
      </c>
      <c r="H269" s="232" t="s">
        <v>294</v>
      </c>
      <c r="I269" s="232" t="s">
        <v>294</v>
      </c>
      <c r="J269" s="232" t="s">
        <v>294</v>
      </c>
      <c r="K269" s="239" t="s">
        <v>294</v>
      </c>
      <c r="L269" s="232" t="s">
        <v>294</v>
      </c>
      <c r="M269" s="232" t="s">
        <v>294</v>
      </c>
      <c r="N269" s="232" t="s">
        <v>294</v>
      </c>
      <c r="O269" s="232" t="s">
        <v>294</v>
      </c>
      <c r="P269" s="239" t="s">
        <v>294</v>
      </c>
      <c r="Q269" s="232" t="s">
        <v>294</v>
      </c>
      <c r="R269" s="232" t="s">
        <v>294</v>
      </c>
      <c r="S269" s="232" t="s">
        <v>294</v>
      </c>
      <c r="T269" s="232" t="s">
        <v>294</v>
      </c>
      <c r="U269" s="239" t="s">
        <v>294</v>
      </c>
      <c r="V269" s="232" t="s">
        <v>294</v>
      </c>
      <c r="W269" s="232" t="s">
        <v>294</v>
      </c>
      <c r="X269" s="232" t="s">
        <v>294</v>
      </c>
      <c r="Y269" s="232" t="s">
        <v>294</v>
      </c>
      <c r="Z269" s="239" t="s">
        <v>294</v>
      </c>
      <c r="AA269" s="232" t="s">
        <v>294</v>
      </c>
      <c r="AB269" s="232" t="s">
        <v>294</v>
      </c>
      <c r="AC269" s="232" t="s">
        <v>294</v>
      </c>
      <c r="AD269" s="232" t="s">
        <v>294</v>
      </c>
      <c r="AE269" s="239" t="s">
        <v>294</v>
      </c>
      <c r="AF269" s="170">
        <f>+AF286-AF89-AF173</f>
        <v>8.7677147500000103</v>
      </c>
      <c r="AG269" s="170">
        <f>+AG286-AG89-AG173</f>
        <v>5.3527147500000183</v>
      </c>
      <c r="AH269" s="170">
        <f>+AH286-AH89-AH173</f>
        <v>3.0537147500000117</v>
      </c>
      <c r="AI269" s="170">
        <f>+AI286-AI89-AI173</f>
        <v>6.3117147500000215</v>
      </c>
      <c r="AJ269" s="266">
        <f>+AF269+AG269+AH269+AI269</f>
        <v>23.485859000000062</v>
      </c>
      <c r="AK269" s="170">
        <v>5.1559999999999997</v>
      </c>
      <c r="AL269" s="170">
        <f>+AL286-AL89-AL173-AL204</f>
        <v>3.0330000000000084</v>
      </c>
      <c r="AM269" s="170">
        <f>+AM286-AM89-AM173-AM204</f>
        <v>2.7289999999999992</v>
      </c>
      <c r="AN269" s="170">
        <f>+AN286-AN89-AN173-AN204</f>
        <v>2.5680000000000209</v>
      </c>
      <c r="AO269" s="253">
        <f>+AK269+AL269+AM269+AN269</f>
        <v>13.486000000000027</v>
      </c>
      <c r="AP269" s="170">
        <v>1.859</v>
      </c>
      <c r="AQ269" s="170">
        <v>2.569</v>
      </c>
      <c r="AR269" s="170">
        <v>1.9510000000000001</v>
      </c>
      <c r="AS269" s="170">
        <v>2.1829999999999998</v>
      </c>
      <c r="AT269" s="253">
        <f>+AP269+AQ269+AR269+AS269</f>
        <v>8.5619999999999994</v>
      </c>
      <c r="AU269" s="356">
        <f>+AP269*(1+AU270)</f>
        <v>1.9519500000000001</v>
      </c>
      <c r="AV269" s="170">
        <f t="shared" ref="AV269" si="3900">+AQ269*(1+AV270)</f>
        <v>2.6974499999999999</v>
      </c>
      <c r="AW269" s="170">
        <f t="shared" ref="AW269" si="3901">+AR269*(1+AW270)</f>
        <v>2.0485500000000001</v>
      </c>
      <c r="AX269" s="170">
        <f t="shared" ref="AX269" si="3902">+AS269*(1+AX270)</f>
        <v>2.2921499999999999</v>
      </c>
      <c r="AY269" s="253">
        <f>+AU269+AV269+AW269+AX269</f>
        <v>8.9901</v>
      </c>
      <c r="AZ269" s="170">
        <f>+AU269*(1+AZ270)</f>
        <v>2.0495475000000001</v>
      </c>
      <c r="BA269" s="170">
        <f t="shared" ref="BA269" si="3903">+AV269*(1+BA270)</f>
        <v>2.8323225000000001</v>
      </c>
      <c r="BB269" s="170">
        <f t="shared" ref="BB269" si="3904">+AW269*(1+BB270)</f>
        <v>2.1509775000000002</v>
      </c>
      <c r="BC269" s="170">
        <f t="shared" ref="BC269" si="3905">+AX269*(1+BC270)</f>
        <v>2.4067574999999999</v>
      </c>
      <c r="BD269" s="253">
        <f>+AZ269+BA269+BB269+BC269</f>
        <v>9.4396050000000002</v>
      </c>
      <c r="BE269" s="170">
        <f>+AZ269*(1+BE270)</f>
        <v>2.1520248750000004</v>
      </c>
      <c r="BF269" s="170">
        <f t="shared" ref="BF269" si="3906">+BA269*(1+BF270)</f>
        <v>2.9739386250000002</v>
      </c>
      <c r="BG269" s="170">
        <f t="shared" ref="BG269" si="3907">+BB269*(1+BG270)</f>
        <v>2.2585263750000002</v>
      </c>
      <c r="BH269" s="170">
        <f t="shared" ref="BH269" si="3908">+BC269*(1+BH270)</f>
        <v>2.527095375</v>
      </c>
      <c r="BI269" s="253">
        <f>+BE269+BF269+BG269+BH269</f>
        <v>9.9115852500000017</v>
      </c>
      <c r="BJ269" s="170">
        <f>+BE269*(1+BJ270)</f>
        <v>2.2596261187500004</v>
      </c>
      <c r="BK269" s="170">
        <f t="shared" ref="BK269" si="3909">+BF269*(1+BK270)</f>
        <v>3.1226355562500001</v>
      </c>
      <c r="BL269" s="170">
        <f t="shared" ref="BL269" si="3910">+BG269*(1+BL270)</f>
        <v>2.3714526937500002</v>
      </c>
      <c r="BM269" s="170">
        <f t="shared" ref="BM269" si="3911">+BH269*(1+BM270)</f>
        <v>2.6534501437500002</v>
      </c>
      <c r="BN269" s="253">
        <f>+BJ269+BK269+BL269+BM269</f>
        <v>10.407164512500001</v>
      </c>
      <c r="BO269" s="170">
        <f>+BJ269*(1+BO270)</f>
        <v>2.3726074246875006</v>
      </c>
      <c r="BP269" s="170">
        <f t="shared" ref="BP269" si="3912">+BK269*(1+BP270)</f>
        <v>3.2787673340625001</v>
      </c>
      <c r="BQ269" s="170">
        <f t="shared" ref="BQ269" si="3913">+BL269*(1+BQ270)</f>
        <v>2.4900253284375005</v>
      </c>
      <c r="BR269" s="170">
        <f t="shared" ref="BR269" si="3914">+BM269*(1+BR270)</f>
        <v>2.7861226509375006</v>
      </c>
      <c r="BS269" s="253">
        <f>+BO269+BP269+BQ269+BR269</f>
        <v>10.927522738125001</v>
      </c>
      <c r="BT269" s="170">
        <f>+BO269*(1+BT270)</f>
        <v>2.4912377959218759</v>
      </c>
      <c r="BU269" s="170">
        <f t="shared" ref="BU269" si="3915">+BP269*(1+BU270)</f>
        <v>3.4427057007656252</v>
      </c>
      <c r="BV269" s="170">
        <f t="shared" ref="BV269" si="3916">+BQ269*(1+BV270)</f>
        <v>2.6145265948593757</v>
      </c>
      <c r="BW269" s="170">
        <f t="shared" ref="BW269" si="3917">+BR269*(1+BW270)</f>
        <v>2.9254287834843757</v>
      </c>
      <c r="BX269" s="253">
        <f>+BT269+BU269+BV269+BW269</f>
        <v>11.473898875031253</v>
      </c>
      <c r="BY269" s="170">
        <f>+BT269*(1+BY270)</f>
        <v>2.6157996857179699</v>
      </c>
      <c r="BZ269" s="170">
        <f t="shared" ref="BZ269" si="3918">+BU269*(1+BZ270)</f>
        <v>3.6148409858039066</v>
      </c>
      <c r="CA269" s="170">
        <f t="shared" ref="CA269" si="3919">+BV269*(1+CA270)</f>
        <v>2.7452529246023447</v>
      </c>
      <c r="CB269" s="170">
        <f t="shared" ref="CB269" si="3920">+BW269*(1+CB270)</f>
        <v>3.0717002226585945</v>
      </c>
      <c r="CC269" s="253">
        <f>+BY269+BZ269+CA269+CB269</f>
        <v>12.047593818782815</v>
      </c>
      <c r="CD269" s="170">
        <f>+BY269*(1+CD270)</f>
        <v>2.7465896700038686</v>
      </c>
      <c r="CE269" s="170">
        <f t="shared" ref="CE269" si="3921">+BZ269*(1+CE270)</f>
        <v>3.795583035094102</v>
      </c>
      <c r="CF269" s="170">
        <f t="shared" ref="CF269" si="3922">+CA269*(1+CF270)</f>
        <v>2.8825155708324619</v>
      </c>
      <c r="CG269" s="170">
        <f t="shared" ref="CG269" si="3923">+CB269*(1+CG270)</f>
        <v>3.2252852337915243</v>
      </c>
      <c r="CH269" s="253">
        <f>+CD269+CE269+CF269+CG269</f>
        <v>12.649973509721956</v>
      </c>
      <c r="CI269" s="170">
        <f>+CD269*(1+CI270)</f>
        <v>2.883919153504062</v>
      </c>
      <c r="CJ269" s="170">
        <f t="shared" ref="CJ269" si="3924">+CE269*(1+CJ270)</f>
        <v>3.9853621868488074</v>
      </c>
      <c r="CK269" s="170">
        <f t="shared" ref="CK269" si="3925">+CF269*(1+CK270)</f>
        <v>3.0266413493740849</v>
      </c>
      <c r="CL269" s="170">
        <f t="shared" ref="CL269" si="3926">+CG269*(1+CL270)</f>
        <v>3.3865494954811006</v>
      </c>
      <c r="CM269" s="253">
        <f>+CI269+CJ269+CK269+CL269</f>
        <v>13.282472185208055</v>
      </c>
    </row>
    <row r="270" spans="1:93">
      <c r="A270" s="139" t="s">
        <v>291</v>
      </c>
      <c r="B270" s="232" t="s">
        <v>294</v>
      </c>
      <c r="C270" s="232" t="s">
        <v>294</v>
      </c>
      <c r="D270" s="232" t="s">
        <v>294</v>
      </c>
      <c r="E270" s="232" t="s">
        <v>294</v>
      </c>
      <c r="F270" s="239" t="s">
        <v>294</v>
      </c>
      <c r="G270" s="232" t="s">
        <v>294</v>
      </c>
      <c r="H270" s="232" t="s">
        <v>294</v>
      </c>
      <c r="I270" s="232" t="s">
        <v>294</v>
      </c>
      <c r="J270" s="232" t="s">
        <v>294</v>
      </c>
      <c r="K270" s="239" t="s">
        <v>294</v>
      </c>
      <c r="L270" s="232" t="s">
        <v>294</v>
      </c>
      <c r="M270" s="232" t="s">
        <v>294</v>
      </c>
      <c r="N270" s="232" t="s">
        <v>294</v>
      </c>
      <c r="O270" s="232" t="s">
        <v>294</v>
      </c>
      <c r="P270" s="239" t="s">
        <v>294</v>
      </c>
      <c r="Q270" s="232" t="s">
        <v>294</v>
      </c>
      <c r="R270" s="232" t="s">
        <v>294</v>
      </c>
      <c r="S270" s="232" t="s">
        <v>294</v>
      </c>
      <c r="T270" s="232" t="s">
        <v>294</v>
      </c>
      <c r="U270" s="239" t="s">
        <v>294</v>
      </c>
      <c r="V270" s="232" t="s">
        <v>294</v>
      </c>
      <c r="W270" s="232" t="s">
        <v>294</v>
      </c>
      <c r="X270" s="232" t="s">
        <v>294</v>
      </c>
      <c r="Y270" s="232" t="s">
        <v>294</v>
      </c>
      <c r="Z270" s="239" t="s">
        <v>294</v>
      </c>
      <c r="AA270" s="232" t="s">
        <v>294</v>
      </c>
      <c r="AB270" s="232" t="s">
        <v>294</v>
      </c>
      <c r="AC270" s="232" t="s">
        <v>294</v>
      </c>
      <c r="AD270" s="232" t="s">
        <v>294</v>
      </c>
      <c r="AE270" s="239" t="s">
        <v>294</v>
      </c>
      <c r="AF270" s="232" t="s">
        <v>294</v>
      </c>
      <c r="AG270" s="232" t="s">
        <v>294</v>
      </c>
      <c r="AH270" s="232" t="s">
        <v>294</v>
      </c>
      <c r="AI270" s="232" t="s">
        <v>294</v>
      </c>
      <c r="AJ270" s="239" t="s">
        <v>294</v>
      </c>
      <c r="AK270" s="232" t="s">
        <v>294</v>
      </c>
      <c r="AL270" s="232" t="s">
        <v>294</v>
      </c>
      <c r="AM270" s="232" t="s">
        <v>294</v>
      </c>
      <c r="AN270" s="232" t="s">
        <v>294</v>
      </c>
      <c r="AO270" s="239" t="s">
        <v>294</v>
      </c>
      <c r="AP270" s="19">
        <f>+AP269/AK269-1</f>
        <v>-0.63944918541505036</v>
      </c>
      <c r="AQ270" s="19">
        <f>+AQ269/AL269-1</f>
        <v>-0.15298384437850543</v>
      </c>
      <c r="AR270" s="19">
        <f>+AR269/AM269-1</f>
        <v>-0.28508611212898471</v>
      </c>
      <c r="AS270" s="19">
        <f>+AS269/AN269-1</f>
        <v>-0.1499221183800693</v>
      </c>
      <c r="AT270" s="259">
        <f t="shared" ref="AT270" si="3927">+AT269/AO269-1</f>
        <v>-0.36511938306391944</v>
      </c>
      <c r="AU270" s="400">
        <v>0.05</v>
      </c>
      <c r="AV270" s="164">
        <v>0.05</v>
      </c>
      <c r="AW270" s="164">
        <v>0.05</v>
      </c>
      <c r="AX270" s="164">
        <v>0.05</v>
      </c>
      <c r="AY270" s="259">
        <f t="shared" ref="AY270" si="3928">+AY269/AT269-1</f>
        <v>5.0000000000000044E-2</v>
      </c>
      <c r="AZ270" s="164">
        <v>0.05</v>
      </c>
      <c r="BA270" s="164">
        <v>0.05</v>
      </c>
      <c r="BB270" s="164">
        <v>0.05</v>
      </c>
      <c r="BC270" s="164">
        <v>0.05</v>
      </c>
      <c r="BD270" s="259">
        <f t="shared" ref="BD270" si="3929">+BD269/AY269-1</f>
        <v>5.0000000000000044E-2</v>
      </c>
      <c r="BE270" s="164">
        <v>0.05</v>
      </c>
      <c r="BF270" s="164">
        <v>0.05</v>
      </c>
      <c r="BG270" s="164">
        <v>0.05</v>
      </c>
      <c r="BH270" s="164">
        <v>0.05</v>
      </c>
      <c r="BI270" s="259">
        <f t="shared" ref="BI270" si="3930">+BI269/BD269-1</f>
        <v>5.0000000000000044E-2</v>
      </c>
      <c r="BJ270" s="164">
        <v>0.05</v>
      </c>
      <c r="BK270" s="164">
        <v>0.05</v>
      </c>
      <c r="BL270" s="164">
        <v>0.05</v>
      </c>
      <c r="BM270" s="164">
        <v>0.05</v>
      </c>
      <c r="BN270" s="259">
        <f t="shared" ref="BN270" si="3931">+BN269/BI269-1</f>
        <v>5.0000000000000044E-2</v>
      </c>
      <c r="BO270" s="164">
        <v>0.05</v>
      </c>
      <c r="BP270" s="164">
        <v>0.05</v>
      </c>
      <c r="BQ270" s="164">
        <v>0.05</v>
      </c>
      <c r="BR270" s="164">
        <v>0.05</v>
      </c>
      <c r="BS270" s="259">
        <f t="shared" ref="BS270" si="3932">+BS269/BN269-1</f>
        <v>5.0000000000000044E-2</v>
      </c>
      <c r="BT270" s="164">
        <v>0.05</v>
      </c>
      <c r="BU270" s="164">
        <v>0.05</v>
      </c>
      <c r="BV270" s="164">
        <v>0.05</v>
      </c>
      <c r="BW270" s="164">
        <v>0.05</v>
      </c>
      <c r="BX270" s="259">
        <f t="shared" ref="BX270" si="3933">+BX269/BS269-1</f>
        <v>5.0000000000000266E-2</v>
      </c>
      <c r="BY270" s="60">
        <v>0.05</v>
      </c>
      <c r="BZ270" s="60">
        <v>0.05</v>
      </c>
      <c r="CA270" s="60">
        <v>0.05</v>
      </c>
      <c r="CB270" s="60">
        <v>0.05</v>
      </c>
      <c r="CC270" s="259">
        <f t="shared" ref="CC270" si="3934">+CC269/BX269-1</f>
        <v>5.0000000000000044E-2</v>
      </c>
      <c r="CD270" s="60">
        <v>0.05</v>
      </c>
      <c r="CE270" s="60">
        <v>0.05</v>
      </c>
      <c r="CF270" s="60">
        <v>0.05</v>
      </c>
      <c r="CG270" s="60">
        <v>0.05</v>
      </c>
      <c r="CH270" s="259">
        <f t="shared" ref="CH270" si="3935">+CH269/CC269-1</f>
        <v>5.0000000000000044E-2</v>
      </c>
      <c r="CI270" s="60">
        <v>0.05</v>
      </c>
      <c r="CJ270" s="60">
        <v>0.05</v>
      </c>
      <c r="CK270" s="60">
        <v>0.05</v>
      </c>
      <c r="CL270" s="60">
        <v>0.05</v>
      </c>
      <c r="CM270" s="259">
        <f t="shared" ref="CM270" si="3936">+CM269/CH269-1</f>
        <v>5.0000000000000044E-2</v>
      </c>
    </row>
    <row r="271" spans="1:93">
      <c r="A271" s="139" t="s">
        <v>292</v>
      </c>
      <c r="B271" s="232" t="s">
        <v>294</v>
      </c>
      <c r="C271" s="232" t="s">
        <v>294</v>
      </c>
      <c r="D271" s="232" t="s">
        <v>294</v>
      </c>
      <c r="E271" s="232" t="s">
        <v>294</v>
      </c>
      <c r="F271" s="239" t="s">
        <v>294</v>
      </c>
      <c r="G271" s="232" t="s">
        <v>294</v>
      </c>
      <c r="H271" s="232" t="s">
        <v>294</v>
      </c>
      <c r="I271" s="232" t="s">
        <v>294</v>
      </c>
      <c r="J271" s="232" t="s">
        <v>294</v>
      </c>
      <c r="K271" s="239" t="s">
        <v>294</v>
      </c>
      <c r="L271" s="232" t="s">
        <v>294</v>
      </c>
      <c r="M271" s="232" t="s">
        <v>294</v>
      </c>
      <c r="N271" s="232" t="s">
        <v>294</v>
      </c>
      <c r="O271" s="232" t="s">
        <v>294</v>
      </c>
      <c r="P271" s="239" t="s">
        <v>294</v>
      </c>
      <c r="Q271" s="232" t="s">
        <v>294</v>
      </c>
      <c r="R271" s="232" t="s">
        <v>294</v>
      </c>
      <c r="S271" s="232" t="s">
        <v>294</v>
      </c>
      <c r="T271" s="232" t="s">
        <v>294</v>
      </c>
      <c r="U271" s="239" t="s">
        <v>294</v>
      </c>
      <c r="V271" s="232" t="s">
        <v>294</v>
      </c>
      <c r="W271" s="232" t="s">
        <v>294</v>
      </c>
      <c r="X271" s="232" t="s">
        <v>294</v>
      </c>
      <c r="Y271" s="232" t="s">
        <v>294</v>
      </c>
      <c r="Z271" s="239" t="s">
        <v>294</v>
      </c>
      <c r="AA271" s="232" t="s">
        <v>294</v>
      </c>
      <c r="AB271" s="232" t="s">
        <v>294</v>
      </c>
      <c r="AC271" s="232" t="s">
        <v>294</v>
      </c>
      <c r="AD271" s="232" t="s">
        <v>294</v>
      </c>
      <c r="AE271" s="239" t="s">
        <v>294</v>
      </c>
      <c r="AF271" s="232" t="s">
        <v>294</v>
      </c>
      <c r="AG271" s="232" t="s">
        <v>294</v>
      </c>
      <c r="AH271" s="232" t="s">
        <v>294</v>
      </c>
      <c r="AI271" s="232" t="s">
        <v>294</v>
      </c>
      <c r="AJ271" s="239" t="s">
        <v>294</v>
      </c>
      <c r="AK271" s="232" t="s">
        <v>294</v>
      </c>
      <c r="AL271" s="19">
        <f>+AL269/AK269-1</f>
        <v>-0.41175329712955611</v>
      </c>
      <c r="AM271" s="19">
        <f>+AM269/AL269-1</f>
        <v>-0.10023079459281514</v>
      </c>
      <c r="AN271" s="19">
        <f>+AN269/AM269-1</f>
        <v>-5.8995969219486355E-2</v>
      </c>
      <c r="AO271" s="251" t="s">
        <v>294</v>
      </c>
      <c r="AP271" s="19">
        <f>+AP269/AN269-1</f>
        <v>-0.27609034267913368</v>
      </c>
      <c r="AQ271" s="19">
        <f>+AQ269/AP269-1</f>
        <v>0.38192576654115107</v>
      </c>
      <c r="AR271" s="19">
        <f>+AR269/AQ269-1</f>
        <v>-0.24056052938886718</v>
      </c>
      <c r="AS271" s="19">
        <f>+AS269/AR269-1</f>
        <v>0.11891337775499733</v>
      </c>
      <c r="AT271" s="251" t="s">
        <v>294</v>
      </c>
      <c r="AU271" s="379">
        <f>+AU269/AS269-1</f>
        <v>-0.10584058634906079</v>
      </c>
      <c r="AV271" s="19">
        <f>+AV269/AU269-1</f>
        <v>0.38192576654115107</v>
      </c>
      <c r="AW271" s="19">
        <f>+AW269/AV269-1</f>
        <v>-0.24056052938886718</v>
      </c>
      <c r="AX271" s="19">
        <f>+AX269/AW269-1</f>
        <v>0.11891337775499733</v>
      </c>
      <c r="AY271" s="251" t="s">
        <v>294</v>
      </c>
      <c r="AZ271" s="19">
        <f>+AZ269/AX269-1</f>
        <v>-0.10584058634906091</v>
      </c>
      <c r="BA271" s="19">
        <f>+BA269/AZ269-1</f>
        <v>0.38192576654115107</v>
      </c>
      <c r="BB271" s="19">
        <f>+BB269/BA269-1</f>
        <v>-0.24056052938886718</v>
      </c>
      <c r="BC271" s="19">
        <f>+BC269/BB269-1</f>
        <v>0.11891337775499733</v>
      </c>
      <c r="BD271" s="251" t="s">
        <v>294</v>
      </c>
      <c r="BE271" s="19">
        <f>+BE269/BC269-1</f>
        <v>-0.10584058634906068</v>
      </c>
      <c r="BF271" s="19">
        <f>+BF269/BE269-1</f>
        <v>0.38192576654115107</v>
      </c>
      <c r="BG271" s="19">
        <f>+BG269/BF269-1</f>
        <v>-0.24056052938886729</v>
      </c>
      <c r="BH271" s="19">
        <f>+BH269/BG269-1</f>
        <v>0.11891337775499733</v>
      </c>
      <c r="BI271" s="251" t="s">
        <v>294</v>
      </c>
      <c r="BJ271" s="19">
        <f>+BJ269/BH269-1</f>
        <v>-0.10584058634906079</v>
      </c>
      <c r="BK271" s="19">
        <f>+BK269/BJ269-1</f>
        <v>0.38192576654115085</v>
      </c>
      <c r="BL271" s="19">
        <f>+BL269/BK269-1</f>
        <v>-0.24056052938886718</v>
      </c>
      <c r="BM271" s="19">
        <f>+BM269/BL269-1</f>
        <v>0.11891337775499733</v>
      </c>
      <c r="BN271" s="251" t="s">
        <v>294</v>
      </c>
      <c r="BO271" s="19">
        <f>+BO269/BM269-1</f>
        <v>-0.10584058634906079</v>
      </c>
      <c r="BP271" s="19">
        <f>+BP269/BO269-1</f>
        <v>0.38192576654115085</v>
      </c>
      <c r="BQ271" s="19">
        <f>+BQ269/BP269-1</f>
        <v>-0.24056052938886718</v>
      </c>
      <c r="BR271" s="19">
        <f>+BR269/BQ269-1</f>
        <v>0.11891337775499755</v>
      </c>
      <c r="BS271" s="251" t="s">
        <v>294</v>
      </c>
      <c r="BT271" s="19">
        <f>+BT269/BR269-1</f>
        <v>-0.10584058634906079</v>
      </c>
      <c r="BU271" s="19">
        <f>+BU269/BT269-1</f>
        <v>0.38192576654115085</v>
      </c>
      <c r="BV271" s="19">
        <f>+BV269/BU269-1</f>
        <v>-0.24056052938886707</v>
      </c>
      <c r="BW271" s="19">
        <f>+BW269/BV269-1</f>
        <v>0.11891337775499733</v>
      </c>
      <c r="BX271" s="251" t="s">
        <v>294</v>
      </c>
      <c r="BY271" s="19">
        <f>+BY269/BW269-1</f>
        <v>-0.10584058634906079</v>
      </c>
      <c r="BZ271" s="19">
        <f>+BZ269/BY269-1</f>
        <v>0.38192576654115062</v>
      </c>
      <c r="CA271" s="19">
        <f>+CA269/BZ269-1</f>
        <v>-0.24056052938886707</v>
      </c>
      <c r="CB271" s="19">
        <f>+CB269/CA269-1</f>
        <v>0.11891337775499733</v>
      </c>
      <c r="CC271" s="251" t="s">
        <v>294</v>
      </c>
      <c r="CD271" s="19">
        <f>+CD269/CB269-1</f>
        <v>-0.10584058634906068</v>
      </c>
      <c r="CE271" s="19">
        <f>+CE269/CD269-1</f>
        <v>0.38192576654115062</v>
      </c>
      <c r="CF271" s="19">
        <f>+CF269/CE269-1</f>
        <v>-0.24056052938886707</v>
      </c>
      <c r="CG271" s="19">
        <f>+CG269/CF269-1</f>
        <v>0.11891337775499733</v>
      </c>
      <c r="CH271" s="251" t="s">
        <v>294</v>
      </c>
      <c r="CI271" s="19">
        <f>+CI269/CG269-1</f>
        <v>-0.10584058634906068</v>
      </c>
      <c r="CJ271" s="19">
        <f>+CJ269/CI269-1</f>
        <v>0.38192576654115062</v>
      </c>
      <c r="CK271" s="19">
        <f>+CK269/CJ269-1</f>
        <v>-0.24056052938886718</v>
      </c>
      <c r="CL271" s="19">
        <f>+CL269/CK269-1</f>
        <v>0.11891337775499733</v>
      </c>
      <c r="CM271" s="251" t="s">
        <v>294</v>
      </c>
    </row>
    <row r="272" spans="1:93">
      <c r="A272" s="139"/>
      <c r="F272" s="240"/>
      <c r="K272" s="240"/>
      <c r="P272" s="240"/>
      <c r="U272" s="240"/>
      <c r="Z272" s="240"/>
      <c r="AE272" s="240"/>
      <c r="AF272" s="147"/>
      <c r="AG272" s="19"/>
      <c r="AH272" s="19"/>
      <c r="AI272" s="19"/>
      <c r="AJ272" s="251"/>
      <c r="AK272" s="19"/>
      <c r="AL272" s="19"/>
      <c r="AM272" s="19"/>
      <c r="AN272" s="19"/>
      <c r="AO272" s="251"/>
      <c r="AP272" s="19"/>
      <c r="AQ272" s="19"/>
      <c r="AR272" s="19"/>
      <c r="AS272" s="19"/>
      <c r="AT272" s="251"/>
      <c r="AU272" s="379"/>
      <c r="AV272" s="19"/>
      <c r="AW272" s="19"/>
      <c r="AX272" s="19"/>
      <c r="AY272" s="251"/>
      <c r="AZ272" s="19"/>
      <c r="BA272" s="19"/>
      <c r="BB272" s="19"/>
      <c r="BC272" s="19"/>
      <c r="BD272" s="251"/>
      <c r="BE272" s="19"/>
      <c r="BF272" s="19"/>
      <c r="BG272" s="19"/>
      <c r="BH272" s="19"/>
      <c r="BI272" s="251"/>
      <c r="BJ272" s="19"/>
      <c r="BK272" s="19"/>
      <c r="BL272" s="19"/>
      <c r="BM272" s="19"/>
      <c r="BN272" s="251"/>
      <c r="BO272" s="19"/>
      <c r="BP272" s="19"/>
      <c r="BQ272" s="19"/>
      <c r="BR272" s="19"/>
      <c r="BS272" s="251"/>
      <c r="BT272" s="19"/>
      <c r="BU272" s="19"/>
      <c r="BV272" s="19"/>
      <c r="BW272" s="19"/>
      <c r="BX272" s="251"/>
      <c r="BY272" s="19"/>
      <c r="BZ272" s="19"/>
      <c r="CA272" s="19"/>
      <c r="CB272" s="19"/>
      <c r="CC272" s="251"/>
      <c r="CD272" s="19"/>
      <c r="CE272" s="19"/>
      <c r="CF272" s="19"/>
      <c r="CG272" s="19"/>
      <c r="CH272" s="251"/>
      <c r="CI272" s="19"/>
      <c r="CJ272" s="19"/>
      <c r="CK272" s="19"/>
      <c r="CL272" s="19"/>
      <c r="CM272" s="251"/>
    </row>
    <row r="273" spans="1:93" s="230" customFormat="1">
      <c r="A273" s="174" t="s">
        <v>445</v>
      </c>
      <c r="B273" s="174"/>
      <c r="C273" s="174"/>
      <c r="D273" s="174"/>
      <c r="E273" s="174"/>
      <c r="F273" s="244"/>
      <c r="G273" s="174"/>
      <c r="H273" s="174"/>
      <c r="I273" s="174"/>
      <c r="J273" s="174"/>
      <c r="K273" s="244"/>
      <c r="L273" s="174"/>
      <c r="M273" s="174"/>
      <c r="N273" s="174"/>
      <c r="O273" s="174"/>
      <c r="P273" s="244"/>
      <c r="Q273" s="174"/>
      <c r="R273" s="174"/>
      <c r="S273" s="174"/>
      <c r="T273" s="174"/>
      <c r="U273" s="244"/>
      <c r="V273" s="174"/>
      <c r="W273" s="174"/>
      <c r="X273" s="174"/>
      <c r="Y273" s="174"/>
      <c r="Z273" s="244"/>
      <c r="AA273" s="174"/>
      <c r="AB273" s="174"/>
      <c r="AC273" s="174"/>
      <c r="AD273" s="174"/>
      <c r="AE273" s="244"/>
      <c r="AF273" s="174"/>
      <c r="AG273" s="174"/>
      <c r="AH273" s="174"/>
      <c r="AI273" s="174"/>
      <c r="AJ273" s="244"/>
      <c r="AK273" s="174"/>
      <c r="AL273" s="174"/>
      <c r="AM273" s="174"/>
      <c r="AN273" s="174"/>
      <c r="AO273" s="244"/>
      <c r="AP273" s="174"/>
      <c r="AQ273" s="174"/>
      <c r="AR273" s="174"/>
      <c r="AS273" s="174"/>
      <c r="AT273" s="244"/>
      <c r="AU273" s="174"/>
      <c r="AV273" s="174"/>
      <c r="AW273" s="174"/>
      <c r="AX273" s="174"/>
      <c r="AY273" s="244"/>
      <c r="AZ273" s="174"/>
      <c r="BA273" s="174"/>
      <c r="BB273" s="174"/>
      <c r="BC273" s="174"/>
      <c r="BD273" s="244"/>
      <c r="BE273" s="174"/>
      <c r="BF273" s="174"/>
      <c r="BG273" s="174"/>
      <c r="BH273" s="174"/>
      <c r="BI273" s="244"/>
      <c r="BJ273" s="174"/>
      <c r="BK273" s="174"/>
      <c r="BL273" s="174"/>
      <c r="BM273" s="174"/>
      <c r="BN273" s="244"/>
      <c r="BO273" s="174"/>
      <c r="BP273" s="174"/>
      <c r="BQ273" s="174"/>
      <c r="BR273" s="174"/>
      <c r="BS273" s="244"/>
      <c r="BT273" s="174"/>
      <c r="BU273" s="174"/>
      <c r="BV273" s="174"/>
      <c r="BW273" s="174"/>
      <c r="BX273" s="244"/>
      <c r="BY273" s="174"/>
      <c r="BZ273" s="174"/>
      <c r="CA273" s="174"/>
      <c r="CB273" s="174"/>
      <c r="CC273" s="244"/>
      <c r="CD273" s="174"/>
      <c r="CE273" s="174"/>
      <c r="CF273" s="174"/>
      <c r="CG273" s="174"/>
      <c r="CH273" s="244"/>
      <c r="CI273" s="174"/>
      <c r="CJ273" s="174"/>
      <c r="CK273" s="174"/>
      <c r="CL273" s="174"/>
      <c r="CM273" s="244"/>
      <c r="CN273" s="174"/>
      <c r="CO273" s="174"/>
    </row>
    <row r="274" spans="1:93" s="42" customFormat="1">
      <c r="A274" s="42" t="s">
        <v>333</v>
      </c>
      <c r="F274" s="245"/>
      <c r="G274" s="167">
        <f>+G178+G55</f>
        <v>9546</v>
      </c>
      <c r="H274" s="167">
        <f>+H178+H55</f>
        <v>9223</v>
      </c>
      <c r="I274" s="167">
        <f>+I178+I55</f>
        <v>9532</v>
      </c>
      <c r="J274" s="167">
        <f>+J178+J55</f>
        <v>11621</v>
      </c>
      <c r="K274" s="249">
        <f>+G274+H274+I274+J274</f>
        <v>39922</v>
      </c>
      <c r="L274" s="167">
        <f>+L178+L55</f>
        <v>13271</v>
      </c>
      <c r="M274" s="167">
        <f>+M178+M55</f>
        <v>17125</v>
      </c>
      <c r="N274" s="167">
        <f>+N178+N55</f>
        <v>18509</v>
      </c>
      <c r="O274" s="167">
        <f>+O178+O55</f>
        <v>21520</v>
      </c>
      <c r="P274" s="249">
        <f>+L274+M274+N274+O274</f>
        <v>70425</v>
      </c>
      <c r="Q274" s="167">
        <f>+Q178+Q55</f>
        <v>20523</v>
      </c>
      <c r="R274" s="167">
        <f>+R178+R55</f>
        <v>16499</v>
      </c>
      <c r="S274" s="167">
        <f>+S178+S55</f>
        <v>20021</v>
      </c>
      <c r="T274" s="167">
        <f>+T178+T55</f>
        <v>22194</v>
      </c>
      <c r="U274" s="249">
        <f>+Q274+R274+S274+T274</f>
        <v>79237</v>
      </c>
      <c r="V274" s="167">
        <f>+V178+V55</f>
        <v>21912</v>
      </c>
      <c r="W274" s="167">
        <f>+W178+W55</f>
        <v>24483</v>
      </c>
      <c r="X274" s="167">
        <f>+X178+X55</f>
        <v>27645</v>
      </c>
      <c r="Y274" s="167">
        <f>+Y178+Y55</f>
        <v>32200</v>
      </c>
      <c r="Z274" s="249">
        <f>+V274+W274+X274+Y274</f>
        <v>106240</v>
      </c>
      <c r="AA274" s="167">
        <f>+AA178+AA55</f>
        <v>32200</v>
      </c>
      <c r="AB274" s="167">
        <f>+AB178+AB55</f>
        <v>35300</v>
      </c>
      <c r="AC274" s="167">
        <f>+AC178+AC55</f>
        <v>39150</v>
      </c>
      <c r="AD274" s="167">
        <f>+AD178+AD55</f>
        <v>44200</v>
      </c>
      <c r="AE274" s="249">
        <f>+AA274+AB274+AC274+AD274</f>
        <v>150850</v>
      </c>
      <c r="AF274" s="167">
        <f>+AF178+AF55</f>
        <v>45250</v>
      </c>
      <c r="AG274" s="167">
        <f>+AG178+AG55</f>
        <v>50200</v>
      </c>
      <c r="AH274" s="167">
        <f>+AH178+AH55</f>
        <v>51400</v>
      </c>
      <c r="AI274" s="167">
        <f>+AI178+AI55</f>
        <v>55900</v>
      </c>
      <c r="AJ274" s="249">
        <f>+AF274+AG274+AH274+AI274</f>
        <v>202750</v>
      </c>
      <c r="AK274" s="167">
        <f>+AK178+AK55</f>
        <v>55350</v>
      </c>
      <c r="AL274" s="167">
        <f>+AL178+AL55</f>
        <v>59875</v>
      </c>
      <c r="AM274" s="167">
        <f>+AM178+AM55</f>
        <v>63600</v>
      </c>
      <c r="AN274" s="167">
        <f>+AN178+AN55</f>
        <v>68350</v>
      </c>
      <c r="AO274" s="249">
        <f>+AK274+AL274+AM274+AN274</f>
        <v>247175</v>
      </c>
      <c r="AQ274" s="167"/>
      <c r="AR274" s="167"/>
      <c r="AT274" s="245"/>
      <c r="AY274" s="245"/>
      <c r="BD274" s="245"/>
      <c r="BI274" s="245"/>
      <c r="BN274" s="245"/>
      <c r="BS274" s="245"/>
      <c r="BX274" s="245"/>
      <c r="CC274" s="245"/>
      <c r="CH274" s="245"/>
      <c r="CM274" s="245"/>
    </row>
    <row r="275" spans="1:93">
      <c r="A275" s="139" t="s">
        <v>291</v>
      </c>
      <c r="F275" s="240"/>
      <c r="G275" s="147" t="s">
        <v>294</v>
      </c>
      <c r="H275" s="147" t="s">
        <v>294</v>
      </c>
      <c r="I275" s="147" t="s">
        <v>294</v>
      </c>
      <c r="J275" s="147" t="s">
        <v>294</v>
      </c>
      <c r="K275" s="251" t="s">
        <v>294</v>
      </c>
      <c r="L275" s="19">
        <f t="shared" ref="L275:AO275" si="3937">+L274/G274-1</f>
        <v>0.39021579719254129</v>
      </c>
      <c r="M275" s="19">
        <f t="shared" si="3937"/>
        <v>0.8567711156890383</v>
      </c>
      <c r="N275" s="19">
        <f t="shared" si="3937"/>
        <v>0.94177507343684441</v>
      </c>
      <c r="O275" s="19">
        <f t="shared" si="3937"/>
        <v>0.85181998106875478</v>
      </c>
      <c r="P275" s="259">
        <f t="shared" si="3937"/>
        <v>0.76406492660688352</v>
      </c>
      <c r="Q275" s="19">
        <f t="shared" si="3937"/>
        <v>0.54645467560846961</v>
      </c>
      <c r="R275" s="19">
        <f t="shared" si="3937"/>
        <v>-3.6554744525547411E-2</v>
      </c>
      <c r="S275" s="19">
        <f t="shared" si="3937"/>
        <v>8.1689988654168211E-2</v>
      </c>
      <c r="T275" s="19">
        <f t="shared" si="3937"/>
        <v>3.1319702602230493E-2</v>
      </c>
      <c r="U275" s="259">
        <f t="shared" si="3937"/>
        <v>0.12512602058927946</v>
      </c>
      <c r="V275" s="19">
        <f t="shared" si="3937"/>
        <v>6.7680163718754516E-2</v>
      </c>
      <c r="W275" s="19">
        <f t="shared" si="3937"/>
        <v>0.48390811564337222</v>
      </c>
      <c r="X275" s="19">
        <f t="shared" si="3937"/>
        <v>0.38080015983217619</v>
      </c>
      <c r="Y275" s="19">
        <f t="shared" si="3937"/>
        <v>0.45084257006398132</v>
      </c>
      <c r="Z275" s="259">
        <f t="shared" si="3937"/>
        <v>0.34078776329240124</v>
      </c>
      <c r="AA275" s="19">
        <f t="shared" si="3937"/>
        <v>0.46951442132165022</v>
      </c>
      <c r="AB275" s="19">
        <f t="shared" si="3937"/>
        <v>0.44181677082056936</v>
      </c>
      <c r="AC275" s="19">
        <f t="shared" si="3937"/>
        <v>0.41616928920238738</v>
      </c>
      <c r="AD275" s="19">
        <f t="shared" si="3937"/>
        <v>0.37267080745341619</v>
      </c>
      <c r="AE275" s="259">
        <f t="shared" si="3937"/>
        <v>0.41989834337349397</v>
      </c>
      <c r="AF275" s="19">
        <f t="shared" si="3937"/>
        <v>0.40527950310559002</v>
      </c>
      <c r="AG275" s="19">
        <f t="shared" si="3937"/>
        <v>0.42209631728045327</v>
      </c>
      <c r="AH275" s="19">
        <f t="shared" si="3937"/>
        <v>0.31289910600255433</v>
      </c>
      <c r="AI275" s="19">
        <f t="shared" si="3937"/>
        <v>0.26470588235294112</v>
      </c>
      <c r="AJ275" s="259">
        <f t="shared" si="3937"/>
        <v>0.34405038117335107</v>
      </c>
      <c r="AK275" s="19">
        <f t="shared" si="3937"/>
        <v>0.22320441988950268</v>
      </c>
      <c r="AL275" s="19">
        <f t="shared" si="3937"/>
        <v>0.19272908366533859</v>
      </c>
      <c r="AM275" s="19">
        <f t="shared" si="3937"/>
        <v>0.23735408560311289</v>
      </c>
      <c r="AN275" s="19">
        <f t="shared" si="3937"/>
        <v>0.22271914132379256</v>
      </c>
      <c r="AO275" s="259">
        <f t="shared" si="3937"/>
        <v>0.21911220715166468</v>
      </c>
      <c r="AQ275" s="19"/>
      <c r="AR275" s="19"/>
      <c r="AT275" s="240"/>
      <c r="AY275" s="240"/>
      <c r="BD275" s="240"/>
      <c r="BI275" s="240"/>
      <c r="BN275" s="240"/>
      <c r="BS275" s="240"/>
      <c r="BX275" s="240"/>
      <c r="CC275" s="240"/>
      <c r="CH275" s="240"/>
      <c r="CM275" s="240"/>
    </row>
    <row r="276" spans="1:93">
      <c r="A276" s="139" t="s">
        <v>292</v>
      </c>
      <c r="F276" s="240"/>
      <c r="G276" s="147" t="s">
        <v>294</v>
      </c>
      <c r="H276" s="19">
        <f>+H274/G274-1</f>
        <v>-3.3836161743138526E-2</v>
      </c>
      <c r="I276" s="19">
        <f>+I274/H274-1</f>
        <v>3.3503198525425493E-2</v>
      </c>
      <c r="J276" s="19">
        <f>+J274/I274-1</f>
        <v>0.21915652538816621</v>
      </c>
      <c r="K276" s="251" t="s">
        <v>294</v>
      </c>
      <c r="L276" s="19">
        <f>+L274/J274-1</f>
        <v>0.14198433869718619</v>
      </c>
      <c r="M276" s="19">
        <f>+M274/L274-1</f>
        <v>0.29040765579082217</v>
      </c>
      <c r="N276" s="19">
        <f>+N274/M274-1</f>
        <v>8.081751824817518E-2</v>
      </c>
      <c r="O276" s="19">
        <f>+O274/N274-1</f>
        <v>0.16267761629477562</v>
      </c>
      <c r="P276" s="251" t="s">
        <v>294</v>
      </c>
      <c r="Q276" s="19">
        <f>+Q274/O274-1</f>
        <v>-4.6328996282527846E-2</v>
      </c>
      <c r="R276" s="19">
        <f>+R274/Q274-1</f>
        <v>-0.19607269892315937</v>
      </c>
      <c r="S276" s="19">
        <f>+S274/R274-1</f>
        <v>0.21346748287775008</v>
      </c>
      <c r="T276" s="19">
        <f>+T274/S274-1</f>
        <v>0.10853603716098092</v>
      </c>
      <c r="U276" s="251" t="s">
        <v>294</v>
      </c>
      <c r="V276" s="19">
        <f>+V274/T274-1</f>
        <v>-1.2706136793728007E-2</v>
      </c>
      <c r="W276" s="19">
        <f>+W274/V274-1</f>
        <v>0.11733296823658268</v>
      </c>
      <c r="X276" s="19">
        <f>+X274/W274-1</f>
        <v>0.12915083935792193</v>
      </c>
      <c r="Y276" s="19">
        <f>+Y274/X274-1</f>
        <v>0.16476758907578226</v>
      </c>
      <c r="Z276" s="251" t="s">
        <v>294</v>
      </c>
      <c r="AA276" s="19">
        <f>+AA274/Y274-1</f>
        <v>0</v>
      </c>
      <c r="AB276" s="19">
        <f>+AB274/AA274-1</f>
        <v>9.6273291925465854E-2</v>
      </c>
      <c r="AC276" s="19">
        <f>+AC274/AB274-1</f>
        <v>0.10906515580736542</v>
      </c>
      <c r="AD276" s="19">
        <f>+AD274/AC274-1</f>
        <v>0.12899106002554284</v>
      </c>
      <c r="AE276" s="251" t="s">
        <v>294</v>
      </c>
      <c r="AF276" s="19">
        <f>+AF274/AD274-1</f>
        <v>2.3755656108597201E-2</v>
      </c>
      <c r="AG276" s="19">
        <f>+AG274/AF274-1</f>
        <v>0.10939226519337009</v>
      </c>
      <c r="AH276" s="19">
        <f>+AH274/AG274-1</f>
        <v>2.3904382470119501E-2</v>
      </c>
      <c r="AI276" s="19">
        <f>+AI274/AH274-1</f>
        <v>8.7548638132295631E-2</v>
      </c>
      <c r="AJ276" s="251" t="s">
        <v>294</v>
      </c>
      <c r="AK276" s="19">
        <f>+AK274/AI274-1</f>
        <v>-9.8389982110912433E-3</v>
      </c>
      <c r="AL276" s="19">
        <f>+AL274/AK274-1</f>
        <v>8.175248419150849E-2</v>
      </c>
      <c r="AM276" s="19">
        <f>+AM274/AL274-1</f>
        <v>6.2212943632567796E-2</v>
      </c>
      <c r="AN276" s="19">
        <f>+AN274/AM274-1</f>
        <v>7.468553459119498E-2</v>
      </c>
      <c r="AO276" s="251" t="s">
        <v>294</v>
      </c>
      <c r="AQ276" s="19"/>
      <c r="AR276" s="19"/>
      <c r="AT276" s="240"/>
      <c r="AY276" s="240"/>
      <c r="BD276" s="240"/>
      <c r="BI276" s="240"/>
      <c r="BN276" s="240"/>
      <c r="BS276" s="240"/>
      <c r="BX276" s="240"/>
      <c r="CC276" s="240"/>
      <c r="CH276" s="240"/>
      <c r="CM276" s="240"/>
    </row>
    <row r="277" spans="1:93">
      <c r="A277" s="18" t="s">
        <v>235</v>
      </c>
      <c r="F277" s="240"/>
      <c r="G277" s="154">
        <f>+G278/G274*1000000</f>
        <v>1486.591242405196</v>
      </c>
      <c r="H277" s="154">
        <f t="shared" ref="H277:K277" si="3938">+H278/H274*1000000</f>
        <v>1932.3430554049658</v>
      </c>
      <c r="I277" s="154">
        <f t="shared" si="3938"/>
        <v>1919.6391103650858</v>
      </c>
      <c r="J277" s="154">
        <f t="shared" si="3938"/>
        <v>2417.6921091128129</v>
      </c>
      <c r="K277" s="256">
        <f t="shared" si="3938"/>
        <v>1964.0048093782875</v>
      </c>
      <c r="L277" s="154">
        <f>+L278/L274*1000000</f>
        <v>2172.9334639439376</v>
      </c>
      <c r="M277" s="154">
        <f t="shared" ref="M277" si="3939">+M278/M274*1000000</f>
        <v>2456.2919708029194</v>
      </c>
      <c r="N277" s="154">
        <f t="shared" ref="N277" si="3940">+N278/N274*1000000</f>
        <v>2817.3861364741479</v>
      </c>
      <c r="O277" s="154">
        <f t="shared" ref="O277" si="3941">+O278/O274*1000000</f>
        <v>2667.9368029739776</v>
      </c>
      <c r="P277" s="256">
        <f t="shared" ref="P277" si="3942">+P278/P274*1000000</f>
        <v>2562.4707135250269</v>
      </c>
      <c r="Q277" s="154">
        <f>+Q278/Q274*1000000</f>
        <v>2935.5357403888324</v>
      </c>
      <c r="R277" s="154">
        <f t="shared" ref="R277" si="3943">+R278/R274*1000000</f>
        <v>3090.5509424813627</v>
      </c>
      <c r="S277" s="154">
        <f t="shared" ref="S277" si="3944">+S278/S274*1000000</f>
        <v>3016.0331651765646</v>
      </c>
      <c r="T277" s="154">
        <f t="shared" ref="T277" si="3945">+T278/T274*1000000</f>
        <v>2915.3374785978194</v>
      </c>
      <c r="U277" s="256">
        <f t="shared" ref="U277" si="3946">+U278/U274*1000000</f>
        <v>2982.495551320721</v>
      </c>
      <c r="V277" s="154">
        <f>+V278/V274*1000000</f>
        <v>2908.4063526834611</v>
      </c>
      <c r="W277" s="154">
        <f t="shared" ref="W277" si="3947">+W278/W274*1000000</f>
        <v>2965.4862557693091</v>
      </c>
      <c r="X277" s="154">
        <f t="shared" ref="X277" si="3948">+X278/X274*1000000</f>
        <v>2868.5114848978114</v>
      </c>
      <c r="Y277" s="154">
        <f t="shared" ref="Y277" si="3949">+Y278/Y274*1000000</f>
        <v>2754.8757763975154</v>
      </c>
      <c r="Z277" s="256">
        <f t="shared" ref="Z277" si="3950">+Z278/Z274*1000000</f>
        <v>2864.6460843373493</v>
      </c>
      <c r="AA277" s="154">
        <f>+AA278/AA274*1000000</f>
        <v>2612.9192546583849</v>
      </c>
      <c r="AB277" s="154">
        <f t="shared" ref="AB277" si="3951">+AB278/AB274*1000000</f>
        <v>2607.9886685552406</v>
      </c>
      <c r="AC277" s="154">
        <f t="shared" ref="AC277" si="3952">+AC278/AC274*1000000</f>
        <v>2606.7432950191569</v>
      </c>
      <c r="AD277" s="154">
        <f t="shared" ref="AD277" si="3953">+AD278/AD274*1000000</f>
        <v>2574.5927601809954</v>
      </c>
      <c r="AE277" s="256">
        <f t="shared" ref="AE277" si="3954">+AE278/AE274*1000000</f>
        <v>2598.932714617169</v>
      </c>
      <c r="AF277" s="154">
        <f>+AF278/AF274*1000000</f>
        <v>2505.9226519337017</v>
      </c>
      <c r="AG277" s="154">
        <f t="shared" ref="AG277" si="3955">+AG278/AG274*1000000</f>
        <v>2494.9003984063747</v>
      </c>
      <c r="AH277" s="154">
        <f t="shared" ref="AH277" si="3956">+AH278/AH274*1000000</f>
        <v>2595.7782101167318</v>
      </c>
      <c r="AI277" s="154">
        <f t="shared" ref="AI277" si="3957">+AI278/AI274*1000000</f>
        <v>2543.6314847942754</v>
      </c>
      <c r="AJ277" s="256">
        <f t="shared" ref="AJ277" si="3958">+AJ278/AJ274*1000000</f>
        <v>2536.3699136868063</v>
      </c>
      <c r="AK277" s="154">
        <f>+AK278/AK274*1000000</f>
        <v>2822.5654923215902</v>
      </c>
      <c r="AL277" s="154">
        <f t="shared" ref="AL277" si="3959">+AL278/AL274*1000000</f>
        <v>2781.0939457202503</v>
      </c>
      <c r="AM277" s="154">
        <f t="shared" ref="AM277" si="3960">+AM278/AM274*1000000</f>
        <v>2839.6855345911954</v>
      </c>
      <c r="AN277" s="154">
        <f t="shared" ref="AN277" si="3961">+AN278/AN274*1000000</f>
        <v>2700.5852231163135</v>
      </c>
      <c r="AO277" s="256">
        <f t="shared" ref="AO277" si="3962">+AO278/AO274*1000000</f>
        <v>2783.1940932537677</v>
      </c>
      <c r="AQ277" s="154"/>
      <c r="AR277" s="154"/>
      <c r="AT277" s="240"/>
      <c r="AY277" s="240"/>
      <c r="BD277" s="240"/>
      <c r="BI277" s="240"/>
      <c r="BN277" s="240"/>
      <c r="BS277" s="240"/>
      <c r="BX277" s="240"/>
      <c r="CC277" s="240"/>
      <c r="CH277" s="240"/>
      <c r="CM277" s="240"/>
    </row>
    <row r="278" spans="1:93" s="42" customFormat="1">
      <c r="A278" s="42" t="s">
        <v>326</v>
      </c>
      <c r="F278" s="245"/>
      <c r="G278" s="170">
        <v>14.191000000000001</v>
      </c>
      <c r="H278" s="170">
        <v>17.821999999999999</v>
      </c>
      <c r="I278" s="170">
        <v>18.297999999999998</v>
      </c>
      <c r="J278" s="170">
        <v>28.096</v>
      </c>
      <c r="K278" s="253">
        <f>+G278+H278+I278+J278</f>
        <v>78.406999999999996</v>
      </c>
      <c r="L278" s="170">
        <v>28.837</v>
      </c>
      <c r="M278" s="170">
        <v>42.064</v>
      </c>
      <c r="N278" s="170">
        <v>52.146999999999998</v>
      </c>
      <c r="O278" s="170">
        <v>57.414000000000001</v>
      </c>
      <c r="P278" s="253">
        <f>+L278+M278+N278+O278</f>
        <v>180.46199999999999</v>
      </c>
      <c r="Q278" s="170">
        <v>60.246000000000002</v>
      </c>
      <c r="R278" s="170">
        <v>50.991</v>
      </c>
      <c r="S278" s="170">
        <v>60.384</v>
      </c>
      <c r="T278" s="170">
        <v>64.703000000000003</v>
      </c>
      <c r="U278" s="253">
        <f>+Q278+R278+S278+T278</f>
        <v>236.32399999999998</v>
      </c>
      <c r="V278" s="170">
        <v>63.728999999999999</v>
      </c>
      <c r="W278" s="170">
        <v>72.603999999999999</v>
      </c>
      <c r="X278" s="170">
        <v>79.3</v>
      </c>
      <c r="Y278" s="170">
        <v>88.706999999999994</v>
      </c>
      <c r="Z278" s="253">
        <f>+V278+W278+X278+Y278</f>
        <v>304.33999999999997</v>
      </c>
      <c r="AA278" s="170">
        <v>84.135999999999996</v>
      </c>
      <c r="AB278" s="170">
        <v>92.061999999999998</v>
      </c>
      <c r="AC278" s="170">
        <v>102.054</v>
      </c>
      <c r="AD278" s="170">
        <v>113.797</v>
      </c>
      <c r="AE278" s="253">
        <f>+AA278+AB278+AC278+AD278</f>
        <v>392.04899999999998</v>
      </c>
      <c r="AF278" s="170">
        <v>113.393</v>
      </c>
      <c r="AG278" s="170">
        <v>125.244</v>
      </c>
      <c r="AH278" s="170">
        <v>133.423</v>
      </c>
      <c r="AI278" s="170">
        <v>142.18899999999999</v>
      </c>
      <c r="AJ278" s="253">
        <f>+AF278+AG278+AH278+AI278</f>
        <v>514.24900000000002</v>
      </c>
      <c r="AK278" s="170">
        <v>156.22900000000001</v>
      </c>
      <c r="AL278" s="170">
        <v>166.518</v>
      </c>
      <c r="AM278" s="170">
        <v>180.60400000000001</v>
      </c>
      <c r="AN278" s="170">
        <v>184.58500000000001</v>
      </c>
      <c r="AO278" s="253">
        <f>+AK278+AL278+AM278+AN278</f>
        <v>687.93600000000004</v>
      </c>
      <c r="AQ278" s="170"/>
      <c r="AR278" s="170"/>
      <c r="AT278" s="245"/>
      <c r="AY278" s="245"/>
      <c r="BD278" s="245"/>
      <c r="BI278" s="245"/>
      <c r="BN278" s="245"/>
      <c r="BS278" s="245"/>
      <c r="BX278" s="245"/>
      <c r="CC278" s="245"/>
      <c r="CH278" s="245"/>
      <c r="CM278" s="245"/>
    </row>
    <row r="279" spans="1:93">
      <c r="A279" s="139" t="s">
        <v>291</v>
      </c>
      <c r="F279" s="240"/>
      <c r="G279" s="147" t="s">
        <v>294</v>
      </c>
      <c r="H279" s="147" t="s">
        <v>294</v>
      </c>
      <c r="I279" s="147" t="s">
        <v>294</v>
      </c>
      <c r="J279" s="147" t="s">
        <v>294</v>
      </c>
      <c r="K279" s="251" t="s">
        <v>294</v>
      </c>
      <c r="L279" s="19">
        <f t="shared" ref="L279:AO279" si="3963">+L278/G278-1</f>
        <v>1.0320625748713974</v>
      </c>
      <c r="M279" s="19">
        <f t="shared" si="3963"/>
        <v>1.3602289305352935</v>
      </c>
      <c r="N279" s="19">
        <f t="shared" si="3963"/>
        <v>1.8498743032025358</v>
      </c>
      <c r="O279" s="19">
        <f t="shared" si="3963"/>
        <v>1.0434937357630978</v>
      </c>
      <c r="P279" s="259">
        <f t="shared" si="3963"/>
        <v>1.3016057239787262</v>
      </c>
      <c r="Q279" s="19">
        <f t="shared" si="3963"/>
        <v>1.0891909699344593</v>
      </c>
      <c r="R279" s="19">
        <f t="shared" si="3963"/>
        <v>0.21222422974515021</v>
      </c>
      <c r="S279" s="19">
        <f t="shared" si="3963"/>
        <v>0.15795731298061244</v>
      </c>
      <c r="T279" s="19">
        <f t="shared" si="3963"/>
        <v>0.12695509805970673</v>
      </c>
      <c r="U279" s="259">
        <f t="shared" si="3963"/>
        <v>0.30954993294987299</v>
      </c>
      <c r="V279" s="19">
        <f t="shared" si="3963"/>
        <v>5.7812966835972368E-2</v>
      </c>
      <c r="W279" s="19">
        <f t="shared" si="3963"/>
        <v>0.42385911239238294</v>
      </c>
      <c r="X279" s="19">
        <f t="shared" si="3963"/>
        <v>0.3132617912029676</v>
      </c>
      <c r="Y279" s="19">
        <f t="shared" si="3963"/>
        <v>0.370987434894827</v>
      </c>
      <c r="Z279" s="259">
        <f t="shared" si="3963"/>
        <v>0.28780826323183417</v>
      </c>
      <c r="AA279" s="19">
        <f t="shared" si="3963"/>
        <v>0.32021528660421472</v>
      </c>
      <c r="AB279" s="19">
        <f t="shared" si="3963"/>
        <v>0.26800176298826517</v>
      </c>
      <c r="AC279" s="19">
        <f t="shared" si="3963"/>
        <v>0.28693568726355623</v>
      </c>
      <c r="AD279" s="19">
        <f t="shared" si="3963"/>
        <v>0.2828412639363298</v>
      </c>
      <c r="AE279" s="259">
        <f t="shared" si="3963"/>
        <v>0.28819412499178543</v>
      </c>
      <c r="AF279" s="19">
        <f t="shared" si="3963"/>
        <v>0.34773462013882295</v>
      </c>
      <c r="AG279" s="19">
        <f t="shared" si="3963"/>
        <v>0.36043101388194909</v>
      </c>
      <c r="AH279" s="19">
        <f t="shared" si="3963"/>
        <v>0.307376486957885</v>
      </c>
      <c r="AI279" s="19">
        <f t="shared" si="3963"/>
        <v>0.24949691116637518</v>
      </c>
      <c r="AJ279" s="259">
        <f t="shared" si="3963"/>
        <v>0.31169573191106226</v>
      </c>
      <c r="AK279" s="19">
        <f t="shared" si="3963"/>
        <v>0.37776582328715191</v>
      </c>
      <c r="AL279" s="19">
        <f t="shared" si="3963"/>
        <v>0.32954872089680953</v>
      </c>
      <c r="AM279" s="19">
        <f t="shared" si="3963"/>
        <v>0.3536196907579654</v>
      </c>
      <c r="AN279" s="19">
        <f t="shared" si="3963"/>
        <v>0.29816652483666117</v>
      </c>
      <c r="AO279" s="259">
        <f t="shared" si="3963"/>
        <v>0.33774883373618625</v>
      </c>
      <c r="AQ279" s="19"/>
      <c r="AR279" s="19"/>
      <c r="AT279" s="240"/>
      <c r="AY279" s="240"/>
      <c r="BD279" s="240"/>
      <c r="BI279" s="240"/>
      <c r="BN279" s="240"/>
      <c r="BS279" s="240"/>
      <c r="BX279" s="240"/>
      <c r="CC279" s="240"/>
      <c r="CH279" s="240"/>
      <c r="CM279" s="240"/>
    </row>
    <row r="280" spans="1:93">
      <c r="A280" s="139" t="s">
        <v>292</v>
      </c>
      <c r="F280" s="240"/>
      <c r="G280" s="147" t="s">
        <v>294</v>
      </c>
      <c r="H280" s="19">
        <f>+H278/G278-1</f>
        <v>0.25586639419350288</v>
      </c>
      <c r="I280" s="19">
        <f>+I278/H278-1</f>
        <v>2.6708562450903361E-2</v>
      </c>
      <c r="J280" s="19">
        <f>+J278/I278-1</f>
        <v>0.53546835719750807</v>
      </c>
      <c r="K280" s="251" t="s">
        <v>294</v>
      </c>
      <c r="L280" s="19">
        <f>+L278/J278-1</f>
        <v>2.63738610478359E-2</v>
      </c>
      <c r="M280" s="19">
        <f>+M278/L278-1</f>
        <v>0.45868155494676977</v>
      </c>
      <c r="N280" s="19">
        <f>+N278/M278-1</f>
        <v>0.23970616203879791</v>
      </c>
      <c r="O280" s="19">
        <f>+O278/N278-1</f>
        <v>0.10100293401346194</v>
      </c>
      <c r="P280" s="251" t="s">
        <v>294</v>
      </c>
      <c r="Q280" s="19">
        <f>+Q278/O278-1</f>
        <v>4.9325948374960848E-2</v>
      </c>
      <c r="R280" s="19">
        <f>+R278/Q278-1</f>
        <v>-0.15362015735484513</v>
      </c>
      <c r="S280" s="19">
        <f>+S278/R278-1</f>
        <v>0.18420897805495096</v>
      </c>
      <c r="T280" s="19">
        <f>+T278/S278-1</f>
        <v>7.1525569687334478E-2</v>
      </c>
      <c r="U280" s="251" t="s">
        <v>294</v>
      </c>
      <c r="V280" s="19">
        <f>+V278/T278-1</f>
        <v>-1.5053397833176274E-2</v>
      </c>
      <c r="W280" s="19">
        <f>+W278/V278-1</f>
        <v>0.13926156067096618</v>
      </c>
      <c r="X280" s="19">
        <f>+X278/W278-1</f>
        <v>9.2226323618533446E-2</v>
      </c>
      <c r="Y280" s="19">
        <f>+Y278/X278-1</f>
        <v>0.11862547288776804</v>
      </c>
      <c r="Z280" s="251" t="s">
        <v>294</v>
      </c>
      <c r="AA280" s="19">
        <f>+AA278/Y278-1</f>
        <v>-5.1529191608328473E-2</v>
      </c>
      <c r="AB280" s="19">
        <f>+AB278/AA278-1</f>
        <v>9.420462108966432E-2</v>
      </c>
      <c r="AC280" s="19">
        <f>+AC278/AB278-1</f>
        <v>0.10853555212791388</v>
      </c>
      <c r="AD280" s="19">
        <f>+AD278/AC278-1</f>
        <v>0.11506653340388406</v>
      </c>
      <c r="AE280" s="251" t="s">
        <v>294</v>
      </c>
      <c r="AF280" s="19">
        <f>+AF278/AD278-1</f>
        <v>-3.5501814634831819E-3</v>
      </c>
      <c r="AG280" s="19">
        <f>+AG278/AF278-1</f>
        <v>0.10451262423606389</v>
      </c>
      <c r="AH280" s="19">
        <f>+AH278/AG278-1</f>
        <v>6.5304525566094895E-2</v>
      </c>
      <c r="AI280" s="19">
        <f>+AI278/AH278-1</f>
        <v>6.5700816201104795E-2</v>
      </c>
      <c r="AJ280" s="251" t="s">
        <v>294</v>
      </c>
      <c r="AK280" s="19">
        <f>+AK278/AI278-1</f>
        <v>9.8741815470957839E-2</v>
      </c>
      <c r="AL280" s="19">
        <f>+AL278/AK278-1</f>
        <v>6.5858451375864879E-2</v>
      </c>
      <c r="AM280" s="19">
        <f>+AM278/AL278-1</f>
        <v>8.4591455578375996E-2</v>
      </c>
      <c r="AN280" s="19">
        <f>+AN278/AM278-1</f>
        <v>2.2042701158335287E-2</v>
      </c>
      <c r="AO280" s="251" t="s">
        <v>294</v>
      </c>
      <c r="AQ280" s="19"/>
      <c r="AR280" s="19"/>
      <c r="AT280" s="240"/>
      <c r="AY280" s="240"/>
      <c r="BD280" s="240"/>
      <c r="BI280" s="240"/>
      <c r="BN280" s="240"/>
      <c r="BS280" s="240"/>
      <c r="BX280" s="240"/>
      <c r="CC280" s="240"/>
      <c r="CH280" s="240"/>
      <c r="CM280" s="240"/>
    </row>
    <row r="281" spans="1:93">
      <c r="F281" s="240"/>
      <c r="G281" s="147"/>
      <c r="H281" s="19"/>
      <c r="I281" s="19"/>
      <c r="J281" s="19"/>
      <c r="K281" s="251"/>
      <c r="L281" s="19"/>
      <c r="M281" s="19"/>
      <c r="N281" s="19"/>
      <c r="O281" s="19"/>
      <c r="P281" s="251"/>
      <c r="Q281" s="19"/>
      <c r="R281" s="19"/>
      <c r="S281" s="19"/>
      <c r="T281" s="19"/>
      <c r="U281" s="251"/>
      <c r="V281" s="19"/>
      <c r="W281" s="19"/>
      <c r="X281" s="19"/>
      <c r="Y281" s="19"/>
      <c r="Z281" s="251"/>
      <c r="AA281" s="19"/>
      <c r="AB281" s="19"/>
      <c r="AC281" s="19"/>
      <c r="AD281" s="19"/>
      <c r="AE281" s="251"/>
      <c r="AF281" s="19"/>
      <c r="AG281" s="19"/>
      <c r="AH281" s="19"/>
      <c r="AI281" s="19"/>
      <c r="AJ281" s="251"/>
      <c r="AK281" s="19"/>
      <c r="AL281" s="19"/>
      <c r="AM281" s="19"/>
      <c r="AN281" s="19"/>
      <c r="AO281" s="251"/>
      <c r="AQ281" s="19"/>
      <c r="AR281" s="19"/>
      <c r="AT281" s="240"/>
      <c r="AY281" s="240"/>
      <c r="BD281" s="240"/>
      <c r="BI281" s="240"/>
      <c r="BN281" s="240"/>
      <c r="BS281" s="240"/>
      <c r="BX281" s="240"/>
      <c r="CC281" s="240"/>
      <c r="CH281" s="240"/>
      <c r="CM281" s="240"/>
    </row>
    <row r="282" spans="1:93" s="42" customFormat="1">
      <c r="A282" s="42" t="s">
        <v>215</v>
      </c>
      <c r="F282" s="245"/>
      <c r="G282" s="170">
        <v>2.5009999999999999</v>
      </c>
      <c r="H282" s="170">
        <v>1.56</v>
      </c>
      <c r="I282" s="170">
        <v>3.3940000000000001</v>
      </c>
      <c r="J282" s="170">
        <v>4.7770000000000001</v>
      </c>
      <c r="K282" s="253">
        <f>+G282+H282+I282+J282</f>
        <v>12.231999999999999</v>
      </c>
      <c r="L282" s="170">
        <v>7.8179999999999996</v>
      </c>
      <c r="M282" s="170">
        <v>11.911</v>
      </c>
      <c r="N282" s="170">
        <v>8.7010000000000005</v>
      </c>
      <c r="O282" s="170">
        <v>5.4829999999999997</v>
      </c>
      <c r="P282" s="253">
        <f>+L282+M282+N282+O282</f>
        <v>33.912999999999997</v>
      </c>
      <c r="Q282" s="170">
        <v>7.2640000000000002</v>
      </c>
      <c r="R282" s="170">
        <v>15.343999999999999</v>
      </c>
      <c r="S282" s="170">
        <v>14.185</v>
      </c>
      <c r="T282" s="170">
        <v>13.613</v>
      </c>
      <c r="U282" s="253">
        <f>+Q282+R282+S282+T282</f>
        <v>50.405999999999999</v>
      </c>
      <c r="V282" s="170">
        <v>14.936</v>
      </c>
      <c r="W282" s="170">
        <v>19.497</v>
      </c>
      <c r="X282" s="170">
        <v>15.5</v>
      </c>
      <c r="Y282" s="170">
        <v>19.401</v>
      </c>
      <c r="Z282" s="253">
        <f>+V282+W282+X282+Y282</f>
        <v>69.334000000000003</v>
      </c>
      <c r="AA282" s="170">
        <v>11.962999999999999</v>
      </c>
      <c r="AB282" s="170">
        <v>17.082000000000001</v>
      </c>
      <c r="AC282" s="170">
        <v>15.35</v>
      </c>
      <c r="AD282" s="170">
        <v>13.093999999999999</v>
      </c>
      <c r="AE282" s="253">
        <f>+AA282+AB282+AC282+AD282</f>
        <v>57.489000000000004</v>
      </c>
      <c r="AF282" s="170">
        <v>15.321</v>
      </c>
      <c r="AG282" s="170">
        <v>11.906000000000001</v>
      </c>
      <c r="AH282" s="170">
        <v>9.6069999999999993</v>
      </c>
      <c r="AI282" s="170">
        <v>12.865</v>
      </c>
      <c r="AJ282" s="253">
        <f>+AF282+AG282+AH282+AI282</f>
        <v>49.699000000000005</v>
      </c>
      <c r="AK282" s="170">
        <v>12.262</v>
      </c>
      <c r="AL282" s="170">
        <v>10.717000000000001</v>
      </c>
      <c r="AM282" s="170">
        <v>10.872</v>
      </c>
      <c r="AN282" s="170">
        <v>17.228999999999999</v>
      </c>
      <c r="AO282" s="253">
        <f>+AK282+AL282+AM282+AN282</f>
        <v>51.08</v>
      </c>
      <c r="AP282" s="170"/>
      <c r="AQ282" s="170"/>
      <c r="AR282" s="170"/>
      <c r="AS282" s="170"/>
      <c r="AT282" s="253"/>
      <c r="AU282" s="170"/>
      <c r="AV282" s="170"/>
      <c r="AW282" s="170"/>
      <c r="AX282" s="170"/>
      <c r="AY282" s="253"/>
      <c r="AZ282" s="170"/>
      <c r="BA282" s="170"/>
      <c r="BB282" s="170"/>
      <c r="BC282" s="170"/>
      <c r="BD282" s="253"/>
      <c r="BE282" s="170"/>
      <c r="BF282" s="170"/>
      <c r="BG282" s="170"/>
      <c r="BH282" s="170"/>
      <c r="BI282" s="253"/>
      <c r="BJ282" s="170"/>
      <c r="BK282" s="170"/>
      <c r="BL282" s="170"/>
      <c r="BM282" s="170"/>
      <c r="BN282" s="253"/>
      <c r="BO282" s="170"/>
      <c r="BP282" s="170"/>
      <c r="BQ282" s="170"/>
      <c r="BR282" s="170"/>
      <c r="BS282" s="253"/>
      <c r="BT282" s="170"/>
      <c r="BU282" s="170"/>
      <c r="BV282" s="170"/>
      <c r="BW282" s="170"/>
      <c r="BX282" s="253"/>
      <c r="BY282" s="170"/>
      <c r="BZ282" s="170"/>
      <c r="CA282" s="170"/>
      <c r="CB282" s="170"/>
      <c r="CC282" s="253"/>
      <c r="CD282" s="170"/>
      <c r="CE282" s="170"/>
      <c r="CF282" s="170"/>
      <c r="CG282" s="170"/>
      <c r="CH282" s="253"/>
      <c r="CI282" s="170"/>
      <c r="CJ282" s="170"/>
      <c r="CK282" s="170"/>
      <c r="CL282" s="170"/>
      <c r="CM282" s="253"/>
    </row>
    <row r="283" spans="1:93">
      <c r="A283" s="139" t="s">
        <v>291</v>
      </c>
      <c r="F283" s="240"/>
      <c r="G283" s="147" t="s">
        <v>294</v>
      </c>
      <c r="H283" s="147" t="s">
        <v>294</v>
      </c>
      <c r="I283" s="147" t="s">
        <v>294</v>
      </c>
      <c r="J283" s="147" t="s">
        <v>294</v>
      </c>
      <c r="K283" s="251" t="s">
        <v>294</v>
      </c>
      <c r="L283" s="19">
        <f t="shared" ref="L283:AO283" si="3964">+L282/G282-1</f>
        <v>2.125949620151939</v>
      </c>
      <c r="M283" s="19">
        <f t="shared" si="3964"/>
        <v>6.6352564102564093</v>
      </c>
      <c r="N283" s="19">
        <f t="shared" si="3964"/>
        <v>1.5636417206835591</v>
      </c>
      <c r="O283" s="19">
        <f t="shared" si="3964"/>
        <v>0.14779150094201365</v>
      </c>
      <c r="P283" s="259">
        <f t="shared" si="3964"/>
        <v>1.7724820143884892</v>
      </c>
      <c r="Q283" s="19">
        <f t="shared" si="3964"/>
        <v>-7.0862113072396982E-2</v>
      </c>
      <c r="R283" s="19">
        <f t="shared" si="3964"/>
        <v>0.28822097221056175</v>
      </c>
      <c r="S283" s="19">
        <f t="shared" si="3964"/>
        <v>0.6302723824847718</v>
      </c>
      <c r="T283" s="19">
        <f t="shared" si="3964"/>
        <v>1.4827649097209559</v>
      </c>
      <c r="U283" s="259">
        <f t="shared" si="3964"/>
        <v>0.48633267478548059</v>
      </c>
      <c r="V283" s="19">
        <f t="shared" si="3964"/>
        <v>1.0561674008810571</v>
      </c>
      <c r="W283" s="19">
        <f t="shared" si="3964"/>
        <v>0.27065954118873825</v>
      </c>
      <c r="X283" s="19">
        <f t="shared" si="3964"/>
        <v>9.2703560098695847E-2</v>
      </c>
      <c r="Y283" s="19">
        <f t="shared" si="3964"/>
        <v>0.42518181150370982</v>
      </c>
      <c r="Z283" s="259">
        <f t="shared" si="3964"/>
        <v>0.37551085188271238</v>
      </c>
      <c r="AA283" s="19">
        <f t="shared" si="3964"/>
        <v>-0.19904927691483665</v>
      </c>
      <c r="AB283" s="19">
        <f t="shared" si="3964"/>
        <v>-0.12386521003231266</v>
      </c>
      <c r="AC283" s="19">
        <f t="shared" si="3964"/>
        <v>-9.6774193548386789E-3</v>
      </c>
      <c r="AD283" s="19">
        <f t="shared" si="3964"/>
        <v>-0.32508633575588886</v>
      </c>
      <c r="AE283" s="259">
        <f t="shared" si="3964"/>
        <v>-0.1708397034643897</v>
      </c>
      <c r="AF283" s="19">
        <f t="shared" si="3964"/>
        <v>0.28069882136587809</v>
      </c>
      <c r="AG283" s="19">
        <f t="shared" si="3964"/>
        <v>-0.30300901533778246</v>
      </c>
      <c r="AH283" s="19">
        <f t="shared" si="3964"/>
        <v>-0.37413680781758962</v>
      </c>
      <c r="AI283" s="19">
        <f t="shared" si="3964"/>
        <v>-1.7488926225752155E-2</v>
      </c>
      <c r="AJ283" s="259">
        <f t="shared" si="3964"/>
        <v>-0.13550418340899995</v>
      </c>
      <c r="AK283" s="19">
        <f t="shared" si="3964"/>
        <v>-0.19966059656680368</v>
      </c>
      <c r="AL283" s="19">
        <f t="shared" si="3964"/>
        <v>-9.9865613976146461E-2</v>
      </c>
      <c r="AM283" s="19">
        <f t="shared" si="3964"/>
        <v>0.13167482044342682</v>
      </c>
      <c r="AN283" s="19">
        <f t="shared" si="3964"/>
        <v>0.33921492421298094</v>
      </c>
      <c r="AO283" s="259">
        <f t="shared" si="3964"/>
        <v>2.7787279422121003E-2</v>
      </c>
      <c r="AP283" s="60"/>
      <c r="AQ283" s="19"/>
      <c r="AR283" s="19"/>
      <c r="AS283" s="60"/>
      <c r="AT283" s="259"/>
      <c r="AU283" s="60"/>
      <c r="AV283" s="60"/>
      <c r="AW283" s="60"/>
      <c r="AX283" s="60"/>
      <c r="AY283" s="259"/>
      <c r="AZ283" s="60"/>
      <c r="BA283" s="60"/>
      <c r="BB283" s="60"/>
      <c r="BC283" s="60"/>
      <c r="BD283" s="259"/>
      <c r="BE283" s="60"/>
      <c r="BF283" s="60"/>
      <c r="BG283" s="60"/>
      <c r="BH283" s="60"/>
      <c r="BI283" s="259"/>
      <c r="BJ283" s="60"/>
      <c r="BK283" s="60"/>
      <c r="BL283" s="60"/>
      <c r="BM283" s="60"/>
      <c r="BN283" s="259"/>
      <c r="BO283" s="60"/>
      <c r="BP283" s="60"/>
      <c r="BQ283" s="60"/>
      <c r="BR283" s="60"/>
      <c r="BS283" s="259"/>
      <c r="BT283" s="60"/>
      <c r="BU283" s="60"/>
      <c r="BV283" s="60"/>
      <c r="BW283" s="60"/>
      <c r="BX283" s="259"/>
      <c r="BY283" s="60"/>
      <c r="BZ283" s="60"/>
      <c r="CA283" s="60"/>
      <c r="CB283" s="60"/>
      <c r="CC283" s="259"/>
      <c r="CD283" s="60"/>
      <c r="CE283" s="60"/>
      <c r="CF283" s="60"/>
      <c r="CG283" s="60"/>
      <c r="CH283" s="259"/>
      <c r="CI283" s="60"/>
      <c r="CJ283" s="60"/>
      <c r="CK283" s="60"/>
      <c r="CL283" s="60"/>
      <c r="CM283" s="259"/>
    </row>
    <row r="284" spans="1:93">
      <c r="A284" s="139" t="s">
        <v>292</v>
      </c>
      <c r="F284" s="240"/>
      <c r="G284" s="147" t="s">
        <v>294</v>
      </c>
      <c r="H284" s="19">
        <f>+H282/G282-1</f>
        <v>-0.37624950019991998</v>
      </c>
      <c r="I284" s="19">
        <f>+I282/H282-1</f>
        <v>1.1756410256410255</v>
      </c>
      <c r="J284" s="19">
        <f>+J282/I282-1</f>
        <v>0.40748379493223341</v>
      </c>
      <c r="K284" s="251" t="s">
        <v>294</v>
      </c>
      <c r="L284" s="19">
        <f>+L282/J282-1</f>
        <v>0.63659200334938237</v>
      </c>
      <c r="M284" s="19">
        <f>+M282/L282-1</f>
        <v>0.52353543105653633</v>
      </c>
      <c r="N284" s="19">
        <f>+N282/M282-1</f>
        <v>-0.26949878263789773</v>
      </c>
      <c r="O284" s="19">
        <f>+O282/N282-1</f>
        <v>-0.36984254683369733</v>
      </c>
      <c r="P284" s="251" t="s">
        <v>294</v>
      </c>
      <c r="Q284" s="19">
        <f>+Q282/O282-1</f>
        <v>0.32482217763997823</v>
      </c>
      <c r="R284" s="19">
        <f>+R282/Q282-1</f>
        <v>1.1123348017621142</v>
      </c>
      <c r="S284" s="19">
        <f>+S282/R282-1</f>
        <v>-7.5534410844629751E-2</v>
      </c>
      <c r="T284" s="19">
        <f>+T282/S282-1</f>
        <v>-4.0324286217835792E-2</v>
      </c>
      <c r="U284" s="251" t="s">
        <v>294</v>
      </c>
      <c r="V284" s="19">
        <f>+V282/T282-1</f>
        <v>9.7186512892088572E-2</v>
      </c>
      <c r="W284" s="19">
        <f>+W282/V282-1</f>
        <v>0.30536957686127475</v>
      </c>
      <c r="X284" s="19">
        <f>+X282/W282-1</f>
        <v>-0.20500589834333482</v>
      </c>
      <c r="Y284" s="19">
        <f>+Y282/X282-1</f>
        <v>0.25167741935483878</v>
      </c>
      <c r="Z284" s="251" t="s">
        <v>294</v>
      </c>
      <c r="AA284" s="19">
        <f>+AA282/Y282-1</f>
        <v>-0.38338229988144945</v>
      </c>
      <c r="AB284" s="19">
        <f>+AB282/AA282-1</f>
        <v>0.4279026999916411</v>
      </c>
      <c r="AC284" s="19">
        <f>+AC282/AB282-1</f>
        <v>-0.10139327947547128</v>
      </c>
      <c r="AD284" s="19">
        <f>+AD282/AC282-1</f>
        <v>-0.14697068403908797</v>
      </c>
      <c r="AE284" s="251" t="s">
        <v>294</v>
      </c>
      <c r="AF284" s="19">
        <f>+AF282/AD282-1</f>
        <v>0.17007789827401876</v>
      </c>
      <c r="AG284" s="19">
        <f>+AG282/AF282-1</f>
        <v>-0.22289667776254807</v>
      </c>
      <c r="AH284" s="19">
        <f>+AH282/AG282-1</f>
        <v>-0.19309591802452553</v>
      </c>
      <c r="AI284" s="19">
        <f>+AI282/AH282-1</f>
        <v>0.33912771937129182</v>
      </c>
      <c r="AJ284" s="251" t="s">
        <v>294</v>
      </c>
      <c r="AK284" s="19">
        <f>+AK282/AI282-1</f>
        <v>-4.6871356393315189E-2</v>
      </c>
      <c r="AL284" s="19">
        <f>+AL282/AK282-1</f>
        <v>-0.12599902136682428</v>
      </c>
      <c r="AM284" s="19">
        <f>+AM282/AL282-1</f>
        <v>1.4463002705981109E-2</v>
      </c>
      <c r="AN284" s="19">
        <f>+AN282/AM282-1</f>
        <v>0.58471302428256067</v>
      </c>
      <c r="AO284" s="251" t="s">
        <v>294</v>
      </c>
      <c r="AP284" s="19"/>
      <c r="AQ284" s="19"/>
      <c r="AR284" s="19"/>
      <c r="AS284" s="19"/>
      <c r="AT284" s="251"/>
      <c r="AU284" s="19"/>
      <c r="AV284" s="19"/>
      <c r="AW284" s="19"/>
      <c r="AX284" s="19"/>
      <c r="AY284" s="251"/>
      <c r="AZ284" s="19"/>
      <c r="BA284" s="19"/>
      <c r="BB284" s="19"/>
      <c r="BC284" s="19"/>
      <c r="BD284" s="251"/>
      <c r="BE284" s="19"/>
      <c r="BF284" s="19"/>
      <c r="BG284" s="19"/>
      <c r="BH284" s="19"/>
      <c r="BI284" s="251"/>
      <c r="BJ284" s="19"/>
      <c r="BK284" s="19"/>
      <c r="BL284" s="19"/>
      <c r="BM284" s="19"/>
      <c r="BN284" s="251"/>
      <c r="BO284" s="19"/>
      <c r="BP284" s="19"/>
      <c r="BQ284" s="19"/>
      <c r="BR284" s="19"/>
      <c r="BS284" s="251"/>
      <c r="BT284" s="19"/>
      <c r="BU284" s="19"/>
      <c r="BV284" s="19"/>
      <c r="BW284" s="19"/>
      <c r="BX284" s="251"/>
      <c r="BY284" s="19"/>
      <c r="BZ284" s="19"/>
      <c r="CA284" s="19"/>
      <c r="CB284" s="19"/>
      <c r="CC284" s="251"/>
      <c r="CD284" s="19"/>
      <c r="CE284" s="19"/>
      <c r="CF284" s="19"/>
      <c r="CG284" s="19"/>
      <c r="CH284" s="251"/>
      <c r="CI284" s="19"/>
      <c r="CJ284" s="19"/>
      <c r="CK284" s="19"/>
      <c r="CL284" s="19"/>
      <c r="CM284" s="251"/>
    </row>
    <row r="285" spans="1:93">
      <c r="F285" s="240"/>
      <c r="G285" s="147"/>
      <c r="H285" s="19"/>
      <c r="I285" s="19"/>
      <c r="J285" s="19"/>
      <c r="K285" s="251"/>
      <c r="L285" s="19"/>
      <c r="M285" s="19"/>
      <c r="N285" s="19"/>
      <c r="O285" s="19"/>
      <c r="P285" s="251"/>
      <c r="Q285" s="19"/>
      <c r="R285" s="19"/>
      <c r="S285" s="19"/>
      <c r="T285" s="19"/>
      <c r="U285" s="251"/>
      <c r="V285" s="19"/>
      <c r="W285" s="19"/>
      <c r="X285" s="19"/>
      <c r="Y285" s="19"/>
      <c r="Z285" s="251"/>
      <c r="AA285" s="19"/>
      <c r="AB285" s="19"/>
      <c r="AC285" s="19"/>
      <c r="AD285" s="19"/>
      <c r="AE285" s="251"/>
      <c r="AF285" s="19"/>
      <c r="AG285" s="19"/>
      <c r="AH285" s="19"/>
      <c r="AI285" s="19"/>
      <c r="AJ285" s="251"/>
      <c r="AK285" s="19"/>
      <c r="AL285" s="19"/>
      <c r="AM285" s="19"/>
      <c r="AN285" s="19"/>
      <c r="AO285" s="251"/>
      <c r="AQ285" s="19"/>
      <c r="AR285" s="19"/>
      <c r="AT285" s="240"/>
      <c r="AY285" s="240"/>
      <c r="BD285" s="240"/>
      <c r="BI285" s="240"/>
      <c r="BN285" s="240"/>
      <c r="BS285" s="240"/>
      <c r="BX285" s="240"/>
      <c r="CC285" s="240"/>
      <c r="CH285" s="240"/>
      <c r="CM285" s="240"/>
    </row>
    <row r="286" spans="1:93" s="42" customFormat="1">
      <c r="A286" s="42" t="s">
        <v>337</v>
      </c>
      <c r="F286" s="245"/>
      <c r="G286" s="170">
        <f>+G278+G282</f>
        <v>16.692</v>
      </c>
      <c r="H286" s="170">
        <f t="shared" ref="H286:AO286" si="3965">+H278+H282</f>
        <v>19.381999999999998</v>
      </c>
      <c r="I286" s="170">
        <f t="shared" si="3965"/>
        <v>21.692</v>
      </c>
      <c r="J286" s="170">
        <f t="shared" si="3965"/>
        <v>32.872999999999998</v>
      </c>
      <c r="K286" s="253">
        <f t="shared" si="3965"/>
        <v>90.638999999999996</v>
      </c>
      <c r="L286" s="170">
        <f t="shared" si="3965"/>
        <v>36.655000000000001</v>
      </c>
      <c r="M286" s="170">
        <f t="shared" si="3965"/>
        <v>53.975000000000001</v>
      </c>
      <c r="N286" s="170">
        <f t="shared" si="3965"/>
        <v>60.847999999999999</v>
      </c>
      <c r="O286" s="170">
        <f t="shared" si="3965"/>
        <v>62.896999999999998</v>
      </c>
      <c r="P286" s="253">
        <f t="shared" si="3965"/>
        <v>214.375</v>
      </c>
      <c r="Q286" s="170">
        <f t="shared" si="3965"/>
        <v>67.510000000000005</v>
      </c>
      <c r="R286" s="170">
        <f t="shared" si="3965"/>
        <v>66.334999999999994</v>
      </c>
      <c r="S286" s="170">
        <f t="shared" si="3965"/>
        <v>74.569000000000003</v>
      </c>
      <c r="T286" s="170">
        <f t="shared" si="3965"/>
        <v>78.316000000000003</v>
      </c>
      <c r="U286" s="253">
        <f t="shared" si="3965"/>
        <v>286.72999999999996</v>
      </c>
      <c r="V286" s="170">
        <f t="shared" si="3965"/>
        <v>78.664999999999992</v>
      </c>
      <c r="W286" s="170">
        <f t="shared" si="3965"/>
        <v>92.100999999999999</v>
      </c>
      <c r="X286" s="170">
        <f t="shared" si="3965"/>
        <v>94.8</v>
      </c>
      <c r="Y286" s="170">
        <f t="shared" si="3965"/>
        <v>108.10799999999999</v>
      </c>
      <c r="Z286" s="253">
        <f t="shared" si="3965"/>
        <v>373.67399999999998</v>
      </c>
      <c r="AA286" s="170">
        <f t="shared" si="3965"/>
        <v>96.09899999999999</v>
      </c>
      <c r="AB286" s="170">
        <f t="shared" si="3965"/>
        <v>109.14400000000001</v>
      </c>
      <c r="AC286" s="170">
        <f t="shared" si="3965"/>
        <v>117.404</v>
      </c>
      <c r="AD286" s="170">
        <f t="shared" si="3965"/>
        <v>126.89099999999999</v>
      </c>
      <c r="AE286" s="253">
        <f t="shared" si="3965"/>
        <v>449.53800000000001</v>
      </c>
      <c r="AF286" s="170">
        <f t="shared" si="3965"/>
        <v>128.714</v>
      </c>
      <c r="AG286" s="170">
        <f t="shared" si="3965"/>
        <v>137.15</v>
      </c>
      <c r="AH286" s="170">
        <f t="shared" si="3965"/>
        <v>143.03</v>
      </c>
      <c r="AI286" s="170">
        <f t="shared" si="3965"/>
        <v>155.054</v>
      </c>
      <c r="AJ286" s="253">
        <f t="shared" si="3965"/>
        <v>563.94799999999998</v>
      </c>
      <c r="AK286" s="170">
        <f t="shared" si="3965"/>
        <v>168.49100000000001</v>
      </c>
      <c r="AL286" s="170">
        <f t="shared" si="3965"/>
        <v>177.23500000000001</v>
      </c>
      <c r="AM286" s="170">
        <f t="shared" si="3965"/>
        <v>191.476</v>
      </c>
      <c r="AN286" s="170">
        <f t="shared" si="3965"/>
        <v>201.81400000000002</v>
      </c>
      <c r="AO286" s="253">
        <f t="shared" si="3965"/>
        <v>739.01600000000008</v>
      </c>
      <c r="AQ286" s="170"/>
      <c r="AR286" s="170"/>
      <c r="AT286" s="245"/>
      <c r="AY286" s="245"/>
      <c r="BD286" s="245"/>
      <c r="BI286" s="245"/>
      <c r="BN286" s="245"/>
      <c r="BS286" s="245"/>
      <c r="BX286" s="245"/>
      <c r="CC286" s="245"/>
      <c r="CH286" s="245"/>
      <c r="CM286" s="245"/>
    </row>
    <row r="287" spans="1:93">
      <c r="A287" s="139" t="s">
        <v>291</v>
      </c>
      <c r="F287" s="240"/>
      <c r="G287" s="147" t="s">
        <v>294</v>
      </c>
      <c r="H287" s="147" t="s">
        <v>294</v>
      </c>
      <c r="I287" s="147" t="s">
        <v>294</v>
      </c>
      <c r="J287" s="147" t="s">
        <v>294</v>
      </c>
      <c r="K287" s="251" t="s">
        <v>294</v>
      </c>
      <c r="L287" s="19">
        <f t="shared" ref="L287" si="3966">+L286/G286-1</f>
        <v>1.1959621375509228</v>
      </c>
      <c r="M287" s="19">
        <f t="shared" ref="M287" si="3967">+M286/H286-1</f>
        <v>1.7848003302032818</v>
      </c>
      <c r="N287" s="19">
        <f t="shared" ref="N287" si="3968">+N286/I286-1</f>
        <v>1.8050894338926793</v>
      </c>
      <c r="O287" s="19">
        <f t="shared" ref="O287" si="3969">+O286/J286-1</f>
        <v>0.91333313053265597</v>
      </c>
      <c r="P287" s="259">
        <f t="shared" ref="P287" si="3970">+P286/K286-1</f>
        <v>1.3651518661944637</v>
      </c>
      <c r="Q287" s="19">
        <f t="shared" ref="Q287" si="3971">+Q286/L286-1</f>
        <v>0.84176783522029752</v>
      </c>
      <c r="R287" s="19">
        <f t="shared" ref="R287" si="3972">+R286/M286-1</f>
        <v>0.22899490504863351</v>
      </c>
      <c r="S287" s="19">
        <f t="shared" ref="S287" si="3973">+S286/N286-1</f>
        <v>0.22549631869576658</v>
      </c>
      <c r="T287" s="19">
        <f t="shared" ref="T287" si="3974">+T286/O286-1</f>
        <v>0.24514682735265603</v>
      </c>
      <c r="U287" s="259">
        <f t="shared" ref="U287" si="3975">+U286/P286-1</f>
        <v>0.33751603498542249</v>
      </c>
      <c r="V287" s="19">
        <f t="shared" ref="V287" si="3976">+V286/Q286-1</f>
        <v>0.16523478003258751</v>
      </c>
      <c r="W287" s="19">
        <f t="shared" ref="W287" si="3977">+W286/R286-1</f>
        <v>0.38842240144719997</v>
      </c>
      <c r="X287" s="19">
        <f t="shared" ref="X287" si="3978">+X286/S286-1</f>
        <v>0.27130577049444127</v>
      </c>
      <c r="Y287" s="19">
        <f t="shared" ref="Y287" si="3979">+Y286/T286-1</f>
        <v>0.38040757954951721</v>
      </c>
      <c r="Z287" s="259">
        <f t="shared" ref="Z287" si="3980">+Z286/U286-1</f>
        <v>0.30322603145816629</v>
      </c>
      <c r="AA287" s="19">
        <f t="shared" ref="AA287" si="3981">+AA286/V286-1</f>
        <v>0.22162333947753132</v>
      </c>
      <c r="AB287" s="19">
        <f t="shared" ref="AB287" si="3982">+AB286/W286-1</f>
        <v>0.18504685073994853</v>
      </c>
      <c r="AC287" s="19">
        <f t="shared" ref="AC287" si="3983">+AC286/X286-1</f>
        <v>0.23843881856540095</v>
      </c>
      <c r="AD287" s="19">
        <f t="shared" ref="AD287" si="3984">+AD286/Y286-1</f>
        <v>0.17374292374292377</v>
      </c>
      <c r="AE287" s="259">
        <f t="shared" ref="AE287" si="3985">+AE286/Z286-1</f>
        <v>0.20302188538672761</v>
      </c>
      <c r="AF287" s="19">
        <f t="shared" ref="AF287" si="3986">+AF286/AA286-1</f>
        <v>0.33938958782089323</v>
      </c>
      <c r="AG287" s="19">
        <f t="shared" ref="AG287" si="3987">+AG286/AB286-1</f>
        <v>0.25659678956241305</v>
      </c>
      <c r="AH287" s="19">
        <f t="shared" ref="AH287" si="3988">+AH286/AC286-1</f>
        <v>0.21827194984838671</v>
      </c>
      <c r="AI287" s="19">
        <f t="shared" ref="AI287" si="3989">+AI286/AD286-1</f>
        <v>0.22194639493738721</v>
      </c>
      <c r="AJ287" s="259">
        <f t="shared" ref="AJ287" si="3990">+AJ286/AE286-1</f>
        <v>0.2545057370010988</v>
      </c>
      <c r="AK287" s="19">
        <f t="shared" ref="AK287" si="3991">+AK286/AF286-1</f>
        <v>0.30903398231738599</v>
      </c>
      <c r="AL287" s="19">
        <f t="shared" ref="AL287" si="3992">+AL286/AG286-1</f>
        <v>0.29227123587313164</v>
      </c>
      <c r="AM287" s="19">
        <f t="shared" ref="AM287" si="3993">+AM286/AH286-1</f>
        <v>0.3387121582884709</v>
      </c>
      <c r="AN287" s="19">
        <f t="shared" ref="AN287" si="3994">+AN286/AI286-1</f>
        <v>0.30157235543746053</v>
      </c>
      <c r="AO287" s="259">
        <f t="shared" ref="AO287" si="3995">+AO286/AJ286-1</f>
        <v>0.31043287679005882</v>
      </c>
      <c r="AQ287" s="19"/>
      <c r="AR287" s="19"/>
      <c r="AT287" s="240"/>
      <c r="AY287" s="240"/>
      <c r="BD287" s="240"/>
      <c r="BI287" s="240"/>
      <c r="BN287" s="240"/>
      <c r="BS287" s="240"/>
      <c r="BX287" s="240"/>
      <c r="CC287" s="240"/>
      <c r="CH287" s="240"/>
      <c r="CM287" s="240"/>
    </row>
    <row r="288" spans="1:93">
      <c r="A288" s="139" t="s">
        <v>292</v>
      </c>
      <c r="F288" s="240"/>
      <c r="G288" s="147" t="s">
        <v>294</v>
      </c>
      <c r="H288" s="19">
        <f>+H286/G286-1</f>
        <v>0.16115504433261418</v>
      </c>
      <c r="I288" s="19">
        <f>+I286/H286-1</f>
        <v>0.11918274687854713</v>
      </c>
      <c r="J288" s="19">
        <f>+J286/I286-1</f>
        <v>0.51544348146782215</v>
      </c>
      <c r="K288" s="251" t="s">
        <v>294</v>
      </c>
      <c r="L288" s="19">
        <f>+L286/J286-1</f>
        <v>0.11504882426307317</v>
      </c>
      <c r="M288" s="19">
        <f>+M286/L286-1</f>
        <v>0.47251398172145676</v>
      </c>
      <c r="N288" s="19">
        <f>+N286/M286-1</f>
        <v>0.12733672996757761</v>
      </c>
      <c r="O288" s="19">
        <f>+O286/N286-1</f>
        <v>3.367407310018411E-2</v>
      </c>
      <c r="P288" s="251" t="s">
        <v>294</v>
      </c>
      <c r="Q288" s="19">
        <f>+Q286/O286-1</f>
        <v>7.3342130785252202E-2</v>
      </c>
      <c r="R288" s="19">
        <f>+R286/Q286-1</f>
        <v>-1.7404828914235115E-2</v>
      </c>
      <c r="S288" s="19">
        <f>+S286/R286-1</f>
        <v>0.12412753448405844</v>
      </c>
      <c r="T288" s="19">
        <f>+T286/S286-1</f>
        <v>5.0248762890745535E-2</v>
      </c>
      <c r="U288" s="251" t="s">
        <v>294</v>
      </c>
      <c r="V288" s="19">
        <f>+V286/T286-1</f>
        <v>4.456305224985746E-3</v>
      </c>
      <c r="W288" s="19">
        <f>+W286/V286-1</f>
        <v>0.17080022881840717</v>
      </c>
      <c r="X288" s="19">
        <f>+X286/W286-1</f>
        <v>2.9304784964332642E-2</v>
      </c>
      <c r="Y288" s="19">
        <f>+Y286/X286-1</f>
        <v>0.14037974683544308</v>
      </c>
      <c r="Z288" s="251" t="s">
        <v>294</v>
      </c>
      <c r="AA288" s="19">
        <f>+AA286/Y286-1</f>
        <v>-0.11108336108336114</v>
      </c>
      <c r="AB288" s="19">
        <f>+AB286/AA286-1</f>
        <v>0.13574542919281174</v>
      </c>
      <c r="AC288" s="19">
        <f>+AC286/AB286-1</f>
        <v>7.5679835813237561E-2</v>
      </c>
      <c r="AD288" s="19">
        <f>+AD286/AC286-1</f>
        <v>8.0806446117679176E-2</v>
      </c>
      <c r="AE288" s="251" t="s">
        <v>294</v>
      </c>
      <c r="AF288" s="19">
        <f>+AF286/AD286-1</f>
        <v>1.4366661150120974E-2</v>
      </c>
      <c r="AG288" s="19">
        <f>+AG286/AF286-1</f>
        <v>6.5540656028093336E-2</v>
      </c>
      <c r="AH288" s="19">
        <f>+AH286/AG286-1</f>
        <v>4.2872767043383053E-2</v>
      </c>
      <c r="AI288" s="19">
        <f>+AI286/AH286-1</f>
        <v>8.4066279801440214E-2</v>
      </c>
      <c r="AJ288" s="251" t="s">
        <v>294</v>
      </c>
      <c r="AK288" s="19">
        <f>+AK286/AI286-1</f>
        <v>8.6660131309092447E-2</v>
      </c>
      <c r="AL288" s="19">
        <f>+AL286/AK286-1</f>
        <v>5.1895946964526374E-2</v>
      </c>
      <c r="AM288" s="19">
        <f>+AM286/AL286-1</f>
        <v>8.0350946483482399E-2</v>
      </c>
      <c r="AN288" s="19">
        <f>+AN286/AM286-1</f>
        <v>5.3991100712361018E-2</v>
      </c>
      <c r="AO288" s="251" t="s">
        <v>294</v>
      </c>
      <c r="AQ288" s="19"/>
      <c r="AR288" s="19"/>
      <c r="AT288" s="240"/>
      <c r="AY288" s="240"/>
      <c r="BD288" s="240"/>
      <c r="BI288" s="240"/>
      <c r="BN288" s="240"/>
      <c r="BS288" s="240"/>
      <c r="BX288" s="240"/>
      <c r="CC288" s="240"/>
      <c r="CH288" s="240"/>
      <c r="CM288" s="240"/>
    </row>
    <row r="289" spans="1:91">
      <c r="F289" s="240"/>
      <c r="G289" s="147"/>
      <c r="H289" s="19"/>
      <c r="I289" s="19"/>
      <c r="J289" s="19"/>
      <c r="K289" s="251"/>
      <c r="L289" s="19"/>
      <c r="M289" s="19"/>
      <c r="N289" s="19"/>
      <c r="O289" s="19"/>
      <c r="P289" s="251"/>
      <c r="Q289" s="19"/>
      <c r="R289" s="19"/>
      <c r="S289" s="19"/>
      <c r="T289" s="19"/>
      <c r="U289" s="251"/>
      <c r="V289" s="19"/>
      <c r="W289" s="19"/>
      <c r="X289" s="19"/>
      <c r="Y289" s="19"/>
      <c r="Z289" s="251"/>
      <c r="AA289" s="19"/>
      <c r="AB289" s="19"/>
      <c r="AC289" s="19"/>
      <c r="AD289" s="19"/>
      <c r="AE289" s="251"/>
      <c r="AF289" s="19"/>
      <c r="AG289" s="19"/>
      <c r="AH289" s="19"/>
      <c r="AI289" s="19"/>
      <c r="AJ289" s="251"/>
      <c r="AK289" s="19"/>
      <c r="AL289" s="19"/>
      <c r="AM289" s="19"/>
      <c r="AN289" s="19"/>
      <c r="AO289" s="251"/>
      <c r="AQ289" s="19"/>
      <c r="AR289" s="19"/>
      <c r="AT289" s="240"/>
      <c r="AY289" s="240"/>
      <c r="BD289" s="240"/>
      <c r="BI289" s="240"/>
      <c r="BN289" s="240"/>
      <c r="BS289" s="240"/>
      <c r="BX289" s="240"/>
      <c r="CC289" s="240"/>
      <c r="CH289" s="240"/>
      <c r="CM289" s="240"/>
    </row>
    <row r="290" spans="1:91">
      <c r="F290" s="247"/>
      <c r="G290" s="147"/>
      <c r="H290" s="19"/>
      <c r="I290" s="19"/>
      <c r="J290" s="19"/>
      <c r="K290" s="258"/>
      <c r="L290" s="19"/>
      <c r="M290" s="19"/>
      <c r="N290" s="19"/>
      <c r="O290" s="19"/>
      <c r="P290" s="258"/>
      <c r="Q290" s="19"/>
      <c r="R290" s="19"/>
      <c r="S290" s="19"/>
      <c r="T290" s="19"/>
      <c r="U290" s="258"/>
      <c r="V290" s="19"/>
      <c r="W290" s="19"/>
      <c r="X290" s="19"/>
      <c r="Y290" s="19"/>
      <c r="Z290" s="258"/>
      <c r="AA290" s="19"/>
      <c r="AB290" s="19"/>
      <c r="AC290" s="19"/>
      <c r="AD290" s="19"/>
      <c r="AE290" s="258"/>
      <c r="AF290" s="19"/>
      <c r="AG290" s="19"/>
      <c r="AH290" s="19"/>
      <c r="AI290" s="19"/>
      <c r="AJ290" s="258"/>
      <c r="AK290" s="19"/>
      <c r="AL290" s="19"/>
      <c r="AM290" s="19"/>
      <c r="AN290" s="19"/>
      <c r="AO290" s="258"/>
      <c r="AQ290" s="19"/>
      <c r="AR290" s="19"/>
      <c r="AT290" s="247"/>
      <c r="AY290" s="247"/>
      <c r="BD290" s="247"/>
      <c r="BI290" s="247"/>
      <c r="BN290" s="247"/>
      <c r="BS290" s="247"/>
      <c r="BX290" s="247"/>
      <c r="CC290" s="247"/>
      <c r="CH290" s="247"/>
      <c r="CM290" s="247"/>
    </row>
    <row r="291" spans="1:91">
      <c r="G291" s="147"/>
      <c r="H291" s="19"/>
      <c r="I291" s="19"/>
      <c r="J291" s="19"/>
      <c r="K291" s="147"/>
      <c r="L291" s="19"/>
      <c r="M291" s="19"/>
      <c r="N291" s="19"/>
      <c r="O291" s="19"/>
      <c r="P291" s="147"/>
      <c r="Q291" s="19"/>
      <c r="R291" s="19"/>
      <c r="S291" s="19"/>
      <c r="T291" s="19"/>
      <c r="U291" s="147"/>
      <c r="V291" s="19"/>
      <c r="W291" s="19"/>
      <c r="X291" s="19"/>
      <c r="Y291" s="19"/>
      <c r="Z291" s="147"/>
      <c r="AA291" s="19"/>
      <c r="AB291" s="19"/>
      <c r="AC291" s="19"/>
      <c r="AD291" s="19"/>
      <c r="AE291" s="147"/>
      <c r="AF291" s="19"/>
      <c r="AG291" s="19"/>
      <c r="AH291" s="19"/>
      <c r="AI291" s="19"/>
      <c r="AJ291" s="147"/>
      <c r="AK291" s="19"/>
      <c r="AL291" s="19"/>
      <c r="AM291" s="19"/>
      <c r="AN291" s="19"/>
      <c r="AO291" s="147"/>
    </row>
    <row r="292" spans="1:91">
      <c r="G292" s="147"/>
      <c r="H292" s="19"/>
      <c r="I292" s="19"/>
      <c r="J292" s="19"/>
      <c r="K292" s="147"/>
      <c r="L292" s="19"/>
      <c r="M292" s="19"/>
      <c r="N292" s="19"/>
      <c r="O292" s="19"/>
      <c r="P292" s="147"/>
      <c r="Q292" s="19"/>
      <c r="R292" s="19"/>
      <c r="S292" s="19"/>
      <c r="T292" s="19"/>
      <c r="U292" s="147"/>
      <c r="V292" s="19"/>
      <c r="W292" s="19"/>
      <c r="X292" s="19"/>
      <c r="Y292" s="19"/>
      <c r="Z292" s="147"/>
      <c r="AA292" s="19"/>
      <c r="AB292" s="19"/>
      <c r="AC292" s="19"/>
      <c r="AD292" s="19"/>
      <c r="AE292" s="147"/>
      <c r="AF292" s="19"/>
      <c r="AG292" s="19"/>
      <c r="AH292" s="19"/>
      <c r="AI292" s="19"/>
      <c r="AJ292" s="147"/>
      <c r="AK292" s="19"/>
      <c r="AL292" s="19"/>
      <c r="AM292" s="19"/>
      <c r="AN292" s="19"/>
      <c r="AO292" s="147"/>
    </row>
    <row r="293" spans="1:91">
      <c r="A293" s="18" t="s">
        <v>421</v>
      </c>
      <c r="AK293" s="18">
        <f>24.9-AL293</f>
        <v>9.6999999999999993</v>
      </c>
      <c r="AL293" s="18">
        <v>15.2</v>
      </c>
      <c r="AP293" s="18">
        <f>18.6-AQ293</f>
        <v>9.7000000000000011</v>
      </c>
      <c r="AQ293" s="18">
        <v>8.9</v>
      </c>
      <c r="AR293" s="18">
        <v>5.0999999999999996</v>
      </c>
      <c r="AS293" s="18">
        <v>18</v>
      </c>
    </row>
    <row r="294" spans="1:91">
      <c r="G294" s="147"/>
      <c r="H294" s="19"/>
      <c r="I294" s="19"/>
      <c r="J294" s="19"/>
      <c r="K294" s="147"/>
      <c r="L294" s="19"/>
      <c r="M294" s="19"/>
      <c r="N294" s="19"/>
      <c r="O294" s="19"/>
      <c r="P294" s="147"/>
      <c r="Q294" s="19"/>
      <c r="R294" s="19"/>
      <c r="S294" s="19"/>
      <c r="T294" s="19"/>
      <c r="U294" s="147"/>
      <c r="V294" s="19"/>
      <c r="W294" s="19"/>
      <c r="X294" s="19"/>
      <c r="Y294" s="19"/>
      <c r="Z294" s="147"/>
      <c r="AA294" s="19"/>
      <c r="AB294" s="19"/>
      <c r="AC294" s="19"/>
      <c r="AD294" s="19"/>
      <c r="AE294" s="147"/>
      <c r="AF294" s="19"/>
      <c r="AG294" s="19"/>
      <c r="AH294" s="19"/>
      <c r="AI294" s="19"/>
      <c r="AJ294" s="147"/>
      <c r="AK294" s="19"/>
      <c r="AL294" s="19"/>
      <c r="AM294" s="19"/>
      <c r="AN294" s="19"/>
      <c r="AO294" s="147"/>
    </row>
    <row r="295" spans="1:91">
      <c r="A295" s="42" t="s">
        <v>429</v>
      </c>
      <c r="G295" s="147"/>
      <c r="H295" s="19"/>
      <c r="I295" s="19"/>
      <c r="J295" s="19"/>
      <c r="K295" s="147"/>
      <c r="L295" s="19"/>
      <c r="M295" s="19"/>
      <c r="N295" s="19"/>
      <c r="O295" s="19"/>
      <c r="P295" s="147"/>
      <c r="Q295" s="19"/>
      <c r="R295" s="19"/>
      <c r="S295" s="19"/>
      <c r="T295" s="19"/>
      <c r="U295" s="147"/>
      <c r="V295" s="19"/>
      <c r="W295" s="19"/>
      <c r="X295" s="19"/>
      <c r="Y295" s="19"/>
      <c r="Z295" s="147"/>
      <c r="AA295" s="19"/>
      <c r="AB295" s="19"/>
      <c r="AC295" s="19"/>
      <c r="AD295" s="19"/>
      <c r="AE295" s="147"/>
      <c r="AF295" s="19"/>
      <c r="AG295" s="19"/>
      <c r="AH295" s="19"/>
      <c r="AI295" s="19"/>
      <c r="AJ295" s="147"/>
      <c r="AK295" s="19"/>
      <c r="AL295" s="19"/>
      <c r="AM295" s="19"/>
      <c r="AN295" s="19"/>
      <c r="AO295" s="147"/>
    </row>
    <row r="296" spans="1:91">
      <c r="A296" s="18" t="s">
        <v>430</v>
      </c>
      <c r="G296" s="147"/>
      <c r="H296" s="19"/>
      <c r="I296" s="19"/>
      <c r="J296" s="19"/>
      <c r="K296" s="147"/>
      <c r="L296" s="19"/>
      <c r="M296" s="19"/>
      <c r="N296" s="19"/>
      <c r="O296" s="19"/>
      <c r="P296" s="147"/>
      <c r="Q296" s="19"/>
      <c r="R296" s="19"/>
      <c r="S296" s="19"/>
      <c r="T296" s="19"/>
      <c r="U296" s="147"/>
      <c r="V296" s="19"/>
      <c r="W296" s="19"/>
      <c r="X296" s="19"/>
      <c r="Y296" s="19"/>
      <c r="Z296" s="147"/>
      <c r="AA296" s="19"/>
      <c r="AB296" s="19"/>
      <c r="AC296" s="19"/>
      <c r="AD296" s="19"/>
      <c r="AE296" s="147"/>
      <c r="AF296" s="19"/>
      <c r="AG296" s="19"/>
      <c r="AH296" s="19"/>
      <c r="AI296" s="19"/>
      <c r="AJ296" s="147"/>
      <c r="AK296" s="19"/>
      <c r="AL296" s="19"/>
      <c r="AM296" s="19"/>
      <c r="AN296" s="60">
        <v>0.02</v>
      </c>
      <c r="AO296" s="147"/>
      <c r="AP296" s="60">
        <v>0.18</v>
      </c>
      <c r="AQ296" s="60">
        <v>0.48</v>
      </c>
      <c r="AR296" s="60">
        <v>0.55000000000000004</v>
      </c>
      <c r="AS296" s="60">
        <v>0.52</v>
      </c>
    </row>
    <row r="297" spans="1:91">
      <c r="A297" s="18" t="s">
        <v>404</v>
      </c>
      <c r="G297" s="147"/>
      <c r="H297" s="19"/>
      <c r="I297" s="19"/>
      <c r="J297" s="19"/>
      <c r="K297" s="147"/>
      <c r="L297" s="19"/>
      <c r="M297" s="19"/>
      <c r="N297" s="19"/>
      <c r="O297" s="19"/>
      <c r="P297" s="147"/>
      <c r="Q297" s="19"/>
      <c r="R297" s="19"/>
      <c r="S297" s="19"/>
      <c r="T297" s="19"/>
      <c r="U297" s="147"/>
      <c r="V297" s="19"/>
      <c r="W297" s="19"/>
      <c r="X297" s="19"/>
      <c r="Y297" s="19"/>
      <c r="Z297" s="147"/>
      <c r="AA297" s="19"/>
      <c r="AB297" s="19"/>
      <c r="AC297" s="19"/>
      <c r="AD297" s="19"/>
      <c r="AE297" s="147"/>
      <c r="AF297" s="19"/>
      <c r="AG297" s="19"/>
      <c r="AH297" s="19"/>
      <c r="AI297" s="19"/>
      <c r="AJ297" s="147"/>
      <c r="AK297" s="19"/>
      <c r="AL297" s="19"/>
      <c r="AM297" s="19"/>
      <c r="AN297" s="19"/>
      <c r="AO297" s="147"/>
      <c r="AP297" s="18">
        <f>AP204-AP298</f>
        <v>4.6551399999999994</v>
      </c>
      <c r="AQ297" s="18">
        <f>AQ204-AQ298</f>
        <v>7.7032800000000003</v>
      </c>
      <c r="AR297" s="18">
        <f>AR204-AR298</f>
        <v>10.850399999999999</v>
      </c>
      <c r="AS297" s="18">
        <f>AS204-AS298</f>
        <v>16.861919999999998</v>
      </c>
    </row>
    <row r="298" spans="1:91">
      <c r="A298" s="18" t="s">
        <v>409</v>
      </c>
      <c r="G298" s="147"/>
      <c r="H298" s="19"/>
      <c r="I298" s="19"/>
      <c r="J298" s="19"/>
      <c r="K298" s="147"/>
      <c r="L298" s="19"/>
      <c r="M298" s="19"/>
      <c r="N298" s="19"/>
      <c r="O298" s="19"/>
      <c r="P298" s="147"/>
      <c r="Q298" s="19"/>
      <c r="R298" s="19"/>
      <c r="S298" s="19"/>
      <c r="T298" s="19"/>
      <c r="U298" s="147"/>
      <c r="V298" s="19"/>
      <c r="W298" s="19"/>
      <c r="X298" s="19"/>
      <c r="Y298" s="19"/>
      <c r="Z298" s="147"/>
      <c r="AA298" s="19"/>
      <c r="AB298" s="19"/>
      <c r="AC298" s="19"/>
      <c r="AD298" s="19"/>
      <c r="AE298" s="147"/>
      <c r="AF298" s="19"/>
      <c r="AG298" s="19"/>
      <c r="AH298" s="19"/>
      <c r="AI298" s="19"/>
      <c r="AJ298" s="147"/>
      <c r="AK298" s="19"/>
      <c r="AL298" s="19"/>
      <c r="AM298" s="19"/>
      <c r="AN298" s="19"/>
      <c r="AO298" s="147"/>
      <c r="AP298" s="18">
        <f>AP204*AP296</f>
        <v>1.02186</v>
      </c>
      <c r="AQ298" s="18">
        <f>AQ204*AQ296</f>
        <v>7.1107199999999997</v>
      </c>
      <c r="AR298" s="18">
        <f>AR204*AR296</f>
        <v>13.2616</v>
      </c>
      <c r="AS298" s="18">
        <f>AS204*AS296</f>
        <v>18.26708</v>
      </c>
    </row>
    <row r="299" spans="1:91">
      <c r="A299" s="18" t="s">
        <v>431</v>
      </c>
      <c r="G299" s="147"/>
      <c r="H299" s="19"/>
      <c r="I299" s="19"/>
      <c r="J299" s="19"/>
      <c r="K299" s="147"/>
      <c r="L299" s="19"/>
      <c r="M299" s="19"/>
      <c r="N299" s="19"/>
      <c r="O299" s="19"/>
      <c r="P299" s="147"/>
      <c r="Q299" s="19"/>
      <c r="R299" s="19"/>
      <c r="S299" s="19"/>
      <c r="T299" s="19"/>
      <c r="U299" s="147"/>
      <c r="V299" s="19"/>
      <c r="W299" s="19"/>
      <c r="X299" s="19"/>
      <c r="Y299" s="19"/>
      <c r="Z299" s="147"/>
      <c r="AA299" s="19"/>
      <c r="AB299" s="19"/>
      <c r="AC299" s="19"/>
      <c r="AD299" s="19"/>
      <c r="AE299" s="147"/>
      <c r="AF299" s="19"/>
      <c r="AG299" s="19"/>
      <c r="AH299" s="19"/>
      <c r="AI299" s="19"/>
      <c r="AJ299" s="147"/>
      <c r="AK299" s="19"/>
      <c r="AL299" s="19"/>
      <c r="AM299" s="19"/>
      <c r="AN299" s="19"/>
      <c r="AO299" s="147"/>
      <c r="AP299" s="49">
        <f>AP297*1000000/AP196</f>
        <v>517.23777777777764</v>
      </c>
      <c r="AQ299" s="49">
        <f>AQ297*1000000/AQ196</f>
        <v>481.45499999999998</v>
      </c>
      <c r="AR299" s="49">
        <f>AR297*1000000/AR196</f>
        <v>452.09999999999991</v>
      </c>
      <c r="AS299" s="49">
        <f>AS297*1000000/AS196</f>
        <v>443.73473684210518</v>
      </c>
    </row>
    <row r="300" spans="1:91">
      <c r="G300" s="147"/>
      <c r="H300" s="19"/>
      <c r="I300" s="19"/>
      <c r="J300" s="19"/>
      <c r="K300" s="147"/>
      <c r="L300" s="19"/>
      <c r="M300" s="19"/>
      <c r="N300" s="19"/>
      <c r="O300" s="19"/>
      <c r="P300" s="147"/>
      <c r="Q300" s="19"/>
      <c r="R300" s="19"/>
      <c r="S300" s="19"/>
      <c r="T300" s="19"/>
      <c r="U300" s="147"/>
      <c r="V300" s="19"/>
      <c r="W300" s="19"/>
      <c r="X300" s="19"/>
      <c r="Y300" s="19"/>
      <c r="Z300" s="147"/>
      <c r="AA300" s="19"/>
      <c r="AB300" s="19"/>
      <c r="AC300" s="19"/>
      <c r="AD300" s="19"/>
      <c r="AE300" s="147"/>
      <c r="AF300" s="19"/>
      <c r="AG300" s="19"/>
      <c r="AH300" s="19"/>
      <c r="AI300" s="19"/>
      <c r="AJ300" s="147"/>
      <c r="AK300" s="19"/>
      <c r="AL300" s="19"/>
      <c r="AM300" s="19"/>
      <c r="AN300" s="19"/>
      <c r="AO300" s="147"/>
    </row>
    <row r="301" spans="1:91">
      <c r="G301" s="147"/>
      <c r="H301" s="19"/>
      <c r="I301" s="19"/>
      <c r="J301" s="19"/>
      <c r="K301" s="147"/>
      <c r="L301" s="19"/>
      <c r="M301" s="19"/>
      <c r="N301" s="19"/>
      <c r="O301" s="19"/>
      <c r="P301" s="147"/>
      <c r="Q301" s="19"/>
      <c r="R301" s="19"/>
      <c r="S301" s="19"/>
      <c r="T301" s="19"/>
      <c r="U301" s="147"/>
      <c r="V301" s="19"/>
      <c r="W301" s="19"/>
      <c r="X301" s="19"/>
      <c r="Y301" s="19"/>
      <c r="Z301" s="147"/>
      <c r="AA301" s="19"/>
      <c r="AB301" s="19"/>
      <c r="AC301" s="19"/>
      <c r="AD301" s="19"/>
      <c r="AE301" s="147"/>
      <c r="AF301" s="19"/>
      <c r="AG301" s="19"/>
      <c r="AH301" s="19"/>
      <c r="AI301" s="19"/>
      <c r="AJ301" s="147"/>
      <c r="AK301" s="19"/>
      <c r="AL301" s="19"/>
      <c r="AM301" s="19"/>
      <c r="AN301" s="19"/>
      <c r="AO301" s="147"/>
    </row>
    <row r="302" spans="1:91" s="7" customFormat="1" ht="13.9" hidden="1" customHeight="1" outlineLevel="1">
      <c r="A302" s="153" t="s">
        <v>289</v>
      </c>
      <c r="B302" s="13"/>
      <c r="C302" s="13"/>
      <c r="D302" s="13"/>
      <c r="E302" s="13"/>
      <c r="F302" s="13"/>
      <c r="G302" s="13"/>
      <c r="H302" s="13"/>
      <c r="I302" s="13"/>
      <c r="J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50"/>
      <c r="AN302" s="50"/>
      <c r="AO302" s="50"/>
      <c r="AP302" s="13"/>
      <c r="AQ302" s="54"/>
      <c r="AR302" s="54"/>
      <c r="AS302" s="50"/>
      <c r="AU302" s="50"/>
      <c r="AV302" s="50"/>
      <c r="AW302" s="50"/>
      <c r="AX302" s="50"/>
      <c r="AZ302" s="50"/>
      <c r="BA302" s="50"/>
      <c r="BB302" s="50"/>
      <c r="BC302" s="50"/>
      <c r="BE302" s="50"/>
      <c r="BF302" s="50"/>
      <c r="BG302" s="50"/>
      <c r="BH302" s="50"/>
      <c r="BJ302" s="50"/>
      <c r="BK302" s="50"/>
      <c r="BL302" s="50"/>
      <c r="BM302" s="50"/>
      <c r="BO302" s="50"/>
      <c r="BP302" s="50"/>
      <c r="BQ302" s="50"/>
      <c r="BR302" s="50"/>
      <c r="BT302" s="50"/>
      <c r="BU302" s="50"/>
      <c r="BV302" s="50"/>
      <c r="BW302" s="50"/>
      <c r="BY302" s="50"/>
      <c r="BZ302" s="50"/>
      <c r="CA302" s="50"/>
      <c r="CB302" s="50"/>
      <c r="CD302" s="50"/>
      <c r="CE302" s="50"/>
      <c r="CF302" s="50"/>
      <c r="CG302" s="50"/>
      <c r="CI302" s="50"/>
      <c r="CJ302" s="50"/>
      <c r="CK302" s="50"/>
      <c r="CL302" s="50"/>
    </row>
    <row r="303" spans="1:91" s="7" customFormat="1" ht="13.9" hidden="1" customHeight="1" outlineLevel="1">
      <c r="A303" s="145" t="s">
        <v>230</v>
      </c>
      <c r="B303" s="13"/>
      <c r="C303" s="13"/>
      <c r="D303" s="13"/>
      <c r="E303" s="13"/>
      <c r="F303" s="13"/>
      <c r="G303" s="13"/>
      <c r="H303" s="13"/>
      <c r="I303" s="13"/>
      <c r="J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50"/>
      <c r="AN303" s="50"/>
      <c r="AO303" s="50"/>
      <c r="AP303" s="13"/>
      <c r="AQ303" s="54"/>
      <c r="AR303" s="54"/>
      <c r="AS303" s="50"/>
      <c r="AU303" s="50"/>
      <c r="AV303" s="50"/>
      <c r="AW303" s="50"/>
      <c r="AX303" s="50"/>
      <c r="AZ303" s="50"/>
      <c r="BA303" s="50"/>
      <c r="BB303" s="50"/>
      <c r="BC303" s="50"/>
      <c r="BE303" s="50"/>
      <c r="BF303" s="50"/>
      <c r="BG303" s="50"/>
      <c r="BH303" s="50"/>
      <c r="BJ303" s="50"/>
      <c r="BK303" s="50"/>
      <c r="BL303" s="50"/>
      <c r="BM303" s="50"/>
      <c r="BO303" s="50"/>
      <c r="BP303" s="50"/>
      <c r="BQ303" s="50"/>
      <c r="BR303" s="50"/>
      <c r="BT303" s="50"/>
      <c r="BU303" s="50"/>
      <c r="BV303" s="50"/>
      <c r="BW303" s="50"/>
      <c r="BY303" s="50"/>
      <c r="BZ303" s="50"/>
      <c r="CA303" s="50"/>
      <c r="CB303" s="50"/>
      <c r="CD303" s="50"/>
      <c r="CE303" s="50"/>
      <c r="CF303" s="50"/>
      <c r="CG303" s="50"/>
      <c r="CI303" s="50"/>
      <c r="CJ303" s="50"/>
      <c r="CK303" s="50"/>
      <c r="CL303" s="50"/>
    </row>
    <row r="304" spans="1:91" s="7" customFormat="1" hidden="1" outlineLevel="1">
      <c r="A304" s="17" t="s">
        <v>237</v>
      </c>
      <c r="B304" s="13"/>
      <c r="C304" s="13"/>
      <c r="D304" s="13"/>
      <c r="E304" s="13"/>
      <c r="F304" s="13"/>
      <c r="G304" s="13"/>
      <c r="H304" s="13"/>
      <c r="I304" s="13"/>
      <c r="J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40"/>
      <c r="AH304" s="140"/>
      <c r="AI304" s="140"/>
      <c r="AJ304" s="13"/>
      <c r="AK304" s="140">
        <v>2950</v>
      </c>
      <c r="AL304" s="140">
        <v>3000</v>
      </c>
      <c r="AM304" s="140"/>
      <c r="AN304" s="140"/>
      <c r="AO304" s="50"/>
      <c r="AP304" s="140"/>
      <c r="AQ304" s="54"/>
      <c r="AR304" s="54"/>
      <c r="AS304" s="50"/>
      <c r="AU304" s="50"/>
      <c r="AV304" s="50"/>
      <c r="AW304" s="50"/>
      <c r="AX304" s="50"/>
      <c r="AZ304" s="50"/>
      <c r="BA304" s="50"/>
      <c r="BB304" s="50"/>
      <c r="BC304" s="50"/>
      <c r="BE304" s="50"/>
      <c r="BF304" s="50"/>
      <c r="BG304" s="50"/>
      <c r="BH304" s="50"/>
      <c r="BJ304" s="50"/>
      <c r="BK304" s="50"/>
      <c r="BL304" s="50"/>
      <c r="BM304" s="50"/>
      <c r="BO304" s="50"/>
      <c r="BP304" s="50"/>
      <c r="BQ304" s="50"/>
      <c r="BR304" s="50"/>
      <c r="BT304" s="50"/>
      <c r="BU304" s="50"/>
      <c r="BV304" s="50"/>
      <c r="BW304" s="50"/>
      <c r="BY304" s="50"/>
      <c r="BZ304" s="50"/>
      <c r="CA304" s="50"/>
      <c r="CB304" s="50"/>
      <c r="CD304" s="50"/>
      <c r="CE304" s="50"/>
      <c r="CF304" s="50"/>
      <c r="CG304" s="50"/>
      <c r="CI304" s="50"/>
      <c r="CJ304" s="50"/>
      <c r="CK304" s="50"/>
      <c r="CL304" s="50"/>
    </row>
    <row r="305" spans="1:90" s="7" customFormat="1" hidden="1" outlineLevel="1">
      <c r="A305" s="17" t="s">
        <v>238</v>
      </c>
      <c r="B305" s="13"/>
      <c r="C305" s="13"/>
      <c r="D305" s="13"/>
      <c r="E305" s="13"/>
      <c r="F305" s="13"/>
      <c r="G305" s="13"/>
      <c r="H305" s="13"/>
      <c r="I305" s="13"/>
      <c r="J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40">
        <v>2900</v>
      </c>
      <c r="AL305" s="140">
        <v>2950</v>
      </c>
      <c r="AM305" s="140"/>
      <c r="AN305" s="140"/>
      <c r="AO305" s="50"/>
      <c r="AP305" s="140"/>
      <c r="AQ305" s="54"/>
      <c r="AR305" s="54"/>
      <c r="AS305" s="50"/>
      <c r="AU305" s="50"/>
      <c r="AV305" s="50"/>
      <c r="AW305" s="50"/>
      <c r="AX305" s="50"/>
      <c r="AZ305" s="50"/>
      <c r="BA305" s="50"/>
      <c r="BB305" s="50"/>
      <c r="BC305" s="50"/>
      <c r="BE305" s="50"/>
      <c r="BF305" s="50"/>
      <c r="BG305" s="50"/>
      <c r="BH305" s="50"/>
      <c r="BJ305" s="50"/>
      <c r="BK305" s="50"/>
      <c r="BL305" s="50"/>
      <c r="BM305" s="50"/>
      <c r="BO305" s="50"/>
      <c r="BP305" s="50"/>
      <c r="BQ305" s="50"/>
      <c r="BR305" s="50"/>
      <c r="BT305" s="50"/>
      <c r="BU305" s="50"/>
      <c r="BV305" s="50"/>
      <c r="BW305" s="50"/>
      <c r="BY305" s="50"/>
      <c r="BZ305" s="50"/>
      <c r="CA305" s="50"/>
      <c r="CB305" s="50"/>
      <c r="CD305" s="50"/>
      <c r="CE305" s="50"/>
      <c r="CF305" s="50"/>
      <c r="CG305" s="50"/>
      <c r="CI305" s="50"/>
      <c r="CJ305" s="50"/>
      <c r="CK305" s="50"/>
      <c r="CL305" s="50"/>
    </row>
    <row r="306" spans="1:90" s="7" customFormat="1" hidden="1" outlineLevel="1">
      <c r="A306" s="17" t="s">
        <v>236</v>
      </c>
      <c r="B306" s="13"/>
      <c r="C306" s="13"/>
      <c r="D306" s="13"/>
      <c r="E306" s="13"/>
      <c r="F306" s="13"/>
      <c r="G306" s="13"/>
      <c r="H306" s="13"/>
      <c r="I306" s="13"/>
      <c r="J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40">
        <v>2650</v>
      </c>
      <c r="AH306" s="140">
        <v>2700</v>
      </c>
      <c r="AI306" s="140">
        <v>2750</v>
      </c>
      <c r="AJ306" s="13"/>
      <c r="AK306" s="140">
        <f>AVERAGE(AK304:AK305)</f>
        <v>2925</v>
      </c>
      <c r="AL306" s="140">
        <f>AVERAGE(AL304:AL305)</f>
        <v>2975</v>
      </c>
      <c r="AM306" s="140">
        <v>3000</v>
      </c>
      <c r="AN306" s="150">
        <f>AM306+25</f>
        <v>3025</v>
      </c>
      <c r="AO306" s="140">
        <f>AVERAGE(AK306:AN306)</f>
        <v>2981.25</v>
      </c>
      <c r="AP306" s="140">
        <f>(3000+3100)/2</f>
        <v>3050</v>
      </c>
      <c r="AQ306" s="146">
        <f>AP306+25</f>
        <v>3075</v>
      </c>
      <c r="AR306" s="146">
        <f t="shared" ref="AR306:AS306" si="3996">AQ306+25</f>
        <v>3100</v>
      </c>
      <c r="AS306" s="140">
        <f t="shared" si="3996"/>
        <v>3125</v>
      </c>
      <c r="AT306" s="140">
        <f>AVERAGE(AP306:AS306)</f>
        <v>3087.5</v>
      </c>
      <c r="AU306" s="50"/>
      <c r="AV306" s="50"/>
      <c r="AW306" s="50"/>
      <c r="AX306" s="50"/>
      <c r="AZ306" s="50"/>
      <c r="BA306" s="50"/>
      <c r="BB306" s="50"/>
      <c r="BC306" s="50"/>
      <c r="BE306" s="50"/>
      <c r="BF306" s="50"/>
      <c r="BG306" s="50"/>
      <c r="BH306" s="50"/>
      <c r="BJ306" s="50"/>
      <c r="BK306" s="50"/>
      <c r="BL306" s="50"/>
      <c r="BM306" s="50"/>
      <c r="BO306" s="50"/>
      <c r="BP306" s="50"/>
      <c r="BQ306" s="50"/>
      <c r="BR306" s="50"/>
      <c r="BT306" s="50"/>
      <c r="BU306" s="50"/>
      <c r="BV306" s="50"/>
      <c r="BW306" s="50"/>
      <c r="BY306" s="50"/>
      <c r="BZ306" s="50"/>
      <c r="CA306" s="50"/>
      <c r="CB306" s="50"/>
      <c r="CD306" s="50"/>
      <c r="CE306" s="50"/>
      <c r="CF306" s="50"/>
      <c r="CG306" s="50"/>
      <c r="CI306" s="50"/>
      <c r="CJ306" s="50"/>
      <c r="CK306" s="50"/>
      <c r="CL306" s="50"/>
    </row>
    <row r="307" spans="1:90" s="7" customFormat="1" hidden="1" outlineLevel="1">
      <c r="A307" s="17" t="s">
        <v>327</v>
      </c>
      <c r="B307" s="13"/>
      <c r="C307" s="13"/>
      <c r="D307" s="13"/>
      <c r="E307" s="13"/>
      <c r="F307" s="13"/>
      <c r="G307" s="13"/>
      <c r="H307" s="13"/>
      <c r="I307" s="13"/>
      <c r="J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40"/>
      <c r="AN307" s="50"/>
      <c r="AO307" s="50"/>
      <c r="AP307" s="50"/>
      <c r="AQ307" s="54"/>
      <c r="AR307" s="54"/>
      <c r="AS307" s="50"/>
      <c r="AU307" s="50"/>
      <c r="AV307" s="50"/>
      <c r="AW307" s="50"/>
      <c r="AX307" s="50"/>
      <c r="AZ307" s="50"/>
      <c r="BA307" s="50"/>
      <c r="BB307" s="50"/>
      <c r="BC307" s="50"/>
      <c r="BE307" s="50"/>
      <c r="BF307" s="50"/>
      <c r="BG307" s="50"/>
      <c r="BH307" s="50"/>
      <c r="BJ307" s="50"/>
      <c r="BK307" s="50"/>
      <c r="BL307" s="50"/>
      <c r="BM307" s="50"/>
      <c r="BO307" s="50"/>
      <c r="BP307" s="50"/>
      <c r="BQ307" s="50"/>
      <c r="BR307" s="50"/>
      <c r="BT307" s="50"/>
      <c r="BU307" s="50"/>
      <c r="BV307" s="50"/>
      <c r="BW307" s="50"/>
      <c r="BY307" s="50"/>
      <c r="BZ307" s="50"/>
      <c r="CA307" s="50"/>
      <c r="CB307" s="50"/>
      <c r="CD307" s="50"/>
      <c r="CE307" s="50"/>
      <c r="CF307" s="50"/>
      <c r="CG307" s="50"/>
      <c r="CI307" s="50"/>
      <c r="CJ307" s="50"/>
      <c r="CK307" s="50"/>
      <c r="CL307" s="50"/>
    </row>
    <row r="308" spans="1:90" s="7" customFormat="1" hidden="1" outlineLevel="1">
      <c r="A308" s="17" t="s">
        <v>228</v>
      </c>
      <c r="B308" s="13"/>
      <c r="C308" s="13"/>
      <c r="D308" s="13"/>
      <c r="E308" s="13"/>
      <c r="F308" s="13"/>
      <c r="G308" s="13"/>
      <c r="H308" s="13"/>
      <c r="I308" s="13"/>
      <c r="J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40">
        <v>5000</v>
      </c>
      <c r="AL308" s="140">
        <v>5000</v>
      </c>
      <c r="AM308" s="140">
        <v>5000</v>
      </c>
      <c r="AN308" s="140">
        <v>5000</v>
      </c>
      <c r="AO308" s="140">
        <v>5000</v>
      </c>
      <c r="AP308" s="140">
        <v>5000</v>
      </c>
      <c r="AQ308" s="150">
        <v>5000</v>
      </c>
      <c r="AR308" s="150">
        <v>5000</v>
      </c>
      <c r="AS308" s="151">
        <v>5000</v>
      </c>
      <c r="AT308" s="140">
        <f>AVERAGE(AP308:AS308)</f>
        <v>5000</v>
      </c>
      <c r="AU308" s="50"/>
      <c r="AV308" s="50"/>
      <c r="AW308" s="50"/>
      <c r="AX308" s="50"/>
      <c r="AZ308" s="50"/>
      <c r="BA308" s="50"/>
      <c r="BB308" s="50"/>
      <c r="BC308" s="50"/>
      <c r="BE308" s="50"/>
      <c r="BF308" s="50"/>
      <c r="BG308" s="50"/>
      <c r="BH308" s="50"/>
      <c r="BJ308" s="50"/>
      <c r="BK308" s="50"/>
      <c r="BL308" s="50"/>
      <c r="BM308" s="50"/>
      <c r="BO308" s="50"/>
      <c r="BP308" s="50"/>
      <c r="BQ308" s="50"/>
      <c r="BR308" s="50"/>
      <c r="BT308" s="50"/>
      <c r="BU308" s="50"/>
      <c r="BV308" s="50"/>
      <c r="BW308" s="50"/>
      <c r="BY308" s="50"/>
      <c r="BZ308" s="50"/>
      <c r="CA308" s="50"/>
      <c r="CB308" s="50"/>
      <c r="CD308" s="50"/>
      <c r="CE308" s="50"/>
      <c r="CF308" s="50"/>
      <c r="CG308" s="50"/>
      <c r="CI308" s="50"/>
      <c r="CJ308" s="50"/>
      <c r="CK308" s="50"/>
      <c r="CL308" s="50"/>
    </row>
    <row r="309" spans="1:90" s="7" customFormat="1" hidden="1" outlineLevel="1">
      <c r="A309" s="17" t="s">
        <v>229</v>
      </c>
      <c r="B309" s="13"/>
      <c r="C309" s="13"/>
      <c r="D309" s="13"/>
      <c r="E309" s="13"/>
      <c r="F309" s="13"/>
      <c r="G309" s="13"/>
      <c r="H309" s="13"/>
      <c r="I309" s="13"/>
      <c r="J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50"/>
      <c r="AO309" s="50"/>
      <c r="AP309" s="13"/>
      <c r="AQ309" s="54"/>
      <c r="AR309" s="54"/>
      <c r="AS309" s="50"/>
      <c r="AU309" s="50"/>
      <c r="AV309" s="50"/>
      <c r="AW309" s="50"/>
      <c r="AX309" s="50"/>
      <c r="AZ309" s="50"/>
      <c r="BA309" s="50"/>
      <c r="BB309" s="50"/>
      <c r="BC309" s="50"/>
      <c r="BE309" s="50"/>
      <c r="BF309" s="50"/>
      <c r="BG309" s="50"/>
      <c r="BH309" s="50"/>
      <c r="BJ309" s="50"/>
      <c r="BK309" s="50"/>
      <c r="BL309" s="50"/>
      <c r="BM309" s="50"/>
      <c r="BO309" s="50"/>
      <c r="BP309" s="50"/>
      <c r="BQ309" s="50"/>
      <c r="BR309" s="50"/>
      <c r="BT309" s="50"/>
      <c r="BU309" s="50"/>
      <c r="BV309" s="50"/>
      <c r="BW309" s="50"/>
      <c r="BY309" s="50"/>
      <c r="BZ309" s="50"/>
      <c r="CA309" s="50"/>
      <c r="CB309" s="50"/>
      <c r="CD309" s="50"/>
      <c r="CE309" s="50"/>
      <c r="CF309" s="50"/>
      <c r="CG309" s="50"/>
      <c r="CI309" s="50"/>
      <c r="CJ309" s="50"/>
      <c r="CK309" s="50"/>
      <c r="CL309" s="50"/>
    </row>
    <row r="310" spans="1:90" s="7" customFormat="1" ht="6" hidden="1" customHeight="1" outlineLevel="1">
      <c r="A310" s="17"/>
      <c r="B310" s="13"/>
      <c r="C310" s="13"/>
      <c r="D310" s="13"/>
      <c r="E310" s="13"/>
      <c r="F310" s="13"/>
      <c r="G310" s="13"/>
      <c r="H310" s="13"/>
      <c r="I310" s="13"/>
      <c r="J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50"/>
      <c r="AP310" s="13"/>
      <c r="AQ310" s="54"/>
      <c r="AR310" s="54"/>
      <c r="AS310" s="50"/>
      <c r="AU310" s="50"/>
      <c r="AV310" s="50"/>
      <c r="AW310" s="50"/>
      <c r="AX310" s="50"/>
      <c r="AZ310" s="50"/>
      <c r="BA310" s="50"/>
      <c r="BB310" s="50"/>
      <c r="BC310" s="50"/>
      <c r="BE310" s="50"/>
      <c r="BF310" s="50"/>
      <c r="BG310" s="50"/>
      <c r="BH310" s="50"/>
      <c r="BJ310" s="50"/>
      <c r="BK310" s="50"/>
      <c r="BL310" s="50"/>
      <c r="BM310" s="50"/>
      <c r="BO310" s="50"/>
      <c r="BP310" s="50"/>
      <c r="BQ310" s="50"/>
      <c r="BR310" s="50"/>
      <c r="BT310" s="50"/>
      <c r="BU310" s="50"/>
      <c r="BV310" s="50"/>
      <c r="BW310" s="50"/>
      <c r="BY310" s="50"/>
      <c r="BZ310" s="50"/>
      <c r="CA310" s="50"/>
      <c r="CB310" s="50"/>
      <c r="CD310" s="50"/>
      <c r="CE310" s="50"/>
      <c r="CF310" s="50"/>
      <c r="CG310" s="50"/>
      <c r="CI310" s="50"/>
      <c r="CJ310" s="50"/>
      <c r="CK310" s="50"/>
      <c r="CL310" s="50"/>
    </row>
    <row r="311" spans="1:90" s="7" customFormat="1" ht="12" hidden="1" customHeight="1" outlineLevel="1">
      <c r="A311" s="17"/>
      <c r="B311" s="13"/>
      <c r="C311" s="13"/>
      <c r="D311" s="13"/>
      <c r="E311" s="13"/>
      <c r="F311" s="13"/>
      <c r="G311" s="13"/>
      <c r="H311" s="13"/>
      <c r="I311" s="13"/>
      <c r="J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50"/>
      <c r="AP311" s="13"/>
      <c r="AQ311" s="54"/>
      <c r="AR311" s="54"/>
      <c r="AS311" s="50"/>
      <c r="AU311" s="50"/>
      <c r="AV311" s="50"/>
      <c r="AW311" s="50"/>
      <c r="AX311" s="50"/>
      <c r="AZ311" s="50"/>
      <c r="BA311" s="50"/>
      <c r="BB311" s="50"/>
      <c r="BC311" s="50"/>
      <c r="BE311" s="50"/>
      <c r="BF311" s="50"/>
      <c r="BG311" s="50"/>
      <c r="BH311" s="50"/>
      <c r="BJ311" s="50"/>
      <c r="BK311" s="50"/>
      <c r="BL311" s="50"/>
      <c r="BM311" s="50"/>
      <c r="BO311" s="50"/>
      <c r="BP311" s="50"/>
      <c r="BQ311" s="50"/>
      <c r="BR311" s="50"/>
      <c r="BT311" s="50"/>
      <c r="BU311" s="50"/>
      <c r="BV311" s="50"/>
      <c r="BW311" s="50"/>
      <c r="BY311" s="50"/>
      <c r="BZ311" s="50"/>
      <c r="CA311" s="50"/>
      <c r="CB311" s="50"/>
      <c r="CD311" s="50"/>
      <c r="CE311" s="50"/>
      <c r="CF311" s="50"/>
      <c r="CG311" s="50"/>
      <c r="CI311" s="50"/>
      <c r="CJ311" s="50"/>
      <c r="CK311" s="50"/>
      <c r="CL311" s="50"/>
    </row>
    <row r="312" spans="1:90" s="7" customFormat="1" ht="12" hidden="1" customHeight="1" outlineLevel="1">
      <c r="A312" s="145" t="s">
        <v>234</v>
      </c>
      <c r="B312" s="13"/>
      <c r="C312" s="13"/>
      <c r="D312" s="13"/>
      <c r="E312" s="13"/>
      <c r="F312" s="13"/>
      <c r="G312" s="13"/>
      <c r="H312" s="13"/>
      <c r="I312" s="13"/>
      <c r="J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50"/>
      <c r="AP312" s="13"/>
      <c r="AQ312" s="54"/>
      <c r="AR312" s="54"/>
      <c r="AS312" s="50"/>
      <c r="AU312" s="50"/>
      <c r="AV312" s="50"/>
      <c r="AW312" s="50"/>
      <c r="AX312" s="50"/>
      <c r="AZ312" s="50"/>
      <c r="BA312" s="50"/>
      <c r="BB312" s="50"/>
      <c r="BC312" s="50"/>
      <c r="BE312" s="50"/>
      <c r="BF312" s="50"/>
      <c r="BG312" s="50"/>
      <c r="BH312" s="50"/>
      <c r="BJ312" s="50"/>
      <c r="BK312" s="50"/>
      <c r="BL312" s="50"/>
      <c r="BM312" s="50"/>
      <c r="BO312" s="50"/>
      <c r="BP312" s="50"/>
      <c r="BQ312" s="50"/>
      <c r="BR312" s="50"/>
      <c r="BT312" s="50"/>
      <c r="BU312" s="50"/>
      <c r="BV312" s="50"/>
      <c r="BW312" s="50"/>
      <c r="BY312" s="50"/>
      <c r="BZ312" s="50"/>
      <c r="CA312" s="50"/>
      <c r="CB312" s="50"/>
      <c r="CD312" s="50"/>
      <c r="CE312" s="50"/>
      <c r="CF312" s="50"/>
      <c r="CG312" s="50"/>
      <c r="CI312" s="50"/>
      <c r="CJ312" s="50"/>
      <c r="CK312" s="50"/>
      <c r="CL312" s="50"/>
    </row>
    <row r="313" spans="1:90" s="7" customFormat="1" ht="12" hidden="1" customHeight="1" outlineLevel="1">
      <c r="A313" s="17" t="s">
        <v>235</v>
      </c>
      <c r="B313" s="13"/>
      <c r="C313" s="13"/>
      <c r="D313" s="13"/>
      <c r="E313" s="13"/>
      <c r="F313" s="13"/>
      <c r="G313" s="13"/>
      <c r="H313" s="13"/>
      <c r="I313" s="13"/>
      <c r="J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40">
        <v>293.25</v>
      </c>
      <c r="AB313" s="140">
        <v>339.33</v>
      </c>
      <c r="AC313" s="140">
        <v>320.83</v>
      </c>
      <c r="AD313" s="140">
        <v>389.39</v>
      </c>
      <c r="AE313" s="140">
        <v>276.45</v>
      </c>
      <c r="AF313" s="140">
        <v>430.55</v>
      </c>
      <c r="AG313" s="140">
        <v>453.63</v>
      </c>
      <c r="AH313" s="140">
        <v>447.23</v>
      </c>
      <c r="AI313" s="140">
        <v>454.3</v>
      </c>
      <c r="AJ313" s="140">
        <f>AVERAGE(AF313:AI313)</f>
        <v>446.42750000000001</v>
      </c>
      <c r="AK313" s="140">
        <v>481.24</v>
      </c>
      <c r="AL313" s="140">
        <v>472.65</v>
      </c>
      <c r="AM313" s="140">
        <v>450</v>
      </c>
      <c r="AN313" s="140">
        <v>450</v>
      </c>
      <c r="AO313" s="140">
        <f>AVERAGE(AK313:AN313)</f>
        <v>463.47249999999997</v>
      </c>
      <c r="AP313" s="140"/>
      <c r="AQ313" s="54"/>
      <c r="AR313" s="54"/>
      <c r="AS313" s="50"/>
      <c r="AU313" s="50"/>
      <c r="AV313" s="50"/>
      <c r="AW313" s="50"/>
      <c r="AX313" s="50"/>
      <c r="AZ313" s="50"/>
      <c r="BA313" s="50"/>
      <c r="BB313" s="50"/>
      <c r="BC313" s="50"/>
      <c r="BE313" s="50"/>
      <c r="BF313" s="50"/>
      <c r="BG313" s="50"/>
      <c r="BH313" s="50"/>
      <c r="BJ313" s="50"/>
      <c r="BK313" s="50"/>
      <c r="BL313" s="50"/>
      <c r="BM313" s="50"/>
      <c r="BO313" s="50"/>
      <c r="BP313" s="50"/>
      <c r="BQ313" s="50"/>
      <c r="BR313" s="50"/>
      <c r="BT313" s="50"/>
      <c r="BU313" s="50"/>
      <c r="BV313" s="50"/>
      <c r="BW313" s="50"/>
      <c r="BY313" s="50"/>
      <c r="BZ313" s="50"/>
      <c r="CA313" s="50"/>
      <c r="CB313" s="50"/>
      <c r="CD313" s="50"/>
      <c r="CE313" s="50"/>
      <c r="CF313" s="50"/>
      <c r="CG313" s="50"/>
      <c r="CI313" s="50"/>
      <c r="CJ313" s="50"/>
      <c r="CK313" s="50"/>
      <c r="CL313" s="50"/>
    </row>
    <row r="314" spans="1:90" s="7" customFormat="1" ht="13.9" hidden="1" customHeight="1" outlineLevel="1">
      <c r="A314" s="17" t="s">
        <v>329</v>
      </c>
      <c r="B314" s="13"/>
      <c r="C314" s="13"/>
      <c r="D314" s="13"/>
      <c r="E314" s="13"/>
      <c r="F314" s="13"/>
      <c r="G314" s="13"/>
      <c r="H314" s="13"/>
      <c r="I314" s="13"/>
      <c r="J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>
        <f>AB313/AA313-1</f>
        <v>0.15713554987212275</v>
      </c>
      <c r="AC314" s="13">
        <f t="shared" ref="AC314:AD314" si="3997">AC313/AB313-1</f>
        <v>-5.4519199599210255E-2</v>
      </c>
      <c r="AD314" s="13">
        <f t="shared" si="3997"/>
        <v>0.21369572670884884</v>
      </c>
      <c r="AE314" s="13"/>
      <c r="AF314" s="13">
        <f>AF313/AD313-1</f>
        <v>0.10570379311230393</v>
      </c>
      <c r="AG314" s="13">
        <f>AG313/AF313-1</f>
        <v>5.3605852978747981E-2</v>
      </c>
      <c r="AH314" s="13">
        <f t="shared" ref="AH314" si="3998">AH313/AG313-1</f>
        <v>-1.4108414346493792E-2</v>
      </c>
      <c r="AI314" s="13">
        <f t="shared" ref="AI314" si="3999">AI313/AH313-1</f>
        <v>1.5808420723117944E-2</v>
      </c>
      <c r="AJ314" s="13"/>
      <c r="AK314" s="13">
        <f>AK313/AI313-1</f>
        <v>5.9300022011886444E-2</v>
      </c>
      <c r="AL314" s="13">
        <f>AL313/AK313-1</f>
        <v>-1.784972155265574E-2</v>
      </c>
      <c r="AM314" s="13">
        <f t="shared" ref="AM314" si="4000">AM313/AL313-1</f>
        <v>-4.7921294827038996E-2</v>
      </c>
      <c r="AN314" s="13">
        <f t="shared" ref="AN314" si="4001">AN313/AM313-1</f>
        <v>0</v>
      </c>
      <c r="AO314" s="13"/>
      <c r="AP314" s="13"/>
      <c r="AQ314" s="54"/>
      <c r="AR314" s="54"/>
      <c r="AS314" s="50"/>
      <c r="AU314" s="50"/>
      <c r="AV314" s="50"/>
      <c r="AW314" s="50"/>
      <c r="AX314" s="50"/>
      <c r="AZ314" s="50"/>
      <c r="BA314" s="50"/>
      <c r="BB314" s="50"/>
      <c r="BC314" s="50"/>
      <c r="BE314" s="50"/>
      <c r="BF314" s="50"/>
      <c r="BG314" s="50"/>
      <c r="BH314" s="50"/>
      <c r="BJ314" s="50"/>
      <c r="BK314" s="50"/>
      <c r="BL314" s="50"/>
      <c r="BM314" s="50"/>
      <c r="BO314" s="50"/>
      <c r="BP314" s="50"/>
      <c r="BQ314" s="50"/>
      <c r="BR314" s="50"/>
      <c r="BT314" s="50"/>
      <c r="BU314" s="50"/>
      <c r="BV314" s="50"/>
      <c r="BW314" s="50"/>
      <c r="BY314" s="50"/>
      <c r="BZ314" s="50"/>
      <c r="CA314" s="50"/>
      <c r="CB314" s="50"/>
      <c r="CD314" s="50"/>
      <c r="CE314" s="50"/>
      <c r="CF314" s="50"/>
      <c r="CG314" s="50"/>
      <c r="CI314" s="50"/>
      <c r="CJ314" s="50"/>
      <c r="CK314" s="50"/>
      <c r="CL314" s="50"/>
    </row>
    <row r="315" spans="1:90" s="7" customFormat="1" ht="13.9" hidden="1" customHeight="1" outlineLevel="1">
      <c r="A315" s="17" t="s">
        <v>328</v>
      </c>
      <c r="B315" s="13"/>
      <c r="C315" s="13"/>
      <c r="D315" s="13"/>
      <c r="E315" s="13"/>
      <c r="F315" s="13"/>
      <c r="G315" s="13"/>
      <c r="H315" s="13"/>
      <c r="I315" s="13"/>
      <c r="J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>
        <f t="shared" ref="AF315:AO315" si="4002">AF313/AA313-1</f>
        <v>0.46820119352088674</v>
      </c>
      <c r="AG315" s="13">
        <f t="shared" si="4002"/>
        <v>0.33684024401025559</v>
      </c>
      <c r="AH315" s="13">
        <f t="shared" si="4002"/>
        <v>0.39397811925318726</v>
      </c>
      <c r="AI315" s="13">
        <f t="shared" si="4002"/>
        <v>0.16669662805927232</v>
      </c>
      <c r="AJ315" s="13">
        <f t="shared" si="4002"/>
        <v>0.61485802134201495</v>
      </c>
      <c r="AK315" s="13">
        <f t="shared" si="4002"/>
        <v>0.11773313204041336</v>
      </c>
      <c r="AL315" s="13">
        <f t="shared" si="4002"/>
        <v>4.1928443885986377E-2</v>
      </c>
      <c r="AM315" s="13">
        <f t="shared" si="4002"/>
        <v>6.19368110368268E-3</v>
      </c>
      <c r="AN315" s="13">
        <f t="shared" si="4002"/>
        <v>-9.4651111600264626E-3</v>
      </c>
      <c r="AO315" s="13">
        <f t="shared" si="4002"/>
        <v>3.8180891634139735E-2</v>
      </c>
      <c r="AP315" s="13"/>
      <c r="AQ315" s="54"/>
      <c r="AR315" s="54"/>
      <c r="AS315" s="50"/>
      <c r="AU315" s="50"/>
      <c r="AV315" s="50"/>
      <c r="AW315" s="50"/>
      <c r="AX315" s="50"/>
      <c r="AZ315" s="50"/>
      <c r="BA315" s="50"/>
      <c r="BB315" s="50"/>
      <c r="BC315" s="50"/>
      <c r="BE315" s="50"/>
      <c r="BF315" s="50"/>
      <c r="BG315" s="50"/>
      <c r="BH315" s="50"/>
      <c r="BJ315" s="50"/>
      <c r="BK315" s="50"/>
      <c r="BL315" s="50"/>
      <c r="BM315" s="50"/>
      <c r="BO315" s="50"/>
      <c r="BP315" s="50"/>
      <c r="BQ315" s="50"/>
      <c r="BR315" s="50"/>
      <c r="BT315" s="50"/>
      <c r="BU315" s="50"/>
      <c r="BV315" s="50"/>
      <c r="BW315" s="50"/>
      <c r="BY315" s="50"/>
      <c r="BZ315" s="50"/>
      <c r="CA315" s="50"/>
      <c r="CB315" s="50"/>
      <c r="CD315" s="50"/>
      <c r="CE315" s="50"/>
      <c r="CF315" s="50"/>
      <c r="CG315" s="50"/>
      <c r="CI315" s="50"/>
      <c r="CJ315" s="50"/>
      <c r="CK315" s="50"/>
      <c r="CL315" s="50"/>
    </row>
    <row r="316" spans="1:90" s="7" customFormat="1" ht="6" hidden="1" customHeight="1" outlineLevel="1">
      <c r="A316" s="17"/>
      <c r="B316" s="13"/>
      <c r="C316" s="13"/>
      <c r="D316" s="13"/>
      <c r="E316" s="13"/>
      <c r="F316" s="13"/>
      <c r="G316" s="13"/>
      <c r="H316" s="13"/>
      <c r="I316" s="13"/>
      <c r="J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50"/>
      <c r="AP316" s="13"/>
      <c r="AQ316" s="54"/>
      <c r="AR316" s="54"/>
      <c r="AS316" s="50"/>
      <c r="AU316" s="50"/>
      <c r="AV316" s="50"/>
      <c r="AW316" s="50"/>
      <c r="AX316" s="50"/>
      <c r="AZ316" s="50"/>
      <c r="BA316" s="50"/>
      <c r="BB316" s="50"/>
      <c r="BC316" s="50"/>
      <c r="BE316" s="50"/>
      <c r="BF316" s="50"/>
      <c r="BG316" s="50"/>
      <c r="BH316" s="50"/>
      <c r="BJ316" s="50"/>
      <c r="BK316" s="50"/>
      <c r="BL316" s="50"/>
      <c r="BM316" s="50"/>
      <c r="BO316" s="50"/>
      <c r="BP316" s="50"/>
      <c r="BQ316" s="50"/>
      <c r="BR316" s="50"/>
      <c r="BT316" s="50"/>
      <c r="BU316" s="50"/>
      <c r="BV316" s="50"/>
      <c r="BW316" s="50"/>
      <c r="BY316" s="50"/>
      <c r="BZ316" s="50"/>
      <c r="CA316" s="50"/>
      <c r="CB316" s="50"/>
      <c r="CD316" s="50"/>
      <c r="CE316" s="50"/>
      <c r="CF316" s="50"/>
      <c r="CG316" s="50"/>
      <c r="CI316" s="50"/>
      <c r="CJ316" s="50"/>
      <c r="CK316" s="50"/>
      <c r="CL316" s="50"/>
    </row>
    <row r="317" spans="1:90" s="7" customFormat="1" ht="13.9" hidden="1" customHeight="1" outlineLevel="1">
      <c r="A317" s="145" t="s">
        <v>325</v>
      </c>
      <c r="B317" s="13"/>
      <c r="C317" s="13"/>
      <c r="D317" s="13"/>
      <c r="E317" s="13"/>
      <c r="F317" s="13"/>
      <c r="G317" s="13"/>
      <c r="H317" s="13"/>
      <c r="I317" s="13"/>
      <c r="J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50"/>
      <c r="AP317" s="13"/>
      <c r="AQ317" s="54"/>
      <c r="AR317" s="54"/>
      <c r="AS317" s="50"/>
      <c r="AU317" s="50"/>
      <c r="AV317" s="50"/>
      <c r="AW317" s="50"/>
      <c r="AX317" s="50"/>
      <c r="AZ317" s="50"/>
      <c r="BA317" s="50"/>
      <c r="BB317" s="50"/>
      <c r="BC317" s="50"/>
      <c r="BE317" s="50"/>
      <c r="BF317" s="50"/>
      <c r="BG317" s="50"/>
      <c r="BH317" s="50"/>
      <c r="BJ317" s="50"/>
      <c r="BK317" s="50"/>
      <c r="BL317" s="50"/>
      <c r="BM317" s="50"/>
      <c r="BO317" s="50"/>
      <c r="BP317" s="50"/>
      <c r="BQ317" s="50"/>
      <c r="BR317" s="50"/>
      <c r="BT317" s="50"/>
      <c r="BU317" s="50"/>
      <c r="BV317" s="50"/>
      <c r="BW317" s="50"/>
      <c r="BY317" s="50"/>
      <c r="BZ317" s="50"/>
      <c r="CA317" s="50"/>
      <c r="CB317" s="50"/>
      <c r="CD317" s="50"/>
      <c r="CE317" s="50"/>
      <c r="CF317" s="50"/>
      <c r="CG317" s="50"/>
      <c r="CI317" s="50"/>
      <c r="CJ317" s="50"/>
      <c r="CK317" s="50"/>
      <c r="CL317" s="50"/>
    </row>
    <row r="318" spans="1:90" s="7" customFormat="1" ht="13.9" hidden="1" customHeight="1" outlineLevel="1">
      <c r="A318" s="17" t="s">
        <v>228</v>
      </c>
      <c r="B318" s="13"/>
      <c r="C318" s="13"/>
      <c r="D318" s="13"/>
      <c r="E318" s="13"/>
      <c r="F318" s="13"/>
      <c r="G318" s="13"/>
      <c r="H318" s="13"/>
      <c r="I318" s="13"/>
      <c r="J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40">
        <v>920</v>
      </c>
      <c r="AN318" s="54"/>
      <c r="AO318" s="50"/>
      <c r="AP318" s="149">
        <v>920</v>
      </c>
      <c r="AQ318" s="146">
        <v>1495</v>
      </c>
      <c r="AR318" s="146">
        <v>1495</v>
      </c>
      <c r="AS318" s="140">
        <v>1495</v>
      </c>
      <c r="AT318" s="140">
        <f>AVERAGE(AP318:AS318)</f>
        <v>1351.25</v>
      </c>
      <c r="AU318" s="140">
        <f>$AY318</f>
        <v>1500</v>
      </c>
      <c r="AV318" s="140">
        <f t="shared" ref="AV318:AX318" si="4003">$AY318</f>
        <v>1500</v>
      </c>
      <c r="AW318" s="140">
        <f t="shared" si="4003"/>
        <v>1500</v>
      </c>
      <c r="AX318" s="140">
        <f t="shared" si="4003"/>
        <v>1500</v>
      </c>
      <c r="AY318" s="151">
        <v>1500</v>
      </c>
      <c r="AZ318" s="160">
        <f>$BD318</f>
        <v>1500</v>
      </c>
      <c r="BA318" s="160">
        <f t="shared" ref="BA318:BC318" si="4004">$BD318</f>
        <v>1500</v>
      </c>
      <c r="BB318" s="160">
        <f t="shared" si="4004"/>
        <v>1500</v>
      </c>
      <c r="BC318" s="160">
        <f t="shared" si="4004"/>
        <v>1500</v>
      </c>
      <c r="BD318" s="152">
        <v>1500</v>
      </c>
      <c r="BE318" s="50"/>
      <c r="BF318" s="50"/>
      <c r="BG318" s="50"/>
      <c r="BH318" s="50"/>
      <c r="BJ318" s="50"/>
      <c r="BK318" s="50"/>
      <c r="BL318" s="50"/>
      <c r="BM318" s="50"/>
      <c r="BO318" s="50"/>
      <c r="BP318" s="50"/>
      <c r="BQ318" s="50"/>
      <c r="BR318" s="50"/>
      <c r="BT318" s="50"/>
      <c r="BU318" s="50"/>
      <c r="BV318" s="50"/>
      <c r="BW318" s="50"/>
      <c r="BY318" s="50"/>
      <c r="BZ318" s="50"/>
      <c r="CA318" s="50"/>
      <c r="CB318" s="50"/>
      <c r="CD318" s="50"/>
      <c r="CE318" s="50"/>
      <c r="CF318" s="50"/>
      <c r="CG318" s="50"/>
      <c r="CI318" s="50"/>
      <c r="CJ318" s="50"/>
      <c r="CK318" s="50"/>
      <c r="CL318" s="50"/>
    </row>
    <row r="319" spans="1:90" s="7" customFormat="1" ht="13.9" hidden="1" customHeight="1" outlineLevel="1">
      <c r="A319" s="17" t="s">
        <v>229</v>
      </c>
      <c r="B319" s="13"/>
      <c r="C319" s="13"/>
      <c r="D319" s="13"/>
      <c r="E319" s="13"/>
      <c r="F319" s="13"/>
      <c r="G319" s="13"/>
      <c r="H319" s="13"/>
      <c r="I319" s="13"/>
      <c r="J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40"/>
      <c r="AN319" s="54"/>
      <c r="AO319" s="50"/>
      <c r="AP319" s="140"/>
      <c r="AQ319" s="54"/>
      <c r="AR319" s="54"/>
      <c r="AS319" s="50"/>
      <c r="AU319" s="50"/>
      <c r="AV319" s="50"/>
      <c r="AW319" s="50"/>
      <c r="AX319" s="50"/>
      <c r="AZ319" s="50"/>
      <c r="BA319" s="50"/>
      <c r="BB319" s="50"/>
      <c r="BC319" s="50"/>
      <c r="BE319" s="50"/>
      <c r="BF319" s="50"/>
      <c r="BG319" s="50"/>
      <c r="BH319" s="50"/>
      <c r="BJ319" s="50"/>
      <c r="BK319" s="50"/>
      <c r="BL319" s="50"/>
      <c r="BM319" s="50"/>
      <c r="BO319" s="50"/>
      <c r="BP319" s="50"/>
      <c r="BQ319" s="50"/>
      <c r="BR319" s="50"/>
      <c r="BT319" s="50"/>
      <c r="BU319" s="50"/>
      <c r="BV319" s="50"/>
      <c r="BW319" s="50"/>
      <c r="BY319" s="50"/>
      <c r="BZ319" s="50"/>
      <c r="CA319" s="50"/>
      <c r="CB319" s="50"/>
      <c r="CD319" s="50"/>
      <c r="CE319" s="50"/>
      <c r="CF319" s="50"/>
      <c r="CG319" s="50"/>
      <c r="CI319" s="50"/>
      <c r="CJ319" s="50"/>
      <c r="CK319" s="50"/>
      <c r="CL319" s="50"/>
    </row>
    <row r="320" spans="1:90" s="7" customFormat="1" ht="13.9" hidden="1" customHeight="1" outlineLevel="1">
      <c r="A320" s="17" t="s">
        <v>235</v>
      </c>
      <c r="B320" s="13"/>
      <c r="C320" s="13"/>
      <c r="D320" s="13"/>
      <c r="E320" s="13"/>
      <c r="F320" s="13"/>
      <c r="G320" s="13"/>
      <c r="H320" s="13"/>
      <c r="I320" s="13"/>
      <c r="J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40">
        <v>319.17</v>
      </c>
      <c r="AN320" s="148">
        <v>500</v>
      </c>
      <c r="AO320" s="140">
        <v>600</v>
      </c>
      <c r="AP320" s="140">
        <v>510</v>
      </c>
      <c r="AQ320" s="150">
        <v>800</v>
      </c>
      <c r="AR320" s="150">
        <v>800</v>
      </c>
      <c r="AS320" s="151">
        <v>800</v>
      </c>
      <c r="AT320" s="140">
        <f>AVERAGE(AP320:AS320)</f>
        <v>727.5</v>
      </c>
      <c r="AU320" s="140">
        <f>AS320</f>
        <v>800</v>
      </c>
      <c r="AV320" s="140">
        <f>AU320</f>
        <v>800</v>
      </c>
      <c r="AW320" s="140">
        <f t="shared" ref="AW320:AX320" si="4005">AV320</f>
        <v>800</v>
      </c>
      <c r="AX320" s="140">
        <f t="shared" si="4005"/>
        <v>800</v>
      </c>
      <c r="AY320" s="140">
        <f>AVERAGE(AU320:AX320)</f>
        <v>800</v>
      </c>
      <c r="AZ320" s="50"/>
      <c r="BA320" s="50"/>
      <c r="BB320" s="50"/>
      <c r="BC320" s="50"/>
      <c r="BE320" s="50"/>
      <c r="BF320" s="50"/>
      <c r="BG320" s="50"/>
      <c r="BH320" s="50"/>
      <c r="BJ320" s="50"/>
      <c r="BK320" s="50"/>
      <c r="BL320" s="50"/>
      <c r="BM320" s="50"/>
      <c r="BO320" s="50"/>
      <c r="BP320" s="50"/>
      <c r="BQ320" s="50"/>
      <c r="BR320" s="50"/>
      <c r="BT320" s="50"/>
      <c r="BU320" s="50"/>
      <c r="BV320" s="50"/>
      <c r="BW320" s="50"/>
      <c r="BY320" s="50"/>
      <c r="BZ320" s="50"/>
      <c r="CA320" s="50"/>
      <c r="CB320" s="50"/>
      <c r="CD320" s="50"/>
      <c r="CE320" s="50"/>
      <c r="CF320" s="50"/>
      <c r="CG320" s="50"/>
      <c r="CI320" s="50"/>
      <c r="CJ320" s="50"/>
      <c r="CK320" s="50"/>
      <c r="CL320" s="50"/>
    </row>
    <row r="321" spans="1:90" s="7" customFormat="1" ht="13.9" hidden="1" customHeight="1" outlineLevel="1">
      <c r="A321" s="17"/>
      <c r="B321" s="13"/>
      <c r="C321" s="13"/>
      <c r="D321" s="13"/>
      <c r="E321" s="13"/>
      <c r="F321" s="13"/>
      <c r="G321" s="13"/>
      <c r="H321" s="13"/>
      <c r="I321" s="13"/>
      <c r="J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40"/>
      <c r="AN321" s="54"/>
      <c r="AO321" s="50"/>
      <c r="AP321" s="140"/>
      <c r="AQ321" s="54"/>
      <c r="AR321" s="54"/>
      <c r="AS321" s="50"/>
      <c r="AU321" s="50"/>
      <c r="AV321" s="50"/>
      <c r="AW321" s="50"/>
      <c r="AX321" s="50"/>
      <c r="AZ321" s="50"/>
      <c r="BA321" s="50"/>
      <c r="BB321" s="50"/>
      <c r="BC321" s="50"/>
      <c r="BE321" s="50"/>
      <c r="BF321" s="50"/>
      <c r="BG321" s="50"/>
      <c r="BH321" s="50"/>
      <c r="BJ321" s="50"/>
      <c r="BK321" s="50"/>
      <c r="BL321" s="50"/>
      <c r="BM321" s="50"/>
      <c r="BO321" s="50"/>
      <c r="BP321" s="50"/>
      <c r="BQ321" s="50"/>
      <c r="BR321" s="50"/>
      <c r="BT321" s="50"/>
      <c r="BU321" s="50"/>
      <c r="BV321" s="50"/>
      <c r="BW321" s="50"/>
      <c r="BY321" s="50"/>
      <c r="BZ321" s="50"/>
      <c r="CA321" s="50"/>
      <c r="CB321" s="50"/>
      <c r="CD321" s="50"/>
      <c r="CE321" s="50"/>
      <c r="CF321" s="50"/>
      <c r="CG321" s="50"/>
      <c r="CI321" s="50"/>
      <c r="CJ321" s="50"/>
      <c r="CK321" s="50"/>
      <c r="CL321" s="50"/>
    </row>
    <row r="322" spans="1:90" s="7" customFormat="1" ht="13.9" hidden="1" customHeight="1" outlineLevel="1">
      <c r="A322" s="17" t="s">
        <v>231</v>
      </c>
      <c r="B322" s="13"/>
      <c r="C322" s="13"/>
      <c r="D322" s="13"/>
      <c r="E322" s="13"/>
      <c r="F322" s="13"/>
      <c r="G322" s="13"/>
      <c r="H322" s="13"/>
      <c r="I322" s="13"/>
      <c r="J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40">
        <v>1495</v>
      </c>
      <c r="AN322" s="54"/>
      <c r="AO322" s="50"/>
      <c r="AP322" s="140">
        <v>1495</v>
      </c>
      <c r="AQ322" s="150">
        <v>1495</v>
      </c>
      <c r="AR322" s="150">
        <v>1495</v>
      </c>
      <c r="AS322" s="151">
        <v>1495</v>
      </c>
      <c r="AT322" s="140">
        <f>AVERAGE(AP322:AS322)</f>
        <v>1495</v>
      </c>
      <c r="AU322" s="50"/>
      <c r="AV322" s="50"/>
      <c r="AW322" s="50"/>
      <c r="AX322" s="50"/>
      <c r="AZ322" s="50"/>
      <c r="BA322" s="50"/>
      <c r="BB322" s="50"/>
      <c r="BC322" s="50"/>
      <c r="BE322" s="50"/>
      <c r="BF322" s="50"/>
      <c r="BG322" s="50"/>
      <c r="BH322" s="50"/>
      <c r="BJ322" s="50"/>
      <c r="BK322" s="50"/>
      <c r="BL322" s="50"/>
      <c r="BM322" s="50"/>
      <c r="BO322" s="50"/>
      <c r="BP322" s="50"/>
      <c r="BQ322" s="50"/>
      <c r="BR322" s="50"/>
      <c r="BT322" s="50"/>
      <c r="BU322" s="50"/>
      <c r="BV322" s="50"/>
      <c r="BW322" s="50"/>
      <c r="BY322" s="50"/>
      <c r="BZ322" s="50"/>
      <c r="CA322" s="50"/>
      <c r="CB322" s="50"/>
      <c r="CD322" s="50"/>
      <c r="CE322" s="50"/>
      <c r="CF322" s="50"/>
      <c r="CG322" s="50"/>
      <c r="CI322" s="50"/>
      <c r="CJ322" s="50"/>
      <c r="CK322" s="50"/>
      <c r="CL322" s="50"/>
    </row>
    <row r="323" spans="1:90" s="7" customFormat="1" ht="13.9" hidden="1" customHeight="1" outlineLevel="1">
      <c r="A323" s="17" t="s">
        <v>232</v>
      </c>
      <c r="B323" s="13"/>
      <c r="C323" s="13"/>
      <c r="D323" s="13"/>
      <c r="E323" s="13"/>
      <c r="F323" s="13"/>
      <c r="G323" s="13"/>
      <c r="H323" s="13"/>
      <c r="I323" s="13"/>
      <c r="J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40"/>
      <c r="AN323" s="140"/>
      <c r="AO323" s="50"/>
      <c r="AP323" s="140"/>
      <c r="AQ323" s="54"/>
      <c r="AR323" s="54"/>
      <c r="AS323" s="50"/>
      <c r="AU323" s="50"/>
      <c r="AV323" s="50"/>
      <c r="AW323" s="50"/>
      <c r="AX323" s="50"/>
      <c r="AZ323" s="50"/>
      <c r="BA323" s="50"/>
      <c r="BB323" s="50"/>
      <c r="BC323" s="50"/>
      <c r="BE323" s="50"/>
      <c r="BF323" s="50"/>
      <c r="BG323" s="50"/>
      <c r="BH323" s="50"/>
      <c r="BJ323" s="50"/>
      <c r="BK323" s="50"/>
      <c r="BL323" s="50"/>
      <c r="BM323" s="50"/>
      <c r="BO323" s="50"/>
      <c r="BP323" s="50"/>
      <c r="BQ323" s="50"/>
      <c r="BR323" s="50"/>
      <c r="BT323" s="50"/>
      <c r="BU323" s="50"/>
      <c r="BV323" s="50"/>
      <c r="BW323" s="50"/>
      <c r="BY323" s="50"/>
      <c r="BZ323" s="50"/>
      <c r="CA323" s="50"/>
      <c r="CB323" s="50"/>
      <c r="CD323" s="50"/>
      <c r="CE323" s="50"/>
      <c r="CF323" s="50"/>
      <c r="CG323" s="50"/>
      <c r="CI323" s="50"/>
      <c r="CJ323" s="50"/>
      <c r="CK323" s="50"/>
      <c r="CL323" s="50"/>
    </row>
    <row r="324" spans="1:90" s="7" customFormat="1" ht="6" hidden="1" customHeight="1" outlineLevel="1">
      <c r="A324" s="17"/>
      <c r="B324" s="13"/>
      <c r="C324" s="13"/>
      <c r="D324" s="13"/>
      <c r="E324" s="13"/>
      <c r="F324" s="13"/>
      <c r="G324" s="13"/>
      <c r="H324" s="13"/>
      <c r="I324" s="13"/>
      <c r="J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40"/>
      <c r="AN324" s="140"/>
      <c r="AO324" s="50"/>
      <c r="AP324" s="140"/>
      <c r="AQ324" s="54"/>
      <c r="AR324" s="54"/>
      <c r="AS324" s="50"/>
      <c r="AU324" s="50"/>
      <c r="AV324" s="50"/>
      <c r="AW324" s="50"/>
      <c r="AX324" s="50"/>
      <c r="AZ324" s="50"/>
      <c r="BA324" s="50"/>
      <c r="BB324" s="50"/>
      <c r="BC324" s="50"/>
      <c r="BE324" s="50"/>
      <c r="BF324" s="50"/>
      <c r="BG324" s="50"/>
      <c r="BH324" s="50"/>
      <c r="BJ324" s="50"/>
      <c r="BK324" s="50"/>
      <c r="BL324" s="50"/>
      <c r="BM324" s="50"/>
      <c r="BO324" s="50"/>
      <c r="BP324" s="50"/>
      <c r="BQ324" s="50"/>
      <c r="BR324" s="50"/>
      <c r="BT324" s="50"/>
      <c r="BU324" s="50"/>
      <c r="BV324" s="50"/>
      <c r="BW324" s="50"/>
      <c r="BY324" s="50"/>
      <c r="BZ324" s="50"/>
      <c r="CA324" s="50"/>
      <c r="CB324" s="50"/>
      <c r="CD324" s="50"/>
      <c r="CE324" s="50"/>
      <c r="CF324" s="50"/>
      <c r="CG324" s="50"/>
      <c r="CI324" s="50"/>
      <c r="CJ324" s="50"/>
      <c r="CK324" s="50"/>
      <c r="CL324" s="50"/>
    </row>
    <row r="325" spans="1:90" s="7" customFormat="1" ht="13.9" hidden="1" customHeight="1" outlineLevel="1">
      <c r="A325" s="145" t="s">
        <v>233</v>
      </c>
      <c r="B325" s="13"/>
      <c r="C325" s="13"/>
      <c r="D325" s="13"/>
      <c r="E325" s="13"/>
      <c r="F325" s="13"/>
      <c r="G325" s="13"/>
      <c r="H325" s="13"/>
      <c r="I325" s="13"/>
      <c r="J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40"/>
      <c r="AN325" s="140"/>
      <c r="AO325" s="50"/>
      <c r="AP325" s="140"/>
      <c r="AQ325" s="54"/>
      <c r="AR325" s="54"/>
      <c r="AS325" s="50"/>
      <c r="AU325" s="50"/>
      <c r="AV325" s="50"/>
      <c r="AW325" s="50"/>
      <c r="AX325" s="50"/>
      <c r="AZ325" s="50"/>
      <c r="BA325" s="50"/>
      <c r="BB325" s="50"/>
      <c r="BC325" s="50"/>
      <c r="BE325" s="50"/>
      <c r="BF325" s="50"/>
      <c r="BG325" s="50"/>
      <c r="BH325" s="50"/>
      <c r="BJ325" s="50"/>
      <c r="BK325" s="50"/>
      <c r="BL325" s="50"/>
      <c r="BM325" s="50"/>
      <c r="BO325" s="50"/>
      <c r="BP325" s="50"/>
      <c r="BQ325" s="50"/>
      <c r="BR325" s="50"/>
      <c r="BT325" s="50"/>
      <c r="BU325" s="50"/>
      <c r="BV325" s="50"/>
      <c r="BW325" s="50"/>
      <c r="BY325" s="50"/>
      <c r="BZ325" s="50"/>
      <c r="CA325" s="50"/>
      <c r="CB325" s="50"/>
      <c r="CD325" s="50"/>
      <c r="CE325" s="50"/>
      <c r="CF325" s="50"/>
      <c r="CG325" s="50"/>
      <c r="CI325" s="50"/>
      <c r="CJ325" s="50"/>
      <c r="CK325" s="50"/>
      <c r="CL325" s="50"/>
    </row>
    <row r="326" spans="1:90" s="7" customFormat="1" ht="13.9" hidden="1" customHeight="1" outlineLevel="1">
      <c r="A326" s="17" t="s">
        <v>228</v>
      </c>
      <c r="B326" s="13"/>
      <c r="C326" s="13"/>
      <c r="D326" s="13"/>
      <c r="E326" s="13"/>
      <c r="F326" s="13"/>
      <c r="G326" s="13"/>
      <c r="H326" s="13"/>
      <c r="I326" s="13"/>
      <c r="J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40">
        <v>3100</v>
      </c>
      <c r="AN326" s="146">
        <v>3100</v>
      </c>
      <c r="AO326" s="50"/>
      <c r="AP326" s="140">
        <v>3500</v>
      </c>
      <c r="AQ326" s="150">
        <v>3500</v>
      </c>
      <c r="AR326" s="150">
        <v>3500</v>
      </c>
      <c r="AS326" s="151">
        <v>3500</v>
      </c>
      <c r="AT326" s="140">
        <f>AVERAGE(AP326:AS326)</f>
        <v>3500</v>
      </c>
      <c r="AU326" s="50"/>
      <c r="AV326" s="50"/>
      <c r="AW326" s="50"/>
      <c r="AX326" s="50"/>
      <c r="AZ326" s="50"/>
      <c r="BA326" s="50"/>
      <c r="BB326" s="50"/>
      <c r="BC326" s="50"/>
      <c r="BE326" s="50"/>
      <c r="BF326" s="50"/>
      <c r="BG326" s="50"/>
      <c r="BH326" s="50"/>
      <c r="BJ326" s="50"/>
      <c r="BK326" s="50"/>
      <c r="BL326" s="50"/>
      <c r="BM326" s="50"/>
      <c r="BO326" s="50"/>
      <c r="BP326" s="50"/>
      <c r="BQ326" s="50"/>
      <c r="BR326" s="50"/>
      <c r="BT326" s="50"/>
      <c r="BU326" s="50"/>
      <c r="BV326" s="50"/>
      <c r="BW326" s="50"/>
      <c r="BY326" s="50"/>
      <c r="BZ326" s="50"/>
      <c r="CA326" s="50"/>
      <c r="CB326" s="50"/>
      <c r="CD326" s="50"/>
      <c r="CE326" s="50"/>
      <c r="CF326" s="50"/>
      <c r="CG326" s="50"/>
      <c r="CI326" s="50"/>
      <c r="CJ326" s="50"/>
      <c r="CK326" s="50"/>
      <c r="CL326" s="50"/>
    </row>
    <row r="327" spans="1:90" s="7" customFormat="1" ht="13.9" hidden="1" customHeight="1" outlineLevel="1">
      <c r="A327" s="17" t="s">
        <v>229</v>
      </c>
      <c r="B327" s="13"/>
      <c r="C327" s="13"/>
      <c r="D327" s="13"/>
      <c r="E327" s="13"/>
      <c r="F327" s="13"/>
      <c r="G327" s="13"/>
      <c r="H327" s="13"/>
      <c r="I327" s="13"/>
      <c r="J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40"/>
      <c r="AN327" s="140"/>
      <c r="AO327" s="50"/>
      <c r="AP327" s="140"/>
      <c r="AQ327" s="54"/>
      <c r="AR327" s="54"/>
      <c r="AS327" s="50"/>
      <c r="AU327" s="50"/>
      <c r="AV327" s="50"/>
      <c r="AW327" s="50"/>
      <c r="AX327" s="50"/>
      <c r="AZ327" s="50"/>
      <c r="BA327" s="50"/>
      <c r="BB327" s="50"/>
      <c r="BC327" s="50"/>
      <c r="BE327" s="50"/>
      <c r="BF327" s="50"/>
      <c r="BG327" s="50"/>
      <c r="BH327" s="50"/>
      <c r="BJ327" s="50"/>
      <c r="BK327" s="50"/>
      <c r="BL327" s="50"/>
      <c r="BM327" s="50"/>
      <c r="BO327" s="50"/>
      <c r="BP327" s="50"/>
      <c r="BQ327" s="50"/>
      <c r="BR327" s="50"/>
      <c r="BT327" s="50"/>
      <c r="BU327" s="50"/>
      <c r="BV327" s="50"/>
      <c r="BW327" s="50"/>
      <c r="BY327" s="50"/>
      <c r="BZ327" s="50"/>
      <c r="CA327" s="50"/>
      <c r="CB327" s="50"/>
      <c r="CD327" s="50"/>
      <c r="CE327" s="50"/>
      <c r="CF327" s="50"/>
      <c r="CG327" s="50"/>
      <c r="CI327" s="50"/>
      <c r="CJ327" s="50"/>
      <c r="CK327" s="50"/>
      <c r="CL327" s="50"/>
    </row>
    <row r="328" spans="1:90" s="7" customFormat="1" ht="6" hidden="1" customHeight="1" outlineLevel="1">
      <c r="A328" s="17"/>
      <c r="B328" s="13"/>
      <c r="C328" s="13"/>
      <c r="D328" s="13"/>
      <c r="E328" s="13"/>
      <c r="F328" s="13"/>
      <c r="G328" s="13"/>
      <c r="H328" s="13"/>
      <c r="I328" s="13"/>
      <c r="J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40"/>
      <c r="AN328" s="140"/>
      <c r="AO328" s="50"/>
      <c r="AP328" s="140"/>
      <c r="AQ328" s="54"/>
      <c r="AR328" s="54"/>
      <c r="AS328" s="50"/>
      <c r="AU328" s="50"/>
      <c r="AV328" s="50"/>
      <c r="AW328" s="50"/>
      <c r="AX328" s="50"/>
      <c r="AZ328" s="50"/>
      <c r="BA328" s="50"/>
      <c r="BB328" s="50"/>
      <c r="BC328" s="50"/>
      <c r="BE328" s="50"/>
      <c r="BF328" s="50"/>
      <c r="BG328" s="50"/>
      <c r="BH328" s="50"/>
      <c r="BJ328" s="50"/>
      <c r="BK328" s="50"/>
      <c r="BL328" s="50"/>
      <c r="BM328" s="50"/>
      <c r="BO328" s="50"/>
      <c r="BP328" s="50"/>
      <c r="BQ328" s="50"/>
      <c r="BR328" s="50"/>
      <c r="BT328" s="50"/>
      <c r="BU328" s="50"/>
      <c r="BV328" s="50"/>
      <c r="BW328" s="50"/>
      <c r="BY328" s="50"/>
      <c r="BZ328" s="50"/>
      <c r="CA328" s="50"/>
      <c r="CB328" s="50"/>
      <c r="CD328" s="50"/>
      <c r="CE328" s="50"/>
      <c r="CF328" s="50"/>
      <c r="CG328" s="50"/>
      <c r="CI328" s="50"/>
      <c r="CJ328" s="50"/>
      <c r="CK328" s="50"/>
      <c r="CL328" s="50"/>
    </row>
    <row r="329" spans="1:90" s="7" customFormat="1" ht="13.9" hidden="1" customHeight="1" outlineLevel="1">
      <c r="A329" s="145" t="s">
        <v>234</v>
      </c>
      <c r="B329" s="13"/>
      <c r="C329" s="13"/>
      <c r="D329" s="13"/>
      <c r="E329" s="13"/>
      <c r="F329" s="13"/>
      <c r="G329" s="13"/>
      <c r="H329" s="13"/>
      <c r="I329" s="13"/>
      <c r="J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40"/>
      <c r="AN329" s="140"/>
      <c r="AO329" s="50"/>
      <c r="AP329" s="140"/>
      <c r="AQ329" s="54"/>
      <c r="AR329" s="54"/>
      <c r="AS329" s="50"/>
      <c r="AU329" s="50"/>
      <c r="AV329" s="50"/>
      <c r="AW329" s="50"/>
      <c r="AX329" s="50"/>
      <c r="AZ329" s="50"/>
      <c r="BA329" s="50"/>
      <c r="BB329" s="50"/>
      <c r="BC329" s="50"/>
      <c r="BE329" s="50"/>
      <c r="BF329" s="50"/>
      <c r="BG329" s="50"/>
      <c r="BH329" s="50"/>
      <c r="BJ329" s="50"/>
      <c r="BK329" s="50"/>
      <c r="BL329" s="50"/>
      <c r="BM329" s="50"/>
      <c r="BO329" s="50"/>
      <c r="BP329" s="50"/>
      <c r="BQ329" s="50"/>
      <c r="BR329" s="50"/>
      <c r="BT329" s="50"/>
      <c r="BU329" s="50"/>
      <c r="BV329" s="50"/>
      <c r="BW329" s="50"/>
      <c r="BY329" s="50"/>
      <c r="BZ329" s="50"/>
      <c r="CA329" s="50"/>
      <c r="CB329" s="50"/>
      <c r="CD329" s="50"/>
      <c r="CE329" s="50"/>
      <c r="CF329" s="50"/>
      <c r="CG329" s="50"/>
      <c r="CI329" s="50"/>
      <c r="CJ329" s="50"/>
      <c r="CK329" s="50"/>
      <c r="CL329" s="50"/>
    </row>
    <row r="330" spans="1:90" s="7" customFormat="1" ht="13.9" hidden="1" customHeight="1" outlineLevel="1">
      <c r="A330" s="17" t="s">
        <v>235</v>
      </c>
      <c r="B330" s="13"/>
      <c r="C330" s="13"/>
      <c r="D330" s="13"/>
      <c r="E330" s="13"/>
      <c r="F330" s="13"/>
      <c r="G330" s="13"/>
      <c r="H330" s="13"/>
      <c r="I330" s="13"/>
      <c r="J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51">
        <v>2000</v>
      </c>
      <c r="AL330" s="151">
        <v>2000</v>
      </c>
      <c r="AM330" s="140">
        <v>2000</v>
      </c>
      <c r="AN330" s="150">
        <v>2000</v>
      </c>
      <c r="AO330" s="50"/>
      <c r="AP330" s="150">
        <v>600</v>
      </c>
      <c r="AQ330" s="150">
        <v>2000</v>
      </c>
      <c r="AR330" s="150">
        <v>2000</v>
      </c>
      <c r="AS330" s="151">
        <v>2000</v>
      </c>
      <c r="AT330" s="140">
        <f>AVERAGE(AP330:AS330)</f>
        <v>1650</v>
      </c>
      <c r="AU330" s="151">
        <f>AS330*(1.05)</f>
        <v>2100</v>
      </c>
      <c r="AV330" s="151">
        <f>AU330</f>
        <v>2100</v>
      </c>
      <c r="AW330" s="151">
        <f t="shared" ref="AW330:AX330" si="4006">AV330</f>
        <v>2100</v>
      </c>
      <c r="AX330" s="151">
        <f t="shared" si="4006"/>
        <v>2100</v>
      </c>
      <c r="AY330" s="140">
        <f>AVERAGE(AU330:AX330)</f>
        <v>2100</v>
      </c>
      <c r="AZ330" s="151">
        <f>AX330*(1.05)</f>
        <v>2205</v>
      </c>
      <c r="BA330" s="151">
        <f>AZ330</f>
        <v>2205</v>
      </c>
      <c r="BB330" s="151">
        <f t="shared" ref="BB330" si="4007">BA330</f>
        <v>2205</v>
      </c>
      <c r="BC330" s="151">
        <f t="shared" ref="BC330" si="4008">BB330</f>
        <v>2205</v>
      </c>
      <c r="BD330" s="140">
        <f>AVERAGE(AZ330:BC330)</f>
        <v>2205</v>
      </c>
      <c r="BE330" s="50"/>
      <c r="BF330" s="50"/>
      <c r="BG330" s="50"/>
      <c r="BH330" s="50"/>
      <c r="BJ330" s="50"/>
      <c r="BK330" s="50"/>
      <c r="BL330" s="50"/>
      <c r="BM330" s="50"/>
      <c r="BO330" s="50"/>
      <c r="BP330" s="50"/>
      <c r="BQ330" s="50"/>
      <c r="BR330" s="50"/>
      <c r="BT330" s="50"/>
      <c r="BU330" s="50"/>
      <c r="BV330" s="50"/>
      <c r="BW330" s="50"/>
      <c r="BY330" s="50"/>
      <c r="BZ330" s="50"/>
      <c r="CA330" s="50"/>
      <c r="CB330" s="50"/>
      <c r="CD330" s="50"/>
      <c r="CE330" s="50"/>
      <c r="CF330" s="50"/>
      <c r="CG330" s="50"/>
      <c r="CI330" s="50"/>
      <c r="CJ330" s="50"/>
      <c r="CK330" s="50"/>
      <c r="CL330" s="50"/>
    </row>
    <row r="331" spans="1:90" s="7" customFormat="1" hidden="1" outlineLevel="1">
      <c r="A331" s="17"/>
      <c r="B331" s="13"/>
      <c r="C331" s="13"/>
      <c r="D331" s="13"/>
      <c r="E331" s="13"/>
      <c r="F331" s="13"/>
      <c r="G331" s="13"/>
      <c r="H331" s="13"/>
      <c r="I331" s="13"/>
      <c r="J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304"/>
      <c r="AR331" s="304"/>
    </row>
    <row r="332" spans="1:90" ht="12.75" customHeight="1" collapsed="1"/>
    <row r="333" spans="1:90" ht="12.75" customHeight="1"/>
    <row r="334" spans="1:90" ht="12.75" customHeight="1">
      <c r="A334" s="18" t="str">
        <f>IS!A79</f>
        <v>Source: Company reports, Wells Fargo Securities, LLC estimates.</v>
      </c>
    </row>
  </sheetData>
  <sortState xmlns:xlrd2="http://schemas.microsoft.com/office/spreadsheetml/2017/richdata2" ref="A10:CM17">
    <sortCondition ref="A10:A17"/>
  </sortState>
  <dataConsolidate/>
  <printOptions horizontalCentered="1" verticalCentered="1"/>
  <pageMargins left="0.5" right="0.5" top="0.5" bottom="0.5" header="0.5" footer="0.5"/>
  <pageSetup scale="18"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M121"/>
  <sheetViews>
    <sheetView zoomScaleNormal="100" workbookViewId="0">
      <pane xSplit="1" ySplit="6" topLeftCell="F7" activePane="bottomRight" state="frozen"/>
      <selection pane="topRight" activeCell="B1" sqref="B1"/>
      <selection pane="bottomLeft" activeCell="A7" sqref="A7"/>
      <selection pane="bottomRight" activeCell="AR32" sqref="AR32"/>
    </sheetView>
  </sheetViews>
  <sheetFormatPr defaultColWidth="8" defaultRowHeight="12.75" customHeight="1" outlineLevelCol="1"/>
  <cols>
    <col min="1" max="1" width="24.28515625" style="18" customWidth="1"/>
    <col min="2" max="5" width="8.28515625" style="18" hidden="1" customWidth="1" outlineLevel="1"/>
    <col min="6" max="6" width="8.42578125" style="18" customWidth="1" collapsed="1"/>
    <col min="7" max="10" width="8.28515625" style="18" hidden="1" customWidth="1" outlineLevel="1"/>
    <col min="11" max="11" width="8" style="18" customWidth="1" collapsed="1"/>
    <col min="12" max="12" width="8" style="18" hidden="1" customWidth="1" outlineLevel="1" collapsed="1"/>
    <col min="13" max="15" width="8" style="18" hidden="1" customWidth="1" outlineLevel="1"/>
    <col min="16" max="16" width="8" style="18" customWidth="1" collapsed="1"/>
    <col min="17" max="17" width="8" style="18" hidden="1" customWidth="1" outlineLevel="1" collapsed="1"/>
    <col min="18" max="18" width="8" style="18" hidden="1" customWidth="1" outlineLevel="1"/>
    <col min="19" max="19" width="8.42578125" style="18" hidden="1" customWidth="1" outlineLevel="1"/>
    <col min="20" max="20" width="8" style="18" hidden="1" customWidth="1" outlineLevel="1"/>
    <col min="21" max="21" width="8" style="18" customWidth="1" collapsed="1"/>
    <col min="22" max="22" width="8" style="18" hidden="1" customWidth="1" outlineLevel="1" collapsed="1"/>
    <col min="23" max="25" width="8.140625" style="18" hidden="1" customWidth="1" outlineLevel="1"/>
    <col min="26" max="26" width="8.140625" style="18" customWidth="1" collapsed="1"/>
    <col min="27" max="27" width="8.140625" style="18" hidden="1" customWidth="1" outlineLevel="1" collapsed="1"/>
    <col min="28" max="30" width="8.140625" style="18" hidden="1" customWidth="1" outlineLevel="1"/>
    <col min="31" max="31" width="8.140625" style="18" customWidth="1" collapsed="1"/>
    <col min="32" max="35" width="8.140625" style="18" hidden="1" customWidth="1" outlineLevel="1"/>
    <col min="36" max="36" width="8.140625" style="18" customWidth="1" collapsed="1"/>
    <col min="37" max="40" width="8.140625" style="18" hidden="1" customWidth="1" outlineLevel="1"/>
    <col min="41" max="41" width="8.140625" style="18" customWidth="1" collapsed="1"/>
    <col min="42" max="45" width="8.140625" style="18" customWidth="1" outlineLevel="1"/>
    <col min="46" max="46" width="8.140625" style="18" customWidth="1"/>
    <col min="47" max="50" width="8.140625" style="18" customWidth="1" outlineLevel="1"/>
    <col min="51" max="51" width="8.140625" style="18" customWidth="1"/>
    <col min="52" max="52" width="8.140625" style="18" customWidth="1" outlineLevel="1"/>
    <col min="53" max="55" width="8" style="18" customWidth="1" outlineLevel="1"/>
    <col min="56" max="56" width="8" style="18" customWidth="1"/>
    <col min="57" max="60" width="0" style="18" hidden="1" customWidth="1" outlineLevel="1"/>
    <col min="61" max="61" width="8" style="18" customWidth="1" collapsed="1"/>
    <col min="62" max="65" width="0" style="18" hidden="1" customWidth="1" outlineLevel="1"/>
    <col min="66" max="66" width="8" style="18" customWidth="1" collapsed="1"/>
    <col min="67" max="70" width="0" style="18" hidden="1" customWidth="1" outlineLevel="1"/>
    <col min="71" max="71" width="8" style="18" customWidth="1" collapsed="1"/>
    <col min="72" max="75" width="0" style="18" hidden="1" customWidth="1" outlineLevel="1"/>
    <col min="76" max="76" width="8" style="18" customWidth="1" collapsed="1"/>
    <col min="77" max="79" width="0" style="18" hidden="1" customWidth="1" outlineLevel="1"/>
    <col min="80" max="80" width="8" style="18" hidden="1" customWidth="1" outlineLevel="1"/>
    <col min="81" max="81" width="8" style="18" customWidth="1" collapsed="1"/>
    <col min="82" max="85" width="8" style="18" hidden="1" customWidth="1" outlineLevel="1"/>
    <col min="86" max="86" width="8" style="18" customWidth="1" collapsed="1"/>
    <col min="87" max="90" width="8" style="18" hidden="1" customWidth="1" outlineLevel="1"/>
    <col min="91" max="91" width="8" style="18" customWidth="1" collapsed="1"/>
    <col min="92" max="16384" width="8" style="18"/>
  </cols>
  <sheetData>
    <row r="1" spans="1:91" s="1" customFormat="1" ht="12.75" customHeight="1">
      <c r="A1" s="194" t="s">
        <v>391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91" s="1" customFormat="1" ht="12.75" customHeight="1">
      <c r="A2" s="192" t="s">
        <v>392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91" s="1" customFormat="1" ht="12.75" customHeight="1">
      <c r="A3" s="192" t="s">
        <v>390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 spans="1:91" s="1" customFormat="1" ht="12.75" customHeight="1"/>
    <row r="5" spans="1:91" s="1" customFormat="1" ht="12.75" customHeight="1">
      <c r="A5" s="4"/>
      <c r="B5" s="183" t="str">
        <f>+IS!B5</f>
        <v>Mar</v>
      </c>
      <c r="C5" s="183" t="str">
        <f>+IS!C5</f>
        <v>Jun</v>
      </c>
      <c r="D5" s="183" t="str">
        <f>+IS!D5</f>
        <v>Sep</v>
      </c>
      <c r="E5" s="183" t="str">
        <f>+IS!E5</f>
        <v>Dec</v>
      </c>
      <c r="F5" s="184">
        <f>+IS!F5</f>
        <v>43070</v>
      </c>
      <c r="G5" s="183" t="str">
        <f>+IS!G5</f>
        <v>Mar</v>
      </c>
      <c r="H5" s="183" t="str">
        <f>+IS!H5</f>
        <v>Jun</v>
      </c>
      <c r="I5" s="183" t="str">
        <f>+IS!I5</f>
        <v>Sep</v>
      </c>
      <c r="J5" s="183" t="str">
        <f>+IS!J5</f>
        <v>Dec</v>
      </c>
      <c r="K5" s="184">
        <f>+IS!K5</f>
        <v>43435</v>
      </c>
      <c r="L5" s="183" t="str">
        <f>+IS!L5</f>
        <v>Mar</v>
      </c>
      <c r="M5" s="183" t="str">
        <f>+IS!M5</f>
        <v>Jun</v>
      </c>
      <c r="N5" s="183" t="str">
        <f>+IS!N5</f>
        <v>Sep</v>
      </c>
      <c r="O5" s="183" t="str">
        <f>+IS!O5</f>
        <v>Dec</v>
      </c>
      <c r="P5" s="184">
        <f>+IS!P5</f>
        <v>43800</v>
      </c>
      <c r="Q5" s="183" t="str">
        <f>+IS!Q5</f>
        <v>Mar</v>
      </c>
      <c r="R5" s="183" t="str">
        <f>+IS!R5</f>
        <v>Jun</v>
      </c>
      <c r="S5" s="183" t="str">
        <f>+IS!S5</f>
        <v>Sep</v>
      </c>
      <c r="T5" s="183" t="str">
        <f>+IS!T5</f>
        <v>Dec</v>
      </c>
      <c r="U5" s="184">
        <f>+IS!U5</f>
        <v>44166</v>
      </c>
      <c r="V5" s="183" t="str">
        <f>+IS!V5</f>
        <v>Mar</v>
      </c>
      <c r="W5" s="183" t="str">
        <f>+IS!W5</f>
        <v>Jun</v>
      </c>
      <c r="X5" s="183" t="str">
        <f>+IS!X5</f>
        <v>Sep</v>
      </c>
      <c r="Y5" s="183" t="str">
        <f>+IS!Y5</f>
        <v>Dec</v>
      </c>
      <c r="Z5" s="184">
        <f>+IS!Z5</f>
        <v>44531</v>
      </c>
      <c r="AA5" s="183" t="str">
        <f>+IS!AA5</f>
        <v>Mar</v>
      </c>
      <c r="AB5" s="183" t="str">
        <f>+IS!AB5</f>
        <v>Jun</v>
      </c>
      <c r="AC5" s="183" t="str">
        <f>+IS!AC5</f>
        <v>Sep</v>
      </c>
      <c r="AD5" s="183" t="str">
        <f>+IS!AD5</f>
        <v>Dec</v>
      </c>
      <c r="AE5" s="184">
        <f>+IS!AE5</f>
        <v>44896</v>
      </c>
      <c r="AF5" s="183" t="str">
        <f>+IS!AF5</f>
        <v>Mar</v>
      </c>
      <c r="AG5" s="183" t="str">
        <f>+IS!AG5</f>
        <v>Jun</v>
      </c>
      <c r="AH5" s="183" t="str">
        <f>+IS!AH5</f>
        <v>Sep</v>
      </c>
      <c r="AI5" s="183" t="str">
        <f>+IS!AI5</f>
        <v>Dec</v>
      </c>
      <c r="AJ5" s="184">
        <f>+IS!AJ5</f>
        <v>45261</v>
      </c>
      <c r="AK5" s="183" t="str">
        <f>+IS!AK5</f>
        <v>Mar</v>
      </c>
      <c r="AL5" s="183" t="str">
        <f>+IS!AL5</f>
        <v>Jun</v>
      </c>
      <c r="AM5" s="183" t="str">
        <f>+IS!AM5</f>
        <v>Sep</v>
      </c>
      <c r="AN5" s="183" t="str">
        <f>+IS!AN5</f>
        <v>Dec</v>
      </c>
      <c r="AO5" s="184">
        <f>+IS!AO5</f>
        <v>45627</v>
      </c>
      <c r="AP5" s="183" t="str">
        <f>+IS!AP5</f>
        <v>Mar</v>
      </c>
      <c r="AQ5" s="183" t="str">
        <f>+IS!AQ5</f>
        <v>Jun</v>
      </c>
      <c r="AR5" s="183" t="str">
        <f>+IS!AR5</f>
        <v>Sep</v>
      </c>
      <c r="AS5" s="183" t="str">
        <f>+IS!AS5</f>
        <v>Dec</v>
      </c>
      <c r="AT5" s="184">
        <f>+IS!AT5</f>
        <v>45992</v>
      </c>
      <c r="AU5" s="183" t="str">
        <f>+IS!AU5</f>
        <v>Mar</v>
      </c>
      <c r="AV5" s="183" t="str">
        <f>+IS!AV5</f>
        <v>Jun</v>
      </c>
      <c r="AW5" s="183" t="str">
        <f>+IS!AW5</f>
        <v>Sep</v>
      </c>
      <c r="AX5" s="183" t="str">
        <f>+IS!AX5</f>
        <v>Dec</v>
      </c>
      <c r="AY5" s="184">
        <f>+IS!AY5</f>
        <v>46357</v>
      </c>
      <c r="AZ5" s="183" t="str">
        <f>+IS!AZ5</f>
        <v>Mar</v>
      </c>
      <c r="BA5" s="183" t="str">
        <f>+IS!BA5</f>
        <v>Jun</v>
      </c>
      <c r="BB5" s="183" t="str">
        <f>+IS!BB5</f>
        <v>Sep</v>
      </c>
      <c r="BC5" s="183" t="str">
        <f>+IS!BC5</f>
        <v>Dec</v>
      </c>
      <c r="BD5" s="184">
        <f>+IS!BD5</f>
        <v>46722</v>
      </c>
      <c r="BE5" s="183" t="str">
        <f>+IS!BE5</f>
        <v>Mar</v>
      </c>
      <c r="BF5" s="183" t="str">
        <f>+IS!BF5</f>
        <v>Jun</v>
      </c>
      <c r="BG5" s="183" t="str">
        <f>+IS!BG5</f>
        <v>Sep</v>
      </c>
      <c r="BH5" s="183" t="str">
        <f>+IS!BH5</f>
        <v>Dec</v>
      </c>
      <c r="BI5" s="184">
        <f>+IS!BI5</f>
        <v>47088</v>
      </c>
      <c r="BJ5" s="183" t="str">
        <f>+IS!BJ5</f>
        <v>Mar</v>
      </c>
      <c r="BK5" s="183" t="str">
        <f>+IS!BK5</f>
        <v>Jun</v>
      </c>
      <c r="BL5" s="183" t="str">
        <f>+IS!BL5</f>
        <v>Sep</v>
      </c>
      <c r="BM5" s="183" t="str">
        <f>+IS!BM5</f>
        <v>Dec</v>
      </c>
      <c r="BN5" s="184">
        <f>+IS!BN5</f>
        <v>47453</v>
      </c>
      <c r="BO5" s="183" t="str">
        <f>+IS!BO5</f>
        <v>Mar</v>
      </c>
      <c r="BP5" s="183" t="str">
        <f>+IS!BP5</f>
        <v>Jun</v>
      </c>
      <c r="BQ5" s="183" t="str">
        <f>+IS!BQ5</f>
        <v>Sep</v>
      </c>
      <c r="BR5" s="183" t="str">
        <f>+IS!BR5</f>
        <v>Dec</v>
      </c>
      <c r="BS5" s="184">
        <f>+IS!BS5</f>
        <v>47818</v>
      </c>
      <c r="BT5" s="183" t="str">
        <f>+IS!BT5</f>
        <v>Mar</v>
      </c>
      <c r="BU5" s="183" t="str">
        <f>+IS!BU5</f>
        <v>Jun</v>
      </c>
      <c r="BV5" s="183" t="str">
        <f>+IS!BV5</f>
        <v>Sep</v>
      </c>
      <c r="BW5" s="183" t="str">
        <f>+IS!BW5</f>
        <v>Dec</v>
      </c>
      <c r="BX5" s="184">
        <f>+IS!BX5</f>
        <v>48183</v>
      </c>
      <c r="BY5" s="183" t="str">
        <f>+IS!BY5</f>
        <v>Mar</v>
      </c>
      <c r="BZ5" s="183" t="str">
        <f>+IS!BZ5</f>
        <v>Jun</v>
      </c>
      <c r="CA5" s="183" t="str">
        <f>+IS!CA5</f>
        <v>Sep</v>
      </c>
      <c r="CB5" s="183" t="str">
        <f>+IS!CB5</f>
        <v>Dec</v>
      </c>
      <c r="CC5" s="184">
        <f>+IS!CC5</f>
        <v>48549</v>
      </c>
      <c r="CD5" s="183" t="str">
        <f>+IS!CD5</f>
        <v>Mar</v>
      </c>
      <c r="CE5" s="183" t="str">
        <f>+IS!CE5</f>
        <v>Jun</v>
      </c>
      <c r="CF5" s="183" t="str">
        <f>+IS!CF5</f>
        <v>Sep</v>
      </c>
      <c r="CG5" s="183" t="str">
        <f>+IS!CG5</f>
        <v>Dec</v>
      </c>
      <c r="CH5" s="184">
        <f>+IS!CH5</f>
        <v>48914</v>
      </c>
      <c r="CI5" s="183" t="str">
        <f>+IS!CI5</f>
        <v>Mar</v>
      </c>
      <c r="CJ5" s="183" t="str">
        <f>+IS!CJ5</f>
        <v>Jun</v>
      </c>
      <c r="CK5" s="183" t="str">
        <f>+IS!CK5</f>
        <v>Sep</v>
      </c>
      <c r="CL5" s="183" t="str">
        <f>+IS!CL5</f>
        <v>Dec</v>
      </c>
      <c r="CM5" s="184">
        <f>+IS!CM5</f>
        <v>49279</v>
      </c>
    </row>
    <row r="6" spans="1:91" s="4" customFormat="1" ht="12.75" customHeight="1">
      <c r="A6" s="193"/>
      <c r="B6" s="185" t="str">
        <f>+IS!B6</f>
        <v>1Q17A</v>
      </c>
      <c r="C6" s="185" t="str">
        <f>+IS!C6</f>
        <v>2Q17A</v>
      </c>
      <c r="D6" s="185" t="str">
        <f>+IS!D6</f>
        <v>3Q17A</v>
      </c>
      <c r="E6" s="185" t="str">
        <f>+IS!E6</f>
        <v>4Q17A</v>
      </c>
      <c r="F6" s="186" t="str">
        <f>+IS!F6</f>
        <v>FY17A</v>
      </c>
      <c r="G6" s="185" t="str">
        <f>+IS!G6</f>
        <v>1Q18A</v>
      </c>
      <c r="H6" s="185" t="str">
        <f>+IS!H6</f>
        <v>2Q18A</v>
      </c>
      <c r="I6" s="185" t="str">
        <f>+IS!I6</f>
        <v>3Q18A</v>
      </c>
      <c r="J6" s="185" t="str">
        <f>+IS!J6</f>
        <v>4Q18A</v>
      </c>
      <c r="K6" s="186" t="str">
        <f>+IS!K6</f>
        <v>FY18A</v>
      </c>
      <c r="L6" s="185" t="str">
        <f>+IS!L6</f>
        <v>1Q19A</v>
      </c>
      <c r="M6" s="185" t="str">
        <f>+IS!M6</f>
        <v>2Q19A</v>
      </c>
      <c r="N6" s="185" t="str">
        <f>+IS!N6</f>
        <v>3Q19A</v>
      </c>
      <c r="O6" s="185" t="str">
        <f>+IS!O6</f>
        <v>4Q19A</v>
      </c>
      <c r="P6" s="186" t="str">
        <f>+IS!P6</f>
        <v>FY19A</v>
      </c>
      <c r="Q6" s="185" t="str">
        <f>+IS!Q6</f>
        <v>1Q20A</v>
      </c>
      <c r="R6" s="185" t="str">
        <f>+IS!R6</f>
        <v>2Q20A</v>
      </c>
      <c r="S6" s="185" t="str">
        <f>+IS!S6</f>
        <v>3Q20A</v>
      </c>
      <c r="T6" s="185" t="str">
        <f>+IS!T6</f>
        <v>4Q20A</v>
      </c>
      <c r="U6" s="186" t="str">
        <f>+IS!U6</f>
        <v>FY20A</v>
      </c>
      <c r="V6" s="185" t="str">
        <f>+IS!V6</f>
        <v>1Q21A</v>
      </c>
      <c r="W6" s="185" t="str">
        <f>+IS!W6</f>
        <v>2Q21A</v>
      </c>
      <c r="X6" s="185" t="str">
        <f>+IS!X6</f>
        <v>3Q21A</v>
      </c>
      <c r="Y6" s="185" t="str">
        <f>+IS!Y6</f>
        <v>4Q21A</v>
      </c>
      <c r="Z6" s="186" t="str">
        <f>+IS!Z6</f>
        <v>FY21A</v>
      </c>
      <c r="AA6" s="185" t="str">
        <f>+IS!AA6</f>
        <v>1Q22A</v>
      </c>
      <c r="AB6" s="185" t="str">
        <f>+IS!AB6</f>
        <v>2Q22A</v>
      </c>
      <c r="AC6" s="185" t="str">
        <f>+IS!AC6</f>
        <v>3Q22A</v>
      </c>
      <c r="AD6" s="185" t="str">
        <f>+IS!AD6</f>
        <v>4Q22A</v>
      </c>
      <c r="AE6" s="186" t="str">
        <f>+IS!AE6</f>
        <v>FY22A</v>
      </c>
      <c r="AF6" s="185" t="str">
        <f>+IS!AF6</f>
        <v>1Q23A</v>
      </c>
      <c r="AG6" s="185" t="str">
        <f>+IS!AG6</f>
        <v>2Q23A</v>
      </c>
      <c r="AH6" s="185" t="str">
        <f>+IS!AH6</f>
        <v>3Q23A</v>
      </c>
      <c r="AI6" s="185" t="str">
        <f>+IS!AI6</f>
        <v>4Q23A</v>
      </c>
      <c r="AJ6" s="186" t="str">
        <f>+IS!AJ6</f>
        <v>FY23A</v>
      </c>
      <c r="AK6" s="185" t="str">
        <f>+IS!AK6</f>
        <v>1Q24A</v>
      </c>
      <c r="AL6" s="185" t="str">
        <f>+IS!AL6</f>
        <v>2Q24A</v>
      </c>
      <c r="AM6" s="185" t="str">
        <f>+IS!AM6</f>
        <v>3Q24A</v>
      </c>
      <c r="AN6" s="185" t="str">
        <f>+IS!AN6</f>
        <v>4Q24A</v>
      </c>
      <c r="AO6" s="186" t="str">
        <f>+IS!AO6</f>
        <v>FY24A</v>
      </c>
      <c r="AP6" s="185" t="str">
        <f>+IS!AP6</f>
        <v>1Q25A</v>
      </c>
      <c r="AQ6" s="185" t="str">
        <f>+IS!AQ6</f>
        <v>2Q25A</v>
      </c>
      <c r="AR6" s="185" t="str">
        <f>+IS!AR6</f>
        <v>3Q25A</v>
      </c>
      <c r="AS6" s="185" t="str">
        <f>+IS!AS6</f>
        <v>4Q25A</v>
      </c>
      <c r="AT6" s="186" t="str">
        <f>+IS!AT6</f>
        <v>FY25A</v>
      </c>
      <c r="AU6" s="185" t="str">
        <f>+IS!AU6</f>
        <v>1Q26E</v>
      </c>
      <c r="AV6" s="185" t="str">
        <f>+IS!AV6</f>
        <v>2Q26E</v>
      </c>
      <c r="AW6" s="185" t="str">
        <f>+IS!AW6</f>
        <v>3Q26E</v>
      </c>
      <c r="AX6" s="185" t="str">
        <f>+IS!AX6</f>
        <v>4Q26E</v>
      </c>
      <c r="AY6" s="186" t="str">
        <f>+IS!AY6</f>
        <v>FY26E</v>
      </c>
      <c r="AZ6" s="185" t="str">
        <f>+IS!AZ6</f>
        <v>1Q27E</v>
      </c>
      <c r="BA6" s="185" t="str">
        <f>+IS!BA6</f>
        <v>2Q27E</v>
      </c>
      <c r="BB6" s="185" t="str">
        <f>+IS!BB6</f>
        <v>3Q27E</v>
      </c>
      <c r="BC6" s="185" t="str">
        <f>+IS!BC6</f>
        <v>4Q27E</v>
      </c>
      <c r="BD6" s="186" t="str">
        <f>+IS!BD6</f>
        <v>FY27E</v>
      </c>
      <c r="BE6" s="185" t="str">
        <f>+IS!BE6</f>
        <v>1Q28E</v>
      </c>
      <c r="BF6" s="185" t="str">
        <f>+IS!BF6</f>
        <v>2Q28E</v>
      </c>
      <c r="BG6" s="185" t="str">
        <f>+IS!BG6</f>
        <v>3Q28E</v>
      </c>
      <c r="BH6" s="185" t="str">
        <f>+IS!BH6</f>
        <v>4Q28E</v>
      </c>
      <c r="BI6" s="186" t="str">
        <f>+IS!BI6</f>
        <v>FY28E</v>
      </c>
      <c r="BJ6" s="185" t="str">
        <f>+IS!BJ6</f>
        <v>1Q29E</v>
      </c>
      <c r="BK6" s="185" t="str">
        <f>+IS!BK6</f>
        <v>2Q29E</v>
      </c>
      <c r="BL6" s="185" t="str">
        <f>+IS!BL6</f>
        <v>3Q29E</v>
      </c>
      <c r="BM6" s="185" t="str">
        <f>+IS!BM6</f>
        <v>4Q29E</v>
      </c>
      <c r="BN6" s="186" t="str">
        <f>+IS!BN6</f>
        <v>FY29E</v>
      </c>
      <c r="BO6" s="185" t="str">
        <f>+IS!BO6</f>
        <v>1Q30E</v>
      </c>
      <c r="BP6" s="185" t="str">
        <f>+IS!BP6</f>
        <v>2Q30E</v>
      </c>
      <c r="BQ6" s="185" t="str">
        <f>+IS!BQ6</f>
        <v>3Q30E</v>
      </c>
      <c r="BR6" s="185" t="str">
        <f>+IS!BR6</f>
        <v>4Q30E</v>
      </c>
      <c r="BS6" s="186" t="str">
        <f>+IS!BS6</f>
        <v>FY30E</v>
      </c>
      <c r="BT6" s="185" t="str">
        <f>+IS!BT6</f>
        <v>1Q31E</v>
      </c>
      <c r="BU6" s="185" t="str">
        <f>+IS!BU6</f>
        <v>2Q31E</v>
      </c>
      <c r="BV6" s="185" t="str">
        <f>+IS!BV6</f>
        <v>3Q31E</v>
      </c>
      <c r="BW6" s="185" t="str">
        <f>+IS!BW6</f>
        <v>4Q31E</v>
      </c>
      <c r="BX6" s="186" t="str">
        <f>+IS!BX6</f>
        <v>FY31E</v>
      </c>
      <c r="BY6" s="185" t="str">
        <f>+IS!BY6</f>
        <v>1Q32E</v>
      </c>
      <c r="BZ6" s="185" t="str">
        <f>+IS!BZ6</f>
        <v>2Q32E</v>
      </c>
      <c r="CA6" s="185" t="str">
        <f>+IS!CA6</f>
        <v>3Q32E</v>
      </c>
      <c r="CB6" s="185" t="str">
        <f>+IS!CB6</f>
        <v>4Q32E</v>
      </c>
      <c r="CC6" s="186" t="str">
        <f>+IS!CC6</f>
        <v>FY32E</v>
      </c>
      <c r="CD6" s="185" t="str">
        <f>+IS!CD6</f>
        <v>1Q33E</v>
      </c>
      <c r="CE6" s="185" t="str">
        <f>+IS!CE6</f>
        <v>2Q33E</v>
      </c>
      <c r="CF6" s="185" t="str">
        <f>+IS!CF6</f>
        <v>3Q33E</v>
      </c>
      <c r="CG6" s="185" t="str">
        <f>+IS!CG6</f>
        <v>4Q33E</v>
      </c>
      <c r="CH6" s="186" t="str">
        <f>+IS!CH6</f>
        <v>FY33E</v>
      </c>
      <c r="CI6" s="185" t="str">
        <f>+IS!CI6</f>
        <v>1Q34E</v>
      </c>
      <c r="CJ6" s="185" t="str">
        <f>+IS!CJ6</f>
        <v>2Q34E</v>
      </c>
      <c r="CK6" s="185" t="str">
        <f>+IS!CK6</f>
        <v>3Q34E</v>
      </c>
      <c r="CL6" s="185" t="str">
        <f>+IS!CL6</f>
        <v>4Q34E</v>
      </c>
      <c r="CM6" s="186" t="str">
        <f>+IS!CM6</f>
        <v>FY34E</v>
      </c>
    </row>
    <row r="7" spans="1:91" s="16" customFormat="1" ht="12.75" customHeight="1">
      <c r="A7" s="15" t="s">
        <v>22</v>
      </c>
      <c r="B7" s="5"/>
      <c r="F7" s="269"/>
      <c r="K7" s="269"/>
      <c r="P7" s="269"/>
      <c r="U7" s="269"/>
      <c r="Z7" s="269"/>
      <c r="AE7" s="269"/>
      <c r="AJ7" s="269"/>
      <c r="AO7" s="269"/>
      <c r="AT7" s="269"/>
      <c r="AU7" s="306"/>
      <c r="AY7" s="269"/>
      <c r="BD7" s="269"/>
      <c r="BI7" s="269"/>
      <c r="BN7" s="269"/>
      <c r="BS7" s="269"/>
      <c r="BX7" s="269"/>
      <c r="CC7" s="269"/>
      <c r="CH7" s="269"/>
      <c r="CM7" s="269"/>
    </row>
    <row r="8" spans="1:91" s="16" customFormat="1" ht="12.75" customHeight="1">
      <c r="A8" s="16" t="s">
        <v>23</v>
      </c>
      <c r="F8" s="269"/>
      <c r="K8" s="269"/>
      <c r="P8" s="269"/>
      <c r="U8" s="269"/>
      <c r="Z8" s="269"/>
      <c r="AE8" s="269"/>
      <c r="AJ8" s="269"/>
      <c r="AO8" s="269"/>
      <c r="AT8" s="269"/>
      <c r="AU8" s="306"/>
      <c r="AY8" s="269"/>
      <c r="BD8" s="269"/>
      <c r="BI8" s="269"/>
      <c r="BN8" s="269"/>
      <c r="BS8" s="269"/>
      <c r="BX8" s="269"/>
      <c r="CC8" s="269"/>
      <c r="CH8" s="269"/>
      <c r="CM8" s="269"/>
    </row>
    <row r="9" spans="1:91" s="16" customFormat="1" ht="12.75" customHeight="1">
      <c r="A9" s="16" t="s">
        <v>24</v>
      </c>
      <c r="E9" s="26">
        <f>72.28+149.04</f>
        <v>221.32</v>
      </c>
      <c r="F9" s="270">
        <f>E9</f>
        <v>221.32</v>
      </c>
      <c r="G9" s="26"/>
      <c r="H9" s="26"/>
      <c r="I9" s="26">
        <f>113.957+157.385</f>
        <v>271.34199999999998</v>
      </c>
      <c r="J9" s="26">
        <f>140.544+278.417</f>
        <v>418.96100000000001</v>
      </c>
      <c r="K9" s="270">
        <f>J9</f>
        <v>418.96100000000001</v>
      </c>
      <c r="L9" s="26">
        <f>153.79+313.069</f>
        <v>466.85900000000004</v>
      </c>
      <c r="M9" s="26">
        <f>174.653+370.974</f>
        <v>545.62699999999995</v>
      </c>
      <c r="N9" s="26">
        <f>147.188+375.768</f>
        <v>522.9559999999999</v>
      </c>
      <c r="O9" s="26">
        <f>143.228+379.574</f>
        <v>522.80200000000002</v>
      </c>
      <c r="P9" s="270">
        <f>O9</f>
        <v>522.80200000000002</v>
      </c>
      <c r="Q9" s="26">
        <f>152.239+367.853</f>
        <v>520.09199999999998</v>
      </c>
      <c r="R9" s="26">
        <f>164.671+773.16</f>
        <v>937.8309999999999</v>
      </c>
      <c r="S9" s="26">
        <f>142.945+870.459</f>
        <v>1013.404</v>
      </c>
      <c r="T9" s="26">
        <f>832.977+961.903</f>
        <v>1794.88</v>
      </c>
      <c r="U9" s="270">
        <f>T9</f>
        <v>1794.88</v>
      </c>
      <c r="V9" s="26">
        <f>869.372+1071.078</f>
        <v>1940.4499999999998</v>
      </c>
      <c r="W9" s="26">
        <f>938.59+853.072</f>
        <v>1791.662</v>
      </c>
      <c r="X9" s="26">
        <f>832.37+653.601</f>
        <v>1485.971</v>
      </c>
      <c r="Y9" s="26">
        <f>492.202+440.546</f>
        <v>932.74800000000005</v>
      </c>
      <c r="Z9" s="270">
        <f>Y9</f>
        <v>932.74800000000005</v>
      </c>
      <c r="AA9" s="26">
        <f>573.604+388.662</f>
        <v>962.26600000000008</v>
      </c>
      <c r="AB9" s="26">
        <f>215.169+638.521</f>
        <v>853.68999999999994</v>
      </c>
      <c r="AC9" s="26">
        <f>158.31+799.727</f>
        <v>958.03700000000003</v>
      </c>
      <c r="AD9" s="26">
        <f>141.647+869.584</f>
        <v>1011.231</v>
      </c>
      <c r="AE9" s="270">
        <f>AD9</f>
        <v>1011.231</v>
      </c>
      <c r="AF9" s="26">
        <f>223.64+713.38</f>
        <v>937.02</v>
      </c>
      <c r="AG9" s="26">
        <f>271.073+953.776</f>
        <v>1224.8489999999999</v>
      </c>
      <c r="AH9" s="26">
        <f>457.339+697.482</f>
        <v>1154.8209999999999</v>
      </c>
      <c r="AI9" s="26">
        <f>1133.537+35.097</f>
        <v>1168.634</v>
      </c>
      <c r="AJ9" s="270">
        <f>AI9</f>
        <v>1168.634</v>
      </c>
      <c r="AK9" s="26">
        <f>1129.257</f>
        <v>1129.2570000000001</v>
      </c>
      <c r="AL9" s="26">
        <v>1035.239</v>
      </c>
      <c r="AM9" s="26">
        <f>688.368+310.701</f>
        <v>999.06900000000007</v>
      </c>
      <c r="AN9" s="26">
        <f>525.54+314.438</f>
        <v>839.97799999999995</v>
      </c>
      <c r="AO9" s="270">
        <f>AN9</f>
        <v>839.97799999999995</v>
      </c>
      <c r="AP9" s="26">
        <v>698.572</v>
      </c>
      <c r="AQ9" s="26">
        <v>629.14300000000003</v>
      </c>
      <c r="AR9" s="26">
        <v>580.01300000000003</v>
      </c>
      <c r="AS9" s="26">
        <f>378.203+823.395</f>
        <v>1201.598</v>
      </c>
      <c r="AT9" s="270">
        <f>AS9</f>
        <v>1201.598</v>
      </c>
      <c r="AU9" s="355">
        <f>+AT9+CF!AU45</f>
        <v>1131.9718355948457</v>
      </c>
      <c r="AV9" s="26">
        <f>+AU9+CF!AV45</f>
        <v>1066.5279169372284</v>
      </c>
      <c r="AW9" s="26">
        <f>+AV9+CF!AW45</f>
        <v>1036.9216378731353</v>
      </c>
      <c r="AX9" s="26">
        <f>+AW9+CF!AX45</f>
        <v>1029.4270811277647</v>
      </c>
      <c r="AY9" s="270">
        <f>AX9</f>
        <v>1029.4270811277647</v>
      </c>
      <c r="AZ9" s="26">
        <f>+AY9+CF!AZ45</f>
        <v>994.77603263000208</v>
      </c>
      <c r="BA9" s="26">
        <f>+AZ9+CF!BA45</f>
        <v>958.17529524437271</v>
      </c>
      <c r="BB9" s="26">
        <f>+BA9+CF!BB45</f>
        <v>965.90735344557515</v>
      </c>
      <c r="BC9" s="26">
        <f>+BB9+CF!BC45</f>
        <v>523.87214057700021</v>
      </c>
      <c r="BD9" s="270">
        <f>BC9</f>
        <v>523.87214057700021</v>
      </c>
      <c r="BE9" s="26">
        <f>+BD9+CF!BE45</f>
        <v>539.49183219803388</v>
      </c>
      <c r="BF9" s="26">
        <f>+BE9+CF!BF45</f>
        <v>543.51612376919013</v>
      </c>
      <c r="BG9" s="26">
        <f>+BF9+CF!BG45</f>
        <v>610.43301322440311</v>
      </c>
      <c r="BH9" s="26">
        <f>+BG9+CF!BH45</f>
        <v>732.48672400405576</v>
      </c>
      <c r="BI9" s="270">
        <f>BH9</f>
        <v>732.48672400405576</v>
      </c>
      <c r="BJ9" s="26">
        <f>+BI9+CF!BJ45</f>
        <v>826.70254747235151</v>
      </c>
      <c r="BK9" s="26">
        <f>+BJ9+CF!BK45</f>
        <v>870.02400739371819</v>
      </c>
      <c r="BL9" s="26">
        <f>+BK9+CF!BL45</f>
        <v>995.48254439000027</v>
      </c>
      <c r="BM9" s="26">
        <f>+BL9+CF!BM45</f>
        <v>1184.8022170471882</v>
      </c>
      <c r="BN9" s="270">
        <f>BM9</f>
        <v>1184.8022170471882</v>
      </c>
      <c r="BO9" s="26">
        <f>+BN9+CF!BO45</f>
        <v>1334.1825710683233</v>
      </c>
      <c r="BP9" s="26">
        <f>+BO9+CF!BP45</f>
        <v>1429.2265043402429</v>
      </c>
      <c r="BQ9" s="26">
        <f>+BP9+CF!BQ45</f>
        <v>1616.9456017557327</v>
      </c>
      <c r="BR9" s="26">
        <f>+BQ9+CF!BR45</f>
        <v>1880.4116233165119</v>
      </c>
      <c r="BS9" s="270">
        <f>BR9</f>
        <v>1880.4116233165119</v>
      </c>
      <c r="BT9" s="26">
        <f>+BS9+CF!BT45</f>
        <v>1479.173604258207</v>
      </c>
      <c r="BU9" s="26">
        <f>+BT9+CF!BU45</f>
        <v>1612.3009510960828</v>
      </c>
      <c r="BV9" s="26">
        <f>+BU9+CF!BV45</f>
        <v>1849.1128525829868</v>
      </c>
      <c r="BW9" s="26">
        <f>+BV9+CF!BW45</f>
        <v>2168.5073374168683</v>
      </c>
      <c r="BX9" s="270">
        <f>BW9</f>
        <v>2168.5073374168683</v>
      </c>
      <c r="BY9" s="26">
        <f>+BX9+CF!BY45</f>
        <v>2437.5290006016794</v>
      </c>
      <c r="BZ9" s="26">
        <f>+BY9+CF!BZ45</f>
        <v>2602.3756598327427</v>
      </c>
      <c r="CA9" s="26">
        <f>+BZ9+CF!CA45</f>
        <v>2882.4261822770818</v>
      </c>
      <c r="CB9" s="26">
        <f>+CA9+CF!CB45</f>
        <v>3249.1916657831584</v>
      </c>
      <c r="CC9" s="270">
        <f>CB9</f>
        <v>3249.1916657831584</v>
      </c>
      <c r="CD9" s="26">
        <f>+CC9+CF!CD45</f>
        <v>3559.8523456127296</v>
      </c>
      <c r="CE9" s="26">
        <f>+CD9+CF!CE45</f>
        <v>3372.3050666420072</v>
      </c>
      <c r="CF9" s="26">
        <f>+CE9+CF!CF45</f>
        <v>3690.674762709541</v>
      </c>
      <c r="CG9" s="26">
        <f>+CF9+CF!CG45</f>
        <v>4099.1723232478034</v>
      </c>
      <c r="CH9" s="270">
        <f>CG9</f>
        <v>4099.1723232478034</v>
      </c>
      <c r="CI9" s="26">
        <f>+CH9+CF!CI45</f>
        <v>4445.0160971269834</v>
      </c>
      <c r="CJ9" s="26">
        <f>+CI9+CF!CJ45</f>
        <v>4672.9631393117606</v>
      </c>
      <c r="CK9" s="26">
        <f>+CJ9+CF!CK45</f>
        <v>5022.9595136804637</v>
      </c>
      <c r="CL9" s="26">
        <f>+CK9+CF!CL45</f>
        <v>5463.2198004257534</v>
      </c>
      <c r="CM9" s="270">
        <f>CL9</f>
        <v>5463.2198004257534</v>
      </c>
    </row>
    <row r="10" spans="1:91" s="16" customFormat="1" ht="12.75" customHeight="1">
      <c r="A10" s="16" t="s">
        <v>25</v>
      </c>
      <c r="E10" s="26">
        <v>12.787000000000001</v>
      </c>
      <c r="F10" s="270">
        <f>E10</f>
        <v>12.787000000000001</v>
      </c>
      <c r="G10" s="26"/>
      <c r="H10" s="26"/>
      <c r="I10" s="26">
        <v>14.64</v>
      </c>
      <c r="J10" s="26">
        <v>35.69</v>
      </c>
      <c r="K10" s="270">
        <f>J10</f>
        <v>35.69</v>
      </c>
      <c r="L10" s="26">
        <v>28.989000000000001</v>
      </c>
      <c r="M10" s="26">
        <v>40.363</v>
      </c>
      <c r="N10" s="26">
        <v>39.689</v>
      </c>
      <c r="O10" s="26">
        <v>47.985999999999997</v>
      </c>
      <c r="P10" s="270">
        <f>O10</f>
        <v>47.985999999999997</v>
      </c>
      <c r="Q10" s="26">
        <v>48.015000000000001</v>
      </c>
      <c r="R10" s="26">
        <v>41.017000000000003</v>
      </c>
      <c r="S10" s="26">
        <v>36.255000000000003</v>
      </c>
      <c r="T10" s="26">
        <v>53.298999999999999</v>
      </c>
      <c r="U10" s="270">
        <f>T10</f>
        <v>53.298999999999999</v>
      </c>
      <c r="V10" s="26">
        <v>48.039000000000001</v>
      </c>
      <c r="W10" s="26">
        <v>53.667000000000002</v>
      </c>
      <c r="X10" s="26">
        <v>60.744</v>
      </c>
      <c r="Y10" s="26">
        <v>97.652000000000001</v>
      </c>
      <c r="Z10" s="270">
        <f>Y10</f>
        <v>97.652000000000001</v>
      </c>
      <c r="AA10" s="26">
        <v>84.331000000000003</v>
      </c>
      <c r="AB10" s="26">
        <v>95.275999999999996</v>
      </c>
      <c r="AC10" s="26">
        <v>86.2</v>
      </c>
      <c r="AD10" s="26">
        <v>97.256</v>
      </c>
      <c r="AE10" s="270">
        <f>AD10</f>
        <v>97.256</v>
      </c>
      <c r="AF10" s="26">
        <v>87.203999999999994</v>
      </c>
      <c r="AG10" s="26">
        <v>86.468000000000004</v>
      </c>
      <c r="AH10" s="26">
        <v>88.801000000000002</v>
      </c>
      <c r="AI10" s="26">
        <v>88.783000000000001</v>
      </c>
      <c r="AJ10" s="270">
        <f>AI10</f>
        <v>88.783000000000001</v>
      </c>
      <c r="AK10" s="26">
        <v>84.561999999999998</v>
      </c>
      <c r="AL10" s="26">
        <v>100.51900000000001</v>
      </c>
      <c r="AM10" s="26">
        <v>88.465000000000003</v>
      </c>
      <c r="AN10" s="26">
        <v>110.253</v>
      </c>
      <c r="AO10" s="270">
        <f>AN10</f>
        <v>110.253</v>
      </c>
      <c r="AP10" s="26">
        <v>115.426</v>
      </c>
      <c r="AQ10" s="26">
        <v>130.25200000000001</v>
      </c>
      <c r="AR10" s="26">
        <v>115.58499999999999</v>
      </c>
      <c r="AS10" s="26">
        <v>137.84899999999999</v>
      </c>
      <c r="AT10" s="270">
        <f>AS10</f>
        <v>137.84899999999999</v>
      </c>
      <c r="AU10" s="355">
        <f>AU70/365*AU66</f>
        <v>130.70408005940314</v>
      </c>
      <c r="AV10" s="26">
        <f>AV70/365*AV66</f>
        <v>134.25115663565893</v>
      </c>
      <c r="AW10" s="26">
        <f>AW70/365*AW66</f>
        <v>136.70125976103685</v>
      </c>
      <c r="AX10" s="26">
        <f>AX70/365*AX66</f>
        <v>138.89649243194521</v>
      </c>
      <c r="AY10" s="270">
        <f>AX10</f>
        <v>138.89649243194521</v>
      </c>
      <c r="AZ10" s="26">
        <f>AZ70/365*AZ66</f>
        <v>149.07643713421743</v>
      </c>
      <c r="BA10" s="26">
        <f>BA70/365*BA66</f>
        <v>163.36706791887312</v>
      </c>
      <c r="BB10" s="26">
        <f>BB70/365*BB66</f>
        <v>176.69671635142072</v>
      </c>
      <c r="BC10" s="26">
        <f>BC70/365*BC66</f>
        <v>190.73595387958244</v>
      </c>
      <c r="BD10" s="270">
        <f>BC10</f>
        <v>190.73595387958244</v>
      </c>
      <c r="BE10" s="26">
        <f>BE70/365*BE66</f>
        <v>205.26687528215368</v>
      </c>
      <c r="BF10" s="26">
        <f>BF70/365*BF66</f>
        <v>220.26930998377676</v>
      </c>
      <c r="BG10" s="26">
        <f>BG70/365*BG66</f>
        <v>235.94351726524792</v>
      </c>
      <c r="BH10" s="26">
        <f>BH70/365*BH66</f>
        <v>251.83246608817254</v>
      </c>
      <c r="BI10" s="270">
        <f>BH10</f>
        <v>251.83246608817254</v>
      </c>
      <c r="BJ10" s="26">
        <f>BJ70/365*BJ66</f>
        <v>265.87381643012651</v>
      </c>
      <c r="BK10" s="26">
        <f>BK70/365*BK66</f>
        <v>279.0938849695068</v>
      </c>
      <c r="BL10" s="26">
        <f>BL70/365*BL66</f>
        <v>292.77300990346646</v>
      </c>
      <c r="BM10" s="26">
        <f>BM70/365*BM66</f>
        <v>305.82960603335465</v>
      </c>
      <c r="BN10" s="270">
        <f>BM10</f>
        <v>305.82960603335465</v>
      </c>
      <c r="BO10" s="26">
        <f>BO70/365*BO66</f>
        <v>319.42681668951349</v>
      </c>
      <c r="BP10" s="26">
        <f>BP70/365*BP66</f>
        <v>334.20977273222059</v>
      </c>
      <c r="BQ10" s="26">
        <f>BQ70/365*BQ66</f>
        <v>348.35081729644105</v>
      </c>
      <c r="BR10" s="26">
        <f>BR70/365*BR66</f>
        <v>362.58089660395962</v>
      </c>
      <c r="BS10" s="270">
        <f>BR10</f>
        <v>362.58089660395962</v>
      </c>
      <c r="BT10" s="26">
        <f>BT70/365*BT66</f>
        <v>375.34391162311152</v>
      </c>
      <c r="BU10" s="26">
        <f>BU70/365*BU66</f>
        <v>387.44802062088343</v>
      </c>
      <c r="BV10" s="26">
        <f>BV70/365*BV66</f>
        <v>399.21762578445498</v>
      </c>
      <c r="BW10" s="26">
        <f>BW70/365*BW66</f>
        <v>410.62933370625598</v>
      </c>
      <c r="BX10" s="270">
        <f>BW10</f>
        <v>410.62933370625598</v>
      </c>
      <c r="BY10" s="26">
        <f>BY70/365*BY66</f>
        <v>420.72943660490125</v>
      </c>
      <c r="BZ10" s="26">
        <f>BZ70/365*BZ66</f>
        <v>430.37003662783582</v>
      </c>
      <c r="CA10" s="26">
        <f>CA70/365*CA66</f>
        <v>440.41324270652518</v>
      </c>
      <c r="CB10" s="26">
        <f>CB70/365*CB66</f>
        <v>450.25789797671814</v>
      </c>
      <c r="CC10" s="270">
        <f>CB10</f>
        <v>450.25789797671814</v>
      </c>
      <c r="CD10" s="26">
        <f>CD70/365*CD66</f>
        <v>460.2316348526831</v>
      </c>
      <c r="CE10" s="26">
        <f>CE70/365*CE66</f>
        <v>470.80170565341922</v>
      </c>
      <c r="CF10" s="26">
        <f>CF70/365*CF66</f>
        <v>480.43908117145264</v>
      </c>
      <c r="CG10" s="26">
        <f>CG70/365*CG66</f>
        <v>489.79642058192979</v>
      </c>
      <c r="CH10" s="270">
        <f>CG10</f>
        <v>489.79642058192979</v>
      </c>
      <c r="CI10" s="26">
        <f>CI70/365*CI66</f>
        <v>498.24565645989497</v>
      </c>
      <c r="CJ10" s="26">
        <f>CJ70/365*CJ66</f>
        <v>506.10397473774464</v>
      </c>
      <c r="CK10" s="26">
        <f>CK70/365*CK66</f>
        <v>513.56620662504611</v>
      </c>
      <c r="CL10" s="26">
        <f>CL70/365*CL66</f>
        <v>520.68686867048791</v>
      </c>
      <c r="CM10" s="270">
        <f>CL10</f>
        <v>520.68686867048791</v>
      </c>
    </row>
    <row r="11" spans="1:91" s="16" customFormat="1" ht="12.75" customHeight="1">
      <c r="A11" s="16" t="s">
        <v>26</v>
      </c>
      <c r="E11" s="26">
        <v>7.2869999999999999</v>
      </c>
      <c r="F11" s="270">
        <f>E11</f>
        <v>7.2869999999999999</v>
      </c>
      <c r="G11" s="26"/>
      <c r="H11" s="26"/>
      <c r="I11" s="26">
        <v>7.0750000000000002</v>
      </c>
      <c r="J11" s="26">
        <v>9.1359999999999992</v>
      </c>
      <c r="K11" s="270">
        <f>J11</f>
        <v>9.1359999999999992</v>
      </c>
      <c r="L11" s="26">
        <v>10.256</v>
      </c>
      <c r="M11" s="26">
        <v>14.176</v>
      </c>
      <c r="N11" s="26">
        <v>14.76</v>
      </c>
      <c r="O11" s="26">
        <v>15.180999999999999</v>
      </c>
      <c r="P11" s="270">
        <f>O11</f>
        <v>15.180999999999999</v>
      </c>
      <c r="Q11" s="26">
        <v>25.148</v>
      </c>
      <c r="R11" s="26">
        <v>20.353999999999999</v>
      </c>
      <c r="S11" s="26">
        <v>27.731000000000002</v>
      </c>
      <c r="T11" s="26">
        <v>22.716000000000001</v>
      </c>
      <c r="U11" s="270">
        <f>T11</f>
        <v>22.716000000000001</v>
      </c>
      <c r="V11" s="26">
        <v>28.876000000000001</v>
      </c>
      <c r="W11" s="26">
        <v>26.494</v>
      </c>
      <c r="X11" s="26">
        <v>24.739000000000001</v>
      </c>
      <c r="Y11" s="26">
        <v>30.673999999999999</v>
      </c>
      <c r="Z11" s="270">
        <f>Y11</f>
        <v>30.673999999999999</v>
      </c>
      <c r="AA11" s="26">
        <v>36.613</v>
      </c>
      <c r="AB11" s="26">
        <v>59.89</v>
      </c>
      <c r="AC11" s="26">
        <v>63.046999999999997</v>
      </c>
      <c r="AD11" s="26">
        <v>51.597999999999999</v>
      </c>
      <c r="AE11" s="270">
        <f>AD11</f>
        <v>51.597999999999999</v>
      </c>
      <c r="AF11" s="26">
        <v>46.473999999999997</v>
      </c>
      <c r="AG11" s="26">
        <v>60.529000000000003</v>
      </c>
      <c r="AH11" s="26">
        <v>77.036000000000001</v>
      </c>
      <c r="AI11" s="26">
        <v>61.948</v>
      </c>
      <c r="AJ11" s="270">
        <f>AI11</f>
        <v>61.948</v>
      </c>
      <c r="AK11" s="26">
        <v>62.991</v>
      </c>
      <c r="AL11" s="26">
        <v>66.983999999999995</v>
      </c>
      <c r="AM11" s="26">
        <v>72.298000000000002</v>
      </c>
      <c r="AN11" s="26">
        <v>71.082999999999998</v>
      </c>
      <c r="AO11" s="270">
        <f>AN11</f>
        <v>71.082999999999998</v>
      </c>
      <c r="AP11" s="26">
        <v>77.256</v>
      </c>
      <c r="AQ11" s="26">
        <v>84.061000000000007</v>
      </c>
      <c r="AR11" s="26">
        <v>90.489000000000004</v>
      </c>
      <c r="AS11" s="26">
        <v>85.876000000000005</v>
      </c>
      <c r="AT11" s="270">
        <f>AS11</f>
        <v>85.876000000000005</v>
      </c>
      <c r="AU11" s="355">
        <f>AU74/365*AU67</f>
        <v>90.534426821432504</v>
      </c>
      <c r="AV11" s="26">
        <f>AV74/365*AV67</f>
        <v>98.292869100927604</v>
      </c>
      <c r="AW11" s="26">
        <f>AW74/365*AW67</f>
        <v>107.85301815092254</v>
      </c>
      <c r="AX11" s="26">
        <f>AX74/365*AX67</f>
        <v>118.22770689437522</v>
      </c>
      <c r="AY11" s="270">
        <f>AX11</f>
        <v>118.22770689437522</v>
      </c>
      <c r="AZ11" s="26">
        <f>AZ74/365*AZ67</f>
        <v>124.49326051023061</v>
      </c>
      <c r="BA11" s="26">
        <f>BA74/365*BA67</f>
        <v>135.86586206797816</v>
      </c>
      <c r="BB11" s="26">
        <f>BB74/365*BB67</f>
        <v>146.35603731073112</v>
      </c>
      <c r="BC11" s="26">
        <f>BC74/365*BC67</f>
        <v>157.33704236909435</v>
      </c>
      <c r="BD11" s="270">
        <f>BC11</f>
        <v>157.33704236909435</v>
      </c>
      <c r="BE11" s="26">
        <f>BE74/365*BE67</f>
        <v>168.9677614728121</v>
      </c>
      <c r="BF11" s="26">
        <f>BF74/365*BF67</f>
        <v>180.5790600293422</v>
      </c>
      <c r="BG11" s="26">
        <f>BG74/365*BG67</f>
        <v>192.64518356579697</v>
      </c>
      <c r="BH11" s="26">
        <f>BH74/365*BH67</f>
        <v>204.77771811528601</v>
      </c>
      <c r="BI11" s="270">
        <f>BH11</f>
        <v>204.77771811528601</v>
      </c>
      <c r="BJ11" s="26">
        <f>BJ74/365*BJ67</f>
        <v>215.66104320068786</v>
      </c>
      <c r="BK11" s="26">
        <f>BK74/365*BK67</f>
        <v>225.49291357616127</v>
      </c>
      <c r="BL11" s="26">
        <f>BL74/365*BL67</f>
        <v>235.60174801585401</v>
      </c>
      <c r="BM11" s="26">
        <f>BM74/365*BM67</f>
        <v>245.11908779548358</v>
      </c>
      <c r="BN11" s="270">
        <f>BM11</f>
        <v>245.11908779548358</v>
      </c>
      <c r="BO11" s="26">
        <f>BO74/365*BO67</f>
        <v>255.30929356969992</v>
      </c>
      <c r="BP11" s="26">
        <f>BP74/365*BP67</f>
        <v>266.05829348568102</v>
      </c>
      <c r="BQ11" s="26">
        <f>BQ74/365*BQ67</f>
        <v>276.20489710919691</v>
      </c>
      <c r="BR11" s="26">
        <f>BR74/365*BR67</f>
        <v>286.32670336882313</v>
      </c>
      <c r="BS11" s="270">
        <f>BR11</f>
        <v>286.32670336882313</v>
      </c>
      <c r="BT11" s="26">
        <f>BT74/365*BT67</f>
        <v>295.52753274925635</v>
      </c>
      <c r="BU11" s="26">
        <f>BU74/365*BU67</f>
        <v>303.84946242680593</v>
      </c>
      <c r="BV11" s="26">
        <f>BV74/365*BV67</f>
        <v>311.83205666361931</v>
      </c>
      <c r="BW11" s="26">
        <f>BW74/365*BW67</f>
        <v>319.45575981288175</v>
      </c>
      <c r="BX11" s="270">
        <f>BW11</f>
        <v>319.45575981288175</v>
      </c>
      <c r="BY11" s="26">
        <f>BY74/365*BY67</f>
        <v>326.25557370689069</v>
      </c>
      <c r="BZ11" s="26">
        <f>BZ74/365*BZ67</f>
        <v>332.4100072746582</v>
      </c>
      <c r="CA11" s="26">
        <f>CA74/365*CA67</f>
        <v>338.80272123654521</v>
      </c>
      <c r="CB11" s="26">
        <f>CB74/365*CB67</f>
        <v>344.97311738068606</v>
      </c>
      <c r="CC11" s="270">
        <f>CB11</f>
        <v>344.97311738068606</v>
      </c>
      <c r="CD11" s="26">
        <f>CD74/365*CD67</f>
        <v>351.43562129861732</v>
      </c>
      <c r="CE11" s="26">
        <f>CE74/365*CE67</f>
        <v>358.06034278308198</v>
      </c>
      <c r="CF11" s="26">
        <f>CF74/365*CF67</f>
        <v>363.9117862252383</v>
      </c>
      <c r="CG11" s="26">
        <f>CG74/365*CG67</f>
        <v>369.48689640810267</v>
      </c>
      <c r="CH11" s="270">
        <f>CG11</f>
        <v>369.48689640810267</v>
      </c>
      <c r="CI11" s="26">
        <f>CI74/365*CI67</f>
        <v>374.54777464701277</v>
      </c>
      <c r="CJ11" s="26">
        <f>CJ74/365*CJ67</f>
        <v>378.91603125305483</v>
      </c>
      <c r="CK11" s="26">
        <f>CK74/365*CK67</f>
        <v>382.93880881361997</v>
      </c>
      <c r="CL11" s="26">
        <f>CL74/365*CL67</f>
        <v>386.65671597851633</v>
      </c>
      <c r="CM11" s="270">
        <f>CL11</f>
        <v>386.65671597851633</v>
      </c>
    </row>
    <row r="12" spans="1:91" s="21" customFormat="1" ht="12.75" customHeight="1">
      <c r="A12" s="16" t="s">
        <v>27</v>
      </c>
      <c r="E12" s="26">
        <v>1.5409999999999999</v>
      </c>
      <c r="F12" s="270">
        <f>E12</f>
        <v>1.5409999999999999</v>
      </c>
      <c r="G12" s="26"/>
      <c r="H12" s="26"/>
      <c r="I12" s="26">
        <v>4.024</v>
      </c>
      <c r="J12" s="26">
        <v>5.2039999999999997</v>
      </c>
      <c r="K12" s="270">
        <f>J12</f>
        <v>5.2039999999999997</v>
      </c>
      <c r="L12" s="26">
        <v>6.1509999999999998</v>
      </c>
      <c r="M12" s="26">
        <v>4.0819999999999999</v>
      </c>
      <c r="N12" s="26">
        <v>5.657</v>
      </c>
      <c r="O12" s="26">
        <v>11.388999999999999</v>
      </c>
      <c r="P12" s="270">
        <f>O12</f>
        <v>11.388999999999999</v>
      </c>
      <c r="Q12" s="26">
        <v>14.137</v>
      </c>
      <c r="R12" s="26">
        <v>11.101000000000001</v>
      </c>
      <c r="S12" s="26">
        <v>9.8979999999999997</v>
      </c>
      <c r="T12" s="26">
        <v>17.466000000000001</v>
      </c>
      <c r="U12" s="270">
        <f>T12</f>
        <v>17.466000000000001</v>
      </c>
      <c r="V12" s="26">
        <v>15.679</v>
      </c>
      <c r="W12" s="26">
        <v>19.236000000000001</v>
      </c>
      <c r="X12" s="26">
        <v>21.957999999999998</v>
      </c>
      <c r="Y12" s="26">
        <v>53.052</v>
      </c>
      <c r="Z12" s="270">
        <f>Y12</f>
        <v>53.052</v>
      </c>
      <c r="AA12" s="26">
        <v>30.07</v>
      </c>
      <c r="AB12" s="26">
        <v>28.283000000000001</v>
      </c>
      <c r="AC12" s="26">
        <v>23.565000000000001</v>
      </c>
      <c r="AD12" s="26">
        <v>31.509</v>
      </c>
      <c r="AE12" s="270">
        <f>AD12</f>
        <v>31.509</v>
      </c>
      <c r="AF12" s="26">
        <v>33.762</v>
      </c>
      <c r="AG12" s="26">
        <v>25.809000000000001</v>
      </c>
      <c r="AH12" s="26">
        <v>26.239000000000001</v>
      </c>
      <c r="AI12" s="26">
        <v>27.741</v>
      </c>
      <c r="AJ12" s="270">
        <f>AI12</f>
        <v>27.741</v>
      </c>
      <c r="AK12" s="26">
        <v>31.736000000000001</v>
      </c>
      <c r="AL12" s="26">
        <v>87.231999999999999</v>
      </c>
      <c r="AM12" s="26">
        <f>66.883</f>
        <v>66.882999999999996</v>
      </c>
      <c r="AN12" s="26">
        <f>33.8</f>
        <v>33.799999999999997</v>
      </c>
      <c r="AO12" s="270">
        <f>AN12</f>
        <v>33.799999999999997</v>
      </c>
      <c r="AP12" s="26">
        <v>35.771999999999998</v>
      </c>
      <c r="AQ12" s="26">
        <v>39.975999999999999</v>
      </c>
      <c r="AR12" s="26">
        <v>42.798000000000002</v>
      </c>
      <c r="AS12" s="26">
        <f>40.723</f>
        <v>40.722999999999999</v>
      </c>
      <c r="AT12" s="270">
        <f>AS12</f>
        <v>40.722999999999999</v>
      </c>
      <c r="AU12" s="355">
        <f>AT12</f>
        <v>40.722999999999999</v>
      </c>
      <c r="AV12" s="26">
        <f t="shared" ref="AV12" si="0">AU12</f>
        <v>40.722999999999999</v>
      </c>
      <c r="AW12" s="26">
        <f t="shared" ref="AW12" si="1">AV12</f>
        <v>40.722999999999999</v>
      </c>
      <c r="AX12" s="26">
        <f t="shared" ref="AX12" si="2">AW12</f>
        <v>40.722999999999999</v>
      </c>
      <c r="AY12" s="270">
        <f>AX12</f>
        <v>40.722999999999999</v>
      </c>
      <c r="AZ12" s="26">
        <f>AY12</f>
        <v>40.722999999999999</v>
      </c>
      <c r="BA12" s="26">
        <f t="shared" ref="BA12" si="3">AZ12</f>
        <v>40.722999999999999</v>
      </c>
      <c r="BB12" s="26">
        <f t="shared" ref="BB12" si="4">BA12</f>
        <v>40.722999999999999</v>
      </c>
      <c r="BC12" s="26">
        <f t="shared" ref="BC12" si="5">BB12</f>
        <v>40.722999999999999</v>
      </c>
      <c r="BD12" s="270">
        <f>BC12</f>
        <v>40.722999999999999</v>
      </c>
      <c r="BE12" s="26">
        <f>BD12</f>
        <v>40.722999999999999</v>
      </c>
      <c r="BF12" s="26">
        <f t="shared" ref="BF12" si="6">BE12</f>
        <v>40.722999999999999</v>
      </c>
      <c r="BG12" s="26">
        <f t="shared" ref="BG12" si="7">BF12</f>
        <v>40.722999999999999</v>
      </c>
      <c r="BH12" s="26">
        <f t="shared" ref="BH12" si="8">BG12</f>
        <v>40.722999999999999</v>
      </c>
      <c r="BI12" s="270">
        <f>BH12</f>
        <v>40.722999999999999</v>
      </c>
      <c r="BJ12" s="26">
        <f>BI12</f>
        <v>40.722999999999999</v>
      </c>
      <c r="BK12" s="26">
        <f t="shared" ref="BK12" si="9">BJ12</f>
        <v>40.722999999999999</v>
      </c>
      <c r="BL12" s="26">
        <f t="shared" ref="BL12" si="10">BK12</f>
        <v>40.722999999999999</v>
      </c>
      <c r="BM12" s="26">
        <f t="shared" ref="BM12" si="11">BL12</f>
        <v>40.722999999999999</v>
      </c>
      <c r="BN12" s="270">
        <f>BM12</f>
        <v>40.722999999999999</v>
      </c>
      <c r="BO12" s="26">
        <f>BN12</f>
        <v>40.722999999999999</v>
      </c>
      <c r="BP12" s="26">
        <f t="shared" ref="BP12" si="12">BO12</f>
        <v>40.722999999999999</v>
      </c>
      <c r="BQ12" s="26">
        <f t="shared" ref="BQ12" si="13">BP12</f>
        <v>40.722999999999999</v>
      </c>
      <c r="BR12" s="26">
        <f t="shared" ref="BR12" si="14">BQ12</f>
        <v>40.722999999999999</v>
      </c>
      <c r="BS12" s="270">
        <f>BR12</f>
        <v>40.722999999999999</v>
      </c>
      <c r="BT12" s="26">
        <f>BS12</f>
        <v>40.722999999999999</v>
      </c>
      <c r="BU12" s="26">
        <f t="shared" ref="BU12" si="15">BT12</f>
        <v>40.722999999999999</v>
      </c>
      <c r="BV12" s="26">
        <f t="shared" ref="BV12" si="16">BU12</f>
        <v>40.722999999999999</v>
      </c>
      <c r="BW12" s="26">
        <f t="shared" ref="BW12" si="17">BV12</f>
        <v>40.722999999999999</v>
      </c>
      <c r="BX12" s="270">
        <f>BW12</f>
        <v>40.722999999999999</v>
      </c>
      <c r="BY12" s="26">
        <f>BX12</f>
        <v>40.722999999999999</v>
      </c>
      <c r="BZ12" s="26">
        <f t="shared" ref="BZ12" si="18">BY12</f>
        <v>40.722999999999999</v>
      </c>
      <c r="CA12" s="26">
        <f t="shared" ref="CA12" si="19">BZ12</f>
        <v>40.722999999999999</v>
      </c>
      <c r="CB12" s="26">
        <f t="shared" ref="CB12" si="20">CA12</f>
        <v>40.722999999999999</v>
      </c>
      <c r="CC12" s="270">
        <f>CB12</f>
        <v>40.722999999999999</v>
      </c>
      <c r="CD12" s="26">
        <f>CC12</f>
        <v>40.722999999999999</v>
      </c>
      <c r="CE12" s="26">
        <f t="shared" ref="CE12" si="21">CD12</f>
        <v>40.722999999999999</v>
      </c>
      <c r="CF12" s="26">
        <f t="shared" ref="CF12" si="22">CE12</f>
        <v>40.722999999999999</v>
      </c>
      <c r="CG12" s="26">
        <f t="shared" ref="CG12" si="23">CF12</f>
        <v>40.722999999999999</v>
      </c>
      <c r="CH12" s="270">
        <f>CG12</f>
        <v>40.722999999999999</v>
      </c>
      <c r="CI12" s="26">
        <f>CH12</f>
        <v>40.722999999999999</v>
      </c>
      <c r="CJ12" s="26">
        <f t="shared" ref="CJ12" si="24">CI12</f>
        <v>40.722999999999999</v>
      </c>
      <c r="CK12" s="26">
        <f t="shared" ref="CK12" si="25">CJ12</f>
        <v>40.722999999999999</v>
      </c>
      <c r="CL12" s="26">
        <f t="shared" ref="CL12" si="26">CK12</f>
        <v>40.722999999999999</v>
      </c>
      <c r="CM12" s="270">
        <f>CL12</f>
        <v>40.722999999999999</v>
      </c>
    </row>
    <row r="13" spans="1:91" s="15" customFormat="1" ht="12.75" customHeight="1">
      <c r="A13" s="15" t="s">
        <v>28</v>
      </c>
      <c r="E13" s="170">
        <f>SUM(E9:E12)</f>
        <v>242.935</v>
      </c>
      <c r="F13" s="253">
        <f>SUM(F9:F12)</f>
        <v>242.935</v>
      </c>
      <c r="G13" s="170"/>
      <c r="H13" s="170"/>
      <c r="I13" s="170">
        <f>SUM(I9:I12)</f>
        <v>297.08099999999996</v>
      </c>
      <c r="J13" s="170">
        <f>SUM(J9:J12)</f>
        <v>468.99100000000004</v>
      </c>
      <c r="K13" s="253">
        <f>J13</f>
        <v>468.99100000000004</v>
      </c>
      <c r="L13" s="170">
        <f t="shared" ref="L13:AS13" si="27">SUM(L9:L12)</f>
        <v>512.255</v>
      </c>
      <c r="M13" s="170">
        <f t="shared" si="27"/>
        <v>604.24800000000005</v>
      </c>
      <c r="N13" s="170">
        <f t="shared" si="27"/>
        <v>583.0619999999999</v>
      </c>
      <c r="O13" s="170">
        <f t="shared" si="27"/>
        <v>597.35800000000006</v>
      </c>
      <c r="P13" s="253">
        <f t="shared" si="27"/>
        <v>597.35800000000006</v>
      </c>
      <c r="Q13" s="170">
        <f t="shared" si="27"/>
        <v>607.39200000000005</v>
      </c>
      <c r="R13" s="170">
        <f t="shared" si="27"/>
        <v>1010.303</v>
      </c>
      <c r="S13" s="170">
        <f t="shared" si="27"/>
        <v>1087.288</v>
      </c>
      <c r="T13" s="170">
        <f t="shared" si="27"/>
        <v>1888.3609999999999</v>
      </c>
      <c r="U13" s="253">
        <f t="shared" si="27"/>
        <v>1888.3609999999999</v>
      </c>
      <c r="V13" s="170">
        <f t="shared" si="27"/>
        <v>2033.0439999999999</v>
      </c>
      <c r="W13" s="170">
        <f t="shared" si="27"/>
        <v>1891.059</v>
      </c>
      <c r="X13" s="170">
        <f t="shared" si="27"/>
        <v>1593.412</v>
      </c>
      <c r="Y13" s="170">
        <f t="shared" si="27"/>
        <v>1114.126</v>
      </c>
      <c r="Z13" s="253">
        <f t="shared" si="27"/>
        <v>1114.126</v>
      </c>
      <c r="AA13" s="170">
        <f t="shared" si="27"/>
        <v>1113.28</v>
      </c>
      <c r="AB13" s="170">
        <f t="shared" si="27"/>
        <v>1037.1389999999999</v>
      </c>
      <c r="AC13" s="170">
        <f t="shared" si="27"/>
        <v>1130.8490000000002</v>
      </c>
      <c r="AD13" s="170">
        <f t="shared" si="27"/>
        <v>1191.5940000000001</v>
      </c>
      <c r="AE13" s="253">
        <f t="shared" si="27"/>
        <v>1191.5940000000001</v>
      </c>
      <c r="AF13" s="170">
        <f t="shared" si="27"/>
        <v>1104.4599999999998</v>
      </c>
      <c r="AG13" s="170">
        <f t="shared" si="27"/>
        <v>1397.655</v>
      </c>
      <c r="AH13" s="170">
        <f t="shared" si="27"/>
        <v>1346.8969999999999</v>
      </c>
      <c r="AI13" s="170">
        <f t="shared" si="27"/>
        <v>1347.106</v>
      </c>
      <c r="AJ13" s="253">
        <f t="shared" si="27"/>
        <v>1347.106</v>
      </c>
      <c r="AK13" s="170">
        <f t="shared" si="27"/>
        <v>1308.546</v>
      </c>
      <c r="AL13" s="170">
        <f t="shared" si="27"/>
        <v>1289.9739999999999</v>
      </c>
      <c r="AM13" s="170">
        <f t="shared" si="27"/>
        <v>1226.7150000000001</v>
      </c>
      <c r="AN13" s="170">
        <f t="shared" si="27"/>
        <v>1055.114</v>
      </c>
      <c r="AO13" s="253">
        <f t="shared" si="27"/>
        <v>1055.114</v>
      </c>
      <c r="AP13" s="170">
        <f t="shared" si="27"/>
        <v>927.02600000000007</v>
      </c>
      <c r="AQ13" s="170">
        <f t="shared" si="27"/>
        <v>883.43200000000002</v>
      </c>
      <c r="AR13" s="170">
        <f t="shared" si="27"/>
        <v>828.8850000000001</v>
      </c>
      <c r="AS13" s="170">
        <f t="shared" si="27"/>
        <v>1466.0459999999998</v>
      </c>
      <c r="AT13" s="253">
        <f t="shared" ref="AT13:BW13" si="28">SUM(AT9:AT12)</f>
        <v>1466.0459999999998</v>
      </c>
      <c r="AU13" s="356">
        <f t="shared" si="28"/>
        <v>1393.9333424756815</v>
      </c>
      <c r="AV13" s="170">
        <f t="shared" si="28"/>
        <v>1339.7949426738148</v>
      </c>
      <c r="AW13" s="170">
        <f t="shared" si="28"/>
        <v>1322.1989157850946</v>
      </c>
      <c r="AX13" s="170">
        <f t="shared" si="28"/>
        <v>1327.2742804540851</v>
      </c>
      <c r="AY13" s="253">
        <f t="shared" si="28"/>
        <v>1327.2742804540851</v>
      </c>
      <c r="AZ13" s="170">
        <f t="shared" si="28"/>
        <v>1309.06873027445</v>
      </c>
      <c r="BA13" s="170">
        <f t="shared" si="28"/>
        <v>1298.1312252312241</v>
      </c>
      <c r="BB13" s="170">
        <f t="shared" si="28"/>
        <v>1329.683107107727</v>
      </c>
      <c r="BC13" s="170">
        <f t="shared" si="28"/>
        <v>912.66813682567692</v>
      </c>
      <c r="BD13" s="253">
        <f t="shared" si="28"/>
        <v>912.66813682567692</v>
      </c>
      <c r="BE13" s="170">
        <f t="shared" si="28"/>
        <v>954.44946895299961</v>
      </c>
      <c r="BF13" s="170">
        <f t="shared" si="28"/>
        <v>985.08749378230914</v>
      </c>
      <c r="BG13" s="170">
        <f t="shared" si="28"/>
        <v>1079.744714055448</v>
      </c>
      <c r="BH13" s="170">
        <f t="shared" si="28"/>
        <v>1229.8199082075143</v>
      </c>
      <c r="BI13" s="253">
        <f t="shared" si="28"/>
        <v>1229.8199082075143</v>
      </c>
      <c r="BJ13" s="170">
        <f t="shared" si="28"/>
        <v>1348.9604071031658</v>
      </c>
      <c r="BK13" s="170">
        <f t="shared" si="28"/>
        <v>1415.3338059393864</v>
      </c>
      <c r="BL13" s="170">
        <f t="shared" si="28"/>
        <v>1564.5803023093208</v>
      </c>
      <c r="BM13" s="170">
        <f t="shared" si="28"/>
        <v>1776.4739108760264</v>
      </c>
      <c r="BN13" s="253">
        <f t="shared" si="28"/>
        <v>1776.4739108760264</v>
      </c>
      <c r="BO13" s="170">
        <f t="shared" si="28"/>
        <v>1949.6416813275368</v>
      </c>
      <c r="BP13" s="170">
        <f t="shared" si="28"/>
        <v>2070.2175705581444</v>
      </c>
      <c r="BQ13" s="170">
        <f t="shared" si="28"/>
        <v>2282.2243161613706</v>
      </c>
      <c r="BR13" s="170">
        <f t="shared" si="28"/>
        <v>2570.0422232892943</v>
      </c>
      <c r="BS13" s="253">
        <f t="shared" si="28"/>
        <v>2570.0422232892943</v>
      </c>
      <c r="BT13" s="170">
        <f t="shared" si="28"/>
        <v>2190.7680486305749</v>
      </c>
      <c r="BU13" s="170">
        <f t="shared" si="28"/>
        <v>2344.321434143772</v>
      </c>
      <c r="BV13" s="170">
        <f t="shared" si="28"/>
        <v>2600.885535031061</v>
      </c>
      <c r="BW13" s="170">
        <f t="shared" si="28"/>
        <v>2939.3154309360061</v>
      </c>
      <c r="BX13" s="253">
        <f t="shared" ref="BX13:CM13" si="29">SUM(BX9:BX12)</f>
        <v>2939.3154309360061</v>
      </c>
      <c r="BY13" s="170">
        <f t="shared" si="29"/>
        <v>3225.2370109134713</v>
      </c>
      <c r="BZ13" s="170">
        <f t="shared" si="29"/>
        <v>3405.8787037352367</v>
      </c>
      <c r="CA13" s="170">
        <f t="shared" si="29"/>
        <v>3702.3651462201519</v>
      </c>
      <c r="CB13" s="170">
        <f t="shared" si="29"/>
        <v>4085.1456811405624</v>
      </c>
      <c r="CC13" s="253">
        <f t="shared" si="29"/>
        <v>4085.1456811405624</v>
      </c>
      <c r="CD13" s="170">
        <f t="shared" si="29"/>
        <v>4412.24260176403</v>
      </c>
      <c r="CE13" s="170">
        <f t="shared" si="29"/>
        <v>4241.8901150785077</v>
      </c>
      <c r="CF13" s="170">
        <f t="shared" si="29"/>
        <v>4575.7486301062327</v>
      </c>
      <c r="CG13" s="170">
        <f t="shared" si="29"/>
        <v>4999.1786402378357</v>
      </c>
      <c r="CH13" s="253">
        <f t="shared" si="29"/>
        <v>4999.1786402378357</v>
      </c>
      <c r="CI13" s="170">
        <f t="shared" si="29"/>
        <v>5358.5325282338908</v>
      </c>
      <c r="CJ13" s="170">
        <f t="shared" si="29"/>
        <v>5598.7061453025599</v>
      </c>
      <c r="CK13" s="170">
        <f t="shared" si="29"/>
        <v>5960.18752911913</v>
      </c>
      <c r="CL13" s="170">
        <f t="shared" si="29"/>
        <v>6411.2863850747572</v>
      </c>
      <c r="CM13" s="253">
        <f t="shared" si="29"/>
        <v>6411.2863850747572</v>
      </c>
    </row>
    <row r="14" spans="1:91" s="16" customFormat="1" ht="12.75" customHeight="1">
      <c r="E14" s="26"/>
      <c r="F14" s="270"/>
      <c r="G14" s="26"/>
      <c r="H14" s="26"/>
      <c r="I14" s="26"/>
      <c r="J14" s="26"/>
      <c r="K14" s="270"/>
      <c r="L14" s="26"/>
      <c r="M14" s="26"/>
      <c r="N14" s="26"/>
      <c r="O14" s="26"/>
      <c r="P14" s="270"/>
      <c r="Q14" s="26"/>
      <c r="R14" s="26"/>
      <c r="S14" s="26"/>
      <c r="T14" s="26"/>
      <c r="U14" s="270"/>
      <c r="V14" s="26"/>
      <c r="W14" s="26"/>
      <c r="X14" s="26"/>
      <c r="Y14" s="26"/>
      <c r="Z14" s="270"/>
      <c r="AA14" s="26"/>
      <c r="AB14" s="26"/>
      <c r="AC14" s="26"/>
      <c r="AD14" s="26"/>
      <c r="AE14" s="270"/>
      <c r="AF14" s="26"/>
      <c r="AG14" s="26"/>
      <c r="AH14" s="26"/>
      <c r="AI14" s="26"/>
      <c r="AJ14" s="270"/>
      <c r="AK14" s="26"/>
      <c r="AL14" s="26"/>
      <c r="AM14" s="26"/>
      <c r="AN14" s="26"/>
      <c r="AO14" s="270"/>
      <c r="AP14" s="26"/>
      <c r="AQ14" s="26"/>
      <c r="AR14" s="26"/>
      <c r="AS14" s="26"/>
      <c r="AT14" s="270"/>
      <c r="AU14" s="355"/>
      <c r="AV14" s="26"/>
      <c r="AW14" s="26"/>
      <c r="AX14" s="26"/>
      <c r="AY14" s="270"/>
      <c r="AZ14" s="26"/>
      <c r="BA14" s="26"/>
      <c r="BB14" s="26"/>
      <c r="BC14" s="26"/>
      <c r="BD14" s="270"/>
      <c r="BE14" s="26"/>
      <c r="BF14" s="26"/>
      <c r="BG14" s="26"/>
      <c r="BH14" s="26"/>
      <c r="BI14" s="270"/>
      <c r="BJ14" s="26"/>
      <c r="BK14" s="26"/>
      <c r="BL14" s="26"/>
      <c r="BM14" s="26"/>
      <c r="BN14" s="270"/>
      <c r="BO14" s="26"/>
      <c r="BP14" s="26"/>
      <c r="BQ14" s="26"/>
      <c r="BR14" s="26"/>
      <c r="BS14" s="270"/>
      <c r="BT14" s="26"/>
      <c r="BU14" s="26"/>
      <c r="BV14" s="26"/>
      <c r="BW14" s="26"/>
      <c r="BX14" s="270"/>
      <c r="BY14" s="26"/>
      <c r="BZ14" s="26"/>
      <c r="CA14" s="26"/>
      <c r="CB14" s="26"/>
      <c r="CC14" s="270"/>
      <c r="CD14" s="26"/>
      <c r="CE14" s="26"/>
      <c r="CF14" s="26"/>
      <c r="CG14" s="26"/>
      <c r="CH14" s="270"/>
      <c r="CI14" s="26"/>
      <c r="CJ14" s="26"/>
      <c r="CK14" s="26"/>
      <c r="CL14" s="26"/>
      <c r="CM14" s="270"/>
    </row>
    <row r="15" spans="1:91" s="16" customFormat="1" ht="12.75" customHeight="1">
      <c r="A15" s="16" t="s">
        <v>29</v>
      </c>
      <c r="E15" s="26">
        <v>16.036000000000001</v>
      </c>
      <c r="F15" s="270">
        <f>E15</f>
        <v>16.036000000000001</v>
      </c>
      <c r="G15" s="26"/>
      <c r="H15" s="26"/>
      <c r="I15" s="26">
        <v>30.318000000000001</v>
      </c>
      <c r="J15" s="26">
        <v>31.003</v>
      </c>
      <c r="K15" s="270">
        <f>J15</f>
        <v>31.003</v>
      </c>
      <c r="L15" s="26">
        <v>30.581</v>
      </c>
      <c r="M15" s="26">
        <v>34.811</v>
      </c>
      <c r="N15" s="26">
        <v>40.759</v>
      </c>
      <c r="O15" s="26">
        <v>43.667999999999999</v>
      </c>
      <c r="P15" s="270">
        <f>O15</f>
        <v>43.667999999999999</v>
      </c>
      <c r="Q15" s="26">
        <v>46.685000000000002</v>
      </c>
      <c r="R15" s="26">
        <v>56.994999999999997</v>
      </c>
      <c r="S15" s="26">
        <v>61.881999999999998</v>
      </c>
      <c r="T15" s="26">
        <v>62.781999999999996</v>
      </c>
      <c r="U15" s="270">
        <f>T15</f>
        <v>62.781999999999996</v>
      </c>
      <c r="V15" s="26">
        <v>71.765000000000001</v>
      </c>
      <c r="W15" s="26">
        <v>89.736999999999995</v>
      </c>
      <c r="X15" s="26">
        <v>106.15600000000001</v>
      </c>
      <c r="Y15" s="26">
        <v>124.461</v>
      </c>
      <c r="Z15" s="270">
        <f>Y15</f>
        <v>124.461</v>
      </c>
      <c r="AA15" s="26">
        <v>151.322</v>
      </c>
      <c r="AB15" s="26">
        <v>163.36199999999999</v>
      </c>
      <c r="AC15" s="26">
        <v>168.00700000000001</v>
      </c>
      <c r="AD15" s="26">
        <v>167.92</v>
      </c>
      <c r="AE15" s="270">
        <f>AD15</f>
        <v>167.92</v>
      </c>
      <c r="AF15" s="26">
        <v>163.22900000000001</v>
      </c>
      <c r="AG15" s="26">
        <v>155.74100000000001</v>
      </c>
      <c r="AH15" s="26">
        <v>147.67099999999999</v>
      </c>
      <c r="AI15" s="26">
        <v>145.096</v>
      </c>
      <c r="AJ15" s="270">
        <f>AI15</f>
        <v>145.096</v>
      </c>
      <c r="AK15" s="26">
        <v>138.387</v>
      </c>
      <c r="AL15" s="26">
        <v>132.31700000000001</v>
      </c>
      <c r="AM15" s="26">
        <v>125.169</v>
      </c>
      <c r="AN15" s="26">
        <v>136.81299999999999</v>
      </c>
      <c r="AO15" s="270">
        <f t="shared" ref="AO15:AO18" si="30">AN15</f>
        <v>136.81299999999999</v>
      </c>
      <c r="AP15" s="26">
        <v>129.29400000000001</v>
      </c>
      <c r="AQ15" s="26">
        <v>126.14100000000001</v>
      </c>
      <c r="AR15" s="26">
        <v>124.60899999999999</v>
      </c>
      <c r="AS15" s="26">
        <v>145.91499999999999</v>
      </c>
      <c r="AT15" s="270">
        <f t="shared" ref="AT15:AT18" si="31">AS15</f>
        <v>145.91499999999999</v>
      </c>
      <c r="AU15" s="355">
        <f>'Other Accts'!AU50</f>
        <v>144.89194444444445</v>
      </c>
      <c r="AV15" s="26">
        <f>'Other Accts'!AV50</f>
        <v>143.92572530864197</v>
      </c>
      <c r="AW15" s="26">
        <f>'Other Accts'!AW50</f>
        <v>143.01318501371742</v>
      </c>
      <c r="AX15" s="26">
        <f>'Other Accts'!AX50</f>
        <v>142.15134140184423</v>
      </c>
      <c r="AY15" s="270">
        <f t="shared" ref="AY15:AY18" si="32">AX15</f>
        <v>142.15134140184423</v>
      </c>
      <c r="AZ15" s="26">
        <f>'Other Accts'!AZ50</f>
        <v>143.69848910174179</v>
      </c>
      <c r="BA15" s="26">
        <f>'Other Accts'!BA50</f>
        <v>145.15968415164502</v>
      </c>
      <c r="BB15" s="26">
        <f>'Other Accts'!BB50</f>
        <v>146.53970169877584</v>
      </c>
      <c r="BC15" s="26">
        <f>'Other Accts'!BC50</f>
        <v>147.84305160439942</v>
      </c>
      <c r="BD15" s="270">
        <f t="shared" ref="BD15:BD18" si="33">BC15</f>
        <v>147.84305160439942</v>
      </c>
      <c r="BE15" s="26">
        <f>'Other Accts'!BE50</f>
        <v>151.43510429304391</v>
      </c>
      <c r="BF15" s="26">
        <f>'Other Accts'!BF50</f>
        <v>154.82759849898591</v>
      </c>
      <c r="BG15" s="26">
        <f>'Other Accts'!BG50</f>
        <v>158.03162080459779</v>
      </c>
      <c r="BH15" s="26">
        <f>'Other Accts'!BH50</f>
        <v>161.05764187100903</v>
      </c>
      <c r="BI15" s="270">
        <f t="shared" ref="BI15:BI18" si="34">BH15</f>
        <v>161.05764187100903</v>
      </c>
      <c r="BJ15" s="26">
        <f>'Other Accts'!BJ50</f>
        <v>166.27666176706407</v>
      </c>
      <c r="BK15" s="26">
        <f>'Other Accts'!BK50</f>
        <v>171.20573611333828</v>
      </c>
      <c r="BL15" s="26">
        <f>'Other Accts'!BL50</f>
        <v>175.86097299593058</v>
      </c>
      <c r="BM15" s="26">
        <f>'Other Accts'!BM50</f>
        <v>180.25758560726777</v>
      </c>
      <c r="BN15" s="270">
        <f t="shared" ref="BN15:BN18" si="35">BM15</f>
        <v>180.25758560726777</v>
      </c>
      <c r="BO15" s="26">
        <f>'Other Accts'!BO50</f>
        <v>185.59049751797511</v>
      </c>
      <c r="BP15" s="26">
        <f>'Other Accts'!BP50</f>
        <v>190.62713654475428</v>
      </c>
      <c r="BQ15" s="26">
        <f>'Other Accts'!BQ50</f>
        <v>195.38396229226794</v>
      </c>
      <c r="BR15" s="26">
        <f>'Other Accts'!BR50</f>
        <v>199.87651994269748</v>
      </c>
      <c r="BS15" s="270">
        <f t="shared" ref="BS15:BS18" si="36">BR15</f>
        <v>199.87651994269748</v>
      </c>
      <c r="BT15" s="26">
        <f>'Other Accts'!BT50</f>
        <v>205.30004661254762</v>
      </c>
      <c r="BU15" s="26">
        <f>'Other Accts'!BU50</f>
        <v>210.42226624518386</v>
      </c>
      <c r="BV15" s="26">
        <f>'Other Accts'!BV50</f>
        <v>215.25991812045143</v>
      </c>
      <c r="BW15" s="26">
        <f>'Other Accts'!BW50</f>
        <v>219.82881155820414</v>
      </c>
      <c r="BX15" s="270">
        <f t="shared" ref="BX15:BX18" si="37">BW15</f>
        <v>219.82881155820414</v>
      </c>
      <c r="BY15" s="26">
        <f>'Other Accts'!BY50</f>
        <v>225.3244331383039</v>
      </c>
      <c r="BZ15" s="26">
        <f>'Other Accts'!BZ50</f>
        <v>230.51474240839812</v>
      </c>
      <c r="CA15" s="26">
        <f>'Other Accts'!CA50</f>
        <v>235.41670116348712</v>
      </c>
      <c r="CB15" s="26">
        <f>'Other Accts'!CB50</f>
        <v>240.04632887662672</v>
      </c>
      <c r="CC15" s="270">
        <f t="shared" ref="CC15:CC18" si="38">CB15</f>
        <v>240.04632887662672</v>
      </c>
      <c r="CD15" s="26">
        <f>'Other Accts'!CD50</f>
        <v>245.59931060570301</v>
      </c>
      <c r="CE15" s="26">
        <f>'Other Accts'!CE50</f>
        <v>250.84379334983063</v>
      </c>
      <c r="CF15" s="26">
        <f>'Other Accts'!CF50</f>
        <v>255.79691594150674</v>
      </c>
      <c r="CG15" s="26">
        <f>'Other Accts'!CG50</f>
        <v>260.4748650558675</v>
      </c>
      <c r="CH15" s="270">
        <f t="shared" ref="CH15:CH18" si="39">CG15</f>
        <v>260.4748650558675</v>
      </c>
      <c r="CI15" s="26">
        <f>'Other Accts'!CI50</f>
        <v>266.07348366387487</v>
      </c>
      <c r="CJ15" s="26">
        <f>'Other Accts'!CJ50</f>
        <v>271.36106790477072</v>
      </c>
      <c r="CK15" s="26">
        <f>'Other Accts'!CK50</f>
        <v>276.35489746561677</v>
      </c>
      <c r="CL15" s="26">
        <f>'Other Accts'!CL50</f>
        <v>281.07129205086028</v>
      </c>
      <c r="CM15" s="270">
        <f t="shared" ref="CM15:CM19" si="40">CL15</f>
        <v>281.07129205086028</v>
      </c>
    </row>
    <row r="16" spans="1:91" s="16" customFormat="1" ht="12.75" customHeight="1">
      <c r="A16" s="16" t="s">
        <v>30</v>
      </c>
      <c r="E16" s="26">
        <v>0</v>
      </c>
      <c r="F16" s="270">
        <f>E16</f>
        <v>0</v>
      </c>
      <c r="G16" s="26"/>
      <c r="H16" s="26"/>
      <c r="I16" s="26">
        <v>0</v>
      </c>
      <c r="J16" s="26">
        <v>0</v>
      </c>
      <c r="K16" s="270">
        <f>J16</f>
        <v>0</v>
      </c>
      <c r="L16" s="26">
        <v>0</v>
      </c>
      <c r="M16" s="26">
        <v>8.9870000000000001</v>
      </c>
      <c r="N16" s="26">
        <v>8.7550000000000008</v>
      </c>
      <c r="O16" s="26">
        <v>8.5239999999999991</v>
      </c>
      <c r="P16" s="270">
        <f>O16</f>
        <v>8.5239999999999991</v>
      </c>
      <c r="Q16" s="26">
        <v>17.681000000000001</v>
      </c>
      <c r="R16" s="26">
        <v>17.148</v>
      </c>
      <c r="S16" s="26">
        <v>16.645</v>
      </c>
      <c r="T16" s="26">
        <v>16.155000000000001</v>
      </c>
      <c r="U16" s="270">
        <f>T16</f>
        <v>16.155000000000001</v>
      </c>
      <c r="V16" s="26">
        <v>15.673999999999999</v>
      </c>
      <c r="W16" s="26">
        <v>15.189</v>
      </c>
      <c r="X16" s="26">
        <v>14.698</v>
      </c>
      <c r="Y16" s="26">
        <v>14.207000000000001</v>
      </c>
      <c r="Z16" s="270">
        <f>Y16</f>
        <v>14.207000000000001</v>
      </c>
      <c r="AA16" s="26">
        <v>13.727</v>
      </c>
      <c r="AB16" s="26">
        <v>13.108000000000001</v>
      </c>
      <c r="AC16" s="26">
        <v>12.417</v>
      </c>
      <c r="AD16" s="26">
        <v>11.727</v>
      </c>
      <c r="AE16" s="270">
        <f>AD16</f>
        <v>11.727</v>
      </c>
      <c r="AF16" s="26">
        <v>11.047000000000001</v>
      </c>
      <c r="AG16" s="26">
        <v>10.361000000000001</v>
      </c>
      <c r="AH16" s="26">
        <v>9.67</v>
      </c>
      <c r="AI16" s="26">
        <v>8.9789999999999992</v>
      </c>
      <c r="AJ16" s="270">
        <f>AI16</f>
        <v>8.9789999999999992</v>
      </c>
      <c r="AK16" s="26">
        <v>8.2940000000000005</v>
      </c>
      <c r="AL16" s="26">
        <v>7.742</v>
      </c>
      <c r="AM16" s="26">
        <v>7.2510000000000003</v>
      </c>
      <c r="AN16" s="26">
        <v>6.76</v>
      </c>
      <c r="AO16" s="270">
        <f t="shared" si="30"/>
        <v>6.76</v>
      </c>
      <c r="AP16" s="26">
        <v>6.28</v>
      </c>
      <c r="AQ16" s="26">
        <v>5.8639999999999999</v>
      </c>
      <c r="AR16" s="26">
        <v>5.4770000000000003</v>
      </c>
      <c r="AS16" s="26">
        <v>25.920999999999999</v>
      </c>
      <c r="AT16" s="270">
        <f t="shared" si="31"/>
        <v>25.920999999999999</v>
      </c>
      <c r="AU16" s="355">
        <f>'Other Accts'!AU58</f>
        <v>25.110968749999998</v>
      </c>
      <c r="AV16" s="26">
        <f>'Other Accts'!AV58</f>
        <v>24.300937499999996</v>
      </c>
      <c r="AW16" s="26">
        <f>'Other Accts'!AW58</f>
        <v>23.490906249999995</v>
      </c>
      <c r="AX16" s="26">
        <f>'Other Accts'!AX58</f>
        <v>22.680874999999993</v>
      </c>
      <c r="AY16" s="270">
        <f t="shared" si="32"/>
        <v>22.680874999999993</v>
      </c>
      <c r="AZ16" s="26">
        <f>'Other Accts'!AZ58</f>
        <v>21.972097656249993</v>
      </c>
      <c r="BA16" s="26">
        <f>'Other Accts'!BA58</f>
        <v>21.263320312499992</v>
      </c>
      <c r="BB16" s="26">
        <f>'Other Accts'!BB58</f>
        <v>20.554542968749992</v>
      </c>
      <c r="BC16" s="26">
        <f>'Other Accts'!BC58</f>
        <v>19.845765624999991</v>
      </c>
      <c r="BD16" s="270">
        <f t="shared" si="33"/>
        <v>19.845765624999991</v>
      </c>
      <c r="BE16" s="26">
        <f>'Other Accts'!BE58</f>
        <v>19.225585449218741</v>
      </c>
      <c r="BF16" s="26">
        <f>'Other Accts'!BF58</f>
        <v>18.605405273437491</v>
      </c>
      <c r="BG16" s="26">
        <f>'Other Accts'!BG58</f>
        <v>17.98522509765624</v>
      </c>
      <c r="BH16" s="26">
        <f>'Other Accts'!BH58</f>
        <v>17.36504492187499</v>
      </c>
      <c r="BI16" s="270">
        <f t="shared" si="34"/>
        <v>17.36504492187499</v>
      </c>
      <c r="BJ16" s="26">
        <f>'Other Accts'!BJ58</f>
        <v>16.822387268066397</v>
      </c>
      <c r="BK16" s="26">
        <f>'Other Accts'!BK58</f>
        <v>16.279729614257803</v>
      </c>
      <c r="BL16" s="26">
        <f>'Other Accts'!BL58</f>
        <v>15.73707196044921</v>
      </c>
      <c r="BM16" s="26">
        <f>'Other Accts'!BM58</f>
        <v>15.194414306640617</v>
      </c>
      <c r="BN16" s="270">
        <f t="shared" si="35"/>
        <v>15.194414306640617</v>
      </c>
      <c r="BO16" s="26">
        <f>'Other Accts'!BO58</f>
        <v>14.719588859558097</v>
      </c>
      <c r="BP16" s="26">
        <f>'Other Accts'!BP58</f>
        <v>14.244763412475578</v>
      </c>
      <c r="BQ16" s="26">
        <f>'Other Accts'!BQ58</f>
        <v>13.769937965393058</v>
      </c>
      <c r="BR16" s="26">
        <f>'Other Accts'!BR58</f>
        <v>13.295112518310539</v>
      </c>
      <c r="BS16" s="270">
        <f t="shared" si="36"/>
        <v>13.295112518310539</v>
      </c>
      <c r="BT16" s="26">
        <f>'Other Accts'!BT58</f>
        <v>12.879640252113335</v>
      </c>
      <c r="BU16" s="26">
        <f>'Other Accts'!BU58</f>
        <v>12.464167985916131</v>
      </c>
      <c r="BV16" s="26">
        <f>'Other Accts'!BV58</f>
        <v>12.048695719718927</v>
      </c>
      <c r="BW16" s="26">
        <f>'Other Accts'!BW58</f>
        <v>11.633223453521722</v>
      </c>
      <c r="BX16" s="270">
        <f t="shared" si="37"/>
        <v>11.633223453521722</v>
      </c>
      <c r="BY16" s="26">
        <f>'Other Accts'!BY58</f>
        <v>11.269685220599168</v>
      </c>
      <c r="BZ16" s="26">
        <f>'Other Accts'!BZ58</f>
        <v>10.906146987676614</v>
      </c>
      <c r="CA16" s="26">
        <f>'Other Accts'!CA58</f>
        <v>10.54260875475406</v>
      </c>
      <c r="CB16" s="26">
        <f>'Other Accts'!CB58</f>
        <v>10.179070521831505</v>
      </c>
      <c r="CC16" s="270">
        <f t="shared" si="38"/>
        <v>10.179070521831505</v>
      </c>
      <c r="CD16" s="26">
        <f>'Other Accts'!CD58</f>
        <v>9.8609745680242717</v>
      </c>
      <c r="CE16" s="26">
        <f>'Other Accts'!CE58</f>
        <v>9.5428786142170381</v>
      </c>
      <c r="CF16" s="26">
        <f>'Other Accts'!CF58</f>
        <v>9.2247826604098044</v>
      </c>
      <c r="CG16" s="26">
        <f>'Other Accts'!CG58</f>
        <v>8.9066867066025708</v>
      </c>
      <c r="CH16" s="270">
        <f t="shared" si="39"/>
        <v>8.9066867066025708</v>
      </c>
      <c r="CI16" s="26">
        <f>'Other Accts'!CI58</f>
        <v>8.6283527470212409</v>
      </c>
      <c r="CJ16" s="26">
        <f>'Other Accts'!CJ58</f>
        <v>8.350018787439911</v>
      </c>
      <c r="CK16" s="26">
        <f>'Other Accts'!CK58</f>
        <v>8.0716848278585811</v>
      </c>
      <c r="CL16" s="26">
        <f>'Other Accts'!CL58</f>
        <v>7.7933508682772512</v>
      </c>
      <c r="CM16" s="270">
        <f t="shared" si="40"/>
        <v>7.7933508682772512</v>
      </c>
    </row>
    <row r="17" spans="1:91" s="16" customFormat="1" ht="12.75" customHeight="1">
      <c r="A17" s="16" t="s">
        <v>31</v>
      </c>
      <c r="E17" s="26">
        <v>0</v>
      </c>
      <c r="F17" s="270">
        <f>E17</f>
        <v>0</v>
      </c>
      <c r="G17" s="26"/>
      <c r="H17" s="26"/>
      <c r="I17" s="26">
        <v>0</v>
      </c>
      <c r="J17" s="26">
        <v>0</v>
      </c>
      <c r="K17" s="270">
        <f>J17</f>
        <v>0</v>
      </c>
      <c r="L17" s="26">
        <v>0</v>
      </c>
      <c r="M17" s="26">
        <v>2.9350000000000001</v>
      </c>
      <c r="N17" s="26">
        <v>2.9279999999999999</v>
      </c>
      <c r="O17" s="26">
        <v>3.29</v>
      </c>
      <c r="P17" s="270">
        <f>O17</f>
        <v>3.29</v>
      </c>
      <c r="Q17" s="26">
        <v>3.29</v>
      </c>
      <c r="R17" s="26">
        <v>3.29</v>
      </c>
      <c r="S17" s="26">
        <v>3.29</v>
      </c>
      <c r="T17" s="26">
        <v>3.29</v>
      </c>
      <c r="U17" s="270">
        <f>T17</f>
        <v>3.29</v>
      </c>
      <c r="V17" s="26">
        <v>3.29</v>
      </c>
      <c r="W17" s="26">
        <v>3.29</v>
      </c>
      <c r="X17" s="26">
        <v>3.29</v>
      </c>
      <c r="Y17" s="26">
        <v>3.29</v>
      </c>
      <c r="Z17" s="270">
        <f>Y17</f>
        <v>3.29</v>
      </c>
      <c r="AA17" s="26">
        <v>3.29</v>
      </c>
      <c r="AB17" s="26">
        <v>3.29</v>
      </c>
      <c r="AC17" s="26">
        <v>3.29</v>
      </c>
      <c r="AD17" s="26">
        <v>3.29</v>
      </c>
      <c r="AE17" s="270">
        <f>AD17</f>
        <v>3.29</v>
      </c>
      <c r="AF17" s="26">
        <v>3.29</v>
      </c>
      <c r="AG17" s="26">
        <v>3.29</v>
      </c>
      <c r="AH17" s="26">
        <v>3.29</v>
      </c>
      <c r="AI17" s="26">
        <v>3.29</v>
      </c>
      <c r="AJ17" s="270">
        <f>AI17</f>
        <v>3.29</v>
      </c>
      <c r="AK17" s="26">
        <v>3.29</v>
      </c>
      <c r="AL17" s="26">
        <v>3.29</v>
      </c>
      <c r="AM17" s="26">
        <v>3.29</v>
      </c>
      <c r="AN17" s="26">
        <v>3.29</v>
      </c>
      <c r="AO17" s="270">
        <f t="shared" si="30"/>
        <v>3.29</v>
      </c>
      <c r="AP17" s="26">
        <v>3.29</v>
      </c>
      <c r="AQ17" s="26">
        <v>3.29</v>
      </c>
      <c r="AR17" s="26">
        <v>3.29</v>
      </c>
      <c r="AS17" s="26">
        <v>77.257000000000005</v>
      </c>
      <c r="AT17" s="270">
        <f t="shared" si="31"/>
        <v>77.257000000000005</v>
      </c>
      <c r="AU17" s="355">
        <f>'Other Accts'!AU65</f>
        <v>77.257000000000005</v>
      </c>
      <c r="AV17" s="26">
        <f>'Other Accts'!AV65</f>
        <v>77.257000000000005</v>
      </c>
      <c r="AW17" s="26">
        <f>'Other Accts'!AW65</f>
        <v>77.257000000000005</v>
      </c>
      <c r="AX17" s="26">
        <f>'Other Accts'!AX65</f>
        <v>77.257000000000005</v>
      </c>
      <c r="AY17" s="270">
        <f t="shared" si="32"/>
        <v>77.257000000000005</v>
      </c>
      <c r="AZ17" s="26">
        <f>'Other Accts'!AZ65</f>
        <v>77.257000000000005</v>
      </c>
      <c r="BA17" s="26">
        <f>'Other Accts'!BA65</f>
        <v>77.257000000000005</v>
      </c>
      <c r="BB17" s="26">
        <f>'Other Accts'!BB65</f>
        <v>77.257000000000005</v>
      </c>
      <c r="BC17" s="26">
        <f>'Other Accts'!BC65</f>
        <v>77.257000000000005</v>
      </c>
      <c r="BD17" s="270">
        <f t="shared" si="33"/>
        <v>77.257000000000005</v>
      </c>
      <c r="BE17" s="26">
        <f>'Other Accts'!BE65</f>
        <v>77.257000000000005</v>
      </c>
      <c r="BF17" s="26">
        <f>'Other Accts'!BF65</f>
        <v>77.257000000000005</v>
      </c>
      <c r="BG17" s="26">
        <f>'Other Accts'!BG65</f>
        <v>77.257000000000005</v>
      </c>
      <c r="BH17" s="26">
        <f>'Other Accts'!BH65</f>
        <v>77.257000000000005</v>
      </c>
      <c r="BI17" s="270">
        <f t="shared" si="34"/>
        <v>77.257000000000005</v>
      </c>
      <c r="BJ17" s="26">
        <f>'Other Accts'!BJ65</f>
        <v>77.257000000000005</v>
      </c>
      <c r="BK17" s="26">
        <f>'Other Accts'!BK65</f>
        <v>77.257000000000005</v>
      </c>
      <c r="BL17" s="26">
        <f>'Other Accts'!BL65</f>
        <v>77.257000000000005</v>
      </c>
      <c r="BM17" s="26">
        <f>'Other Accts'!BM65</f>
        <v>77.257000000000005</v>
      </c>
      <c r="BN17" s="270">
        <f t="shared" si="35"/>
        <v>77.257000000000005</v>
      </c>
      <c r="BO17" s="26">
        <f>'Other Accts'!BO65</f>
        <v>77.257000000000005</v>
      </c>
      <c r="BP17" s="26">
        <f>'Other Accts'!BP65</f>
        <v>77.257000000000005</v>
      </c>
      <c r="BQ17" s="26">
        <f>'Other Accts'!BQ65</f>
        <v>77.257000000000005</v>
      </c>
      <c r="BR17" s="26">
        <f>'Other Accts'!BR65</f>
        <v>77.257000000000005</v>
      </c>
      <c r="BS17" s="270">
        <f t="shared" si="36"/>
        <v>77.257000000000005</v>
      </c>
      <c r="BT17" s="26">
        <f>'Other Accts'!BT65</f>
        <v>77.257000000000005</v>
      </c>
      <c r="BU17" s="26">
        <f>'Other Accts'!BU65</f>
        <v>77.257000000000005</v>
      </c>
      <c r="BV17" s="26">
        <f>'Other Accts'!BV65</f>
        <v>77.257000000000005</v>
      </c>
      <c r="BW17" s="26">
        <f>'Other Accts'!BW65</f>
        <v>77.257000000000005</v>
      </c>
      <c r="BX17" s="270">
        <f t="shared" si="37"/>
        <v>77.257000000000005</v>
      </c>
      <c r="BY17" s="26">
        <f>'Other Accts'!BY65</f>
        <v>77.257000000000005</v>
      </c>
      <c r="BZ17" s="26">
        <f>'Other Accts'!BZ65</f>
        <v>77.257000000000005</v>
      </c>
      <c r="CA17" s="26">
        <f>'Other Accts'!CA65</f>
        <v>77.257000000000005</v>
      </c>
      <c r="CB17" s="26">
        <f>'Other Accts'!CB65</f>
        <v>77.257000000000005</v>
      </c>
      <c r="CC17" s="270">
        <f t="shared" si="38"/>
        <v>77.257000000000005</v>
      </c>
      <c r="CD17" s="26">
        <f>'Other Accts'!CD65</f>
        <v>77.257000000000005</v>
      </c>
      <c r="CE17" s="26">
        <f>'Other Accts'!CE65</f>
        <v>77.257000000000005</v>
      </c>
      <c r="CF17" s="26">
        <f>'Other Accts'!CF65</f>
        <v>77.257000000000005</v>
      </c>
      <c r="CG17" s="26">
        <f>'Other Accts'!CG65</f>
        <v>77.257000000000005</v>
      </c>
      <c r="CH17" s="270">
        <f t="shared" si="39"/>
        <v>77.257000000000005</v>
      </c>
      <c r="CI17" s="26">
        <f>'Other Accts'!CI65</f>
        <v>77.257000000000005</v>
      </c>
      <c r="CJ17" s="26">
        <f>'Other Accts'!CJ65</f>
        <v>77.257000000000005</v>
      </c>
      <c r="CK17" s="26">
        <f>'Other Accts'!CK65</f>
        <v>77.257000000000005</v>
      </c>
      <c r="CL17" s="26">
        <f>'Other Accts'!CL65</f>
        <v>77.257000000000005</v>
      </c>
      <c r="CM17" s="270">
        <f t="shared" si="40"/>
        <v>77.257000000000005</v>
      </c>
    </row>
    <row r="18" spans="1:91" s="16" customFormat="1" ht="12.75" customHeight="1">
      <c r="A18" s="16" t="s">
        <v>32</v>
      </c>
      <c r="E18" s="26">
        <f>73.254+8.739+1.974</f>
        <v>83.967000000000013</v>
      </c>
      <c r="F18" s="270">
        <f>E18</f>
        <v>83.967000000000013</v>
      </c>
      <c r="G18" s="26"/>
      <c r="H18" s="26"/>
      <c r="I18" s="26">
        <f>2.963+8.044+4.257+1.936</f>
        <v>17.200000000000003</v>
      </c>
      <c r="J18" s="26">
        <f>77.563+7.8+2.046</f>
        <v>87.409000000000006</v>
      </c>
      <c r="K18" s="270">
        <f>J18</f>
        <v>87.409000000000006</v>
      </c>
      <c r="L18" s="26">
        <f>25.916+7.557+2.862</f>
        <v>36.335000000000001</v>
      </c>
      <c r="M18" s="26">
        <f>7.313+1.235+3.159+277.301</f>
        <v>289.00799999999998</v>
      </c>
      <c r="N18" s="26">
        <f>302.624+7.133+3.073</f>
        <v>312.83</v>
      </c>
      <c r="O18" s="26">
        <f>29.14+6.89+4.882+268.783</f>
        <v>309.69499999999999</v>
      </c>
      <c r="P18" s="270">
        <f>O18</f>
        <v>309.69499999999999</v>
      </c>
      <c r="Q18" s="26">
        <f>238.206+30.132+0.06+4.721</f>
        <v>273.11899999999997</v>
      </c>
      <c r="R18" s="26">
        <f>146.118+38.503+0.055+5.124</f>
        <v>189.79999999999998</v>
      </c>
      <c r="S18" s="26">
        <f>51.398+36.103+0.05+5.453</f>
        <v>93.004000000000005</v>
      </c>
      <c r="T18" s="26">
        <f>246.597+37.343+0.045+17.208</f>
        <v>301.19299999999998</v>
      </c>
      <c r="U18" s="270">
        <f>T18</f>
        <v>301.19299999999998</v>
      </c>
      <c r="V18" s="26">
        <f>205.671+17.297</f>
        <v>222.96799999999999</v>
      </c>
      <c r="W18" s="26">
        <f>55.368+200.958+36.284</f>
        <v>292.61</v>
      </c>
      <c r="X18" s="26">
        <f>250.226+196.436+61.316</f>
        <v>507.97800000000007</v>
      </c>
      <c r="Y18" s="26">
        <f>698.034+189.443+60.938</f>
        <v>948.41499999999996</v>
      </c>
      <c r="Z18" s="270">
        <f>Y18</f>
        <v>948.41499999999996</v>
      </c>
      <c r="AA18" s="26">
        <f>588.453+188.607+70.919</f>
        <v>847.97899999999993</v>
      </c>
      <c r="AB18" s="26">
        <f>382.575+183.703+70.56</f>
        <v>636.83799999999997</v>
      </c>
      <c r="AC18" s="26">
        <f>156.741+178.747+51.728</f>
        <v>387.21600000000007</v>
      </c>
      <c r="AD18" s="26">
        <f>174.001+61.453</f>
        <v>235.45400000000001</v>
      </c>
      <c r="AE18" s="270">
        <f>AD18</f>
        <v>235.45400000000001</v>
      </c>
      <c r="AF18" s="26">
        <f>170.651+58.954</f>
        <v>229.60500000000002</v>
      </c>
      <c r="AG18" s="26">
        <f>165.273+107.697</f>
        <v>272.97000000000003</v>
      </c>
      <c r="AH18" s="26">
        <f>161.668+128.035</f>
        <v>289.70299999999997</v>
      </c>
      <c r="AI18" s="26">
        <f>157.616+124.334</f>
        <v>281.95000000000005</v>
      </c>
      <c r="AJ18" s="270">
        <f>AI18</f>
        <v>281.95000000000005</v>
      </c>
      <c r="AK18" s="26">
        <f>151.881+94.2</f>
        <v>246.08100000000002</v>
      </c>
      <c r="AL18" s="26">
        <f>146.111+29.906</f>
        <v>176.017</v>
      </c>
      <c r="AM18" s="26">
        <f>144.964+31.338</f>
        <v>176.30199999999999</v>
      </c>
      <c r="AN18" s="26">
        <f>104.215+142.265+37.152</f>
        <v>283.63200000000001</v>
      </c>
      <c r="AO18" s="270">
        <f t="shared" si="30"/>
        <v>283.63200000000001</v>
      </c>
      <c r="AP18" s="26">
        <f>32.555+105.281+140.5</f>
        <v>278.33600000000001</v>
      </c>
      <c r="AQ18" s="26">
        <f>169.768+37.167+106.337</f>
        <v>313.27199999999999</v>
      </c>
      <c r="AR18" s="26">
        <f>163.55+41.473+109.502</f>
        <v>314.52500000000003</v>
      </c>
      <c r="AS18" s="26">
        <f>111.214+158.849+28.457</f>
        <v>298.52</v>
      </c>
      <c r="AT18" s="270">
        <f t="shared" si="31"/>
        <v>298.52</v>
      </c>
      <c r="AU18" s="355">
        <f>AT18</f>
        <v>298.52</v>
      </c>
      <c r="AV18" s="26">
        <f t="shared" ref="AV18" si="41">AU18</f>
        <v>298.52</v>
      </c>
      <c r="AW18" s="26">
        <f t="shared" ref="AW18" si="42">AV18</f>
        <v>298.52</v>
      </c>
      <c r="AX18" s="26">
        <f t="shared" ref="AX18" si="43">AW18</f>
        <v>298.52</v>
      </c>
      <c r="AY18" s="270">
        <f t="shared" si="32"/>
        <v>298.52</v>
      </c>
      <c r="AZ18" s="26">
        <f>AY18</f>
        <v>298.52</v>
      </c>
      <c r="BA18" s="26">
        <f t="shared" ref="BA18" si="44">AZ18</f>
        <v>298.52</v>
      </c>
      <c r="BB18" s="26">
        <f t="shared" ref="BB18" si="45">BA18</f>
        <v>298.52</v>
      </c>
      <c r="BC18" s="26">
        <f t="shared" ref="BC18" si="46">BB18</f>
        <v>298.52</v>
      </c>
      <c r="BD18" s="270">
        <f t="shared" si="33"/>
        <v>298.52</v>
      </c>
      <c r="BE18" s="26">
        <f>BD18</f>
        <v>298.52</v>
      </c>
      <c r="BF18" s="26">
        <f t="shared" ref="BF18" si="47">BE18</f>
        <v>298.52</v>
      </c>
      <c r="BG18" s="26">
        <f t="shared" ref="BG18" si="48">BF18</f>
        <v>298.52</v>
      </c>
      <c r="BH18" s="26">
        <f t="shared" ref="BH18" si="49">BG18</f>
        <v>298.52</v>
      </c>
      <c r="BI18" s="270">
        <f t="shared" si="34"/>
        <v>298.52</v>
      </c>
      <c r="BJ18" s="26">
        <f>BI18</f>
        <v>298.52</v>
      </c>
      <c r="BK18" s="26">
        <f t="shared" ref="BK18" si="50">BJ18</f>
        <v>298.52</v>
      </c>
      <c r="BL18" s="26">
        <f t="shared" ref="BL18" si="51">BK18</f>
        <v>298.52</v>
      </c>
      <c r="BM18" s="26">
        <f t="shared" ref="BM18" si="52">BL18</f>
        <v>298.52</v>
      </c>
      <c r="BN18" s="270">
        <f t="shared" si="35"/>
        <v>298.52</v>
      </c>
      <c r="BO18" s="26">
        <f>BN18</f>
        <v>298.52</v>
      </c>
      <c r="BP18" s="26">
        <f t="shared" ref="BP18" si="53">BO18</f>
        <v>298.52</v>
      </c>
      <c r="BQ18" s="26">
        <f t="shared" ref="BQ18" si="54">BP18</f>
        <v>298.52</v>
      </c>
      <c r="BR18" s="26">
        <f t="shared" ref="BR18" si="55">BQ18</f>
        <v>298.52</v>
      </c>
      <c r="BS18" s="270">
        <f t="shared" si="36"/>
        <v>298.52</v>
      </c>
      <c r="BT18" s="26">
        <f>BS18</f>
        <v>298.52</v>
      </c>
      <c r="BU18" s="26">
        <f t="shared" ref="BU18" si="56">BT18</f>
        <v>298.52</v>
      </c>
      <c r="BV18" s="26">
        <f t="shared" ref="BV18" si="57">BU18</f>
        <v>298.52</v>
      </c>
      <c r="BW18" s="26">
        <f t="shared" ref="BW18" si="58">BV18</f>
        <v>298.52</v>
      </c>
      <c r="BX18" s="270">
        <f t="shared" si="37"/>
        <v>298.52</v>
      </c>
      <c r="BY18" s="26">
        <f>BX18</f>
        <v>298.52</v>
      </c>
      <c r="BZ18" s="26">
        <f t="shared" ref="BZ18" si="59">BY18</f>
        <v>298.52</v>
      </c>
      <c r="CA18" s="26">
        <f t="shared" ref="CA18" si="60">BZ18</f>
        <v>298.52</v>
      </c>
      <c r="CB18" s="26">
        <f t="shared" ref="CB18" si="61">CA18</f>
        <v>298.52</v>
      </c>
      <c r="CC18" s="270">
        <f t="shared" si="38"/>
        <v>298.52</v>
      </c>
      <c r="CD18" s="26">
        <f>CC18</f>
        <v>298.52</v>
      </c>
      <c r="CE18" s="26">
        <f t="shared" ref="CE18" si="62">CD18</f>
        <v>298.52</v>
      </c>
      <c r="CF18" s="26">
        <f t="shared" ref="CF18" si="63">CE18</f>
        <v>298.52</v>
      </c>
      <c r="CG18" s="26">
        <f t="shared" ref="CG18" si="64">CF18</f>
        <v>298.52</v>
      </c>
      <c r="CH18" s="270">
        <f t="shared" si="39"/>
        <v>298.52</v>
      </c>
      <c r="CI18" s="26">
        <f>CH18</f>
        <v>298.52</v>
      </c>
      <c r="CJ18" s="26">
        <f t="shared" ref="CJ18" si="65">CI18</f>
        <v>298.52</v>
      </c>
      <c r="CK18" s="26">
        <f t="shared" ref="CK18" si="66">CJ18</f>
        <v>298.52</v>
      </c>
      <c r="CL18" s="26">
        <f t="shared" ref="CL18" si="67">CK18</f>
        <v>298.52</v>
      </c>
      <c r="CM18" s="270">
        <f t="shared" si="40"/>
        <v>298.52</v>
      </c>
    </row>
    <row r="19" spans="1:91" s="15" customFormat="1" ht="12.75" customHeight="1">
      <c r="A19" s="15" t="s">
        <v>33</v>
      </c>
      <c r="E19" s="170">
        <f>SUM(E15:E18)</f>
        <v>100.00300000000001</v>
      </c>
      <c r="F19" s="253">
        <f>E19</f>
        <v>100.00300000000001</v>
      </c>
      <c r="G19" s="170"/>
      <c r="H19" s="170"/>
      <c r="I19" s="170">
        <f t="shared" ref="I19:AP19" si="68">+I15+I16+I17+I18</f>
        <v>47.518000000000001</v>
      </c>
      <c r="J19" s="170">
        <f t="shared" si="68"/>
        <v>118.41200000000001</v>
      </c>
      <c r="K19" s="253">
        <f t="shared" si="68"/>
        <v>118.41200000000001</v>
      </c>
      <c r="L19" s="170">
        <f t="shared" si="68"/>
        <v>66.915999999999997</v>
      </c>
      <c r="M19" s="170">
        <f t="shared" si="68"/>
        <v>335.74099999999999</v>
      </c>
      <c r="N19" s="170">
        <f t="shared" si="68"/>
        <v>365.27199999999999</v>
      </c>
      <c r="O19" s="170">
        <f t="shared" si="68"/>
        <v>365.17700000000002</v>
      </c>
      <c r="P19" s="253">
        <f t="shared" si="68"/>
        <v>365.17700000000002</v>
      </c>
      <c r="Q19" s="170">
        <f t="shared" si="68"/>
        <v>340.77499999999998</v>
      </c>
      <c r="R19" s="170">
        <f t="shared" si="68"/>
        <v>267.233</v>
      </c>
      <c r="S19" s="170">
        <f t="shared" si="68"/>
        <v>174.82100000000003</v>
      </c>
      <c r="T19" s="170">
        <f t="shared" si="68"/>
        <v>383.41999999999996</v>
      </c>
      <c r="U19" s="253">
        <f t="shared" si="68"/>
        <v>383.41999999999996</v>
      </c>
      <c r="V19" s="170">
        <f t="shared" si="68"/>
        <v>313.697</v>
      </c>
      <c r="W19" s="170">
        <f t="shared" si="68"/>
        <v>400.82600000000002</v>
      </c>
      <c r="X19" s="170">
        <f t="shared" si="68"/>
        <v>632.12200000000007</v>
      </c>
      <c r="Y19" s="170">
        <f t="shared" si="68"/>
        <v>1090.373</v>
      </c>
      <c r="Z19" s="253">
        <f t="shared" si="68"/>
        <v>1090.373</v>
      </c>
      <c r="AA19" s="170">
        <f t="shared" si="68"/>
        <v>1016.318</v>
      </c>
      <c r="AB19" s="170">
        <f t="shared" si="68"/>
        <v>816.59799999999996</v>
      </c>
      <c r="AC19" s="170">
        <f t="shared" si="68"/>
        <v>570.93000000000006</v>
      </c>
      <c r="AD19" s="170">
        <f t="shared" si="68"/>
        <v>418.39099999999996</v>
      </c>
      <c r="AE19" s="253">
        <f t="shared" si="68"/>
        <v>418.39099999999996</v>
      </c>
      <c r="AF19" s="170">
        <f t="shared" si="68"/>
        <v>407.17100000000005</v>
      </c>
      <c r="AG19" s="170">
        <f t="shared" si="68"/>
        <v>442.36200000000002</v>
      </c>
      <c r="AH19" s="170">
        <f t="shared" si="68"/>
        <v>450.33399999999995</v>
      </c>
      <c r="AI19" s="170">
        <f t="shared" si="68"/>
        <v>439.31500000000005</v>
      </c>
      <c r="AJ19" s="253">
        <f t="shared" si="68"/>
        <v>439.31500000000005</v>
      </c>
      <c r="AK19" s="170">
        <f t="shared" si="68"/>
        <v>396.05200000000002</v>
      </c>
      <c r="AL19" s="170">
        <f t="shared" si="68"/>
        <v>319.36599999999999</v>
      </c>
      <c r="AM19" s="170">
        <f t="shared" si="68"/>
        <v>312.01199999999994</v>
      </c>
      <c r="AN19" s="170">
        <f t="shared" si="68"/>
        <v>430.495</v>
      </c>
      <c r="AO19" s="253">
        <f t="shared" si="68"/>
        <v>430.495</v>
      </c>
      <c r="AP19" s="170">
        <f t="shared" si="68"/>
        <v>417.20000000000005</v>
      </c>
      <c r="AQ19" s="170">
        <f t="shared" ref="AQ19:CL19" si="69">+AQ15+AQ16+AQ17+AQ18</f>
        <v>448.56700000000001</v>
      </c>
      <c r="AR19" s="170">
        <f t="shared" ref="AR19:AS19" si="70">+AR15+AR16+AR17+AR18</f>
        <v>447.90100000000001</v>
      </c>
      <c r="AS19" s="170">
        <f t="shared" si="70"/>
        <v>547.61299999999994</v>
      </c>
      <c r="AT19" s="253">
        <f t="shared" si="69"/>
        <v>547.61299999999994</v>
      </c>
      <c r="AU19" s="356">
        <f t="shared" si="69"/>
        <v>545.77991319444436</v>
      </c>
      <c r="AV19" s="170">
        <f t="shared" si="69"/>
        <v>544.00366280864193</v>
      </c>
      <c r="AW19" s="170">
        <f t="shared" si="69"/>
        <v>542.28109126371737</v>
      </c>
      <c r="AX19" s="170">
        <f t="shared" si="69"/>
        <v>540.60921640184415</v>
      </c>
      <c r="AY19" s="253">
        <f t="shared" si="69"/>
        <v>540.60921640184415</v>
      </c>
      <c r="AZ19" s="170">
        <f t="shared" si="69"/>
        <v>541.44758675799176</v>
      </c>
      <c r="BA19" s="170">
        <f t="shared" si="69"/>
        <v>542.20000446414497</v>
      </c>
      <c r="BB19" s="170">
        <f t="shared" si="69"/>
        <v>542.87124466752584</v>
      </c>
      <c r="BC19" s="170">
        <f t="shared" si="69"/>
        <v>543.46581722939936</v>
      </c>
      <c r="BD19" s="253">
        <f t="shared" si="69"/>
        <v>543.46581722939936</v>
      </c>
      <c r="BE19" s="170">
        <f t="shared" si="69"/>
        <v>546.43768974226259</v>
      </c>
      <c r="BF19" s="170">
        <f t="shared" si="69"/>
        <v>549.21000377242342</v>
      </c>
      <c r="BG19" s="170">
        <f t="shared" si="69"/>
        <v>551.79384590225402</v>
      </c>
      <c r="BH19" s="170">
        <f t="shared" si="69"/>
        <v>554.19968679288399</v>
      </c>
      <c r="BI19" s="253">
        <f t="shared" si="69"/>
        <v>554.19968679288399</v>
      </c>
      <c r="BJ19" s="170">
        <f t="shared" si="69"/>
        <v>558.87604903513045</v>
      </c>
      <c r="BK19" s="170">
        <f t="shared" si="69"/>
        <v>563.26246572759601</v>
      </c>
      <c r="BL19" s="170">
        <f t="shared" si="69"/>
        <v>567.37504495637972</v>
      </c>
      <c r="BM19" s="170">
        <f t="shared" si="69"/>
        <v>571.22899991390841</v>
      </c>
      <c r="BN19" s="253">
        <f t="shared" si="69"/>
        <v>571.22899991390841</v>
      </c>
      <c r="BO19" s="170">
        <f t="shared" si="69"/>
        <v>576.08708637753318</v>
      </c>
      <c r="BP19" s="170">
        <f t="shared" si="69"/>
        <v>580.64889995722979</v>
      </c>
      <c r="BQ19" s="170">
        <f t="shared" si="69"/>
        <v>584.93090025766105</v>
      </c>
      <c r="BR19" s="170">
        <f t="shared" si="69"/>
        <v>588.94863246100795</v>
      </c>
      <c r="BS19" s="253">
        <f t="shared" si="69"/>
        <v>588.94863246100795</v>
      </c>
      <c r="BT19" s="170">
        <f t="shared" si="69"/>
        <v>593.95668686466092</v>
      </c>
      <c r="BU19" s="170">
        <f t="shared" si="69"/>
        <v>598.66343423109993</v>
      </c>
      <c r="BV19" s="170">
        <f t="shared" si="69"/>
        <v>603.08561384017037</v>
      </c>
      <c r="BW19" s="170">
        <f t="shared" si="69"/>
        <v>607.23903501172583</v>
      </c>
      <c r="BX19" s="253">
        <f t="shared" si="69"/>
        <v>607.23903501172583</v>
      </c>
      <c r="BY19" s="170">
        <f t="shared" si="69"/>
        <v>612.371118358903</v>
      </c>
      <c r="BZ19" s="170">
        <f t="shared" si="69"/>
        <v>617.19788939607474</v>
      </c>
      <c r="CA19" s="170">
        <f t="shared" si="69"/>
        <v>621.7363099182412</v>
      </c>
      <c r="CB19" s="170">
        <f t="shared" si="69"/>
        <v>626.00239939845824</v>
      </c>
      <c r="CC19" s="253">
        <f t="shared" si="69"/>
        <v>626.00239939845824</v>
      </c>
      <c r="CD19" s="170">
        <f t="shared" si="69"/>
        <v>631.23728517372729</v>
      </c>
      <c r="CE19" s="170">
        <f t="shared" si="69"/>
        <v>636.16367196404758</v>
      </c>
      <c r="CF19" s="170">
        <f t="shared" si="69"/>
        <v>640.79869860191661</v>
      </c>
      <c r="CG19" s="170">
        <f t="shared" si="69"/>
        <v>645.1585517624701</v>
      </c>
      <c r="CH19" s="253">
        <f t="shared" si="69"/>
        <v>645.1585517624701</v>
      </c>
      <c r="CI19" s="170">
        <f t="shared" si="69"/>
        <v>650.47883641089606</v>
      </c>
      <c r="CJ19" s="170">
        <f t="shared" si="69"/>
        <v>655.48808669221057</v>
      </c>
      <c r="CK19" s="170">
        <f t="shared" si="69"/>
        <v>660.20358229347539</v>
      </c>
      <c r="CL19" s="170">
        <f t="shared" si="69"/>
        <v>664.64164291913744</v>
      </c>
      <c r="CM19" s="253">
        <f t="shared" si="40"/>
        <v>664.64164291913744</v>
      </c>
    </row>
    <row r="20" spans="1:91" s="16" customFormat="1" ht="12.75" customHeight="1">
      <c r="E20" s="26"/>
      <c r="F20" s="270"/>
      <c r="G20" s="26"/>
      <c r="H20" s="26"/>
      <c r="I20" s="26"/>
      <c r="J20" s="26"/>
      <c r="K20" s="270"/>
      <c r="L20" s="26"/>
      <c r="M20" s="26"/>
      <c r="N20" s="26"/>
      <c r="O20" s="26"/>
      <c r="P20" s="270"/>
      <c r="Q20" s="26"/>
      <c r="R20" s="26"/>
      <c r="S20" s="26"/>
      <c r="T20" s="26"/>
      <c r="U20" s="270"/>
      <c r="V20" s="26"/>
      <c r="W20" s="26"/>
      <c r="X20" s="26"/>
      <c r="Y20" s="26"/>
      <c r="Z20" s="270"/>
      <c r="AA20" s="26"/>
      <c r="AB20" s="26"/>
      <c r="AC20" s="26"/>
      <c r="AD20" s="26"/>
      <c r="AE20" s="270"/>
      <c r="AF20" s="26"/>
      <c r="AG20" s="26"/>
      <c r="AH20" s="26"/>
      <c r="AI20" s="26"/>
      <c r="AJ20" s="270"/>
      <c r="AK20" s="26"/>
      <c r="AL20" s="26"/>
      <c r="AM20" s="26"/>
      <c r="AN20" s="26"/>
      <c r="AO20" s="270"/>
      <c r="AP20" s="26"/>
      <c r="AQ20" s="26"/>
      <c r="AR20" s="26"/>
      <c r="AS20" s="26"/>
      <c r="AT20" s="270"/>
      <c r="AU20" s="355"/>
      <c r="AV20" s="26"/>
      <c r="AW20" s="26"/>
      <c r="AX20" s="26"/>
      <c r="AY20" s="270"/>
      <c r="AZ20" s="26"/>
      <c r="BA20" s="26"/>
      <c r="BB20" s="26"/>
      <c r="BC20" s="26"/>
      <c r="BD20" s="270"/>
      <c r="BE20" s="26"/>
      <c r="BF20" s="26"/>
      <c r="BG20" s="26"/>
      <c r="BH20" s="26"/>
      <c r="BI20" s="270"/>
      <c r="BJ20" s="26"/>
      <c r="BK20" s="26"/>
      <c r="BL20" s="26"/>
      <c r="BM20" s="26"/>
      <c r="BN20" s="270"/>
      <c r="BO20" s="26"/>
      <c r="BP20" s="26"/>
      <c r="BQ20" s="26"/>
      <c r="BR20" s="26"/>
      <c r="BS20" s="270"/>
      <c r="BT20" s="26"/>
      <c r="BU20" s="26"/>
      <c r="BV20" s="26"/>
      <c r="BW20" s="26"/>
      <c r="BX20" s="270"/>
      <c r="BY20" s="26"/>
      <c r="BZ20" s="26"/>
      <c r="CA20" s="26"/>
      <c r="CB20" s="26"/>
      <c r="CC20" s="270"/>
      <c r="CD20" s="26"/>
      <c r="CE20" s="26"/>
      <c r="CF20" s="26"/>
      <c r="CG20" s="26"/>
      <c r="CH20" s="270"/>
      <c r="CI20" s="26"/>
      <c r="CJ20" s="26"/>
      <c r="CK20" s="26"/>
      <c r="CL20" s="26"/>
      <c r="CM20" s="270"/>
    </row>
    <row r="21" spans="1:91" s="15" customFormat="1" ht="12.75" customHeight="1">
      <c r="A21" s="15" t="s">
        <v>34</v>
      </c>
      <c r="E21" s="170">
        <f>E13+E19</f>
        <v>342.93799999999999</v>
      </c>
      <c r="F21" s="253">
        <f>E21</f>
        <v>342.93799999999999</v>
      </c>
      <c r="G21" s="170"/>
      <c r="H21" s="170"/>
      <c r="I21" s="170">
        <f>I13+I19</f>
        <v>344.59899999999993</v>
      </c>
      <c r="J21" s="170">
        <f>J13+J19</f>
        <v>587.40300000000002</v>
      </c>
      <c r="K21" s="253">
        <f>J21</f>
        <v>587.40300000000002</v>
      </c>
      <c r="L21" s="170">
        <f>L13+L19</f>
        <v>579.17100000000005</v>
      </c>
      <c r="M21" s="170">
        <f>M13+M19</f>
        <v>939.98900000000003</v>
      </c>
      <c r="N21" s="170">
        <f>N13+N19</f>
        <v>948.33399999999983</v>
      </c>
      <c r="O21" s="170">
        <f>O13+O19</f>
        <v>962.53500000000008</v>
      </c>
      <c r="P21" s="253">
        <f>O21</f>
        <v>962.53500000000008</v>
      </c>
      <c r="Q21" s="170">
        <f>Q13+Q19</f>
        <v>948.16700000000003</v>
      </c>
      <c r="R21" s="170">
        <f>R13+R19</f>
        <v>1277.5360000000001</v>
      </c>
      <c r="S21" s="170">
        <f>S13+S19</f>
        <v>1262.1089999999999</v>
      </c>
      <c r="T21" s="170">
        <f>T13+T19</f>
        <v>2271.7809999999999</v>
      </c>
      <c r="U21" s="253">
        <f>T21</f>
        <v>2271.7809999999999</v>
      </c>
      <c r="V21" s="170">
        <f t="shared" ref="V21:AI21" si="71">V13+V19</f>
        <v>2346.741</v>
      </c>
      <c r="W21" s="170">
        <f t="shared" si="71"/>
        <v>2291.8850000000002</v>
      </c>
      <c r="X21" s="170">
        <f t="shared" si="71"/>
        <v>2225.5340000000001</v>
      </c>
      <c r="Y21" s="170">
        <f t="shared" si="71"/>
        <v>2204.4989999999998</v>
      </c>
      <c r="Z21" s="253">
        <f t="shared" si="71"/>
        <v>2204.4989999999998</v>
      </c>
      <c r="AA21" s="170">
        <f t="shared" si="71"/>
        <v>2129.598</v>
      </c>
      <c r="AB21" s="170">
        <f t="shared" si="71"/>
        <v>1853.7369999999999</v>
      </c>
      <c r="AC21" s="170">
        <f t="shared" si="71"/>
        <v>1701.7790000000002</v>
      </c>
      <c r="AD21" s="170">
        <f t="shared" si="71"/>
        <v>1609.9850000000001</v>
      </c>
      <c r="AE21" s="253">
        <f t="shared" si="71"/>
        <v>1609.9850000000001</v>
      </c>
      <c r="AF21" s="170">
        <f t="shared" si="71"/>
        <v>1511.6309999999999</v>
      </c>
      <c r="AG21" s="170">
        <f t="shared" si="71"/>
        <v>1840.0170000000001</v>
      </c>
      <c r="AH21" s="170">
        <f t="shared" si="71"/>
        <v>1797.2309999999998</v>
      </c>
      <c r="AI21" s="170">
        <f t="shared" si="71"/>
        <v>1786.421</v>
      </c>
      <c r="AJ21" s="253">
        <f>AI21</f>
        <v>1786.421</v>
      </c>
      <c r="AK21" s="170">
        <f>AK13+AK19</f>
        <v>1704.598</v>
      </c>
      <c r="AL21" s="170">
        <f>AL13+AL19</f>
        <v>1609.34</v>
      </c>
      <c r="AM21" s="170">
        <f>AM13+AM19</f>
        <v>1538.7270000000001</v>
      </c>
      <c r="AN21" s="170">
        <f>AN13+AN19</f>
        <v>1485.6089999999999</v>
      </c>
      <c r="AO21" s="253">
        <f>AN21</f>
        <v>1485.6089999999999</v>
      </c>
      <c r="AP21" s="170">
        <f>AP13+AP19</f>
        <v>1344.2260000000001</v>
      </c>
      <c r="AQ21" s="170">
        <f>AQ13+AQ19</f>
        <v>1331.999</v>
      </c>
      <c r="AR21" s="170">
        <f>AR13+AR19</f>
        <v>1276.7860000000001</v>
      </c>
      <c r="AS21" s="170">
        <f>AS13+AS19</f>
        <v>2013.6589999999997</v>
      </c>
      <c r="AT21" s="253">
        <f>AS21</f>
        <v>2013.6589999999997</v>
      </c>
      <c r="AU21" s="356">
        <f>AU13+AU19</f>
        <v>1939.7132556701258</v>
      </c>
      <c r="AV21" s="170">
        <f>AV13+AV19</f>
        <v>1883.7986054824569</v>
      </c>
      <c r="AW21" s="170">
        <f>AW13+AW19</f>
        <v>1864.480007048812</v>
      </c>
      <c r="AX21" s="170">
        <f>AX13+AX19</f>
        <v>1867.8834968559293</v>
      </c>
      <c r="AY21" s="253">
        <f>AX21</f>
        <v>1867.8834968559293</v>
      </c>
      <c r="AZ21" s="170">
        <f>AZ13+AZ19</f>
        <v>1850.5163170324417</v>
      </c>
      <c r="BA21" s="170">
        <f>BA13+BA19</f>
        <v>1840.3312296953691</v>
      </c>
      <c r="BB21" s="170">
        <f>BB13+BB19</f>
        <v>1872.5543517752528</v>
      </c>
      <c r="BC21" s="170">
        <f>BC13+BC19</f>
        <v>1456.1339540550762</v>
      </c>
      <c r="BD21" s="253">
        <f>BC21</f>
        <v>1456.1339540550762</v>
      </c>
      <c r="BE21" s="170">
        <f>BE13+BE19</f>
        <v>1500.8871586952623</v>
      </c>
      <c r="BF21" s="170">
        <f>BF13+BF19</f>
        <v>1534.2974975547327</v>
      </c>
      <c r="BG21" s="170">
        <f>BG13+BG19</f>
        <v>1631.5385599577021</v>
      </c>
      <c r="BH21" s="170">
        <f>BH13+BH19</f>
        <v>1784.0195950003983</v>
      </c>
      <c r="BI21" s="253">
        <f>BH21</f>
        <v>1784.0195950003983</v>
      </c>
      <c r="BJ21" s="170">
        <f>BJ13+BJ19</f>
        <v>1907.8364561382964</v>
      </c>
      <c r="BK21" s="170">
        <f>BK13+BK19</f>
        <v>1978.5962716669824</v>
      </c>
      <c r="BL21" s="170">
        <f>BL13+BL19</f>
        <v>2131.9553472657008</v>
      </c>
      <c r="BM21" s="170">
        <f>BM13+BM19</f>
        <v>2347.7029107899348</v>
      </c>
      <c r="BN21" s="253">
        <f>BM21</f>
        <v>2347.7029107899348</v>
      </c>
      <c r="BO21" s="170">
        <f>BO13+BO19</f>
        <v>2525.7287677050699</v>
      </c>
      <c r="BP21" s="170">
        <f>BP13+BP19</f>
        <v>2650.8664705153742</v>
      </c>
      <c r="BQ21" s="170">
        <f>BQ13+BQ19</f>
        <v>2867.1552164190316</v>
      </c>
      <c r="BR21" s="170">
        <f>BR13+BR19</f>
        <v>3158.9908557503022</v>
      </c>
      <c r="BS21" s="253">
        <f>BR21</f>
        <v>3158.9908557503022</v>
      </c>
      <c r="BT21" s="170">
        <f>BT13+BT19</f>
        <v>2784.724735495236</v>
      </c>
      <c r="BU21" s="170">
        <f>BU13+BU19</f>
        <v>2942.9848683748719</v>
      </c>
      <c r="BV21" s="170">
        <f>BV13+BV19</f>
        <v>3203.9711488712314</v>
      </c>
      <c r="BW21" s="170">
        <f>BW13+BW19</f>
        <v>3546.5544659477318</v>
      </c>
      <c r="BX21" s="253">
        <f>BW21</f>
        <v>3546.5544659477318</v>
      </c>
      <c r="BY21" s="170">
        <f>BY13+BY19</f>
        <v>3837.6081292723743</v>
      </c>
      <c r="BZ21" s="170">
        <f>BZ13+BZ19</f>
        <v>4023.0765931313117</v>
      </c>
      <c r="CA21" s="170">
        <f>CA13+CA19</f>
        <v>4324.1014561383927</v>
      </c>
      <c r="CB21" s="170">
        <f>CB13+CB19</f>
        <v>4711.1480805390202</v>
      </c>
      <c r="CC21" s="253">
        <f>CB21</f>
        <v>4711.1480805390202</v>
      </c>
      <c r="CD21" s="170">
        <f>CD13+CD19</f>
        <v>5043.4798869377573</v>
      </c>
      <c r="CE21" s="170">
        <f>CE13+CE19</f>
        <v>4878.0537870425551</v>
      </c>
      <c r="CF21" s="170">
        <f>CF13+CF19</f>
        <v>5216.5473287081495</v>
      </c>
      <c r="CG21" s="170">
        <f>CG13+CG19</f>
        <v>5644.3371920003055</v>
      </c>
      <c r="CH21" s="253">
        <f>CG21</f>
        <v>5644.3371920003055</v>
      </c>
      <c r="CI21" s="170">
        <f>CI13+CI19</f>
        <v>6009.0113646447871</v>
      </c>
      <c r="CJ21" s="170">
        <f>CJ13+CJ19</f>
        <v>6254.1942319947702</v>
      </c>
      <c r="CK21" s="170">
        <f>CK13+CK19</f>
        <v>6620.3911114126058</v>
      </c>
      <c r="CL21" s="170">
        <f>CL13+CL19</f>
        <v>7075.9280279938948</v>
      </c>
      <c r="CM21" s="253">
        <f>CL21</f>
        <v>7075.9280279938948</v>
      </c>
    </row>
    <row r="22" spans="1:91" s="16" customFormat="1" ht="12.75" customHeight="1">
      <c r="E22" s="26"/>
      <c r="F22" s="270"/>
      <c r="G22" s="26"/>
      <c r="H22" s="26"/>
      <c r="I22" s="26"/>
      <c r="J22" s="26"/>
      <c r="K22" s="270"/>
      <c r="L22" s="26"/>
      <c r="M22" s="26"/>
      <c r="N22" s="26"/>
      <c r="O22" s="26"/>
      <c r="P22" s="270"/>
      <c r="Q22" s="26"/>
      <c r="R22" s="26"/>
      <c r="S22" s="26"/>
      <c r="T22" s="26"/>
      <c r="U22" s="270"/>
      <c r="V22" s="26"/>
      <c r="W22" s="26"/>
      <c r="X22" s="26"/>
      <c r="Y22" s="26"/>
      <c r="Z22" s="270"/>
      <c r="AA22" s="26"/>
      <c r="AB22" s="26"/>
      <c r="AC22" s="26"/>
      <c r="AD22" s="26"/>
      <c r="AE22" s="270"/>
      <c r="AF22" s="26"/>
      <c r="AG22" s="26"/>
      <c r="AH22" s="26"/>
      <c r="AI22" s="26"/>
      <c r="AJ22" s="270"/>
      <c r="AK22" s="26"/>
      <c r="AL22" s="26"/>
      <c r="AM22" s="26"/>
      <c r="AN22" s="26"/>
      <c r="AO22" s="270"/>
      <c r="AP22" s="26"/>
      <c r="AQ22" s="26"/>
      <c r="AR22" s="26"/>
      <c r="AS22" s="26"/>
      <c r="AT22" s="270"/>
      <c r="AU22" s="355"/>
      <c r="AV22" s="26"/>
      <c r="AW22" s="26"/>
      <c r="AX22" s="26"/>
      <c r="AY22" s="270"/>
      <c r="AZ22" s="26"/>
      <c r="BA22" s="26"/>
      <c r="BB22" s="26"/>
      <c r="BC22" s="26"/>
      <c r="BD22" s="270"/>
      <c r="BE22" s="26"/>
      <c r="BF22" s="26"/>
      <c r="BG22" s="26"/>
      <c r="BH22" s="26"/>
      <c r="BI22" s="270"/>
      <c r="BJ22" s="26"/>
      <c r="BK22" s="26"/>
      <c r="BL22" s="26"/>
      <c r="BM22" s="26"/>
      <c r="BN22" s="270"/>
      <c r="BO22" s="26"/>
      <c r="BP22" s="26"/>
      <c r="BQ22" s="26"/>
      <c r="BR22" s="26"/>
      <c r="BS22" s="270"/>
      <c r="BT22" s="26"/>
      <c r="BU22" s="26"/>
      <c r="BV22" s="26"/>
      <c r="BW22" s="26"/>
      <c r="BX22" s="270"/>
      <c r="BY22" s="26"/>
      <c r="BZ22" s="26"/>
      <c r="CA22" s="26"/>
      <c r="CB22" s="26"/>
      <c r="CC22" s="270"/>
      <c r="CD22" s="26"/>
      <c r="CE22" s="26"/>
      <c r="CF22" s="26"/>
      <c r="CG22" s="26"/>
      <c r="CH22" s="270"/>
      <c r="CI22" s="26"/>
      <c r="CJ22" s="26"/>
      <c r="CK22" s="26"/>
      <c r="CL22" s="26"/>
      <c r="CM22" s="270"/>
    </row>
    <row r="23" spans="1:91" s="16" customFormat="1" ht="12.75" customHeight="1">
      <c r="A23" s="15" t="s">
        <v>35</v>
      </c>
      <c r="E23" s="26"/>
      <c r="F23" s="270"/>
      <c r="G23" s="26"/>
      <c r="H23" s="26"/>
      <c r="I23" s="26"/>
      <c r="J23" s="26"/>
      <c r="K23" s="270"/>
      <c r="L23" s="26"/>
      <c r="M23" s="26"/>
      <c r="N23" s="26"/>
      <c r="O23" s="26"/>
      <c r="P23" s="270"/>
      <c r="Q23" s="26"/>
      <c r="R23" s="26"/>
      <c r="S23" s="26"/>
      <c r="T23" s="26"/>
      <c r="U23" s="270"/>
      <c r="V23" s="26"/>
      <c r="W23" s="26"/>
      <c r="X23" s="26"/>
      <c r="Y23" s="26"/>
      <c r="Z23" s="270"/>
      <c r="AA23" s="26"/>
      <c r="AB23" s="26"/>
      <c r="AC23" s="26"/>
      <c r="AD23" s="26"/>
      <c r="AE23" s="270"/>
      <c r="AF23" s="26"/>
      <c r="AG23" s="26"/>
      <c r="AH23" s="26"/>
      <c r="AI23" s="26"/>
      <c r="AJ23" s="270"/>
      <c r="AK23" s="26"/>
      <c r="AL23" s="26"/>
      <c r="AM23" s="26"/>
      <c r="AN23" s="26"/>
      <c r="AO23" s="270"/>
      <c r="AP23" s="26"/>
      <c r="AQ23" s="26"/>
      <c r="AR23" s="26"/>
      <c r="AS23" s="26"/>
      <c r="AT23" s="270"/>
      <c r="AU23" s="355"/>
      <c r="AV23" s="26"/>
      <c r="AW23" s="26"/>
      <c r="AX23" s="26"/>
      <c r="AY23" s="270"/>
      <c r="AZ23" s="26"/>
      <c r="BA23" s="26"/>
      <c r="BB23" s="26"/>
      <c r="BC23" s="26"/>
      <c r="BD23" s="270"/>
      <c r="BE23" s="26"/>
      <c r="BF23" s="26"/>
      <c r="BG23" s="26"/>
      <c r="BH23" s="26"/>
      <c r="BI23" s="270"/>
      <c r="BJ23" s="26"/>
      <c r="BK23" s="26"/>
      <c r="BL23" s="26"/>
      <c r="BM23" s="26"/>
      <c r="BN23" s="270"/>
      <c r="BO23" s="26"/>
      <c r="BP23" s="26"/>
      <c r="BQ23" s="26"/>
      <c r="BR23" s="26"/>
      <c r="BS23" s="270"/>
      <c r="BT23" s="26"/>
      <c r="BU23" s="26"/>
      <c r="BV23" s="26"/>
      <c r="BW23" s="26"/>
      <c r="BX23" s="270"/>
      <c r="BY23" s="26"/>
      <c r="BZ23" s="26"/>
      <c r="CA23" s="26"/>
      <c r="CB23" s="26"/>
      <c r="CC23" s="270"/>
      <c r="CD23" s="26"/>
      <c r="CE23" s="26"/>
      <c r="CF23" s="26"/>
      <c r="CG23" s="26"/>
      <c r="CH23" s="270"/>
      <c r="CI23" s="26"/>
      <c r="CJ23" s="26"/>
      <c r="CK23" s="26"/>
      <c r="CL23" s="26"/>
      <c r="CM23" s="270"/>
    </row>
    <row r="24" spans="1:91" s="16" customFormat="1" ht="12.75" customHeight="1">
      <c r="A24" s="16" t="s">
        <v>36</v>
      </c>
      <c r="E24" s="26"/>
      <c r="F24" s="270"/>
      <c r="G24" s="26"/>
      <c r="H24" s="26"/>
      <c r="I24" s="26"/>
      <c r="J24" s="26"/>
      <c r="K24" s="270"/>
      <c r="L24" s="26"/>
      <c r="M24" s="26"/>
      <c r="N24" s="26"/>
      <c r="O24" s="26"/>
      <c r="P24" s="270"/>
      <c r="Q24" s="26"/>
      <c r="R24" s="26"/>
      <c r="S24" s="26"/>
      <c r="T24" s="26"/>
      <c r="U24" s="270"/>
      <c r="V24" s="26"/>
      <c r="W24" s="26"/>
      <c r="X24" s="26"/>
      <c r="Y24" s="26"/>
      <c r="Z24" s="270"/>
      <c r="AA24" s="26"/>
      <c r="AB24" s="26"/>
      <c r="AC24" s="26"/>
      <c r="AD24" s="26"/>
      <c r="AE24" s="270"/>
      <c r="AF24" s="26"/>
      <c r="AG24" s="26"/>
      <c r="AH24" s="26"/>
      <c r="AI24" s="26"/>
      <c r="AJ24" s="270"/>
      <c r="AK24" s="26"/>
      <c r="AL24" s="26"/>
      <c r="AM24" s="26"/>
      <c r="AN24" s="26"/>
      <c r="AO24" s="270"/>
      <c r="AP24" s="26"/>
      <c r="AQ24" s="26"/>
      <c r="AR24" s="26"/>
      <c r="AS24" s="26"/>
      <c r="AT24" s="270"/>
      <c r="AU24" s="355"/>
      <c r="AV24" s="26"/>
      <c r="AW24" s="26"/>
      <c r="AX24" s="26"/>
      <c r="AY24" s="270"/>
      <c r="AZ24" s="26"/>
      <c r="BA24" s="26"/>
      <c r="BB24" s="26"/>
      <c r="BC24" s="26"/>
      <c r="BD24" s="270"/>
      <c r="BE24" s="26"/>
      <c r="BF24" s="26"/>
      <c r="BG24" s="26"/>
      <c r="BH24" s="26"/>
      <c r="BI24" s="270"/>
      <c r="BJ24" s="26"/>
      <c r="BK24" s="26"/>
      <c r="BL24" s="26"/>
      <c r="BM24" s="26"/>
      <c r="BN24" s="270"/>
      <c r="BO24" s="26"/>
      <c r="BP24" s="26"/>
      <c r="BQ24" s="26"/>
      <c r="BR24" s="26"/>
      <c r="BS24" s="270"/>
      <c r="BT24" s="26"/>
      <c r="BU24" s="26"/>
      <c r="BV24" s="26"/>
      <c r="BW24" s="26"/>
      <c r="BX24" s="270"/>
      <c r="BY24" s="26"/>
      <c r="BZ24" s="26"/>
      <c r="CA24" s="26"/>
      <c r="CB24" s="26"/>
      <c r="CC24" s="270"/>
      <c r="CD24" s="26"/>
      <c r="CE24" s="26"/>
      <c r="CF24" s="26"/>
      <c r="CG24" s="26"/>
      <c r="CH24" s="270"/>
      <c r="CI24" s="26"/>
      <c r="CJ24" s="26"/>
      <c r="CK24" s="26"/>
      <c r="CL24" s="26"/>
      <c r="CM24" s="270"/>
    </row>
    <row r="25" spans="1:91" s="16" customFormat="1" ht="12.75" customHeight="1">
      <c r="A25" s="16" t="s">
        <v>37</v>
      </c>
      <c r="E25" s="26">
        <v>4.9980000000000002</v>
      </c>
      <c r="F25" s="270">
        <f t="shared" ref="F25:F30" si="72">E25</f>
        <v>4.9980000000000002</v>
      </c>
      <c r="G25" s="26"/>
      <c r="H25" s="26"/>
      <c r="I25" s="26">
        <v>13.081</v>
      </c>
      <c r="J25" s="26">
        <v>10.641999999999999</v>
      </c>
      <c r="K25" s="270">
        <f t="shared" ref="K25:K30" si="73">J25</f>
        <v>10.641999999999999</v>
      </c>
      <c r="L25" s="26">
        <v>7.1630000000000003</v>
      </c>
      <c r="M25" s="26">
        <v>15.7</v>
      </c>
      <c r="N25" s="26">
        <v>12.054</v>
      </c>
      <c r="O25" s="26">
        <v>16.196999999999999</v>
      </c>
      <c r="P25" s="270">
        <f t="shared" ref="P25:P30" si="74">O25</f>
        <v>16.196999999999999</v>
      </c>
      <c r="Q25" s="26">
        <v>24.378</v>
      </c>
      <c r="R25" s="26">
        <v>15.981999999999999</v>
      </c>
      <c r="S25" s="26">
        <v>18.280999999999999</v>
      </c>
      <c r="T25" s="26">
        <v>7.34</v>
      </c>
      <c r="U25" s="270">
        <f t="shared" ref="U25:U30" si="75">T25</f>
        <v>7.34</v>
      </c>
      <c r="V25" s="26">
        <v>22.318000000000001</v>
      </c>
      <c r="W25" s="26">
        <v>21.399000000000001</v>
      </c>
      <c r="X25" s="26">
        <v>15.673999999999999</v>
      </c>
      <c r="Y25" s="26">
        <v>17.579999999999998</v>
      </c>
      <c r="Z25" s="270">
        <f t="shared" ref="Z25:Z30" si="76">Y25</f>
        <v>17.579999999999998</v>
      </c>
      <c r="AA25" s="26">
        <v>32.229999999999997</v>
      </c>
      <c r="AB25" s="26">
        <v>36.970999999999997</v>
      </c>
      <c r="AC25" s="26">
        <v>40.911000000000001</v>
      </c>
      <c r="AD25" s="26">
        <v>0</v>
      </c>
      <c r="AE25" s="270">
        <f>AD25</f>
        <v>0</v>
      </c>
      <c r="AF25" s="26">
        <v>0</v>
      </c>
      <c r="AG25" s="26">
        <v>0</v>
      </c>
      <c r="AH25" s="26">
        <v>0</v>
      </c>
      <c r="AI25" s="26">
        <v>0</v>
      </c>
      <c r="AJ25" s="270">
        <f t="shared" ref="AJ25:AJ30" si="77">AI25</f>
        <v>0</v>
      </c>
      <c r="AK25" s="26">
        <v>37.603000000000002</v>
      </c>
      <c r="AL25" s="26">
        <v>42.447000000000003</v>
      </c>
      <c r="AM25" s="26">
        <v>15.473000000000001</v>
      </c>
      <c r="AN25" s="26">
        <v>38.551000000000002</v>
      </c>
      <c r="AO25" s="270">
        <f t="shared" ref="AO25:AO30" si="78">AN25</f>
        <v>38.551000000000002</v>
      </c>
      <c r="AP25" s="26">
        <v>49.77</v>
      </c>
      <c r="AQ25" s="26">
        <v>44.802</v>
      </c>
      <c r="AR25" s="26">
        <v>20.141999999999999</v>
      </c>
      <c r="AS25" s="26">
        <v>54.442</v>
      </c>
      <c r="AT25" s="270">
        <f t="shared" ref="AT25:AT30" si="79">AS25</f>
        <v>54.442</v>
      </c>
      <c r="AU25" s="355">
        <f>AU78*AU67/365</f>
        <v>59.281209578023145</v>
      </c>
      <c r="AV25" s="26">
        <f>AV78*AV67/365</f>
        <v>27.303574750257667</v>
      </c>
      <c r="AW25" s="26">
        <f>AW78*AW67/365</f>
        <v>29.307885367098514</v>
      </c>
      <c r="AX25" s="26">
        <f>AX78*AX67/365</f>
        <v>74.20675219966104</v>
      </c>
      <c r="AY25" s="270">
        <f t="shared" ref="AY25:AY30" si="80">AX25</f>
        <v>74.20675219966104</v>
      </c>
      <c r="AZ25" s="26">
        <f>AZ78*AZ67/365</f>
        <v>81.517178894993535</v>
      </c>
      <c r="BA25" s="26">
        <f>BA78*BA67/365</f>
        <v>37.740517241105046</v>
      </c>
      <c r="BB25" s="26">
        <f>BB78*BB67/365</f>
        <v>40.654454808536428</v>
      </c>
      <c r="BC25" s="26">
        <f>BC78*BC67/365</f>
        <v>103.14317221973964</v>
      </c>
      <c r="BD25" s="270">
        <f t="shared" ref="BD25:BD30" si="81">BC25</f>
        <v>103.14317221973964</v>
      </c>
      <c r="BE25" s="26">
        <f>BE78*BE67/365</f>
        <v>110.63872199197414</v>
      </c>
      <c r="BF25" s="26">
        <f>BF78*BF67/365</f>
        <v>50.160850008150611</v>
      </c>
      <c r="BG25" s="26">
        <f>BG78*BG67/365</f>
        <v>53.512550990499157</v>
      </c>
      <c r="BH25" s="26">
        <f>BH78*BH67/365</f>
        <v>134.24317076446528</v>
      </c>
      <c r="BI25" s="270">
        <f t="shared" ref="BI25:BI30" si="82">BH25</f>
        <v>134.24317076446528</v>
      </c>
      <c r="BJ25" s="26">
        <f>BJ78*BJ67/365</f>
        <v>141.21310476744003</v>
      </c>
      <c r="BK25" s="26">
        <f>BK78*BK67/365</f>
        <v>62.636920437822575</v>
      </c>
      <c r="BL25" s="26">
        <f>BL78*BL67/365</f>
        <v>65.444930004403901</v>
      </c>
      <c r="BM25" s="26">
        <f>BM78*BM67/365</f>
        <v>160.68917977703924</v>
      </c>
      <c r="BN25" s="270">
        <f t="shared" ref="BN25:BN30" si="83">BM25</f>
        <v>160.68917977703924</v>
      </c>
      <c r="BO25" s="26">
        <f>BO78*BO67/365</f>
        <v>167.1744580564291</v>
      </c>
      <c r="BP25" s="26">
        <f>BP78*BP67/365</f>
        <v>73.905081523800305</v>
      </c>
      <c r="BQ25" s="26">
        <f>BQ78*BQ67/365</f>
        <v>76.723582530332479</v>
      </c>
      <c r="BR25" s="26">
        <f>BR78*BR67/365</f>
        <v>187.70306109733963</v>
      </c>
      <c r="BS25" s="270">
        <f t="shared" ref="BS25:BS30" si="84">BR25</f>
        <v>187.70306109733963</v>
      </c>
      <c r="BT25" s="26">
        <f>BT78*BT67/365</f>
        <v>193.50903540306484</v>
      </c>
      <c r="BU25" s="26">
        <f>BU78*BU67/365</f>
        <v>84.402628451890536</v>
      </c>
      <c r="BV25" s="26">
        <f>BV78*BV67/365</f>
        <v>86.620015739894257</v>
      </c>
      <c r="BW25" s="26">
        <f>BW78*BW67/365</f>
        <v>209.42099809955582</v>
      </c>
      <c r="BX25" s="270">
        <f t="shared" ref="BX25:BX30" si="85">BW25</f>
        <v>209.42099809955582</v>
      </c>
      <c r="BY25" s="26">
        <f>BY78*BY67/365</f>
        <v>213.62950780108932</v>
      </c>
      <c r="BZ25" s="26">
        <f>BZ78*BZ67/365</f>
        <v>92.336113131849501</v>
      </c>
      <c r="CA25" s="26">
        <f>CA78*CA67/365</f>
        <v>94.111867010151457</v>
      </c>
      <c r="CB25" s="26">
        <f>CB78*CB67/365</f>
        <v>226.14904361622754</v>
      </c>
      <c r="CC25" s="270">
        <f t="shared" ref="CC25:CC30" si="86">CB25</f>
        <v>226.14904361622754</v>
      </c>
      <c r="CD25" s="26">
        <f>CD78*CD67/365</f>
        <v>230.11719906812422</v>
      </c>
      <c r="CE25" s="26">
        <f>CE78*CE67/365</f>
        <v>99.461206328633878</v>
      </c>
      <c r="CF25" s="26">
        <f>CF78*CF67/365</f>
        <v>101.08660728478843</v>
      </c>
      <c r="CG25" s="26">
        <f>CG78*CG67/365</f>
        <v>242.21918764531173</v>
      </c>
      <c r="CH25" s="270">
        <f t="shared" ref="CH25:CH30" si="87">CG25</f>
        <v>242.21918764531173</v>
      </c>
      <c r="CI25" s="26">
        <f>CI78*CI67/365</f>
        <v>245.25084992944815</v>
      </c>
      <c r="CJ25" s="26">
        <f>CJ78*CJ67/365</f>
        <v>105.25445312584857</v>
      </c>
      <c r="CK25" s="26">
        <f>CK78*CK67/365</f>
        <v>106.37189133711666</v>
      </c>
      <c r="CL25" s="26">
        <f>CL78*CL67/365</f>
        <v>253.47495825258292</v>
      </c>
      <c r="CM25" s="270">
        <f t="shared" ref="CM25:CM30" si="88">CL25</f>
        <v>253.47495825258292</v>
      </c>
    </row>
    <row r="26" spans="1:91" s="16" customFormat="1" ht="12.75" customHeight="1">
      <c r="A26" s="16" t="s">
        <v>38</v>
      </c>
      <c r="E26" s="26">
        <f>4.911+6.406</f>
        <v>11.317</v>
      </c>
      <c r="F26" s="270">
        <f t="shared" si="72"/>
        <v>11.317</v>
      </c>
      <c r="G26" s="26"/>
      <c r="H26" s="26"/>
      <c r="I26" s="26">
        <f>7.43+7.482</f>
        <v>14.911999999999999</v>
      </c>
      <c r="J26" s="26">
        <f>12.986+7.081</f>
        <v>20.067</v>
      </c>
      <c r="K26" s="270">
        <f t="shared" si="73"/>
        <v>20.067</v>
      </c>
      <c r="L26" s="26">
        <f>14.683+9.137</f>
        <v>23.82</v>
      </c>
      <c r="M26" s="26">
        <f>13.687+11.092</f>
        <v>24.779</v>
      </c>
      <c r="N26" s="26">
        <f>24.604+17.239</f>
        <v>41.843000000000004</v>
      </c>
      <c r="O26" s="26">
        <f>18.557+25.703</f>
        <v>44.26</v>
      </c>
      <c r="P26" s="270">
        <f t="shared" si="74"/>
        <v>44.26</v>
      </c>
      <c r="Q26" s="26">
        <f>22.935+23.073</f>
        <v>46.007999999999996</v>
      </c>
      <c r="R26" s="26">
        <f>18.526+24.055</f>
        <v>42.581000000000003</v>
      </c>
      <c r="S26" s="26">
        <f>24.037+22.312</f>
        <v>46.349000000000004</v>
      </c>
      <c r="T26" s="26">
        <f>28.28+22.639</f>
        <v>50.918999999999997</v>
      </c>
      <c r="U26" s="270">
        <f t="shared" si="75"/>
        <v>50.918999999999997</v>
      </c>
      <c r="V26" s="26">
        <f>37.18+27.643</f>
        <v>64.823000000000008</v>
      </c>
      <c r="W26" s="26">
        <f>34.735</f>
        <v>34.734999999999999</v>
      </c>
      <c r="X26" s="26">
        <f>38.838+40.475</f>
        <v>79.313000000000002</v>
      </c>
      <c r="Y26" s="26">
        <f>42.496+45.285</f>
        <v>87.781000000000006</v>
      </c>
      <c r="Z26" s="270">
        <f t="shared" si="76"/>
        <v>87.781000000000006</v>
      </c>
      <c r="AA26" s="26">
        <f>56.158+51.851</f>
        <v>108.009</v>
      </c>
      <c r="AB26" s="26">
        <f>38.672+77.157</f>
        <v>115.82899999999999</v>
      </c>
      <c r="AC26" s="26">
        <f>57.423+63.367</f>
        <v>120.78999999999999</v>
      </c>
      <c r="AD26" s="26">
        <v>175.81700000000001</v>
      </c>
      <c r="AE26" s="270">
        <f>AD26</f>
        <v>175.81700000000001</v>
      </c>
      <c r="AF26" s="26">
        <v>190.53399999999999</v>
      </c>
      <c r="AG26" s="26">
        <v>188.696</v>
      </c>
      <c r="AH26" s="26">
        <v>205.26599999999999</v>
      </c>
      <c r="AI26" s="26">
        <v>187.952</v>
      </c>
      <c r="AJ26" s="270">
        <f t="shared" si="77"/>
        <v>187.952</v>
      </c>
      <c r="AK26" s="26">
        <f>92.639+67.211</f>
        <v>159.85</v>
      </c>
      <c r="AL26" s="26">
        <f>59.067+70.68</f>
        <v>129.74700000000001</v>
      </c>
      <c r="AM26" s="26">
        <f>71.671+80.647</f>
        <v>152.31800000000001</v>
      </c>
      <c r="AN26" s="26">
        <f>83.219+68.345</f>
        <v>151.56399999999999</v>
      </c>
      <c r="AO26" s="270">
        <f t="shared" si="78"/>
        <v>151.56399999999999</v>
      </c>
      <c r="AP26" s="26">
        <f>63.678+76.003</f>
        <v>139.68099999999998</v>
      </c>
      <c r="AQ26" s="26">
        <f>68.262+71.011</f>
        <v>139.273</v>
      </c>
      <c r="AR26" s="26">
        <f>98.209+71.707</f>
        <v>169.916</v>
      </c>
      <c r="AS26" s="26">
        <f>119.646+77.889</f>
        <v>197.535</v>
      </c>
      <c r="AT26" s="270">
        <f t="shared" si="79"/>
        <v>197.535</v>
      </c>
      <c r="AU26" s="355">
        <f>AU82*AU66/365</f>
        <v>156.84489607128376</v>
      </c>
      <c r="AV26" s="26">
        <f>AV82*AV66/365</f>
        <v>168.59447577501354</v>
      </c>
      <c r="AW26" s="26">
        <f>AW82*AW66/365</f>
        <v>180.04556163648758</v>
      </c>
      <c r="AX26" s="26">
        <f>AX82*AX66/365</f>
        <v>192.31822029038568</v>
      </c>
      <c r="AY26" s="270">
        <f t="shared" si="80"/>
        <v>192.31822029038568</v>
      </c>
      <c r="AZ26" s="26">
        <f>AZ82*AZ66/365</f>
        <v>152.99950126932842</v>
      </c>
      <c r="BA26" s="26">
        <f>BA82*BA66/365</f>
        <v>167.66620128515925</v>
      </c>
      <c r="BB26" s="26">
        <f>BB82*BB66/365</f>
        <v>181.34662993961601</v>
      </c>
      <c r="BC26" s="26">
        <f>BC82*BC66/365</f>
        <v>195.75532108693989</v>
      </c>
      <c r="BD26" s="270">
        <f t="shared" si="81"/>
        <v>195.75532108693989</v>
      </c>
      <c r="BE26" s="26">
        <f>BE82*BE66/365</f>
        <v>156.65103639953836</v>
      </c>
      <c r="BF26" s="26">
        <f>BF82*BF66/365</f>
        <v>168.10026288235593</v>
      </c>
      <c r="BG26" s="26">
        <f>BG82*BG66/365</f>
        <v>180.06215791295236</v>
      </c>
      <c r="BH26" s="26">
        <f>BH82*BH66/365</f>
        <v>192.18793464623693</v>
      </c>
      <c r="BI26" s="270">
        <f t="shared" si="82"/>
        <v>192.18793464623693</v>
      </c>
      <c r="BJ26" s="26">
        <f>BJ82*BJ66/365</f>
        <v>167.9203051137641</v>
      </c>
      <c r="BK26" s="26">
        <f>BK82*BK66/365</f>
        <v>176.2698220860043</v>
      </c>
      <c r="BL26" s="26">
        <f>BL82*BL66/365</f>
        <v>184.90926941271564</v>
      </c>
      <c r="BM26" s="26">
        <f>BM82*BM66/365</f>
        <v>193.15554065264504</v>
      </c>
      <c r="BN26" s="270">
        <f t="shared" si="83"/>
        <v>193.15554065264504</v>
      </c>
      <c r="BO26" s="26">
        <f>BO82*BO66/365</f>
        <v>159.71340834475674</v>
      </c>
      <c r="BP26" s="26">
        <f>BP82*BP66/365</f>
        <v>167.10488636611029</v>
      </c>
      <c r="BQ26" s="26">
        <f>BQ82*BQ66/365</f>
        <v>174.17540864822053</v>
      </c>
      <c r="BR26" s="26">
        <f>BR82*BR66/365</f>
        <v>181.29044830197981</v>
      </c>
      <c r="BS26" s="270">
        <f t="shared" si="84"/>
        <v>181.29044830197981</v>
      </c>
      <c r="BT26" s="26">
        <f>BT82*BT66/365</f>
        <v>162.97827741529841</v>
      </c>
      <c r="BU26" s="26">
        <f>BU82*BU66/365</f>
        <v>168.23400895380462</v>
      </c>
      <c r="BV26" s="26">
        <f>BV82*BV66/365</f>
        <v>173.34449540640807</v>
      </c>
      <c r="BW26" s="26">
        <f>BW82*BW66/365</f>
        <v>178.29957910929537</v>
      </c>
      <c r="BX26" s="270">
        <f t="shared" si="85"/>
        <v>178.29957910929537</v>
      </c>
      <c r="BY26" s="26">
        <f>BY82*BY66/365</f>
        <v>155.00558190706889</v>
      </c>
      <c r="BZ26" s="26">
        <f>BZ82*BZ66/365</f>
        <v>158.55738191551845</v>
      </c>
      <c r="CA26" s="26">
        <f>CA82*CA66/365</f>
        <v>162.25751047082508</v>
      </c>
      <c r="CB26" s="26">
        <f>CB82*CB66/365</f>
        <v>165.88448872826459</v>
      </c>
      <c r="CC26" s="270">
        <f t="shared" si="86"/>
        <v>165.88448872826459</v>
      </c>
      <c r="CD26" s="26">
        <f>CD82*CD66/365</f>
        <v>139.28062633699619</v>
      </c>
      <c r="CE26" s="26">
        <f>CE82*CE66/365</f>
        <v>142.47946355300846</v>
      </c>
      <c r="CF26" s="26">
        <f>CF82*CF66/365</f>
        <v>145.39603772293961</v>
      </c>
      <c r="CG26" s="26">
        <f>CG82*CG66/365</f>
        <v>148.22786412347875</v>
      </c>
      <c r="CH26" s="270">
        <f t="shared" si="87"/>
        <v>148.22786412347875</v>
      </c>
      <c r="CI26" s="26">
        <f>CI82*CI66/365</f>
        <v>118.00555021418566</v>
      </c>
      <c r="CJ26" s="26">
        <f>CJ82*CJ66/365</f>
        <v>119.86673085893952</v>
      </c>
      <c r="CK26" s="26">
        <f>CK82*CK66/365</f>
        <v>121.63410156908985</v>
      </c>
      <c r="CL26" s="26">
        <f>CL82*CL66/365</f>
        <v>123.32057415879977</v>
      </c>
      <c r="CM26" s="270">
        <f t="shared" si="88"/>
        <v>123.32057415879977</v>
      </c>
    </row>
    <row r="27" spans="1:91" s="16" customFormat="1" ht="12.75" customHeight="1">
      <c r="A27" s="16" t="s">
        <v>39</v>
      </c>
      <c r="E27" s="26">
        <v>3.113</v>
      </c>
      <c r="F27" s="270">
        <f t="shared" si="72"/>
        <v>3.113</v>
      </c>
      <c r="G27" s="26"/>
      <c r="H27" s="26"/>
      <c r="I27" s="26">
        <v>3.9550000000000001</v>
      </c>
      <c r="J27" s="26">
        <v>16.138000000000002</v>
      </c>
      <c r="K27" s="270">
        <f t="shared" si="73"/>
        <v>16.138000000000002</v>
      </c>
      <c r="L27" s="26">
        <v>17.113</v>
      </c>
      <c r="M27" s="26">
        <v>16.495999999999999</v>
      </c>
      <c r="N27" s="26">
        <v>13.095000000000001</v>
      </c>
      <c r="O27" s="26">
        <v>12.276999999999999</v>
      </c>
      <c r="P27" s="270">
        <f t="shared" si="74"/>
        <v>12.276999999999999</v>
      </c>
      <c r="Q27" s="26">
        <v>11.936</v>
      </c>
      <c r="R27" s="26">
        <v>11.484999999999999</v>
      </c>
      <c r="S27" s="26">
        <v>7.3369999999999997</v>
      </c>
      <c r="T27" s="26">
        <v>8.5500000000000007</v>
      </c>
      <c r="U27" s="270">
        <f t="shared" si="75"/>
        <v>8.5500000000000007</v>
      </c>
      <c r="V27" s="26">
        <v>8.36</v>
      </c>
      <c r="W27" s="26">
        <v>31.998000000000001</v>
      </c>
      <c r="X27" s="26">
        <v>7.3170000000000002</v>
      </c>
      <c r="Y27" s="26">
        <v>11.326000000000001</v>
      </c>
      <c r="Z27" s="270">
        <f t="shared" si="76"/>
        <v>11.326000000000001</v>
      </c>
      <c r="AA27" s="26">
        <v>10.57</v>
      </c>
      <c r="AB27" s="26">
        <v>14.955</v>
      </c>
      <c r="AC27" s="26">
        <v>13.423</v>
      </c>
      <c r="AD27" s="26">
        <v>17.402999999999999</v>
      </c>
      <c r="AE27" s="270">
        <f>AD27</f>
        <v>17.402999999999999</v>
      </c>
      <c r="AF27" s="26">
        <v>13.621</v>
      </c>
      <c r="AG27" s="26">
        <v>12.237</v>
      </c>
      <c r="AH27" s="26">
        <v>21.484999999999999</v>
      </c>
      <c r="AI27" s="26">
        <v>17.965</v>
      </c>
      <c r="AJ27" s="270">
        <f t="shared" si="77"/>
        <v>17.965</v>
      </c>
      <c r="AK27" s="26">
        <v>22.556000000000001</v>
      </c>
      <c r="AL27" s="26">
        <v>29.375</v>
      </c>
      <c r="AM27" s="26">
        <v>29.553999999999998</v>
      </c>
      <c r="AN27" s="26">
        <v>35.468000000000004</v>
      </c>
      <c r="AO27" s="270">
        <f t="shared" si="78"/>
        <v>35.468000000000004</v>
      </c>
      <c r="AP27" s="26">
        <v>36.302</v>
      </c>
      <c r="AQ27" s="26">
        <v>54.354999999999997</v>
      </c>
      <c r="AR27" s="26">
        <v>46.860999999999997</v>
      </c>
      <c r="AS27" s="26">
        <v>50.753</v>
      </c>
      <c r="AT27" s="270">
        <f t="shared" si="79"/>
        <v>50.753</v>
      </c>
      <c r="AU27" s="355">
        <f>AT27</f>
        <v>50.753</v>
      </c>
      <c r="AV27" s="26">
        <f t="shared" ref="AV27:AV28" si="89">AU27</f>
        <v>50.753</v>
      </c>
      <c r="AW27" s="26">
        <f t="shared" ref="AW27:AW28" si="90">AV27</f>
        <v>50.753</v>
      </c>
      <c r="AX27" s="26">
        <f t="shared" ref="AX27:AX28" si="91">AW27</f>
        <v>50.753</v>
      </c>
      <c r="AY27" s="270">
        <f t="shared" si="80"/>
        <v>50.753</v>
      </c>
      <c r="AZ27" s="26">
        <f>AY27</f>
        <v>50.753</v>
      </c>
      <c r="BA27" s="26">
        <f t="shared" ref="BA27:BA28" si="92">AZ27</f>
        <v>50.753</v>
      </c>
      <c r="BB27" s="26">
        <f t="shared" ref="BB27:BB28" si="93">BA27</f>
        <v>50.753</v>
      </c>
      <c r="BC27" s="26">
        <f t="shared" ref="BC27:BC28" si="94">BB27</f>
        <v>50.753</v>
      </c>
      <c r="BD27" s="270">
        <f t="shared" si="81"/>
        <v>50.753</v>
      </c>
      <c r="BE27" s="26">
        <f>BD27</f>
        <v>50.753</v>
      </c>
      <c r="BF27" s="26">
        <f t="shared" ref="BF27:BF28" si="95">BE27</f>
        <v>50.753</v>
      </c>
      <c r="BG27" s="26">
        <f t="shared" ref="BG27:BG28" si="96">BF27</f>
        <v>50.753</v>
      </c>
      <c r="BH27" s="26">
        <f t="shared" ref="BH27:BH28" si="97">BG27</f>
        <v>50.753</v>
      </c>
      <c r="BI27" s="270">
        <f t="shared" si="82"/>
        <v>50.753</v>
      </c>
      <c r="BJ27" s="26">
        <f>BI27</f>
        <v>50.753</v>
      </c>
      <c r="BK27" s="26">
        <f t="shared" ref="BK27:BK28" si="98">BJ27</f>
        <v>50.753</v>
      </c>
      <c r="BL27" s="26">
        <f t="shared" ref="BL27:BL28" si="99">BK27</f>
        <v>50.753</v>
      </c>
      <c r="BM27" s="26">
        <f t="shared" ref="BM27:BM28" si="100">BL27</f>
        <v>50.753</v>
      </c>
      <c r="BN27" s="270">
        <f t="shared" si="83"/>
        <v>50.753</v>
      </c>
      <c r="BO27" s="26">
        <f>BN27</f>
        <v>50.753</v>
      </c>
      <c r="BP27" s="26">
        <f t="shared" ref="BP27:BP28" si="101">BO27</f>
        <v>50.753</v>
      </c>
      <c r="BQ27" s="26">
        <f t="shared" ref="BQ27:BQ28" si="102">BP27</f>
        <v>50.753</v>
      </c>
      <c r="BR27" s="26">
        <f t="shared" ref="BR27:BR28" si="103">BQ27</f>
        <v>50.753</v>
      </c>
      <c r="BS27" s="270">
        <f t="shared" si="84"/>
        <v>50.753</v>
      </c>
      <c r="BT27" s="26">
        <f>BS27</f>
        <v>50.753</v>
      </c>
      <c r="BU27" s="26">
        <f t="shared" ref="BU27:BU28" si="104">BT27</f>
        <v>50.753</v>
      </c>
      <c r="BV27" s="26">
        <f t="shared" ref="BV27:BV28" si="105">BU27</f>
        <v>50.753</v>
      </c>
      <c r="BW27" s="26">
        <f t="shared" ref="BW27:BW28" si="106">BV27</f>
        <v>50.753</v>
      </c>
      <c r="BX27" s="270">
        <f t="shared" si="85"/>
        <v>50.753</v>
      </c>
      <c r="BY27" s="26">
        <f>BX27</f>
        <v>50.753</v>
      </c>
      <c r="BZ27" s="26">
        <f t="shared" ref="BZ27:BZ28" si="107">BY27</f>
        <v>50.753</v>
      </c>
      <c r="CA27" s="26">
        <f t="shared" ref="CA27:CA28" si="108">BZ27</f>
        <v>50.753</v>
      </c>
      <c r="CB27" s="26">
        <f t="shared" ref="CB27:CB28" si="109">CA27</f>
        <v>50.753</v>
      </c>
      <c r="CC27" s="270">
        <f t="shared" si="86"/>
        <v>50.753</v>
      </c>
      <c r="CD27" s="26">
        <f>CC27</f>
        <v>50.753</v>
      </c>
      <c r="CE27" s="26">
        <f t="shared" ref="CE27:CE28" si="110">CD27</f>
        <v>50.753</v>
      </c>
      <c r="CF27" s="26">
        <f t="shared" ref="CF27:CF28" si="111">CE27</f>
        <v>50.753</v>
      </c>
      <c r="CG27" s="26">
        <f t="shared" ref="CG27:CG28" si="112">CF27</f>
        <v>50.753</v>
      </c>
      <c r="CH27" s="270">
        <f t="shared" si="87"/>
        <v>50.753</v>
      </c>
      <c r="CI27" s="26">
        <f>CH27</f>
        <v>50.753</v>
      </c>
      <c r="CJ27" s="26">
        <f t="shared" ref="CJ27:CJ28" si="113">CI27</f>
        <v>50.753</v>
      </c>
      <c r="CK27" s="26">
        <f t="shared" ref="CK27:CK28" si="114">CJ27</f>
        <v>50.753</v>
      </c>
      <c r="CL27" s="26">
        <f t="shared" ref="CL27:CL28" si="115">CK27</f>
        <v>50.753</v>
      </c>
      <c r="CM27" s="270">
        <f t="shared" si="88"/>
        <v>50.753</v>
      </c>
    </row>
    <row r="28" spans="1:91" s="16" customFormat="1" ht="12.75" customHeight="1">
      <c r="A28" s="16" t="s">
        <v>40</v>
      </c>
      <c r="E28" s="26">
        <v>0</v>
      </c>
      <c r="F28" s="270">
        <f t="shared" si="72"/>
        <v>0</v>
      </c>
      <c r="G28" s="26"/>
      <c r="H28" s="26"/>
      <c r="I28" s="26">
        <v>0</v>
      </c>
      <c r="J28" s="26">
        <v>0</v>
      </c>
      <c r="K28" s="270">
        <f t="shared" si="73"/>
        <v>0</v>
      </c>
      <c r="L28" s="26">
        <v>0</v>
      </c>
      <c r="M28" s="26">
        <v>0</v>
      </c>
      <c r="N28" s="26">
        <v>0.745</v>
      </c>
      <c r="O28" s="26">
        <v>0</v>
      </c>
      <c r="P28" s="270">
        <f t="shared" si="74"/>
        <v>0</v>
      </c>
      <c r="Q28" s="26">
        <v>0</v>
      </c>
      <c r="R28" s="26">
        <v>0</v>
      </c>
      <c r="S28" s="26">
        <v>0</v>
      </c>
      <c r="T28" s="26">
        <v>0</v>
      </c>
      <c r="U28" s="270">
        <f t="shared" si="75"/>
        <v>0</v>
      </c>
      <c r="V28" s="26">
        <v>0</v>
      </c>
      <c r="W28" s="26">
        <v>8.48</v>
      </c>
      <c r="X28" s="26">
        <v>0</v>
      </c>
      <c r="Y28" s="26">
        <v>78</v>
      </c>
      <c r="Z28" s="270">
        <f t="shared" si="76"/>
        <v>78</v>
      </c>
      <c r="AA28" s="26">
        <v>78</v>
      </c>
      <c r="AB28" s="26">
        <v>0</v>
      </c>
      <c r="AC28" s="26">
        <v>0</v>
      </c>
      <c r="AD28" s="26">
        <v>0</v>
      </c>
      <c r="AE28" s="270">
        <f>AD28</f>
        <v>0</v>
      </c>
      <c r="AF28" s="26">
        <v>0</v>
      </c>
      <c r="AG28" s="26">
        <v>0</v>
      </c>
      <c r="AH28" s="26">
        <v>0</v>
      </c>
      <c r="AI28" s="26">
        <v>0</v>
      </c>
      <c r="AJ28" s="270">
        <f t="shared" si="77"/>
        <v>0</v>
      </c>
      <c r="AK28" s="26">
        <v>0</v>
      </c>
      <c r="AL28" s="26">
        <v>0</v>
      </c>
      <c r="AM28" s="26">
        <v>0</v>
      </c>
      <c r="AN28" s="26">
        <v>0</v>
      </c>
      <c r="AO28" s="270">
        <f t="shared" si="78"/>
        <v>0</v>
      </c>
      <c r="AP28" s="26">
        <v>0</v>
      </c>
      <c r="AQ28" s="26">
        <v>0</v>
      </c>
      <c r="AR28" s="26">
        <v>0</v>
      </c>
      <c r="AS28" s="26">
        <v>0</v>
      </c>
      <c r="AT28" s="270">
        <f t="shared" si="79"/>
        <v>0</v>
      </c>
      <c r="AU28" s="355">
        <f>AT28</f>
        <v>0</v>
      </c>
      <c r="AV28" s="26">
        <f t="shared" si="89"/>
        <v>0</v>
      </c>
      <c r="AW28" s="26">
        <f t="shared" si="90"/>
        <v>0</v>
      </c>
      <c r="AX28" s="26">
        <f t="shared" si="91"/>
        <v>0</v>
      </c>
      <c r="AY28" s="270">
        <f t="shared" si="80"/>
        <v>0</v>
      </c>
      <c r="AZ28" s="26">
        <f>AY28</f>
        <v>0</v>
      </c>
      <c r="BA28" s="26">
        <f t="shared" si="92"/>
        <v>0</v>
      </c>
      <c r="BB28" s="26">
        <f t="shared" si="93"/>
        <v>0</v>
      </c>
      <c r="BC28" s="26">
        <f t="shared" si="94"/>
        <v>0</v>
      </c>
      <c r="BD28" s="270">
        <f t="shared" si="81"/>
        <v>0</v>
      </c>
      <c r="BE28" s="26">
        <f>BD28</f>
        <v>0</v>
      </c>
      <c r="BF28" s="26">
        <f t="shared" si="95"/>
        <v>0</v>
      </c>
      <c r="BG28" s="26">
        <f t="shared" si="96"/>
        <v>0</v>
      </c>
      <c r="BH28" s="26">
        <f t="shared" si="97"/>
        <v>0</v>
      </c>
      <c r="BI28" s="270">
        <f t="shared" si="82"/>
        <v>0</v>
      </c>
      <c r="BJ28" s="26">
        <f>BI28</f>
        <v>0</v>
      </c>
      <c r="BK28" s="26">
        <f t="shared" si="98"/>
        <v>0</v>
      </c>
      <c r="BL28" s="26">
        <f t="shared" si="99"/>
        <v>0</v>
      </c>
      <c r="BM28" s="26">
        <f t="shared" si="100"/>
        <v>0</v>
      </c>
      <c r="BN28" s="270">
        <f t="shared" si="83"/>
        <v>0</v>
      </c>
      <c r="BO28" s="26">
        <f>BN28</f>
        <v>0</v>
      </c>
      <c r="BP28" s="26">
        <f t="shared" si="101"/>
        <v>0</v>
      </c>
      <c r="BQ28" s="26">
        <f t="shared" si="102"/>
        <v>0</v>
      </c>
      <c r="BR28" s="26">
        <f t="shared" si="103"/>
        <v>0</v>
      </c>
      <c r="BS28" s="270">
        <f t="shared" si="84"/>
        <v>0</v>
      </c>
      <c r="BT28" s="26">
        <f>BS28</f>
        <v>0</v>
      </c>
      <c r="BU28" s="26">
        <f t="shared" si="104"/>
        <v>0</v>
      </c>
      <c r="BV28" s="26">
        <f t="shared" si="105"/>
        <v>0</v>
      </c>
      <c r="BW28" s="26">
        <f t="shared" si="106"/>
        <v>0</v>
      </c>
      <c r="BX28" s="270">
        <f t="shared" si="85"/>
        <v>0</v>
      </c>
      <c r="BY28" s="26">
        <f>BX28</f>
        <v>0</v>
      </c>
      <c r="BZ28" s="26">
        <f t="shared" si="107"/>
        <v>0</v>
      </c>
      <c r="CA28" s="26">
        <f t="shared" si="108"/>
        <v>0</v>
      </c>
      <c r="CB28" s="26">
        <f t="shared" si="109"/>
        <v>0</v>
      </c>
      <c r="CC28" s="270">
        <f t="shared" si="86"/>
        <v>0</v>
      </c>
      <c r="CD28" s="26">
        <f>CC28</f>
        <v>0</v>
      </c>
      <c r="CE28" s="26">
        <f t="shared" si="110"/>
        <v>0</v>
      </c>
      <c r="CF28" s="26">
        <f t="shared" si="111"/>
        <v>0</v>
      </c>
      <c r="CG28" s="26">
        <f t="shared" si="112"/>
        <v>0</v>
      </c>
      <c r="CH28" s="270">
        <f t="shared" si="87"/>
        <v>0</v>
      </c>
      <c r="CI28" s="26">
        <f>CH28</f>
        <v>0</v>
      </c>
      <c r="CJ28" s="26">
        <f t="shared" si="113"/>
        <v>0</v>
      </c>
      <c r="CK28" s="26">
        <f t="shared" si="114"/>
        <v>0</v>
      </c>
      <c r="CL28" s="26">
        <f t="shared" si="115"/>
        <v>0</v>
      </c>
      <c r="CM28" s="270">
        <f t="shared" si="88"/>
        <v>0</v>
      </c>
    </row>
    <row r="29" spans="1:91" s="16" customFormat="1" ht="12.75" customHeight="1">
      <c r="A29" s="16" t="s">
        <v>41</v>
      </c>
      <c r="E29" s="26">
        <v>0.19900000000000001</v>
      </c>
      <c r="F29" s="270">
        <f t="shared" si="72"/>
        <v>0.19900000000000001</v>
      </c>
      <c r="G29" s="26"/>
      <c r="H29" s="26"/>
      <c r="I29" s="26">
        <v>0.10199999999999999</v>
      </c>
      <c r="J29" s="26">
        <v>9.7000000000000003E-2</v>
      </c>
      <c r="K29" s="270">
        <f t="shared" si="73"/>
        <v>9.7000000000000003E-2</v>
      </c>
      <c r="L29" s="26">
        <v>9.6000000000000002E-2</v>
      </c>
      <c r="M29" s="26">
        <v>7.3999999999999996E-2</v>
      </c>
      <c r="N29" s="26">
        <f>0.08</f>
        <v>0.08</v>
      </c>
      <c r="O29" s="26">
        <v>0</v>
      </c>
      <c r="P29" s="270">
        <f t="shared" si="74"/>
        <v>0</v>
      </c>
      <c r="Q29" s="26">
        <v>0</v>
      </c>
      <c r="R29" s="26">
        <v>0</v>
      </c>
      <c r="S29" s="26">
        <v>0</v>
      </c>
      <c r="T29" s="26">
        <v>0</v>
      </c>
      <c r="U29" s="270">
        <f t="shared" si="75"/>
        <v>0</v>
      </c>
      <c r="V29" s="26">
        <v>0</v>
      </c>
      <c r="W29" s="26">
        <v>0</v>
      </c>
      <c r="X29" s="26">
        <v>0</v>
      </c>
      <c r="Y29" s="26">
        <v>0</v>
      </c>
      <c r="Z29" s="270">
        <f t="shared" si="76"/>
        <v>0</v>
      </c>
      <c r="AA29" s="26">
        <v>0</v>
      </c>
      <c r="AB29" s="26">
        <v>0</v>
      </c>
      <c r="AC29" s="26">
        <v>0</v>
      </c>
      <c r="AD29" s="26">
        <v>0</v>
      </c>
      <c r="AE29" s="270">
        <f>AD29</f>
        <v>0</v>
      </c>
      <c r="AF29" s="26">
        <v>0</v>
      </c>
      <c r="AG29" s="26">
        <v>0</v>
      </c>
      <c r="AH29" s="26">
        <v>0</v>
      </c>
      <c r="AI29" s="26">
        <v>0</v>
      </c>
      <c r="AJ29" s="270">
        <f t="shared" si="77"/>
        <v>0</v>
      </c>
      <c r="AK29" s="26">
        <v>0</v>
      </c>
      <c r="AL29" s="26">
        <v>0</v>
      </c>
      <c r="AM29" s="26">
        <v>0</v>
      </c>
      <c r="AN29" s="26">
        <v>0</v>
      </c>
      <c r="AO29" s="270">
        <f t="shared" si="78"/>
        <v>0</v>
      </c>
      <c r="AP29" s="26">
        <v>0</v>
      </c>
      <c r="AQ29" s="26">
        <v>0</v>
      </c>
      <c r="AR29" s="26">
        <v>0</v>
      </c>
      <c r="AS29" s="26">
        <v>0</v>
      </c>
      <c r="AT29" s="270">
        <f t="shared" si="79"/>
        <v>0</v>
      </c>
      <c r="AU29" s="355">
        <f>'Other Accts'!AU35</f>
        <v>0</v>
      </c>
      <c r="AV29" s="26">
        <f>'Other Accts'!AV35</f>
        <v>0</v>
      </c>
      <c r="AW29" s="26">
        <f>'Other Accts'!AW35</f>
        <v>0</v>
      </c>
      <c r="AX29" s="26">
        <f>'Other Accts'!AX35</f>
        <v>0</v>
      </c>
      <c r="AY29" s="270">
        <f t="shared" si="80"/>
        <v>0</v>
      </c>
      <c r="AZ29" s="26">
        <f>'Other Accts'!AZ35</f>
        <v>0</v>
      </c>
      <c r="BA29" s="26">
        <f>'Other Accts'!BA35</f>
        <v>0</v>
      </c>
      <c r="BB29" s="26">
        <f>'Other Accts'!BB35</f>
        <v>0</v>
      </c>
      <c r="BC29" s="26">
        <f>'Other Accts'!BC35</f>
        <v>0</v>
      </c>
      <c r="BD29" s="270">
        <f t="shared" si="81"/>
        <v>0</v>
      </c>
      <c r="BE29" s="26">
        <f>'Other Accts'!BE35</f>
        <v>0</v>
      </c>
      <c r="BF29" s="26">
        <f>'Other Accts'!BF35</f>
        <v>0</v>
      </c>
      <c r="BG29" s="26">
        <f>'Other Accts'!BG35</f>
        <v>0</v>
      </c>
      <c r="BH29" s="26">
        <f>'Other Accts'!BH35</f>
        <v>0</v>
      </c>
      <c r="BI29" s="270">
        <f t="shared" si="82"/>
        <v>0</v>
      </c>
      <c r="BJ29" s="26">
        <f>'Other Accts'!BJ35</f>
        <v>0</v>
      </c>
      <c r="BK29" s="26">
        <f>'Other Accts'!BK35</f>
        <v>0</v>
      </c>
      <c r="BL29" s="26">
        <f>'Other Accts'!BL35</f>
        <v>0</v>
      </c>
      <c r="BM29" s="26">
        <f>'Other Accts'!BM35</f>
        <v>0</v>
      </c>
      <c r="BN29" s="270">
        <f t="shared" si="83"/>
        <v>0</v>
      </c>
      <c r="BO29" s="26">
        <f>'Other Accts'!BO35</f>
        <v>0</v>
      </c>
      <c r="BP29" s="26">
        <f>'Other Accts'!BP35</f>
        <v>0</v>
      </c>
      <c r="BQ29" s="26">
        <f>'Other Accts'!BQ35</f>
        <v>0</v>
      </c>
      <c r="BR29" s="26">
        <f>'Other Accts'!BR35</f>
        <v>0</v>
      </c>
      <c r="BS29" s="270">
        <f t="shared" si="84"/>
        <v>0</v>
      </c>
      <c r="BT29" s="26">
        <f>'Other Accts'!BT35</f>
        <v>0</v>
      </c>
      <c r="BU29" s="26">
        <f>'Other Accts'!BU35</f>
        <v>0</v>
      </c>
      <c r="BV29" s="26">
        <f>'Other Accts'!BV35</f>
        <v>0</v>
      </c>
      <c r="BW29" s="26">
        <f>'Other Accts'!BW35</f>
        <v>0</v>
      </c>
      <c r="BX29" s="270">
        <f t="shared" si="85"/>
        <v>0</v>
      </c>
      <c r="BY29" s="26">
        <f>'Other Accts'!BY35</f>
        <v>0</v>
      </c>
      <c r="BZ29" s="26">
        <f>'Other Accts'!BZ35</f>
        <v>0</v>
      </c>
      <c r="CA29" s="26">
        <f>'Other Accts'!CA35</f>
        <v>0</v>
      </c>
      <c r="CB29" s="26">
        <f>'Other Accts'!CB35</f>
        <v>0</v>
      </c>
      <c r="CC29" s="270">
        <f t="shared" si="86"/>
        <v>0</v>
      </c>
      <c r="CD29" s="26">
        <f>'Other Accts'!CD35</f>
        <v>0</v>
      </c>
      <c r="CE29" s="26">
        <f>'Other Accts'!CE35</f>
        <v>0</v>
      </c>
      <c r="CF29" s="26">
        <f>'Other Accts'!CF35</f>
        <v>0</v>
      </c>
      <c r="CG29" s="26">
        <f>'Other Accts'!CG35</f>
        <v>0</v>
      </c>
      <c r="CH29" s="270">
        <f t="shared" si="87"/>
        <v>0</v>
      </c>
      <c r="CI29" s="26">
        <f>'Other Accts'!CI35</f>
        <v>0</v>
      </c>
      <c r="CJ29" s="26">
        <f>'Other Accts'!CJ35</f>
        <v>0</v>
      </c>
      <c r="CK29" s="26">
        <f>'Other Accts'!CK35</f>
        <v>0</v>
      </c>
      <c r="CL29" s="26">
        <f>'Other Accts'!CL35</f>
        <v>0</v>
      </c>
      <c r="CM29" s="270">
        <f t="shared" si="88"/>
        <v>0</v>
      </c>
    </row>
    <row r="30" spans="1:91" s="15" customFormat="1" ht="12.75" customHeight="1">
      <c r="A30" s="15" t="s">
        <v>42</v>
      </c>
      <c r="E30" s="170">
        <f>SUM(E25:E29)</f>
        <v>19.627000000000002</v>
      </c>
      <c r="F30" s="253">
        <f t="shared" si="72"/>
        <v>19.627000000000002</v>
      </c>
      <c r="G30" s="170"/>
      <c r="H30" s="170"/>
      <c r="I30" s="170">
        <f>SUM(I25:I29)</f>
        <v>32.049999999999997</v>
      </c>
      <c r="J30" s="170">
        <f>SUM(J25:J29)</f>
        <v>46.944000000000003</v>
      </c>
      <c r="K30" s="253">
        <f t="shared" si="73"/>
        <v>46.944000000000003</v>
      </c>
      <c r="L30" s="170">
        <f>SUM(L25:L29)</f>
        <v>48.192</v>
      </c>
      <c r="M30" s="170">
        <f>SUM(M25:M29)</f>
        <v>57.048999999999992</v>
      </c>
      <c r="N30" s="170">
        <f>SUM(N25:N29)</f>
        <v>67.817000000000007</v>
      </c>
      <c r="O30" s="170">
        <f>SUM(O25:O29)</f>
        <v>72.733999999999995</v>
      </c>
      <c r="P30" s="253">
        <f t="shared" si="74"/>
        <v>72.733999999999995</v>
      </c>
      <c r="Q30" s="170">
        <f>SUM(Q25:Q29)</f>
        <v>82.322000000000003</v>
      </c>
      <c r="R30" s="170">
        <f>SUM(R25:R29)</f>
        <v>70.048000000000002</v>
      </c>
      <c r="S30" s="170">
        <f>SUM(S25:S29)</f>
        <v>71.966999999999999</v>
      </c>
      <c r="T30" s="170">
        <f>SUM(T25:T29)</f>
        <v>66.808999999999997</v>
      </c>
      <c r="U30" s="253">
        <f t="shared" si="75"/>
        <v>66.808999999999997</v>
      </c>
      <c r="V30" s="170">
        <f>SUM(V25:V29)</f>
        <v>95.501000000000005</v>
      </c>
      <c r="W30" s="170">
        <f>SUM(W25:W29)</f>
        <v>96.612000000000009</v>
      </c>
      <c r="X30" s="170">
        <f>SUM(X25:X29)</f>
        <v>102.304</v>
      </c>
      <c r="Y30" s="170">
        <f>SUM(Y25:Y29)</f>
        <v>194.68700000000001</v>
      </c>
      <c r="Z30" s="253">
        <f t="shared" si="76"/>
        <v>194.68700000000001</v>
      </c>
      <c r="AA30" s="170">
        <f t="shared" ref="AA30:AI30" si="116">SUM(AA25:AA29)</f>
        <v>228.809</v>
      </c>
      <c r="AB30" s="170">
        <f t="shared" si="116"/>
        <v>167.755</v>
      </c>
      <c r="AC30" s="170">
        <f t="shared" si="116"/>
        <v>175.124</v>
      </c>
      <c r="AD30" s="170">
        <f t="shared" si="116"/>
        <v>193.22</v>
      </c>
      <c r="AE30" s="253">
        <f t="shared" si="116"/>
        <v>193.22</v>
      </c>
      <c r="AF30" s="170">
        <f t="shared" si="116"/>
        <v>204.155</v>
      </c>
      <c r="AG30" s="170">
        <f t="shared" si="116"/>
        <v>200.93299999999999</v>
      </c>
      <c r="AH30" s="170">
        <f t="shared" si="116"/>
        <v>226.75099999999998</v>
      </c>
      <c r="AI30" s="170">
        <f t="shared" si="116"/>
        <v>205.917</v>
      </c>
      <c r="AJ30" s="253">
        <f t="shared" si="77"/>
        <v>205.917</v>
      </c>
      <c r="AK30" s="170">
        <f>SUM(AK25:AK29)</f>
        <v>220.00900000000001</v>
      </c>
      <c r="AL30" s="170">
        <f>SUM(AL25:AL29)</f>
        <v>201.56900000000002</v>
      </c>
      <c r="AM30" s="170">
        <f>SUM(AM25:AM29)</f>
        <v>197.34500000000003</v>
      </c>
      <c r="AN30" s="170">
        <f>SUM(AN25:AN29)</f>
        <v>225.58300000000003</v>
      </c>
      <c r="AO30" s="253">
        <f t="shared" si="78"/>
        <v>225.58300000000003</v>
      </c>
      <c r="AP30" s="170">
        <f>SUM(AP25:AP29)</f>
        <v>225.75299999999999</v>
      </c>
      <c r="AQ30" s="170">
        <f>SUM(AQ25:AQ29)</f>
        <v>238.42999999999998</v>
      </c>
      <c r="AR30" s="170">
        <f>SUM(AR25:AR29)</f>
        <v>236.91899999999998</v>
      </c>
      <c r="AS30" s="170">
        <f>SUM(AS25:AS29)</f>
        <v>302.73</v>
      </c>
      <c r="AT30" s="253">
        <f t="shared" si="79"/>
        <v>302.73</v>
      </c>
      <c r="AU30" s="356">
        <f>SUM(AU25:AU29)</f>
        <v>266.87910564930689</v>
      </c>
      <c r="AV30" s="170">
        <f>SUM(AV25:AV29)</f>
        <v>246.65105052527122</v>
      </c>
      <c r="AW30" s="170">
        <f>SUM(AW25:AW29)</f>
        <v>260.10644700358608</v>
      </c>
      <c r="AX30" s="170">
        <f>SUM(AX25:AX29)</f>
        <v>317.27797249004669</v>
      </c>
      <c r="AY30" s="253">
        <f t="shared" si="80"/>
        <v>317.27797249004669</v>
      </c>
      <c r="AZ30" s="170">
        <f>SUM(AZ25:AZ29)</f>
        <v>285.26968016432193</v>
      </c>
      <c r="BA30" s="170">
        <f>SUM(BA25:BA29)</f>
        <v>256.15971852626427</v>
      </c>
      <c r="BB30" s="170">
        <f>SUM(BB25:BB29)</f>
        <v>272.75408474815242</v>
      </c>
      <c r="BC30" s="170">
        <f>SUM(BC25:BC29)</f>
        <v>349.65149330667953</v>
      </c>
      <c r="BD30" s="253">
        <f t="shared" si="81"/>
        <v>349.65149330667953</v>
      </c>
      <c r="BE30" s="170">
        <f>SUM(BE25:BE29)</f>
        <v>318.04275839151245</v>
      </c>
      <c r="BF30" s="170">
        <f>SUM(BF25:BF29)</f>
        <v>269.01411289050657</v>
      </c>
      <c r="BG30" s="170">
        <f>SUM(BG25:BG29)</f>
        <v>284.32770890345154</v>
      </c>
      <c r="BH30" s="170">
        <f>SUM(BH25:BH29)</f>
        <v>377.18410541070222</v>
      </c>
      <c r="BI30" s="253">
        <f t="shared" si="82"/>
        <v>377.18410541070222</v>
      </c>
      <c r="BJ30" s="170">
        <f>SUM(BJ25:BJ29)</f>
        <v>359.88640988120409</v>
      </c>
      <c r="BK30" s="170">
        <f>SUM(BK25:BK29)</f>
        <v>289.65974252382688</v>
      </c>
      <c r="BL30" s="170">
        <f>SUM(BL25:BL29)</f>
        <v>301.10719941711955</v>
      </c>
      <c r="BM30" s="170">
        <f>SUM(BM25:BM29)</f>
        <v>404.59772042968427</v>
      </c>
      <c r="BN30" s="253">
        <f t="shared" si="83"/>
        <v>404.59772042968427</v>
      </c>
      <c r="BO30" s="170">
        <f>SUM(BO25:BO29)</f>
        <v>377.64086640118586</v>
      </c>
      <c r="BP30" s="170">
        <f>SUM(BP25:BP29)</f>
        <v>291.76296788991061</v>
      </c>
      <c r="BQ30" s="170">
        <f>SUM(BQ25:BQ29)</f>
        <v>301.65199117855298</v>
      </c>
      <c r="BR30" s="170">
        <f>SUM(BR25:BR29)</f>
        <v>419.74650939931945</v>
      </c>
      <c r="BS30" s="253">
        <f t="shared" si="84"/>
        <v>419.74650939931945</v>
      </c>
      <c r="BT30" s="170">
        <f>SUM(BT25:BT29)</f>
        <v>407.24031281836324</v>
      </c>
      <c r="BU30" s="170">
        <f>SUM(BU25:BU29)</f>
        <v>303.38963740569517</v>
      </c>
      <c r="BV30" s="170">
        <f>SUM(BV25:BV29)</f>
        <v>310.71751114630234</v>
      </c>
      <c r="BW30" s="170">
        <f>SUM(BW25:BW29)</f>
        <v>438.47357720885117</v>
      </c>
      <c r="BX30" s="253">
        <f t="shared" si="85"/>
        <v>438.47357720885117</v>
      </c>
      <c r="BY30" s="170">
        <f>SUM(BY25:BY29)</f>
        <v>419.38808970815819</v>
      </c>
      <c r="BZ30" s="170">
        <f>SUM(BZ25:BZ29)</f>
        <v>301.64649504736792</v>
      </c>
      <c r="CA30" s="170">
        <f>SUM(CA25:CA29)</f>
        <v>307.12237748097652</v>
      </c>
      <c r="CB30" s="170">
        <f>SUM(CB25:CB29)</f>
        <v>442.78653234449212</v>
      </c>
      <c r="CC30" s="253">
        <f t="shared" si="86"/>
        <v>442.78653234449212</v>
      </c>
      <c r="CD30" s="170">
        <f>SUM(CD25:CD29)</f>
        <v>420.15082540512043</v>
      </c>
      <c r="CE30" s="170">
        <f>SUM(CE25:CE29)</f>
        <v>292.69366988164234</v>
      </c>
      <c r="CF30" s="170">
        <f>SUM(CF25:CF29)</f>
        <v>297.23564500772801</v>
      </c>
      <c r="CG30" s="170">
        <f>SUM(CG25:CG29)</f>
        <v>441.2000517687905</v>
      </c>
      <c r="CH30" s="253">
        <f t="shared" si="87"/>
        <v>441.2000517687905</v>
      </c>
      <c r="CI30" s="170">
        <f>SUM(CI25:CI29)</f>
        <v>414.0094001436338</v>
      </c>
      <c r="CJ30" s="170">
        <f>SUM(CJ25:CJ29)</f>
        <v>275.87418398478809</v>
      </c>
      <c r="CK30" s="170">
        <f>SUM(CK25:CK29)</f>
        <v>278.75899290620652</v>
      </c>
      <c r="CL30" s="170">
        <f>SUM(CL25:CL29)</f>
        <v>427.54853241138267</v>
      </c>
      <c r="CM30" s="253">
        <f t="shared" si="88"/>
        <v>427.54853241138267</v>
      </c>
    </row>
    <row r="31" spans="1:91" s="16" customFormat="1" ht="12.75" customHeight="1">
      <c r="E31" s="26"/>
      <c r="F31" s="270"/>
      <c r="G31" s="26"/>
      <c r="H31" s="26"/>
      <c r="I31" s="26"/>
      <c r="J31" s="26"/>
      <c r="K31" s="270"/>
      <c r="L31" s="26"/>
      <c r="M31" s="26"/>
      <c r="N31" s="26"/>
      <c r="O31" s="26"/>
      <c r="P31" s="270"/>
      <c r="Q31" s="26"/>
      <c r="R31" s="26"/>
      <c r="S31" s="26"/>
      <c r="T31" s="26"/>
      <c r="U31" s="270"/>
      <c r="V31" s="26"/>
      <c r="W31" s="26"/>
      <c r="X31" s="26"/>
      <c r="Y31" s="26"/>
      <c r="Z31" s="270"/>
      <c r="AA31" s="26"/>
      <c r="AB31" s="26"/>
      <c r="AC31" s="26"/>
      <c r="AD31" s="26"/>
      <c r="AE31" s="270"/>
      <c r="AF31" s="26"/>
      <c r="AG31" s="26"/>
      <c r="AH31" s="26"/>
      <c r="AI31" s="26"/>
      <c r="AJ31" s="270"/>
      <c r="AK31" s="26"/>
      <c r="AL31" s="26"/>
      <c r="AM31" s="26"/>
      <c r="AN31" s="26"/>
      <c r="AO31" s="270"/>
      <c r="AP31" s="26"/>
      <c r="AQ31" s="26"/>
      <c r="AR31" s="26"/>
      <c r="AS31" s="26"/>
      <c r="AT31" s="270"/>
      <c r="AU31" s="355"/>
      <c r="AV31" s="26"/>
      <c r="AW31" s="26"/>
      <c r="AX31" s="26"/>
      <c r="AY31" s="270"/>
      <c r="AZ31" s="26"/>
      <c r="BA31" s="26"/>
      <c r="BB31" s="26"/>
      <c r="BC31" s="26"/>
      <c r="BD31" s="270"/>
      <c r="BE31" s="26"/>
      <c r="BF31" s="26"/>
      <c r="BG31" s="26"/>
      <c r="BH31" s="26"/>
      <c r="BI31" s="270"/>
      <c r="BJ31" s="26"/>
      <c r="BK31" s="26"/>
      <c r="BL31" s="26"/>
      <c r="BM31" s="26"/>
      <c r="BN31" s="270"/>
      <c r="BO31" s="26"/>
      <c r="BP31" s="26"/>
      <c r="BQ31" s="26"/>
      <c r="BR31" s="26"/>
      <c r="BS31" s="270"/>
      <c r="BT31" s="26"/>
      <c r="BU31" s="26"/>
      <c r="BV31" s="26"/>
      <c r="BW31" s="26"/>
      <c r="BX31" s="270"/>
      <c r="BY31" s="26"/>
      <c r="BZ31" s="26"/>
      <c r="CA31" s="26"/>
      <c r="CB31" s="26"/>
      <c r="CC31" s="270"/>
      <c r="CD31" s="26"/>
      <c r="CE31" s="26"/>
      <c r="CF31" s="26"/>
      <c r="CG31" s="26"/>
      <c r="CH31" s="270"/>
      <c r="CI31" s="26"/>
      <c r="CJ31" s="26"/>
      <c r="CK31" s="26"/>
      <c r="CL31" s="26"/>
      <c r="CM31" s="270"/>
    </row>
    <row r="32" spans="1:91" s="16" customFormat="1" ht="12.75" customHeight="1">
      <c r="A32" s="16" t="s">
        <v>43</v>
      </c>
      <c r="E32" s="26">
        <f>0.46+6.537</f>
        <v>6.9969999999999999</v>
      </c>
      <c r="F32" s="270">
        <f>E32</f>
        <v>6.9969999999999999</v>
      </c>
      <c r="G32" s="26"/>
      <c r="H32" s="26"/>
      <c r="I32" s="26">
        <f>0.137+7.623</f>
        <v>7.76</v>
      </c>
      <c r="J32" s="26">
        <f>0.119+7.844</f>
        <v>7.9630000000000001</v>
      </c>
      <c r="K32" s="270">
        <f>J32</f>
        <v>7.9630000000000001</v>
      </c>
      <c r="L32" s="26">
        <f>0.1+8.975</f>
        <v>9.0749999999999993</v>
      </c>
      <c r="M32" s="26">
        <f>0.08+10.912</f>
        <v>10.992000000000001</v>
      </c>
      <c r="N32" s="26">
        <f>10.564+0.057</f>
        <v>10.621</v>
      </c>
      <c r="O32" s="26">
        <v>33.256</v>
      </c>
      <c r="P32" s="270">
        <f>O32</f>
        <v>33.256</v>
      </c>
      <c r="Q32" s="26">
        <v>33.773000000000003</v>
      </c>
      <c r="R32" s="26">
        <v>41.116999999999997</v>
      </c>
      <c r="S32" s="26">
        <v>39.682000000000002</v>
      </c>
      <c r="T32" s="26">
        <f>806.292+41.565</f>
        <v>847.85699999999997</v>
      </c>
      <c r="U32" s="270">
        <f>T32</f>
        <v>847.85699999999997</v>
      </c>
      <c r="V32" s="26">
        <f>1132.899+210.244</f>
        <v>1343.1429999999998</v>
      </c>
      <c r="W32" s="26">
        <f>1133.539+211.783</f>
        <v>1345.3219999999999</v>
      </c>
      <c r="X32" s="26">
        <f>1134.18+216.806</f>
        <v>1350.9860000000001</v>
      </c>
      <c r="Y32" s="26">
        <f>1134.821+226.053</f>
        <v>1360.8739999999998</v>
      </c>
      <c r="Z32" s="270">
        <f>Y32</f>
        <v>1360.8739999999998</v>
      </c>
      <c r="AA32" s="26">
        <f>1135.463+225.377</f>
        <v>1360.84</v>
      </c>
      <c r="AB32" s="26">
        <f>1136.105+221.503</f>
        <v>1357.6079999999999</v>
      </c>
      <c r="AC32" s="26">
        <f>1136.748+216.174</f>
        <v>1352.922</v>
      </c>
      <c r="AD32" s="26">
        <f>1137.391+210.015</f>
        <v>1347.4059999999999</v>
      </c>
      <c r="AE32" s="270">
        <f>AD32</f>
        <v>1347.4059999999999</v>
      </c>
      <c r="AF32" s="26">
        <f>1138.034+204.857</f>
        <v>1342.8910000000001</v>
      </c>
      <c r="AG32" s="26">
        <f>198.23+1138.678</f>
        <v>1336.9080000000001</v>
      </c>
      <c r="AH32" s="26">
        <f>1139.322+192.677</f>
        <v>1331.9989999999998</v>
      </c>
      <c r="AI32" s="26">
        <f>1139.966+185.848</f>
        <v>1325.8139999999999</v>
      </c>
      <c r="AJ32" s="270">
        <f>AI32</f>
        <v>1325.8139999999999</v>
      </c>
      <c r="AK32" s="26">
        <f>1140.611+178.907</f>
        <v>1319.518</v>
      </c>
      <c r="AL32" s="26">
        <f>1141.256+172.194</f>
        <v>1313.45</v>
      </c>
      <c r="AM32" s="26">
        <f>1141.901+170.131</f>
        <v>1312.0320000000002</v>
      </c>
      <c r="AN32" s="26">
        <f>1142.547+164.292</f>
        <v>1306.8389999999999</v>
      </c>
      <c r="AO32" s="270">
        <f>AN32</f>
        <v>1306.8389999999999</v>
      </c>
      <c r="AP32" s="26">
        <v>1116.3389999999999</v>
      </c>
      <c r="AQ32" s="26">
        <v>1115.5260000000001</v>
      </c>
      <c r="AR32" s="26">
        <v>1114.5940000000001</v>
      </c>
      <c r="AS32" s="26">
        <v>1504</v>
      </c>
      <c r="AT32" s="270">
        <f>AS32</f>
        <v>1504</v>
      </c>
      <c r="AU32" s="355">
        <f>'Other Accts'!AU33</f>
        <v>1504</v>
      </c>
      <c r="AV32" s="26">
        <f>'Other Accts'!AV33</f>
        <v>1504</v>
      </c>
      <c r="AW32" s="26">
        <f>'Other Accts'!AW33</f>
        <v>1504</v>
      </c>
      <c r="AX32" s="26">
        <f>'Other Accts'!AX33</f>
        <v>1504</v>
      </c>
      <c r="AY32" s="270">
        <f>AX32</f>
        <v>1504</v>
      </c>
      <c r="AZ32" s="26">
        <f>'Other Accts'!AZ33</f>
        <v>1504</v>
      </c>
      <c r="BA32" s="26">
        <f>'Other Accts'!BA33</f>
        <v>1504</v>
      </c>
      <c r="BB32" s="26">
        <f>'Other Accts'!BB33</f>
        <v>1504</v>
      </c>
      <c r="BC32" s="26">
        <f>'Other Accts'!BC33</f>
        <v>1015.4159999999999</v>
      </c>
      <c r="BD32" s="270">
        <f>BC32</f>
        <v>1015.4159999999999</v>
      </c>
      <c r="BE32" s="26">
        <f>'Other Accts'!BE33</f>
        <v>1015.4159999999999</v>
      </c>
      <c r="BF32" s="26">
        <f>'Other Accts'!BF33</f>
        <v>1015.4159999999999</v>
      </c>
      <c r="BG32" s="26">
        <f>'Other Accts'!BG33</f>
        <v>1015.4159999999999</v>
      </c>
      <c r="BH32" s="26">
        <f>'Other Accts'!BH33</f>
        <v>1015.4159999999999</v>
      </c>
      <c r="BI32" s="270">
        <f>BH32</f>
        <v>1015.4159999999999</v>
      </c>
      <c r="BJ32" s="26">
        <f>'Other Accts'!BJ33</f>
        <v>1015.4159999999999</v>
      </c>
      <c r="BK32" s="26">
        <f>'Other Accts'!BK33</f>
        <v>1015.4159999999999</v>
      </c>
      <c r="BL32" s="26">
        <f>'Other Accts'!BL33</f>
        <v>1015.4159999999999</v>
      </c>
      <c r="BM32" s="26">
        <f>'Other Accts'!BM33</f>
        <v>1015.4159999999999</v>
      </c>
      <c r="BN32" s="270">
        <f>BM32</f>
        <v>1015.4159999999999</v>
      </c>
      <c r="BO32" s="26">
        <f>'Other Accts'!BO33</f>
        <v>1015.4159999999999</v>
      </c>
      <c r="BP32" s="26">
        <f>'Other Accts'!BP33</f>
        <v>1015.4159999999999</v>
      </c>
      <c r="BQ32" s="26">
        <f>'Other Accts'!BQ33</f>
        <v>1015.4159999999999</v>
      </c>
      <c r="BR32" s="26">
        <f>'Other Accts'!BR33</f>
        <v>1015.4159999999999</v>
      </c>
      <c r="BS32" s="270">
        <f>BR32</f>
        <v>1015.4159999999999</v>
      </c>
      <c r="BT32" s="26">
        <f>'Other Accts'!BT33</f>
        <v>387.92199999999997</v>
      </c>
      <c r="BU32" s="26">
        <f>'Other Accts'!BU33</f>
        <v>387.92199999999997</v>
      </c>
      <c r="BV32" s="26">
        <f>'Other Accts'!BV33</f>
        <v>387.92199999999997</v>
      </c>
      <c r="BW32" s="26">
        <f>'Other Accts'!BW33</f>
        <v>387.92199999999997</v>
      </c>
      <c r="BX32" s="270">
        <f>BW32</f>
        <v>387.92199999999997</v>
      </c>
      <c r="BY32" s="26">
        <f>'Other Accts'!BY33</f>
        <v>390.339</v>
      </c>
      <c r="BZ32" s="26">
        <f>'Other Accts'!BZ33</f>
        <v>390.339</v>
      </c>
      <c r="CA32" s="26">
        <f>'Other Accts'!CA33</f>
        <v>390.339</v>
      </c>
      <c r="CB32" s="26">
        <f>'Other Accts'!CB33</f>
        <v>390.339</v>
      </c>
      <c r="CC32" s="270">
        <f>CB32</f>
        <v>390.339</v>
      </c>
      <c r="CD32" s="26">
        <f>'Other Accts'!CD33</f>
        <v>390.339</v>
      </c>
      <c r="CE32" s="26">
        <f>'Other Accts'!CE33</f>
        <v>0</v>
      </c>
      <c r="CF32" s="26">
        <f>'Other Accts'!CF33</f>
        <v>0</v>
      </c>
      <c r="CG32" s="26">
        <f>'Other Accts'!CG33</f>
        <v>0</v>
      </c>
      <c r="CH32" s="270">
        <f>CG32</f>
        <v>0</v>
      </c>
      <c r="CI32" s="26">
        <f>'Other Accts'!CI33</f>
        <v>0</v>
      </c>
      <c r="CJ32" s="26">
        <f>'Other Accts'!CJ33</f>
        <v>0</v>
      </c>
      <c r="CK32" s="26">
        <f>'Other Accts'!CK33</f>
        <v>0</v>
      </c>
      <c r="CL32" s="26">
        <f>'Other Accts'!CL33</f>
        <v>0</v>
      </c>
      <c r="CM32" s="270">
        <f>CL32</f>
        <v>0</v>
      </c>
    </row>
    <row r="33" spans="1:91" s="16" customFormat="1" ht="12.75" customHeight="1">
      <c r="A33" s="16" t="s">
        <v>44</v>
      </c>
      <c r="E33" s="26">
        <v>0</v>
      </c>
      <c r="F33" s="270">
        <f>E33</f>
        <v>0</v>
      </c>
      <c r="G33" s="26"/>
      <c r="H33" s="26"/>
      <c r="I33" s="26">
        <v>0</v>
      </c>
      <c r="J33" s="26">
        <v>0</v>
      </c>
      <c r="K33" s="270">
        <f>J33</f>
        <v>0</v>
      </c>
      <c r="L33" s="26">
        <v>0</v>
      </c>
      <c r="M33" s="26">
        <v>1.2350000000000001</v>
      </c>
      <c r="N33" s="26">
        <v>0</v>
      </c>
      <c r="O33" s="26">
        <v>0</v>
      </c>
      <c r="P33" s="270">
        <f>O33</f>
        <v>0</v>
      </c>
      <c r="Q33" s="26">
        <v>0</v>
      </c>
      <c r="R33" s="26">
        <v>0</v>
      </c>
      <c r="S33" s="26">
        <v>0</v>
      </c>
      <c r="T33" s="26">
        <v>0</v>
      </c>
      <c r="U33" s="270">
        <f>T33</f>
        <v>0</v>
      </c>
      <c r="V33" s="26">
        <v>0</v>
      </c>
      <c r="W33" s="26">
        <v>0</v>
      </c>
      <c r="X33" s="26">
        <v>0</v>
      </c>
      <c r="Y33" s="26">
        <v>0</v>
      </c>
      <c r="Z33" s="270">
        <f>Y33</f>
        <v>0</v>
      </c>
      <c r="AA33" s="26">
        <v>0</v>
      </c>
      <c r="AB33" s="26">
        <v>0</v>
      </c>
      <c r="AC33" s="26">
        <v>0</v>
      </c>
      <c r="AD33" s="26">
        <v>0</v>
      </c>
      <c r="AE33" s="270">
        <f>AD33</f>
        <v>0</v>
      </c>
      <c r="AF33" s="26">
        <v>0</v>
      </c>
      <c r="AG33" s="26">
        <v>0</v>
      </c>
      <c r="AH33" s="26">
        <v>0</v>
      </c>
      <c r="AI33" s="26">
        <v>0</v>
      </c>
      <c r="AJ33" s="270">
        <f>AI33</f>
        <v>0</v>
      </c>
      <c r="AK33" s="26">
        <v>0</v>
      </c>
      <c r="AL33" s="26">
        <v>0</v>
      </c>
      <c r="AM33" s="26">
        <v>0</v>
      </c>
      <c r="AN33" s="26">
        <v>0</v>
      </c>
      <c r="AO33" s="270">
        <f>AN33</f>
        <v>0</v>
      </c>
      <c r="AP33" s="26">
        <v>0</v>
      </c>
      <c r="AQ33" s="26">
        <v>0</v>
      </c>
      <c r="AR33" s="26">
        <v>0</v>
      </c>
      <c r="AS33" s="26">
        <v>0</v>
      </c>
      <c r="AT33" s="270">
        <f>AS33</f>
        <v>0</v>
      </c>
      <c r="AU33" s="355">
        <f>AT33+CF!AU10</f>
        <v>0</v>
      </c>
      <c r="AV33" s="26">
        <f>AU33+CF!AV10</f>
        <v>0</v>
      </c>
      <c r="AW33" s="26">
        <f>AV33+CF!AW10</f>
        <v>0</v>
      </c>
      <c r="AX33" s="26">
        <f>AW33+CF!AX10</f>
        <v>0</v>
      </c>
      <c r="AY33" s="270">
        <f>AX33</f>
        <v>0</v>
      </c>
      <c r="AZ33" s="26">
        <f>AY33+CF!AZ10</f>
        <v>0</v>
      </c>
      <c r="BA33" s="26">
        <f>AZ33+CF!BA10</f>
        <v>0</v>
      </c>
      <c r="BB33" s="26">
        <f>BA33+CF!BB10</f>
        <v>0</v>
      </c>
      <c r="BC33" s="26">
        <f>BB33+CF!BC10</f>
        <v>0</v>
      </c>
      <c r="BD33" s="270">
        <f>BC33</f>
        <v>0</v>
      </c>
      <c r="BE33" s="26">
        <f>BD33+CF!BE10</f>
        <v>0</v>
      </c>
      <c r="BF33" s="26">
        <f>BE33+CF!BF10</f>
        <v>0</v>
      </c>
      <c r="BG33" s="26">
        <f>BF33+CF!BG10</f>
        <v>0</v>
      </c>
      <c r="BH33" s="26">
        <f>BG33+CF!BH10</f>
        <v>0</v>
      </c>
      <c r="BI33" s="270">
        <f>BH33</f>
        <v>0</v>
      </c>
      <c r="BJ33" s="26">
        <f>BI33+CF!BJ10</f>
        <v>0</v>
      </c>
      <c r="BK33" s="26">
        <f>BJ33+CF!BK10</f>
        <v>0</v>
      </c>
      <c r="BL33" s="26">
        <f>BK33+CF!BL10</f>
        <v>0</v>
      </c>
      <c r="BM33" s="26">
        <f>BL33+CF!BM10</f>
        <v>0</v>
      </c>
      <c r="BN33" s="270">
        <f>BM33</f>
        <v>0</v>
      </c>
      <c r="BO33" s="26">
        <f>BN33+CF!BO10</f>
        <v>0</v>
      </c>
      <c r="BP33" s="26">
        <f>BO33+CF!BP10</f>
        <v>0</v>
      </c>
      <c r="BQ33" s="26">
        <f>BP33+CF!BQ10</f>
        <v>0</v>
      </c>
      <c r="BR33" s="26">
        <f>BQ33+CF!BR10</f>
        <v>0</v>
      </c>
      <c r="BS33" s="270">
        <f>BR33</f>
        <v>0</v>
      </c>
      <c r="BT33" s="26">
        <f>BS33+CF!BT10</f>
        <v>0</v>
      </c>
      <c r="BU33" s="26">
        <f>BT33+CF!BU10</f>
        <v>0</v>
      </c>
      <c r="BV33" s="26">
        <f>BU33+CF!BV10</f>
        <v>0</v>
      </c>
      <c r="BW33" s="26">
        <f>BV33+CF!BW10</f>
        <v>0</v>
      </c>
      <c r="BX33" s="270">
        <f>BW33</f>
        <v>0</v>
      </c>
      <c r="BY33" s="26">
        <f>BX33+CF!BY10</f>
        <v>0</v>
      </c>
      <c r="BZ33" s="26">
        <f>BY33+CF!BZ10</f>
        <v>0</v>
      </c>
      <c r="CA33" s="26">
        <f>BZ33+CF!CA10</f>
        <v>0</v>
      </c>
      <c r="CB33" s="26">
        <f>CA33+CF!CB10</f>
        <v>0</v>
      </c>
      <c r="CC33" s="270">
        <f>CB33</f>
        <v>0</v>
      </c>
      <c r="CD33" s="26">
        <f>CC33+CF!CD10</f>
        <v>0</v>
      </c>
      <c r="CE33" s="26">
        <f>CD33+CF!CE10</f>
        <v>0</v>
      </c>
      <c r="CF33" s="26">
        <f>CE33+CF!CF10</f>
        <v>0</v>
      </c>
      <c r="CG33" s="26">
        <f>CF33+CF!CG10</f>
        <v>0</v>
      </c>
      <c r="CH33" s="270">
        <f>CG33</f>
        <v>0</v>
      </c>
      <c r="CI33" s="26">
        <f>CH33+CF!CI10</f>
        <v>0</v>
      </c>
      <c r="CJ33" s="26">
        <f>CI33+CF!CJ10</f>
        <v>0</v>
      </c>
      <c r="CK33" s="26">
        <f>CJ33+CF!CK10</f>
        <v>0</v>
      </c>
      <c r="CL33" s="26">
        <f>CK33+CF!CL10</f>
        <v>0</v>
      </c>
      <c r="CM33" s="270">
        <f>CL33</f>
        <v>0</v>
      </c>
    </row>
    <row r="34" spans="1:91" s="16" customFormat="1" ht="12.75" customHeight="1">
      <c r="A34" s="16" t="s">
        <v>45</v>
      </c>
      <c r="E34" s="26">
        <f>7.708+0</f>
        <v>7.7080000000000002</v>
      </c>
      <c r="F34" s="270">
        <f>E34</f>
        <v>7.7080000000000002</v>
      </c>
      <c r="G34" s="26"/>
      <c r="H34" s="26"/>
      <c r="I34" s="26">
        <f>7.446+0.206</f>
        <v>7.6520000000000001</v>
      </c>
      <c r="J34" s="26">
        <f>7.338+0.206</f>
        <v>7.5440000000000005</v>
      </c>
      <c r="K34" s="270">
        <f>J34</f>
        <v>7.5440000000000005</v>
      </c>
      <c r="L34" s="26">
        <f>7.12+0.15</f>
        <v>7.2700000000000005</v>
      </c>
      <c r="M34" s="26">
        <f>7.136+1.303</f>
        <v>8.4390000000000001</v>
      </c>
      <c r="N34" s="26">
        <f>6.78+1.22</f>
        <v>8</v>
      </c>
      <c r="O34" s="26">
        <f>6.88+1.672</f>
        <v>8.5519999999999996</v>
      </c>
      <c r="P34" s="270">
        <f>O34</f>
        <v>8.5519999999999996</v>
      </c>
      <c r="Q34" s="26">
        <v>1.4590000000000001</v>
      </c>
      <c r="R34" s="26">
        <v>1.3819999999999999</v>
      </c>
      <c r="S34" s="26">
        <v>1.8560000000000001</v>
      </c>
      <c r="T34" s="26">
        <v>1.52</v>
      </c>
      <c r="U34" s="270">
        <f>T34</f>
        <v>1.52</v>
      </c>
      <c r="V34" s="26">
        <v>1.651</v>
      </c>
      <c r="W34" s="26">
        <v>2.4860000000000002</v>
      </c>
      <c r="X34" s="26">
        <v>3.4239999999999999</v>
      </c>
      <c r="Y34" s="26">
        <v>3.9329999999999998</v>
      </c>
      <c r="Z34" s="270">
        <f>Y34</f>
        <v>3.9329999999999998</v>
      </c>
      <c r="AA34" s="26">
        <v>6.9089999999999998</v>
      </c>
      <c r="AB34" s="26">
        <v>9.2870000000000008</v>
      </c>
      <c r="AC34" s="26">
        <v>6.9880000000000004</v>
      </c>
      <c r="AD34" s="26">
        <v>9.1790000000000003</v>
      </c>
      <c r="AE34" s="270">
        <f>AD34</f>
        <v>9.1790000000000003</v>
      </c>
      <c r="AF34" s="26">
        <v>9.1359999999999992</v>
      </c>
      <c r="AG34" s="26">
        <v>9.4499999999999993</v>
      </c>
      <c r="AH34" s="26">
        <v>10.182</v>
      </c>
      <c r="AI34" s="26">
        <v>96.006</v>
      </c>
      <c r="AJ34" s="270">
        <f>AI34</f>
        <v>96.006</v>
      </c>
      <c r="AK34" s="26">
        <v>96.786000000000001</v>
      </c>
      <c r="AL34" s="26">
        <v>95.933999999999997</v>
      </c>
      <c r="AM34" s="26">
        <f>89.446</f>
        <v>89.445999999999998</v>
      </c>
      <c r="AN34" s="26">
        <v>92.834000000000003</v>
      </c>
      <c r="AO34" s="270">
        <f>AN34</f>
        <v>92.834000000000003</v>
      </c>
      <c r="AP34" s="26">
        <f>160.378+92.545</f>
        <v>252.923</v>
      </c>
      <c r="AQ34" s="26">
        <f>192.348+91.17</f>
        <v>283.51800000000003</v>
      </c>
      <c r="AR34" s="26">
        <f>185.387+94.359</f>
        <v>279.74599999999998</v>
      </c>
      <c r="AS34" s="26">
        <f>178.463+127.773</f>
        <v>306.23599999999999</v>
      </c>
      <c r="AT34" s="270">
        <f>AS34</f>
        <v>306.23599999999999</v>
      </c>
      <c r="AU34" s="355">
        <f>AT34</f>
        <v>306.23599999999999</v>
      </c>
      <c r="AV34" s="26">
        <f>AU34</f>
        <v>306.23599999999999</v>
      </c>
      <c r="AW34" s="26">
        <f>AV34</f>
        <v>306.23599999999999</v>
      </c>
      <c r="AX34" s="26">
        <f>AW34</f>
        <v>306.23599999999999</v>
      </c>
      <c r="AY34" s="270">
        <f>AX34</f>
        <v>306.23599999999999</v>
      </c>
      <c r="AZ34" s="26">
        <f>AY34</f>
        <v>306.23599999999999</v>
      </c>
      <c r="BA34" s="26">
        <f>AZ34</f>
        <v>306.23599999999999</v>
      </c>
      <c r="BB34" s="26">
        <f>BA34</f>
        <v>306.23599999999999</v>
      </c>
      <c r="BC34" s="26">
        <f>BB34</f>
        <v>306.23599999999999</v>
      </c>
      <c r="BD34" s="270">
        <f>BC34</f>
        <v>306.23599999999999</v>
      </c>
      <c r="BE34" s="26">
        <f>BD34</f>
        <v>306.23599999999999</v>
      </c>
      <c r="BF34" s="26">
        <f>BE34</f>
        <v>306.23599999999999</v>
      </c>
      <c r="BG34" s="26">
        <f>BF34</f>
        <v>306.23599999999999</v>
      </c>
      <c r="BH34" s="26">
        <f>BG34</f>
        <v>306.23599999999999</v>
      </c>
      <c r="BI34" s="270">
        <f>BH34</f>
        <v>306.23599999999999</v>
      </c>
      <c r="BJ34" s="26">
        <f>BI34</f>
        <v>306.23599999999999</v>
      </c>
      <c r="BK34" s="26">
        <f>BJ34</f>
        <v>306.23599999999999</v>
      </c>
      <c r="BL34" s="26">
        <f>BK34</f>
        <v>306.23599999999999</v>
      </c>
      <c r="BM34" s="26">
        <f>BL34</f>
        <v>306.23599999999999</v>
      </c>
      <c r="BN34" s="270">
        <f>BM34</f>
        <v>306.23599999999999</v>
      </c>
      <c r="BO34" s="26">
        <f>BN34</f>
        <v>306.23599999999999</v>
      </c>
      <c r="BP34" s="26">
        <f>BO34</f>
        <v>306.23599999999999</v>
      </c>
      <c r="BQ34" s="26">
        <f>BP34</f>
        <v>306.23599999999999</v>
      </c>
      <c r="BR34" s="26">
        <f>BQ34</f>
        <v>306.23599999999999</v>
      </c>
      <c r="BS34" s="270">
        <f>BR34</f>
        <v>306.23599999999999</v>
      </c>
      <c r="BT34" s="26">
        <f>BS34</f>
        <v>306.23599999999999</v>
      </c>
      <c r="BU34" s="26">
        <f>BT34</f>
        <v>306.23599999999999</v>
      </c>
      <c r="BV34" s="26">
        <f>BU34</f>
        <v>306.23599999999999</v>
      </c>
      <c r="BW34" s="26">
        <f>BV34</f>
        <v>306.23599999999999</v>
      </c>
      <c r="BX34" s="270">
        <f>BW34</f>
        <v>306.23599999999999</v>
      </c>
      <c r="BY34" s="26">
        <f>BX34</f>
        <v>306.23599999999999</v>
      </c>
      <c r="BZ34" s="26">
        <f>BY34</f>
        <v>306.23599999999999</v>
      </c>
      <c r="CA34" s="26">
        <f>BZ34</f>
        <v>306.23599999999999</v>
      </c>
      <c r="CB34" s="26">
        <f>CA34</f>
        <v>306.23599999999999</v>
      </c>
      <c r="CC34" s="270">
        <f>CB34</f>
        <v>306.23599999999999</v>
      </c>
      <c r="CD34" s="26">
        <f>CC34</f>
        <v>306.23599999999999</v>
      </c>
      <c r="CE34" s="26">
        <f>CD34</f>
        <v>306.23599999999999</v>
      </c>
      <c r="CF34" s="26">
        <f>CE34</f>
        <v>306.23599999999999</v>
      </c>
      <c r="CG34" s="26">
        <f>CF34</f>
        <v>306.23599999999999</v>
      </c>
      <c r="CH34" s="270">
        <f>CG34</f>
        <v>306.23599999999999</v>
      </c>
      <c r="CI34" s="26">
        <f>CH34</f>
        <v>306.23599999999999</v>
      </c>
      <c r="CJ34" s="26">
        <f>CI34</f>
        <v>306.23599999999999</v>
      </c>
      <c r="CK34" s="26">
        <f>CJ34</f>
        <v>306.23599999999999</v>
      </c>
      <c r="CL34" s="26">
        <f>CK34</f>
        <v>306.23599999999999</v>
      </c>
      <c r="CM34" s="270">
        <f>CL34</f>
        <v>306.23599999999999</v>
      </c>
    </row>
    <row r="35" spans="1:91" s="15" customFormat="1" ht="12.75" customHeight="1">
      <c r="A35" s="15" t="s">
        <v>46</v>
      </c>
      <c r="E35" s="170">
        <f>SUM(E32:E34)</f>
        <v>14.705</v>
      </c>
      <c r="F35" s="253">
        <f>E35</f>
        <v>14.705</v>
      </c>
      <c r="G35" s="170"/>
      <c r="H35" s="170"/>
      <c r="I35" s="170">
        <f>SUM(I32:I34)</f>
        <v>15.411999999999999</v>
      </c>
      <c r="J35" s="170">
        <f>SUM(J32:J34)</f>
        <v>15.507000000000001</v>
      </c>
      <c r="K35" s="253">
        <f>J35</f>
        <v>15.507000000000001</v>
      </c>
      <c r="L35" s="170">
        <f>SUM(L32:L34)</f>
        <v>16.344999999999999</v>
      </c>
      <c r="M35" s="170">
        <f>SUM(M32:M34)</f>
        <v>20.666</v>
      </c>
      <c r="N35" s="170">
        <f>SUM(N32:N34)</f>
        <v>18.621000000000002</v>
      </c>
      <c r="O35" s="170">
        <f>SUM(O32:O34)</f>
        <v>41.808</v>
      </c>
      <c r="P35" s="253">
        <f>O35</f>
        <v>41.808</v>
      </c>
      <c r="Q35" s="170">
        <f>SUM(Q32:Q34)</f>
        <v>35.232000000000006</v>
      </c>
      <c r="R35" s="170">
        <f>SUM(R32:R34)</f>
        <v>42.498999999999995</v>
      </c>
      <c r="S35" s="170">
        <f>SUM(S32:S34)</f>
        <v>41.538000000000004</v>
      </c>
      <c r="T35" s="170">
        <f>SUM(T32:T34)</f>
        <v>849.37699999999995</v>
      </c>
      <c r="U35" s="253">
        <f>T35</f>
        <v>849.37699999999995</v>
      </c>
      <c r="V35" s="170">
        <f>SUM(V32:V34)</f>
        <v>1344.7939999999999</v>
      </c>
      <c r="W35" s="170">
        <f>SUM(W32:W34)</f>
        <v>1347.808</v>
      </c>
      <c r="X35" s="170">
        <f>SUM(X32:X34)</f>
        <v>1354.41</v>
      </c>
      <c r="Y35" s="170">
        <f>SUM(Y32:Y34)</f>
        <v>1364.8069999999998</v>
      </c>
      <c r="Z35" s="253">
        <f>Y35</f>
        <v>1364.8069999999998</v>
      </c>
      <c r="AA35" s="170">
        <f t="shared" ref="AA35:AI35" si="117">SUM(AA32:AA34)</f>
        <v>1367.749</v>
      </c>
      <c r="AB35" s="170">
        <f t="shared" si="117"/>
        <v>1366.895</v>
      </c>
      <c r="AC35" s="170">
        <f t="shared" si="117"/>
        <v>1359.91</v>
      </c>
      <c r="AD35" s="170">
        <f t="shared" si="117"/>
        <v>1356.585</v>
      </c>
      <c r="AE35" s="253">
        <f t="shared" si="117"/>
        <v>1356.585</v>
      </c>
      <c r="AF35" s="170">
        <f t="shared" si="117"/>
        <v>1352.027</v>
      </c>
      <c r="AG35" s="170">
        <f t="shared" si="117"/>
        <v>1346.3580000000002</v>
      </c>
      <c r="AH35" s="170">
        <f t="shared" si="117"/>
        <v>1342.1809999999998</v>
      </c>
      <c r="AI35" s="170">
        <f t="shared" si="117"/>
        <v>1421.82</v>
      </c>
      <c r="AJ35" s="253">
        <f>AI35</f>
        <v>1421.82</v>
      </c>
      <c r="AK35" s="170">
        <f>SUM(AK32:AK34)</f>
        <v>1416.3040000000001</v>
      </c>
      <c r="AL35" s="170">
        <f>SUM(AL32:AL34)</f>
        <v>1409.384</v>
      </c>
      <c r="AM35" s="170">
        <f>SUM(AM32:AM34)</f>
        <v>1401.4780000000001</v>
      </c>
      <c r="AN35" s="170">
        <f>SUM(AN32:AN34)</f>
        <v>1399.673</v>
      </c>
      <c r="AO35" s="253">
        <f>AN35</f>
        <v>1399.673</v>
      </c>
      <c r="AP35" s="170">
        <f>SUM(AP32:AP34)</f>
        <v>1369.2619999999999</v>
      </c>
      <c r="AQ35" s="170">
        <f>SUM(AQ32:AQ34)</f>
        <v>1399.0440000000001</v>
      </c>
      <c r="AR35" s="170">
        <f>SUM(AR32:AR34)</f>
        <v>1394.3400000000001</v>
      </c>
      <c r="AS35" s="170">
        <f>SUM(AS32:AS34)</f>
        <v>1810.2359999999999</v>
      </c>
      <c r="AT35" s="253">
        <f>AS35</f>
        <v>1810.2359999999999</v>
      </c>
      <c r="AU35" s="356">
        <f>SUM(AU32:AU34)</f>
        <v>1810.2359999999999</v>
      </c>
      <c r="AV35" s="170">
        <f>SUM(AV32:AV34)</f>
        <v>1810.2359999999999</v>
      </c>
      <c r="AW35" s="170">
        <f>SUM(AW32:AW34)</f>
        <v>1810.2359999999999</v>
      </c>
      <c r="AX35" s="170">
        <f>SUM(AX32:AX34)</f>
        <v>1810.2359999999999</v>
      </c>
      <c r="AY35" s="253">
        <f>AX35</f>
        <v>1810.2359999999999</v>
      </c>
      <c r="AZ35" s="170">
        <f>SUM(AZ32:AZ34)</f>
        <v>1810.2359999999999</v>
      </c>
      <c r="BA35" s="170">
        <f>SUM(BA32:BA34)</f>
        <v>1810.2359999999999</v>
      </c>
      <c r="BB35" s="170">
        <f>SUM(BB32:BB34)</f>
        <v>1810.2359999999999</v>
      </c>
      <c r="BC35" s="170">
        <f>SUM(BC32:BC34)</f>
        <v>1321.652</v>
      </c>
      <c r="BD35" s="253">
        <f>BC35</f>
        <v>1321.652</v>
      </c>
      <c r="BE35" s="170">
        <f>SUM(BE32:BE34)</f>
        <v>1321.652</v>
      </c>
      <c r="BF35" s="170">
        <f>SUM(BF32:BF34)</f>
        <v>1321.652</v>
      </c>
      <c r="BG35" s="170">
        <f>SUM(BG32:BG34)</f>
        <v>1321.652</v>
      </c>
      <c r="BH35" s="170">
        <f>SUM(BH32:BH34)</f>
        <v>1321.652</v>
      </c>
      <c r="BI35" s="253">
        <f>BH35</f>
        <v>1321.652</v>
      </c>
      <c r="BJ35" s="170">
        <f>SUM(BJ32:BJ34)</f>
        <v>1321.652</v>
      </c>
      <c r="BK35" s="170">
        <f>SUM(BK32:BK34)</f>
        <v>1321.652</v>
      </c>
      <c r="BL35" s="170">
        <f>SUM(BL32:BL34)</f>
        <v>1321.652</v>
      </c>
      <c r="BM35" s="170">
        <f>SUM(BM32:BM34)</f>
        <v>1321.652</v>
      </c>
      <c r="BN35" s="253">
        <f>BM35</f>
        <v>1321.652</v>
      </c>
      <c r="BO35" s="170">
        <f>SUM(BO32:BO34)</f>
        <v>1321.652</v>
      </c>
      <c r="BP35" s="170">
        <f>SUM(BP32:BP34)</f>
        <v>1321.652</v>
      </c>
      <c r="BQ35" s="170">
        <f>SUM(BQ32:BQ34)</f>
        <v>1321.652</v>
      </c>
      <c r="BR35" s="170">
        <f>SUM(BR32:BR34)</f>
        <v>1321.652</v>
      </c>
      <c r="BS35" s="253">
        <f>BR35</f>
        <v>1321.652</v>
      </c>
      <c r="BT35" s="170">
        <f>SUM(BT32:BT34)</f>
        <v>694.1579999999999</v>
      </c>
      <c r="BU35" s="170">
        <f>SUM(BU32:BU34)</f>
        <v>694.1579999999999</v>
      </c>
      <c r="BV35" s="170">
        <f>SUM(BV32:BV34)</f>
        <v>694.1579999999999</v>
      </c>
      <c r="BW35" s="170">
        <f>SUM(BW32:BW34)</f>
        <v>694.1579999999999</v>
      </c>
      <c r="BX35" s="253">
        <f>BW35</f>
        <v>694.1579999999999</v>
      </c>
      <c r="BY35" s="170">
        <f>SUM(BY32:BY34)</f>
        <v>696.57500000000005</v>
      </c>
      <c r="BZ35" s="170">
        <f>SUM(BZ32:BZ34)</f>
        <v>696.57500000000005</v>
      </c>
      <c r="CA35" s="170">
        <f>SUM(CA32:CA34)</f>
        <v>696.57500000000005</v>
      </c>
      <c r="CB35" s="170">
        <f>SUM(CB32:CB34)</f>
        <v>696.57500000000005</v>
      </c>
      <c r="CC35" s="253">
        <f>CB35</f>
        <v>696.57500000000005</v>
      </c>
      <c r="CD35" s="170">
        <f>SUM(CD32:CD34)</f>
        <v>696.57500000000005</v>
      </c>
      <c r="CE35" s="170">
        <f>SUM(CE32:CE34)</f>
        <v>306.23599999999999</v>
      </c>
      <c r="CF35" s="170">
        <f>SUM(CF32:CF34)</f>
        <v>306.23599999999999</v>
      </c>
      <c r="CG35" s="170">
        <f>SUM(CG32:CG34)</f>
        <v>306.23599999999999</v>
      </c>
      <c r="CH35" s="253">
        <f>CG35</f>
        <v>306.23599999999999</v>
      </c>
      <c r="CI35" s="170">
        <f>SUM(CI32:CI34)</f>
        <v>306.23599999999999</v>
      </c>
      <c r="CJ35" s="170">
        <f>SUM(CJ32:CJ34)</f>
        <v>306.23599999999999</v>
      </c>
      <c r="CK35" s="170">
        <f>SUM(CK32:CK34)</f>
        <v>306.23599999999999</v>
      </c>
      <c r="CL35" s="170">
        <f>SUM(CL32:CL34)</f>
        <v>306.23599999999999</v>
      </c>
      <c r="CM35" s="253">
        <f>CL35</f>
        <v>306.23599999999999</v>
      </c>
    </row>
    <row r="36" spans="1:91" s="16" customFormat="1" ht="12.75" customHeight="1">
      <c r="E36" s="26"/>
      <c r="F36" s="270"/>
      <c r="G36" s="26"/>
      <c r="H36" s="26"/>
      <c r="I36" s="26"/>
      <c r="J36" s="26"/>
      <c r="K36" s="270"/>
      <c r="L36" s="26"/>
      <c r="M36" s="26"/>
      <c r="N36" s="26"/>
      <c r="O36" s="26"/>
      <c r="P36" s="270"/>
      <c r="Q36" s="26"/>
      <c r="R36" s="26"/>
      <c r="S36" s="26"/>
      <c r="T36" s="26"/>
      <c r="U36" s="270"/>
      <c r="V36" s="26"/>
      <c r="W36" s="26"/>
      <c r="X36" s="26"/>
      <c r="Y36" s="26"/>
      <c r="Z36" s="270"/>
      <c r="AA36" s="26"/>
      <c r="AB36" s="26"/>
      <c r="AC36" s="26"/>
      <c r="AD36" s="26"/>
      <c r="AE36" s="270"/>
      <c r="AF36" s="26"/>
      <c r="AG36" s="26"/>
      <c r="AH36" s="26"/>
      <c r="AI36" s="26"/>
      <c r="AJ36" s="270"/>
      <c r="AK36" s="26"/>
      <c r="AL36" s="26"/>
      <c r="AM36" s="26"/>
      <c r="AN36" s="26"/>
      <c r="AO36" s="270"/>
      <c r="AP36" s="26"/>
      <c r="AQ36" s="26"/>
      <c r="AR36" s="26"/>
      <c r="AS36" s="26"/>
      <c r="AT36" s="270"/>
      <c r="AU36" s="355"/>
      <c r="AV36" s="26"/>
      <c r="AW36" s="26"/>
      <c r="AX36" s="26"/>
      <c r="AY36" s="270"/>
      <c r="AZ36" s="26"/>
      <c r="BA36" s="26"/>
      <c r="BB36" s="26"/>
      <c r="BC36" s="26"/>
      <c r="BD36" s="270"/>
      <c r="BE36" s="26"/>
      <c r="BF36" s="26"/>
      <c r="BG36" s="26"/>
      <c r="BH36" s="26"/>
      <c r="BI36" s="270"/>
      <c r="BJ36" s="26"/>
      <c r="BK36" s="26"/>
      <c r="BL36" s="26"/>
      <c r="BM36" s="26"/>
      <c r="BN36" s="270"/>
      <c r="BO36" s="26"/>
      <c r="BP36" s="26"/>
      <c r="BQ36" s="26"/>
      <c r="BR36" s="26"/>
      <c r="BS36" s="270"/>
      <c r="BT36" s="26"/>
      <c r="BU36" s="26"/>
      <c r="BV36" s="26"/>
      <c r="BW36" s="26"/>
      <c r="BX36" s="270"/>
      <c r="BY36" s="26"/>
      <c r="BZ36" s="26"/>
      <c r="CA36" s="26"/>
      <c r="CB36" s="26"/>
      <c r="CC36" s="270"/>
      <c r="CD36" s="26"/>
      <c r="CE36" s="26"/>
      <c r="CF36" s="26"/>
      <c r="CG36" s="26"/>
      <c r="CH36" s="270"/>
      <c r="CI36" s="26"/>
      <c r="CJ36" s="26"/>
      <c r="CK36" s="26"/>
      <c r="CL36" s="26"/>
      <c r="CM36" s="270"/>
    </row>
    <row r="37" spans="1:91" s="15" customFormat="1" ht="12.75" customHeight="1">
      <c r="A37" s="15" t="s">
        <v>47</v>
      </c>
      <c r="E37" s="170">
        <f>E35+E30</f>
        <v>34.332000000000001</v>
      </c>
      <c r="F37" s="253">
        <f>E37</f>
        <v>34.332000000000001</v>
      </c>
      <c r="G37" s="170"/>
      <c r="H37" s="170"/>
      <c r="I37" s="170">
        <f>I35+I30</f>
        <v>47.461999999999996</v>
      </c>
      <c r="J37" s="170">
        <f>J35+J30</f>
        <v>62.451000000000008</v>
      </c>
      <c r="K37" s="253">
        <f>J37</f>
        <v>62.451000000000008</v>
      </c>
      <c r="L37" s="170">
        <f>L35+L30</f>
        <v>64.537000000000006</v>
      </c>
      <c r="M37" s="170">
        <f>M35+M30</f>
        <v>77.714999999999989</v>
      </c>
      <c r="N37" s="170">
        <f>N35+N30</f>
        <v>86.438000000000017</v>
      </c>
      <c r="O37" s="170">
        <f>O35+O30</f>
        <v>114.542</v>
      </c>
      <c r="P37" s="253">
        <f>O37</f>
        <v>114.542</v>
      </c>
      <c r="Q37" s="170">
        <f>Q35+Q30</f>
        <v>117.554</v>
      </c>
      <c r="R37" s="170">
        <f>R35+R30</f>
        <v>112.547</v>
      </c>
      <c r="S37" s="170">
        <f>S35+S30</f>
        <v>113.505</v>
      </c>
      <c r="T37" s="170">
        <f>T35+T30</f>
        <v>916.18599999999992</v>
      </c>
      <c r="U37" s="253">
        <f>T37</f>
        <v>916.18599999999992</v>
      </c>
      <c r="V37" s="170">
        <f>V35+V30</f>
        <v>1440.2949999999998</v>
      </c>
      <c r="W37" s="170">
        <f>W35+W30</f>
        <v>1444.42</v>
      </c>
      <c r="X37" s="170">
        <f>X35+X30</f>
        <v>1456.7140000000002</v>
      </c>
      <c r="Y37" s="170">
        <f>Y35+Y30</f>
        <v>1559.4939999999997</v>
      </c>
      <c r="Z37" s="253">
        <f>Y37</f>
        <v>1559.4939999999997</v>
      </c>
      <c r="AA37" s="170">
        <f t="shared" ref="AA37:AI37" si="118">AA35+AA30</f>
        <v>1596.558</v>
      </c>
      <c r="AB37" s="170">
        <f t="shared" si="118"/>
        <v>1534.65</v>
      </c>
      <c r="AC37" s="170">
        <f t="shared" si="118"/>
        <v>1535.0340000000001</v>
      </c>
      <c r="AD37" s="170">
        <f t="shared" si="118"/>
        <v>1549.8050000000001</v>
      </c>
      <c r="AE37" s="253">
        <f t="shared" si="118"/>
        <v>1549.8050000000001</v>
      </c>
      <c r="AF37" s="170">
        <f t="shared" si="118"/>
        <v>1556.182</v>
      </c>
      <c r="AG37" s="170">
        <f t="shared" si="118"/>
        <v>1547.2910000000002</v>
      </c>
      <c r="AH37" s="170">
        <f t="shared" si="118"/>
        <v>1568.9319999999998</v>
      </c>
      <c r="AI37" s="170">
        <f t="shared" si="118"/>
        <v>1627.7369999999999</v>
      </c>
      <c r="AJ37" s="253">
        <f>AI37</f>
        <v>1627.7369999999999</v>
      </c>
      <c r="AK37" s="170">
        <f>AK35+AK30</f>
        <v>1636.3130000000001</v>
      </c>
      <c r="AL37" s="170">
        <f>AL35+AL30</f>
        <v>1610.953</v>
      </c>
      <c r="AM37" s="170">
        <f>AM35+AM30</f>
        <v>1598.8230000000001</v>
      </c>
      <c r="AN37" s="170">
        <f>AN35+AN30</f>
        <v>1625.2560000000001</v>
      </c>
      <c r="AO37" s="253">
        <f>AN37</f>
        <v>1625.2560000000001</v>
      </c>
      <c r="AP37" s="170">
        <f>AP35+AP30</f>
        <v>1595.0149999999999</v>
      </c>
      <c r="AQ37" s="170">
        <f t="shared" ref="AQ37" si="119">AQ35+AQ30</f>
        <v>1637.4740000000002</v>
      </c>
      <c r="AR37" s="170">
        <f t="shared" ref="AR37:AS37" si="120">AR35+AR30</f>
        <v>1631.259</v>
      </c>
      <c r="AS37" s="170">
        <f t="shared" si="120"/>
        <v>2112.9659999999999</v>
      </c>
      <c r="AT37" s="253">
        <f>AS37</f>
        <v>2112.9659999999999</v>
      </c>
      <c r="AU37" s="356">
        <f t="shared" ref="AU37:AX37" si="121">AU35+AU30</f>
        <v>2077.1151056493068</v>
      </c>
      <c r="AV37" s="170">
        <f t="shared" si="121"/>
        <v>2056.8870505252712</v>
      </c>
      <c r="AW37" s="170">
        <f t="shared" si="121"/>
        <v>2070.3424470035861</v>
      </c>
      <c r="AX37" s="170">
        <f t="shared" si="121"/>
        <v>2127.5139724900464</v>
      </c>
      <c r="AY37" s="253">
        <f>AX37</f>
        <v>2127.5139724900464</v>
      </c>
      <c r="AZ37" s="170">
        <f t="shared" ref="AZ37:BC37" si="122">AZ35+AZ30</f>
        <v>2095.5056801643218</v>
      </c>
      <c r="BA37" s="170">
        <f t="shared" si="122"/>
        <v>2066.3957185262643</v>
      </c>
      <c r="BB37" s="170">
        <f t="shared" si="122"/>
        <v>2082.9900847481522</v>
      </c>
      <c r="BC37" s="170">
        <f t="shared" si="122"/>
        <v>1671.3034933066797</v>
      </c>
      <c r="BD37" s="253">
        <f>BC37</f>
        <v>1671.3034933066797</v>
      </c>
      <c r="BE37" s="170">
        <f t="shared" ref="BE37:BH37" si="123">BE35+BE30</f>
        <v>1639.6947583915126</v>
      </c>
      <c r="BF37" s="170">
        <f t="shared" si="123"/>
        <v>1590.6661128905066</v>
      </c>
      <c r="BG37" s="170">
        <f t="shared" si="123"/>
        <v>1605.9797089034516</v>
      </c>
      <c r="BH37" s="170">
        <f t="shared" si="123"/>
        <v>1698.8361054107022</v>
      </c>
      <c r="BI37" s="253">
        <f>BH37</f>
        <v>1698.8361054107022</v>
      </c>
      <c r="BJ37" s="170">
        <f t="shared" ref="BJ37:BM37" si="124">BJ35+BJ30</f>
        <v>1681.5384098812042</v>
      </c>
      <c r="BK37" s="170">
        <f t="shared" si="124"/>
        <v>1611.311742523827</v>
      </c>
      <c r="BL37" s="170">
        <f t="shared" si="124"/>
        <v>1622.7591994171196</v>
      </c>
      <c r="BM37" s="170">
        <f t="shared" si="124"/>
        <v>1726.2497204296842</v>
      </c>
      <c r="BN37" s="253">
        <f>BM37</f>
        <v>1726.2497204296842</v>
      </c>
      <c r="BO37" s="170">
        <f t="shared" ref="BO37:BR37" si="125">BO35+BO30</f>
        <v>1699.2928664011858</v>
      </c>
      <c r="BP37" s="170">
        <f t="shared" si="125"/>
        <v>1613.4149678899107</v>
      </c>
      <c r="BQ37" s="170">
        <f t="shared" si="125"/>
        <v>1623.3039911785531</v>
      </c>
      <c r="BR37" s="170">
        <f t="shared" si="125"/>
        <v>1741.3985093993194</v>
      </c>
      <c r="BS37" s="253">
        <f>BR37</f>
        <v>1741.3985093993194</v>
      </c>
      <c r="BT37" s="170">
        <f t="shared" ref="BT37:BW37" si="126">BT35+BT30</f>
        <v>1101.3983128183631</v>
      </c>
      <c r="BU37" s="170">
        <f t="shared" si="126"/>
        <v>997.54763740569501</v>
      </c>
      <c r="BV37" s="170">
        <f t="shared" si="126"/>
        <v>1004.8755111463022</v>
      </c>
      <c r="BW37" s="170">
        <f t="shared" si="126"/>
        <v>1132.631577208851</v>
      </c>
      <c r="BX37" s="253">
        <f>BW37</f>
        <v>1132.631577208851</v>
      </c>
      <c r="BY37" s="170">
        <f t="shared" ref="BY37:CB37" si="127">BY35+BY30</f>
        <v>1115.9630897081583</v>
      </c>
      <c r="BZ37" s="170">
        <f t="shared" si="127"/>
        <v>998.22149504736797</v>
      </c>
      <c r="CA37" s="170">
        <f t="shared" si="127"/>
        <v>1003.6973774809766</v>
      </c>
      <c r="CB37" s="170">
        <f t="shared" si="127"/>
        <v>1139.3615323444922</v>
      </c>
      <c r="CC37" s="253">
        <f>CB37</f>
        <v>1139.3615323444922</v>
      </c>
      <c r="CD37" s="170">
        <f t="shared" ref="CD37:CG37" si="128">CD35+CD30</f>
        <v>1116.7258254051205</v>
      </c>
      <c r="CE37" s="170">
        <f t="shared" si="128"/>
        <v>598.92966988164233</v>
      </c>
      <c r="CF37" s="170">
        <f t="shared" si="128"/>
        <v>603.47164500772806</v>
      </c>
      <c r="CG37" s="170">
        <f t="shared" si="128"/>
        <v>747.43605176879055</v>
      </c>
      <c r="CH37" s="253">
        <f>CG37</f>
        <v>747.43605176879055</v>
      </c>
      <c r="CI37" s="170">
        <f t="shared" ref="CI37:CL37" si="129">CI35+CI30</f>
        <v>720.24540014363379</v>
      </c>
      <c r="CJ37" s="170">
        <f t="shared" si="129"/>
        <v>582.11018398478814</v>
      </c>
      <c r="CK37" s="170">
        <f t="shared" si="129"/>
        <v>584.99499290620656</v>
      </c>
      <c r="CL37" s="170">
        <f t="shared" si="129"/>
        <v>733.78453241138266</v>
      </c>
      <c r="CM37" s="253">
        <f>CL37</f>
        <v>733.78453241138266</v>
      </c>
    </row>
    <row r="38" spans="1:91" s="16" customFormat="1" ht="12.75" customHeight="1">
      <c r="E38" s="26"/>
      <c r="F38" s="270"/>
      <c r="G38" s="26"/>
      <c r="H38" s="26"/>
      <c r="I38" s="26"/>
      <c r="J38" s="26"/>
      <c r="K38" s="270"/>
      <c r="L38" s="26"/>
      <c r="M38" s="26"/>
      <c r="N38" s="26"/>
      <c r="O38" s="26"/>
      <c r="P38" s="270"/>
      <c r="Q38" s="26"/>
      <c r="R38" s="26"/>
      <c r="S38" s="26"/>
      <c r="T38" s="26"/>
      <c r="U38" s="270"/>
      <c r="V38" s="26"/>
      <c r="W38" s="26"/>
      <c r="X38" s="26"/>
      <c r="Y38" s="26"/>
      <c r="Z38" s="270"/>
      <c r="AA38" s="26"/>
      <c r="AB38" s="26"/>
      <c r="AC38" s="26"/>
      <c r="AD38" s="26"/>
      <c r="AE38" s="270"/>
      <c r="AF38" s="26"/>
      <c r="AG38" s="26"/>
      <c r="AH38" s="26"/>
      <c r="AI38" s="26"/>
      <c r="AJ38" s="270"/>
      <c r="AK38" s="26"/>
      <c r="AL38" s="26"/>
      <c r="AM38" s="26"/>
      <c r="AN38" s="26"/>
      <c r="AO38" s="270"/>
      <c r="AP38" s="26"/>
      <c r="AQ38" s="26"/>
      <c r="AR38" s="26"/>
      <c r="AS38" s="26"/>
      <c r="AT38" s="270"/>
      <c r="AU38" s="355"/>
      <c r="AV38" s="26"/>
      <c r="AW38" s="26"/>
      <c r="AX38" s="26"/>
      <c r="AY38" s="270"/>
      <c r="AZ38" s="26"/>
      <c r="BA38" s="26"/>
      <c r="BB38" s="26"/>
      <c r="BC38" s="26"/>
      <c r="BD38" s="270"/>
      <c r="BE38" s="26"/>
      <c r="BF38" s="26"/>
      <c r="BG38" s="26"/>
      <c r="BH38" s="26"/>
      <c r="BI38" s="270"/>
      <c r="BJ38" s="26"/>
      <c r="BK38" s="26"/>
      <c r="BL38" s="26"/>
      <c r="BM38" s="26"/>
      <c r="BN38" s="270"/>
      <c r="BO38" s="26"/>
      <c r="BP38" s="26"/>
      <c r="BQ38" s="26"/>
      <c r="BR38" s="26"/>
      <c r="BS38" s="270"/>
      <c r="BT38" s="26"/>
      <c r="BU38" s="26"/>
      <c r="BV38" s="26"/>
      <c r="BW38" s="26"/>
      <c r="BX38" s="270"/>
      <c r="BY38" s="26"/>
      <c r="BZ38" s="26"/>
      <c r="CA38" s="26"/>
      <c r="CB38" s="26"/>
      <c r="CC38" s="270"/>
      <c r="CD38" s="26"/>
      <c r="CE38" s="26"/>
      <c r="CF38" s="26"/>
      <c r="CG38" s="26"/>
      <c r="CH38" s="270"/>
      <c r="CI38" s="26"/>
      <c r="CJ38" s="26"/>
      <c r="CK38" s="26"/>
      <c r="CL38" s="26"/>
      <c r="CM38" s="270"/>
    </row>
    <row r="39" spans="1:91" s="16" customFormat="1" ht="12.75" customHeight="1">
      <c r="A39" s="16" t="s">
        <v>48</v>
      </c>
      <c r="E39" s="26">
        <v>499.97399999999999</v>
      </c>
      <c r="F39" s="270">
        <f t="shared" ref="F39:F46" si="130">E39</f>
        <v>499.97399999999999</v>
      </c>
      <c r="G39" s="26"/>
      <c r="H39" s="26"/>
      <c r="I39" s="26">
        <v>499.97399999999999</v>
      </c>
      <c r="J39" s="26">
        <v>0</v>
      </c>
      <c r="K39" s="270">
        <f t="shared" ref="K39:K45" si="131">J39</f>
        <v>0</v>
      </c>
      <c r="L39" s="26">
        <v>0</v>
      </c>
      <c r="M39" s="26">
        <v>0</v>
      </c>
      <c r="N39" s="26">
        <v>0</v>
      </c>
      <c r="O39" s="26">
        <v>0</v>
      </c>
      <c r="P39" s="270">
        <f t="shared" ref="P39:P45" si="132">O39</f>
        <v>0</v>
      </c>
      <c r="Q39" s="26">
        <v>0</v>
      </c>
      <c r="R39" s="26">
        <v>0</v>
      </c>
      <c r="S39" s="26">
        <v>0</v>
      </c>
      <c r="T39" s="26">
        <v>0</v>
      </c>
      <c r="U39" s="270">
        <f t="shared" ref="U39:U45" si="133">T39</f>
        <v>0</v>
      </c>
      <c r="V39" s="26">
        <v>0</v>
      </c>
      <c r="W39" s="26">
        <v>0</v>
      </c>
      <c r="X39" s="26">
        <v>0</v>
      </c>
      <c r="Y39" s="26">
        <v>0</v>
      </c>
      <c r="Z39" s="270">
        <f t="shared" ref="Z39:Z45" si="134">Y39</f>
        <v>0</v>
      </c>
      <c r="AA39" s="26">
        <v>0</v>
      </c>
      <c r="AB39" s="26">
        <v>0</v>
      </c>
      <c r="AC39" s="26">
        <v>0</v>
      </c>
      <c r="AD39" s="26">
        <v>0</v>
      </c>
      <c r="AE39" s="270">
        <f t="shared" ref="AE39:AE45" si="135">AD39</f>
        <v>0</v>
      </c>
      <c r="AF39" s="26">
        <v>0</v>
      </c>
      <c r="AG39" s="26">
        <v>0</v>
      </c>
      <c r="AH39" s="26">
        <v>0</v>
      </c>
      <c r="AI39" s="26">
        <v>0</v>
      </c>
      <c r="AJ39" s="270">
        <f t="shared" ref="AJ39:AJ45" si="136">AI39</f>
        <v>0</v>
      </c>
      <c r="AK39" s="26">
        <v>0</v>
      </c>
      <c r="AL39" s="26">
        <v>0</v>
      </c>
      <c r="AM39" s="26">
        <v>0</v>
      </c>
      <c r="AN39" s="26">
        <v>0</v>
      </c>
      <c r="AO39" s="270">
        <f t="shared" ref="AO39:AO45" si="137">AN39</f>
        <v>0</v>
      </c>
      <c r="AP39" s="26">
        <v>0</v>
      </c>
      <c r="AQ39" s="26">
        <v>0</v>
      </c>
      <c r="AR39" s="26">
        <v>0</v>
      </c>
      <c r="AS39" s="26">
        <v>0</v>
      </c>
      <c r="AT39" s="270">
        <f t="shared" ref="AT39:AT45" si="138">AS39</f>
        <v>0</v>
      </c>
      <c r="AU39" s="355">
        <f t="shared" ref="AU39:AW40" si="139">AT39</f>
        <v>0</v>
      </c>
      <c r="AV39" s="26">
        <f t="shared" si="139"/>
        <v>0</v>
      </c>
      <c r="AW39" s="26">
        <f t="shared" si="139"/>
        <v>0</v>
      </c>
      <c r="AX39" s="26">
        <f t="shared" ref="AX39:AX40" si="140">AW39</f>
        <v>0</v>
      </c>
      <c r="AY39" s="270">
        <f t="shared" ref="AY39:AY45" si="141">AX39</f>
        <v>0</v>
      </c>
      <c r="AZ39" s="26">
        <f t="shared" ref="AZ39:BB40" si="142">AY39</f>
        <v>0</v>
      </c>
      <c r="BA39" s="26">
        <f t="shared" si="142"/>
        <v>0</v>
      </c>
      <c r="BB39" s="26">
        <f t="shared" si="142"/>
        <v>0</v>
      </c>
      <c r="BC39" s="26">
        <f t="shared" ref="BC39:BC40" si="143">BB39</f>
        <v>0</v>
      </c>
      <c r="BD39" s="270">
        <f t="shared" ref="BD39:BD45" si="144">BC39</f>
        <v>0</v>
      </c>
      <c r="BE39" s="26">
        <f t="shared" ref="BE39:BG40" si="145">BD39</f>
        <v>0</v>
      </c>
      <c r="BF39" s="26">
        <f t="shared" si="145"/>
        <v>0</v>
      </c>
      <c r="BG39" s="26">
        <f t="shared" si="145"/>
        <v>0</v>
      </c>
      <c r="BH39" s="26">
        <f t="shared" ref="BH39:BH40" si="146">BG39</f>
        <v>0</v>
      </c>
      <c r="BI39" s="270">
        <f t="shared" ref="BI39:BI45" si="147">BH39</f>
        <v>0</v>
      </c>
      <c r="BJ39" s="26">
        <f t="shared" ref="BJ39:BL40" si="148">BI39</f>
        <v>0</v>
      </c>
      <c r="BK39" s="26">
        <f t="shared" si="148"/>
        <v>0</v>
      </c>
      <c r="BL39" s="26">
        <f t="shared" si="148"/>
        <v>0</v>
      </c>
      <c r="BM39" s="26">
        <f t="shared" ref="BM39:BM40" si="149">BL39</f>
        <v>0</v>
      </c>
      <c r="BN39" s="270">
        <f t="shared" ref="BN39:BN45" si="150">BM39</f>
        <v>0</v>
      </c>
      <c r="BO39" s="26">
        <f t="shared" ref="BO39:BQ40" si="151">BN39</f>
        <v>0</v>
      </c>
      <c r="BP39" s="26">
        <f t="shared" si="151"/>
        <v>0</v>
      </c>
      <c r="BQ39" s="26">
        <f t="shared" si="151"/>
        <v>0</v>
      </c>
      <c r="BR39" s="26">
        <f t="shared" ref="BR39:BR40" si="152">BQ39</f>
        <v>0</v>
      </c>
      <c r="BS39" s="270">
        <f t="shared" ref="BS39:BS45" si="153">BR39</f>
        <v>0</v>
      </c>
      <c r="BT39" s="26">
        <f t="shared" ref="BT39:BV40" si="154">BS39</f>
        <v>0</v>
      </c>
      <c r="BU39" s="26">
        <f t="shared" si="154"/>
        <v>0</v>
      </c>
      <c r="BV39" s="26">
        <f t="shared" si="154"/>
        <v>0</v>
      </c>
      <c r="BW39" s="26">
        <f t="shared" ref="BW39:BW40" si="155">BV39</f>
        <v>0</v>
      </c>
      <c r="BX39" s="270">
        <f t="shared" ref="BX39:BX45" si="156">BW39</f>
        <v>0</v>
      </c>
      <c r="BY39" s="26">
        <f t="shared" ref="BY39:CA40" si="157">BX39</f>
        <v>0</v>
      </c>
      <c r="BZ39" s="26">
        <f t="shared" si="157"/>
        <v>0</v>
      </c>
      <c r="CA39" s="26">
        <f t="shared" si="157"/>
        <v>0</v>
      </c>
      <c r="CB39" s="26">
        <f t="shared" ref="CB39:CB40" si="158">CA39</f>
        <v>0</v>
      </c>
      <c r="CC39" s="270">
        <f t="shared" ref="CC39:CC45" si="159">CB39</f>
        <v>0</v>
      </c>
      <c r="CD39" s="26">
        <f t="shared" ref="CD39:CF40" si="160">CC39</f>
        <v>0</v>
      </c>
      <c r="CE39" s="26">
        <f t="shared" si="160"/>
        <v>0</v>
      </c>
      <c r="CF39" s="26">
        <f t="shared" si="160"/>
        <v>0</v>
      </c>
      <c r="CG39" s="26">
        <f t="shared" ref="CG39:CH45" si="161">CF39</f>
        <v>0</v>
      </c>
      <c r="CH39" s="270">
        <f t="shared" si="161"/>
        <v>0</v>
      </c>
      <c r="CI39" s="26">
        <f t="shared" ref="CI39:CK40" si="162">CH39</f>
        <v>0</v>
      </c>
      <c r="CJ39" s="26">
        <f t="shared" si="162"/>
        <v>0</v>
      </c>
      <c r="CK39" s="26">
        <f t="shared" si="162"/>
        <v>0</v>
      </c>
      <c r="CL39" s="26">
        <f t="shared" ref="CL39:CM46" si="163">CK39</f>
        <v>0</v>
      </c>
      <c r="CM39" s="270">
        <f t="shared" si="163"/>
        <v>0</v>
      </c>
    </row>
    <row r="40" spans="1:91" s="16" customFormat="1" ht="12.75" customHeight="1">
      <c r="A40" s="16" t="s">
        <v>49</v>
      </c>
      <c r="E40" s="26">
        <v>0</v>
      </c>
      <c r="F40" s="270">
        <f t="shared" si="130"/>
        <v>0</v>
      </c>
      <c r="G40" s="26"/>
      <c r="H40" s="26"/>
      <c r="I40" s="26">
        <v>0</v>
      </c>
      <c r="J40" s="26">
        <v>1E-3</v>
      </c>
      <c r="K40" s="270">
        <f t="shared" si="131"/>
        <v>1E-3</v>
      </c>
      <c r="L40" s="26">
        <v>1E-3</v>
      </c>
      <c r="M40" s="26">
        <v>1E-3</v>
      </c>
      <c r="N40" s="26">
        <v>1E-3</v>
      </c>
      <c r="O40" s="26">
        <v>1E-3</v>
      </c>
      <c r="P40" s="270">
        <f t="shared" si="132"/>
        <v>1E-3</v>
      </c>
      <c r="Q40" s="26">
        <v>1E-3</v>
      </c>
      <c r="R40" s="26">
        <v>1E-3</v>
      </c>
      <c r="S40" s="26">
        <v>1E-3</v>
      </c>
      <c r="T40" s="26">
        <v>1E-3</v>
      </c>
      <c r="U40" s="270">
        <f t="shared" si="133"/>
        <v>1E-3</v>
      </c>
      <c r="V40" s="26">
        <v>1E-3</v>
      </c>
      <c r="W40" s="26">
        <v>1E-3</v>
      </c>
      <c r="X40" s="26">
        <v>1E-3</v>
      </c>
      <c r="Y40" s="26">
        <v>1E-3</v>
      </c>
      <c r="Z40" s="270">
        <f t="shared" si="134"/>
        <v>1E-3</v>
      </c>
      <c r="AA40" s="26">
        <v>1E-3</v>
      </c>
      <c r="AB40" s="26">
        <v>1E-3</v>
      </c>
      <c r="AC40" s="26">
        <v>1E-3</v>
      </c>
      <c r="AD40" s="26">
        <v>1E-3</v>
      </c>
      <c r="AE40" s="270">
        <f t="shared" si="135"/>
        <v>1E-3</v>
      </c>
      <c r="AF40" s="26">
        <v>1E-3</v>
      </c>
      <c r="AG40" s="26">
        <v>1E-3</v>
      </c>
      <c r="AH40" s="26">
        <v>1E-3</v>
      </c>
      <c r="AI40" s="26">
        <v>1E-3</v>
      </c>
      <c r="AJ40" s="270">
        <f t="shared" si="136"/>
        <v>1E-3</v>
      </c>
      <c r="AK40" s="26">
        <v>1E-3</v>
      </c>
      <c r="AL40" s="26">
        <v>1E-3</v>
      </c>
      <c r="AM40" s="26">
        <v>1E-3</v>
      </c>
      <c r="AN40" s="26">
        <v>1E-3</v>
      </c>
      <c r="AO40" s="270">
        <f t="shared" si="137"/>
        <v>1E-3</v>
      </c>
      <c r="AP40" s="26">
        <v>1E-3</v>
      </c>
      <c r="AQ40" s="26">
        <v>1E-3</v>
      </c>
      <c r="AR40" s="26">
        <v>1E-3</v>
      </c>
      <c r="AS40" s="26">
        <v>1E-3</v>
      </c>
      <c r="AT40" s="270">
        <f t="shared" si="138"/>
        <v>1E-3</v>
      </c>
      <c r="AU40" s="355">
        <f t="shared" si="139"/>
        <v>1E-3</v>
      </c>
      <c r="AV40" s="26">
        <f t="shared" si="139"/>
        <v>1E-3</v>
      </c>
      <c r="AW40" s="26">
        <f t="shared" si="139"/>
        <v>1E-3</v>
      </c>
      <c r="AX40" s="26">
        <f t="shared" si="140"/>
        <v>1E-3</v>
      </c>
      <c r="AY40" s="270">
        <f t="shared" si="141"/>
        <v>1E-3</v>
      </c>
      <c r="AZ40" s="26">
        <f t="shared" si="142"/>
        <v>1E-3</v>
      </c>
      <c r="BA40" s="26">
        <f t="shared" si="142"/>
        <v>1E-3</v>
      </c>
      <c r="BB40" s="26">
        <f t="shared" si="142"/>
        <v>1E-3</v>
      </c>
      <c r="BC40" s="26">
        <f t="shared" si="143"/>
        <v>1E-3</v>
      </c>
      <c r="BD40" s="270">
        <f t="shared" si="144"/>
        <v>1E-3</v>
      </c>
      <c r="BE40" s="26">
        <f t="shared" si="145"/>
        <v>1E-3</v>
      </c>
      <c r="BF40" s="26">
        <f t="shared" si="145"/>
        <v>1E-3</v>
      </c>
      <c r="BG40" s="26">
        <f t="shared" si="145"/>
        <v>1E-3</v>
      </c>
      <c r="BH40" s="26">
        <f t="shared" si="146"/>
        <v>1E-3</v>
      </c>
      <c r="BI40" s="270">
        <f t="shared" si="147"/>
        <v>1E-3</v>
      </c>
      <c r="BJ40" s="26">
        <f t="shared" si="148"/>
        <v>1E-3</v>
      </c>
      <c r="BK40" s="26">
        <f t="shared" si="148"/>
        <v>1E-3</v>
      </c>
      <c r="BL40" s="26">
        <f t="shared" si="148"/>
        <v>1E-3</v>
      </c>
      <c r="BM40" s="26">
        <f t="shared" si="149"/>
        <v>1E-3</v>
      </c>
      <c r="BN40" s="270">
        <f t="shared" si="150"/>
        <v>1E-3</v>
      </c>
      <c r="BO40" s="26">
        <f t="shared" si="151"/>
        <v>1E-3</v>
      </c>
      <c r="BP40" s="26">
        <f t="shared" si="151"/>
        <v>1E-3</v>
      </c>
      <c r="BQ40" s="26">
        <f t="shared" si="151"/>
        <v>1E-3</v>
      </c>
      <c r="BR40" s="26">
        <f t="shared" si="152"/>
        <v>1E-3</v>
      </c>
      <c r="BS40" s="270">
        <f t="shared" si="153"/>
        <v>1E-3</v>
      </c>
      <c r="BT40" s="26">
        <f t="shared" si="154"/>
        <v>1E-3</v>
      </c>
      <c r="BU40" s="26">
        <f t="shared" si="154"/>
        <v>1E-3</v>
      </c>
      <c r="BV40" s="26">
        <f t="shared" si="154"/>
        <v>1E-3</v>
      </c>
      <c r="BW40" s="26">
        <f t="shared" si="155"/>
        <v>1E-3</v>
      </c>
      <c r="BX40" s="270">
        <f t="shared" si="156"/>
        <v>1E-3</v>
      </c>
      <c r="BY40" s="26">
        <f t="shared" si="157"/>
        <v>1E-3</v>
      </c>
      <c r="BZ40" s="26">
        <f t="shared" si="157"/>
        <v>1E-3</v>
      </c>
      <c r="CA40" s="26">
        <f t="shared" si="157"/>
        <v>1E-3</v>
      </c>
      <c r="CB40" s="26">
        <f t="shared" si="158"/>
        <v>1E-3</v>
      </c>
      <c r="CC40" s="270">
        <f t="shared" si="159"/>
        <v>1E-3</v>
      </c>
      <c r="CD40" s="26">
        <f t="shared" si="160"/>
        <v>1E-3</v>
      </c>
      <c r="CE40" s="26">
        <f t="shared" si="160"/>
        <v>1E-3</v>
      </c>
      <c r="CF40" s="26">
        <f t="shared" si="160"/>
        <v>1E-3</v>
      </c>
      <c r="CG40" s="26">
        <f t="shared" si="161"/>
        <v>1E-3</v>
      </c>
      <c r="CH40" s="270">
        <f t="shared" si="161"/>
        <v>1E-3</v>
      </c>
      <c r="CI40" s="26">
        <f t="shared" si="162"/>
        <v>1E-3</v>
      </c>
      <c r="CJ40" s="26">
        <f t="shared" si="162"/>
        <v>1E-3</v>
      </c>
      <c r="CK40" s="26">
        <f t="shared" si="162"/>
        <v>1E-3</v>
      </c>
      <c r="CL40" s="26">
        <f t="shared" si="163"/>
        <v>1E-3</v>
      </c>
      <c r="CM40" s="270">
        <f t="shared" si="163"/>
        <v>1E-3</v>
      </c>
    </row>
    <row r="41" spans="1:91" s="16" customFormat="1" ht="12.75" customHeight="1">
      <c r="A41" s="16" t="s">
        <v>50</v>
      </c>
      <c r="E41" s="26">
        <v>4.9000000000000004</v>
      </c>
      <c r="F41" s="270">
        <f t="shared" si="130"/>
        <v>4.9000000000000004</v>
      </c>
      <c r="G41" s="26"/>
      <c r="H41" s="26"/>
      <c r="I41" s="26">
        <v>11.420999999999999</v>
      </c>
      <c r="J41" s="26">
        <v>764.03300000000002</v>
      </c>
      <c r="K41" s="270">
        <f t="shared" si="131"/>
        <v>764.03300000000002</v>
      </c>
      <c r="L41" s="26">
        <v>771.00900000000001</v>
      </c>
      <c r="M41" s="26">
        <v>1128.9380000000001</v>
      </c>
      <c r="N41" s="26">
        <v>1141.885</v>
      </c>
      <c r="O41" s="26">
        <v>1150.0899999999999</v>
      </c>
      <c r="P41" s="270">
        <f t="shared" si="132"/>
        <v>1150.0899999999999</v>
      </c>
      <c r="Q41" s="26">
        <v>1157.9449999999999</v>
      </c>
      <c r="R41" s="26">
        <v>1544.373</v>
      </c>
      <c r="S41" s="26">
        <v>1601.1880000000001</v>
      </c>
      <c r="T41" s="26">
        <v>1902.3889999999999</v>
      </c>
      <c r="U41" s="270">
        <f t="shared" si="133"/>
        <v>1902.3889999999999</v>
      </c>
      <c r="V41" s="26">
        <v>1557.954</v>
      </c>
      <c r="W41" s="26">
        <v>1597.4190000000001</v>
      </c>
      <c r="X41" s="26">
        <v>1626.9259999999999</v>
      </c>
      <c r="Y41" s="26">
        <v>1657.5930000000001</v>
      </c>
      <c r="Z41" s="270">
        <f t="shared" si="134"/>
        <v>1657.5930000000001</v>
      </c>
      <c r="AA41" s="26">
        <v>1682.4059999999999</v>
      </c>
      <c r="AB41" s="26">
        <v>1703.8320000000001</v>
      </c>
      <c r="AC41" s="26">
        <v>1716.075</v>
      </c>
      <c r="AD41" s="26">
        <v>1742.114</v>
      </c>
      <c r="AE41" s="270">
        <f t="shared" si="135"/>
        <v>1742.114</v>
      </c>
      <c r="AF41" s="26">
        <v>1763.5440000000001</v>
      </c>
      <c r="AG41" s="26">
        <v>2169.9110000000001</v>
      </c>
      <c r="AH41" s="26">
        <v>2188.797</v>
      </c>
      <c r="AI41" s="26">
        <v>2304.2199999999998</v>
      </c>
      <c r="AJ41" s="270">
        <f t="shared" si="136"/>
        <v>2304.2199999999998</v>
      </c>
      <c r="AK41" s="26">
        <v>2329.9299999999998</v>
      </c>
      <c r="AL41" s="26">
        <v>2363.5010000000002</v>
      </c>
      <c r="AM41" s="26">
        <v>2410.4160000000002</v>
      </c>
      <c r="AN41" s="26">
        <v>2443.788</v>
      </c>
      <c r="AO41" s="270">
        <f t="shared" si="137"/>
        <v>2443.788</v>
      </c>
      <c r="AP41" s="26">
        <v>2472.2719999999999</v>
      </c>
      <c r="AQ41" s="26">
        <v>2516.5500000000002</v>
      </c>
      <c r="AR41" s="26">
        <v>2560.8139999999999</v>
      </c>
      <c r="AS41" s="26">
        <v>2900.056</v>
      </c>
      <c r="AT41" s="270">
        <f t="shared" si="138"/>
        <v>2900.056</v>
      </c>
      <c r="AU41" s="355">
        <f>AS41+CF!AU13+CF!AU16</f>
        <v>2939.3232800000001</v>
      </c>
      <c r="AV41" s="26">
        <f>AU41+CF!AV13+CF!AV16</f>
        <v>2983.4837600000001</v>
      </c>
      <c r="AW41" s="26">
        <f>AV41+CF!AW13+CF!AW16</f>
        <v>3028.0040800000002</v>
      </c>
      <c r="AX41" s="26">
        <f>AW41+CF!AX13+CF!AX16</f>
        <v>3072.9216800000004</v>
      </c>
      <c r="AY41" s="270">
        <f t="shared" si="141"/>
        <v>3072.9216800000004</v>
      </c>
      <c r="AZ41" s="26">
        <f>AX41+CF!AZ13+CF!AZ16</f>
        <v>3113.7596512000005</v>
      </c>
      <c r="BA41" s="26">
        <f>AZ41+CF!BA13+CF!BA16</f>
        <v>3159.6865504000007</v>
      </c>
      <c r="BB41" s="26">
        <f>BA41+CF!BB13+CF!BB16</f>
        <v>3205.9876832000004</v>
      </c>
      <c r="BC41" s="26">
        <f>BB41+CF!BC13+CF!BC16</f>
        <v>3252.7019872000005</v>
      </c>
      <c r="BD41" s="270">
        <f t="shared" si="144"/>
        <v>3252.7019872000005</v>
      </c>
      <c r="BE41" s="26">
        <f>BC41+CF!BE13+CF!BE16</f>
        <v>3295.1734772480004</v>
      </c>
      <c r="BF41" s="26">
        <f>BE41+CF!BF13+CF!BF16</f>
        <v>3342.9374524160003</v>
      </c>
      <c r="BG41" s="26">
        <f>BF41+CF!BG13+CF!BG16</f>
        <v>3391.0906305280005</v>
      </c>
      <c r="BH41" s="26">
        <f>BG41+CF!BH13+CF!BH16</f>
        <v>3439.6735066880005</v>
      </c>
      <c r="BI41" s="270">
        <f t="shared" si="147"/>
        <v>3439.6735066880005</v>
      </c>
      <c r="BJ41" s="26">
        <f>BH41+CF!BJ13+CF!BJ16</f>
        <v>3483.8438563379204</v>
      </c>
      <c r="BK41" s="26">
        <f>BJ41+CF!BK13+CF!BK16</f>
        <v>3533.5183905126405</v>
      </c>
      <c r="BL41" s="26">
        <f>BK41+CF!BL13+CF!BL16</f>
        <v>3583.5976957491207</v>
      </c>
      <c r="BM41" s="26">
        <f>BL41+CF!BM13+CF!BM16</f>
        <v>3634.1238869555209</v>
      </c>
      <c r="BN41" s="270">
        <f t="shared" si="150"/>
        <v>3634.1238869555209</v>
      </c>
      <c r="BO41" s="26">
        <f>BM41+CF!BO13+CF!BO16</f>
        <v>3680.0610505914378</v>
      </c>
      <c r="BP41" s="26">
        <f>BO41+CF!BP13+CF!BP16</f>
        <v>3731.7225661331468</v>
      </c>
      <c r="BQ41" s="26">
        <f>BP41+CF!BQ13+CF!BQ16</f>
        <v>3783.805043579086</v>
      </c>
      <c r="BR41" s="26">
        <f>BQ41+CF!BR13+CF!BR16</f>
        <v>3836.3522824337419</v>
      </c>
      <c r="BS41" s="270">
        <f t="shared" si="153"/>
        <v>3836.3522824337419</v>
      </c>
      <c r="BT41" s="26">
        <f>BR41+CF!BT13+CF!BT16</f>
        <v>3884.1269326150955</v>
      </c>
      <c r="BU41" s="26">
        <f>BT41+CF!BU13+CF!BU16</f>
        <v>3937.8549087784727</v>
      </c>
      <c r="BV41" s="26">
        <f>BU41+CF!BV13+CF!BV16</f>
        <v>3992.0206853222494</v>
      </c>
      <c r="BW41" s="26">
        <f>BV41+CF!BW13+CF!BW16</f>
        <v>4046.6698137310918</v>
      </c>
      <c r="BX41" s="270">
        <f t="shared" si="156"/>
        <v>4046.6698137310918</v>
      </c>
      <c r="BY41" s="26">
        <f>BW41+CF!BY13+CF!BY16</f>
        <v>4096.3554499196998</v>
      </c>
      <c r="BZ41" s="26">
        <f>BY41+CF!BZ13+CF!BZ16</f>
        <v>4152.2325451296119</v>
      </c>
      <c r="CA41" s="26">
        <f>BZ41+CF!CA13+CF!CA16</f>
        <v>4208.5649527351397</v>
      </c>
      <c r="CB41" s="26">
        <f>CA41+CF!CB13+CF!CB16</f>
        <v>4265.400046280336</v>
      </c>
      <c r="CC41" s="270">
        <f t="shared" si="159"/>
        <v>4265.400046280336</v>
      </c>
      <c r="CD41" s="26">
        <f>CB41+CF!CD13+CF!CD16</f>
        <v>4317.073107916488</v>
      </c>
      <c r="CE41" s="26">
        <f>CD41+CF!CE13+CF!CE16</f>
        <v>4375.1852869347967</v>
      </c>
      <c r="CF41" s="26">
        <f>CE41+CF!CF13+CF!CF16</f>
        <v>4433.7709908445458</v>
      </c>
      <c r="CG41" s="26">
        <f>CF41+CF!CG13+CF!CG16</f>
        <v>4492.8794881315498</v>
      </c>
      <c r="CH41" s="270">
        <f t="shared" si="161"/>
        <v>4492.8794881315498</v>
      </c>
      <c r="CI41" s="26">
        <f>CG41+CF!CI13+CF!CI16</f>
        <v>4546.6194722331475</v>
      </c>
      <c r="CJ41" s="26">
        <f>CI41+CF!CJ13+CF!CJ16</f>
        <v>4607.0561384121884</v>
      </c>
      <c r="CK41" s="26">
        <f>CJ41+CF!CK13+CF!CK16</f>
        <v>4667.985270478327</v>
      </c>
      <c r="CL41" s="26">
        <f>CK41+CF!CL13+CF!CL16</f>
        <v>4729.4581076568111</v>
      </c>
      <c r="CM41" s="270">
        <f t="shared" si="163"/>
        <v>4729.4581076568111</v>
      </c>
    </row>
    <row r="42" spans="1:91" s="16" customFormat="1" ht="12.75" customHeight="1">
      <c r="A42" s="16" t="s">
        <v>51</v>
      </c>
      <c r="E42" s="26">
        <v>-195.73599999999999</v>
      </c>
      <c r="F42" s="270">
        <f t="shared" si="130"/>
        <v>-195.73599999999999</v>
      </c>
      <c r="G42" s="26"/>
      <c r="H42" s="26"/>
      <c r="I42" s="26">
        <v>-255.67699999999999</v>
      </c>
      <c r="J42" s="26">
        <v>-280.79899999999998</v>
      </c>
      <c r="K42" s="270">
        <f t="shared" si="131"/>
        <v>-280.79899999999998</v>
      </c>
      <c r="L42" s="26">
        <v>-303.209</v>
      </c>
      <c r="M42" s="26">
        <v>-314.80900000000003</v>
      </c>
      <c r="N42" s="26">
        <v>-327.59899999999999</v>
      </c>
      <c r="O42" s="26">
        <v>-352.80900000000003</v>
      </c>
      <c r="P42" s="270">
        <f t="shared" si="132"/>
        <v>-352.80900000000003</v>
      </c>
      <c r="Q42" s="26">
        <v>-380.53800000000001</v>
      </c>
      <c r="R42" s="26">
        <v>-435.17700000000002</v>
      </c>
      <c r="S42" s="26">
        <v>-512.84699999999998</v>
      </c>
      <c r="T42" s="26">
        <v>-606.59199999999998</v>
      </c>
      <c r="U42" s="270">
        <f t="shared" si="133"/>
        <v>-606.59199999999998</v>
      </c>
      <c r="V42" s="26">
        <v>-711.81299999999999</v>
      </c>
      <c r="W42" s="26">
        <v>-809.38800000000003</v>
      </c>
      <c r="X42" s="26">
        <v>-916.91399999999999</v>
      </c>
      <c r="Y42" s="26">
        <v>-1007.825</v>
      </c>
      <c r="Z42" s="270">
        <f t="shared" si="134"/>
        <v>-1007.825</v>
      </c>
      <c r="AA42" s="26">
        <v>-1131.0530000000001</v>
      </c>
      <c r="AB42" s="26">
        <v>-1360.4849999999999</v>
      </c>
      <c r="AC42" s="26">
        <v>-1522.479</v>
      </c>
      <c r="AD42" s="26">
        <v>-1662.413</v>
      </c>
      <c r="AE42" s="270">
        <f t="shared" si="135"/>
        <v>-1662.413</v>
      </c>
      <c r="AF42" s="26">
        <v>-1795.9459999999999</v>
      </c>
      <c r="AG42" s="26">
        <v>-1868.7170000000001</v>
      </c>
      <c r="AH42" s="26">
        <v>-1954.819</v>
      </c>
      <c r="AI42" s="26">
        <v>-2141.8620000000001</v>
      </c>
      <c r="AJ42" s="270">
        <f t="shared" si="136"/>
        <v>-2141.8620000000001</v>
      </c>
      <c r="AK42" s="26">
        <v>-2256.8470000000002</v>
      </c>
      <c r="AL42" s="26">
        <v>-2359.4749999999999</v>
      </c>
      <c r="AM42" s="26">
        <v>-2467.2289999999998</v>
      </c>
      <c r="AN42" s="26">
        <v>-2578.2350000000001</v>
      </c>
      <c r="AO42" s="270">
        <f t="shared" si="137"/>
        <v>-2578.2350000000001</v>
      </c>
      <c r="AP42" s="26">
        <v>-2673.3939999999998</v>
      </c>
      <c r="AQ42" s="26">
        <v>-2773.2930000000001</v>
      </c>
      <c r="AR42" s="26">
        <v>-2866.018</v>
      </c>
      <c r="AS42" s="26">
        <v>-2994.5120000000002</v>
      </c>
      <c r="AT42" s="270">
        <f t="shared" si="138"/>
        <v>-2994.5120000000002</v>
      </c>
      <c r="AU42" s="355">
        <f>AS42+IS!AU31+CF!AU38+CF!AU11+CF!AU14</f>
        <v>-3071.8741299791814</v>
      </c>
      <c r="AV42" s="26">
        <f>AU42+IS!AV31+CF!AV38+CF!AV11+CF!AV14</f>
        <v>-3151.7212050428147</v>
      </c>
      <c r="AW42" s="26">
        <f>AV42+IS!AW31+CF!AW38+CF!AW11+CF!AW14</f>
        <v>-3229.0155199547744</v>
      </c>
      <c r="AX42" s="26">
        <f>AW42+IS!AX31+CF!AX38+CF!AX11+CF!AX14</f>
        <v>-3327.7011556341176</v>
      </c>
      <c r="AY42" s="270">
        <f t="shared" si="141"/>
        <v>-3327.7011556341176</v>
      </c>
      <c r="AZ42" s="26">
        <f>AX42+IS!AZ31+CF!AZ38+CF!AZ11+CF!AZ14</f>
        <v>-3353.8980143318804</v>
      </c>
      <c r="BA42" s="26">
        <f>AZ42+IS!BA31+CF!BA38+CF!BA11+CF!BA14</f>
        <v>-3380.9000392308958</v>
      </c>
      <c r="BB42" s="26">
        <f>BA42+IS!BB31+CF!BB38+CF!BB11+CF!BB14</f>
        <v>-3411.5724161728999</v>
      </c>
      <c r="BC42" s="26">
        <f>BB42+IS!BC31+CF!BC38+CF!BC11+CF!BC14</f>
        <v>-3463.0205264516035</v>
      </c>
      <c r="BD42" s="270">
        <f t="shared" si="144"/>
        <v>-3463.0205264516035</v>
      </c>
      <c r="BE42" s="26">
        <f>BC42+IS!BE31+CF!BE38+CF!BE11+CF!BE14</f>
        <v>-3429.1300769442505</v>
      </c>
      <c r="BF42" s="26">
        <f>BE42+IS!BF31+CF!BF38+CF!BF11+CF!BF14</f>
        <v>-3394.4550677517745</v>
      </c>
      <c r="BG42" s="26">
        <f>BF42+IS!BG31+CF!BG38+CF!BG11+CF!BG14</f>
        <v>-3360.6807794737501</v>
      </c>
      <c r="BH42" s="26">
        <f>BG42+IS!BH31+CF!BH38+CF!BH11+CF!BH14</f>
        <v>-3349.6390170983045</v>
      </c>
      <c r="BI42" s="270">
        <f t="shared" si="147"/>
        <v>-3349.6390170983045</v>
      </c>
      <c r="BJ42" s="26">
        <f>BH42+IS!BJ31+CF!BJ38+CF!BJ11+CF!BJ14</f>
        <v>-3252.6948100808286</v>
      </c>
      <c r="BK42" s="26">
        <f>BJ42+IS!BK31+CF!BK38+CF!BK11+CF!BK14</f>
        <v>-3161.3828613694855</v>
      </c>
      <c r="BL42" s="26">
        <f>BK42+IS!BL31+CF!BL38+CF!BL11+CF!BL14</f>
        <v>-3069.5505479005401</v>
      </c>
      <c r="BM42" s="26">
        <f>BL42+IS!BM31+CF!BM38+CF!BM11+CF!BM14</f>
        <v>-3007.8196965952707</v>
      </c>
      <c r="BN42" s="270">
        <f t="shared" si="150"/>
        <v>-3007.8196965952707</v>
      </c>
      <c r="BO42" s="26">
        <f>BM42+IS!BO31+CF!BO38+CF!BO11+CF!BO14</f>
        <v>-2848.7741492875539</v>
      </c>
      <c r="BP42" s="26">
        <f>BO42+IS!BP31+CF!BP38+CF!BP11+CF!BP14</f>
        <v>-2689.4200635076832</v>
      </c>
      <c r="BQ42" s="26">
        <f>BP42+IS!BQ31+CF!BQ38+CF!BQ11+CF!BQ14</f>
        <v>-2535.1028183386074</v>
      </c>
      <c r="BR42" s="26">
        <f>BQ42+IS!BR31+CF!BR38+CF!BR11+CF!BR14</f>
        <v>-2413.9089360827588</v>
      </c>
      <c r="BS42" s="270">
        <f t="shared" si="153"/>
        <v>-2413.9089360827588</v>
      </c>
      <c r="BT42" s="26">
        <f>BR42+IS!BT31+CF!BT38+CF!BT11+CF!BT14</f>
        <v>-2195.9495099382229</v>
      </c>
      <c r="BU42" s="26">
        <f>BT42+IS!BU31+CF!BU38+CF!BU11+CF!BU14</f>
        <v>-1987.5666778092957</v>
      </c>
      <c r="BV42" s="26">
        <f>BU42+IS!BV31+CF!BV38+CF!BV11+CF!BV14</f>
        <v>-1788.0740475973203</v>
      </c>
      <c r="BW42" s="26">
        <f>BV42+IS!BW31+CF!BW38+CF!BW11+CF!BW14</f>
        <v>-1627.8959249922109</v>
      </c>
      <c r="BX42" s="270">
        <f t="shared" si="156"/>
        <v>-1627.8959249922109</v>
      </c>
      <c r="BY42" s="26">
        <f>BW42+IS!BY31+CF!BY38+CF!BY11+CF!BY14</f>
        <v>-1369.8594103554833</v>
      </c>
      <c r="BZ42" s="26">
        <f>BY42+IS!BZ31+CF!BZ38+CF!BZ11+CF!BZ14</f>
        <v>-1122.5264470456684</v>
      </c>
      <c r="CA42" s="26">
        <f>BZ42+IS!CA31+CF!CA38+CF!CA11+CF!CA14</f>
        <v>-883.30987407772295</v>
      </c>
      <c r="CB42" s="26">
        <f>CA42+IS!CB31+CF!CB38+CF!CB11+CF!CB14</f>
        <v>-688.76249808580724</v>
      </c>
      <c r="CC42" s="270">
        <f t="shared" si="159"/>
        <v>-688.76249808580724</v>
      </c>
      <c r="CD42" s="26">
        <f>CB42+IS!CD31+CF!CD38+CF!CD11+CF!CD14</f>
        <v>-385.46804638385123</v>
      </c>
      <c r="CE42" s="26">
        <f>CD42+IS!CE31+CF!CE38+CF!CE11+CF!CE14</f>
        <v>-91.210169773885241</v>
      </c>
      <c r="CF42" s="26">
        <f>CE42+IS!CF31+CF!CF38+CF!CF11+CF!CF14</f>
        <v>184.15569285587253</v>
      </c>
      <c r="CG42" s="26">
        <f>CF42+IS!CG31+CF!CG38+CF!CG11+CF!CG14</f>
        <v>408.87265209996337</v>
      </c>
      <c r="CH42" s="270">
        <f t="shared" si="161"/>
        <v>408.87265209996337</v>
      </c>
      <c r="CI42" s="26">
        <f>CG42+IS!CI31+CF!CI38+CF!CI11+CF!CI14</f>
        <v>746.99749226800304</v>
      </c>
      <c r="CJ42" s="26">
        <f>CI42+IS!CJ31+CF!CJ38+CF!CJ11+CF!CJ14</f>
        <v>1069.8789095977913</v>
      </c>
      <c r="CK42" s="26">
        <f>CJ42+IS!CK31+CF!CK38+CF!CK11+CF!CK14</f>
        <v>1372.261848028068</v>
      </c>
      <c r="CL42" s="26">
        <f>CK42+IS!CL31+CF!CL38+CF!CL11+CF!CL14</f>
        <v>1617.5363879256977</v>
      </c>
      <c r="CM42" s="270">
        <f t="shared" si="163"/>
        <v>1617.5363879256977</v>
      </c>
    </row>
    <row r="43" spans="1:91" s="16" customFormat="1" ht="12.75" customHeight="1">
      <c r="A43" s="16" t="s">
        <v>52</v>
      </c>
      <c r="E43" s="26">
        <v>-0.53200000000000003</v>
      </c>
      <c r="F43" s="270">
        <f t="shared" si="130"/>
        <v>-0.53200000000000003</v>
      </c>
      <c r="G43" s="26"/>
      <c r="H43" s="26"/>
      <c r="I43" s="26">
        <v>-0.53100000000000003</v>
      </c>
      <c r="J43" s="26">
        <v>-8.3000000000000004E-2</v>
      </c>
      <c r="K43" s="270">
        <f t="shared" si="131"/>
        <v>-8.3000000000000004E-2</v>
      </c>
      <c r="L43" s="26">
        <v>0.33300000000000002</v>
      </c>
      <c r="M43" s="26">
        <v>1.3440000000000001</v>
      </c>
      <c r="N43" s="26">
        <v>1.109</v>
      </c>
      <c r="O43" s="26">
        <v>1.111</v>
      </c>
      <c r="P43" s="270">
        <f t="shared" si="132"/>
        <v>1.111</v>
      </c>
      <c r="Q43" s="26">
        <v>7.7050000000000001</v>
      </c>
      <c r="R43" s="26">
        <v>5.3920000000000003</v>
      </c>
      <c r="S43" s="26">
        <v>3.8620000000000001</v>
      </c>
      <c r="T43" s="26">
        <v>2.6970000000000001</v>
      </c>
      <c r="U43" s="270">
        <f t="shared" si="133"/>
        <v>2.6970000000000001</v>
      </c>
      <c r="V43" s="26">
        <v>0.90400000000000003</v>
      </c>
      <c r="W43" s="26">
        <v>3.3000000000000002E-2</v>
      </c>
      <c r="X43" s="26">
        <v>-0.59299999999999997</v>
      </c>
      <c r="Y43" s="26">
        <v>-4.7640000000000002</v>
      </c>
      <c r="Z43" s="270">
        <f t="shared" si="134"/>
        <v>-4.7640000000000002</v>
      </c>
      <c r="AA43" s="26">
        <v>-18.314</v>
      </c>
      <c r="AB43" s="26">
        <v>-24.260999999999999</v>
      </c>
      <c r="AC43" s="26">
        <v>-26.852</v>
      </c>
      <c r="AD43" s="26">
        <v>-19.521999999999998</v>
      </c>
      <c r="AE43" s="270">
        <f t="shared" si="135"/>
        <v>-19.521999999999998</v>
      </c>
      <c r="AF43" s="26">
        <v>-12.15</v>
      </c>
      <c r="AG43" s="26">
        <v>-8.4689999999999994</v>
      </c>
      <c r="AH43" s="26">
        <v>-5.68</v>
      </c>
      <c r="AI43" s="26">
        <v>-3.6749999999999998</v>
      </c>
      <c r="AJ43" s="270">
        <f t="shared" si="136"/>
        <v>-3.6749999999999998</v>
      </c>
      <c r="AK43" s="26">
        <v>-4.7990000000000004</v>
      </c>
      <c r="AL43" s="26">
        <v>-5.64</v>
      </c>
      <c r="AM43" s="26">
        <v>-3.2839999999999998</v>
      </c>
      <c r="AN43" s="26">
        <v>-5.2009999999999996</v>
      </c>
      <c r="AO43" s="270">
        <f t="shared" si="137"/>
        <v>-5.2009999999999996</v>
      </c>
      <c r="AP43" s="26">
        <v>-4.6580000000000004</v>
      </c>
      <c r="AQ43" s="26">
        <v>-3.7229999999999999</v>
      </c>
      <c r="AR43" s="26">
        <v>-4.26</v>
      </c>
      <c r="AS43" s="26">
        <v>-4.8520000000000003</v>
      </c>
      <c r="AT43" s="270">
        <f t="shared" si="138"/>
        <v>-4.8520000000000003</v>
      </c>
      <c r="AU43" s="355">
        <f>AT43</f>
        <v>-4.8520000000000003</v>
      </c>
      <c r="AV43" s="26">
        <f>AU43</f>
        <v>-4.8520000000000003</v>
      </c>
      <c r="AW43" s="26">
        <f>AV43</f>
        <v>-4.8520000000000003</v>
      </c>
      <c r="AX43" s="26">
        <f>AW43</f>
        <v>-4.8520000000000003</v>
      </c>
      <c r="AY43" s="270">
        <f t="shared" si="141"/>
        <v>-4.8520000000000003</v>
      </c>
      <c r="AZ43" s="26">
        <f>AY43</f>
        <v>-4.8520000000000003</v>
      </c>
      <c r="BA43" s="26">
        <f>AZ43</f>
        <v>-4.8520000000000003</v>
      </c>
      <c r="BB43" s="26">
        <f>BA43</f>
        <v>-4.8520000000000003</v>
      </c>
      <c r="BC43" s="26">
        <f>BB43</f>
        <v>-4.8520000000000003</v>
      </c>
      <c r="BD43" s="270">
        <f t="shared" si="144"/>
        <v>-4.8520000000000003</v>
      </c>
      <c r="BE43" s="26">
        <f>BD43</f>
        <v>-4.8520000000000003</v>
      </c>
      <c r="BF43" s="26">
        <f>BE43</f>
        <v>-4.8520000000000003</v>
      </c>
      <c r="BG43" s="26">
        <f>BF43</f>
        <v>-4.8520000000000003</v>
      </c>
      <c r="BH43" s="26">
        <f>BG43</f>
        <v>-4.8520000000000003</v>
      </c>
      <c r="BI43" s="270">
        <f t="shared" si="147"/>
        <v>-4.8520000000000003</v>
      </c>
      <c r="BJ43" s="26">
        <f>BI43</f>
        <v>-4.8520000000000003</v>
      </c>
      <c r="BK43" s="26">
        <f>BJ43</f>
        <v>-4.8520000000000003</v>
      </c>
      <c r="BL43" s="26">
        <f>BK43</f>
        <v>-4.8520000000000003</v>
      </c>
      <c r="BM43" s="26">
        <f>BL43</f>
        <v>-4.8520000000000003</v>
      </c>
      <c r="BN43" s="270">
        <f t="shared" si="150"/>
        <v>-4.8520000000000003</v>
      </c>
      <c r="BO43" s="26">
        <f>BN43</f>
        <v>-4.8520000000000003</v>
      </c>
      <c r="BP43" s="26">
        <f>BO43</f>
        <v>-4.8520000000000003</v>
      </c>
      <c r="BQ43" s="26">
        <f>BP43</f>
        <v>-4.8520000000000003</v>
      </c>
      <c r="BR43" s="26">
        <f>BQ43</f>
        <v>-4.8520000000000003</v>
      </c>
      <c r="BS43" s="270">
        <f t="shared" si="153"/>
        <v>-4.8520000000000003</v>
      </c>
      <c r="BT43" s="26">
        <f>BS43</f>
        <v>-4.8520000000000003</v>
      </c>
      <c r="BU43" s="26">
        <f>BT43</f>
        <v>-4.8520000000000003</v>
      </c>
      <c r="BV43" s="26">
        <f>BU43</f>
        <v>-4.8520000000000003</v>
      </c>
      <c r="BW43" s="26">
        <f>BV43</f>
        <v>-4.8520000000000003</v>
      </c>
      <c r="BX43" s="270">
        <f t="shared" si="156"/>
        <v>-4.8520000000000003</v>
      </c>
      <c r="BY43" s="26">
        <f>BX43</f>
        <v>-4.8520000000000003</v>
      </c>
      <c r="BZ43" s="26">
        <f>BY43</f>
        <v>-4.8520000000000003</v>
      </c>
      <c r="CA43" s="26">
        <f>BZ43</f>
        <v>-4.8520000000000003</v>
      </c>
      <c r="CB43" s="26">
        <f>CA43</f>
        <v>-4.8520000000000003</v>
      </c>
      <c r="CC43" s="270">
        <f t="shared" si="159"/>
        <v>-4.8520000000000003</v>
      </c>
      <c r="CD43" s="26">
        <f>CC43</f>
        <v>-4.8520000000000003</v>
      </c>
      <c r="CE43" s="26">
        <f>CD43</f>
        <v>-4.8520000000000003</v>
      </c>
      <c r="CF43" s="26">
        <f>CE43</f>
        <v>-4.8520000000000003</v>
      </c>
      <c r="CG43" s="26">
        <f>CF43</f>
        <v>-4.8520000000000003</v>
      </c>
      <c r="CH43" s="270">
        <f t="shared" si="161"/>
        <v>-4.8520000000000003</v>
      </c>
      <c r="CI43" s="26">
        <f>CH43</f>
        <v>-4.8520000000000003</v>
      </c>
      <c r="CJ43" s="26">
        <f>CI43</f>
        <v>-4.8520000000000003</v>
      </c>
      <c r="CK43" s="26">
        <f>CJ43</f>
        <v>-4.8520000000000003</v>
      </c>
      <c r="CL43" s="26">
        <f>CK43</f>
        <v>-4.8520000000000003</v>
      </c>
      <c r="CM43" s="270">
        <f t="shared" si="163"/>
        <v>-4.8520000000000003</v>
      </c>
    </row>
    <row r="44" spans="1:91" s="16" customFormat="1" ht="12.75" customHeight="1">
      <c r="A44" s="16" t="s">
        <v>53</v>
      </c>
      <c r="E44" s="26">
        <v>0</v>
      </c>
      <c r="F44" s="270">
        <f t="shared" si="130"/>
        <v>0</v>
      </c>
      <c r="G44" s="26"/>
      <c r="H44" s="26"/>
      <c r="I44" s="26">
        <v>0</v>
      </c>
      <c r="J44" s="26">
        <v>0</v>
      </c>
      <c r="K44" s="270">
        <f t="shared" si="131"/>
        <v>0</v>
      </c>
      <c r="L44" s="26">
        <v>0</v>
      </c>
      <c r="M44" s="26">
        <v>0</v>
      </c>
      <c r="N44" s="26">
        <v>0</v>
      </c>
      <c r="O44" s="26">
        <v>0</v>
      </c>
      <c r="P44" s="270">
        <f t="shared" si="132"/>
        <v>0</v>
      </c>
      <c r="Q44" s="26">
        <v>0</v>
      </c>
      <c r="R44" s="26">
        <v>0</v>
      </c>
      <c r="S44" s="26">
        <v>0</v>
      </c>
      <c r="T44" s="26">
        <v>0</v>
      </c>
      <c r="U44" s="270">
        <f t="shared" si="133"/>
        <v>0</v>
      </c>
      <c r="V44" s="26">
        <v>0</v>
      </c>
      <c r="W44" s="26">
        <v>0</v>
      </c>
      <c r="X44" s="26">
        <v>0</v>
      </c>
      <c r="Y44" s="26">
        <v>0</v>
      </c>
      <c r="Z44" s="270">
        <f t="shared" si="134"/>
        <v>0</v>
      </c>
      <c r="AA44" s="26">
        <v>0</v>
      </c>
      <c r="AB44" s="26">
        <v>0</v>
      </c>
      <c r="AC44" s="26">
        <v>0</v>
      </c>
      <c r="AD44" s="26">
        <v>0</v>
      </c>
      <c r="AE44" s="270">
        <f t="shared" si="135"/>
        <v>0</v>
      </c>
      <c r="AF44" s="26">
        <v>0</v>
      </c>
      <c r="AG44" s="26">
        <v>0</v>
      </c>
      <c r="AH44" s="26">
        <v>0</v>
      </c>
      <c r="AI44" s="26">
        <v>0</v>
      </c>
      <c r="AJ44" s="270">
        <f t="shared" si="136"/>
        <v>0</v>
      </c>
      <c r="AK44" s="26">
        <v>0</v>
      </c>
      <c r="AL44" s="26">
        <v>0</v>
      </c>
      <c r="AM44" s="26">
        <v>0</v>
      </c>
      <c r="AN44" s="26">
        <v>0</v>
      </c>
      <c r="AO44" s="270">
        <f t="shared" si="137"/>
        <v>0</v>
      </c>
      <c r="AP44" s="26">
        <v>0</v>
      </c>
      <c r="AQ44" s="26">
        <v>0</v>
      </c>
      <c r="AR44" s="26">
        <v>0</v>
      </c>
      <c r="AS44" s="26">
        <v>0</v>
      </c>
      <c r="AT44" s="270">
        <f t="shared" si="138"/>
        <v>0</v>
      </c>
      <c r="AU44" s="355">
        <f>AT44-CF!AU36</f>
        <v>0</v>
      </c>
      <c r="AV44" s="26">
        <f>AU44-CF!AV36</f>
        <v>0</v>
      </c>
      <c r="AW44" s="26">
        <f>AV44-CF!AW36</f>
        <v>0</v>
      </c>
      <c r="AX44" s="26">
        <f>AW44-CF!AX36</f>
        <v>0</v>
      </c>
      <c r="AY44" s="270">
        <f t="shared" si="141"/>
        <v>0</v>
      </c>
      <c r="AZ44" s="26">
        <f>AY44-CF!AZ36</f>
        <v>0</v>
      </c>
      <c r="BA44" s="26">
        <f>AZ44-CF!BA36</f>
        <v>0</v>
      </c>
      <c r="BB44" s="26">
        <f>BA44-CF!BB36</f>
        <v>0</v>
      </c>
      <c r="BC44" s="26">
        <f>BB44-CF!BC36</f>
        <v>0</v>
      </c>
      <c r="BD44" s="270">
        <f t="shared" si="144"/>
        <v>0</v>
      </c>
      <c r="BE44" s="26">
        <f>BD44-CF!BE36</f>
        <v>0</v>
      </c>
      <c r="BF44" s="26">
        <f>BE44-CF!BF36</f>
        <v>0</v>
      </c>
      <c r="BG44" s="26">
        <f>BF44-CF!BG36</f>
        <v>0</v>
      </c>
      <c r="BH44" s="26">
        <f>BG44-CF!BH36</f>
        <v>0</v>
      </c>
      <c r="BI44" s="270">
        <f t="shared" si="147"/>
        <v>0</v>
      </c>
      <c r="BJ44" s="26">
        <f>BI44-CF!BJ36</f>
        <v>0</v>
      </c>
      <c r="BK44" s="26">
        <f>BJ44-CF!BK36</f>
        <v>0</v>
      </c>
      <c r="BL44" s="26">
        <f>BK44-CF!BL36</f>
        <v>0</v>
      </c>
      <c r="BM44" s="26">
        <f>BL44-CF!BM36</f>
        <v>0</v>
      </c>
      <c r="BN44" s="270">
        <f t="shared" si="150"/>
        <v>0</v>
      </c>
      <c r="BO44" s="26">
        <f>BN44-CF!BO36</f>
        <v>0</v>
      </c>
      <c r="BP44" s="26">
        <f>BO44-CF!BP36</f>
        <v>0</v>
      </c>
      <c r="BQ44" s="26">
        <f>BP44-CF!BQ36</f>
        <v>0</v>
      </c>
      <c r="BR44" s="26">
        <f>BQ44-CF!BR36</f>
        <v>0</v>
      </c>
      <c r="BS44" s="270">
        <f t="shared" si="153"/>
        <v>0</v>
      </c>
      <c r="BT44" s="26">
        <f>BS44-CF!BT36</f>
        <v>0</v>
      </c>
      <c r="BU44" s="26">
        <f>BT44-CF!BU36</f>
        <v>0</v>
      </c>
      <c r="BV44" s="26">
        <f>BU44-CF!BV36</f>
        <v>0</v>
      </c>
      <c r="BW44" s="26">
        <f>BV44-CF!BW36</f>
        <v>0</v>
      </c>
      <c r="BX44" s="270">
        <f t="shared" si="156"/>
        <v>0</v>
      </c>
      <c r="BY44" s="26">
        <f>BX44-CF!BY36</f>
        <v>0</v>
      </c>
      <c r="BZ44" s="26">
        <f>BY44-CF!BZ36</f>
        <v>0</v>
      </c>
      <c r="CA44" s="26">
        <f>BZ44-CF!CA36</f>
        <v>0</v>
      </c>
      <c r="CB44" s="26">
        <f>CA44-CF!CB36</f>
        <v>0</v>
      </c>
      <c r="CC44" s="270">
        <f t="shared" si="159"/>
        <v>0</v>
      </c>
      <c r="CD44" s="26">
        <f>CC44-CF!CD36</f>
        <v>0</v>
      </c>
      <c r="CE44" s="26">
        <f>CD44-CF!CE36</f>
        <v>0</v>
      </c>
      <c r="CF44" s="26">
        <f>CE44-CF!CF36</f>
        <v>0</v>
      </c>
      <c r="CG44" s="26">
        <f>CF44-CF!CG36</f>
        <v>0</v>
      </c>
      <c r="CH44" s="270">
        <f t="shared" si="161"/>
        <v>0</v>
      </c>
      <c r="CI44" s="26">
        <f>CH44-CF!CI36</f>
        <v>0</v>
      </c>
      <c r="CJ44" s="26">
        <f>CI44-CF!CJ36</f>
        <v>0</v>
      </c>
      <c r="CK44" s="26">
        <f>CJ44-CF!CK36</f>
        <v>0</v>
      </c>
      <c r="CL44" s="26">
        <f>CK44-CF!CL36</f>
        <v>0</v>
      </c>
      <c r="CM44" s="270">
        <f t="shared" si="163"/>
        <v>0</v>
      </c>
    </row>
    <row r="45" spans="1:91" s="16" customFormat="1" ht="12.75" customHeight="1">
      <c r="A45" s="16" t="s">
        <v>54</v>
      </c>
      <c r="E45" s="26">
        <v>0</v>
      </c>
      <c r="F45" s="270">
        <f t="shared" si="130"/>
        <v>0</v>
      </c>
      <c r="G45" s="26"/>
      <c r="H45" s="26"/>
      <c r="I45" s="26">
        <v>0</v>
      </c>
      <c r="J45" s="26">
        <v>0</v>
      </c>
      <c r="K45" s="270">
        <f t="shared" si="131"/>
        <v>0</v>
      </c>
      <c r="L45" s="26">
        <v>0</v>
      </c>
      <c r="M45" s="26">
        <v>0</v>
      </c>
      <c r="N45" s="26">
        <v>0</v>
      </c>
      <c r="O45" s="26">
        <v>0</v>
      </c>
      <c r="P45" s="270">
        <f t="shared" si="132"/>
        <v>0</v>
      </c>
      <c r="Q45" s="26">
        <v>0</v>
      </c>
      <c r="R45" s="26">
        <v>0</v>
      </c>
      <c r="S45" s="26">
        <v>0</v>
      </c>
      <c r="T45" s="26">
        <v>0</v>
      </c>
      <c r="U45" s="270">
        <f t="shared" si="133"/>
        <v>0</v>
      </c>
      <c r="V45" s="26">
        <v>0</v>
      </c>
      <c r="W45" s="26">
        <v>0</v>
      </c>
      <c r="X45" s="26">
        <v>0</v>
      </c>
      <c r="Y45" s="26">
        <v>0</v>
      </c>
      <c r="Z45" s="270">
        <f t="shared" si="134"/>
        <v>0</v>
      </c>
      <c r="AA45" s="26">
        <v>0</v>
      </c>
      <c r="AB45" s="26">
        <v>0</v>
      </c>
      <c r="AC45" s="26">
        <v>0</v>
      </c>
      <c r="AD45" s="26">
        <v>0</v>
      </c>
      <c r="AE45" s="270">
        <f t="shared" si="135"/>
        <v>0</v>
      </c>
      <c r="AF45" s="26">
        <v>0</v>
      </c>
      <c r="AG45" s="26">
        <v>0</v>
      </c>
      <c r="AH45" s="26">
        <v>0</v>
      </c>
      <c r="AI45" s="26">
        <v>0</v>
      </c>
      <c r="AJ45" s="270">
        <f t="shared" si="136"/>
        <v>0</v>
      </c>
      <c r="AK45" s="26">
        <v>0</v>
      </c>
      <c r="AL45" s="26">
        <v>0</v>
      </c>
      <c r="AM45" s="26">
        <v>0</v>
      </c>
      <c r="AN45" s="26">
        <v>0</v>
      </c>
      <c r="AO45" s="270">
        <f t="shared" si="137"/>
        <v>0</v>
      </c>
      <c r="AP45" s="26">
        <v>-45.01</v>
      </c>
      <c r="AQ45" s="26">
        <v>-45.01</v>
      </c>
      <c r="AR45" s="26">
        <v>-45.01</v>
      </c>
      <c r="AS45" s="26">
        <v>0</v>
      </c>
      <c r="AT45" s="270">
        <f t="shared" si="138"/>
        <v>0</v>
      </c>
      <c r="AU45" s="355">
        <f>AT45+CF!AU37</f>
        <v>0</v>
      </c>
      <c r="AV45" s="26">
        <f>AU45+CF!AV37</f>
        <v>0</v>
      </c>
      <c r="AW45" s="26">
        <f>AV45+CF!AW37</f>
        <v>0</v>
      </c>
      <c r="AX45" s="26">
        <f>AW45+CF!AX37</f>
        <v>0</v>
      </c>
      <c r="AY45" s="270">
        <f t="shared" si="141"/>
        <v>0</v>
      </c>
      <c r="AZ45" s="26">
        <f>AY45+CF!AZ37</f>
        <v>0</v>
      </c>
      <c r="BA45" s="26">
        <f>AZ45+CF!BA37</f>
        <v>0</v>
      </c>
      <c r="BB45" s="26">
        <f>BA45+CF!BB37</f>
        <v>0</v>
      </c>
      <c r="BC45" s="26">
        <f>BB45+CF!BC37</f>
        <v>0</v>
      </c>
      <c r="BD45" s="270">
        <f t="shared" si="144"/>
        <v>0</v>
      </c>
      <c r="BE45" s="26">
        <f>BD45+CF!BE37</f>
        <v>0</v>
      </c>
      <c r="BF45" s="26">
        <f>BE45+CF!BF37</f>
        <v>0</v>
      </c>
      <c r="BG45" s="26">
        <f>BF45+CF!BG37</f>
        <v>0</v>
      </c>
      <c r="BH45" s="26">
        <f>BG45+CF!BH37</f>
        <v>0</v>
      </c>
      <c r="BI45" s="270">
        <f t="shared" si="147"/>
        <v>0</v>
      </c>
      <c r="BJ45" s="26">
        <f>BI45+CF!BJ37</f>
        <v>0</v>
      </c>
      <c r="BK45" s="26">
        <f>BJ45+CF!BK37</f>
        <v>0</v>
      </c>
      <c r="BL45" s="26">
        <f>BK45+CF!BL37</f>
        <v>0</v>
      </c>
      <c r="BM45" s="26">
        <f>BL45+CF!BM37</f>
        <v>0</v>
      </c>
      <c r="BN45" s="270">
        <f t="shared" si="150"/>
        <v>0</v>
      </c>
      <c r="BO45" s="26">
        <f>BN45+CF!BO37</f>
        <v>0</v>
      </c>
      <c r="BP45" s="26">
        <f>BO45+CF!BP37</f>
        <v>0</v>
      </c>
      <c r="BQ45" s="26">
        <f>BP45+CF!BQ37</f>
        <v>0</v>
      </c>
      <c r="BR45" s="26">
        <f>BQ45+CF!BR37</f>
        <v>0</v>
      </c>
      <c r="BS45" s="270">
        <f t="shared" si="153"/>
        <v>0</v>
      </c>
      <c r="BT45" s="26">
        <f>BS45+CF!BT37</f>
        <v>0</v>
      </c>
      <c r="BU45" s="26">
        <f>BT45+CF!BU37</f>
        <v>0</v>
      </c>
      <c r="BV45" s="26">
        <f>BU45+CF!BV37</f>
        <v>0</v>
      </c>
      <c r="BW45" s="26">
        <f>BV45+CF!BW37</f>
        <v>0</v>
      </c>
      <c r="BX45" s="270">
        <f t="shared" si="156"/>
        <v>0</v>
      </c>
      <c r="BY45" s="26">
        <f>BX45+CF!BY37</f>
        <v>0</v>
      </c>
      <c r="BZ45" s="26">
        <f>BY45+CF!BZ37</f>
        <v>0</v>
      </c>
      <c r="CA45" s="26">
        <f>BZ45+CF!CA37</f>
        <v>0</v>
      </c>
      <c r="CB45" s="26">
        <f>CA45+CF!CB37</f>
        <v>0</v>
      </c>
      <c r="CC45" s="270">
        <f t="shared" si="159"/>
        <v>0</v>
      </c>
      <c r="CD45" s="26">
        <f>CC45+CF!CD37</f>
        <v>0</v>
      </c>
      <c r="CE45" s="26">
        <f>CD45+CF!CE37</f>
        <v>0</v>
      </c>
      <c r="CF45" s="26">
        <f>CE45+CF!CF37</f>
        <v>0</v>
      </c>
      <c r="CG45" s="26">
        <f>CF45+CF!CG37</f>
        <v>0</v>
      </c>
      <c r="CH45" s="270">
        <f t="shared" si="161"/>
        <v>0</v>
      </c>
      <c r="CI45" s="26">
        <f>CH45+CF!CI37</f>
        <v>0</v>
      </c>
      <c r="CJ45" s="26">
        <f>CI45+CF!CJ37</f>
        <v>0</v>
      </c>
      <c r="CK45" s="26">
        <f>CJ45+CF!CK37</f>
        <v>0</v>
      </c>
      <c r="CL45" s="26">
        <f>CK45+CF!CL37</f>
        <v>0</v>
      </c>
      <c r="CM45" s="270">
        <f t="shared" si="163"/>
        <v>0</v>
      </c>
    </row>
    <row r="46" spans="1:91" s="15" customFormat="1" ht="12.75" customHeight="1">
      <c r="A46" s="15" t="s">
        <v>55</v>
      </c>
      <c r="E46" s="170">
        <f>SUM(E39:E45)</f>
        <v>308.60599999999999</v>
      </c>
      <c r="F46" s="253">
        <f t="shared" si="130"/>
        <v>308.60599999999999</v>
      </c>
      <c r="G46" s="170"/>
      <c r="H46" s="170"/>
      <c r="I46" s="170">
        <f t="shared" ref="I46:AO46" si="164">+I39+I40+I41+I42+I43+I44+I45</f>
        <v>255.18699999999998</v>
      </c>
      <c r="J46" s="170">
        <f t="shared" si="164"/>
        <v>483.15199999999999</v>
      </c>
      <c r="K46" s="253">
        <f t="shared" si="164"/>
        <v>483.15199999999999</v>
      </c>
      <c r="L46" s="170">
        <f t="shared" si="164"/>
        <v>468.13400000000001</v>
      </c>
      <c r="M46" s="170">
        <f t="shared" si="164"/>
        <v>815.47400000000016</v>
      </c>
      <c r="N46" s="170">
        <f t="shared" si="164"/>
        <v>815.39600000000007</v>
      </c>
      <c r="O46" s="170">
        <f t="shared" si="164"/>
        <v>798.39299999999992</v>
      </c>
      <c r="P46" s="253">
        <f t="shared" si="164"/>
        <v>798.39299999999992</v>
      </c>
      <c r="Q46" s="170">
        <f t="shared" si="164"/>
        <v>785.11299999999994</v>
      </c>
      <c r="R46" s="170">
        <f t="shared" si="164"/>
        <v>1114.5890000000002</v>
      </c>
      <c r="S46" s="170">
        <f t="shared" si="164"/>
        <v>1092.2040000000002</v>
      </c>
      <c r="T46" s="170">
        <f t="shared" si="164"/>
        <v>1298.4949999999997</v>
      </c>
      <c r="U46" s="253">
        <f t="shared" si="164"/>
        <v>1298.4949999999997</v>
      </c>
      <c r="V46" s="170">
        <f t="shared" si="164"/>
        <v>847.04599999999994</v>
      </c>
      <c r="W46" s="170">
        <f t="shared" si="164"/>
        <v>788.06500000000005</v>
      </c>
      <c r="X46" s="170">
        <f t="shared" si="164"/>
        <v>709.42</v>
      </c>
      <c r="Y46" s="170">
        <f t="shared" si="164"/>
        <v>645.005</v>
      </c>
      <c r="Z46" s="253">
        <f t="shared" si="164"/>
        <v>645.005</v>
      </c>
      <c r="AA46" s="170">
        <f t="shared" si="164"/>
        <v>533.03999999999985</v>
      </c>
      <c r="AB46" s="170">
        <f t="shared" si="164"/>
        <v>319.08700000000016</v>
      </c>
      <c r="AC46" s="170">
        <f t="shared" si="164"/>
        <v>166.74499999999998</v>
      </c>
      <c r="AD46" s="170">
        <f t="shared" si="164"/>
        <v>60.18</v>
      </c>
      <c r="AE46" s="253">
        <f t="shared" si="164"/>
        <v>60.18</v>
      </c>
      <c r="AF46" s="170">
        <f t="shared" si="164"/>
        <v>-44.550999999999839</v>
      </c>
      <c r="AG46" s="170">
        <f t="shared" si="164"/>
        <v>292.72600000000017</v>
      </c>
      <c r="AH46" s="170">
        <f t="shared" si="164"/>
        <v>228.29900000000026</v>
      </c>
      <c r="AI46" s="170">
        <f t="shared" si="164"/>
        <v>158.68399999999991</v>
      </c>
      <c r="AJ46" s="253">
        <f t="shared" si="164"/>
        <v>158.68399999999991</v>
      </c>
      <c r="AK46" s="170">
        <f t="shared" si="164"/>
        <v>68.284999999999826</v>
      </c>
      <c r="AL46" s="170">
        <f t="shared" si="164"/>
        <v>-1.6129999999995013</v>
      </c>
      <c r="AM46" s="170">
        <f t="shared" si="164"/>
        <v>-60.095999999999442</v>
      </c>
      <c r="AN46" s="170">
        <f t="shared" si="164"/>
        <v>-139.64699999999991</v>
      </c>
      <c r="AO46" s="253">
        <f t="shared" si="164"/>
        <v>-139.64699999999991</v>
      </c>
      <c r="AP46" s="170">
        <f>+AP39+AP40+AP41+AP42+AP43+AP44+AP45</f>
        <v>-250.78899999999962</v>
      </c>
      <c r="AQ46" s="170">
        <f t="shared" ref="AQ46:CL46" si="165">+AQ39+AQ40+AQ41+AQ42+AQ43+AQ44+AQ45</f>
        <v>-305.47499999999974</v>
      </c>
      <c r="AR46" s="170">
        <f t="shared" ref="AR46:AS46" si="166">+AR39+AR40+AR41+AR42+AR43+AR44+AR45</f>
        <v>-354.47299999999996</v>
      </c>
      <c r="AS46" s="170">
        <f t="shared" si="166"/>
        <v>-99.306999999999931</v>
      </c>
      <c r="AT46" s="253">
        <f t="shared" si="165"/>
        <v>-99.306999999999931</v>
      </c>
      <c r="AU46" s="356">
        <f t="shared" si="165"/>
        <v>-137.40184997918109</v>
      </c>
      <c r="AV46" s="170">
        <f t="shared" si="165"/>
        <v>-173.08844504281447</v>
      </c>
      <c r="AW46" s="170">
        <f t="shared" si="165"/>
        <v>-205.86243995477403</v>
      </c>
      <c r="AX46" s="170">
        <f t="shared" si="165"/>
        <v>-259.63047563411703</v>
      </c>
      <c r="AY46" s="253">
        <f t="shared" si="165"/>
        <v>-259.63047563411703</v>
      </c>
      <c r="AZ46" s="170">
        <f t="shared" si="165"/>
        <v>-244.98936313187974</v>
      </c>
      <c r="BA46" s="170">
        <f t="shared" si="165"/>
        <v>-226.06448883089493</v>
      </c>
      <c r="BB46" s="170">
        <f t="shared" si="165"/>
        <v>-210.43573297289927</v>
      </c>
      <c r="BC46" s="170">
        <f t="shared" si="165"/>
        <v>-215.16953925160274</v>
      </c>
      <c r="BD46" s="253">
        <f t="shared" si="165"/>
        <v>-215.16953925160274</v>
      </c>
      <c r="BE46" s="170">
        <f t="shared" si="165"/>
        <v>-138.80759969624992</v>
      </c>
      <c r="BF46" s="170">
        <f t="shared" si="165"/>
        <v>-56.368615335774081</v>
      </c>
      <c r="BG46" s="170">
        <f t="shared" si="165"/>
        <v>25.558851054250542</v>
      </c>
      <c r="BH46" s="170">
        <f t="shared" si="165"/>
        <v>85.183489589696222</v>
      </c>
      <c r="BI46" s="253">
        <f t="shared" si="165"/>
        <v>85.183489589696222</v>
      </c>
      <c r="BJ46" s="170">
        <f t="shared" si="165"/>
        <v>226.29804625709207</v>
      </c>
      <c r="BK46" s="170">
        <f t="shared" si="165"/>
        <v>367.28452914315528</v>
      </c>
      <c r="BL46" s="170">
        <f t="shared" si="165"/>
        <v>509.19614784858084</v>
      </c>
      <c r="BM46" s="170">
        <f t="shared" si="165"/>
        <v>621.45319036025046</v>
      </c>
      <c r="BN46" s="253">
        <f t="shared" si="165"/>
        <v>621.45319036025046</v>
      </c>
      <c r="BO46" s="170">
        <f t="shared" si="165"/>
        <v>826.43590130388418</v>
      </c>
      <c r="BP46" s="170">
        <f t="shared" si="165"/>
        <v>1037.4515026254637</v>
      </c>
      <c r="BQ46" s="170">
        <f t="shared" si="165"/>
        <v>1243.8512252404787</v>
      </c>
      <c r="BR46" s="170">
        <f t="shared" si="165"/>
        <v>1417.5923463509832</v>
      </c>
      <c r="BS46" s="253">
        <f t="shared" si="165"/>
        <v>1417.5923463509832</v>
      </c>
      <c r="BT46" s="170">
        <f t="shared" si="165"/>
        <v>1683.3264226768727</v>
      </c>
      <c r="BU46" s="170">
        <f t="shared" si="165"/>
        <v>1945.4372309691771</v>
      </c>
      <c r="BV46" s="170">
        <f t="shared" si="165"/>
        <v>2199.0956377249295</v>
      </c>
      <c r="BW46" s="170">
        <f t="shared" si="165"/>
        <v>2413.9228887388813</v>
      </c>
      <c r="BX46" s="253">
        <f t="shared" si="165"/>
        <v>2413.9228887388813</v>
      </c>
      <c r="BY46" s="170">
        <f t="shared" si="165"/>
        <v>2721.6450395642169</v>
      </c>
      <c r="BZ46" s="170">
        <f t="shared" si="165"/>
        <v>3024.8550980839436</v>
      </c>
      <c r="CA46" s="170">
        <f t="shared" si="165"/>
        <v>3320.4040786574169</v>
      </c>
      <c r="CB46" s="170">
        <f t="shared" si="165"/>
        <v>3571.7865481945291</v>
      </c>
      <c r="CC46" s="253">
        <f t="shared" si="165"/>
        <v>3571.7865481945291</v>
      </c>
      <c r="CD46" s="170">
        <f t="shared" si="165"/>
        <v>3926.754061532637</v>
      </c>
      <c r="CE46" s="170">
        <f t="shared" si="165"/>
        <v>4279.1241171609117</v>
      </c>
      <c r="CF46" s="170">
        <f t="shared" si="165"/>
        <v>4613.0756837004183</v>
      </c>
      <c r="CG46" s="170">
        <f t="shared" si="165"/>
        <v>4896.9011402315136</v>
      </c>
      <c r="CH46" s="253">
        <f t="shared" si="165"/>
        <v>4896.9011402315136</v>
      </c>
      <c r="CI46" s="170">
        <f t="shared" si="165"/>
        <v>5288.7659645011508</v>
      </c>
      <c r="CJ46" s="170">
        <f t="shared" si="165"/>
        <v>5672.0840480099805</v>
      </c>
      <c r="CK46" s="170">
        <f t="shared" si="165"/>
        <v>6035.3961185063954</v>
      </c>
      <c r="CL46" s="170">
        <f t="shared" si="165"/>
        <v>6342.1434955825089</v>
      </c>
      <c r="CM46" s="253">
        <f t="shared" si="163"/>
        <v>6342.1434955825089</v>
      </c>
    </row>
    <row r="47" spans="1:91" s="16" customFormat="1" ht="12.75" customHeight="1">
      <c r="E47" s="26"/>
      <c r="F47" s="270"/>
      <c r="G47" s="26"/>
      <c r="H47" s="26"/>
      <c r="I47" s="26"/>
      <c r="J47" s="26"/>
      <c r="K47" s="270"/>
      <c r="L47" s="26"/>
      <c r="M47" s="26"/>
      <c r="N47" s="26"/>
      <c r="O47" s="26"/>
      <c r="P47" s="270"/>
      <c r="Q47" s="26"/>
      <c r="R47" s="26"/>
      <c r="S47" s="26"/>
      <c r="T47" s="26"/>
      <c r="U47" s="270"/>
      <c r="V47" s="26"/>
      <c r="W47" s="26"/>
      <c r="X47" s="26"/>
      <c r="Y47" s="26"/>
      <c r="Z47" s="270"/>
      <c r="AA47" s="26"/>
      <c r="AB47" s="26"/>
      <c r="AC47" s="26"/>
      <c r="AD47" s="26"/>
      <c r="AE47" s="270"/>
      <c r="AF47" s="26"/>
      <c r="AG47" s="26"/>
      <c r="AH47" s="26"/>
      <c r="AI47" s="26"/>
      <c r="AJ47" s="270"/>
      <c r="AK47" s="26"/>
      <c r="AL47" s="26"/>
      <c r="AM47" s="26"/>
      <c r="AN47" s="26"/>
      <c r="AO47" s="270"/>
      <c r="AP47" s="26"/>
      <c r="AQ47" s="26"/>
      <c r="AR47" s="26"/>
      <c r="AS47" s="26"/>
      <c r="AT47" s="270"/>
      <c r="AU47" s="355"/>
      <c r="AV47" s="26"/>
      <c r="AW47" s="26"/>
      <c r="AX47" s="26"/>
      <c r="AY47" s="270"/>
      <c r="AZ47" s="26"/>
      <c r="BA47" s="26"/>
      <c r="BB47" s="26"/>
      <c r="BC47" s="26"/>
      <c r="BD47" s="270"/>
      <c r="BE47" s="26"/>
      <c r="BF47" s="26"/>
      <c r="BG47" s="26"/>
      <c r="BH47" s="26"/>
      <c r="BI47" s="270"/>
      <c r="BJ47" s="26"/>
      <c r="BK47" s="26"/>
      <c r="BL47" s="26"/>
      <c r="BM47" s="26"/>
      <c r="BN47" s="270"/>
      <c r="BO47" s="26"/>
      <c r="BP47" s="26"/>
      <c r="BQ47" s="26"/>
      <c r="BR47" s="26"/>
      <c r="BS47" s="270"/>
      <c r="BT47" s="26"/>
      <c r="BU47" s="26"/>
      <c r="BV47" s="26"/>
      <c r="BW47" s="26"/>
      <c r="BX47" s="270"/>
      <c r="BY47" s="26"/>
      <c r="BZ47" s="26"/>
      <c r="CA47" s="26"/>
      <c r="CB47" s="26"/>
      <c r="CC47" s="270"/>
      <c r="CD47" s="26"/>
      <c r="CE47" s="26"/>
      <c r="CF47" s="26"/>
      <c r="CG47" s="26"/>
      <c r="CH47" s="270"/>
      <c r="CI47" s="26"/>
      <c r="CJ47" s="26"/>
      <c r="CK47" s="26"/>
      <c r="CL47" s="26"/>
      <c r="CM47" s="270"/>
    </row>
    <row r="48" spans="1:91" s="16" customFormat="1" ht="12.75" customHeight="1">
      <c r="A48" s="16" t="s">
        <v>220</v>
      </c>
      <c r="E48" s="26"/>
      <c r="F48" s="270"/>
      <c r="G48" s="26"/>
      <c r="H48" s="26"/>
      <c r="I48" s="26">
        <v>41.95</v>
      </c>
      <c r="J48" s="26">
        <v>41.8</v>
      </c>
      <c r="K48" s="270">
        <f>J48</f>
        <v>41.8</v>
      </c>
      <c r="L48" s="26">
        <v>46.5</v>
      </c>
      <c r="M48" s="26">
        <v>46.8</v>
      </c>
      <c r="N48" s="26">
        <v>46.5</v>
      </c>
      <c r="O48" s="26">
        <v>49.6</v>
      </c>
      <c r="P48" s="270">
        <f>O48</f>
        <v>49.6</v>
      </c>
      <c r="Q48" s="26">
        <v>45.5</v>
      </c>
      <c r="R48" s="26">
        <v>50.4</v>
      </c>
      <c r="S48" s="26">
        <v>56.4</v>
      </c>
      <c r="T48" s="26">
        <v>57.1</v>
      </c>
      <c r="U48" s="270">
        <f>T48</f>
        <v>57.1</v>
      </c>
      <c r="V48" s="26">
        <v>59.4</v>
      </c>
      <c r="W48" s="26">
        <v>59.4</v>
      </c>
      <c r="X48" s="26">
        <v>59.4</v>
      </c>
      <c r="Y48" s="26">
        <v>0</v>
      </c>
      <c r="Z48" s="270">
        <f>Y48</f>
        <v>0</v>
      </c>
      <c r="AA48" s="26">
        <v>0</v>
      </c>
      <c r="AB48" s="26">
        <v>0</v>
      </c>
      <c r="AC48" s="26">
        <v>0</v>
      </c>
      <c r="AD48" s="26">
        <v>0</v>
      </c>
      <c r="AE48" s="270">
        <f>AD48</f>
        <v>0</v>
      </c>
      <c r="AF48" s="26">
        <v>0</v>
      </c>
      <c r="AG48" s="26">
        <v>0</v>
      </c>
      <c r="AH48" s="26">
        <v>0</v>
      </c>
      <c r="AI48" s="26">
        <v>0</v>
      </c>
      <c r="AJ48" s="270">
        <f>AI48</f>
        <v>0</v>
      </c>
      <c r="AK48" s="26">
        <v>0</v>
      </c>
      <c r="AL48" s="26">
        <v>0</v>
      </c>
      <c r="AM48" s="26">
        <v>0</v>
      </c>
      <c r="AN48" s="26">
        <v>0</v>
      </c>
      <c r="AO48" s="270">
        <f>+AN48</f>
        <v>0</v>
      </c>
      <c r="AP48" s="26">
        <v>0</v>
      </c>
      <c r="AQ48" s="26">
        <v>0</v>
      </c>
      <c r="AR48" s="26">
        <v>0</v>
      </c>
      <c r="AS48" s="26">
        <v>0</v>
      </c>
      <c r="AT48" s="270">
        <f>+AS48</f>
        <v>0</v>
      </c>
      <c r="AU48" s="355">
        <v>0</v>
      </c>
      <c r="AV48" s="26">
        <v>0</v>
      </c>
      <c r="AW48" s="26">
        <v>0</v>
      </c>
      <c r="AX48" s="26">
        <v>0</v>
      </c>
      <c r="AY48" s="270">
        <f>+AX48</f>
        <v>0</v>
      </c>
      <c r="AZ48" s="26">
        <v>0</v>
      </c>
      <c r="BA48" s="26">
        <v>0</v>
      </c>
      <c r="BB48" s="26">
        <v>0</v>
      </c>
      <c r="BC48" s="26">
        <v>0</v>
      </c>
      <c r="BD48" s="270">
        <f>+BC48</f>
        <v>0</v>
      </c>
      <c r="BE48" s="26">
        <v>0</v>
      </c>
      <c r="BF48" s="26">
        <v>0</v>
      </c>
      <c r="BG48" s="26">
        <v>0</v>
      </c>
      <c r="BH48" s="26">
        <v>0</v>
      </c>
      <c r="BI48" s="270">
        <f>+BH48</f>
        <v>0</v>
      </c>
      <c r="BJ48" s="26">
        <v>0</v>
      </c>
      <c r="BK48" s="26">
        <v>0</v>
      </c>
      <c r="BL48" s="26">
        <v>0</v>
      </c>
      <c r="BM48" s="26">
        <v>0</v>
      </c>
      <c r="BN48" s="270">
        <f>+BM48</f>
        <v>0</v>
      </c>
      <c r="BO48" s="26">
        <v>0</v>
      </c>
      <c r="BP48" s="26">
        <v>0</v>
      </c>
      <c r="BQ48" s="26">
        <v>0</v>
      </c>
      <c r="BR48" s="26">
        <v>0</v>
      </c>
      <c r="BS48" s="270">
        <f>+BR48</f>
        <v>0</v>
      </c>
      <c r="BT48" s="26">
        <v>0</v>
      </c>
      <c r="BU48" s="26">
        <v>0</v>
      </c>
      <c r="BV48" s="26">
        <v>0</v>
      </c>
      <c r="BW48" s="26">
        <v>0</v>
      </c>
      <c r="BX48" s="270">
        <f>+BW48</f>
        <v>0</v>
      </c>
      <c r="BY48" s="26">
        <v>0</v>
      </c>
      <c r="BZ48" s="26">
        <v>0</v>
      </c>
      <c r="CA48" s="26">
        <v>0</v>
      </c>
      <c r="CB48" s="26">
        <v>0</v>
      </c>
      <c r="CC48" s="270">
        <f>+CB48</f>
        <v>0</v>
      </c>
      <c r="CD48" s="26">
        <v>0</v>
      </c>
      <c r="CE48" s="26">
        <v>0</v>
      </c>
      <c r="CF48" s="26">
        <v>0</v>
      </c>
      <c r="CG48" s="26">
        <v>0</v>
      </c>
      <c r="CH48" s="270">
        <f>+CG48</f>
        <v>0</v>
      </c>
      <c r="CI48" s="26">
        <v>0</v>
      </c>
      <c r="CJ48" s="26">
        <v>0</v>
      </c>
      <c r="CK48" s="26">
        <v>0</v>
      </c>
      <c r="CL48" s="26">
        <v>0</v>
      </c>
      <c r="CM48" s="270">
        <f>+CL48</f>
        <v>0</v>
      </c>
    </row>
    <row r="49" spans="1:91" s="16" customFormat="1" ht="12.75" customHeight="1">
      <c r="E49" s="26"/>
      <c r="F49" s="270"/>
      <c r="G49" s="26"/>
      <c r="H49" s="26"/>
      <c r="I49" s="26"/>
      <c r="J49" s="26"/>
      <c r="K49" s="270"/>
      <c r="L49" s="26"/>
      <c r="M49" s="26"/>
      <c r="N49" s="26"/>
      <c r="O49" s="26"/>
      <c r="P49" s="270"/>
      <c r="Q49" s="26"/>
      <c r="R49" s="26"/>
      <c r="S49" s="26"/>
      <c r="T49" s="26"/>
      <c r="U49" s="270"/>
      <c r="V49" s="26"/>
      <c r="W49" s="26"/>
      <c r="X49" s="26"/>
      <c r="Y49" s="26"/>
      <c r="Z49" s="270"/>
      <c r="AA49" s="26"/>
      <c r="AB49" s="26"/>
      <c r="AC49" s="26"/>
      <c r="AD49" s="26"/>
      <c r="AE49" s="270"/>
      <c r="AF49" s="26"/>
      <c r="AG49" s="26"/>
      <c r="AH49" s="26"/>
      <c r="AI49" s="26"/>
      <c r="AJ49" s="270"/>
      <c r="AK49" s="26"/>
      <c r="AL49" s="26"/>
      <c r="AM49" s="26"/>
      <c r="AN49" s="26"/>
      <c r="AO49" s="270"/>
      <c r="AP49" s="26"/>
      <c r="AQ49" s="26"/>
      <c r="AR49" s="26"/>
      <c r="AS49" s="26"/>
      <c r="AT49" s="270"/>
      <c r="AU49" s="355"/>
      <c r="AV49" s="26"/>
      <c r="AW49" s="26"/>
      <c r="AX49" s="26"/>
      <c r="AY49" s="270"/>
      <c r="AZ49" s="26"/>
      <c r="BA49" s="26"/>
      <c r="BB49" s="26"/>
      <c r="BC49" s="26"/>
      <c r="BD49" s="270"/>
      <c r="BE49" s="26"/>
      <c r="BF49" s="26"/>
      <c r="BG49" s="26"/>
      <c r="BH49" s="26"/>
      <c r="BI49" s="270"/>
      <c r="BJ49" s="26"/>
      <c r="BK49" s="26"/>
      <c r="BL49" s="26"/>
      <c r="BM49" s="26"/>
      <c r="BN49" s="270"/>
      <c r="BO49" s="26"/>
      <c r="BP49" s="26"/>
      <c r="BQ49" s="26"/>
      <c r="BR49" s="26"/>
      <c r="BS49" s="270"/>
      <c r="BT49" s="26"/>
      <c r="BU49" s="26"/>
      <c r="BV49" s="26"/>
      <c r="BW49" s="26"/>
      <c r="BX49" s="270"/>
      <c r="BY49" s="26"/>
      <c r="BZ49" s="26"/>
      <c r="CA49" s="26"/>
      <c r="CB49" s="26"/>
      <c r="CC49" s="270"/>
      <c r="CD49" s="26"/>
      <c r="CE49" s="26"/>
      <c r="CF49" s="26"/>
      <c r="CG49" s="26"/>
      <c r="CH49" s="270"/>
      <c r="CI49" s="26"/>
      <c r="CJ49" s="26"/>
      <c r="CK49" s="26"/>
      <c r="CL49" s="26"/>
      <c r="CM49" s="270"/>
    </row>
    <row r="50" spans="1:91" s="15" customFormat="1" ht="12.75" customHeight="1">
      <c r="A50" s="15" t="s">
        <v>56</v>
      </c>
      <c r="E50" s="170">
        <f>E37+E46</f>
        <v>342.93799999999999</v>
      </c>
      <c r="F50" s="253">
        <f>F37+F46</f>
        <v>342.93799999999999</v>
      </c>
      <c r="G50" s="170"/>
      <c r="H50" s="170"/>
      <c r="I50" s="170">
        <f>I37+I46+I48</f>
        <v>344.59899999999999</v>
      </c>
      <c r="J50" s="170">
        <f>J37+J46+J48</f>
        <v>587.40299999999991</v>
      </c>
      <c r="K50" s="253">
        <f>K37+K46+K48</f>
        <v>587.40299999999991</v>
      </c>
      <c r="L50" s="170">
        <f>L37+L46+L48</f>
        <v>579.17100000000005</v>
      </c>
      <c r="M50" s="170">
        <f t="shared" ref="M50:O50" si="167">M37+M46+M48</f>
        <v>939.98900000000015</v>
      </c>
      <c r="N50" s="170">
        <f t="shared" si="167"/>
        <v>948.33400000000006</v>
      </c>
      <c r="O50" s="170">
        <f t="shared" si="167"/>
        <v>962.53499999999997</v>
      </c>
      <c r="P50" s="253">
        <f>O50</f>
        <v>962.53499999999997</v>
      </c>
      <c r="Q50" s="170">
        <f>Q37+Q46+Q48</f>
        <v>948.16699999999992</v>
      </c>
      <c r="R50" s="170">
        <f t="shared" ref="R50:T50" si="168">R37+R46+R48</f>
        <v>1277.5360000000003</v>
      </c>
      <c r="S50" s="170">
        <f t="shared" si="168"/>
        <v>1262.1090000000004</v>
      </c>
      <c r="T50" s="170">
        <f t="shared" si="168"/>
        <v>2271.7809999999995</v>
      </c>
      <c r="U50" s="253">
        <f>T50</f>
        <v>2271.7809999999995</v>
      </c>
      <c r="V50" s="170">
        <f>V37+V46+V48</f>
        <v>2346.741</v>
      </c>
      <c r="W50" s="170">
        <f t="shared" ref="W50:Z50" si="169">W37+W46+W48</f>
        <v>2291.8850000000002</v>
      </c>
      <c r="X50" s="170">
        <f t="shared" si="169"/>
        <v>2225.5340000000001</v>
      </c>
      <c r="Y50" s="170">
        <f t="shared" si="169"/>
        <v>2204.4989999999998</v>
      </c>
      <c r="Z50" s="253">
        <f t="shared" si="169"/>
        <v>2204.4989999999998</v>
      </c>
      <c r="AA50" s="170">
        <f>AA37+AA46+AA48</f>
        <v>2129.598</v>
      </c>
      <c r="AB50" s="170">
        <f t="shared" ref="AB50:AE50" si="170">AB37+AB46+AB48</f>
        <v>1853.7370000000003</v>
      </c>
      <c r="AC50" s="170">
        <f t="shared" si="170"/>
        <v>1701.779</v>
      </c>
      <c r="AD50" s="170">
        <f t="shared" si="170"/>
        <v>1609.9850000000001</v>
      </c>
      <c r="AE50" s="253">
        <f t="shared" si="170"/>
        <v>1609.9850000000001</v>
      </c>
      <c r="AF50" s="170">
        <f>AF37+AF46+AF48</f>
        <v>1511.6310000000001</v>
      </c>
      <c r="AG50" s="170">
        <f t="shared" ref="AG50:AI50" si="171">AG37+AG46+AG48</f>
        <v>1840.0170000000003</v>
      </c>
      <c r="AH50" s="170">
        <f t="shared" si="171"/>
        <v>1797.231</v>
      </c>
      <c r="AI50" s="170">
        <f t="shared" si="171"/>
        <v>1786.4209999999998</v>
      </c>
      <c r="AJ50" s="253">
        <f>AI50</f>
        <v>1786.4209999999998</v>
      </c>
      <c r="AK50" s="170">
        <f>AK37+AK46+AK48</f>
        <v>1704.598</v>
      </c>
      <c r="AL50" s="170">
        <f t="shared" ref="AL50:AN50" si="172">AL37+AL46+AL48</f>
        <v>1609.3400000000004</v>
      </c>
      <c r="AM50" s="170">
        <f t="shared" si="172"/>
        <v>1538.7270000000005</v>
      </c>
      <c r="AN50" s="170">
        <f t="shared" si="172"/>
        <v>1485.6090000000002</v>
      </c>
      <c r="AO50" s="253">
        <f>AN50</f>
        <v>1485.6090000000002</v>
      </c>
      <c r="AP50" s="170">
        <f>AP37+AP46</f>
        <v>1344.2260000000003</v>
      </c>
      <c r="AQ50" s="170">
        <f>AQ37+AQ46</f>
        <v>1331.9990000000005</v>
      </c>
      <c r="AR50" s="170">
        <f>AR37+AR46</f>
        <v>1276.7860000000001</v>
      </c>
      <c r="AS50" s="170">
        <f>AS37+AS46</f>
        <v>2013.6589999999999</v>
      </c>
      <c r="AT50" s="253">
        <f>AS50</f>
        <v>2013.6589999999999</v>
      </c>
      <c r="AU50" s="356">
        <f>AU37+AU46</f>
        <v>1939.7132556701256</v>
      </c>
      <c r="AV50" s="170">
        <f>AV37+AV46</f>
        <v>1883.7986054824567</v>
      </c>
      <c r="AW50" s="170">
        <f>AW37+AW46</f>
        <v>1864.480007048812</v>
      </c>
      <c r="AX50" s="170">
        <f>AX37+AX46</f>
        <v>1867.8834968559295</v>
      </c>
      <c r="AY50" s="253">
        <f>AX50</f>
        <v>1867.8834968559295</v>
      </c>
      <c r="AZ50" s="170">
        <f>AZ37+AZ46</f>
        <v>1850.516317032442</v>
      </c>
      <c r="BA50" s="170">
        <f>BA37+BA46</f>
        <v>1840.3312296953693</v>
      </c>
      <c r="BB50" s="170">
        <f>BB37+BB46</f>
        <v>1872.5543517752528</v>
      </c>
      <c r="BC50" s="170">
        <f>BC37+BC46</f>
        <v>1456.1339540550769</v>
      </c>
      <c r="BD50" s="253">
        <f>BC50</f>
        <v>1456.1339540550769</v>
      </c>
      <c r="BE50" s="170">
        <f>BE37+BE46</f>
        <v>1500.8871586952625</v>
      </c>
      <c r="BF50" s="170">
        <f>BF37+BF46</f>
        <v>1534.2974975547324</v>
      </c>
      <c r="BG50" s="170">
        <f>BG37+BG46</f>
        <v>1631.5385599577021</v>
      </c>
      <c r="BH50" s="170">
        <f>BH37+BH46</f>
        <v>1784.0195950003983</v>
      </c>
      <c r="BI50" s="253">
        <f>BH50</f>
        <v>1784.0195950003983</v>
      </c>
      <c r="BJ50" s="170">
        <f>BJ37+BJ46</f>
        <v>1907.8364561382962</v>
      </c>
      <c r="BK50" s="170">
        <f>BK37+BK46</f>
        <v>1978.5962716669824</v>
      </c>
      <c r="BL50" s="170">
        <f>BL37+BL46</f>
        <v>2131.9553472657003</v>
      </c>
      <c r="BM50" s="170">
        <f>BM37+BM46</f>
        <v>2347.7029107899348</v>
      </c>
      <c r="BN50" s="253">
        <f>BM50</f>
        <v>2347.7029107899348</v>
      </c>
      <c r="BO50" s="170">
        <f>BO37+BO46</f>
        <v>2525.7287677050699</v>
      </c>
      <c r="BP50" s="170">
        <f>BP37+BP46</f>
        <v>2650.8664705153742</v>
      </c>
      <c r="BQ50" s="170">
        <f>BQ37+BQ46</f>
        <v>2867.1552164190316</v>
      </c>
      <c r="BR50" s="170">
        <f>BR37+BR46</f>
        <v>3158.9908557503027</v>
      </c>
      <c r="BS50" s="253">
        <f>BR50</f>
        <v>3158.9908557503027</v>
      </c>
      <c r="BT50" s="170">
        <f>BT37+BT46</f>
        <v>2784.724735495236</v>
      </c>
      <c r="BU50" s="170">
        <f>BU37+BU46</f>
        <v>2942.9848683748723</v>
      </c>
      <c r="BV50" s="170">
        <f>BV37+BV46</f>
        <v>3203.9711488712319</v>
      </c>
      <c r="BW50" s="170">
        <f>BW37+BW46</f>
        <v>3546.5544659477323</v>
      </c>
      <c r="BX50" s="253">
        <f>BW50</f>
        <v>3546.5544659477323</v>
      </c>
      <c r="BY50" s="170">
        <f>BY37+BY46</f>
        <v>3837.6081292723752</v>
      </c>
      <c r="BZ50" s="170">
        <f>BZ37+BZ46</f>
        <v>4023.0765931313117</v>
      </c>
      <c r="CA50" s="170">
        <f>CA37+CA46</f>
        <v>4324.1014561383936</v>
      </c>
      <c r="CB50" s="170">
        <f>CB37+CB46</f>
        <v>4711.1480805390211</v>
      </c>
      <c r="CC50" s="253">
        <f>CB50</f>
        <v>4711.1480805390211</v>
      </c>
      <c r="CD50" s="170">
        <f>CD37+CD46</f>
        <v>5043.4798869377573</v>
      </c>
      <c r="CE50" s="170">
        <f>CE37+CE46</f>
        <v>4878.0537870425542</v>
      </c>
      <c r="CF50" s="170">
        <f>CF37+CF46</f>
        <v>5216.5473287081459</v>
      </c>
      <c r="CG50" s="170">
        <f>CG37+CG46</f>
        <v>5644.3371920003046</v>
      </c>
      <c r="CH50" s="253">
        <f>CG50</f>
        <v>5644.3371920003046</v>
      </c>
      <c r="CI50" s="170">
        <f>CI37+CI46</f>
        <v>6009.0113646447844</v>
      </c>
      <c r="CJ50" s="170">
        <f>CJ37+CJ46</f>
        <v>6254.1942319947684</v>
      </c>
      <c r="CK50" s="170">
        <f>CK37+CK46</f>
        <v>6620.3911114126022</v>
      </c>
      <c r="CL50" s="170">
        <f>CL37+CL46</f>
        <v>7075.9280279938912</v>
      </c>
      <c r="CM50" s="253">
        <f>CL50</f>
        <v>7075.9280279938912</v>
      </c>
    </row>
    <row r="51" spans="1:91" s="16" customFormat="1" ht="12.75" customHeight="1">
      <c r="F51" s="269"/>
      <c r="K51" s="269"/>
      <c r="P51" s="269"/>
      <c r="U51" s="269"/>
      <c r="Z51" s="269"/>
      <c r="AE51" s="269"/>
      <c r="AJ51" s="269"/>
      <c r="AO51" s="269"/>
      <c r="AT51" s="269"/>
      <c r="AU51" s="306"/>
      <c r="AY51" s="269"/>
      <c r="BD51" s="269"/>
      <c r="BI51" s="269"/>
      <c r="BN51" s="269"/>
      <c r="BS51" s="269"/>
      <c r="BX51" s="269"/>
      <c r="CC51" s="269"/>
      <c r="CH51" s="269"/>
      <c r="CM51" s="269"/>
    </row>
    <row r="52" spans="1:91" ht="12.75" customHeight="1">
      <c r="F52" s="240"/>
      <c r="K52" s="240"/>
      <c r="P52" s="240"/>
      <c r="U52" s="240"/>
      <c r="Z52" s="240"/>
      <c r="AE52" s="240"/>
      <c r="AJ52" s="240"/>
      <c r="AO52" s="240"/>
      <c r="AT52" s="240"/>
      <c r="AU52" s="374"/>
      <c r="AY52" s="240"/>
      <c r="BD52" s="240"/>
      <c r="BI52" s="240"/>
      <c r="BN52" s="240"/>
      <c r="BS52" s="240"/>
      <c r="BX52" s="240"/>
      <c r="CC52" s="240"/>
      <c r="CH52" s="240"/>
      <c r="CM52" s="240"/>
    </row>
    <row r="53" spans="1:91" ht="12.75" customHeight="1">
      <c r="A53" s="18" t="s">
        <v>57</v>
      </c>
      <c r="B53" s="23"/>
      <c r="C53" s="23"/>
      <c r="D53" s="23"/>
      <c r="E53" s="23">
        <f t="shared" ref="E53:J53" si="173">E21-E50</f>
        <v>0</v>
      </c>
      <c r="F53" s="271">
        <f t="shared" si="173"/>
        <v>0</v>
      </c>
      <c r="G53" s="23">
        <f t="shared" si="173"/>
        <v>0</v>
      </c>
      <c r="H53" s="23">
        <f t="shared" si="173"/>
        <v>0</v>
      </c>
      <c r="I53" s="23">
        <f t="shared" si="173"/>
        <v>0</v>
      </c>
      <c r="J53" s="23">
        <f t="shared" si="173"/>
        <v>0</v>
      </c>
      <c r="K53" s="329">
        <f>J53</f>
        <v>0</v>
      </c>
      <c r="L53" s="23">
        <f>L21-L50</f>
        <v>0</v>
      </c>
      <c r="M53" s="23">
        <f>M21-M50</f>
        <v>0</v>
      </c>
      <c r="N53" s="23">
        <f>N21-N50</f>
        <v>0</v>
      </c>
      <c r="O53" s="23">
        <f>O21-O50</f>
        <v>0</v>
      </c>
      <c r="P53" s="329">
        <f>O53</f>
        <v>0</v>
      </c>
      <c r="Q53" s="23">
        <f>Q21-Q50</f>
        <v>0</v>
      </c>
      <c r="R53" s="23">
        <f>R21-R50</f>
        <v>0</v>
      </c>
      <c r="S53" s="23">
        <f>S21-S50</f>
        <v>0</v>
      </c>
      <c r="T53" s="23">
        <f>T21-T50</f>
        <v>0</v>
      </c>
      <c r="U53" s="329">
        <f>T53</f>
        <v>0</v>
      </c>
      <c r="V53" s="23">
        <f t="shared" ref="V53:AD53" si="174">V21-V50</f>
        <v>0</v>
      </c>
      <c r="W53" s="23">
        <f t="shared" si="174"/>
        <v>0</v>
      </c>
      <c r="X53" s="23">
        <f t="shared" si="174"/>
        <v>0</v>
      </c>
      <c r="Y53" s="23">
        <f t="shared" si="174"/>
        <v>0</v>
      </c>
      <c r="Z53" s="329">
        <f t="shared" si="174"/>
        <v>0</v>
      </c>
      <c r="AA53" s="23">
        <f t="shared" si="174"/>
        <v>0</v>
      </c>
      <c r="AB53" s="23">
        <f t="shared" si="174"/>
        <v>0</v>
      </c>
      <c r="AC53" s="23">
        <f t="shared" si="174"/>
        <v>0</v>
      </c>
      <c r="AD53" s="23">
        <f t="shared" si="174"/>
        <v>0</v>
      </c>
      <c r="AE53" s="329">
        <f>AD53</f>
        <v>0</v>
      </c>
      <c r="AF53" s="23">
        <f>AF21-AF50</f>
        <v>0</v>
      </c>
      <c r="AG53" s="23">
        <f>AG21-AG50</f>
        <v>0</v>
      </c>
      <c r="AH53" s="23">
        <f>AH21-AH50</f>
        <v>0</v>
      </c>
      <c r="AI53" s="23">
        <f>AI21-AI50</f>
        <v>0</v>
      </c>
      <c r="AJ53" s="329">
        <f>AI53</f>
        <v>0</v>
      </c>
      <c r="AK53" s="23">
        <f>AK21-AK50</f>
        <v>0</v>
      </c>
      <c r="AL53" s="23">
        <f>AL21-AL50</f>
        <v>0</v>
      </c>
      <c r="AM53" s="23">
        <f>AM21-AM50</f>
        <v>0</v>
      </c>
      <c r="AN53" s="23">
        <f>AN21-AN50</f>
        <v>0</v>
      </c>
      <c r="AO53" s="271">
        <f>AN53</f>
        <v>0</v>
      </c>
      <c r="AP53" s="23">
        <f>AP21-AP50</f>
        <v>0</v>
      </c>
      <c r="AQ53" s="23">
        <f>AQ21-AQ50</f>
        <v>0</v>
      </c>
      <c r="AR53" s="23">
        <f>AR21-AR50</f>
        <v>0</v>
      </c>
      <c r="AS53" s="23">
        <f>AS21-AS50</f>
        <v>0</v>
      </c>
      <c r="AT53" s="271">
        <f>AS53</f>
        <v>0</v>
      </c>
      <c r="AU53" s="375">
        <f>AU21-AU50</f>
        <v>0</v>
      </c>
      <c r="AV53" s="23">
        <f>AV21-AV50</f>
        <v>0</v>
      </c>
      <c r="AW53" s="23">
        <f>AW21-AW50</f>
        <v>0</v>
      </c>
      <c r="AX53" s="23">
        <f>AX21-AX50</f>
        <v>0</v>
      </c>
      <c r="AY53" s="271">
        <f>AX53</f>
        <v>0</v>
      </c>
      <c r="AZ53" s="23">
        <f>AZ21-AZ50</f>
        <v>0</v>
      </c>
      <c r="BA53" s="23">
        <f>BA21-BA50</f>
        <v>0</v>
      </c>
      <c r="BB53" s="23">
        <f>BB21-BB50</f>
        <v>0</v>
      </c>
      <c r="BC53" s="23">
        <f>BC21-BC50</f>
        <v>0</v>
      </c>
      <c r="BD53" s="271">
        <f>BC53</f>
        <v>0</v>
      </c>
      <c r="BE53" s="23">
        <f>BE21-BE50</f>
        <v>0</v>
      </c>
      <c r="BF53" s="23">
        <f>BF21-BF50</f>
        <v>0</v>
      </c>
      <c r="BG53" s="23">
        <f>BG21-BG50</f>
        <v>0</v>
      </c>
      <c r="BH53" s="23">
        <f>BH21-BH50</f>
        <v>0</v>
      </c>
      <c r="BI53" s="269">
        <f>BH53</f>
        <v>0</v>
      </c>
      <c r="BJ53" s="23">
        <f>BJ21-BJ50</f>
        <v>0</v>
      </c>
      <c r="BK53" s="23">
        <f>BK21-BK50</f>
        <v>0</v>
      </c>
      <c r="BL53" s="23">
        <f>BL21-BL50</f>
        <v>0</v>
      </c>
      <c r="BM53" s="23">
        <f>BM21-BM50</f>
        <v>0</v>
      </c>
      <c r="BN53" s="269">
        <f>BM53</f>
        <v>0</v>
      </c>
      <c r="BO53" s="23">
        <f>BO21-BO50</f>
        <v>0</v>
      </c>
      <c r="BP53" s="23">
        <f>BP21-BP50</f>
        <v>0</v>
      </c>
      <c r="BQ53" s="23">
        <f>BQ21-BQ50</f>
        <v>0</v>
      </c>
      <c r="BR53" s="23">
        <f>BR21-BR50</f>
        <v>0</v>
      </c>
      <c r="BS53" s="269">
        <f>BR53</f>
        <v>0</v>
      </c>
      <c r="BT53" s="23">
        <f>BT21-BT50</f>
        <v>0</v>
      </c>
      <c r="BU53" s="23">
        <f>BU21-BU50</f>
        <v>0</v>
      </c>
      <c r="BV53" s="23">
        <f>BV21-BV50</f>
        <v>0</v>
      </c>
      <c r="BW53" s="23">
        <f>BW21-BW50</f>
        <v>0</v>
      </c>
      <c r="BX53" s="271">
        <f>BW53</f>
        <v>0</v>
      </c>
      <c r="BY53" s="23">
        <f>BY21-BY50</f>
        <v>0</v>
      </c>
      <c r="BZ53" s="23">
        <f>BZ21-BZ50</f>
        <v>0</v>
      </c>
      <c r="CA53" s="23">
        <f>CA21-CA50</f>
        <v>0</v>
      </c>
      <c r="CB53" s="23">
        <f>CB21-CB50</f>
        <v>0</v>
      </c>
      <c r="CC53" s="271">
        <f>CB53</f>
        <v>0</v>
      </c>
      <c r="CD53" s="23">
        <f t="shared" ref="CD53:CM53" si="175">CD21-CD50</f>
        <v>0</v>
      </c>
      <c r="CE53" s="23">
        <f t="shared" si="175"/>
        <v>0</v>
      </c>
      <c r="CF53" s="23">
        <f t="shared" si="175"/>
        <v>0</v>
      </c>
      <c r="CG53" s="23">
        <f t="shared" si="175"/>
        <v>0</v>
      </c>
      <c r="CH53" s="271">
        <f t="shared" si="175"/>
        <v>0</v>
      </c>
      <c r="CI53" s="23">
        <f t="shared" si="175"/>
        <v>0</v>
      </c>
      <c r="CJ53" s="23">
        <f t="shared" si="175"/>
        <v>0</v>
      </c>
      <c r="CK53" s="23">
        <f t="shared" si="175"/>
        <v>0</v>
      </c>
      <c r="CL53" s="23">
        <f t="shared" si="175"/>
        <v>0</v>
      </c>
      <c r="CM53" s="271">
        <f t="shared" si="175"/>
        <v>0</v>
      </c>
    </row>
    <row r="54" spans="1:91" ht="12.75" customHeight="1">
      <c r="B54" s="23"/>
      <c r="C54" s="23"/>
      <c r="D54" s="23"/>
      <c r="E54" s="23"/>
      <c r="F54" s="271"/>
      <c r="G54" s="23"/>
      <c r="H54" s="23"/>
      <c r="I54" s="23"/>
      <c r="J54" s="23"/>
      <c r="K54" s="269"/>
      <c r="L54" s="23"/>
      <c r="M54" s="23"/>
      <c r="N54" s="23"/>
      <c r="O54" s="23"/>
      <c r="P54" s="269"/>
      <c r="Q54" s="23"/>
      <c r="R54" s="23"/>
      <c r="S54" s="23"/>
      <c r="T54" s="23"/>
      <c r="U54" s="269"/>
      <c r="V54" s="23"/>
      <c r="W54" s="23"/>
      <c r="X54" s="23"/>
      <c r="Y54" s="23"/>
      <c r="Z54" s="271"/>
      <c r="AA54" s="23"/>
      <c r="AB54" s="23"/>
      <c r="AC54" s="23"/>
      <c r="AD54" s="23"/>
      <c r="AE54" s="269"/>
      <c r="AF54" s="23"/>
      <c r="AG54" s="23"/>
      <c r="AH54" s="23"/>
      <c r="AI54" s="23"/>
      <c r="AJ54" s="269"/>
      <c r="AK54" s="23"/>
      <c r="AL54" s="23"/>
      <c r="AM54" s="23"/>
      <c r="AN54" s="23"/>
      <c r="AO54" s="269"/>
      <c r="AP54" s="23"/>
      <c r="AQ54" s="23"/>
      <c r="AR54" s="23"/>
      <c r="AS54" s="23"/>
      <c r="AT54" s="269"/>
      <c r="AU54" s="375"/>
      <c r="AV54" s="23"/>
      <c r="AW54" s="23"/>
      <c r="AX54" s="23"/>
      <c r="AY54" s="269"/>
      <c r="AZ54" s="23"/>
      <c r="BA54" s="23"/>
      <c r="BB54" s="23"/>
      <c r="BC54" s="23"/>
      <c r="BD54" s="269"/>
      <c r="BE54" s="23"/>
      <c r="BF54" s="23"/>
      <c r="BG54" s="23"/>
      <c r="BH54" s="23"/>
      <c r="BI54" s="269"/>
      <c r="BJ54" s="23"/>
      <c r="BK54" s="23"/>
      <c r="BL54" s="23"/>
      <c r="BM54" s="23"/>
      <c r="BN54" s="269"/>
      <c r="BO54" s="23"/>
      <c r="BP54" s="23"/>
      <c r="BQ54" s="23"/>
      <c r="BR54" s="23"/>
      <c r="BS54" s="269"/>
      <c r="BT54" s="23"/>
      <c r="BU54" s="23"/>
      <c r="BV54" s="23"/>
      <c r="BW54" s="23"/>
      <c r="BX54" s="269"/>
      <c r="BY54" s="23"/>
      <c r="BZ54" s="23"/>
      <c r="CA54" s="23"/>
      <c r="CB54" s="23"/>
      <c r="CC54" s="269"/>
      <c r="CD54" s="23"/>
      <c r="CE54" s="23"/>
      <c r="CF54" s="23"/>
      <c r="CG54" s="23"/>
      <c r="CH54" s="271"/>
      <c r="CI54" s="23"/>
      <c r="CJ54" s="23"/>
      <c r="CK54" s="23"/>
      <c r="CL54" s="23"/>
      <c r="CM54" s="271"/>
    </row>
    <row r="55" spans="1:91" ht="12.75" customHeight="1">
      <c r="A55" s="63">
        <v>0.01</v>
      </c>
      <c r="F55" s="240"/>
      <c r="K55" s="240"/>
      <c r="P55" s="240"/>
      <c r="U55" s="240"/>
      <c r="Z55" s="240"/>
      <c r="AE55" s="240"/>
      <c r="AJ55" s="240"/>
      <c r="AO55" s="240"/>
      <c r="AT55" s="240"/>
      <c r="AU55" s="374"/>
      <c r="AY55" s="240"/>
      <c r="BD55" s="240"/>
      <c r="BI55" s="240"/>
      <c r="BN55" s="240"/>
      <c r="BS55" s="240"/>
      <c r="BX55" s="240"/>
      <c r="CC55" s="240"/>
      <c r="CH55" s="240"/>
      <c r="CM55" s="240"/>
    </row>
    <row r="56" spans="1:91" s="24" customFormat="1" ht="12.75" customHeight="1">
      <c r="A56" s="24" t="s">
        <v>58</v>
      </c>
      <c r="E56" s="24">
        <f t="shared" ref="E56" si="176">D59</f>
        <v>12.073</v>
      </c>
      <c r="F56" s="272"/>
      <c r="G56" s="24">
        <f>F59</f>
        <v>12.582000000000001</v>
      </c>
      <c r="H56" s="24">
        <f>G59</f>
        <v>11.92</v>
      </c>
      <c r="I56" s="24">
        <f t="shared" ref="I56:J56" si="177">H59</f>
        <v>12.388</v>
      </c>
      <c r="J56" s="24">
        <f t="shared" si="177"/>
        <v>12.582000000000001</v>
      </c>
      <c r="K56" s="272">
        <f>G56</f>
        <v>12.582000000000001</v>
      </c>
      <c r="L56" s="24">
        <f>J59</f>
        <v>84.123000000000005</v>
      </c>
      <c r="M56" s="24">
        <f t="shared" ref="M56:O56" si="178">L59</f>
        <v>85.935000000000002</v>
      </c>
      <c r="N56" s="24">
        <f t="shared" si="178"/>
        <v>89.036000000000001</v>
      </c>
      <c r="O56" s="24">
        <f t="shared" si="178"/>
        <v>93.302999999999997</v>
      </c>
      <c r="P56" s="272">
        <f>L56</f>
        <v>84.123000000000005</v>
      </c>
      <c r="Q56" s="24">
        <f>O59</f>
        <v>94.113999999999976</v>
      </c>
      <c r="R56" s="24">
        <f t="shared" ref="R56:T56" si="179">Q59</f>
        <v>94.382000000000005</v>
      </c>
      <c r="S56" s="24">
        <f t="shared" si="179"/>
        <v>96.010999999999996</v>
      </c>
      <c r="T56" s="24">
        <f t="shared" si="179"/>
        <v>99.554000000000002</v>
      </c>
      <c r="U56" s="272">
        <f>Q56</f>
        <v>94.113999999999976</v>
      </c>
      <c r="V56" s="24">
        <f>T59</f>
        <v>100.06900000000002</v>
      </c>
      <c r="W56" s="24">
        <f>V59</f>
        <v>100.955</v>
      </c>
      <c r="X56" s="24">
        <f>W59</f>
        <v>101.172</v>
      </c>
      <c r="Y56" s="24">
        <f>X59</f>
        <v>101.42</v>
      </c>
      <c r="Z56" s="272">
        <f>V56</f>
        <v>100.06900000000002</v>
      </c>
      <c r="AA56" s="24">
        <f>Y59</f>
        <v>101.697</v>
      </c>
      <c r="AB56" s="24">
        <f>AA59</f>
        <v>101.85299999999999</v>
      </c>
      <c r="AC56" s="24">
        <f>AB59</f>
        <v>102.047</v>
      </c>
      <c r="AD56" s="24">
        <f>AC59</f>
        <v>102.289</v>
      </c>
      <c r="AE56" s="272">
        <f>AA56</f>
        <v>101.697</v>
      </c>
      <c r="AF56" s="24">
        <f>AD59</f>
        <v>102.51600000000001</v>
      </c>
      <c r="AG56" s="24">
        <f>AF59</f>
        <v>102.663</v>
      </c>
      <c r="AH56" s="24">
        <f>AG59</f>
        <v>108.80800000000001</v>
      </c>
      <c r="AI56" s="24">
        <f>AH59</f>
        <v>117.736</v>
      </c>
      <c r="AJ56" s="272">
        <f>AF56</f>
        <v>102.51600000000001</v>
      </c>
      <c r="AK56" s="24">
        <f>AI59</f>
        <v>118.508</v>
      </c>
      <c r="AL56" s="24">
        <f>AK59</f>
        <v>121.712</v>
      </c>
      <c r="AM56" s="24">
        <f>AL59</f>
        <v>122.447</v>
      </c>
      <c r="AN56" s="24">
        <f>AM59</f>
        <v>123.051</v>
      </c>
      <c r="AO56" s="272">
        <f>AK56</f>
        <v>118.508</v>
      </c>
      <c r="AP56" s="24">
        <f>AN59</f>
        <v>123.754</v>
      </c>
      <c r="AQ56" s="24">
        <f>AP59</f>
        <v>123.871</v>
      </c>
      <c r="AR56" s="24">
        <f>AQ59</f>
        <v>124.114</v>
      </c>
      <c r="AS56" s="24">
        <f>AR59</f>
        <v>124.807</v>
      </c>
      <c r="AT56" s="272">
        <f>AP56</f>
        <v>123.754</v>
      </c>
      <c r="AU56" s="376">
        <f>AS59</f>
        <v>128.65700000000001</v>
      </c>
      <c r="AV56" s="25">
        <f>AU59</f>
        <v>129.15700000000001</v>
      </c>
      <c r="AW56" s="25">
        <f>AV59</f>
        <v>129.45700000000002</v>
      </c>
      <c r="AX56" s="25">
        <f>AW59</f>
        <v>129.75700000000003</v>
      </c>
      <c r="AY56" s="272">
        <f>AU56</f>
        <v>128.65700000000001</v>
      </c>
      <c r="AZ56" s="25">
        <f>AX59</f>
        <v>130.05700000000004</v>
      </c>
      <c r="BA56" s="25">
        <f>AZ59</f>
        <v>130.38214250000004</v>
      </c>
      <c r="BB56" s="25">
        <f>BA59</f>
        <v>130.70728500000004</v>
      </c>
      <c r="BC56" s="25">
        <f>BB59</f>
        <v>131.03242750000004</v>
      </c>
      <c r="BD56" s="272">
        <f>AZ56</f>
        <v>130.05700000000004</v>
      </c>
      <c r="BE56" s="25">
        <f>BC59</f>
        <v>131.35757000000004</v>
      </c>
      <c r="BF56" s="25">
        <f>BE59</f>
        <v>131.68596392500004</v>
      </c>
      <c r="BG56" s="25">
        <f>BF59</f>
        <v>132.01435785000004</v>
      </c>
      <c r="BH56" s="25">
        <f>BG59</f>
        <v>132.34275177500004</v>
      </c>
      <c r="BI56" s="272">
        <f>BE56</f>
        <v>131.35757000000004</v>
      </c>
      <c r="BJ56" s="25">
        <f>BH59</f>
        <v>132.67114570000004</v>
      </c>
      <c r="BK56" s="25">
        <f>BJ59</f>
        <v>133.00282356425004</v>
      </c>
      <c r="BL56" s="25">
        <f>BK59</f>
        <v>133.33450142850003</v>
      </c>
      <c r="BM56" s="25">
        <f>BL59</f>
        <v>133.66617929275003</v>
      </c>
      <c r="BN56" s="272">
        <f>BJ56</f>
        <v>132.67114570000004</v>
      </c>
      <c r="BO56" s="25">
        <f>BM59</f>
        <v>133.99785715700003</v>
      </c>
      <c r="BP56" s="25">
        <f>BO59</f>
        <v>134.33285179989252</v>
      </c>
      <c r="BQ56" s="25">
        <f>BP59</f>
        <v>134.66784644278502</v>
      </c>
      <c r="BR56" s="25">
        <f>BQ59</f>
        <v>135.00284108567752</v>
      </c>
      <c r="BS56" s="272">
        <f>BO56</f>
        <v>133.99785715700003</v>
      </c>
      <c r="BT56" s="25">
        <f>BR59</f>
        <v>135.33783572857001</v>
      </c>
      <c r="BU56" s="25">
        <f>BT59</f>
        <v>135.67618031789144</v>
      </c>
      <c r="BV56" s="25">
        <f>BU59</f>
        <v>136.01452490721286</v>
      </c>
      <c r="BW56" s="25">
        <f>BV59</f>
        <v>136.35286949653428</v>
      </c>
      <c r="BX56" s="272">
        <f>BT56</f>
        <v>135.33783572857001</v>
      </c>
      <c r="BY56" s="25">
        <f>BW59</f>
        <v>136.69121408585571</v>
      </c>
      <c r="BZ56" s="25">
        <f>BY59</f>
        <v>137.03294212107033</v>
      </c>
      <c r="CA56" s="25">
        <f>BZ59</f>
        <v>137.37467015628496</v>
      </c>
      <c r="CB56" s="25">
        <f>CA59</f>
        <v>137.71639819149959</v>
      </c>
      <c r="CC56" s="272">
        <f>BY56</f>
        <v>136.69121408585571</v>
      </c>
      <c r="CD56" s="25">
        <f>CB59</f>
        <v>138.05812622671422</v>
      </c>
      <c r="CE56" s="25">
        <f>CD59</f>
        <v>138.403271542281</v>
      </c>
      <c r="CF56" s="25">
        <f>CE59</f>
        <v>138.74841685784779</v>
      </c>
      <c r="CG56" s="25">
        <f>CF59</f>
        <v>139.09356217341457</v>
      </c>
      <c r="CH56" s="277">
        <f>CG59</f>
        <v>139.43870748898135</v>
      </c>
      <c r="CI56" s="25">
        <f>CG59</f>
        <v>139.43870748898135</v>
      </c>
      <c r="CJ56" s="25">
        <f>CI59</f>
        <v>139.78730425770379</v>
      </c>
      <c r="CK56" s="25">
        <f>CJ59</f>
        <v>140.13590102642624</v>
      </c>
      <c r="CL56" s="25">
        <f>CK59</f>
        <v>140.48449779514868</v>
      </c>
      <c r="CM56" s="277">
        <f>CL59</f>
        <v>140.83309456387113</v>
      </c>
    </row>
    <row r="57" spans="1:91" s="24" customFormat="1" ht="12.75" customHeight="1">
      <c r="A57" s="24" t="s">
        <v>59</v>
      </c>
      <c r="B57" s="55"/>
      <c r="C57" s="55"/>
      <c r="D57" s="55"/>
      <c r="E57" s="55">
        <f t="shared" ref="E57" si="180">E59-E56+E58</f>
        <v>-0.22199999999999953</v>
      </c>
      <c r="F57" s="272"/>
      <c r="G57" s="55">
        <f>G59-G56+G58</f>
        <v>-0.66200000000000081</v>
      </c>
      <c r="H57" s="55">
        <f>H59-H56+H58</f>
        <v>0.46799999999999997</v>
      </c>
      <c r="I57" s="55">
        <f t="shared" ref="I57:J57" si="181">I59-I56+I58</f>
        <v>0.19400000000000084</v>
      </c>
      <c r="J57" s="55">
        <f t="shared" si="181"/>
        <v>71.540999999999997</v>
      </c>
      <c r="K57" s="272">
        <f>SUM(G57:J57)</f>
        <v>71.540999999999997</v>
      </c>
      <c r="L57" s="24">
        <f>L59-L56+L58</f>
        <v>1.8119999999999976</v>
      </c>
      <c r="M57" s="55">
        <f t="shared" ref="M57" si="182">M59-M56+M58</f>
        <v>3.1009999999999991</v>
      </c>
      <c r="N57" s="55">
        <f t="shared" ref="N57" si="183">N59-N56+N58</f>
        <v>4.2669999999999959</v>
      </c>
      <c r="O57" s="55">
        <f t="shared" ref="O57" si="184">O59-O56+O58</f>
        <v>0.81099999999997863</v>
      </c>
      <c r="P57" s="272">
        <f>SUM(L57:O57)</f>
        <v>9.9909999999999712</v>
      </c>
      <c r="Q57" s="24">
        <f>Q59-Q56+Q58</f>
        <v>0.2680000000000291</v>
      </c>
      <c r="R57" s="55">
        <f t="shared" ref="R57" si="185">R59-R56+R58</f>
        <v>1.6289999999999907</v>
      </c>
      <c r="S57" s="55">
        <f t="shared" ref="S57" si="186">S59-S56+S58</f>
        <v>3.5430000000000064</v>
      </c>
      <c r="T57" s="55">
        <f t="shared" ref="T57" si="187">T59-T56+T58</f>
        <v>0.51500000000001478</v>
      </c>
      <c r="U57" s="272">
        <f>SUM(Q57:T57)</f>
        <v>5.9550000000000409</v>
      </c>
      <c r="V57" s="24">
        <f>V59-V56+V58</f>
        <v>0.88599999999998147</v>
      </c>
      <c r="W57" s="24">
        <f>W59-W56+W58</f>
        <v>0.21699999999999875</v>
      </c>
      <c r="X57" s="24">
        <f>X59-X56+X58</f>
        <v>0.24800000000000466</v>
      </c>
      <c r="Y57" s="24">
        <f>Y59-Y56+Y58</f>
        <v>0.27700000000000102</v>
      </c>
      <c r="Z57" s="272">
        <f>SUM(V57:Y57)</f>
        <v>1.6279999999999859</v>
      </c>
      <c r="AA57" s="24">
        <f>AA59-AA56+AA58</f>
        <v>0.1559999999999917</v>
      </c>
      <c r="AB57" s="24">
        <f>AB59-AB56+AB58</f>
        <v>0.19400000000000261</v>
      </c>
      <c r="AC57" s="24">
        <f>AC59-AC56+AC58</f>
        <v>0.24200000000000443</v>
      </c>
      <c r="AD57" s="24">
        <f>AD59-AD56+AD58</f>
        <v>0.22700000000000387</v>
      </c>
      <c r="AE57" s="272">
        <f>SUM(AA57:AD57)</f>
        <v>0.81900000000000261</v>
      </c>
      <c r="AF57" s="63">
        <f>AF59-AF56+AF58</f>
        <v>0.14699999999999136</v>
      </c>
      <c r="AG57" s="24">
        <f>AG59-AG56+AG58</f>
        <v>6.1450000000000102</v>
      </c>
      <c r="AH57" s="24">
        <f>AH59-AH56+AH58</f>
        <v>8.9279999999999973</v>
      </c>
      <c r="AI57" s="24">
        <f>AI59-AI56+AI58</f>
        <v>0.77199999999999136</v>
      </c>
      <c r="AJ57" s="272">
        <f>SUM(AF57:AI57)</f>
        <v>15.99199999999999</v>
      </c>
      <c r="AK57" s="24">
        <f>AK59-AK56+AK58</f>
        <v>3.2040000000000077</v>
      </c>
      <c r="AL57" s="24">
        <f>AL59-AL56+AL58</f>
        <v>0.73499999999999943</v>
      </c>
      <c r="AM57" s="24">
        <f>AM59-AM56+AM58</f>
        <v>0.6039999999999992</v>
      </c>
      <c r="AN57" s="24">
        <f>AN59-AN56+AN58</f>
        <v>0.70300000000000296</v>
      </c>
      <c r="AO57" s="272">
        <f>SUM(AK57:AN57)</f>
        <v>5.2460000000000093</v>
      </c>
      <c r="AP57" s="24">
        <f>AP59-AP56+AP58</f>
        <v>0.11699999999999022</v>
      </c>
      <c r="AQ57" s="24">
        <f>AQ59-AQ56+AQ58</f>
        <v>0.24300000000000921</v>
      </c>
      <c r="AR57" s="24">
        <f>AR59-AR56+AR58</f>
        <v>0.69299999999999784</v>
      </c>
      <c r="AS57" s="24">
        <f>AS59-AS56+AS58</f>
        <v>3.8500000000000085</v>
      </c>
      <c r="AT57" s="272">
        <f>SUM(AP57:AS57)</f>
        <v>4.9030000000000058</v>
      </c>
      <c r="AU57" s="403">
        <v>0.5</v>
      </c>
      <c r="AV57" s="25">
        <v>0.3</v>
      </c>
      <c r="AW57" s="25">
        <f>AV57</f>
        <v>0.3</v>
      </c>
      <c r="AX57" s="25">
        <f>AW57</f>
        <v>0.3</v>
      </c>
      <c r="AY57" s="272">
        <f>SUM(AU57:AX57)</f>
        <v>1.4000000000000001</v>
      </c>
      <c r="AZ57" s="25">
        <f>(AX59*$A$55)/4</f>
        <v>0.32514250000000011</v>
      </c>
      <c r="BA57" s="25">
        <f>AZ57</f>
        <v>0.32514250000000011</v>
      </c>
      <c r="BB57" s="25">
        <f>BA57</f>
        <v>0.32514250000000011</v>
      </c>
      <c r="BC57" s="25">
        <f>BB57</f>
        <v>0.32514250000000011</v>
      </c>
      <c r="BD57" s="272">
        <f>SUM(AZ57:BC57)</f>
        <v>1.3005700000000004</v>
      </c>
      <c r="BE57" s="25">
        <f>(BC59*$A$55)/4</f>
        <v>0.32839392500000009</v>
      </c>
      <c r="BF57" s="25">
        <f>BE57</f>
        <v>0.32839392500000009</v>
      </c>
      <c r="BG57" s="25">
        <f>BF57</f>
        <v>0.32839392500000009</v>
      </c>
      <c r="BH57" s="25">
        <f>BG57</f>
        <v>0.32839392500000009</v>
      </c>
      <c r="BI57" s="272">
        <f>SUM(BE57:BH57)</f>
        <v>1.3135757000000003</v>
      </c>
      <c r="BJ57" s="25">
        <f>(BH59*$A$55)/4</f>
        <v>0.33167786425000012</v>
      </c>
      <c r="BK57" s="25">
        <f>BJ57</f>
        <v>0.33167786425000012</v>
      </c>
      <c r="BL57" s="25">
        <f>BK57</f>
        <v>0.33167786425000012</v>
      </c>
      <c r="BM57" s="25">
        <f>BL57</f>
        <v>0.33167786425000012</v>
      </c>
      <c r="BN57" s="272">
        <f>SUM(BJ57:BM57)</f>
        <v>1.3267114570000005</v>
      </c>
      <c r="BO57" s="25">
        <f>(BM59*$A$55)/4</f>
        <v>0.33499464289250008</v>
      </c>
      <c r="BP57" s="25">
        <f>BO57</f>
        <v>0.33499464289250008</v>
      </c>
      <c r="BQ57" s="25">
        <f>BP57</f>
        <v>0.33499464289250008</v>
      </c>
      <c r="BR57" s="25">
        <f>BQ57</f>
        <v>0.33499464289250008</v>
      </c>
      <c r="BS57" s="272">
        <f>SUM(BO57:BR57)</f>
        <v>1.3399785715700003</v>
      </c>
      <c r="BT57" s="25">
        <f>(BR59*$A$55)/4</f>
        <v>0.33834458932142503</v>
      </c>
      <c r="BU57" s="25">
        <f>BT57</f>
        <v>0.33834458932142503</v>
      </c>
      <c r="BV57" s="25">
        <f>BU57</f>
        <v>0.33834458932142503</v>
      </c>
      <c r="BW57" s="25">
        <f>BV57</f>
        <v>0.33834458932142503</v>
      </c>
      <c r="BX57" s="272">
        <f>SUM(BT57:BW57)</f>
        <v>1.3533783572857001</v>
      </c>
      <c r="BY57" s="25">
        <f>(BW59*$A$55)/4</f>
        <v>0.34172803521463929</v>
      </c>
      <c r="BZ57" s="25">
        <f>BY57</f>
        <v>0.34172803521463929</v>
      </c>
      <c r="CA57" s="25">
        <f>BZ57</f>
        <v>0.34172803521463929</v>
      </c>
      <c r="CB57" s="25">
        <f>CA57</f>
        <v>0.34172803521463929</v>
      </c>
      <c r="CC57" s="272">
        <f>SUM(BY57:CB57)</f>
        <v>1.3669121408585572</v>
      </c>
      <c r="CD57" s="25">
        <f>(CB59*$A$55)/4</f>
        <v>0.34514531556678557</v>
      </c>
      <c r="CE57" s="25">
        <f>CD57</f>
        <v>0.34514531556678557</v>
      </c>
      <c r="CF57" s="25">
        <f>CE57</f>
        <v>0.34514531556678557</v>
      </c>
      <c r="CG57" s="25">
        <f>CF57</f>
        <v>0.34514531556678557</v>
      </c>
      <c r="CH57" s="277">
        <f>CG57</f>
        <v>0.34514531556678557</v>
      </c>
      <c r="CI57" s="25">
        <f>(CG59*$A$55)/4</f>
        <v>0.34859676872245338</v>
      </c>
      <c r="CJ57" s="25">
        <f>CI57</f>
        <v>0.34859676872245338</v>
      </c>
      <c r="CK57" s="25">
        <f>CJ57</f>
        <v>0.34859676872245338</v>
      </c>
      <c r="CL57" s="25">
        <f>CK57</f>
        <v>0.34859676872245338</v>
      </c>
      <c r="CM57" s="277">
        <f>CL57</f>
        <v>0.34859676872245338</v>
      </c>
    </row>
    <row r="58" spans="1:91" s="24" customFormat="1" ht="12.75" customHeight="1">
      <c r="A58" s="24" t="s">
        <v>60</v>
      </c>
      <c r="B58" s="66"/>
      <c r="F58" s="272"/>
      <c r="K58" s="272">
        <f>SUM(G58:J58)</f>
        <v>0</v>
      </c>
      <c r="P58" s="272">
        <f>SUM(L58:O58)</f>
        <v>0</v>
      </c>
      <c r="U58" s="272">
        <f>SUM(Q58:T58)</f>
        <v>0</v>
      </c>
      <c r="X58" s="25"/>
      <c r="Y58" s="25"/>
      <c r="Z58" s="272">
        <f>SUM(V58:Y58)</f>
        <v>0</v>
      </c>
      <c r="AA58" s="25"/>
      <c r="AB58" s="25"/>
      <c r="AC58" s="25"/>
      <c r="AD58" s="25"/>
      <c r="AE58" s="272">
        <f>SUM(AA58:AD58)</f>
        <v>0</v>
      </c>
      <c r="AF58" s="25"/>
      <c r="AG58" s="25"/>
      <c r="AH58" s="25"/>
      <c r="AI58" s="25"/>
      <c r="AJ58" s="272">
        <f>SUM(AF58:AI58)</f>
        <v>0</v>
      </c>
      <c r="AK58" s="25"/>
      <c r="AL58" s="25"/>
      <c r="AM58" s="25"/>
      <c r="AN58" s="25"/>
      <c r="AO58" s="272">
        <f>SUM(AK58:AN58)</f>
        <v>0</v>
      </c>
      <c r="AP58" s="25"/>
      <c r="AQ58" s="25"/>
      <c r="AR58" s="25"/>
      <c r="AS58" s="25"/>
      <c r="AT58" s="272">
        <f>SUM(AP58:AS58)</f>
        <v>0</v>
      </c>
      <c r="AU58" s="376">
        <f>-CF!AU37/BS!AU61</f>
        <v>0</v>
      </c>
      <c r="AV58" s="25">
        <f>-CF!AV37/BS!AV61</f>
        <v>0</v>
      </c>
      <c r="AW58" s="25">
        <f>-CF!AW37/BS!AW61</f>
        <v>0</v>
      </c>
      <c r="AX58" s="25">
        <f>-CF!AX37/BS!AX61</f>
        <v>0</v>
      </c>
      <c r="AY58" s="272">
        <f>SUM(AU58:AX58)</f>
        <v>0</v>
      </c>
      <c r="AZ58" s="25">
        <f>-CF!AZ37/BS!AZ61</f>
        <v>0</v>
      </c>
      <c r="BA58" s="25">
        <f>-CF!BA37/BS!BA61</f>
        <v>0</v>
      </c>
      <c r="BB58" s="25">
        <f>-CF!BB37/BS!BB61</f>
        <v>0</v>
      </c>
      <c r="BC58" s="25">
        <f>-CF!BC37/BS!BC61</f>
        <v>0</v>
      </c>
      <c r="BD58" s="272">
        <f>SUM(AZ58:BC58)</f>
        <v>0</v>
      </c>
      <c r="BE58" s="25">
        <f>-CF!BE37/BS!BE61</f>
        <v>0</v>
      </c>
      <c r="BF58" s="25">
        <f>-CF!BF37/BS!BF61</f>
        <v>0</v>
      </c>
      <c r="BG58" s="25">
        <f>-CF!BG37/BS!BG61</f>
        <v>0</v>
      </c>
      <c r="BH58" s="25">
        <f>-CF!BH37/BS!BH61</f>
        <v>0</v>
      </c>
      <c r="BI58" s="272">
        <f>SUM(BE58:BH58)</f>
        <v>0</v>
      </c>
      <c r="BJ58" s="25">
        <f>-CF!BJ37/BS!BJ61</f>
        <v>0</v>
      </c>
      <c r="BK58" s="25">
        <f>-CF!BK37/BS!BK61</f>
        <v>0</v>
      </c>
      <c r="BL58" s="25">
        <f>-CF!BL37/BS!BL61</f>
        <v>0</v>
      </c>
      <c r="BM58" s="25">
        <f>-CF!BM37/BS!BM61</f>
        <v>0</v>
      </c>
      <c r="BN58" s="272">
        <f>SUM(BJ58:BM58)</f>
        <v>0</v>
      </c>
      <c r="BO58" s="25">
        <f>-CF!BO37/BS!BO61</f>
        <v>0</v>
      </c>
      <c r="BP58" s="25">
        <f>-CF!BP37/BS!BP61</f>
        <v>0</v>
      </c>
      <c r="BQ58" s="25">
        <f>-CF!BQ37/BS!BQ61</f>
        <v>0</v>
      </c>
      <c r="BR58" s="25">
        <f>-CF!BR37/BS!BR61</f>
        <v>0</v>
      </c>
      <c r="BS58" s="272">
        <f>SUM(BO58:BR58)</f>
        <v>0</v>
      </c>
      <c r="BT58" s="25">
        <f>-CF!BT37/BS!BT61</f>
        <v>0</v>
      </c>
      <c r="BU58" s="25">
        <f>-CF!BU37/BS!BU61</f>
        <v>0</v>
      </c>
      <c r="BV58" s="25">
        <f>-CF!BV37/BS!BV61</f>
        <v>0</v>
      </c>
      <c r="BW58" s="25">
        <f>-CF!BW37/BS!BW61</f>
        <v>0</v>
      </c>
      <c r="BX58" s="272">
        <f>SUM(BT58:BW58)</f>
        <v>0</v>
      </c>
      <c r="BY58" s="25">
        <f>-CF!BY37/BS!BY61</f>
        <v>0</v>
      </c>
      <c r="BZ58" s="25">
        <f>-CF!BZ37/BS!BZ61</f>
        <v>0</v>
      </c>
      <c r="CA58" s="25">
        <f>-CF!CA37/BS!CA61</f>
        <v>0</v>
      </c>
      <c r="CB58" s="25">
        <f>-CF!CB37/BS!CB61</f>
        <v>0</v>
      </c>
      <c r="CC58" s="272">
        <f>SUM(BY58:CB58)</f>
        <v>0</v>
      </c>
      <c r="CD58" s="25">
        <f>-CF!CD37/BS!CD61</f>
        <v>0</v>
      </c>
      <c r="CE58" s="25">
        <f>-CF!CE37/BS!CE61</f>
        <v>0</v>
      </c>
      <c r="CF58" s="25">
        <f>-CF!CF37/BS!CF61</f>
        <v>0</v>
      </c>
      <c r="CG58" s="25">
        <f>-CF!CG37/BS!CG61</f>
        <v>0</v>
      </c>
      <c r="CH58" s="277">
        <f>-CF!CH37/BS!CH61</f>
        <v>0</v>
      </c>
      <c r="CI58" s="25">
        <f>-CF!CI37/BS!CI61</f>
        <v>0</v>
      </c>
      <c r="CJ58" s="25">
        <f>-CF!CJ37/BS!CJ61</f>
        <v>0</v>
      </c>
      <c r="CK58" s="25">
        <f>-CF!CK37/BS!CK61</f>
        <v>0</v>
      </c>
      <c r="CL58" s="25">
        <f>-CF!CL37/BS!CL61</f>
        <v>0</v>
      </c>
      <c r="CM58" s="277">
        <f>-CF!CM37/BS!CM61</f>
        <v>0</v>
      </c>
    </row>
    <row r="59" spans="1:91" s="24" customFormat="1" ht="12.75" customHeight="1">
      <c r="A59" s="24" t="s">
        <v>61</v>
      </c>
      <c r="B59" s="55"/>
      <c r="C59" s="55"/>
      <c r="D59" s="55">
        <f>IS!D34</f>
        <v>12.073</v>
      </c>
      <c r="E59" s="55">
        <f>IS!E34</f>
        <v>11.851000000000001</v>
      </c>
      <c r="F59" s="273">
        <f>IS!F34</f>
        <v>12.582000000000001</v>
      </c>
      <c r="G59" s="55">
        <f>IS!G34</f>
        <v>11.92</v>
      </c>
      <c r="H59" s="55">
        <f>IS!H34</f>
        <v>12.388</v>
      </c>
      <c r="I59" s="55">
        <f>IS!I34</f>
        <v>12.582000000000001</v>
      </c>
      <c r="J59" s="55">
        <f>IS!J34</f>
        <v>84.123000000000005</v>
      </c>
      <c r="K59" s="272">
        <f>K56+K57-K58</f>
        <v>84.12299999999999</v>
      </c>
      <c r="L59" s="55">
        <f>IS!L34</f>
        <v>85.935000000000002</v>
      </c>
      <c r="M59" s="55">
        <f>IS!M34</f>
        <v>89.036000000000001</v>
      </c>
      <c r="N59" s="55">
        <f>IS!N34</f>
        <v>93.302999999999997</v>
      </c>
      <c r="O59" s="55">
        <f>IS!O34</f>
        <v>94.113999999999976</v>
      </c>
      <c r="P59" s="272">
        <f>P56+P57-P58</f>
        <v>94.113999999999976</v>
      </c>
      <c r="Q59" s="55">
        <f>IS!Q34</f>
        <v>94.382000000000005</v>
      </c>
      <c r="R59" s="55">
        <f>IS!R34</f>
        <v>96.010999999999996</v>
      </c>
      <c r="S59" s="55">
        <f>IS!S34</f>
        <v>99.554000000000002</v>
      </c>
      <c r="T59" s="55">
        <f>IS!T34</f>
        <v>100.06900000000002</v>
      </c>
      <c r="U59" s="272">
        <f>U56+U57-U58</f>
        <v>100.06900000000002</v>
      </c>
      <c r="V59" s="55">
        <f>IS!V34</f>
        <v>100.955</v>
      </c>
      <c r="W59" s="55">
        <f>IS!W34</f>
        <v>101.172</v>
      </c>
      <c r="X59" s="55">
        <f>IS!X34</f>
        <v>101.42</v>
      </c>
      <c r="Y59" s="55">
        <f>IS!Y34</f>
        <v>101.697</v>
      </c>
      <c r="Z59" s="272">
        <f>Z56+Z57-Z58</f>
        <v>101.697</v>
      </c>
      <c r="AA59" s="55">
        <f>IS!AA34</f>
        <v>101.85299999999999</v>
      </c>
      <c r="AB59" s="55">
        <f>IS!AB34</f>
        <v>102.047</v>
      </c>
      <c r="AC59" s="55">
        <f>IS!AC34</f>
        <v>102.289</v>
      </c>
      <c r="AD59" s="55">
        <f>IS!AD34</f>
        <v>102.51600000000001</v>
      </c>
      <c r="AE59" s="272">
        <f>AE56+AE57-AE58</f>
        <v>102.51600000000001</v>
      </c>
      <c r="AF59" s="55">
        <f>IS!AF34</f>
        <v>102.663</v>
      </c>
      <c r="AG59" s="55">
        <f>IS!AG34</f>
        <v>108.80800000000001</v>
      </c>
      <c r="AH59" s="55">
        <f>IS!AH34</f>
        <v>117.736</v>
      </c>
      <c r="AI59" s="55">
        <f>IS!AI34</f>
        <v>118.508</v>
      </c>
      <c r="AJ59" s="272">
        <f>AJ56+AJ57-AJ58</f>
        <v>118.508</v>
      </c>
      <c r="AK59" s="55">
        <f>IS!AK34</f>
        <v>121.712</v>
      </c>
      <c r="AL59" s="55">
        <f>IS!AL34</f>
        <v>122.447</v>
      </c>
      <c r="AM59" s="55">
        <f>IS!AM34</f>
        <v>123.051</v>
      </c>
      <c r="AN59" s="55">
        <f>IS!AN34</f>
        <v>123.754</v>
      </c>
      <c r="AO59" s="272">
        <f t="shared" ref="AO59:BS59" si="188">AO56+AO57-AO58</f>
        <v>123.754</v>
      </c>
      <c r="AP59" s="55">
        <f>IS!AP34</f>
        <v>123.871</v>
      </c>
      <c r="AQ59" s="55">
        <f>IS!AQ34</f>
        <v>124.114</v>
      </c>
      <c r="AR59" s="55">
        <f>IS!AR34</f>
        <v>124.807</v>
      </c>
      <c r="AS59" s="55">
        <f>IS!AS34</f>
        <v>128.65700000000001</v>
      </c>
      <c r="AT59" s="272">
        <f t="shared" si="188"/>
        <v>128.65700000000001</v>
      </c>
      <c r="AU59" s="376">
        <f t="shared" si="188"/>
        <v>129.15700000000001</v>
      </c>
      <c r="AV59" s="25">
        <f t="shared" si="188"/>
        <v>129.45700000000002</v>
      </c>
      <c r="AW59" s="25">
        <f t="shared" si="188"/>
        <v>129.75700000000003</v>
      </c>
      <c r="AX59" s="25">
        <f t="shared" si="188"/>
        <v>130.05700000000004</v>
      </c>
      <c r="AY59" s="272">
        <f t="shared" si="188"/>
        <v>130.05700000000002</v>
      </c>
      <c r="AZ59" s="25">
        <f t="shared" si="188"/>
        <v>130.38214250000004</v>
      </c>
      <c r="BA59" s="25">
        <f t="shared" si="188"/>
        <v>130.70728500000004</v>
      </c>
      <c r="BB59" s="25">
        <f t="shared" si="188"/>
        <v>131.03242750000004</v>
      </c>
      <c r="BC59" s="25">
        <f t="shared" si="188"/>
        <v>131.35757000000004</v>
      </c>
      <c r="BD59" s="272">
        <f t="shared" si="188"/>
        <v>131.35757000000004</v>
      </c>
      <c r="BE59" s="25">
        <f t="shared" si="188"/>
        <v>131.68596392500004</v>
      </c>
      <c r="BF59" s="25">
        <f t="shared" si="188"/>
        <v>132.01435785000004</v>
      </c>
      <c r="BG59" s="25">
        <f t="shared" si="188"/>
        <v>132.34275177500004</v>
      </c>
      <c r="BH59" s="25">
        <f t="shared" si="188"/>
        <v>132.67114570000004</v>
      </c>
      <c r="BI59" s="272">
        <f t="shared" si="188"/>
        <v>132.67114570000004</v>
      </c>
      <c r="BJ59" s="25">
        <f t="shared" si="188"/>
        <v>133.00282356425004</v>
      </c>
      <c r="BK59" s="25">
        <f t="shared" si="188"/>
        <v>133.33450142850003</v>
      </c>
      <c r="BL59" s="25">
        <f t="shared" si="188"/>
        <v>133.66617929275003</v>
      </c>
      <c r="BM59" s="25">
        <f t="shared" si="188"/>
        <v>133.99785715700003</v>
      </c>
      <c r="BN59" s="272">
        <f t="shared" si="188"/>
        <v>133.99785715700003</v>
      </c>
      <c r="BO59" s="25">
        <f t="shared" si="188"/>
        <v>134.33285179989252</v>
      </c>
      <c r="BP59" s="25">
        <f t="shared" si="188"/>
        <v>134.66784644278502</v>
      </c>
      <c r="BQ59" s="25">
        <f t="shared" si="188"/>
        <v>135.00284108567752</v>
      </c>
      <c r="BR59" s="25">
        <f t="shared" si="188"/>
        <v>135.33783572857001</v>
      </c>
      <c r="BS59" s="272">
        <f t="shared" si="188"/>
        <v>135.33783572857001</v>
      </c>
      <c r="BT59" s="25">
        <f t="shared" ref="BT59:CM59" si="189">BT56+BT57-BT58</f>
        <v>135.67618031789144</v>
      </c>
      <c r="BU59" s="25">
        <f t="shared" si="189"/>
        <v>136.01452490721286</v>
      </c>
      <c r="BV59" s="25">
        <f t="shared" si="189"/>
        <v>136.35286949653428</v>
      </c>
      <c r="BW59" s="25">
        <f t="shared" si="189"/>
        <v>136.69121408585571</v>
      </c>
      <c r="BX59" s="272">
        <f t="shared" si="189"/>
        <v>136.69121408585571</v>
      </c>
      <c r="BY59" s="25">
        <f t="shared" si="189"/>
        <v>137.03294212107033</v>
      </c>
      <c r="BZ59" s="25">
        <f t="shared" si="189"/>
        <v>137.37467015628496</v>
      </c>
      <c r="CA59" s="25">
        <f t="shared" si="189"/>
        <v>137.71639819149959</v>
      </c>
      <c r="CB59" s="25">
        <f t="shared" si="189"/>
        <v>138.05812622671422</v>
      </c>
      <c r="CC59" s="272">
        <f t="shared" si="189"/>
        <v>138.05812622671425</v>
      </c>
      <c r="CD59" s="25">
        <f t="shared" si="189"/>
        <v>138.403271542281</v>
      </c>
      <c r="CE59" s="25">
        <f t="shared" si="189"/>
        <v>138.74841685784779</v>
      </c>
      <c r="CF59" s="25">
        <f t="shared" si="189"/>
        <v>139.09356217341457</v>
      </c>
      <c r="CG59" s="25">
        <f t="shared" si="189"/>
        <v>139.43870748898135</v>
      </c>
      <c r="CH59" s="277">
        <f t="shared" si="189"/>
        <v>139.78385280454813</v>
      </c>
      <c r="CI59" s="25">
        <f t="shared" si="189"/>
        <v>139.78730425770379</v>
      </c>
      <c r="CJ59" s="25">
        <f t="shared" si="189"/>
        <v>140.13590102642624</v>
      </c>
      <c r="CK59" s="25">
        <f t="shared" si="189"/>
        <v>140.48449779514868</v>
      </c>
      <c r="CL59" s="25">
        <f t="shared" si="189"/>
        <v>140.83309456387113</v>
      </c>
      <c r="CM59" s="277">
        <f t="shared" si="189"/>
        <v>141.18169133259357</v>
      </c>
    </row>
    <row r="60" spans="1:91" s="24" customFormat="1" ht="12.75" customHeight="1">
      <c r="B60" s="25"/>
      <c r="C60" s="25"/>
      <c r="D60" s="25"/>
      <c r="E60" s="25"/>
      <c r="F60" s="272"/>
      <c r="G60" s="25"/>
      <c r="H60" s="25"/>
      <c r="I60" s="25"/>
      <c r="J60" s="25"/>
      <c r="K60" s="272"/>
      <c r="L60" s="25"/>
      <c r="M60" s="25"/>
      <c r="N60" s="25"/>
      <c r="O60" s="25"/>
      <c r="P60" s="272"/>
      <c r="Q60" s="53"/>
      <c r="R60" s="53"/>
      <c r="S60" s="25"/>
      <c r="T60" s="25"/>
      <c r="U60" s="272"/>
      <c r="V60" s="25"/>
      <c r="W60" s="25"/>
      <c r="X60" s="25"/>
      <c r="Y60" s="25"/>
      <c r="Z60" s="272"/>
      <c r="AA60" s="25"/>
      <c r="AB60" s="25"/>
      <c r="AC60" s="25"/>
      <c r="AD60" s="25"/>
      <c r="AE60" s="272"/>
      <c r="AF60" s="25"/>
      <c r="AG60" s="25"/>
      <c r="AH60" s="25"/>
      <c r="AI60" s="25"/>
      <c r="AJ60" s="272"/>
      <c r="AK60" s="25"/>
      <c r="AL60" s="25"/>
      <c r="AM60" s="25"/>
      <c r="AN60" s="25"/>
      <c r="AO60" s="272"/>
      <c r="AP60" s="25"/>
      <c r="AQ60" s="25"/>
      <c r="AR60" s="25"/>
      <c r="AS60" s="25"/>
      <c r="AT60" s="272"/>
      <c r="AU60" s="376"/>
      <c r="AV60" s="25"/>
      <c r="AW60" s="25"/>
      <c r="AX60" s="25"/>
      <c r="AY60" s="272"/>
      <c r="AZ60" s="25"/>
      <c r="BA60" s="25"/>
      <c r="BB60" s="25"/>
      <c r="BC60" s="25"/>
      <c r="BD60" s="272"/>
      <c r="BE60" s="25"/>
      <c r="BF60" s="25"/>
      <c r="BG60" s="25"/>
      <c r="BH60" s="25"/>
      <c r="BI60" s="272"/>
      <c r="BJ60" s="25"/>
      <c r="BK60" s="25"/>
      <c r="BL60" s="25"/>
      <c r="BM60" s="25"/>
      <c r="BN60" s="272"/>
      <c r="BO60" s="25"/>
      <c r="BP60" s="25"/>
      <c r="BQ60" s="25"/>
      <c r="BR60" s="25"/>
      <c r="BS60" s="272"/>
      <c r="BT60" s="25"/>
      <c r="BU60" s="25"/>
      <c r="BV60" s="25"/>
      <c r="BW60" s="25"/>
      <c r="BX60" s="272"/>
      <c r="BY60" s="25"/>
      <c r="BZ60" s="25"/>
      <c r="CA60" s="25"/>
      <c r="CB60" s="25"/>
      <c r="CC60" s="272"/>
      <c r="CD60" s="25"/>
      <c r="CE60" s="25"/>
      <c r="CF60" s="25"/>
      <c r="CG60" s="25"/>
      <c r="CH60" s="277"/>
      <c r="CI60" s="25"/>
      <c r="CJ60" s="25"/>
      <c r="CK60" s="25"/>
      <c r="CL60" s="25"/>
      <c r="CM60" s="277"/>
    </row>
    <row r="61" spans="1:91" s="28" customFormat="1" ht="12.75" customHeight="1">
      <c r="A61" s="28" t="s">
        <v>165</v>
      </c>
      <c r="B61" s="53"/>
      <c r="D61" s="141"/>
      <c r="E61" s="141"/>
      <c r="F61" s="274"/>
      <c r="G61" s="141"/>
      <c r="I61" s="141"/>
      <c r="J61" s="75">
        <v>36.840000000000003</v>
      </c>
      <c r="K61" s="274">
        <v>36.840000000000003</v>
      </c>
      <c r="L61" s="75">
        <v>55.44</v>
      </c>
      <c r="M61" s="75">
        <v>76.37</v>
      </c>
      <c r="N61" s="75">
        <v>88.1</v>
      </c>
      <c r="O61" s="75">
        <v>72.099999999999994</v>
      </c>
      <c r="P61" s="274">
        <v>73.010000000000005</v>
      </c>
      <c r="Q61" s="75">
        <v>76.86</v>
      </c>
      <c r="R61" s="75">
        <v>80.569999999999993</v>
      </c>
      <c r="S61" s="75">
        <v>91.48</v>
      </c>
      <c r="T61" s="75">
        <v>115.06</v>
      </c>
      <c r="U61" s="274">
        <v>90.99</v>
      </c>
      <c r="V61" s="75">
        <v>151.13</v>
      </c>
      <c r="W61" s="75">
        <v>134.51</v>
      </c>
      <c r="X61" s="75">
        <v>118.81</v>
      </c>
      <c r="Y61" s="75">
        <v>103.43</v>
      </c>
      <c r="Z61" s="274">
        <v>126.97</v>
      </c>
      <c r="AA61" s="75">
        <v>68.430000000000007</v>
      </c>
      <c r="AB61" s="75">
        <v>49.55</v>
      </c>
      <c r="AC61" s="75">
        <v>51.34</v>
      </c>
      <c r="AD61" s="75">
        <v>45.76</v>
      </c>
      <c r="AE61" s="274">
        <v>53.769999999999996</v>
      </c>
      <c r="AF61" s="75">
        <v>28.56</v>
      </c>
      <c r="AG61" s="75">
        <v>28.72</v>
      </c>
      <c r="AH61" s="75">
        <v>35.159999999999997</v>
      </c>
      <c r="AI61" s="75">
        <v>26.23</v>
      </c>
      <c r="AJ61" s="274">
        <v>29.67</v>
      </c>
      <c r="AK61" s="75">
        <v>21.44</v>
      </c>
      <c r="AL61" s="75">
        <v>23.27</v>
      </c>
      <c r="AM61" s="75">
        <v>28.3</v>
      </c>
      <c r="AN61" s="75">
        <f>AM61</f>
        <v>28.3</v>
      </c>
      <c r="AO61" s="274"/>
      <c r="AP61" s="75">
        <f>AN61</f>
        <v>28.3</v>
      </c>
      <c r="AQ61" s="75">
        <v>52</v>
      </c>
      <c r="AR61" s="75">
        <v>54</v>
      </c>
      <c r="AS61" s="75">
        <v>89.46</v>
      </c>
      <c r="AT61" s="274">
        <f>AVERAGE(AP61:AS61)</f>
        <v>55.94</v>
      </c>
      <c r="AU61" s="373">
        <f>AS61</f>
        <v>89.46</v>
      </c>
      <c r="AV61" s="75">
        <f>AU61</f>
        <v>89.46</v>
      </c>
      <c r="AW61" s="75">
        <f>AV61</f>
        <v>89.46</v>
      </c>
      <c r="AX61" s="75">
        <f>AW61</f>
        <v>89.46</v>
      </c>
      <c r="AY61" s="274">
        <f>AVERAGE(AU61:AX61)</f>
        <v>89.46</v>
      </c>
      <c r="AZ61" s="75">
        <f>AX61</f>
        <v>89.46</v>
      </c>
      <c r="BA61" s="75">
        <f>AZ61</f>
        <v>89.46</v>
      </c>
      <c r="BB61" s="75">
        <f>BA61</f>
        <v>89.46</v>
      </c>
      <c r="BC61" s="75">
        <f>BB61</f>
        <v>89.46</v>
      </c>
      <c r="BD61" s="274">
        <f>AVERAGE(AZ61:BC61)</f>
        <v>89.46</v>
      </c>
      <c r="BE61" s="75">
        <f>BC61</f>
        <v>89.46</v>
      </c>
      <c r="BF61" s="75">
        <f>BE61</f>
        <v>89.46</v>
      </c>
      <c r="BG61" s="75">
        <f>BF61</f>
        <v>89.46</v>
      </c>
      <c r="BH61" s="75">
        <f>BG61</f>
        <v>89.46</v>
      </c>
      <c r="BI61" s="274">
        <f>AVERAGE(BE61:BH61)</f>
        <v>89.46</v>
      </c>
      <c r="BJ61" s="75">
        <f>BH61</f>
        <v>89.46</v>
      </c>
      <c r="BK61" s="75">
        <f>BJ61</f>
        <v>89.46</v>
      </c>
      <c r="BL61" s="75">
        <f>BK61</f>
        <v>89.46</v>
      </c>
      <c r="BM61" s="75">
        <f>BL61</f>
        <v>89.46</v>
      </c>
      <c r="BN61" s="274">
        <f>AVERAGE(BJ61:BM61)</f>
        <v>89.46</v>
      </c>
      <c r="BO61" s="75">
        <f>BM61</f>
        <v>89.46</v>
      </c>
      <c r="BP61" s="75">
        <f>BO61</f>
        <v>89.46</v>
      </c>
      <c r="BQ61" s="75">
        <f>BP61</f>
        <v>89.46</v>
      </c>
      <c r="BR61" s="75">
        <f>BQ61</f>
        <v>89.46</v>
      </c>
      <c r="BS61" s="274">
        <f>AVERAGE(BO61:BR61)</f>
        <v>89.46</v>
      </c>
      <c r="BT61" s="75">
        <f>BR61</f>
        <v>89.46</v>
      </c>
      <c r="BU61" s="75">
        <f>BT61</f>
        <v>89.46</v>
      </c>
      <c r="BV61" s="75">
        <f>BU61</f>
        <v>89.46</v>
      </c>
      <c r="BW61" s="75">
        <f>BV61</f>
        <v>89.46</v>
      </c>
      <c r="BX61" s="274">
        <f>AVERAGE(BT61:BW61)</f>
        <v>89.46</v>
      </c>
      <c r="BY61" s="75">
        <f>BW61</f>
        <v>89.46</v>
      </c>
      <c r="BZ61" s="75">
        <f>BY61</f>
        <v>89.46</v>
      </c>
      <c r="CA61" s="75">
        <f>BZ61</f>
        <v>89.46</v>
      </c>
      <c r="CB61" s="75">
        <f>CA61</f>
        <v>89.46</v>
      </c>
      <c r="CC61" s="274">
        <f>AVERAGE(BY61:CB61)</f>
        <v>89.46</v>
      </c>
      <c r="CD61" s="75">
        <f>CB61</f>
        <v>89.46</v>
      </c>
      <c r="CE61" s="75">
        <f>CD61</f>
        <v>89.46</v>
      </c>
      <c r="CF61" s="75">
        <f>CE61</f>
        <v>89.46</v>
      </c>
      <c r="CG61" s="75">
        <f>CF61</f>
        <v>89.46</v>
      </c>
      <c r="CH61" s="274">
        <f>CG61</f>
        <v>89.46</v>
      </c>
      <c r="CI61" s="75">
        <f>CG61</f>
        <v>89.46</v>
      </c>
      <c r="CJ61" s="75">
        <f>CI61</f>
        <v>89.46</v>
      </c>
      <c r="CK61" s="75">
        <f>CJ61</f>
        <v>89.46</v>
      </c>
      <c r="CL61" s="75">
        <f>CK61</f>
        <v>89.46</v>
      </c>
      <c r="CM61" s="274">
        <f>CL61</f>
        <v>89.46</v>
      </c>
    </row>
    <row r="62" spans="1:91" s="28" customFormat="1" ht="12.75" customHeight="1">
      <c r="F62" s="275"/>
      <c r="K62" s="275"/>
      <c r="P62" s="275"/>
      <c r="U62" s="275"/>
      <c r="Z62" s="275"/>
      <c r="AE62" s="275"/>
      <c r="AJ62" s="275"/>
      <c r="AO62" s="275"/>
      <c r="AT62" s="275"/>
      <c r="AU62" s="307"/>
      <c r="AY62" s="275"/>
      <c r="BD62" s="275"/>
      <c r="BI62" s="275"/>
      <c r="BN62" s="275"/>
      <c r="BS62" s="275"/>
      <c r="BX62" s="275"/>
      <c r="CC62" s="275"/>
      <c r="CH62" s="275"/>
      <c r="CM62" s="275"/>
    </row>
    <row r="63" spans="1:91" s="28" customFormat="1" ht="12.75" customHeight="1">
      <c r="A63" s="28" t="s">
        <v>171</v>
      </c>
      <c r="F63" s="275"/>
      <c r="K63" s="275"/>
      <c r="P63" s="275"/>
      <c r="U63" s="275"/>
      <c r="Z63" s="275"/>
      <c r="AE63" s="275"/>
      <c r="AJ63" s="275"/>
      <c r="AO63" s="275"/>
      <c r="AT63" s="275"/>
      <c r="AU63" s="307"/>
      <c r="AY63" s="275"/>
      <c r="BD63" s="275"/>
      <c r="BI63" s="275"/>
      <c r="BN63" s="275"/>
      <c r="BS63" s="275"/>
      <c r="BX63" s="275"/>
      <c r="CC63" s="275"/>
      <c r="CH63" s="275"/>
      <c r="CM63" s="275"/>
    </row>
    <row r="64" spans="1:91" ht="12.75" customHeight="1">
      <c r="F64" s="240"/>
      <c r="K64" s="240"/>
      <c r="P64" s="240"/>
      <c r="U64" s="240"/>
      <c r="Z64" s="240"/>
      <c r="AE64" s="240"/>
      <c r="AJ64" s="240"/>
      <c r="AO64" s="240"/>
      <c r="AT64" s="240"/>
      <c r="AU64" s="374"/>
      <c r="AY64" s="240"/>
      <c r="BD64" s="240"/>
      <c r="BI64" s="240"/>
      <c r="BN64" s="240"/>
      <c r="BS64" s="240"/>
      <c r="BX64" s="240"/>
      <c r="CC64" s="240"/>
      <c r="CH64" s="240"/>
      <c r="CM64" s="240"/>
    </row>
    <row r="65" spans="1:91" ht="12.75" customHeight="1">
      <c r="A65" s="18" t="s">
        <v>62</v>
      </c>
      <c r="F65" s="240"/>
      <c r="K65" s="240"/>
      <c r="P65" s="240"/>
      <c r="U65" s="240"/>
      <c r="Z65" s="240"/>
      <c r="AE65" s="240"/>
      <c r="AJ65" s="240"/>
      <c r="AO65" s="240"/>
      <c r="AT65" s="240"/>
      <c r="AU65" s="374"/>
      <c r="AY65" s="240"/>
      <c r="BD65" s="240"/>
      <c r="BI65" s="240"/>
      <c r="BN65" s="240"/>
      <c r="BS65" s="240"/>
      <c r="BX65" s="240"/>
      <c r="CC65" s="240"/>
      <c r="CH65" s="240"/>
      <c r="CM65" s="240"/>
    </row>
    <row r="66" spans="1:91" ht="12.75" customHeight="1">
      <c r="A66" s="18" t="s">
        <v>63</v>
      </c>
      <c r="B66" s="26"/>
      <c r="C66" s="26"/>
      <c r="D66" s="26"/>
      <c r="E66" s="26"/>
      <c r="F66" s="240"/>
      <c r="G66" s="26"/>
      <c r="H66" s="26"/>
      <c r="I66" s="26">
        <f>IS!I7+IS!H7+IS!G7+IS!E7</f>
        <v>77.768000000000001</v>
      </c>
      <c r="J66" s="26">
        <f>IS!J7+IS!I7+IS!H7+IS!G7</f>
        <v>90.63900000000001</v>
      </c>
      <c r="K66" s="240">
        <f>J66</f>
        <v>90.63900000000001</v>
      </c>
      <c r="L66" s="26">
        <f>IS!L7+IS!J7+IS!I7+IS!H7</f>
        <v>110.602</v>
      </c>
      <c r="M66" s="26">
        <f>IS!M7+IS!L7+IS!J7+IS!I7</f>
        <v>145.19499999999999</v>
      </c>
      <c r="N66" s="26">
        <f>IS!N7+IS!M7+IS!L7+IS!J7</f>
        <v>184.351</v>
      </c>
      <c r="O66" s="26">
        <f>IS!O7+IS!N7+IS!M7+IS!L7</f>
        <v>214.375</v>
      </c>
      <c r="P66" s="240">
        <f>O66</f>
        <v>214.375</v>
      </c>
      <c r="Q66" s="26">
        <f>IS!Q7+IS!O7+IS!N7+IS!M7</f>
        <v>245.23</v>
      </c>
      <c r="R66" s="26">
        <f>IS!R7+IS!Q7+IS!O7+IS!N7</f>
        <v>257.58999999999997</v>
      </c>
      <c r="S66" s="26">
        <f>IS!S7+IS!R7+IS!Q7+IS!O7</f>
        <v>271.31099999999998</v>
      </c>
      <c r="T66" s="26">
        <f>IS!T7+IS!S7+IS!R7+IS!Q7</f>
        <v>286.72999999999996</v>
      </c>
      <c r="U66" s="240">
        <f>T66</f>
        <v>286.72999999999996</v>
      </c>
      <c r="V66" s="26">
        <f>IS!V7+IS!T7+IS!S7+IS!R7</f>
        <v>297.88499999999999</v>
      </c>
      <c r="W66" s="26">
        <f>IS!W7+IS!V7+IS!T7+IS!S7</f>
        <v>323.65100000000001</v>
      </c>
      <c r="X66" s="26">
        <f>IS!X7+IS!W7+IS!V7+IS!T7</f>
        <v>343.86099999999999</v>
      </c>
      <c r="Y66" s="26">
        <f>IS!Y7+IS!X7+IS!W7+IS!V7</f>
        <v>373.65300000000002</v>
      </c>
      <c r="Z66" s="240">
        <f>Y66</f>
        <v>373.65300000000002</v>
      </c>
      <c r="AA66" s="26">
        <f>IS!AA7+IS!Y7+IS!X7+IS!W7</f>
        <v>391.08699999999999</v>
      </c>
      <c r="AB66" s="26">
        <f>IS!AB7+IS!AA7+IS!Y7+IS!X7</f>
        <v>408.13</v>
      </c>
      <c r="AC66" s="26">
        <f>IS!AC7+IS!AB7+IS!AA7+IS!Y7</f>
        <v>430.755</v>
      </c>
      <c r="AD66" s="26">
        <f>IS!AD7+IS!AC7+IS!AB7+IS!AA7</f>
        <v>449.53800000000001</v>
      </c>
      <c r="AE66" s="240">
        <f>AD66</f>
        <v>449.53800000000001</v>
      </c>
      <c r="AF66" s="26">
        <f>IS!AF7+IS!AD7+IS!AC7+IS!AB7</f>
        <v>482.15300000000002</v>
      </c>
      <c r="AG66" s="26">
        <f>IS!AG7+IS!AF7+IS!AD7+IS!AC7</f>
        <v>510.15900000000005</v>
      </c>
      <c r="AH66" s="26">
        <f>IS!AH7+IS!AG7+IS!AF7+IS!AD7</f>
        <v>535.78499999999997</v>
      </c>
      <c r="AI66" s="26">
        <f>IS!AI7+IS!AH7+IS!AG7+IS!AF7</f>
        <v>563.94800000000009</v>
      </c>
      <c r="AJ66" s="270">
        <f>AI66</f>
        <v>563.94800000000009</v>
      </c>
      <c r="AK66" s="26">
        <f>IS!AK7+IS!AI7+IS!AH7+IS!AG7</f>
        <v>603.72500000000002</v>
      </c>
      <c r="AL66" s="26">
        <f>IS!AL7+IS!AK7+IS!AI7+IS!AH7</f>
        <v>643.80999999999995</v>
      </c>
      <c r="AM66" s="26">
        <f>IS!AM7+IS!AL7+IS!AK7+IS!AI7</f>
        <v>692.25599999999997</v>
      </c>
      <c r="AN66" s="26">
        <f>IS!AN7+IS!AM7+IS!AL7+IS!AK7</f>
        <v>739.01599999999996</v>
      </c>
      <c r="AO66" s="270">
        <f>AN66</f>
        <v>739.01599999999996</v>
      </c>
      <c r="AP66" s="26">
        <f>IS!AP7+IS!AN7+IS!AM7+IS!AL7</f>
        <v>773.99599999999998</v>
      </c>
      <c r="AQ66" s="26">
        <f>IS!AQ7+IS!AP7+IS!AN7+IS!AM7</f>
        <v>828.84899999999993</v>
      </c>
      <c r="AR66" s="26">
        <f>IS!AR7+IS!AQ7+IS!AP7+IS!AN7</f>
        <v>902.56899999999996</v>
      </c>
      <c r="AS66" s="26">
        <f>IS!AS7+IS!AR7+IS!AQ7+IS!AP7</f>
        <v>982.02099999999996</v>
      </c>
      <c r="AT66" s="240">
        <f>AS66</f>
        <v>982.02099999999996</v>
      </c>
      <c r="AU66" s="355">
        <f>IS!AU7+IS!AS7+IS!AR7+IS!AQ7</f>
        <v>1060.155316037381</v>
      </c>
      <c r="AV66" s="26">
        <f>IS!AV7+IS!AU7+IS!AS7+IS!AR7</f>
        <v>1139.5737714422212</v>
      </c>
      <c r="AW66" s="26">
        <f>IS!AW7+IS!AV7+IS!AU7+IS!AS7</f>
        <v>1216.9746295799623</v>
      </c>
      <c r="AX66" s="26">
        <f>IS!AX7+IS!AW7+IS!AV7+IS!AU7</f>
        <v>1299.9287112220513</v>
      </c>
      <c r="AY66" s="240">
        <f>AX66</f>
        <v>1299.9287112220513</v>
      </c>
      <c r="AZ66" s="26">
        <f>IS!AZ7+IS!AX7+IS!AW7+IS!AV7</f>
        <v>1431.9184093155095</v>
      </c>
      <c r="BA66" s="26">
        <f>IS!BA7+IS!AZ7+IS!AX7+IS!AW7</f>
        <v>1569.1836786944391</v>
      </c>
      <c r="BB66" s="26">
        <f>IS!BB7+IS!BA7+IS!AZ7+IS!AX7</f>
        <v>1697.218459691278</v>
      </c>
      <c r="BC66" s="26">
        <f>IS!BC7+IS!BB7+IS!BA7+IS!AZ7</f>
        <v>1832.0690306854628</v>
      </c>
      <c r="BD66" s="240">
        <f>BC66</f>
        <v>1832.0690306854628</v>
      </c>
      <c r="BE66" s="26">
        <f>IS!BE7+IS!BC7+IS!BB7+IS!BA7</f>
        <v>1971.6423546838446</v>
      </c>
      <c r="BF66" s="26">
        <f>IS!BF7+IS!BE7+IS!BC7+IS!BB7</f>
        <v>2115.7446880020661</v>
      </c>
      <c r="BG66" s="26">
        <f>IS!BG7+IS!BF7+IS!BE7+IS!BC7</f>
        <v>2266.2995737319866</v>
      </c>
      <c r="BH66" s="26">
        <f>IS!BH7+IS!BG7+IS!BF7+IS!BE7</f>
        <v>2418.9171084784994</v>
      </c>
      <c r="BI66" s="240">
        <f>BH66</f>
        <v>2418.9171084784994</v>
      </c>
      <c r="BJ66" s="26">
        <f>IS!BJ7+IS!BH7+IS!BG7+IS!BF7</f>
        <v>2553.7879736051623</v>
      </c>
      <c r="BK66" s="26">
        <f>IS!BK7+IS!BJ7+IS!BH7+IS!BG7</f>
        <v>2680.7702108913154</v>
      </c>
      <c r="BL66" s="26">
        <f>IS!BL7+IS!BK7+IS!BJ7+IS!BH7</f>
        <v>2812.1618056517173</v>
      </c>
      <c r="BM66" s="26">
        <f>IS!BM7+IS!BL7+IS!BK7+IS!BJ7</f>
        <v>2937.5738474256432</v>
      </c>
      <c r="BN66" s="240">
        <f>BM66</f>
        <v>2937.5738474256432</v>
      </c>
      <c r="BO66" s="26">
        <f>IS!BO7+IS!BM7+IS!BL7+IS!BK7</f>
        <v>3068.1786339913797</v>
      </c>
      <c r="BP66" s="26">
        <f>IS!BP7+IS!BO7+IS!BM7+IS!BL7</f>
        <v>3210.1728170331712</v>
      </c>
      <c r="BQ66" s="26">
        <f>IS!BQ7+IS!BP7+IS!BO7+IS!BM7</f>
        <v>3346.0012714000259</v>
      </c>
      <c r="BR66" s="26">
        <f>IS!BR7+IS!BQ7+IS!BP7+IS!BO7</f>
        <v>3482.684927906454</v>
      </c>
      <c r="BS66" s="240">
        <f>BR66</f>
        <v>3482.684927906454</v>
      </c>
      <c r="BT66" s="26">
        <f>IS!BT7+IS!BR7+IS!BQ7+IS!BP7</f>
        <v>3605.2770458535711</v>
      </c>
      <c r="BU66" s="26">
        <f>IS!BU7+IS!BT7+IS!BR7+IS!BQ7</f>
        <v>3721.5401980690117</v>
      </c>
      <c r="BV66" s="26">
        <f>IS!BV7+IS!BU7+IS!BT7+IS!BR7</f>
        <v>3834.5903529296334</v>
      </c>
      <c r="BW66" s="26">
        <f>IS!BW7+IS!BV7+IS!BU7+IS!BT7</f>
        <v>3944.2028105995641</v>
      </c>
      <c r="BX66" s="240">
        <f>BW66</f>
        <v>3944.2028105995641</v>
      </c>
      <c r="BY66" s="26">
        <f>IS!BY7+IS!BW7+IS!BV7+IS!BU7</f>
        <v>4041.2169568628674</v>
      </c>
      <c r="BZ66" s="26">
        <f>IS!BZ7+IS!BY7+IS!BW7+IS!BV7</f>
        <v>4133.8174570831598</v>
      </c>
      <c r="CA66" s="26">
        <f>IS!CA7+IS!BZ7+IS!BY7+IS!BW7</f>
        <v>4230.285094417939</v>
      </c>
      <c r="CB66" s="26">
        <f>IS!CB7+IS!CA7+IS!BZ7+IS!BY7</f>
        <v>4324.845598986898</v>
      </c>
      <c r="CC66" s="240">
        <f>CB66</f>
        <v>4324.845598986898</v>
      </c>
      <c r="CD66" s="26">
        <f>IS!CD7+IS!CB7+IS!CA7+IS!BZ7</f>
        <v>4420.6459663481401</v>
      </c>
      <c r="CE66" s="26">
        <f>IS!CE7+IS!CD7+IS!CB7+IS!CA7</f>
        <v>4522.17427798679</v>
      </c>
      <c r="CF66" s="26">
        <f>IS!CF7+IS!CE7+IS!CD7+IS!CB7</f>
        <v>4614.7438059889528</v>
      </c>
      <c r="CG66" s="26">
        <f>IS!CG7+IS!CF7+IS!CE7+IS!CD7</f>
        <v>4704.6235134843255</v>
      </c>
      <c r="CH66" s="270">
        <f>IS!CH7+IS!CG7+IS!CF7+IS!CE7</f>
        <v>8275.1964055753688</v>
      </c>
      <c r="CI66" s="26">
        <f>IS!CI7+IS!CG7+IS!CF7+IS!CE7</f>
        <v>4785.7806475753068</v>
      </c>
      <c r="CJ66" s="26">
        <f>IS!CJ7+IS!CI7+IS!CG7+IS!CF7</f>
        <v>4861.2618626125468</v>
      </c>
      <c r="CK66" s="26">
        <f>IS!CK7+IS!CJ7+IS!CI7+IS!CG7</f>
        <v>4932.9385636353109</v>
      </c>
      <c r="CL66" s="26">
        <f>IS!CL7+IS!CK7+IS!CJ7+IS!CI7</f>
        <v>5001.3343964402129</v>
      </c>
      <c r="CM66" s="270">
        <f>IS!CM7+IS!CL7+IS!CK7+IS!CJ7</f>
        <v>8787.4610373961641</v>
      </c>
    </row>
    <row r="67" spans="1:91" ht="12.75" customHeight="1">
      <c r="A67" s="18" t="s">
        <v>64</v>
      </c>
      <c r="B67" s="26"/>
      <c r="C67" s="26"/>
      <c r="D67" s="26"/>
      <c r="E67" s="26"/>
      <c r="F67" s="240"/>
      <c r="G67" s="26"/>
      <c r="H67" s="26"/>
      <c r="I67" s="26">
        <f>IS!I10+IS!H10+IS!G10+IS!E10</f>
        <v>38.099000000000004</v>
      </c>
      <c r="J67" s="26">
        <f>IS!J10+IS!I10+IS!H10+IS!G10</f>
        <v>42.697999999999993</v>
      </c>
      <c r="K67" s="240">
        <f>J67</f>
        <v>42.697999999999993</v>
      </c>
      <c r="L67" s="26">
        <f>IS!L10+IS!J10+IS!I10+IS!H10</f>
        <v>46.873000000000005</v>
      </c>
      <c r="M67" s="26">
        <f>IS!M10+IS!L10+IS!J10+IS!I10</f>
        <v>53.7</v>
      </c>
      <c r="N67" s="26">
        <f>IS!N10+IS!M10+IS!L10+IS!J10</f>
        <v>62.009</v>
      </c>
      <c r="O67" s="26">
        <f>IS!O10+IS!N10+IS!M10+IS!L10</f>
        <v>69.856999999999999</v>
      </c>
      <c r="P67" s="240">
        <f>O67</f>
        <v>69.856999999999999</v>
      </c>
      <c r="Q67" s="26">
        <f>IS!Q10+IS!O10+IS!N10+IS!M10</f>
        <v>76.676000000000002</v>
      </c>
      <c r="R67" s="26">
        <f>IS!R10+IS!Q10+IS!O10+IS!N10</f>
        <v>81.869</v>
      </c>
      <c r="S67" s="26">
        <f>IS!S10+IS!R10+IS!Q10+IS!O10</f>
        <v>84.358000000000018</v>
      </c>
      <c r="T67" s="26">
        <f>IS!T10+IS!S10+IS!R10+IS!Q10</f>
        <v>90.2</v>
      </c>
      <c r="U67" s="240">
        <f>T67</f>
        <v>90.2</v>
      </c>
      <c r="V67" s="26">
        <f>IS!V10+IS!T10+IS!S10+IS!R10</f>
        <v>97.816000000000003</v>
      </c>
      <c r="W67" s="26">
        <f>IS!W10+IS!V10+IS!T10+IS!S10</f>
        <v>104.80600000000001</v>
      </c>
      <c r="X67" s="26">
        <f>IS!X10+IS!W10+IS!V10+IS!T10</f>
        <v>113.971</v>
      </c>
      <c r="Y67" s="26">
        <f>IS!Y10+IS!X10+IS!W10+IS!V10</f>
        <v>118.68799999999999</v>
      </c>
      <c r="Z67" s="240">
        <f>Y67</f>
        <v>118.68799999999999</v>
      </c>
      <c r="AA67" s="26">
        <f>IS!AA10+IS!Y10+IS!X10+IS!W10</f>
        <v>121.545</v>
      </c>
      <c r="AB67" s="26">
        <f>IS!AB10+IS!AA10+IS!Y10+IS!X10</f>
        <v>128.00399999999999</v>
      </c>
      <c r="AC67" s="26">
        <f>IS!AC10+IS!AB10+IS!AA10+IS!Y10</f>
        <v>136.93600000000001</v>
      </c>
      <c r="AD67" s="26">
        <f>IS!AD10+IS!AC10+IS!AB10+IS!AA10</f>
        <v>149.81700000000001</v>
      </c>
      <c r="AE67" s="240">
        <f>AD67</f>
        <v>149.81700000000001</v>
      </c>
      <c r="AF67" s="26">
        <f>IS!AF10+IS!AD10+IS!AC10+IS!AB10</f>
        <v>170.19</v>
      </c>
      <c r="AG67" s="26">
        <f>IS!AG10+IS!AF10+IS!AD10+IS!AC10</f>
        <v>186.636</v>
      </c>
      <c r="AH67" s="26">
        <f>IS!AH10+IS!AG10+IS!AF10+IS!AD10</f>
        <v>203.50700000000001</v>
      </c>
      <c r="AI67" s="26">
        <f>IS!AI10+IS!AH10+IS!AG10+IS!AF10</f>
        <v>219.065</v>
      </c>
      <c r="AJ67" s="270">
        <f>AI67</f>
        <v>219.065</v>
      </c>
      <c r="AK67" s="26">
        <f>IS!AK10+IS!AI10+IS!AH10+IS!AG10</f>
        <v>231.20499999999998</v>
      </c>
      <c r="AL67" s="26">
        <f>IS!AL10+IS!AK10+IS!AI10+IS!AH10</f>
        <v>249.80700000000002</v>
      </c>
      <c r="AM67" s="26">
        <f>IS!AM10+IS!AL10+IS!AK10+IS!AI10</f>
        <v>264.52300000000002</v>
      </c>
      <c r="AN67" s="26">
        <f>IS!AN10+IS!AM10+IS!AL10+IS!AK10</f>
        <v>279.43700000000001</v>
      </c>
      <c r="AO67" s="270">
        <f>AN67</f>
        <v>279.43700000000001</v>
      </c>
      <c r="AP67" s="26">
        <f>IS!AP10+IS!AN10+IS!AM10+IS!AL10</f>
        <v>288.452</v>
      </c>
      <c r="AQ67" s="26">
        <f>IS!AQ10+IS!AP10+IS!AN10+IS!AM10</f>
        <v>296.351</v>
      </c>
      <c r="AR67" s="26">
        <f>IS!AR10+IS!AQ10+IS!AP10+IS!AN10</f>
        <v>316.80200000000002</v>
      </c>
      <c r="AS67" s="26">
        <f>IS!AS10+IS!AR10+IS!AQ10+IS!AP10</f>
        <v>337.19499999999999</v>
      </c>
      <c r="AT67" s="240">
        <f>AS67</f>
        <v>337.19499999999999</v>
      </c>
      <c r="AU67" s="355">
        <f>IS!AU10+IS!AS10+IS!AR10+IS!AQ10</f>
        <v>367.16739766469851</v>
      </c>
      <c r="AV67" s="26">
        <f>IS!AV10+IS!AU10+IS!AS10+IS!AR10</f>
        <v>398.63219135376198</v>
      </c>
      <c r="AW67" s="26">
        <f>IS!AW10+IS!AV10+IS!AU10+IS!AS10</f>
        <v>427.89512635963831</v>
      </c>
      <c r="AX67" s="26">
        <f>IS!AX10+IS!AW10+IS!AV10+IS!AU10</f>
        <v>459.07567038773357</v>
      </c>
      <c r="AY67" s="240">
        <f>AX67</f>
        <v>459.07567038773357</v>
      </c>
      <c r="AZ67" s="26">
        <f>IS!AZ10+IS!AX10+IS!AW10+IS!AV10</f>
        <v>504.88933429149085</v>
      </c>
      <c r="BA67" s="26">
        <f>IS!BA10+IS!AZ10+IS!AX10+IS!AW10</f>
        <v>551.01155172013364</v>
      </c>
      <c r="BB67" s="26">
        <f>IS!BB10+IS!BA10+IS!AZ10+IS!AX10</f>
        <v>593.55504020463184</v>
      </c>
      <c r="BC67" s="26">
        <f>IS!BC10+IS!BB10+IS!BA10+IS!AZ10</f>
        <v>638.08911627466046</v>
      </c>
      <c r="BD67" s="240">
        <f>BC67</f>
        <v>638.08911627466046</v>
      </c>
      <c r="BE67" s="26">
        <f>IS!BE10+IS!BC10+IS!BB10+IS!BA10</f>
        <v>685.25814375084906</v>
      </c>
      <c r="BF67" s="26">
        <f>IS!BF10+IS!BE10+IS!BC10+IS!BB10</f>
        <v>732.34841011899891</v>
      </c>
      <c r="BG67" s="26">
        <f>IS!BG10+IS!BF10+IS!BE10+IS!BC10</f>
        <v>781.28324446128772</v>
      </c>
      <c r="BH67" s="26">
        <f>IS!BH10+IS!BG10+IS!BF10+IS!BE10</f>
        <v>830.48741235643774</v>
      </c>
      <c r="BI67" s="240">
        <f>BH67</f>
        <v>830.48741235643774</v>
      </c>
      <c r="BJ67" s="26">
        <f>IS!BJ10+IS!BH10+IS!BG10+IS!BF10</f>
        <v>874.62534186945641</v>
      </c>
      <c r="BK67" s="26">
        <f>IS!BK10+IS!BJ10+IS!BH10+IS!BG10</f>
        <v>914.49903839220963</v>
      </c>
      <c r="BL67" s="26">
        <f>IS!BL10+IS!BK10+IS!BJ10+IS!BH10</f>
        <v>955.49597806429688</v>
      </c>
      <c r="BM67" s="26">
        <f>IS!BM10+IS!BL10+IS!BK10+IS!BJ10</f>
        <v>994.09407828168344</v>
      </c>
      <c r="BN67" s="240">
        <f>BM67</f>
        <v>994.09407828168344</v>
      </c>
      <c r="BO67" s="26">
        <f>IS!BO10+IS!BM10+IS!BL10+IS!BK10</f>
        <v>1035.4210239215608</v>
      </c>
      <c r="BP67" s="26">
        <f>IS!BP10+IS!BO10+IS!BM10+IS!BL10</f>
        <v>1079.0141902474843</v>
      </c>
      <c r="BQ67" s="26">
        <f>IS!BQ10+IS!BP10+IS!BO10+IS!BM10</f>
        <v>1120.1643049428542</v>
      </c>
      <c r="BR67" s="26">
        <f>IS!BR10+IS!BQ10+IS!BP10+IS!BO10</f>
        <v>1161.2138525513383</v>
      </c>
      <c r="BS67" s="240">
        <f>BR67</f>
        <v>1161.2138525513383</v>
      </c>
      <c r="BT67" s="26">
        <f>IS!BT10+IS!BR10+IS!BQ10+IS!BP10</f>
        <v>1198.5283272608731</v>
      </c>
      <c r="BU67" s="26">
        <f>IS!BU10+IS!BT10+IS!BR10+IS!BQ10</f>
        <v>1232.2783753976018</v>
      </c>
      <c r="BV67" s="26">
        <f>IS!BV10+IS!BU10+IS!BT10+IS!BR10</f>
        <v>1264.6522298024561</v>
      </c>
      <c r="BW67" s="26">
        <f>IS!BW10+IS!BV10+IS!BU10+IS!BT10</f>
        <v>1295.5705814633538</v>
      </c>
      <c r="BX67" s="240">
        <f>BW67</f>
        <v>1295.5705814633538</v>
      </c>
      <c r="BY67" s="26">
        <f>IS!BY10+IS!BW10+IS!BV10+IS!BU10</f>
        <v>1323.1476044779456</v>
      </c>
      <c r="BZ67" s="26">
        <f>IS!BZ10+IS!BY10+IS!BW10+IS!BV10</f>
        <v>1348.1072517250027</v>
      </c>
      <c r="CA67" s="26">
        <f>IS!CA10+IS!BZ10+IS!BY10+IS!BW10</f>
        <v>1374.0332583482111</v>
      </c>
      <c r="CB67" s="26">
        <f>IS!CB10+IS!CA10+IS!BZ10+IS!BY10</f>
        <v>1399.0576427105602</v>
      </c>
      <c r="CC67" s="240">
        <f>CB67</f>
        <v>1399.0576427105602</v>
      </c>
      <c r="CD67" s="26">
        <f>IS!CD10+IS!CB10+IS!CA10+IS!BZ10</f>
        <v>1425.2666863777258</v>
      </c>
      <c r="CE67" s="26">
        <f>IS!CE10+IS!CD10+IS!CB10+IS!CA10</f>
        <v>1452.1336123980548</v>
      </c>
      <c r="CF67" s="26">
        <f>IS!CF10+IS!CE10+IS!CD10+IS!CB10</f>
        <v>1475.8644663579109</v>
      </c>
      <c r="CG67" s="26">
        <f>IS!CG10+IS!CF10+IS!CE10+IS!CD10</f>
        <v>1498.4746354328609</v>
      </c>
      <c r="CH67" s="270">
        <f>IS!CH8+IS!CG8+IS!CF8+IS!CE8</f>
        <v>0</v>
      </c>
      <c r="CI67" s="26">
        <f>IS!CI10+IS!CG10+IS!CF10+IS!CE10</f>
        <v>1518.9993082906631</v>
      </c>
      <c r="CJ67" s="26">
        <f>IS!CJ10+IS!CI10+IS!CG10+IS!CF10</f>
        <v>1536.7150156373891</v>
      </c>
      <c r="CK67" s="26">
        <f>IS!CK10+IS!CJ10+IS!CI10+IS!CG10</f>
        <v>1553.0296135219032</v>
      </c>
      <c r="CL67" s="26">
        <f>IS!CL10+IS!CK10+IS!CJ10+IS!CI10</f>
        <v>1568.1077925795385</v>
      </c>
      <c r="CM67" s="270">
        <f>IS!CM8+IS!CL8+IS!CK8+IS!CJ8</f>
        <v>0</v>
      </c>
    </row>
    <row r="68" spans="1:91" ht="12.75" customHeight="1">
      <c r="F68" s="240"/>
      <c r="K68" s="240"/>
      <c r="P68" s="240"/>
      <c r="U68" s="240"/>
      <c r="Z68" s="240"/>
      <c r="AE68" s="240"/>
      <c r="AF68" s="26"/>
      <c r="AG68" s="26"/>
      <c r="AH68" s="26"/>
      <c r="AI68" s="26"/>
      <c r="AJ68" s="270"/>
      <c r="AK68" s="26"/>
      <c r="AL68" s="26"/>
      <c r="AM68" s="26"/>
      <c r="AN68" s="26"/>
      <c r="AO68" s="270"/>
      <c r="AP68" s="26"/>
      <c r="AT68" s="240"/>
      <c r="AU68" s="374"/>
      <c r="AY68" s="240"/>
      <c r="BD68" s="240"/>
      <c r="BI68" s="240"/>
      <c r="BN68" s="240"/>
      <c r="BS68" s="240"/>
      <c r="BX68" s="240"/>
      <c r="CC68" s="240"/>
      <c r="CH68" s="240"/>
      <c r="CM68" s="240"/>
    </row>
    <row r="69" spans="1:91" ht="12.75" customHeight="1">
      <c r="A69" s="18" t="str">
        <f>A10</f>
        <v>Accounts receivable, net</v>
      </c>
      <c r="F69" s="240"/>
      <c r="K69" s="240"/>
      <c r="P69" s="240"/>
      <c r="U69" s="240"/>
      <c r="Z69" s="240"/>
      <c r="AE69" s="240"/>
      <c r="AF69" s="26"/>
      <c r="AG69" s="26"/>
      <c r="AH69" s="26"/>
      <c r="AI69" s="26"/>
      <c r="AJ69" s="270"/>
      <c r="AK69" s="26"/>
      <c r="AL69" s="26"/>
      <c r="AM69" s="26"/>
      <c r="AN69" s="26"/>
      <c r="AO69" s="270"/>
      <c r="AP69" s="26"/>
      <c r="AT69" s="240"/>
      <c r="AU69" s="374"/>
      <c r="AY69" s="240"/>
      <c r="BD69" s="240"/>
      <c r="BI69" s="240"/>
      <c r="BN69" s="240"/>
      <c r="BS69" s="240"/>
      <c r="BX69" s="240"/>
      <c r="CC69" s="240"/>
      <c r="CH69" s="240"/>
      <c r="CM69" s="240"/>
    </row>
    <row r="70" spans="1:91" s="26" customFormat="1" ht="12.75" customHeight="1">
      <c r="A70" s="26" t="s">
        <v>65</v>
      </c>
      <c r="D70" s="56"/>
      <c r="E70" s="56"/>
      <c r="F70" s="270"/>
      <c r="I70" s="26">
        <f>(I10/I66)*365</f>
        <v>68.71206665980867</v>
      </c>
      <c r="J70" s="56">
        <f>(J10/J66)*365</f>
        <v>143.72234909917361</v>
      </c>
      <c r="K70" s="270">
        <f>J70</f>
        <v>143.72234909917361</v>
      </c>
      <c r="L70" s="26">
        <f>(L10/L66)*365</f>
        <v>95.667212166145262</v>
      </c>
      <c r="M70" s="26">
        <f>(M10/M66)*365</f>
        <v>101.46695822858915</v>
      </c>
      <c r="N70" s="26">
        <f>(N10/N66)*365</f>
        <v>78.580994949851103</v>
      </c>
      <c r="O70" s="26">
        <f>(O10/O66)*365</f>
        <v>81.702110787172003</v>
      </c>
      <c r="P70" s="270">
        <f>O70</f>
        <v>81.702110787172003</v>
      </c>
      <c r="Q70" s="26">
        <f>(Q10/Q66)*365</f>
        <v>71.465460995799859</v>
      </c>
      <c r="R70" s="26">
        <f>(R10/R66)*365</f>
        <v>58.12028805466052</v>
      </c>
      <c r="S70" s="26">
        <f>(S10/S66)*365</f>
        <v>48.774561296814369</v>
      </c>
      <c r="T70" s="26">
        <f>(T10/T66)*365</f>
        <v>67.848271893418911</v>
      </c>
      <c r="U70" s="270">
        <f>T70</f>
        <v>67.848271893418911</v>
      </c>
      <c r="V70" s="26">
        <f>(V10/V66)*365</f>
        <v>58.862430132433666</v>
      </c>
      <c r="W70" s="26">
        <f>(W10/W66)*365</f>
        <v>60.523387846785582</v>
      </c>
      <c r="X70" s="26">
        <f>(X10/X66)*365</f>
        <v>64.478263019068748</v>
      </c>
      <c r="Y70" s="26">
        <f>(Y10/Y66)*365</f>
        <v>95.390589664742421</v>
      </c>
      <c r="Z70" s="270">
        <f>Y70</f>
        <v>95.390589664742421</v>
      </c>
      <c r="AA70" s="26">
        <f>(AA10/AA66)*365</f>
        <v>78.705799476842756</v>
      </c>
      <c r="AB70" s="26">
        <f>(AB10/AB66)*365</f>
        <v>85.207507411854067</v>
      </c>
      <c r="AC70" s="26">
        <f>(AC10/AC66)*365</f>
        <v>73.041520121646883</v>
      </c>
      <c r="AD70" s="26">
        <f>(AD10/AD66)*365</f>
        <v>78.966494489898523</v>
      </c>
      <c r="AE70" s="270">
        <f>AD70</f>
        <v>78.966494489898523</v>
      </c>
      <c r="AF70" s="26">
        <f>(AF10/AF66)*365</f>
        <v>66.015269012118551</v>
      </c>
      <c r="AG70" s="26">
        <f>(AG10/AG66)*365</f>
        <v>61.864673562555978</v>
      </c>
      <c r="AH70" s="26">
        <f>(AH10/AH66)*365</f>
        <v>60.495095980663891</v>
      </c>
      <c r="AI70" s="26">
        <f>(AI10/AI66)*365</f>
        <v>57.462381283380722</v>
      </c>
      <c r="AJ70" s="270">
        <f>AI70</f>
        <v>57.462381283380722</v>
      </c>
      <c r="AK70" s="26">
        <f>(AK10/AK66)*365</f>
        <v>51.124485485941442</v>
      </c>
      <c r="AL70" s="26">
        <f>(AL10/AL66)*365</f>
        <v>56.987985585809483</v>
      </c>
      <c r="AM70" s="26">
        <f>(AM10/AM66)*365</f>
        <v>46.644196655572507</v>
      </c>
      <c r="AN70" s="26">
        <f>(AN10/AN66)*365</f>
        <v>54.453956341946594</v>
      </c>
      <c r="AO70" s="270">
        <f>AN70</f>
        <v>54.453956341946594</v>
      </c>
      <c r="AP70" s="26">
        <f>(AP10/AP66)*365</f>
        <v>54.43243892733296</v>
      </c>
      <c r="AQ70" s="26">
        <f>(AQ10/AQ66)*365</f>
        <v>57.359036446928222</v>
      </c>
      <c r="AR70" s="26">
        <f>(AR10/AR66)*365</f>
        <v>46.742714407430341</v>
      </c>
      <c r="AS70" s="26">
        <f>(AS10/AS66)*365</f>
        <v>51.236058088370818</v>
      </c>
      <c r="AT70" s="270">
        <f>AS70</f>
        <v>51.236058088370818</v>
      </c>
      <c r="AU70" s="369">
        <v>45</v>
      </c>
      <c r="AV70" s="27">
        <f>AU70-2</f>
        <v>43</v>
      </c>
      <c r="AW70" s="27">
        <f>AV70-2</f>
        <v>41</v>
      </c>
      <c r="AX70" s="27">
        <f>AW70-2</f>
        <v>39</v>
      </c>
      <c r="AY70" s="270">
        <f>AX70</f>
        <v>39</v>
      </c>
      <c r="AZ70" s="27">
        <f>AX70-1</f>
        <v>38</v>
      </c>
      <c r="BA70" s="27">
        <f>AZ70</f>
        <v>38</v>
      </c>
      <c r="BB70" s="27">
        <f>BA70</f>
        <v>38</v>
      </c>
      <c r="BC70" s="27">
        <f>BB70</f>
        <v>38</v>
      </c>
      <c r="BD70" s="270">
        <f>BC70</f>
        <v>38</v>
      </c>
      <c r="BE70" s="27">
        <f>BC70</f>
        <v>38</v>
      </c>
      <c r="BF70" s="27">
        <f>BE70</f>
        <v>38</v>
      </c>
      <c r="BG70" s="27">
        <f>BF70</f>
        <v>38</v>
      </c>
      <c r="BH70" s="27">
        <f>BG70</f>
        <v>38</v>
      </c>
      <c r="BI70" s="270">
        <f>BH70</f>
        <v>38</v>
      </c>
      <c r="BJ70" s="27">
        <f>BH70</f>
        <v>38</v>
      </c>
      <c r="BK70" s="27">
        <f>BJ70</f>
        <v>38</v>
      </c>
      <c r="BL70" s="27">
        <f>BK70</f>
        <v>38</v>
      </c>
      <c r="BM70" s="27">
        <f>BL70</f>
        <v>38</v>
      </c>
      <c r="BN70" s="270">
        <f>BM70</f>
        <v>38</v>
      </c>
      <c r="BO70" s="27">
        <f>BM70</f>
        <v>38</v>
      </c>
      <c r="BP70" s="27">
        <f>BO70</f>
        <v>38</v>
      </c>
      <c r="BQ70" s="27">
        <f>BP70</f>
        <v>38</v>
      </c>
      <c r="BR70" s="27">
        <f>BQ70</f>
        <v>38</v>
      </c>
      <c r="BS70" s="270">
        <f>BR70</f>
        <v>38</v>
      </c>
      <c r="BT70" s="27">
        <f>BR70</f>
        <v>38</v>
      </c>
      <c r="BU70" s="27">
        <f>BT70</f>
        <v>38</v>
      </c>
      <c r="BV70" s="27">
        <f>BU70</f>
        <v>38</v>
      </c>
      <c r="BW70" s="27">
        <f>BV70</f>
        <v>38</v>
      </c>
      <c r="BX70" s="270">
        <f>BW70</f>
        <v>38</v>
      </c>
      <c r="BY70" s="27">
        <f>BW70</f>
        <v>38</v>
      </c>
      <c r="BZ70" s="27">
        <f>BY70</f>
        <v>38</v>
      </c>
      <c r="CA70" s="27">
        <f>BZ70</f>
        <v>38</v>
      </c>
      <c r="CB70" s="27">
        <f>CA70</f>
        <v>38</v>
      </c>
      <c r="CC70" s="270">
        <f>CB70</f>
        <v>38</v>
      </c>
      <c r="CD70" s="27">
        <f>CB70</f>
        <v>38</v>
      </c>
      <c r="CE70" s="27">
        <f>CD70</f>
        <v>38</v>
      </c>
      <c r="CF70" s="27">
        <f>CE70</f>
        <v>38</v>
      </c>
      <c r="CG70" s="27">
        <f>CF70</f>
        <v>38</v>
      </c>
      <c r="CH70" s="278">
        <f>CG70</f>
        <v>38</v>
      </c>
      <c r="CI70" s="27">
        <f>CG70</f>
        <v>38</v>
      </c>
      <c r="CJ70" s="27">
        <f>CI70</f>
        <v>38</v>
      </c>
      <c r="CK70" s="27">
        <f>CJ70</f>
        <v>38</v>
      </c>
      <c r="CL70" s="27">
        <f>CK70</f>
        <v>38</v>
      </c>
      <c r="CM70" s="278">
        <f>CL70</f>
        <v>38</v>
      </c>
    </row>
    <row r="71" spans="1:91" ht="12.75" customHeight="1">
      <c r="A71" s="18" t="s">
        <v>66</v>
      </c>
      <c r="B71" s="26"/>
      <c r="C71" s="26"/>
      <c r="D71" s="26"/>
      <c r="E71" s="26"/>
      <c r="F71" s="240"/>
      <c r="G71" s="26"/>
      <c r="H71" s="26"/>
      <c r="I71" s="26">
        <f>((I10+H10+H10+F10+F10+E10+E10+D10)/8/I66)*365</f>
        <v>38.596562853615886</v>
      </c>
      <c r="J71" s="26">
        <f>((J10+I10+I10+H10+H10+G10+G10+E10)/8/J66)*365</f>
        <v>39.140581041273627</v>
      </c>
      <c r="K71" s="240">
        <f>J71</f>
        <v>39.140581041273627</v>
      </c>
      <c r="L71" s="26">
        <f>((L10+J10+J10+I10+I10+H10+H10+G10)/8/L66)*365</f>
        <v>53.48217595522685</v>
      </c>
      <c r="M71" s="26">
        <f>((M10+L10+L10+J10+J10+I10+I10+H10)/8/M66)*365</f>
        <v>62.532598402148828</v>
      </c>
      <c r="N71" s="26">
        <f>((N10+M10+M10+K10+K10+J10+J10+I10)/8/N66)*365</f>
        <v>68.756390662377726</v>
      </c>
      <c r="O71" s="26">
        <f>((O10+N10+N10+M10+M10+L10+L10+J10)/8/O66)*365</f>
        <v>64.222548104956275</v>
      </c>
      <c r="P71" s="240">
        <f>O71</f>
        <v>64.222548104956275</v>
      </c>
      <c r="Q71" s="26">
        <f>((Q10+O10+O10+N10+N10+M10+M10+L10)/8/Q66)*365</f>
        <v>61.969477633242256</v>
      </c>
      <c r="R71" s="26">
        <f>((R10+Q10+Q10+O10+O10+N10+N10+M10)/8/R66)*365</f>
        <v>62.481753950075714</v>
      </c>
      <c r="S71" s="26">
        <f>((S10+R10+R10+P10+P10+O10+O10+N10)/8/S66)*365</f>
        <v>58.844614667300633</v>
      </c>
      <c r="T71" s="26">
        <f>((T10+S10+S10+R10+R10+Q10+Q10+O10)/8/T66)*365</f>
        <v>55.988445140027203</v>
      </c>
      <c r="U71" s="240">
        <f>T71</f>
        <v>55.988445140027203</v>
      </c>
      <c r="V71" s="26">
        <f>((V10+T10+T10+S10+S10+R10+R10+Q10)/8/V66)*365</f>
        <v>54.709258606509223</v>
      </c>
      <c r="W71" s="26">
        <f>((W10+V10+V10+T10+T10+S10+S10+R10)/8/W66)*365</f>
        <v>52.140480795671877</v>
      </c>
      <c r="X71" s="26">
        <f>((X10+W10+W10+V10+V10+T10+T10+S10)/8/X66)*365</f>
        <v>54.003756241620884</v>
      </c>
      <c r="Y71" s="26">
        <f>((Y10+X10+X10+W10+W10+V10+V10+T10)/8/Y66)*365</f>
        <v>58.103914260021995</v>
      </c>
      <c r="Z71" s="240">
        <f>Y71</f>
        <v>58.103914260021995</v>
      </c>
      <c r="AA71" s="26">
        <f>((AA10+Y10+Y10+X10+X10+W10+W10+V10)/8/AA66)*365</f>
        <v>64.921948313290912</v>
      </c>
      <c r="AB71" s="26">
        <f>((AB10+AA10+AA10+Y10+Y10+X10+X10+W10)/8/AB66)*365</f>
        <v>70.91946959302183</v>
      </c>
      <c r="AC71" s="26">
        <f>((AC10+AB10+AB10+AA10+AA10+Y10+Y10+X10)/8/AC66)*365</f>
        <v>74.297927476175559</v>
      </c>
      <c r="AD71" s="26">
        <f>((AD10+AC10+AC10+AB10+AB10+AA10+AA10+Y10)/8/AD66)*365</f>
        <v>73.736961613923626</v>
      </c>
      <c r="AE71" s="240">
        <f>AD71</f>
        <v>73.736961613923626</v>
      </c>
      <c r="AF71" s="26">
        <f>((AF10+AD10+AD10+AC10+AC10+AB10+AB10+AA10)/8/AF66)*365</f>
        <v>68.983454162890197</v>
      </c>
      <c r="AG71" s="26">
        <f>((AG10+AF10+AF10+AD10+AD10+AC10+AC10+AB10)/8/AG66)*365</f>
        <v>64.665712062317823</v>
      </c>
      <c r="AH71" s="26">
        <f>((AH10+AG10+AG10+AF10+AF10+AD10+AD10+AC10)/8/AH66)*365</f>
        <v>61.04426332390792</v>
      </c>
      <c r="AI71" s="26">
        <f>((AI10+AH10+AH10+AG10+AG10+AF10+AF10+AD10)/8/AI66)*365</f>
        <v>57.520712237653107</v>
      </c>
      <c r="AJ71" s="270">
        <f>AI71</f>
        <v>57.520712237653107</v>
      </c>
      <c r="AK71" s="26">
        <f>((AK10+AI10+AI10+AH10+AH10+AG10+AG10+AF10)/8/AK66)*365</f>
        <v>52.890916808149399</v>
      </c>
      <c r="AL71" s="26">
        <f>((AL10+AK10+AK10+AI10+AI10+AH10+AH10+AG10)/8/AL66)*365</f>
        <v>50.40633785588917</v>
      </c>
      <c r="AM71" s="26">
        <f>((AM10+AL10+AL10+AK10+AK10+AI10+AI10+AH10)/8/AM66)*365</f>
        <v>47.782686246128613</v>
      </c>
      <c r="AN71" s="26">
        <f>((AN10+AM10+AM10+AL10+AL10+AK10+AK10+AI10)/8/AN66)*365</f>
        <v>46.064077097112929</v>
      </c>
      <c r="AO71" s="270">
        <f>AN71</f>
        <v>46.064077097112929</v>
      </c>
      <c r="AP71" s="26">
        <f>((AP10+AN10+AN10+AM10+AM10+AL10+AL10+AK10)/8/AP66)*365</f>
        <v>47.067205450674173</v>
      </c>
      <c r="AQ71" s="26">
        <f>((AQ10+AP10+AP10+AN10+AN10+AM10+AM10+AL10)/8/AQ66)*365</f>
        <v>47.287946145799786</v>
      </c>
      <c r="AR71" s="26">
        <f>((AR10+AQ10+AQ10+AP10+AP10+AN10+AN10+AM10)/8/AR66)*365</f>
        <v>46.299490676059122</v>
      </c>
      <c r="AS71" s="26">
        <f>((AS10+AR10+AR10+AQ10+AQ10+AP10+AP10+AN10)/8/AS66)*365</f>
        <v>45.095677689173655</v>
      </c>
      <c r="AT71" s="240">
        <f>AS71</f>
        <v>45.095677689173655</v>
      </c>
      <c r="AU71" s="355">
        <f>((AU10+AS10+AS10+AR10+AR10+AQ10+AQ10+AP10)/8/AU66)*365</f>
        <v>43.61722447947411</v>
      </c>
      <c r="AV71" s="26">
        <f>((AV10+AU10+AU10+AS10+AS10+AR10+AR10+AQ10)/8/AV66)*365</f>
        <v>41.349281202995449</v>
      </c>
      <c r="AW71" s="26">
        <f>((AW10+AV10+AV10+AU10+AU10+AS10+AS10+AR10)/8/AW66)*365</f>
        <v>39.66101348939447</v>
      </c>
      <c r="AX71" s="26">
        <f>((AX10+AW10+AW10+AV10+AV10+AU10+AU10+AS10)/8/AX66)*365</f>
        <v>37.907977544015495</v>
      </c>
      <c r="AY71" s="240">
        <f>AX71</f>
        <v>37.907977544015495</v>
      </c>
      <c r="AZ71" s="26">
        <f>((AZ10+AX10+AX10+AW10+AW10+AV10+AV10+AU10)/8/AZ66)*365</f>
        <v>35.032512118865668</v>
      </c>
      <c r="BA71" s="26">
        <f>((BA10+AZ10+AZ10+AX10+AX10+AW10+AW10+AV10)/8/BA66)*365</f>
        <v>33.348773621547181</v>
      </c>
      <c r="BB71" s="26">
        <f>((BB10+BA10+BA10+AZ10+AZ10+AX10+AX10+AW10)/8/BB66)*365</f>
        <v>32.690875540402025</v>
      </c>
      <c r="BC71" s="26">
        <f>((BC10+BB10+BB10+BA10+BA10+AZ10+AZ10+AX10)/8/BC66)*365</f>
        <v>32.571657817827116</v>
      </c>
      <c r="BD71" s="240">
        <f>BC71</f>
        <v>32.571657817827116</v>
      </c>
      <c r="BE71" s="26">
        <f>((BE10+BC10+BC10+BB10+BB10+BA10+BA10+AZ10)/8/BE66)*365</f>
        <v>32.765774980286537</v>
      </c>
      <c r="BF71" s="26">
        <f>((BF10+BE10+BE10+BC10+BC10+BB10+BB10+BA10)/8/BF66)*365</f>
        <v>32.972902479911994</v>
      </c>
      <c r="BG71" s="26">
        <f>((BG10+BF10+BF10+BE10+BE10+BC10+BC10+BB10)/8/BG66)*365</f>
        <v>33.120750771788906</v>
      </c>
      <c r="BH71" s="26">
        <f>((BH10+BG10+BG10+BF10+BF10+BE10+BE10+BC10)/8/BH66)*365</f>
        <v>33.300937322183081</v>
      </c>
      <c r="BI71" s="240">
        <f>BH71</f>
        <v>33.300937322183081</v>
      </c>
      <c r="BJ71" s="26">
        <f>((BJ10+BH10+BH10+BG10+BG10+BF10+BF10+BE10)/8/BJ66)*365</f>
        <v>33.716552809526462</v>
      </c>
      <c r="BK71" s="26">
        <f>((BK10+BJ10+BJ10+BH10+BH10+BG10+BG10+BF10)/8/BK66)*365</f>
        <v>34.152121516432366</v>
      </c>
      <c r="BL71" s="26">
        <f>((BL10+BK10+BK10+BJ10+BJ10+BH10+BH10+BG10)/8/BL66)*365</f>
        <v>34.432836204776784</v>
      </c>
      <c r="BM71" s="26">
        <f>((BM10+BL10+BL10+BK10+BK10+BJ10+BJ10+BH10)/8/BM66)*365</f>
        <v>34.684122762136461</v>
      </c>
      <c r="BN71" s="240">
        <f>BM71</f>
        <v>34.684122762136461</v>
      </c>
      <c r="BO71" s="26">
        <f>((BO10+BM10+BM10+BL10+BL10+BK10+BK10+BJ10)/8/BO66)*365</f>
        <v>34.807017398090011</v>
      </c>
      <c r="BP71" s="26">
        <f>((BP10+BO10+BO10+BM10+BM10+BL10+BL10+BK10)/8/BP66)*365</f>
        <v>34.811884430905884</v>
      </c>
      <c r="BQ71" s="26">
        <f>((BQ10+BP10+BP10+BO10+BO10+BM10+BM10+BL10)/8/BQ66)*365</f>
        <v>34.908105370324733</v>
      </c>
      <c r="BR71" s="26">
        <f>((BR10+BQ10+BQ10+BP10+BP10+BO10+BO10+BM10)/8/BR66)*365</f>
        <v>35.009649902253798</v>
      </c>
      <c r="BS71" s="240">
        <f>BR71</f>
        <v>35.009649902253798</v>
      </c>
      <c r="BT71" s="26">
        <f>((BT10+BR10+BR10+BQ10+BQ10+BP10+BP10+BO10)/8/BT66)*365</f>
        <v>35.245023757780615</v>
      </c>
      <c r="BU71" s="26">
        <f>((BU10+BT10+BT10+BR10+BR10+BQ10+BQ10+BP10)/8/BU66)*365</f>
        <v>35.482160778290535</v>
      </c>
      <c r="BV71" s="26">
        <f>((BV10+BU10+BU10+BT10+BT10+BR10+BR10+BQ10)/8/BV66)*365</f>
        <v>35.674757472705728</v>
      </c>
      <c r="BW71" s="26">
        <f>((BW10+BV10+BV10+BU10+BU10+BT10+BT10+BR10)/8/BW66)*365</f>
        <v>35.827541258335728</v>
      </c>
      <c r="BX71" s="240">
        <f>BW71</f>
        <v>35.827541258335728</v>
      </c>
      <c r="BY71" s="26">
        <f>((BY10+BW10+BW10+BV10+BV10+BU10+BU10+BT10)/8/BY66)*365</f>
        <v>36.022320751888778</v>
      </c>
      <c r="BZ71" s="26">
        <f>((BZ10+BY10+BY10+BW10+BW10+BV10+BV10+BU10)/8/BZ66)*365</f>
        <v>36.190046260837562</v>
      </c>
      <c r="CA71" s="26">
        <f>((CA10+BZ10+BZ10+BY10+BY10+BW10+BW10+BV10)/8/CA66)*365</f>
        <v>36.272002615274474</v>
      </c>
      <c r="CB71" s="26">
        <f>((CB10+CA10+CA10+BZ10+BZ10+BY10+BY10+BW10)/8/CB66)*365</f>
        <v>36.331589574388737</v>
      </c>
      <c r="CC71" s="240">
        <f>CB71</f>
        <v>36.331589574388737</v>
      </c>
      <c r="CD71" s="26">
        <f>((CD10+CB10+CB10+CA10+CA10+BZ10+BZ10+BY10)/8/CD66)*365</f>
        <v>36.3609430699725</v>
      </c>
      <c r="CE71" s="26">
        <f>((CE10+CD10+CD10+CB10+CB10+CA10+CA10+BZ10)/8/CE66)*365</f>
        <v>36.351062321821409</v>
      </c>
      <c r="CF71" s="26">
        <f>((CF10+CE10+CE10+CD10+CD10+CB10+CB10+CA10)/8/CF66)*365</f>
        <v>36.417344029020278</v>
      </c>
      <c r="CG71" s="26">
        <f>((CG10+CF10+CF10+CE10+CE10+CD10+CD10+CB10)/8/CG66)*365</f>
        <v>36.493214870484067</v>
      </c>
      <c r="CH71" s="270">
        <f>((CH10+CG10+CG10+CF10+CF10+CE10+CE10+CC10)/8/CH66)*365</f>
        <v>21.073170341022752</v>
      </c>
      <c r="CI71" s="26">
        <f>((CI10+CG10+CG10+CF10+CF10+CE10+CE10+CD10)/8/CI66)*365</f>
        <v>36.613707249784632</v>
      </c>
      <c r="CJ71" s="26">
        <f>((CJ10+CI10+CI10+CG10+CG10+CF10+CF10+CE10)/8/CJ66)*365</f>
        <v>36.733307606441279</v>
      </c>
      <c r="CK71" s="26">
        <f>((CK10+CJ10+CJ10+CI10+CI10+CG10+CG10+CF10)/8/CK66)*365</f>
        <v>36.832471383285075</v>
      </c>
      <c r="CL71" s="26">
        <f>((CL10+CK10+CK10+CJ10+CJ10+CI10+CI10+CG10)/8/CL66)*365</f>
        <v>36.912772800167744</v>
      </c>
      <c r="CM71" s="270">
        <f>((CM10+CL10+CL10+CK10+CK10+CJ10+CJ10+CH10)/8/CM66)*365</f>
        <v>21.241730699381648</v>
      </c>
    </row>
    <row r="72" spans="1:91" ht="12.75" customHeight="1">
      <c r="F72" s="240"/>
      <c r="K72" s="240"/>
      <c r="P72" s="240"/>
      <c r="U72" s="240"/>
      <c r="Z72" s="240"/>
      <c r="AE72" s="240"/>
      <c r="AF72" s="26"/>
      <c r="AG72" s="26"/>
      <c r="AH72" s="26"/>
      <c r="AI72" s="26"/>
      <c r="AJ72" s="270"/>
      <c r="AK72" s="26"/>
      <c r="AL72" s="26"/>
      <c r="AM72" s="26"/>
      <c r="AN72" s="26"/>
      <c r="AO72" s="270"/>
      <c r="AP72" s="26"/>
      <c r="AT72" s="240"/>
      <c r="AU72" s="374"/>
      <c r="AY72" s="240"/>
      <c r="BD72" s="240"/>
      <c r="BI72" s="240"/>
      <c r="BN72" s="240"/>
      <c r="BS72" s="240"/>
      <c r="BX72" s="240"/>
      <c r="CC72" s="240"/>
      <c r="CH72" s="240"/>
      <c r="CM72" s="240"/>
    </row>
    <row r="73" spans="1:91" ht="12.75" customHeight="1">
      <c r="A73" s="18" t="str">
        <f>A11</f>
        <v>Inventory</v>
      </c>
      <c r="F73" s="240"/>
      <c r="K73" s="240"/>
      <c r="P73" s="240"/>
      <c r="U73" s="240"/>
      <c r="Z73" s="240"/>
      <c r="AE73" s="240"/>
      <c r="AF73" s="26"/>
      <c r="AG73" s="26"/>
      <c r="AH73" s="26"/>
      <c r="AI73" s="26"/>
      <c r="AJ73" s="270"/>
      <c r="AK73" s="26"/>
      <c r="AL73" s="26"/>
      <c r="AM73" s="26"/>
      <c r="AN73" s="26"/>
      <c r="AO73" s="270"/>
      <c r="AP73" s="26"/>
      <c r="AT73" s="240"/>
      <c r="AU73" s="374"/>
      <c r="AY73" s="240"/>
      <c r="BD73" s="240"/>
      <c r="BI73" s="240"/>
      <c r="BN73" s="240"/>
      <c r="BS73" s="240"/>
      <c r="BX73" s="240"/>
      <c r="CC73" s="240"/>
      <c r="CH73" s="240"/>
      <c r="CM73" s="240"/>
    </row>
    <row r="74" spans="1:91" s="26" customFormat="1" ht="12.75" customHeight="1">
      <c r="A74" s="26" t="s">
        <v>67</v>
      </c>
      <c r="B74" s="56"/>
      <c r="C74" s="56"/>
      <c r="D74" s="56"/>
      <c r="E74" s="56"/>
      <c r="F74" s="270"/>
      <c r="G74" s="56"/>
      <c r="H74" s="56"/>
      <c r="I74" s="56">
        <f>I11/I67*365</f>
        <v>67.780650410771926</v>
      </c>
      <c r="J74" s="56">
        <f>J11/J67*365</f>
        <v>78.098271581807126</v>
      </c>
      <c r="K74" s="270">
        <f>J74</f>
        <v>78.098271581807126</v>
      </c>
      <c r="L74" s="56">
        <f>L11/L67*365</f>
        <v>79.863460840995884</v>
      </c>
      <c r="M74" s="56">
        <f>M11/M67*365</f>
        <v>96.354562383612659</v>
      </c>
      <c r="N74" s="56">
        <f>N11/N67*365</f>
        <v>86.88093663822994</v>
      </c>
      <c r="O74" s="56">
        <f>O11/O67*365</f>
        <v>79.32011108407174</v>
      </c>
      <c r="P74" s="270">
        <f>O74</f>
        <v>79.32011108407174</v>
      </c>
      <c r="Q74" s="56">
        <f>Q11/Q67*365</f>
        <v>119.71177421879075</v>
      </c>
      <c r="R74" s="56">
        <f>R11/R67*365</f>
        <v>90.7450927701572</v>
      </c>
      <c r="S74" s="56">
        <f>S11/S67*365</f>
        <v>119.98642689490028</v>
      </c>
      <c r="T74" s="56">
        <f>T11/T67*365</f>
        <v>91.921729490022173</v>
      </c>
      <c r="U74" s="270">
        <f>T74</f>
        <v>91.921729490022173</v>
      </c>
      <c r="V74" s="56">
        <f>V11/V67*365</f>
        <v>107.75067473623946</v>
      </c>
      <c r="W74" s="56">
        <f>W11/W67*365</f>
        <v>92.268667824361188</v>
      </c>
      <c r="X74" s="56">
        <f>X11/X67*365</f>
        <v>79.228356336260973</v>
      </c>
      <c r="Y74" s="56">
        <f>Y11/Y67*365</f>
        <v>94.331440415206259</v>
      </c>
      <c r="Z74" s="270">
        <f>Y74</f>
        <v>94.331440415206259</v>
      </c>
      <c r="AA74" s="56">
        <f>AA11/AA67*365</f>
        <v>109.94894894894894</v>
      </c>
      <c r="AB74" s="56">
        <f>AB11/AB67*365</f>
        <v>170.7747414143308</v>
      </c>
      <c r="AC74" s="56">
        <f>AC11/AC67*365</f>
        <v>168.05043962142898</v>
      </c>
      <c r="AD74" s="56">
        <f>AD11/AD67*365</f>
        <v>125.70849770052797</v>
      </c>
      <c r="AE74" s="270">
        <f>AD74</f>
        <v>125.70849770052797</v>
      </c>
      <c r="AF74" s="56">
        <f>AF11/AF67*365</f>
        <v>99.671014748222575</v>
      </c>
      <c r="AG74" s="56">
        <f>AG11/AG67*365</f>
        <v>118.37525986412054</v>
      </c>
      <c r="AH74" s="56">
        <f>AH11/AH67*365</f>
        <v>138.16792542762659</v>
      </c>
      <c r="AI74" s="56">
        <f>AI11/AI67*365</f>
        <v>103.21603177139205</v>
      </c>
      <c r="AJ74" s="270">
        <f>AI74</f>
        <v>103.21603177139205</v>
      </c>
      <c r="AK74" s="56">
        <f>AK11/AK67*365</f>
        <v>99.442983499491788</v>
      </c>
      <c r="AL74" s="56">
        <f>AL11/AL67*365</f>
        <v>97.872197336343632</v>
      </c>
      <c r="AM74" s="56">
        <f>AM11/AM67*365</f>
        <v>99.759831848270281</v>
      </c>
      <c r="AN74" s="56">
        <f>AN11/AN67*365</f>
        <v>92.848459581229392</v>
      </c>
      <c r="AO74" s="270">
        <f>AN74</f>
        <v>92.848459581229392</v>
      </c>
      <c r="AP74" s="56">
        <f>AP11/AP67*365</f>
        <v>97.757824525397652</v>
      </c>
      <c r="AQ74" s="56">
        <f>AQ11/AQ67*365</f>
        <v>103.5335294971166</v>
      </c>
      <c r="AR74" s="56">
        <f>AR11/AR67*365</f>
        <v>104.25592325806024</v>
      </c>
      <c r="AS74" s="56">
        <f>AS11/AS67*365</f>
        <v>92.957309568647233</v>
      </c>
      <c r="AT74" s="270">
        <f>AS74</f>
        <v>92.957309568647233</v>
      </c>
      <c r="AU74" s="369">
        <v>90</v>
      </c>
      <c r="AV74" s="27">
        <f>AU74</f>
        <v>90</v>
      </c>
      <c r="AW74" s="27">
        <f>AV74+2</f>
        <v>92</v>
      </c>
      <c r="AX74" s="27">
        <f>AW74+2</f>
        <v>94</v>
      </c>
      <c r="AY74" s="270">
        <f>AX74</f>
        <v>94</v>
      </c>
      <c r="AZ74" s="27">
        <f>AX74-4</f>
        <v>90</v>
      </c>
      <c r="BA74" s="27">
        <f>AZ74</f>
        <v>90</v>
      </c>
      <c r="BB74" s="27">
        <f>BA74</f>
        <v>90</v>
      </c>
      <c r="BC74" s="27">
        <f>BB74</f>
        <v>90</v>
      </c>
      <c r="BD74" s="270">
        <f>BC74</f>
        <v>90</v>
      </c>
      <c r="BE74" s="27">
        <f>BC74</f>
        <v>90</v>
      </c>
      <c r="BF74" s="27">
        <f>BE74</f>
        <v>90</v>
      </c>
      <c r="BG74" s="27">
        <f>BF74</f>
        <v>90</v>
      </c>
      <c r="BH74" s="27">
        <f>BG74</f>
        <v>90</v>
      </c>
      <c r="BI74" s="270">
        <f>BH74</f>
        <v>90</v>
      </c>
      <c r="BJ74" s="27">
        <f>BH74</f>
        <v>90</v>
      </c>
      <c r="BK74" s="27">
        <f>BJ74</f>
        <v>90</v>
      </c>
      <c r="BL74" s="27">
        <f>BK74</f>
        <v>90</v>
      </c>
      <c r="BM74" s="27">
        <f>BL74</f>
        <v>90</v>
      </c>
      <c r="BN74" s="270">
        <f>BM74</f>
        <v>90</v>
      </c>
      <c r="BO74" s="27">
        <f>BM74</f>
        <v>90</v>
      </c>
      <c r="BP74" s="27">
        <f>BO74</f>
        <v>90</v>
      </c>
      <c r="BQ74" s="27">
        <f>BP74</f>
        <v>90</v>
      </c>
      <c r="BR74" s="27">
        <f>BQ74</f>
        <v>90</v>
      </c>
      <c r="BS74" s="270">
        <f>BR74</f>
        <v>90</v>
      </c>
      <c r="BT74" s="27">
        <f>BR74</f>
        <v>90</v>
      </c>
      <c r="BU74" s="27">
        <f>BT74</f>
        <v>90</v>
      </c>
      <c r="BV74" s="27">
        <f>BU74</f>
        <v>90</v>
      </c>
      <c r="BW74" s="27">
        <f>BV74</f>
        <v>90</v>
      </c>
      <c r="BX74" s="270">
        <f>BW74</f>
        <v>90</v>
      </c>
      <c r="BY74" s="27">
        <f>BW74</f>
        <v>90</v>
      </c>
      <c r="BZ74" s="27">
        <f>BY74</f>
        <v>90</v>
      </c>
      <c r="CA74" s="27">
        <f>BZ74</f>
        <v>90</v>
      </c>
      <c r="CB74" s="27">
        <f>CA74</f>
        <v>90</v>
      </c>
      <c r="CC74" s="270">
        <f>CB74</f>
        <v>90</v>
      </c>
      <c r="CD74" s="27">
        <f>CB74</f>
        <v>90</v>
      </c>
      <c r="CE74" s="27">
        <f>CD74</f>
        <v>90</v>
      </c>
      <c r="CF74" s="27">
        <f>CE74</f>
        <v>90</v>
      </c>
      <c r="CG74" s="27">
        <f>CF74</f>
        <v>90</v>
      </c>
      <c r="CH74" s="278">
        <f>CG74</f>
        <v>90</v>
      </c>
      <c r="CI74" s="27">
        <f>CG74</f>
        <v>90</v>
      </c>
      <c r="CJ74" s="27">
        <f>CI74</f>
        <v>90</v>
      </c>
      <c r="CK74" s="27">
        <f>CJ74</f>
        <v>90</v>
      </c>
      <c r="CL74" s="27">
        <f>CK74</f>
        <v>90</v>
      </c>
      <c r="CM74" s="278">
        <f>CL74</f>
        <v>90</v>
      </c>
    </row>
    <row r="75" spans="1:91" ht="12.75" customHeight="1">
      <c r="A75" s="18" t="s">
        <v>68</v>
      </c>
      <c r="B75" s="26"/>
      <c r="C75" s="26"/>
      <c r="D75" s="26"/>
      <c r="E75" s="26"/>
      <c r="F75" s="240"/>
      <c r="G75" s="26"/>
      <c r="H75" s="26"/>
      <c r="I75" s="26">
        <f>((I11+H11+H11+F11+F11+E11+E11+D11)/8/I67)*365</f>
        <v>43.378418724900911</v>
      </c>
      <c r="J75" s="26">
        <f>((J11+I11+I11+H11+H11+G11+G11+E11)/8/J67)*365</f>
        <v>32.668816455103283</v>
      </c>
      <c r="K75" s="240">
        <f>J75</f>
        <v>32.668816455103283</v>
      </c>
      <c r="L75" s="26">
        <f>((L11+J11+J11+I11+I11+H11+H11+G11)/8/L67)*365</f>
        <v>41.541692445544342</v>
      </c>
      <c r="M75" s="26">
        <f>((M11+L11+L11+J11+J11+I11+I11+H11)/8/M67)*365</f>
        <v>57.01850558659217</v>
      </c>
      <c r="N75" s="26">
        <f>((N11+M11+M11+K11+K11+J11+J11+I11)/8/N67)*365</f>
        <v>63.814960328339431</v>
      </c>
      <c r="O75" s="26">
        <f>((O11+N11+N11+M11+M11+L11+L11+J11)/8/O67)*365</f>
        <v>67.076071474583784</v>
      </c>
      <c r="P75" s="240">
        <f>O75</f>
        <v>67.076071474583784</v>
      </c>
      <c r="Q75" s="26">
        <f>((Q11+O11+O11+N11+N11+M11+M11+L11)/8/Q67)*365</f>
        <v>73.56909267567427</v>
      </c>
      <c r="R75" s="26">
        <f>((R11+Q11+Q11+O11+O11+N11+N11+M11)/8/R67)*365</f>
        <v>80.644719002308548</v>
      </c>
      <c r="S75" s="26">
        <f>((S11+R11+R11+P11+P11+O11+O11+N11)/8/S67)*365</f>
        <v>77.84071309182292</v>
      </c>
      <c r="T75" s="26">
        <f>((T11+S11+S11+R11+R11+Q11+Q11+O11)/8/T67)*365</f>
        <v>93.25456624168514</v>
      </c>
      <c r="U75" s="240">
        <f>T75</f>
        <v>93.25456624168514</v>
      </c>
      <c r="V75" s="26">
        <f>((V11+T11+T11+S11+S11+R11+R11+Q11)/8/V67)*365</f>
        <v>91.247201378097628</v>
      </c>
      <c r="W75" s="26">
        <f>((W11+V11+V11+T11+T11+S11+S11+R11)/8/W67)*365</f>
        <v>89.457318760376324</v>
      </c>
      <c r="X75" s="26">
        <f>((X11+W11+W11+V11+V11+T11+T11+S11)/8/X67)*365</f>
        <v>83.523802107553678</v>
      </c>
      <c r="Y75" s="26">
        <f>((Y11+X11+X11+W11+W11+V11+V11+T11)/8/Y67)*365</f>
        <v>82.11331389862498</v>
      </c>
      <c r="Z75" s="240">
        <f>Y75</f>
        <v>82.11331389862498</v>
      </c>
      <c r="AA75" s="26">
        <f>((AA11+Y11+Y11+X11+X11+W11+W11+V11)/8/AA67)*365</f>
        <v>86.074699699699707</v>
      </c>
      <c r="AB75" s="26">
        <f>((AB11+AA11+AA11+Y11+Y11+X11+X11+W11)/8/AB67)*365</f>
        <v>96.392632261491855</v>
      </c>
      <c r="AC75" s="26">
        <f>((AC11+AB11+AB11+AA11+AA11+Y11+Y11+X11)/8/AC67)*365</f>
        <v>113.99586303090491</v>
      </c>
      <c r="AD75" s="26">
        <f>((AD11+AC11+AC11+AB11+AB11+AA11+AA11+Y11)/8/AD67)*365</f>
        <v>122.23310772475752</v>
      </c>
      <c r="AE75" s="240">
        <f>AD75</f>
        <v>122.23310772475752</v>
      </c>
      <c r="AF75" s="26">
        <f>((AF11+AD11+AD11+AC11+AC11+AB11+AB11+AA11)/8/AF67)*365</f>
        <v>115.85382880897821</v>
      </c>
      <c r="AG75" s="26">
        <f>((AG11+AF11+AF11+AD11+AD11+AC11+AC11+AB11)/8/AG67)*365</f>
        <v>108.21184350821923</v>
      </c>
      <c r="AH75" s="26">
        <f>((AH11+AG11+AG11+AF11+AF11+AD11+AD11+AC11)/8/AH67)*365</f>
        <v>102.52044462844029</v>
      </c>
      <c r="AI75" s="26">
        <f>((AI11+AH11+AH11+AG11+AG11+AF11+AF11+AD11)/8/AI67)*365</f>
        <v>100.30856138589004</v>
      </c>
      <c r="AJ75" s="270">
        <f>AI75</f>
        <v>100.30856138589004</v>
      </c>
      <c r="AK75" s="26">
        <f>((AK11+AI11+AI11+AH11+AH11+AG11+AG11+AF11)/8/AK67)*365</f>
        <v>100.34342628835883</v>
      </c>
      <c r="AL75" s="26">
        <f>((AL11+AK11+AK11+AI11+AI11+AH11+AH11+AG11)/8/AL67)*365</f>
        <v>97.066933172409108</v>
      </c>
      <c r="AM75" s="26">
        <f>((AM11+AL11+AL11+AK11+AK11+AI11+AI11+AH11)/8/AM67)*365</f>
        <v>91.96303346022836</v>
      </c>
      <c r="AN75" s="26">
        <f>((AN11+AM11+AM11+AL11+AL11+AK11+AK11+AI11)/8/AN67)*365</f>
        <v>87.772738130598299</v>
      </c>
      <c r="AO75" s="270">
        <f>AN75</f>
        <v>87.772738130598299</v>
      </c>
      <c r="AP75" s="26">
        <f>((AP11+AN11+AN11+AM11+AM11+AL11+AL11+AK11)/8/AP67)*365</f>
        <v>88.730796198327624</v>
      </c>
      <c r="AQ75" s="26">
        <f>((AQ11+AP11+AP11+AN11+AN11+AM11+AM11+AL11)/8/AQ67)*365</f>
        <v>91.19103487081199</v>
      </c>
      <c r="AR75" s="26">
        <f>((AR11+AQ11+AQ11+AP11+AP11+AN11+AN11+AM11)/8/AR67)*365</f>
        <v>90.383447310938664</v>
      </c>
      <c r="AS75" s="26">
        <f>((AS11+AR11+AR11+AQ11+AQ11+AP11+AP11+AN11)/8/AS67)*365</f>
        <v>89.38018616824094</v>
      </c>
      <c r="AT75" s="240">
        <f>AS75</f>
        <v>89.38018616824094</v>
      </c>
      <c r="AU75" s="355">
        <f>((AU11+AS11+AS11+AR11+AR11+AQ11+AQ11+AP11)/8/AU67)*365</f>
        <v>85.572169325394029</v>
      </c>
      <c r="AV75" s="26">
        <f>((AV11+AU11+AU11+AS11+AS11+AR11+AR11+AQ11)/8/AV67)*365</f>
        <v>81.966456006030185</v>
      </c>
      <c r="AW75" s="26">
        <f>((AW11+AV11+AV11+AU11+AU11+AS11+AS11+AR11)/8/AW67)*365</f>
        <v>79.729887604228693</v>
      </c>
      <c r="AX75" s="26">
        <f>((AX11+AW11+AW11+AV11+AV11+AU11+AU11+AS11)/8/AX67)*365</f>
        <v>79.255583846368637</v>
      </c>
      <c r="AY75" s="240">
        <f>AX75</f>
        <v>79.255583846368637</v>
      </c>
      <c r="AZ75" s="26">
        <f>((AZ11+AX11+AX11+AW11+AW11+AV11+AV11+AU11)/8/AZ67)*365</f>
        <v>78.056171964206186</v>
      </c>
      <c r="BA75" s="26">
        <f>((BA11+AZ11+AZ11+AX11+AX11+AW11+AW11+AV11)/8/BA67)*365</f>
        <v>77.445505739955308</v>
      </c>
      <c r="BB75" s="26">
        <f>((BB11+BA11+BA11+AZ11+AZ11+AX11+AX11+AW11)/8/BB67)*365</f>
        <v>77.742303946913964</v>
      </c>
      <c r="BC75" s="26">
        <f>((BC11+BB11+BB11+BA11+BA11+AZ11+AZ11+AX11)/8/BC67)*365</f>
        <v>77.865926181422083</v>
      </c>
      <c r="BD75" s="240">
        <f>BC75</f>
        <v>77.865926181422083</v>
      </c>
      <c r="BE75" s="26">
        <f>((BE11+BC11+BC11+BB11+BB11+BA11+BA11+AZ11)/8/BE67)*365</f>
        <v>78.071180985358595</v>
      </c>
      <c r="BF75" s="26">
        <f>((BF11+BE11+BE11+BC11+BC11+BB11+BB11+BA11)/8/BF67)*365</f>
        <v>78.607532330839916</v>
      </c>
      <c r="BG75" s="26">
        <f>((BG11+BF11+BF11+BE11+BE11+BC11+BC11+BB11)/8/BG67)*365</f>
        <v>78.998344989851176</v>
      </c>
      <c r="BH75" s="26">
        <f>((BH11+BG11+BG11+BF11+BF11+BE11+BE11+BC11)/8/BH67)*365</f>
        <v>79.467196525340356</v>
      </c>
      <c r="BI75" s="240">
        <f>BH75</f>
        <v>79.467196525340356</v>
      </c>
      <c r="BJ75" s="26">
        <f>((BJ11+BH11+BH11+BG11+BG11+BF11+BF11+BE11)/8/BJ67)*365</f>
        <v>80.367404023603257</v>
      </c>
      <c r="BK75" s="26">
        <f>((BK11+BJ11+BJ11+BH11+BH11+BG11+BG11+BF11)/8/BK67)*365</f>
        <v>81.433594394085773</v>
      </c>
      <c r="BL75" s="26">
        <f>((BL11+BK11+BK11+BJ11+BJ11+BH11+BH11+BG11)/8/BL67)*365</f>
        <v>82.135386635859916</v>
      </c>
      <c r="BM75" s="26">
        <f>((BM11+BL11+BL11+BK11+BK11+BJ11+BJ11+BH11)/8/BM67)*365</f>
        <v>82.769329009822613</v>
      </c>
      <c r="BN75" s="240">
        <f>BM75</f>
        <v>82.769329009822613</v>
      </c>
      <c r="BO75" s="26">
        <f>((BO11+BM11+BM11+BL11+BL11+BK11+BK11+BJ11)/8/BO67)*365</f>
        <v>82.990420574334323</v>
      </c>
      <c r="BP75" s="26">
        <f>((BP11+BO11+BO11+BM11+BM11+BL11+BL11+BK11)/8/BP67)*365</f>
        <v>83.029281670213976</v>
      </c>
      <c r="BQ75" s="26">
        <f>((BQ11+BP11+BP11+BO11+BO11+BM11+BM11+BL11)/8/BQ67)*365</f>
        <v>83.285181336617626</v>
      </c>
      <c r="BR75" s="26">
        <f>((BR11+BQ11+BQ11+BP11+BP11+BO11+BO11+BM11)/8/BR67)*365</f>
        <v>83.555413319184154</v>
      </c>
      <c r="BS75" s="240">
        <f>BR75</f>
        <v>83.555413319184154</v>
      </c>
      <c r="BT75" s="26">
        <f>((BT11+BR11+BR11+BQ11+BQ11+BP11+BP11+BO11)/8/BT67)*365</f>
        <v>84.053714654557979</v>
      </c>
      <c r="BU75" s="26">
        <f>((BU11+BT11+BT11+BR11+BR11+BQ11+BQ11+BP11)/8/BU67)*365</f>
        <v>84.639915260091456</v>
      </c>
      <c r="BV75" s="26">
        <f>((BV11+BU11+BU11+BT11+BT11+BR11+BR11+BQ11)/8/BV67)*365</f>
        <v>85.121937850788314</v>
      </c>
      <c r="BW75" s="26">
        <f>((BW11+BV11+BV11+BU11+BU11+BT11+BT11+BR11)/8/BW67)*365</f>
        <v>85.511860525500765</v>
      </c>
      <c r="BX75" s="240">
        <f>BW75</f>
        <v>85.511860525500765</v>
      </c>
      <c r="BY75" s="26">
        <f>((BY11+BW11+BW11+BV11+BV11+BU11+BU11+BT11)/8/BY67)*365</f>
        <v>85.931554837262041</v>
      </c>
      <c r="BZ75" s="26">
        <f>((BZ11+BY11+BY11+BW11+BW11+BV11+BV11+BU11)/8/BZ67)*365</f>
        <v>86.347115565482483</v>
      </c>
      <c r="CA75" s="26">
        <f>((CA11+BZ11+BZ11+BY11+BY11+BW11+BW11+BV11)/8/CA67)*365</f>
        <v>86.561794168045537</v>
      </c>
      <c r="CB75" s="26">
        <f>((CB11+CA11+CA11+BZ11+BZ11+BY11+BY11+BW11)/8/CB67)*365</f>
        <v>86.725197300865858</v>
      </c>
      <c r="CC75" s="240">
        <f>CB75</f>
        <v>86.725197300865858</v>
      </c>
      <c r="CD75" s="26">
        <f>((CD11+CB11+CB11+CA11+CA11+BZ11+BZ11+BY11)/8/CD67)*365</f>
        <v>86.753321600468695</v>
      </c>
      <c r="CE75" s="26">
        <f>((CE11+CD11+CD11+CB11+CB11+CA11+CA11+BZ11)/8/CE67)*365</f>
        <v>86.745292832031907</v>
      </c>
      <c r="CF75" s="26">
        <f>((CF11+CE11+CE11+CD11+CD11+CB11+CB11+CA11)/8/CF67)*365</f>
        <v>86.91967047824906</v>
      </c>
      <c r="CG75" s="26">
        <f>((CG11+CF11+CF11+CE11+CE11+CD11+CD11+CB11)/8/CG67)*365</f>
        <v>87.119055776950887</v>
      </c>
      <c r="CH75" s="270" t="e">
        <f>((CH11+CG11+CG11+CF11+CF11+CE11+CE11+CC11)/8/CH67)*365</f>
        <v>#DIV/0!</v>
      </c>
      <c r="CI75" s="26">
        <f>((CI11+CG11+CG11+CF11+CF11+CE11+CE11+CD11)/8/CI67)*365</f>
        <v>87.37240878576624</v>
      </c>
      <c r="CJ75" s="26">
        <f>((CJ11+CI11+CI11+CG11+CG11+CF11+CF11+CE11)/8/CJ67)*365</f>
        <v>87.670556948615982</v>
      </c>
      <c r="CK75" s="26">
        <f>((CK11+CJ11+CJ11+CI11+CI11+CG11+CG11+CF11)/8/CK67)*365</f>
        <v>87.921253268711524</v>
      </c>
      <c r="CL75" s="26">
        <f>((CL11+CK11+CK11+CJ11+CJ11+CI11+CI11+CG11)/8/CL67)*365</f>
        <v>88.129012279462827</v>
      </c>
      <c r="CM75" s="270" t="e">
        <f>((CM11+CL11+CL11+CK11+CK11+CJ11+CJ11+CH11)/8/CM67)*365</f>
        <v>#DIV/0!</v>
      </c>
    </row>
    <row r="76" spans="1:91" ht="12.75" customHeight="1">
      <c r="F76" s="240"/>
      <c r="K76" s="240"/>
      <c r="P76" s="240"/>
      <c r="U76" s="240"/>
      <c r="Z76" s="240"/>
      <c r="AE76" s="240"/>
      <c r="AF76" s="26"/>
      <c r="AG76" s="26"/>
      <c r="AH76" s="26"/>
      <c r="AI76" s="26"/>
      <c r="AJ76" s="270"/>
      <c r="AK76" s="26"/>
      <c r="AL76" s="26"/>
      <c r="AM76" s="26"/>
      <c r="AN76" s="26"/>
      <c r="AO76" s="270"/>
      <c r="AP76" s="26"/>
      <c r="AT76" s="240"/>
      <c r="AU76" s="374"/>
      <c r="AY76" s="240"/>
      <c r="BD76" s="240"/>
      <c r="BI76" s="240"/>
      <c r="BN76" s="240"/>
      <c r="BS76" s="240"/>
      <c r="BX76" s="240"/>
      <c r="CC76" s="240"/>
      <c r="CH76" s="240"/>
      <c r="CM76" s="240"/>
    </row>
    <row r="77" spans="1:91" ht="12.75" customHeight="1">
      <c r="A77" s="18" t="str">
        <f>A25</f>
        <v>Accounts payable</v>
      </c>
      <c r="F77" s="240"/>
      <c r="K77" s="240"/>
      <c r="P77" s="240"/>
      <c r="U77" s="240"/>
      <c r="Z77" s="240"/>
      <c r="AE77" s="240"/>
      <c r="AF77" s="26"/>
      <c r="AG77" s="26"/>
      <c r="AH77" s="26"/>
      <c r="AI77" s="26"/>
      <c r="AJ77" s="270"/>
      <c r="AK77" s="26"/>
      <c r="AL77" s="26"/>
      <c r="AM77" s="26"/>
      <c r="AN77" s="26"/>
      <c r="AO77" s="270"/>
      <c r="AP77" s="26"/>
      <c r="AT77" s="240"/>
      <c r="AU77" s="374"/>
      <c r="AY77" s="240"/>
      <c r="BD77" s="240"/>
      <c r="BI77" s="240"/>
      <c r="BN77" s="240"/>
      <c r="BS77" s="240"/>
      <c r="BX77" s="240"/>
      <c r="CC77" s="240"/>
      <c r="CH77" s="240"/>
      <c r="CM77" s="240"/>
    </row>
    <row r="78" spans="1:91" s="26" customFormat="1" ht="12.75" customHeight="1">
      <c r="A78" s="26" t="s">
        <v>69</v>
      </c>
      <c r="B78" s="56"/>
      <c r="C78" s="56"/>
      <c r="D78" s="56"/>
      <c r="E78" s="56"/>
      <c r="F78" s="270"/>
      <c r="G78" s="56"/>
      <c r="H78" s="56"/>
      <c r="I78" s="56">
        <f>I25/I67*365</f>
        <v>125.31995590435443</v>
      </c>
      <c r="J78" s="56">
        <f>J25/J67*365</f>
        <v>90.972176682748611</v>
      </c>
      <c r="K78" s="270">
        <f>J78</f>
        <v>90.972176682748611</v>
      </c>
      <c r="L78" s="56">
        <f>L25/L67*365</f>
        <v>55.778273206323469</v>
      </c>
      <c r="M78" s="56">
        <f>M25/M67*365</f>
        <v>106.71322160148975</v>
      </c>
      <c r="N78" s="56">
        <f>N25/N67*365</f>
        <v>70.952764921221117</v>
      </c>
      <c r="O78" s="56">
        <f>O25/O67*365</f>
        <v>84.628669997280156</v>
      </c>
      <c r="P78" s="270">
        <f>O78</f>
        <v>84.628669997280156</v>
      </c>
      <c r="Q78" s="56">
        <f>Q25/Q67*365</f>
        <v>116.04635087902342</v>
      </c>
      <c r="R78" s="56">
        <f>R25/R67*365</f>
        <v>71.253221610133252</v>
      </c>
      <c r="S78" s="56">
        <f>S25/S67*365</f>
        <v>79.098188672087986</v>
      </c>
      <c r="T78" s="56">
        <f>T25/T67*365</f>
        <v>29.701773835920179</v>
      </c>
      <c r="U78" s="270">
        <f>T78</f>
        <v>29.701773835920179</v>
      </c>
      <c r="V78" s="56">
        <f>V25/V67*365</f>
        <v>83.279524822114993</v>
      </c>
      <c r="W78" s="56">
        <f>W25/W67*365</f>
        <v>74.524693242753273</v>
      </c>
      <c r="X78" s="56">
        <f>X25/X67*365</f>
        <v>50.197067675110333</v>
      </c>
      <c r="Y78" s="56">
        <f>Y25/Y67*365</f>
        <v>54.06359530870855</v>
      </c>
      <c r="Z78" s="270">
        <f>Y78</f>
        <v>54.06359530870855</v>
      </c>
      <c r="AA78" s="56">
        <f>AA25/AA67*365</f>
        <v>96.786786786786777</v>
      </c>
      <c r="AB78" s="56">
        <f>AB25/AB67*365</f>
        <v>105.42182275553888</v>
      </c>
      <c r="AC78" s="56">
        <f>AC25/AC67*365</f>
        <v>109.0474017059064</v>
      </c>
      <c r="AD78" s="56">
        <f>AD25/AD67*365</f>
        <v>0</v>
      </c>
      <c r="AE78" s="270">
        <f>AD78</f>
        <v>0</v>
      </c>
      <c r="AF78" s="56">
        <f>AF25/AF67*365</f>
        <v>0</v>
      </c>
      <c r="AG78" s="56">
        <f>AG25/AG67*365</f>
        <v>0</v>
      </c>
      <c r="AH78" s="56">
        <f>AH25/AH67*365</f>
        <v>0</v>
      </c>
      <c r="AI78" s="56">
        <f>AI25/AI67*365</f>
        <v>0</v>
      </c>
      <c r="AJ78" s="270">
        <f>AI78</f>
        <v>0</v>
      </c>
      <c r="AK78" s="56">
        <f>AK25/AK67*365</f>
        <v>59.363313942172532</v>
      </c>
      <c r="AL78" s="56">
        <f>AL25/AL67*365</f>
        <v>62.020499825865564</v>
      </c>
      <c r="AM78" s="56">
        <f>AM25/AM67*365</f>
        <v>21.350298461759468</v>
      </c>
      <c r="AN78" s="56">
        <f>AN25/AN67*365</f>
        <v>50.355232127456276</v>
      </c>
      <c r="AO78" s="270">
        <f>AN78</f>
        <v>50.355232127456276</v>
      </c>
      <c r="AP78" s="56">
        <f>AP25/AP67*365</f>
        <v>62.97772246335613</v>
      </c>
      <c r="AQ78" s="56">
        <f>AQ25/AQ67*365</f>
        <v>55.180276091526601</v>
      </c>
      <c r="AR78" s="56">
        <f>AR25/AR67*365</f>
        <v>23.206387585936955</v>
      </c>
      <c r="AS78" s="56">
        <f>AS25/AS67*365</f>
        <v>58.931271222882899</v>
      </c>
      <c r="AT78" s="270">
        <f>AS78</f>
        <v>58.931271222882899</v>
      </c>
      <c r="AU78" s="369">
        <f>+AS78</f>
        <v>58.931271222882899</v>
      </c>
      <c r="AV78" s="27">
        <v>25</v>
      </c>
      <c r="AW78" s="27">
        <v>25</v>
      </c>
      <c r="AX78" s="27">
        <v>59</v>
      </c>
      <c r="AY78" s="270">
        <f>AX78</f>
        <v>59</v>
      </c>
      <c r="AZ78" s="27">
        <f>AU78</f>
        <v>58.931271222882899</v>
      </c>
      <c r="BA78" s="27">
        <f>AV78</f>
        <v>25</v>
      </c>
      <c r="BB78" s="27">
        <f>AW78</f>
        <v>25</v>
      </c>
      <c r="BC78" s="27">
        <f>AX78</f>
        <v>59</v>
      </c>
      <c r="BD78" s="270">
        <f>BC78</f>
        <v>59</v>
      </c>
      <c r="BE78" s="27">
        <f>AZ78</f>
        <v>58.931271222882899</v>
      </c>
      <c r="BF78" s="27">
        <f>BA78</f>
        <v>25</v>
      </c>
      <c r="BG78" s="27">
        <f>BB78</f>
        <v>25</v>
      </c>
      <c r="BH78" s="27">
        <f>BC78</f>
        <v>59</v>
      </c>
      <c r="BI78" s="270">
        <f>BH78</f>
        <v>59</v>
      </c>
      <c r="BJ78" s="27">
        <f>BE78</f>
        <v>58.931271222882899</v>
      </c>
      <c r="BK78" s="27">
        <f>BF78</f>
        <v>25</v>
      </c>
      <c r="BL78" s="27">
        <f>BG78</f>
        <v>25</v>
      </c>
      <c r="BM78" s="27">
        <f>BH78</f>
        <v>59</v>
      </c>
      <c r="BN78" s="270">
        <f>BM78</f>
        <v>59</v>
      </c>
      <c r="BO78" s="27">
        <f>BJ78</f>
        <v>58.931271222882899</v>
      </c>
      <c r="BP78" s="27">
        <f>BK78</f>
        <v>25</v>
      </c>
      <c r="BQ78" s="27">
        <f>BL78</f>
        <v>25</v>
      </c>
      <c r="BR78" s="27">
        <f>BM78</f>
        <v>59</v>
      </c>
      <c r="BS78" s="270">
        <f>BR78</f>
        <v>59</v>
      </c>
      <c r="BT78" s="27">
        <f>BO78</f>
        <v>58.931271222882899</v>
      </c>
      <c r="BU78" s="27">
        <f>BP78</f>
        <v>25</v>
      </c>
      <c r="BV78" s="27">
        <f>BQ78</f>
        <v>25</v>
      </c>
      <c r="BW78" s="27">
        <f>BR78</f>
        <v>59</v>
      </c>
      <c r="BX78" s="270">
        <f>BW78</f>
        <v>59</v>
      </c>
      <c r="BY78" s="27">
        <f>BT78</f>
        <v>58.931271222882899</v>
      </c>
      <c r="BZ78" s="27">
        <f>BU78</f>
        <v>25</v>
      </c>
      <c r="CA78" s="27">
        <f>BV78</f>
        <v>25</v>
      </c>
      <c r="CB78" s="27">
        <f>BW78</f>
        <v>59</v>
      </c>
      <c r="CC78" s="270">
        <f>CB78</f>
        <v>59</v>
      </c>
      <c r="CD78" s="27">
        <f t="shared" ref="CD78:CM78" si="190">BY78</f>
        <v>58.931271222882899</v>
      </c>
      <c r="CE78" s="27">
        <f t="shared" si="190"/>
        <v>25</v>
      </c>
      <c r="CF78" s="27">
        <f t="shared" si="190"/>
        <v>25</v>
      </c>
      <c r="CG78" s="27">
        <f t="shared" si="190"/>
        <v>59</v>
      </c>
      <c r="CH78" s="278">
        <f t="shared" si="190"/>
        <v>59</v>
      </c>
      <c r="CI78" s="27">
        <f t="shared" si="190"/>
        <v>58.931271222882899</v>
      </c>
      <c r="CJ78" s="27">
        <f t="shared" si="190"/>
        <v>25</v>
      </c>
      <c r="CK78" s="27">
        <f t="shared" si="190"/>
        <v>25</v>
      </c>
      <c r="CL78" s="27">
        <f t="shared" si="190"/>
        <v>59</v>
      </c>
      <c r="CM78" s="278">
        <f t="shared" si="190"/>
        <v>59</v>
      </c>
    </row>
    <row r="79" spans="1:91" ht="12.75" customHeight="1">
      <c r="A79" s="18" t="s">
        <v>68</v>
      </c>
      <c r="B79" s="26"/>
      <c r="C79" s="26"/>
      <c r="D79" s="26"/>
      <c r="E79" s="26"/>
      <c r="F79" s="240"/>
      <c r="G79" s="26"/>
      <c r="H79" s="26"/>
      <c r="I79" s="26">
        <f>((I25+H25+H25+F25+F25+E25+E25+D25)/8/I67)*365</f>
        <v>39.606174046562899</v>
      </c>
      <c r="J79" s="26">
        <f>((J25+I25+I25+H25+H25+G25+G25+E25)/8/J67)*365</f>
        <v>44.667578106702898</v>
      </c>
      <c r="K79" s="240">
        <f>J79</f>
        <v>44.667578106702898</v>
      </c>
      <c r="L79" s="26">
        <f>((L25+J25+J25+I25+I25+H25+H25+G25)/8/L67)*365</f>
        <v>53.155027947859097</v>
      </c>
      <c r="M79" s="26">
        <f>((M25+L25+L25+J25+J25+I25+I25+H25)/8/M67)*365</f>
        <v>65.822346368715088</v>
      </c>
      <c r="N79" s="26">
        <f>((N25+M25+M25+K25+K25+J25+J25+I25)/8/N67)*365</f>
        <v>72.918034075698671</v>
      </c>
      <c r="O79" s="26">
        <f>((O25+N25+N25+M25+M25+L25+L25+J25)/8/O67)*365</f>
        <v>63.139064445939553</v>
      </c>
      <c r="P79" s="240">
        <f>O79</f>
        <v>63.139064445939553</v>
      </c>
      <c r="Q79" s="26">
        <f>((Q25+O25+O25+N25+N25+M25+M25+L25)/8/Q67)*365</f>
        <v>71.072915579842459</v>
      </c>
      <c r="R79" s="26">
        <f>((R25+Q25+Q25+O25+O25+N25+N25+M25)/8/R67)*365</f>
        <v>76.315668934517333</v>
      </c>
      <c r="S79" s="26">
        <f>((S25+R25+R25+P25+P25+O25+O25+N25)/8/S67)*365</f>
        <v>68.734967341568066</v>
      </c>
      <c r="T79" s="26">
        <f>((T25+S25+S25+R25+R25+Q25+Q25+O25)/8/T67)*365</f>
        <v>71.22912278270509</v>
      </c>
      <c r="U79" s="240">
        <f>T79</f>
        <v>71.22912278270509</v>
      </c>
      <c r="V79" s="26">
        <f>((V25+T25+T25+S25+S25+R25+R25+Q25)/8/V67)*365</f>
        <v>60.59109705978571</v>
      </c>
      <c r="W79" s="26">
        <f>((W25+V25+V25+T25+T25+S25+S25+R25)/8/W67)*365</f>
        <v>58.011391284850099</v>
      </c>
      <c r="X79" s="26">
        <f>((X25+W25+W25+V25+V25+T25+T25+S25)/8/X67)*365</f>
        <v>54.471296426283885</v>
      </c>
      <c r="Y79" s="26">
        <f>((Y25+X25+X25+W25+W25+V25+V25+T25)/8/Y67)*365</f>
        <v>55.240662493259642</v>
      </c>
      <c r="Z79" s="240">
        <f>Y79</f>
        <v>55.240662493259642</v>
      </c>
      <c r="AA79" s="26">
        <f>((AA25+Y25+Y25+X25+X25+W25+W25+V25)/8/AA67)*365</f>
        <v>61.506756756756758</v>
      </c>
      <c r="AB79" s="26">
        <f>((AB25+AA25+AA25+Y25+Y25+X25+X25+W25)/8/AB67)*365</f>
        <v>67.486533623949256</v>
      </c>
      <c r="AC79" s="26">
        <f>((AC25+AB25+AB25+AA25+AA25+Y25+Y25+X25)/8/AC67)*365</f>
        <v>76.68149263159431</v>
      </c>
      <c r="AD79" s="26">
        <f>((AD25+AC25+AC25+AB25+AB25+AA25+AA25+Y25)/8/AD67)*365</f>
        <v>72.420402891527658</v>
      </c>
      <c r="AE79" s="240">
        <f>AD79</f>
        <v>72.420402891527658</v>
      </c>
      <c r="AF79" s="26">
        <f>((AF25+AD25+AD25+AC25+AC25+AB25+AB25+AA25)/8/AF67)*365</f>
        <v>50.397944943886245</v>
      </c>
      <c r="AG79" s="26">
        <f>((AG25+AF25+AF25+AD25+AD25+AC25+AC25+AB25)/8/AG67)*365</f>
        <v>29.040113509719458</v>
      </c>
      <c r="AH79" s="26">
        <f>((AH25+AG25+AG25+AF25+AF25+AD25+AD25+AC25)/8/AH67)*365</f>
        <v>9.1719910125941606</v>
      </c>
      <c r="AI79" s="26">
        <f>((AI25+AH25+AH25+AG25+AG25+AF25+AF25+AD25)/8/AI67)*365</f>
        <v>0</v>
      </c>
      <c r="AJ79" s="270">
        <f>AI79</f>
        <v>0</v>
      </c>
      <c r="AK79" s="26">
        <f>((AK25+AI25+AI25+AH25+AH25+AG25+AG25+AF25)/8/AK67)*365</f>
        <v>7.4204142427715665</v>
      </c>
      <c r="AL79" s="26">
        <f>((AL25+AK25+AK25+AI25+AI25+AH25+AH25+AG25)/8/AL67)*365</f>
        <v>21.488261437830008</v>
      </c>
      <c r="AM79" s="26">
        <f>((AM25+AL25+AL25+AK25+AK25+AI25+AI25+AH25)/8/AM67)*365</f>
        <v>30.282879466057771</v>
      </c>
      <c r="AN79" s="26">
        <f>((AN25+AM25+AM25+AL25+AL25+AK25+AK25+AI25)/8/AN67)*365</f>
        <v>37.487387586468515</v>
      </c>
      <c r="AO79" s="270">
        <f>AN79</f>
        <v>37.487387586468515</v>
      </c>
      <c r="AP79" s="26">
        <f>((AP25+AN25+AN25+AM25+AM25+AL25+AL25+AK25)/8/AP67)*365</f>
        <v>44.337955275054426</v>
      </c>
      <c r="AQ79" s="26">
        <f>((AQ25+AP25+AP25+AN25+AN25+AM25+AM25+AL25)/8/AQ67)*365</f>
        <v>45.391910690363801</v>
      </c>
      <c r="AR79" s="26">
        <f>((AR25+AQ25+AQ25+AP25+AP25+AN25+AN25+AM25)/8/AR67)*365</f>
        <v>43.47323604333306</v>
      </c>
      <c r="AS79" s="26">
        <f>((AS25+AR25+AR25+AQ25+AQ25+AP25+AP25+AN25)/8/AS67)*365</f>
        <v>43.625967541037085</v>
      </c>
      <c r="AT79" s="240">
        <f>AS79</f>
        <v>43.625967541037085</v>
      </c>
      <c r="AU79" s="355">
        <f>((AU25+AS25+AS25+AR25+AR25+AQ25+AQ25+AP25)/8/AU67)*365</f>
        <v>43.22125013803501</v>
      </c>
      <c r="AV79" s="26">
        <f>((AV25+AU25+AU25+AS25+AS25+AR25+AR25+AQ25)/8/AV67)*365</f>
        <v>38.895547219404953</v>
      </c>
      <c r="AW79" s="26">
        <f>((AW25+AV25+AV25+AU25+AU25+AS25+AS25+AR25)/8/AW67)*365</f>
        <v>35.347084269235935</v>
      </c>
      <c r="AX79" s="26">
        <f>((AX25+AW25+AW25+AV25+AV25+AU25+AU25+AS25)/8/AX67)*365</f>
        <v>35.821557293427638</v>
      </c>
      <c r="AY79" s="240">
        <f>AX79</f>
        <v>35.821557293427638</v>
      </c>
      <c r="AZ79" s="26">
        <f>((AZ25+AX25+AX25+AW25+AW25+AV25+AV25+AU25)/8/AZ67)*365</f>
        <v>36.366560156742558</v>
      </c>
      <c r="BA79" s="26">
        <f>((BA25+AZ25+AZ25+AX25+AX25+AW25+AW25+AV25)/8/BA67)*365</f>
        <v>36.027901569881948</v>
      </c>
      <c r="BB79" s="26">
        <f>((BB25+BA25+BA25+AZ25+AZ25+AX25+AX25+AW25)/8/BB67)*365</f>
        <v>35.120016290257993</v>
      </c>
      <c r="BC79" s="26">
        <f>((BC25+BB25+BB25+BA25+BA25+AZ25+AZ25+AX25)/8/BC67)*365</f>
        <v>35.549225800568479</v>
      </c>
      <c r="BD79" s="240">
        <f>BC79</f>
        <v>35.549225800568479</v>
      </c>
      <c r="BE79" s="26">
        <f>((BE25+BC25+BC25+BB25+BB25+BA25+BA25+AZ25)/8/BE67)*365</f>
        <v>36.967774660638668</v>
      </c>
      <c r="BF79" s="26">
        <f>((BF25+BE25+BE25+BC25+BC25+BB25+BB25+BA25)/8/BF67)*365</f>
        <v>37.17877495551727</v>
      </c>
      <c r="BG79" s="26">
        <f>((BG25+BF25+BF25+BE25+BE25+BC25+BC25+BB25)/8/BG67)*365</f>
        <v>36.326319872907369</v>
      </c>
      <c r="BH79" s="26">
        <f>((BH25+BG25+BG25+BF25+BF25+BE25+BE25+BC25)/8/BH67)*365</f>
        <v>36.589035149044577</v>
      </c>
      <c r="BI79" s="240">
        <f>BH79</f>
        <v>36.589035149044577</v>
      </c>
      <c r="BJ79" s="26">
        <f>((BJ25+BH25+BH25+BG25+BG25+BF25+BF25+BE25)/8/BJ67)*365</f>
        <v>37.959827116738097</v>
      </c>
      <c r="BK79" s="26">
        <f>((BK25+BJ25+BJ25+BH25+BH25+BG25+BG25+BF25)/8/BK67)*365</f>
        <v>38.452532173888933</v>
      </c>
      <c r="BL79" s="26">
        <f>((BL25+BK25+BK25+BJ25+BJ25+BH25+BH25+BG25)/8/BL67)*365</f>
        <v>37.968175728091737</v>
      </c>
      <c r="BM79" s="26">
        <f>((BM25+BL25+BL25+BK25+BK25+BJ25+BJ25+BH25)/8/BM67)*365</f>
        <v>38.255386474158534</v>
      </c>
      <c r="BN79" s="240">
        <f>BM79</f>
        <v>38.255386474158534</v>
      </c>
      <c r="BO79" s="26">
        <f>((BO25+BM25+BM25+BL25+BL25+BK25+BK25+BJ25)/8/BO67)*365</f>
        <v>39.037780890577238</v>
      </c>
      <c r="BP79" s="26">
        <f>((BP25+BO25+BO25+BM25+BM25+BL25+BL25+BK25)/8/BP67)*365</f>
        <v>39.034830158298824</v>
      </c>
      <c r="BQ79" s="26">
        <f>((BQ25+BP25+BP25+BO25+BO25+BM25+BM25+BL25)/8/BQ67)*365</f>
        <v>38.51920100948881</v>
      </c>
      <c r="BR79" s="26">
        <f>((BR25+BQ25+BQ25+BP25+BP25+BO25+BO25+BM25)/8/BR67)*365</f>
        <v>38.662069681516705</v>
      </c>
      <c r="BS79" s="240">
        <f>BR79</f>
        <v>38.662069681516705</v>
      </c>
      <c r="BT79" s="26">
        <f>((BT25+BR25+BR25+BQ25+BQ25+BP25+BP25+BO25)/8/BT67)*365</f>
        <v>39.489224603749889</v>
      </c>
      <c r="BU79" s="26">
        <f>((BU25+BT25+BT25+BR25+BR25+BQ25+BQ25+BP25)/8/BU67)*365</f>
        <v>39.771386853544726</v>
      </c>
      <c r="BV79" s="26">
        <f>((BV25+BU25+BU25+BT25+BT25+BR25+BR25+BQ25)/8/BV67)*365</f>
        <v>39.489034333792176</v>
      </c>
      <c r="BW79" s="26">
        <f>((BW25+BV25+BV25+BU25+BU25+BT25+BT25+BR25)/8/BW67)*365</f>
        <v>39.659978158698081</v>
      </c>
      <c r="BX79" s="240">
        <f>BW79</f>
        <v>39.659978158698081</v>
      </c>
      <c r="BY79" s="26">
        <f>((BY25+BW25+BW25+BV25+BV25+BU25+BU25+BT25)/8/BY67)*365</f>
        <v>40.276064599611068</v>
      </c>
      <c r="BZ79" s="26">
        <f>((BZ25+BY25+BY25+BW25+BW25+BV25+BV25+BU25)/8/BZ67)*365</f>
        <v>40.479820959815747</v>
      </c>
      <c r="CA79" s="26">
        <f>((CA25+BZ25+BZ25+BY25+BY25+BW25+BW25+BV25)/8/CA67)*365</f>
        <v>40.228226501325373</v>
      </c>
      <c r="CB79" s="26">
        <f>((CB25+CA25+CA25+BZ25+BZ25+BY25+BY25+BW25)/8/CB67)*365</f>
        <v>40.298521095140892</v>
      </c>
      <c r="CC79" s="240">
        <f>CB79</f>
        <v>40.298521095140892</v>
      </c>
      <c r="CD79" s="26">
        <f>((CD25+CB25+CB25+CA25+CA25+BZ25+BZ25+BY25)/8/CD67)*365</f>
        <v>40.620764150452267</v>
      </c>
      <c r="CE79" s="26">
        <f>((CE25+CD25+CD25+CB25+CB25+CA25+CA25+BZ25)/8/CE67)*365</f>
        <v>40.611108169736738</v>
      </c>
      <c r="CF79" s="26">
        <f>((CF25+CE25+CE25+CD25+CD25+CB25+CB25+CA25)/8/CF67)*365</f>
        <v>40.393993805718551</v>
      </c>
      <c r="CG79" s="26">
        <f>((CG25+CF25+CF25+CE25+CE25+CD25+CD25+CB25)/8/CG67)*365</f>
        <v>40.486159407679253</v>
      </c>
      <c r="CH79" s="270" t="e">
        <f>((CH25+CG25+CG25+CF25+CF25+CE25+CE25+CC25)/8/CH67)*365</f>
        <v>#DIV/0!</v>
      </c>
      <c r="CI79" s="26">
        <f>((CI25+CG25+CG25+CF25+CF25+CE25+CE25+CD25)/8/CI67)*365</f>
        <v>40.876355743864806</v>
      </c>
      <c r="CJ79" s="26">
        <f>((CJ25+CI25+CI25+CG25+CG25+CF25+CF25+CE25)/8/CJ67)*365</f>
        <v>41.026439622505244</v>
      </c>
      <c r="CK79" s="26">
        <f>((CK25+CJ25+CJ25+CI25+CI25+CG25+CG25+CF25)/8/CK67)*365</f>
        <v>40.920922062738654</v>
      </c>
      <c r="CL79" s="26">
        <f>((CL25+CK25+CK25+CJ25+CJ25+CI25+CI25+CG25)/8/CL67)*365</f>
        <v>41.008717448636361</v>
      </c>
      <c r="CM79" s="270" t="e">
        <f>((CM25+CL25+CL25+CK25+CK25+CJ25+CJ25+CH25)/8/CM67)*365</f>
        <v>#DIV/0!</v>
      </c>
    </row>
    <row r="80" spans="1:91" ht="12.75" customHeight="1">
      <c r="F80" s="240"/>
      <c r="K80" s="240"/>
      <c r="P80" s="240"/>
      <c r="U80" s="240"/>
      <c r="Z80" s="240"/>
      <c r="AE80" s="240"/>
      <c r="AF80" s="26"/>
      <c r="AG80" s="26"/>
      <c r="AH80" s="26"/>
      <c r="AI80" s="26"/>
      <c r="AJ80" s="270"/>
      <c r="AK80" s="26"/>
      <c r="AL80" s="26"/>
      <c r="AM80" s="26"/>
      <c r="AN80" s="26"/>
      <c r="AO80" s="270"/>
      <c r="AP80" s="26"/>
      <c r="AT80" s="240"/>
      <c r="AU80" s="374"/>
      <c r="AY80" s="240"/>
      <c r="BD80" s="240"/>
      <c r="BI80" s="240"/>
      <c r="BN80" s="240"/>
      <c r="BS80" s="240"/>
      <c r="BX80" s="240"/>
      <c r="CC80" s="240"/>
      <c r="CH80" s="240"/>
      <c r="CM80" s="240"/>
    </row>
    <row r="81" spans="1:91" ht="12.75" customHeight="1">
      <c r="A81" s="18" t="str">
        <f>A26</f>
        <v>Accrued liabilities</v>
      </c>
      <c r="F81" s="240"/>
      <c r="K81" s="240"/>
      <c r="P81" s="240"/>
      <c r="U81" s="240"/>
      <c r="Z81" s="240"/>
      <c r="AE81" s="240"/>
      <c r="AF81" s="26"/>
      <c r="AG81" s="26"/>
      <c r="AH81" s="26"/>
      <c r="AI81" s="26"/>
      <c r="AJ81" s="270"/>
      <c r="AK81" s="26"/>
      <c r="AL81" s="26"/>
      <c r="AM81" s="26"/>
      <c r="AN81" s="26"/>
      <c r="AO81" s="270"/>
      <c r="AP81" s="26"/>
      <c r="AT81" s="240"/>
      <c r="AU81" s="374"/>
      <c r="AY81" s="240"/>
      <c r="BD81" s="240"/>
      <c r="BI81" s="240"/>
      <c r="BN81" s="240"/>
      <c r="BS81" s="240"/>
      <c r="BX81" s="240"/>
      <c r="CC81" s="240"/>
      <c r="CH81" s="240"/>
      <c r="CM81" s="240"/>
    </row>
    <row r="82" spans="1:91" s="26" customFormat="1" ht="12.75" customHeight="1">
      <c r="A82" s="26" t="s">
        <v>70</v>
      </c>
      <c r="B82" s="56"/>
      <c r="C82" s="56"/>
      <c r="D82" s="56"/>
      <c r="E82" s="56"/>
      <c r="F82" s="270"/>
      <c r="G82" s="56"/>
      <c r="H82" s="56"/>
      <c r="I82" s="56">
        <f>I26/I66*365</f>
        <v>69.988684291739531</v>
      </c>
      <c r="J82" s="56">
        <f>J26/J66*365</f>
        <v>80.809088802833216</v>
      </c>
      <c r="K82" s="270">
        <f>J82</f>
        <v>80.809088802833216</v>
      </c>
      <c r="L82" s="56">
        <f>L26/L66*365</f>
        <v>78.608885915263741</v>
      </c>
      <c r="M82" s="56">
        <f>M26/M66*365</f>
        <v>62.290953545232277</v>
      </c>
      <c r="N82" s="56">
        <f>N26/N66*365</f>
        <v>82.84573992004384</v>
      </c>
      <c r="O82" s="56">
        <f>O26/O66*365</f>
        <v>75.358134110787162</v>
      </c>
      <c r="P82" s="270">
        <f>O82</f>
        <v>75.358134110787162</v>
      </c>
      <c r="Q82" s="56">
        <f>Q26/Q66*365</f>
        <v>68.478244912938877</v>
      </c>
      <c r="R82" s="56">
        <f>R26/R66*365</f>
        <v>60.336445514189222</v>
      </c>
      <c r="S82" s="56">
        <f>S26/S66*365</f>
        <v>62.354217116150849</v>
      </c>
      <c r="T82" s="56">
        <f>T26/T66*365</f>
        <v>64.818592404003766</v>
      </c>
      <c r="U82" s="270">
        <f>T82</f>
        <v>64.818592404003766</v>
      </c>
      <c r="V82" s="56">
        <f>V26/V66*365</f>
        <v>79.427950383537279</v>
      </c>
      <c r="W82" s="56">
        <f>W26/W66*365</f>
        <v>39.172673651556764</v>
      </c>
      <c r="X82" s="56">
        <f>X26/X66*365</f>
        <v>84.18880012563217</v>
      </c>
      <c r="Y82" s="56">
        <f>Y26/Y66*365</f>
        <v>85.74818079876249</v>
      </c>
      <c r="Z82" s="270">
        <f>Y82</f>
        <v>85.74818079876249</v>
      </c>
      <c r="AA82" s="56">
        <f>AA26/AA66*365</f>
        <v>100.80438623631059</v>
      </c>
      <c r="AB82" s="56">
        <f>AB26/AB66*365</f>
        <v>103.58852571484576</v>
      </c>
      <c r="AC82" s="56">
        <f>AC26/AC66*365</f>
        <v>102.35133660665575</v>
      </c>
      <c r="AD82" s="56">
        <f>AD26/AD66*365</f>
        <v>142.75368266976318</v>
      </c>
      <c r="AE82" s="270">
        <f>AD82</f>
        <v>142.75368266976318</v>
      </c>
      <c r="AF82" s="56">
        <f>AF26/AF66*365</f>
        <v>144.23826046918717</v>
      </c>
      <c r="AG82" s="56">
        <f>AG26/AG66*365</f>
        <v>135.00504744599232</v>
      </c>
      <c r="AH82" s="56">
        <f>AH26/AH66*365</f>
        <v>139.83610963352837</v>
      </c>
      <c r="AI82" s="56">
        <f>AI26/AI66*365</f>
        <v>121.64681850099652</v>
      </c>
      <c r="AJ82" s="270">
        <f>AI82</f>
        <v>121.64681850099652</v>
      </c>
      <c r="AK82" s="56">
        <f>AK26/AK66*365</f>
        <v>96.642096981241451</v>
      </c>
      <c r="AL82" s="56">
        <f>AL26/AL66*365</f>
        <v>73.558433388732709</v>
      </c>
      <c r="AM82" s="56">
        <f>AM26/AM66*365</f>
        <v>80.311431031294788</v>
      </c>
      <c r="AN82" s="56">
        <f>AN26/AN66*365</f>
        <v>74.857459107786568</v>
      </c>
      <c r="AO82" s="270">
        <f>AN82</f>
        <v>74.857459107786568</v>
      </c>
      <c r="AP82" s="56">
        <f>AP26/AP66*365</f>
        <v>65.87057943451903</v>
      </c>
      <c r="AQ82" s="56">
        <f>AQ26/AQ66*365</f>
        <v>61.331611668711673</v>
      </c>
      <c r="AR82" s="56">
        <f>AR26/AR66*365</f>
        <v>68.71423680627187</v>
      </c>
      <c r="AS82" s="56">
        <f>AS26/AS66*365</f>
        <v>73.420298547587066</v>
      </c>
      <c r="AT82" s="270">
        <f>AS82</f>
        <v>73.420298547587066</v>
      </c>
      <c r="AU82" s="369">
        <v>54</v>
      </c>
      <c r="AV82" s="27">
        <v>54</v>
      </c>
      <c r="AW82" s="27">
        <v>54</v>
      </c>
      <c r="AX82" s="27">
        <v>54</v>
      </c>
      <c r="AY82" s="270">
        <f>AX82</f>
        <v>54</v>
      </c>
      <c r="AZ82" s="27">
        <f>+AX82-15</f>
        <v>39</v>
      </c>
      <c r="BA82" s="27">
        <f>+AZ82</f>
        <v>39</v>
      </c>
      <c r="BB82" s="27">
        <f t="shared" ref="BB82:BC82" si="191">+BA82</f>
        <v>39</v>
      </c>
      <c r="BC82" s="27">
        <f t="shared" si="191"/>
        <v>39</v>
      </c>
      <c r="BD82" s="270">
        <f>BC82</f>
        <v>39</v>
      </c>
      <c r="BE82" s="27">
        <f>+BC82-10</f>
        <v>29</v>
      </c>
      <c r="BF82" s="27">
        <f>+BE82</f>
        <v>29</v>
      </c>
      <c r="BG82" s="27">
        <f t="shared" ref="BG82:BH82" si="192">+BF82</f>
        <v>29</v>
      </c>
      <c r="BH82" s="27">
        <f t="shared" si="192"/>
        <v>29</v>
      </c>
      <c r="BI82" s="270">
        <f>BH82</f>
        <v>29</v>
      </c>
      <c r="BJ82" s="27">
        <f>+BH82-5</f>
        <v>24</v>
      </c>
      <c r="BK82" s="27">
        <f>+BJ82</f>
        <v>24</v>
      </c>
      <c r="BL82" s="27">
        <f>+BK82</f>
        <v>24</v>
      </c>
      <c r="BM82" s="27">
        <f>+BL82</f>
        <v>24</v>
      </c>
      <c r="BN82" s="270">
        <f>BM82</f>
        <v>24</v>
      </c>
      <c r="BO82" s="27">
        <f>+BM82-5</f>
        <v>19</v>
      </c>
      <c r="BP82" s="27">
        <f>+BO82</f>
        <v>19</v>
      </c>
      <c r="BQ82" s="27">
        <f>+BP82</f>
        <v>19</v>
      </c>
      <c r="BR82" s="27">
        <f>+BQ82</f>
        <v>19</v>
      </c>
      <c r="BS82" s="270">
        <f>BR82</f>
        <v>19</v>
      </c>
      <c r="BT82" s="27">
        <f>+BR82-2.5</f>
        <v>16.5</v>
      </c>
      <c r="BU82" s="27">
        <f>+BT82</f>
        <v>16.5</v>
      </c>
      <c r="BV82" s="27">
        <f>+BU82</f>
        <v>16.5</v>
      </c>
      <c r="BW82" s="27">
        <f>+BV82</f>
        <v>16.5</v>
      </c>
      <c r="BX82" s="270">
        <f>BW82</f>
        <v>16.5</v>
      </c>
      <c r="BY82" s="27">
        <f>+BW82-2.5</f>
        <v>14</v>
      </c>
      <c r="BZ82" s="27">
        <f>+BY82</f>
        <v>14</v>
      </c>
      <c r="CA82" s="27">
        <f>+BZ82</f>
        <v>14</v>
      </c>
      <c r="CB82" s="27">
        <f>+CA82</f>
        <v>14</v>
      </c>
      <c r="CC82" s="270">
        <f>CB82</f>
        <v>14</v>
      </c>
      <c r="CD82" s="27">
        <f>+CB82-2.5</f>
        <v>11.5</v>
      </c>
      <c r="CE82" s="27">
        <f>+CD82</f>
        <v>11.5</v>
      </c>
      <c r="CF82" s="27">
        <f>+CE82</f>
        <v>11.5</v>
      </c>
      <c r="CG82" s="27">
        <f>+CF82</f>
        <v>11.5</v>
      </c>
      <c r="CH82" s="278">
        <f t="shared" ref="CH82:CM82" si="193">CC82</f>
        <v>14</v>
      </c>
      <c r="CI82" s="27">
        <f>+CG82-2.5</f>
        <v>9</v>
      </c>
      <c r="CJ82" s="27">
        <f>+CI82</f>
        <v>9</v>
      </c>
      <c r="CK82" s="27">
        <f>+CJ82</f>
        <v>9</v>
      </c>
      <c r="CL82" s="27">
        <f>+CK82</f>
        <v>9</v>
      </c>
      <c r="CM82" s="278">
        <f t="shared" si="193"/>
        <v>14</v>
      </c>
    </row>
    <row r="83" spans="1:91" ht="12.75" customHeight="1">
      <c r="A83" s="18" t="s">
        <v>68</v>
      </c>
      <c r="B83" s="26"/>
      <c r="C83" s="26"/>
      <c r="D83" s="26"/>
      <c r="E83" s="26"/>
      <c r="F83" s="240"/>
      <c r="G83" s="26"/>
      <c r="H83" s="26"/>
      <c r="I83" s="26">
        <f>((I26+H26+H26+F26+F26+E26+E26+D26)/8/I66)*365</f>
        <v>35.306456383088161</v>
      </c>
      <c r="J83" s="26">
        <f>((J26+I26+I26+H26+H26+G26+G26+E26)/8/J66)*365</f>
        <v>30.810302408455517</v>
      </c>
      <c r="K83" s="240">
        <f>J83</f>
        <v>30.810302408455517</v>
      </c>
      <c r="L83" s="26">
        <f>((L26+J26+J26+I26+I26+H26+H26+G26)/8/L66)*365</f>
        <v>38.684845210755675</v>
      </c>
      <c r="M83" s="26">
        <f>((M26+L26+L26+J26+J26+I26+I26+H26)/8/M66)*365</f>
        <v>44.739492578945573</v>
      </c>
      <c r="N83" s="26">
        <f>((N26+M26+M26+K26+K26+J26+J26+I26)/8/N66)*365</f>
        <v>46.176902349322759</v>
      </c>
      <c r="O83" s="26">
        <f>((O26+N26+N26+M26+M26+L26+L26+J26)/8/O66)*365</f>
        <v>52.1877638483965</v>
      </c>
      <c r="P83" s="240">
        <f>O83</f>
        <v>52.1877638483965</v>
      </c>
      <c r="Q83" s="26">
        <f>((Q26+O26+O26+N26+N26+M26+M26+L26)/8/Q66)*365</f>
        <v>54.250642254210327</v>
      </c>
      <c r="R83" s="26">
        <f>((R26+Q26+Q26+O26+O26+N26+N26+M26)/8/R66)*365</f>
        <v>58.730652393338261</v>
      </c>
      <c r="S83" s="26">
        <f>((S26+R26+R26+P26+P26+O26+O26+N26)/8/S66)*365</f>
        <v>58.923988522396812</v>
      </c>
      <c r="T83" s="26">
        <f>((T26+S26+S26+R26+R26+Q26+Q26+O26)/8/T66)*365</f>
        <v>58.088216702123958</v>
      </c>
      <c r="U83" s="240">
        <f>T83</f>
        <v>58.088216702123958</v>
      </c>
      <c r="V83" s="26">
        <f>((V26+T26+T26+S26+S26+R26+R26+Q26)/8/V66)*365</f>
        <v>59.814645332930496</v>
      </c>
      <c r="W83" s="26">
        <f>((W26+V26+V26+T26+T26+S26+S26+R26)/8/W66)*365</f>
        <v>56.59907199421599</v>
      </c>
      <c r="X83" s="26">
        <f>((X26+W26+W26+V26+V26+T26+T26+S26)/8/X66)*365</f>
        <v>56.60529981591398</v>
      </c>
      <c r="Y83" s="26">
        <f>((Y26+X26+X26+W26+W26+V26+V26+T26)/8/Y66)*365</f>
        <v>60.618183849721532</v>
      </c>
      <c r="Z83" s="240">
        <f>Y83</f>
        <v>60.618183849721532</v>
      </c>
      <c r="AA83" s="26">
        <f>((AA26+Y26+Y26+X26+X26+W26+W26+V26)/8/AA66)*365</f>
        <v>67.254488771040727</v>
      </c>
      <c r="AB83" s="26">
        <f>((AB26+AA26+AA26+Y26+Y26+X26+X26+W26)/8/AB66)*365</f>
        <v>78.339331217994271</v>
      </c>
      <c r="AC83" s="26">
        <f>((AC26+AB26+AB26+AA26+AA26+Y26+Y26+X26)/8/AC66)*365</f>
        <v>87.207189991990816</v>
      </c>
      <c r="AD83" s="26">
        <f>((AD26+AC26+AC26+AB26+AB26+AA26+AA26+Y26)/8/AD66)*365</f>
        <v>96.708095311186128</v>
      </c>
      <c r="AE83" s="240">
        <f>AD83</f>
        <v>96.708095311186128</v>
      </c>
      <c r="AF83" s="26">
        <f>((AF26+AD26+AD26+AC26+AC26+AB26+AB26+AA26)/8/AF66)*365</f>
        <v>106.30610900481796</v>
      </c>
      <c r="AG83" s="26">
        <f>((AG26+AF26+AF26+AD26+AD26+AC26+AC26+AB26)/8/AG66)*365</f>
        <v>114.36742148036198</v>
      </c>
      <c r="AH83" s="26">
        <f>((AH26+AG26+AG26+AF26+AF26+AD26+AD26+AC26)/8/AH66)*365</f>
        <v>122.29596526591826</v>
      </c>
      <c r="AI83" s="26">
        <f>((AI26+AH26+AH26+AG26+AG26+AF26+AF26+AD26)/8/AI66)*365</f>
        <v>124.00473204089737</v>
      </c>
      <c r="AJ83" s="270">
        <f>AI83</f>
        <v>124.00473204089737</v>
      </c>
      <c r="AK83" s="26">
        <f>((AK26+AI26+AI26+AH26+AH26+AG26+AG26+AF26)/8/AK66)*365</f>
        <v>114.4327674023769</v>
      </c>
      <c r="AL83" s="26">
        <f>((AL26+AK26+AK26+AI26+AI26+AH26+AH26+AG26)/8/AL66)*365</f>
        <v>100.95589828520838</v>
      </c>
      <c r="AM83" s="26">
        <f>((AM26+AL26+AL26+AK26+AK26+AI26+AI26+AH26)/8/AM66)*365</f>
        <v>86.515849989021419</v>
      </c>
      <c r="AN83" s="26">
        <f>((AN26+AM26+AM26+AL26+AL26+AK26+AK26+AI26)/8/AN66)*365</f>
        <v>75.52632317838858</v>
      </c>
      <c r="AO83" s="270">
        <f>AN83</f>
        <v>75.52632317838858</v>
      </c>
      <c r="AP83" s="26">
        <f>((AP26+AN26+AN26+AM26+AM26+AL26+AL26+AK26)/8/AP66)*365</f>
        <v>68.77909979508938</v>
      </c>
      <c r="AQ83" s="26">
        <f>((AQ26+AP26+AP26+AN26+AN26+AM26+AM26+AL26)/8/AQ66)*365</f>
        <v>63.641460929554114</v>
      </c>
      <c r="AR83" s="26">
        <f>((AR26+AQ26+AQ26+AP26+AP26+AN26+AN26+AM26)/8/AR66)*365</f>
        <v>59.814478172859914</v>
      </c>
      <c r="AS83" s="26">
        <f>((AS26+AR26+AR26+AQ26+AQ26+AP26+AP26+AN26)/8/AS66)*365</f>
        <v>57.928526350251175</v>
      </c>
      <c r="AT83" s="240">
        <f>AS83</f>
        <v>57.928526350251175</v>
      </c>
      <c r="AU83" s="355">
        <f>((AU26+AS26+AS26+AR26+AR26+AQ26+AQ26+AP26)/8/AU66)*365</f>
        <v>56.376229128058164</v>
      </c>
      <c r="AV83" s="26">
        <f>((AV26+AU26+AU26+AS26+AS26+AR26+AR26+AQ26)/8/AV66)*365</f>
        <v>54.308422718798504</v>
      </c>
      <c r="AW83" s="26">
        <f>((AW26+AV26+AV26+AU26+AU26+AS26+AS26+AR26)/8/AW66)*365</f>
        <v>52.333389811603027</v>
      </c>
      <c r="AX83" s="26">
        <f>((AX26+AW26+AW26+AV26+AV26+AU26+AU26+AS26)/8/AX66)*365</f>
        <v>49.166198734059307</v>
      </c>
      <c r="AY83" s="240">
        <f>AX83</f>
        <v>49.166198734059307</v>
      </c>
      <c r="AZ83" s="26">
        <f>((AZ26+AX26+AX26+AW26+AW26+AV26+AV26+AU26)/8/AZ66)*365</f>
        <v>44.345467752116299</v>
      </c>
      <c r="BA83" s="26">
        <f>((BA26+AZ26+AZ26+AX26+AX26+AW26+AW26+AV26)/8/BA66)*365</f>
        <v>40.327524331105593</v>
      </c>
      <c r="BB83" s="26">
        <f>((BB26+BA26+BA26+AZ26+AZ26+AX26+AX26+AW26)/8/BB66)*365</f>
        <v>37.295317723428667</v>
      </c>
      <c r="BC83" s="26">
        <f>((BC26+BB26+BB26+BA26+BA26+AZ26+AZ26+AX26)/8/BC66)*365</f>
        <v>34.668170031597384</v>
      </c>
      <c r="BD83" s="240">
        <f>BC83</f>
        <v>34.668170031597384</v>
      </c>
      <c r="BE83" s="26">
        <f>((BE26+BC26+BC26+BB26+BB26+BA26+BA26+AZ26)/8/BE66)*365</f>
        <v>32.378032216609867</v>
      </c>
      <c r="BF83" s="26">
        <f>((BF26+BE26+BE26+BC26+BC26+BB26+BB26+BA26)/8/BF66)*365</f>
        <v>30.260884214121894</v>
      </c>
      <c r="BG83" s="26">
        <f>((BG26+BF26+BF26+BE26+BE26+BC26+BC26+BB26)/8/BG66)*365</f>
        <v>28.233471777547308</v>
      </c>
      <c r="BH83" s="26">
        <f>((BH26+BG26+BG26+BF26+BF26+BE26+BE26+BC26)/8/BH66)*365</f>
        <v>26.360613511044882</v>
      </c>
      <c r="BI83" s="240">
        <f>BH83</f>
        <v>26.360613511044882</v>
      </c>
      <c r="BJ83" s="26">
        <f>((BJ26+BH26+BH26+BG26+BG26+BF26+BF26+BE26)/8/BJ66)*365</f>
        <v>25.106053459901773</v>
      </c>
      <c r="BK83" s="26">
        <f>((BK26+BJ26+BJ26+BH26+BH26+BG26+BG26+BF26)/8/BK66)*365</f>
        <v>24.24767093063382</v>
      </c>
      <c r="BL83" s="26">
        <f>((BL26+BK26+BK26+BJ26+BJ26+BH26+BH26+BG26)/8/BL66)*365</f>
        <v>23.325940699198021</v>
      </c>
      <c r="BM83" s="26">
        <f>((BM26+BL26+BL26+BK26+BK26+BJ26+BJ26+BH26)/8/BM66)*365</f>
        <v>22.420412021001205</v>
      </c>
      <c r="BN83" s="240">
        <f>BM83</f>
        <v>22.420412021001205</v>
      </c>
      <c r="BO83" s="26">
        <f>((BO26+BM26+BM26+BL26+BL26+BK26+BK26+BJ26)/8/BO66)*365</f>
        <v>21.358379409320005</v>
      </c>
      <c r="BP83" s="26">
        <f>((BP26+BO26+BO26+BM26+BM26+BL26+BL26+BK26)/8/BP66)*365</f>
        <v>20.166744033077393</v>
      </c>
      <c r="BQ83" s="26">
        <f>((BQ26+BP26+BP26+BO26+BO26+BM26+BM26+BL26)/8/BQ66)*365</f>
        <v>19.07675632374842</v>
      </c>
      <c r="BR83" s="26">
        <f>((BR26+BQ26+BQ26+BP26+BP26+BO26+BO26+BM26)/8/BR66)*365</f>
        <v>18.031999729393359</v>
      </c>
      <c r="BS83" s="240">
        <f>BR83</f>
        <v>18.031999729393359</v>
      </c>
      <c r="BT83" s="26">
        <f>((BT26+BR26+BR26+BQ26+BQ26+BP26+BP26+BO26)/8/BT66)*365</f>
        <v>17.310011878890307</v>
      </c>
      <c r="BU83" s="26">
        <f>((BU26+BT26+BT26+BR26+BR26+BQ26+BQ26+BP26)/8/BU66)*365</f>
        <v>16.823105764733672</v>
      </c>
      <c r="BV83" s="26">
        <f>((BV26+BU26+BU26+BT26+BT26+BR26+BR26+BQ26)/8/BV66)*365</f>
        <v>16.330680567582881</v>
      </c>
      <c r="BW83" s="26">
        <f>((BW26+BV26+BV26+BU26+BU26+BT26+BT26+BR26)/8/BW66)*365</f>
        <v>15.832629389603355</v>
      </c>
      <c r="BX83" s="240">
        <f>BW83</f>
        <v>15.832629389603355</v>
      </c>
      <c r="BY83" s="26">
        <f>((BY26+BW26+BW26+BV26+BV26+BU26+BU26+BT26)/8/BY66)*365</f>
        <v>15.328770852793811</v>
      </c>
      <c r="BZ83" s="26">
        <f>((BZ26+BY26+BY26+BW26+BW26+BV26+BV26+BU26)/8/BZ66)*365</f>
        <v>14.790599486251299</v>
      </c>
      <c r="CA83" s="26">
        <f>((CA26+BZ26+BZ26+BY26+BY26+BW26+BW26+BV26)/8/CA66)*365</f>
        <v>14.22937159486302</v>
      </c>
      <c r="CB83" s="26">
        <f>((CB26+CA26+CA26+BZ26+BZ26+BY26+BY26+BW26)/8/CB66)*365</f>
        <v>13.670318401242342</v>
      </c>
      <c r="CC83" s="240">
        <f>CB83</f>
        <v>13.670318401242342</v>
      </c>
      <c r="CD83" s="26">
        <f>((CD26+CB26+CB26+CA26+CA26+BZ26+BZ26+BY26)/8/CD66)*365</f>
        <v>13.083636920516184</v>
      </c>
      <c r="CE83" s="26">
        <f>((CE26+CD26+CD26+CB26+CB26+CA26+CA26+BZ26)/8/CE66)*365</f>
        <v>12.469028654900081</v>
      </c>
      <c r="CF83" s="26">
        <f>((CF26+CE26+CE26+CD26+CD26+CB26+CB26+CA26)/8/CF66)*365</f>
        <v>11.893241151118623</v>
      </c>
      <c r="CG83" s="26">
        <f>((CG26+CF26+CF26+CE26+CE26+CD26+CD26+CB26)/8/CG66)*365</f>
        <v>11.331272861844818</v>
      </c>
      <c r="CH83" s="270">
        <f>((CH26+CG26+CG26+CF26+CF26+CE26+CE26+CC26)/8/CH66)*365</f>
        <v>6.540727922190646</v>
      </c>
      <c r="CI83" s="26">
        <f>((CI26+CG26+CG26+CF26+CF26+CE26+CE26+CD26)/8/CI66)*365</f>
        <v>10.767964036119034</v>
      </c>
      <c r="CJ83" s="26">
        <f>((CJ26+CI26+CI26+CG26+CG26+CF26+CF26+CE26)/8/CJ66)*365</f>
        <v>10.188863307593218</v>
      </c>
      <c r="CK83" s="26">
        <f>((CK26+CJ26+CJ26+CI26+CI26+CG26+CG26+CF26)/8/CK66)*365</f>
        <v>9.6118951701370321</v>
      </c>
      <c r="CL83" s="26">
        <f>((CL26+CK26+CK26+CJ26+CJ26+CI26+CI26+CG26)/8/CL66)*365</f>
        <v>9.0364593387114738</v>
      </c>
      <c r="CM83" s="270">
        <f>((CM26+CL26+CL26+CK26+CK26+CJ26+CJ26+CH26)/8/CM66)*365</f>
        <v>5.1982422059435365</v>
      </c>
    </row>
    <row r="84" spans="1:91" ht="12.75" customHeight="1">
      <c r="F84" s="240"/>
      <c r="K84" s="240"/>
      <c r="P84" s="240"/>
      <c r="U84" s="240"/>
      <c r="Z84" s="240"/>
      <c r="AE84" s="240"/>
      <c r="AJ84" s="240"/>
      <c r="AO84" s="240"/>
      <c r="AT84" s="240"/>
      <c r="AU84" s="374"/>
      <c r="AY84" s="240"/>
      <c r="BD84" s="240"/>
      <c r="BI84" s="240"/>
      <c r="BN84" s="240"/>
      <c r="BS84" s="240"/>
      <c r="BX84" s="240"/>
      <c r="CC84" s="240"/>
      <c r="CH84" s="240"/>
      <c r="CM84" s="240"/>
    </row>
    <row r="85" spans="1:91" ht="12.75" customHeight="1">
      <c r="A85" s="18" t="s">
        <v>195</v>
      </c>
      <c r="F85" s="240"/>
      <c r="K85" s="240"/>
      <c r="P85" s="240"/>
      <c r="U85" s="240"/>
      <c r="Z85" s="240"/>
      <c r="AE85" s="240"/>
      <c r="AI85" s="49"/>
      <c r="AJ85" s="242"/>
      <c r="AK85" s="49"/>
      <c r="AO85" s="240"/>
      <c r="AT85" s="240"/>
      <c r="AU85" s="374"/>
      <c r="AY85" s="240"/>
      <c r="BD85" s="240"/>
      <c r="BI85" s="240"/>
      <c r="BN85" s="240"/>
      <c r="BS85" s="240"/>
      <c r="BX85" s="240"/>
      <c r="CC85" s="240"/>
      <c r="CH85" s="240"/>
      <c r="CM85" s="240"/>
    </row>
    <row r="86" spans="1:91" ht="12.75" customHeight="1">
      <c r="F86" s="240"/>
      <c r="K86" s="240"/>
      <c r="P86" s="240"/>
      <c r="U86" s="240"/>
      <c r="Z86" s="240"/>
      <c r="AE86" s="240"/>
      <c r="AJ86" s="240"/>
      <c r="AO86" s="240"/>
      <c r="AT86" s="240"/>
      <c r="AU86" s="374"/>
      <c r="AY86" s="240"/>
      <c r="BD86" s="240"/>
      <c r="BI86" s="240"/>
      <c r="BN86" s="240"/>
      <c r="BS86" s="240"/>
      <c r="BX86" s="240"/>
      <c r="CC86" s="240"/>
      <c r="CH86" s="240"/>
      <c r="CM86" s="240"/>
    </row>
    <row r="87" spans="1:91" ht="12.75" customHeight="1">
      <c r="A87" s="18" t="s">
        <v>71</v>
      </c>
      <c r="B87" s="48"/>
      <c r="C87" s="48"/>
      <c r="D87" s="48"/>
      <c r="E87" s="48"/>
      <c r="F87" s="240"/>
      <c r="G87" s="48"/>
      <c r="H87" s="48"/>
      <c r="I87" s="48"/>
      <c r="J87" s="48"/>
      <c r="K87" s="276"/>
      <c r="L87" s="48"/>
      <c r="M87" s="48"/>
      <c r="N87" s="48"/>
      <c r="O87" s="48"/>
      <c r="P87" s="276"/>
      <c r="Q87" s="48"/>
      <c r="R87" s="48"/>
      <c r="S87" s="48"/>
      <c r="T87" s="48"/>
      <c r="U87" s="276"/>
      <c r="V87" s="48"/>
      <c r="W87" s="48"/>
      <c r="X87" s="48"/>
      <c r="Y87" s="48"/>
      <c r="Z87" s="240"/>
      <c r="AE87" s="240"/>
      <c r="AJ87" s="240"/>
      <c r="AO87" s="240"/>
      <c r="AT87" s="240"/>
      <c r="AU87" s="374"/>
      <c r="AY87" s="240"/>
      <c r="BD87" s="240"/>
      <c r="BI87" s="240"/>
      <c r="BN87" s="240"/>
      <c r="BS87" s="240"/>
      <c r="BX87" s="240"/>
      <c r="CC87" s="240"/>
      <c r="CH87" s="240"/>
      <c r="CM87" s="240"/>
    </row>
    <row r="88" spans="1:91" ht="12.75" customHeight="1">
      <c r="F88" s="240"/>
      <c r="K88" s="240"/>
      <c r="P88" s="240"/>
      <c r="U88" s="240"/>
      <c r="Z88" s="240"/>
      <c r="AE88" s="240"/>
      <c r="AJ88" s="240"/>
      <c r="AO88" s="240"/>
      <c r="AT88" s="240"/>
      <c r="AU88" s="374"/>
      <c r="AY88" s="240"/>
      <c r="BD88" s="240"/>
      <c r="BI88" s="240"/>
      <c r="BN88" s="240"/>
      <c r="BS88" s="240"/>
      <c r="BX88" s="240"/>
      <c r="CC88" s="240"/>
      <c r="CH88" s="240"/>
      <c r="CM88" s="240"/>
    </row>
    <row r="89" spans="1:91" ht="12.75" customHeight="1">
      <c r="F89" s="240"/>
      <c r="K89" s="240"/>
      <c r="P89" s="240"/>
      <c r="U89" s="240"/>
      <c r="Z89" s="240"/>
      <c r="AE89" s="240"/>
      <c r="AJ89" s="240"/>
      <c r="AO89" s="240"/>
      <c r="AT89" s="240"/>
      <c r="AU89" s="374"/>
      <c r="AY89" s="240"/>
      <c r="BD89" s="240"/>
      <c r="BI89" s="240"/>
      <c r="BN89" s="240"/>
      <c r="BS89" s="240"/>
      <c r="BX89" s="240"/>
      <c r="CC89" s="240"/>
      <c r="CH89" s="240"/>
      <c r="CM89" s="240"/>
    </row>
    <row r="90" spans="1:91" ht="12.75" customHeight="1">
      <c r="A90" s="18" t="s">
        <v>159</v>
      </c>
      <c r="B90" s="44"/>
      <c r="C90" s="44"/>
      <c r="D90" s="44"/>
      <c r="E90" s="44"/>
      <c r="F90" s="240"/>
      <c r="G90" s="44"/>
      <c r="H90" s="44"/>
      <c r="I90" s="44">
        <f>I46</f>
        <v>255.18699999999998</v>
      </c>
      <c r="J90" s="44">
        <f>J46</f>
        <v>483.15199999999999</v>
      </c>
      <c r="K90" s="240"/>
      <c r="L90" s="44">
        <f>L46</f>
        <v>468.13400000000001</v>
      </c>
      <c r="M90" s="44">
        <f>M46</f>
        <v>815.47400000000016</v>
      </c>
      <c r="N90" s="44">
        <f>N46</f>
        <v>815.39600000000007</v>
      </c>
      <c r="O90" s="44">
        <f>O46</f>
        <v>798.39299999999992</v>
      </c>
      <c r="P90" s="240"/>
      <c r="Q90" s="44">
        <f>Q46</f>
        <v>785.11299999999994</v>
      </c>
      <c r="R90" s="44">
        <f>R46</f>
        <v>1114.5890000000002</v>
      </c>
      <c r="S90" s="44">
        <f>S46</f>
        <v>1092.2040000000002</v>
      </c>
      <c r="T90" s="44">
        <f>T46</f>
        <v>1298.4949999999997</v>
      </c>
      <c r="U90" s="240"/>
      <c r="V90" s="44">
        <f>V46</f>
        <v>847.04599999999994</v>
      </c>
      <c r="W90" s="44">
        <f>W46</f>
        <v>788.06500000000005</v>
      </c>
      <c r="X90" s="44">
        <f>X46</f>
        <v>709.42</v>
      </c>
      <c r="Y90" s="44">
        <f>Y46</f>
        <v>645.005</v>
      </c>
      <c r="Z90" s="240"/>
      <c r="AA90" s="44">
        <f>AA46</f>
        <v>533.03999999999985</v>
      </c>
      <c r="AB90" s="44">
        <f>AB46</f>
        <v>319.08700000000016</v>
      </c>
      <c r="AC90" s="44">
        <f>AC46</f>
        <v>166.74499999999998</v>
      </c>
      <c r="AD90" s="44">
        <f>AD46</f>
        <v>60.18</v>
      </c>
      <c r="AE90" s="240"/>
      <c r="AF90" s="44">
        <f>AF46</f>
        <v>-44.550999999999839</v>
      </c>
      <c r="AG90" s="44">
        <f>AG46</f>
        <v>292.72600000000017</v>
      </c>
      <c r="AH90" s="44">
        <f>AH46</f>
        <v>228.29900000000026</v>
      </c>
      <c r="AI90" s="44">
        <f>AI46</f>
        <v>158.68399999999991</v>
      </c>
      <c r="AJ90" s="240"/>
      <c r="AK90" s="44">
        <f>AK46</f>
        <v>68.284999999999826</v>
      </c>
      <c r="AL90" s="44">
        <f>AL46</f>
        <v>-1.6129999999995013</v>
      </c>
      <c r="AM90" s="44">
        <f>AM46</f>
        <v>-60.095999999999442</v>
      </c>
      <c r="AN90" s="44">
        <f>AN46</f>
        <v>-139.64699999999991</v>
      </c>
      <c r="AO90" s="240"/>
      <c r="AP90" s="44">
        <f>AP46</f>
        <v>-250.78899999999962</v>
      </c>
      <c r="AQ90" s="44">
        <f>AQ46</f>
        <v>-305.47499999999974</v>
      </c>
      <c r="AR90" s="44">
        <f>AR46</f>
        <v>-354.47299999999996</v>
      </c>
      <c r="AS90" s="44">
        <f>AS46</f>
        <v>-99.306999999999931</v>
      </c>
      <c r="AT90" s="240"/>
      <c r="AU90" s="377">
        <f>AU46</f>
        <v>-137.40184997918109</v>
      </c>
      <c r="AV90" s="44">
        <f>AV46</f>
        <v>-173.08844504281447</v>
      </c>
      <c r="AW90" s="44">
        <f>AW46</f>
        <v>-205.86243995477403</v>
      </c>
      <c r="AX90" s="44">
        <f>AX46</f>
        <v>-259.63047563411703</v>
      </c>
      <c r="AY90" s="240"/>
      <c r="AZ90" s="44">
        <f>AZ46</f>
        <v>-244.98936313187974</v>
      </c>
      <c r="BA90" s="44">
        <f>BA46</f>
        <v>-226.06448883089493</v>
      </c>
      <c r="BB90" s="44">
        <f>BB46</f>
        <v>-210.43573297289927</v>
      </c>
      <c r="BC90" s="44">
        <f>BC46</f>
        <v>-215.16953925160274</v>
      </c>
      <c r="BD90" s="240"/>
      <c r="BE90" s="44">
        <f>BE46</f>
        <v>-138.80759969624992</v>
      </c>
      <c r="BF90" s="44">
        <f>BF46</f>
        <v>-56.368615335774081</v>
      </c>
      <c r="BG90" s="44">
        <f>BG46</f>
        <v>25.558851054250542</v>
      </c>
      <c r="BH90" s="44">
        <f>BH46</f>
        <v>85.183489589696222</v>
      </c>
      <c r="BI90" s="240"/>
      <c r="BJ90" s="44">
        <f>BJ46</f>
        <v>226.29804625709207</v>
      </c>
      <c r="BK90" s="44">
        <f>BK46</f>
        <v>367.28452914315528</v>
      </c>
      <c r="BL90" s="44">
        <f>BL46</f>
        <v>509.19614784858084</v>
      </c>
      <c r="BM90" s="44">
        <f>BM46</f>
        <v>621.45319036025046</v>
      </c>
      <c r="BN90" s="240"/>
      <c r="BS90" s="240"/>
      <c r="BX90" s="240"/>
      <c r="CC90" s="240"/>
      <c r="CH90" s="240"/>
      <c r="CM90" s="240"/>
    </row>
    <row r="91" spans="1:91" ht="12.75" customHeight="1">
      <c r="A91" s="18" t="s">
        <v>136</v>
      </c>
      <c r="B91" s="28"/>
      <c r="C91" s="28"/>
      <c r="D91" s="28"/>
      <c r="E91" s="28"/>
      <c r="F91" s="240"/>
      <c r="G91" s="28"/>
      <c r="H91" s="28"/>
      <c r="I91" s="28">
        <f>I46/I59</f>
        <v>20.281910666030836</v>
      </c>
      <c r="J91" s="28">
        <f>J46/J59</f>
        <v>5.7433995459030225</v>
      </c>
      <c r="K91" s="240"/>
      <c r="L91" s="28">
        <f>L46/L59</f>
        <v>5.4475359283179143</v>
      </c>
      <c r="M91" s="28">
        <f>M46/M59</f>
        <v>9.1589244799856253</v>
      </c>
      <c r="N91" s="28">
        <f>N46/N59</f>
        <v>8.7392259627235997</v>
      </c>
      <c r="O91" s="28">
        <f>O46/O59</f>
        <v>8.4832543511061065</v>
      </c>
      <c r="P91" s="240"/>
      <c r="Q91" s="28">
        <f>Q46/Q59</f>
        <v>8.3184611472526537</v>
      </c>
      <c r="R91" s="28">
        <f>R46/R59</f>
        <v>11.608971888637763</v>
      </c>
      <c r="S91" s="28">
        <f>S46/S59</f>
        <v>10.970970528557368</v>
      </c>
      <c r="T91" s="28">
        <f>T46/T59</f>
        <v>12.975996562371957</v>
      </c>
      <c r="U91" s="240"/>
      <c r="V91" s="28">
        <f>V46/V59</f>
        <v>8.3903323262839873</v>
      </c>
      <c r="W91" s="28">
        <f>W46/W59</f>
        <v>7.789358715850236</v>
      </c>
      <c r="X91" s="28">
        <f>X46/X59</f>
        <v>6.9948728061526317</v>
      </c>
      <c r="Y91" s="28">
        <f>Y46/Y59</f>
        <v>6.3424191470741516</v>
      </c>
      <c r="Z91" s="240"/>
      <c r="AA91" s="28">
        <f>AA46/AA59</f>
        <v>5.2334246413949508</v>
      </c>
      <c r="AB91" s="28">
        <f>AB46/AB59</f>
        <v>3.1268631120954087</v>
      </c>
      <c r="AC91" s="28">
        <f>AC46/AC59</f>
        <v>1.6301361827762513</v>
      </c>
      <c r="AD91" s="28">
        <f>AD46/AD59</f>
        <v>0.58703031721877552</v>
      </c>
      <c r="AE91" s="240"/>
      <c r="AF91" s="28">
        <f>AF46/AF59</f>
        <v>-0.43395381003866867</v>
      </c>
      <c r="AG91" s="28">
        <f>AG46/AG59</f>
        <v>2.6902985074626882</v>
      </c>
      <c r="AH91" s="28">
        <f>AH46/AH59</f>
        <v>1.9390755588774908</v>
      </c>
      <c r="AI91" s="28">
        <f>AI46/AI59</f>
        <v>1.3390150875890228</v>
      </c>
      <c r="AJ91" s="240"/>
      <c r="AK91" s="28">
        <f>AK46/AK59</f>
        <v>0.56103753122124211</v>
      </c>
      <c r="AL91" s="28">
        <f>AL46/AL59</f>
        <v>-1.3173046297577738E-2</v>
      </c>
      <c r="AM91" s="28">
        <f>AM46/AM59</f>
        <v>-0.48838286564107108</v>
      </c>
      <c r="AN91" s="28">
        <f>AN46/AN59</f>
        <v>-1.1284241317452357</v>
      </c>
      <c r="AO91" s="240"/>
      <c r="AP91" s="28">
        <f>AP46/AP59</f>
        <v>-2.0245981706775567</v>
      </c>
      <c r="AQ91" s="28">
        <f>AQ46/AQ59</f>
        <v>-2.4612453067341291</v>
      </c>
      <c r="AR91" s="28">
        <f>AR46/AR59</f>
        <v>-2.8401692212776521</v>
      </c>
      <c r="AS91" s="28">
        <f>AS46/AS59</f>
        <v>-0.77187405271380427</v>
      </c>
      <c r="AT91" s="240"/>
      <c r="AU91" s="307">
        <f>AU46/AU59</f>
        <v>-1.0638358740074567</v>
      </c>
      <c r="AV91" s="28">
        <f>AV46/AV59</f>
        <v>-1.3370342665349455</v>
      </c>
      <c r="AW91" s="28">
        <f>AW46/AW59</f>
        <v>-1.5865228076695206</v>
      </c>
      <c r="AX91" s="28">
        <f>AX46/AX59</f>
        <v>-1.9962822119079862</v>
      </c>
      <c r="AY91" s="240"/>
      <c r="AZ91" s="28">
        <f>AZ46/AZ59</f>
        <v>-1.8790101039479363</v>
      </c>
      <c r="BA91" s="28">
        <f>BA46/BA59</f>
        <v>-1.7295477358503382</v>
      </c>
      <c r="BB91" s="28">
        <f>BB46/BB59</f>
        <v>-1.6059820991479319</v>
      </c>
      <c r="BC91" s="28">
        <f>BC46/BC59</f>
        <v>-1.6380444556914586</v>
      </c>
      <c r="BD91" s="240"/>
      <c r="BE91" s="28">
        <f>BE46/BE59</f>
        <v>-1.0540804468371885</v>
      </c>
      <c r="BF91" s="28">
        <f>BF46/BF59</f>
        <v>-0.42698852044428637</v>
      </c>
      <c r="BG91" s="28">
        <f>BG46/BG59</f>
        <v>0.19312618720293748</v>
      </c>
      <c r="BH91" s="28">
        <f>BH46/BH59</f>
        <v>0.64206492783529345</v>
      </c>
      <c r="BI91" s="240"/>
      <c r="BJ91" s="28">
        <f>BJ46/BJ59</f>
        <v>1.7014529480855243</v>
      </c>
      <c r="BK91" s="28">
        <f>BK46/BK59</f>
        <v>2.7546098362253959</v>
      </c>
      <c r="BL91" s="28">
        <f>BL46/BL59</f>
        <v>3.8094613801548176</v>
      </c>
      <c r="BM91" s="28">
        <f>BM46/BM59</f>
        <v>4.6377845403312543</v>
      </c>
      <c r="BN91" s="240"/>
      <c r="BS91" s="240"/>
      <c r="BX91" s="240"/>
      <c r="CC91" s="240"/>
      <c r="CH91" s="240"/>
      <c r="CM91" s="240"/>
    </row>
    <row r="92" spans="1:91" ht="12.75" customHeight="1">
      <c r="B92" s="28"/>
      <c r="C92" s="28"/>
      <c r="D92" s="28"/>
      <c r="E92" s="28"/>
      <c r="F92" s="240"/>
      <c r="G92" s="28"/>
      <c r="H92" s="28"/>
      <c r="I92" s="28"/>
      <c r="J92" s="28"/>
      <c r="K92" s="240"/>
      <c r="L92" s="28"/>
      <c r="M92" s="28"/>
      <c r="N92" s="28"/>
      <c r="O92" s="28"/>
      <c r="P92" s="240"/>
      <c r="Q92" s="28"/>
      <c r="R92" s="28"/>
      <c r="S92" s="28"/>
      <c r="T92" s="28"/>
      <c r="U92" s="240"/>
      <c r="V92" s="28"/>
      <c r="W92" s="28"/>
      <c r="X92" s="28"/>
      <c r="Y92" s="28"/>
      <c r="Z92" s="240"/>
      <c r="AA92" s="28"/>
      <c r="AB92" s="28"/>
      <c r="AC92" s="28"/>
      <c r="AD92" s="28"/>
      <c r="AE92" s="240"/>
      <c r="AF92" s="28"/>
      <c r="AG92" s="28"/>
      <c r="AI92" s="28"/>
      <c r="AJ92" s="240"/>
      <c r="AK92" s="28"/>
      <c r="AL92" s="28"/>
      <c r="AN92" s="28"/>
      <c r="AO92" s="240"/>
      <c r="AP92" s="28"/>
      <c r="AQ92" s="28"/>
      <c r="AS92" s="28"/>
      <c r="AT92" s="240"/>
      <c r="AU92" s="307"/>
      <c r="AV92" s="28"/>
      <c r="AX92" s="28"/>
      <c r="AY92" s="240"/>
      <c r="AZ92" s="28"/>
      <c r="BA92" s="28"/>
      <c r="BC92" s="28"/>
      <c r="BD92" s="240"/>
      <c r="BE92" s="28"/>
      <c r="BF92" s="28"/>
      <c r="BH92" s="28"/>
      <c r="BI92" s="240"/>
      <c r="BJ92" s="28"/>
      <c r="BK92" s="28"/>
      <c r="BM92" s="28"/>
      <c r="BN92" s="240"/>
      <c r="BS92" s="240"/>
      <c r="BX92" s="240"/>
      <c r="CC92" s="240"/>
      <c r="CH92" s="240"/>
      <c r="CM92" s="240"/>
    </row>
    <row r="93" spans="1:91" ht="12.75" customHeight="1">
      <c r="A93" s="18" t="s">
        <v>43</v>
      </c>
      <c r="B93" s="44"/>
      <c r="C93" s="44"/>
      <c r="D93" s="44"/>
      <c r="E93" s="44"/>
      <c r="F93" s="240"/>
      <c r="G93" s="44">
        <f>G32</f>
        <v>0</v>
      </c>
      <c r="H93" s="44">
        <f>H32</f>
        <v>0</v>
      </c>
      <c r="I93" s="44">
        <f>I32</f>
        <v>7.76</v>
      </c>
      <c r="J93" s="44">
        <f>J32</f>
        <v>7.9630000000000001</v>
      </c>
      <c r="K93" s="240"/>
      <c r="L93" s="44">
        <f>L32</f>
        <v>9.0749999999999993</v>
      </c>
      <c r="M93" s="44">
        <f>M32</f>
        <v>10.992000000000001</v>
      </c>
      <c r="N93" s="44">
        <f>N32</f>
        <v>10.621</v>
      </c>
      <c r="O93" s="44">
        <f>O32</f>
        <v>33.256</v>
      </c>
      <c r="P93" s="240"/>
      <c r="Q93" s="44">
        <f>Q32</f>
        <v>33.773000000000003</v>
      </c>
      <c r="R93" s="44">
        <f>R32</f>
        <v>41.116999999999997</v>
      </c>
      <c r="S93" s="44">
        <f>S32</f>
        <v>39.682000000000002</v>
      </c>
      <c r="T93" s="44">
        <f>T32</f>
        <v>847.85699999999997</v>
      </c>
      <c r="U93" s="240"/>
      <c r="V93" s="44">
        <f>V32</f>
        <v>1343.1429999999998</v>
      </c>
      <c r="W93" s="44">
        <f>W32</f>
        <v>1345.3219999999999</v>
      </c>
      <c r="X93" s="44">
        <f>X32</f>
        <v>1350.9860000000001</v>
      </c>
      <c r="Y93" s="44">
        <f>Y32</f>
        <v>1360.8739999999998</v>
      </c>
      <c r="Z93" s="240"/>
      <c r="AA93" s="44">
        <f>AA32</f>
        <v>1360.84</v>
      </c>
      <c r="AB93" s="44">
        <f>AB32</f>
        <v>1357.6079999999999</v>
      </c>
      <c r="AC93" s="44">
        <f>AC32</f>
        <v>1352.922</v>
      </c>
      <c r="AD93" s="44">
        <f>AD32</f>
        <v>1347.4059999999999</v>
      </c>
      <c r="AE93" s="240"/>
      <c r="AF93" s="44">
        <f>AF32</f>
        <v>1342.8910000000001</v>
      </c>
      <c r="AG93" s="44">
        <f>AG32</f>
        <v>1336.9080000000001</v>
      </c>
      <c r="AI93" s="44">
        <f>AI32</f>
        <v>1325.8139999999999</v>
      </c>
      <c r="AJ93" s="240"/>
      <c r="AK93" s="44">
        <f>AK32</f>
        <v>1319.518</v>
      </c>
      <c r="AL93" s="44">
        <f>AL32</f>
        <v>1313.45</v>
      </c>
      <c r="AM93" s="44">
        <f>AM32</f>
        <v>1312.0320000000002</v>
      </c>
      <c r="AN93" s="44">
        <f>AN32</f>
        <v>1306.8389999999999</v>
      </c>
      <c r="AO93" s="240"/>
      <c r="AP93" s="44">
        <f>AP32</f>
        <v>1116.3389999999999</v>
      </c>
      <c r="AQ93" s="44">
        <f>AQ32</f>
        <v>1115.5260000000001</v>
      </c>
      <c r="AR93" s="44">
        <f>AR32</f>
        <v>1114.5940000000001</v>
      </c>
      <c r="AS93" s="44">
        <f>AS32</f>
        <v>1504</v>
      </c>
      <c r="AT93" s="240"/>
      <c r="AU93" s="377">
        <f>AU32</f>
        <v>1504</v>
      </c>
      <c r="AV93" s="44">
        <f>AV32</f>
        <v>1504</v>
      </c>
      <c r="AW93" s="44">
        <f>AW32</f>
        <v>1504</v>
      </c>
      <c r="AX93" s="44">
        <f>AX32</f>
        <v>1504</v>
      </c>
      <c r="AY93" s="240"/>
      <c r="AZ93" s="44">
        <f>AZ32</f>
        <v>1504</v>
      </c>
      <c r="BA93" s="44">
        <f>BA32</f>
        <v>1504</v>
      </c>
      <c r="BB93" s="44">
        <f>BB32</f>
        <v>1504</v>
      </c>
      <c r="BC93" s="44">
        <f>BC32</f>
        <v>1015.4159999999999</v>
      </c>
      <c r="BD93" s="240"/>
      <c r="BE93" s="44">
        <f>BE32</f>
        <v>1015.4159999999999</v>
      </c>
      <c r="BF93" s="44">
        <f>BF32</f>
        <v>1015.4159999999999</v>
      </c>
      <c r="BG93" s="44">
        <f>BG32</f>
        <v>1015.4159999999999</v>
      </c>
      <c r="BH93" s="44">
        <f>BH32</f>
        <v>1015.4159999999999</v>
      </c>
      <c r="BI93" s="240"/>
      <c r="BJ93" s="44">
        <f>BJ32</f>
        <v>1015.4159999999999</v>
      </c>
      <c r="BK93" s="44">
        <f>BK32</f>
        <v>1015.4159999999999</v>
      </c>
      <c r="BL93" s="44">
        <f>BL32</f>
        <v>1015.4159999999999</v>
      </c>
      <c r="BM93" s="44">
        <f>BM32</f>
        <v>1015.4159999999999</v>
      </c>
      <c r="BN93" s="240"/>
      <c r="BS93" s="240"/>
      <c r="BX93" s="240"/>
      <c r="CC93" s="240"/>
      <c r="CH93" s="240"/>
      <c r="CM93" s="240"/>
    </row>
    <row r="94" spans="1:91" ht="12.75" customHeight="1">
      <c r="A94" s="18" t="s">
        <v>116</v>
      </c>
      <c r="B94" s="44"/>
      <c r="C94" s="44"/>
      <c r="D94" s="44"/>
      <c r="E94" s="44"/>
      <c r="F94" s="240"/>
      <c r="G94" s="44"/>
      <c r="H94" s="44"/>
      <c r="I94" s="44">
        <f>I9</f>
        <v>271.34199999999998</v>
      </c>
      <c r="J94" s="44">
        <f>J9</f>
        <v>418.96100000000001</v>
      </c>
      <c r="K94" s="240"/>
      <c r="L94" s="44">
        <f>L9</f>
        <v>466.85900000000004</v>
      </c>
      <c r="M94" s="44">
        <f>M9</f>
        <v>545.62699999999995</v>
      </c>
      <c r="N94" s="44">
        <f>N9</f>
        <v>522.9559999999999</v>
      </c>
      <c r="O94" s="44">
        <f>O9</f>
        <v>522.80200000000002</v>
      </c>
      <c r="P94" s="240"/>
      <c r="Q94" s="44">
        <f>Q9</f>
        <v>520.09199999999998</v>
      </c>
      <c r="R94" s="44">
        <f>R9</f>
        <v>937.8309999999999</v>
      </c>
      <c r="S94" s="44">
        <f>S9</f>
        <v>1013.404</v>
      </c>
      <c r="T94" s="44">
        <f>T9</f>
        <v>1794.88</v>
      </c>
      <c r="U94" s="240"/>
      <c r="V94" s="44">
        <f>V9</f>
        <v>1940.4499999999998</v>
      </c>
      <c r="W94" s="44">
        <f>W9</f>
        <v>1791.662</v>
      </c>
      <c r="X94" s="44">
        <f>X9</f>
        <v>1485.971</v>
      </c>
      <c r="Y94" s="44">
        <f>Y9</f>
        <v>932.74800000000005</v>
      </c>
      <c r="Z94" s="240"/>
      <c r="AA94" s="44">
        <f>AA9</f>
        <v>962.26600000000008</v>
      </c>
      <c r="AB94" s="44">
        <f>AB9</f>
        <v>853.68999999999994</v>
      </c>
      <c r="AC94" s="44">
        <f>AC9</f>
        <v>958.03700000000003</v>
      </c>
      <c r="AD94" s="44">
        <f>AD9</f>
        <v>1011.231</v>
      </c>
      <c r="AE94" s="240"/>
      <c r="AF94" s="44">
        <f>AF9</f>
        <v>937.02</v>
      </c>
      <c r="AG94" s="44">
        <f>AG9</f>
        <v>1224.8489999999999</v>
      </c>
      <c r="AH94" s="44">
        <f>AH9</f>
        <v>1154.8209999999999</v>
      </c>
      <c r="AI94" s="44">
        <f>AI9</f>
        <v>1168.634</v>
      </c>
      <c r="AJ94" s="240"/>
      <c r="AK94" s="44">
        <f>AK9</f>
        <v>1129.2570000000001</v>
      </c>
      <c r="AL94" s="44">
        <f>AL9</f>
        <v>1035.239</v>
      </c>
      <c r="AM94" s="44">
        <f>AM9</f>
        <v>999.06900000000007</v>
      </c>
      <c r="AN94" s="44">
        <f>AN9</f>
        <v>839.97799999999995</v>
      </c>
      <c r="AO94" s="240"/>
      <c r="AP94" s="44">
        <f>AP9</f>
        <v>698.572</v>
      </c>
      <c r="AQ94" s="44">
        <f>AQ9</f>
        <v>629.14300000000003</v>
      </c>
      <c r="AR94" s="44">
        <f>AR9</f>
        <v>580.01300000000003</v>
      </c>
      <c r="AS94" s="44">
        <f>AS9</f>
        <v>1201.598</v>
      </c>
      <c r="AT94" s="240"/>
      <c r="AU94" s="377">
        <f>AU9</f>
        <v>1131.9718355948457</v>
      </c>
      <c r="AV94" s="44">
        <f>AV9</f>
        <v>1066.5279169372284</v>
      </c>
      <c r="AW94" s="44">
        <f>AW9</f>
        <v>1036.9216378731353</v>
      </c>
      <c r="AX94" s="44">
        <f>AX9</f>
        <v>1029.4270811277647</v>
      </c>
      <c r="AY94" s="240"/>
      <c r="AZ94" s="44">
        <f>AZ9</f>
        <v>994.77603263000208</v>
      </c>
      <c r="BA94" s="44">
        <f>BA9</f>
        <v>958.17529524437271</v>
      </c>
      <c r="BB94" s="44">
        <f>BB9</f>
        <v>965.90735344557515</v>
      </c>
      <c r="BC94" s="44">
        <f>BC9</f>
        <v>523.87214057700021</v>
      </c>
      <c r="BD94" s="240"/>
      <c r="BE94" s="44">
        <f>BE9</f>
        <v>539.49183219803388</v>
      </c>
      <c r="BF94" s="44">
        <f>BF9</f>
        <v>543.51612376919013</v>
      </c>
      <c r="BG94" s="44">
        <f>BG9</f>
        <v>610.43301322440311</v>
      </c>
      <c r="BH94" s="44">
        <f>BH9</f>
        <v>732.48672400405576</v>
      </c>
      <c r="BI94" s="240"/>
      <c r="BJ94" s="44">
        <f>BJ9</f>
        <v>826.70254747235151</v>
      </c>
      <c r="BK94" s="44">
        <f>BK9</f>
        <v>870.02400739371819</v>
      </c>
      <c r="BL94" s="44">
        <f>BL9</f>
        <v>995.48254439000027</v>
      </c>
      <c r="BM94" s="44">
        <f>BM9</f>
        <v>1184.8022170471882</v>
      </c>
      <c r="BN94" s="240"/>
      <c r="BS94" s="240"/>
      <c r="BX94" s="240"/>
      <c r="CC94" s="240"/>
      <c r="CH94" s="240"/>
      <c r="CM94" s="240"/>
    </row>
    <row r="95" spans="1:91" ht="12.75" customHeight="1">
      <c r="B95" s="28"/>
      <c r="C95" s="28"/>
      <c r="D95" s="28"/>
      <c r="E95" s="28"/>
      <c r="F95" s="240"/>
      <c r="G95" s="28"/>
      <c r="H95" s="28"/>
      <c r="I95" s="28"/>
      <c r="J95" s="28"/>
      <c r="K95" s="240"/>
      <c r="L95" s="28"/>
      <c r="M95" s="28"/>
      <c r="N95" s="28"/>
      <c r="O95" s="28"/>
      <c r="P95" s="240"/>
      <c r="Q95" s="28"/>
      <c r="R95" s="28"/>
      <c r="S95" s="28"/>
      <c r="T95" s="28"/>
      <c r="U95" s="240"/>
      <c r="V95" s="28"/>
      <c r="W95" s="28"/>
      <c r="X95" s="28"/>
      <c r="Y95" s="28"/>
      <c r="Z95" s="240"/>
      <c r="AA95" s="28"/>
      <c r="AB95" s="28"/>
      <c r="AC95" s="28"/>
      <c r="AD95" s="28"/>
      <c r="AE95" s="240"/>
      <c r="AF95" s="28"/>
      <c r="AG95" s="28"/>
      <c r="AI95" s="28"/>
      <c r="AJ95" s="240"/>
      <c r="AK95" s="28"/>
      <c r="AL95" s="28"/>
      <c r="AN95" s="28"/>
      <c r="AO95" s="240"/>
      <c r="AP95" s="28"/>
      <c r="AQ95" s="28"/>
      <c r="AS95" s="28"/>
      <c r="AT95" s="240"/>
      <c r="AU95" s="307"/>
      <c r="AV95" s="28"/>
      <c r="AX95" s="28"/>
      <c r="AY95" s="240"/>
      <c r="AZ95" s="28"/>
      <c r="BA95" s="28"/>
      <c r="BC95" s="28"/>
      <c r="BD95" s="240"/>
      <c r="BE95" s="28"/>
      <c r="BF95" s="28"/>
      <c r="BH95" s="28"/>
      <c r="BI95" s="240"/>
      <c r="BJ95" s="28"/>
      <c r="BK95" s="28"/>
      <c r="BM95" s="28"/>
      <c r="BN95" s="240"/>
      <c r="BS95" s="240"/>
      <c r="BX95" s="240"/>
      <c r="CC95" s="240"/>
      <c r="CH95" s="240"/>
      <c r="CM95" s="240"/>
    </row>
    <row r="96" spans="1:91" ht="12.75" customHeight="1">
      <c r="A96" s="18" t="s">
        <v>160</v>
      </c>
      <c r="B96" s="44"/>
      <c r="C96" s="44"/>
      <c r="D96" s="44"/>
      <c r="E96" s="44"/>
      <c r="F96" s="240"/>
      <c r="G96" s="44"/>
      <c r="H96" s="44"/>
      <c r="I96" s="44">
        <f>(I32+I29-I9)</f>
        <v>-263.47999999999996</v>
      </c>
      <c r="J96" s="44">
        <f>(J32+J29-J9)</f>
        <v>-410.90100000000001</v>
      </c>
      <c r="K96" s="240"/>
      <c r="L96" s="44">
        <f>(L32+L29-L9)</f>
        <v>-457.68800000000005</v>
      </c>
      <c r="M96" s="44">
        <f>(M32+M29-M9)</f>
        <v>-534.56099999999992</v>
      </c>
      <c r="N96" s="44">
        <f>(N32+N29-N9)</f>
        <v>-512.25499999999988</v>
      </c>
      <c r="O96" s="44">
        <f>(O32+O29-O9)</f>
        <v>-489.54600000000005</v>
      </c>
      <c r="P96" s="240"/>
      <c r="Q96" s="44">
        <f>(Q32+Q29-Q9)</f>
        <v>-486.31899999999996</v>
      </c>
      <c r="R96" s="44">
        <f>(R32+R29-R9)</f>
        <v>-896.71399999999994</v>
      </c>
      <c r="S96" s="44">
        <f>(S32+S29-S9)</f>
        <v>-973.72199999999998</v>
      </c>
      <c r="T96" s="44">
        <f>(T32+T29-T9)</f>
        <v>-947.02300000000014</v>
      </c>
      <c r="U96" s="240"/>
      <c r="V96" s="44">
        <f>(V32+V29-V9)</f>
        <v>-597.30700000000002</v>
      </c>
      <c r="W96" s="44">
        <f>(W32+W29-W9)</f>
        <v>-446.34000000000015</v>
      </c>
      <c r="X96" s="44">
        <f>(X32+X29-X9)</f>
        <v>-134.9849999999999</v>
      </c>
      <c r="Y96" s="44">
        <f>(Y32+Y29-Y9)</f>
        <v>428.12599999999975</v>
      </c>
      <c r="Z96" s="240"/>
      <c r="AA96" s="44">
        <f>(AA32+AA29-AA9)</f>
        <v>398.57399999999984</v>
      </c>
      <c r="AB96" s="44">
        <f>(AB32+AB29-AB9)</f>
        <v>503.91800000000001</v>
      </c>
      <c r="AC96" s="44">
        <f>(AC32+AC29-AC9)</f>
        <v>394.88499999999999</v>
      </c>
      <c r="AD96" s="44">
        <f>(AD32+AD29-AD9)</f>
        <v>336.17499999999995</v>
      </c>
      <c r="AE96" s="240"/>
      <c r="AF96" s="44">
        <f>(AF32+AF29-AF9)</f>
        <v>405.87100000000009</v>
      </c>
      <c r="AG96" s="44">
        <f>(AG32+AG29-AG9)</f>
        <v>112.0590000000002</v>
      </c>
      <c r="AH96" s="44">
        <f>(AH32+AH29-AH9)</f>
        <v>177.17799999999988</v>
      </c>
      <c r="AI96" s="44">
        <f>(AI32+AI29-AI9)</f>
        <v>157.17999999999984</v>
      </c>
      <c r="AJ96" s="240"/>
      <c r="AK96" s="44">
        <f>(AK32+AK29-AK9)</f>
        <v>190.26099999999997</v>
      </c>
      <c r="AL96" s="44">
        <f>(AL32+AL29-AL9)</f>
        <v>278.21100000000001</v>
      </c>
      <c r="AM96" s="44">
        <f>(AM32+AM29-AM9)</f>
        <v>312.96300000000008</v>
      </c>
      <c r="AN96" s="44">
        <f>(AN32+AN29-AN9)</f>
        <v>466.86099999999999</v>
      </c>
      <c r="AO96" s="240"/>
      <c r="AP96" s="44">
        <f>(AP32+AP29-AP9)</f>
        <v>417.76699999999994</v>
      </c>
      <c r="AQ96" s="44">
        <f>(AQ32+AQ29-AQ9)</f>
        <v>486.38300000000004</v>
      </c>
      <c r="AR96" s="44">
        <f>(AR32+AR29-AR9)</f>
        <v>534.58100000000002</v>
      </c>
      <c r="AS96" s="44">
        <f>(AS32+AS29-AS9)</f>
        <v>302.40200000000004</v>
      </c>
      <c r="AT96" s="240"/>
      <c r="AU96" s="377">
        <f>(AU32+AU29-AU9)</f>
        <v>372.02816440515426</v>
      </c>
      <c r="AV96" s="44">
        <f>(AV32+AV29-AV9)</f>
        <v>437.47208306277162</v>
      </c>
      <c r="AW96" s="44">
        <f>(AW32+AW29-AW9)</f>
        <v>467.0783621268647</v>
      </c>
      <c r="AX96" s="44">
        <f>(AX32+AX29-AX9)</f>
        <v>474.57291887223528</v>
      </c>
      <c r="AY96" s="240"/>
      <c r="AZ96" s="44">
        <f>(AZ32+AZ29-AZ9)</f>
        <v>509.22396736999792</v>
      </c>
      <c r="BA96" s="44">
        <f>(BA32+BA29-BA9)</f>
        <v>545.82470475562729</v>
      </c>
      <c r="BB96" s="44">
        <f>(BB32+BB29-BB9)</f>
        <v>538.09264655442485</v>
      </c>
      <c r="BC96" s="44">
        <f>(BC32+BC29-BC9)</f>
        <v>491.54385942299973</v>
      </c>
      <c r="BD96" s="240"/>
      <c r="BE96" s="44">
        <f>(BE32+BE29-BE9)</f>
        <v>475.92416780196606</v>
      </c>
      <c r="BF96" s="44">
        <f>(BF32+BF29-BF9)</f>
        <v>471.89987623080981</v>
      </c>
      <c r="BG96" s="44">
        <f>(BG32+BG29-BG9)</f>
        <v>404.98298677559683</v>
      </c>
      <c r="BH96" s="44">
        <f>(BH32+BH29-BH9)</f>
        <v>282.92927599594418</v>
      </c>
      <c r="BI96" s="240"/>
      <c r="BJ96" s="44">
        <f>(BJ32+BJ29-BJ9)</f>
        <v>188.71345252764843</v>
      </c>
      <c r="BK96" s="44">
        <f>(BK32+BK29-BK9)</f>
        <v>145.39199260628175</v>
      </c>
      <c r="BL96" s="44">
        <f>(BL32+BL29-BL9)</f>
        <v>19.933455609999669</v>
      </c>
      <c r="BM96" s="44">
        <f>(BM32+BM29-BM9)</f>
        <v>-169.38621704718821</v>
      </c>
      <c r="BN96" s="240"/>
      <c r="BS96" s="240"/>
      <c r="BX96" s="240"/>
      <c r="CC96" s="240"/>
      <c r="CH96" s="240"/>
      <c r="CM96" s="240"/>
    </row>
    <row r="97" spans="1:91" ht="12.75" customHeight="1">
      <c r="A97" s="18" t="s">
        <v>72</v>
      </c>
      <c r="B97" s="28"/>
      <c r="C97" s="28"/>
      <c r="D97" s="28"/>
      <c r="E97" s="28"/>
      <c r="F97" s="240"/>
      <c r="G97" s="28"/>
      <c r="H97" s="28"/>
      <c r="I97" s="28">
        <f>(I9-I29-I32)/I59</f>
        <v>20.941026863773644</v>
      </c>
      <c r="J97" s="28">
        <f>(J9-J29-J32)/J59</f>
        <v>4.884526229449734</v>
      </c>
      <c r="K97" s="240"/>
      <c r="L97" s="28">
        <f>(L9-L29-L32)/L59</f>
        <v>5.3259789375690936</v>
      </c>
      <c r="M97" s="28">
        <f>(M9-M29-M32)/M59</f>
        <v>6.0038748371445259</v>
      </c>
      <c r="N97" s="28">
        <f>(N9-N29-N32)/N59</f>
        <v>5.4902307535663368</v>
      </c>
      <c r="O97" s="28">
        <f>(O9-O29-O32)/O59</f>
        <v>5.2016278130777582</v>
      </c>
      <c r="P97" s="240"/>
      <c r="Q97" s="28">
        <f>(Q9-Q29-Q32)/Q59</f>
        <v>5.1526668220635283</v>
      </c>
      <c r="R97" s="28">
        <f>(R9-R29-R32)/R59</f>
        <v>9.3397006592994547</v>
      </c>
      <c r="S97" s="28">
        <f>(S9-S29-S32)/S59</f>
        <v>9.7808425578078229</v>
      </c>
      <c r="T97" s="28">
        <f>(T9-T29-T32)/T59</f>
        <v>9.4637000469675918</v>
      </c>
      <c r="U97" s="240"/>
      <c r="V97" s="28">
        <f>(V9-V29-V32)/V59</f>
        <v>5.9165667871824086</v>
      </c>
      <c r="W97" s="28">
        <f>(W9-W29-W32)/W59</f>
        <v>4.4116949353576107</v>
      </c>
      <c r="X97" s="28">
        <f>(X9-X29-X32)/X59</f>
        <v>1.3309505028593955</v>
      </c>
      <c r="Y97" s="28">
        <f>(Y9-Y29-Y32)/Y59</f>
        <v>-4.2098193653696736</v>
      </c>
      <c r="Z97" s="240"/>
      <c r="AA97" s="28">
        <f>(AA9-AA29-AA32)/AA59</f>
        <v>-3.9132278872492696</v>
      </c>
      <c r="AB97" s="28">
        <f>(AB9-AB29-AB32)/AB59</f>
        <v>-4.9380971513126308</v>
      </c>
      <c r="AC97" s="28">
        <f>(AC9-AC29-AC32)/AC59</f>
        <v>-3.8604835319535824</v>
      </c>
      <c r="AD97" s="28">
        <f>(AD9-AD29-AD32)/AD59</f>
        <v>-3.2792442155370862</v>
      </c>
      <c r="AE97" s="240"/>
      <c r="AF97" s="28">
        <f>(AF9-AF29-AF32)/AF59</f>
        <v>-3.9534301549730682</v>
      </c>
      <c r="AG97" s="28">
        <f>(AG9-AG29-AG32)/AG59</f>
        <v>-1.0298783177707538</v>
      </c>
      <c r="AH97" s="28">
        <f>(AH9-AH29-AH32)/AH59</f>
        <v>-1.5048753142624165</v>
      </c>
      <c r="AI97" s="28">
        <f>(AI9-AI29-AI32)/AI59</f>
        <v>-1.3263239612515598</v>
      </c>
      <c r="AJ97" s="240"/>
      <c r="AK97" s="28">
        <f>(AK9-AK29-AK32)/AK59</f>
        <v>-1.5632065860391742</v>
      </c>
      <c r="AL97" s="28">
        <f>(AL9-AL29-AL32)/AL59</f>
        <v>-2.27209323217392</v>
      </c>
      <c r="AM97" s="28">
        <f>(AM9-AM29-AM32)/AM59</f>
        <v>-2.5433600702147894</v>
      </c>
      <c r="AN97" s="28">
        <f>(AN9-AN29-AN32)/AN59</f>
        <v>-3.7724922022722494</v>
      </c>
      <c r="AO97" s="240"/>
      <c r="AP97" s="28">
        <f>(AP9-AP29-AP32)/AP59</f>
        <v>-3.3725972988027864</v>
      </c>
      <c r="AQ97" s="28">
        <f>(AQ9-AQ29-AQ32)/AQ59</f>
        <v>-3.9188407431877148</v>
      </c>
      <c r="AR97" s="28">
        <f>(AR9-AR29-AR32)/AR59</f>
        <v>-4.2832613555329431</v>
      </c>
      <c r="AS97" s="28">
        <f>(AS9-AS29-AS32)/AS59</f>
        <v>-2.3504511997015323</v>
      </c>
      <c r="AT97" s="240"/>
      <c r="AU97" s="307">
        <f>(AU9-AU29-AU32)/AU59</f>
        <v>-2.8804336149426994</v>
      </c>
      <c r="AV97" s="28">
        <f>(AV9-AV29-AV32)/AV59</f>
        <v>-3.3792848827237734</v>
      </c>
      <c r="AW97" s="28">
        <f>(AW9-AW29-AW32)/AW59</f>
        <v>-3.5996390339393218</v>
      </c>
      <c r="AX97" s="28">
        <f>(AX9-AX29-AX32)/AX59</f>
        <v>-3.6489609853543841</v>
      </c>
      <c r="AY97" s="240"/>
      <c r="AZ97" s="28">
        <f>(AZ9-AZ29-AZ32)/AZ59</f>
        <v>-3.9056266265144228</v>
      </c>
      <c r="BA97" s="28">
        <f>(BA9-BA29-BA32)/BA59</f>
        <v>-4.1759317757661876</v>
      </c>
      <c r="BB97" s="28">
        <f>(BB9-BB29-BB32)/BB59</f>
        <v>-4.1065609240462608</v>
      </c>
      <c r="BC97" s="28">
        <f>(BC9-BC29-BC32)/BC59</f>
        <v>-3.7420291759584132</v>
      </c>
      <c r="BD97" s="240"/>
      <c r="BE97" s="28">
        <f>(BE9-BE29-BE32)/BE59</f>
        <v>-3.6140842472248771</v>
      </c>
      <c r="BF97" s="28">
        <f>(BF9-BF29-BF32)/BF59</f>
        <v>-3.5746102463112477</v>
      </c>
      <c r="BG97" s="28">
        <f>(BG9-BG29-BG32)/BG59</f>
        <v>-3.0601070428407051</v>
      </c>
      <c r="BH97" s="28">
        <f>(BH9-BH29-BH32)/BH59</f>
        <v>-2.1325607350652742</v>
      </c>
      <c r="BI97" s="240"/>
      <c r="BJ97" s="28">
        <f>(BJ9-BJ29-BJ32)/BJ59</f>
        <v>-1.4188680170123313</v>
      </c>
      <c r="BK97" s="28">
        <f>(BK9-BK29-BK32)/BK59</f>
        <v>-1.0904303915985878</v>
      </c>
      <c r="BL97" s="28">
        <f>(BL9-BL29-BL32)/BL59</f>
        <v>-0.14912864058410957</v>
      </c>
      <c r="BM97" s="28">
        <f>(BM9-BM29-BM32)/BM59</f>
        <v>1.2640964612495633</v>
      </c>
      <c r="BN97" s="240"/>
      <c r="BS97" s="240"/>
      <c r="BX97" s="240"/>
      <c r="CC97" s="240"/>
      <c r="CH97" s="240"/>
      <c r="CM97" s="240"/>
    </row>
    <row r="98" spans="1:91" ht="12.75" customHeight="1">
      <c r="B98" s="28"/>
      <c r="C98" s="28"/>
      <c r="D98" s="28"/>
      <c r="E98" s="28"/>
      <c r="F98" s="240"/>
      <c r="G98" s="28"/>
      <c r="H98" s="28"/>
      <c r="I98" s="28"/>
      <c r="J98" s="28"/>
      <c r="K98" s="240"/>
      <c r="L98" s="28"/>
      <c r="M98" s="28"/>
      <c r="N98" s="28"/>
      <c r="O98" s="28"/>
      <c r="P98" s="240"/>
      <c r="Q98" s="28"/>
      <c r="R98" s="28"/>
      <c r="S98" s="28"/>
      <c r="T98" s="28"/>
      <c r="U98" s="240"/>
      <c r="V98" s="28"/>
      <c r="W98" s="28"/>
      <c r="X98" s="28"/>
      <c r="Y98" s="28"/>
      <c r="Z98" s="240"/>
      <c r="AA98" s="28"/>
      <c r="AB98" s="28"/>
      <c r="AC98" s="28"/>
      <c r="AD98" s="28"/>
      <c r="AE98" s="240"/>
      <c r="AF98" s="28"/>
      <c r="AG98" s="28"/>
      <c r="AI98" s="28"/>
      <c r="AJ98" s="240"/>
      <c r="AK98" s="28"/>
      <c r="AL98" s="28"/>
      <c r="AN98" s="28"/>
      <c r="AO98" s="240"/>
      <c r="AP98" s="28"/>
      <c r="AQ98" s="28"/>
      <c r="AS98" s="28"/>
      <c r="AT98" s="240"/>
      <c r="AU98" s="307"/>
      <c r="AV98" s="28"/>
      <c r="AX98" s="28"/>
      <c r="AY98" s="240"/>
      <c r="AZ98" s="28"/>
      <c r="BA98" s="28"/>
      <c r="BC98" s="28"/>
      <c r="BD98" s="240"/>
      <c r="BE98" s="28"/>
      <c r="BF98" s="28"/>
      <c r="BH98" s="28"/>
      <c r="BI98" s="240"/>
      <c r="BJ98" s="28"/>
      <c r="BK98" s="28"/>
      <c r="BM98" s="28"/>
      <c r="BN98" s="240"/>
      <c r="BS98" s="240"/>
      <c r="BX98" s="240"/>
      <c r="CC98" s="240"/>
      <c r="CH98" s="240"/>
      <c r="CM98" s="240"/>
    </row>
    <row r="99" spans="1:91" ht="12.75" customHeight="1">
      <c r="A99" s="18" t="s">
        <v>75</v>
      </c>
      <c r="B99" s="37"/>
      <c r="C99" s="37"/>
      <c r="D99" s="37"/>
      <c r="E99" s="37"/>
      <c r="F99" s="240"/>
      <c r="G99" s="37" t="e">
        <f>(G32+G29)/(IS!G42+IS!E42+IS!D42+IS!C42)</f>
        <v>#VALUE!</v>
      </c>
      <c r="H99" s="37">
        <f>(H32+H29)/(IS!H42+IS!G42+IS!E42+IS!D42)</f>
        <v>0</v>
      </c>
      <c r="I99" s="37">
        <f>(I32+I29)/(IS!I42+IS!H42+IS!G42+IS!E42)</f>
        <v>-0.11401969457456533</v>
      </c>
      <c r="J99" s="37">
        <f>(J32+J29)/(IS!J42+IS!I42+IS!H42+IS!G42)</f>
        <v>-0.1020834652650244</v>
      </c>
      <c r="K99" s="240"/>
      <c r="L99" s="37">
        <f>(L32+L29)/(IS!L42+IS!J42+IS!I42+IS!H42)</f>
        <v>-0.11307146027518865</v>
      </c>
      <c r="M99" s="37">
        <f>(M32+M29)/(IS!M42+IS!L42+IS!J42+IS!I42)</f>
        <v>-0.15685329553508154</v>
      </c>
      <c r="N99" s="37">
        <f>(N32+N29)/(IS!N42+IS!M42+IS!L42+IS!J42)</f>
        <v>-0.18069908814589666</v>
      </c>
      <c r="O99" s="37">
        <f>(O32+O29)/(IS!O42+IS!N42+IS!M42+IS!L42)</f>
        <v>-0.61577202955172483</v>
      </c>
      <c r="P99" s="240"/>
      <c r="Q99" s="37">
        <f>(Q32+Q29)/(IS!Q42+IS!O42+IS!N42+IS!M42)</f>
        <v>-0.65789422421349975</v>
      </c>
      <c r="R99" s="37">
        <f>(R32+R29)/(IS!R42+IS!Q42+IS!O42+IS!N42)</f>
        <v>-0.61289072398527278</v>
      </c>
      <c r="S99" s="37">
        <f>(S32+S29)/(IS!S42+IS!R42+IS!Q42+IS!O42)</f>
        <v>-0.54980256321440946</v>
      </c>
      <c r="T99" s="37">
        <f>(T32+T29)/(IS!T42+IS!S42+IS!R42+IS!Q42)</f>
        <v>-10.04653229533255</v>
      </c>
      <c r="U99" s="240"/>
      <c r="V99" s="37">
        <f>(V32+V29)/(IS!V42+IS!T42+IS!S42+IS!R42)</f>
        <v>-11.751957721955355</v>
      </c>
      <c r="W99" s="37">
        <f>(W32+W29)/(IS!W42+IS!V42+IS!T42+IS!S42)</f>
        <v>-9.2456909585727249</v>
      </c>
      <c r="X99" s="37">
        <f>(X32+X29)/(IS!X42+IS!W42+IS!V42+IS!T42)</f>
        <v>-6.8718895603165882</v>
      </c>
      <c r="Y99" s="37">
        <f>(Y32+Y29)/(IS!Y42+IS!X42+IS!W42+IS!V42)</f>
        <v>-5.8787593416562256</v>
      </c>
      <c r="Z99" s="240"/>
      <c r="AA99" s="37">
        <f>(AA32+AA29)/(IS!AA42+IS!Y42+IS!X42+IS!W42)</f>
        <v>-4.9900810020938051</v>
      </c>
      <c r="AB99" s="37">
        <f>(AB32+AB29)/(IS!AB42+IS!AA42+IS!Y42+IS!X42)</f>
        <v>-4.3705690140845057</v>
      </c>
      <c r="AC99" s="37">
        <f>(AC32+AC29)/(IS!AC42+IS!AB42+IS!AA42+IS!Y42)</f>
        <v>-3.7767380836066717</v>
      </c>
      <c r="AD99" s="37">
        <f>(AD32+AD29)/(IS!AD42+IS!AC42+IS!AB42+IS!AA42)</f>
        <v>-3.3398672883343119</v>
      </c>
      <c r="AE99" s="240"/>
      <c r="AF99" s="37">
        <f>(AF32+AF29)/(IS!AF42+IS!AD42+IS!AC42+IS!AB42)</f>
        <v>-3.2138496332372051</v>
      </c>
      <c r="AG99" s="37">
        <f>(AG32+AG29)/(IS!AG42+IS!AE42+IS!AD42+IS!AC42)</f>
        <v>-1.8797945441430599</v>
      </c>
      <c r="AI99" s="37">
        <f>(AI32+AI29)/(IS!AI42+IS!AH42+IS!AG42+IS!AF42)</f>
        <v>-3.8519941078883986</v>
      </c>
      <c r="AJ99" s="240"/>
      <c r="AK99" s="37">
        <f>(AK32+AK29)/(IS!AK42+IS!AI42+IS!AH42+IS!AG42)</f>
        <v>-4.3356136477144291</v>
      </c>
      <c r="AL99" s="37">
        <f>(AL32+AL29)/(IS!AL42+IS!AJ42+IS!AI42+IS!AH42)</f>
        <v>-2.3285643371272564</v>
      </c>
      <c r="AM99" s="37">
        <f>(AM32+AM29)/(IS!AM42+IS!AL42+IS!AK42+IS!AI42)</f>
        <v>-5.0945774360766496</v>
      </c>
      <c r="AN99" s="37">
        <f>(AN32+AN29)/(IS!AN42+IS!AM42+IS!AL42+IS!AK42)</f>
        <v>-5.074413186557166</v>
      </c>
      <c r="AO99" s="240"/>
      <c r="AP99" s="37">
        <f>(AP32+AP29)/(IS!AP42+IS!AN42+IS!AM42+IS!AL42)</f>
        <v>-4.3789333709901381</v>
      </c>
      <c r="AQ99" s="37">
        <f>(AQ32+AQ29)/(IS!AQ42+IS!AO42+IS!AN42+IS!AM42)</f>
        <v>-2.5126723128209747</v>
      </c>
      <c r="AR99" s="37">
        <f>(AR32+AR29)/(IS!AR42+IS!AQ42+IS!AP42+IS!AN42)</f>
        <v>-4.7572654752809527</v>
      </c>
      <c r="AS99" s="37">
        <f>(AS32+AS29)/(IS!AS42+IS!AR42+IS!AQ42+IS!AP42)</f>
        <v>-6.8100520715417714</v>
      </c>
      <c r="AT99" s="240"/>
      <c r="AU99" s="378">
        <f>(AU32+AU29)/(IS!AU42+IS!AS42+IS!AR42+IS!AQ42)</f>
        <v>-7.4306562021227442</v>
      </c>
      <c r="AV99" s="37">
        <f>(AV32+AV29)/(IS!AV42+IS!AT42+IS!AS42+IS!AR42)</f>
        <v>-4.0835947340175425</v>
      </c>
      <c r="AW99" s="37">
        <f>(AW32+AW29)/(IS!AW42+IS!AV42+IS!AU42+IS!AS42)</f>
        <v>-8.6328382535504264</v>
      </c>
      <c r="AX99" s="37">
        <f>(AX32+AX29)/(IS!AX42+IS!AW42+IS!AV42+IS!AU42)</f>
        <v>-9.2626544272381093</v>
      </c>
      <c r="AY99" s="240"/>
      <c r="AZ99" s="37">
        <f>(AZ32+AZ29)/(IS!AZ42+IS!AX42+IS!AW42+IS!AV42)</f>
        <v>-14.290032876267663</v>
      </c>
      <c r="BA99" s="37">
        <f>(BA32+BA29)/(IS!BA42+IS!AY42+IS!AX42+IS!AW42)</f>
        <v>-6.656824009474267</v>
      </c>
      <c r="BB99" s="37">
        <f>(BB32+BB29)/(IS!BB42+IS!BA42+IS!AZ42+IS!AX42)</f>
        <v>344.56677519746921</v>
      </c>
      <c r="BC99" s="37">
        <f>(BC32+BC29)/(IS!BC42+IS!BB42+IS!BA42+IS!AZ42)</f>
        <v>18.227688781325959</v>
      </c>
      <c r="BD99" s="240"/>
      <c r="BE99" s="37">
        <f>(BE32+BE29)/(IS!BE42+IS!BC42+IS!BB42+IS!BA42)</f>
        <v>8.3469088646526917</v>
      </c>
      <c r="BF99" s="37">
        <f>(BF32+BF29)/(IS!BF42+IS!BD42+IS!BC42+IS!BB42)</f>
        <v>6.2730569720975815</v>
      </c>
      <c r="BG99" s="37">
        <f>(BG32+BG29)/(IS!BG42+IS!BF42+IS!BE42+IS!BC42)</f>
        <v>3.9172054464788362</v>
      </c>
      <c r="BH99" s="37">
        <f>(BH32+BH29)/(IS!BH42+IS!BG42+IS!BF42+IS!BE42)</f>
        <v>3.1051394862292967</v>
      </c>
      <c r="BI99" s="240"/>
      <c r="BJ99" s="37">
        <f>(BJ32+BJ29)/(IS!BJ42+IS!BH42+IS!BG42+IS!BF42)</f>
        <v>2.5948487692257163</v>
      </c>
      <c r="BK99" s="37">
        <f>(BK32+BK29)/(IS!BK42+IS!BI42+IS!BH42+IS!BG42)</f>
        <v>1.6153020690599806</v>
      </c>
      <c r="BL99" s="37">
        <f>(BL32+BL29)/(IS!BL42+IS!BK42+IS!BJ42+IS!BH42)</f>
        <v>2.0000287808301196</v>
      </c>
      <c r="BM99" s="37">
        <f>(BM32+BM29)/(IS!BM42+IS!BL42+IS!BK42+IS!BJ42)</f>
        <v>1.8172628786033709</v>
      </c>
      <c r="BN99" s="240"/>
      <c r="BS99" s="240"/>
      <c r="BX99" s="240"/>
      <c r="CC99" s="240"/>
      <c r="CH99" s="240"/>
      <c r="CM99" s="240"/>
    </row>
    <row r="100" spans="1:91" ht="12.75" customHeight="1">
      <c r="A100" s="18" t="s">
        <v>74</v>
      </c>
      <c r="B100" s="37"/>
      <c r="C100" s="37"/>
      <c r="D100" s="37"/>
      <c r="E100" s="37"/>
      <c r="F100" s="240"/>
      <c r="G100" s="37"/>
      <c r="H100" s="37"/>
      <c r="I100" s="37">
        <f>(I32+I29-I9)/(IS!I42+IS!H42+IS!G42+IS!E42)</f>
        <v>3.8211535393673959</v>
      </c>
      <c r="J100" s="37">
        <f>(J32+J29-J9)/(IS!J42+IS!I42+IS!H42+IS!G42)</f>
        <v>5.2042429231840934</v>
      </c>
      <c r="K100" s="240"/>
      <c r="L100" s="37">
        <f>(L32+L29-L9)/(IS!L42+IS!J42+IS!I42+IS!H42)</f>
        <v>5.6429452088573271</v>
      </c>
      <c r="M100" s="37">
        <f>(M32+M29-M9)/(IS!M42+IS!L42+IS!J42+IS!I42)</f>
        <v>7.5770517363571939</v>
      </c>
      <c r="N100" s="37">
        <f>(N32+N29-N9)/(IS!N42+IS!M42+IS!L42+IS!J42)</f>
        <v>8.6500337723741954</v>
      </c>
      <c r="O100" s="37">
        <f>(O32+O29-O9)/(IS!O42+IS!N42+IS!M42+IS!L42)</f>
        <v>9.0644916399725979</v>
      </c>
      <c r="P100" s="240"/>
      <c r="Q100" s="37">
        <f>(Q32+Q29-Q9)/(IS!Q42+IS!O42+IS!N42+IS!M42)</f>
        <v>9.4734391740527908</v>
      </c>
      <c r="R100" s="37">
        <f>(R32+R29-R9)/(IS!R42+IS!Q42+IS!O42+IS!N42)</f>
        <v>13.366434629659992</v>
      </c>
      <c r="S100" s="37">
        <f>(S32+S29-S9)/(IS!S42+IS!R42+IS!Q42+IS!O42)</f>
        <v>13.491125736058192</v>
      </c>
      <c r="T100" s="37">
        <f>(T32+T29-T9)/(IS!T42+IS!S42+IS!R42+IS!Q42)</f>
        <v>11.221582358726437</v>
      </c>
      <c r="U100" s="240"/>
      <c r="V100" s="37">
        <f>(V32+V29-V9)/(IS!V42+IS!T42+IS!S42+IS!R42)</f>
        <v>5.2261945385025932</v>
      </c>
      <c r="W100" s="37">
        <f>(W32+W29-W9)/(IS!W42+IS!V42+IS!T42+IS!S42)</f>
        <v>3.0674602083734244</v>
      </c>
      <c r="X100" s="37">
        <f>(X32+X29-X9)/(IS!X42+IS!W42+IS!V42+IS!T42)</f>
        <v>0.6866111212842575</v>
      </c>
      <c r="Y100" s="37">
        <f>(Y32+Y29-Y9)/(IS!Y42+IS!X42+IS!W42+IS!V42)</f>
        <v>-1.8494362607456034</v>
      </c>
      <c r="Z100" s="240"/>
      <c r="AA100" s="37">
        <f>(AA32+AA29-AA9)/(IS!AA42+IS!Y42+IS!X42+IS!W42)</f>
        <v>-1.4615359229068339</v>
      </c>
      <c r="AB100" s="37">
        <f>(AB32+AB29-AB9)/(IS!AB42+IS!AA42+IS!Y42+IS!X42)</f>
        <v>-1.6222712273641848</v>
      </c>
      <c r="AC100" s="37">
        <f>(AC32+AC29-AC9)/(IS!AC42+IS!AB42+IS!AA42+IS!Y42)</f>
        <v>-1.102337916114174</v>
      </c>
      <c r="AD100" s="37">
        <f>(AD32+AD29-AD9)/(IS!AD42+IS!AC42+IS!AB42+IS!AA42)</f>
        <v>-0.83328995540749207</v>
      </c>
      <c r="AE100" s="240"/>
      <c r="AF100" s="37">
        <f>(AF32+AF29-AF9)/(IS!AF42+IS!AD42+IS!AC42+IS!AB42)</f>
        <v>-0.97134344074956036</v>
      </c>
      <c r="AG100" s="37">
        <f>(AG32+AG29-AG9)/(IS!AG42+IS!AE42+IS!AD42+IS!AC42)</f>
        <v>-0.1575634948868041</v>
      </c>
      <c r="AH100" s="37" t="e">
        <f>(AH32+AH29-AH9)/(IS!AH42+IS!#REF!+IS!AE42+IS!AD42)</f>
        <v>#REF!</v>
      </c>
      <c r="AI100" s="37">
        <f>(AI32+AI29-AI9)/(IS!AI42+IS!AH42+IS!AG42+IS!AF42)</f>
        <v>-0.45666770291903536</v>
      </c>
      <c r="AJ100" s="240"/>
      <c r="AK100" s="37">
        <f>(AK32+AK29-AK9)/(IS!AK42+IS!AI42+IS!AH42+IS!AG42)</f>
        <v>-0.62515114475724842</v>
      </c>
      <c r="AL100" s="37">
        <f>(AL32+AL29-AL9)/(IS!AL42+IS!AJ42+IS!AI42+IS!AH42)</f>
        <v>-0.49322944367620475</v>
      </c>
      <c r="AM100" s="37">
        <f>(AM32+AM29-AM9)/(IS!AM42+IS!AL42+IS!AK42+IS!AI42)</f>
        <v>-1.2152251150329083</v>
      </c>
      <c r="AN100" s="37">
        <f>(AN32+AN29-AN9)/(IS!AN42+IS!AM42+IS!AL42+IS!AK42)</f>
        <v>-1.8128060263653483</v>
      </c>
      <c r="AO100" s="240"/>
      <c r="AP100" s="37">
        <f>(AP32+AP29-AP9)/(IS!AP42+IS!AN42+IS!AM42+IS!AL42)</f>
        <v>-1.6387261016576835</v>
      </c>
      <c r="AQ100" s="37">
        <f>(AQ32+AQ29-AQ9)/(IS!AQ42+IS!AO42+IS!AN42+IS!AM42)</f>
        <v>-1.0955559059374718</v>
      </c>
      <c r="AR100" s="37">
        <f>(AR32+AR29-AR9)/(IS!AR42+IS!AQ42+IS!AP42+IS!AN42)</f>
        <v>-2.2816772161353525</v>
      </c>
      <c r="AS100" s="37">
        <f>(AS32+AS29-AS9)/(IS!AS42+IS!AR42+IS!AQ42+IS!AP42)</f>
        <v>-1.3692642064749834</v>
      </c>
      <c r="AT100" s="240"/>
      <c r="AU100" s="378">
        <f>(AU32+AU29-AU9)/(IS!AU42+IS!AS42+IS!AR42+IS!AQ42)</f>
        <v>-1.8380408159584438</v>
      </c>
      <c r="AV100" s="37">
        <f>(AV32+AV29-AV9)/(IS!AV42+IS!AT42+IS!AS42+IS!AR42)</f>
        <v>-1.187804983161449</v>
      </c>
      <c r="AW100" s="37">
        <f>(AW32+AW29-AW9)/(IS!AW42+IS!AV42+IS!AU42+IS!AS42)</f>
        <v>-2.6809919893447316</v>
      </c>
      <c r="AX100" s="37">
        <f>(AX32+AX29-AX9)/(IS!AX42+IS!AW42+IS!AV42+IS!AU42)</f>
        <v>-2.9227426516218231</v>
      </c>
      <c r="AY100" s="240"/>
      <c r="AZ100" s="37">
        <f>(AZ32+AZ29-AZ9)/(IS!AZ42+IS!AX42+IS!AW42+IS!AV42)</f>
        <v>-4.8383159807850546</v>
      </c>
      <c r="BA100" s="37">
        <f>(BA32+BA29-BA9)/(IS!BA42+IS!AY42+IS!AX42+IS!AW42)</f>
        <v>-2.415863696530228</v>
      </c>
      <c r="BB100" s="37">
        <f>(BB32+BB29-BB9)/(IS!BB42+IS!BA42+IS!AZ42+IS!AX42)</f>
        <v>123.27715956165542</v>
      </c>
      <c r="BC100" s="37">
        <f>(BC32+BC29-BC9)/(IS!BC42+IS!BB42+IS!BA42+IS!AZ42)</f>
        <v>8.8236826009579108</v>
      </c>
      <c r="BD100" s="240"/>
      <c r="BE100" s="37">
        <f>(BE32+BE29-BE9)/(IS!BE42+IS!BC42+IS!BB42+IS!BA42)</f>
        <v>3.9121854049263414</v>
      </c>
      <c r="BF100" s="37">
        <f>(BF32+BF29-BF9)/(IS!BF42+IS!BD42+IS!BC42+IS!BB42)</f>
        <v>2.9153123534804135</v>
      </c>
      <c r="BG100" s="37">
        <f>(BG32+BG29-BG9)/(IS!BG42+IS!BF42+IS!BE42+IS!BC42)</f>
        <v>1.5623168844381361</v>
      </c>
      <c r="BH100" s="37">
        <f>(BH32+BH29-BH9)/(IS!BH42+IS!BG42+IS!BF42+IS!BE42)</f>
        <v>0.86519698990883842</v>
      </c>
      <c r="BI100" s="240"/>
      <c r="BJ100" s="37">
        <f>(BJ32+BJ29-BJ9)/(IS!BJ42+IS!BH42+IS!BG42+IS!BF42)</f>
        <v>0.4822485267394882</v>
      </c>
      <c r="BK100" s="37">
        <f>(BK32+BK29-BK9)/(IS!BK42+IS!BI42+IS!BH42+IS!BG42)</f>
        <v>0.23128647419548276</v>
      </c>
      <c r="BL100" s="37">
        <f>(BL32+BL29-BL9)/(IS!BL42+IS!BK42+IS!BJ42+IS!BH42)</f>
        <v>3.9262218560076799E-2</v>
      </c>
      <c r="BM100" s="37">
        <f>(BM32+BM29-BM9)/(IS!BM42+IS!BL42+IS!BK42+IS!BJ42)</f>
        <v>-0.30314598586875591</v>
      </c>
      <c r="BN100" s="240"/>
      <c r="BS100" s="240"/>
      <c r="BX100" s="240"/>
      <c r="CC100" s="240"/>
      <c r="CH100" s="240"/>
      <c r="CM100" s="240"/>
    </row>
    <row r="101" spans="1:91" ht="12.75" customHeight="1">
      <c r="F101" s="240"/>
      <c r="K101" s="240"/>
      <c r="P101" s="240"/>
      <c r="U101" s="240"/>
      <c r="Z101" s="240"/>
      <c r="AE101" s="240"/>
      <c r="AJ101" s="240"/>
      <c r="AO101" s="240"/>
      <c r="AT101" s="240"/>
      <c r="AU101" s="374"/>
      <c r="AY101" s="240"/>
      <c r="BD101" s="240"/>
      <c r="BI101" s="240"/>
      <c r="BN101" s="240"/>
      <c r="BS101" s="240"/>
      <c r="BX101" s="240"/>
      <c r="CC101" s="240"/>
      <c r="CH101" s="240"/>
      <c r="CM101" s="240"/>
    </row>
    <row r="102" spans="1:91" ht="12.75" customHeight="1">
      <c r="A102" s="18" t="s">
        <v>73</v>
      </c>
      <c r="B102" s="20"/>
      <c r="C102" s="20"/>
      <c r="D102" s="20"/>
      <c r="E102" s="20"/>
      <c r="F102" s="240"/>
      <c r="G102" s="20" t="e">
        <f>(G32+G29)/(G29+G32+G46)</f>
        <v>#DIV/0!</v>
      </c>
      <c r="H102" s="20" t="e">
        <f>(H32+H29)/(H29+H32+H46)</f>
        <v>#DIV/0!</v>
      </c>
      <c r="I102" s="20">
        <f>(I32+I29)/(I29+I32+I46)</f>
        <v>2.9887967641009854E-2</v>
      </c>
      <c r="J102" s="20">
        <f>(J32+J29)/(J29+J32+J46)</f>
        <v>1.6408393931744338E-2</v>
      </c>
      <c r="K102" s="240"/>
      <c r="L102" s="20">
        <f>(L32+L29)/(L29+L32+L46)</f>
        <v>1.9214129330302424E-2</v>
      </c>
      <c r="M102" s="20">
        <f>(M32+M29)/(M29+M32+M46)</f>
        <v>1.3388341762044183E-2</v>
      </c>
      <c r="N102" s="20">
        <f>(N32+N29)/(N29+N32+N46)</f>
        <v>1.2953684615729145E-2</v>
      </c>
      <c r="O102" s="20">
        <f>(O32+O29)/(O29+O32+O46)</f>
        <v>3.9988023793691818E-2</v>
      </c>
      <c r="P102" s="240"/>
      <c r="Q102" s="20">
        <f>(Q32+Q29)/(Q29+Q32+Q46)</f>
        <v>4.1242614967162715E-2</v>
      </c>
      <c r="R102" s="20">
        <f>(R32+R29)/(R29+R32+R46)</f>
        <v>3.5577387328611251E-2</v>
      </c>
      <c r="S102" s="20">
        <f>(S32+S29)/(S29+S32+S46)</f>
        <v>3.5058300924298028E-2</v>
      </c>
      <c r="T102" s="20">
        <f>(T32+T29)/(T29+T32+T46)</f>
        <v>0.39502234489030691</v>
      </c>
      <c r="U102" s="240"/>
      <c r="V102" s="20">
        <f>(V32+V29)/(V29+V32+V46)</f>
        <v>0.61325438124289722</v>
      </c>
      <c r="W102" s="20">
        <f>(W32+W29)/(W29+W32+W46)</f>
        <v>0.63060382387255576</v>
      </c>
      <c r="X102" s="20">
        <f>(X32+X29)/(X29+X32+X46)</f>
        <v>0.65568921853265816</v>
      </c>
      <c r="Y102" s="20">
        <f>(Y32+Y29)/(Y29+Y32+Y46)</f>
        <v>0.67844271763152209</v>
      </c>
      <c r="Z102" s="240"/>
      <c r="AA102" s="20">
        <f>(AA32+AA29)/(AA29+AA32+AA46)</f>
        <v>0.71854605360424106</v>
      </c>
      <c r="AB102" s="20">
        <f>(AB32+AB29)/(AB29+AB32+AB46)</f>
        <v>0.80969287795335454</v>
      </c>
      <c r="AC102" s="20">
        <f>(AC32+AC29)/(AC29+AC32+AC46)</f>
        <v>0.89027530373430497</v>
      </c>
      <c r="AD102" s="20">
        <f>(AD32+AD29)/(AD29+AD32+AD46)</f>
        <v>0.95724595157951264</v>
      </c>
      <c r="AE102" s="240"/>
      <c r="AF102" s="20">
        <f>(AF32+AF29)/(AF29+AF32+AF46)</f>
        <v>1.03431381610364</v>
      </c>
      <c r="AG102" s="20">
        <f>(AG32+AG29)/(AG29+AG32+AG46)</f>
        <v>0.82037316354469769</v>
      </c>
      <c r="AI102" s="20">
        <f>(AI32+AI29)/(AI29+AI32+AI46)</f>
        <v>0.89310595231519341</v>
      </c>
      <c r="AJ102" s="240"/>
      <c r="AK102" s="20">
        <f>(AK32+AK29)/(AK29+AK32+AK46)</f>
        <v>0.95079633060311886</v>
      </c>
      <c r="AL102" s="20">
        <f>(AL32+AL29)/(AL29+AL32+AL46)</f>
        <v>1.0012295734912184</v>
      </c>
      <c r="AM102" s="20">
        <f>(AM32+AM29)/(AM29+AM32+AM46)</f>
        <v>1.0480024537995549</v>
      </c>
      <c r="AN102" s="20">
        <f>(AN32+AN29)/(AN29+AN32+AN46)</f>
        <v>1.1196435547879011</v>
      </c>
      <c r="AO102" s="240"/>
      <c r="AP102" s="20">
        <f>(AP32+AP29)/(AP29+AP32+AP46)</f>
        <v>1.2897452486858063</v>
      </c>
      <c r="AQ102" s="20">
        <f>(AQ32+AQ29)/(AQ29+AQ32+AQ46)</f>
        <v>1.3771058859257004</v>
      </c>
      <c r="AR102" s="20">
        <f>(AR32+AR29)/(AR29+AR32+AR46)</f>
        <v>1.4663375962511231</v>
      </c>
      <c r="AS102" s="20">
        <f>(AS32+AS29)/(AS29+AS32+AS46)</f>
        <v>1.0706965863715416</v>
      </c>
      <c r="AT102" s="240"/>
      <c r="AU102" s="379">
        <f>(AU32+AU29)/(AU29+AU32+AU46)</f>
        <v>1.1005429796440804</v>
      </c>
      <c r="AV102" s="20">
        <f>(AV32+AV29)/(AV29+AV32+AV46)</f>
        <v>1.130052552626897</v>
      </c>
      <c r="AW102" s="20">
        <f>(AW32+AW29)/(AW29+AW32+AW46)</f>
        <v>1.1585829162416363</v>
      </c>
      <c r="AX102" s="20">
        <f>(AX32+AX29)/(AX29+AX32+AX46)</f>
        <v>1.2086441933447556</v>
      </c>
      <c r="AY102" s="240"/>
      <c r="AZ102" s="20">
        <f>(AZ32+AZ29)/(AZ29+AZ32+AZ46)</f>
        <v>1.1945887953268677</v>
      </c>
      <c r="BA102" s="20">
        <f>(BA32+BA29)/(BA29+BA32+BA46)</f>
        <v>1.1768981978003588</v>
      </c>
      <c r="BB102" s="20">
        <f>(BB32+BB29)/(BB29+BB32+BB46)</f>
        <v>1.1626789934886865</v>
      </c>
      <c r="BC102" s="20">
        <f>(BC32+BC29)/(BC29+BC32+BC46)</f>
        <v>1.2688790888876589</v>
      </c>
      <c r="BD102" s="240"/>
      <c r="BE102" s="20">
        <f>(BE32+BE29)/(BE29+BE32+BE46)</f>
        <v>1.1583461892997515</v>
      </c>
      <c r="BF102" s="20">
        <f>(BF32+BF29)/(BF29+BF32+BF46)</f>
        <v>1.0587756311493508</v>
      </c>
      <c r="BG102" s="20">
        <f>(BG32+BG29)/(BG29+BG32+BG46)</f>
        <v>0.97544719641558519</v>
      </c>
      <c r="BH102" s="20">
        <f>(BH32+BH29)/(BH29+BH32+BH46)</f>
        <v>0.92260264483545007</v>
      </c>
      <c r="BI102" s="240"/>
      <c r="BJ102" s="20">
        <f>(BJ32+BJ29)/(BJ29+BJ32+BJ46)</f>
        <v>0.81775349410017228</v>
      </c>
      <c r="BK102" s="20">
        <f>(BK32+BK29)/(BK29+BK32+BK46)</f>
        <v>0.7343716000667494</v>
      </c>
      <c r="BL102" s="20">
        <f>(BL32+BL29)/(BL29+BL32+BL46)</f>
        <v>0.66601594473248793</v>
      </c>
      <c r="BM102" s="20">
        <f>(BM32+BM29)/(BM29+BM32+BM46)</f>
        <v>0.62034034605814903</v>
      </c>
      <c r="BN102" s="240"/>
      <c r="BS102" s="240"/>
      <c r="BX102" s="240"/>
      <c r="CC102" s="240"/>
      <c r="CH102" s="240"/>
      <c r="CM102" s="240"/>
    </row>
    <row r="103" spans="1:91" ht="12.75" customHeight="1">
      <c r="A103" s="18" t="s">
        <v>161</v>
      </c>
      <c r="B103" s="45"/>
      <c r="C103" s="45"/>
      <c r="D103" s="45"/>
      <c r="E103" s="45"/>
      <c r="F103" s="240"/>
      <c r="G103" s="45"/>
      <c r="H103" s="45"/>
      <c r="I103" s="45">
        <f>I96/(I46+I32+I29)</f>
        <v>-1.0016384780021972</v>
      </c>
      <c r="J103" s="45">
        <f>J96/(J46+J32+J29)</f>
        <v>-0.83650440135827309</v>
      </c>
      <c r="K103" s="240"/>
      <c r="L103" s="45">
        <f>L96/(L46+L32+L29)</f>
        <v>-0.95890049339520855</v>
      </c>
      <c r="M103" s="45">
        <f>M96/(M46+M32+M29)</f>
        <v>-0.64674546906380803</v>
      </c>
      <c r="N103" s="45">
        <f>N96/(N46+N32+N29)</f>
        <v>-0.62009061889826478</v>
      </c>
      <c r="O103" s="45">
        <f>O96/(O46+O32+O29)</f>
        <v>-0.58864496921177101</v>
      </c>
      <c r="P103" s="240"/>
      <c r="Q103" s="45">
        <f>Q96/(Q46+Q32+Q29)</f>
        <v>-0.59387875723849226</v>
      </c>
      <c r="R103" s="45">
        <f>R96/(R46+R32+R29)</f>
        <v>-0.77590148359530875</v>
      </c>
      <c r="S103" s="45">
        <f>S96/(S46+S32+S29)</f>
        <v>-0.86026507969883881</v>
      </c>
      <c r="T103" s="45">
        <f>T96/(T46+T32+T29)</f>
        <v>-0.44122445898901957</v>
      </c>
      <c r="U103" s="240"/>
      <c r="V103" s="45">
        <f>V96/(V46+V32+V29)</f>
        <v>-0.27271938631780185</v>
      </c>
      <c r="W103" s="45">
        <f>W96/(W46+W32+W29)</f>
        <v>-0.20921661189460714</v>
      </c>
      <c r="X103" s="45">
        <f>X96/(X46+X32+X29)</f>
        <v>-6.5513787088564049E-2</v>
      </c>
      <c r="Y103" s="45">
        <f>Y96/(Y46+Y32+Y29)</f>
        <v>0.21343560603605691</v>
      </c>
      <c r="Z103" s="240"/>
      <c r="AA103" s="45">
        <f>AA96/(AA46+AA32+AA29)</f>
        <v>0.21045367182714844</v>
      </c>
      <c r="AB103" s="45">
        <f>AB96/(AB46+AB32+AB29)</f>
        <v>0.30054243616161552</v>
      </c>
      <c r="AC103" s="45">
        <f>AC96/(AC46+AC32+AC29)</f>
        <v>0.25984969075461928</v>
      </c>
      <c r="AD103" s="45">
        <f>AD96/(AD46+AD32+AD29)</f>
        <v>0.2388308778291344</v>
      </c>
      <c r="AE103" s="240"/>
      <c r="AF103" s="45">
        <f>AF96/(AF46+AF32+AF29)</f>
        <v>0.31260763744473719</v>
      </c>
      <c r="AG103" s="45">
        <f>AG96/(AG46+AG32+AG29)</f>
        <v>6.8763292862078343E-2</v>
      </c>
      <c r="AH103" s="45">
        <f>AH96/(AH46+AH32+AH29)</f>
        <v>0.11355394930968307</v>
      </c>
      <c r="AI103" s="45">
        <f>AI96/(AI46+AI32+AI29)</f>
        <v>0.10588091058391447</v>
      </c>
      <c r="AJ103" s="240"/>
      <c r="AK103" s="45">
        <f>AK96/(AK46+AK32+AK29)</f>
        <v>0.13709510643801748</v>
      </c>
      <c r="AL103" s="45">
        <f>AL96/(AL46+AL32+AL29)</f>
        <v>0.21207741510568762</v>
      </c>
      <c r="AM103" s="45">
        <f>AM96/(AM46+AM32+AM29)</f>
        <v>0.24998322597960274</v>
      </c>
      <c r="AN103" s="45">
        <f>AN96/(AN46+AN32+AN29)</f>
        <v>0.39998646323826753</v>
      </c>
      <c r="AO103" s="240"/>
      <c r="AP103" s="45">
        <f>AP96/(AP46+AP32+AP29)</f>
        <v>0.48266073594824077</v>
      </c>
      <c r="AQ103" s="45">
        <f>AQ96/(AQ46+AQ32+AQ29)</f>
        <v>0.60043503433734391</v>
      </c>
      <c r="AR103" s="45">
        <f>AR96/(AR46+AR32+AR29)</f>
        <v>0.70328408240267004</v>
      </c>
      <c r="AS103" s="45">
        <f>AS96/(AS46+AS32+AS29)</f>
        <v>0.21527977999463233</v>
      </c>
      <c r="AT103" s="240"/>
      <c r="AU103" s="380">
        <f>AU96/(AU46+AU32+AU29)</f>
        <v>0.27222937803588182</v>
      </c>
      <c r="AV103" s="45">
        <f>AV96/(AV46+AV32+AV29)</f>
        <v>0.32870109319686897</v>
      </c>
      <c r="AW103" s="45">
        <f>AW96/(AW46+AW32+AW29)</f>
        <v>0.35980652320898265</v>
      </c>
      <c r="AX103" s="45">
        <f>AX96/(AX46+AX32+AX29)</f>
        <v>0.38137619861276528</v>
      </c>
      <c r="AY103" s="240"/>
      <c r="AZ103" s="45">
        <f>AZ96/(AZ46+AZ32+AZ29)</f>
        <v>0.40446359423676459</v>
      </c>
      <c r="BA103" s="45">
        <f>BA96/(BA46+BA32+BA29)</f>
        <v>0.42711443573258689</v>
      </c>
      <c r="BB103" s="45">
        <f>BB96/(BB46+BB32+BB29)</f>
        <v>0.41597673982683664</v>
      </c>
      <c r="BC103" s="45">
        <f>BC96/(BC46+BC32+BC29)</f>
        <v>0.61424059153389288</v>
      </c>
      <c r="BD103" s="240"/>
      <c r="BE103" s="45">
        <f>BE96/(BE46+BE32+BE29)</f>
        <v>0.54291536293407128</v>
      </c>
      <c r="BF103" s="45">
        <f>BF96/(BF46+BF32+BF29)</f>
        <v>0.49205063668050947</v>
      </c>
      <c r="BG103" s="45">
        <f>BG96/(BG46+BG32+BG29)</f>
        <v>0.38904204685199562</v>
      </c>
      <c r="BH103" s="45">
        <f>BH96/(BH46+BH32+BH29)</f>
        <v>0.25706833291501918</v>
      </c>
      <c r="BI103" s="240"/>
      <c r="BJ103" s="45">
        <f>BJ96/(BJ46+BJ32+BJ29)</f>
        <v>0.15197818942009139</v>
      </c>
      <c r="BK103" s="45">
        <f>BK96/(BK46+BK32+BK29)</f>
        <v>0.10515074634156654</v>
      </c>
      <c r="BL103" s="45">
        <f>BL96/(BL46+BL32+BL29)</f>
        <v>1.3074443646620736E-2</v>
      </c>
      <c r="BM103" s="45">
        <f>BM96/(BM46+BM32+BM29)</f>
        <v>-0.10348182863036774</v>
      </c>
      <c r="BN103" s="240"/>
      <c r="BS103" s="240"/>
      <c r="BX103" s="240"/>
      <c r="CC103" s="240"/>
      <c r="CH103" s="240"/>
      <c r="CM103" s="240"/>
    </row>
    <row r="104" spans="1:91" ht="12.75" customHeight="1">
      <c r="F104" s="240"/>
      <c r="K104" s="240"/>
      <c r="P104" s="240"/>
      <c r="U104" s="240"/>
      <c r="Z104" s="240"/>
      <c r="AE104" s="240"/>
      <c r="AJ104" s="240"/>
      <c r="AO104" s="240"/>
      <c r="AT104" s="240"/>
      <c r="AU104" s="374"/>
      <c r="AY104" s="240"/>
      <c r="BD104" s="240"/>
      <c r="BI104" s="240"/>
      <c r="BN104" s="240"/>
      <c r="BS104" s="240"/>
      <c r="BX104" s="240"/>
      <c r="CC104" s="240"/>
      <c r="CH104" s="240"/>
      <c r="CM104" s="240"/>
    </row>
    <row r="105" spans="1:91" ht="12.75" customHeight="1">
      <c r="F105" s="247"/>
      <c r="K105" s="247"/>
      <c r="P105" s="247"/>
      <c r="U105" s="247"/>
      <c r="Z105" s="247"/>
      <c r="AE105" s="247"/>
      <c r="AJ105" s="247"/>
      <c r="AO105" s="247"/>
      <c r="AT105" s="247"/>
      <c r="AU105" s="374"/>
      <c r="AY105" s="247"/>
      <c r="BD105" s="247"/>
      <c r="BI105" s="247"/>
      <c r="BN105" s="247"/>
      <c r="BS105" s="247"/>
      <c r="BX105" s="247"/>
      <c r="CC105" s="247"/>
      <c r="CH105" s="247"/>
      <c r="CM105" s="247"/>
    </row>
    <row r="107" spans="1:91" ht="12.75" customHeight="1">
      <c r="A107" s="18" t="str">
        <f>IS!A79</f>
        <v>Source: Company reports, Wells Fargo Securities, LLC estimates.</v>
      </c>
    </row>
    <row r="121" spans="28:28" ht="12.75" customHeight="1">
      <c r="AB121" s="72"/>
    </row>
  </sheetData>
  <printOptions horizontalCentered="1" verticalCentered="1"/>
  <pageMargins left="0.5" right="0.5" top="0.5" bottom="0.5" header="0.5" footer="0.5"/>
  <pageSetup scale="18" orientation="landscape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CM128"/>
  <sheetViews>
    <sheetView zoomScaleNormal="100" workbookViewId="0">
      <pane xSplit="1" ySplit="6" topLeftCell="AE7" activePane="bottomRight" state="frozen"/>
      <selection pane="topRight" activeCell="B1" sqref="B1"/>
      <selection pane="bottomLeft" activeCell="A7" sqref="A7"/>
      <selection pane="bottomRight" activeCell="BD62" sqref="BD62"/>
    </sheetView>
  </sheetViews>
  <sheetFormatPr defaultColWidth="8" defaultRowHeight="12.75" outlineLevelRow="1" outlineLevelCol="1"/>
  <cols>
    <col min="1" max="1" width="29.7109375" style="18" customWidth="1"/>
    <col min="2" max="5" width="8" style="18" hidden="1" customWidth="1" outlineLevel="1"/>
    <col min="6" max="6" width="8" style="18" customWidth="1" collapsed="1"/>
    <col min="7" max="10" width="8" style="18" hidden="1" customWidth="1" outlineLevel="1"/>
    <col min="11" max="11" width="8" style="18" customWidth="1" collapsed="1"/>
    <col min="12" max="12" width="8" style="18" hidden="1" customWidth="1" outlineLevel="1" collapsed="1"/>
    <col min="13" max="15" width="8" style="18" hidden="1" customWidth="1" outlineLevel="1"/>
    <col min="16" max="16" width="8" style="18" customWidth="1" collapsed="1"/>
    <col min="17" max="17" width="8" style="18" hidden="1" customWidth="1" outlineLevel="1" collapsed="1"/>
    <col min="18" max="18" width="8" style="18" hidden="1" customWidth="1" outlineLevel="1"/>
    <col min="19" max="20" width="8.42578125" style="18" hidden="1" customWidth="1" outlineLevel="1"/>
    <col min="21" max="21" width="8.42578125" style="18" customWidth="1" collapsed="1"/>
    <col min="22" max="22" width="8.42578125" style="18" hidden="1" customWidth="1" outlineLevel="1" collapsed="1"/>
    <col min="23" max="24" width="8.42578125" style="18" hidden="1" customWidth="1" outlineLevel="1"/>
    <col min="25" max="25" width="8" style="18" hidden="1" customWidth="1" outlineLevel="1"/>
    <col min="26" max="26" width="8" style="18" customWidth="1" collapsed="1"/>
    <col min="27" max="29" width="8" style="18" hidden="1" customWidth="1" outlineLevel="1"/>
    <col min="30" max="30" width="8.42578125" style="18" hidden="1" customWidth="1" outlineLevel="1"/>
    <col min="31" max="31" width="8.42578125" style="18" customWidth="1" collapsed="1"/>
    <col min="32" max="32" width="8" style="18" hidden="1" customWidth="1" outlineLevel="1"/>
    <col min="33" max="35" width="8.42578125" style="18" hidden="1" customWidth="1" outlineLevel="1"/>
    <col min="36" max="36" width="8.42578125" style="18" bestFit="1" customWidth="1" collapsed="1"/>
    <col min="37" max="40" width="8.42578125" style="18" hidden="1" customWidth="1" outlineLevel="1"/>
    <col min="41" max="41" width="8.28515625" style="18" bestFit="1" customWidth="1" collapsed="1"/>
    <col min="42" max="42" width="8" style="18" customWidth="1" outlineLevel="1"/>
    <col min="43" max="45" width="8" style="18" outlineLevel="1"/>
    <col min="46" max="46" width="8" style="18"/>
    <col min="47" max="50" width="8" style="18" customWidth="1" outlineLevel="1"/>
    <col min="51" max="51" width="8" style="18"/>
    <col min="52" max="55" width="8" style="18" customWidth="1" outlineLevel="1"/>
    <col min="56" max="56" width="8" style="18"/>
    <col min="57" max="60" width="8" style="18" hidden="1" customWidth="1" outlineLevel="1"/>
    <col min="61" max="61" width="8" style="18" collapsed="1"/>
    <col min="62" max="65" width="8" style="18" hidden="1" customWidth="1" outlineLevel="1"/>
    <col min="66" max="66" width="8" style="18" collapsed="1"/>
    <col min="67" max="70" width="8" style="18" hidden="1" customWidth="1" outlineLevel="1"/>
    <col min="71" max="71" width="8" style="18" collapsed="1"/>
    <col min="72" max="75" width="8" style="18" hidden="1" customWidth="1" outlineLevel="1"/>
    <col min="76" max="76" width="8" style="18" collapsed="1"/>
    <col min="77" max="80" width="8" style="18" hidden="1" customWidth="1" outlineLevel="1"/>
    <col min="81" max="81" width="8" style="18" collapsed="1"/>
    <col min="82" max="85" width="8" style="18" customWidth="1" outlineLevel="1"/>
    <col min="86" max="86" width="8" style="18"/>
    <col min="87" max="90" width="8" style="18" hidden="1" customWidth="1" outlineLevel="1"/>
    <col min="91" max="91" width="8" style="18" collapsed="1"/>
    <col min="92" max="16384" width="8" style="18"/>
  </cols>
  <sheetData>
    <row r="1" spans="1:91" s="1" customFormat="1" ht="12.75" customHeight="1">
      <c r="A1" s="194" t="s">
        <v>391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spans="1:91" s="1" customFormat="1">
      <c r="A2" s="192" t="s">
        <v>416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91" s="1" customFormat="1">
      <c r="A3" s="192" t="s">
        <v>415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91" s="1" customFormat="1"/>
    <row r="5" spans="1:91" s="4" customFormat="1">
      <c r="B5" s="183" t="str">
        <f>+IS!B5</f>
        <v>Mar</v>
      </c>
      <c r="C5" s="183" t="str">
        <f>+IS!C5</f>
        <v>Jun</v>
      </c>
      <c r="D5" s="183" t="str">
        <f>+IS!D5</f>
        <v>Sep</v>
      </c>
      <c r="E5" s="183" t="str">
        <f>+IS!E5</f>
        <v>Dec</v>
      </c>
      <c r="F5" s="184">
        <f>+IS!F5</f>
        <v>43070</v>
      </c>
      <c r="G5" s="183" t="str">
        <f>+IS!G5</f>
        <v>Mar</v>
      </c>
      <c r="H5" s="183" t="str">
        <f>+IS!H5</f>
        <v>Jun</v>
      </c>
      <c r="I5" s="183" t="str">
        <f>+IS!I5</f>
        <v>Sep</v>
      </c>
      <c r="J5" s="183" t="str">
        <f>+IS!J5</f>
        <v>Dec</v>
      </c>
      <c r="K5" s="184">
        <f>+IS!K5</f>
        <v>43435</v>
      </c>
      <c r="L5" s="183" t="str">
        <f>+IS!L5</f>
        <v>Mar</v>
      </c>
      <c r="M5" s="183" t="str">
        <f>+IS!M5</f>
        <v>Jun</v>
      </c>
      <c r="N5" s="183" t="str">
        <f>+IS!N5</f>
        <v>Sep</v>
      </c>
      <c r="O5" s="183" t="str">
        <f>+IS!O5</f>
        <v>Dec</v>
      </c>
      <c r="P5" s="184">
        <f>+IS!P5</f>
        <v>43800</v>
      </c>
      <c r="Q5" s="183" t="str">
        <f>+IS!Q5</f>
        <v>Mar</v>
      </c>
      <c r="R5" s="183" t="str">
        <f>+IS!R5</f>
        <v>Jun</v>
      </c>
      <c r="S5" s="183" t="str">
        <f>+IS!S5</f>
        <v>Sep</v>
      </c>
      <c r="T5" s="183" t="str">
        <f>+IS!T5</f>
        <v>Dec</v>
      </c>
      <c r="U5" s="184">
        <f>+IS!U5</f>
        <v>44166</v>
      </c>
      <c r="V5" s="183" t="str">
        <f>+IS!V5</f>
        <v>Mar</v>
      </c>
      <c r="W5" s="183" t="str">
        <f>+IS!W5</f>
        <v>Jun</v>
      </c>
      <c r="X5" s="183" t="str">
        <f>+IS!X5</f>
        <v>Sep</v>
      </c>
      <c r="Y5" s="183" t="str">
        <f>+IS!Y5</f>
        <v>Dec</v>
      </c>
      <c r="Z5" s="184">
        <f>+IS!Z5</f>
        <v>44531</v>
      </c>
      <c r="AA5" s="183" t="str">
        <f>+IS!AA5</f>
        <v>Mar</v>
      </c>
      <c r="AB5" s="183" t="str">
        <f>+IS!AB5</f>
        <v>Jun</v>
      </c>
      <c r="AC5" s="183" t="str">
        <f>+IS!AC5</f>
        <v>Sep</v>
      </c>
      <c r="AD5" s="183" t="str">
        <f>+IS!AD5</f>
        <v>Dec</v>
      </c>
      <c r="AE5" s="184">
        <f>+IS!AE5</f>
        <v>44896</v>
      </c>
      <c r="AF5" s="183" t="str">
        <f>+IS!AF5</f>
        <v>Mar</v>
      </c>
      <c r="AG5" s="183" t="str">
        <f>+IS!AG5</f>
        <v>Jun</v>
      </c>
      <c r="AH5" s="183" t="str">
        <f>+IS!AH5</f>
        <v>Sep</v>
      </c>
      <c r="AI5" s="183" t="str">
        <f>+IS!AI5</f>
        <v>Dec</v>
      </c>
      <c r="AJ5" s="184">
        <f>+IS!AJ5</f>
        <v>45261</v>
      </c>
      <c r="AK5" s="183" t="str">
        <f>+IS!AK5</f>
        <v>Mar</v>
      </c>
      <c r="AL5" s="183" t="str">
        <f>+IS!AL5</f>
        <v>Jun</v>
      </c>
      <c r="AM5" s="183" t="str">
        <f>+IS!AM5</f>
        <v>Sep</v>
      </c>
      <c r="AN5" s="183" t="str">
        <f>+IS!AN5</f>
        <v>Dec</v>
      </c>
      <c r="AO5" s="184">
        <f>+IS!AO5</f>
        <v>45627</v>
      </c>
      <c r="AP5" s="183" t="str">
        <f>+IS!AP5</f>
        <v>Mar</v>
      </c>
      <c r="AQ5" s="183" t="str">
        <f>+IS!AQ5</f>
        <v>Jun</v>
      </c>
      <c r="AR5" s="183" t="str">
        <f>+IS!AR5</f>
        <v>Sep</v>
      </c>
      <c r="AS5" s="183" t="str">
        <f>+IS!AS5</f>
        <v>Dec</v>
      </c>
      <c r="AT5" s="184">
        <f>+IS!AT5</f>
        <v>45992</v>
      </c>
      <c r="AU5" s="183" t="str">
        <f>+IS!AU5</f>
        <v>Mar</v>
      </c>
      <c r="AV5" s="183" t="str">
        <f>+IS!AV5</f>
        <v>Jun</v>
      </c>
      <c r="AW5" s="183" t="str">
        <f>+IS!AW5</f>
        <v>Sep</v>
      </c>
      <c r="AX5" s="183" t="str">
        <f>+IS!AX5</f>
        <v>Dec</v>
      </c>
      <c r="AY5" s="184">
        <f>+IS!AY5</f>
        <v>46357</v>
      </c>
      <c r="AZ5" s="183" t="str">
        <f>+IS!AZ5</f>
        <v>Mar</v>
      </c>
      <c r="BA5" s="183" t="str">
        <f>+IS!BA5</f>
        <v>Jun</v>
      </c>
      <c r="BB5" s="183" t="str">
        <f>+IS!BB5</f>
        <v>Sep</v>
      </c>
      <c r="BC5" s="183" t="str">
        <f>+IS!BC5</f>
        <v>Dec</v>
      </c>
      <c r="BD5" s="184">
        <f>+IS!BD5</f>
        <v>46722</v>
      </c>
      <c r="BE5" s="183" t="str">
        <f>+IS!BE5</f>
        <v>Mar</v>
      </c>
      <c r="BF5" s="183" t="str">
        <f>+IS!BF5</f>
        <v>Jun</v>
      </c>
      <c r="BG5" s="183" t="str">
        <f>+IS!BG5</f>
        <v>Sep</v>
      </c>
      <c r="BH5" s="183" t="str">
        <f>+IS!BH5</f>
        <v>Dec</v>
      </c>
      <c r="BI5" s="184">
        <f>+IS!BI5</f>
        <v>47088</v>
      </c>
      <c r="BJ5" s="183" t="str">
        <f>+IS!BJ5</f>
        <v>Mar</v>
      </c>
      <c r="BK5" s="183" t="str">
        <f>+IS!BK5</f>
        <v>Jun</v>
      </c>
      <c r="BL5" s="183" t="str">
        <f>+IS!BL5</f>
        <v>Sep</v>
      </c>
      <c r="BM5" s="183" t="str">
        <f>+IS!BM5</f>
        <v>Dec</v>
      </c>
      <c r="BN5" s="184">
        <f>+IS!BN5</f>
        <v>47453</v>
      </c>
      <c r="BO5" s="183" t="str">
        <f>+IS!BO5</f>
        <v>Mar</v>
      </c>
      <c r="BP5" s="183" t="str">
        <f>+IS!BP5</f>
        <v>Jun</v>
      </c>
      <c r="BQ5" s="183" t="str">
        <f>+IS!BQ5</f>
        <v>Sep</v>
      </c>
      <c r="BR5" s="183" t="str">
        <f>+IS!BR5</f>
        <v>Dec</v>
      </c>
      <c r="BS5" s="184">
        <f>+IS!BS5</f>
        <v>47818</v>
      </c>
      <c r="BT5" s="183" t="str">
        <f>+IS!BT5</f>
        <v>Mar</v>
      </c>
      <c r="BU5" s="183" t="str">
        <f>+IS!BU5</f>
        <v>Jun</v>
      </c>
      <c r="BV5" s="183" t="str">
        <f>+IS!BV5</f>
        <v>Sep</v>
      </c>
      <c r="BW5" s="183" t="str">
        <f>+IS!BW5</f>
        <v>Dec</v>
      </c>
      <c r="BX5" s="184">
        <f>+IS!BX5</f>
        <v>48183</v>
      </c>
      <c r="BY5" s="183" t="str">
        <f>+IS!BY5</f>
        <v>Mar</v>
      </c>
      <c r="BZ5" s="183" t="str">
        <f>+IS!BZ5</f>
        <v>Jun</v>
      </c>
      <c r="CA5" s="183" t="str">
        <f>+IS!CA5</f>
        <v>Sep</v>
      </c>
      <c r="CB5" s="183" t="str">
        <f>+IS!CB5</f>
        <v>Dec</v>
      </c>
      <c r="CC5" s="184">
        <f>+IS!CC5</f>
        <v>48549</v>
      </c>
      <c r="CD5" s="183" t="str">
        <f>+IS!CD5</f>
        <v>Mar</v>
      </c>
      <c r="CE5" s="183" t="str">
        <f>+IS!CE5</f>
        <v>Jun</v>
      </c>
      <c r="CF5" s="183" t="str">
        <f>+IS!CF5</f>
        <v>Sep</v>
      </c>
      <c r="CG5" s="183" t="str">
        <f>+IS!CG5</f>
        <v>Dec</v>
      </c>
      <c r="CH5" s="184">
        <f>+IS!CH5</f>
        <v>48914</v>
      </c>
      <c r="CI5" s="183" t="str">
        <f>+IS!CI5</f>
        <v>Mar</v>
      </c>
      <c r="CJ5" s="183" t="str">
        <f>+IS!CJ5</f>
        <v>Jun</v>
      </c>
      <c r="CK5" s="183" t="str">
        <f>+IS!CK5</f>
        <v>Sep</v>
      </c>
      <c r="CL5" s="183" t="str">
        <f>+IS!CL5</f>
        <v>Dec</v>
      </c>
      <c r="CM5" s="184">
        <f>+IS!CM5</f>
        <v>49279</v>
      </c>
    </row>
    <row r="6" spans="1:91" s="5" customFormat="1">
      <c r="A6" s="193"/>
      <c r="B6" s="185" t="str">
        <f>+IS!B6</f>
        <v>1Q17A</v>
      </c>
      <c r="C6" s="185" t="str">
        <f>+IS!C6</f>
        <v>2Q17A</v>
      </c>
      <c r="D6" s="185" t="str">
        <f>+IS!D6</f>
        <v>3Q17A</v>
      </c>
      <c r="E6" s="185" t="str">
        <f>+IS!E6</f>
        <v>4Q17A</v>
      </c>
      <c r="F6" s="186" t="str">
        <f>+IS!F6</f>
        <v>FY17A</v>
      </c>
      <c r="G6" s="185" t="str">
        <f>+IS!G6</f>
        <v>1Q18A</v>
      </c>
      <c r="H6" s="185" t="str">
        <f>+IS!H6</f>
        <v>2Q18A</v>
      </c>
      <c r="I6" s="185" t="str">
        <f>+IS!I6</f>
        <v>3Q18A</v>
      </c>
      <c r="J6" s="185" t="str">
        <f>+IS!J6</f>
        <v>4Q18A</v>
      </c>
      <c r="K6" s="186" t="str">
        <f>+IS!K6</f>
        <v>FY18A</v>
      </c>
      <c r="L6" s="185" t="str">
        <f>+IS!L6</f>
        <v>1Q19A</v>
      </c>
      <c r="M6" s="185" t="str">
        <f>+IS!M6</f>
        <v>2Q19A</v>
      </c>
      <c r="N6" s="185" t="str">
        <f>+IS!N6</f>
        <v>3Q19A</v>
      </c>
      <c r="O6" s="185" t="str">
        <f>+IS!O6</f>
        <v>4Q19A</v>
      </c>
      <c r="P6" s="186" t="str">
        <f>+IS!P6</f>
        <v>FY19A</v>
      </c>
      <c r="Q6" s="185" t="str">
        <f>+IS!Q6</f>
        <v>1Q20A</v>
      </c>
      <c r="R6" s="185" t="str">
        <f>+IS!R6</f>
        <v>2Q20A</v>
      </c>
      <c r="S6" s="185" t="str">
        <f>+IS!S6</f>
        <v>3Q20A</v>
      </c>
      <c r="T6" s="185" t="str">
        <f>+IS!T6</f>
        <v>4Q20A</v>
      </c>
      <c r="U6" s="186" t="str">
        <f>+IS!U6</f>
        <v>FY20A</v>
      </c>
      <c r="V6" s="185" t="str">
        <f>+IS!V6</f>
        <v>1Q21A</v>
      </c>
      <c r="W6" s="185" t="str">
        <f>+IS!W6</f>
        <v>2Q21A</v>
      </c>
      <c r="X6" s="185" t="str">
        <f>+IS!X6</f>
        <v>3Q21A</v>
      </c>
      <c r="Y6" s="185" t="str">
        <f>+IS!Y6</f>
        <v>4Q21A</v>
      </c>
      <c r="Z6" s="186" t="str">
        <f>+IS!Z6</f>
        <v>FY21A</v>
      </c>
      <c r="AA6" s="185" t="str">
        <f>+IS!AA6</f>
        <v>1Q22A</v>
      </c>
      <c r="AB6" s="185" t="str">
        <f>+IS!AB6</f>
        <v>2Q22A</v>
      </c>
      <c r="AC6" s="185" t="str">
        <f>+IS!AC6</f>
        <v>3Q22A</v>
      </c>
      <c r="AD6" s="185" t="str">
        <f>+IS!AD6</f>
        <v>4Q22A</v>
      </c>
      <c r="AE6" s="186" t="str">
        <f>+IS!AE6</f>
        <v>FY22A</v>
      </c>
      <c r="AF6" s="185" t="str">
        <f>+IS!AF6</f>
        <v>1Q23A</v>
      </c>
      <c r="AG6" s="185" t="str">
        <f>+IS!AG6</f>
        <v>2Q23A</v>
      </c>
      <c r="AH6" s="185" t="str">
        <f>+IS!AH6</f>
        <v>3Q23A</v>
      </c>
      <c r="AI6" s="185" t="str">
        <f>+IS!AI6</f>
        <v>4Q23A</v>
      </c>
      <c r="AJ6" s="186" t="str">
        <f>+IS!AJ6</f>
        <v>FY23A</v>
      </c>
      <c r="AK6" s="185" t="str">
        <f>+IS!AK6</f>
        <v>1Q24A</v>
      </c>
      <c r="AL6" s="185" t="str">
        <f>+IS!AL6</f>
        <v>2Q24A</v>
      </c>
      <c r="AM6" s="185" t="str">
        <f>+IS!AM6</f>
        <v>3Q24A</v>
      </c>
      <c r="AN6" s="185" t="str">
        <f>+IS!AN6</f>
        <v>4Q24A</v>
      </c>
      <c r="AO6" s="186" t="str">
        <f>+IS!AO6</f>
        <v>FY24A</v>
      </c>
      <c r="AP6" s="185" t="str">
        <f>+IS!AP6</f>
        <v>1Q25A</v>
      </c>
      <c r="AQ6" s="185" t="str">
        <f>+IS!AQ6</f>
        <v>2Q25A</v>
      </c>
      <c r="AR6" s="185" t="str">
        <f>+IS!AR6</f>
        <v>3Q25A</v>
      </c>
      <c r="AS6" s="185" t="str">
        <f>+IS!AS6</f>
        <v>4Q25A</v>
      </c>
      <c r="AT6" s="186" t="str">
        <f>+IS!AT6</f>
        <v>FY25A</v>
      </c>
      <c r="AU6" s="185" t="str">
        <f>+IS!AU6</f>
        <v>1Q26E</v>
      </c>
      <c r="AV6" s="185" t="str">
        <f>+IS!AV6</f>
        <v>2Q26E</v>
      </c>
      <c r="AW6" s="185" t="str">
        <f>+IS!AW6</f>
        <v>3Q26E</v>
      </c>
      <c r="AX6" s="185" t="str">
        <f>+IS!AX6</f>
        <v>4Q26E</v>
      </c>
      <c r="AY6" s="186" t="str">
        <f>+IS!AY6</f>
        <v>FY26E</v>
      </c>
      <c r="AZ6" s="185" t="str">
        <f>+IS!AZ6</f>
        <v>1Q27E</v>
      </c>
      <c r="BA6" s="185" t="str">
        <f>+IS!BA6</f>
        <v>2Q27E</v>
      </c>
      <c r="BB6" s="185" t="str">
        <f>+IS!BB6</f>
        <v>3Q27E</v>
      </c>
      <c r="BC6" s="185" t="str">
        <f>+IS!BC6</f>
        <v>4Q27E</v>
      </c>
      <c r="BD6" s="186" t="str">
        <f>+IS!BD6</f>
        <v>FY27E</v>
      </c>
      <c r="BE6" s="185" t="str">
        <f>+IS!BE6</f>
        <v>1Q28E</v>
      </c>
      <c r="BF6" s="185" t="str">
        <f>+IS!BF6</f>
        <v>2Q28E</v>
      </c>
      <c r="BG6" s="185" t="str">
        <f>+IS!BG6</f>
        <v>3Q28E</v>
      </c>
      <c r="BH6" s="185" t="str">
        <f>+IS!BH6</f>
        <v>4Q28E</v>
      </c>
      <c r="BI6" s="186" t="str">
        <f>+IS!BI6</f>
        <v>FY28E</v>
      </c>
      <c r="BJ6" s="185" t="str">
        <f>+IS!BJ6</f>
        <v>1Q29E</v>
      </c>
      <c r="BK6" s="185" t="str">
        <f>+IS!BK6</f>
        <v>2Q29E</v>
      </c>
      <c r="BL6" s="185" t="str">
        <f>+IS!BL6</f>
        <v>3Q29E</v>
      </c>
      <c r="BM6" s="185" t="str">
        <f>+IS!BM6</f>
        <v>4Q29E</v>
      </c>
      <c r="BN6" s="186" t="str">
        <f>+IS!BN6</f>
        <v>FY29E</v>
      </c>
      <c r="BO6" s="185" t="str">
        <f>+IS!BO6</f>
        <v>1Q30E</v>
      </c>
      <c r="BP6" s="185" t="str">
        <f>+IS!BP6</f>
        <v>2Q30E</v>
      </c>
      <c r="BQ6" s="185" t="str">
        <f>+IS!BQ6</f>
        <v>3Q30E</v>
      </c>
      <c r="BR6" s="185" t="str">
        <f>+IS!BR6</f>
        <v>4Q30E</v>
      </c>
      <c r="BS6" s="186" t="str">
        <f>+IS!BS6</f>
        <v>FY30E</v>
      </c>
      <c r="BT6" s="185" t="str">
        <f>+IS!BT6</f>
        <v>1Q31E</v>
      </c>
      <c r="BU6" s="185" t="str">
        <f>+IS!BU6</f>
        <v>2Q31E</v>
      </c>
      <c r="BV6" s="185" t="str">
        <f>+IS!BV6</f>
        <v>3Q31E</v>
      </c>
      <c r="BW6" s="185" t="str">
        <f>+IS!BW6</f>
        <v>4Q31E</v>
      </c>
      <c r="BX6" s="186" t="str">
        <f>+IS!BX6</f>
        <v>FY31E</v>
      </c>
      <c r="BY6" s="185" t="str">
        <f>+IS!BY6</f>
        <v>1Q32E</v>
      </c>
      <c r="BZ6" s="185" t="str">
        <f>+IS!BZ6</f>
        <v>2Q32E</v>
      </c>
      <c r="CA6" s="185" t="str">
        <f>+IS!CA6</f>
        <v>3Q32E</v>
      </c>
      <c r="CB6" s="185" t="str">
        <f>+IS!CB6</f>
        <v>4Q32E</v>
      </c>
      <c r="CC6" s="186" t="str">
        <f>+IS!CC6</f>
        <v>FY32E</v>
      </c>
      <c r="CD6" s="185" t="str">
        <f>+IS!CD6</f>
        <v>1Q33E</v>
      </c>
      <c r="CE6" s="185" t="str">
        <f>+IS!CE6</f>
        <v>2Q33E</v>
      </c>
      <c r="CF6" s="185" t="str">
        <f>+IS!CF6</f>
        <v>3Q33E</v>
      </c>
      <c r="CG6" s="185" t="str">
        <f>+IS!CG6</f>
        <v>4Q33E</v>
      </c>
      <c r="CH6" s="186" t="str">
        <f>+IS!CH6</f>
        <v>FY33E</v>
      </c>
      <c r="CI6" s="185" t="str">
        <f>+IS!CI6</f>
        <v>1Q34E</v>
      </c>
      <c r="CJ6" s="185" t="str">
        <f>+IS!CJ6</f>
        <v>2Q34E</v>
      </c>
      <c r="CK6" s="185" t="str">
        <f>+IS!CK6</f>
        <v>3Q34E</v>
      </c>
      <c r="CL6" s="185" t="str">
        <f>+IS!CL6</f>
        <v>4Q34E</v>
      </c>
      <c r="CM6" s="186" t="str">
        <f>+IS!CM6</f>
        <v>FY34E</v>
      </c>
    </row>
    <row r="7" spans="1:91" s="16" customFormat="1">
      <c r="A7" s="15" t="s">
        <v>76</v>
      </c>
      <c r="D7" s="143" t="s">
        <v>224</v>
      </c>
      <c r="F7" s="269"/>
      <c r="K7" s="269"/>
      <c r="P7" s="269"/>
      <c r="U7" s="269"/>
      <c r="Z7" s="269"/>
      <c r="AE7" s="269"/>
      <c r="AJ7" s="269"/>
      <c r="AO7" s="269"/>
      <c r="AT7" s="269"/>
      <c r="AU7" s="306"/>
      <c r="AY7" s="269"/>
      <c r="BD7" s="269"/>
      <c r="BI7" s="269"/>
      <c r="BN7" s="269"/>
      <c r="BS7" s="269"/>
      <c r="BX7" s="269"/>
      <c r="CC7" s="269"/>
      <c r="CH7" s="269"/>
      <c r="CM7" s="269"/>
    </row>
    <row r="8" spans="1:91" s="16" customFormat="1">
      <c r="A8" s="16" t="s">
        <v>11</v>
      </c>
      <c r="D8" s="26">
        <v>-68.161000000000001</v>
      </c>
      <c r="E8" s="26">
        <f t="shared" ref="E8:E16" si="0">F8-SUM(D8)</f>
        <v>-15.060000000000002</v>
      </c>
      <c r="F8" s="270">
        <v>-83.221000000000004</v>
      </c>
      <c r="G8" s="26">
        <v>-13.843999999999999</v>
      </c>
      <c r="H8" s="26">
        <f>-35.483-G8</f>
        <v>-21.638999999999996</v>
      </c>
      <c r="I8" s="26">
        <f>-58.991-H8-G8</f>
        <v>-23.508000000000003</v>
      </c>
      <c r="J8" s="26">
        <f>K8-SUM(G8:I8)</f>
        <v>-25.272000000000006</v>
      </c>
      <c r="K8" s="270">
        <f>-84.263</f>
        <v>-84.263000000000005</v>
      </c>
      <c r="L8" s="26">
        <v>-21.350999999999999</v>
      </c>
      <c r="M8" s="26">
        <f>-32.651-L8</f>
        <v>-11.300000000000004</v>
      </c>
      <c r="N8" s="26">
        <f>-45.741-M8-L8</f>
        <v>-13.089999999999996</v>
      </c>
      <c r="O8" s="26">
        <f>P8-SUM(L8:N8)</f>
        <v>-22.11</v>
      </c>
      <c r="P8" s="270">
        <v>-67.850999999999999</v>
      </c>
      <c r="Q8" s="26">
        <v>-31.829000000000001</v>
      </c>
      <c r="R8" s="26">
        <f>-81.568-Q8</f>
        <v>-49.738999999999997</v>
      </c>
      <c r="S8" s="26">
        <f>-153.238-R8-Q8</f>
        <v>-71.669999999999987</v>
      </c>
      <c r="T8" s="26">
        <f>U8-SUM(Q8:S8)</f>
        <v>-93.044999999999987</v>
      </c>
      <c r="U8" s="270">
        <v>-246.28299999999999</v>
      </c>
      <c r="V8" s="26">
        <v>-107.358</v>
      </c>
      <c r="W8" s="26">
        <f>-204.933-V8</f>
        <v>-97.574999999999989</v>
      </c>
      <c r="X8" s="26">
        <f>-312.459-W8-V8</f>
        <v>-107.52600000000001</v>
      </c>
      <c r="Y8" s="26">
        <f>Z8-SUM(V8:X8)</f>
        <v>-72.310999999999979</v>
      </c>
      <c r="Z8" s="270">
        <v>-384.77</v>
      </c>
      <c r="AA8" s="26">
        <v>-123.22799999999999</v>
      </c>
      <c r="AB8" s="26">
        <f>-352.66-AA8</f>
        <v>-229.43200000000002</v>
      </c>
      <c r="AC8" s="26">
        <f>-514.654-AB8-AA8</f>
        <v>-161.99399999999997</v>
      </c>
      <c r="AD8" s="26">
        <f>AE8-SUM(AA8:AC8)</f>
        <v>-139.93399999999997</v>
      </c>
      <c r="AE8" s="270">
        <v>-654.58799999999997</v>
      </c>
      <c r="AF8" s="26">
        <v>-133.53299999999999</v>
      </c>
      <c r="AG8" s="26">
        <f>-206.304-AF8</f>
        <v>-72.771000000000015</v>
      </c>
      <c r="AH8" s="26">
        <f>-292.406-AG8-AF8</f>
        <v>-86.102000000000004</v>
      </c>
      <c r="AI8" s="26">
        <f>AJ8-SUM(AF8:AH8)</f>
        <v>-187.04300000000001</v>
      </c>
      <c r="AJ8" s="270">
        <v>-479.44900000000001</v>
      </c>
      <c r="AK8" s="26">
        <v>-114.985</v>
      </c>
      <c r="AL8" s="26">
        <f>-217.613-AK8</f>
        <v>-102.628</v>
      </c>
      <c r="AM8" s="26">
        <f>-325.367-SUM(AK8:AL8)</f>
        <v>-107.75400000000002</v>
      </c>
      <c r="AN8" s="26">
        <f>AO8-SUM(AK8:AM8)</f>
        <v>-111.00599999999997</v>
      </c>
      <c r="AO8" s="270">
        <v>-436.37299999999999</v>
      </c>
      <c r="AP8" s="26">
        <v>-95.159000000000006</v>
      </c>
      <c r="AQ8" s="26">
        <f>-195.058-AP8</f>
        <v>-99.898999999999987</v>
      </c>
      <c r="AR8" s="26">
        <f>-287.783-AQ8-AP8</f>
        <v>-92.725000000000009</v>
      </c>
      <c r="AS8" s="26">
        <f>-416.277-AP8-AQ8-AR8</f>
        <v>-128.49399999999997</v>
      </c>
      <c r="AT8" s="270">
        <f>SUM(AP8:AS8)</f>
        <v>-416.27699999999999</v>
      </c>
      <c r="AU8" s="355">
        <f>+IS!AU31</f>
        <v>-77.36212997918112</v>
      </c>
      <c r="AV8" s="26">
        <f>+IS!AV31</f>
        <v>-79.847075063633298</v>
      </c>
      <c r="AW8" s="26">
        <f>+IS!AW31</f>
        <v>-77.294314911959759</v>
      </c>
      <c r="AX8" s="26">
        <f>+IS!AX31</f>
        <v>-98.685635679343349</v>
      </c>
      <c r="AY8" s="270">
        <f>SUM(AU8:AX8)</f>
        <v>-333.18915563411753</v>
      </c>
      <c r="AZ8" s="26">
        <f>+IS!AZ31</f>
        <v>-26.196858697762742</v>
      </c>
      <c r="BA8" s="26">
        <f>+IS!BA31</f>
        <v>-27.002024899015279</v>
      </c>
      <c r="BB8" s="26">
        <f>+IS!BB31</f>
        <v>-30.672376942004274</v>
      </c>
      <c r="BC8" s="26">
        <f>+IS!BC31</f>
        <v>-51.448110278703474</v>
      </c>
      <c r="BD8" s="270">
        <f>SUM(AZ8:BC8)</f>
        <v>-135.31937081748578</v>
      </c>
      <c r="BE8" s="26">
        <f>+IS!BE31</f>
        <v>33.890449507352962</v>
      </c>
      <c r="BF8" s="26">
        <f>+IS!BF31</f>
        <v>34.675009192476125</v>
      </c>
      <c r="BG8" s="26">
        <f>+IS!BG31</f>
        <v>33.774288278024621</v>
      </c>
      <c r="BH8" s="26">
        <f>+IS!BH31</f>
        <v>11.041762375445629</v>
      </c>
      <c r="BI8" s="270">
        <f>SUM(BE8:BH8)</f>
        <v>113.38150935329934</v>
      </c>
      <c r="BJ8" s="26">
        <f>+IS!BJ31</f>
        <v>96.944207017476131</v>
      </c>
      <c r="BK8" s="26">
        <f>+IS!BK31</f>
        <v>91.311948711343319</v>
      </c>
      <c r="BL8" s="26">
        <f>+IS!BL31</f>
        <v>91.832313468945557</v>
      </c>
      <c r="BM8" s="26">
        <f>+IS!BM31</f>
        <v>61.730851305269525</v>
      </c>
      <c r="BN8" s="270">
        <f>SUM(BJ8:BM8)</f>
        <v>341.81932050303453</v>
      </c>
      <c r="BO8" s="26">
        <f>+IS!BO31</f>
        <v>159.04554730771679</v>
      </c>
      <c r="BP8" s="26">
        <f>+IS!BP31</f>
        <v>159.35408577987087</v>
      </c>
      <c r="BQ8" s="26">
        <f>+IS!BQ31</f>
        <v>154.31724516907582</v>
      </c>
      <c r="BR8" s="26">
        <f>+IS!BR31</f>
        <v>121.19388225584845</v>
      </c>
      <c r="BS8" s="270">
        <f>SUM(BO8:BR8)</f>
        <v>593.91076051251184</v>
      </c>
      <c r="BT8" s="26">
        <f>+IS!BT31</f>
        <v>217.95942614453583</v>
      </c>
      <c r="BU8" s="26">
        <f>+IS!BU31</f>
        <v>208.38283212892719</v>
      </c>
      <c r="BV8" s="26">
        <f>+IS!BV31</f>
        <v>199.49263021197538</v>
      </c>
      <c r="BW8" s="26">
        <f>+IS!BW31</f>
        <v>160.17812260510942</v>
      </c>
      <c r="BX8" s="270">
        <f>SUM(BT8:BW8)</f>
        <v>786.01301109054771</v>
      </c>
      <c r="BY8" s="26">
        <f>+IS!BY31</f>
        <v>258.0365146367277</v>
      </c>
      <c r="BZ8" s="26">
        <f>+IS!BZ31</f>
        <v>247.33296330981486</v>
      </c>
      <c r="CA8" s="26">
        <f>+IS!CA31</f>
        <v>239.21657296794541</v>
      </c>
      <c r="CB8" s="26">
        <f>+IS!CB31</f>
        <v>194.54737599191577</v>
      </c>
      <c r="CC8" s="270">
        <f>SUM(BY8:CB8)</f>
        <v>939.13342690640366</v>
      </c>
      <c r="CD8" s="26">
        <f>+IS!CD31</f>
        <v>303.29445170195601</v>
      </c>
      <c r="CE8" s="26">
        <f>+IS!CE31</f>
        <v>294.25787660996599</v>
      </c>
      <c r="CF8" s="26">
        <f>+IS!CF31</f>
        <v>275.36586262975777</v>
      </c>
      <c r="CG8" s="26">
        <f>+IS!CG31</f>
        <v>224.71695924409087</v>
      </c>
      <c r="CH8" s="270">
        <f>SUM(CD8:CG8)</f>
        <v>1097.6351501857707</v>
      </c>
      <c r="CI8" s="26">
        <f>+IS!CI31</f>
        <v>338.12484016803967</v>
      </c>
      <c r="CJ8" s="26">
        <f>+IS!CJ31</f>
        <v>322.88141732978823</v>
      </c>
      <c r="CK8" s="26">
        <f>+IS!CK31</f>
        <v>302.38293843027668</v>
      </c>
      <c r="CL8" s="26">
        <f>+IS!CL31</f>
        <v>245.27453989762958</v>
      </c>
      <c r="CM8" s="270">
        <f>SUM(CI8:CL8)</f>
        <v>1208.6637358257342</v>
      </c>
    </row>
    <row r="9" spans="1:91" s="16" customFormat="1">
      <c r="A9" s="16" t="s">
        <v>77</v>
      </c>
      <c r="D9" s="26">
        <v>3.8140000000000001</v>
      </c>
      <c r="E9" s="26">
        <f t="shared" si="0"/>
        <v>1.3920000000000003</v>
      </c>
      <c r="F9" s="270">
        <v>5.2060000000000004</v>
      </c>
      <c r="G9" s="26">
        <v>1.395</v>
      </c>
      <c r="H9" s="26">
        <f>2.964-G9</f>
        <v>1.569</v>
      </c>
      <c r="I9" s="26">
        <f>4.967-H9-G9</f>
        <v>2.0029999999999997</v>
      </c>
      <c r="J9" s="26">
        <f t="shared" ref="J9:J16" si="1">K9-SUM(G9:I9)</f>
        <v>2.1690000000000005</v>
      </c>
      <c r="K9" s="270">
        <f>7.136</f>
        <v>7.1360000000000001</v>
      </c>
      <c r="L9" s="26">
        <v>2.3540000000000001</v>
      </c>
      <c r="M9" s="26">
        <f>5.011-L9</f>
        <v>2.657</v>
      </c>
      <c r="N9" s="26">
        <f>7.963-M9-L9</f>
        <v>2.952</v>
      </c>
      <c r="O9" s="26">
        <f t="shared" ref="O9:O23" si="2">P9-SUM(L9:N9)</f>
        <v>3.4479999999999995</v>
      </c>
      <c r="P9" s="270">
        <v>11.411</v>
      </c>
      <c r="Q9" s="26">
        <v>3.3039999999999998</v>
      </c>
      <c r="R9" s="26">
        <f>7.109-Q9</f>
        <v>3.8050000000000002</v>
      </c>
      <c r="S9" s="26">
        <f>11.462-R9-Q9</f>
        <v>4.3529999999999998</v>
      </c>
      <c r="T9" s="26">
        <f t="shared" ref="T9:T23" si="3">U9-SUM(Q9:S9)</f>
        <v>4.6030000000000015</v>
      </c>
      <c r="U9" s="270">
        <v>16.065000000000001</v>
      </c>
      <c r="V9" s="26">
        <v>5.01</v>
      </c>
      <c r="W9" s="26">
        <f>10.637-V9</f>
        <v>5.6270000000000007</v>
      </c>
      <c r="X9" s="26">
        <f>16.181-W9-V9</f>
        <v>5.5440000000000005</v>
      </c>
      <c r="Y9" s="26">
        <f t="shared" ref="Y9:Y23" si="4">Z9-SUM(V9:X9)</f>
        <v>6.09</v>
      </c>
      <c r="Z9" s="270">
        <v>22.271000000000001</v>
      </c>
      <c r="AA9" s="26">
        <v>7.2009999999999996</v>
      </c>
      <c r="AB9" s="26">
        <f>15.986-AA9</f>
        <v>8.7850000000000001</v>
      </c>
      <c r="AC9" s="26">
        <f>25.793-AB9-AA9</f>
        <v>9.8069999999999986</v>
      </c>
      <c r="AD9" s="26">
        <f t="shared" ref="AD9:AD23" si="5">AE9-SUM(AA9:AC9)</f>
        <v>10.169000000000004</v>
      </c>
      <c r="AE9" s="270">
        <v>35.962000000000003</v>
      </c>
      <c r="AF9" s="26">
        <v>10.345000000000001</v>
      </c>
      <c r="AG9" s="26">
        <f>20.976-AF9</f>
        <v>10.630999999999998</v>
      </c>
      <c r="AH9" s="26">
        <f>32.013-AG9-AF9</f>
        <v>11.036999999999997</v>
      </c>
      <c r="AI9" s="26">
        <f t="shared" ref="AI9:AI23" si="6">AJ9-SUM(AF9:AH9)</f>
        <v>10.868000000000002</v>
      </c>
      <c r="AJ9" s="270">
        <v>42.881</v>
      </c>
      <c r="AK9" s="26">
        <v>10.712</v>
      </c>
      <c r="AL9" s="26">
        <f>21.335-AK9</f>
        <v>10.623000000000001</v>
      </c>
      <c r="AM9" s="26">
        <f>31.933-SUM(AK9:AL9)</f>
        <v>10.597999999999999</v>
      </c>
      <c r="AN9" s="26">
        <f t="shared" ref="AN9:AN16" si="7">AO9-SUM(AK9:AM9)</f>
        <v>10.454000000000001</v>
      </c>
      <c r="AO9" s="270">
        <v>42.387</v>
      </c>
      <c r="AP9" s="26">
        <v>10.236000000000001</v>
      </c>
      <c r="AQ9" s="26">
        <f>20.278-AP9</f>
        <v>10.041999999999998</v>
      </c>
      <c r="AR9" s="26">
        <f>29.686-AQ9-AP9</f>
        <v>9.4080000000000013</v>
      </c>
      <c r="AS9" s="26">
        <f>39.736-AP9-AQ9-AR9</f>
        <v>10.049999999999997</v>
      </c>
      <c r="AT9" s="270">
        <f>SUM(AP9:AS9)</f>
        <v>39.735999999999997</v>
      </c>
      <c r="AU9" s="355">
        <f>-'Other Accts'!AU49-'Other Accts'!AU57</f>
        <v>9.3330868055555545</v>
      </c>
      <c r="AV9" s="26">
        <f>-'Other Accts'!AV49-'Other Accts'!AV57</f>
        <v>9.2762503858024683</v>
      </c>
      <c r="AW9" s="26">
        <f>-'Other Accts'!AW49-'Other Accts'!AW57</f>
        <v>9.2225715449245538</v>
      </c>
      <c r="AX9" s="26">
        <f>-'Other Accts'!AX49-'Other Accts'!AX57</f>
        <v>9.1718748618731905</v>
      </c>
      <c r="AY9" s="270">
        <f>SUM(AU9:AX9)</f>
        <v>37.003783598155771</v>
      </c>
      <c r="AZ9" s="26">
        <f>-'Other Accts'!AZ49-'Other Accts'!AZ57</f>
        <v>9.1616296438524571</v>
      </c>
      <c r="BA9" s="26">
        <f>-'Other Accts'!BA49-'Other Accts'!BA57</f>
        <v>9.2475822938467669</v>
      </c>
      <c r="BB9" s="26">
        <f>-'Other Accts'!BB49-'Other Accts'!BB57</f>
        <v>9.3287597966191687</v>
      </c>
      <c r="BC9" s="26">
        <f>-'Other Accts'!BC49-'Other Accts'!BC57</f>
        <v>9.405427438126436</v>
      </c>
      <c r="BD9" s="270">
        <f>SUM(AZ9:BC9)</f>
        <v>37.14339917244483</v>
      </c>
      <c r="BE9" s="26">
        <f>-'Other Accts'!BE49-'Other Accts'!BE57</f>
        <v>9.5281274871367732</v>
      </c>
      <c r="BF9" s="26">
        <f>-'Other Accts'!BF49-'Other Accts'!BF57</f>
        <v>9.7276859698392446</v>
      </c>
      <c r="BG9" s="26">
        <f>-'Other Accts'!BG49-'Other Accts'!BG57</f>
        <v>9.9161578701693571</v>
      </c>
      <c r="BH9" s="26">
        <f>-'Other Accts'!BH49-'Other Accts'!BH57</f>
        <v>10.094159109370016</v>
      </c>
      <c r="BI9" s="270">
        <f>SUM(BE9:BH9)</f>
        <v>39.26613043651539</v>
      </c>
      <c r="BJ9" s="26">
        <f>-'Other Accts'!BJ49-'Other Accts'!BJ57</f>
        <v>10.32363775775354</v>
      </c>
      <c r="BK9" s="26">
        <f>-'Other Accts'!BK49-'Other Accts'!BK57</f>
        <v>10.613583307534375</v>
      </c>
      <c r="BL9" s="26">
        <f>-'Other Accts'!BL49-'Other Accts'!BL57</f>
        <v>10.887420771216275</v>
      </c>
      <c r="BM9" s="26">
        <f>-'Other Accts'!BM49-'Other Accts'!BM57</f>
        <v>11.146045042471403</v>
      </c>
      <c r="BN9" s="270">
        <f>SUM(BJ9:BM9)</f>
        <v>42.970686878975599</v>
      </c>
      <c r="BO9" s="26">
        <f>-'Other Accts'!BO49-'Other Accts'!BO57</f>
        <v>11.391913536375174</v>
      </c>
      <c r="BP9" s="26">
        <f>-'Other Accts'!BP49-'Other Accts'!BP57</f>
        <v>11.688186420303358</v>
      </c>
      <c r="BQ9" s="26">
        <f>-'Other Accts'!BQ49-'Other Accts'!BQ57</f>
        <v>11.967999699568868</v>
      </c>
      <c r="BR9" s="26">
        <f>-'Other Accts'!BR49-'Other Accts'!BR57</f>
        <v>12.232267796652961</v>
      </c>
      <c r="BS9" s="270">
        <f>SUM(BO9:BR9)</f>
        <v>47.280367452900364</v>
      </c>
      <c r="BT9" s="26">
        <f>-'Other Accts'!BT49-'Other Accts'!BT57</f>
        <v>12.491945596347064</v>
      </c>
      <c r="BU9" s="26">
        <f>-'Other Accts'!BU49-'Other Accts'!BU57</f>
        <v>12.793252633560961</v>
      </c>
      <c r="BV9" s="26">
        <f>-'Other Accts'!BV49-'Other Accts'!BV57</f>
        <v>13.077820390929642</v>
      </c>
      <c r="BW9" s="26">
        <f>-'Other Accts'!BW49-'Other Accts'!BW57</f>
        <v>13.346578828444505</v>
      </c>
      <c r="BX9" s="270">
        <f>SUM(BT9:BW9)</f>
        <v>51.709597449282171</v>
      </c>
      <c r="BY9" s="26">
        <f>-'Other Accts'!BY49-'Other Accts'!BY57</f>
        <v>13.617916652822784</v>
      </c>
      <c r="BZ9" s="26">
        <f>-'Other Accts'!BZ49-'Other Accts'!BZ57</f>
        <v>13.923228962828327</v>
      </c>
      <c r="CA9" s="26">
        <f>-'Other Accts'!CA49-'Other Accts'!CA57</f>
        <v>14.211579477833562</v>
      </c>
      <c r="CB9" s="26">
        <f>-'Other Accts'!CB49-'Other Accts'!CB57</f>
        <v>14.483910519782949</v>
      </c>
      <c r="CC9" s="270">
        <f>SUM(BY9:CB9)</f>
        <v>56.236635613267623</v>
      </c>
      <c r="CD9" s="26">
        <f>-'Other Accts'!CD49-'Other Accts'!CD57</f>
        <v>14.76511422473094</v>
      </c>
      <c r="CE9" s="26">
        <f>-'Other Accts'!CE49-'Other Accts'!CE57</f>
        <v>15.073613209679625</v>
      </c>
      <c r="CF9" s="26">
        <f>-'Other Accts'!CF49-'Other Accts'!CF57</f>
        <v>15.36497336213116</v>
      </c>
      <c r="CG9" s="26">
        <f>-'Other Accts'!CG49-'Other Accts'!CG57</f>
        <v>15.640146839446498</v>
      </c>
      <c r="CH9" s="270">
        <f>SUM(CD9:CG9)</f>
        <v>60.843847635988226</v>
      </c>
      <c r="CI9" s="26">
        <f>-'Other Accts'!CI49-'Other Accts'!CI57</f>
        <v>15.929715351573968</v>
      </c>
      <c r="CJ9" s="26">
        <f>-'Other Accts'!CJ49-'Other Accts'!CJ57</f>
        <v>16.240749718685489</v>
      </c>
      <c r="CK9" s="26">
        <f>-'Other Accts'!CK49-'Other Accts'!CK57</f>
        <v>16.534504398735262</v>
      </c>
      <c r="CL9" s="26">
        <f>-'Other Accts'!CL49-'Other Accts'!CL57</f>
        <v>16.811939374337818</v>
      </c>
      <c r="CM9" s="270">
        <f>SUM(CI9:CL9)</f>
        <v>65.516908843332544</v>
      </c>
    </row>
    <row r="10" spans="1:91" s="16" customFormat="1">
      <c r="A10" s="16" t="s">
        <v>44</v>
      </c>
      <c r="D10" s="26">
        <v>0</v>
      </c>
      <c r="E10" s="26">
        <f t="shared" si="0"/>
        <v>0</v>
      </c>
      <c r="F10" s="270">
        <v>0</v>
      </c>
      <c r="G10" s="26">
        <v>0</v>
      </c>
      <c r="H10" s="26">
        <f>0-G10</f>
        <v>0</v>
      </c>
      <c r="I10" s="26">
        <f>0-H10-G10</f>
        <v>0</v>
      </c>
      <c r="J10" s="26">
        <f t="shared" si="1"/>
        <v>0</v>
      </c>
      <c r="K10" s="270">
        <v>0</v>
      </c>
      <c r="L10" s="26">
        <v>0</v>
      </c>
      <c r="M10" s="26">
        <f>0-L10</f>
        <v>0</v>
      </c>
      <c r="N10" s="26">
        <f>0-M10-L10</f>
        <v>0</v>
      </c>
      <c r="O10" s="26">
        <f t="shared" si="2"/>
        <v>0</v>
      </c>
      <c r="P10" s="270">
        <v>0</v>
      </c>
      <c r="Q10" s="26">
        <v>0</v>
      </c>
      <c r="R10" s="26">
        <f>0-Q10</f>
        <v>0</v>
      </c>
      <c r="S10" s="26">
        <f>0-R10-Q10</f>
        <v>0</v>
      </c>
      <c r="T10" s="26">
        <f t="shared" si="3"/>
        <v>0</v>
      </c>
      <c r="U10" s="270">
        <v>0</v>
      </c>
      <c r="V10" s="26">
        <v>0</v>
      </c>
      <c r="W10" s="26">
        <f>0-V10</f>
        <v>0</v>
      </c>
      <c r="X10" s="26">
        <f>0-W10-V10</f>
        <v>0</v>
      </c>
      <c r="Y10" s="26">
        <f t="shared" si="4"/>
        <v>0</v>
      </c>
      <c r="Z10" s="270">
        <v>0</v>
      </c>
      <c r="AA10" s="26">
        <v>0</v>
      </c>
      <c r="AB10" s="26">
        <f>0-AA10</f>
        <v>0</v>
      </c>
      <c r="AC10" s="26">
        <f>0-AB10-AA10</f>
        <v>0</v>
      </c>
      <c r="AD10" s="26">
        <f t="shared" si="5"/>
        <v>0</v>
      </c>
      <c r="AE10" s="270">
        <v>0</v>
      </c>
      <c r="AF10" s="26">
        <v>0</v>
      </c>
      <c r="AG10" s="26">
        <f>0-AF10</f>
        <v>0</v>
      </c>
      <c r="AH10" s="26">
        <f>0-AG10-AF10</f>
        <v>0</v>
      </c>
      <c r="AI10" s="26">
        <f t="shared" si="6"/>
        <v>0</v>
      </c>
      <c r="AJ10" s="270">
        <v>0</v>
      </c>
      <c r="AK10" s="26">
        <v>0</v>
      </c>
      <c r="AL10" s="26">
        <f>0-AK10</f>
        <v>0</v>
      </c>
      <c r="AM10" s="26">
        <f>0-SUM(AK10:AL10)</f>
        <v>0</v>
      </c>
      <c r="AN10" s="26">
        <f t="shared" si="7"/>
        <v>0</v>
      </c>
      <c r="AO10" s="270">
        <v>0</v>
      </c>
      <c r="AP10" s="26">
        <v>0</v>
      </c>
      <c r="AQ10" s="26">
        <f>0-AP10</f>
        <v>0</v>
      </c>
      <c r="AR10" s="26">
        <f>0-AQ10-AP10</f>
        <v>0</v>
      </c>
      <c r="AS10" s="26">
        <f>0-AP10-AQ10-AR10</f>
        <v>0</v>
      </c>
      <c r="AT10" s="270">
        <f>SUM(AP10:AS10)</f>
        <v>0</v>
      </c>
      <c r="AU10" s="369">
        <v>0</v>
      </c>
      <c r="AV10" s="27">
        <v>0</v>
      </c>
      <c r="AW10" s="27">
        <v>0</v>
      </c>
      <c r="AX10" s="27">
        <v>0</v>
      </c>
      <c r="AY10" s="270">
        <f>SUM(AU10:AX10)</f>
        <v>0</v>
      </c>
      <c r="AZ10" s="27">
        <v>0</v>
      </c>
      <c r="BA10" s="27">
        <v>0</v>
      </c>
      <c r="BB10" s="27">
        <v>0</v>
      </c>
      <c r="BC10" s="27">
        <v>0</v>
      </c>
      <c r="BD10" s="270">
        <f>SUM(AZ10:BC10)</f>
        <v>0</v>
      </c>
      <c r="BE10" s="27">
        <v>0</v>
      </c>
      <c r="BF10" s="27">
        <v>0</v>
      </c>
      <c r="BG10" s="27">
        <v>0</v>
      </c>
      <c r="BH10" s="27">
        <v>0</v>
      </c>
      <c r="BI10" s="270">
        <f>SUM(BE10:BH10)</f>
        <v>0</v>
      </c>
      <c r="BJ10" s="27">
        <v>0</v>
      </c>
      <c r="BK10" s="27">
        <v>0</v>
      </c>
      <c r="BL10" s="27">
        <v>0</v>
      </c>
      <c r="BM10" s="27">
        <v>0</v>
      </c>
      <c r="BN10" s="270">
        <f>SUM(BJ10:BM10)</f>
        <v>0</v>
      </c>
      <c r="BO10" s="27">
        <v>0</v>
      </c>
      <c r="BP10" s="27">
        <v>0</v>
      </c>
      <c r="BQ10" s="27">
        <v>0</v>
      </c>
      <c r="BR10" s="27">
        <v>0</v>
      </c>
      <c r="BS10" s="270">
        <f>SUM(BO10:BR10)</f>
        <v>0</v>
      </c>
      <c r="BT10" s="27">
        <v>0</v>
      </c>
      <c r="BU10" s="27">
        <v>0</v>
      </c>
      <c r="BV10" s="27">
        <v>0</v>
      </c>
      <c r="BW10" s="27">
        <v>0</v>
      </c>
      <c r="BX10" s="270">
        <f>SUM(BT10:BW10)</f>
        <v>0</v>
      </c>
      <c r="BY10" s="27">
        <v>0</v>
      </c>
      <c r="BZ10" s="27">
        <v>0</v>
      </c>
      <c r="CA10" s="27">
        <v>0</v>
      </c>
      <c r="CB10" s="27">
        <v>0</v>
      </c>
      <c r="CC10" s="270">
        <f>SUM(BY10:CB10)</f>
        <v>0</v>
      </c>
      <c r="CD10" s="27">
        <v>0</v>
      </c>
      <c r="CE10" s="27">
        <v>0</v>
      </c>
      <c r="CF10" s="27">
        <v>0</v>
      </c>
      <c r="CG10" s="27">
        <v>0</v>
      </c>
      <c r="CH10" s="270">
        <f>SUM(CD10:CG10)</f>
        <v>0</v>
      </c>
      <c r="CI10" s="27">
        <v>0</v>
      </c>
      <c r="CJ10" s="27">
        <v>0</v>
      </c>
      <c r="CK10" s="27">
        <v>0</v>
      </c>
      <c r="CL10" s="27">
        <v>0</v>
      </c>
      <c r="CM10" s="270">
        <f>SUM(CI10:CL10)</f>
        <v>0</v>
      </c>
    </row>
    <row r="11" spans="1:91" s="16" customFormat="1">
      <c r="A11" s="16" t="s">
        <v>78</v>
      </c>
      <c r="D11" s="26">
        <v>0</v>
      </c>
      <c r="E11" s="26">
        <f t="shared" si="0"/>
        <v>0</v>
      </c>
      <c r="F11" s="270">
        <v>0</v>
      </c>
      <c r="G11" s="26">
        <v>0</v>
      </c>
      <c r="H11" s="26">
        <f>0-G11</f>
        <v>0</v>
      </c>
      <c r="I11" s="26">
        <f>0-H11-G11</f>
        <v>0</v>
      </c>
      <c r="J11" s="26">
        <f t="shared" si="1"/>
        <v>0</v>
      </c>
      <c r="K11" s="270">
        <v>0</v>
      </c>
      <c r="L11" s="26">
        <v>0</v>
      </c>
      <c r="M11" s="26">
        <f>0-L11</f>
        <v>0</v>
      </c>
      <c r="N11" s="26">
        <f>0-M11-L11</f>
        <v>0</v>
      </c>
      <c r="O11" s="26">
        <f t="shared" si="2"/>
        <v>0</v>
      </c>
      <c r="P11" s="270">
        <v>0</v>
      </c>
      <c r="Q11" s="26">
        <v>0</v>
      </c>
      <c r="R11" s="26">
        <f>0-Q11</f>
        <v>0</v>
      </c>
      <c r="S11" s="26">
        <f>0-R11-Q11</f>
        <v>0</v>
      </c>
      <c r="T11" s="26">
        <f t="shared" si="3"/>
        <v>0</v>
      </c>
      <c r="U11" s="270">
        <v>0</v>
      </c>
      <c r="V11" s="26">
        <v>0</v>
      </c>
      <c r="W11" s="26">
        <f>0-V11</f>
        <v>0</v>
      </c>
      <c r="X11" s="26">
        <f>0-W11-V11</f>
        <v>0</v>
      </c>
      <c r="Y11" s="26">
        <f t="shared" si="4"/>
        <v>0</v>
      </c>
      <c r="Z11" s="270">
        <v>0</v>
      </c>
      <c r="AA11" s="26">
        <v>0</v>
      </c>
      <c r="AB11" s="26">
        <f>0-AA11</f>
        <v>0</v>
      </c>
      <c r="AC11" s="26">
        <f>0-AB11-AA11</f>
        <v>0</v>
      </c>
      <c r="AD11" s="26">
        <f t="shared" si="5"/>
        <v>0</v>
      </c>
      <c r="AE11" s="270">
        <v>0</v>
      </c>
      <c r="AF11" s="26">
        <v>0</v>
      </c>
      <c r="AG11" s="26">
        <f>0-AF11</f>
        <v>0</v>
      </c>
      <c r="AH11" s="26">
        <f>0-AG11-AF11</f>
        <v>0</v>
      </c>
      <c r="AI11" s="26">
        <f t="shared" si="6"/>
        <v>0</v>
      </c>
      <c r="AJ11" s="270">
        <v>0</v>
      </c>
      <c r="AK11" s="26">
        <v>0</v>
      </c>
      <c r="AL11" s="26">
        <f>0-AK11</f>
        <v>0</v>
      </c>
      <c r="AM11" s="26">
        <f>0-SUM(AK11:AL11)</f>
        <v>0</v>
      </c>
      <c r="AN11" s="26">
        <f t="shared" si="7"/>
        <v>0</v>
      </c>
      <c r="AO11" s="270">
        <v>0</v>
      </c>
      <c r="AP11" s="26">
        <v>0</v>
      </c>
      <c r="AQ11" s="26">
        <f>0-AP11</f>
        <v>0</v>
      </c>
      <c r="AR11" s="26">
        <f t="shared" ref="AR11:AR12" si="8">0-AQ11-AP11</f>
        <v>0</v>
      </c>
      <c r="AS11" s="26">
        <f>0-AP11-AQ11-AR11</f>
        <v>0</v>
      </c>
      <c r="AT11" s="270">
        <f t="shared" ref="AT11:AT16" si="9">SUM(AP11:AS11)</f>
        <v>0</v>
      </c>
      <c r="AU11" s="369">
        <v>0</v>
      </c>
      <c r="AV11" s="27">
        <v>0</v>
      </c>
      <c r="AW11" s="27">
        <v>0</v>
      </c>
      <c r="AX11" s="27">
        <v>0</v>
      </c>
      <c r="AY11" s="270">
        <f t="shared" ref="AY11:AY16" si="10">SUM(AU11:AX11)</f>
        <v>0</v>
      </c>
      <c r="AZ11" s="27">
        <v>0</v>
      </c>
      <c r="BA11" s="27">
        <v>0</v>
      </c>
      <c r="BB11" s="27">
        <v>0</v>
      </c>
      <c r="BC11" s="27">
        <v>0</v>
      </c>
      <c r="BD11" s="270">
        <f t="shared" ref="BD11:BD13" si="11">SUM(AZ11:BC11)</f>
        <v>0</v>
      </c>
      <c r="BE11" s="27">
        <v>0</v>
      </c>
      <c r="BF11" s="27">
        <v>0</v>
      </c>
      <c r="BG11" s="27">
        <v>0</v>
      </c>
      <c r="BH11" s="27">
        <v>0</v>
      </c>
      <c r="BI11" s="270">
        <f t="shared" ref="BI11:BI13" si="12">SUM(BE11:BH11)</f>
        <v>0</v>
      </c>
      <c r="BJ11" s="27">
        <v>0</v>
      </c>
      <c r="BK11" s="27">
        <v>0</v>
      </c>
      <c r="BL11" s="27">
        <v>0</v>
      </c>
      <c r="BM11" s="27">
        <v>0</v>
      </c>
      <c r="BN11" s="270">
        <f t="shared" ref="BN11:BN13" si="13">SUM(BJ11:BM11)</f>
        <v>0</v>
      </c>
      <c r="BO11" s="27">
        <v>0</v>
      </c>
      <c r="BP11" s="27">
        <v>0</v>
      </c>
      <c r="BQ11" s="27">
        <v>0</v>
      </c>
      <c r="BR11" s="27">
        <v>0</v>
      </c>
      <c r="BS11" s="270">
        <f t="shared" ref="BS11:BS13" si="14">SUM(BO11:BR11)</f>
        <v>0</v>
      </c>
      <c r="BT11" s="27">
        <v>0</v>
      </c>
      <c r="BU11" s="27">
        <v>0</v>
      </c>
      <c r="BV11" s="27">
        <v>0</v>
      </c>
      <c r="BW11" s="27">
        <v>0</v>
      </c>
      <c r="BX11" s="270">
        <f t="shared" ref="BX11:BX13" si="15">SUM(BT11:BW11)</f>
        <v>0</v>
      </c>
      <c r="BY11" s="27">
        <v>0</v>
      </c>
      <c r="BZ11" s="27">
        <v>0</v>
      </c>
      <c r="CA11" s="27">
        <v>0</v>
      </c>
      <c r="CB11" s="27">
        <v>0</v>
      </c>
      <c r="CC11" s="270">
        <f t="shared" ref="CC11:CC13" si="16">SUM(BY11:CB11)</f>
        <v>0</v>
      </c>
      <c r="CD11" s="27">
        <v>0</v>
      </c>
      <c r="CE11" s="27">
        <v>0</v>
      </c>
      <c r="CF11" s="27">
        <v>0</v>
      </c>
      <c r="CG11" s="27">
        <v>0</v>
      </c>
      <c r="CH11" s="270">
        <f t="shared" ref="CH11:CH13" si="17">SUM(CD11:CG11)</f>
        <v>0</v>
      </c>
      <c r="CI11" s="27">
        <v>0</v>
      </c>
      <c r="CJ11" s="27">
        <v>0</v>
      </c>
      <c r="CK11" s="27">
        <v>0</v>
      </c>
      <c r="CL11" s="27">
        <v>0</v>
      </c>
      <c r="CM11" s="270">
        <f t="shared" ref="CM11:CM13" si="18">SUM(CI11:CL11)</f>
        <v>0</v>
      </c>
    </row>
    <row r="12" spans="1:91" s="16" customFormat="1">
      <c r="A12" s="16" t="s">
        <v>79</v>
      </c>
      <c r="D12" s="26">
        <v>0</v>
      </c>
      <c r="E12" s="26">
        <f t="shared" si="0"/>
        <v>0</v>
      </c>
      <c r="F12" s="270">
        <v>0</v>
      </c>
      <c r="G12" s="26">
        <v>0</v>
      </c>
      <c r="H12" s="26">
        <f>0-G12</f>
        <v>0</v>
      </c>
      <c r="I12" s="26">
        <f>0-H12-G12</f>
        <v>0</v>
      </c>
      <c r="J12" s="26">
        <f t="shared" si="1"/>
        <v>0</v>
      </c>
      <c r="K12" s="270">
        <v>0</v>
      </c>
      <c r="L12" s="26">
        <v>0</v>
      </c>
      <c r="M12" s="26">
        <f>0-L12</f>
        <v>0</v>
      </c>
      <c r="N12" s="26">
        <f>0-M12-L12</f>
        <v>0</v>
      </c>
      <c r="O12" s="26">
        <f t="shared" si="2"/>
        <v>0</v>
      </c>
      <c r="P12" s="270">
        <v>0</v>
      </c>
      <c r="Q12" s="26">
        <v>0</v>
      </c>
      <c r="R12" s="26">
        <f>0-Q12</f>
        <v>0</v>
      </c>
      <c r="S12" s="26">
        <f>0-R12-Q12</f>
        <v>0</v>
      </c>
      <c r="T12" s="26">
        <f t="shared" si="3"/>
        <v>0</v>
      </c>
      <c r="U12" s="270">
        <v>0</v>
      </c>
      <c r="V12" s="26">
        <v>0</v>
      </c>
      <c r="W12" s="26">
        <f>0-V12</f>
        <v>0</v>
      </c>
      <c r="X12" s="26">
        <f>0-W12-V12</f>
        <v>0</v>
      </c>
      <c r="Y12" s="26">
        <f t="shared" si="4"/>
        <v>0</v>
      </c>
      <c r="Z12" s="270">
        <v>0</v>
      </c>
      <c r="AA12" s="26">
        <v>0</v>
      </c>
      <c r="AB12" s="26">
        <f>0-AA12</f>
        <v>0</v>
      </c>
      <c r="AC12" s="26">
        <f>0-AB12-AA12</f>
        <v>0</v>
      </c>
      <c r="AD12" s="26">
        <f t="shared" si="5"/>
        <v>0</v>
      </c>
      <c r="AE12" s="270">
        <v>0</v>
      </c>
      <c r="AF12" s="26">
        <v>0</v>
      </c>
      <c r="AG12" s="26">
        <f>0-AF12</f>
        <v>0</v>
      </c>
      <c r="AH12" s="26">
        <f>0-AG12-AF12</f>
        <v>0</v>
      </c>
      <c r="AI12" s="26">
        <f t="shared" si="6"/>
        <v>0</v>
      </c>
      <c r="AJ12" s="270">
        <v>0</v>
      </c>
      <c r="AK12" s="26">
        <v>0</v>
      </c>
      <c r="AL12" s="26">
        <f>0-AK12</f>
        <v>0</v>
      </c>
      <c r="AM12" s="26">
        <f>0-SUM(AK12:AL12)</f>
        <v>0</v>
      </c>
      <c r="AN12" s="26">
        <f t="shared" si="7"/>
        <v>0</v>
      </c>
      <c r="AO12" s="270">
        <v>0</v>
      </c>
      <c r="AP12" s="26">
        <v>0</v>
      </c>
      <c r="AQ12" s="26">
        <f>0-AP12</f>
        <v>0</v>
      </c>
      <c r="AR12" s="26">
        <f t="shared" si="8"/>
        <v>0</v>
      </c>
      <c r="AS12" s="26">
        <f>0-AP12-AQ12-AR12</f>
        <v>0</v>
      </c>
      <c r="AT12" s="270">
        <f t="shared" si="9"/>
        <v>0</v>
      </c>
      <c r="AU12" s="369">
        <v>0</v>
      </c>
      <c r="AV12" s="27">
        <v>0</v>
      </c>
      <c r="AW12" s="27">
        <v>0</v>
      </c>
      <c r="AX12" s="27">
        <v>0</v>
      </c>
      <c r="AY12" s="270">
        <f t="shared" si="10"/>
        <v>0</v>
      </c>
      <c r="AZ12" s="27">
        <v>0</v>
      </c>
      <c r="BA12" s="27">
        <v>0</v>
      </c>
      <c r="BB12" s="27">
        <v>0</v>
      </c>
      <c r="BC12" s="27">
        <v>0</v>
      </c>
      <c r="BD12" s="270">
        <f t="shared" si="11"/>
        <v>0</v>
      </c>
      <c r="BE12" s="27">
        <v>0</v>
      </c>
      <c r="BF12" s="27">
        <v>0</v>
      </c>
      <c r="BG12" s="27">
        <v>0</v>
      </c>
      <c r="BH12" s="27">
        <v>0</v>
      </c>
      <c r="BI12" s="270">
        <f t="shared" si="12"/>
        <v>0</v>
      </c>
      <c r="BJ12" s="27">
        <v>0</v>
      </c>
      <c r="BK12" s="27">
        <v>0</v>
      </c>
      <c r="BL12" s="27">
        <v>0</v>
      </c>
      <c r="BM12" s="27">
        <v>0</v>
      </c>
      <c r="BN12" s="270">
        <f t="shared" si="13"/>
        <v>0</v>
      </c>
      <c r="BO12" s="27">
        <v>0</v>
      </c>
      <c r="BP12" s="27">
        <v>0</v>
      </c>
      <c r="BQ12" s="27">
        <v>0</v>
      </c>
      <c r="BR12" s="27">
        <v>0</v>
      </c>
      <c r="BS12" s="270">
        <f t="shared" si="14"/>
        <v>0</v>
      </c>
      <c r="BT12" s="27">
        <v>0</v>
      </c>
      <c r="BU12" s="27">
        <v>0</v>
      </c>
      <c r="BV12" s="27">
        <v>0</v>
      </c>
      <c r="BW12" s="27">
        <v>0</v>
      </c>
      <c r="BX12" s="270">
        <f t="shared" si="15"/>
        <v>0</v>
      </c>
      <c r="BY12" s="27">
        <v>0</v>
      </c>
      <c r="BZ12" s="27">
        <v>0</v>
      </c>
      <c r="CA12" s="27">
        <v>0</v>
      </c>
      <c r="CB12" s="27">
        <v>0</v>
      </c>
      <c r="CC12" s="270">
        <f t="shared" si="16"/>
        <v>0</v>
      </c>
      <c r="CD12" s="27">
        <v>0</v>
      </c>
      <c r="CE12" s="27">
        <v>0</v>
      </c>
      <c r="CF12" s="27">
        <v>0</v>
      </c>
      <c r="CG12" s="27">
        <v>0</v>
      </c>
      <c r="CH12" s="270">
        <f t="shared" si="17"/>
        <v>0</v>
      </c>
      <c r="CI12" s="27">
        <v>0</v>
      </c>
      <c r="CJ12" s="27">
        <v>0</v>
      </c>
      <c r="CK12" s="27">
        <v>0</v>
      </c>
      <c r="CL12" s="27">
        <v>0</v>
      </c>
      <c r="CM12" s="270">
        <f t="shared" si="18"/>
        <v>0</v>
      </c>
    </row>
    <row r="13" spans="1:91" s="16" customFormat="1">
      <c r="A13" s="16" t="s">
        <v>80</v>
      </c>
      <c r="D13" s="26">
        <v>2.0979999999999999</v>
      </c>
      <c r="E13" s="26">
        <f t="shared" si="0"/>
        <v>1.5720000000000001</v>
      </c>
      <c r="F13" s="270">
        <v>3.67</v>
      </c>
      <c r="G13" s="26">
        <v>1.2769999999999999</v>
      </c>
      <c r="H13" s="26">
        <f>2.457-G13</f>
        <v>1.18</v>
      </c>
      <c r="I13" s="26">
        <f>4.288-H13-G13</f>
        <v>1.8310000000000006</v>
      </c>
      <c r="J13" s="26">
        <f t="shared" si="1"/>
        <v>2.5629999999999997</v>
      </c>
      <c r="K13" s="270">
        <f>6.851</f>
        <v>6.851</v>
      </c>
      <c r="L13" s="26">
        <v>3.1819999999999999</v>
      </c>
      <c r="M13" s="26">
        <f>6.397-L13</f>
        <v>3.2150000000000003</v>
      </c>
      <c r="N13" s="26">
        <f>11.882-M13-L13</f>
        <v>5.4849999999999994</v>
      </c>
      <c r="O13" s="26">
        <f t="shared" si="2"/>
        <v>5.072000000000001</v>
      </c>
      <c r="P13" s="270">
        <v>16.954000000000001</v>
      </c>
      <c r="Q13" s="26">
        <v>6.3380000000000001</v>
      </c>
      <c r="R13" s="26">
        <f>32.153-Q13</f>
        <v>25.814999999999998</v>
      </c>
      <c r="S13" s="26">
        <f>87.351-R13-Q13</f>
        <v>55.198</v>
      </c>
      <c r="T13" s="26">
        <f t="shared" si="3"/>
        <v>56.762</v>
      </c>
      <c r="U13" s="270">
        <v>144.113</v>
      </c>
      <c r="V13" s="26">
        <v>55.069000000000003</v>
      </c>
      <c r="W13" s="26">
        <f>89.576-V13</f>
        <v>34.506999999999991</v>
      </c>
      <c r="X13" s="26">
        <f>124.592-W13-V13</f>
        <v>35.016000000000005</v>
      </c>
      <c r="Y13" s="26">
        <f t="shared" si="4"/>
        <v>26.857000000000014</v>
      </c>
      <c r="Z13" s="270">
        <v>151.44900000000001</v>
      </c>
      <c r="AA13" s="26">
        <v>24.798999999999999</v>
      </c>
      <c r="AB13" s="26">
        <f>50.343-AA13</f>
        <v>25.544000000000004</v>
      </c>
      <c r="AC13" s="26">
        <f>70.982-AB13-AA13</f>
        <v>20.638999999999996</v>
      </c>
      <c r="AD13" s="26">
        <f t="shared" si="5"/>
        <v>23.703000000000003</v>
      </c>
      <c r="AE13" s="270">
        <v>94.685000000000002</v>
      </c>
      <c r="AF13" s="26">
        <v>22.265999999999998</v>
      </c>
      <c r="AG13" s="26">
        <f>44.62-AF13</f>
        <v>22.353999999999999</v>
      </c>
      <c r="AH13" s="26">
        <f>66.439-AG13-AF13</f>
        <v>21.818999999999996</v>
      </c>
      <c r="AI13" s="26">
        <f t="shared" si="6"/>
        <v>24.320000000000007</v>
      </c>
      <c r="AJ13" s="270">
        <v>90.759</v>
      </c>
      <c r="AK13" s="26">
        <v>27.041</v>
      </c>
      <c r="AL13" s="26">
        <f>54.276-AK13</f>
        <v>27.235000000000003</v>
      </c>
      <c r="AM13" s="26">
        <f>104.045-SUM(AK13:AL13)</f>
        <v>49.768999999999998</v>
      </c>
      <c r="AN13" s="26">
        <f t="shared" si="7"/>
        <v>36.366</v>
      </c>
      <c r="AO13" s="270">
        <v>140.411</v>
      </c>
      <c r="AP13" s="26">
        <v>37.756999999999998</v>
      </c>
      <c r="AQ13" s="26">
        <f>80.219-AP13</f>
        <v>42.461999999999996</v>
      </c>
      <c r="AR13" s="26">
        <f>123.027-AQ13-AP13</f>
        <v>42.808</v>
      </c>
      <c r="AS13" s="26">
        <f>166.217-AP13-AQ13-AR13</f>
        <v>43.190000000000019</v>
      </c>
      <c r="AT13" s="270">
        <f t="shared" si="9"/>
        <v>166.21700000000001</v>
      </c>
      <c r="AU13" s="369">
        <f>+AP13*1.04</f>
        <v>39.26728</v>
      </c>
      <c r="AV13" s="27">
        <f>+AQ13*1.04</f>
        <v>44.16048</v>
      </c>
      <c r="AW13" s="27">
        <f>+AR13*1.04</f>
        <v>44.520319999999998</v>
      </c>
      <c r="AX13" s="27">
        <f>+AS13*1.04</f>
        <v>44.917600000000022</v>
      </c>
      <c r="AY13" s="270">
        <f t="shared" si="10"/>
        <v>172.86568000000003</v>
      </c>
      <c r="AZ13" s="27">
        <f>+AU13*1.04</f>
        <v>40.837971199999998</v>
      </c>
      <c r="BA13" s="27">
        <f>+AV13*1.04</f>
        <v>45.926899200000001</v>
      </c>
      <c r="BB13" s="27">
        <f>+AW13*1.04</f>
        <v>46.301132799999998</v>
      </c>
      <c r="BC13" s="27">
        <f>+AX13*1.04</f>
        <v>46.714304000000027</v>
      </c>
      <c r="BD13" s="270">
        <f t="shared" si="11"/>
        <v>179.78030720000004</v>
      </c>
      <c r="BE13" s="27">
        <f>+AZ13*1.04</f>
        <v>42.471490048</v>
      </c>
      <c r="BF13" s="27">
        <f>+BA13*1.04</f>
        <v>47.763975168000002</v>
      </c>
      <c r="BG13" s="27">
        <f>+BB13*1.04</f>
        <v>48.153178111999999</v>
      </c>
      <c r="BH13" s="27">
        <f>+BC13*1.04</f>
        <v>48.582876160000026</v>
      </c>
      <c r="BI13" s="270">
        <f t="shared" si="12"/>
        <v>186.97151948800001</v>
      </c>
      <c r="BJ13" s="27">
        <f>+BE13*1.04</f>
        <v>44.170349649919999</v>
      </c>
      <c r="BK13" s="27">
        <f>+BF13*1.04</f>
        <v>49.674534174720002</v>
      </c>
      <c r="BL13" s="27">
        <f>+BG13*1.04</f>
        <v>50.079305236480003</v>
      </c>
      <c r="BM13" s="27">
        <f>+BH13*1.04</f>
        <v>50.526191206400028</v>
      </c>
      <c r="BN13" s="270">
        <f t="shared" si="13"/>
        <v>194.45038026752002</v>
      </c>
      <c r="BO13" s="27">
        <f>+BJ13*1.04</f>
        <v>45.937163635916804</v>
      </c>
      <c r="BP13" s="27">
        <f>+BK13*1.04</f>
        <v>51.661515541708802</v>
      </c>
      <c r="BQ13" s="27">
        <f>+BL13*1.04</f>
        <v>52.082477445939205</v>
      </c>
      <c r="BR13" s="27">
        <f>+BM13*1.04</f>
        <v>52.54723885465603</v>
      </c>
      <c r="BS13" s="270">
        <f t="shared" si="14"/>
        <v>202.22839547822082</v>
      </c>
      <c r="BT13" s="27">
        <f>+BO13*1.04</f>
        <v>47.774650181353479</v>
      </c>
      <c r="BU13" s="27">
        <f>+BP13*1.04</f>
        <v>53.727976163377157</v>
      </c>
      <c r="BV13" s="27">
        <f>+BQ13*1.04</f>
        <v>54.165776543776772</v>
      </c>
      <c r="BW13" s="27">
        <f>+BR13*1.04</f>
        <v>54.649128408842273</v>
      </c>
      <c r="BX13" s="270">
        <f t="shared" si="15"/>
        <v>210.31753129734966</v>
      </c>
      <c r="BY13" s="27">
        <f>+BT13*1.04</f>
        <v>49.685636188607617</v>
      </c>
      <c r="BZ13" s="27">
        <f>+BU13*1.04</f>
        <v>55.877095209912248</v>
      </c>
      <c r="CA13" s="27">
        <f>+BV13*1.04</f>
        <v>56.332407605527848</v>
      </c>
      <c r="CB13" s="27">
        <f>+BW13*1.04</f>
        <v>56.835093545195967</v>
      </c>
      <c r="CC13" s="270">
        <f t="shared" si="16"/>
        <v>218.73023254924371</v>
      </c>
      <c r="CD13" s="27">
        <f>+BY13*1.04</f>
        <v>51.673061636151921</v>
      </c>
      <c r="CE13" s="27">
        <f>+BZ13*1.04</f>
        <v>58.112179018308737</v>
      </c>
      <c r="CF13" s="27">
        <f>+CA13*1.04</f>
        <v>58.585703909748965</v>
      </c>
      <c r="CG13" s="27">
        <f>+CB13*1.04</f>
        <v>59.108497287003807</v>
      </c>
      <c r="CH13" s="270">
        <f t="shared" si="17"/>
        <v>227.47944185121344</v>
      </c>
      <c r="CI13" s="27">
        <f>+CD13*1.04</f>
        <v>53.739984101597997</v>
      </c>
      <c r="CJ13" s="27">
        <f>+CE13*1.04</f>
        <v>60.43666617904109</v>
      </c>
      <c r="CK13" s="27">
        <f>+CF13*1.04</f>
        <v>60.929132066138926</v>
      </c>
      <c r="CL13" s="27">
        <f>+CG13*1.04</f>
        <v>61.472837178483964</v>
      </c>
      <c r="CM13" s="270">
        <f t="shared" si="18"/>
        <v>236.57861952526196</v>
      </c>
    </row>
    <row r="14" spans="1:91" s="16" customFormat="1">
      <c r="A14" s="16" t="s">
        <v>163</v>
      </c>
      <c r="D14" s="26">
        <v>0</v>
      </c>
      <c r="E14" s="26">
        <f t="shared" si="0"/>
        <v>0</v>
      </c>
      <c r="F14" s="270">
        <v>0</v>
      </c>
      <c r="G14" s="26">
        <v>0</v>
      </c>
      <c r="H14" s="26">
        <f>0-G14</f>
        <v>0</v>
      </c>
      <c r="I14" s="26">
        <f>0-H14-G14</f>
        <v>0</v>
      </c>
      <c r="J14" s="26">
        <f t="shared" si="1"/>
        <v>0</v>
      </c>
      <c r="K14" s="270">
        <v>0</v>
      </c>
      <c r="L14" s="26">
        <v>0</v>
      </c>
      <c r="M14" s="26">
        <f>0-L14</f>
        <v>0</v>
      </c>
      <c r="N14" s="26">
        <f>0-M14-L14</f>
        <v>0</v>
      </c>
      <c r="O14" s="26">
        <f t="shared" si="2"/>
        <v>0</v>
      </c>
      <c r="P14" s="270">
        <v>0</v>
      </c>
      <c r="Q14" s="26">
        <v>0</v>
      </c>
      <c r="R14" s="26">
        <f>0-Q14</f>
        <v>0</v>
      </c>
      <c r="S14" s="26">
        <f>0-R14-Q14</f>
        <v>0</v>
      </c>
      <c r="T14" s="26">
        <f t="shared" si="3"/>
        <v>0</v>
      </c>
      <c r="U14" s="270">
        <v>0</v>
      </c>
      <c r="V14" s="26">
        <v>0</v>
      </c>
      <c r="W14" s="26">
        <f>0-V14</f>
        <v>0</v>
      </c>
      <c r="X14" s="26">
        <f>0-W14-V14</f>
        <v>0</v>
      </c>
      <c r="Y14" s="26">
        <f t="shared" si="4"/>
        <v>0</v>
      </c>
      <c r="Z14" s="270">
        <v>0</v>
      </c>
      <c r="AA14" s="26">
        <v>0</v>
      </c>
      <c r="AB14" s="26">
        <f>0-AA14</f>
        <v>0</v>
      </c>
      <c r="AC14" s="26">
        <f>0-AB14-AA14</f>
        <v>0</v>
      </c>
      <c r="AD14" s="26">
        <f t="shared" si="5"/>
        <v>0</v>
      </c>
      <c r="AE14" s="270">
        <v>0</v>
      </c>
      <c r="AF14" s="26">
        <v>0</v>
      </c>
      <c r="AG14" s="26">
        <f>0-AF14</f>
        <v>0</v>
      </c>
      <c r="AH14" s="26">
        <f>0-AG14-AF14</f>
        <v>0</v>
      </c>
      <c r="AI14" s="26">
        <f t="shared" si="6"/>
        <v>0</v>
      </c>
      <c r="AJ14" s="270">
        <v>0</v>
      </c>
      <c r="AK14" s="26">
        <v>0</v>
      </c>
      <c r="AL14" s="26">
        <f>0-AK14</f>
        <v>0</v>
      </c>
      <c r="AM14" s="26">
        <f>0-SUM(AK14:AL14)</f>
        <v>0</v>
      </c>
      <c r="AN14" s="26">
        <f t="shared" si="7"/>
        <v>0</v>
      </c>
      <c r="AO14" s="270">
        <v>0</v>
      </c>
      <c r="AP14" s="26">
        <v>0</v>
      </c>
      <c r="AQ14" s="26">
        <f>0-AP14</f>
        <v>0</v>
      </c>
      <c r="AR14" s="26">
        <f>0-AQ14-AP14</f>
        <v>0</v>
      </c>
      <c r="AS14" s="26">
        <f>0-AP14-AQ14-AR14</f>
        <v>0</v>
      </c>
      <c r="AT14" s="270">
        <f t="shared" si="9"/>
        <v>0</v>
      </c>
      <c r="AU14" s="369">
        <f>IS!AU7*CF!AU58</f>
        <v>0</v>
      </c>
      <c r="AV14" s="27">
        <f>IS!AV7*CF!AV58</f>
        <v>0</v>
      </c>
      <c r="AW14" s="27">
        <f>IS!AW7*CF!AW58</f>
        <v>0</v>
      </c>
      <c r="AX14" s="27">
        <f>IS!AX7*CF!AX58</f>
        <v>0</v>
      </c>
      <c r="AY14" s="270">
        <f t="shared" si="10"/>
        <v>0</v>
      </c>
      <c r="AZ14" s="27">
        <f>IS!AZ7*CF!AZ58</f>
        <v>0</v>
      </c>
      <c r="BA14" s="27">
        <f>IS!BA7*CF!BA58</f>
        <v>0</v>
      </c>
      <c r="BB14" s="27">
        <f>IS!BB7*CF!BB58</f>
        <v>0</v>
      </c>
      <c r="BC14" s="27">
        <f>IS!BC7*CF!BC58</f>
        <v>0</v>
      </c>
      <c r="BD14" s="270">
        <f t="shared" ref="BD14:BD16" si="19">SUM(AZ14:BC14)</f>
        <v>0</v>
      </c>
      <c r="BE14" s="27">
        <f>IS!BE7*CF!BE58</f>
        <v>0</v>
      </c>
      <c r="BF14" s="27">
        <f>IS!BF7*CF!BF58</f>
        <v>0</v>
      </c>
      <c r="BG14" s="27">
        <f>IS!BG7*CF!BG58</f>
        <v>0</v>
      </c>
      <c r="BH14" s="27">
        <f>IS!BH7*CF!BH58</f>
        <v>0</v>
      </c>
      <c r="BI14" s="270">
        <f t="shared" ref="BI14:BI16" si="20">SUM(BE14:BH14)</f>
        <v>0</v>
      </c>
      <c r="BJ14" s="27">
        <f>IS!BJ7*CF!BJ58</f>
        <v>0</v>
      </c>
      <c r="BK14" s="27">
        <f>IS!BK7*CF!BK58</f>
        <v>0</v>
      </c>
      <c r="BL14" s="27">
        <f>IS!BL7*CF!BL58</f>
        <v>0</v>
      </c>
      <c r="BM14" s="27">
        <f>IS!BM7*CF!BM58</f>
        <v>0</v>
      </c>
      <c r="BN14" s="270">
        <f t="shared" ref="BN14:BN16" si="21">SUM(BJ14:BM14)</f>
        <v>0</v>
      </c>
      <c r="BO14" s="27">
        <f>IS!BO7*CF!BO58</f>
        <v>0</v>
      </c>
      <c r="BP14" s="27">
        <f>IS!BP7*CF!BP58</f>
        <v>0</v>
      </c>
      <c r="BQ14" s="27">
        <f>IS!BQ7*CF!BQ58</f>
        <v>0</v>
      </c>
      <c r="BR14" s="27">
        <f>IS!BR7*CF!BR58</f>
        <v>0</v>
      </c>
      <c r="BS14" s="270">
        <f t="shared" ref="BS14:BS16" si="22">SUM(BO14:BR14)</f>
        <v>0</v>
      </c>
      <c r="BT14" s="27">
        <f>IS!BT7*CF!BT58</f>
        <v>0</v>
      </c>
      <c r="BU14" s="27">
        <f>IS!BU7*CF!BU58</f>
        <v>0</v>
      </c>
      <c r="BV14" s="27">
        <f>IS!BV7*CF!BV58</f>
        <v>0</v>
      </c>
      <c r="BW14" s="27">
        <f>IS!BW7*CF!BW58</f>
        <v>0</v>
      </c>
      <c r="BX14" s="270">
        <f t="shared" ref="BX14:BX16" si="23">SUM(BT14:BW14)</f>
        <v>0</v>
      </c>
      <c r="BY14" s="27">
        <f>IS!BY7*CF!BY58</f>
        <v>0</v>
      </c>
      <c r="BZ14" s="27">
        <f>IS!BZ7*CF!BZ58</f>
        <v>0</v>
      </c>
      <c r="CA14" s="27">
        <f>IS!CA7*CF!CA58</f>
        <v>0</v>
      </c>
      <c r="CB14" s="27">
        <f>IS!CB7*CF!CB58</f>
        <v>0</v>
      </c>
      <c r="CC14" s="270">
        <f>SUM(BY14:CB14)</f>
        <v>0</v>
      </c>
      <c r="CD14" s="27">
        <f>IS!CD7*CF!CD58</f>
        <v>0</v>
      </c>
      <c r="CE14" s="27">
        <f>IS!CE7*CF!CE58</f>
        <v>0</v>
      </c>
      <c r="CF14" s="27">
        <f>IS!CF7*CF!CF58</f>
        <v>0</v>
      </c>
      <c r="CG14" s="27">
        <f>IS!CG7*CF!CG58</f>
        <v>0</v>
      </c>
      <c r="CH14" s="270">
        <f t="shared" ref="CH14:CH16" si="24">SUM(CD14:CG14)</f>
        <v>0</v>
      </c>
      <c r="CI14" s="27">
        <f>IS!CI7*CF!CI58</f>
        <v>0</v>
      </c>
      <c r="CJ14" s="27">
        <f>IS!CJ7*CF!CJ58</f>
        <v>0</v>
      </c>
      <c r="CK14" s="27">
        <f>IS!CK7*CF!CK58</f>
        <v>0</v>
      </c>
      <c r="CL14" s="27">
        <f>IS!CL7*CF!CL58</f>
        <v>0</v>
      </c>
      <c r="CM14" s="270">
        <f t="shared" ref="CM14:CM16" si="25">SUM(CI14:CL14)</f>
        <v>0</v>
      </c>
    </row>
    <row r="15" spans="1:91" s="16" customFormat="1">
      <c r="A15" s="16" t="s">
        <v>174</v>
      </c>
      <c r="D15" s="26">
        <v>0</v>
      </c>
      <c r="E15" s="26">
        <f t="shared" si="0"/>
        <v>0</v>
      </c>
      <c r="F15" s="270">
        <v>0</v>
      </c>
      <c r="G15" s="26">
        <v>0</v>
      </c>
      <c r="H15" s="26">
        <f>0-G15</f>
        <v>0</v>
      </c>
      <c r="I15" s="26">
        <f>0-H15-G15</f>
        <v>0</v>
      </c>
      <c r="J15" s="26">
        <f t="shared" si="1"/>
        <v>0</v>
      </c>
      <c r="K15" s="270">
        <v>0</v>
      </c>
      <c r="L15" s="26">
        <v>0</v>
      </c>
      <c r="M15" s="26">
        <f>0-L15</f>
        <v>0</v>
      </c>
      <c r="N15" s="26">
        <f>0-M15-L15</f>
        <v>0</v>
      </c>
      <c r="O15" s="26">
        <f t="shared" si="2"/>
        <v>0</v>
      </c>
      <c r="P15" s="270">
        <v>0</v>
      </c>
      <c r="Q15" s="26">
        <v>0</v>
      </c>
      <c r="R15" s="26">
        <f>0-Q15</f>
        <v>0</v>
      </c>
      <c r="S15" s="26">
        <f>0-R15-Q15</f>
        <v>0</v>
      </c>
      <c r="T15" s="26">
        <f t="shared" si="3"/>
        <v>0</v>
      </c>
      <c r="U15" s="270">
        <v>0</v>
      </c>
      <c r="V15" s="26">
        <v>0</v>
      </c>
      <c r="W15" s="26">
        <f>0-V15</f>
        <v>0</v>
      </c>
      <c r="X15" s="26">
        <f>0-W15-V15</f>
        <v>0</v>
      </c>
      <c r="Y15" s="26">
        <f t="shared" si="4"/>
        <v>0</v>
      </c>
      <c r="Z15" s="270">
        <v>0</v>
      </c>
      <c r="AA15" s="26">
        <v>0</v>
      </c>
      <c r="AB15" s="26">
        <f>0-AA15</f>
        <v>0</v>
      </c>
      <c r="AC15" s="26">
        <f>0-AB15-AA15</f>
        <v>0</v>
      </c>
      <c r="AD15" s="26">
        <f t="shared" si="5"/>
        <v>0</v>
      </c>
      <c r="AE15" s="270">
        <v>0</v>
      </c>
      <c r="AF15" s="26">
        <v>0</v>
      </c>
      <c r="AG15" s="26">
        <f>0-AF15</f>
        <v>0</v>
      </c>
      <c r="AH15" s="26">
        <f>0-AG15-AF15</f>
        <v>0</v>
      </c>
      <c r="AI15" s="26">
        <f t="shared" si="6"/>
        <v>0</v>
      </c>
      <c r="AJ15" s="270">
        <v>0</v>
      </c>
      <c r="AK15" s="26">
        <v>0</v>
      </c>
      <c r="AL15" s="26">
        <f>0-AK15</f>
        <v>0</v>
      </c>
      <c r="AM15" s="26">
        <f>0-SUM(AK15:AL15)</f>
        <v>0</v>
      </c>
      <c r="AN15" s="26">
        <f t="shared" si="7"/>
        <v>0</v>
      </c>
      <c r="AO15" s="270">
        <v>0</v>
      </c>
      <c r="AP15" s="26">
        <v>0</v>
      </c>
      <c r="AQ15" s="26">
        <f>0-AP15</f>
        <v>0</v>
      </c>
      <c r="AR15" s="26">
        <f>0-AQ15-AP15</f>
        <v>0</v>
      </c>
      <c r="AS15" s="26">
        <f>0-AP15-AQ15-AR15</f>
        <v>0</v>
      </c>
      <c r="AT15" s="270">
        <f t="shared" si="9"/>
        <v>0</v>
      </c>
      <c r="AU15" s="369">
        <f>AP15</f>
        <v>0</v>
      </c>
      <c r="AV15" s="27">
        <f t="shared" ref="AV15:AX15" si="26">AQ15</f>
        <v>0</v>
      </c>
      <c r="AW15" s="27">
        <f t="shared" si="26"/>
        <v>0</v>
      </c>
      <c r="AX15" s="27">
        <f t="shared" si="26"/>
        <v>0</v>
      </c>
      <c r="AY15" s="270">
        <f t="shared" si="10"/>
        <v>0</v>
      </c>
      <c r="AZ15" s="27">
        <v>0</v>
      </c>
      <c r="BA15" s="27">
        <v>0</v>
      </c>
      <c r="BB15" s="27">
        <v>0</v>
      </c>
      <c r="BC15" s="27">
        <v>0</v>
      </c>
      <c r="BD15" s="270">
        <f t="shared" si="19"/>
        <v>0</v>
      </c>
      <c r="BE15" s="27">
        <v>0</v>
      </c>
      <c r="BF15" s="27">
        <v>0</v>
      </c>
      <c r="BG15" s="27">
        <v>0</v>
      </c>
      <c r="BH15" s="27">
        <v>0</v>
      </c>
      <c r="BI15" s="270">
        <f t="shared" si="20"/>
        <v>0</v>
      </c>
      <c r="BJ15" s="27">
        <v>0</v>
      </c>
      <c r="BK15" s="27">
        <v>0</v>
      </c>
      <c r="BL15" s="27">
        <v>0</v>
      </c>
      <c r="BM15" s="27">
        <v>0</v>
      </c>
      <c r="BN15" s="270">
        <f t="shared" si="21"/>
        <v>0</v>
      </c>
      <c r="BO15" s="27">
        <v>0</v>
      </c>
      <c r="BP15" s="27">
        <v>0</v>
      </c>
      <c r="BQ15" s="27">
        <v>0</v>
      </c>
      <c r="BR15" s="27">
        <v>0</v>
      </c>
      <c r="BS15" s="270">
        <f t="shared" si="22"/>
        <v>0</v>
      </c>
      <c r="BT15" s="27">
        <v>0</v>
      </c>
      <c r="BU15" s="27">
        <v>0</v>
      </c>
      <c r="BV15" s="27">
        <v>0</v>
      </c>
      <c r="BW15" s="27">
        <v>0</v>
      </c>
      <c r="BX15" s="270">
        <f t="shared" si="23"/>
        <v>0</v>
      </c>
      <c r="BY15" s="27">
        <v>0</v>
      </c>
      <c r="BZ15" s="27">
        <v>0</v>
      </c>
      <c r="CA15" s="27">
        <v>0</v>
      </c>
      <c r="CB15" s="27">
        <v>0</v>
      </c>
      <c r="CC15" s="270">
        <f t="shared" ref="CC15:CC16" si="27">SUM(BY15:CB15)</f>
        <v>0</v>
      </c>
      <c r="CD15" s="27">
        <v>0</v>
      </c>
      <c r="CE15" s="27">
        <v>0</v>
      </c>
      <c r="CF15" s="27">
        <v>0</v>
      </c>
      <c r="CG15" s="27">
        <v>0</v>
      </c>
      <c r="CH15" s="270">
        <f t="shared" si="24"/>
        <v>0</v>
      </c>
      <c r="CI15" s="27">
        <v>0</v>
      </c>
      <c r="CJ15" s="27">
        <v>0</v>
      </c>
      <c r="CK15" s="27">
        <v>0</v>
      </c>
      <c r="CL15" s="27">
        <v>0</v>
      </c>
      <c r="CM15" s="270">
        <f t="shared" si="25"/>
        <v>0</v>
      </c>
    </row>
    <row r="16" spans="1:91" s="16" customFormat="1">
      <c r="A16" s="16" t="s">
        <v>81</v>
      </c>
      <c r="D16" s="26">
        <f>0.854+0.573+5.075+0.329</f>
        <v>6.8310000000000004</v>
      </c>
      <c r="E16" s="26">
        <f t="shared" si="0"/>
        <v>0.26799999999999979</v>
      </c>
      <c r="F16" s="270">
        <f>0.98+0.685+5.075+0.359</f>
        <v>7.0990000000000002</v>
      </c>
      <c r="G16" s="26">
        <f>0.206-0.003-0.078</f>
        <v>0.12499999999999999</v>
      </c>
      <c r="H16" s="26">
        <f>-0.205-0.007+0.15-G16</f>
        <v>-0.187</v>
      </c>
      <c r="I16" s="26">
        <f>-0.251-0.01+0.041-H16-G16</f>
        <v>-0.15799999999999997</v>
      </c>
      <c r="J16" s="26">
        <f t="shared" si="1"/>
        <v>-0.56200000000000006</v>
      </c>
      <c r="K16" s="270">
        <f>(-0.357)+(-0.013)-0.412</f>
        <v>-0.78200000000000003</v>
      </c>
      <c r="L16" s="26">
        <f>-0.144-0.553</f>
        <v>-0.69700000000000006</v>
      </c>
      <c r="M16" s="26">
        <f>-0.051-1.276-L16</f>
        <v>-0.62999999999999989</v>
      </c>
      <c r="N16" s="26">
        <f>-0.33-1.953-1.235-M16-L16</f>
        <v>-2.1909999999999998</v>
      </c>
      <c r="O16" s="26">
        <f t="shared" si="2"/>
        <v>1.9619999999999997</v>
      </c>
      <c r="P16" s="270">
        <f>2.198-0.147+0.3-2.31-1.597</f>
        <v>-1.556</v>
      </c>
      <c r="Q16" s="26">
        <f>1.496+8.5-0.19+0.58+0.056</f>
        <v>10.442</v>
      </c>
      <c r="R16" s="26">
        <f>3.386+8.5-0.19+1.065-0.019-Q16</f>
        <v>2.2999999999999989</v>
      </c>
      <c r="S16" s="26">
        <f>3.349+8.5-0.12+1.636+8.056-R16-Q16</f>
        <v>8.679000000000002</v>
      </c>
      <c r="T16" s="26">
        <f t="shared" si="3"/>
        <v>8.4220000000000006</v>
      </c>
      <c r="U16" s="270">
        <f>5.567+8.5-0.12+4.729+4.016+7.151</f>
        <v>29.843</v>
      </c>
      <c r="V16" s="26">
        <f>3.932+0.641+3.259</f>
        <v>7.8320000000000007</v>
      </c>
      <c r="W16" s="26">
        <f>10.839+0.875+1.282+6.528+0.008-V16</f>
        <v>11.7</v>
      </c>
      <c r="X16" s="26">
        <f>17.782+1.845+1.922+9.546+0.008-W16-V16</f>
        <v>11.570999999999998</v>
      </c>
      <c r="Y16" s="26">
        <f t="shared" si="4"/>
        <v>11.398</v>
      </c>
      <c r="Z16" s="270">
        <f>24.661+2.38+2.564+12.849+0.047</f>
        <v>42.500999999999998</v>
      </c>
      <c r="AA16" s="26">
        <f>6.949+2.39+0.642+2.449+0.021</f>
        <v>12.451000000000001</v>
      </c>
      <c r="AB16" s="26">
        <f>14.197+3.805+1.284+3.8+99.785+0.02-AA16</f>
        <v>110.44</v>
      </c>
      <c r="AC16" s="26">
        <f>21.394+4.195+1.926+3.366+13.23+5.261+99.785+0.023-AB16-AA16</f>
        <v>26.28899999999998</v>
      </c>
      <c r="AD16" s="26">
        <f t="shared" si="5"/>
        <v>3.7340000000000089</v>
      </c>
      <c r="AE16" s="270">
        <f>28.585+4.305+2.569+4.595+7.793+5.261+99.785+0.021</f>
        <v>152.91399999999999</v>
      </c>
      <c r="AF16" s="26">
        <f>7.339-0.3+0.644-1.009-3.882+5.485</f>
        <v>8.277000000000001</v>
      </c>
      <c r="AG16" s="26">
        <f>14.708+0.01+1.287+0.098-3.085-67.879+29.054-AF16</f>
        <v>-34.084000000000003</v>
      </c>
      <c r="AH16" s="26">
        <f>22.146+0.23+1.931-10.913-84.513+29.054+0.104-AG16-AF16</f>
        <v>-16.153999999999996</v>
      </c>
      <c r="AI16" s="26">
        <f t="shared" si="6"/>
        <v>8.9550000000000054</v>
      </c>
      <c r="AJ16" s="270">
        <f>29.699+0.11+2.575-13.552-79.71+29.054-1.182</f>
        <v>-33.005999999999993</v>
      </c>
      <c r="AK16" s="26">
        <f>7.619+0.645+0.111+30.054+0.652</f>
        <v>39.081000000000003</v>
      </c>
      <c r="AL16" s="26">
        <f>15.226+1.29+0.107+45.539+1.385-AK16</f>
        <v>24.466000000000001</v>
      </c>
      <c r="AM16" s="26">
        <f>23.357+1.935-2.815+47.225+2.372-SUM(AK16:AL16)</f>
        <v>8.5269999999999939</v>
      </c>
      <c r="AN16" s="26">
        <f t="shared" si="7"/>
        <v>2.5049999999999955</v>
      </c>
      <c r="AO16" s="270">
        <f>31.133+1.01+2.581-6.774+44.401+2.228</f>
        <v>74.578999999999994</v>
      </c>
      <c r="AP16" s="26">
        <f>7.87-13.672+5+7.677+0.94</f>
        <v>7.8149999999999995</v>
      </c>
      <c r="AQ16" s="26">
        <f>5+7.677-0.28-13.672+16.442-AP16</f>
        <v>7.3520000000000003</v>
      </c>
      <c r="AR16" s="26">
        <f>25.013-13.672+5+7.677-0.615-AQ16-AP16</f>
        <v>8.2360000000000024</v>
      </c>
      <c r="AS16" s="26">
        <f>33.577-13.672+7.677-5.877+18.582-0.294-AP16-AQ16-AR16</f>
        <v>16.590000000000003</v>
      </c>
      <c r="AT16" s="270">
        <f t="shared" si="9"/>
        <v>39.993000000000009</v>
      </c>
      <c r="AU16" s="369">
        <v>0</v>
      </c>
      <c r="AV16" s="27">
        <v>0</v>
      </c>
      <c r="AW16" s="27">
        <v>0</v>
      </c>
      <c r="AX16" s="27">
        <v>0</v>
      </c>
      <c r="AY16" s="270">
        <f t="shared" si="10"/>
        <v>0</v>
      </c>
      <c r="AZ16" s="27">
        <v>0</v>
      </c>
      <c r="BA16" s="27">
        <v>0</v>
      </c>
      <c r="BB16" s="27">
        <v>0</v>
      </c>
      <c r="BC16" s="27">
        <v>0</v>
      </c>
      <c r="BD16" s="270">
        <f t="shared" si="19"/>
        <v>0</v>
      </c>
      <c r="BE16" s="27">
        <v>0</v>
      </c>
      <c r="BF16" s="27">
        <v>0</v>
      </c>
      <c r="BG16" s="27">
        <v>0</v>
      </c>
      <c r="BH16" s="27">
        <v>0</v>
      </c>
      <c r="BI16" s="270">
        <f t="shared" si="20"/>
        <v>0</v>
      </c>
      <c r="BJ16" s="27">
        <v>0</v>
      </c>
      <c r="BK16" s="27">
        <v>0</v>
      </c>
      <c r="BL16" s="27">
        <v>0</v>
      </c>
      <c r="BM16" s="27">
        <v>0</v>
      </c>
      <c r="BN16" s="270">
        <f t="shared" si="21"/>
        <v>0</v>
      </c>
      <c r="BO16" s="27">
        <v>0</v>
      </c>
      <c r="BP16" s="27">
        <v>0</v>
      </c>
      <c r="BQ16" s="27">
        <v>0</v>
      </c>
      <c r="BR16" s="27">
        <v>0</v>
      </c>
      <c r="BS16" s="270">
        <f t="shared" si="22"/>
        <v>0</v>
      </c>
      <c r="BT16" s="27">
        <v>0</v>
      </c>
      <c r="BU16" s="27">
        <v>0</v>
      </c>
      <c r="BV16" s="27">
        <v>0</v>
      </c>
      <c r="BW16" s="27">
        <v>0</v>
      </c>
      <c r="BX16" s="270">
        <f t="shared" si="23"/>
        <v>0</v>
      </c>
      <c r="BY16" s="27">
        <v>0</v>
      </c>
      <c r="BZ16" s="27">
        <v>0</v>
      </c>
      <c r="CA16" s="27">
        <v>0</v>
      </c>
      <c r="CB16" s="27">
        <v>0</v>
      </c>
      <c r="CC16" s="270">
        <f t="shared" si="27"/>
        <v>0</v>
      </c>
      <c r="CD16" s="27">
        <v>0</v>
      </c>
      <c r="CE16" s="27">
        <v>0</v>
      </c>
      <c r="CF16" s="27">
        <v>0</v>
      </c>
      <c r="CG16" s="27">
        <v>0</v>
      </c>
      <c r="CH16" s="270">
        <f t="shared" si="24"/>
        <v>0</v>
      </c>
      <c r="CI16" s="27">
        <v>0</v>
      </c>
      <c r="CJ16" s="27">
        <v>0</v>
      </c>
      <c r="CK16" s="27">
        <v>0</v>
      </c>
      <c r="CL16" s="27">
        <v>0</v>
      </c>
      <c r="CM16" s="270">
        <f t="shared" si="25"/>
        <v>0</v>
      </c>
    </row>
    <row r="17" spans="1:91" s="16" customFormat="1">
      <c r="D17" s="26"/>
      <c r="E17" s="26"/>
      <c r="F17" s="270"/>
      <c r="G17" s="26"/>
      <c r="H17" s="26"/>
      <c r="I17" s="26"/>
      <c r="J17" s="26"/>
      <c r="K17" s="270"/>
      <c r="L17" s="26"/>
      <c r="M17" s="26"/>
      <c r="N17" s="26"/>
      <c r="O17" s="26"/>
      <c r="P17" s="270"/>
      <c r="Q17" s="26"/>
      <c r="R17" s="26"/>
      <c r="S17" s="26"/>
      <c r="T17" s="26"/>
      <c r="U17" s="270"/>
      <c r="V17" s="26"/>
      <c r="W17" s="26"/>
      <c r="X17" s="26"/>
      <c r="Y17" s="26"/>
      <c r="Z17" s="270"/>
      <c r="AA17" s="26"/>
      <c r="AB17" s="26"/>
      <c r="AC17" s="26"/>
      <c r="AD17" s="26"/>
      <c r="AE17" s="270"/>
      <c r="AF17" s="26"/>
      <c r="AG17" s="26"/>
      <c r="AH17" s="26"/>
      <c r="AI17" s="26"/>
      <c r="AJ17" s="270"/>
      <c r="AK17" s="26"/>
      <c r="AL17" s="26"/>
      <c r="AM17" s="26"/>
      <c r="AN17" s="26"/>
      <c r="AO17" s="270"/>
      <c r="AP17" s="26"/>
      <c r="AQ17" s="26"/>
      <c r="AR17" s="26"/>
      <c r="AS17" s="26"/>
      <c r="AT17" s="270"/>
      <c r="AU17" s="369"/>
      <c r="AV17" s="27"/>
      <c r="AW17" s="27"/>
      <c r="AX17" s="27"/>
      <c r="AY17" s="270"/>
      <c r="AZ17" s="27"/>
      <c r="BA17" s="27"/>
      <c r="BB17" s="27"/>
      <c r="BC17" s="27"/>
      <c r="BD17" s="270"/>
      <c r="BE17" s="27"/>
      <c r="BF17" s="27"/>
      <c r="BG17" s="27"/>
      <c r="BH17" s="27"/>
      <c r="BI17" s="270"/>
      <c r="BJ17" s="27"/>
      <c r="BK17" s="27"/>
      <c r="BL17" s="27"/>
      <c r="BM17" s="27"/>
      <c r="BN17" s="270"/>
      <c r="BO17" s="27"/>
      <c r="BP17" s="27"/>
      <c r="BQ17" s="27"/>
      <c r="BR17" s="27"/>
      <c r="BS17" s="270"/>
      <c r="BT17" s="27"/>
      <c r="BU17" s="27"/>
      <c r="BV17" s="27"/>
      <c r="BW17" s="27"/>
      <c r="BX17" s="270"/>
      <c r="BY17" s="27"/>
      <c r="BZ17" s="27"/>
      <c r="CA17" s="27"/>
      <c r="CB17" s="27"/>
      <c r="CC17" s="270"/>
      <c r="CD17" s="27"/>
      <c r="CE17" s="27"/>
      <c r="CF17" s="27"/>
      <c r="CG17" s="27"/>
      <c r="CH17" s="270"/>
      <c r="CI17" s="27"/>
      <c r="CJ17" s="27"/>
      <c r="CK17" s="27"/>
      <c r="CL17" s="27"/>
      <c r="CM17" s="270"/>
    </row>
    <row r="18" spans="1:91" s="16" customFormat="1">
      <c r="A18" s="15" t="s">
        <v>82</v>
      </c>
      <c r="D18" s="26"/>
      <c r="E18" s="26"/>
      <c r="F18" s="270"/>
      <c r="G18" s="26"/>
      <c r="H18" s="26"/>
      <c r="I18" s="26"/>
      <c r="J18" s="26"/>
      <c r="K18" s="270"/>
      <c r="L18" s="26"/>
      <c r="M18" s="26"/>
      <c r="N18" s="26"/>
      <c r="O18" s="26"/>
      <c r="P18" s="270"/>
      <c r="Q18" s="26"/>
      <c r="R18" s="26"/>
      <c r="S18" s="26"/>
      <c r="T18" s="26"/>
      <c r="U18" s="270"/>
      <c r="V18" s="26"/>
      <c r="W18" s="26"/>
      <c r="X18" s="26"/>
      <c r="Y18" s="26"/>
      <c r="Z18" s="270"/>
      <c r="AA18" s="26"/>
      <c r="AB18" s="26"/>
      <c r="AC18" s="26"/>
      <c r="AD18" s="26"/>
      <c r="AE18" s="270"/>
      <c r="AF18" s="26"/>
      <c r="AG18" s="26"/>
      <c r="AH18" s="26"/>
      <c r="AI18" s="26"/>
      <c r="AJ18" s="270"/>
      <c r="AK18" s="26"/>
      <c r="AL18" s="26"/>
      <c r="AM18" s="26"/>
      <c r="AN18" s="26"/>
      <c r="AO18" s="270"/>
      <c r="AP18" s="26"/>
      <c r="AQ18" s="26"/>
      <c r="AR18" s="26"/>
      <c r="AS18" s="26"/>
      <c r="AT18" s="270"/>
      <c r="AU18" s="355"/>
      <c r="AV18" s="26"/>
      <c r="AW18" s="26"/>
      <c r="AX18" s="26"/>
      <c r="AY18" s="270"/>
      <c r="AZ18" s="26"/>
      <c r="BA18" s="26"/>
      <c r="BB18" s="26"/>
      <c r="BC18" s="26"/>
      <c r="BD18" s="270"/>
      <c r="BE18" s="26"/>
      <c r="BF18" s="26"/>
      <c r="BG18" s="26"/>
      <c r="BH18" s="26"/>
      <c r="BI18" s="270"/>
      <c r="BJ18" s="26"/>
      <c r="BK18" s="26"/>
      <c r="BL18" s="26"/>
      <c r="BM18" s="26"/>
      <c r="BN18" s="270"/>
      <c r="BO18" s="26"/>
      <c r="BP18" s="26"/>
      <c r="BQ18" s="26"/>
      <c r="BR18" s="26"/>
      <c r="BS18" s="270"/>
      <c r="BT18" s="26"/>
      <c r="BU18" s="26"/>
      <c r="BV18" s="26"/>
      <c r="BW18" s="26"/>
      <c r="BX18" s="270"/>
      <c r="BY18" s="26"/>
      <c r="BZ18" s="26"/>
      <c r="CA18" s="26"/>
      <c r="CB18" s="26"/>
      <c r="CC18" s="270"/>
      <c r="CD18" s="26"/>
      <c r="CE18" s="26"/>
      <c r="CF18" s="26"/>
      <c r="CG18" s="26"/>
      <c r="CH18" s="270"/>
      <c r="CI18" s="26"/>
      <c r="CJ18" s="26"/>
      <c r="CK18" s="26"/>
      <c r="CL18" s="26"/>
      <c r="CM18" s="270"/>
    </row>
    <row r="19" spans="1:91" s="16" customFormat="1">
      <c r="A19" s="16" t="s">
        <v>83</v>
      </c>
      <c r="D19" s="26">
        <v>-3.8490000000000002</v>
      </c>
      <c r="E19" s="26">
        <f>F19-SUM(D19)</f>
        <v>-5.4429999999999996</v>
      </c>
      <c r="F19" s="270">
        <v>-9.2919999999999998</v>
      </c>
      <c r="G19" s="26">
        <v>0.623</v>
      </c>
      <c r="H19" s="26">
        <f>2.224-G19</f>
        <v>1.6010000000000002</v>
      </c>
      <c r="I19" s="26">
        <f>-1.853-H19-G19</f>
        <v>-4.077</v>
      </c>
      <c r="J19" s="26">
        <f t="shared" ref="J19:J23" si="28">K19-SUM(G19:I19)</f>
        <v>-21.049999999999997</v>
      </c>
      <c r="K19" s="270">
        <f>-22.903</f>
        <v>-22.902999999999999</v>
      </c>
      <c r="L19" s="26">
        <v>11.608000000000001</v>
      </c>
      <c r="M19" s="26">
        <f>0.234-L19</f>
        <v>-11.374000000000001</v>
      </c>
      <c r="N19" s="26">
        <f>0.908-M19-L19</f>
        <v>0.67399999999999949</v>
      </c>
      <c r="O19" s="26">
        <f t="shared" si="2"/>
        <v>-8.2970000000000006</v>
      </c>
      <c r="P19" s="270">
        <v>-7.3890000000000002</v>
      </c>
      <c r="Q19" s="26">
        <v>-0.17899999999999999</v>
      </c>
      <c r="R19" s="26">
        <f>6.894-Q19</f>
        <v>7.0730000000000004</v>
      </c>
      <c r="S19" s="26">
        <f>11.581-R19-Q19</f>
        <v>4.6869999999999994</v>
      </c>
      <c r="T19" s="26">
        <f t="shared" si="3"/>
        <v>-17.044</v>
      </c>
      <c r="U19" s="270">
        <v>-5.4630000000000001</v>
      </c>
      <c r="V19" s="26">
        <v>5.26</v>
      </c>
      <c r="W19" s="26">
        <f>-0.368-V19</f>
        <v>-5.6280000000000001</v>
      </c>
      <c r="X19" s="26">
        <f>-7.445-W19-V19</f>
        <v>-7.077</v>
      </c>
      <c r="Y19" s="26">
        <f t="shared" si="4"/>
        <v>-36.908000000000001</v>
      </c>
      <c r="Z19" s="270">
        <v>-44.353000000000002</v>
      </c>
      <c r="AA19" s="26">
        <v>13.298999999999999</v>
      </c>
      <c r="AB19" s="26">
        <f>2.355-AA19</f>
        <v>-10.943999999999999</v>
      </c>
      <c r="AC19" s="26">
        <f>11.431-AB19-AA19</f>
        <v>9.0760000000000005</v>
      </c>
      <c r="AD19" s="26">
        <f t="shared" si="5"/>
        <v>-11.056000000000001</v>
      </c>
      <c r="AE19" s="270">
        <v>0.375</v>
      </c>
      <c r="AF19" s="26">
        <v>12.349</v>
      </c>
      <c r="AG19" s="26">
        <f>10.695-AF19</f>
        <v>-1.6539999999999999</v>
      </c>
      <c r="AH19" s="26">
        <f>8.36-AG19-AF19</f>
        <v>-2.3350000000000009</v>
      </c>
      <c r="AI19" s="26">
        <f t="shared" si="6"/>
        <v>1.8000000000000682E-2</v>
      </c>
      <c r="AJ19" s="270">
        <v>8.3780000000000001</v>
      </c>
      <c r="AK19" s="26">
        <v>4.22</v>
      </c>
      <c r="AL19" s="26">
        <f>-11.737-AK19</f>
        <v>-15.957000000000001</v>
      </c>
      <c r="AM19" s="26">
        <f>0.316-AL19-AK19</f>
        <v>12.053000000000001</v>
      </c>
      <c r="AN19" s="26">
        <f t="shared" ref="AN19:AN23" si="29">AO19-SUM(AK19:AM19)</f>
        <v>-21.704999999999998</v>
      </c>
      <c r="AO19" s="270">
        <v>-21.388999999999999</v>
      </c>
      <c r="AP19" s="26">
        <v>-6.1150000000000002</v>
      </c>
      <c r="AQ19" s="26">
        <f>-20.425-AP19</f>
        <v>-14.31</v>
      </c>
      <c r="AR19" s="26">
        <f>-5.971-AQ19-AP19</f>
        <v>14.454000000000001</v>
      </c>
      <c r="AS19" s="26">
        <f>-28.175-AP19-AQ19-AR19</f>
        <v>-22.204000000000001</v>
      </c>
      <c r="AT19" s="270">
        <f>SUM(AP19:AS19)</f>
        <v>-28.175000000000001</v>
      </c>
      <c r="AU19" s="355">
        <f>BS!AS10-BS!AU10</f>
        <v>7.14491994059685</v>
      </c>
      <c r="AV19" s="26">
        <f>BS!AU10-BS!AV10</f>
        <v>-3.5470765762557903</v>
      </c>
      <c r="AW19" s="26">
        <f>BS!AV10-BS!AW10</f>
        <v>-2.4501031253779217</v>
      </c>
      <c r="AX19" s="26">
        <f>BS!AW10-BS!AX10</f>
        <v>-2.1952326709083536</v>
      </c>
      <c r="AY19" s="270">
        <f>SUM(AU19:AX19)</f>
        <v>-1.0474924319452157</v>
      </c>
      <c r="AZ19" s="26">
        <f>BS!AX10-BS!AZ10</f>
        <v>-10.179944702272223</v>
      </c>
      <c r="BA19" s="26">
        <f>BS!AZ10-BS!BA10</f>
        <v>-14.29063078465569</v>
      </c>
      <c r="BB19" s="26">
        <f>BS!BA10-BS!BB10</f>
        <v>-13.3296484325476</v>
      </c>
      <c r="BC19" s="26">
        <f>BS!BB10-BS!BC10</f>
        <v>-14.039237528161721</v>
      </c>
      <c r="BD19" s="270">
        <f>SUM(AZ19:BC19)</f>
        <v>-51.839461447637234</v>
      </c>
      <c r="BE19" s="26">
        <f>BS!BC10-BS!BE10</f>
        <v>-14.530921402571238</v>
      </c>
      <c r="BF19" s="26">
        <f>BS!BE10-BS!BF10</f>
        <v>-15.002434701623088</v>
      </c>
      <c r="BG19" s="26">
        <f>BS!BF10-BS!BG10</f>
        <v>-15.674207281471155</v>
      </c>
      <c r="BH19" s="26">
        <f>BS!BG10-BS!BH10</f>
        <v>-15.888948822924618</v>
      </c>
      <c r="BI19" s="270">
        <f>SUM(BE19:BH19)</f>
        <v>-61.096512208590099</v>
      </c>
      <c r="BJ19" s="26">
        <f>BS!BH10-BS!BJ10</f>
        <v>-14.041350341953972</v>
      </c>
      <c r="BK19" s="26">
        <f>BS!BJ10-BS!BK10</f>
        <v>-13.220068539380293</v>
      </c>
      <c r="BL19" s="26">
        <f>BS!BK10-BS!BL10</f>
        <v>-13.679124933959656</v>
      </c>
      <c r="BM19" s="26">
        <f>BS!BL10-BS!BM10</f>
        <v>-13.056596129888192</v>
      </c>
      <c r="BN19" s="270">
        <f>SUM(BJ19:BM19)</f>
        <v>-53.997139945182113</v>
      </c>
      <c r="BO19" s="26">
        <f>BS!BM10-BS!BO10</f>
        <v>-13.597210656158836</v>
      </c>
      <c r="BP19" s="26">
        <f>BS!BO10-BS!BP10</f>
        <v>-14.782956042707099</v>
      </c>
      <c r="BQ19" s="26">
        <f>BS!BP10-BS!BQ10</f>
        <v>-14.141044564220465</v>
      </c>
      <c r="BR19" s="26">
        <f>BS!BQ10-BS!BR10</f>
        <v>-14.230079307518565</v>
      </c>
      <c r="BS19" s="270">
        <f>SUM(BO19:BR19)</f>
        <v>-56.751290570604965</v>
      </c>
      <c r="BT19" s="26">
        <f>BS!BR10-BS!BT10</f>
        <v>-12.763015019151908</v>
      </c>
      <c r="BU19" s="26">
        <f>BS!BT10-BS!BU10</f>
        <v>-12.104108997771903</v>
      </c>
      <c r="BV19" s="26">
        <f>BS!BU10-BS!BV10</f>
        <v>-11.769605163571555</v>
      </c>
      <c r="BW19" s="26">
        <f>BS!BV10-BS!BW10</f>
        <v>-11.411707921800996</v>
      </c>
      <c r="BX19" s="270">
        <f>SUM(BT19:BW19)</f>
        <v>-48.048437102296361</v>
      </c>
      <c r="BY19" s="26">
        <f>BS!BW10-BS!BY10</f>
        <v>-10.100102898645275</v>
      </c>
      <c r="BZ19" s="26">
        <f>BS!BY10-BS!BZ10</f>
        <v>-9.6406000229345636</v>
      </c>
      <c r="CA19" s="26">
        <f>BS!BZ10-BS!CA10</f>
        <v>-10.043206078689366</v>
      </c>
      <c r="CB19" s="26">
        <f>BS!CA10-BS!CB10</f>
        <v>-9.8446552701929591</v>
      </c>
      <c r="CC19" s="270">
        <f>SUM(BY19:CB19)</f>
        <v>-39.628564270462164</v>
      </c>
      <c r="CD19" s="26">
        <f>BS!CB10-BS!CD10</f>
        <v>-9.9737368759649598</v>
      </c>
      <c r="CE19" s="26">
        <f>BS!CD10-BS!CE10</f>
        <v>-10.570070800736119</v>
      </c>
      <c r="CF19" s="26">
        <f>BS!CE10-BS!CF10</f>
        <v>-9.6373755180334228</v>
      </c>
      <c r="CG19" s="26">
        <f>BS!CF10-BS!CG10</f>
        <v>-9.3573394104771523</v>
      </c>
      <c r="CH19" s="270">
        <f>SUM(CD19:CG19)</f>
        <v>-39.538522605211654</v>
      </c>
      <c r="CI19" s="26">
        <f>BS!CG10-BS!CI10</f>
        <v>-8.4492358779651795</v>
      </c>
      <c r="CJ19" s="26">
        <f>BS!CI10-BS!CJ10</f>
        <v>-7.8583182778496621</v>
      </c>
      <c r="CK19" s="26">
        <f>BS!CJ10-BS!CK10</f>
        <v>-7.4622318873014706</v>
      </c>
      <c r="CL19" s="26">
        <f>BS!CK10-BS!CL10</f>
        <v>-7.1206620454418044</v>
      </c>
      <c r="CM19" s="270">
        <f>SUM(CI19:CL19)</f>
        <v>-30.890448088558117</v>
      </c>
    </row>
    <row r="20" spans="1:91" s="16" customFormat="1">
      <c r="A20" s="16" t="s">
        <v>26</v>
      </c>
      <c r="D20" s="26">
        <v>-2.62</v>
      </c>
      <c r="E20" s="26">
        <f>F20-SUM(D20)</f>
        <v>-1.8979999999999997</v>
      </c>
      <c r="F20" s="270">
        <v>-4.5179999999999998</v>
      </c>
      <c r="G20" s="26">
        <v>0.32100000000000001</v>
      </c>
      <c r="H20" s="26">
        <f>0.559-G20</f>
        <v>0.23800000000000004</v>
      </c>
      <c r="I20" s="26">
        <f>0.212-H20-G20</f>
        <v>-0.34700000000000009</v>
      </c>
      <c r="J20" s="26">
        <f t="shared" si="28"/>
        <v>-2.0609999999999999</v>
      </c>
      <c r="K20" s="270">
        <f>-1.849</f>
        <v>-1.849</v>
      </c>
      <c r="L20" s="26">
        <v>-1.1200000000000001</v>
      </c>
      <c r="M20" s="26">
        <f>-5.04-L20</f>
        <v>-3.92</v>
      </c>
      <c r="N20" s="26">
        <f>-5.624-M20-L20</f>
        <v>-0.58399999999999963</v>
      </c>
      <c r="O20" s="26">
        <f t="shared" si="2"/>
        <v>-0.42100000000000026</v>
      </c>
      <c r="P20" s="270">
        <v>-6.0449999999999999</v>
      </c>
      <c r="Q20" s="26">
        <v>-9.9670000000000005</v>
      </c>
      <c r="R20" s="26">
        <f>-5.173-Q20</f>
        <v>4.7940000000000005</v>
      </c>
      <c r="S20" s="26">
        <f>-12.55-R20-Q20</f>
        <v>-7.3770000000000007</v>
      </c>
      <c r="T20" s="26">
        <f t="shared" si="3"/>
        <v>5.0150000000000006</v>
      </c>
      <c r="U20" s="270">
        <v>-7.5350000000000001</v>
      </c>
      <c r="V20" s="26">
        <v>-6.16</v>
      </c>
      <c r="W20" s="26">
        <f>-3.778-V20</f>
        <v>2.3820000000000001</v>
      </c>
      <c r="X20" s="26">
        <f>-2.023-W20-V20</f>
        <v>1.7549999999999999</v>
      </c>
      <c r="Y20" s="26">
        <f t="shared" si="4"/>
        <v>-5.9339999999999993</v>
      </c>
      <c r="Z20" s="270">
        <v>-7.9569999999999999</v>
      </c>
      <c r="AA20" s="26">
        <v>-5.9370000000000003</v>
      </c>
      <c r="AB20" s="26">
        <f>-29.218-AA20</f>
        <v>-23.280999999999999</v>
      </c>
      <c r="AC20" s="26">
        <f>-32.375-AB20-AA20</f>
        <v>-3.1570000000000009</v>
      </c>
      <c r="AD20" s="26">
        <f t="shared" si="5"/>
        <v>11.449000000000002</v>
      </c>
      <c r="AE20" s="270">
        <v>-20.925999999999998</v>
      </c>
      <c r="AF20" s="26">
        <v>5.125</v>
      </c>
      <c r="AG20" s="26">
        <f>-8.931-AF20</f>
        <v>-14.055999999999999</v>
      </c>
      <c r="AH20" s="26">
        <f>-25.435-AG20-AF20</f>
        <v>-16.503999999999998</v>
      </c>
      <c r="AI20" s="26">
        <f t="shared" si="6"/>
        <v>15.084999999999996</v>
      </c>
      <c r="AJ20" s="270">
        <v>-10.35</v>
      </c>
      <c r="AK20" s="26">
        <v>-1.042</v>
      </c>
      <c r="AL20" s="26">
        <f>-5.035-AK20</f>
        <v>-3.9930000000000003</v>
      </c>
      <c r="AM20" s="26">
        <f>-10.349-AL20-AK20</f>
        <v>-5.3140000000000001</v>
      </c>
      <c r="AN20" s="26">
        <f t="shared" si="29"/>
        <v>1.2140000000000004</v>
      </c>
      <c r="AO20" s="270">
        <v>-9.1349999999999998</v>
      </c>
      <c r="AP20" s="26">
        <v>-6.173</v>
      </c>
      <c r="AQ20" s="26">
        <f>-12.978-AP20</f>
        <v>-6.8049999999999997</v>
      </c>
      <c r="AR20" s="26">
        <f>-19.406-AQ20-AP20</f>
        <v>-6.427999999999999</v>
      </c>
      <c r="AS20" s="26">
        <f>-14.792-AP20-AQ20-AR20</f>
        <v>4.613999999999999</v>
      </c>
      <c r="AT20" s="270">
        <f>SUM(AP20:AS20)</f>
        <v>-14.792</v>
      </c>
      <c r="AU20" s="355">
        <f>BS!AS11-BS!AU11</f>
        <v>-4.6584268214324993</v>
      </c>
      <c r="AV20" s="26">
        <f>BS!AU11-BS!AV11</f>
        <v>-7.7584422794950996</v>
      </c>
      <c r="AW20" s="26">
        <f>BS!AV11-BS!AW11</f>
        <v>-9.5601490499949335</v>
      </c>
      <c r="AX20" s="26">
        <f>BS!AW11-BS!AX11</f>
        <v>-10.37468874345268</v>
      </c>
      <c r="AY20" s="270">
        <f>SUM(AU20:AX20)</f>
        <v>-32.351706894375212</v>
      </c>
      <c r="AZ20" s="26">
        <f>BS!AX11-BS!AZ11</f>
        <v>-6.2655536158553957</v>
      </c>
      <c r="BA20" s="26">
        <f>BS!AZ11-BS!BA11</f>
        <v>-11.372601557747544</v>
      </c>
      <c r="BB20" s="26">
        <f>BS!BA11-BS!BB11</f>
        <v>-10.490175242752969</v>
      </c>
      <c r="BC20" s="26">
        <f>BS!BB11-BS!BC11</f>
        <v>-10.981005058363223</v>
      </c>
      <c r="BD20" s="270">
        <f>SUM(AZ20:BC20)</f>
        <v>-39.109335474719131</v>
      </c>
      <c r="BE20" s="26">
        <f>BS!BC11-BS!BE11</f>
        <v>-11.630719103717752</v>
      </c>
      <c r="BF20" s="26">
        <f>BS!BE11-BS!BF11</f>
        <v>-11.611298556530102</v>
      </c>
      <c r="BG20" s="26">
        <f>BS!BF11-BS!BG11</f>
        <v>-12.066123536454768</v>
      </c>
      <c r="BH20" s="26">
        <f>BS!BG11-BS!BH11</f>
        <v>-12.132534549489037</v>
      </c>
      <c r="BI20" s="270">
        <f>SUM(BE20:BH20)</f>
        <v>-47.440675746191658</v>
      </c>
      <c r="BJ20" s="26">
        <f>BS!BH11-BS!BJ11</f>
        <v>-10.88332508540185</v>
      </c>
      <c r="BK20" s="26">
        <f>BS!BJ11-BS!BK11</f>
        <v>-9.8318703754734145</v>
      </c>
      <c r="BL20" s="26">
        <f>BS!BK11-BS!BL11</f>
        <v>-10.108834439692743</v>
      </c>
      <c r="BM20" s="26">
        <f>BS!BL11-BS!BM11</f>
        <v>-9.517339779629566</v>
      </c>
      <c r="BN20" s="270">
        <f>SUM(BJ20:BM20)</f>
        <v>-40.341369680197573</v>
      </c>
      <c r="BO20" s="26">
        <f>BS!BM11-BS!BO11</f>
        <v>-10.190205774216338</v>
      </c>
      <c r="BP20" s="26">
        <f>BS!BO11-BS!BP11</f>
        <v>-10.748999915981102</v>
      </c>
      <c r="BQ20" s="26">
        <f>BS!BP11-BS!BQ11</f>
        <v>-10.146603623515887</v>
      </c>
      <c r="BR20" s="26">
        <f>BS!BQ11-BS!BR11</f>
        <v>-10.121806259626226</v>
      </c>
      <c r="BS20" s="270">
        <f>SUM(BO20:BR20)</f>
        <v>-41.207615573339552</v>
      </c>
      <c r="BT20" s="26">
        <f>BS!BR11-BS!BT11</f>
        <v>-9.2008293804332197</v>
      </c>
      <c r="BU20" s="26">
        <f>BS!BT11-BS!BU11</f>
        <v>-8.3219296775495764</v>
      </c>
      <c r="BV20" s="26">
        <f>BS!BU11-BS!BV11</f>
        <v>-7.9825942368133838</v>
      </c>
      <c r="BW20" s="26">
        <f>BS!BV11-BS!BW11</f>
        <v>-7.6237031492624396</v>
      </c>
      <c r="BX20" s="270">
        <f>SUM(BT20:BW20)</f>
        <v>-33.129056444058619</v>
      </c>
      <c r="BY20" s="26">
        <f>BS!BW11-BS!BY11</f>
        <v>-6.7998138940089348</v>
      </c>
      <c r="BZ20" s="26">
        <f>BS!BY11-BS!BZ11</f>
        <v>-6.1544335677675122</v>
      </c>
      <c r="CA20" s="26">
        <f>BS!BZ11-BS!CA11</f>
        <v>-6.3927139618870115</v>
      </c>
      <c r="CB20" s="26">
        <f>BS!CA11-BS!CB11</f>
        <v>-6.1703961441408524</v>
      </c>
      <c r="CC20" s="270">
        <f>SUM(BY20:CB20)</f>
        <v>-25.517357567804311</v>
      </c>
      <c r="CD20" s="26">
        <f>BS!CB11-BS!CD11</f>
        <v>-6.462503917931258</v>
      </c>
      <c r="CE20" s="26">
        <f>BS!CD11-BS!CE11</f>
        <v>-6.6247214844646578</v>
      </c>
      <c r="CF20" s="26">
        <f>BS!CE11-BS!CF11</f>
        <v>-5.8514434421563237</v>
      </c>
      <c r="CG20" s="26">
        <f>BS!CF11-BS!CG11</f>
        <v>-5.5751101828643641</v>
      </c>
      <c r="CH20" s="270">
        <f>SUM(CD20:CG20)</f>
        <v>-24.513779027416604</v>
      </c>
      <c r="CI20" s="26">
        <f>BS!CG11-BS!CI11</f>
        <v>-5.0608782389101066</v>
      </c>
      <c r="CJ20" s="26">
        <f>BS!CI11-BS!CJ11</f>
        <v>-4.3682566060420527</v>
      </c>
      <c r="CK20" s="26">
        <f>BS!CJ11-BS!CK11</f>
        <v>-4.0227775605651459</v>
      </c>
      <c r="CL20" s="26">
        <f>BS!CK11-BS!CL11</f>
        <v>-3.71790716489636</v>
      </c>
      <c r="CM20" s="270">
        <f>SUM(CI20:CL20)</f>
        <v>-17.169819570413665</v>
      </c>
    </row>
    <row r="21" spans="1:91" s="16" customFormat="1">
      <c r="A21" s="16" t="s">
        <v>37</v>
      </c>
      <c r="D21" s="26">
        <v>3.2890000000000001</v>
      </c>
      <c r="E21" s="26">
        <f>F21-SUM(D21)</f>
        <v>-2.0390000000000001</v>
      </c>
      <c r="F21" s="270">
        <v>1.25</v>
      </c>
      <c r="G21" s="26">
        <v>1.9890000000000001</v>
      </c>
      <c r="H21" s="26">
        <f>0.823-G21</f>
        <v>-1.1660000000000001</v>
      </c>
      <c r="I21" s="26">
        <f>3.348-H21-G21</f>
        <v>2.5250000000000004</v>
      </c>
      <c r="J21" s="26">
        <f t="shared" si="28"/>
        <v>1.698</v>
      </c>
      <c r="K21" s="270">
        <f>5.046</f>
        <v>5.0460000000000003</v>
      </c>
      <c r="L21" s="26">
        <v>-2.61</v>
      </c>
      <c r="M21" s="26">
        <f>3.413-L21</f>
        <v>6.0229999999999997</v>
      </c>
      <c r="N21" s="26">
        <f>0.426-M21-L21</f>
        <v>-2.9869999999999997</v>
      </c>
      <c r="O21" s="26">
        <f t="shared" si="2"/>
        <v>3.915</v>
      </c>
      <c r="P21" s="270">
        <v>4.3410000000000002</v>
      </c>
      <c r="Q21" s="26">
        <v>9.4909999999999997</v>
      </c>
      <c r="R21" s="26">
        <f>-2.476-Q21</f>
        <v>-11.966999999999999</v>
      </c>
      <c r="S21" s="26">
        <f>0.846-R21-Q21</f>
        <v>3.3219999999999992</v>
      </c>
      <c r="T21" s="26">
        <f t="shared" si="3"/>
        <v>-8.7050000000000001</v>
      </c>
      <c r="U21" s="270">
        <v>-7.859</v>
      </c>
      <c r="V21" s="26">
        <v>11.986000000000001</v>
      </c>
      <c r="W21" s="26">
        <f>7.112-V21</f>
        <v>-4.8740000000000006</v>
      </c>
      <c r="X21" s="26">
        <f>6.939-W21-V21</f>
        <v>-0.17300000000000004</v>
      </c>
      <c r="Y21" s="26">
        <f t="shared" si="4"/>
        <v>1.6989999999999998</v>
      </c>
      <c r="Z21" s="270">
        <v>8.6379999999999999</v>
      </c>
      <c r="AA21" s="26">
        <v>-0.753</v>
      </c>
      <c r="AB21" s="26">
        <f>11.089-AA21</f>
        <v>11.842000000000001</v>
      </c>
      <c r="AC21" s="26">
        <f>17.752-AB21-AA21</f>
        <v>6.6629999999999985</v>
      </c>
      <c r="AD21" s="26">
        <f t="shared" si="5"/>
        <v>42.576000000000008</v>
      </c>
      <c r="AE21" s="270">
        <v>60.328000000000003</v>
      </c>
      <c r="AF21" s="26">
        <v>13.885999999999999</v>
      </c>
      <c r="AG21" s="26">
        <f>16.512-AF21</f>
        <v>2.6260000000000012</v>
      </c>
      <c r="AH21" s="26">
        <f>26.577-AG21-AF21</f>
        <v>10.065000000000001</v>
      </c>
      <c r="AI21" s="26">
        <f t="shared" si="6"/>
        <v>62.013999999999996</v>
      </c>
      <c r="AJ21" s="270">
        <v>88.590999999999994</v>
      </c>
      <c r="AK21" s="26">
        <v>13.24</v>
      </c>
      <c r="AL21" s="26">
        <f>-15.025-AK21</f>
        <v>-28.265000000000001</v>
      </c>
      <c r="AM21" s="26">
        <f>-19.813-AL21-AK21</f>
        <v>-4.7879999999999985</v>
      </c>
      <c r="AN21" s="26">
        <f t="shared" si="29"/>
        <v>16.992999999999999</v>
      </c>
      <c r="AO21" s="270">
        <v>-2.82</v>
      </c>
      <c r="AP21" s="26">
        <v>-1.5369999999999999</v>
      </c>
      <c r="AQ21" s="26">
        <f>-4.273-AP21</f>
        <v>-2.7359999999999998</v>
      </c>
      <c r="AR21" s="26">
        <f>-0.996-AQ21-AP21</f>
        <v>3.2769999999999997</v>
      </c>
      <c r="AS21" s="26">
        <f>52.749-AP21-AQ21-AR21</f>
        <v>53.744999999999997</v>
      </c>
      <c r="AT21" s="270">
        <f>SUM(AP21:AS21)</f>
        <v>52.748999999999995</v>
      </c>
      <c r="AU21" s="355">
        <f>BS!AU25-BS!AS25</f>
        <v>4.8392095780231443</v>
      </c>
      <c r="AV21" s="26">
        <f>BS!AV25-BS!AU25</f>
        <v>-31.977634827765478</v>
      </c>
      <c r="AW21" s="26">
        <f>BS!AW25-BS!AV25</f>
        <v>2.0043106168408471</v>
      </c>
      <c r="AX21" s="26">
        <f>BS!AX25-BS!AW25</f>
        <v>44.898866832562526</v>
      </c>
      <c r="AY21" s="270">
        <f>SUM(AU21:AX21)</f>
        <v>19.764752199661039</v>
      </c>
      <c r="AZ21" s="26">
        <f>BS!AZ25-BS!AX25</f>
        <v>7.3104266953324952</v>
      </c>
      <c r="BA21" s="26">
        <f>BS!BA25-BS!AZ25</f>
        <v>-43.776661653888489</v>
      </c>
      <c r="BB21" s="26">
        <f>BS!BB25-BS!BA25</f>
        <v>2.9139375674313825</v>
      </c>
      <c r="BC21" s="26">
        <f>BS!BC25-BS!BB25</f>
        <v>62.488717411203211</v>
      </c>
      <c r="BD21" s="270">
        <f>SUM(AZ21:BC21)</f>
        <v>28.9364200200786</v>
      </c>
      <c r="BE21" s="26">
        <f>BS!BE25-BS!BC25</f>
        <v>7.4955497722344973</v>
      </c>
      <c r="BF21" s="26">
        <f>BS!BF25-BS!BE25</f>
        <v>-60.477871983823526</v>
      </c>
      <c r="BG21" s="26">
        <f>BS!BG25-BS!BF25</f>
        <v>3.3517009823485466</v>
      </c>
      <c r="BH21" s="26">
        <f>BS!BH25-BS!BG25</f>
        <v>80.730619773966112</v>
      </c>
      <c r="BI21" s="270">
        <f>SUM(BE21:BH21)</f>
        <v>31.099998544725629</v>
      </c>
      <c r="BJ21" s="26">
        <f>BS!BJ25-BS!BH25</f>
        <v>6.9699340029747532</v>
      </c>
      <c r="BK21" s="26">
        <f>BS!BK25-BS!BJ25</f>
        <v>-78.576184329617462</v>
      </c>
      <c r="BL21" s="26">
        <f>BS!BL25-BS!BK25</f>
        <v>2.8080095665813261</v>
      </c>
      <c r="BM21" s="26">
        <f>BS!BM25-BS!BL25</f>
        <v>95.244249772635342</v>
      </c>
      <c r="BN21" s="270">
        <f>SUM(BJ21:BM21)</f>
        <v>26.446009012573953</v>
      </c>
      <c r="BO21" s="26">
        <f>BS!BO25-BS!BM25</f>
        <v>6.4852782793898598</v>
      </c>
      <c r="BP21" s="26">
        <f>BS!BP25-BS!BO25</f>
        <v>-93.269376532628797</v>
      </c>
      <c r="BQ21" s="26">
        <f>BS!BQ25-BS!BP25</f>
        <v>2.8185010065321734</v>
      </c>
      <c r="BR21" s="26">
        <f>BS!BR25-BS!BQ25</f>
        <v>110.97947856700715</v>
      </c>
      <c r="BS21" s="270">
        <f>SUM(BO21:BR21)</f>
        <v>27.013881320300385</v>
      </c>
      <c r="BT21" s="26">
        <f>BS!BT25-BS!BR25</f>
        <v>5.8059743057252149</v>
      </c>
      <c r="BU21" s="26">
        <f>BS!BU25-BS!BT25</f>
        <v>-109.10640695117431</v>
      </c>
      <c r="BV21" s="26">
        <f>BS!BV25-BS!BU25</f>
        <v>2.2173872880037209</v>
      </c>
      <c r="BW21" s="26">
        <f>BS!BW25-BS!BV25</f>
        <v>122.80098235966156</v>
      </c>
      <c r="BX21" s="270">
        <f>SUM(BT21:BW21)</f>
        <v>21.717937002216189</v>
      </c>
      <c r="BY21" s="26">
        <f>BS!BY25-BS!BW25</f>
        <v>4.2085097015335009</v>
      </c>
      <c r="BZ21" s="26">
        <f>BS!BZ25-BS!BY25</f>
        <v>-121.29339466923982</v>
      </c>
      <c r="CA21" s="26">
        <f>BS!CA25-BS!BZ25</f>
        <v>1.7757538783019555</v>
      </c>
      <c r="CB21" s="26">
        <f>BS!CB25-BS!CA25</f>
        <v>132.03717660607609</v>
      </c>
      <c r="CC21" s="270">
        <f>SUM(BY21:CB21)</f>
        <v>16.728045516671727</v>
      </c>
      <c r="CD21" s="26">
        <f>BS!CD25-BS!CB25</f>
        <v>3.9681554518966777</v>
      </c>
      <c r="CE21" s="26">
        <f>BS!CE25-BS!CD25</f>
        <v>-130.65599273949033</v>
      </c>
      <c r="CF21" s="26">
        <f>BS!CF25-BS!CE25</f>
        <v>1.6254009561545502</v>
      </c>
      <c r="CG21" s="26">
        <f>BS!CG25-BS!CF25</f>
        <v>141.13258036052332</v>
      </c>
      <c r="CH21" s="270">
        <f>SUM(CD21:CG21)</f>
        <v>16.070144029084219</v>
      </c>
      <c r="CI21" s="26">
        <f>BS!CI25-BS!CG25</f>
        <v>3.0316622841364165</v>
      </c>
      <c r="CJ21" s="26">
        <f>BS!CJ25-BS!CI25</f>
        <v>-139.99639680359957</v>
      </c>
      <c r="CK21" s="26">
        <f>BS!CK25-BS!CJ25</f>
        <v>1.1174382112680945</v>
      </c>
      <c r="CL21" s="26">
        <f>BS!CL25-BS!CK25</f>
        <v>147.10306691546626</v>
      </c>
      <c r="CM21" s="270">
        <f>SUM(CI21:CL21)</f>
        <v>11.255770607271216</v>
      </c>
    </row>
    <row r="22" spans="1:91" s="16" customFormat="1">
      <c r="A22" s="16" t="s">
        <v>38</v>
      </c>
      <c r="D22" s="26">
        <f>1.24+1.807</f>
        <v>3.0469999999999997</v>
      </c>
      <c r="E22" s="26">
        <f>F22-SUM(D22)</f>
        <v>3.9580000000000002</v>
      </c>
      <c r="F22" s="270">
        <f>2.348+4.657</f>
        <v>7.0049999999999999</v>
      </c>
      <c r="G22" s="26">
        <f>-0.608+1.108</f>
        <v>0.50000000000000011</v>
      </c>
      <c r="H22" s="26">
        <f>0.051+2.482-G22</f>
        <v>2.0330000000000004</v>
      </c>
      <c r="I22" s="26">
        <f>2.519+0.541-H22-G22</f>
        <v>0.52699999999999958</v>
      </c>
      <c r="J22" s="26">
        <f t="shared" si="28"/>
        <v>6.6079999999999988</v>
      </c>
      <c r="K22" s="270">
        <f>8.075+0.286+1.307</f>
        <v>9.6679999999999993</v>
      </c>
      <c r="L22" s="26">
        <f>1.697+2.308</f>
        <v>4.0049999999999999</v>
      </c>
      <c r="M22" s="26">
        <f>0.701+2.939-L22</f>
        <v>-0.36499999999999977</v>
      </c>
      <c r="N22" s="26">
        <f>11.618+6.368-M22-L22</f>
        <v>14.346</v>
      </c>
      <c r="O22" s="26">
        <f t="shared" si="2"/>
        <v>-3.2020000000000017</v>
      </c>
      <c r="P22" s="270">
        <f>5.571+9.213</f>
        <v>14.783999999999999</v>
      </c>
      <c r="Q22" s="26">
        <f>4.378-0.66</f>
        <v>3.718</v>
      </c>
      <c r="R22" s="26">
        <f>-0.031-1.82-Q22</f>
        <v>-5.569</v>
      </c>
      <c r="S22" s="26">
        <f>5.48-1.514-R22-Q22</f>
        <v>5.8170000000000002</v>
      </c>
      <c r="T22" s="26">
        <f t="shared" si="3"/>
        <v>4.3980000000000006</v>
      </c>
      <c r="U22" s="270">
        <f>9.723-1.359</f>
        <v>8.3640000000000008</v>
      </c>
      <c r="V22" s="26">
        <f>8.9+4.399</f>
        <v>13.298999999999999</v>
      </c>
      <c r="W22" s="26">
        <f>6.455+7.304-V22</f>
        <v>0.46000000000000085</v>
      </c>
      <c r="X22" s="26">
        <f>10.558+10.484-W22-V22</f>
        <v>7.2830000000000013</v>
      </c>
      <c r="Y22" s="26">
        <f t="shared" si="4"/>
        <v>5.1159999999999997</v>
      </c>
      <c r="Z22" s="270">
        <f>14.216+11.942</f>
        <v>26.158000000000001</v>
      </c>
      <c r="AA22" s="26">
        <f>13.662+8.022</f>
        <v>21.684000000000001</v>
      </c>
      <c r="AB22" s="26">
        <f>-3.824+15.159-AA22</f>
        <v>-10.349</v>
      </c>
      <c r="AC22" s="26">
        <f>14.927+14.034-AB22-AA22</f>
        <v>17.626000000000001</v>
      </c>
      <c r="AD22" s="26">
        <f t="shared" si="5"/>
        <v>-28.961000000000002</v>
      </c>
      <c r="AE22" s="270">
        <v>0</v>
      </c>
      <c r="AF22" s="26">
        <v>0</v>
      </c>
      <c r="AG22" s="26">
        <f>0-AF22</f>
        <v>0</v>
      </c>
      <c r="AH22" s="26">
        <f>0-AG22-AF22</f>
        <v>0</v>
      </c>
      <c r="AI22" s="26">
        <f t="shared" si="6"/>
        <v>0</v>
      </c>
      <c r="AJ22" s="270">
        <v>0</v>
      </c>
      <c r="AK22" s="26">
        <v>0</v>
      </c>
      <c r="AL22" s="26">
        <f>0-AK22</f>
        <v>0</v>
      </c>
      <c r="AM22" s="26">
        <f>0-AL22-AK22</f>
        <v>0</v>
      </c>
      <c r="AN22" s="26">
        <f>AO22-SUM(AK22:AM22)</f>
        <v>0</v>
      </c>
      <c r="AO22" s="270">
        <v>0</v>
      </c>
      <c r="AP22" s="26">
        <v>0</v>
      </c>
      <c r="AQ22" s="26">
        <f>0-AP22</f>
        <v>0</v>
      </c>
      <c r="AR22" s="26">
        <f>0-AQ22-AP22</f>
        <v>0</v>
      </c>
      <c r="AS22" s="26">
        <f>0-AP22-AQ22-AR22</f>
        <v>0</v>
      </c>
      <c r="AT22" s="270">
        <f>SUM(AP22:AS22)</f>
        <v>0</v>
      </c>
      <c r="AU22" s="355">
        <f>BS!AU26-BS!AS26</f>
        <v>-40.69010392871624</v>
      </c>
      <c r="AV22" s="26">
        <f>BS!AV26-BS!AU26</f>
        <v>11.749579703729779</v>
      </c>
      <c r="AW22" s="26">
        <f>BS!AW26-BS!AV26</f>
        <v>11.451085861474041</v>
      </c>
      <c r="AX22" s="26">
        <f>BS!AX26-BS!AW26</f>
        <v>12.272658653898105</v>
      </c>
      <c r="AY22" s="270">
        <f>SUM(AU22:AX22)</f>
        <v>-5.2167797096143147</v>
      </c>
      <c r="AZ22" s="26">
        <f>BS!AZ26-BS!AX26</f>
        <v>-39.318719021057262</v>
      </c>
      <c r="BA22" s="26">
        <f>BS!BA26-BS!AZ26</f>
        <v>14.666700015830827</v>
      </c>
      <c r="BB22" s="26">
        <f>BS!BB26-BS!BA26</f>
        <v>13.680428654456762</v>
      </c>
      <c r="BC22" s="26">
        <f>BS!BC26-BS!BB26</f>
        <v>14.408691147323879</v>
      </c>
      <c r="BD22" s="270">
        <f>SUM(AZ22:BC22)</f>
        <v>3.4371007965542049</v>
      </c>
      <c r="BE22" s="26">
        <f>BS!BE26-BS!BC26</f>
        <v>-39.104284687401531</v>
      </c>
      <c r="BF22" s="26">
        <f>BS!BF26-BS!BE26</f>
        <v>11.449226482817579</v>
      </c>
      <c r="BG22" s="26">
        <f>BS!BG26-BS!BF26</f>
        <v>11.961895030596423</v>
      </c>
      <c r="BH22" s="26">
        <f>BS!BH26-BS!BG26</f>
        <v>12.125776733284567</v>
      </c>
      <c r="BI22" s="270">
        <f>SUM(BE22:BH22)</f>
        <v>-3.5673864407029612</v>
      </c>
      <c r="BJ22" s="26">
        <f>BS!BJ26-BS!BH26</f>
        <v>-24.267629532472824</v>
      </c>
      <c r="BK22" s="26">
        <f>BS!BK26-BS!BJ26</f>
        <v>8.3495169722401954</v>
      </c>
      <c r="BL22" s="26">
        <f>BS!BL26-BS!BK26</f>
        <v>8.6394473267113483</v>
      </c>
      <c r="BM22" s="26">
        <f>BS!BM26-BS!BL26</f>
        <v>8.2462712399293991</v>
      </c>
      <c r="BN22" s="270">
        <f>SUM(BJ22:BM22)</f>
        <v>0.96760600640811845</v>
      </c>
      <c r="BO22" s="26">
        <f>BS!BO26-BS!BM26</f>
        <v>-33.442132307888301</v>
      </c>
      <c r="BP22" s="26">
        <f>BS!BP26-BS!BO26</f>
        <v>7.3914780213535494</v>
      </c>
      <c r="BQ22" s="26">
        <f>BS!BQ26-BS!BP26</f>
        <v>7.0705222821102325</v>
      </c>
      <c r="BR22" s="26">
        <f>BS!BR26-BS!BQ26</f>
        <v>7.1150396537592826</v>
      </c>
      <c r="BS22" s="270">
        <f>SUM(BO22:BR22)</f>
        <v>-11.865092350665236</v>
      </c>
      <c r="BT22" s="26">
        <f>BS!BT26-BS!BR26</f>
        <v>-18.3121708866814</v>
      </c>
      <c r="BU22" s="26">
        <f>BS!BU26-BS!BT26</f>
        <v>5.2557315385062111</v>
      </c>
      <c r="BV22" s="26">
        <f>BS!BV26-BS!BU26</f>
        <v>5.1104864526034532</v>
      </c>
      <c r="BW22" s="26">
        <f>BS!BW26-BS!BV26</f>
        <v>4.9550837028872934</v>
      </c>
      <c r="BX22" s="270">
        <f>SUM(BT22:BW22)</f>
        <v>-2.9908691926844426</v>
      </c>
      <c r="BY22" s="26">
        <f>BS!BY26-BS!BW26</f>
        <v>-23.293997202226478</v>
      </c>
      <c r="BZ22" s="26">
        <f>BS!BZ26-BS!BY26</f>
        <v>3.5518000084495611</v>
      </c>
      <c r="CA22" s="26">
        <f>BS!CA26-BS!BZ26</f>
        <v>3.7001285553066339</v>
      </c>
      <c r="CB22" s="26">
        <f>BS!CB26-BS!CA26</f>
        <v>3.6269782574395037</v>
      </c>
      <c r="CC22" s="270">
        <f>SUM(BY22:CB22)</f>
        <v>-12.41509038103078</v>
      </c>
      <c r="CD22" s="26">
        <f>BS!CD26-BS!CB26</f>
        <v>-26.603862391268393</v>
      </c>
      <c r="CE22" s="26">
        <f>BS!CE26-BS!CD26</f>
        <v>3.1988372160122651</v>
      </c>
      <c r="CF22" s="26">
        <f>BS!CF26-BS!CE26</f>
        <v>2.9165741699311525</v>
      </c>
      <c r="CG22" s="26">
        <f>BS!CG26-BS!CF26</f>
        <v>2.8318264005391427</v>
      </c>
      <c r="CH22" s="270">
        <f>SUM(CD22:CG22)</f>
        <v>-17.656624604785833</v>
      </c>
      <c r="CI22" s="26">
        <f>BS!CI26-BS!CG26</f>
        <v>-30.222313909293092</v>
      </c>
      <c r="CJ22" s="26">
        <f>BS!CJ26-BS!CI26</f>
        <v>1.8611806447538584</v>
      </c>
      <c r="CK22" s="26">
        <f>BS!CK26-BS!CJ26</f>
        <v>1.7673707101503311</v>
      </c>
      <c r="CL22" s="26">
        <f>BS!CL26-BS!CK26</f>
        <v>1.686472589709922</v>
      </c>
      <c r="CM22" s="270">
        <f>SUM(CI22:CL22)</f>
        <v>-24.907289964678981</v>
      </c>
    </row>
    <row r="23" spans="1:91" s="16" customFormat="1">
      <c r="A23" s="16" t="s">
        <v>84</v>
      </c>
      <c r="D23" s="26">
        <f>-0.247-0.456+2.03-0.022</f>
        <v>1.3049999999999997</v>
      </c>
      <c r="E23" s="26">
        <f>F23-SUM(D23)</f>
        <v>-0.73899999999999966</v>
      </c>
      <c r="F23" s="270">
        <f>0.03-0.883+0.204+1.215</f>
        <v>0.56600000000000006</v>
      </c>
      <c r="G23" s="26">
        <f>-1.312+0.255+0.621+1.491</f>
        <v>1.0550000000000002</v>
      </c>
      <c r="H23" s="26">
        <f>-1.496+0.255+0.866+0.76-G23</f>
        <v>-0.67000000000000026</v>
      </c>
      <c r="I23" s="26">
        <f>-2.483+0.097+1.086+0.842-H23-G23</f>
        <v>-0.84299999999999997</v>
      </c>
      <c r="J23" s="26">
        <f t="shared" si="28"/>
        <v>9.3690000000000015</v>
      </c>
      <c r="K23" s="270">
        <f>-3.663-0.451+13.025</f>
        <v>8.9110000000000014</v>
      </c>
      <c r="L23" s="26">
        <f>-0.947-0.833+1.131+0.975</f>
        <v>0.32600000000000018</v>
      </c>
      <c r="M23" s="26">
        <f>1.122-1.235-1.129+3.068+0.358-L23</f>
        <v>1.8580000000000001</v>
      </c>
      <c r="N23" s="26">
        <f>-0.453-1.043+3.465-3.043-M23-L23</f>
        <v>-3.2580000000000005</v>
      </c>
      <c r="O23" s="26">
        <f t="shared" si="2"/>
        <v>-10.709</v>
      </c>
      <c r="P23" s="270">
        <f>-6.185-2.852+1.039-3.861+0.076</f>
        <v>-11.782999999999999</v>
      </c>
      <c r="Q23" s="26">
        <f>-2.598+0.161-1.858-0.341+0.036</f>
        <v>-4.6000000000000005</v>
      </c>
      <c r="R23" s="26">
        <f>0.438-0.242-3.881-0.792-Q23</f>
        <v>0.12300000000000111</v>
      </c>
      <c r="S23" s="26">
        <f>0.491-7.571-3.523-4.94-R23-Q23</f>
        <v>-11.065999999999999</v>
      </c>
      <c r="T23" s="26">
        <f t="shared" si="3"/>
        <v>-19.628999999999998</v>
      </c>
      <c r="U23" s="270">
        <f>-6.077-19.326-6.042-3.727</f>
        <v>-35.171999999999997</v>
      </c>
      <c r="V23" s="26">
        <f>0.521+1.202-2.762-0.19</f>
        <v>-1.2290000000000001</v>
      </c>
      <c r="W23" s="26">
        <f>-3.036-4.282-3.033-0.07-V23</f>
        <v>-9.1920000000000002</v>
      </c>
      <c r="X23" s="26">
        <f>-5.758-3.226+0.258-1.233-W23-V23</f>
        <v>0.46200000000000063</v>
      </c>
      <c r="Y23" s="26">
        <f t="shared" si="4"/>
        <v>-12.995000000000005</v>
      </c>
      <c r="Z23" s="270">
        <f>-35.753-4.182+14.205+2.776</f>
        <v>-22.954000000000004</v>
      </c>
      <c r="AA23" s="26">
        <f>21.882+3.846-3.106-0.757</f>
        <v>21.864999999999998</v>
      </c>
      <c r="AB23" s="26">
        <f>23.67+4.301-6.595+5.949-AA23</f>
        <v>5.4600000000000044</v>
      </c>
      <c r="AC23" s="26">
        <f>28.387+4.77-12.993+4.052-AB23-AA23</f>
        <v>-3.1090000000000089</v>
      </c>
      <c r="AD23" s="26">
        <f t="shared" si="5"/>
        <v>-2.429000000000002</v>
      </c>
      <c r="AE23" s="270">
        <f>20.444+11.698-20.228+9.873</f>
        <v>21.786999999999992</v>
      </c>
      <c r="AF23" s="26">
        <f>-3.354+1.765-7.422-4.145</f>
        <v>-13.155999999999999</v>
      </c>
      <c r="AG23" s="26">
        <f>-0.891+1.7-14.97-6.056-AF23</f>
        <v>-7.0610000000000035</v>
      </c>
      <c r="AH23" s="26">
        <f>-2.558+2.28-22.724+3.168-AG23-AF23</f>
        <v>0.38300000000000267</v>
      </c>
      <c r="AI23" s="26">
        <f t="shared" si="6"/>
        <v>-12.945000000000004</v>
      </c>
      <c r="AJ23" s="270">
        <f>-4.332+1.298-31.478+1.733</f>
        <v>-32.779000000000003</v>
      </c>
      <c r="AK23" s="26">
        <f>-5.627+1.024-8.835+4.887</f>
        <v>-8.5510000000000019</v>
      </c>
      <c r="AL23" s="26">
        <f>-8.661-0.13-17.696+12.453-AK23</f>
        <v>-5.4830000000000005</v>
      </c>
      <c r="AM23" s="26">
        <f>-9.192-1.561-27.029+9.598-AL23-AK23</f>
        <v>-14.149999999999995</v>
      </c>
      <c r="AN23" s="26">
        <f t="shared" si="29"/>
        <v>0.66600000000000037</v>
      </c>
      <c r="AO23" s="270">
        <f>-7.691-2.375-36.115+18.663</f>
        <v>-27.517999999999997</v>
      </c>
      <c r="AP23" s="26">
        <f>-3.072+0.697-9.565+2.427</f>
        <v>-9.5129999999999999</v>
      </c>
      <c r="AQ23" s="26">
        <f>-18.826+19.113+1.085-7.276-AP23</f>
        <v>3.6089999999999991</v>
      </c>
      <c r="AR23" s="26">
        <f>-8.607+0.779-28.022+15.503-AQ23-AP23</f>
        <v>-14.442999999999993</v>
      </c>
      <c r="AS23" s="26">
        <f>-6.354+0.212-37.524+19.455-AP23-AQ23-AR23</f>
        <v>-3.8640000000000132</v>
      </c>
      <c r="AT23" s="270">
        <f>SUM(AP23:AS23)</f>
        <v>-24.211000000000006</v>
      </c>
      <c r="AU23" s="355">
        <f>(BS!AS12-BS!AU12)+(BS!AU28-BS!AS28)</f>
        <v>0</v>
      </c>
      <c r="AV23" s="26">
        <f>(BS!AU12-BS!AV12)+(BS!AV28-BS!AU28)</f>
        <v>0</v>
      </c>
      <c r="AW23" s="26">
        <f>(BS!AV12-BS!AW12)+(BS!AW28-BS!AV28)</f>
        <v>0</v>
      </c>
      <c r="AX23" s="26">
        <f>(BS!AW12-BS!AX12)+(BS!AX28-BS!AW28)</f>
        <v>0</v>
      </c>
      <c r="AY23" s="270">
        <f>SUM(AU23:AX23)</f>
        <v>0</v>
      </c>
      <c r="AZ23" s="26">
        <f>(BS!AX12-BS!AZ12)+(BS!AZ28-BS!AX28)</f>
        <v>0</v>
      </c>
      <c r="BA23" s="26">
        <f>(BS!AZ12-BS!BA12)+(BS!BA28-BS!AZ28)</f>
        <v>0</v>
      </c>
      <c r="BB23" s="26">
        <f>(BS!BA12-BS!BB12)+(BS!BB28-BS!BA28)</f>
        <v>0</v>
      </c>
      <c r="BC23" s="26">
        <f>(BS!BB12-BS!BC12)+(BS!BC28-BS!BB28)</f>
        <v>0</v>
      </c>
      <c r="BD23" s="270">
        <f>SUM(AZ23:BC23)</f>
        <v>0</v>
      </c>
      <c r="BE23" s="26">
        <f>(BS!BC12-BS!BE12)+(BS!BE28-BS!BC28)</f>
        <v>0</v>
      </c>
      <c r="BF23" s="26">
        <f>(BS!BE12-BS!BF12)+(BS!BF28-BS!BE28)</f>
        <v>0</v>
      </c>
      <c r="BG23" s="26">
        <f>(BS!BF12-BS!BG12)+(BS!BG28-BS!BF28)</f>
        <v>0</v>
      </c>
      <c r="BH23" s="26">
        <f>(BS!BG12-BS!BH12)+(BS!BH28-BS!BG28)</f>
        <v>0</v>
      </c>
      <c r="BI23" s="270">
        <f>SUM(BE23:BH23)</f>
        <v>0</v>
      </c>
      <c r="BJ23" s="26">
        <f>(BS!BH12-BS!BJ12)+(BS!BJ28-BS!BH28)</f>
        <v>0</v>
      </c>
      <c r="BK23" s="26">
        <f>(BS!BJ12-BS!BK12)+(BS!BK28-BS!BJ28)</f>
        <v>0</v>
      </c>
      <c r="BL23" s="26">
        <f>(BS!BK12-BS!BL12)+(BS!BL28-BS!BK28)</f>
        <v>0</v>
      </c>
      <c r="BM23" s="26">
        <f>(BS!BL12-BS!BM12)+(BS!BM28-BS!BL28)</f>
        <v>0</v>
      </c>
      <c r="BN23" s="270">
        <f>SUM(BJ23:BM23)</f>
        <v>0</v>
      </c>
      <c r="BO23" s="26">
        <f>(BS!BM12-BS!BO12)+(BS!BO28-BS!BM28)</f>
        <v>0</v>
      </c>
      <c r="BP23" s="26">
        <f>(BS!BO12-BS!BP12)+(BS!BP28-BS!BO28)</f>
        <v>0</v>
      </c>
      <c r="BQ23" s="26">
        <f>(BS!BP12-BS!BQ12)+(BS!BQ28-BS!BP28)</f>
        <v>0</v>
      </c>
      <c r="BR23" s="26">
        <f>(BS!BQ12-BS!BR12)+(BS!BR28-BS!BQ28)</f>
        <v>0</v>
      </c>
      <c r="BS23" s="270">
        <f>SUM(BO23:BR23)</f>
        <v>0</v>
      </c>
      <c r="BT23" s="26">
        <f>(BS!BR12-BS!BT12)+(BS!BT28-BS!BR28)</f>
        <v>0</v>
      </c>
      <c r="BU23" s="26">
        <f>(BS!BT12-BS!BU12)+(BS!BU28-BS!BT28)</f>
        <v>0</v>
      </c>
      <c r="BV23" s="26">
        <f>(BS!BU12-BS!BV12)+(BS!BV28-BS!BU28)</f>
        <v>0</v>
      </c>
      <c r="BW23" s="26">
        <f>(BS!BV12-BS!BW12)+(BS!BW28-BS!BV28)</f>
        <v>0</v>
      </c>
      <c r="BX23" s="270">
        <f>SUM(BT23:BW23)</f>
        <v>0</v>
      </c>
      <c r="BY23" s="26">
        <f>(BS!BW12-BS!BY12)+(BS!BY28-BS!BW28)</f>
        <v>0</v>
      </c>
      <c r="BZ23" s="26">
        <f>(BS!BY12-BS!BZ12)+(BS!BZ28-BS!BY28)</f>
        <v>0</v>
      </c>
      <c r="CA23" s="26">
        <f>(BS!BZ12-BS!CA12)+(BS!CA28-BS!BZ28)</f>
        <v>0</v>
      </c>
      <c r="CB23" s="26">
        <f>(BS!CA12-BS!CB12)+(BS!CB28-BS!CA28)</f>
        <v>0</v>
      </c>
      <c r="CC23" s="270">
        <f>SUM(BY23:CB23)</f>
        <v>0</v>
      </c>
      <c r="CD23" s="26">
        <f>(BS!CB12-BS!CD12)+(BS!CD28-BS!CB28)</f>
        <v>0</v>
      </c>
      <c r="CE23" s="26">
        <f>(BS!CD12-BS!CE12)+(BS!CE28-BS!CD28)</f>
        <v>0</v>
      </c>
      <c r="CF23" s="26">
        <f>(BS!CE12-BS!CF12)+(BS!CF28-BS!CE28)</f>
        <v>0</v>
      </c>
      <c r="CG23" s="26">
        <f>(BS!CF12-BS!CG12)+(BS!CG28-BS!CF28)</f>
        <v>0</v>
      </c>
      <c r="CH23" s="270">
        <f>SUM(CD23:CG23)</f>
        <v>0</v>
      </c>
      <c r="CI23" s="26">
        <f>(BS!CG12-BS!CI12)+(BS!CI28-BS!CG28)</f>
        <v>0</v>
      </c>
      <c r="CJ23" s="26">
        <f>(BS!CI12-BS!CJ12)+(BS!CJ28-BS!CI28)</f>
        <v>0</v>
      </c>
      <c r="CK23" s="26">
        <f>(BS!CJ12-BS!CK12)+(BS!CK28-BS!CJ28)</f>
        <v>0</v>
      </c>
      <c r="CL23" s="26">
        <f>(BS!CK12-BS!CL12)+(BS!CL28-BS!CK28)</f>
        <v>0</v>
      </c>
      <c r="CM23" s="270">
        <f>SUM(CI23:CL23)</f>
        <v>0</v>
      </c>
    </row>
    <row r="24" spans="1:91" s="15" customFormat="1">
      <c r="A24" s="15" t="s">
        <v>85</v>
      </c>
      <c r="D24" s="170">
        <f t="shared" ref="D24:AJ24" si="30">+D8+D9+D10+D11+D12+D13+D14+D15+D16+D19+D20+D21+D22+D23</f>
        <v>-54.246000000000009</v>
      </c>
      <c r="E24" s="170">
        <f t="shared" si="30"/>
        <v>-17.989000000000001</v>
      </c>
      <c r="F24" s="253">
        <f t="shared" si="30"/>
        <v>-72.234999999999999</v>
      </c>
      <c r="G24" s="170">
        <f t="shared" si="30"/>
        <v>-6.5590000000000011</v>
      </c>
      <c r="H24" s="170">
        <f t="shared" si="30"/>
        <v>-17.041</v>
      </c>
      <c r="I24" s="170">
        <f t="shared" si="30"/>
        <v>-22.047000000000008</v>
      </c>
      <c r="J24" s="170">
        <f t="shared" si="30"/>
        <v>-26.538000000000004</v>
      </c>
      <c r="K24" s="253">
        <f t="shared" si="30"/>
        <v>-72.185000000000002</v>
      </c>
      <c r="L24" s="170">
        <f t="shared" si="30"/>
        <v>-4.3029999999999999</v>
      </c>
      <c r="M24" s="170">
        <f t="shared" si="30"/>
        <v>-13.836000000000004</v>
      </c>
      <c r="N24" s="170">
        <f t="shared" si="30"/>
        <v>1.3470000000000035</v>
      </c>
      <c r="O24" s="170">
        <f t="shared" si="30"/>
        <v>-30.341999999999999</v>
      </c>
      <c r="P24" s="253">
        <f t="shared" si="30"/>
        <v>-47.134</v>
      </c>
      <c r="Q24" s="170">
        <f t="shared" si="30"/>
        <v>-13.282000000000004</v>
      </c>
      <c r="R24" s="170">
        <f t="shared" si="30"/>
        <v>-23.364999999999998</v>
      </c>
      <c r="S24" s="170">
        <f t="shared" si="30"/>
        <v>-8.0569999999999915</v>
      </c>
      <c r="T24" s="170">
        <f t="shared" si="30"/>
        <v>-59.222999999999971</v>
      </c>
      <c r="U24" s="253">
        <f t="shared" si="30"/>
        <v>-103.92699999999998</v>
      </c>
      <c r="V24" s="170">
        <f t="shared" si="30"/>
        <v>-16.290999999999993</v>
      </c>
      <c r="W24" s="170">
        <f t="shared" si="30"/>
        <v>-62.593000000000004</v>
      </c>
      <c r="X24" s="170">
        <f t="shared" si="30"/>
        <v>-53.145000000000003</v>
      </c>
      <c r="Y24" s="170">
        <f t="shared" si="30"/>
        <v>-76.987999999999971</v>
      </c>
      <c r="Z24" s="253">
        <f t="shared" si="30"/>
        <v>-209.01699999999994</v>
      </c>
      <c r="AA24" s="170">
        <f t="shared" si="30"/>
        <v>-28.61900000000001</v>
      </c>
      <c r="AB24" s="170">
        <f t="shared" si="30"/>
        <v>-111.935</v>
      </c>
      <c r="AC24" s="170">
        <f t="shared" si="30"/>
        <v>-78.160000000000025</v>
      </c>
      <c r="AD24" s="170">
        <f t="shared" si="30"/>
        <v>-90.748999999999938</v>
      </c>
      <c r="AE24" s="253">
        <f t="shared" si="30"/>
        <v>-309.46300000000002</v>
      </c>
      <c r="AF24" s="170">
        <f t="shared" si="30"/>
        <v>-74.441000000000003</v>
      </c>
      <c r="AG24" s="170">
        <f t="shared" si="30"/>
        <v>-94.015000000000015</v>
      </c>
      <c r="AH24" s="170">
        <f t="shared" si="30"/>
        <v>-77.790999999999997</v>
      </c>
      <c r="AI24" s="170">
        <f t="shared" si="30"/>
        <v>-78.728000000000023</v>
      </c>
      <c r="AJ24" s="253">
        <f t="shared" si="30"/>
        <v>-324.97499999999997</v>
      </c>
      <c r="AK24" s="170">
        <f>+AK8+AK9+AK10+AK11+AK12+AK13+AK14+AK15+AK16+AK19+AK20+AK21+AK22+AK23</f>
        <v>-30.283999999999999</v>
      </c>
      <c r="AL24" s="170">
        <f t="shared" ref="AL24:CM24" si="31">+AL8+AL9+AL10+AL11+AL12+AL13+AL14+AL15+AL16+AL19+AL20+AL21+AL22+AL23</f>
        <v>-94.00200000000001</v>
      </c>
      <c r="AM24" s="170">
        <f t="shared" si="31"/>
        <v>-51.059000000000012</v>
      </c>
      <c r="AN24" s="170">
        <f>+AN8+AN9+AN10+AN11+AN12+AN13+AN14+AN15+AN16+AN19+AN20+AN21+AN22+AN23</f>
        <v>-64.512999999999977</v>
      </c>
      <c r="AO24" s="253">
        <f t="shared" si="31"/>
        <v>-239.85799999999998</v>
      </c>
      <c r="AP24" s="170">
        <f t="shared" si="31"/>
        <v>-62.689000000000007</v>
      </c>
      <c r="AQ24" s="170">
        <f t="shared" si="31"/>
        <v>-60.284999999999989</v>
      </c>
      <c r="AR24" s="170">
        <f t="shared" si="31"/>
        <v>-35.41299999999999</v>
      </c>
      <c r="AS24" s="170">
        <f t="shared" si="31"/>
        <v>-26.372999999999976</v>
      </c>
      <c r="AT24" s="253">
        <f t="shared" si="31"/>
        <v>-184.76</v>
      </c>
      <c r="AU24" s="356">
        <f t="shared" si="31"/>
        <v>-62.126164405154313</v>
      </c>
      <c r="AV24" s="170">
        <f t="shared" si="31"/>
        <v>-57.943918657617417</v>
      </c>
      <c r="AW24" s="170">
        <f t="shared" si="31"/>
        <v>-22.106279064093179</v>
      </c>
      <c r="AX24" s="170">
        <f t="shared" si="31"/>
        <v>5.4432546294620465E-3</v>
      </c>
      <c r="AY24" s="253">
        <f t="shared" si="31"/>
        <v>-142.1709188722354</v>
      </c>
      <c r="AZ24" s="170">
        <f t="shared" si="31"/>
        <v>-24.651048497762673</v>
      </c>
      <c r="BA24" s="170">
        <f t="shared" si="31"/>
        <v>-26.600737385629408</v>
      </c>
      <c r="BB24" s="170">
        <f t="shared" si="31"/>
        <v>17.73205820120247</v>
      </c>
      <c r="BC24" s="170">
        <f t="shared" si="31"/>
        <v>56.548787131425136</v>
      </c>
      <c r="BD24" s="253">
        <f t="shared" si="31"/>
        <v>23.029059449235532</v>
      </c>
      <c r="BE24" s="170">
        <f>+BE8+BE9+BE10+BE11+BE12+BE13+BE14+BE15+BE16+BE19+BE20+BE21+BE22+BE23</f>
        <v>28.119691621033709</v>
      </c>
      <c r="BF24" s="170">
        <f>+BF8+BF9+BF10+BF11+BF12+BF13+BF14+BF15+BF16+BF19+BF20+BF21+BF22+BF23</f>
        <v>16.524291571156233</v>
      </c>
      <c r="BG24" s="170">
        <f>+BG8+BG9+BG10+BG11+BG12+BG13+BG14+BG15+BG16+BG19+BG20+BG21+BG22+BG23</f>
        <v>79.416889455213024</v>
      </c>
      <c r="BH24" s="170">
        <f>+BH8+BH9+BH10+BH11+BH12+BH13+BH14+BH15+BH16+BH19+BH20+BH21+BH22+BH23</f>
        <v>134.5537107796527</v>
      </c>
      <c r="BI24" s="253">
        <f t="shared" si="31"/>
        <v>258.61458342705566</v>
      </c>
      <c r="BJ24" s="170">
        <f t="shared" si="31"/>
        <v>109.21582346829578</v>
      </c>
      <c r="BK24" s="170">
        <f t="shared" si="31"/>
        <v>58.32145992136671</v>
      </c>
      <c r="BL24" s="170">
        <f t="shared" si="31"/>
        <v>140.45853699628211</v>
      </c>
      <c r="BM24" s="170">
        <f t="shared" si="31"/>
        <v>204.31967265718794</v>
      </c>
      <c r="BN24" s="253">
        <f t="shared" si="31"/>
        <v>512.31549304313262</v>
      </c>
      <c r="BO24" s="170">
        <f t="shared" si="31"/>
        <v>165.63035402113516</v>
      </c>
      <c r="BP24" s="170">
        <f t="shared" si="31"/>
        <v>111.2939332719196</v>
      </c>
      <c r="BQ24" s="170">
        <f t="shared" si="31"/>
        <v>203.96909741548995</v>
      </c>
      <c r="BR24" s="170">
        <f t="shared" si="31"/>
        <v>279.71602156077904</v>
      </c>
      <c r="BS24" s="253">
        <f t="shared" si="31"/>
        <v>760.60940626932359</v>
      </c>
      <c r="BT24" s="170">
        <f t="shared" si="31"/>
        <v>243.75598094169501</v>
      </c>
      <c r="BU24" s="170">
        <f t="shared" si="31"/>
        <v>150.62734683787576</v>
      </c>
      <c r="BV24" s="170">
        <f t="shared" si="31"/>
        <v>254.31190148690405</v>
      </c>
      <c r="BW24" s="170">
        <f t="shared" si="31"/>
        <v>336.89448483388162</v>
      </c>
      <c r="BX24" s="253">
        <f t="shared" si="31"/>
        <v>985.58971410035633</v>
      </c>
      <c r="BY24" s="170">
        <f t="shared" si="31"/>
        <v>285.35466318481087</v>
      </c>
      <c r="BZ24" s="170">
        <f t="shared" si="31"/>
        <v>183.59665923106309</v>
      </c>
      <c r="CA24" s="170">
        <f t="shared" si="31"/>
        <v>298.80052244433898</v>
      </c>
      <c r="CB24" s="170">
        <f t="shared" si="31"/>
        <v>385.51548350607652</v>
      </c>
      <c r="CC24" s="253">
        <f t="shared" si="31"/>
        <v>1153.2673283662893</v>
      </c>
      <c r="CD24" s="170">
        <f t="shared" si="31"/>
        <v>330.660679829571</v>
      </c>
      <c r="CE24" s="170">
        <f t="shared" si="31"/>
        <v>222.79172102927552</v>
      </c>
      <c r="CF24" s="170">
        <f t="shared" si="31"/>
        <v>338.36969606753388</v>
      </c>
      <c r="CG24" s="170">
        <f t="shared" si="31"/>
        <v>428.49756053826206</v>
      </c>
      <c r="CH24" s="253">
        <f t="shared" si="31"/>
        <v>1320.3196574646427</v>
      </c>
      <c r="CI24" s="170">
        <f t="shared" si="31"/>
        <v>367.09377387917971</v>
      </c>
      <c r="CJ24" s="170">
        <f t="shared" si="31"/>
        <v>249.19704218477739</v>
      </c>
      <c r="CK24" s="170">
        <f t="shared" si="31"/>
        <v>371.24637436870267</v>
      </c>
      <c r="CL24" s="170">
        <f t="shared" si="31"/>
        <v>461.51028674528942</v>
      </c>
      <c r="CM24" s="253">
        <f t="shared" si="31"/>
        <v>1449.0474771779491</v>
      </c>
    </row>
    <row r="25" spans="1:91" s="16" customFormat="1">
      <c r="D25" s="26"/>
      <c r="E25" s="26"/>
      <c r="F25" s="270"/>
      <c r="G25" s="26"/>
      <c r="H25" s="26"/>
      <c r="I25" s="26"/>
      <c r="J25" s="26"/>
      <c r="K25" s="270"/>
      <c r="L25" s="26"/>
      <c r="M25" s="26"/>
      <c r="N25" s="26"/>
      <c r="O25" s="26"/>
      <c r="P25" s="270"/>
      <c r="Q25" s="26"/>
      <c r="R25" s="26"/>
      <c r="S25" s="26"/>
      <c r="T25" s="26"/>
      <c r="U25" s="270"/>
      <c r="V25" s="26"/>
      <c r="W25" s="26"/>
      <c r="X25" s="26"/>
      <c r="Y25" s="26"/>
      <c r="Z25" s="270"/>
      <c r="AA25" s="26"/>
      <c r="AB25" s="26"/>
      <c r="AC25" s="26"/>
      <c r="AD25" s="26"/>
      <c r="AE25" s="270"/>
      <c r="AF25" s="26"/>
      <c r="AG25" s="26"/>
      <c r="AH25" s="26"/>
      <c r="AI25" s="26"/>
      <c r="AJ25" s="270"/>
      <c r="AK25" s="26"/>
      <c r="AL25" s="26"/>
      <c r="AM25" s="26"/>
      <c r="AN25" s="26"/>
      <c r="AO25" s="270"/>
      <c r="AP25" s="26"/>
      <c r="AQ25" s="26"/>
      <c r="AR25" s="26"/>
      <c r="AS25" s="26"/>
      <c r="AT25" s="270"/>
      <c r="AU25" s="355"/>
      <c r="AV25" s="26"/>
      <c r="AW25" s="26"/>
      <c r="AX25" s="26"/>
      <c r="AY25" s="270"/>
      <c r="AZ25" s="26"/>
      <c r="BA25" s="26"/>
      <c r="BB25" s="26"/>
      <c r="BC25" s="26"/>
      <c r="BD25" s="270"/>
      <c r="BE25" s="26"/>
      <c r="BF25" s="26"/>
      <c r="BG25" s="26"/>
      <c r="BH25" s="26"/>
      <c r="BI25" s="270"/>
      <c r="BJ25" s="26"/>
      <c r="BK25" s="26"/>
      <c r="BL25" s="26"/>
      <c r="BM25" s="26"/>
      <c r="BN25" s="270"/>
      <c r="BO25" s="26"/>
      <c r="BP25" s="26"/>
      <c r="BQ25" s="26"/>
      <c r="BR25" s="26"/>
      <c r="BS25" s="270"/>
      <c r="BT25" s="26"/>
      <c r="BU25" s="26"/>
      <c r="BV25" s="26"/>
      <c r="BW25" s="26"/>
      <c r="BX25" s="270"/>
      <c r="BY25" s="26"/>
      <c r="BZ25" s="26"/>
      <c r="CA25" s="26"/>
      <c r="CB25" s="26"/>
      <c r="CC25" s="270"/>
      <c r="CD25" s="26"/>
      <c r="CE25" s="26"/>
      <c r="CF25" s="26"/>
      <c r="CG25" s="26"/>
      <c r="CH25" s="270"/>
      <c r="CI25" s="26"/>
      <c r="CJ25" s="26"/>
      <c r="CK25" s="26"/>
      <c r="CL25" s="26"/>
      <c r="CM25" s="270"/>
    </row>
    <row r="26" spans="1:91" s="16" customFormat="1">
      <c r="A26" s="15" t="s">
        <v>86</v>
      </c>
      <c r="D26" s="26"/>
      <c r="E26" s="26"/>
      <c r="F26" s="270"/>
      <c r="G26" s="26"/>
      <c r="H26" s="26"/>
      <c r="I26" s="26"/>
      <c r="J26" s="26"/>
      <c r="K26" s="270"/>
      <c r="L26" s="26"/>
      <c r="M26" s="26"/>
      <c r="N26" s="26"/>
      <c r="O26" s="26"/>
      <c r="P26" s="270"/>
      <c r="Q26" s="26"/>
      <c r="R26" s="26"/>
      <c r="S26" s="26"/>
      <c r="T26" s="26"/>
      <c r="U26" s="270"/>
      <c r="V26" s="26"/>
      <c r="W26" s="26"/>
      <c r="X26" s="26"/>
      <c r="Y26" s="26"/>
      <c r="Z26" s="270"/>
      <c r="AA26" s="26"/>
      <c r="AB26" s="26"/>
      <c r="AC26" s="26"/>
      <c r="AD26" s="26"/>
      <c r="AE26" s="270"/>
      <c r="AF26" s="26"/>
      <c r="AG26" s="26"/>
      <c r="AH26" s="26"/>
      <c r="AI26" s="26"/>
      <c r="AJ26" s="270"/>
      <c r="AK26" s="26"/>
      <c r="AL26" s="26"/>
      <c r="AM26" s="26"/>
      <c r="AN26" s="26"/>
      <c r="AO26" s="270"/>
      <c r="AP26" s="26"/>
      <c r="AQ26" s="26"/>
      <c r="AR26" s="26"/>
      <c r="AS26" s="26"/>
      <c r="AT26" s="270"/>
      <c r="AU26" s="355"/>
      <c r="AV26" s="26"/>
      <c r="AW26" s="26"/>
      <c r="AX26" s="26"/>
      <c r="AY26" s="270"/>
      <c r="AZ26" s="26"/>
      <c r="BA26" s="26"/>
      <c r="BB26" s="26"/>
      <c r="BC26" s="26"/>
      <c r="BD26" s="270"/>
      <c r="BE26" s="26"/>
      <c r="BF26" s="26"/>
      <c r="BG26" s="26"/>
      <c r="BH26" s="26"/>
      <c r="BI26" s="270"/>
      <c r="BJ26" s="26"/>
      <c r="BK26" s="26"/>
      <c r="BL26" s="26"/>
      <c r="BM26" s="26"/>
      <c r="BN26" s="270"/>
      <c r="BO26" s="26"/>
      <c r="BP26" s="26"/>
      <c r="BQ26" s="26"/>
      <c r="BR26" s="26"/>
      <c r="BS26" s="270"/>
      <c r="BT26" s="26"/>
      <c r="BU26" s="26"/>
      <c r="BV26" s="26"/>
      <c r="BW26" s="26"/>
      <c r="BX26" s="270"/>
      <c r="BY26" s="26"/>
      <c r="BZ26" s="26"/>
      <c r="CA26" s="26"/>
      <c r="CB26" s="26"/>
      <c r="CC26" s="270"/>
      <c r="CD26" s="26"/>
      <c r="CE26" s="26"/>
      <c r="CF26" s="26"/>
      <c r="CG26" s="26"/>
      <c r="CH26" s="270"/>
      <c r="CI26" s="26"/>
      <c r="CJ26" s="26"/>
      <c r="CK26" s="26"/>
      <c r="CL26" s="26"/>
      <c r="CM26" s="270"/>
    </row>
    <row r="27" spans="1:91" s="16" customFormat="1">
      <c r="A27" s="16" t="s">
        <v>87</v>
      </c>
      <c r="D27" s="26">
        <v>0</v>
      </c>
      <c r="E27" s="26">
        <f>F27-SUM(D27)</f>
        <v>0</v>
      </c>
      <c r="F27" s="270">
        <v>0</v>
      </c>
      <c r="G27" s="26">
        <v>0</v>
      </c>
      <c r="H27" s="26">
        <f>0-G27</f>
        <v>0</v>
      </c>
      <c r="I27" s="26">
        <f t="shared" ref="I27:I28" si="32">0-H27-G27</f>
        <v>0</v>
      </c>
      <c r="J27" s="26">
        <f>K27-I27-H27-G27</f>
        <v>0</v>
      </c>
      <c r="K27" s="270">
        <v>0</v>
      </c>
      <c r="L27" s="26">
        <v>0</v>
      </c>
      <c r="M27" s="26">
        <f>-9.765-L27</f>
        <v>-9.7650000000000006</v>
      </c>
      <c r="N27" s="26">
        <f>-7.328-M27-L27</f>
        <v>2.4370000000000003</v>
      </c>
      <c r="O27" s="26">
        <f>P27-N27-M27-L27</f>
        <v>0</v>
      </c>
      <c r="P27" s="270">
        <v>-7.3280000000000003</v>
      </c>
      <c r="Q27" s="26">
        <v>0</v>
      </c>
      <c r="R27" s="26">
        <f>0-Q27</f>
        <v>0</v>
      </c>
      <c r="S27" s="26">
        <f>0-R27-Q27</f>
        <v>0</v>
      </c>
      <c r="T27" s="26">
        <f>U27-S27-R27-Q27</f>
        <v>0</v>
      </c>
      <c r="U27" s="270">
        <v>0</v>
      </c>
      <c r="V27" s="26">
        <v>0</v>
      </c>
      <c r="W27" s="26">
        <f>0-V27</f>
        <v>0</v>
      </c>
      <c r="X27" s="26">
        <f>0-W27-V27</f>
        <v>0</v>
      </c>
      <c r="Y27" s="26">
        <f>Z27-X27-W27-V27</f>
        <v>0</v>
      </c>
      <c r="Z27" s="270">
        <v>0</v>
      </c>
      <c r="AA27" s="26">
        <v>0</v>
      </c>
      <c r="AB27" s="26">
        <f>0-AA27</f>
        <v>0</v>
      </c>
      <c r="AC27" s="26">
        <f>0-AB27-AA27</f>
        <v>0</v>
      </c>
      <c r="AD27" s="26">
        <f>AE27-AC27-AB27-AA27</f>
        <v>0</v>
      </c>
      <c r="AE27" s="270">
        <v>0</v>
      </c>
      <c r="AF27" s="26">
        <v>0</v>
      </c>
      <c r="AG27" s="26">
        <f>0-AF27</f>
        <v>0</v>
      </c>
      <c r="AH27" s="26">
        <f>0-AG27-AF27</f>
        <v>0</v>
      </c>
      <c r="AI27" s="26">
        <f>AJ27-AH27-AG27-AF27</f>
        <v>0</v>
      </c>
      <c r="AJ27" s="270">
        <v>0</v>
      </c>
      <c r="AK27" s="26">
        <v>0</v>
      </c>
      <c r="AL27" s="26">
        <f>0-AK27</f>
        <v>0</v>
      </c>
      <c r="AM27" s="26">
        <f>0-AL27-AK27</f>
        <v>0</v>
      </c>
      <c r="AN27" s="26">
        <f>AO27-AM27-AL27-AK27</f>
        <v>0</v>
      </c>
      <c r="AO27" s="270">
        <v>0</v>
      </c>
      <c r="AP27" s="26">
        <v>0</v>
      </c>
      <c r="AQ27" s="26">
        <f>0-AP27</f>
        <v>0</v>
      </c>
      <c r="AR27" s="26">
        <f>0-AQ27-AP27</f>
        <v>0</v>
      </c>
      <c r="AS27" s="26">
        <f>-58.988-AP27-AQ27-AR27</f>
        <v>-58.988</v>
      </c>
      <c r="AT27" s="270">
        <f t="shared" ref="AT27:AT32" si="33">SUM(AP27:AS27)</f>
        <v>-58.988</v>
      </c>
      <c r="AU27" s="369">
        <v>0</v>
      </c>
      <c r="AV27" s="27">
        <v>0</v>
      </c>
      <c r="AW27" s="27">
        <v>0</v>
      </c>
      <c r="AX27" s="27">
        <v>0</v>
      </c>
      <c r="AY27" s="270">
        <f t="shared" ref="AY27:AY32" si="34">SUM(AU27:AX27)</f>
        <v>0</v>
      </c>
      <c r="AZ27" s="27">
        <v>0</v>
      </c>
      <c r="BA27" s="27">
        <v>0</v>
      </c>
      <c r="BB27" s="27">
        <v>0</v>
      </c>
      <c r="BC27" s="27">
        <v>0</v>
      </c>
      <c r="BD27" s="270">
        <f t="shared" ref="BD27:BD32" si="35">SUM(AZ27:BC27)</f>
        <v>0</v>
      </c>
      <c r="BE27" s="27">
        <v>0</v>
      </c>
      <c r="BF27" s="27">
        <v>0</v>
      </c>
      <c r="BG27" s="27">
        <v>0</v>
      </c>
      <c r="BH27" s="27">
        <v>0</v>
      </c>
      <c r="BI27" s="270">
        <f t="shared" ref="BI27:BI32" si="36">SUM(BE27:BH27)</f>
        <v>0</v>
      </c>
      <c r="BJ27" s="27">
        <v>0</v>
      </c>
      <c r="BK27" s="27">
        <v>0</v>
      </c>
      <c r="BL27" s="27">
        <v>0</v>
      </c>
      <c r="BM27" s="27">
        <v>0</v>
      </c>
      <c r="BN27" s="270">
        <f t="shared" ref="BN27:BN32" si="37">SUM(BJ27:BM27)</f>
        <v>0</v>
      </c>
      <c r="BO27" s="27">
        <v>0</v>
      </c>
      <c r="BP27" s="27">
        <v>0</v>
      </c>
      <c r="BQ27" s="27">
        <v>0</v>
      </c>
      <c r="BR27" s="27">
        <v>0</v>
      </c>
      <c r="BS27" s="270">
        <f t="shared" ref="BS27:BS32" si="38">SUM(BO27:BR27)</f>
        <v>0</v>
      </c>
      <c r="BT27" s="27">
        <v>0</v>
      </c>
      <c r="BU27" s="27">
        <v>0</v>
      </c>
      <c r="BV27" s="27">
        <v>0</v>
      </c>
      <c r="BW27" s="27">
        <v>0</v>
      </c>
      <c r="BX27" s="270">
        <f t="shared" ref="BX27:BX32" si="39">SUM(BT27:BW27)</f>
        <v>0</v>
      </c>
      <c r="BY27" s="27">
        <v>0</v>
      </c>
      <c r="BZ27" s="27">
        <v>0</v>
      </c>
      <c r="CA27" s="27">
        <v>0</v>
      </c>
      <c r="CB27" s="27">
        <v>0</v>
      </c>
      <c r="CC27" s="270">
        <f t="shared" ref="CC27:CC32" si="40">SUM(BY27:CB27)</f>
        <v>0</v>
      </c>
      <c r="CD27" s="27">
        <v>0</v>
      </c>
      <c r="CE27" s="27">
        <v>0</v>
      </c>
      <c r="CF27" s="27">
        <v>0</v>
      </c>
      <c r="CG27" s="27">
        <v>0</v>
      </c>
      <c r="CH27" s="270">
        <f t="shared" ref="CH27:CH32" si="41">SUM(CD27:CG27)</f>
        <v>0</v>
      </c>
      <c r="CI27" s="27">
        <v>0</v>
      </c>
      <c r="CJ27" s="27">
        <v>0</v>
      </c>
      <c r="CK27" s="27">
        <v>0</v>
      </c>
      <c r="CL27" s="27">
        <v>0</v>
      </c>
      <c r="CM27" s="270">
        <f t="shared" ref="CM27:CM32" si="42">SUM(CI27:CL27)</f>
        <v>0</v>
      </c>
    </row>
    <row r="28" spans="1:91" s="16" customFormat="1">
      <c r="A28" s="16" t="s">
        <v>88</v>
      </c>
      <c r="D28" s="26">
        <v>0</v>
      </c>
      <c r="E28" s="26">
        <f t="shared" ref="E28:E31" si="43">F28-SUM(D28)</f>
        <v>0</v>
      </c>
      <c r="F28" s="270">
        <v>0</v>
      </c>
      <c r="G28" s="26">
        <v>0</v>
      </c>
      <c r="H28" s="26">
        <f>0-G28</f>
        <v>0</v>
      </c>
      <c r="I28" s="26">
        <f t="shared" si="32"/>
        <v>0</v>
      </c>
      <c r="J28" s="26">
        <f t="shared" ref="J28:J31" si="44">K28-SUM(G28:I28)</f>
        <v>0</v>
      </c>
      <c r="K28" s="270">
        <v>0</v>
      </c>
      <c r="L28" s="26">
        <v>0</v>
      </c>
      <c r="M28" s="26">
        <f>0-L28</f>
        <v>0</v>
      </c>
      <c r="N28" s="26">
        <f>-2.568-M28-L28</f>
        <v>-2.5680000000000001</v>
      </c>
      <c r="O28" s="26">
        <f t="shared" ref="O28:O31" si="45">P28-SUM(L28:N28)</f>
        <v>6.800000000000006E-2</v>
      </c>
      <c r="P28" s="270">
        <v>-2.5</v>
      </c>
      <c r="Q28" s="26">
        <v>-17.885999999999999</v>
      </c>
      <c r="R28" s="26">
        <f>-17.886-Q28</f>
        <v>0</v>
      </c>
      <c r="S28" s="26">
        <f>-17.886-R28-Q28</f>
        <v>0</v>
      </c>
      <c r="T28" s="26">
        <f t="shared" ref="T28:T31" si="46">U28-SUM(Q28:S28)</f>
        <v>0</v>
      </c>
      <c r="U28" s="270">
        <v>-17.885999999999999</v>
      </c>
      <c r="V28" s="26">
        <v>0</v>
      </c>
      <c r="W28" s="26">
        <f>0-V28</f>
        <v>0</v>
      </c>
      <c r="X28" s="26">
        <f>0-W28-V28</f>
        <v>0</v>
      </c>
      <c r="Y28" s="26">
        <f t="shared" ref="Y28:Y31" si="47">Z28-SUM(V28:X28)</f>
        <v>0</v>
      </c>
      <c r="Z28" s="270">
        <v>0</v>
      </c>
      <c r="AA28" s="26">
        <v>0</v>
      </c>
      <c r="AB28" s="26">
        <f>0-AA28</f>
        <v>0</v>
      </c>
      <c r="AC28" s="26">
        <f>0-AB28-AA28</f>
        <v>0</v>
      </c>
      <c r="AD28" s="26">
        <f t="shared" ref="AD28:AD31" si="48">AE28-SUM(AA28:AC28)</f>
        <v>0</v>
      </c>
      <c r="AE28" s="270">
        <v>0</v>
      </c>
      <c r="AF28" s="26">
        <v>0</v>
      </c>
      <c r="AG28" s="26">
        <f>0-AF28</f>
        <v>0</v>
      </c>
      <c r="AH28" s="26">
        <f>0-AG28-AF28</f>
        <v>0</v>
      </c>
      <c r="AI28" s="26">
        <f t="shared" ref="AI28:AI31" si="49">AJ28-SUM(AF28:AH28)</f>
        <v>0</v>
      </c>
      <c r="AJ28" s="270">
        <v>0</v>
      </c>
      <c r="AK28" s="26">
        <v>0</v>
      </c>
      <c r="AL28" s="26">
        <f>0-AK28</f>
        <v>0</v>
      </c>
      <c r="AM28" s="26">
        <f>0-AL28-AK28</f>
        <v>0</v>
      </c>
      <c r="AN28" s="26">
        <f t="shared" ref="AN28:AN30" si="50">AO28-SUM(AK28:AM28)</f>
        <v>0</v>
      </c>
      <c r="AO28" s="270">
        <v>0</v>
      </c>
      <c r="AP28" s="26">
        <v>0</v>
      </c>
      <c r="AQ28" s="26">
        <f>0-AP28</f>
        <v>0</v>
      </c>
      <c r="AR28" s="26">
        <f>0-AQ28-AP28</f>
        <v>0</v>
      </c>
      <c r="AS28" s="26">
        <f>0-AP28-AQ28-AR28</f>
        <v>0</v>
      </c>
      <c r="AT28" s="270">
        <f t="shared" si="33"/>
        <v>0</v>
      </c>
      <c r="AU28" s="369">
        <v>0</v>
      </c>
      <c r="AV28" s="27">
        <v>0</v>
      </c>
      <c r="AW28" s="27">
        <v>0</v>
      </c>
      <c r="AX28" s="27">
        <v>0</v>
      </c>
      <c r="AY28" s="270">
        <f t="shared" si="34"/>
        <v>0</v>
      </c>
      <c r="AZ28" s="27">
        <v>0</v>
      </c>
      <c r="BA28" s="27">
        <v>0</v>
      </c>
      <c r="BB28" s="27">
        <v>0</v>
      </c>
      <c r="BC28" s="27">
        <v>0</v>
      </c>
      <c r="BD28" s="270">
        <f t="shared" si="35"/>
        <v>0</v>
      </c>
      <c r="BE28" s="27">
        <v>0</v>
      </c>
      <c r="BF28" s="27">
        <v>0</v>
      </c>
      <c r="BG28" s="27">
        <v>0</v>
      </c>
      <c r="BH28" s="27">
        <v>0</v>
      </c>
      <c r="BI28" s="270">
        <f t="shared" si="36"/>
        <v>0</v>
      </c>
      <c r="BJ28" s="27">
        <v>0</v>
      </c>
      <c r="BK28" s="27">
        <v>0</v>
      </c>
      <c r="BL28" s="27">
        <v>0</v>
      </c>
      <c r="BM28" s="27">
        <v>0</v>
      </c>
      <c r="BN28" s="270">
        <f t="shared" si="37"/>
        <v>0</v>
      </c>
      <c r="BO28" s="27">
        <v>0</v>
      </c>
      <c r="BP28" s="27">
        <v>0</v>
      </c>
      <c r="BQ28" s="27">
        <v>0</v>
      </c>
      <c r="BR28" s="27">
        <v>0</v>
      </c>
      <c r="BS28" s="270">
        <f t="shared" si="38"/>
        <v>0</v>
      </c>
      <c r="BT28" s="27">
        <v>0</v>
      </c>
      <c r="BU28" s="27">
        <v>0</v>
      </c>
      <c r="BV28" s="27">
        <v>0</v>
      </c>
      <c r="BW28" s="27">
        <v>0</v>
      </c>
      <c r="BX28" s="270">
        <f t="shared" si="39"/>
        <v>0</v>
      </c>
      <c r="BY28" s="27">
        <v>0</v>
      </c>
      <c r="BZ28" s="27">
        <v>0</v>
      </c>
      <c r="CA28" s="27">
        <v>0</v>
      </c>
      <c r="CB28" s="27">
        <v>0</v>
      </c>
      <c r="CC28" s="270">
        <f t="shared" si="40"/>
        <v>0</v>
      </c>
      <c r="CD28" s="27">
        <v>0</v>
      </c>
      <c r="CE28" s="27">
        <v>0</v>
      </c>
      <c r="CF28" s="27">
        <v>0</v>
      </c>
      <c r="CG28" s="27">
        <v>0</v>
      </c>
      <c r="CH28" s="270">
        <f t="shared" si="41"/>
        <v>0</v>
      </c>
      <c r="CI28" s="27">
        <v>0</v>
      </c>
      <c r="CJ28" s="27">
        <v>0</v>
      </c>
      <c r="CK28" s="27">
        <v>0</v>
      </c>
      <c r="CL28" s="27">
        <v>0</v>
      </c>
      <c r="CM28" s="270">
        <f t="shared" si="42"/>
        <v>0</v>
      </c>
    </row>
    <row r="29" spans="1:91" s="16" customFormat="1">
      <c r="A29" s="16" t="s">
        <v>89</v>
      </c>
      <c r="D29" s="26">
        <v>-3.7189999999999999</v>
      </c>
      <c r="E29" s="26">
        <f t="shared" si="43"/>
        <v>-2.9620000000000002</v>
      </c>
      <c r="F29" s="270">
        <v>-6.681</v>
      </c>
      <c r="G29" s="26">
        <v>-4.0209999999999999</v>
      </c>
      <c r="H29" s="26">
        <f>-11.36-G29</f>
        <v>-7.3389999999999995</v>
      </c>
      <c r="I29" s="26">
        <f>-17.272-H29-G29</f>
        <v>-5.9119999999999999</v>
      </c>
      <c r="J29" s="26">
        <f t="shared" si="44"/>
        <v>-2.9310000000000009</v>
      </c>
      <c r="K29" s="270">
        <v>-20.202999999999999</v>
      </c>
      <c r="L29" s="26">
        <v>-2.7050000000000001</v>
      </c>
      <c r="M29" s="26">
        <f>-5.752-L29</f>
        <v>-3.0469999999999997</v>
      </c>
      <c r="N29" s="26">
        <f>-11.628-M29-L29</f>
        <v>-5.8759999999999994</v>
      </c>
      <c r="O29" s="26">
        <f t="shared" si="45"/>
        <v>-7.0889999999999986</v>
      </c>
      <c r="P29" s="270">
        <v>-18.716999999999999</v>
      </c>
      <c r="Q29" s="26">
        <v>-9.5980000000000008</v>
      </c>
      <c r="R29" s="26">
        <f>-19.105-Q29</f>
        <v>-9.5069999999999997</v>
      </c>
      <c r="S29" s="26">
        <f>-28.891-R29-Q29</f>
        <v>-9.7859999999999996</v>
      </c>
      <c r="T29" s="26">
        <f t="shared" si="46"/>
        <v>-7.2820000000000036</v>
      </c>
      <c r="U29" s="270">
        <v>-36.173000000000002</v>
      </c>
      <c r="V29" s="26">
        <v>-9.5860000000000003</v>
      </c>
      <c r="W29" s="26">
        <f>-28.261-V29</f>
        <v>-18.674999999999997</v>
      </c>
      <c r="X29" s="26">
        <f>-50.41-W29-V29</f>
        <v>-22.149000000000001</v>
      </c>
      <c r="Y29" s="26">
        <f t="shared" si="47"/>
        <v>-24.625</v>
      </c>
      <c r="Z29" s="270">
        <v>-75.034999999999997</v>
      </c>
      <c r="AA29" s="26">
        <v>-22.7</v>
      </c>
      <c r="AB29" s="26">
        <f>-45.734-AA29</f>
        <v>-23.034000000000002</v>
      </c>
      <c r="AC29" s="26">
        <f>-67.46-AB29-AA29</f>
        <v>-21.725999999999988</v>
      </c>
      <c r="AD29" s="26">
        <f t="shared" si="48"/>
        <v>-10.001000000000005</v>
      </c>
      <c r="AE29" s="270">
        <v>-77.460999999999999</v>
      </c>
      <c r="AF29" s="26">
        <v>-7.524</v>
      </c>
      <c r="AG29" s="26">
        <f>-14.037-AF29</f>
        <v>-6.5130000000000008</v>
      </c>
      <c r="AH29" s="26">
        <f>-16.409-AG29-AF29</f>
        <v>-2.3719999999999972</v>
      </c>
      <c r="AI29" s="26">
        <f t="shared" si="49"/>
        <v>-4.0770000000000017</v>
      </c>
      <c r="AJ29" s="270">
        <v>-20.486000000000001</v>
      </c>
      <c r="AK29" s="26">
        <v>-6.9340000000000002</v>
      </c>
      <c r="AL29" s="26">
        <f>-12.011-AK29</f>
        <v>-5.0769999999999991</v>
      </c>
      <c r="AM29" s="26">
        <f>-16.21-AL29-AK29</f>
        <v>-4.1990000000000025</v>
      </c>
      <c r="AN29" s="26">
        <f t="shared" si="50"/>
        <v>-18.875</v>
      </c>
      <c r="AO29" s="270">
        <v>-35.085000000000001</v>
      </c>
      <c r="AP29" s="26">
        <v>-4.4589999999999996</v>
      </c>
      <c r="AQ29" s="26">
        <f>-10.108-AP29</f>
        <v>-5.6490000000000009</v>
      </c>
      <c r="AR29" s="26">
        <f>-20.458-AQ29-AP29</f>
        <v>-10.349999999999998</v>
      </c>
      <c r="AS29" s="26">
        <f>-48.306-AP29-AQ29-AR29</f>
        <v>-27.847999999999995</v>
      </c>
      <c r="AT29" s="270">
        <f t="shared" si="33"/>
        <v>-48.305999999999997</v>
      </c>
      <c r="AU29" s="355">
        <f>-'Other Accts'!AU48</f>
        <v>-7.5</v>
      </c>
      <c r="AV29" s="26">
        <f>-'Other Accts'!AV48</f>
        <v>-7.5</v>
      </c>
      <c r="AW29" s="26">
        <f>-'Other Accts'!AW48</f>
        <v>-7.5</v>
      </c>
      <c r="AX29" s="26">
        <f>-'Other Accts'!AX48</f>
        <v>-7.5</v>
      </c>
      <c r="AY29" s="270">
        <f t="shared" si="34"/>
        <v>-30</v>
      </c>
      <c r="AZ29" s="26">
        <f>-'Other Accts'!AZ48</f>
        <v>-10</v>
      </c>
      <c r="BA29" s="26">
        <f>-'Other Accts'!BA48</f>
        <v>-10</v>
      </c>
      <c r="BB29" s="26">
        <f>-'Other Accts'!BB48</f>
        <v>-10</v>
      </c>
      <c r="BC29" s="26">
        <f>-'Other Accts'!BC48</f>
        <v>-10</v>
      </c>
      <c r="BD29" s="270">
        <f t="shared" si="35"/>
        <v>-40</v>
      </c>
      <c r="BE29" s="26">
        <f>-'Other Accts'!BE48</f>
        <v>-12.5</v>
      </c>
      <c r="BF29" s="26">
        <f>-'Other Accts'!BF48</f>
        <v>-12.5</v>
      </c>
      <c r="BG29" s="26">
        <f>-'Other Accts'!BG48</f>
        <v>-12.5</v>
      </c>
      <c r="BH29" s="26">
        <f>-'Other Accts'!BH48</f>
        <v>-12.5</v>
      </c>
      <c r="BI29" s="270">
        <f t="shared" si="36"/>
        <v>-50</v>
      </c>
      <c r="BJ29" s="26">
        <f>-'Other Accts'!BJ48</f>
        <v>-15</v>
      </c>
      <c r="BK29" s="26">
        <f>-'Other Accts'!BK48</f>
        <v>-15</v>
      </c>
      <c r="BL29" s="26">
        <f>-'Other Accts'!BL48</f>
        <v>-15</v>
      </c>
      <c r="BM29" s="26">
        <f>-'Other Accts'!BM48</f>
        <v>-15</v>
      </c>
      <c r="BN29" s="270">
        <f t="shared" si="37"/>
        <v>-60</v>
      </c>
      <c r="BO29" s="26">
        <f>-'Other Accts'!BO48</f>
        <v>-16.25</v>
      </c>
      <c r="BP29" s="26">
        <f>-'Other Accts'!BP48</f>
        <v>-16.25</v>
      </c>
      <c r="BQ29" s="26">
        <f>-'Other Accts'!BQ48</f>
        <v>-16.25</v>
      </c>
      <c r="BR29" s="26">
        <f>-'Other Accts'!BR48</f>
        <v>-16.25</v>
      </c>
      <c r="BS29" s="270">
        <f t="shared" si="38"/>
        <v>-65</v>
      </c>
      <c r="BT29" s="26">
        <f>-'Other Accts'!BT48</f>
        <v>-17.5</v>
      </c>
      <c r="BU29" s="26">
        <f>-'Other Accts'!BU48</f>
        <v>-17.5</v>
      </c>
      <c r="BV29" s="26">
        <f>-'Other Accts'!BV48</f>
        <v>-17.5</v>
      </c>
      <c r="BW29" s="26">
        <f>-'Other Accts'!BW48</f>
        <v>-17.5</v>
      </c>
      <c r="BX29" s="270">
        <f t="shared" si="39"/>
        <v>-70</v>
      </c>
      <c r="BY29" s="26">
        <f>-'Other Accts'!BY48</f>
        <v>-18.75</v>
      </c>
      <c r="BZ29" s="26">
        <f>-'Other Accts'!BZ48</f>
        <v>-18.75</v>
      </c>
      <c r="CA29" s="26">
        <f>-'Other Accts'!CA48</f>
        <v>-18.75</v>
      </c>
      <c r="CB29" s="26">
        <f>-'Other Accts'!CB48</f>
        <v>-18.75</v>
      </c>
      <c r="CC29" s="270">
        <f t="shared" si="40"/>
        <v>-75</v>
      </c>
      <c r="CD29" s="26">
        <f>-'Other Accts'!CD48</f>
        <v>-20</v>
      </c>
      <c r="CE29" s="26">
        <f>-'Other Accts'!CE48</f>
        <v>-20</v>
      </c>
      <c r="CF29" s="26">
        <f>-'Other Accts'!CF48</f>
        <v>-20</v>
      </c>
      <c r="CG29" s="26">
        <f>-'Other Accts'!CG48</f>
        <v>-20</v>
      </c>
      <c r="CH29" s="270">
        <f t="shared" si="41"/>
        <v>-80</v>
      </c>
      <c r="CI29" s="26">
        <f>-'Other Accts'!CI48</f>
        <v>-21.25</v>
      </c>
      <c r="CJ29" s="26">
        <f>-'Other Accts'!CJ48</f>
        <v>-21.25</v>
      </c>
      <c r="CK29" s="26">
        <f>-'Other Accts'!CK48</f>
        <v>-21.25</v>
      </c>
      <c r="CL29" s="26">
        <f>-'Other Accts'!CL48</f>
        <v>-21.25</v>
      </c>
      <c r="CM29" s="270">
        <f t="shared" si="42"/>
        <v>-85</v>
      </c>
    </row>
    <row r="30" spans="1:91" s="16" customFormat="1">
      <c r="A30" s="16" t="s">
        <v>90</v>
      </c>
      <c r="D30" s="26">
        <v>0</v>
      </c>
      <c r="E30" s="26">
        <f t="shared" si="43"/>
        <v>0</v>
      </c>
      <c r="F30" s="270">
        <v>0</v>
      </c>
      <c r="G30" s="26">
        <v>0</v>
      </c>
      <c r="H30" s="26">
        <f>0-G30</f>
        <v>0</v>
      </c>
      <c r="I30" s="26">
        <f>0-H30-G30</f>
        <v>0</v>
      </c>
      <c r="J30" s="26">
        <f t="shared" si="44"/>
        <v>0</v>
      </c>
      <c r="K30" s="270">
        <v>0</v>
      </c>
      <c r="L30" s="26">
        <v>0</v>
      </c>
      <c r="M30" s="26">
        <f>0-L30</f>
        <v>0</v>
      </c>
      <c r="N30" s="26">
        <f>0-M30-L30</f>
        <v>0</v>
      </c>
      <c r="O30" s="26">
        <f t="shared" si="45"/>
        <v>0</v>
      </c>
      <c r="P30" s="270">
        <v>0</v>
      </c>
      <c r="Q30" s="26">
        <v>0</v>
      </c>
      <c r="R30" s="26">
        <f>0-Q30</f>
        <v>0</v>
      </c>
      <c r="S30" s="26">
        <f>0-R30-Q30</f>
        <v>0</v>
      </c>
      <c r="T30" s="26">
        <f t="shared" si="46"/>
        <v>0</v>
      </c>
      <c r="U30" s="270">
        <v>0</v>
      </c>
      <c r="V30" s="26">
        <v>0</v>
      </c>
      <c r="W30" s="26">
        <f>0-V30</f>
        <v>0</v>
      </c>
      <c r="X30" s="26">
        <f>0-W30-V30</f>
        <v>0</v>
      </c>
      <c r="Y30" s="26">
        <f t="shared" si="47"/>
        <v>0</v>
      </c>
      <c r="Z30" s="270">
        <v>0</v>
      </c>
      <c r="AA30" s="26">
        <v>0</v>
      </c>
      <c r="AB30" s="26">
        <f>0-AA30</f>
        <v>0</v>
      </c>
      <c r="AC30" s="26">
        <f>0-AB30-AA30</f>
        <v>0</v>
      </c>
      <c r="AD30" s="26">
        <f t="shared" si="48"/>
        <v>0</v>
      </c>
      <c r="AE30" s="270">
        <v>0</v>
      </c>
      <c r="AF30" s="26">
        <v>0</v>
      </c>
      <c r="AG30" s="26">
        <f>0-AF30</f>
        <v>0</v>
      </c>
      <c r="AH30" s="26">
        <f>0-AG30-AF30</f>
        <v>0</v>
      </c>
      <c r="AI30" s="26">
        <f t="shared" si="49"/>
        <v>0</v>
      </c>
      <c r="AJ30" s="270">
        <v>0</v>
      </c>
      <c r="AK30" s="26">
        <v>0</v>
      </c>
      <c r="AL30" s="26">
        <v>0</v>
      </c>
      <c r="AM30" s="26">
        <f>0-AL30-AK30</f>
        <v>0</v>
      </c>
      <c r="AN30" s="26">
        <f t="shared" si="50"/>
        <v>0</v>
      </c>
      <c r="AO30" s="270">
        <v>0</v>
      </c>
      <c r="AP30" s="26">
        <v>0</v>
      </c>
      <c r="AQ30" s="26">
        <f>0-AP30</f>
        <v>0</v>
      </c>
      <c r="AR30" s="26">
        <f>0-AQ30-AP30</f>
        <v>0</v>
      </c>
      <c r="AS30" s="26">
        <f>0-AP30-AQ30-AR30</f>
        <v>0</v>
      </c>
      <c r="AT30" s="270">
        <f t="shared" si="33"/>
        <v>0</v>
      </c>
      <c r="AU30" s="369">
        <v>0</v>
      </c>
      <c r="AV30" s="27">
        <v>0</v>
      </c>
      <c r="AW30" s="27">
        <v>0</v>
      </c>
      <c r="AX30" s="27">
        <v>0</v>
      </c>
      <c r="AY30" s="270">
        <f t="shared" si="34"/>
        <v>0</v>
      </c>
      <c r="AZ30" s="27">
        <v>0</v>
      </c>
      <c r="BA30" s="27">
        <v>0</v>
      </c>
      <c r="BB30" s="27">
        <v>0</v>
      </c>
      <c r="BC30" s="27">
        <v>0</v>
      </c>
      <c r="BD30" s="270">
        <f t="shared" si="35"/>
        <v>0</v>
      </c>
      <c r="BE30" s="27">
        <v>0</v>
      </c>
      <c r="BF30" s="27">
        <v>0</v>
      </c>
      <c r="BG30" s="27">
        <v>0</v>
      </c>
      <c r="BH30" s="27">
        <v>0</v>
      </c>
      <c r="BI30" s="270">
        <f t="shared" si="36"/>
        <v>0</v>
      </c>
      <c r="BJ30" s="27">
        <v>0</v>
      </c>
      <c r="BK30" s="27">
        <v>0</v>
      </c>
      <c r="BL30" s="27">
        <v>0</v>
      </c>
      <c r="BM30" s="27">
        <v>0</v>
      </c>
      <c r="BN30" s="270">
        <f t="shared" si="37"/>
        <v>0</v>
      </c>
      <c r="BO30" s="27">
        <v>0</v>
      </c>
      <c r="BP30" s="27">
        <v>0</v>
      </c>
      <c r="BQ30" s="27">
        <v>0</v>
      </c>
      <c r="BR30" s="27">
        <v>0</v>
      </c>
      <c r="BS30" s="270">
        <f t="shared" si="38"/>
        <v>0</v>
      </c>
      <c r="BT30" s="27">
        <v>0</v>
      </c>
      <c r="BU30" s="27">
        <v>0</v>
      </c>
      <c r="BV30" s="27">
        <v>0</v>
      </c>
      <c r="BW30" s="27">
        <v>0</v>
      </c>
      <c r="BX30" s="270">
        <f t="shared" si="39"/>
        <v>0</v>
      </c>
      <c r="BY30" s="27">
        <v>0</v>
      </c>
      <c r="BZ30" s="27">
        <v>0</v>
      </c>
      <c r="CA30" s="27">
        <v>0</v>
      </c>
      <c r="CB30" s="27">
        <v>0</v>
      </c>
      <c r="CC30" s="270">
        <f t="shared" si="40"/>
        <v>0</v>
      </c>
      <c r="CD30" s="27">
        <v>0</v>
      </c>
      <c r="CE30" s="27">
        <v>0</v>
      </c>
      <c r="CF30" s="27">
        <v>0</v>
      </c>
      <c r="CG30" s="27">
        <v>0</v>
      </c>
      <c r="CH30" s="270">
        <f t="shared" si="41"/>
        <v>0</v>
      </c>
      <c r="CI30" s="27">
        <v>0</v>
      </c>
      <c r="CJ30" s="27">
        <v>0</v>
      </c>
      <c r="CK30" s="27">
        <v>0</v>
      </c>
      <c r="CL30" s="27">
        <v>0</v>
      </c>
      <c r="CM30" s="270">
        <f t="shared" si="42"/>
        <v>0</v>
      </c>
    </row>
    <row r="31" spans="1:91" s="16" customFormat="1">
      <c r="A31" s="16" t="s">
        <v>84</v>
      </c>
      <c r="D31" s="26">
        <f>-119.714+49.944-1.102</f>
        <v>-70.872</v>
      </c>
      <c r="E31" s="26">
        <f t="shared" si="43"/>
        <v>-92.863000000000014</v>
      </c>
      <c r="F31" s="270">
        <f>-2.302-236.835+75.402</f>
        <v>-163.73500000000001</v>
      </c>
      <c r="G31" s="26">
        <f>-19.634+32.125</f>
        <v>12.491</v>
      </c>
      <c r="H31" s="26">
        <f>-44.07+75.625-G31</f>
        <v>19.064</v>
      </c>
      <c r="I31" s="26">
        <f>-48.693+110.625-H31-G31</f>
        <v>30.377000000000002</v>
      </c>
      <c r="J31" s="26">
        <f t="shared" si="44"/>
        <v>-194.75700000000001</v>
      </c>
      <c r="K31" s="270">
        <f>-287.45+154.625</f>
        <v>-132.82499999999999</v>
      </c>
      <c r="L31" s="26">
        <f>-45.966+64</f>
        <v>18.033999999999999</v>
      </c>
      <c r="M31" s="26">
        <f>-418.841+129.16-L31</f>
        <v>-307.71500000000003</v>
      </c>
      <c r="N31" s="26">
        <f>-542.468+223.064-M31-L31</f>
        <v>-29.722999999999963</v>
      </c>
      <c r="O31" s="26">
        <f t="shared" si="45"/>
        <v>30.379000000000076</v>
      </c>
      <c r="P31" s="270">
        <f>-0.068-614.29+325.333</f>
        <v>-289.02499999999992</v>
      </c>
      <c r="Q31" s="26">
        <f>-55.76+104.048</f>
        <v>48.288000000000004</v>
      </c>
      <c r="R31" s="26">
        <f>-465.302+197.548-Q31</f>
        <v>-316.04200000000003</v>
      </c>
      <c r="S31" s="26">
        <f>-580.172+307.548-R31-Q31</f>
        <v>-4.8699999999999974</v>
      </c>
      <c r="T31" s="26">
        <f t="shared" si="46"/>
        <v>-290.40300000000002</v>
      </c>
      <c r="U31" s="270">
        <f>-1125.575+562.548</f>
        <v>-563.02700000000004</v>
      </c>
      <c r="V31" s="26">
        <f>-70.654+204.11</f>
        <v>133.45600000000002</v>
      </c>
      <c r="W31" s="26">
        <f>-126.163+418.11-12.75-V31</f>
        <v>145.74099999999999</v>
      </c>
      <c r="X31" s="26">
        <f>-334.082+627.11-39.076-W31-V31</f>
        <v>-25.244999999999976</v>
      </c>
      <c r="Y31" s="26">
        <f t="shared" si="47"/>
        <v>-242.072</v>
      </c>
      <c r="Z31" s="270">
        <f>-900.808+952.11-39.422</f>
        <v>11.880000000000024</v>
      </c>
      <c r="AA31" s="26">
        <f>-163.742+310-12.75</f>
        <v>133.50800000000001</v>
      </c>
      <c r="AB31" s="26">
        <f>-238.601+335-12.75-AA31</f>
        <v>-49.859000000000009</v>
      </c>
      <c r="AC31" s="26">
        <f>-238.601+398-12.75-AB31-AA31</f>
        <v>63</v>
      </c>
      <c r="AD31" s="26">
        <f t="shared" si="48"/>
        <v>80.627999999999986</v>
      </c>
      <c r="AE31" s="270">
        <f>-303.757+555-23.966</f>
        <v>227.27699999999999</v>
      </c>
      <c r="AF31" s="26">
        <f>-63.252+228</f>
        <v>164.74799999999999</v>
      </c>
      <c r="AG31" s="26">
        <f>-561.339+492.7-1.227-AF31</f>
        <v>-234.61400000000006</v>
      </c>
      <c r="AH31" s="26">
        <f>-629.902+828.7-5.593-AG31-AF31</f>
        <v>263.07100000000008</v>
      </c>
      <c r="AI31" s="26">
        <f t="shared" si="49"/>
        <v>667.53099999999995</v>
      </c>
      <c r="AJ31" s="270">
        <f>-629.902+1494.7-5.593+1.531</f>
        <v>860.73599999999999</v>
      </c>
      <c r="AK31" s="26">
        <f>35</f>
        <v>35</v>
      </c>
      <c r="AL31" s="26">
        <f>35-AK31</f>
        <v>0</v>
      </c>
      <c r="AM31" s="26">
        <f>-307.323+35+19.195-2.5-AL31-AK31</f>
        <v>-290.62799999999999</v>
      </c>
      <c r="AN31" s="26">
        <f>AO31-SUM(AK31:AM31)</f>
        <v>29.405000000000001</v>
      </c>
      <c r="AO31" s="270">
        <f>-307.323+35+53.6-7.5</f>
        <v>-226.22299999999998</v>
      </c>
      <c r="AP31" s="26">
        <v>307.32299999999998</v>
      </c>
      <c r="AQ31" s="26">
        <f>307.323-5-AP31</f>
        <v>-5</v>
      </c>
      <c r="AR31" s="26">
        <f>307.323-9-AQ31-AP31</f>
        <v>-4</v>
      </c>
      <c r="AS31" s="26">
        <f>-818.231+307.323-9-AP31-AQ31-AR31</f>
        <v>-818.23099999999999</v>
      </c>
      <c r="AT31" s="270">
        <f t="shared" si="33"/>
        <v>-519.90800000000002</v>
      </c>
      <c r="AU31" s="369">
        <v>0</v>
      </c>
      <c r="AV31" s="27">
        <v>0</v>
      </c>
      <c r="AW31" s="27">
        <v>0</v>
      </c>
      <c r="AX31" s="27">
        <v>0</v>
      </c>
      <c r="AY31" s="270">
        <f t="shared" si="34"/>
        <v>0</v>
      </c>
      <c r="AZ31" s="27">
        <v>0</v>
      </c>
      <c r="BA31" s="27">
        <v>0</v>
      </c>
      <c r="BB31" s="27">
        <v>0</v>
      </c>
      <c r="BC31" s="27">
        <v>0</v>
      </c>
      <c r="BD31" s="270">
        <f t="shared" si="35"/>
        <v>0</v>
      </c>
      <c r="BE31" s="27">
        <v>0</v>
      </c>
      <c r="BF31" s="27">
        <v>0</v>
      </c>
      <c r="BG31" s="27">
        <v>0</v>
      </c>
      <c r="BH31" s="27">
        <v>0</v>
      </c>
      <c r="BI31" s="270">
        <f t="shared" si="36"/>
        <v>0</v>
      </c>
      <c r="BJ31" s="27">
        <v>0</v>
      </c>
      <c r="BK31" s="27">
        <v>0</v>
      </c>
      <c r="BL31" s="27">
        <v>0</v>
      </c>
      <c r="BM31" s="27">
        <v>0</v>
      </c>
      <c r="BN31" s="270">
        <f t="shared" si="37"/>
        <v>0</v>
      </c>
      <c r="BO31" s="27">
        <v>0</v>
      </c>
      <c r="BP31" s="27">
        <v>0</v>
      </c>
      <c r="BQ31" s="27">
        <v>0</v>
      </c>
      <c r="BR31" s="27">
        <v>0</v>
      </c>
      <c r="BS31" s="270">
        <f t="shared" si="38"/>
        <v>0</v>
      </c>
      <c r="BT31" s="27">
        <v>0</v>
      </c>
      <c r="BU31" s="27">
        <v>0</v>
      </c>
      <c r="BV31" s="27">
        <v>0</v>
      </c>
      <c r="BW31" s="27">
        <v>0</v>
      </c>
      <c r="BX31" s="270">
        <f t="shared" si="39"/>
        <v>0</v>
      </c>
      <c r="BY31" s="27">
        <v>0</v>
      </c>
      <c r="BZ31" s="27">
        <v>0</v>
      </c>
      <c r="CA31" s="27">
        <v>0</v>
      </c>
      <c r="CB31" s="27">
        <v>0</v>
      </c>
      <c r="CC31" s="270">
        <f t="shared" si="40"/>
        <v>0</v>
      </c>
      <c r="CD31" s="27">
        <v>0</v>
      </c>
      <c r="CE31" s="27">
        <v>0</v>
      </c>
      <c r="CF31" s="27">
        <v>0</v>
      </c>
      <c r="CG31" s="27">
        <v>0</v>
      </c>
      <c r="CH31" s="270">
        <f t="shared" si="41"/>
        <v>0</v>
      </c>
      <c r="CI31" s="27">
        <v>0</v>
      </c>
      <c r="CJ31" s="27">
        <v>0</v>
      </c>
      <c r="CK31" s="27">
        <v>0</v>
      </c>
      <c r="CL31" s="27">
        <v>0</v>
      </c>
      <c r="CM31" s="270">
        <f t="shared" si="42"/>
        <v>0</v>
      </c>
    </row>
    <row r="32" spans="1:91" s="15" customFormat="1">
      <c r="A32" s="15" t="s">
        <v>91</v>
      </c>
      <c r="D32" s="170">
        <f>SUM(D27:D31)</f>
        <v>-74.590999999999994</v>
      </c>
      <c r="E32" s="170">
        <f t="shared" ref="E32:F32" si="51">SUM(E27:E31)</f>
        <v>-95.825000000000017</v>
      </c>
      <c r="F32" s="253">
        <f t="shared" si="51"/>
        <v>-170.41600000000003</v>
      </c>
      <c r="G32" s="170">
        <f t="shared" ref="G32:AD32" si="52">SUM(G27:G31)</f>
        <v>8.4699999999999989</v>
      </c>
      <c r="H32" s="170">
        <f t="shared" si="52"/>
        <v>11.725000000000001</v>
      </c>
      <c r="I32" s="170">
        <f t="shared" si="52"/>
        <v>24.465000000000003</v>
      </c>
      <c r="J32" s="170">
        <f t="shared" si="52"/>
        <v>-197.68800000000002</v>
      </c>
      <c r="K32" s="253">
        <f t="shared" si="52"/>
        <v>-153.02799999999999</v>
      </c>
      <c r="L32" s="170">
        <f t="shared" si="52"/>
        <v>15.328999999999999</v>
      </c>
      <c r="M32" s="170">
        <f t="shared" si="52"/>
        <v>-320.52700000000004</v>
      </c>
      <c r="N32" s="170">
        <f t="shared" si="52"/>
        <v>-35.729999999999961</v>
      </c>
      <c r="O32" s="170">
        <f t="shared" si="52"/>
        <v>23.358000000000075</v>
      </c>
      <c r="P32" s="253">
        <f t="shared" si="52"/>
        <v>-317.56999999999994</v>
      </c>
      <c r="Q32" s="170">
        <f t="shared" si="52"/>
        <v>20.804000000000002</v>
      </c>
      <c r="R32" s="170">
        <f t="shared" si="52"/>
        <v>-325.54900000000004</v>
      </c>
      <c r="S32" s="170">
        <f t="shared" si="52"/>
        <v>-14.655999999999997</v>
      </c>
      <c r="T32" s="170">
        <f t="shared" si="52"/>
        <v>-297.685</v>
      </c>
      <c r="U32" s="253">
        <f t="shared" si="52"/>
        <v>-617.08600000000001</v>
      </c>
      <c r="V32" s="170">
        <f t="shared" si="52"/>
        <v>123.87000000000002</v>
      </c>
      <c r="W32" s="170">
        <f t="shared" si="52"/>
        <v>127.06599999999999</v>
      </c>
      <c r="X32" s="170">
        <f t="shared" si="52"/>
        <v>-47.393999999999977</v>
      </c>
      <c r="Y32" s="170">
        <f t="shared" si="52"/>
        <v>-266.697</v>
      </c>
      <c r="Z32" s="253">
        <f t="shared" si="52"/>
        <v>-63.154999999999973</v>
      </c>
      <c r="AA32" s="170">
        <f t="shared" si="52"/>
        <v>110.80800000000001</v>
      </c>
      <c r="AB32" s="170">
        <f t="shared" si="52"/>
        <v>-72.893000000000015</v>
      </c>
      <c r="AC32" s="170">
        <f t="shared" si="52"/>
        <v>41.274000000000015</v>
      </c>
      <c r="AD32" s="170">
        <f t="shared" si="52"/>
        <v>70.626999999999981</v>
      </c>
      <c r="AE32" s="253">
        <f t="shared" ref="AE32" si="53">SUM(AA32:AD32)</f>
        <v>149.81599999999997</v>
      </c>
      <c r="AF32" s="170">
        <f t="shared" ref="AF32:AS32" si="54">SUM(AF27:AF31)</f>
        <v>157.22399999999999</v>
      </c>
      <c r="AG32" s="170">
        <f t="shared" si="54"/>
        <v>-241.12700000000007</v>
      </c>
      <c r="AH32" s="170">
        <f t="shared" si="54"/>
        <v>260.69900000000007</v>
      </c>
      <c r="AI32" s="170">
        <f t="shared" si="54"/>
        <v>663.45399999999995</v>
      </c>
      <c r="AJ32" s="253">
        <f t="shared" si="54"/>
        <v>840.25</v>
      </c>
      <c r="AK32" s="170">
        <f t="shared" si="54"/>
        <v>28.065999999999999</v>
      </c>
      <c r="AL32" s="170">
        <f t="shared" si="54"/>
        <v>-5.0769999999999991</v>
      </c>
      <c r="AM32" s="170">
        <f>SUM(AM27:AM31)</f>
        <v>-294.827</v>
      </c>
      <c r="AN32" s="170">
        <f t="shared" si="54"/>
        <v>10.530000000000001</v>
      </c>
      <c r="AO32" s="253">
        <f t="shared" si="54"/>
        <v>-261.30799999999999</v>
      </c>
      <c r="AP32" s="170">
        <f t="shared" si="54"/>
        <v>302.86399999999998</v>
      </c>
      <c r="AQ32" s="170">
        <f t="shared" si="54"/>
        <v>-10.649000000000001</v>
      </c>
      <c r="AR32" s="170">
        <f t="shared" si="54"/>
        <v>-14.349999999999998</v>
      </c>
      <c r="AS32" s="170">
        <f t="shared" si="54"/>
        <v>-905.06700000000001</v>
      </c>
      <c r="AT32" s="253">
        <f t="shared" si="33"/>
        <v>-627.202</v>
      </c>
      <c r="AU32" s="356">
        <f>SUM(AU27:AU31)</f>
        <v>-7.5</v>
      </c>
      <c r="AV32" s="170">
        <f>SUM(AV27:AV31)</f>
        <v>-7.5</v>
      </c>
      <c r="AW32" s="170">
        <f>SUM(AW27:AW31)</f>
        <v>-7.5</v>
      </c>
      <c r="AX32" s="170">
        <f>SUM(AX27:AX31)</f>
        <v>-7.5</v>
      </c>
      <c r="AY32" s="253">
        <f t="shared" si="34"/>
        <v>-30</v>
      </c>
      <c r="AZ32" s="170">
        <f>SUM(AZ27:AZ31)</f>
        <v>-10</v>
      </c>
      <c r="BA32" s="170">
        <f>SUM(BA27:BA31)</f>
        <v>-10</v>
      </c>
      <c r="BB32" s="170">
        <f>SUM(BB27:BB31)</f>
        <v>-10</v>
      </c>
      <c r="BC32" s="170">
        <f>SUM(BC27:BC31)</f>
        <v>-10</v>
      </c>
      <c r="BD32" s="253">
        <f t="shared" si="35"/>
        <v>-40</v>
      </c>
      <c r="BE32" s="170">
        <f>SUM(BE27:BE31)</f>
        <v>-12.5</v>
      </c>
      <c r="BF32" s="170">
        <f>SUM(BF27:BF31)</f>
        <v>-12.5</v>
      </c>
      <c r="BG32" s="170">
        <f>SUM(BG27:BG31)</f>
        <v>-12.5</v>
      </c>
      <c r="BH32" s="170">
        <f>SUM(BH27:BH31)</f>
        <v>-12.5</v>
      </c>
      <c r="BI32" s="253">
        <f t="shared" si="36"/>
        <v>-50</v>
      </c>
      <c r="BJ32" s="170">
        <f>SUM(BJ27:BJ31)</f>
        <v>-15</v>
      </c>
      <c r="BK32" s="170">
        <f>SUM(BK27:BK31)</f>
        <v>-15</v>
      </c>
      <c r="BL32" s="170">
        <f>SUM(BL27:BL31)</f>
        <v>-15</v>
      </c>
      <c r="BM32" s="170">
        <f>SUM(BM27:BM31)</f>
        <v>-15</v>
      </c>
      <c r="BN32" s="253">
        <f t="shared" si="37"/>
        <v>-60</v>
      </c>
      <c r="BO32" s="170">
        <f>SUM(BO27:BO31)</f>
        <v>-16.25</v>
      </c>
      <c r="BP32" s="170">
        <f>SUM(BP27:BP31)</f>
        <v>-16.25</v>
      </c>
      <c r="BQ32" s="170">
        <f>SUM(BQ27:BQ31)</f>
        <v>-16.25</v>
      </c>
      <c r="BR32" s="170">
        <f>SUM(BR27:BR31)</f>
        <v>-16.25</v>
      </c>
      <c r="BS32" s="253">
        <f t="shared" si="38"/>
        <v>-65</v>
      </c>
      <c r="BT32" s="170">
        <f>SUM(BT27:BT31)</f>
        <v>-17.5</v>
      </c>
      <c r="BU32" s="170">
        <f>SUM(BU27:BU31)</f>
        <v>-17.5</v>
      </c>
      <c r="BV32" s="170">
        <f>SUM(BV27:BV31)</f>
        <v>-17.5</v>
      </c>
      <c r="BW32" s="170">
        <f>SUM(BW27:BW31)</f>
        <v>-17.5</v>
      </c>
      <c r="BX32" s="253">
        <f t="shared" si="39"/>
        <v>-70</v>
      </c>
      <c r="BY32" s="170">
        <f>SUM(BY27:BY31)</f>
        <v>-18.75</v>
      </c>
      <c r="BZ32" s="170">
        <f>SUM(BZ27:BZ31)</f>
        <v>-18.75</v>
      </c>
      <c r="CA32" s="170">
        <f>SUM(CA27:CA31)</f>
        <v>-18.75</v>
      </c>
      <c r="CB32" s="170">
        <f>SUM(CB27:CB31)</f>
        <v>-18.75</v>
      </c>
      <c r="CC32" s="253">
        <f t="shared" si="40"/>
        <v>-75</v>
      </c>
      <c r="CD32" s="170">
        <f>SUM(CD27:CD31)</f>
        <v>-20</v>
      </c>
      <c r="CE32" s="170">
        <f>SUM(CE27:CE31)</f>
        <v>-20</v>
      </c>
      <c r="CF32" s="170">
        <f>SUM(CF27:CF31)</f>
        <v>-20</v>
      </c>
      <c r="CG32" s="170">
        <f>SUM(CG27:CG31)</f>
        <v>-20</v>
      </c>
      <c r="CH32" s="253">
        <f t="shared" si="41"/>
        <v>-80</v>
      </c>
      <c r="CI32" s="170">
        <f>SUM(CI27:CI31)</f>
        <v>-21.25</v>
      </c>
      <c r="CJ32" s="170">
        <f>SUM(CJ27:CJ31)</f>
        <v>-21.25</v>
      </c>
      <c r="CK32" s="170">
        <f>SUM(CK27:CK31)</f>
        <v>-21.25</v>
      </c>
      <c r="CL32" s="170">
        <f>SUM(CL27:CL31)</f>
        <v>-21.25</v>
      </c>
      <c r="CM32" s="253">
        <f t="shared" si="42"/>
        <v>-85</v>
      </c>
    </row>
    <row r="33" spans="1:91" s="16" customFormat="1">
      <c r="D33" s="26"/>
      <c r="E33" s="26"/>
      <c r="F33" s="270"/>
      <c r="G33" s="26"/>
      <c r="H33" s="26"/>
      <c r="I33" s="26"/>
      <c r="J33" s="26"/>
      <c r="K33" s="270"/>
      <c r="L33" s="26"/>
      <c r="M33" s="26"/>
      <c r="N33" s="26"/>
      <c r="O33" s="26"/>
      <c r="P33" s="270"/>
      <c r="Q33" s="26"/>
      <c r="R33" s="26"/>
      <c r="S33" s="26"/>
      <c r="T33" s="26"/>
      <c r="U33" s="270"/>
      <c r="V33" s="26"/>
      <c r="W33" s="26"/>
      <c r="X33" s="26"/>
      <c r="Y33" s="26"/>
      <c r="Z33" s="270"/>
      <c r="AA33" s="26"/>
      <c r="AB33" s="26"/>
      <c r="AC33" s="26"/>
      <c r="AD33" s="26"/>
      <c r="AE33" s="270"/>
      <c r="AF33" s="26"/>
      <c r="AG33" s="26"/>
      <c r="AH33" s="26"/>
      <c r="AI33" s="26"/>
      <c r="AJ33" s="270"/>
      <c r="AK33" s="26"/>
      <c r="AL33" s="26"/>
      <c r="AM33" s="26"/>
      <c r="AN33" s="26"/>
      <c r="AO33" s="270"/>
      <c r="AP33" s="26"/>
      <c r="AQ33" s="22"/>
      <c r="AR33" s="22"/>
      <c r="AS33" s="22"/>
      <c r="AT33" s="270"/>
      <c r="AU33" s="355"/>
      <c r="AV33" s="26"/>
      <c r="AW33" s="26"/>
      <c r="AX33" s="26"/>
      <c r="AY33" s="270"/>
      <c r="AZ33" s="26"/>
      <c r="BA33" s="26"/>
      <c r="BB33" s="26"/>
      <c r="BC33" s="26"/>
      <c r="BD33" s="270"/>
      <c r="BE33" s="26"/>
      <c r="BF33" s="26"/>
      <c r="BG33" s="26"/>
      <c r="BH33" s="26"/>
      <c r="BI33" s="270"/>
      <c r="BJ33" s="26"/>
      <c r="BK33" s="26"/>
      <c r="BL33" s="26"/>
      <c r="BM33" s="26"/>
      <c r="BN33" s="270"/>
      <c r="BO33" s="26"/>
      <c r="BP33" s="26"/>
      <c r="BQ33" s="26"/>
      <c r="BR33" s="26"/>
      <c r="BS33" s="270"/>
      <c r="BT33" s="26"/>
      <c r="BU33" s="26"/>
      <c r="BV33" s="26"/>
      <c r="BW33" s="26"/>
      <c r="BX33" s="270"/>
      <c r="BY33" s="26"/>
      <c r="BZ33" s="26"/>
      <c r="CA33" s="26"/>
      <c r="CB33" s="26"/>
      <c r="CC33" s="270"/>
      <c r="CD33" s="26"/>
      <c r="CE33" s="26"/>
      <c r="CF33" s="26"/>
      <c r="CG33" s="26"/>
      <c r="CH33" s="270"/>
      <c r="CI33" s="26"/>
      <c r="CJ33" s="26"/>
      <c r="CK33" s="26"/>
      <c r="CL33" s="26"/>
      <c r="CM33" s="270"/>
    </row>
    <row r="34" spans="1:91" s="16" customFormat="1">
      <c r="A34" s="15" t="s">
        <v>92</v>
      </c>
      <c r="D34" s="26"/>
      <c r="E34" s="26"/>
      <c r="F34" s="270"/>
      <c r="G34" s="26"/>
      <c r="H34" s="26"/>
      <c r="I34" s="26"/>
      <c r="J34" s="26"/>
      <c r="K34" s="270"/>
      <c r="L34" s="26"/>
      <c r="M34" s="26"/>
      <c r="N34" s="26"/>
      <c r="O34" s="26"/>
      <c r="P34" s="270"/>
      <c r="Q34" s="26"/>
      <c r="R34" s="26"/>
      <c r="S34" s="26"/>
      <c r="T34" s="26"/>
      <c r="U34" s="270"/>
      <c r="V34" s="26"/>
      <c r="W34" s="26"/>
      <c r="X34" s="26"/>
      <c r="Y34" s="26"/>
      <c r="Z34" s="270"/>
      <c r="AA34" s="26"/>
      <c r="AB34" s="26"/>
      <c r="AC34" s="26"/>
      <c r="AD34" s="26"/>
      <c r="AE34" s="270"/>
      <c r="AF34" s="26"/>
      <c r="AG34" s="26"/>
      <c r="AH34" s="26"/>
      <c r="AI34" s="26"/>
      <c r="AJ34" s="270"/>
      <c r="AK34" s="26"/>
      <c r="AL34" s="26"/>
      <c r="AM34" s="26"/>
      <c r="AN34" s="26"/>
      <c r="AO34" s="270"/>
      <c r="AP34" s="26"/>
      <c r="AQ34" s="26"/>
      <c r="AR34" s="26"/>
      <c r="AS34" s="26"/>
      <c r="AT34" s="270"/>
      <c r="AU34" s="355"/>
      <c r="AV34" s="26"/>
      <c r="AW34" s="26"/>
      <c r="AX34" s="26"/>
      <c r="AY34" s="270"/>
      <c r="AZ34" s="26"/>
      <c r="BA34" s="26"/>
      <c r="BB34" s="26"/>
      <c r="BC34" s="26"/>
      <c r="BD34" s="270"/>
      <c r="BE34" s="26"/>
      <c r="BF34" s="26"/>
      <c r="BG34" s="26"/>
      <c r="BH34" s="26"/>
      <c r="BI34" s="270"/>
      <c r="BJ34" s="26"/>
      <c r="BK34" s="26"/>
      <c r="BL34" s="26"/>
      <c r="BM34" s="26"/>
      <c r="BN34" s="270"/>
      <c r="BO34" s="26"/>
      <c r="BP34" s="26"/>
      <c r="BQ34" s="26"/>
      <c r="BR34" s="26"/>
      <c r="BS34" s="270"/>
      <c r="BT34" s="26"/>
      <c r="BU34" s="26"/>
      <c r="BV34" s="26"/>
      <c r="BW34" s="26"/>
      <c r="BX34" s="270"/>
      <c r="BY34" s="26"/>
      <c r="BZ34" s="26"/>
      <c r="CA34" s="26"/>
      <c r="CB34" s="26"/>
      <c r="CC34" s="270"/>
      <c r="CD34" s="26"/>
      <c r="CE34" s="26"/>
      <c r="CF34" s="26"/>
      <c r="CG34" s="26"/>
      <c r="CH34" s="270"/>
      <c r="CI34" s="26"/>
      <c r="CJ34" s="26"/>
      <c r="CK34" s="26"/>
      <c r="CL34" s="26"/>
      <c r="CM34" s="270"/>
    </row>
    <row r="35" spans="1:91" s="16" customFormat="1">
      <c r="A35" s="16" t="s">
        <v>93</v>
      </c>
      <c r="D35" s="26">
        <v>-25.844000000000001</v>
      </c>
      <c r="E35" s="26">
        <f t="shared" ref="E35:E40" si="55">F35-SUM(D35)</f>
        <v>0</v>
      </c>
      <c r="F35" s="270">
        <v>-25.844000000000001</v>
      </c>
      <c r="G35" s="26">
        <v>0</v>
      </c>
      <c r="H35" s="26">
        <f>0-G35</f>
        <v>0</v>
      </c>
      <c r="I35" s="26">
        <f>0-H35-G35</f>
        <v>0</v>
      </c>
      <c r="J35" s="26">
        <f t="shared" ref="J35:J40" si="56">K35-SUM(G35:I35)</f>
        <v>0</v>
      </c>
      <c r="K35" s="270">
        <v>0</v>
      </c>
      <c r="L35" s="26">
        <v>0</v>
      </c>
      <c r="M35" s="26">
        <f>0-L35</f>
        <v>0</v>
      </c>
      <c r="N35" s="26">
        <f>0-M35-L35</f>
        <v>0</v>
      </c>
      <c r="O35" s="26">
        <f t="shared" ref="O35:O40" si="57">P35-SUM(L35:N35)</f>
        <v>-0.311</v>
      </c>
      <c r="P35" s="270">
        <v>-0.311</v>
      </c>
      <c r="Q35" s="26">
        <v>0</v>
      </c>
      <c r="R35" s="26">
        <f>0-Q35</f>
        <v>0</v>
      </c>
      <c r="S35" s="26">
        <f>0-R35-Q35</f>
        <v>0</v>
      </c>
      <c r="T35" s="26">
        <f t="shared" ref="T35:T40" si="58">U35-SUM(Q35:S35)</f>
        <v>1132.75</v>
      </c>
      <c r="U35" s="270">
        <v>1132.75</v>
      </c>
      <c r="V35" s="26">
        <v>0</v>
      </c>
      <c r="W35" s="26">
        <f>0-V35</f>
        <v>0</v>
      </c>
      <c r="X35" s="26">
        <f>0-W35-V35</f>
        <v>0</v>
      </c>
      <c r="Y35" s="26">
        <f t="shared" ref="Y35:Y40" si="59">Z35-SUM(V35:X35)</f>
        <v>0</v>
      </c>
      <c r="Z35" s="270">
        <v>0</v>
      </c>
      <c r="AA35" s="26">
        <v>0</v>
      </c>
      <c r="AB35" s="26">
        <f>0-AA35</f>
        <v>0</v>
      </c>
      <c r="AC35" s="26">
        <f>0-AB35-AA35</f>
        <v>0</v>
      </c>
      <c r="AD35" s="26">
        <f t="shared" ref="AD35:AD40" si="60">AE35-SUM(AA35:AC35)</f>
        <v>0</v>
      </c>
      <c r="AE35" s="270">
        <v>0</v>
      </c>
      <c r="AF35" s="26">
        <v>0</v>
      </c>
      <c r="AG35" s="26">
        <f>0-AF35</f>
        <v>0</v>
      </c>
      <c r="AH35" s="26">
        <f>0-AG35-AF35</f>
        <v>0</v>
      </c>
      <c r="AI35" s="26">
        <f t="shared" ref="AI35:AI40" si="61">AJ35-SUM(AF35:AH35)</f>
        <v>0</v>
      </c>
      <c r="AJ35" s="270">
        <v>0</v>
      </c>
      <c r="AK35" s="26">
        <v>0</v>
      </c>
      <c r="AL35" s="26">
        <f>0-AK35</f>
        <v>0</v>
      </c>
      <c r="AM35" s="26">
        <f>0-AL35-AK35</f>
        <v>0</v>
      </c>
      <c r="AN35" s="26">
        <f t="shared" ref="AN35:AN40" si="62">AO35-SUM(AK35:AM35)</f>
        <v>0</v>
      </c>
      <c r="AO35" s="270">
        <v>0</v>
      </c>
      <c r="AP35" s="26">
        <v>0</v>
      </c>
      <c r="AQ35" s="26">
        <f>0-AP35</f>
        <v>0</v>
      </c>
      <c r="AR35" s="26">
        <f>0-AQ35-AP35</f>
        <v>0</v>
      </c>
      <c r="AS35" s="26">
        <f>402.5-AP35-AQ35-AR35</f>
        <v>402.5</v>
      </c>
      <c r="AT35" s="270">
        <f t="shared" ref="AT35:AT41" si="63">SUM(AP35:AS35)</f>
        <v>402.5</v>
      </c>
      <c r="AU35" s="355">
        <f>IF(AU60&lt;'Other Accts'!AT13,IF(AU60&gt;0,-AU60,AU60),-'Other Accts'!AT13)*0</f>
        <v>0</v>
      </c>
      <c r="AV35" s="26">
        <f>IF(AV60&lt;'Other Accts'!AU13,IF(AV60&gt;0,-AV60,AV60),-'Other Accts'!AU13)*0</f>
        <v>0</v>
      </c>
      <c r="AW35" s="26">
        <f>IF(AW60&lt;'Other Accts'!AV13,IF(AW60&gt;0,-AW60,AW60),-'Other Accts'!AV13)*0</f>
        <v>0</v>
      </c>
      <c r="AX35" s="26">
        <f>IF(AX60&lt;'Other Accts'!AW13,IF(AX60&gt;0,-AX60,AX60),-'Other Accts'!AW13)*0</f>
        <v>0</v>
      </c>
      <c r="AY35" s="270">
        <f>SUM(AU35:AX35)</f>
        <v>0</v>
      </c>
      <c r="AZ35" s="26">
        <f>IF(AZ60&lt;'Other Accts'!AY13,IF(AZ60&gt;0,-AZ60,AZ60),-'Other Accts'!AY13)*0</f>
        <v>0</v>
      </c>
      <c r="BA35" s="26">
        <f>IF(BA60&lt;'Other Accts'!AZ13,IF(BA60&gt;0,-BA60,BA60),-'Other Accts'!AZ13)*0</f>
        <v>0</v>
      </c>
      <c r="BB35" s="26">
        <f>IF(BB60&lt;'Other Accts'!BA13,IF(BB60&gt;0,-BB60,BB60),-'Other Accts'!BA13)*0</f>
        <v>0</v>
      </c>
      <c r="BC35" s="340">
        <v>-488.584</v>
      </c>
      <c r="BD35" s="270">
        <f>SUM(AZ35:BC35)</f>
        <v>-488.584</v>
      </c>
      <c r="BE35" s="26">
        <f>IF(BE60&lt;'Other Accts'!BD13,IF(BE60&gt;0,-BE60,BE60),-'Other Accts'!BD13)*0</f>
        <v>0</v>
      </c>
      <c r="BF35" s="26">
        <f>IF(BF60&lt;'Other Accts'!BE13,IF(BF60&gt;0,-BF60,BF60),-'Other Accts'!BE13)*0</f>
        <v>0</v>
      </c>
      <c r="BG35" s="26">
        <f>IF(BG60&lt;'Other Accts'!BF13,IF(BG60&gt;0,-BG60,BG60),-'Other Accts'!BF13)*0</f>
        <v>0</v>
      </c>
      <c r="BH35" s="26">
        <f>IF(BH60&lt;'Other Accts'!BG13,IF(BH60&gt;0,-BH60,BH60),-'Other Accts'!BG13)*0</f>
        <v>0</v>
      </c>
      <c r="BI35" s="270">
        <f>SUM(BE35:BH35)</f>
        <v>0</v>
      </c>
      <c r="BJ35" s="26">
        <f>IF(BJ60&lt;'Other Accts'!BI13,IF(BJ60&gt;0,-BJ60,BJ60),-'Other Accts'!BI13)</f>
        <v>0</v>
      </c>
      <c r="BK35" s="26">
        <f>IF(BK60&lt;'Other Accts'!BJ13,IF(BK60&gt;0,-BK60,BK60),-'Other Accts'!BJ13)</f>
        <v>0</v>
      </c>
      <c r="BL35" s="26">
        <f>IF(BL60&lt;'Other Accts'!BK13,IF(BL60&gt;0,-BL60,BL60),-'Other Accts'!BK13)</f>
        <v>0</v>
      </c>
      <c r="BM35" s="26">
        <f>IF(BM60&lt;'Other Accts'!BL13,IF(BM60&gt;0,-BM60,BM60),-'Other Accts'!BL13)</f>
        <v>0</v>
      </c>
      <c r="BN35" s="270">
        <f>SUM(BJ35:BM35)</f>
        <v>0</v>
      </c>
      <c r="BO35" s="26">
        <f>IF(BO60&lt;'Other Accts'!BN13,IF(BO60&gt;0,-BO60,BO60),-'Other Accts'!BN13)</f>
        <v>0</v>
      </c>
      <c r="BP35" s="26">
        <f>IF(BP60&lt;'Other Accts'!BO13,IF(BP60&gt;0,-BP60,BP60),-'Other Accts'!BO13)</f>
        <v>0</v>
      </c>
      <c r="BQ35" s="26">
        <f>IF(BQ60&lt;'Other Accts'!BP13,IF(BQ60&gt;0,-BQ60,BQ60),-'Other Accts'!BP13)</f>
        <v>0</v>
      </c>
      <c r="BR35" s="26">
        <f>IF(BR60&lt;'Other Accts'!BQ13,IF(BR60&gt;0,-BR60,BR60),-'Other Accts'!BQ13)</f>
        <v>0</v>
      </c>
      <c r="BS35" s="270">
        <f>SUM(BO35:BR35)</f>
        <v>0</v>
      </c>
      <c r="BT35" s="344">
        <f>IF(BT60&lt;'Other Accts'!BS13,IF(BT60&gt;0,-BT60,BT60),-'Other Accts'!BS13)*0-627.494</f>
        <v>-627.49400000000003</v>
      </c>
      <c r="BU35" s="26">
        <f>IF(BU60&lt;'Other Accts'!BT13,IF(BU60&gt;0,-BU60,BU60),-'Other Accts'!BT13)*0</f>
        <v>0</v>
      </c>
      <c r="BV35" s="26">
        <f>IF(BV60&lt;'Other Accts'!BU13,IF(BV60&gt;0,-BV60,BV60),-'Other Accts'!BU13)*0</f>
        <v>0</v>
      </c>
      <c r="BW35" s="26">
        <f>IF(BW60&lt;'Other Accts'!BV13,IF(BW60&gt;0,-BW60,BW60),-'Other Accts'!BV13)*0</f>
        <v>0</v>
      </c>
      <c r="BX35" s="270">
        <f>SUM(BT35:BW35)</f>
        <v>-627.49400000000003</v>
      </c>
      <c r="BY35" s="26">
        <f>IF(BY60&lt;'Other Accts'!BX13,IF(BY60&gt;0,-BY60,BY60),-'Other Accts'!BX13)</f>
        <v>2.41700000000003</v>
      </c>
      <c r="BZ35" s="26">
        <f>IF(BZ60&lt;'Other Accts'!BY13,IF(BZ60&gt;0,-BZ60,BZ60),-'Other Accts'!BY13)</f>
        <v>0</v>
      </c>
      <c r="CA35" s="26">
        <f>IF(CA60&lt;'Other Accts'!BZ13,IF(CA60&gt;0,-CA60,CA60),-'Other Accts'!BZ13)</f>
        <v>0</v>
      </c>
      <c r="CB35" s="26">
        <f>IF(CB60&lt;'Other Accts'!CA13,IF(CB60&gt;0,-CB60,CB60),-'Other Accts'!CA13)</f>
        <v>0</v>
      </c>
      <c r="CC35" s="270">
        <f>SUM(BY35:CB35)</f>
        <v>2.41700000000003</v>
      </c>
      <c r="CD35" s="26">
        <f>IF(CD60&lt;'Other Accts'!CC13,IF(CD60&gt;0,-CD60,CD60),-'Other Accts'!CC13)*0</f>
        <v>0</v>
      </c>
      <c r="CE35" s="344">
        <v>-390.33899999999801</v>
      </c>
      <c r="CF35" s="26">
        <f>IF(CF60&lt;'Other Accts'!CE13,IF(CF60&gt;0,-CF60,CF60),-'Other Accts'!CE13)</f>
        <v>0</v>
      </c>
      <c r="CG35" s="26">
        <f>IF(CG60&lt;'Other Accts'!CF13,IF(CG60&gt;0,-CG60,CG60),-'Other Accts'!CF13)</f>
        <v>0</v>
      </c>
      <c r="CH35" s="270">
        <f>SUM(CD35:CG35)</f>
        <v>-390.33899999999801</v>
      </c>
      <c r="CI35" s="26">
        <f>IF(CI60&lt;'Other Accts'!CH13,IF(CI60&gt;0,-CI60,CI60),-'Other Accts'!CH13)</f>
        <v>0</v>
      </c>
      <c r="CJ35" s="26">
        <f>IF(CJ60&lt;'Other Accts'!CI13,IF(CJ60&gt;0,-CJ60,CJ60),-'Other Accts'!CI13)</f>
        <v>0</v>
      </c>
      <c r="CK35" s="26">
        <f>IF(CK60&lt;'Other Accts'!CJ13,IF(CK60&gt;0,-CK60,CK60),-'Other Accts'!CJ13)</f>
        <v>0</v>
      </c>
      <c r="CL35" s="26">
        <f>IF(CL60&lt;'Other Accts'!CK13,IF(CL60&gt;0,-CL60,CL60),-'Other Accts'!CK13)</f>
        <v>0</v>
      </c>
      <c r="CM35" s="270">
        <f>SUM(CI35:CL35)</f>
        <v>0</v>
      </c>
    </row>
    <row r="36" spans="1:91" s="16" customFormat="1">
      <c r="A36" s="16" t="s">
        <v>94</v>
      </c>
      <c r="D36" s="26">
        <f>0.669</f>
        <v>0.66900000000000004</v>
      </c>
      <c r="E36" s="26">
        <f t="shared" si="55"/>
        <v>8.3999999999999964E-2</v>
      </c>
      <c r="F36" s="270">
        <f>0.753</f>
        <v>0.753</v>
      </c>
      <c r="G36" s="26">
        <v>1.31</v>
      </c>
      <c r="H36" s="26">
        <f>1.734-G36</f>
        <v>0.42399999999999993</v>
      </c>
      <c r="I36" s="26">
        <f>2.572-H36-G36</f>
        <v>0.83800000000000008</v>
      </c>
      <c r="J36" s="26">
        <f t="shared" si="56"/>
        <v>0.53900000000000015</v>
      </c>
      <c r="K36" s="270">
        <v>3.1110000000000002</v>
      </c>
      <c r="L36" s="26">
        <v>0.53800000000000003</v>
      </c>
      <c r="M36" s="26">
        <f>1.933-L36</f>
        <v>1.395</v>
      </c>
      <c r="N36" s="26">
        <f>5.118-M36-L36</f>
        <v>3.1850000000000005</v>
      </c>
      <c r="O36" s="26">
        <f t="shared" si="57"/>
        <v>1.2769999999999992</v>
      </c>
      <c r="P36" s="270">
        <v>6.3949999999999996</v>
      </c>
      <c r="Q36" s="26">
        <v>0</v>
      </c>
      <c r="R36" s="26">
        <f>3.956-Q36</f>
        <v>3.956</v>
      </c>
      <c r="S36" s="26">
        <f>3.956-R36-Q36</f>
        <v>0</v>
      </c>
      <c r="T36" s="26">
        <f t="shared" si="58"/>
        <v>3.1389999999999998</v>
      </c>
      <c r="U36" s="270">
        <f>7.095</f>
        <v>7.0949999999999998</v>
      </c>
      <c r="V36" s="26">
        <v>0</v>
      </c>
      <c r="W36" s="26">
        <f>5.401-V36</f>
        <v>5.4009999999999998</v>
      </c>
      <c r="X36" s="26">
        <f>5.401-W36-V36</f>
        <v>0</v>
      </c>
      <c r="Y36" s="26">
        <f t="shared" si="59"/>
        <v>4.3520000000000003</v>
      </c>
      <c r="Z36" s="270">
        <v>9.7530000000000001</v>
      </c>
      <c r="AA36" s="26">
        <v>0</v>
      </c>
      <c r="AB36" s="26">
        <f>5.742-AA36</f>
        <v>5.742</v>
      </c>
      <c r="AC36" s="26">
        <f>5.742-AB36-AA36</f>
        <v>0</v>
      </c>
      <c r="AD36" s="26">
        <f t="shared" si="60"/>
        <v>3.5740000000000007</v>
      </c>
      <c r="AE36" s="270">
        <v>9.3160000000000007</v>
      </c>
      <c r="AF36" s="26">
        <v>0</v>
      </c>
      <c r="AG36" s="26">
        <f>6.697-AF36</f>
        <v>6.6970000000000001</v>
      </c>
      <c r="AH36" s="26">
        <f>6.697-AG36-AF36</f>
        <v>0</v>
      </c>
      <c r="AI36" s="26">
        <f t="shared" si="61"/>
        <v>3.4569999999999999</v>
      </c>
      <c r="AJ36" s="270">
        <v>10.154</v>
      </c>
      <c r="AK36" s="26">
        <v>0</v>
      </c>
      <c r="AL36" s="26">
        <f>7.212-AK36</f>
        <v>7.2119999999999997</v>
      </c>
      <c r="AM36" s="26">
        <f>7.212-AL36-AK36</f>
        <v>0</v>
      </c>
      <c r="AN36" s="26">
        <f t="shared" si="62"/>
        <v>4.5069999999999997</v>
      </c>
      <c r="AO36" s="270">
        <v>11.718999999999999</v>
      </c>
      <c r="AP36" s="26">
        <f>0.768-15.497</f>
        <v>-14.728999999999999</v>
      </c>
      <c r="AQ36" s="26">
        <f>2.325+7.68-AP36</f>
        <v>24.733999999999998</v>
      </c>
      <c r="AR36" s="26">
        <f>6.046+7.68-AQ36-AP36</f>
        <v>3.7210000000000001</v>
      </c>
      <c r="AS36" s="26">
        <f>13.585+19.223-AP36-AQ36-AR36</f>
        <v>19.082000000000001</v>
      </c>
      <c r="AT36" s="270">
        <f t="shared" si="63"/>
        <v>32.808</v>
      </c>
      <c r="AU36" s="369">
        <v>0</v>
      </c>
      <c r="AV36" s="27">
        <v>0</v>
      </c>
      <c r="AW36" s="27">
        <v>0</v>
      </c>
      <c r="AX36" s="27">
        <v>0</v>
      </c>
      <c r="AY36" s="270">
        <f>SUM(AU36:AX36)</f>
        <v>0</v>
      </c>
      <c r="AZ36" s="27">
        <v>0</v>
      </c>
      <c r="BA36" s="27">
        <v>0</v>
      </c>
      <c r="BB36" s="27">
        <v>0</v>
      </c>
      <c r="BC36" s="27">
        <v>0</v>
      </c>
      <c r="BD36" s="270">
        <f>SUM(AZ36:BC36)</f>
        <v>0</v>
      </c>
      <c r="BE36" s="27">
        <v>0</v>
      </c>
      <c r="BF36" s="27">
        <v>0</v>
      </c>
      <c r="BG36" s="27">
        <v>0</v>
      </c>
      <c r="BH36" s="27">
        <v>0</v>
      </c>
      <c r="BI36" s="270">
        <f>SUM(BE36:BH36)</f>
        <v>0</v>
      </c>
      <c r="BJ36" s="27">
        <v>0</v>
      </c>
      <c r="BK36" s="27">
        <v>0</v>
      </c>
      <c r="BL36" s="27">
        <v>0</v>
      </c>
      <c r="BM36" s="27">
        <v>0</v>
      </c>
      <c r="BN36" s="270">
        <f>SUM(BJ36:BM36)</f>
        <v>0</v>
      </c>
      <c r="BO36" s="27">
        <v>0</v>
      </c>
      <c r="BP36" s="27">
        <v>0</v>
      </c>
      <c r="BQ36" s="27">
        <v>0</v>
      </c>
      <c r="BR36" s="27">
        <v>0</v>
      </c>
      <c r="BS36" s="270">
        <f>SUM(BO36:BR36)</f>
        <v>0</v>
      </c>
      <c r="BT36" s="27">
        <v>0</v>
      </c>
      <c r="BU36" s="27">
        <v>0</v>
      </c>
      <c r="BV36" s="27">
        <v>0</v>
      </c>
      <c r="BW36" s="27">
        <v>0</v>
      </c>
      <c r="BX36" s="270">
        <f>SUM(BT36:BW36)</f>
        <v>0</v>
      </c>
      <c r="BY36" s="27">
        <v>0</v>
      </c>
      <c r="BZ36" s="27">
        <v>0</v>
      </c>
      <c r="CA36" s="27">
        <v>0</v>
      </c>
      <c r="CB36" s="27">
        <v>0</v>
      </c>
      <c r="CC36" s="270">
        <f>SUM(BY36:CB36)</f>
        <v>0</v>
      </c>
      <c r="CD36" s="27">
        <v>0</v>
      </c>
      <c r="CE36" s="27">
        <v>0</v>
      </c>
      <c r="CF36" s="27">
        <v>0</v>
      </c>
      <c r="CG36" s="27">
        <v>0</v>
      </c>
      <c r="CH36" s="270">
        <f>SUM(CD36:CG36)</f>
        <v>0</v>
      </c>
      <c r="CI36" s="27">
        <v>0</v>
      </c>
      <c r="CJ36" s="27">
        <v>0</v>
      </c>
      <c r="CK36" s="27">
        <v>0</v>
      </c>
      <c r="CL36" s="27">
        <v>0</v>
      </c>
      <c r="CM36" s="270">
        <f>SUM(CI36:CL36)</f>
        <v>0</v>
      </c>
    </row>
    <row r="37" spans="1:91" s="16" customFormat="1">
      <c r="A37" s="16" t="s">
        <v>95</v>
      </c>
      <c r="D37" s="26">
        <f>-5.335-7.222</f>
        <v>-12.557</v>
      </c>
      <c r="E37" s="26">
        <f t="shared" si="55"/>
        <v>0</v>
      </c>
      <c r="F37" s="270">
        <f>-5.335-7.222</f>
        <v>-12.557</v>
      </c>
      <c r="G37" s="26">
        <v>0</v>
      </c>
      <c r="H37" s="26">
        <f>-0.172-G37</f>
        <v>-0.17199999999999999</v>
      </c>
      <c r="I37" s="26">
        <f>-0.172-H37-G37</f>
        <v>0</v>
      </c>
      <c r="J37" s="26">
        <f t="shared" si="56"/>
        <v>0</v>
      </c>
      <c r="K37" s="270">
        <v>-0.17199999999999999</v>
      </c>
      <c r="L37" s="26">
        <v>0</v>
      </c>
      <c r="M37" s="26">
        <f>0-L37</f>
        <v>0</v>
      </c>
      <c r="N37" s="26">
        <f>0-M37-L37</f>
        <v>0</v>
      </c>
      <c r="O37" s="26">
        <f t="shared" si="57"/>
        <v>0</v>
      </c>
      <c r="P37" s="270">
        <v>0</v>
      </c>
      <c r="Q37" s="26">
        <v>0</v>
      </c>
      <c r="R37" s="26">
        <f>0-Q37</f>
        <v>0</v>
      </c>
      <c r="S37" s="26">
        <f>0-R37-Q37</f>
        <v>0</v>
      </c>
      <c r="T37" s="26">
        <f t="shared" si="58"/>
        <v>0</v>
      </c>
      <c r="U37" s="270">
        <v>0</v>
      </c>
      <c r="V37" s="26">
        <v>0</v>
      </c>
      <c r="W37" s="26">
        <f>0-V37</f>
        <v>0</v>
      </c>
      <c r="X37" s="26">
        <f>0-W37-V37</f>
        <v>0</v>
      </c>
      <c r="Y37" s="26">
        <f t="shared" si="59"/>
        <v>0</v>
      </c>
      <c r="Z37" s="270">
        <v>0</v>
      </c>
      <c r="AA37" s="26">
        <v>0</v>
      </c>
      <c r="AB37" s="26">
        <f>0-AA37</f>
        <v>0</v>
      </c>
      <c r="AC37" s="26">
        <f>0-AB37-AA37</f>
        <v>0</v>
      </c>
      <c r="AD37" s="26">
        <f t="shared" si="60"/>
        <v>0</v>
      </c>
      <c r="AE37" s="270">
        <v>0</v>
      </c>
      <c r="AF37" s="26">
        <v>0</v>
      </c>
      <c r="AG37" s="26">
        <f>0-AF37</f>
        <v>0</v>
      </c>
      <c r="AH37" s="26">
        <f>0-AG37-AF37</f>
        <v>0</v>
      </c>
      <c r="AI37" s="26">
        <f t="shared" si="61"/>
        <v>0</v>
      </c>
      <c r="AJ37" s="270">
        <v>0</v>
      </c>
      <c r="AK37" s="26">
        <v>0</v>
      </c>
      <c r="AL37" s="26">
        <f>0-AK37</f>
        <v>0</v>
      </c>
      <c r="AM37" s="26">
        <f>0-AL37-AK37</f>
        <v>0</v>
      </c>
      <c r="AN37" s="26">
        <f t="shared" si="62"/>
        <v>0</v>
      </c>
      <c r="AO37" s="270">
        <v>0</v>
      </c>
      <c r="AP37" s="26">
        <v>-45.01</v>
      </c>
      <c r="AQ37" s="26">
        <f>-45.01-AP37</f>
        <v>0</v>
      </c>
      <c r="AR37" s="26">
        <f>-45.01-AQ37-AP37</f>
        <v>0</v>
      </c>
      <c r="AS37" s="26">
        <f>-45.01+87.872-AP37-AQ37-AR37</f>
        <v>87.872</v>
      </c>
      <c r="AT37" s="270">
        <f t="shared" si="63"/>
        <v>42.862000000000002</v>
      </c>
      <c r="AU37" s="369">
        <v>0</v>
      </c>
      <c r="AV37" s="27">
        <v>0</v>
      </c>
      <c r="AW37" s="27">
        <v>0</v>
      </c>
      <c r="AX37" s="27">
        <v>0</v>
      </c>
      <c r="AY37" s="270">
        <f t="shared" ref="AY37:AY38" si="64">SUM(AU37:AX37)</f>
        <v>0</v>
      </c>
      <c r="AZ37" s="27">
        <v>0</v>
      </c>
      <c r="BA37" s="27">
        <v>0</v>
      </c>
      <c r="BB37" s="27">
        <v>0</v>
      </c>
      <c r="BC37" s="27">
        <v>0</v>
      </c>
      <c r="BD37" s="270">
        <f t="shared" ref="BD37:BD38" si="65">SUM(AZ37:BC37)</f>
        <v>0</v>
      </c>
      <c r="BE37" s="27">
        <v>0</v>
      </c>
      <c r="BF37" s="27">
        <v>0</v>
      </c>
      <c r="BG37" s="27">
        <v>0</v>
      </c>
      <c r="BH37" s="27">
        <v>0</v>
      </c>
      <c r="BI37" s="270">
        <f t="shared" ref="BI37:BI38" si="66">SUM(BE37:BH37)</f>
        <v>0</v>
      </c>
      <c r="BJ37" s="27">
        <v>0</v>
      </c>
      <c r="BK37" s="27">
        <v>0</v>
      </c>
      <c r="BL37" s="27">
        <v>0</v>
      </c>
      <c r="BM37" s="27">
        <v>0</v>
      </c>
      <c r="BN37" s="270">
        <f t="shared" ref="BN37:BN38" si="67">SUM(BJ37:BM37)</f>
        <v>0</v>
      </c>
      <c r="BO37" s="27">
        <v>0</v>
      </c>
      <c r="BP37" s="27">
        <v>0</v>
      </c>
      <c r="BQ37" s="27">
        <v>0</v>
      </c>
      <c r="BR37" s="27">
        <v>0</v>
      </c>
      <c r="BS37" s="270">
        <f t="shared" ref="BS37:BS38" si="68">SUM(BO37:BR37)</f>
        <v>0</v>
      </c>
      <c r="BT37" s="27">
        <v>0</v>
      </c>
      <c r="BU37" s="27">
        <v>0</v>
      </c>
      <c r="BV37" s="27">
        <v>0</v>
      </c>
      <c r="BW37" s="27">
        <v>0</v>
      </c>
      <c r="BX37" s="270">
        <f t="shared" ref="BX37:BX38" si="69">SUM(BT37:BW37)</f>
        <v>0</v>
      </c>
      <c r="BY37" s="27">
        <v>0</v>
      </c>
      <c r="BZ37" s="27">
        <v>0</v>
      </c>
      <c r="CA37" s="27">
        <v>0</v>
      </c>
      <c r="CB37" s="27">
        <v>0</v>
      </c>
      <c r="CC37" s="270">
        <f t="shared" ref="CC37:CC38" si="70">SUM(BY37:CB37)</f>
        <v>0</v>
      </c>
      <c r="CD37" s="27">
        <v>0</v>
      </c>
      <c r="CE37" s="27">
        <v>0</v>
      </c>
      <c r="CF37" s="27">
        <v>0</v>
      </c>
      <c r="CG37" s="27">
        <v>0</v>
      </c>
      <c r="CH37" s="270">
        <f t="shared" ref="CH37:CH38" si="71">SUM(CD37:CG37)</f>
        <v>0</v>
      </c>
      <c r="CI37" s="27">
        <v>0</v>
      </c>
      <c r="CJ37" s="27">
        <v>0</v>
      </c>
      <c r="CK37" s="27">
        <v>0</v>
      </c>
      <c r="CL37" s="27">
        <v>0</v>
      </c>
      <c r="CM37" s="270">
        <f t="shared" ref="CM37:CM38" si="72">SUM(CI37:CL37)</f>
        <v>0</v>
      </c>
    </row>
    <row r="38" spans="1:91" s="16" customFormat="1">
      <c r="A38" s="16" t="s">
        <v>96</v>
      </c>
      <c r="D38" s="26">
        <v>0</v>
      </c>
      <c r="E38" s="26">
        <f t="shared" si="55"/>
        <v>0</v>
      </c>
      <c r="F38" s="270">
        <v>0</v>
      </c>
      <c r="G38" s="26">
        <v>0</v>
      </c>
      <c r="H38" s="26">
        <f>0-G38</f>
        <v>0</v>
      </c>
      <c r="I38" s="26">
        <f>0-H38-G38</f>
        <v>0</v>
      </c>
      <c r="J38" s="26">
        <f t="shared" si="56"/>
        <v>0</v>
      </c>
      <c r="K38" s="270">
        <v>0</v>
      </c>
      <c r="L38" s="26">
        <v>0</v>
      </c>
      <c r="M38" s="26">
        <f>0-L38</f>
        <v>0</v>
      </c>
      <c r="N38" s="26">
        <f>0-M38-L38</f>
        <v>0</v>
      </c>
      <c r="O38" s="26">
        <f t="shared" si="57"/>
        <v>0</v>
      </c>
      <c r="P38" s="270">
        <v>0</v>
      </c>
      <c r="Q38" s="26">
        <v>0</v>
      </c>
      <c r="R38" s="26">
        <f>0-Q38</f>
        <v>0</v>
      </c>
      <c r="S38" s="26">
        <f>0-R38-Q38</f>
        <v>0</v>
      </c>
      <c r="T38" s="26">
        <f t="shared" si="58"/>
        <v>0</v>
      </c>
      <c r="U38" s="270">
        <v>0</v>
      </c>
      <c r="V38" s="26">
        <v>0</v>
      </c>
      <c r="W38" s="26">
        <f>0-V38</f>
        <v>0</v>
      </c>
      <c r="X38" s="26">
        <f>0-W38-V38</f>
        <v>0</v>
      </c>
      <c r="Y38" s="26">
        <f t="shared" si="59"/>
        <v>0</v>
      </c>
      <c r="Z38" s="270">
        <v>0</v>
      </c>
      <c r="AA38" s="26">
        <v>0</v>
      </c>
      <c r="AB38" s="26">
        <f>0-AA38</f>
        <v>0</v>
      </c>
      <c r="AC38" s="26">
        <f>0-AB38-AA38</f>
        <v>0</v>
      </c>
      <c r="AD38" s="26">
        <f t="shared" si="60"/>
        <v>0</v>
      </c>
      <c r="AE38" s="270">
        <v>0</v>
      </c>
      <c r="AF38" s="26">
        <v>0</v>
      </c>
      <c r="AG38" s="26">
        <f>0-AF38</f>
        <v>0</v>
      </c>
      <c r="AH38" s="26">
        <f>0-AG38-AF38</f>
        <v>0</v>
      </c>
      <c r="AI38" s="26">
        <f t="shared" si="61"/>
        <v>0</v>
      </c>
      <c r="AJ38" s="270">
        <v>0</v>
      </c>
      <c r="AK38" s="26">
        <v>0</v>
      </c>
      <c r="AL38" s="26">
        <f>0-AK38</f>
        <v>0</v>
      </c>
      <c r="AM38" s="26">
        <f>0-AL38-AK38</f>
        <v>0</v>
      </c>
      <c r="AN38" s="26">
        <f t="shared" si="62"/>
        <v>0</v>
      </c>
      <c r="AO38" s="270">
        <v>0</v>
      </c>
      <c r="AP38" s="26">
        <v>0</v>
      </c>
      <c r="AQ38" s="26">
        <f>0-AP38</f>
        <v>0</v>
      </c>
      <c r="AR38" s="26">
        <f>0-AQ38-AP38</f>
        <v>0</v>
      </c>
      <c r="AS38" s="26">
        <f>0-AP38-AQ38-AR38</f>
        <v>0</v>
      </c>
      <c r="AT38" s="270">
        <f t="shared" si="63"/>
        <v>0</v>
      </c>
      <c r="AU38" s="370">
        <v>0</v>
      </c>
      <c r="AV38" s="340">
        <v>0</v>
      </c>
      <c r="AW38" s="340">
        <v>0</v>
      </c>
      <c r="AX38" s="340">
        <v>0</v>
      </c>
      <c r="AY38" s="270">
        <f t="shared" si="64"/>
        <v>0</v>
      </c>
      <c r="AZ38" s="340">
        <v>0</v>
      </c>
      <c r="BA38" s="340">
        <v>0</v>
      </c>
      <c r="BB38" s="340">
        <v>0</v>
      </c>
      <c r="BC38" s="340">
        <v>0</v>
      </c>
      <c r="BD38" s="270">
        <f t="shared" si="65"/>
        <v>0</v>
      </c>
      <c r="BE38" s="340">
        <v>0</v>
      </c>
      <c r="BF38" s="340">
        <v>0</v>
      </c>
      <c r="BG38" s="340">
        <v>0</v>
      </c>
      <c r="BH38" s="340">
        <v>0</v>
      </c>
      <c r="BI38" s="270">
        <f t="shared" si="66"/>
        <v>0</v>
      </c>
      <c r="BJ38" s="340">
        <v>0</v>
      </c>
      <c r="BK38" s="340">
        <v>0</v>
      </c>
      <c r="BL38" s="340">
        <v>0</v>
      </c>
      <c r="BM38" s="340">
        <v>0</v>
      </c>
      <c r="BN38" s="270">
        <f t="shared" si="67"/>
        <v>0</v>
      </c>
      <c r="BO38" s="340">
        <v>0</v>
      </c>
      <c r="BP38" s="340">
        <v>0</v>
      </c>
      <c r="BQ38" s="340">
        <v>0</v>
      </c>
      <c r="BR38" s="340">
        <v>0</v>
      </c>
      <c r="BS38" s="270">
        <f t="shared" si="68"/>
        <v>0</v>
      </c>
      <c r="BT38" s="340">
        <v>0</v>
      </c>
      <c r="BU38" s="340">
        <v>0</v>
      </c>
      <c r="BV38" s="340">
        <v>0</v>
      </c>
      <c r="BW38" s="340">
        <v>0</v>
      </c>
      <c r="BX38" s="270">
        <f t="shared" si="69"/>
        <v>0</v>
      </c>
      <c r="BY38" s="340">
        <v>0</v>
      </c>
      <c r="BZ38" s="340">
        <v>0</v>
      </c>
      <c r="CA38" s="340">
        <v>0</v>
      </c>
      <c r="CB38" s="340">
        <v>0</v>
      </c>
      <c r="CC38" s="270">
        <f t="shared" si="70"/>
        <v>0</v>
      </c>
      <c r="CD38" s="340">
        <v>0</v>
      </c>
      <c r="CE38" s="340">
        <v>0</v>
      </c>
      <c r="CF38" s="340">
        <v>0</v>
      </c>
      <c r="CG38" s="340">
        <v>0</v>
      </c>
      <c r="CH38" s="270">
        <f t="shared" si="71"/>
        <v>0</v>
      </c>
      <c r="CI38" s="340">
        <v>0</v>
      </c>
      <c r="CJ38" s="340">
        <v>0</v>
      </c>
      <c r="CK38" s="340">
        <v>0</v>
      </c>
      <c r="CL38" s="340">
        <v>0</v>
      </c>
      <c r="CM38" s="270">
        <f t="shared" si="72"/>
        <v>0</v>
      </c>
    </row>
    <row r="39" spans="1:91" s="16" customFormat="1">
      <c r="A39" s="16" t="s">
        <v>174</v>
      </c>
      <c r="D39" s="26">
        <v>0</v>
      </c>
      <c r="E39" s="26">
        <f t="shared" si="55"/>
        <v>0</v>
      </c>
      <c r="F39" s="270">
        <v>0</v>
      </c>
      <c r="G39" s="26">
        <v>0</v>
      </c>
      <c r="H39" s="26">
        <f>0-G39</f>
        <v>0</v>
      </c>
      <c r="I39" s="26">
        <f>0-H39-G39</f>
        <v>0</v>
      </c>
      <c r="J39" s="26">
        <f t="shared" si="56"/>
        <v>0</v>
      </c>
      <c r="K39" s="270">
        <v>0</v>
      </c>
      <c r="L39" s="26">
        <v>0</v>
      </c>
      <c r="M39" s="26">
        <f>0-L39</f>
        <v>0</v>
      </c>
      <c r="N39" s="26">
        <f>0-M39-L39</f>
        <v>0</v>
      </c>
      <c r="O39" s="26">
        <f t="shared" si="57"/>
        <v>0</v>
      </c>
      <c r="P39" s="270">
        <v>0</v>
      </c>
      <c r="Q39" s="26">
        <v>0</v>
      </c>
      <c r="R39" s="26">
        <f>0-Q39</f>
        <v>0</v>
      </c>
      <c r="S39" s="26">
        <f>0-R39-Q39</f>
        <v>0</v>
      </c>
      <c r="T39" s="26">
        <f t="shared" si="58"/>
        <v>0</v>
      </c>
      <c r="U39" s="270">
        <v>0</v>
      </c>
      <c r="V39" s="26">
        <v>0</v>
      </c>
      <c r="W39" s="26">
        <f>0-V39</f>
        <v>0</v>
      </c>
      <c r="X39" s="26">
        <f>0-W39-V39</f>
        <v>0</v>
      </c>
      <c r="Y39" s="26">
        <f t="shared" si="59"/>
        <v>0</v>
      </c>
      <c r="Z39" s="270">
        <v>0</v>
      </c>
      <c r="AA39" s="26">
        <v>0</v>
      </c>
      <c r="AB39" s="26">
        <f>0-AA39</f>
        <v>0</v>
      </c>
      <c r="AC39" s="26">
        <f>0-AB39-AA39</f>
        <v>0</v>
      </c>
      <c r="AD39" s="26">
        <f t="shared" si="60"/>
        <v>0</v>
      </c>
      <c r="AE39" s="270">
        <v>0</v>
      </c>
      <c r="AF39" s="26">
        <v>0</v>
      </c>
      <c r="AG39" s="26">
        <f>0-AF39</f>
        <v>0</v>
      </c>
      <c r="AH39" s="26">
        <f>0-AG39-AF39</f>
        <v>0</v>
      </c>
      <c r="AI39" s="26">
        <f t="shared" si="61"/>
        <v>0</v>
      </c>
      <c r="AJ39" s="270">
        <v>0</v>
      </c>
      <c r="AK39" s="26">
        <v>0</v>
      </c>
      <c r="AL39" s="26">
        <f>0-AK39</f>
        <v>0</v>
      </c>
      <c r="AM39" s="26">
        <f>0-AL39-AK39</f>
        <v>0</v>
      </c>
      <c r="AN39" s="26">
        <f t="shared" si="62"/>
        <v>0</v>
      </c>
      <c r="AO39" s="270">
        <v>0</v>
      </c>
      <c r="AP39" s="26">
        <v>0</v>
      </c>
      <c r="AQ39" s="26">
        <f>0-AP39</f>
        <v>0</v>
      </c>
      <c r="AR39" s="26">
        <f>0-AQ39-AP39</f>
        <v>0</v>
      </c>
      <c r="AS39" s="26">
        <f>0-AP39-AQ39-AR39</f>
        <v>0</v>
      </c>
      <c r="AT39" s="270">
        <f t="shared" si="63"/>
        <v>0</v>
      </c>
      <c r="AU39" s="355">
        <f>-AU15</f>
        <v>0</v>
      </c>
      <c r="AV39" s="26">
        <f>-AV15</f>
        <v>0</v>
      </c>
      <c r="AW39" s="26">
        <f>-AW15</f>
        <v>0</v>
      </c>
      <c r="AX39" s="26">
        <f>-AX15</f>
        <v>0</v>
      </c>
      <c r="AY39" s="270">
        <f>SUM(AU39:AX39)</f>
        <v>0</v>
      </c>
      <c r="AZ39" s="26">
        <f>-AZ15</f>
        <v>0</v>
      </c>
      <c r="BA39" s="26">
        <f>-BA15</f>
        <v>0</v>
      </c>
      <c r="BB39" s="26">
        <f>-BB15</f>
        <v>0</v>
      </c>
      <c r="BC39" s="26">
        <f>-BC15</f>
        <v>0</v>
      </c>
      <c r="BD39" s="270">
        <f>SUM(AZ39:BC39)</f>
        <v>0</v>
      </c>
      <c r="BE39" s="26">
        <f>-BE15</f>
        <v>0</v>
      </c>
      <c r="BF39" s="26">
        <f>-BF15</f>
        <v>0</v>
      </c>
      <c r="BG39" s="26">
        <f>-BG15</f>
        <v>0</v>
      </c>
      <c r="BH39" s="26">
        <f>-BH15</f>
        <v>0</v>
      </c>
      <c r="BI39" s="270">
        <f>SUM(BE39:BH39)</f>
        <v>0</v>
      </c>
      <c r="BJ39" s="26">
        <f>-BJ15</f>
        <v>0</v>
      </c>
      <c r="BK39" s="26">
        <f>-BK15</f>
        <v>0</v>
      </c>
      <c r="BL39" s="26">
        <f>-BL15</f>
        <v>0</v>
      </c>
      <c r="BM39" s="26">
        <f>-BM15</f>
        <v>0</v>
      </c>
      <c r="BN39" s="270">
        <f>SUM(BJ39:BM39)</f>
        <v>0</v>
      </c>
      <c r="BO39" s="26">
        <f>-BO15</f>
        <v>0</v>
      </c>
      <c r="BP39" s="26">
        <f>-BP15</f>
        <v>0</v>
      </c>
      <c r="BQ39" s="26">
        <f>-BQ15</f>
        <v>0</v>
      </c>
      <c r="BR39" s="26">
        <f>-BR15</f>
        <v>0</v>
      </c>
      <c r="BS39" s="270">
        <f>SUM(BO39:BR39)</f>
        <v>0</v>
      </c>
      <c r="BT39" s="26">
        <f>-BT15</f>
        <v>0</v>
      </c>
      <c r="BU39" s="26">
        <f>-BU15</f>
        <v>0</v>
      </c>
      <c r="BV39" s="26">
        <f>-BV15</f>
        <v>0</v>
      </c>
      <c r="BW39" s="26">
        <f>-BW15</f>
        <v>0</v>
      </c>
      <c r="BX39" s="270">
        <f>SUM(BT39:BW39)</f>
        <v>0</v>
      </c>
      <c r="BY39" s="26">
        <f>-BY15</f>
        <v>0</v>
      </c>
      <c r="BZ39" s="26">
        <f>-BZ15</f>
        <v>0</v>
      </c>
      <c r="CA39" s="26">
        <f>-CA15</f>
        <v>0</v>
      </c>
      <c r="CB39" s="26">
        <f>-CB15</f>
        <v>0</v>
      </c>
      <c r="CC39" s="270">
        <f>SUM(BY39:CB39)</f>
        <v>0</v>
      </c>
      <c r="CD39" s="26">
        <f>-CD15</f>
        <v>0</v>
      </c>
      <c r="CE39" s="26">
        <f>-CE15</f>
        <v>0</v>
      </c>
      <c r="CF39" s="26">
        <f>-CF15</f>
        <v>0</v>
      </c>
      <c r="CG39" s="26">
        <f>-CG15</f>
        <v>0</v>
      </c>
      <c r="CH39" s="270">
        <f>SUM(CD39:CG39)</f>
        <v>0</v>
      </c>
      <c r="CI39" s="26">
        <f>-CI15</f>
        <v>0</v>
      </c>
      <c r="CJ39" s="26">
        <f>-CJ15</f>
        <v>0</v>
      </c>
      <c r="CK39" s="26">
        <f>-CK15</f>
        <v>0</v>
      </c>
      <c r="CL39" s="26">
        <f>-CL15</f>
        <v>0</v>
      </c>
      <c r="CM39" s="270">
        <f>SUM(CI39:CL39)</f>
        <v>0</v>
      </c>
    </row>
    <row r="40" spans="1:91" s="16" customFormat="1">
      <c r="A40" s="16" t="s">
        <v>19</v>
      </c>
      <c r="D40" s="26">
        <f>-0.199+319.536+0.007</f>
        <v>319.34399999999999</v>
      </c>
      <c r="E40" s="26">
        <f t="shared" si="55"/>
        <v>-4.0000000000020464E-2</v>
      </c>
      <c r="F40" s="270">
        <f>-0.244+319.536+0.012</f>
        <v>319.30399999999997</v>
      </c>
      <c r="G40" s="26">
        <f>-0.047+0.004</f>
        <v>-4.2999999999999997E-2</v>
      </c>
      <c r="H40" s="26">
        <f>-0.399+0.006-0.168+41-G40</f>
        <v>40.481999999999999</v>
      </c>
      <c r="I40" s="26">
        <f>-0.42+0.038-0.221+41-H40-G40</f>
        <v>-4.2000000000000856E-2</v>
      </c>
      <c r="J40" s="26">
        <f t="shared" si="56"/>
        <v>249.82499999999999</v>
      </c>
      <c r="K40" s="270">
        <f>-0.443+0.045+254.006-4.386+41</f>
        <v>290.22199999999998</v>
      </c>
      <c r="L40" s="26">
        <f>1.933-0.089-0.073-0.021</f>
        <v>1.7500000000000002</v>
      </c>
      <c r="M40" s="26">
        <f>-0.062+5.53-0.151+350.432-0.326-L40</f>
        <v>353.673</v>
      </c>
      <c r="N40" s="26">
        <f>-0.228-0.079+9.795+350.432-0.811-M40-L40</f>
        <v>3.6860000000000355</v>
      </c>
      <c r="O40" s="26">
        <f t="shared" si="57"/>
        <v>2.11099999999999</v>
      </c>
      <c r="P40" s="270">
        <f>-0.128+11.639+350.432-0.723</f>
        <v>361.22</v>
      </c>
      <c r="Q40" s="26">
        <f>1.504-0.038</f>
        <v>1.466</v>
      </c>
      <c r="R40" s="26">
        <f>-0.079+3.548+355.73-0.369-Q40</f>
        <v>357.36399999999998</v>
      </c>
      <c r="S40" s="26">
        <f>-0.125+7.399-2.247+355.73-1.13-R40-Q40</f>
        <v>0.79700000000003368</v>
      </c>
      <c r="T40" s="26">
        <f t="shared" si="58"/>
        <v>-89.16500000000002</v>
      </c>
      <c r="U40" s="270">
        <f>-0.174+9.528-3.447+355.73-1.13-90.045</f>
        <v>270.46199999999999</v>
      </c>
      <c r="V40" s="26">
        <f>-0.784-0.055+4.462-73.576</f>
        <v>-69.952999999999989</v>
      </c>
      <c r="W40" s="26">
        <f>-0.091+5.388-74.958-0.784-V40</f>
        <v>-0.49200000000001864</v>
      </c>
      <c r="X40" s="26">
        <f>-0.129+7.065-82.157-0.784-W40-V40</f>
        <v>-5.5600000000000023</v>
      </c>
      <c r="Y40" s="26">
        <f t="shared" si="59"/>
        <v>-0.57200000000000273</v>
      </c>
      <c r="Z40" s="270">
        <f>-0.146+8.112-83.759-0.784</f>
        <v>-76.577000000000012</v>
      </c>
      <c r="AA40" s="26">
        <f>-0.018+0.963-0.957</f>
        <v>-1.2000000000000011E-2</v>
      </c>
      <c r="AB40" s="26">
        <f>2.158-2.179-0.035-177.785-AA40</f>
        <v>-177.82900000000001</v>
      </c>
      <c r="AC40" s="26">
        <f>-0.053+2.505-6.519-177.785-14.236-1.065-AB40-AA40</f>
        <v>-19.311999999999983</v>
      </c>
      <c r="AD40" s="26">
        <f t="shared" si="60"/>
        <v>-1.2560000000000286</v>
      </c>
      <c r="AE40" s="270">
        <f>2.625-7.878-177.785-14.235-0.071-1.065</f>
        <v>-198.40900000000002</v>
      </c>
      <c r="AF40" s="26">
        <f>-0.018+0.157-0.993</f>
        <v>-0.85399999999999998</v>
      </c>
      <c r="AG40" s="26">
        <f>-0.037+0.22-5.109+402.5-21.271-AF40</f>
        <v>377.15699999999998</v>
      </c>
      <c r="AH40" s="26">
        <f>0.29-8.112+402.5-20.478+5.91-AG40-AF40</f>
        <v>3.8070000000000315</v>
      </c>
      <c r="AI40" s="26">
        <f t="shared" si="61"/>
        <v>87.11099999999999</v>
      </c>
      <c r="AJ40" s="270">
        <f>-11.197+0.405+493.116-21.131+6.028</f>
        <v>467.221</v>
      </c>
      <c r="AK40" s="26">
        <f>0.213-1.544+0.257</f>
        <v>-1.0739999999999998</v>
      </c>
      <c r="AL40" s="26">
        <f>2.577-4.784-0.181-AK40</f>
        <v>-1.3140000000000001</v>
      </c>
      <c r="AM40" s="26">
        <f>2.597-7.658-0.212-AL40-AK40</f>
        <v>-2.8849999999999998</v>
      </c>
      <c r="AN40" s="26">
        <f t="shared" si="62"/>
        <v>-7.4420000000000002</v>
      </c>
      <c r="AO40" s="270">
        <f>3.119-15.681-0.153</f>
        <v>-12.715</v>
      </c>
      <c r="AP40" s="26">
        <f>5.03-0.003-12.138</f>
        <v>-7.1109999999999998</v>
      </c>
      <c r="AQ40" s="26">
        <f>-22.918-12.289+5.03-0.044-AP40</f>
        <v>-23.11</v>
      </c>
      <c r="AR40" s="26">
        <f>-25.183+5.03+2.831-12.289-AQ40-AP40</f>
        <v>0.6100000000000021</v>
      </c>
      <c r="AS40" s="26">
        <f>-30.535+257.128-17.668-24.588+5.03+3.596-AP40-AQ40-AR40</f>
        <v>222.57399999999996</v>
      </c>
      <c r="AT40" s="270">
        <f t="shared" si="63"/>
        <v>192.96299999999997</v>
      </c>
      <c r="AU40" s="369">
        <v>0</v>
      </c>
      <c r="AV40" s="27">
        <v>0</v>
      </c>
      <c r="AW40" s="27">
        <v>0</v>
      </c>
      <c r="AX40" s="27">
        <v>0</v>
      </c>
      <c r="AY40" s="270">
        <f>SUM(AU40:AX40)</f>
        <v>0</v>
      </c>
      <c r="AZ40" s="27">
        <v>0</v>
      </c>
      <c r="BA40" s="27">
        <v>0</v>
      </c>
      <c r="BB40" s="27">
        <v>0</v>
      </c>
      <c r="BC40" s="27">
        <v>0</v>
      </c>
      <c r="BD40" s="270">
        <f>SUM(AZ40:BC40)</f>
        <v>0</v>
      </c>
      <c r="BE40" s="27">
        <v>0</v>
      </c>
      <c r="BF40" s="27">
        <v>0</v>
      </c>
      <c r="BG40" s="27">
        <v>0</v>
      </c>
      <c r="BH40" s="27">
        <v>0</v>
      </c>
      <c r="BI40" s="270">
        <f>SUM(BE40:BH40)</f>
        <v>0</v>
      </c>
      <c r="BJ40" s="27">
        <v>0</v>
      </c>
      <c r="BK40" s="27">
        <v>0</v>
      </c>
      <c r="BL40" s="27">
        <v>0</v>
      </c>
      <c r="BM40" s="27">
        <v>0</v>
      </c>
      <c r="BN40" s="270">
        <f>SUM(BJ40:BM40)</f>
        <v>0</v>
      </c>
      <c r="BO40" s="27">
        <v>0</v>
      </c>
      <c r="BP40" s="27">
        <v>0</v>
      </c>
      <c r="BQ40" s="27">
        <v>0</v>
      </c>
      <c r="BR40" s="27">
        <v>0</v>
      </c>
      <c r="BS40" s="270">
        <f>SUM(BO40:BR40)</f>
        <v>0</v>
      </c>
      <c r="BT40" s="27">
        <v>0</v>
      </c>
      <c r="BU40" s="27">
        <v>0</v>
      </c>
      <c r="BV40" s="27">
        <v>0</v>
      </c>
      <c r="BW40" s="27">
        <v>0</v>
      </c>
      <c r="BX40" s="270">
        <f>SUM(BT40:BW40)</f>
        <v>0</v>
      </c>
      <c r="BY40" s="27">
        <v>0</v>
      </c>
      <c r="BZ40" s="27">
        <v>0</v>
      </c>
      <c r="CA40" s="27">
        <v>0</v>
      </c>
      <c r="CB40" s="27">
        <v>0</v>
      </c>
      <c r="CC40" s="270">
        <f>SUM(BY40:CB40)</f>
        <v>0</v>
      </c>
      <c r="CD40" s="27">
        <v>0</v>
      </c>
      <c r="CE40" s="27">
        <v>0</v>
      </c>
      <c r="CF40" s="27">
        <v>0</v>
      </c>
      <c r="CG40" s="27">
        <v>0</v>
      </c>
      <c r="CH40" s="270">
        <f>SUM(CD40:CG40)</f>
        <v>0</v>
      </c>
      <c r="CI40" s="27">
        <v>0</v>
      </c>
      <c r="CJ40" s="27">
        <v>0</v>
      </c>
      <c r="CK40" s="27">
        <v>0</v>
      </c>
      <c r="CL40" s="27">
        <v>0</v>
      </c>
      <c r="CM40" s="270">
        <f>SUM(CI40:CL40)</f>
        <v>0</v>
      </c>
    </row>
    <row r="41" spans="1:91" s="15" customFormat="1">
      <c r="A41" s="15" t="s">
        <v>97</v>
      </c>
      <c r="D41" s="170">
        <f t="shared" ref="D41:AS41" si="73">SUM(D35:D40)</f>
        <v>281.61199999999997</v>
      </c>
      <c r="E41" s="170">
        <f t="shared" si="73"/>
        <v>4.39999999999795E-2</v>
      </c>
      <c r="F41" s="253">
        <f t="shared" si="73"/>
        <v>281.65599999999995</v>
      </c>
      <c r="G41" s="170">
        <f t="shared" si="73"/>
        <v>1.2670000000000001</v>
      </c>
      <c r="H41" s="170">
        <f t="shared" si="73"/>
        <v>40.734000000000002</v>
      </c>
      <c r="I41" s="170">
        <f t="shared" si="73"/>
        <v>0.79599999999999926</v>
      </c>
      <c r="J41" s="170">
        <f t="shared" si="73"/>
        <v>250.36399999999998</v>
      </c>
      <c r="K41" s="253">
        <f t="shared" si="73"/>
        <v>293.161</v>
      </c>
      <c r="L41" s="170">
        <f t="shared" si="73"/>
        <v>2.2880000000000003</v>
      </c>
      <c r="M41" s="170">
        <f t="shared" si="73"/>
        <v>355.06799999999998</v>
      </c>
      <c r="N41" s="170">
        <f t="shared" si="73"/>
        <v>6.871000000000036</v>
      </c>
      <c r="O41" s="170">
        <f t="shared" si="73"/>
        <v>3.0769999999999893</v>
      </c>
      <c r="P41" s="253">
        <f t="shared" si="73"/>
        <v>367.30400000000003</v>
      </c>
      <c r="Q41" s="170">
        <f t="shared" si="73"/>
        <v>1.466</v>
      </c>
      <c r="R41" s="170">
        <f t="shared" si="73"/>
        <v>361.32</v>
      </c>
      <c r="S41" s="170">
        <f t="shared" si="73"/>
        <v>0.79700000000003368</v>
      </c>
      <c r="T41" s="170">
        <f t="shared" si="73"/>
        <v>1046.7239999999999</v>
      </c>
      <c r="U41" s="253">
        <f t="shared" si="73"/>
        <v>1410.307</v>
      </c>
      <c r="V41" s="170">
        <f t="shared" si="73"/>
        <v>-69.952999999999989</v>
      </c>
      <c r="W41" s="170">
        <f t="shared" si="73"/>
        <v>4.9089999999999812</v>
      </c>
      <c r="X41" s="170">
        <f t="shared" si="73"/>
        <v>-5.5600000000000023</v>
      </c>
      <c r="Y41" s="170">
        <f t="shared" si="73"/>
        <v>3.7799999999999976</v>
      </c>
      <c r="Z41" s="253">
        <f t="shared" si="73"/>
        <v>-66.824000000000012</v>
      </c>
      <c r="AA41" s="170">
        <f t="shared" si="73"/>
        <v>-1.2000000000000011E-2</v>
      </c>
      <c r="AB41" s="170">
        <f t="shared" si="73"/>
        <v>-172.08700000000002</v>
      </c>
      <c r="AC41" s="170">
        <f t="shared" si="73"/>
        <v>-19.311999999999983</v>
      </c>
      <c r="AD41" s="170">
        <f t="shared" si="73"/>
        <v>2.3179999999999721</v>
      </c>
      <c r="AE41" s="253">
        <f t="shared" si="73"/>
        <v>-189.09300000000002</v>
      </c>
      <c r="AF41" s="170">
        <f t="shared" si="73"/>
        <v>-0.85399999999999998</v>
      </c>
      <c r="AG41" s="170">
        <f t="shared" si="73"/>
        <v>383.85399999999998</v>
      </c>
      <c r="AH41" s="170">
        <f t="shared" si="73"/>
        <v>3.8070000000000315</v>
      </c>
      <c r="AI41" s="170">
        <f t="shared" si="73"/>
        <v>90.567999999999984</v>
      </c>
      <c r="AJ41" s="253">
        <f t="shared" si="73"/>
        <v>477.375</v>
      </c>
      <c r="AK41" s="170">
        <f t="shared" si="73"/>
        <v>-1.0739999999999998</v>
      </c>
      <c r="AL41" s="170">
        <f t="shared" si="73"/>
        <v>5.8979999999999997</v>
      </c>
      <c r="AM41" s="170">
        <f t="shared" si="73"/>
        <v>-2.8849999999999998</v>
      </c>
      <c r="AN41" s="170">
        <f t="shared" si="73"/>
        <v>-2.9350000000000005</v>
      </c>
      <c r="AO41" s="253">
        <f t="shared" si="73"/>
        <v>-0.99600000000000044</v>
      </c>
      <c r="AP41" s="170">
        <f t="shared" si="73"/>
        <v>-66.849999999999994</v>
      </c>
      <c r="AQ41" s="170">
        <f t="shared" si="73"/>
        <v>1.6239999999999988</v>
      </c>
      <c r="AR41" s="170">
        <f t="shared" si="73"/>
        <v>4.3310000000000022</v>
      </c>
      <c r="AS41" s="170">
        <f t="shared" si="73"/>
        <v>732.02800000000002</v>
      </c>
      <c r="AT41" s="253">
        <f t="shared" si="63"/>
        <v>671.13300000000004</v>
      </c>
      <c r="AU41" s="356">
        <f>SUM(AU35:AU40)</f>
        <v>0</v>
      </c>
      <c r="AV41" s="170">
        <f>SUM(AV35:AV40)</f>
        <v>0</v>
      </c>
      <c r="AW41" s="170">
        <f>SUM(AW35:AW40)</f>
        <v>0</v>
      </c>
      <c r="AX41" s="170">
        <f>SUM(AX35:AX40)</f>
        <v>0</v>
      </c>
      <c r="AY41" s="253">
        <f>SUM(AU41:AX41)</f>
        <v>0</v>
      </c>
      <c r="AZ41" s="170">
        <f>SUM(AZ35:AZ40)</f>
        <v>0</v>
      </c>
      <c r="BA41" s="170">
        <f>SUM(BA35:BA40)</f>
        <v>0</v>
      </c>
      <c r="BB41" s="170">
        <f>SUM(BB35:BB40)</f>
        <v>0</v>
      </c>
      <c r="BC41" s="170">
        <f>SUM(BC35:BC40)</f>
        <v>-488.584</v>
      </c>
      <c r="BD41" s="253">
        <f>SUM(AZ41:BC41)</f>
        <v>-488.584</v>
      </c>
      <c r="BE41" s="170">
        <f>SUM(BE35:BE40)</f>
        <v>0</v>
      </c>
      <c r="BF41" s="170">
        <f>SUM(BF35:BF40)</f>
        <v>0</v>
      </c>
      <c r="BG41" s="170">
        <f>SUM(BG35:BG40)</f>
        <v>0</v>
      </c>
      <c r="BH41" s="170">
        <f>SUM(BH35:BH40)</f>
        <v>0</v>
      </c>
      <c r="BI41" s="253">
        <f>SUM(BE41:BH41)</f>
        <v>0</v>
      </c>
      <c r="BJ41" s="170">
        <f>SUM(BJ35:BJ40)</f>
        <v>0</v>
      </c>
      <c r="BK41" s="170">
        <f>SUM(BK35:BK40)</f>
        <v>0</v>
      </c>
      <c r="BL41" s="170">
        <f>SUM(BL35:BL40)</f>
        <v>0</v>
      </c>
      <c r="BM41" s="170">
        <f>SUM(BM35:BM40)</f>
        <v>0</v>
      </c>
      <c r="BN41" s="253">
        <f>SUM(BJ41:BM41)</f>
        <v>0</v>
      </c>
      <c r="BO41" s="170">
        <f>SUM(BO35:BO40)</f>
        <v>0</v>
      </c>
      <c r="BP41" s="170">
        <f>SUM(BP35:BP40)</f>
        <v>0</v>
      </c>
      <c r="BQ41" s="170">
        <f>SUM(BQ35:BQ40)</f>
        <v>0</v>
      </c>
      <c r="BR41" s="170">
        <f>SUM(BR35:BR40)</f>
        <v>0</v>
      </c>
      <c r="BS41" s="253">
        <f>SUM(BO41:BR41)</f>
        <v>0</v>
      </c>
      <c r="BT41" s="170">
        <f>SUM(BT35:BT40)</f>
        <v>-627.49400000000003</v>
      </c>
      <c r="BU41" s="170">
        <f>SUM(BU35:BU40)</f>
        <v>0</v>
      </c>
      <c r="BV41" s="170">
        <f>SUM(BV35:BV40)</f>
        <v>0</v>
      </c>
      <c r="BW41" s="170">
        <f>SUM(BW35:BW40)</f>
        <v>0</v>
      </c>
      <c r="BX41" s="253">
        <f>SUM(BT41:BW41)</f>
        <v>-627.49400000000003</v>
      </c>
      <c r="BY41" s="170">
        <f>SUM(BY35:BY40)</f>
        <v>2.41700000000003</v>
      </c>
      <c r="BZ41" s="170">
        <f>SUM(BZ35:BZ40)</f>
        <v>0</v>
      </c>
      <c r="CA41" s="170">
        <f>SUM(CA35:CA40)</f>
        <v>0</v>
      </c>
      <c r="CB41" s="170">
        <f>SUM(CB35:CB40)</f>
        <v>0</v>
      </c>
      <c r="CC41" s="253">
        <f>SUM(BY41:CB41)</f>
        <v>2.41700000000003</v>
      </c>
      <c r="CD41" s="170">
        <f>SUM(CD35:CD40)</f>
        <v>0</v>
      </c>
      <c r="CE41" s="170">
        <f>SUM(CE35:CE40)</f>
        <v>-390.33899999999801</v>
      </c>
      <c r="CF41" s="170">
        <f>SUM(CF35:CF40)</f>
        <v>0</v>
      </c>
      <c r="CG41" s="170">
        <f>SUM(CG35:CG40)</f>
        <v>0</v>
      </c>
      <c r="CH41" s="253">
        <f>SUM(CD41:CG41)</f>
        <v>-390.33899999999801</v>
      </c>
      <c r="CI41" s="170">
        <f>SUM(CI35:CI40)</f>
        <v>0</v>
      </c>
      <c r="CJ41" s="170">
        <f>SUM(CJ35:CJ40)</f>
        <v>0</v>
      </c>
      <c r="CK41" s="170">
        <f>SUM(CK35:CK40)</f>
        <v>0</v>
      </c>
      <c r="CL41" s="170">
        <f>SUM(CL35:CL40)</f>
        <v>0</v>
      </c>
      <c r="CM41" s="253">
        <f>SUM(CI41:CL41)</f>
        <v>0</v>
      </c>
    </row>
    <row r="42" spans="1:91" s="16" customFormat="1">
      <c r="D42" s="26"/>
      <c r="E42" s="26"/>
      <c r="F42" s="270"/>
      <c r="G42" s="26"/>
      <c r="H42" s="26"/>
      <c r="I42" s="26"/>
      <c r="J42" s="26"/>
      <c r="K42" s="270"/>
      <c r="L42" s="26"/>
      <c r="M42" s="26"/>
      <c r="N42" s="26"/>
      <c r="O42" s="26"/>
      <c r="P42" s="270"/>
      <c r="Q42" s="26"/>
      <c r="R42" s="26"/>
      <c r="S42" s="26"/>
      <c r="T42" s="26"/>
      <c r="U42" s="270"/>
      <c r="V42" s="26"/>
      <c r="W42" s="26"/>
      <c r="X42" s="26"/>
      <c r="Y42" s="26"/>
      <c r="Z42" s="270"/>
      <c r="AA42" s="26"/>
      <c r="AB42" s="26"/>
      <c r="AC42" s="26"/>
      <c r="AD42" s="26"/>
      <c r="AE42" s="270"/>
      <c r="AF42" s="26"/>
      <c r="AG42" s="26"/>
      <c r="AH42" s="26"/>
      <c r="AI42" s="26"/>
      <c r="AJ42" s="270"/>
      <c r="AK42" s="26"/>
      <c r="AL42" s="26"/>
      <c r="AM42" s="26"/>
      <c r="AN42" s="26"/>
      <c r="AO42" s="270"/>
      <c r="AP42" s="26"/>
      <c r="AQ42" s="22"/>
      <c r="AR42" s="22"/>
      <c r="AS42" s="22"/>
      <c r="AT42" s="270"/>
      <c r="AU42" s="355"/>
      <c r="AV42" s="26"/>
      <c r="AW42" s="26"/>
      <c r="AX42" s="26"/>
      <c r="AY42" s="270"/>
      <c r="AZ42" s="26"/>
      <c r="BA42" s="26"/>
      <c r="BB42" s="26"/>
      <c r="BC42" s="26"/>
      <c r="BD42" s="270"/>
      <c r="BE42" s="26"/>
      <c r="BF42" s="26"/>
      <c r="BG42" s="26"/>
      <c r="BH42" s="26"/>
      <c r="BI42" s="270"/>
      <c r="BJ42" s="26"/>
      <c r="BK42" s="26"/>
      <c r="BL42" s="26"/>
      <c r="BM42" s="26"/>
      <c r="BN42" s="270"/>
      <c r="BO42" s="26"/>
      <c r="BP42" s="26"/>
      <c r="BQ42" s="26"/>
      <c r="BR42" s="26"/>
      <c r="BS42" s="270"/>
      <c r="BT42" s="26"/>
      <c r="BU42" s="26"/>
      <c r="BV42" s="26"/>
      <c r="BW42" s="26"/>
      <c r="BX42" s="270"/>
      <c r="BY42" s="26"/>
      <c r="BZ42" s="26"/>
      <c r="CA42" s="26"/>
      <c r="CB42" s="26"/>
      <c r="CC42" s="270"/>
      <c r="CD42" s="26"/>
      <c r="CE42" s="26"/>
      <c r="CF42" s="26"/>
      <c r="CG42" s="26"/>
      <c r="CH42" s="270"/>
      <c r="CI42" s="26"/>
      <c r="CJ42" s="26"/>
      <c r="CK42" s="26"/>
      <c r="CL42" s="26"/>
      <c r="CM42" s="270"/>
    </row>
    <row r="43" spans="1:91" s="15" customFormat="1">
      <c r="A43" s="15" t="s">
        <v>98</v>
      </c>
      <c r="D43" s="170">
        <f>D24+D32+D41</f>
        <v>152.77499999999998</v>
      </c>
      <c r="E43" s="170">
        <f t="shared" ref="E43:F43" si="74">E24+E32+E41</f>
        <v>-113.77000000000004</v>
      </c>
      <c r="F43" s="253">
        <f t="shared" si="74"/>
        <v>39.004999999999939</v>
      </c>
      <c r="G43" s="170">
        <f>G24+G32+G41</f>
        <v>3.1779999999999982</v>
      </c>
      <c r="H43" s="170">
        <f>H24+H32+H41</f>
        <v>35.418000000000006</v>
      </c>
      <c r="I43" s="170">
        <f>I24+I32+I41</f>
        <v>3.2139999999999951</v>
      </c>
      <c r="J43" s="170">
        <f>J24+J32+J41</f>
        <v>26.137999999999948</v>
      </c>
      <c r="K43" s="253">
        <f>K24+K32+K41</f>
        <v>67.948000000000008</v>
      </c>
      <c r="L43" s="170">
        <f t="shared" ref="L43:U43" si="75">L24+L32+L41</f>
        <v>13.314</v>
      </c>
      <c r="M43" s="170">
        <f t="shared" si="75"/>
        <v>20.704999999999927</v>
      </c>
      <c r="N43" s="170">
        <f t="shared" si="75"/>
        <v>-27.511999999999922</v>
      </c>
      <c r="O43" s="170">
        <f t="shared" si="75"/>
        <v>-3.9069999999999343</v>
      </c>
      <c r="P43" s="253">
        <f t="shared" si="75"/>
        <v>2.6000000000000796</v>
      </c>
      <c r="Q43" s="170">
        <f t="shared" si="75"/>
        <v>8.9879999999999978</v>
      </c>
      <c r="R43" s="170">
        <f t="shared" si="75"/>
        <v>12.405999999999949</v>
      </c>
      <c r="S43" s="170">
        <f t="shared" si="75"/>
        <v>-21.915999999999954</v>
      </c>
      <c r="T43" s="170">
        <f t="shared" si="75"/>
        <v>689.81600000000003</v>
      </c>
      <c r="U43" s="253">
        <f t="shared" si="75"/>
        <v>689.29399999999998</v>
      </c>
      <c r="V43" s="170">
        <f t="shared" ref="V43:BA43" si="76">V24+V32+V41</f>
        <v>37.626000000000033</v>
      </c>
      <c r="W43" s="170">
        <f t="shared" si="76"/>
        <v>69.381999999999962</v>
      </c>
      <c r="X43" s="170">
        <f t="shared" si="76"/>
        <v>-106.09899999999999</v>
      </c>
      <c r="Y43" s="170">
        <f t="shared" si="76"/>
        <v>-339.90499999999997</v>
      </c>
      <c r="Z43" s="253">
        <f t="shared" si="76"/>
        <v>-338.99599999999992</v>
      </c>
      <c r="AA43" s="170">
        <f t="shared" si="76"/>
        <v>82.176999999999992</v>
      </c>
      <c r="AB43" s="170">
        <f t="shared" si="76"/>
        <v>-356.91500000000008</v>
      </c>
      <c r="AC43" s="170">
        <f t="shared" si="76"/>
        <v>-56.197999999999993</v>
      </c>
      <c r="AD43" s="170">
        <f t="shared" si="76"/>
        <v>-17.803999999999984</v>
      </c>
      <c r="AE43" s="253">
        <f t="shared" si="76"/>
        <v>-348.74000000000007</v>
      </c>
      <c r="AF43" s="170">
        <f t="shared" si="76"/>
        <v>81.928999999999988</v>
      </c>
      <c r="AG43" s="170">
        <f t="shared" si="76"/>
        <v>48.711999999999932</v>
      </c>
      <c r="AH43" s="170">
        <f t="shared" si="76"/>
        <v>186.71500000000012</v>
      </c>
      <c r="AI43" s="170">
        <f t="shared" si="76"/>
        <v>675.29399999999987</v>
      </c>
      <c r="AJ43" s="253">
        <f t="shared" si="76"/>
        <v>992.65000000000009</v>
      </c>
      <c r="AK43" s="170">
        <f t="shared" si="76"/>
        <v>-3.2919999999999998</v>
      </c>
      <c r="AL43" s="170">
        <f t="shared" si="76"/>
        <v>-93.181000000000012</v>
      </c>
      <c r="AM43" s="170">
        <f t="shared" si="76"/>
        <v>-348.77100000000002</v>
      </c>
      <c r="AN43" s="170">
        <f t="shared" si="76"/>
        <v>-56.917999999999978</v>
      </c>
      <c r="AO43" s="253">
        <f t="shared" si="76"/>
        <v>-502.16199999999992</v>
      </c>
      <c r="AP43" s="170">
        <f>AP24+AP32+AP41</f>
        <v>173.32499999999996</v>
      </c>
      <c r="AQ43" s="170">
        <f t="shared" si="76"/>
        <v>-69.31</v>
      </c>
      <c r="AR43" s="170">
        <f t="shared" si="76"/>
        <v>-45.431999999999988</v>
      </c>
      <c r="AS43" s="170">
        <f t="shared" si="76"/>
        <v>-199.41199999999992</v>
      </c>
      <c r="AT43" s="253">
        <f t="shared" si="76"/>
        <v>-140.82899999999995</v>
      </c>
      <c r="AU43" s="356">
        <f t="shared" si="76"/>
        <v>-69.626164405154313</v>
      </c>
      <c r="AV43" s="170">
        <f t="shared" si="76"/>
        <v>-65.443918657617417</v>
      </c>
      <c r="AW43" s="170">
        <f t="shared" si="76"/>
        <v>-29.606279064093179</v>
      </c>
      <c r="AX43" s="170">
        <f t="shared" si="76"/>
        <v>-7.494556745370538</v>
      </c>
      <c r="AY43" s="253">
        <f t="shared" si="76"/>
        <v>-172.1709188722354</v>
      </c>
      <c r="AZ43" s="170">
        <f t="shared" si="76"/>
        <v>-34.651048497762673</v>
      </c>
      <c r="BA43" s="170">
        <f t="shared" si="76"/>
        <v>-36.600737385629408</v>
      </c>
      <c r="BB43" s="170">
        <f t="shared" ref="BB43:CG43" si="77">BB24+BB32+BB41</f>
        <v>7.7320582012024701</v>
      </c>
      <c r="BC43" s="170">
        <f t="shared" si="77"/>
        <v>-442.03521286857489</v>
      </c>
      <c r="BD43" s="253">
        <f t="shared" si="77"/>
        <v>-505.55494055076446</v>
      </c>
      <c r="BE43" s="170">
        <f t="shared" si="77"/>
        <v>15.619691621033709</v>
      </c>
      <c r="BF43" s="170">
        <f t="shared" si="77"/>
        <v>4.0242915711562333</v>
      </c>
      <c r="BG43" s="170">
        <f t="shared" si="77"/>
        <v>66.916889455213024</v>
      </c>
      <c r="BH43" s="170">
        <f t="shared" si="77"/>
        <v>122.0537107796527</v>
      </c>
      <c r="BI43" s="253">
        <f t="shared" si="77"/>
        <v>208.61458342705566</v>
      </c>
      <c r="BJ43" s="170">
        <f t="shared" si="77"/>
        <v>94.215823468295781</v>
      </c>
      <c r="BK43" s="170">
        <f t="shared" si="77"/>
        <v>43.32145992136671</v>
      </c>
      <c r="BL43" s="170">
        <f t="shared" si="77"/>
        <v>125.45853699628211</v>
      </c>
      <c r="BM43" s="170">
        <f t="shared" si="77"/>
        <v>189.31967265718794</v>
      </c>
      <c r="BN43" s="253">
        <f t="shared" si="77"/>
        <v>452.31549304313262</v>
      </c>
      <c r="BO43" s="170">
        <f t="shared" si="77"/>
        <v>149.38035402113516</v>
      </c>
      <c r="BP43" s="170">
        <f t="shared" si="77"/>
        <v>95.043933271919599</v>
      </c>
      <c r="BQ43" s="170">
        <f t="shared" si="77"/>
        <v>187.71909741548995</v>
      </c>
      <c r="BR43" s="170">
        <f t="shared" si="77"/>
        <v>263.46602156077904</v>
      </c>
      <c r="BS43" s="253">
        <f t="shared" si="77"/>
        <v>695.60940626932359</v>
      </c>
      <c r="BT43" s="170">
        <f t="shared" si="77"/>
        <v>-401.23801905830499</v>
      </c>
      <c r="BU43" s="170">
        <f t="shared" si="77"/>
        <v>133.12734683787576</v>
      </c>
      <c r="BV43" s="170">
        <f t="shared" si="77"/>
        <v>236.81190148690405</v>
      </c>
      <c r="BW43" s="170">
        <f t="shared" si="77"/>
        <v>319.39448483388162</v>
      </c>
      <c r="BX43" s="253">
        <f t="shared" si="77"/>
        <v>288.0957141003563</v>
      </c>
      <c r="BY43" s="170">
        <f t="shared" si="77"/>
        <v>269.0216631848109</v>
      </c>
      <c r="BZ43" s="170">
        <f t="shared" si="77"/>
        <v>164.84665923106309</v>
      </c>
      <c r="CA43" s="170">
        <f t="shared" si="77"/>
        <v>280.05052244433898</v>
      </c>
      <c r="CB43" s="170">
        <f t="shared" si="77"/>
        <v>366.76548350607652</v>
      </c>
      <c r="CC43" s="253">
        <f t="shared" si="77"/>
        <v>1080.6843283662893</v>
      </c>
      <c r="CD43" s="170">
        <f t="shared" si="77"/>
        <v>310.660679829571</v>
      </c>
      <c r="CE43" s="170">
        <f t="shared" si="77"/>
        <v>-187.54727897072249</v>
      </c>
      <c r="CF43" s="170">
        <f t="shared" si="77"/>
        <v>318.36969606753388</v>
      </c>
      <c r="CG43" s="170">
        <f t="shared" si="77"/>
        <v>408.49756053826206</v>
      </c>
      <c r="CH43" s="253">
        <f t="shared" ref="CH43:CM43" si="78">CH24+CH32+CH41</f>
        <v>849.98065746464465</v>
      </c>
      <c r="CI43" s="170">
        <f t="shared" si="78"/>
        <v>345.84377387917971</v>
      </c>
      <c r="CJ43" s="170">
        <f t="shared" si="78"/>
        <v>227.94704218477739</v>
      </c>
      <c r="CK43" s="170">
        <f t="shared" si="78"/>
        <v>349.99637436870267</v>
      </c>
      <c r="CL43" s="170">
        <f t="shared" si="78"/>
        <v>440.26028674528942</v>
      </c>
      <c r="CM43" s="253">
        <f t="shared" si="78"/>
        <v>1364.0474771779491</v>
      </c>
    </row>
    <row r="44" spans="1:91" s="16" customFormat="1">
      <c r="A44" s="16" t="s">
        <v>21</v>
      </c>
      <c r="D44" s="26">
        <v>0</v>
      </c>
      <c r="E44" s="26">
        <f t="shared" ref="E44" si="79">F44-SUM(D44)</f>
        <v>0</v>
      </c>
      <c r="F44" s="270">
        <v>0</v>
      </c>
      <c r="G44" s="26">
        <v>0</v>
      </c>
      <c r="H44" s="26">
        <v>0</v>
      </c>
      <c r="I44" s="26">
        <f>-0.027-G44-H44</f>
        <v>-2.7E-2</v>
      </c>
      <c r="J44" s="26">
        <f t="shared" ref="J44" si="80">K44-SUM(G44:I44)</f>
        <v>2.7E-2</v>
      </c>
      <c r="K44" s="270">
        <v>0</v>
      </c>
      <c r="L44" s="26">
        <v>-6.9000000000000006E-2</v>
      </c>
      <c r="M44" s="26">
        <f>0.09-L44</f>
        <v>0.159</v>
      </c>
      <c r="N44" s="26">
        <f>0.137-M44-L44</f>
        <v>4.7000000000000014E-2</v>
      </c>
      <c r="O44" s="26">
        <f t="shared" ref="O44" si="81">P44-SUM(L44:N44)</f>
        <v>-5.3000000000000005E-2</v>
      </c>
      <c r="P44" s="270">
        <v>8.4000000000000005E-2</v>
      </c>
      <c r="Q44" s="26">
        <v>2.3E-2</v>
      </c>
      <c r="R44" s="26">
        <f>0.049-Q44</f>
        <v>2.6000000000000002E-2</v>
      </c>
      <c r="S44" s="26">
        <f>0.239-R44-Q44</f>
        <v>0.19</v>
      </c>
      <c r="T44" s="26">
        <f t="shared" ref="T44" si="82">U44-SUM(Q44:S44)</f>
        <v>0.21600000000000003</v>
      </c>
      <c r="U44" s="270">
        <v>0.45500000000000002</v>
      </c>
      <c r="V44" s="26">
        <v>-1.087</v>
      </c>
      <c r="W44" s="26">
        <f>-1.08-V44</f>
        <v>6.9999999999998952E-3</v>
      </c>
      <c r="X44" s="26">
        <f>-1.193-SUM(V44:W44)</f>
        <v>-0.11299999999999999</v>
      </c>
      <c r="Y44" s="26">
        <f t="shared" ref="Y44" si="83">Z44-SUM(V44:X44)</f>
        <v>-0.5</v>
      </c>
      <c r="Z44" s="270">
        <v>-1.6930000000000001</v>
      </c>
      <c r="AA44" s="26">
        <v>-0.79200000000000004</v>
      </c>
      <c r="AB44" s="26">
        <f>-2.211-AA44</f>
        <v>-1.4189999999999998</v>
      </c>
      <c r="AC44" s="26">
        <f>-2.74-SUM(AA44:AB44)</f>
        <v>-0.52900000000000036</v>
      </c>
      <c r="AD44" s="26">
        <f t="shared" ref="AD44" si="84">AE44-SUM(AA44:AC44)</f>
        <v>1.1400000000000001</v>
      </c>
      <c r="AE44" s="270">
        <v>-1.6</v>
      </c>
      <c r="AF44" s="26">
        <v>-0.16300000000000001</v>
      </c>
      <c r="AG44" s="26">
        <f>-1.415-AF44</f>
        <v>-1.252</v>
      </c>
      <c r="AH44" s="26">
        <f>-1.941-SUM(AF44:AG44)</f>
        <v>-0.52600000000000002</v>
      </c>
      <c r="AI44" s="26">
        <f t="shared" ref="AI44" si="85">AJ44-SUM(AF44:AH44)</f>
        <v>1.03</v>
      </c>
      <c r="AJ44" s="270">
        <v>-0.91100000000000003</v>
      </c>
      <c r="AK44" s="26">
        <v>-1.1379999999999999</v>
      </c>
      <c r="AL44" s="26">
        <f>-1.975-AK44</f>
        <v>-0.83700000000000019</v>
      </c>
      <c r="AM44" s="26">
        <f>-0.075-SUM(AK44:AL44)</f>
        <v>1.9000000000000001</v>
      </c>
      <c r="AN44" s="26">
        <f t="shared" ref="AN44" si="86">AO44-SUM(AK44:AM44)</f>
        <v>-1.6950000000000001</v>
      </c>
      <c r="AO44" s="270">
        <v>-1.77</v>
      </c>
      <c r="AP44" s="26">
        <v>0.77300000000000002</v>
      </c>
      <c r="AQ44" s="26">
        <f>1.71-AP44</f>
        <v>0.93699999999999994</v>
      </c>
      <c r="AR44" s="26">
        <f>1.177-AQ44-AP44</f>
        <v>-0.53299999999999992</v>
      </c>
      <c r="AS44" s="26">
        <f>0.491-AP44-AQ44-AR44</f>
        <v>-0.68599999999999994</v>
      </c>
      <c r="AT44" s="270">
        <f>SUM(AP44:AS44)</f>
        <v>0.4910000000000001</v>
      </c>
      <c r="AU44" s="369">
        <v>0</v>
      </c>
      <c r="AV44" s="27">
        <v>0</v>
      </c>
      <c r="AW44" s="27">
        <v>0</v>
      </c>
      <c r="AX44" s="27">
        <v>0</v>
      </c>
      <c r="AY44" s="270">
        <f>SUM(AU44:AX44)</f>
        <v>0</v>
      </c>
      <c r="AZ44" s="27">
        <v>0</v>
      </c>
      <c r="BA44" s="27">
        <v>0</v>
      </c>
      <c r="BB44" s="27">
        <v>0</v>
      </c>
      <c r="BC44" s="27">
        <v>0</v>
      </c>
      <c r="BD44" s="270">
        <f>SUM(AZ44:BC44)</f>
        <v>0</v>
      </c>
      <c r="BE44" s="27">
        <v>0</v>
      </c>
      <c r="BF44" s="27">
        <v>0</v>
      </c>
      <c r="BG44" s="27">
        <v>0</v>
      </c>
      <c r="BH44" s="27">
        <v>0</v>
      </c>
      <c r="BI44" s="270">
        <f>SUM(BE44:BH44)</f>
        <v>0</v>
      </c>
      <c r="BJ44" s="27">
        <v>0</v>
      </c>
      <c r="BK44" s="27">
        <v>0</v>
      </c>
      <c r="BL44" s="27">
        <v>0</v>
      </c>
      <c r="BM44" s="27">
        <v>0</v>
      </c>
      <c r="BN44" s="270">
        <f>SUM(BJ44:BM44)</f>
        <v>0</v>
      </c>
      <c r="BO44" s="27">
        <v>0</v>
      </c>
      <c r="BP44" s="27">
        <v>0</v>
      </c>
      <c r="BQ44" s="27">
        <v>0</v>
      </c>
      <c r="BR44" s="27">
        <v>0</v>
      </c>
      <c r="BS44" s="270">
        <f>SUM(BO44:BR44)</f>
        <v>0</v>
      </c>
      <c r="BT44" s="27">
        <v>0</v>
      </c>
      <c r="BU44" s="27">
        <v>0</v>
      </c>
      <c r="BV44" s="27">
        <v>0</v>
      </c>
      <c r="BW44" s="27">
        <v>0</v>
      </c>
      <c r="BX44" s="270">
        <f>SUM(BT44:BW44)</f>
        <v>0</v>
      </c>
      <c r="BY44" s="27">
        <v>0</v>
      </c>
      <c r="BZ44" s="27">
        <v>0</v>
      </c>
      <c r="CA44" s="27">
        <v>0</v>
      </c>
      <c r="CB44" s="27">
        <v>0</v>
      </c>
      <c r="CC44" s="270">
        <f>SUM(BY44:CB44)</f>
        <v>0</v>
      </c>
      <c r="CD44" s="27">
        <v>0</v>
      </c>
      <c r="CE44" s="27">
        <v>0</v>
      </c>
      <c r="CF44" s="27">
        <v>0</v>
      </c>
      <c r="CG44" s="27">
        <v>0</v>
      </c>
      <c r="CH44" s="270">
        <f>SUM(CD44:CG44)</f>
        <v>0</v>
      </c>
      <c r="CI44" s="27">
        <v>0</v>
      </c>
      <c r="CJ44" s="27">
        <v>0</v>
      </c>
      <c r="CK44" s="27">
        <v>0</v>
      </c>
      <c r="CL44" s="27">
        <v>0</v>
      </c>
      <c r="CM44" s="270">
        <f>SUM(CI44:CL44)</f>
        <v>0</v>
      </c>
    </row>
    <row r="45" spans="1:91" s="15" customFormat="1">
      <c r="A45" s="15" t="s">
        <v>99</v>
      </c>
      <c r="D45" s="170">
        <f t="shared" ref="D45:AI45" si="87">D43+D44</f>
        <v>152.77499999999998</v>
      </c>
      <c r="E45" s="170">
        <f t="shared" si="87"/>
        <v>-113.77000000000004</v>
      </c>
      <c r="F45" s="253">
        <f t="shared" si="87"/>
        <v>39.004999999999939</v>
      </c>
      <c r="G45" s="170">
        <f t="shared" si="87"/>
        <v>3.1779999999999982</v>
      </c>
      <c r="H45" s="170">
        <f t="shared" si="87"/>
        <v>35.418000000000006</v>
      </c>
      <c r="I45" s="170">
        <f t="shared" si="87"/>
        <v>3.1869999999999949</v>
      </c>
      <c r="J45" s="170">
        <f t="shared" si="87"/>
        <v>26.164999999999949</v>
      </c>
      <c r="K45" s="253">
        <f t="shared" si="87"/>
        <v>67.948000000000008</v>
      </c>
      <c r="L45" s="170">
        <f t="shared" si="87"/>
        <v>13.244999999999999</v>
      </c>
      <c r="M45" s="170">
        <f t="shared" si="87"/>
        <v>20.863999999999926</v>
      </c>
      <c r="N45" s="170">
        <f t="shared" si="87"/>
        <v>-27.464999999999922</v>
      </c>
      <c r="O45" s="170">
        <f t="shared" si="87"/>
        <v>-3.9599999999999342</v>
      </c>
      <c r="P45" s="253">
        <f t="shared" si="87"/>
        <v>2.6840000000000797</v>
      </c>
      <c r="Q45" s="170">
        <f t="shared" si="87"/>
        <v>9.0109999999999975</v>
      </c>
      <c r="R45" s="170">
        <f t="shared" si="87"/>
        <v>12.431999999999949</v>
      </c>
      <c r="S45" s="170">
        <f t="shared" si="87"/>
        <v>-21.725999999999953</v>
      </c>
      <c r="T45" s="170">
        <f t="shared" si="87"/>
        <v>690.03200000000004</v>
      </c>
      <c r="U45" s="253">
        <f t="shared" si="87"/>
        <v>689.74900000000002</v>
      </c>
      <c r="V45" s="170">
        <f t="shared" si="87"/>
        <v>36.53900000000003</v>
      </c>
      <c r="W45" s="170">
        <f t="shared" si="87"/>
        <v>69.388999999999967</v>
      </c>
      <c r="X45" s="170">
        <f t="shared" si="87"/>
        <v>-106.21199999999999</v>
      </c>
      <c r="Y45" s="170">
        <f t="shared" si="87"/>
        <v>-340.40499999999997</v>
      </c>
      <c r="Z45" s="253">
        <f t="shared" si="87"/>
        <v>-340.68899999999991</v>
      </c>
      <c r="AA45" s="170">
        <f t="shared" si="87"/>
        <v>81.384999999999991</v>
      </c>
      <c r="AB45" s="170">
        <f t="shared" si="87"/>
        <v>-358.33400000000006</v>
      </c>
      <c r="AC45" s="170">
        <f t="shared" si="87"/>
        <v>-56.726999999999997</v>
      </c>
      <c r="AD45" s="170">
        <f t="shared" si="87"/>
        <v>-16.663999999999984</v>
      </c>
      <c r="AE45" s="253">
        <f t="shared" si="87"/>
        <v>-350.34000000000009</v>
      </c>
      <c r="AF45" s="170">
        <f t="shared" si="87"/>
        <v>81.765999999999991</v>
      </c>
      <c r="AG45" s="170">
        <f t="shared" si="87"/>
        <v>47.45999999999993</v>
      </c>
      <c r="AH45" s="170">
        <f t="shared" si="87"/>
        <v>186.18900000000011</v>
      </c>
      <c r="AI45" s="170">
        <f t="shared" si="87"/>
        <v>676.32399999999984</v>
      </c>
      <c r="AJ45" s="253">
        <f t="shared" ref="AJ45:BO45" si="88">AJ43+AJ44</f>
        <v>991.73900000000015</v>
      </c>
      <c r="AK45" s="170">
        <f t="shared" si="88"/>
        <v>-4.43</v>
      </c>
      <c r="AL45" s="170">
        <f t="shared" si="88"/>
        <v>-94.018000000000015</v>
      </c>
      <c r="AM45" s="170">
        <f t="shared" si="88"/>
        <v>-346.87100000000004</v>
      </c>
      <c r="AN45" s="170">
        <f t="shared" si="88"/>
        <v>-58.612999999999978</v>
      </c>
      <c r="AO45" s="253">
        <f t="shared" si="88"/>
        <v>-503.9319999999999</v>
      </c>
      <c r="AP45" s="170">
        <f t="shared" si="88"/>
        <v>174.09799999999996</v>
      </c>
      <c r="AQ45" s="170">
        <f t="shared" si="88"/>
        <v>-68.373000000000005</v>
      </c>
      <c r="AR45" s="170">
        <f t="shared" si="88"/>
        <v>-45.964999999999989</v>
      </c>
      <c r="AS45" s="170">
        <f t="shared" si="88"/>
        <v>-200.09799999999993</v>
      </c>
      <c r="AT45" s="253">
        <f t="shared" si="88"/>
        <v>-140.33799999999994</v>
      </c>
      <c r="AU45" s="356">
        <f t="shared" si="88"/>
        <v>-69.626164405154313</v>
      </c>
      <c r="AV45" s="170">
        <f t="shared" si="88"/>
        <v>-65.443918657617417</v>
      </c>
      <c r="AW45" s="170">
        <f t="shared" si="88"/>
        <v>-29.606279064093179</v>
      </c>
      <c r="AX45" s="170">
        <f t="shared" si="88"/>
        <v>-7.494556745370538</v>
      </c>
      <c r="AY45" s="253">
        <f t="shared" si="88"/>
        <v>-172.1709188722354</v>
      </c>
      <c r="AZ45" s="170">
        <f t="shared" si="88"/>
        <v>-34.651048497762673</v>
      </c>
      <c r="BA45" s="170">
        <f t="shared" si="88"/>
        <v>-36.600737385629408</v>
      </c>
      <c r="BB45" s="170">
        <f t="shared" si="88"/>
        <v>7.7320582012024701</v>
      </c>
      <c r="BC45" s="170">
        <f t="shared" si="88"/>
        <v>-442.03521286857489</v>
      </c>
      <c r="BD45" s="253">
        <f t="shared" si="88"/>
        <v>-505.55494055076446</v>
      </c>
      <c r="BE45" s="170">
        <f t="shared" si="88"/>
        <v>15.619691621033709</v>
      </c>
      <c r="BF45" s="170">
        <f t="shared" si="88"/>
        <v>4.0242915711562333</v>
      </c>
      <c r="BG45" s="170">
        <f t="shared" si="88"/>
        <v>66.916889455213024</v>
      </c>
      <c r="BH45" s="170">
        <f t="shared" si="88"/>
        <v>122.0537107796527</v>
      </c>
      <c r="BI45" s="253">
        <f t="shared" si="88"/>
        <v>208.61458342705566</v>
      </c>
      <c r="BJ45" s="170">
        <f t="shared" si="88"/>
        <v>94.215823468295781</v>
      </c>
      <c r="BK45" s="170">
        <f t="shared" si="88"/>
        <v>43.32145992136671</v>
      </c>
      <c r="BL45" s="170">
        <f t="shared" si="88"/>
        <v>125.45853699628211</v>
      </c>
      <c r="BM45" s="170">
        <f t="shared" si="88"/>
        <v>189.31967265718794</v>
      </c>
      <c r="BN45" s="253">
        <f t="shared" si="88"/>
        <v>452.31549304313262</v>
      </c>
      <c r="BO45" s="170">
        <f t="shared" si="88"/>
        <v>149.38035402113516</v>
      </c>
      <c r="BP45" s="170">
        <f t="shared" ref="BP45:CM45" si="89">BP43+BP44</f>
        <v>95.043933271919599</v>
      </c>
      <c r="BQ45" s="170">
        <f t="shared" si="89"/>
        <v>187.71909741548995</v>
      </c>
      <c r="BR45" s="170">
        <f t="shared" si="89"/>
        <v>263.46602156077904</v>
      </c>
      <c r="BS45" s="253">
        <f t="shared" si="89"/>
        <v>695.60940626932359</v>
      </c>
      <c r="BT45" s="170">
        <f t="shared" si="89"/>
        <v>-401.23801905830499</v>
      </c>
      <c r="BU45" s="170">
        <f t="shared" si="89"/>
        <v>133.12734683787576</v>
      </c>
      <c r="BV45" s="170">
        <f t="shared" si="89"/>
        <v>236.81190148690405</v>
      </c>
      <c r="BW45" s="170">
        <f t="shared" si="89"/>
        <v>319.39448483388162</v>
      </c>
      <c r="BX45" s="253">
        <f t="shared" si="89"/>
        <v>288.0957141003563</v>
      </c>
      <c r="BY45" s="170">
        <f t="shared" si="89"/>
        <v>269.0216631848109</v>
      </c>
      <c r="BZ45" s="170">
        <f t="shared" si="89"/>
        <v>164.84665923106309</v>
      </c>
      <c r="CA45" s="170">
        <f t="shared" si="89"/>
        <v>280.05052244433898</v>
      </c>
      <c r="CB45" s="170">
        <f t="shared" si="89"/>
        <v>366.76548350607652</v>
      </c>
      <c r="CC45" s="253">
        <f t="shared" si="89"/>
        <v>1080.6843283662893</v>
      </c>
      <c r="CD45" s="170">
        <f t="shared" si="89"/>
        <v>310.660679829571</v>
      </c>
      <c r="CE45" s="170">
        <f t="shared" si="89"/>
        <v>-187.54727897072249</v>
      </c>
      <c r="CF45" s="170">
        <f t="shared" si="89"/>
        <v>318.36969606753388</v>
      </c>
      <c r="CG45" s="170">
        <f t="shared" si="89"/>
        <v>408.49756053826206</v>
      </c>
      <c r="CH45" s="253">
        <f t="shared" si="89"/>
        <v>849.98065746464465</v>
      </c>
      <c r="CI45" s="170">
        <f t="shared" si="89"/>
        <v>345.84377387917971</v>
      </c>
      <c r="CJ45" s="170">
        <f t="shared" si="89"/>
        <v>227.94704218477739</v>
      </c>
      <c r="CK45" s="170">
        <f t="shared" si="89"/>
        <v>349.99637436870267</v>
      </c>
      <c r="CL45" s="170">
        <f t="shared" si="89"/>
        <v>440.26028674528942</v>
      </c>
      <c r="CM45" s="253">
        <f t="shared" si="89"/>
        <v>1364.0474771779491</v>
      </c>
    </row>
    <row r="46" spans="1:91" s="16" customFormat="1">
      <c r="D46" s="26"/>
      <c r="E46" s="26"/>
      <c r="F46" s="270"/>
      <c r="G46" s="26"/>
      <c r="H46" s="26"/>
      <c r="I46" s="195"/>
      <c r="J46" s="26"/>
      <c r="K46" s="270"/>
      <c r="L46" s="26"/>
      <c r="M46" s="26"/>
      <c r="N46" s="26"/>
      <c r="O46" s="26"/>
      <c r="P46" s="270"/>
      <c r="Q46" s="26"/>
      <c r="R46" s="26"/>
      <c r="S46" s="26"/>
      <c r="T46" s="26"/>
      <c r="U46" s="270"/>
      <c r="V46" s="26"/>
      <c r="W46" s="26"/>
      <c r="X46" s="26"/>
      <c r="Y46" s="26"/>
      <c r="Z46" s="270"/>
      <c r="AA46" s="26"/>
      <c r="AB46" s="26"/>
      <c r="AC46" s="26"/>
      <c r="AD46" s="26"/>
      <c r="AE46" s="270"/>
      <c r="AF46" s="26"/>
      <c r="AG46" s="26"/>
      <c r="AH46" s="26"/>
      <c r="AI46" s="26"/>
      <c r="AJ46" s="270"/>
      <c r="AK46" s="26"/>
      <c r="AL46" s="26"/>
      <c r="AM46" s="26"/>
      <c r="AN46" s="26"/>
      <c r="AO46" s="270"/>
      <c r="AP46" s="26"/>
      <c r="AQ46" s="26"/>
      <c r="AR46" s="26"/>
      <c r="AS46" s="26"/>
      <c r="AT46" s="270"/>
      <c r="AU46" s="355"/>
      <c r="AV46" s="26"/>
      <c r="AW46" s="26"/>
      <c r="AX46" s="26"/>
      <c r="AY46" s="270"/>
      <c r="AZ46" s="26"/>
      <c r="BA46" s="26"/>
      <c r="BB46" s="26"/>
      <c r="BC46" s="26"/>
      <c r="BD46" s="270"/>
      <c r="BE46" s="26"/>
      <c r="BF46" s="26"/>
      <c r="BG46" s="26"/>
      <c r="BH46" s="26"/>
      <c r="BI46" s="270"/>
      <c r="BJ46" s="26"/>
      <c r="BK46" s="26"/>
      <c r="BL46" s="26"/>
      <c r="BM46" s="26"/>
      <c r="BN46" s="270"/>
      <c r="BO46" s="26"/>
      <c r="BP46" s="26"/>
      <c r="BQ46" s="26"/>
      <c r="BR46" s="26"/>
      <c r="BS46" s="270"/>
      <c r="BT46" s="26"/>
      <c r="BU46" s="26"/>
      <c r="BV46" s="26"/>
      <c r="BW46" s="26"/>
      <c r="BX46" s="270"/>
      <c r="BY46" s="26"/>
      <c r="BZ46" s="26"/>
      <c r="CA46" s="26"/>
      <c r="CB46" s="26"/>
      <c r="CC46" s="270"/>
      <c r="CD46" s="26"/>
      <c r="CE46" s="26"/>
      <c r="CF46" s="26"/>
      <c r="CG46" s="26"/>
      <c r="CH46" s="270"/>
      <c r="CI46" s="26"/>
      <c r="CJ46" s="26"/>
      <c r="CK46" s="26"/>
      <c r="CL46" s="26"/>
      <c r="CM46" s="270"/>
    </row>
    <row r="47" spans="1:91" s="15" customFormat="1">
      <c r="A47" s="15" t="s">
        <v>100</v>
      </c>
      <c r="D47" s="170">
        <v>33.591000000000001</v>
      </c>
      <c r="E47" s="170">
        <f>D49</f>
        <v>186.36599999999999</v>
      </c>
      <c r="F47" s="253">
        <v>33.591000000000001</v>
      </c>
      <c r="G47" s="170">
        <f>F49</f>
        <v>72.595999999999947</v>
      </c>
      <c r="H47" s="170">
        <f>G49</f>
        <v>75.773999999999944</v>
      </c>
      <c r="I47" s="170">
        <f>H49</f>
        <v>111.19199999999995</v>
      </c>
      <c r="J47" s="170">
        <f>I49</f>
        <v>114.37899999999995</v>
      </c>
      <c r="K47" s="253">
        <f>F49</f>
        <v>72.595999999999947</v>
      </c>
      <c r="L47" s="170">
        <f>K49</f>
        <v>140.54399999999995</v>
      </c>
      <c r="M47" s="170">
        <f>L49</f>
        <v>153.78899999999996</v>
      </c>
      <c r="N47" s="170">
        <f>M49</f>
        <v>174.65299999999988</v>
      </c>
      <c r="O47" s="170">
        <f>N49</f>
        <v>147.18799999999996</v>
      </c>
      <c r="P47" s="253">
        <f>K49</f>
        <v>140.54399999999995</v>
      </c>
      <c r="Q47" s="170">
        <f>O49</f>
        <v>143.22800000000004</v>
      </c>
      <c r="R47" s="170">
        <f>Q49</f>
        <v>152.23900000000003</v>
      </c>
      <c r="S47" s="170">
        <f>R49</f>
        <v>164.67099999999999</v>
      </c>
      <c r="T47" s="170">
        <f>S49</f>
        <v>142.94500000000005</v>
      </c>
      <c r="U47" s="253">
        <f>P49</f>
        <v>143.22800000000004</v>
      </c>
      <c r="V47" s="170">
        <f>T49</f>
        <v>832.97700000000009</v>
      </c>
      <c r="W47" s="170">
        <f>V49</f>
        <v>869.51600000000008</v>
      </c>
      <c r="X47" s="170">
        <f>W49</f>
        <v>938.90500000000009</v>
      </c>
      <c r="Y47" s="170">
        <f>X49</f>
        <v>832.6930000000001</v>
      </c>
      <c r="Z47" s="253">
        <f>U49</f>
        <v>832.97700000000009</v>
      </c>
      <c r="AA47" s="170">
        <f>Y49</f>
        <v>492.28800000000012</v>
      </c>
      <c r="AB47" s="170">
        <f>AA49</f>
        <v>573.67300000000012</v>
      </c>
      <c r="AC47" s="170">
        <f>AB49</f>
        <v>215.33900000000006</v>
      </c>
      <c r="AD47" s="170">
        <f>AC49</f>
        <v>158.61200000000005</v>
      </c>
      <c r="AE47" s="253">
        <f>Z49</f>
        <v>492.28800000000018</v>
      </c>
      <c r="AF47" s="170">
        <f>AD49</f>
        <v>141.94800000000006</v>
      </c>
      <c r="AG47" s="170">
        <f>AF49</f>
        <v>223.71400000000006</v>
      </c>
      <c r="AH47" s="170">
        <f>AG49</f>
        <v>271.17399999999998</v>
      </c>
      <c r="AI47" s="170">
        <f>AH49</f>
        <v>457.36300000000006</v>
      </c>
      <c r="AJ47" s="253">
        <f>AE49</f>
        <v>141.94800000000009</v>
      </c>
      <c r="AK47" s="170">
        <f>AI49</f>
        <v>1133.6869999999999</v>
      </c>
      <c r="AL47" s="170">
        <f>AK49</f>
        <v>1129.2569999999998</v>
      </c>
      <c r="AM47" s="170">
        <f>AL49</f>
        <v>1035.2389999999998</v>
      </c>
      <c r="AN47" s="170">
        <f>+AM49</f>
        <v>688.36799999999971</v>
      </c>
      <c r="AO47" s="253">
        <f>AJ49</f>
        <v>1133.6870000000004</v>
      </c>
      <c r="AP47" s="170">
        <f>AN49</f>
        <v>629.75499999999977</v>
      </c>
      <c r="AQ47" s="170">
        <f>AP49</f>
        <v>803.85299999999972</v>
      </c>
      <c r="AR47" s="170">
        <f>AQ49</f>
        <v>735.47999999999968</v>
      </c>
      <c r="AS47" s="170">
        <f>AR49</f>
        <v>689.51499999999965</v>
      </c>
      <c r="AT47" s="253">
        <f>AO49</f>
        <v>629.75500000000045</v>
      </c>
      <c r="AU47" s="356">
        <f>AS49</f>
        <v>489.41699999999969</v>
      </c>
      <c r="AV47" s="170">
        <f>AU49</f>
        <v>419.79083559484536</v>
      </c>
      <c r="AW47" s="170">
        <f>AV49</f>
        <v>354.34691693722795</v>
      </c>
      <c r="AX47" s="170">
        <f>AW49</f>
        <v>324.74063787313474</v>
      </c>
      <c r="AY47" s="253">
        <f>AT49</f>
        <v>489.41700000000048</v>
      </c>
      <c r="AZ47" s="170">
        <f>AX49</f>
        <v>317.24608112776423</v>
      </c>
      <c r="BA47" s="170">
        <f>AZ49</f>
        <v>282.59503263000158</v>
      </c>
      <c r="BB47" s="170">
        <f>BA49</f>
        <v>245.99429524437218</v>
      </c>
      <c r="BC47" s="170">
        <f>BB49</f>
        <v>253.72635344557466</v>
      </c>
      <c r="BD47" s="253">
        <f>AY49</f>
        <v>317.24608112776508</v>
      </c>
      <c r="BE47" s="170">
        <f>BC49</f>
        <v>-188.30885942300023</v>
      </c>
      <c r="BF47" s="170">
        <f>BE49</f>
        <v>-172.68916780196651</v>
      </c>
      <c r="BG47" s="170">
        <f>BF49</f>
        <v>-168.66487623081028</v>
      </c>
      <c r="BH47" s="170">
        <f>BG49</f>
        <v>-101.74798677559725</v>
      </c>
      <c r="BI47" s="253">
        <f>BD49</f>
        <v>-188.30885942299938</v>
      </c>
      <c r="BJ47" s="170">
        <f>BH49</f>
        <v>20.305724004055449</v>
      </c>
      <c r="BK47" s="170">
        <f>BJ49</f>
        <v>114.52154747235123</v>
      </c>
      <c r="BL47" s="170">
        <f>BK49</f>
        <v>157.84300739371793</v>
      </c>
      <c r="BM47" s="170">
        <f>BL49</f>
        <v>283.30154439</v>
      </c>
      <c r="BN47" s="253">
        <f>BI49</f>
        <v>20.305724004056287</v>
      </c>
      <c r="BO47" s="170">
        <f>BM49</f>
        <v>472.62121704718794</v>
      </c>
      <c r="BP47" s="170">
        <f>BO49</f>
        <v>622.00157106832307</v>
      </c>
      <c r="BQ47" s="170">
        <f>BP49</f>
        <v>717.0455043402427</v>
      </c>
      <c r="BR47" s="170">
        <f>BQ49</f>
        <v>904.76460175573266</v>
      </c>
      <c r="BS47" s="253">
        <f>BN49</f>
        <v>472.62121704718891</v>
      </c>
      <c r="BT47" s="170">
        <f>BR49</f>
        <v>1168.2306233165118</v>
      </c>
      <c r="BU47" s="170">
        <f>BT49</f>
        <v>766.99260425820682</v>
      </c>
      <c r="BV47" s="170">
        <f>BU49</f>
        <v>900.11995109608256</v>
      </c>
      <c r="BW47" s="170">
        <f>BV49</f>
        <v>1136.9318525829867</v>
      </c>
      <c r="BX47" s="253">
        <f>BS49</f>
        <v>1168.2306233165125</v>
      </c>
      <c r="BY47" s="170">
        <f>BW49</f>
        <v>1456.3263374168682</v>
      </c>
      <c r="BZ47" s="170">
        <f>BY49</f>
        <v>1725.3480006016791</v>
      </c>
      <c r="CA47" s="170">
        <f>BZ49</f>
        <v>1890.1946598327422</v>
      </c>
      <c r="CB47" s="170">
        <f>CA49</f>
        <v>2170.2451822770813</v>
      </c>
      <c r="CC47" s="253">
        <f>BX49</f>
        <v>1456.3263374168687</v>
      </c>
      <c r="CD47" s="170">
        <f>CB49</f>
        <v>2537.0106657831579</v>
      </c>
      <c r="CE47" s="170">
        <f>CD49</f>
        <v>2847.6713456127291</v>
      </c>
      <c r="CF47" s="170">
        <f>CE49</f>
        <v>2660.1240666420067</v>
      </c>
      <c r="CG47" s="170">
        <f>CF49</f>
        <v>2978.4937627095405</v>
      </c>
      <c r="CH47" s="253">
        <f>CC49</f>
        <v>2537.0106657831579</v>
      </c>
      <c r="CI47" s="170">
        <f>CG49</f>
        <v>3386.9913232478025</v>
      </c>
      <c r="CJ47" s="170">
        <f>CI49</f>
        <v>3732.835097126982</v>
      </c>
      <c r="CK47" s="170">
        <f>CJ49</f>
        <v>3960.7821393117592</v>
      </c>
      <c r="CL47" s="170">
        <f>CK49</f>
        <v>4310.7785136804623</v>
      </c>
      <c r="CM47" s="253">
        <f>CH49</f>
        <v>3386.9913232478025</v>
      </c>
    </row>
    <row r="48" spans="1:91" s="16" customFormat="1">
      <c r="A48" s="16" t="s">
        <v>101</v>
      </c>
      <c r="D48" s="26">
        <f t="shared" ref="D48:AI48" si="90">D45</f>
        <v>152.77499999999998</v>
      </c>
      <c r="E48" s="170">
        <f t="shared" si="90"/>
        <v>-113.77000000000004</v>
      </c>
      <c r="F48" s="253">
        <f t="shared" si="90"/>
        <v>39.004999999999939</v>
      </c>
      <c r="G48" s="26">
        <f t="shared" si="90"/>
        <v>3.1779999999999982</v>
      </c>
      <c r="H48" s="26">
        <f t="shared" si="90"/>
        <v>35.418000000000006</v>
      </c>
      <c r="I48" s="26">
        <f t="shared" si="90"/>
        <v>3.1869999999999949</v>
      </c>
      <c r="J48" s="26">
        <f t="shared" si="90"/>
        <v>26.164999999999949</v>
      </c>
      <c r="K48" s="270">
        <f t="shared" si="90"/>
        <v>67.948000000000008</v>
      </c>
      <c r="L48" s="26">
        <f t="shared" si="90"/>
        <v>13.244999999999999</v>
      </c>
      <c r="M48" s="26">
        <f t="shared" si="90"/>
        <v>20.863999999999926</v>
      </c>
      <c r="N48" s="26">
        <f t="shared" si="90"/>
        <v>-27.464999999999922</v>
      </c>
      <c r="O48" s="26">
        <f t="shared" si="90"/>
        <v>-3.9599999999999342</v>
      </c>
      <c r="P48" s="270">
        <f t="shared" si="90"/>
        <v>2.6840000000000797</v>
      </c>
      <c r="Q48" s="26">
        <f t="shared" si="90"/>
        <v>9.0109999999999975</v>
      </c>
      <c r="R48" s="26">
        <f t="shared" si="90"/>
        <v>12.431999999999949</v>
      </c>
      <c r="S48" s="26">
        <f t="shared" si="90"/>
        <v>-21.725999999999953</v>
      </c>
      <c r="T48" s="26">
        <f t="shared" si="90"/>
        <v>690.03200000000004</v>
      </c>
      <c r="U48" s="270">
        <f t="shared" si="90"/>
        <v>689.74900000000002</v>
      </c>
      <c r="V48" s="26">
        <f t="shared" si="90"/>
        <v>36.53900000000003</v>
      </c>
      <c r="W48" s="26">
        <f t="shared" si="90"/>
        <v>69.388999999999967</v>
      </c>
      <c r="X48" s="26">
        <f t="shared" si="90"/>
        <v>-106.21199999999999</v>
      </c>
      <c r="Y48" s="26">
        <f t="shared" si="90"/>
        <v>-340.40499999999997</v>
      </c>
      <c r="Z48" s="270">
        <f t="shared" si="90"/>
        <v>-340.68899999999991</v>
      </c>
      <c r="AA48" s="26">
        <f t="shared" si="90"/>
        <v>81.384999999999991</v>
      </c>
      <c r="AB48" s="26">
        <f t="shared" si="90"/>
        <v>-358.33400000000006</v>
      </c>
      <c r="AC48" s="26">
        <f t="shared" si="90"/>
        <v>-56.726999999999997</v>
      </c>
      <c r="AD48" s="26">
        <f t="shared" si="90"/>
        <v>-16.663999999999984</v>
      </c>
      <c r="AE48" s="270">
        <f t="shared" si="90"/>
        <v>-350.34000000000009</v>
      </c>
      <c r="AF48" s="26">
        <f t="shared" si="90"/>
        <v>81.765999999999991</v>
      </c>
      <c r="AG48" s="26">
        <f t="shared" si="90"/>
        <v>47.45999999999993</v>
      </c>
      <c r="AH48" s="26">
        <f t="shared" si="90"/>
        <v>186.18900000000011</v>
      </c>
      <c r="AI48" s="26">
        <f t="shared" si="90"/>
        <v>676.32399999999984</v>
      </c>
      <c r="AJ48" s="270">
        <f t="shared" ref="AJ48:BO48" si="91">AJ45</f>
        <v>991.73900000000015</v>
      </c>
      <c r="AK48" s="26">
        <f>AK45</f>
        <v>-4.43</v>
      </c>
      <c r="AL48" s="26">
        <f t="shared" si="91"/>
        <v>-94.018000000000015</v>
      </c>
      <c r="AM48" s="26">
        <f t="shared" si="91"/>
        <v>-346.87100000000004</v>
      </c>
      <c r="AN48" s="26">
        <f>AN45</f>
        <v>-58.612999999999978</v>
      </c>
      <c r="AO48" s="270">
        <f>AO45</f>
        <v>-503.9319999999999</v>
      </c>
      <c r="AP48" s="26">
        <f t="shared" si="91"/>
        <v>174.09799999999996</v>
      </c>
      <c r="AQ48" s="26">
        <f t="shared" si="91"/>
        <v>-68.373000000000005</v>
      </c>
      <c r="AR48" s="26">
        <f t="shared" si="91"/>
        <v>-45.964999999999989</v>
      </c>
      <c r="AS48" s="26">
        <f>AS45</f>
        <v>-200.09799999999993</v>
      </c>
      <c r="AT48" s="270">
        <f t="shared" si="91"/>
        <v>-140.33799999999994</v>
      </c>
      <c r="AU48" s="355">
        <f t="shared" si="91"/>
        <v>-69.626164405154313</v>
      </c>
      <c r="AV48" s="26">
        <f t="shared" si="91"/>
        <v>-65.443918657617417</v>
      </c>
      <c r="AW48" s="26">
        <f t="shared" si="91"/>
        <v>-29.606279064093179</v>
      </c>
      <c r="AX48" s="26">
        <f t="shared" si="91"/>
        <v>-7.494556745370538</v>
      </c>
      <c r="AY48" s="270">
        <f t="shared" si="91"/>
        <v>-172.1709188722354</v>
      </c>
      <c r="AZ48" s="26">
        <f t="shared" si="91"/>
        <v>-34.651048497762673</v>
      </c>
      <c r="BA48" s="26">
        <f t="shared" si="91"/>
        <v>-36.600737385629408</v>
      </c>
      <c r="BB48" s="26">
        <f t="shared" si="91"/>
        <v>7.7320582012024701</v>
      </c>
      <c r="BC48" s="26">
        <f t="shared" si="91"/>
        <v>-442.03521286857489</v>
      </c>
      <c r="BD48" s="270">
        <f t="shared" si="91"/>
        <v>-505.55494055076446</v>
      </c>
      <c r="BE48" s="26">
        <f t="shared" si="91"/>
        <v>15.619691621033709</v>
      </c>
      <c r="BF48" s="26">
        <f t="shared" si="91"/>
        <v>4.0242915711562333</v>
      </c>
      <c r="BG48" s="26">
        <f t="shared" si="91"/>
        <v>66.916889455213024</v>
      </c>
      <c r="BH48" s="26">
        <f t="shared" si="91"/>
        <v>122.0537107796527</v>
      </c>
      <c r="BI48" s="270">
        <f t="shared" si="91"/>
        <v>208.61458342705566</v>
      </c>
      <c r="BJ48" s="26">
        <f t="shared" si="91"/>
        <v>94.215823468295781</v>
      </c>
      <c r="BK48" s="26">
        <f t="shared" si="91"/>
        <v>43.32145992136671</v>
      </c>
      <c r="BL48" s="26">
        <f t="shared" si="91"/>
        <v>125.45853699628211</v>
      </c>
      <c r="BM48" s="26">
        <f t="shared" si="91"/>
        <v>189.31967265718794</v>
      </c>
      <c r="BN48" s="270">
        <f t="shared" si="91"/>
        <v>452.31549304313262</v>
      </c>
      <c r="BO48" s="26">
        <f t="shared" si="91"/>
        <v>149.38035402113516</v>
      </c>
      <c r="BP48" s="26">
        <f t="shared" ref="BP48:CM48" si="92">BP45</f>
        <v>95.043933271919599</v>
      </c>
      <c r="BQ48" s="26">
        <f t="shared" si="92"/>
        <v>187.71909741548995</v>
      </c>
      <c r="BR48" s="26">
        <f t="shared" si="92"/>
        <v>263.46602156077904</v>
      </c>
      <c r="BS48" s="270">
        <f t="shared" si="92"/>
        <v>695.60940626932359</v>
      </c>
      <c r="BT48" s="26">
        <f t="shared" si="92"/>
        <v>-401.23801905830499</v>
      </c>
      <c r="BU48" s="26">
        <f t="shared" si="92"/>
        <v>133.12734683787576</v>
      </c>
      <c r="BV48" s="26">
        <f t="shared" si="92"/>
        <v>236.81190148690405</v>
      </c>
      <c r="BW48" s="26">
        <f t="shared" si="92"/>
        <v>319.39448483388162</v>
      </c>
      <c r="BX48" s="270">
        <f t="shared" si="92"/>
        <v>288.0957141003563</v>
      </c>
      <c r="BY48" s="26">
        <f t="shared" si="92"/>
        <v>269.0216631848109</v>
      </c>
      <c r="BZ48" s="26">
        <f t="shared" si="92"/>
        <v>164.84665923106309</v>
      </c>
      <c r="CA48" s="26">
        <f t="shared" si="92"/>
        <v>280.05052244433898</v>
      </c>
      <c r="CB48" s="26">
        <f t="shared" si="92"/>
        <v>366.76548350607652</v>
      </c>
      <c r="CC48" s="270">
        <f t="shared" si="92"/>
        <v>1080.6843283662893</v>
      </c>
      <c r="CD48" s="26">
        <f t="shared" si="92"/>
        <v>310.660679829571</v>
      </c>
      <c r="CE48" s="26">
        <f t="shared" si="92"/>
        <v>-187.54727897072249</v>
      </c>
      <c r="CF48" s="26">
        <f t="shared" si="92"/>
        <v>318.36969606753388</v>
      </c>
      <c r="CG48" s="26">
        <f t="shared" si="92"/>
        <v>408.49756053826206</v>
      </c>
      <c r="CH48" s="270">
        <f t="shared" si="92"/>
        <v>849.98065746464465</v>
      </c>
      <c r="CI48" s="26">
        <f t="shared" si="92"/>
        <v>345.84377387917971</v>
      </c>
      <c r="CJ48" s="26">
        <f t="shared" si="92"/>
        <v>227.94704218477739</v>
      </c>
      <c r="CK48" s="26">
        <f t="shared" si="92"/>
        <v>349.99637436870267</v>
      </c>
      <c r="CL48" s="26">
        <f t="shared" si="92"/>
        <v>440.26028674528942</v>
      </c>
      <c r="CM48" s="270">
        <f t="shared" si="92"/>
        <v>1364.0474771779491</v>
      </c>
    </row>
    <row r="49" spans="1:91" s="15" customFormat="1">
      <c r="A49" s="15" t="s">
        <v>194</v>
      </c>
      <c r="D49" s="170">
        <f>SUM(D47:D48)</f>
        <v>186.36599999999999</v>
      </c>
      <c r="E49" s="170">
        <f>E47+E48</f>
        <v>72.595999999999947</v>
      </c>
      <c r="F49" s="253">
        <f>F47+F48</f>
        <v>72.595999999999947</v>
      </c>
      <c r="G49" s="170">
        <f t="shared" ref="G49:AM49" si="93">SUM(G47:G48)</f>
        <v>75.773999999999944</v>
      </c>
      <c r="H49" s="170">
        <f t="shared" si="93"/>
        <v>111.19199999999995</v>
      </c>
      <c r="I49" s="170">
        <f t="shared" si="93"/>
        <v>114.37899999999995</v>
      </c>
      <c r="J49" s="170">
        <f t="shared" si="93"/>
        <v>140.5439999999999</v>
      </c>
      <c r="K49" s="253">
        <f t="shared" si="93"/>
        <v>140.54399999999995</v>
      </c>
      <c r="L49" s="170">
        <f t="shared" si="93"/>
        <v>153.78899999999996</v>
      </c>
      <c r="M49" s="170">
        <f t="shared" si="93"/>
        <v>174.65299999999988</v>
      </c>
      <c r="N49" s="170">
        <f t="shared" si="93"/>
        <v>147.18799999999996</v>
      </c>
      <c r="O49" s="170">
        <f t="shared" si="93"/>
        <v>143.22800000000004</v>
      </c>
      <c r="P49" s="253">
        <f t="shared" si="93"/>
        <v>143.22800000000004</v>
      </c>
      <c r="Q49" s="170">
        <f t="shared" si="93"/>
        <v>152.23900000000003</v>
      </c>
      <c r="R49" s="170">
        <f t="shared" si="93"/>
        <v>164.67099999999999</v>
      </c>
      <c r="S49" s="170">
        <f t="shared" si="93"/>
        <v>142.94500000000005</v>
      </c>
      <c r="T49" s="170">
        <f t="shared" si="93"/>
        <v>832.97700000000009</v>
      </c>
      <c r="U49" s="253">
        <f t="shared" si="93"/>
        <v>832.97700000000009</v>
      </c>
      <c r="V49" s="170">
        <f t="shared" si="93"/>
        <v>869.51600000000008</v>
      </c>
      <c r="W49" s="170">
        <f t="shared" si="93"/>
        <v>938.90500000000009</v>
      </c>
      <c r="X49" s="170">
        <f t="shared" si="93"/>
        <v>832.6930000000001</v>
      </c>
      <c r="Y49" s="170">
        <f t="shared" si="93"/>
        <v>492.28800000000012</v>
      </c>
      <c r="Z49" s="253">
        <f t="shared" si="93"/>
        <v>492.28800000000018</v>
      </c>
      <c r="AA49" s="170">
        <f t="shared" si="93"/>
        <v>573.67300000000012</v>
      </c>
      <c r="AB49" s="170">
        <f t="shared" si="93"/>
        <v>215.33900000000006</v>
      </c>
      <c r="AC49" s="170">
        <f t="shared" si="93"/>
        <v>158.61200000000005</v>
      </c>
      <c r="AD49" s="170">
        <f t="shared" si="93"/>
        <v>141.94800000000006</v>
      </c>
      <c r="AE49" s="253">
        <f t="shared" si="93"/>
        <v>141.94800000000009</v>
      </c>
      <c r="AF49" s="170">
        <f t="shared" si="93"/>
        <v>223.71400000000006</v>
      </c>
      <c r="AG49" s="170">
        <f t="shared" si="93"/>
        <v>271.17399999999998</v>
      </c>
      <c r="AH49" s="170">
        <f t="shared" si="93"/>
        <v>457.36300000000006</v>
      </c>
      <c r="AI49" s="170">
        <f t="shared" si="93"/>
        <v>1133.6869999999999</v>
      </c>
      <c r="AJ49" s="253">
        <f t="shared" si="93"/>
        <v>1133.6870000000004</v>
      </c>
      <c r="AK49" s="170">
        <f>SUM(AK47:AK48)</f>
        <v>1129.2569999999998</v>
      </c>
      <c r="AL49" s="170">
        <f t="shared" si="93"/>
        <v>1035.2389999999998</v>
      </c>
      <c r="AM49" s="170">
        <f t="shared" si="93"/>
        <v>688.36799999999971</v>
      </c>
      <c r="AN49" s="170">
        <f>AN47+AN48</f>
        <v>629.75499999999977</v>
      </c>
      <c r="AO49" s="253">
        <f t="shared" ref="AO49:BS49" si="94">AO47+AO48</f>
        <v>629.75500000000045</v>
      </c>
      <c r="AP49" s="170">
        <f t="shared" si="94"/>
        <v>803.85299999999972</v>
      </c>
      <c r="AQ49" s="170">
        <f t="shared" si="94"/>
        <v>735.47999999999968</v>
      </c>
      <c r="AR49" s="170">
        <f t="shared" si="94"/>
        <v>689.51499999999965</v>
      </c>
      <c r="AS49" s="170">
        <f t="shared" si="94"/>
        <v>489.41699999999969</v>
      </c>
      <c r="AT49" s="253">
        <f t="shared" si="94"/>
        <v>489.41700000000048</v>
      </c>
      <c r="AU49" s="356">
        <f t="shared" si="94"/>
        <v>419.79083559484536</v>
      </c>
      <c r="AV49" s="170">
        <f t="shared" si="94"/>
        <v>354.34691693722795</v>
      </c>
      <c r="AW49" s="170">
        <f t="shared" si="94"/>
        <v>324.74063787313474</v>
      </c>
      <c r="AX49" s="170">
        <f t="shared" si="94"/>
        <v>317.24608112776423</v>
      </c>
      <c r="AY49" s="253">
        <f t="shared" si="94"/>
        <v>317.24608112776508</v>
      </c>
      <c r="AZ49" s="170">
        <f t="shared" si="94"/>
        <v>282.59503263000158</v>
      </c>
      <c r="BA49" s="170">
        <f t="shared" si="94"/>
        <v>245.99429524437218</v>
      </c>
      <c r="BB49" s="170">
        <f t="shared" si="94"/>
        <v>253.72635344557466</v>
      </c>
      <c r="BC49" s="170">
        <f t="shared" si="94"/>
        <v>-188.30885942300023</v>
      </c>
      <c r="BD49" s="253">
        <f t="shared" si="94"/>
        <v>-188.30885942299938</v>
      </c>
      <c r="BE49" s="170">
        <f t="shared" si="94"/>
        <v>-172.68916780196651</v>
      </c>
      <c r="BF49" s="170">
        <f t="shared" si="94"/>
        <v>-168.66487623081028</v>
      </c>
      <c r="BG49" s="170">
        <f t="shared" si="94"/>
        <v>-101.74798677559725</v>
      </c>
      <c r="BH49" s="170">
        <f t="shared" si="94"/>
        <v>20.305724004055449</v>
      </c>
      <c r="BI49" s="253">
        <f t="shared" si="94"/>
        <v>20.305724004056287</v>
      </c>
      <c r="BJ49" s="170">
        <f t="shared" si="94"/>
        <v>114.52154747235123</v>
      </c>
      <c r="BK49" s="170">
        <f t="shared" si="94"/>
        <v>157.84300739371793</v>
      </c>
      <c r="BL49" s="170">
        <f t="shared" si="94"/>
        <v>283.30154439</v>
      </c>
      <c r="BM49" s="170">
        <f t="shared" si="94"/>
        <v>472.62121704718794</v>
      </c>
      <c r="BN49" s="253">
        <f t="shared" si="94"/>
        <v>472.62121704718891</v>
      </c>
      <c r="BO49" s="170">
        <f t="shared" si="94"/>
        <v>622.00157106832307</v>
      </c>
      <c r="BP49" s="170">
        <f t="shared" si="94"/>
        <v>717.0455043402427</v>
      </c>
      <c r="BQ49" s="170">
        <f t="shared" si="94"/>
        <v>904.76460175573266</v>
      </c>
      <c r="BR49" s="170">
        <f t="shared" si="94"/>
        <v>1168.2306233165118</v>
      </c>
      <c r="BS49" s="253">
        <f t="shared" si="94"/>
        <v>1168.2306233165125</v>
      </c>
      <c r="BT49" s="170">
        <f t="shared" ref="BT49:CM49" si="95">BT47+BT48</f>
        <v>766.99260425820682</v>
      </c>
      <c r="BU49" s="170">
        <f t="shared" si="95"/>
        <v>900.11995109608256</v>
      </c>
      <c r="BV49" s="170">
        <f t="shared" si="95"/>
        <v>1136.9318525829867</v>
      </c>
      <c r="BW49" s="170">
        <f t="shared" si="95"/>
        <v>1456.3263374168682</v>
      </c>
      <c r="BX49" s="253">
        <f t="shared" si="95"/>
        <v>1456.3263374168687</v>
      </c>
      <c r="BY49" s="170">
        <f t="shared" si="95"/>
        <v>1725.3480006016791</v>
      </c>
      <c r="BZ49" s="170">
        <f t="shared" si="95"/>
        <v>1890.1946598327422</v>
      </c>
      <c r="CA49" s="170">
        <f t="shared" si="95"/>
        <v>2170.2451822770813</v>
      </c>
      <c r="CB49" s="170">
        <f t="shared" si="95"/>
        <v>2537.0106657831579</v>
      </c>
      <c r="CC49" s="253">
        <f t="shared" si="95"/>
        <v>2537.0106657831579</v>
      </c>
      <c r="CD49" s="170">
        <f t="shared" si="95"/>
        <v>2847.6713456127291</v>
      </c>
      <c r="CE49" s="170">
        <f t="shared" si="95"/>
        <v>2660.1240666420067</v>
      </c>
      <c r="CF49" s="170">
        <f t="shared" si="95"/>
        <v>2978.4937627095405</v>
      </c>
      <c r="CG49" s="170">
        <f t="shared" si="95"/>
        <v>3386.9913232478025</v>
      </c>
      <c r="CH49" s="253">
        <f t="shared" si="95"/>
        <v>3386.9913232478025</v>
      </c>
      <c r="CI49" s="170">
        <f t="shared" si="95"/>
        <v>3732.835097126982</v>
      </c>
      <c r="CJ49" s="170">
        <f t="shared" si="95"/>
        <v>3960.7821393117592</v>
      </c>
      <c r="CK49" s="170">
        <f t="shared" si="95"/>
        <v>4310.7785136804623</v>
      </c>
      <c r="CL49" s="170">
        <f t="shared" si="95"/>
        <v>4751.038800425752</v>
      </c>
      <c r="CM49" s="253">
        <f t="shared" si="95"/>
        <v>4751.0388004257511</v>
      </c>
    </row>
    <row r="50" spans="1:91" s="16" customFormat="1">
      <c r="A50" s="16" t="s">
        <v>221</v>
      </c>
      <c r="D50" s="26"/>
      <c r="E50" s="26">
        <v>149.04</v>
      </c>
      <c r="F50" s="270">
        <v>149.04</v>
      </c>
      <c r="G50" s="26"/>
      <c r="H50" s="26"/>
      <c r="I50" s="26">
        <v>157.38499999999999</v>
      </c>
      <c r="J50" s="26">
        <v>278.41699999999997</v>
      </c>
      <c r="K50" s="270">
        <v>278.41699999999997</v>
      </c>
      <c r="L50" s="26">
        <v>313.06900000000002</v>
      </c>
      <c r="M50" s="26">
        <v>370.97399999999999</v>
      </c>
      <c r="N50" s="26">
        <v>375.76799999999997</v>
      </c>
      <c r="O50" s="26">
        <v>379.57400000000001</v>
      </c>
      <c r="P50" s="270">
        <f>O50</f>
        <v>379.57400000000001</v>
      </c>
      <c r="Q50" s="26">
        <v>367.85300000000001</v>
      </c>
      <c r="R50" s="26">
        <v>773.16</v>
      </c>
      <c r="S50" s="26">
        <v>870.45899999999995</v>
      </c>
      <c r="T50" s="26">
        <v>961.90300000000002</v>
      </c>
      <c r="U50" s="270">
        <f>T50</f>
        <v>961.90300000000002</v>
      </c>
      <c r="V50" s="26">
        <v>1071.078</v>
      </c>
      <c r="W50" s="26">
        <v>853.072</v>
      </c>
      <c r="X50" s="26">
        <v>653.601</v>
      </c>
      <c r="Y50" s="26">
        <v>440.54599999999999</v>
      </c>
      <c r="Z50" s="270">
        <f>Y50</f>
        <v>440.54599999999999</v>
      </c>
      <c r="AA50" s="26">
        <v>388.66199999999998</v>
      </c>
      <c r="AB50" s="26">
        <v>638.52099999999996</v>
      </c>
      <c r="AC50" s="26">
        <v>799.72699999999998</v>
      </c>
      <c r="AD50" s="26">
        <v>869.58399999999995</v>
      </c>
      <c r="AE50" s="270">
        <f>AD50</f>
        <v>869.58399999999995</v>
      </c>
      <c r="AF50" s="26">
        <v>713.38</v>
      </c>
      <c r="AG50" s="26">
        <v>953.77599999999995</v>
      </c>
      <c r="AH50" s="26">
        <v>697.48199999999997</v>
      </c>
      <c r="AI50" s="26">
        <v>35.097000000000001</v>
      </c>
      <c r="AJ50" s="270">
        <f>AI50</f>
        <v>35.097000000000001</v>
      </c>
      <c r="AK50" s="26">
        <v>0</v>
      </c>
      <c r="AL50" s="26">
        <v>0</v>
      </c>
      <c r="AM50" s="26">
        <v>310.70100000000002</v>
      </c>
      <c r="AN50" s="26">
        <v>314.43799999999999</v>
      </c>
      <c r="AO50" s="270">
        <f>AN50</f>
        <v>314.43799999999999</v>
      </c>
      <c r="AP50" s="26">
        <v>0</v>
      </c>
      <c r="AQ50" s="26">
        <f>AP50</f>
        <v>0</v>
      </c>
      <c r="AR50" s="26">
        <f>AQ50</f>
        <v>0</v>
      </c>
      <c r="AS50" s="26">
        <v>823.39499999999998</v>
      </c>
      <c r="AT50" s="288">
        <f>AS50</f>
        <v>823.39499999999998</v>
      </c>
      <c r="AU50" s="381">
        <f>AT50</f>
        <v>823.39499999999998</v>
      </c>
      <c r="AV50" s="196">
        <f>AU50</f>
        <v>823.39499999999998</v>
      </c>
      <c r="AW50" s="196">
        <f t="shared" ref="AW50:AX50" si="96">AV50</f>
        <v>823.39499999999998</v>
      </c>
      <c r="AX50" s="196">
        <f t="shared" si="96"/>
        <v>823.39499999999998</v>
      </c>
      <c r="AY50" s="288">
        <f>AX50</f>
        <v>823.39499999999998</v>
      </c>
      <c r="AZ50" s="196">
        <f>AU50</f>
        <v>823.39499999999998</v>
      </c>
      <c r="BA50" s="196">
        <f>AV50</f>
        <v>823.39499999999998</v>
      </c>
      <c r="BB50" s="196">
        <f>AW50</f>
        <v>823.39499999999998</v>
      </c>
      <c r="BC50" s="196">
        <f>AX50</f>
        <v>823.39499999999998</v>
      </c>
      <c r="BD50" s="288">
        <f>BC50</f>
        <v>823.39499999999998</v>
      </c>
      <c r="BE50" s="196">
        <f>AZ50</f>
        <v>823.39499999999998</v>
      </c>
      <c r="BF50" s="196">
        <f>BA50</f>
        <v>823.39499999999998</v>
      </c>
      <c r="BG50" s="196">
        <f>BB50</f>
        <v>823.39499999999998</v>
      </c>
      <c r="BH50" s="196">
        <f>BC50</f>
        <v>823.39499999999998</v>
      </c>
      <c r="BI50" s="288">
        <f>BH50</f>
        <v>823.39499999999998</v>
      </c>
      <c r="BJ50" s="196">
        <f t="shared" ref="BJ50:CM50" si="97">BE50</f>
        <v>823.39499999999998</v>
      </c>
      <c r="BK50" s="196">
        <f t="shared" si="97"/>
        <v>823.39499999999998</v>
      </c>
      <c r="BL50" s="196">
        <f t="shared" si="97"/>
        <v>823.39499999999998</v>
      </c>
      <c r="BM50" s="196">
        <f t="shared" si="97"/>
        <v>823.39499999999998</v>
      </c>
      <c r="BN50" s="288">
        <f t="shared" si="97"/>
        <v>823.39499999999998</v>
      </c>
      <c r="BO50" s="196">
        <f t="shared" si="97"/>
        <v>823.39499999999998</v>
      </c>
      <c r="BP50" s="196">
        <f t="shared" si="97"/>
        <v>823.39499999999998</v>
      </c>
      <c r="BQ50" s="196">
        <f t="shared" si="97"/>
        <v>823.39499999999998</v>
      </c>
      <c r="BR50" s="196">
        <f t="shared" si="97"/>
        <v>823.39499999999998</v>
      </c>
      <c r="BS50" s="288">
        <f t="shared" si="97"/>
        <v>823.39499999999998</v>
      </c>
      <c r="BT50" s="196">
        <f t="shared" si="97"/>
        <v>823.39499999999998</v>
      </c>
      <c r="BU50" s="196">
        <f t="shared" si="97"/>
        <v>823.39499999999998</v>
      </c>
      <c r="BV50" s="196">
        <f t="shared" si="97"/>
        <v>823.39499999999998</v>
      </c>
      <c r="BW50" s="196">
        <f t="shared" si="97"/>
        <v>823.39499999999998</v>
      </c>
      <c r="BX50" s="288">
        <f t="shared" si="97"/>
        <v>823.39499999999998</v>
      </c>
      <c r="BY50" s="196">
        <f t="shared" si="97"/>
        <v>823.39499999999998</v>
      </c>
      <c r="BZ50" s="196">
        <f t="shared" si="97"/>
        <v>823.39499999999998</v>
      </c>
      <c r="CA50" s="196">
        <f t="shared" si="97"/>
        <v>823.39499999999998</v>
      </c>
      <c r="CB50" s="196">
        <f t="shared" si="97"/>
        <v>823.39499999999998</v>
      </c>
      <c r="CC50" s="288">
        <f t="shared" si="97"/>
        <v>823.39499999999998</v>
      </c>
      <c r="CD50" s="196">
        <f t="shared" si="97"/>
        <v>823.39499999999998</v>
      </c>
      <c r="CE50" s="196">
        <f t="shared" si="97"/>
        <v>823.39499999999998</v>
      </c>
      <c r="CF50" s="196">
        <f t="shared" si="97"/>
        <v>823.39499999999998</v>
      </c>
      <c r="CG50" s="196">
        <f t="shared" si="97"/>
        <v>823.39499999999998</v>
      </c>
      <c r="CH50" s="288">
        <f t="shared" si="97"/>
        <v>823.39499999999998</v>
      </c>
      <c r="CI50" s="196">
        <f t="shared" si="97"/>
        <v>823.39499999999998</v>
      </c>
      <c r="CJ50" s="196">
        <f t="shared" si="97"/>
        <v>823.39499999999998</v>
      </c>
      <c r="CK50" s="196">
        <f t="shared" si="97"/>
        <v>823.39499999999998</v>
      </c>
      <c r="CL50" s="196">
        <f t="shared" si="97"/>
        <v>823.39499999999998</v>
      </c>
      <c r="CM50" s="288">
        <f t="shared" si="97"/>
        <v>823.39499999999998</v>
      </c>
    </row>
    <row r="51" spans="1:91" s="16" customFormat="1">
      <c r="A51" s="16" t="s">
        <v>225</v>
      </c>
      <c r="D51" s="26"/>
      <c r="E51" s="26">
        <v>0.316</v>
      </c>
      <c r="F51" s="270">
        <v>0.316</v>
      </c>
      <c r="G51" s="26"/>
      <c r="H51" s="26"/>
      <c r="I51" s="26">
        <v>0.42199999999999999</v>
      </c>
      <c r="J51" s="26">
        <v>0</v>
      </c>
      <c r="K51" s="270">
        <f>J51</f>
        <v>0</v>
      </c>
      <c r="L51" s="26">
        <v>0</v>
      </c>
      <c r="M51" s="26">
        <v>0</v>
      </c>
      <c r="N51" s="26">
        <v>0</v>
      </c>
      <c r="O51" s="26">
        <v>0</v>
      </c>
      <c r="P51" s="270">
        <v>0</v>
      </c>
      <c r="Q51" s="26">
        <v>0</v>
      </c>
      <c r="R51" s="26">
        <v>0</v>
      </c>
      <c r="S51" s="26">
        <v>0</v>
      </c>
      <c r="T51" s="26">
        <v>0</v>
      </c>
      <c r="U51" s="270">
        <v>0</v>
      </c>
      <c r="V51" s="26">
        <v>0.14399999999999999</v>
      </c>
      <c r="W51" s="26">
        <f>0.315</f>
        <v>0.315</v>
      </c>
      <c r="X51" s="26">
        <v>0.32300000000000001</v>
      </c>
      <c r="Y51" s="26">
        <v>8.5999999999999993E-2</v>
      </c>
      <c r="Z51" s="270">
        <f>Y51</f>
        <v>8.5999999999999993E-2</v>
      </c>
      <c r="AA51" s="26">
        <v>6.9000000000000006E-2</v>
      </c>
      <c r="AB51" s="26">
        <v>0.17</v>
      </c>
      <c r="AC51" s="26">
        <v>0.30199999999999999</v>
      </c>
      <c r="AD51" s="26">
        <v>0.30099999999999999</v>
      </c>
      <c r="AE51" s="270">
        <f>AD51</f>
        <v>0.30099999999999999</v>
      </c>
      <c r="AF51" s="26">
        <v>7.3999999999999996E-2</v>
      </c>
      <c r="AG51" s="26">
        <v>0.10100000000000001</v>
      </c>
      <c r="AH51" s="26">
        <v>2.4E-2</v>
      </c>
      <c r="AI51" s="26">
        <v>0.15</v>
      </c>
      <c r="AJ51" s="270">
        <f>AI51</f>
        <v>0.15</v>
      </c>
      <c r="AK51" s="26">
        <v>100.2</v>
      </c>
      <c r="AL51" s="26">
        <v>101.545</v>
      </c>
      <c r="AM51" s="26">
        <v>103.346</v>
      </c>
      <c r="AN51" s="26">
        <v>104.215</v>
      </c>
      <c r="AO51" s="270">
        <f>AN51</f>
        <v>104.215</v>
      </c>
      <c r="AP51" s="26">
        <v>105.28100000000001</v>
      </c>
      <c r="AQ51" s="26">
        <v>106.337</v>
      </c>
      <c r="AR51" s="26">
        <v>109.502</v>
      </c>
      <c r="AS51" s="26">
        <v>111.214</v>
      </c>
      <c r="AT51" s="270">
        <f>+AS51</f>
        <v>111.214</v>
      </c>
      <c r="AU51" s="355">
        <f>+AT51</f>
        <v>111.214</v>
      </c>
      <c r="AV51" s="26">
        <f t="shared" ref="AV51:CM51" si="98">+AU51</f>
        <v>111.214</v>
      </c>
      <c r="AW51" s="26">
        <f t="shared" si="98"/>
        <v>111.214</v>
      </c>
      <c r="AX51" s="26">
        <f t="shared" si="98"/>
        <v>111.214</v>
      </c>
      <c r="AY51" s="270">
        <f t="shared" si="98"/>
        <v>111.214</v>
      </c>
      <c r="AZ51" s="26">
        <f t="shared" si="98"/>
        <v>111.214</v>
      </c>
      <c r="BA51" s="26">
        <f t="shared" si="98"/>
        <v>111.214</v>
      </c>
      <c r="BB51" s="26">
        <f t="shared" si="98"/>
        <v>111.214</v>
      </c>
      <c r="BC51" s="26">
        <f t="shared" si="98"/>
        <v>111.214</v>
      </c>
      <c r="BD51" s="270">
        <f t="shared" si="98"/>
        <v>111.214</v>
      </c>
      <c r="BE51" s="26">
        <f t="shared" si="98"/>
        <v>111.214</v>
      </c>
      <c r="BF51" s="26">
        <f t="shared" si="98"/>
        <v>111.214</v>
      </c>
      <c r="BG51" s="26">
        <f t="shared" si="98"/>
        <v>111.214</v>
      </c>
      <c r="BH51" s="26">
        <f t="shared" si="98"/>
        <v>111.214</v>
      </c>
      <c r="BI51" s="270">
        <f t="shared" si="98"/>
        <v>111.214</v>
      </c>
      <c r="BJ51" s="26">
        <f t="shared" si="98"/>
        <v>111.214</v>
      </c>
      <c r="BK51" s="26">
        <f t="shared" si="98"/>
        <v>111.214</v>
      </c>
      <c r="BL51" s="26">
        <f t="shared" si="98"/>
        <v>111.214</v>
      </c>
      <c r="BM51" s="26">
        <f t="shared" si="98"/>
        <v>111.214</v>
      </c>
      <c r="BN51" s="270">
        <f t="shared" si="98"/>
        <v>111.214</v>
      </c>
      <c r="BO51" s="26">
        <f t="shared" si="98"/>
        <v>111.214</v>
      </c>
      <c r="BP51" s="26">
        <f t="shared" si="98"/>
        <v>111.214</v>
      </c>
      <c r="BQ51" s="26">
        <f t="shared" si="98"/>
        <v>111.214</v>
      </c>
      <c r="BR51" s="26">
        <f t="shared" si="98"/>
        <v>111.214</v>
      </c>
      <c r="BS51" s="270">
        <f t="shared" si="98"/>
        <v>111.214</v>
      </c>
      <c r="BT51" s="26">
        <f t="shared" si="98"/>
        <v>111.214</v>
      </c>
      <c r="BU51" s="26">
        <f t="shared" si="98"/>
        <v>111.214</v>
      </c>
      <c r="BV51" s="26">
        <f t="shared" si="98"/>
        <v>111.214</v>
      </c>
      <c r="BW51" s="26">
        <f t="shared" si="98"/>
        <v>111.214</v>
      </c>
      <c r="BX51" s="270">
        <f t="shared" si="98"/>
        <v>111.214</v>
      </c>
      <c r="BY51" s="26">
        <f t="shared" si="98"/>
        <v>111.214</v>
      </c>
      <c r="BZ51" s="26">
        <f t="shared" si="98"/>
        <v>111.214</v>
      </c>
      <c r="CA51" s="26">
        <f t="shared" si="98"/>
        <v>111.214</v>
      </c>
      <c r="CB51" s="26">
        <f t="shared" si="98"/>
        <v>111.214</v>
      </c>
      <c r="CC51" s="270">
        <f t="shared" si="98"/>
        <v>111.214</v>
      </c>
      <c r="CD51" s="26">
        <f t="shared" si="98"/>
        <v>111.214</v>
      </c>
      <c r="CE51" s="26">
        <f t="shared" si="98"/>
        <v>111.214</v>
      </c>
      <c r="CF51" s="26">
        <f t="shared" si="98"/>
        <v>111.214</v>
      </c>
      <c r="CG51" s="26">
        <f t="shared" si="98"/>
        <v>111.214</v>
      </c>
      <c r="CH51" s="270">
        <f t="shared" si="98"/>
        <v>111.214</v>
      </c>
      <c r="CI51" s="26">
        <f t="shared" si="98"/>
        <v>111.214</v>
      </c>
      <c r="CJ51" s="26">
        <f t="shared" si="98"/>
        <v>111.214</v>
      </c>
      <c r="CK51" s="26">
        <f t="shared" si="98"/>
        <v>111.214</v>
      </c>
      <c r="CL51" s="26">
        <f t="shared" si="98"/>
        <v>111.214</v>
      </c>
      <c r="CM51" s="270">
        <f t="shared" si="98"/>
        <v>111.214</v>
      </c>
    </row>
    <row r="52" spans="1:91" s="15" customFormat="1">
      <c r="A52" s="15" t="s">
        <v>226</v>
      </c>
      <c r="D52" s="170"/>
      <c r="E52" s="26">
        <f>SUM(E49:E50)-E51</f>
        <v>221.31999999999994</v>
      </c>
      <c r="F52" s="270">
        <f>SUM(F49:F50)-F51</f>
        <v>221.31999999999994</v>
      </c>
      <c r="G52" s="26"/>
      <c r="H52" s="26"/>
      <c r="I52" s="26">
        <f>+I49+I50-I51</f>
        <v>271.34199999999993</v>
      </c>
      <c r="J52" s="26">
        <f t="shared" ref="J52:BU52" si="99">+J49+J50-J51</f>
        <v>418.9609999999999</v>
      </c>
      <c r="K52" s="270">
        <f t="shared" si="99"/>
        <v>418.9609999999999</v>
      </c>
      <c r="L52" s="26">
        <f t="shared" si="99"/>
        <v>466.85799999999995</v>
      </c>
      <c r="M52" s="26">
        <f t="shared" si="99"/>
        <v>545.62699999999984</v>
      </c>
      <c r="N52" s="26">
        <f t="shared" si="99"/>
        <v>522.9559999999999</v>
      </c>
      <c r="O52" s="26">
        <f t="shared" si="99"/>
        <v>522.80200000000002</v>
      </c>
      <c r="P52" s="270">
        <f t="shared" si="99"/>
        <v>522.80200000000002</v>
      </c>
      <c r="Q52" s="26">
        <f t="shared" si="99"/>
        <v>520.0920000000001</v>
      </c>
      <c r="R52" s="26">
        <f t="shared" si="99"/>
        <v>937.8309999999999</v>
      </c>
      <c r="S52" s="26">
        <f t="shared" si="99"/>
        <v>1013.404</v>
      </c>
      <c r="T52" s="26">
        <f t="shared" si="99"/>
        <v>1794.88</v>
      </c>
      <c r="U52" s="270">
        <f t="shared" si="99"/>
        <v>1794.88</v>
      </c>
      <c r="V52" s="26">
        <f t="shared" si="99"/>
        <v>1940.45</v>
      </c>
      <c r="W52" s="26">
        <f t="shared" si="99"/>
        <v>1791.662</v>
      </c>
      <c r="X52" s="26">
        <f t="shared" si="99"/>
        <v>1485.971</v>
      </c>
      <c r="Y52" s="26">
        <f t="shared" si="99"/>
        <v>932.74800000000005</v>
      </c>
      <c r="Z52" s="270">
        <f t="shared" si="99"/>
        <v>932.74800000000016</v>
      </c>
      <c r="AA52" s="26">
        <f t="shared" si="99"/>
        <v>962.26600000000008</v>
      </c>
      <c r="AB52" s="26">
        <f t="shared" si="99"/>
        <v>853.69</v>
      </c>
      <c r="AC52" s="26">
        <f t="shared" si="99"/>
        <v>958.03700000000003</v>
      </c>
      <c r="AD52" s="26">
        <f t="shared" si="99"/>
        <v>1011.231</v>
      </c>
      <c r="AE52" s="270">
        <f t="shared" si="99"/>
        <v>1011.231</v>
      </c>
      <c r="AF52" s="26">
        <f t="shared" si="99"/>
        <v>937.0200000000001</v>
      </c>
      <c r="AG52" s="26">
        <f t="shared" si="99"/>
        <v>1224.8489999999997</v>
      </c>
      <c r="AH52" s="26">
        <f t="shared" si="99"/>
        <v>1154.8210000000001</v>
      </c>
      <c r="AI52" s="26">
        <f>+AI49+AI50-AI51</f>
        <v>1168.6339999999998</v>
      </c>
      <c r="AJ52" s="270">
        <f>+AJ49+AJ50-AJ51</f>
        <v>1168.6340000000002</v>
      </c>
      <c r="AK52" s="26">
        <f>+AK49+AK50</f>
        <v>1129.2569999999998</v>
      </c>
      <c r="AL52" s="26">
        <f>+AL49+AL50</f>
        <v>1035.2389999999998</v>
      </c>
      <c r="AM52" s="26">
        <f>+AM49+AM50</f>
        <v>999.06899999999973</v>
      </c>
      <c r="AN52" s="26">
        <f>+AN49+AN50-AN51</f>
        <v>839.97799999999972</v>
      </c>
      <c r="AO52" s="270">
        <f>+AO49+AO50-AO51</f>
        <v>839.97800000000041</v>
      </c>
      <c r="AP52" s="26">
        <f>+AP49+AP50-AP51</f>
        <v>698.57199999999966</v>
      </c>
      <c r="AQ52" s="170">
        <f t="shared" si="99"/>
        <v>629.14299999999969</v>
      </c>
      <c r="AR52" s="170">
        <f t="shared" si="99"/>
        <v>580.01299999999969</v>
      </c>
      <c r="AS52" s="170">
        <f t="shared" si="99"/>
        <v>1201.5979999999997</v>
      </c>
      <c r="AT52" s="253">
        <f t="shared" si="99"/>
        <v>1201.5980000000004</v>
      </c>
      <c r="AU52" s="356">
        <f t="shared" si="99"/>
        <v>1131.9718355948453</v>
      </c>
      <c r="AV52" s="170">
        <f t="shared" si="99"/>
        <v>1066.5279169372279</v>
      </c>
      <c r="AW52" s="170">
        <f t="shared" si="99"/>
        <v>1036.9216378731348</v>
      </c>
      <c r="AX52" s="170">
        <f t="shared" si="99"/>
        <v>1029.4270811277643</v>
      </c>
      <c r="AY52" s="253">
        <f t="shared" si="99"/>
        <v>1029.4270811277652</v>
      </c>
      <c r="AZ52" s="170">
        <f t="shared" si="99"/>
        <v>994.77603263000174</v>
      </c>
      <c r="BA52" s="170">
        <f t="shared" si="99"/>
        <v>958.17529524437214</v>
      </c>
      <c r="BB52" s="170">
        <f t="shared" si="99"/>
        <v>965.9073534455747</v>
      </c>
      <c r="BC52" s="170">
        <f t="shared" si="99"/>
        <v>523.87214057699975</v>
      </c>
      <c r="BD52" s="253">
        <f t="shared" si="99"/>
        <v>523.87214057700066</v>
      </c>
      <c r="BE52" s="170">
        <f t="shared" si="99"/>
        <v>539.49183219803353</v>
      </c>
      <c r="BF52" s="170">
        <f t="shared" si="99"/>
        <v>543.51612376918979</v>
      </c>
      <c r="BG52" s="170">
        <f t="shared" si="99"/>
        <v>610.43301322440266</v>
      </c>
      <c r="BH52" s="170">
        <f t="shared" si="99"/>
        <v>732.48672400405553</v>
      </c>
      <c r="BI52" s="253">
        <f t="shared" si="99"/>
        <v>732.48672400405621</v>
      </c>
      <c r="BJ52" s="170">
        <f t="shared" si="99"/>
        <v>826.70254747235117</v>
      </c>
      <c r="BK52" s="170">
        <f t="shared" si="99"/>
        <v>870.02400739371797</v>
      </c>
      <c r="BL52" s="170">
        <f t="shared" si="99"/>
        <v>995.48254438999993</v>
      </c>
      <c r="BM52" s="170">
        <f t="shared" si="99"/>
        <v>1184.8022170471879</v>
      </c>
      <c r="BN52" s="253">
        <f t="shared" si="99"/>
        <v>1184.8022170471891</v>
      </c>
      <c r="BO52" s="170">
        <f t="shared" si="99"/>
        <v>1334.1825710683231</v>
      </c>
      <c r="BP52" s="170">
        <f t="shared" si="99"/>
        <v>1429.2265043402426</v>
      </c>
      <c r="BQ52" s="170">
        <f t="shared" si="99"/>
        <v>1616.9456017557327</v>
      </c>
      <c r="BR52" s="170">
        <f t="shared" si="99"/>
        <v>1880.4116233165119</v>
      </c>
      <c r="BS52" s="253">
        <f t="shared" si="99"/>
        <v>1880.4116233165125</v>
      </c>
      <c r="BT52" s="170">
        <f t="shared" si="99"/>
        <v>1479.173604258207</v>
      </c>
      <c r="BU52" s="170">
        <f t="shared" si="99"/>
        <v>1612.3009510960826</v>
      </c>
      <c r="BV52" s="170">
        <f t="shared" ref="BV52:CM52" si="100">+BV49+BV50-BV51</f>
        <v>1849.1128525829868</v>
      </c>
      <c r="BW52" s="170">
        <f t="shared" si="100"/>
        <v>2168.5073374168683</v>
      </c>
      <c r="BX52" s="253">
        <f t="shared" si="100"/>
        <v>2168.5073374168687</v>
      </c>
      <c r="BY52" s="170">
        <f t="shared" si="100"/>
        <v>2437.5290006016794</v>
      </c>
      <c r="BZ52" s="170">
        <f t="shared" si="100"/>
        <v>2602.3756598327423</v>
      </c>
      <c r="CA52" s="170">
        <f t="shared" si="100"/>
        <v>2882.4261822770814</v>
      </c>
      <c r="CB52" s="170">
        <f t="shared" si="100"/>
        <v>3249.191665783158</v>
      </c>
      <c r="CC52" s="253">
        <f t="shared" si="100"/>
        <v>3249.191665783158</v>
      </c>
      <c r="CD52" s="170">
        <f t="shared" si="100"/>
        <v>3559.8523456127291</v>
      </c>
      <c r="CE52" s="170">
        <f t="shared" si="100"/>
        <v>3372.3050666420068</v>
      </c>
      <c r="CF52" s="170">
        <f t="shared" si="100"/>
        <v>3690.6747627095406</v>
      </c>
      <c r="CG52" s="170">
        <f t="shared" si="100"/>
        <v>4099.1723232478025</v>
      </c>
      <c r="CH52" s="253">
        <f t="shared" si="100"/>
        <v>4099.1723232478025</v>
      </c>
      <c r="CI52" s="170">
        <f t="shared" si="100"/>
        <v>4445.0160971269815</v>
      </c>
      <c r="CJ52" s="170">
        <f t="shared" si="100"/>
        <v>4672.9631393117597</v>
      </c>
      <c r="CK52" s="170">
        <f t="shared" si="100"/>
        <v>5022.9595136804619</v>
      </c>
      <c r="CL52" s="170">
        <f t="shared" si="100"/>
        <v>5463.2198004257516</v>
      </c>
      <c r="CM52" s="253">
        <f t="shared" si="100"/>
        <v>5463.2198004257516</v>
      </c>
    </row>
    <row r="53" spans="1:91" s="16" customFormat="1">
      <c r="F53" s="269"/>
      <c r="K53" s="269"/>
      <c r="P53" s="269"/>
      <c r="U53" s="269"/>
      <c r="Z53" s="269"/>
      <c r="AE53" s="269"/>
      <c r="AJ53" s="269"/>
      <c r="AK53" s="65"/>
      <c r="AO53" s="269"/>
      <c r="AT53" s="269"/>
      <c r="AU53" s="306"/>
      <c r="AY53" s="269"/>
      <c r="BD53" s="269"/>
      <c r="BI53" s="269"/>
      <c r="BN53" s="269"/>
      <c r="BS53" s="269"/>
      <c r="BX53" s="269"/>
      <c r="CC53" s="269"/>
      <c r="CH53" s="269"/>
      <c r="CM53" s="269"/>
    </row>
    <row r="54" spans="1:91" s="16" customFormat="1">
      <c r="F54" s="269"/>
      <c r="K54" s="269"/>
      <c r="P54" s="269"/>
      <c r="U54" s="269"/>
      <c r="Z54" s="269"/>
      <c r="AE54" s="269"/>
      <c r="AJ54" s="269"/>
      <c r="AO54" s="269"/>
      <c r="AQ54" s="51"/>
      <c r="AR54" s="51"/>
      <c r="AT54" s="269"/>
      <c r="AU54" s="306"/>
      <c r="AY54" s="269"/>
      <c r="BD54" s="269"/>
      <c r="BI54" s="269"/>
      <c r="BN54" s="269"/>
      <c r="BS54" s="269"/>
      <c r="BX54" s="269"/>
      <c r="CC54" s="269"/>
      <c r="CH54" s="269"/>
      <c r="CM54" s="269"/>
    </row>
    <row r="55" spans="1:91" s="29" customFormat="1">
      <c r="A55" s="29" t="s">
        <v>102</v>
      </c>
      <c r="E55" s="29">
        <f>E52-BS!E9</f>
        <v>0</v>
      </c>
      <c r="F55" s="279">
        <f>F52-BS!F9</f>
        <v>0</v>
      </c>
      <c r="I55" s="29">
        <f>I52-BS!I9</f>
        <v>0</v>
      </c>
      <c r="J55" s="29">
        <f>J52-BS!J9</f>
        <v>0</v>
      </c>
      <c r="K55" s="279">
        <f>K52-BS!K9</f>
        <v>0</v>
      </c>
      <c r="L55" s="43">
        <f>L52-BS!L9</f>
        <v>-1.00000000009004E-3</v>
      </c>
      <c r="M55" s="29">
        <f>M52-BS!M9</f>
        <v>0</v>
      </c>
      <c r="N55" s="29">
        <f>N52-BS!N9</f>
        <v>0</v>
      </c>
      <c r="O55" s="29">
        <f>O52-BS!O9</f>
        <v>0</v>
      </c>
      <c r="P55" s="279">
        <f>P52-BS!P9</f>
        <v>0</v>
      </c>
      <c r="Q55" s="29">
        <f>Q52-BS!Q9</f>
        <v>0</v>
      </c>
      <c r="R55" s="29">
        <f>R52-BS!R9</f>
        <v>0</v>
      </c>
      <c r="S55" s="29">
        <f>S52-BS!S9</f>
        <v>0</v>
      </c>
      <c r="T55" s="29">
        <f>T52-BS!T9</f>
        <v>0</v>
      </c>
      <c r="U55" s="279">
        <f>U52-BS!U9</f>
        <v>0</v>
      </c>
      <c r="V55" s="29">
        <f>V52-BS!V9</f>
        <v>0</v>
      </c>
      <c r="W55" s="29">
        <f>W52-BS!W9</f>
        <v>0</v>
      </c>
      <c r="X55" s="29">
        <f>X52-BS!X9</f>
        <v>0</v>
      </c>
      <c r="Y55" s="29">
        <f>Y52-BS!Y9</f>
        <v>0</v>
      </c>
      <c r="Z55" s="279">
        <f>Z52-BS!Z9</f>
        <v>0</v>
      </c>
      <c r="AA55" s="29">
        <f>AA52-BS!AA9</f>
        <v>0</v>
      </c>
      <c r="AB55" s="29">
        <f>AB52-BS!AB9</f>
        <v>0</v>
      </c>
      <c r="AC55" s="29">
        <f>AC52-BS!AC9</f>
        <v>0</v>
      </c>
      <c r="AD55" s="29">
        <f>AD52-BS!AD9</f>
        <v>0</v>
      </c>
      <c r="AE55" s="279">
        <f>AE52-BS!AE9</f>
        <v>0</v>
      </c>
      <c r="AF55" s="29">
        <f>AF52-BS!AF9</f>
        <v>0</v>
      </c>
      <c r="AG55" s="29">
        <f>AG52-BS!AG9</f>
        <v>0</v>
      </c>
      <c r="AH55" s="29">
        <f>AH52-BS!AH9</f>
        <v>0</v>
      </c>
      <c r="AI55" s="29">
        <f>AI52-BS!AI9</f>
        <v>0</v>
      </c>
      <c r="AJ55" s="279">
        <f>AJ52-BS!AJ9</f>
        <v>0</v>
      </c>
      <c r="AK55" s="29">
        <f>AK52-BS!AK9</f>
        <v>0</v>
      </c>
      <c r="AL55" s="29">
        <f>AL52-BS!AL9</f>
        <v>0</v>
      </c>
      <c r="AM55" s="29">
        <f>AM52-BS!AM9</f>
        <v>0</v>
      </c>
      <c r="AN55" s="29">
        <f>AN52-BS!AN9</f>
        <v>0</v>
      </c>
      <c r="AO55" s="279">
        <f>AO52-BS!AO9</f>
        <v>0</v>
      </c>
      <c r="AP55" s="29">
        <f>AP52-BS!AP9</f>
        <v>0</v>
      </c>
      <c r="AQ55" s="29">
        <f>AQ52-BS!AQ9</f>
        <v>0</v>
      </c>
      <c r="AR55" s="29">
        <f>AR52-BS!AR9</f>
        <v>0</v>
      </c>
      <c r="AS55" s="29">
        <f>AS52-BS!AS9</f>
        <v>0</v>
      </c>
      <c r="AT55" s="279">
        <f>AT52-BS!AT9</f>
        <v>0</v>
      </c>
      <c r="AU55" s="382">
        <f>AU52-BS!AU9</f>
        <v>0</v>
      </c>
      <c r="AV55" s="29">
        <f>AV52-BS!AV9</f>
        <v>0</v>
      </c>
      <c r="AW55" s="29">
        <f>AW52-BS!AW9</f>
        <v>0</v>
      </c>
      <c r="AX55" s="29">
        <f>AX52-BS!AX9</f>
        <v>0</v>
      </c>
      <c r="AY55" s="279">
        <f>AY52-BS!AY9</f>
        <v>0</v>
      </c>
      <c r="AZ55" s="29">
        <f>AZ52-BS!AZ9</f>
        <v>0</v>
      </c>
      <c r="BA55" s="29">
        <f>BA52-BS!BA9</f>
        <v>0</v>
      </c>
      <c r="BB55" s="29">
        <f>BB52-BS!BB9</f>
        <v>0</v>
      </c>
      <c r="BC55" s="29">
        <f>BC52-BS!BC9</f>
        <v>0</v>
      </c>
      <c r="BD55" s="279">
        <f>BD52-BS!BD9</f>
        <v>0</v>
      </c>
      <c r="BE55" s="29">
        <f>BE52-BS!BE9</f>
        <v>0</v>
      </c>
      <c r="BF55" s="29">
        <f>BF52-BS!BF9</f>
        <v>0</v>
      </c>
      <c r="BG55" s="29">
        <f>BG52-BS!BG9</f>
        <v>0</v>
      </c>
      <c r="BH55" s="29">
        <f>BH52-BS!BH9</f>
        <v>0</v>
      </c>
      <c r="BI55" s="279">
        <f>BI52-BS!BI9</f>
        <v>0</v>
      </c>
      <c r="BJ55" s="29">
        <f>BJ52-BS!BJ9</f>
        <v>0</v>
      </c>
      <c r="BK55" s="29">
        <f>BK52-BS!BK9</f>
        <v>0</v>
      </c>
      <c r="BL55" s="29">
        <f>BL52-BS!BL9</f>
        <v>0</v>
      </c>
      <c r="BM55" s="29">
        <f>BM52-BS!BM9</f>
        <v>0</v>
      </c>
      <c r="BN55" s="279">
        <f>BN52-BS!BN9</f>
        <v>0</v>
      </c>
      <c r="BO55" s="29">
        <f>BO52-BS!BO9</f>
        <v>0</v>
      </c>
      <c r="BP55" s="29">
        <f>BP52-BS!BP9</f>
        <v>0</v>
      </c>
      <c r="BQ55" s="29">
        <f>BQ52-BS!BQ9</f>
        <v>0</v>
      </c>
      <c r="BR55" s="29">
        <f>BR52-BS!BR9</f>
        <v>0</v>
      </c>
      <c r="BS55" s="279">
        <f>BS52-BS!BS9</f>
        <v>0</v>
      </c>
      <c r="BT55" s="29">
        <f>BT52-BS!BT9</f>
        <v>0</v>
      </c>
      <c r="BU55" s="29">
        <f>BU52-BS!BU9</f>
        <v>0</v>
      </c>
      <c r="BV55" s="29">
        <f>BV52-BS!BV9</f>
        <v>0</v>
      </c>
      <c r="BW55" s="29">
        <f>BW52-BS!BW9</f>
        <v>0</v>
      </c>
      <c r="BX55" s="279">
        <f>BX52-BS!BX9</f>
        <v>0</v>
      </c>
      <c r="BY55" s="29">
        <f>BY52-BS!BY9</f>
        <v>0</v>
      </c>
      <c r="BZ55" s="29">
        <f>BZ52-BS!BZ9</f>
        <v>0</v>
      </c>
      <c r="CA55" s="29">
        <f>CA52-BS!CA9</f>
        <v>0</v>
      </c>
      <c r="CB55" s="29">
        <f>CB52-BS!CB9</f>
        <v>0</v>
      </c>
      <c r="CC55" s="279">
        <f>CC52-BS!CC9</f>
        <v>0</v>
      </c>
      <c r="CD55" s="29">
        <f>CD52-BS!CD9</f>
        <v>0</v>
      </c>
      <c r="CE55" s="29">
        <f>CE52-BS!CE9</f>
        <v>0</v>
      </c>
      <c r="CF55" s="29">
        <f>CF52-BS!CF9</f>
        <v>0</v>
      </c>
      <c r="CG55" s="29">
        <f>CG52-BS!CG9</f>
        <v>0</v>
      </c>
      <c r="CH55" s="279">
        <f>CH52-BS!CH9</f>
        <v>0</v>
      </c>
      <c r="CI55" s="29">
        <f>CI52-BS!CI9</f>
        <v>0</v>
      </c>
      <c r="CJ55" s="29">
        <f>CJ52-BS!CJ9</f>
        <v>0</v>
      </c>
      <c r="CK55" s="29">
        <f>CK52-BS!CK9</f>
        <v>0</v>
      </c>
      <c r="CL55" s="29">
        <f>CL52-BS!CL9</f>
        <v>0</v>
      </c>
      <c r="CM55" s="279">
        <f>CM52-BS!CM9</f>
        <v>0</v>
      </c>
    </row>
    <row r="56" spans="1:91" s="16" customFormat="1">
      <c r="F56" s="269"/>
      <c r="K56" s="269"/>
      <c r="P56" s="269"/>
      <c r="U56" s="269"/>
      <c r="Z56" s="269"/>
      <c r="AE56" s="269"/>
      <c r="AJ56" s="269"/>
      <c r="AO56" s="269"/>
      <c r="AT56" s="269"/>
      <c r="AU56" s="306"/>
      <c r="AY56" s="269"/>
      <c r="BD56" s="269"/>
      <c r="BI56" s="269"/>
      <c r="BN56" s="269"/>
      <c r="BS56" s="269"/>
      <c r="BX56" s="269"/>
      <c r="CC56" s="269"/>
      <c r="CH56" s="269"/>
      <c r="CM56" s="269"/>
    </row>
    <row r="57" spans="1:91" s="16" customFormat="1" outlineLevel="1">
      <c r="A57" s="142" t="s">
        <v>167</v>
      </c>
      <c r="B57" s="13"/>
      <c r="C57" s="13"/>
      <c r="D57" s="13"/>
      <c r="E57" s="13"/>
      <c r="F57" s="224">
        <f>F10/IS!F22</f>
        <v>0</v>
      </c>
      <c r="G57" s="13"/>
      <c r="H57" s="13"/>
      <c r="I57" s="13" t="e">
        <f>I10/IS!I22</f>
        <v>#DIV/0!</v>
      </c>
      <c r="J57" s="13">
        <f>J10/IS!J22</f>
        <v>0</v>
      </c>
      <c r="K57" s="224">
        <f>K10/IS!K22</f>
        <v>0</v>
      </c>
      <c r="L57" s="13">
        <f>L10/IS!L22</f>
        <v>0</v>
      </c>
      <c r="M57" s="13">
        <f>M10/IS!M22</f>
        <v>0</v>
      </c>
      <c r="N57" s="13">
        <f>N10/IS!N22</f>
        <v>0</v>
      </c>
      <c r="O57" s="13">
        <f>O10/IS!O22</f>
        <v>0</v>
      </c>
      <c r="P57" s="224">
        <f>P10/IS!P22</f>
        <v>0</v>
      </c>
      <c r="Q57" s="16">
        <f>Q10/IS!Q22</f>
        <v>0</v>
      </c>
      <c r="R57" s="13">
        <f>R10/IS!R22</f>
        <v>0</v>
      </c>
      <c r="S57" s="46">
        <f>S10/IS!S22</f>
        <v>0</v>
      </c>
      <c r="T57" s="13">
        <f>T10/IS!T22</f>
        <v>0</v>
      </c>
      <c r="U57" s="224">
        <f>U10/IS!U22</f>
        <v>0</v>
      </c>
      <c r="V57" s="16">
        <f>V10/IS!V22</f>
        <v>0</v>
      </c>
      <c r="W57" s="13">
        <f>W10/IS!W22</f>
        <v>0</v>
      </c>
      <c r="X57" s="13">
        <f>X10/IS!X22</f>
        <v>0</v>
      </c>
      <c r="Y57" s="13">
        <f>Y10/IS!Y22</f>
        <v>0</v>
      </c>
      <c r="Z57" s="224">
        <f>Z10/IS!Z22</f>
        <v>0</v>
      </c>
      <c r="AA57" s="16">
        <f>AA10/IS!AA22</f>
        <v>0</v>
      </c>
      <c r="AB57" s="13">
        <f>AB10/IS!AB22</f>
        <v>0</v>
      </c>
      <c r="AC57" s="13">
        <f>AC10/IS!AC22</f>
        <v>0</v>
      </c>
      <c r="AD57" s="13">
        <f>AD10/IS!AD22</f>
        <v>0</v>
      </c>
      <c r="AE57" s="224">
        <f>AE10/IS!AE22</f>
        <v>0</v>
      </c>
      <c r="AF57" s="16">
        <f>AF10/IS!AF22</f>
        <v>0</v>
      </c>
      <c r="AG57" s="13">
        <f>AG10/IS!AG22</f>
        <v>0</v>
      </c>
      <c r="AH57" s="13">
        <f>AH10/IS!AH22</f>
        <v>0</v>
      </c>
      <c r="AI57" s="13">
        <f>AI10/IS!AI22</f>
        <v>0</v>
      </c>
      <c r="AJ57" s="224">
        <f>AJ10/IS!AJ22</f>
        <v>0</v>
      </c>
      <c r="AK57" s="16">
        <f>AK10/IS!AK22</f>
        <v>0</v>
      </c>
      <c r="AL57" s="13">
        <f>AL10/IS!AL22</f>
        <v>0</v>
      </c>
      <c r="AO57" s="269"/>
      <c r="AT57" s="269"/>
      <c r="AU57" s="306"/>
      <c r="AY57" s="269"/>
      <c r="BD57" s="269"/>
      <c r="BI57" s="269"/>
      <c r="BN57" s="269"/>
      <c r="BS57" s="269"/>
      <c r="BX57" s="269"/>
      <c r="CC57" s="269"/>
      <c r="CH57" s="269"/>
      <c r="CM57" s="269"/>
    </row>
    <row r="58" spans="1:91" s="16" customFormat="1" outlineLevel="1">
      <c r="A58" s="142" t="s">
        <v>168</v>
      </c>
      <c r="B58" s="13"/>
      <c r="C58" s="13"/>
      <c r="D58" s="13"/>
      <c r="E58" s="13"/>
      <c r="F58" s="224">
        <f>F14/IS!F7</f>
        <v>0</v>
      </c>
      <c r="G58" s="13"/>
      <c r="H58" s="13"/>
      <c r="I58" s="13">
        <f>I14/IS!I7</f>
        <v>0</v>
      </c>
      <c r="J58" s="13">
        <f>J14/IS!J7</f>
        <v>0</v>
      </c>
      <c r="K58" s="224">
        <f>K14/IS!K7</f>
        <v>0</v>
      </c>
      <c r="L58" s="13">
        <f>L14/IS!L7</f>
        <v>0</v>
      </c>
      <c r="M58" s="13">
        <f>M14/IS!M7</f>
        <v>0</v>
      </c>
      <c r="N58" s="13">
        <f>N14/IS!N7</f>
        <v>0</v>
      </c>
      <c r="O58" s="13">
        <f>O14/IS!O7</f>
        <v>0</v>
      </c>
      <c r="P58" s="224">
        <f>P14/IS!P7</f>
        <v>0</v>
      </c>
      <c r="Q58" s="13">
        <f>Q14/IS!Q7</f>
        <v>0</v>
      </c>
      <c r="R58" s="13">
        <f>R14/IS!R7</f>
        <v>0</v>
      </c>
      <c r="S58" s="13">
        <f>S14/IS!S7</f>
        <v>0</v>
      </c>
      <c r="T58" s="13">
        <f>T14/IS!T7</f>
        <v>0</v>
      </c>
      <c r="U58" s="224">
        <f>U14/IS!U7</f>
        <v>0</v>
      </c>
      <c r="V58" s="13">
        <f>V14/IS!V7</f>
        <v>0</v>
      </c>
      <c r="W58" s="13">
        <f>W14/IS!W7</f>
        <v>0</v>
      </c>
      <c r="X58" s="13">
        <f>W58</f>
        <v>0</v>
      </c>
      <c r="Y58" s="13">
        <f>X58</f>
        <v>0</v>
      </c>
      <c r="Z58" s="224">
        <f>Z14/IS!Z7</f>
        <v>0</v>
      </c>
      <c r="AA58" s="13">
        <f>Y58</f>
        <v>0</v>
      </c>
      <c r="AB58" s="13">
        <f>AA58</f>
        <v>0</v>
      </c>
      <c r="AC58" s="13">
        <f>AB58</f>
        <v>0</v>
      </c>
      <c r="AD58" s="13">
        <f>AC58</f>
        <v>0</v>
      </c>
      <c r="AE58" s="224">
        <f>AE14/IS!AE7</f>
        <v>0</v>
      </c>
      <c r="AF58" s="13">
        <f>AD58</f>
        <v>0</v>
      </c>
      <c r="AG58" s="13">
        <f>AF58</f>
        <v>0</v>
      </c>
      <c r="AH58" s="13">
        <f>AG58</f>
        <v>0</v>
      </c>
      <c r="AI58" s="13">
        <f>AH58</f>
        <v>0</v>
      </c>
      <c r="AJ58" s="224">
        <f>AJ14/IS!AJ7</f>
        <v>0</v>
      </c>
      <c r="AK58" s="13">
        <f>AI58</f>
        <v>0</v>
      </c>
      <c r="AL58" s="13">
        <f>AK58</f>
        <v>0</v>
      </c>
      <c r="AM58" s="50">
        <f>AL58</f>
        <v>0</v>
      </c>
      <c r="AN58" s="50">
        <f>AM58</f>
        <v>0</v>
      </c>
      <c r="AO58" s="224">
        <f>AO14/IS!AO7</f>
        <v>0</v>
      </c>
      <c r="AP58" s="50">
        <f>AN58</f>
        <v>0</v>
      </c>
      <c r="AQ58" s="50">
        <f>AP58</f>
        <v>0</v>
      </c>
      <c r="AR58" s="50">
        <f>AQ58</f>
        <v>0</v>
      </c>
      <c r="AS58" s="50">
        <f>AR58</f>
        <v>0</v>
      </c>
      <c r="AT58" s="224">
        <f>AT14/IS!AT7</f>
        <v>0</v>
      </c>
      <c r="AU58" s="54">
        <f>AS58</f>
        <v>0</v>
      </c>
      <c r="AV58" s="50">
        <f>AU58</f>
        <v>0</v>
      </c>
      <c r="AW58" s="50">
        <f>AV58</f>
        <v>0</v>
      </c>
      <c r="AX58" s="50">
        <f>AW58</f>
        <v>0</v>
      </c>
      <c r="AY58" s="224">
        <f>AY14/IS!AY7</f>
        <v>0</v>
      </c>
      <c r="AZ58" s="50">
        <f>AX58</f>
        <v>0</v>
      </c>
      <c r="BA58" s="50">
        <f>AZ58</f>
        <v>0</v>
      </c>
      <c r="BB58" s="50">
        <f>BA58</f>
        <v>0</v>
      </c>
      <c r="BC58" s="50">
        <f>BB58</f>
        <v>0</v>
      </c>
      <c r="BD58" s="224">
        <f>BD14/IS!BD7</f>
        <v>0</v>
      </c>
      <c r="BE58" s="50">
        <f>BC58</f>
        <v>0</v>
      </c>
      <c r="BF58" s="50">
        <f>BE58</f>
        <v>0</v>
      </c>
      <c r="BG58" s="50">
        <f>BF58</f>
        <v>0</v>
      </c>
      <c r="BH58" s="50">
        <f>BG58</f>
        <v>0</v>
      </c>
      <c r="BI58" s="224">
        <f>BI14/IS!BI7</f>
        <v>0</v>
      </c>
      <c r="BJ58" s="50">
        <f>BH58</f>
        <v>0</v>
      </c>
      <c r="BK58" s="50">
        <f>BJ58</f>
        <v>0</v>
      </c>
      <c r="BL58" s="50">
        <f>BK58</f>
        <v>0</v>
      </c>
      <c r="BM58" s="50">
        <f>BL58</f>
        <v>0</v>
      </c>
      <c r="BN58" s="224">
        <f>BN14/IS!BN7</f>
        <v>0</v>
      </c>
      <c r="BO58" s="50">
        <f>BM58</f>
        <v>0</v>
      </c>
      <c r="BP58" s="50">
        <f>BO58</f>
        <v>0</v>
      </c>
      <c r="BQ58" s="50">
        <f>BP58</f>
        <v>0</v>
      </c>
      <c r="BR58" s="50">
        <f>BQ58</f>
        <v>0</v>
      </c>
      <c r="BS58" s="224">
        <f>BS14/IS!BS7</f>
        <v>0</v>
      </c>
      <c r="BT58" s="50">
        <f>BR58</f>
        <v>0</v>
      </c>
      <c r="BU58" s="50">
        <f>BT58</f>
        <v>0</v>
      </c>
      <c r="BV58" s="50">
        <f>BU58</f>
        <v>0</v>
      </c>
      <c r="BW58" s="50">
        <f>BV58</f>
        <v>0</v>
      </c>
      <c r="BX58" s="224">
        <f>BX14/IS!BX7</f>
        <v>0</v>
      </c>
      <c r="BY58" s="50">
        <f>BW58</f>
        <v>0</v>
      </c>
      <c r="BZ58" s="50">
        <f>BY58</f>
        <v>0</v>
      </c>
      <c r="CA58" s="50">
        <f>BZ58</f>
        <v>0</v>
      </c>
      <c r="CB58" s="50">
        <f>CA58</f>
        <v>0</v>
      </c>
      <c r="CC58" s="224">
        <f>CC14/IS!CC7</f>
        <v>0</v>
      </c>
      <c r="CD58" s="50">
        <f>CB58</f>
        <v>0</v>
      </c>
      <c r="CE58" s="50">
        <f>CD58</f>
        <v>0</v>
      </c>
      <c r="CF58" s="50">
        <f>CE58</f>
        <v>0</v>
      </c>
      <c r="CG58" s="50">
        <f>CF58</f>
        <v>0</v>
      </c>
      <c r="CH58" s="224">
        <f>CH14/IS!CH7</f>
        <v>0</v>
      </c>
      <c r="CI58" s="50">
        <f>CG58</f>
        <v>0</v>
      </c>
      <c r="CJ58" s="50">
        <f>CI58</f>
        <v>0</v>
      </c>
      <c r="CK58" s="50">
        <f>CJ58</f>
        <v>0</v>
      </c>
      <c r="CL58" s="50">
        <f>CK58</f>
        <v>0</v>
      </c>
      <c r="CM58" s="224">
        <f>CM14/IS!CM7</f>
        <v>0</v>
      </c>
    </row>
    <row r="59" spans="1:91" s="16" customFormat="1" outlineLevel="1">
      <c r="F59" s="269"/>
      <c r="K59" s="269"/>
      <c r="P59" s="269"/>
      <c r="U59" s="269"/>
      <c r="Z59" s="269"/>
      <c r="AD59" s="138"/>
      <c r="AE59" s="269"/>
      <c r="AF59" s="138"/>
      <c r="AJ59" s="269"/>
      <c r="AO59" s="269"/>
      <c r="AT59" s="269"/>
      <c r="AU59" s="306"/>
      <c r="AY59" s="269"/>
      <c r="BD59" s="269"/>
      <c r="BI59" s="269"/>
      <c r="BN59" s="269"/>
      <c r="BS59" s="269"/>
      <c r="BX59" s="269"/>
      <c r="CC59" s="269"/>
      <c r="CH59" s="269"/>
      <c r="CM59" s="269"/>
    </row>
    <row r="60" spans="1:91" s="16" customFormat="1" outlineLevel="1">
      <c r="A60" s="16" t="s">
        <v>414</v>
      </c>
      <c r="F60" s="269"/>
      <c r="I60" s="16">
        <f>I24+I32+SUM(I36:I40)</f>
        <v>3.2139999999999951</v>
      </c>
      <c r="J60" s="16">
        <f>J24+J32+SUM(J36:J40)</f>
        <v>26.137999999999948</v>
      </c>
      <c r="K60" s="269"/>
      <c r="L60" s="16">
        <f>L24+L32+SUM(L36:L40)</f>
        <v>13.314</v>
      </c>
      <c r="M60" s="16">
        <f>M24+M32+SUM(M36:M40)</f>
        <v>20.704999999999927</v>
      </c>
      <c r="N60" s="16">
        <f>N24+N32+SUM(N36:N40)</f>
        <v>-27.511999999999922</v>
      </c>
      <c r="O60" s="16">
        <f>O24+O32+SUM(O36:O40)</f>
        <v>-3.5959999999999344</v>
      </c>
      <c r="P60" s="269"/>
      <c r="Q60" s="16">
        <f>Q24+Q32+SUM(Q36:Q40)</f>
        <v>8.9879999999999978</v>
      </c>
      <c r="R60" s="16">
        <f>R24+R32+SUM(R36:R40)</f>
        <v>12.405999999999949</v>
      </c>
      <c r="S60" s="16">
        <f>S24+S32+SUM(S36:S40)</f>
        <v>-21.915999999999954</v>
      </c>
      <c r="T60" s="16">
        <f>T24+T32+SUM(T36:T40)</f>
        <v>-442.93399999999997</v>
      </c>
      <c r="U60" s="269"/>
      <c r="V60" s="16">
        <f>V24+V32+SUM(V36:V40)</f>
        <v>37.626000000000033</v>
      </c>
      <c r="W60" s="16">
        <f>W24+W32+SUM(W36:W40)</f>
        <v>69.381999999999962</v>
      </c>
      <c r="X60" s="16">
        <f>X24+X32+SUM(X36:X40)</f>
        <v>-106.09899999999999</v>
      </c>
      <c r="Y60" s="16">
        <f>Y24+Y32+SUM(Y36:Y40)</f>
        <v>-339.90499999999997</v>
      </c>
      <c r="Z60" s="269"/>
      <c r="AA60" s="16">
        <f>AA24+AA32+SUM(AA36:AA40)</f>
        <v>82.176999999999992</v>
      </c>
      <c r="AB60" s="16">
        <f>AB24+AB32+SUM(AB36:AB40)</f>
        <v>-356.91500000000008</v>
      </c>
      <c r="AC60" s="16">
        <f>AC24+AC32+SUM(AC36:AC40)</f>
        <v>-56.197999999999993</v>
      </c>
      <c r="AD60" s="16">
        <f>AD24+AD32+SUM(AD36:AD40)</f>
        <v>-17.803999999999984</v>
      </c>
      <c r="AE60" s="269"/>
      <c r="AF60" s="16">
        <f>AF24+AF32+SUM(AF36:AF40)</f>
        <v>81.928999999999988</v>
      </c>
      <c r="AG60" s="16">
        <f>AG24+AG32+SUM(AG36:AG40)</f>
        <v>48.711999999999932</v>
      </c>
      <c r="AH60" s="16">
        <f>AH24+AH32+SUM(AH36:AH40)</f>
        <v>186.71500000000012</v>
      </c>
      <c r="AI60" s="16">
        <f>AI24+AI32+SUM(AI36:AI40)</f>
        <v>675.29399999999987</v>
      </c>
      <c r="AJ60" s="269"/>
      <c r="AK60" s="16">
        <f>AK24+AK32+SUM(AK36:AK40)</f>
        <v>-3.2919999999999998</v>
      </c>
      <c r="AL60" s="16">
        <f>AL24+AL32+SUM(AL36:AL40)</f>
        <v>-93.181000000000012</v>
      </c>
      <c r="AM60" s="16">
        <f>AM24+AM32+SUM(AM36:AM40)</f>
        <v>-348.77100000000002</v>
      </c>
      <c r="AN60" s="16">
        <f>AN24+AN32+SUM(AN36:AN40)</f>
        <v>-56.917999999999978</v>
      </c>
      <c r="AO60" s="269"/>
      <c r="AP60" s="16">
        <f>AP24+AP32+SUM(AP36:AP40)</f>
        <v>173.32499999999996</v>
      </c>
      <c r="AQ60" s="16">
        <f>AQ24+AQ32+SUM(AQ36:AQ40)</f>
        <v>-69.31</v>
      </c>
      <c r="AR60" s="16">
        <f>AR24+AR32+SUM(AR36:AR40)</f>
        <v>-45.431999999999988</v>
      </c>
      <c r="AS60" s="16">
        <f>AS24+AS32+SUM(AS36:AS40)</f>
        <v>-601.91200000000003</v>
      </c>
      <c r="AT60" s="269"/>
      <c r="AU60" s="306">
        <f>AU24+AU32+SUM(AU36:AU40)</f>
        <v>-69.626164405154313</v>
      </c>
      <c r="AV60" s="16">
        <f>AV24+AV32+SUM(AV36:AV40)</f>
        <v>-65.443918657617417</v>
      </c>
      <c r="AW60" s="16">
        <f>AW24+AW32+SUM(AW36:AW40)</f>
        <v>-29.606279064093179</v>
      </c>
      <c r="AX60" s="16">
        <f>AX24+AX32+SUM(AX36:AX40)</f>
        <v>-7.494556745370538</v>
      </c>
      <c r="AY60" s="269"/>
      <c r="AZ60" s="16">
        <f>AZ24+AZ32+SUM(AZ36:AZ40)</f>
        <v>-34.651048497762673</v>
      </c>
      <c r="BA60" s="16">
        <f>BA24+BA32+SUM(BA36:BA40)</f>
        <v>-36.600737385629408</v>
      </c>
      <c r="BB60" s="16">
        <f>BB24+BB32+SUM(BB36:BB40)</f>
        <v>7.7320582012024701</v>
      </c>
      <c r="BC60" s="16">
        <f>BC24+BC32+SUM(BC36:BC40)</f>
        <v>46.548787131425136</v>
      </c>
      <c r="BD60" s="269"/>
      <c r="BE60" s="16">
        <f>BE24+BE32+SUM(BE36:BE40)</f>
        <v>15.619691621033709</v>
      </c>
      <c r="BF60" s="16">
        <f>BF24+BF32+SUM(BF36:BF40)</f>
        <v>4.0242915711562333</v>
      </c>
      <c r="BG60" s="16">
        <f>BG24+BG32+SUM(BG36:BG40)</f>
        <v>66.916889455213024</v>
      </c>
      <c r="BH60" s="16">
        <f>BH24+BH32+SUM(BH36:BH40)</f>
        <v>122.0537107796527</v>
      </c>
      <c r="BI60" s="269"/>
      <c r="BJ60" s="16">
        <f>BJ24+BJ32+SUM(BJ36:BJ40)</f>
        <v>94.215823468295781</v>
      </c>
      <c r="BK60" s="16">
        <f>BK24+BK32+SUM(BK36:BK40)</f>
        <v>43.32145992136671</v>
      </c>
      <c r="BL60" s="16">
        <f>BL24+BL32+SUM(BL36:BL40)</f>
        <v>125.45853699628211</v>
      </c>
      <c r="BM60" s="16">
        <f>BM24+BM32+SUM(BM36:BM40)</f>
        <v>189.31967265718794</v>
      </c>
      <c r="BN60" s="269"/>
      <c r="BO60" s="16">
        <f>BO24+BO32+SUM(BO36:BO40)</f>
        <v>149.38035402113516</v>
      </c>
      <c r="BP60" s="16">
        <f>BP24+BP32+SUM(BP36:BP40)</f>
        <v>95.043933271919599</v>
      </c>
      <c r="BQ60" s="16">
        <f>BQ24+BQ32+SUM(BQ36:BQ40)</f>
        <v>187.71909741548995</v>
      </c>
      <c r="BR60" s="16">
        <f>BR24+BR32+SUM(BR36:BR40)</f>
        <v>263.46602156077904</v>
      </c>
      <c r="BS60" s="269"/>
      <c r="BT60" s="16">
        <f>BT24+BT32+SUM(BT36:BT40)</f>
        <v>226.25598094169501</v>
      </c>
      <c r="BU60" s="16">
        <f>BU24+BU32+SUM(BU36:BU40)</f>
        <v>133.12734683787576</v>
      </c>
      <c r="BV60" s="16">
        <f>BV24+BV32+SUM(BV36:BV40)</f>
        <v>236.81190148690405</v>
      </c>
      <c r="BW60" s="16">
        <f>BW24+BW32+SUM(BW36:BW40)</f>
        <v>319.39448483388162</v>
      </c>
      <c r="BX60" s="269"/>
      <c r="BY60" s="16">
        <f>BY24+BY32+SUM(BY36:BY40)</f>
        <v>266.60466318481087</v>
      </c>
      <c r="BZ60" s="16">
        <f>BZ24+BZ32+SUM(BZ36:BZ40)</f>
        <v>164.84665923106309</v>
      </c>
      <c r="CA60" s="16">
        <f>CA24+CA32+SUM(CA36:CA40)</f>
        <v>280.05052244433898</v>
      </c>
      <c r="CB60" s="16">
        <f>CB24+CB32+SUM(CB36:CB40)</f>
        <v>366.76548350607652</v>
      </c>
      <c r="CC60" s="269"/>
      <c r="CD60" s="16">
        <f>CD24+CD32+SUM(CD36:CD40)</f>
        <v>310.660679829571</v>
      </c>
      <c r="CE60" s="16">
        <f>CE24+CE32+SUM(CE36:CE40)</f>
        <v>202.79172102927552</v>
      </c>
      <c r="CF60" s="16">
        <f>CF24+CF32+SUM(CF36:CF40)</f>
        <v>318.36969606753388</v>
      </c>
      <c r="CG60" s="16">
        <f>CG24+CG32+SUM(CG36:CG40)</f>
        <v>408.49756053826206</v>
      </c>
      <c r="CH60" s="269"/>
      <c r="CI60" s="16">
        <f>CI24+CI32+SUM(CI36:CI40)</f>
        <v>345.84377387917971</v>
      </c>
      <c r="CJ60" s="16">
        <f>CJ24+CJ32+SUM(CJ36:CJ40)</f>
        <v>227.94704218477739</v>
      </c>
      <c r="CK60" s="16">
        <f>CK24+CK32+SUM(CK36:CK40)</f>
        <v>349.99637436870267</v>
      </c>
      <c r="CL60" s="16">
        <f>CL24+CL32+SUM(CL36:CL40)</f>
        <v>440.26028674528942</v>
      </c>
      <c r="CM60" s="269"/>
    </row>
    <row r="61" spans="1:91" s="16" customFormat="1">
      <c r="F61" s="269"/>
      <c r="K61" s="269"/>
      <c r="P61" s="269"/>
      <c r="U61" s="269"/>
      <c r="Z61" s="269"/>
      <c r="AE61" s="269"/>
      <c r="AJ61" s="269"/>
      <c r="AO61" s="269"/>
      <c r="AT61" s="269"/>
      <c r="AU61" s="306"/>
      <c r="AY61" s="269"/>
      <c r="BD61" s="269"/>
      <c r="BI61" s="269"/>
      <c r="BN61" s="269"/>
      <c r="BS61" s="269"/>
      <c r="BX61" s="269"/>
      <c r="CC61" s="269"/>
      <c r="CH61" s="269"/>
      <c r="CM61" s="269"/>
    </row>
    <row r="62" spans="1:91" s="16" customFormat="1">
      <c r="A62" s="16" t="s">
        <v>103</v>
      </c>
      <c r="D62" s="16">
        <f t="shared" ref="D62:AD62" si="101">D24+D29+D39</f>
        <v>-57.965000000000011</v>
      </c>
      <c r="E62" s="16">
        <f t="shared" si="101"/>
        <v>-20.951000000000001</v>
      </c>
      <c r="F62" s="269">
        <f t="shared" si="101"/>
        <v>-78.915999999999997</v>
      </c>
      <c r="G62" s="16">
        <f t="shared" si="101"/>
        <v>-10.580000000000002</v>
      </c>
      <c r="H62" s="16">
        <f t="shared" si="101"/>
        <v>-24.38</v>
      </c>
      <c r="I62" s="16">
        <f t="shared" si="101"/>
        <v>-27.959000000000007</v>
      </c>
      <c r="J62" s="16">
        <f t="shared" si="101"/>
        <v>-29.469000000000005</v>
      </c>
      <c r="K62" s="269">
        <f t="shared" si="101"/>
        <v>-92.388000000000005</v>
      </c>
      <c r="L62" s="16">
        <f t="shared" si="101"/>
        <v>-7.008</v>
      </c>
      <c r="M62" s="16">
        <f t="shared" si="101"/>
        <v>-16.883000000000003</v>
      </c>
      <c r="N62" s="16">
        <f t="shared" si="101"/>
        <v>-4.5289999999999964</v>
      </c>
      <c r="O62" s="16">
        <f t="shared" si="101"/>
        <v>-37.430999999999997</v>
      </c>
      <c r="P62" s="269">
        <f t="shared" si="101"/>
        <v>-65.850999999999999</v>
      </c>
      <c r="Q62" s="16">
        <f t="shared" si="101"/>
        <v>-22.880000000000003</v>
      </c>
      <c r="R62" s="16">
        <f t="shared" si="101"/>
        <v>-32.872</v>
      </c>
      <c r="S62" s="16">
        <f t="shared" si="101"/>
        <v>-17.842999999999989</v>
      </c>
      <c r="T62" s="16">
        <f t="shared" si="101"/>
        <v>-66.504999999999967</v>
      </c>
      <c r="U62" s="269">
        <f t="shared" si="101"/>
        <v>-140.09999999999997</v>
      </c>
      <c r="V62" s="16">
        <f t="shared" si="101"/>
        <v>-25.876999999999995</v>
      </c>
      <c r="W62" s="16">
        <f t="shared" si="101"/>
        <v>-81.268000000000001</v>
      </c>
      <c r="X62" s="16">
        <f t="shared" si="101"/>
        <v>-75.294000000000011</v>
      </c>
      <c r="Y62" s="16">
        <f t="shared" si="101"/>
        <v>-101.61299999999997</v>
      </c>
      <c r="Z62" s="269">
        <f t="shared" si="101"/>
        <v>-284.05199999999991</v>
      </c>
      <c r="AA62" s="16">
        <f t="shared" si="101"/>
        <v>-51.31900000000001</v>
      </c>
      <c r="AB62" s="16">
        <f t="shared" si="101"/>
        <v>-134.96899999999999</v>
      </c>
      <c r="AC62" s="16">
        <f t="shared" si="101"/>
        <v>-99.88600000000001</v>
      </c>
      <c r="AD62" s="16">
        <f t="shared" si="101"/>
        <v>-100.74999999999994</v>
      </c>
      <c r="AE62" s="269">
        <v>-386.9</v>
      </c>
      <c r="AF62" s="16">
        <v>-82</v>
      </c>
      <c r="AG62" s="16">
        <v>-100.52800000000001</v>
      </c>
      <c r="AH62" s="16">
        <v>-80.2</v>
      </c>
      <c r="AI62" s="16">
        <v>-82.8</v>
      </c>
      <c r="AJ62" s="269">
        <f>SUM(AF62:AI62)</f>
        <v>-345.52800000000002</v>
      </c>
      <c r="AK62" s="16">
        <v>-37.218000000000004</v>
      </c>
      <c r="AL62" s="16">
        <v>-99.078999999999994</v>
      </c>
      <c r="AM62" s="16">
        <f t="shared" ref="AM62:BR62" si="102">AM24+AM29+AM39</f>
        <v>-55.258000000000017</v>
      </c>
      <c r="AN62" s="16">
        <f t="shared" si="102"/>
        <v>-83.387999999999977</v>
      </c>
      <c r="AO62" s="269">
        <f t="shared" si="102"/>
        <v>-274.94299999999998</v>
      </c>
      <c r="AP62" s="16">
        <f>AP24+AP29+AP39</f>
        <v>-67.14800000000001</v>
      </c>
      <c r="AQ62" s="16">
        <f>AQ24+AQ29+AQ39</f>
        <v>-65.933999999999997</v>
      </c>
      <c r="AR62" s="16">
        <f t="shared" si="102"/>
        <v>-45.762999999999991</v>
      </c>
      <c r="AS62" s="16">
        <f t="shared" si="102"/>
        <v>-54.220999999999975</v>
      </c>
      <c r="AT62" s="269">
        <f>AT24+AT29+AT39</f>
        <v>-233.06599999999997</v>
      </c>
      <c r="AU62" s="306">
        <f t="shared" si="102"/>
        <v>-69.626164405154313</v>
      </c>
      <c r="AV62" s="16">
        <f t="shared" si="102"/>
        <v>-65.443918657617417</v>
      </c>
      <c r="AW62" s="16">
        <f t="shared" si="102"/>
        <v>-29.606279064093179</v>
      </c>
      <c r="AX62" s="16">
        <f t="shared" si="102"/>
        <v>-7.494556745370538</v>
      </c>
      <c r="AY62" s="269">
        <f t="shared" si="102"/>
        <v>-172.1709188722354</v>
      </c>
      <c r="AZ62" s="16">
        <f t="shared" si="102"/>
        <v>-34.651048497762673</v>
      </c>
      <c r="BA62" s="16">
        <f t="shared" si="102"/>
        <v>-36.600737385629408</v>
      </c>
      <c r="BB62" s="16">
        <f t="shared" si="102"/>
        <v>7.7320582012024701</v>
      </c>
      <c r="BC62" s="16">
        <f t="shared" si="102"/>
        <v>46.548787131425136</v>
      </c>
      <c r="BD62" s="269">
        <f t="shared" si="102"/>
        <v>-16.970940550764468</v>
      </c>
      <c r="BE62" s="16">
        <f t="shared" si="102"/>
        <v>15.619691621033709</v>
      </c>
      <c r="BF62" s="16">
        <f t="shared" si="102"/>
        <v>4.0242915711562333</v>
      </c>
      <c r="BG62" s="16">
        <f t="shared" si="102"/>
        <v>66.916889455213024</v>
      </c>
      <c r="BH62" s="16">
        <f t="shared" si="102"/>
        <v>122.0537107796527</v>
      </c>
      <c r="BI62" s="269">
        <f>BI24+BI29+BI39</f>
        <v>208.61458342705566</v>
      </c>
      <c r="BJ62" s="16">
        <f t="shared" si="102"/>
        <v>94.215823468295781</v>
      </c>
      <c r="BK62" s="16">
        <f t="shared" si="102"/>
        <v>43.32145992136671</v>
      </c>
      <c r="BL62" s="16">
        <f t="shared" si="102"/>
        <v>125.45853699628211</v>
      </c>
      <c r="BM62" s="16">
        <f t="shared" si="102"/>
        <v>189.31967265718794</v>
      </c>
      <c r="BN62" s="269">
        <f t="shared" si="102"/>
        <v>452.31549304313262</v>
      </c>
      <c r="BO62" s="16">
        <f t="shared" si="102"/>
        <v>149.38035402113516</v>
      </c>
      <c r="BP62" s="16">
        <f t="shared" si="102"/>
        <v>95.043933271919599</v>
      </c>
      <c r="BQ62" s="16">
        <f t="shared" si="102"/>
        <v>187.71909741548995</v>
      </c>
      <c r="BR62" s="16">
        <f t="shared" si="102"/>
        <v>263.46602156077904</v>
      </c>
      <c r="BS62" s="269">
        <f t="shared" ref="BS62:CM62" si="103">BS24+BS29+BS39</f>
        <v>695.60940626932359</v>
      </c>
      <c r="BT62" s="16">
        <f t="shared" si="103"/>
        <v>226.25598094169501</v>
      </c>
      <c r="BU62" s="16">
        <f t="shared" si="103"/>
        <v>133.12734683787576</v>
      </c>
      <c r="BV62" s="16">
        <f t="shared" si="103"/>
        <v>236.81190148690405</v>
      </c>
      <c r="BW62" s="16">
        <f t="shared" si="103"/>
        <v>319.39448483388162</v>
      </c>
      <c r="BX62" s="269">
        <f t="shared" si="103"/>
        <v>915.58971410035633</v>
      </c>
      <c r="BY62" s="16">
        <f t="shared" si="103"/>
        <v>266.60466318481087</v>
      </c>
      <c r="BZ62" s="16">
        <f t="shared" si="103"/>
        <v>164.84665923106309</v>
      </c>
      <c r="CA62" s="16">
        <f t="shared" si="103"/>
        <v>280.05052244433898</v>
      </c>
      <c r="CB62" s="16">
        <f t="shared" si="103"/>
        <v>366.76548350607652</v>
      </c>
      <c r="CC62" s="269">
        <f t="shared" si="103"/>
        <v>1078.2673283662893</v>
      </c>
      <c r="CD62" s="16">
        <f t="shared" si="103"/>
        <v>310.660679829571</v>
      </c>
      <c r="CE62" s="16">
        <f t="shared" si="103"/>
        <v>202.79172102927552</v>
      </c>
      <c r="CF62" s="16">
        <f t="shared" si="103"/>
        <v>318.36969606753388</v>
      </c>
      <c r="CG62" s="16">
        <f t="shared" si="103"/>
        <v>408.49756053826206</v>
      </c>
      <c r="CH62" s="269">
        <f t="shared" si="103"/>
        <v>1240.3196574646427</v>
      </c>
      <c r="CI62" s="16">
        <f t="shared" si="103"/>
        <v>345.84377387917971</v>
      </c>
      <c r="CJ62" s="16">
        <f t="shared" si="103"/>
        <v>227.94704218477739</v>
      </c>
      <c r="CK62" s="16">
        <f t="shared" si="103"/>
        <v>349.99637436870267</v>
      </c>
      <c r="CL62" s="16">
        <f t="shared" si="103"/>
        <v>440.26028674528942</v>
      </c>
      <c r="CM62" s="269">
        <f t="shared" si="103"/>
        <v>1364.0474771779491</v>
      </c>
    </row>
    <row r="63" spans="1:91">
      <c r="A63" s="18" t="s">
        <v>222</v>
      </c>
      <c r="B63" s="46"/>
      <c r="C63" s="46"/>
      <c r="D63" s="46"/>
      <c r="E63" s="46"/>
      <c r="F63" s="280"/>
      <c r="G63" s="46"/>
      <c r="H63" s="46"/>
      <c r="I63" s="46">
        <f t="shared" ref="I63:AN63" si="104">I62/D62-1</f>
        <v>-0.51765720693521944</v>
      </c>
      <c r="J63" s="46">
        <f t="shared" si="104"/>
        <v>0.4065677055987782</v>
      </c>
      <c r="K63" s="280">
        <f t="shared" si="104"/>
        <v>0.17071316336357656</v>
      </c>
      <c r="L63" s="46">
        <f t="shared" si="104"/>
        <v>-0.33761814744801522</v>
      </c>
      <c r="M63" s="46">
        <f t="shared" si="104"/>
        <v>-0.3075061525840852</v>
      </c>
      <c r="N63" s="46">
        <f t="shared" si="104"/>
        <v>-0.8380128044636791</v>
      </c>
      <c r="O63" s="46">
        <f t="shared" si="104"/>
        <v>0.27018222538939196</v>
      </c>
      <c r="P63" s="280">
        <f t="shared" si="104"/>
        <v>-0.28723427284928782</v>
      </c>
      <c r="Q63" s="46">
        <f t="shared" si="104"/>
        <v>2.2648401826484021</v>
      </c>
      <c r="R63" s="46">
        <f t="shared" si="104"/>
        <v>0.9470473257122547</v>
      </c>
      <c r="S63" s="46">
        <f t="shared" si="104"/>
        <v>2.9397217928902637</v>
      </c>
      <c r="T63" s="57">
        <f t="shared" si="104"/>
        <v>0.77673586065026234</v>
      </c>
      <c r="U63" s="284">
        <f t="shared" si="104"/>
        <v>1.1275303336319871</v>
      </c>
      <c r="V63" s="46">
        <f t="shared" si="104"/>
        <v>0.13098776223776198</v>
      </c>
      <c r="W63" s="46">
        <f t="shared" si="104"/>
        <v>1.4722560233633488</v>
      </c>
      <c r="X63" s="46">
        <f t="shared" si="104"/>
        <v>3.2198060864204479</v>
      </c>
      <c r="Y63" s="46">
        <f t="shared" si="104"/>
        <v>0.52790015788286637</v>
      </c>
      <c r="Z63" s="284">
        <f t="shared" si="104"/>
        <v>1.027494646680942</v>
      </c>
      <c r="AA63" s="46">
        <f t="shared" si="104"/>
        <v>0.98318970514356452</v>
      </c>
      <c r="AB63" s="46">
        <f t="shared" si="104"/>
        <v>0.66078899443815509</v>
      </c>
      <c r="AC63" s="46">
        <f t="shared" si="104"/>
        <v>0.32661301033282863</v>
      </c>
      <c r="AD63" s="46">
        <f t="shared" si="104"/>
        <v>-8.4930077844372898E-3</v>
      </c>
      <c r="AE63" s="284">
        <f t="shared" si="104"/>
        <v>0.36207454973033149</v>
      </c>
      <c r="AF63" s="46">
        <f t="shared" si="104"/>
        <v>0.59784874997564219</v>
      </c>
      <c r="AG63" s="46">
        <f t="shared" si="104"/>
        <v>-0.25517711474486726</v>
      </c>
      <c r="AH63" s="46">
        <f t="shared" si="104"/>
        <v>-0.19708467653124562</v>
      </c>
      <c r="AI63" s="46">
        <f t="shared" si="104"/>
        <v>-0.17816377171215836</v>
      </c>
      <c r="AJ63" s="280">
        <f t="shared" si="104"/>
        <v>-0.1069320237787541</v>
      </c>
      <c r="AK63" s="46">
        <f t="shared" si="104"/>
        <v>-0.54612195121951213</v>
      </c>
      <c r="AL63" s="46">
        <f t="shared" si="104"/>
        <v>-1.4413894636320368E-2</v>
      </c>
      <c r="AM63" s="46">
        <f t="shared" si="104"/>
        <v>-0.3109975062344138</v>
      </c>
      <c r="AN63" s="46">
        <f t="shared" si="104"/>
        <v>7.1014492753620484E-3</v>
      </c>
      <c r="AO63" s="280">
        <f t="shared" ref="AO63:BT63" si="105">AO62/AJ62-1</f>
        <v>-0.20428156328864822</v>
      </c>
      <c r="AP63" s="46">
        <f t="shared" si="105"/>
        <v>0.80418077274437105</v>
      </c>
      <c r="AQ63" s="46">
        <f t="shared" si="105"/>
        <v>-0.33453103079360913</v>
      </c>
      <c r="AR63" s="46">
        <f t="shared" si="105"/>
        <v>-0.17183032321111913</v>
      </c>
      <c r="AS63" s="46">
        <f t="shared" si="105"/>
        <v>-0.34977454789657991</v>
      </c>
      <c r="AT63" s="280">
        <f t="shared" si="105"/>
        <v>-0.15231157003451634</v>
      </c>
      <c r="AU63" s="383">
        <f t="shared" si="105"/>
        <v>3.6906004723213037E-2</v>
      </c>
      <c r="AV63" s="46">
        <f t="shared" si="105"/>
        <v>-7.4329077923769304E-3</v>
      </c>
      <c r="AW63" s="46">
        <f t="shared" si="105"/>
        <v>-0.35305204938283796</v>
      </c>
      <c r="AX63" s="46">
        <f>AX62/AS62-1</f>
        <v>-0.8617776000927585</v>
      </c>
      <c r="AY63" s="280">
        <f t="shared" si="105"/>
        <v>-0.26127826936474896</v>
      </c>
      <c r="AZ63" s="46">
        <f t="shared" si="105"/>
        <v>-0.50232719561961803</v>
      </c>
      <c r="BA63" s="46">
        <f t="shared" si="105"/>
        <v>-0.44073126829227205</v>
      </c>
      <c r="BB63" s="46">
        <f t="shared" si="105"/>
        <v>-1.2611627818701472</v>
      </c>
      <c r="BC63" s="46">
        <f t="shared" si="105"/>
        <v>-7.2110127006748979</v>
      </c>
      <c r="BD63" s="280">
        <f t="shared" si="105"/>
        <v>-0.9014296917160658</v>
      </c>
      <c r="BE63" s="46">
        <f t="shared" si="105"/>
        <v>-1.4507711107801611</v>
      </c>
      <c r="BF63" s="46">
        <f t="shared" si="105"/>
        <v>-1.1099511064150389</v>
      </c>
      <c r="BG63" s="46">
        <f t="shared" si="105"/>
        <v>7.6544730670555836</v>
      </c>
      <c r="BH63" s="46">
        <f t="shared" si="105"/>
        <v>1.6220599569017367</v>
      </c>
      <c r="BI63" s="280">
        <f t="shared" si="105"/>
        <v>-13.292458558972353</v>
      </c>
      <c r="BJ63" s="46">
        <f t="shared" si="105"/>
        <v>5.0318619441515322</v>
      </c>
      <c r="BK63" s="46">
        <f t="shared" si="105"/>
        <v>9.7649903480825255</v>
      </c>
      <c r="BL63" s="46">
        <f t="shared" si="105"/>
        <v>0.87484113528992657</v>
      </c>
      <c r="BM63" s="46">
        <f t="shared" si="105"/>
        <v>0.55111771242230012</v>
      </c>
      <c r="BN63" s="280">
        <f t="shared" si="105"/>
        <v>1.1681873127594149</v>
      </c>
      <c r="BO63" s="46">
        <f t="shared" si="105"/>
        <v>0.5855123749080493</v>
      </c>
      <c r="BP63" s="46">
        <f t="shared" si="105"/>
        <v>1.1939226758386017</v>
      </c>
      <c r="BQ63" s="46">
        <f t="shared" si="105"/>
        <v>0.49626403997563684</v>
      </c>
      <c r="BR63" s="46">
        <f t="shared" si="105"/>
        <v>0.39164629783536653</v>
      </c>
      <c r="BS63" s="280">
        <f t="shared" si="105"/>
        <v>0.53788542945839479</v>
      </c>
      <c r="BT63" s="46">
        <f t="shared" si="105"/>
        <v>0.5146301026283755</v>
      </c>
      <c r="BU63" s="46">
        <f t="shared" ref="BU63:CM63" si="106">BU62/BP62-1</f>
        <v>0.40069273497972735</v>
      </c>
      <c r="BV63" s="46">
        <f t="shared" si="106"/>
        <v>0.26152269400035544</v>
      </c>
      <c r="BW63" s="46">
        <f t="shared" si="106"/>
        <v>0.21227960608271612</v>
      </c>
      <c r="BX63" s="280">
        <f t="shared" si="106"/>
        <v>0.31624113453385583</v>
      </c>
      <c r="BY63" s="46">
        <f t="shared" si="106"/>
        <v>0.17833200287206341</v>
      </c>
      <c r="BZ63" s="46">
        <f t="shared" si="106"/>
        <v>0.2382629350513199</v>
      </c>
      <c r="CA63" s="46">
        <f t="shared" si="106"/>
        <v>0.18258635096440057</v>
      </c>
      <c r="CB63" s="46">
        <f t="shared" si="106"/>
        <v>0.14831501770242772</v>
      </c>
      <c r="CC63" s="280">
        <f t="shared" si="106"/>
        <v>0.17767523134068552</v>
      </c>
      <c r="CD63" s="46">
        <f t="shared" si="106"/>
        <v>0.1652484848482203</v>
      </c>
      <c r="CE63" s="46">
        <f t="shared" si="106"/>
        <v>0.23018399023194891</v>
      </c>
      <c r="CF63" s="46">
        <f t="shared" si="106"/>
        <v>0.13682950236527747</v>
      </c>
      <c r="CG63" s="46">
        <f t="shared" si="106"/>
        <v>0.11378409067628126</v>
      </c>
      <c r="CH63" s="280">
        <f t="shared" si="106"/>
        <v>0.15028956626542977</v>
      </c>
      <c r="CI63" s="46">
        <f t="shared" si="106"/>
        <v>0.11325248521605702</v>
      </c>
      <c r="CJ63" s="46">
        <f t="shared" si="106"/>
        <v>0.12404510907952893</v>
      </c>
      <c r="CK63" s="46">
        <f t="shared" si="106"/>
        <v>9.9339474490876212E-2</v>
      </c>
      <c r="CL63" s="46">
        <f t="shared" si="106"/>
        <v>7.7754996052301406E-2</v>
      </c>
      <c r="CM63" s="280">
        <f t="shared" si="106"/>
        <v>9.9754784154772125E-2</v>
      </c>
    </row>
    <row r="64" spans="1:91">
      <c r="A64" s="18" t="s">
        <v>162</v>
      </c>
      <c r="B64" s="47"/>
      <c r="C64" s="47"/>
      <c r="D64" s="47">
        <f>D62/IS!D31</f>
        <v>1.7403771092295688</v>
      </c>
      <c r="E64" s="47">
        <f>E62/IS!E31</f>
        <v>1.3911686586985392</v>
      </c>
      <c r="F64" s="281">
        <f>F62/IS!F31</f>
        <v>0.89741519496912558</v>
      </c>
      <c r="G64" s="47">
        <f>G62/IS!G31</f>
        <v>0.76422999133198533</v>
      </c>
      <c r="H64" s="47">
        <f>H62/IS!H31</f>
        <v>1.1266694394380519</v>
      </c>
      <c r="I64" s="47">
        <f>I62/IS!I31</f>
        <v>1.143143347779868</v>
      </c>
      <c r="J64" s="47">
        <f>J62/IS!J31</f>
        <v>1.1730355863386672</v>
      </c>
      <c r="K64" s="281">
        <f>K62/IS!K31</f>
        <v>1.0861126459212587</v>
      </c>
      <c r="L64" s="47">
        <f>L62/IS!L31</f>
        <v>0.26901078653410626</v>
      </c>
      <c r="M64" s="47">
        <f>M62/IS!M31</f>
        <v>1.455431034482759</v>
      </c>
      <c r="N64" s="47">
        <f>N62/IS!N31</f>
        <v>0.35410476935105523</v>
      </c>
      <c r="O64" s="47">
        <f>O62/IS!O31</f>
        <v>1.4847679492264971</v>
      </c>
      <c r="P64" s="281">
        <f>P62/IS!P31</f>
        <v>0.87045775997673558</v>
      </c>
      <c r="Q64" s="47">
        <f>Q62/IS!Q24</f>
        <v>1.4810978767478</v>
      </c>
      <c r="R64" s="47">
        <f>R62/IS!R24</f>
        <v>1.396490929946046</v>
      </c>
      <c r="S64" s="47">
        <f>S62/IS!S24</f>
        <v>1.1588621159966228</v>
      </c>
      <c r="T64" s="58">
        <f>T62/IS!T24</f>
        <v>1.8144985266833993</v>
      </c>
      <c r="U64" s="285">
        <f>U62/IS!U24</f>
        <v>1.5389516235335472</v>
      </c>
      <c r="V64" s="47">
        <f>V62/IS!V24</f>
        <v>0.5240592976629268</v>
      </c>
      <c r="W64" s="47">
        <f>W62/IS!W24</f>
        <v>1.3227213541666669</v>
      </c>
      <c r="X64" s="47">
        <f>X62/IS!X24</f>
        <v>1.0678788222613032</v>
      </c>
      <c r="Y64" s="47">
        <f>Y62/IS!Y24</f>
        <v>1.4442691454886571</v>
      </c>
      <c r="Z64" s="285">
        <f>Z62/IS!Z24</f>
        <v>1.1286146804300663</v>
      </c>
      <c r="AA64" s="47">
        <f>AA62/IS!AA24</f>
        <v>0.55072759271978045</v>
      </c>
      <c r="AB64" s="47">
        <f>AB62/IS!AB24</f>
        <v>1.3261768838493513</v>
      </c>
      <c r="AC64" s="47">
        <f>AC62/IS!AC24</f>
        <v>0.8266245158727531</v>
      </c>
      <c r="AD64" s="47">
        <f>AD62/IS!AD24</f>
        <v>0.84245469976837661</v>
      </c>
      <c r="AE64" s="285">
        <f>AE62/IS!AE24</f>
        <v>0.88864083200117594</v>
      </c>
      <c r="AF64" s="47">
        <f>AF62/IS!AF24</f>
        <v>0.75557234605213464</v>
      </c>
      <c r="AG64" s="47">
        <f>AG62/IS!AG24</f>
        <v>1.1331056481700656</v>
      </c>
      <c r="AH64" s="47">
        <f>AH62/IS!AH24</f>
        <v>1.012690195088074</v>
      </c>
      <c r="AI64" s="47">
        <f>AI62/IS!AI24</f>
        <v>1.0910240868602754</v>
      </c>
      <c r="AJ64" s="281">
        <f>AJ62/IS!AJ24</f>
        <v>0.98068588522789524</v>
      </c>
      <c r="AK64" s="47">
        <f>AK62/IS!AK24</f>
        <v>0.65969477285215461</v>
      </c>
      <c r="AL64" s="47">
        <f>AL62/IS!AL24</f>
        <v>1.6949329410154639</v>
      </c>
      <c r="AM64" s="47">
        <f>AM62/IS!AM24</f>
        <v>1.0042344388914131</v>
      </c>
      <c r="AN64" s="47">
        <f>AN62/IS!AN24</f>
        <v>1.0789953806141064</v>
      </c>
      <c r="AO64" s="281">
        <f>AO62/IS!AO24</f>
        <v>1.1123144578264506</v>
      </c>
      <c r="AP64" s="47">
        <f>AP62/IS!AP24</f>
        <v>1.0992191464632413</v>
      </c>
      <c r="AQ64" s="47">
        <f>AQ62/IS!AQ24</f>
        <v>1.1987128208857538</v>
      </c>
      <c r="AR64" s="47">
        <f>AR62/IS!AR24</f>
        <v>0.94822013178069708</v>
      </c>
      <c r="AS64" s="47">
        <f>AS62/IS!AS24</f>
        <v>0.85009877394876254</v>
      </c>
      <c r="AT64" s="281">
        <f>AT62/IS!AT24</f>
        <v>1.0216143949854255</v>
      </c>
      <c r="AU64" s="384">
        <f>AU62/IS!AU24</f>
        <v>1.8674132469540774</v>
      </c>
      <c r="AV64" s="47">
        <f>AV62/IS!AV24</f>
        <v>1.8764439928005554</v>
      </c>
      <c r="AW64" s="47">
        <f>AW62/IS!AW24</f>
        <v>0.92623929175991193</v>
      </c>
      <c r="AX64" s="47">
        <f>AX62/IS!AX24</f>
        <v>0.1415188662437194</v>
      </c>
      <c r="AY64" s="281">
        <f>AY62/IS!AY24</f>
        <v>1.0960481691866899</v>
      </c>
      <c r="AZ64" s="47">
        <f>AZ62/IS!AZ24</f>
        <v>-2.2574134958252552</v>
      </c>
      <c r="BA64" s="47">
        <f>BA62/IS!BA24</f>
        <v>-1.8641839046505062</v>
      </c>
      <c r="BB64" s="47">
        <f>BB62/IS!BB24</f>
        <v>0.47326962435040509</v>
      </c>
      <c r="BC64" s="47">
        <f>BC62/IS!BC24</f>
        <v>-11.564832920129936</v>
      </c>
      <c r="BD64" s="281">
        <f>BD62/IS!BD24</f>
        <v>-0.35882366652328584</v>
      </c>
      <c r="BE64" s="47">
        <f>BE62/IS!BE24</f>
        <v>0.20290025366392414</v>
      </c>
      <c r="BF64" s="47">
        <f>BF62/IS!BF24</f>
        <v>4.8450903565247526E-2</v>
      </c>
      <c r="BG64" s="47">
        <f>BG62/IS!BG24</f>
        <v>0.81064563605538753</v>
      </c>
      <c r="BH64" s="47">
        <f>BH62/IS!BH24</f>
        <v>2.0259619564081688</v>
      </c>
      <c r="BI64" s="281">
        <f>BI62/IS!BI24</f>
        <v>0.6888749478579923</v>
      </c>
      <c r="BJ64" s="47">
        <f>BJ62/IS!BJ24</f>
        <v>0.66509724845120421</v>
      </c>
      <c r="BK64" s="47">
        <f>BK62/IS!BK24</f>
        <v>0.30609568994847453</v>
      </c>
      <c r="BL64" s="47">
        <f>BL62/IS!BL24</f>
        <v>0.88069337195541242</v>
      </c>
      <c r="BM64" s="47">
        <f>BM62/IS!BM24</f>
        <v>1.6783703536397201</v>
      </c>
      <c r="BN64" s="281">
        <f>BN62/IS!BN24</f>
        <v>0.84004757199187441</v>
      </c>
      <c r="BO64" s="47">
        <f>BO62/IS!BO24</f>
        <v>0.72706193525585927</v>
      </c>
      <c r="BP64" s="47">
        <f>BP62/IS!BP24</f>
        <v>0.44940064060621976</v>
      </c>
      <c r="BQ64" s="47">
        <f>BQ62/IS!BQ24</f>
        <v>0.90740547435125918</v>
      </c>
      <c r="BR64" s="47">
        <f>BR62/IS!BR24</f>
        <v>1.5122956696371677</v>
      </c>
      <c r="BS64" s="281">
        <f>BS62/IS!BS24</f>
        <v>0.87164897817731868</v>
      </c>
      <c r="BT64" s="47">
        <f>BT62/IS!BT24</f>
        <v>0.85010845270478264</v>
      </c>
      <c r="BU64" s="47">
        <f>BU62/IS!BU24</f>
        <v>0.50710102834146387</v>
      </c>
      <c r="BV64" s="47">
        <f>BV62/IS!BV24</f>
        <v>0.93205921993439533</v>
      </c>
      <c r="BW64" s="47">
        <f>BW62/IS!BW24</f>
        <v>1.4838805231904362</v>
      </c>
      <c r="BX64" s="281">
        <f>BX62/IS!BX24</f>
        <v>0.9174315207657594</v>
      </c>
      <c r="BY64" s="47">
        <f>BY62/IS!BY24</f>
        <v>0.86535880325942982</v>
      </c>
      <c r="BZ64" s="47">
        <f>BZ62/IS!BZ24</f>
        <v>0.54302041084745378</v>
      </c>
      <c r="CA64" s="47">
        <f>CA62/IS!CA24</f>
        <v>0.94639633217939401</v>
      </c>
      <c r="CB64" s="47">
        <f>CB62/IS!CB24</f>
        <v>1.4568869900058576</v>
      </c>
      <c r="CC64" s="281">
        <f>CC62/IS!CC24</f>
        <v>0.93008777821316835</v>
      </c>
      <c r="CD64" s="47">
        <f>CD62/IS!CD24</f>
        <v>0.87439702511091921</v>
      </c>
      <c r="CE64" s="47">
        <f>CE62/IS!CE24</f>
        <v>0.57498875456857901</v>
      </c>
      <c r="CF64" s="47">
        <f>CF62/IS!CF24</f>
        <v>0.95243371382499253</v>
      </c>
      <c r="CG64" s="47">
        <f>CG62/IS!CG24</f>
        <v>1.437645010649917</v>
      </c>
      <c r="CH64" s="281">
        <f>CH62/IS!CH24</f>
        <v>0.93511145694696518</v>
      </c>
      <c r="CI64" s="47">
        <f>CI62/IS!CI24</f>
        <v>0.88193244385771996</v>
      </c>
      <c r="CJ64" s="47">
        <f>CJ62/IS!CJ24</f>
        <v>0.59423662944805511</v>
      </c>
      <c r="CK64" s="47">
        <f>CK62/IS!CK24</f>
        <v>0.96261169183594475</v>
      </c>
      <c r="CL64" s="47">
        <f>CL62/IS!CL24</f>
        <v>1.4339525027404127</v>
      </c>
      <c r="CM64" s="281">
        <f>CM62/IS!CM24</f>
        <v>0.94309268839417237</v>
      </c>
    </row>
    <row r="65" spans="1:91">
      <c r="F65" s="240"/>
      <c r="K65" s="240"/>
      <c r="P65" s="240"/>
      <c r="U65" s="240"/>
      <c r="Z65" s="240"/>
      <c r="AE65" s="240"/>
      <c r="AJ65" s="240"/>
      <c r="AO65" s="240"/>
      <c r="AT65" s="240"/>
      <c r="AU65" s="374"/>
      <c r="AY65" s="240"/>
      <c r="BD65" s="240"/>
      <c r="BI65" s="240"/>
      <c r="BN65" s="240"/>
      <c r="BS65" s="240"/>
      <c r="BX65" s="240"/>
      <c r="CC65" s="240"/>
      <c r="CH65" s="240"/>
      <c r="CM65" s="240"/>
    </row>
    <row r="66" spans="1:91">
      <c r="A66" s="18" t="s">
        <v>178</v>
      </c>
      <c r="B66" s="28"/>
      <c r="C66" s="28"/>
      <c r="D66" s="28">
        <f>D62/IS!D34</f>
        <v>-4.8012093100306474</v>
      </c>
      <c r="E66" s="28">
        <f>E62/IS!E34</f>
        <v>-1.7678676904902539</v>
      </c>
      <c r="F66" s="275">
        <f>F62/IS!F34</f>
        <v>-6.2721347957399454</v>
      </c>
      <c r="G66" s="28">
        <f>G62/IS!G34</f>
        <v>-0.88758389261744985</v>
      </c>
      <c r="H66" s="28">
        <f>H62/IS!H34</f>
        <v>-1.9680335808847271</v>
      </c>
      <c r="I66" s="28">
        <f>I62/IS!I34</f>
        <v>-2.2221427436019714</v>
      </c>
      <c r="J66" s="28">
        <f>J62/IS!J34</f>
        <v>-0.35030847687315009</v>
      </c>
      <c r="K66" s="275">
        <f>K62/IS!K34</f>
        <v>-3.0387790678551463</v>
      </c>
      <c r="L66" s="28">
        <f>L62/IS!L34</f>
        <v>-8.1550008727526616E-2</v>
      </c>
      <c r="M66" s="28">
        <f>M62/IS!M34</f>
        <v>-0.1896199290174761</v>
      </c>
      <c r="N66" s="28">
        <f>N62/IS!N34</f>
        <v>-4.8540775752119403E-2</v>
      </c>
      <c r="O66" s="28">
        <f>O62/IS!O34</f>
        <v>-0.39771978664173246</v>
      </c>
      <c r="P66" s="275">
        <f>P62/IS!P34</f>
        <v>-0.72685629766990079</v>
      </c>
      <c r="Q66" s="28">
        <f>Q62/IS!Q34</f>
        <v>-0.24241910533788225</v>
      </c>
      <c r="R66" s="28">
        <f>R62/IS!R34</f>
        <v>-0.34237743591880099</v>
      </c>
      <c r="S66" s="28">
        <f>S62/IS!S34</f>
        <v>-0.17922936295879613</v>
      </c>
      <c r="T66" s="28">
        <f>T62/IS!T34</f>
        <v>-0.66459143191198033</v>
      </c>
      <c r="U66" s="275">
        <f>U62/IS!U34</f>
        <v>-1.4368641286511319</v>
      </c>
      <c r="V66" s="28">
        <f>V62/IS!V34</f>
        <v>-0.25632212371848839</v>
      </c>
      <c r="W66" s="28">
        <f>W62/IS!W34</f>
        <v>-0.80326572569485633</v>
      </c>
      <c r="X66" s="28">
        <f>X62/IS!X34</f>
        <v>-0.74239794912246115</v>
      </c>
      <c r="Y66" s="28">
        <f>Y62/IS!Y34</f>
        <v>-0.99917401693265262</v>
      </c>
      <c r="Z66" s="275">
        <f>Z62/IS!Z34</f>
        <v>-2.8036796494067939</v>
      </c>
      <c r="AA66" s="28">
        <f>AA62/IS!AA34</f>
        <v>-0.50385359292313447</v>
      </c>
      <c r="AB66" s="28">
        <f>AB62/IS!AB34</f>
        <v>-1.3226160494674022</v>
      </c>
      <c r="AC66" s="28">
        <f>AC62/IS!AC34</f>
        <v>-0.97650773787992851</v>
      </c>
      <c r="AD66" s="28">
        <f>AD62/IS!AD34</f>
        <v>-0.98277342073432383</v>
      </c>
      <c r="AE66" s="275">
        <f>AE62/IS!AE34</f>
        <v>-3.786529389888234</v>
      </c>
      <c r="AF66" s="28">
        <f>AF62/IS!AF34</f>
        <v>-0.79872982476646892</v>
      </c>
      <c r="AG66" s="28">
        <f>AG62/IS!AG34</f>
        <v>-0.92390265421660167</v>
      </c>
      <c r="AH66" s="28">
        <f>AH62/IS!AH34</f>
        <v>-0.68118502412176396</v>
      </c>
      <c r="AI66" s="28">
        <f>AI62/IS!AI34</f>
        <v>-0.69868700847200194</v>
      </c>
      <c r="AJ66" s="275">
        <f>AJ62/IS!AJ34</f>
        <v>-3.0870352791396316</v>
      </c>
      <c r="AK66" s="28">
        <f>AK62/IS!AK34</f>
        <v>-0.3057874326278428</v>
      </c>
      <c r="AL66" s="28">
        <f>AL62/IS!AL34</f>
        <v>-0.80915824805834358</v>
      </c>
      <c r="AM66" s="28">
        <f>AM62/IS!AM34</f>
        <v>-0.44906583449138987</v>
      </c>
      <c r="AN66" s="28">
        <f>AN62/IS!AN34</f>
        <v>-0.67382064418119791</v>
      </c>
      <c r="AO66" s="275">
        <f>AO62/IS!AO34</f>
        <v>-2.240025745268492</v>
      </c>
      <c r="AP66" s="28">
        <f>AP62/IS!AP34</f>
        <v>-0.54208006716664925</v>
      </c>
      <c r="AQ66" s="28">
        <f>AQ62/IS!AQ34</f>
        <v>-0.53123741076752018</v>
      </c>
      <c r="AR66" s="28">
        <f>AR62/IS!AR34</f>
        <v>-0.36667013869414367</v>
      </c>
      <c r="AS66" s="28">
        <f>AS62/IS!AS34</f>
        <v>-0.42143839822162782</v>
      </c>
      <c r="AT66" s="275">
        <f>AT62/IS!AT34</f>
        <v>-1.8591402116665898</v>
      </c>
      <c r="AU66" s="307">
        <f>AU62/IS!AU34</f>
        <v>-0.53908161698672397</v>
      </c>
      <c r="AV66" s="28">
        <f>AV62/IS!AV34</f>
        <v>-0.5055263033873596</v>
      </c>
      <c r="AW66" s="28">
        <f>AW62/IS!AW34</f>
        <v>-0.22816710515882127</v>
      </c>
      <c r="AX66" s="28">
        <f>AX62/IS!AX34</f>
        <v>-5.7625170082121958E-2</v>
      </c>
      <c r="AY66" s="275">
        <f>AY62/IS!AY34</f>
        <v>-1.3284075618773319</v>
      </c>
      <c r="AZ66" s="28">
        <f>AZ62/IS!AZ34</f>
        <v>-0.26576529449009983</v>
      </c>
      <c r="BA66" s="28">
        <f>BA62/IS!BA34</f>
        <v>-0.28002063837244723</v>
      </c>
      <c r="BB66" s="28">
        <f>BB62/IS!BB34</f>
        <v>5.9008738132417395E-2</v>
      </c>
      <c r="BC66" s="28">
        <f>BC62/IS!BC34</f>
        <v>0.35436699332535704</v>
      </c>
      <c r="BD66" s="275">
        <f>BD62/IS!BD34</f>
        <v>-0.1296779948955164</v>
      </c>
      <c r="BE66" s="28">
        <f>BE62/IS!BE34</f>
        <v>0.11861318515259298</v>
      </c>
      <c r="BF66" s="28">
        <f>BF62/IS!BF34</f>
        <v>3.0483741592174339E-2</v>
      </c>
      <c r="BG66" s="28">
        <f>BG62/IS!BG34</f>
        <v>0.50563320285934865</v>
      </c>
      <c r="BH66" s="28">
        <f>BH62/IS!BH34</f>
        <v>0.91997178539216207</v>
      </c>
      <c r="BI66" s="275">
        <f>BI62/IS!BI34</f>
        <v>1.5782785923403599</v>
      </c>
      <c r="BJ66" s="28">
        <f>BJ62/IS!BJ34</f>
        <v>0.70837461148170799</v>
      </c>
      <c r="BK66" s="28">
        <f>BK62/IS!BK34</f>
        <v>0.32490810298336498</v>
      </c>
      <c r="BL66" s="28">
        <f>BL62/IS!BL34</f>
        <v>0.93859596840505266</v>
      </c>
      <c r="BM66" s="28">
        <f>BM62/IS!BM34</f>
        <v>1.4128559715351978</v>
      </c>
      <c r="BN66" s="275">
        <f>BN62/IS!BN34</f>
        <v>3.3881223959526316</v>
      </c>
      <c r="BO66" s="28">
        <f>BO62/IS!BO34</f>
        <v>1.1120165471038908</v>
      </c>
      <c r="BP66" s="28">
        <f>BP62/IS!BP34</f>
        <v>0.70576559871179023</v>
      </c>
      <c r="BQ66" s="28">
        <f>BQ62/IS!BQ34</f>
        <v>1.3904825698916725</v>
      </c>
      <c r="BR66" s="28">
        <f>BR62/IS!BR34</f>
        <v>1.9467284971896517</v>
      </c>
      <c r="BS66" s="275">
        <f>BS62/IS!BS34</f>
        <v>5.1589545207497203</v>
      </c>
      <c r="BT66" s="28">
        <f>BT62/IS!BT34</f>
        <v>1.6676175612518991</v>
      </c>
      <c r="BU66" s="28">
        <f>BU62/IS!BU34</f>
        <v>0.97877301654873483</v>
      </c>
      <c r="BV66" s="28">
        <f>BV62/IS!BV34</f>
        <v>1.7367577401289906</v>
      </c>
      <c r="BW66" s="28">
        <f>BW62/IS!BW34</f>
        <v>2.3366131244782862</v>
      </c>
      <c r="BX66" s="275">
        <f>BX62/IS!BX34</f>
        <v>6.723196189505126</v>
      </c>
      <c r="BY66" s="28">
        <f>BY62/IS!BY34</f>
        <v>1.945551624727303</v>
      </c>
      <c r="BZ66" s="28">
        <f>BZ62/IS!BZ34</f>
        <v>1.1999785625947235</v>
      </c>
      <c r="CA66" s="28">
        <f>CA62/IS!CA34</f>
        <v>2.0335306914933882</v>
      </c>
      <c r="CB66" s="28">
        <f>CB62/IS!CB34</f>
        <v>2.6566019221772361</v>
      </c>
      <c r="CC66" s="275">
        <f>CC62/IS!CC34</f>
        <v>7.8393481463606616</v>
      </c>
      <c r="CD66" s="28">
        <f>CD62/IS!CD34</f>
        <v>2.2446050325816671</v>
      </c>
      <c r="CE66" s="28">
        <f>CE62/IS!CE34</f>
        <v>1.4615786300253224</v>
      </c>
      <c r="CF66" s="28">
        <f>CF62/IS!CF34</f>
        <v>2.2888887960940076</v>
      </c>
      <c r="CG66" s="28">
        <f>CG62/IS!CG34</f>
        <v>2.9295851051297368</v>
      </c>
      <c r="CH66" s="275">
        <f>CH62/IS!CH34</f>
        <v>8.9282379990900047</v>
      </c>
      <c r="CI66" s="28">
        <f>CI62/IS!CI34</f>
        <v>2.4740714166831781</v>
      </c>
      <c r="CJ66" s="28">
        <f>CJ62/IS!CJ34</f>
        <v>1.6266141689258635</v>
      </c>
      <c r="CK66" s="28">
        <f>CK62/IS!CK34</f>
        <v>2.4913522834317239</v>
      </c>
      <c r="CL66" s="28">
        <f>CL62/IS!CL34</f>
        <v>3.1261138449643382</v>
      </c>
      <c r="CM66" s="275">
        <f>CM62/IS!CM34</f>
        <v>9.7216558946254121</v>
      </c>
    </row>
    <row r="67" spans="1:91">
      <c r="A67" s="18" t="s">
        <v>222</v>
      </c>
      <c r="B67" s="46"/>
      <c r="C67" s="46"/>
      <c r="D67" s="46"/>
      <c r="E67" s="46"/>
      <c r="F67" s="280"/>
      <c r="G67" s="46"/>
      <c r="H67" s="46"/>
      <c r="I67" s="68">
        <f t="shared" ref="I67:AN67" si="107">I66/D66-1</f>
        <v>-0.53717020023278539</v>
      </c>
      <c r="J67" s="68">
        <f t="shared" si="107"/>
        <v>-0.80184689229995221</v>
      </c>
      <c r="K67" s="282">
        <f t="shared" si="107"/>
        <v>-0.51551119884746499</v>
      </c>
      <c r="L67" s="68">
        <f t="shared" si="107"/>
        <v>-0.90812135122569781</v>
      </c>
      <c r="M67" s="68">
        <f t="shared" si="107"/>
        <v>-0.90365005411532018</v>
      </c>
      <c r="N67" s="68">
        <f t="shared" si="107"/>
        <v>-0.97815586964794288</v>
      </c>
      <c r="O67" s="46">
        <f t="shared" si="107"/>
        <v>0.13534160004284002</v>
      </c>
      <c r="P67" s="280">
        <f t="shared" si="107"/>
        <v>-0.76080646817705766</v>
      </c>
      <c r="Q67" s="46">
        <f t="shared" si="107"/>
        <v>1.9726435241453926</v>
      </c>
      <c r="R67" s="46">
        <f t="shared" si="107"/>
        <v>0.80559837614561158</v>
      </c>
      <c r="S67" s="46">
        <f t="shared" si="107"/>
        <v>2.6923464897647533</v>
      </c>
      <c r="T67" s="46">
        <f t="shared" si="107"/>
        <v>0.6710041949978387</v>
      </c>
      <c r="U67" s="280">
        <f t="shared" si="107"/>
        <v>0.97682008569963386</v>
      </c>
      <c r="V67" s="46">
        <f t="shared" si="107"/>
        <v>5.7351166118809749E-2</v>
      </c>
      <c r="W67" s="46">
        <f t="shared" si="107"/>
        <v>1.3461409585570956</v>
      </c>
      <c r="X67" s="46">
        <f t="shared" si="107"/>
        <v>3.1421669801567864</v>
      </c>
      <c r="Y67" s="46">
        <f t="shared" si="107"/>
        <v>0.50344101496780214</v>
      </c>
      <c r="Z67" s="280">
        <f t="shared" si="107"/>
        <v>0.95124896884910859</v>
      </c>
      <c r="AA67" s="46">
        <f t="shared" si="107"/>
        <v>0.9657046594873846</v>
      </c>
      <c r="AB67" s="46">
        <f t="shared" si="107"/>
        <v>0.64654859177924906</v>
      </c>
      <c r="AC67" s="46">
        <f t="shared" si="107"/>
        <v>0.31534272021385945</v>
      </c>
      <c r="AD67" s="46">
        <f t="shared" si="107"/>
        <v>-1.6414154011607174E-2</v>
      </c>
      <c r="AE67" s="280">
        <f t="shared" si="107"/>
        <v>0.35055707619427645</v>
      </c>
      <c r="AF67" s="46">
        <f t="shared" si="107"/>
        <v>0.58524189563201023</v>
      </c>
      <c r="AG67" s="46">
        <f t="shared" si="107"/>
        <v>-0.30145815591104952</v>
      </c>
      <c r="AH67" s="46">
        <f t="shared" si="107"/>
        <v>-0.30242741793253203</v>
      </c>
      <c r="AI67" s="46">
        <f t="shared" si="107"/>
        <v>-0.28906603116113361</v>
      </c>
      <c r="AJ67" s="280">
        <f t="shared" si="107"/>
        <v>-0.18473225445352981</v>
      </c>
      <c r="AK67" s="46">
        <f t="shared" si="107"/>
        <v>-0.61715786346497281</v>
      </c>
      <c r="AL67" s="46">
        <f t="shared" si="107"/>
        <v>-0.12419534204667104</v>
      </c>
      <c r="AM67" s="46">
        <f t="shared" si="107"/>
        <v>-0.34075791658755261</v>
      </c>
      <c r="AN67" s="46">
        <f t="shared" si="107"/>
        <v>-3.5590134050417888E-2</v>
      </c>
      <c r="AO67" s="280">
        <f t="shared" ref="AO67:BT67" si="108">AO66/AJ66-1</f>
        <v>-0.27437636997371939</v>
      </c>
      <c r="AP67" s="46">
        <f t="shared" si="108"/>
        <v>0.77273494370968909</v>
      </c>
      <c r="AQ67" s="46">
        <f t="shared" si="108"/>
        <v>-0.34346907784444181</v>
      </c>
      <c r="AR67" s="46">
        <f t="shared" si="108"/>
        <v>-0.18348244170159866</v>
      </c>
      <c r="AS67" s="46">
        <f t="shared" si="108"/>
        <v>-0.37455404214611998</v>
      </c>
      <c r="AT67" s="280">
        <f t="shared" si="108"/>
        <v>-0.1700362303453119</v>
      </c>
      <c r="AU67" s="383">
        <f t="shared" si="108"/>
        <v>-5.5313787787800717E-3</v>
      </c>
      <c r="AV67" s="46">
        <f t="shared" si="108"/>
        <v>-4.83985255161411E-2</v>
      </c>
      <c r="AW67" s="46">
        <f t="shared" si="108"/>
        <v>-0.37773196919876295</v>
      </c>
      <c r="AX67" s="46">
        <f t="shared" si="108"/>
        <v>-0.86326549662943197</v>
      </c>
      <c r="AY67" s="280">
        <f t="shared" si="108"/>
        <v>-0.28547209428249254</v>
      </c>
      <c r="AZ67" s="46">
        <f t="shared" si="108"/>
        <v>-0.50700360369245367</v>
      </c>
      <c r="BA67" s="46">
        <f t="shared" si="108"/>
        <v>-0.44608097245163247</v>
      </c>
      <c r="BB67" s="46">
        <f t="shared" si="108"/>
        <v>-1.2586207073598226</v>
      </c>
      <c r="BC67" s="46">
        <f t="shared" si="108"/>
        <v>-7.1495175254206904</v>
      </c>
      <c r="BD67" s="280">
        <f t="shared" si="108"/>
        <v>-0.90238086667298634</v>
      </c>
      <c r="BE67" s="46">
        <f t="shared" si="108"/>
        <v>-1.446308030475407</v>
      </c>
      <c r="BF67" s="46">
        <f t="shared" si="108"/>
        <v>-1.1088624815990484</v>
      </c>
      <c r="BG67" s="46">
        <f t="shared" si="108"/>
        <v>7.5687852149065176</v>
      </c>
      <c r="BH67" s="46">
        <f t="shared" si="108"/>
        <v>1.5960989672294423</v>
      </c>
      <c r="BI67" s="280">
        <f t="shared" si="108"/>
        <v>-13.170751048487476</v>
      </c>
      <c r="BJ67" s="46">
        <f t="shared" si="108"/>
        <v>4.9721405387638926</v>
      </c>
      <c r="BK67" s="46">
        <f t="shared" si="108"/>
        <v>9.6584062852302246</v>
      </c>
      <c r="BL67" s="46">
        <f t="shared" si="108"/>
        <v>0.85627835177220502</v>
      </c>
      <c r="BM67" s="46">
        <f t="shared" si="108"/>
        <v>0.53576011130920831</v>
      </c>
      <c r="BN67" s="280">
        <f t="shared" si="108"/>
        <v>1.1467201116429857</v>
      </c>
      <c r="BO67" s="46">
        <f t="shared" si="108"/>
        <v>0.56981423258222708</v>
      </c>
      <c r="BP67" s="46">
        <f t="shared" si="108"/>
        <v>1.1722006691471307</v>
      </c>
      <c r="BQ67" s="46">
        <f t="shared" si="108"/>
        <v>0.48144954453033351</v>
      </c>
      <c r="BR67" s="46">
        <f t="shared" si="108"/>
        <v>0.37786762161917498</v>
      </c>
      <c r="BS67" s="280">
        <f t="shared" si="108"/>
        <v>0.52265884104791538</v>
      </c>
      <c r="BT67" s="46">
        <f t="shared" si="108"/>
        <v>0.4996337649785898</v>
      </c>
      <c r="BU67" s="46">
        <f t="shared" ref="BU67:CM67" si="109">BU66/BP66-1</f>
        <v>0.38682449007893793</v>
      </c>
      <c r="BV67" s="46">
        <f t="shared" si="109"/>
        <v>0.24903237029738179</v>
      </c>
      <c r="BW67" s="46">
        <f t="shared" si="109"/>
        <v>0.20027683770565963</v>
      </c>
      <c r="BX67" s="280">
        <f t="shared" si="109"/>
        <v>0.30320904409292671</v>
      </c>
      <c r="BY67" s="46">
        <f t="shared" si="109"/>
        <v>0.16666534937828059</v>
      </c>
      <c r="BZ67" s="46">
        <f t="shared" si="109"/>
        <v>0.22600290599140616</v>
      </c>
      <c r="CA67" s="46">
        <f t="shared" si="109"/>
        <v>0.17087757521227798</v>
      </c>
      <c r="CB67" s="46">
        <f t="shared" si="109"/>
        <v>0.13694556208161179</v>
      </c>
      <c r="CC67" s="280">
        <f t="shared" si="109"/>
        <v>0.16601508053533265</v>
      </c>
      <c r="CD67" s="46">
        <f t="shared" si="109"/>
        <v>0.15371137113685207</v>
      </c>
      <c r="CE67" s="46">
        <f t="shared" si="109"/>
        <v>0.21800395072470202</v>
      </c>
      <c r="CF67" s="46">
        <f t="shared" si="109"/>
        <v>0.12557376471809678</v>
      </c>
      <c r="CG67" s="46">
        <f t="shared" si="109"/>
        <v>0.10275652542206082</v>
      </c>
      <c r="CH67" s="280">
        <f t="shared" si="109"/>
        <v>0.13890056065884115</v>
      </c>
      <c r="CI67" s="46">
        <f t="shared" si="109"/>
        <v>0.10223018338223477</v>
      </c>
      <c r="CJ67" s="46">
        <f t="shared" si="109"/>
        <v>0.11291594958369222</v>
      </c>
      <c r="CK67" s="46">
        <f t="shared" si="109"/>
        <v>8.8454925238491411E-2</v>
      </c>
      <c r="CL67" s="46">
        <f t="shared" si="109"/>
        <v>6.7084154507229377E-2</v>
      </c>
      <c r="CM67" s="280">
        <f t="shared" si="109"/>
        <v>8.8866122925517432E-2</v>
      </c>
    </row>
    <row r="68" spans="1:91">
      <c r="B68" s="46"/>
      <c r="C68" s="46"/>
      <c r="D68" s="46"/>
      <c r="E68" s="46"/>
      <c r="F68" s="280"/>
      <c r="G68" s="46"/>
      <c r="H68" s="46"/>
      <c r="I68" s="46"/>
      <c r="J68" s="46"/>
      <c r="K68" s="280"/>
      <c r="L68" s="28"/>
      <c r="M68" s="28"/>
      <c r="N68" s="46"/>
      <c r="O68" s="46"/>
      <c r="P68" s="280"/>
      <c r="U68" s="240"/>
      <c r="Z68" s="240"/>
      <c r="AE68" s="240"/>
      <c r="AJ68" s="240"/>
      <c r="AO68" s="240"/>
      <c r="AT68" s="240"/>
      <c r="AU68" s="374"/>
      <c r="AY68" s="240"/>
      <c r="BD68" s="240"/>
      <c r="BI68" s="240"/>
      <c r="BN68" s="240"/>
      <c r="BS68" s="240"/>
      <c r="BX68" s="240"/>
      <c r="CC68" s="240"/>
      <c r="CH68" s="240"/>
      <c r="CM68" s="240"/>
    </row>
    <row r="69" spans="1:91" outlineLevel="1">
      <c r="A69" s="18" t="s">
        <v>180</v>
      </c>
      <c r="B69" s="16"/>
      <c r="C69" s="16"/>
      <c r="D69" s="16">
        <f t="shared" ref="D69:AL69" si="110">-D37</f>
        <v>12.557</v>
      </c>
      <c r="E69" s="16">
        <f t="shared" si="110"/>
        <v>0</v>
      </c>
      <c r="F69" s="269">
        <f t="shared" si="110"/>
        <v>12.557</v>
      </c>
      <c r="G69" s="16">
        <f t="shared" si="110"/>
        <v>0</v>
      </c>
      <c r="H69" s="16">
        <f t="shared" si="110"/>
        <v>0.17199999999999999</v>
      </c>
      <c r="I69" s="16">
        <f t="shared" si="110"/>
        <v>0</v>
      </c>
      <c r="J69" s="16">
        <f t="shared" si="110"/>
        <v>0</v>
      </c>
      <c r="K69" s="269">
        <f t="shared" si="110"/>
        <v>0.17199999999999999</v>
      </c>
      <c r="L69" s="16">
        <f t="shared" si="110"/>
        <v>0</v>
      </c>
      <c r="M69" s="16">
        <f t="shared" si="110"/>
        <v>0</v>
      </c>
      <c r="N69" s="16">
        <f t="shared" si="110"/>
        <v>0</v>
      </c>
      <c r="O69" s="16">
        <f t="shared" si="110"/>
        <v>0</v>
      </c>
      <c r="P69" s="269">
        <f t="shared" si="110"/>
        <v>0</v>
      </c>
      <c r="Q69" s="18">
        <f t="shared" si="110"/>
        <v>0</v>
      </c>
      <c r="R69" s="18">
        <f t="shared" si="110"/>
        <v>0</v>
      </c>
      <c r="S69" s="18">
        <f t="shared" si="110"/>
        <v>0</v>
      </c>
      <c r="T69" s="18">
        <f t="shared" si="110"/>
        <v>0</v>
      </c>
      <c r="U69" s="269">
        <f t="shared" si="110"/>
        <v>0</v>
      </c>
      <c r="V69" s="18">
        <f t="shared" si="110"/>
        <v>0</v>
      </c>
      <c r="W69" s="18">
        <f t="shared" si="110"/>
        <v>0</v>
      </c>
      <c r="X69" s="18">
        <f t="shared" si="110"/>
        <v>0</v>
      </c>
      <c r="Y69" s="18">
        <f t="shared" si="110"/>
        <v>0</v>
      </c>
      <c r="Z69" s="240">
        <f t="shared" si="110"/>
        <v>0</v>
      </c>
      <c r="AA69" s="18">
        <f t="shared" si="110"/>
        <v>0</v>
      </c>
      <c r="AB69" s="18">
        <f t="shared" si="110"/>
        <v>0</v>
      </c>
      <c r="AC69" s="18">
        <f t="shared" si="110"/>
        <v>0</v>
      </c>
      <c r="AD69" s="18">
        <f t="shared" si="110"/>
        <v>0</v>
      </c>
      <c r="AE69" s="240">
        <f t="shared" si="110"/>
        <v>0</v>
      </c>
      <c r="AF69" s="18">
        <f t="shared" si="110"/>
        <v>0</v>
      </c>
      <c r="AG69" s="18">
        <f t="shared" si="110"/>
        <v>0</v>
      </c>
      <c r="AH69" s="18">
        <f t="shared" si="110"/>
        <v>0</v>
      </c>
      <c r="AI69" s="18">
        <f t="shared" si="110"/>
        <v>0</v>
      </c>
      <c r="AJ69" s="240">
        <f t="shared" si="110"/>
        <v>0</v>
      </c>
      <c r="AK69" s="18">
        <f t="shared" si="110"/>
        <v>0</v>
      </c>
      <c r="AL69" s="18">
        <f t="shared" si="110"/>
        <v>0</v>
      </c>
      <c r="AO69" s="240"/>
      <c r="AT69" s="240"/>
      <c r="AU69" s="374"/>
      <c r="AY69" s="240"/>
      <c r="BD69" s="240"/>
      <c r="BI69" s="240"/>
      <c r="BN69" s="240"/>
      <c r="BS69" s="240"/>
      <c r="BX69" s="240"/>
      <c r="CC69" s="240"/>
      <c r="CH69" s="240"/>
      <c r="CM69" s="240"/>
    </row>
    <row r="70" spans="1:91" s="67" customFormat="1" outlineLevel="1">
      <c r="A70" s="67" t="s">
        <v>181</v>
      </c>
      <c r="B70" s="68"/>
      <c r="C70" s="68"/>
      <c r="D70" s="68">
        <f>D69/D62</f>
        <v>-0.21663072543776413</v>
      </c>
      <c r="E70" s="68">
        <f>E69/E62</f>
        <v>0</v>
      </c>
      <c r="F70" s="282">
        <f>F69/F62</f>
        <v>-0.15911855643975875</v>
      </c>
      <c r="G70" s="68">
        <f t="shared" ref="G70:I70" si="111">G69/G62</f>
        <v>0</v>
      </c>
      <c r="H70" s="68">
        <f t="shared" si="111"/>
        <v>-7.0549630844954879E-3</v>
      </c>
      <c r="I70" s="68">
        <f t="shared" si="111"/>
        <v>0</v>
      </c>
      <c r="J70" s="68">
        <f t="shared" ref="J70:AL70" si="112">J69/J62</f>
        <v>0</v>
      </c>
      <c r="K70" s="282">
        <f t="shared" si="112"/>
        <v>-1.8617136424643891E-3</v>
      </c>
      <c r="L70" s="68">
        <f t="shared" si="112"/>
        <v>0</v>
      </c>
      <c r="M70" s="68">
        <f t="shared" si="112"/>
        <v>0</v>
      </c>
      <c r="N70" s="68">
        <f t="shared" si="112"/>
        <v>0</v>
      </c>
      <c r="O70" s="68">
        <f t="shared" si="112"/>
        <v>0</v>
      </c>
      <c r="P70" s="282">
        <f t="shared" si="112"/>
        <v>0</v>
      </c>
      <c r="Q70" s="68">
        <f t="shared" si="112"/>
        <v>0</v>
      </c>
      <c r="R70" s="68">
        <f t="shared" si="112"/>
        <v>0</v>
      </c>
      <c r="S70" s="68">
        <f t="shared" si="112"/>
        <v>0</v>
      </c>
      <c r="T70" s="68">
        <f t="shared" si="112"/>
        <v>0</v>
      </c>
      <c r="U70" s="282">
        <f t="shared" si="112"/>
        <v>0</v>
      </c>
      <c r="V70" s="67">
        <f t="shared" si="112"/>
        <v>0</v>
      </c>
      <c r="W70" s="67">
        <f t="shared" si="112"/>
        <v>0</v>
      </c>
      <c r="X70" s="67">
        <f t="shared" si="112"/>
        <v>0</v>
      </c>
      <c r="Y70" s="67">
        <f t="shared" si="112"/>
        <v>0</v>
      </c>
      <c r="Z70" s="286">
        <f t="shared" si="112"/>
        <v>0</v>
      </c>
      <c r="AA70" s="67">
        <f t="shared" si="112"/>
        <v>0</v>
      </c>
      <c r="AB70" s="67">
        <f t="shared" si="112"/>
        <v>0</v>
      </c>
      <c r="AC70" s="67">
        <f t="shared" si="112"/>
        <v>0</v>
      </c>
      <c r="AD70" s="67">
        <f t="shared" si="112"/>
        <v>0</v>
      </c>
      <c r="AE70" s="286">
        <f t="shared" si="112"/>
        <v>0</v>
      </c>
      <c r="AF70" s="67">
        <f t="shared" si="112"/>
        <v>0</v>
      </c>
      <c r="AG70" s="67">
        <f t="shared" si="112"/>
        <v>0</v>
      </c>
      <c r="AH70" s="67">
        <f t="shared" si="112"/>
        <v>0</v>
      </c>
      <c r="AI70" s="67">
        <f t="shared" si="112"/>
        <v>0</v>
      </c>
      <c r="AJ70" s="286">
        <f t="shared" si="112"/>
        <v>0</v>
      </c>
      <c r="AK70" s="67">
        <f t="shared" si="112"/>
        <v>0</v>
      </c>
      <c r="AL70" s="67">
        <f t="shared" si="112"/>
        <v>0</v>
      </c>
      <c r="AO70" s="286"/>
      <c r="AT70" s="286"/>
      <c r="AU70" s="385"/>
      <c r="AY70" s="286"/>
      <c r="BD70" s="286"/>
      <c r="BI70" s="286"/>
      <c r="BN70" s="286"/>
      <c r="BS70" s="286"/>
      <c r="BX70" s="286"/>
      <c r="CC70" s="286"/>
      <c r="CH70" s="286"/>
      <c r="CM70" s="286"/>
    </row>
    <row r="71" spans="1:91" outlineLevel="1">
      <c r="F71" s="240"/>
      <c r="K71" s="240"/>
      <c r="P71" s="240"/>
      <c r="U71" s="240"/>
      <c r="Z71" s="240"/>
      <c r="AE71" s="240"/>
      <c r="AJ71" s="240"/>
      <c r="AO71" s="240"/>
      <c r="AT71" s="240"/>
      <c r="AU71" s="374"/>
      <c r="AY71" s="240"/>
      <c r="BD71" s="240"/>
      <c r="BI71" s="240"/>
      <c r="BN71" s="240"/>
      <c r="BS71" s="240"/>
      <c r="BX71" s="240"/>
      <c r="CC71" s="240"/>
      <c r="CH71" s="240"/>
      <c r="CM71" s="240"/>
    </row>
    <row r="72" spans="1:91">
      <c r="A72" s="18" t="s">
        <v>223</v>
      </c>
      <c r="D72" s="18">
        <v>1.3180000000000001</v>
      </c>
      <c r="E72" s="18">
        <f>F72-D72</f>
        <v>2.0999999999999908E-2</v>
      </c>
      <c r="F72" s="240">
        <v>1.339</v>
      </c>
      <c r="G72" s="18">
        <v>0.03</v>
      </c>
      <c r="H72" s="18">
        <f>0.051-G72</f>
        <v>2.0999999999999998E-2</v>
      </c>
      <c r="I72" s="16">
        <f>0.067-SUM(G72:H72)</f>
        <v>1.6000000000000007E-2</v>
      </c>
      <c r="J72" s="16">
        <f t="shared" ref="J72" si="113">K72-SUM(G72:I72)</f>
        <v>1.1839999999999999</v>
      </c>
      <c r="K72" s="269">
        <v>1.2509999999999999</v>
      </c>
      <c r="L72" s="18">
        <v>0.29299999999999998</v>
      </c>
      <c r="M72" s="18">
        <f>0.58-L72</f>
        <v>0.28699999999999998</v>
      </c>
      <c r="N72" s="18">
        <f>0.86-SUM(L72:M72)</f>
        <v>0.28000000000000003</v>
      </c>
      <c r="O72" s="16">
        <f t="shared" ref="O72" si="114">P72-SUM(L72:N72)</f>
        <v>0.32100000000000006</v>
      </c>
      <c r="P72" s="240">
        <v>1.181</v>
      </c>
      <c r="Q72" s="18">
        <v>0</v>
      </c>
      <c r="R72" s="18">
        <f>0-Q72</f>
        <v>0</v>
      </c>
      <c r="S72" s="18">
        <f>0-SUM(Q72:R72)</f>
        <v>0</v>
      </c>
      <c r="T72" s="16">
        <f t="shared" ref="T72" si="115">U72-SUM(Q72:S72)</f>
        <v>0</v>
      </c>
      <c r="U72" s="240">
        <v>0</v>
      </c>
      <c r="V72" s="18">
        <v>0</v>
      </c>
      <c r="W72" s="18">
        <f>0-V72</f>
        <v>0</v>
      </c>
      <c r="X72" s="18">
        <f>0-SUM(V72:W72)</f>
        <v>0</v>
      </c>
      <c r="Y72" s="16">
        <f t="shared" ref="Y72" si="116">Z72-SUM(V72:X72)</f>
        <v>0</v>
      </c>
      <c r="Z72" s="240">
        <v>0</v>
      </c>
      <c r="AA72" s="18">
        <v>0</v>
      </c>
      <c r="AB72" s="18">
        <f>0-AA72</f>
        <v>0</v>
      </c>
      <c r="AC72" s="18">
        <f>0-SUM(AA72:AB72)</f>
        <v>0</v>
      </c>
      <c r="AD72" s="16">
        <f t="shared" ref="AD72" si="117">AE72-SUM(AA72:AC72)</f>
        <v>0</v>
      </c>
      <c r="AE72" s="240">
        <v>0</v>
      </c>
      <c r="AF72" s="18">
        <v>0</v>
      </c>
      <c r="AG72" s="18">
        <f>0-AF72</f>
        <v>0</v>
      </c>
      <c r="AH72" s="18">
        <f>0-SUM(AF72:AG72)</f>
        <v>0</v>
      </c>
      <c r="AI72" s="16">
        <f t="shared" ref="AI72" si="118">AJ72-SUM(AF72:AH72)</f>
        <v>0</v>
      </c>
      <c r="AJ72" s="240">
        <v>0</v>
      </c>
      <c r="AK72" s="18">
        <v>0</v>
      </c>
      <c r="AL72" s="18">
        <f>0-AK72</f>
        <v>0</v>
      </c>
      <c r="AO72" s="240"/>
      <c r="AT72" s="240"/>
      <c r="AU72" s="374"/>
      <c r="AY72" s="240"/>
      <c r="BD72" s="240"/>
      <c r="BI72" s="240"/>
      <c r="BN72" s="240"/>
      <c r="BS72" s="240"/>
      <c r="BX72" s="240"/>
      <c r="CC72" s="240"/>
      <c r="CH72" s="240"/>
      <c r="CM72" s="240"/>
    </row>
    <row r="73" spans="1:91">
      <c r="A73" s="18" t="s">
        <v>222</v>
      </c>
      <c r="F73" s="240"/>
      <c r="K73" s="240"/>
      <c r="L73" s="68">
        <f t="shared" ref="L73:U73" si="119">L72/G72-1</f>
        <v>8.7666666666666657</v>
      </c>
      <c r="M73" s="68">
        <f t="shared" si="119"/>
        <v>12.666666666666668</v>
      </c>
      <c r="N73" s="68">
        <f t="shared" si="119"/>
        <v>16.499999999999993</v>
      </c>
      <c r="O73" s="68">
        <f t="shared" si="119"/>
        <v>-0.72888513513513509</v>
      </c>
      <c r="P73" s="282">
        <f t="shared" si="119"/>
        <v>-5.5955235811350756E-2</v>
      </c>
      <c r="Q73" s="68">
        <f t="shared" si="119"/>
        <v>-1</v>
      </c>
      <c r="R73" s="68">
        <f t="shared" si="119"/>
        <v>-1</v>
      </c>
      <c r="S73" s="68">
        <f t="shared" si="119"/>
        <v>-1</v>
      </c>
      <c r="T73" s="68">
        <f t="shared" si="119"/>
        <v>-1</v>
      </c>
      <c r="U73" s="282">
        <f t="shared" si="119"/>
        <v>-1</v>
      </c>
      <c r="V73" s="68"/>
      <c r="W73" s="68"/>
      <c r="X73" s="68"/>
      <c r="Y73" s="68"/>
      <c r="Z73" s="282"/>
      <c r="AA73" s="68"/>
      <c r="AB73" s="68"/>
      <c r="AC73" s="68"/>
      <c r="AD73" s="68"/>
      <c r="AE73" s="282"/>
      <c r="AJ73" s="240"/>
      <c r="AO73" s="240"/>
      <c r="AT73" s="240"/>
      <c r="AU73" s="374"/>
      <c r="AY73" s="240"/>
      <c r="BD73" s="240"/>
      <c r="BI73" s="240"/>
      <c r="BN73" s="240"/>
      <c r="BS73" s="240"/>
      <c r="BX73" s="240"/>
      <c r="CC73" s="240"/>
      <c r="CH73" s="240"/>
      <c r="CM73" s="240"/>
    </row>
    <row r="74" spans="1:91">
      <c r="F74" s="240"/>
      <c r="K74" s="240"/>
      <c r="P74" s="240"/>
      <c r="U74" s="240"/>
      <c r="Z74" s="240"/>
      <c r="AE74" s="240"/>
      <c r="AJ74" s="240"/>
      <c r="AO74" s="240"/>
      <c r="AT74" s="240"/>
      <c r="AU74" s="374"/>
      <c r="AY74" s="240"/>
      <c r="BD74" s="240"/>
      <c r="BI74" s="240"/>
      <c r="BN74" s="240"/>
      <c r="BS74" s="240"/>
      <c r="BX74" s="240"/>
      <c r="CC74" s="240"/>
      <c r="CH74" s="240"/>
      <c r="CM74" s="240"/>
    </row>
    <row r="75" spans="1:91">
      <c r="A75" s="18" t="s">
        <v>183</v>
      </c>
      <c r="B75" s="16"/>
      <c r="C75" s="16"/>
      <c r="D75" s="16">
        <v>2.5999999999999999E-2</v>
      </c>
      <c r="E75" s="18">
        <f>F75-D75</f>
        <v>0</v>
      </c>
      <c r="F75" s="269">
        <v>2.5999999999999999E-2</v>
      </c>
      <c r="G75" s="16">
        <v>0</v>
      </c>
      <c r="H75" s="16">
        <f>0-G75</f>
        <v>0</v>
      </c>
      <c r="I75" s="16">
        <f>0-SUM(G75:H75)</f>
        <v>0</v>
      </c>
      <c r="J75" s="16">
        <f t="shared" ref="J75" si="120">K75-SUM(G75:I75)</f>
        <v>0.10199999999999999</v>
      </c>
      <c r="K75" s="269">
        <v>0.10199999999999999</v>
      </c>
      <c r="L75" s="16">
        <v>-4.8000000000000001E-2</v>
      </c>
      <c r="M75" s="16">
        <f>0.58-L75</f>
        <v>0.628</v>
      </c>
      <c r="N75" s="16">
        <f>0.298-SUM(L75:M75)</f>
        <v>-0.28199999999999997</v>
      </c>
      <c r="O75" s="16">
        <f t="shared" ref="O75" si="121">P75-SUM(L75:N75)</f>
        <v>0</v>
      </c>
      <c r="P75" s="269">
        <v>0.29799999999999999</v>
      </c>
      <c r="Q75" s="16">
        <v>0</v>
      </c>
      <c r="R75" s="16">
        <f>0-Q75</f>
        <v>0</v>
      </c>
      <c r="S75" s="16">
        <f>0-SUM(Q75:R75)</f>
        <v>0</v>
      </c>
      <c r="T75" s="16">
        <f t="shared" ref="T75" si="122">U75-SUM(Q75:S75)</f>
        <v>0.33100000000000002</v>
      </c>
      <c r="U75" s="269">
        <v>0.33100000000000002</v>
      </c>
      <c r="V75" s="16">
        <v>0</v>
      </c>
      <c r="W75" s="16">
        <f>0-V75</f>
        <v>0</v>
      </c>
      <c r="X75" s="16">
        <f>0-SUM(V75:W75)</f>
        <v>0</v>
      </c>
      <c r="Y75" s="16">
        <f t="shared" ref="Y75" si="123">Z75-SUM(V75:X75)</f>
        <v>0.39300000000000002</v>
      </c>
      <c r="Z75" s="269">
        <v>0.39300000000000002</v>
      </c>
      <c r="AA75" s="16">
        <v>0</v>
      </c>
      <c r="AB75" s="16">
        <f>0-AA75</f>
        <v>0</v>
      </c>
      <c r="AC75" s="16">
        <f>0-SUM(AA75:AB75)</f>
        <v>0</v>
      </c>
      <c r="AD75" s="16">
        <f t="shared" ref="AD75" si="124">AE75-SUM(AA75:AC75)</f>
        <v>1.331</v>
      </c>
      <c r="AE75" s="269">
        <v>1.331</v>
      </c>
      <c r="AF75" s="16">
        <v>0</v>
      </c>
      <c r="AG75" s="16">
        <f>0-AF75</f>
        <v>0</v>
      </c>
      <c r="AH75" s="16">
        <f>0-AG75-AF75</f>
        <v>0</v>
      </c>
      <c r="AI75" s="16">
        <f t="shared" ref="AI75" si="125">AJ75-SUM(AF75:AH75)</f>
        <v>1.9690000000000001</v>
      </c>
      <c r="AJ75" s="269">
        <v>1.9690000000000001</v>
      </c>
      <c r="AK75" s="16">
        <v>0</v>
      </c>
      <c r="AL75" s="16">
        <f>0-AK75</f>
        <v>0</v>
      </c>
      <c r="AM75" s="16"/>
      <c r="AN75" s="16"/>
      <c r="AO75" s="269"/>
      <c r="AP75" s="16"/>
      <c r="AQ75" s="16"/>
      <c r="AR75" s="16"/>
      <c r="AS75" s="16"/>
      <c r="AT75" s="269"/>
      <c r="AU75" s="306"/>
      <c r="AV75" s="16"/>
      <c r="AW75" s="16"/>
      <c r="AX75" s="16"/>
      <c r="AY75" s="269"/>
      <c r="BD75" s="240"/>
      <c r="BI75" s="240"/>
      <c r="BN75" s="240"/>
      <c r="BS75" s="240"/>
      <c r="BX75" s="240"/>
      <c r="CC75" s="240"/>
      <c r="CH75" s="240"/>
      <c r="CM75" s="240"/>
    </row>
    <row r="76" spans="1:91">
      <c r="A76" s="18" t="s">
        <v>222</v>
      </c>
      <c r="B76" s="46"/>
      <c r="C76" s="46"/>
      <c r="D76" s="70"/>
      <c r="E76" s="46"/>
      <c r="F76" s="280"/>
      <c r="G76" s="46"/>
      <c r="H76" s="46"/>
      <c r="I76" s="46"/>
      <c r="J76" s="46"/>
      <c r="K76" s="280"/>
      <c r="L76" s="46"/>
      <c r="M76" s="46"/>
      <c r="N76" s="46"/>
      <c r="O76" s="46">
        <f>O75/J75-1</f>
        <v>-1</v>
      </c>
      <c r="P76" s="280">
        <f>P75/K75-1</f>
        <v>1.9215686274509807</v>
      </c>
      <c r="Q76" s="68">
        <f>Q75/L75-1</f>
        <v>-1</v>
      </c>
      <c r="R76" s="68">
        <f>R75/M75-1</f>
        <v>-1</v>
      </c>
      <c r="S76" s="68">
        <f>S75/N75-1</f>
        <v>-1</v>
      </c>
      <c r="T76" s="68"/>
      <c r="U76" s="282">
        <f>U75/P75-1</f>
        <v>0.11073825503355716</v>
      </c>
      <c r="V76" s="68"/>
      <c r="W76" s="68"/>
      <c r="X76" s="68"/>
      <c r="Y76" s="68">
        <f>Y75/T75-1</f>
        <v>0.18731117824773413</v>
      </c>
      <c r="Z76" s="282">
        <f>Z75/U75-1</f>
        <v>0.18731117824773413</v>
      </c>
      <c r="AA76" s="68"/>
      <c r="AB76" s="68"/>
      <c r="AC76" s="68"/>
      <c r="AD76" s="68">
        <f>AD75/Y75-1</f>
        <v>2.38676844783715</v>
      </c>
      <c r="AE76" s="282">
        <f>AE75/Z75-1</f>
        <v>2.38676844783715</v>
      </c>
      <c r="AI76" s="68">
        <f>AI75/AD75-1</f>
        <v>0.47933884297520679</v>
      </c>
      <c r="AJ76" s="282">
        <f>AJ75/AE75-1</f>
        <v>0.47933884297520679</v>
      </c>
      <c r="AO76" s="240"/>
      <c r="AT76" s="240"/>
      <c r="AU76" s="374"/>
      <c r="AY76" s="240"/>
      <c r="BD76" s="240"/>
      <c r="BI76" s="240"/>
      <c r="BN76" s="240"/>
      <c r="BS76" s="240"/>
      <c r="BX76" s="240"/>
      <c r="CC76" s="240"/>
      <c r="CH76" s="240"/>
      <c r="CM76" s="240"/>
    </row>
    <row r="77" spans="1:91">
      <c r="F77" s="240"/>
      <c r="K77" s="240"/>
      <c r="P77" s="240"/>
      <c r="U77" s="240"/>
      <c r="Z77" s="240"/>
      <c r="AE77" s="240"/>
      <c r="AJ77" s="240"/>
      <c r="AO77" s="240"/>
      <c r="AT77" s="240"/>
      <c r="AU77" s="374"/>
      <c r="AY77" s="240"/>
      <c r="BD77" s="240"/>
      <c r="BI77" s="240"/>
      <c r="BN77" s="240"/>
      <c r="BS77" s="240"/>
      <c r="BX77" s="240"/>
      <c r="CC77" s="240"/>
      <c r="CH77" s="240"/>
      <c r="CM77" s="240"/>
    </row>
    <row r="78" spans="1:91">
      <c r="A78" s="18" t="s">
        <v>241</v>
      </c>
      <c r="F78" s="240"/>
      <c r="K78" s="240"/>
      <c r="P78" s="240"/>
      <c r="U78" s="240"/>
      <c r="Z78" s="240"/>
      <c r="AE78" s="240"/>
      <c r="AJ78" s="240"/>
      <c r="AO78" s="287" t="s">
        <v>240</v>
      </c>
      <c r="AT78" s="240"/>
      <c r="AU78" s="374"/>
      <c r="AY78" s="240"/>
      <c r="BD78" s="240"/>
      <c r="BI78" s="240"/>
      <c r="BN78" s="240"/>
      <c r="BS78" s="240"/>
      <c r="BX78" s="240"/>
      <c r="CC78" s="240"/>
      <c r="CH78" s="240"/>
      <c r="CM78" s="240"/>
    </row>
    <row r="79" spans="1:91">
      <c r="A79" s="18" t="s">
        <v>239</v>
      </c>
      <c r="B79" s="62"/>
      <c r="C79" s="72"/>
      <c r="D79" s="72"/>
      <c r="E79" s="72"/>
      <c r="F79" s="283"/>
      <c r="G79" s="72"/>
      <c r="H79" s="72"/>
      <c r="I79" s="72"/>
      <c r="J79" s="72"/>
      <c r="K79" s="283"/>
      <c r="P79" s="240"/>
      <c r="U79" s="240"/>
      <c r="Z79" s="240"/>
      <c r="AE79" s="240"/>
      <c r="AJ79" s="240"/>
      <c r="AO79" s="269">
        <v>-175</v>
      </c>
      <c r="AT79" s="269">
        <v>-200</v>
      </c>
      <c r="AU79" s="374"/>
      <c r="AY79" s="240"/>
      <c r="BD79" s="240"/>
      <c r="BI79" s="240"/>
      <c r="BN79" s="240"/>
      <c r="BS79" s="240"/>
      <c r="BX79" s="240"/>
      <c r="CC79" s="240"/>
      <c r="CH79" s="240"/>
      <c r="CM79" s="240"/>
    </row>
    <row r="80" spans="1:91">
      <c r="F80" s="240"/>
      <c r="K80" s="240"/>
      <c r="P80" s="240"/>
      <c r="U80" s="240"/>
      <c r="Z80" s="240"/>
      <c r="AE80" s="240"/>
      <c r="AJ80" s="240"/>
      <c r="AO80" s="240"/>
      <c r="AT80" s="240"/>
      <c r="AU80" s="374"/>
      <c r="AY80" s="240"/>
      <c r="BD80" s="240"/>
      <c r="BI80" s="240"/>
      <c r="BN80" s="240"/>
      <c r="BS80" s="240"/>
      <c r="BX80" s="240"/>
      <c r="CC80" s="240"/>
      <c r="CH80" s="240"/>
      <c r="CM80" s="240"/>
    </row>
    <row r="81" spans="1:91">
      <c r="F81" s="240"/>
      <c r="K81" s="240"/>
      <c r="P81" s="240"/>
      <c r="U81" s="240"/>
      <c r="Z81" s="240"/>
      <c r="AE81" s="240"/>
      <c r="AJ81" s="240"/>
      <c r="AO81" s="240"/>
      <c r="AT81" s="240"/>
      <c r="AU81" s="374"/>
      <c r="AY81" s="240"/>
      <c r="BD81" s="240"/>
      <c r="BI81" s="240"/>
      <c r="BN81" s="240"/>
      <c r="BS81" s="240"/>
      <c r="BX81" s="240"/>
      <c r="CC81" s="240"/>
      <c r="CH81" s="240"/>
      <c r="CM81" s="240"/>
    </row>
    <row r="82" spans="1:91" hidden="1" outlineLevel="1">
      <c r="A82" s="15" t="s">
        <v>76</v>
      </c>
      <c r="F82" s="240"/>
      <c r="K82" s="240"/>
      <c r="P82" s="240"/>
      <c r="U82" s="240"/>
      <c r="Z82" s="240"/>
      <c r="AE82" s="240"/>
      <c r="AJ82" s="240"/>
      <c r="AO82" s="240"/>
      <c r="AT82" s="240"/>
      <c r="AU82" s="374"/>
      <c r="AY82" s="240"/>
      <c r="BD82" s="240"/>
      <c r="BI82" s="240"/>
      <c r="BN82" s="240"/>
      <c r="BS82" s="240"/>
      <c r="BX82" s="240"/>
      <c r="CC82" s="240"/>
      <c r="CH82" s="240"/>
      <c r="CM82" s="240"/>
    </row>
    <row r="83" spans="1:91" hidden="1" outlineLevel="1">
      <c r="A83" s="16" t="s">
        <v>11</v>
      </c>
      <c r="F83" s="240"/>
      <c r="K83" s="240"/>
      <c r="P83" s="240"/>
      <c r="U83" s="240"/>
      <c r="Z83" s="240"/>
      <c r="AE83" s="240"/>
      <c r="AJ83" s="240"/>
      <c r="AO83" s="240"/>
      <c r="AQ83" s="26"/>
      <c r="AR83" s="26"/>
      <c r="AT83" s="240"/>
      <c r="AU83" s="374"/>
      <c r="AV83" s="26"/>
      <c r="AW83" s="26"/>
      <c r="AY83" s="240"/>
      <c r="BA83" s="26"/>
      <c r="BB83" s="26"/>
      <c r="BD83" s="240"/>
      <c r="BF83" s="26"/>
      <c r="BG83" s="26"/>
      <c r="BI83" s="240"/>
      <c r="BK83" s="26"/>
      <c r="BL83" s="26"/>
      <c r="BN83" s="240"/>
      <c r="BP83" s="26"/>
      <c r="BQ83" s="26"/>
      <c r="BS83" s="240"/>
      <c r="BU83" s="26"/>
      <c r="BV83" s="26"/>
      <c r="BX83" s="240"/>
      <c r="BZ83" s="26"/>
      <c r="CA83" s="26"/>
      <c r="CC83" s="240"/>
      <c r="CE83" s="26"/>
      <c r="CF83" s="26"/>
      <c r="CH83" s="240"/>
      <c r="CJ83" s="26"/>
      <c r="CK83" s="26"/>
      <c r="CM83" s="240"/>
    </row>
    <row r="84" spans="1:91" hidden="1" outlineLevel="1">
      <c r="A84" s="16" t="s">
        <v>77</v>
      </c>
      <c r="F84" s="240"/>
      <c r="K84" s="240"/>
      <c r="P84" s="240"/>
      <c r="U84" s="240"/>
      <c r="Z84" s="240"/>
      <c r="AE84" s="240"/>
      <c r="AJ84" s="240"/>
      <c r="AO84" s="240"/>
      <c r="AQ84" s="26"/>
      <c r="AR84" s="26"/>
      <c r="AT84" s="240"/>
      <c r="AU84" s="374"/>
      <c r="AV84" s="26"/>
      <c r="AW84" s="26"/>
      <c r="AY84" s="240"/>
      <c r="BA84" s="26"/>
      <c r="BB84" s="26"/>
      <c r="BD84" s="240"/>
      <c r="BF84" s="26"/>
      <c r="BG84" s="26"/>
      <c r="BI84" s="240"/>
      <c r="BK84" s="26"/>
      <c r="BL84" s="26"/>
      <c r="BN84" s="240"/>
      <c r="BP84" s="26"/>
      <c r="BQ84" s="26"/>
      <c r="BS84" s="240"/>
      <c r="BU84" s="26"/>
      <c r="BV84" s="26"/>
      <c r="BX84" s="240"/>
      <c r="BZ84" s="26"/>
      <c r="CA84" s="26"/>
      <c r="CC84" s="240"/>
      <c r="CE84" s="26"/>
      <c r="CF84" s="26"/>
      <c r="CH84" s="240"/>
      <c r="CJ84" s="26"/>
      <c r="CK84" s="26"/>
      <c r="CM84" s="240"/>
    </row>
    <row r="85" spans="1:91" hidden="1" outlineLevel="1">
      <c r="A85" s="16" t="s">
        <v>44</v>
      </c>
      <c r="F85" s="240"/>
      <c r="K85" s="240"/>
      <c r="P85" s="240"/>
      <c r="U85" s="240"/>
      <c r="Z85" s="240"/>
      <c r="AE85" s="240"/>
      <c r="AJ85" s="240"/>
      <c r="AO85" s="240"/>
      <c r="AQ85" s="26"/>
      <c r="AR85" s="26"/>
      <c r="AT85" s="240"/>
      <c r="AU85" s="374"/>
      <c r="AV85" s="26"/>
      <c r="AW85" s="26"/>
      <c r="AY85" s="240"/>
      <c r="BA85" s="26"/>
      <c r="BB85" s="26"/>
      <c r="BD85" s="240"/>
      <c r="BF85" s="26"/>
      <c r="BG85" s="26"/>
      <c r="BI85" s="240"/>
      <c r="BK85" s="26"/>
      <c r="BL85" s="26"/>
      <c r="BN85" s="240"/>
      <c r="BP85" s="26"/>
      <c r="BQ85" s="26"/>
      <c r="BS85" s="240"/>
      <c r="BU85" s="26"/>
      <c r="BV85" s="26"/>
      <c r="BX85" s="240"/>
      <c r="BZ85" s="26"/>
      <c r="CA85" s="26"/>
      <c r="CC85" s="240"/>
      <c r="CE85" s="26"/>
      <c r="CF85" s="26"/>
      <c r="CH85" s="240"/>
      <c r="CJ85" s="26"/>
      <c r="CK85" s="26"/>
      <c r="CM85" s="240"/>
    </row>
    <row r="86" spans="1:91" hidden="1" outlineLevel="1">
      <c r="A86" s="16" t="s">
        <v>78</v>
      </c>
      <c r="F86" s="240"/>
      <c r="K86" s="240"/>
      <c r="P86" s="240"/>
      <c r="U86" s="240"/>
      <c r="Z86" s="240"/>
      <c r="AE86" s="240"/>
      <c r="AJ86" s="240"/>
      <c r="AO86" s="240"/>
      <c r="AQ86" s="26"/>
      <c r="AR86" s="26"/>
      <c r="AT86" s="240"/>
      <c r="AU86" s="374"/>
      <c r="AV86" s="26"/>
      <c r="AW86" s="26"/>
      <c r="AY86" s="240"/>
      <c r="BA86" s="26"/>
      <c r="BB86" s="26"/>
      <c r="BD86" s="240"/>
      <c r="BF86" s="26"/>
      <c r="BG86" s="26"/>
      <c r="BI86" s="240"/>
      <c r="BK86" s="26"/>
      <c r="BL86" s="26"/>
      <c r="BN86" s="240"/>
      <c r="BP86" s="26"/>
      <c r="BQ86" s="26"/>
      <c r="BS86" s="240"/>
      <c r="BU86" s="26"/>
      <c r="BV86" s="26"/>
      <c r="BX86" s="240"/>
      <c r="BZ86" s="26"/>
      <c r="CA86" s="26"/>
      <c r="CC86" s="240"/>
      <c r="CE86" s="26"/>
      <c r="CF86" s="26"/>
      <c r="CH86" s="240"/>
      <c r="CJ86" s="26"/>
      <c r="CK86" s="26"/>
      <c r="CM86" s="240"/>
    </row>
    <row r="87" spans="1:91" hidden="1" outlineLevel="1">
      <c r="A87" s="16" t="s">
        <v>79</v>
      </c>
      <c r="F87" s="240"/>
      <c r="K87" s="240"/>
      <c r="P87" s="240"/>
      <c r="U87" s="240"/>
      <c r="Z87" s="240"/>
      <c r="AE87" s="240"/>
      <c r="AJ87" s="240"/>
      <c r="AO87" s="240"/>
      <c r="AQ87" s="26"/>
      <c r="AR87" s="26"/>
      <c r="AT87" s="240"/>
      <c r="AU87" s="374"/>
      <c r="AV87" s="26"/>
      <c r="AW87" s="26"/>
      <c r="AY87" s="240"/>
      <c r="BA87" s="26"/>
      <c r="BB87" s="26"/>
      <c r="BD87" s="240"/>
      <c r="BF87" s="26"/>
      <c r="BG87" s="26"/>
      <c r="BI87" s="240"/>
      <c r="BK87" s="26"/>
      <c r="BL87" s="26"/>
      <c r="BN87" s="240"/>
      <c r="BP87" s="26"/>
      <c r="BQ87" s="26"/>
      <c r="BS87" s="240"/>
      <c r="BU87" s="26"/>
      <c r="BV87" s="26"/>
      <c r="BX87" s="240"/>
      <c r="BZ87" s="26"/>
      <c r="CA87" s="26"/>
      <c r="CC87" s="240"/>
      <c r="CE87" s="26"/>
      <c r="CF87" s="26"/>
      <c r="CH87" s="240"/>
      <c r="CJ87" s="26"/>
      <c r="CK87" s="26"/>
      <c r="CM87" s="240"/>
    </row>
    <row r="88" spans="1:91" hidden="1" outlineLevel="1">
      <c r="A88" s="16" t="s">
        <v>80</v>
      </c>
      <c r="F88" s="240"/>
      <c r="K88" s="240"/>
      <c r="P88" s="240"/>
      <c r="U88" s="240"/>
      <c r="Z88" s="240"/>
      <c r="AE88" s="240"/>
      <c r="AJ88" s="240"/>
      <c r="AO88" s="240"/>
      <c r="AQ88" s="26"/>
      <c r="AR88" s="26"/>
      <c r="AT88" s="240"/>
      <c r="AU88" s="374"/>
      <c r="AV88" s="26"/>
      <c r="AW88" s="26"/>
      <c r="AY88" s="240"/>
      <c r="BA88" s="26"/>
      <c r="BB88" s="26"/>
      <c r="BD88" s="240"/>
      <c r="BF88" s="26"/>
      <c r="BG88" s="26"/>
      <c r="BI88" s="240"/>
      <c r="BK88" s="26"/>
      <c r="BL88" s="26"/>
      <c r="BN88" s="240"/>
      <c r="BP88" s="26"/>
      <c r="BQ88" s="26"/>
      <c r="BS88" s="240"/>
      <c r="BU88" s="26"/>
      <c r="BV88" s="26"/>
      <c r="BX88" s="240"/>
      <c r="BZ88" s="26"/>
      <c r="CA88" s="26"/>
      <c r="CC88" s="240"/>
      <c r="CE88" s="26"/>
      <c r="CF88" s="26"/>
      <c r="CH88" s="240"/>
      <c r="CJ88" s="26"/>
      <c r="CK88" s="26"/>
      <c r="CM88" s="240"/>
    </row>
    <row r="89" spans="1:91" hidden="1" outlineLevel="1">
      <c r="A89" s="16" t="s">
        <v>163</v>
      </c>
      <c r="F89" s="240"/>
      <c r="K89" s="240"/>
      <c r="P89" s="240"/>
      <c r="U89" s="240"/>
      <c r="Z89" s="240"/>
      <c r="AE89" s="240"/>
      <c r="AJ89" s="240"/>
      <c r="AO89" s="240"/>
      <c r="AQ89" s="26"/>
      <c r="AR89" s="26"/>
      <c r="AT89" s="240"/>
      <c r="AU89" s="374"/>
      <c r="AV89" s="26"/>
      <c r="AW89" s="26"/>
      <c r="AY89" s="240"/>
      <c r="BA89" s="26"/>
      <c r="BB89" s="26"/>
      <c r="BD89" s="240"/>
      <c r="BF89" s="26"/>
      <c r="BG89" s="26"/>
      <c r="BI89" s="240"/>
      <c r="BK89" s="26"/>
      <c r="BL89" s="26"/>
      <c r="BN89" s="240"/>
      <c r="BP89" s="26"/>
      <c r="BQ89" s="26"/>
      <c r="BS89" s="240"/>
      <c r="BU89" s="26"/>
      <c r="BV89" s="26"/>
      <c r="BX89" s="240"/>
      <c r="BZ89" s="26"/>
      <c r="CA89" s="26"/>
      <c r="CC89" s="240"/>
      <c r="CE89" s="26"/>
      <c r="CF89" s="26"/>
      <c r="CH89" s="240"/>
      <c r="CJ89" s="26"/>
      <c r="CK89" s="26"/>
      <c r="CM89" s="240"/>
    </row>
    <row r="90" spans="1:91" hidden="1" outlineLevel="1">
      <c r="A90" s="16" t="s">
        <v>174</v>
      </c>
      <c r="F90" s="240"/>
      <c r="K90" s="240"/>
      <c r="P90" s="240"/>
      <c r="U90" s="240"/>
      <c r="Z90" s="240"/>
      <c r="AE90" s="240"/>
      <c r="AJ90" s="240"/>
      <c r="AO90" s="240"/>
      <c r="AQ90" s="26"/>
      <c r="AR90" s="26"/>
      <c r="AT90" s="240"/>
      <c r="AU90" s="374"/>
      <c r="AV90" s="26"/>
      <c r="AW90" s="26"/>
      <c r="AY90" s="240"/>
      <c r="BA90" s="26"/>
      <c r="BB90" s="26"/>
      <c r="BD90" s="240"/>
      <c r="BF90" s="26"/>
      <c r="BG90" s="26"/>
      <c r="BI90" s="240"/>
      <c r="BK90" s="26"/>
      <c r="BL90" s="26"/>
      <c r="BN90" s="240"/>
      <c r="BP90" s="26"/>
      <c r="BQ90" s="26"/>
      <c r="BS90" s="240"/>
      <c r="BU90" s="26"/>
      <c r="BV90" s="26"/>
      <c r="BX90" s="240"/>
      <c r="BZ90" s="26"/>
      <c r="CA90" s="26"/>
      <c r="CC90" s="240"/>
      <c r="CE90" s="26"/>
      <c r="CF90" s="26"/>
      <c r="CH90" s="240"/>
      <c r="CJ90" s="26"/>
      <c r="CK90" s="26"/>
      <c r="CM90" s="240"/>
    </row>
    <row r="91" spans="1:91" hidden="1" outlineLevel="1">
      <c r="A91" s="16" t="s">
        <v>81</v>
      </c>
      <c r="F91" s="240"/>
      <c r="K91" s="240"/>
      <c r="P91" s="240"/>
      <c r="U91" s="240"/>
      <c r="Z91" s="240"/>
      <c r="AE91" s="240"/>
      <c r="AJ91" s="240"/>
      <c r="AO91" s="240"/>
      <c r="AQ91" s="26"/>
      <c r="AR91" s="26"/>
      <c r="AT91" s="240"/>
      <c r="AU91" s="374"/>
      <c r="AV91" s="26"/>
      <c r="AW91" s="26"/>
      <c r="AY91" s="240"/>
      <c r="BA91" s="26"/>
      <c r="BB91" s="26"/>
      <c r="BD91" s="240"/>
      <c r="BF91" s="26"/>
      <c r="BG91" s="26"/>
      <c r="BI91" s="240"/>
      <c r="BK91" s="26"/>
      <c r="BL91" s="26"/>
      <c r="BN91" s="240"/>
      <c r="BP91" s="26"/>
      <c r="BQ91" s="26"/>
      <c r="BS91" s="240"/>
      <c r="BU91" s="26"/>
      <c r="BV91" s="26"/>
      <c r="BX91" s="240"/>
      <c r="BZ91" s="26"/>
      <c r="CA91" s="26"/>
      <c r="CC91" s="240"/>
      <c r="CE91" s="26"/>
      <c r="CF91" s="26"/>
      <c r="CH91" s="240"/>
      <c r="CJ91" s="26"/>
      <c r="CK91" s="26"/>
      <c r="CM91" s="240"/>
    </row>
    <row r="92" spans="1:91" hidden="1" outlineLevel="1">
      <c r="A92" s="16"/>
      <c r="F92" s="240"/>
      <c r="K92" s="240"/>
      <c r="P92" s="240"/>
      <c r="U92" s="240"/>
      <c r="Z92" s="240"/>
      <c r="AE92" s="240"/>
      <c r="AJ92" s="240"/>
      <c r="AO92" s="240"/>
      <c r="AQ92" s="26"/>
      <c r="AR92" s="26"/>
      <c r="AT92" s="240"/>
      <c r="AU92" s="374"/>
      <c r="AV92" s="26"/>
      <c r="AW92" s="26"/>
      <c r="AY92" s="240"/>
      <c r="BA92" s="26"/>
      <c r="BB92" s="26"/>
      <c r="BD92" s="240"/>
      <c r="BF92" s="26"/>
      <c r="BG92" s="26"/>
      <c r="BI92" s="240"/>
      <c r="BK92" s="26"/>
      <c r="BL92" s="26"/>
      <c r="BN92" s="240"/>
      <c r="BP92" s="26"/>
      <c r="BQ92" s="26"/>
      <c r="BS92" s="240"/>
      <c r="BU92" s="26"/>
      <c r="BV92" s="26"/>
      <c r="BX92" s="240"/>
      <c r="BZ92" s="26"/>
      <c r="CA92" s="26"/>
      <c r="CC92" s="240"/>
      <c r="CE92" s="26"/>
      <c r="CF92" s="26"/>
      <c r="CH92" s="240"/>
      <c r="CJ92" s="26"/>
      <c r="CK92" s="26"/>
      <c r="CM92" s="240"/>
    </row>
    <row r="93" spans="1:91" hidden="1" outlineLevel="1">
      <c r="A93" s="15" t="s">
        <v>82</v>
      </c>
      <c r="F93" s="240"/>
      <c r="K93" s="240"/>
      <c r="P93" s="240"/>
      <c r="U93" s="240"/>
      <c r="Z93" s="240"/>
      <c r="AE93" s="240"/>
      <c r="AJ93" s="240"/>
      <c r="AO93" s="240"/>
      <c r="AQ93" s="26"/>
      <c r="AR93" s="26"/>
      <c r="AT93" s="240"/>
      <c r="AU93" s="374"/>
      <c r="AV93" s="26"/>
      <c r="AW93" s="26"/>
      <c r="AY93" s="240"/>
      <c r="BA93" s="26"/>
      <c r="BB93" s="26"/>
      <c r="BD93" s="240"/>
      <c r="BF93" s="26"/>
      <c r="BG93" s="26"/>
      <c r="BI93" s="240"/>
      <c r="BK93" s="26"/>
      <c r="BL93" s="26"/>
      <c r="BN93" s="240"/>
      <c r="BP93" s="26"/>
      <c r="BQ93" s="26"/>
      <c r="BS93" s="240"/>
      <c r="BU93" s="26"/>
      <c r="BV93" s="26"/>
      <c r="BX93" s="240"/>
      <c r="BZ93" s="26"/>
      <c r="CA93" s="26"/>
      <c r="CC93" s="240"/>
      <c r="CE93" s="26"/>
      <c r="CF93" s="26"/>
      <c r="CH93" s="240"/>
      <c r="CJ93" s="26"/>
      <c r="CK93" s="26"/>
      <c r="CM93" s="240"/>
    </row>
    <row r="94" spans="1:91" hidden="1" outlineLevel="1">
      <c r="A94" s="16" t="s">
        <v>83</v>
      </c>
      <c r="F94" s="240"/>
      <c r="K94" s="240"/>
      <c r="P94" s="240"/>
      <c r="U94" s="240"/>
      <c r="Z94" s="240"/>
      <c r="AE94" s="240"/>
      <c r="AJ94" s="240"/>
      <c r="AO94" s="240"/>
      <c r="AQ94" s="26"/>
      <c r="AR94" s="26"/>
      <c r="AT94" s="240"/>
      <c r="AU94" s="374"/>
      <c r="AV94" s="26"/>
      <c r="AW94" s="26"/>
      <c r="AY94" s="240"/>
      <c r="BA94" s="26"/>
      <c r="BB94" s="26"/>
      <c r="BD94" s="240"/>
      <c r="BF94" s="26"/>
      <c r="BG94" s="26"/>
      <c r="BI94" s="240"/>
      <c r="BK94" s="26"/>
      <c r="BL94" s="26"/>
      <c r="BN94" s="240"/>
      <c r="BP94" s="26"/>
      <c r="BQ94" s="26"/>
      <c r="BS94" s="240"/>
      <c r="BU94" s="26"/>
      <c r="BV94" s="26"/>
      <c r="BX94" s="240"/>
      <c r="BZ94" s="26"/>
      <c r="CA94" s="26"/>
      <c r="CC94" s="240"/>
      <c r="CE94" s="26"/>
      <c r="CF94" s="26"/>
      <c r="CH94" s="240"/>
      <c r="CJ94" s="26"/>
      <c r="CK94" s="26"/>
      <c r="CM94" s="240"/>
    </row>
    <row r="95" spans="1:91" hidden="1" outlineLevel="1">
      <c r="A95" s="16" t="s">
        <v>26</v>
      </c>
      <c r="F95" s="240"/>
      <c r="K95" s="240"/>
      <c r="P95" s="240"/>
      <c r="U95" s="240"/>
      <c r="Z95" s="240"/>
      <c r="AE95" s="240"/>
      <c r="AJ95" s="240"/>
      <c r="AO95" s="240"/>
      <c r="AQ95" s="26"/>
      <c r="AR95" s="26"/>
      <c r="AT95" s="240"/>
      <c r="AU95" s="374"/>
      <c r="AV95" s="26"/>
      <c r="AW95" s="26"/>
      <c r="AY95" s="240"/>
      <c r="BA95" s="26"/>
      <c r="BB95" s="26"/>
      <c r="BD95" s="240"/>
      <c r="BF95" s="26"/>
      <c r="BG95" s="26"/>
      <c r="BI95" s="240"/>
      <c r="BK95" s="26"/>
      <c r="BL95" s="26"/>
      <c r="BN95" s="240"/>
      <c r="BP95" s="26"/>
      <c r="BQ95" s="26"/>
      <c r="BS95" s="240"/>
      <c r="BU95" s="26"/>
      <c r="BV95" s="26"/>
      <c r="BX95" s="240"/>
      <c r="BZ95" s="26"/>
      <c r="CA95" s="26"/>
      <c r="CC95" s="240"/>
      <c r="CE95" s="26"/>
      <c r="CF95" s="26"/>
      <c r="CH95" s="240"/>
      <c r="CJ95" s="26"/>
      <c r="CK95" s="26"/>
      <c r="CM95" s="240"/>
    </row>
    <row r="96" spans="1:91" hidden="1" outlineLevel="1">
      <c r="A96" s="16" t="s">
        <v>37</v>
      </c>
      <c r="F96" s="240"/>
      <c r="K96" s="240"/>
      <c r="P96" s="240"/>
      <c r="U96" s="240"/>
      <c r="Z96" s="240"/>
      <c r="AE96" s="240"/>
      <c r="AJ96" s="240"/>
      <c r="AO96" s="240"/>
      <c r="AQ96" s="26"/>
      <c r="AR96" s="26"/>
      <c r="AT96" s="240"/>
      <c r="AU96" s="374"/>
      <c r="AV96" s="26"/>
      <c r="AW96" s="26"/>
      <c r="AY96" s="240"/>
      <c r="BA96" s="26"/>
      <c r="BB96" s="26"/>
      <c r="BD96" s="240"/>
      <c r="BF96" s="26"/>
      <c r="BG96" s="26"/>
      <c r="BI96" s="240"/>
      <c r="BK96" s="26"/>
      <c r="BL96" s="26"/>
      <c r="BN96" s="240"/>
      <c r="BP96" s="26"/>
      <c r="BQ96" s="26"/>
      <c r="BS96" s="240"/>
      <c r="BU96" s="26"/>
      <c r="BV96" s="26"/>
      <c r="BX96" s="240"/>
      <c r="BZ96" s="26"/>
      <c r="CA96" s="26"/>
      <c r="CC96" s="240"/>
      <c r="CE96" s="26"/>
      <c r="CF96" s="26"/>
      <c r="CH96" s="240"/>
      <c r="CJ96" s="26"/>
      <c r="CK96" s="26"/>
      <c r="CM96" s="240"/>
    </row>
    <row r="97" spans="1:91" hidden="1" outlineLevel="1">
      <c r="A97" s="16" t="s">
        <v>38</v>
      </c>
      <c r="F97" s="240"/>
      <c r="K97" s="240"/>
      <c r="P97" s="240"/>
      <c r="U97" s="240"/>
      <c r="Z97" s="240"/>
      <c r="AE97" s="240"/>
      <c r="AJ97" s="240"/>
      <c r="AO97" s="240"/>
      <c r="AQ97" s="26"/>
      <c r="AR97" s="26"/>
      <c r="AT97" s="240"/>
      <c r="AU97" s="374"/>
      <c r="AV97" s="26"/>
      <c r="AW97" s="26"/>
      <c r="AY97" s="240"/>
      <c r="BA97" s="26"/>
      <c r="BB97" s="26"/>
      <c r="BD97" s="240"/>
      <c r="BF97" s="26"/>
      <c r="BG97" s="26"/>
      <c r="BI97" s="240"/>
      <c r="BK97" s="26"/>
      <c r="BL97" s="26"/>
      <c r="BN97" s="240"/>
      <c r="BP97" s="26"/>
      <c r="BQ97" s="26"/>
      <c r="BS97" s="240"/>
      <c r="BU97" s="26"/>
      <c r="BV97" s="26"/>
      <c r="BX97" s="240"/>
      <c r="BZ97" s="26"/>
      <c r="CA97" s="26"/>
      <c r="CC97" s="240"/>
      <c r="CE97" s="26"/>
      <c r="CF97" s="26"/>
      <c r="CH97" s="240"/>
      <c r="CJ97" s="26"/>
      <c r="CK97" s="26"/>
      <c r="CM97" s="240"/>
    </row>
    <row r="98" spans="1:91" hidden="1" outlineLevel="1">
      <c r="A98" s="16" t="s">
        <v>84</v>
      </c>
      <c r="F98" s="240"/>
      <c r="K98" s="240"/>
      <c r="P98" s="240"/>
      <c r="U98" s="240"/>
      <c r="Z98" s="240"/>
      <c r="AE98" s="240"/>
      <c r="AJ98" s="240"/>
      <c r="AO98" s="240"/>
      <c r="AQ98" s="26"/>
      <c r="AR98" s="26"/>
      <c r="AT98" s="240"/>
      <c r="AU98" s="374"/>
      <c r="AV98" s="26"/>
      <c r="AW98" s="26"/>
      <c r="AY98" s="240"/>
      <c r="BA98" s="26"/>
      <c r="BB98" s="26"/>
      <c r="BD98" s="240"/>
      <c r="BF98" s="26"/>
      <c r="BG98" s="26"/>
      <c r="BI98" s="240"/>
      <c r="BK98" s="26"/>
      <c r="BL98" s="26"/>
      <c r="BN98" s="240"/>
      <c r="BP98" s="26"/>
      <c r="BQ98" s="26"/>
      <c r="BS98" s="240"/>
      <c r="BU98" s="26"/>
      <c r="BV98" s="26"/>
      <c r="BX98" s="240"/>
      <c r="BZ98" s="26"/>
      <c r="CA98" s="26"/>
      <c r="CC98" s="240"/>
      <c r="CE98" s="26"/>
      <c r="CF98" s="26"/>
      <c r="CH98" s="240"/>
      <c r="CJ98" s="26"/>
      <c r="CK98" s="26"/>
      <c r="CM98" s="240"/>
    </row>
    <row r="99" spans="1:91" hidden="1" outlineLevel="1">
      <c r="A99" s="15" t="s">
        <v>85</v>
      </c>
      <c r="F99" s="240"/>
      <c r="K99" s="240"/>
      <c r="P99" s="240"/>
      <c r="U99" s="240"/>
      <c r="Z99" s="240"/>
      <c r="AE99" s="240"/>
      <c r="AJ99" s="240"/>
      <c r="AO99" s="240"/>
      <c r="AQ99" s="26">
        <f>+AQ82+AQ83+AQ84+AQ85+AQ86+AQ87+AQ88+AQ89+AQ90+AQ91+AQ93+AQ94+AQ95+AQ96+AQ97+AQ98</f>
        <v>0</v>
      </c>
      <c r="AR99" s="26">
        <f>+AR82+AR83+AR84+AR85+AR86+AR87+AR88+AR89+AR90+AR91+AR93+AR94+AR95+AR96+AR97+AR98</f>
        <v>0</v>
      </c>
      <c r="AT99" s="240"/>
      <c r="AU99" s="374"/>
      <c r="AV99" s="26">
        <f t="shared" ref="AV99:AW99" si="126">+AV82+AV83+AV84+AV85+AV86+AV87+AV88+AV89+AV90+AV91+AV93+AV94+AV95+AV96+AV97+AV98</f>
        <v>0</v>
      </c>
      <c r="AW99" s="26">
        <f t="shared" si="126"/>
        <v>0</v>
      </c>
      <c r="AY99" s="240"/>
      <c r="BA99" s="26">
        <f t="shared" ref="BA99" si="127">+BA82+BA83+BA84+BA85+BA86+BA87+BA88+BA89+BA90+BA91+BA93+BA94+BA95+BA96+BA97+BA98</f>
        <v>0</v>
      </c>
      <c r="BB99" s="26">
        <f t="shared" ref="BB99" si="128">+BB82+BB83+BB84+BB85+BB86+BB87+BB88+BB89+BB90+BB91+BB93+BB94+BB95+BB96+BB97+BB98</f>
        <v>0</v>
      </c>
      <c r="BD99" s="240"/>
      <c r="BF99" s="26">
        <f t="shared" ref="BF99" si="129">+BF82+BF83+BF84+BF85+BF86+BF87+BF88+BF89+BF90+BF91+BF93+BF94+BF95+BF96+BF97+BF98</f>
        <v>0</v>
      </c>
      <c r="BG99" s="26">
        <f t="shared" ref="BG99" si="130">+BG82+BG83+BG84+BG85+BG86+BG87+BG88+BG89+BG90+BG91+BG93+BG94+BG95+BG96+BG97+BG98</f>
        <v>0</v>
      </c>
      <c r="BI99" s="240"/>
      <c r="BK99" s="26">
        <f t="shared" ref="BK99" si="131">+BK82+BK83+BK84+BK85+BK86+BK87+BK88+BK89+BK90+BK91+BK93+BK94+BK95+BK96+BK97+BK98</f>
        <v>0</v>
      </c>
      <c r="BL99" s="26">
        <f t="shared" ref="BL99" si="132">+BL82+BL83+BL84+BL85+BL86+BL87+BL88+BL89+BL90+BL91+BL93+BL94+BL95+BL96+BL97+BL98</f>
        <v>0</v>
      </c>
      <c r="BN99" s="240"/>
      <c r="BP99" s="26">
        <f t="shared" ref="BP99" si="133">+BP82+BP83+BP84+BP85+BP86+BP87+BP88+BP89+BP90+BP91+BP93+BP94+BP95+BP96+BP97+BP98</f>
        <v>0</v>
      </c>
      <c r="BQ99" s="26">
        <f t="shared" ref="BQ99" si="134">+BQ82+BQ83+BQ84+BQ85+BQ86+BQ87+BQ88+BQ89+BQ90+BQ91+BQ93+BQ94+BQ95+BQ96+BQ97+BQ98</f>
        <v>0</v>
      </c>
      <c r="BS99" s="240"/>
      <c r="BU99" s="26">
        <f t="shared" ref="BU99" si="135">+BU82+BU83+BU84+BU85+BU86+BU87+BU88+BU89+BU90+BU91+BU93+BU94+BU95+BU96+BU97+BU98</f>
        <v>0</v>
      </c>
      <c r="BV99" s="26">
        <f t="shared" ref="BV99" si="136">+BV82+BV83+BV84+BV85+BV86+BV87+BV88+BV89+BV90+BV91+BV93+BV94+BV95+BV96+BV97+BV98</f>
        <v>0</v>
      </c>
      <c r="BX99" s="240"/>
      <c r="BZ99" s="26">
        <f t="shared" ref="BZ99" si="137">+BZ82+BZ83+BZ84+BZ85+BZ86+BZ87+BZ88+BZ89+BZ90+BZ91+BZ93+BZ94+BZ95+BZ96+BZ97+BZ98</f>
        <v>0</v>
      </c>
      <c r="CA99" s="26">
        <f t="shared" ref="CA99" si="138">+CA82+CA83+CA84+CA85+CA86+CA87+CA88+CA89+CA90+CA91+CA93+CA94+CA95+CA96+CA97+CA98</f>
        <v>0</v>
      </c>
      <c r="CC99" s="240"/>
      <c r="CE99" s="26">
        <f t="shared" ref="CE99" si="139">+CE82+CE83+CE84+CE85+CE86+CE87+CE88+CE89+CE90+CE91+CE93+CE94+CE95+CE96+CE97+CE98</f>
        <v>0</v>
      </c>
      <c r="CF99" s="26">
        <f t="shared" ref="CF99" si="140">+CF82+CF83+CF84+CF85+CF86+CF87+CF88+CF89+CF90+CF91+CF93+CF94+CF95+CF96+CF97+CF98</f>
        <v>0</v>
      </c>
      <c r="CH99" s="240"/>
      <c r="CJ99" s="26">
        <f t="shared" ref="CJ99" si="141">+CJ82+CJ83+CJ84+CJ85+CJ86+CJ87+CJ88+CJ89+CJ90+CJ91+CJ93+CJ94+CJ95+CJ96+CJ97+CJ98</f>
        <v>0</v>
      </c>
      <c r="CK99" s="26">
        <f t="shared" ref="CK99" si="142">+CK82+CK83+CK84+CK85+CK86+CK87+CK88+CK89+CK90+CK91+CK93+CK94+CK95+CK96+CK97+CK98</f>
        <v>0</v>
      </c>
      <c r="CM99" s="240"/>
    </row>
    <row r="100" spans="1:91" hidden="1" outlineLevel="1">
      <c r="A100" s="16"/>
      <c r="F100" s="240"/>
      <c r="K100" s="240"/>
      <c r="P100" s="240"/>
      <c r="U100" s="240"/>
      <c r="Z100" s="240"/>
      <c r="AE100" s="240"/>
      <c r="AJ100" s="240"/>
      <c r="AO100" s="240"/>
      <c r="AQ100" s="26"/>
      <c r="AR100" s="26"/>
      <c r="AT100" s="240"/>
      <c r="AU100" s="374"/>
      <c r="AV100" s="26"/>
      <c r="AW100" s="26"/>
      <c r="AY100" s="240"/>
      <c r="BA100" s="26"/>
      <c r="BB100" s="26"/>
      <c r="BD100" s="240"/>
      <c r="BF100" s="26"/>
      <c r="BG100" s="26"/>
      <c r="BI100" s="240"/>
      <c r="BK100" s="26"/>
      <c r="BL100" s="26"/>
      <c r="BN100" s="240"/>
      <c r="BP100" s="26"/>
      <c r="BQ100" s="26"/>
      <c r="BS100" s="240"/>
      <c r="BU100" s="26"/>
      <c r="BV100" s="26"/>
      <c r="BX100" s="240"/>
      <c r="BZ100" s="26"/>
      <c r="CA100" s="26"/>
      <c r="CC100" s="240"/>
      <c r="CE100" s="26"/>
      <c r="CF100" s="26"/>
      <c r="CH100" s="240"/>
      <c r="CJ100" s="26"/>
      <c r="CK100" s="26"/>
      <c r="CM100" s="240"/>
    </row>
    <row r="101" spans="1:91" hidden="1" outlineLevel="1">
      <c r="A101" s="15" t="s">
        <v>86</v>
      </c>
      <c r="F101" s="240"/>
      <c r="K101" s="240"/>
      <c r="P101" s="240"/>
      <c r="U101" s="240"/>
      <c r="Z101" s="240"/>
      <c r="AE101" s="240"/>
      <c r="AJ101" s="240"/>
      <c r="AO101" s="240"/>
      <c r="AQ101" s="26"/>
      <c r="AR101" s="26"/>
      <c r="AT101" s="240"/>
      <c r="AU101" s="374"/>
      <c r="AV101" s="26"/>
      <c r="AW101" s="26"/>
      <c r="AY101" s="240"/>
      <c r="BA101" s="26"/>
      <c r="BB101" s="26"/>
      <c r="BD101" s="240"/>
      <c r="BF101" s="26"/>
      <c r="BG101" s="26"/>
      <c r="BI101" s="240"/>
      <c r="BK101" s="26"/>
      <c r="BL101" s="26"/>
      <c r="BN101" s="240"/>
      <c r="BP101" s="26"/>
      <c r="BQ101" s="26"/>
      <c r="BS101" s="240"/>
      <c r="BU101" s="26"/>
      <c r="BV101" s="26"/>
      <c r="BX101" s="240"/>
      <c r="BZ101" s="26"/>
      <c r="CA101" s="26"/>
      <c r="CC101" s="240"/>
      <c r="CE101" s="26"/>
      <c r="CF101" s="26"/>
      <c r="CH101" s="240"/>
      <c r="CJ101" s="26"/>
      <c r="CK101" s="26"/>
      <c r="CM101" s="240"/>
    </row>
    <row r="102" spans="1:91" hidden="1" outlineLevel="1">
      <c r="A102" s="16" t="s">
        <v>87</v>
      </c>
      <c r="F102" s="240"/>
      <c r="K102" s="240"/>
      <c r="P102" s="240"/>
      <c r="U102" s="240"/>
      <c r="Z102" s="240"/>
      <c r="AE102" s="240"/>
      <c r="AJ102" s="240"/>
      <c r="AO102" s="240"/>
      <c r="AQ102" s="26"/>
      <c r="AR102" s="26"/>
      <c r="AT102" s="240"/>
      <c r="AU102" s="374"/>
      <c r="AV102" s="26"/>
      <c r="AW102" s="26"/>
      <c r="AY102" s="240"/>
      <c r="BA102" s="26"/>
      <c r="BB102" s="26"/>
      <c r="BD102" s="240"/>
      <c r="BF102" s="26"/>
      <c r="BG102" s="26"/>
      <c r="BI102" s="240"/>
      <c r="BK102" s="26"/>
      <c r="BL102" s="26"/>
      <c r="BN102" s="240"/>
      <c r="BP102" s="26"/>
      <c r="BQ102" s="26"/>
      <c r="BS102" s="240"/>
      <c r="BU102" s="26"/>
      <c r="BV102" s="26"/>
      <c r="BX102" s="240"/>
      <c r="BZ102" s="26"/>
      <c r="CA102" s="26"/>
      <c r="CC102" s="240"/>
      <c r="CE102" s="26"/>
      <c r="CF102" s="26"/>
      <c r="CH102" s="240"/>
      <c r="CJ102" s="26"/>
      <c r="CK102" s="26"/>
      <c r="CM102" s="240"/>
    </row>
    <row r="103" spans="1:91" hidden="1" outlineLevel="1">
      <c r="A103" s="16" t="s">
        <v>88</v>
      </c>
      <c r="F103" s="240"/>
      <c r="K103" s="240"/>
      <c r="P103" s="240"/>
      <c r="U103" s="240"/>
      <c r="Z103" s="240"/>
      <c r="AE103" s="240"/>
      <c r="AJ103" s="240"/>
      <c r="AO103" s="240"/>
      <c r="AQ103" s="26"/>
      <c r="AR103" s="26"/>
      <c r="AT103" s="240"/>
      <c r="AU103" s="374"/>
      <c r="AV103" s="26"/>
      <c r="AW103" s="26"/>
      <c r="AY103" s="240"/>
      <c r="BA103" s="26"/>
      <c r="BB103" s="26"/>
      <c r="BD103" s="240"/>
      <c r="BF103" s="26"/>
      <c r="BG103" s="26"/>
      <c r="BI103" s="240"/>
      <c r="BK103" s="26"/>
      <c r="BL103" s="26"/>
      <c r="BN103" s="240"/>
      <c r="BP103" s="26"/>
      <c r="BQ103" s="26"/>
      <c r="BS103" s="240"/>
      <c r="BU103" s="26"/>
      <c r="BV103" s="26"/>
      <c r="BX103" s="240"/>
      <c r="BZ103" s="26"/>
      <c r="CA103" s="26"/>
      <c r="CC103" s="240"/>
      <c r="CE103" s="26"/>
      <c r="CF103" s="26"/>
      <c r="CH103" s="240"/>
      <c r="CJ103" s="26"/>
      <c r="CK103" s="26"/>
      <c r="CM103" s="240"/>
    </row>
    <row r="104" spans="1:91" hidden="1" outlineLevel="1">
      <c r="A104" s="16" t="s">
        <v>89</v>
      </c>
      <c r="F104" s="240"/>
      <c r="K104" s="240"/>
      <c r="P104" s="240"/>
      <c r="U104" s="240"/>
      <c r="Z104" s="240"/>
      <c r="AE104" s="240"/>
      <c r="AJ104" s="240"/>
      <c r="AO104" s="240"/>
      <c r="AQ104" s="26"/>
      <c r="AR104" s="26"/>
      <c r="AT104" s="240"/>
      <c r="AU104" s="374"/>
      <c r="AV104" s="26"/>
      <c r="AW104" s="26"/>
      <c r="AY104" s="240"/>
      <c r="BA104" s="26"/>
      <c r="BB104" s="26"/>
      <c r="BD104" s="240"/>
      <c r="BF104" s="26"/>
      <c r="BG104" s="26"/>
      <c r="BI104" s="240"/>
      <c r="BK104" s="26"/>
      <c r="BL104" s="26"/>
      <c r="BN104" s="240"/>
      <c r="BP104" s="26"/>
      <c r="BQ104" s="26"/>
      <c r="BS104" s="240"/>
      <c r="BU104" s="26"/>
      <c r="BV104" s="26"/>
      <c r="BX104" s="240"/>
      <c r="BZ104" s="26"/>
      <c r="CA104" s="26"/>
      <c r="CC104" s="240"/>
      <c r="CE104" s="26"/>
      <c r="CF104" s="26"/>
      <c r="CH104" s="240"/>
      <c r="CJ104" s="26"/>
      <c r="CK104" s="26"/>
      <c r="CM104" s="240"/>
    </row>
    <row r="105" spans="1:91" hidden="1" outlineLevel="1">
      <c r="A105" s="16" t="s">
        <v>90</v>
      </c>
      <c r="F105" s="240"/>
      <c r="K105" s="240"/>
      <c r="P105" s="240"/>
      <c r="U105" s="240"/>
      <c r="Z105" s="240"/>
      <c r="AE105" s="240"/>
      <c r="AJ105" s="240"/>
      <c r="AO105" s="240"/>
      <c r="AQ105" s="26"/>
      <c r="AR105" s="26"/>
      <c r="AT105" s="240"/>
      <c r="AU105" s="374"/>
      <c r="AV105" s="26"/>
      <c r="AW105" s="26"/>
      <c r="AY105" s="240"/>
      <c r="BA105" s="26"/>
      <c r="BB105" s="26"/>
      <c r="BD105" s="240"/>
      <c r="BF105" s="26"/>
      <c r="BG105" s="26"/>
      <c r="BI105" s="240"/>
      <c r="BK105" s="26"/>
      <c r="BL105" s="26"/>
      <c r="BN105" s="240"/>
      <c r="BP105" s="26"/>
      <c r="BQ105" s="26"/>
      <c r="BS105" s="240"/>
      <c r="BU105" s="26"/>
      <c r="BV105" s="26"/>
      <c r="BX105" s="240"/>
      <c r="BZ105" s="26"/>
      <c r="CA105" s="26"/>
      <c r="CC105" s="240"/>
      <c r="CE105" s="26"/>
      <c r="CF105" s="26"/>
      <c r="CH105" s="240"/>
      <c r="CJ105" s="26"/>
      <c r="CK105" s="26"/>
      <c r="CM105" s="240"/>
    </row>
    <row r="106" spans="1:91" hidden="1" outlineLevel="1">
      <c r="A106" s="16" t="s">
        <v>84</v>
      </c>
      <c r="F106" s="240"/>
      <c r="K106" s="240"/>
      <c r="P106" s="240"/>
      <c r="U106" s="240"/>
      <c r="Z106" s="240"/>
      <c r="AE106" s="240"/>
      <c r="AJ106" s="240"/>
      <c r="AO106" s="240"/>
      <c r="AQ106" s="26"/>
      <c r="AR106" s="26"/>
      <c r="AT106" s="240"/>
      <c r="AU106" s="374"/>
      <c r="AV106" s="26"/>
      <c r="AW106" s="26"/>
      <c r="AY106" s="240"/>
      <c r="BA106" s="26"/>
      <c r="BB106" s="26"/>
      <c r="BD106" s="240"/>
      <c r="BF106" s="26"/>
      <c r="BG106" s="26"/>
      <c r="BI106" s="240"/>
      <c r="BK106" s="26"/>
      <c r="BL106" s="26"/>
      <c r="BN106" s="240"/>
      <c r="BP106" s="26"/>
      <c r="BQ106" s="26"/>
      <c r="BS106" s="240"/>
      <c r="BU106" s="26"/>
      <c r="BV106" s="26"/>
      <c r="BX106" s="240"/>
      <c r="BZ106" s="26"/>
      <c r="CA106" s="26"/>
      <c r="CC106" s="240"/>
      <c r="CE106" s="26"/>
      <c r="CF106" s="26"/>
      <c r="CH106" s="240"/>
      <c r="CJ106" s="26"/>
      <c r="CK106" s="26"/>
      <c r="CM106" s="240"/>
    </row>
    <row r="107" spans="1:91" hidden="1" outlineLevel="1">
      <c r="A107" s="15" t="s">
        <v>91</v>
      </c>
      <c r="F107" s="240"/>
      <c r="K107" s="240"/>
      <c r="P107" s="240"/>
      <c r="U107" s="240"/>
      <c r="Z107" s="240"/>
      <c r="AE107" s="240"/>
      <c r="AJ107" s="240"/>
      <c r="AO107" s="240"/>
      <c r="AQ107" s="26">
        <f>+AQ102+AQ103+AQ104+AQ105+AQ106</f>
        <v>0</v>
      </c>
      <c r="AR107" s="26">
        <f>+AR102+AR103+AR104+AR105+AR106</f>
        <v>0</v>
      </c>
      <c r="AT107" s="240"/>
      <c r="AU107" s="374"/>
      <c r="AV107" s="26">
        <f t="shared" ref="AV107:AW107" si="143">+AV102+AV103+AV104+AV105+AV106</f>
        <v>0</v>
      </c>
      <c r="AW107" s="26">
        <f t="shared" si="143"/>
        <v>0</v>
      </c>
      <c r="AY107" s="240"/>
      <c r="BA107" s="26">
        <f t="shared" ref="BA107" si="144">+BA102+BA103+BA104+BA105+BA106</f>
        <v>0</v>
      </c>
      <c r="BB107" s="26">
        <f t="shared" ref="BB107" si="145">+BB102+BB103+BB104+BB105+BB106</f>
        <v>0</v>
      </c>
      <c r="BD107" s="240"/>
      <c r="BF107" s="26">
        <f t="shared" ref="BF107" si="146">+BF102+BF103+BF104+BF105+BF106</f>
        <v>0</v>
      </c>
      <c r="BG107" s="26">
        <f t="shared" ref="BG107" si="147">+BG102+BG103+BG104+BG105+BG106</f>
        <v>0</v>
      </c>
      <c r="BI107" s="240"/>
      <c r="BK107" s="26">
        <f t="shared" ref="BK107" si="148">+BK102+BK103+BK104+BK105+BK106</f>
        <v>0</v>
      </c>
      <c r="BL107" s="26">
        <f t="shared" ref="BL107" si="149">+BL102+BL103+BL104+BL105+BL106</f>
        <v>0</v>
      </c>
      <c r="BN107" s="240"/>
      <c r="BP107" s="26">
        <f t="shared" ref="BP107" si="150">+BP102+BP103+BP104+BP105+BP106</f>
        <v>0</v>
      </c>
      <c r="BQ107" s="26">
        <f t="shared" ref="BQ107" si="151">+BQ102+BQ103+BQ104+BQ105+BQ106</f>
        <v>0</v>
      </c>
      <c r="BS107" s="240"/>
      <c r="BU107" s="26">
        <f t="shared" ref="BU107" si="152">+BU102+BU103+BU104+BU105+BU106</f>
        <v>0</v>
      </c>
      <c r="BV107" s="26">
        <f t="shared" ref="BV107" si="153">+BV102+BV103+BV104+BV105+BV106</f>
        <v>0</v>
      </c>
      <c r="BX107" s="240"/>
      <c r="BZ107" s="26">
        <f t="shared" ref="BZ107" si="154">+BZ102+BZ103+BZ104+BZ105+BZ106</f>
        <v>0</v>
      </c>
      <c r="CA107" s="26">
        <f t="shared" ref="CA107" si="155">+CA102+CA103+CA104+CA105+CA106</f>
        <v>0</v>
      </c>
      <c r="CC107" s="240"/>
      <c r="CE107" s="26">
        <f t="shared" ref="CE107" si="156">+CE102+CE103+CE104+CE105+CE106</f>
        <v>0</v>
      </c>
      <c r="CF107" s="26">
        <f t="shared" ref="CF107" si="157">+CF102+CF103+CF104+CF105+CF106</f>
        <v>0</v>
      </c>
      <c r="CH107" s="240"/>
      <c r="CJ107" s="26">
        <f t="shared" ref="CJ107" si="158">+CJ102+CJ103+CJ104+CJ105+CJ106</f>
        <v>0</v>
      </c>
      <c r="CK107" s="26">
        <f t="shared" ref="CK107" si="159">+CK102+CK103+CK104+CK105+CK106</f>
        <v>0</v>
      </c>
      <c r="CM107" s="240"/>
    </row>
    <row r="108" spans="1:91" hidden="1" outlineLevel="1">
      <c r="A108" s="16"/>
      <c r="F108" s="240"/>
      <c r="K108" s="240"/>
      <c r="P108" s="240"/>
      <c r="U108" s="240"/>
      <c r="Z108" s="240"/>
      <c r="AE108" s="240"/>
      <c r="AJ108" s="240"/>
      <c r="AO108" s="240"/>
      <c r="AQ108" s="26"/>
      <c r="AR108" s="26"/>
      <c r="AT108" s="240"/>
      <c r="AU108" s="374"/>
      <c r="AV108" s="26"/>
      <c r="AW108" s="26"/>
      <c r="AY108" s="240"/>
      <c r="BA108" s="26"/>
      <c r="BB108" s="26"/>
      <c r="BD108" s="240"/>
      <c r="BF108" s="26"/>
      <c r="BG108" s="26"/>
      <c r="BI108" s="240"/>
      <c r="BK108" s="26"/>
      <c r="BL108" s="26"/>
      <c r="BN108" s="240"/>
      <c r="BP108" s="26"/>
      <c r="BQ108" s="26"/>
      <c r="BS108" s="240"/>
      <c r="BU108" s="26"/>
      <c r="BV108" s="26"/>
      <c r="BX108" s="240"/>
      <c r="BZ108" s="26"/>
      <c r="CA108" s="26"/>
      <c r="CC108" s="240"/>
      <c r="CE108" s="26"/>
      <c r="CF108" s="26"/>
      <c r="CH108" s="240"/>
      <c r="CJ108" s="26"/>
      <c r="CK108" s="26"/>
      <c r="CM108" s="240"/>
    </row>
    <row r="109" spans="1:91" hidden="1" outlineLevel="1">
      <c r="A109" s="15" t="s">
        <v>92</v>
      </c>
      <c r="F109" s="240"/>
      <c r="K109" s="240"/>
      <c r="P109" s="240"/>
      <c r="U109" s="240"/>
      <c r="Z109" s="240"/>
      <c r="AE109" s="240"/>
      <c r="AJ109" s="240"/>
      <c r="AO109" s="240"/>
      <c r="AQ109" s="26"/>
      <c r="AR109" s="26"/>
      <c r="AT109" s="240"/>
      <c r="AU109" s="374"/>
      <c r="AV109" s="26"/>
      <c r="AW109" s="26"/>
      <c r="AY109" s="240"/>
      <c r="BA109" s="26"/>
      <c r="BB109" s="26"/>
      <c r="BD109" s="240"/>
      <c r="BF109" s="26"/>
      <c r="BG109" s="26"/>
      <c r="BI109" s="240"/>
      <c r="BK109" s="26"/>
      <c r="BL109" s="26"/>
      <c r="BN109" s="240"/>
      <c r="BP109" s="26"/>
      <c r="BQ109" s="26"/>
      <c r="BS109" s="240"/>
      <c r="BU109" s="26"/>
      <c r="BV109" s="26"/>
      <c r="BX109" s="240"/>
      <c r="BZ109" s="26"/>
      <c r="CA109" s="26"/>
      <c r="CC109" s="240"/>
      <c r="CE109" s="26"/>
      <c r="CF109" s="26"/>
      <c r="CH109" s="240"/>
      <c r="CJ109" s="26"/>
      <c r="CK109" s="26"/>
      <c r="CM109" s="240"/>
    </row>
    <row r="110" spans="1:91" hidden="1" outlineLevel="1">
      <c r="A110" s="16" t="s">
        <v>93</v>
      </c>
      <c r="F110" s="240"/>
      <c r="K110" s="240"/>
      <c r="P110" s="240"/>
      <c r="U110" s="240"/>
      <c r="Z110" s="240"/>
      <c r="AE110" s="240"/>
      <c r="AJ110" s="240"/>
      <c r="AO110" s="240"/>
      <c r="AQ110" s="26"/>
      <c r="AR110" s="26"/>
      <c r="AT110" s="240"/>
      <c r="AU110" s="374"/>
      <c r="AV110" s="26"/>
      <c r="AW110" s="26"/>
      <c r="AY110" s="240"/>
      <c r="BA110" s="26"/>
      <c r="BB110" s="26"/>
      <c r="BD110" s="240"/>
      <c r="BF110" s="26"/>
      <c r="BG110" s="26"/>
      <c r="BI110" s="240"/>
      <c r="BK110" s="26"/>
      <c r="BL110" s="26"/>
      <c r="BN110" s="240"/>
      <c r="BP110" s="26"/>
      <c r="BQ110" s="26"/>
      <c r="BS110" s="240"/>
      <c r="BU110" s="26"/>
      <c r="BV110" s="26"/>
      <c r="BX110" s="240"/>
      <c r="BZ110" s="26"/>
      <c r="CA110" s="26"/>
      <c r="CC110" s="240"/>
      <c r="CE110" s="26"/>
      <c r="CF110" s="26"/>
      <c r="CH110" s="240"/>
      <c r="CJ110" s="26"/>
      <c r="CK110" s="26"/>
      <c r="CM110" s="240"/>
    </row>
    <row r="111" spans="1:91" hidden="1" outlineLevel="1">
      <c r="A111" s="16" t="s">
        <v>94</v>
      </c>
      <c r="F111" s="240"/>
      <c r="K111" s="240"/>
      <c r="P111" s="240"/>
      <c r="U111" s="240"/>
      <c r="Z111" s="240"/>
      <c r="AE111" s="240"/>
      <c r="AJ111" s="240"/>
      <c r="AO111" s="240"/>
      <c r="AQ111" s="26"/>
      <c r="AR111" s="26"/>
      <c r="AT111" s="240"/>
      <c r="AU111" s="374"/>
      <c r="AV111" s="26"/>
      <c r="AW111" s="26"/>
      <c r="AY111" s="240"/>
      <c r="BA111" s="26"/>
      <c r="BB111" s="26"/>
      <c r="BD111" s="240"/>
      <c r="BF111" s="26"/>
      <c r="BG111" s="26"/>
      <c r="BI111" s="240"/>
      <c r="BK111" s="26"/>
      <c r="BL111" s="26"/>
      <c r="BN111" s="240"/>
      <c r="BP111" s="26"/>
      <c r="BQ111" s="26"/>
      <c r="BS111" s="240"/>
      <c r="BU111" s="26"/>
      <c r="BV111" s="26"/>
      <c r="BX111" s="240"/>
      <c r="BZ111" s="26"/>
      <c r="CA111" s="26"/>
      <c r="CC111" s="240"/>
      <c r="CE111" s="26"/>
      <c r="CF111" s="26"/>
      <c r="CH111" s="240"/>
      <c r="CJ111" s="26"/>
      <c r="CK111" s="26"/>
      <c r="CM111" s="240"/>
    </row>
    <row r="112" spans="1:91" hidden="1" outlineLevel="1">
      <c r="A112" s="16" t="s">
        <v>95</v>
      </c>
      <c r="F112" s="240"/>
      <c r="K112" s="240"/>
      <c r="P112" s="240"/>
      <c r="U112" s="240"/>
      <c r="Z112" s="240"/>
      <c r="AE112" s="240"/>
      <c r="AJ112" s="240"/>
      <c r="AO112" s="240"/>
      <c r="AQ112" s="26"/>
      <c r="AR112" s="26"/>
      <c r="AT112" s="240"/>
      <c r="AU112" s="374"/>
      <c r="AV112" s="26"/>
      <c r="AW112" s="26"/>
      <c r="AY112" s="240"/>
      <c r="BA112" s="26"/>
      <c r="BB112" s="26"/>
      <c r="BD112" s="240"/>
      <c r="BF112" s="26"/>
      <c r="BG112" s="26"/>
      <c r="BI112" s="240"/>
      <c r="BK112" s="26"/>
      <c r="BL112" s="26"/>
      <c r="BN112" s="240"/>
      <c r="BP112" s="26"/>
      <c r="BQ112" s="26"/>
      <c r="BS112" s="240"/>
      <c r="BU112" s="26"/>
      <c r="BV112" s="26"/>
      <c r="BX112" s="240"/>
      <c r="BZ112" s="26"/>
      <c r="CA112" s="26"/>
      <c r="CC112" s="240"/>
      <c r="CE112" s="26"/>
      <c r="CF112" s="26"/>
      <c r="CH112" s="240"/>
      <c r="CJ112" s="26"/>
      <c r="CK112" s="26"/>
      <c r="CM112" s="240"/>
    </row>
    <row r="113" spans="1:91" hidden="1" outlineLevel="1">
      <c r="A113" s="16" t="s">
        <v>96</v>
      </c>
      <c r="F113" s="240"/>
      <c r="K113" s="240"/>
      <c r="P113" s="240"/>
      <c r="U113" s="240"/>
      <c r="Z113" s="240"/>
      <c r="AE113" s="240"/>
      <c r="AJ113" s="240"/>
      <c r="AO113" s="240"/>
      <c r="AQ113" s="26"/>
      <c r="AR113" s="26"/>
      <c r="AT113" s="240"/>
      <c r="AU113" s="374"/>
      <c r="AV113" s="26"/>
      <c r="AW113" s="26"/>
      <c r="AY113" s="240"/>
      <c r="BA113" s="26"/>
      <c r="BB113" s="26"/>
      <c r="BD113" s="240"/>
      <c r="BF113" s="26"/>
      <c r="BG113" s="26"/>
      <c r="BI113" s="240"/>
      <c r="BK113" s="26"/>
      <c r="BL113" s="26"/>
      <c r="BN113" s="240"/>
      <c r="BP113" s="26"/>
      <c r="BQ113" s="26"/>
      <c r="BS113" s="240"/>
      <c r="BU113" s="26"/>
      <c r="BV113" s="26"/>
      <c r="BX113" s="240"/>
      <c r="BZ113" s="26"/>
      <c r="CA113" s="26"/>
      <c r="CC113" s="240"/>
      <c r="CE113" s="26"/>
      <c r="CF113" s="26"/>
      <c r="CH113" s="240"/>
      <c r="CJ113" s="26"/>
      <c r="CK113" s="26"/>
      <c r="CM113" s="240"/>
    </row>
    <row r="114" spans="1:91" hidden="1" outlineLevel="1">
      <c r="A114" s="16" t="s">
        <v>174</v>
      </c>
      <c r="F114" s="240"/>
      <c r="K114" s="240"/>
      <c r="P114" s="240"/>
      <c r="U114" s="240"/>
      <c r="Z114" s="240"/>
      <c r="AE114" s="240"/>
      <c r="AJ114" s="240"/>
      <c r="AO114" s="240"/>
      <c r="AQ114" s="26"/>
      <c r="AR114" s="26"/>
      <c r="AT114" s="240"/>
      <c r="AU114" s="374"/>
      <c r="AV114" s="26"/>
      <c r="AW114" s="26"/>
      <c r="AY114" s="240"/>
      <c r="BA114" s="26"/>
      <c r="BB114" s="26"/>
      <c r="BD114" s="240"/>
      <c r="BF114" s="26"/>
      <c r="BG114" s="26"/>
      <c r="BI114" s="240"/>
      <c r="BK114" s="26"/>
      <c r="BL114" s="26"/>
      <c r="BN114" s="240"/>
      <c r="BP114" s="26"/>
      <c r="BQ114" s="26"/>
      <c r="BS114" s="240"/>
      <c r="BU114" s="26"/>
      <c r="BV114" s="26"/>
      <c r="BX114" s="240"/>
      <c r="BZ114" s="26"/>
      <c r="CA114" s="26"/>
      <c r="CC114" s="240"/>
      <c r="CE114" s="26"/>
      <c r="CF114" s="26"/>
      <c r="CH114" s="240"/>
      <c r="CJ114" s="26"/>
      <c r="CK114" s="26"/>
      <c r="CM114" s="240"/>
    </row>
    <row r="115" spans="1:91" hidden="1" outlineLevel="1">
      <c r="A115" s="16" t="s">
        <v>19</v>
      </c>
      <c r="F115" s="240"/>
      <c r="K115" s="240"/>
      <c r="P115" s="240"/>
      <c r="U115" s="240"/>
      <c r="Z115" s="240"/>
      <c r="AE115" s="240"/>
      <c r="AJ115" s="240"/>
      <c r="AO115" s="240"/>
      <c r="AQ115" s="26"/>
      <c r="AR115" s="26"/>
      <c r="AT115" s="240"/>
      <c r="AU115" s="374"/>
      <c r="AV115" s="26"/>
      <c r="AW115" s="26"/>
      <c r="AY115" s="240"/>
      <c r="BA115" s="26"/>
      <c r="BB115" s="26"/>
      <c r="BD115" s="240"/>
      <c r="BF115" s="26"/>
      <c r="BG115" s="26"/>
      <c r="BI115" s="240"/>
      <c r="BK115" s="26"/>
      <c r="BL115" s="26"/>
      <c r="BN115" s="240"/>
      <c r="BP115" s="26"/>
      <c r="BQ115" s="26"/>
      <c r="BS115" s="240"/>
      <c r="BU115" s="26"/>
      <c r="BV115" s="26"/>
      <c r="BX115" s="240"/>
      <c r="BZ115" s="26"/>
      <c r="CA115" s="26"/>
      <c r="CC115" s="240"/>
      <c r="CE115" s="26"/>
      <c r="CF115" s="26"/>
      <c r="CH115" s="240"/>
      <c r="CJ115" s="26"/>
      <c r="CK115" s="26"/>
      <c r="CM115" s="240"/>
    </row>
    <row r="116" spans="1:91" hidden="1" outlineLevel="1">
      <c r="A116" s="15" t="s">
        <v>97</v>
      </c>
      <c r="F116" s="240"/>
      <c r="K116" s="240"/>
      <c r="P116" s="240"/>
      <c r="U116" s="240"/>
      <c r="Z116" s="240"/>
      <c r="AE116" s="240"/>
      <c r="AJ116" s="240"/>
      <c r="AO116" s="240"/>
      <c r="AQ116" s="26">
        <f>+AQ110+AQ111+AQ112+AQ113+AQ114+AQ115</f>
        <v>0</v>
      </c>
      <c r="AR116" s="26">
        <f>+AR110+AR111+AR112+AR113+AR114+AR115</f>
        <v>0</v>
      </c>
      <c r="AT116" s="240"/>
      <c r="AU116" s="374"/>
      <c r="AV116" s="26">
        <f t="shared" ref="AV116:AW116" si="160">+AV110+AV111+AV112+AV113+AV114+AV115</f>
        <v>0</v>
      </c>
      <c r="AW116" s="26">
        <f t="shared" si="160"/>
        <v>0</v>
      </c>
      <c r="AY116" s="240"/>
      <c r="BA116" s="26">
        <f t="shared" ref="BA116" si="161">+BA110+BA111+BA112+BA113+BA114+BA115</f>
        <v>0</v>
      </c>
      <c r="BB116" s="26">
        <f t="shared" ref="BB116" si="162">+BB110+BB111+BB112+BB113+BB114+BB115</f>
        <v>0</v>
      </c>
      <c r="BD116" s="240"/>
      <c r="BF116" s="26">
        <f t="shared" ref="BF116" si="163">+BF110+BF111+BF112+BF113+BF114+BF115</f>
        <v>0</v>
      </c>
      <c r="BG116" s="26">
        <f t="shared" ref="BG116" si="164">+BG110+BG111+BG112+BG113+BG114+BG115</f>
        <v>0</v>
      </c>
      <c r="BI116" s="240"/>
      <c r="BK116" s="26">
        <f t="shared" ref="BK116" si="165">+BK110+BK111+BK112+BK113+BK114+BK115</f>
        <v>0</v>
      </c>
      <c r="BL116" s="26">
        <f t="shared" ref="BL116" si="166">+BL110+BL111+BL112+BL113+BL114+BL115</f>
        <v>0</v>
      </c>
      <c r="BN116" s="240"/>
      <c r="BP116" s="26">
        <f t="shared" ref="BP116" si="167">+BP110+BP111+BP112+BP113+BP114+BP115</f>
        <v>0</v>
      </c>
      <c r="BQ116" s="26">
        <f t="shared" ref="BQ116" si="168">+BQ110+BQ111+BQ112+BQ113+BQ114+BQ115</f>
        <v>0</v>
      </c>
      <c r="BS116" s="240"/>
      <c r="BU116" s="26">
        <f t="shared" ref="BU116" si="169">+BU110+BU111+BU112+BU113+BU114+BU115</f>
        <v>0</v>
      </c>
      <c r="BV116" s="26">
        <f t="shared" ref="BV116" si="170">+BV110+BV111+BV112+BV113+BV114+BV115</f>
        <v>0</v>
      </c>
      <c r="BX116" s="240"/>
      <c r="BZ116" s="26">
        <f t="shared" ref="BZ116" si="171">+BZ110+BZ111+BZ112+BZ113+BZ114+BZ115</f>
        <v>0</v>
      </c>
      <c r="CA116" s="26">
        <f t="shared" ref="CA116" si="172">+CA110+CA111+CA112+CA113+CA114+CA115</f>
        <v>0</v>
      </c>
      <c r="CC116" s="240"/>
      <c r="CE116" s="26">
        <f t="shared" ref="CE116" si="173">+CE110+CE111+CE112+CE113+CE114+CE115</f>
        <v>0</v>
      </c>
      <c r="CF116" s="26">
        <f t="shared" ref="CF116" si="174">+CF110+CF111+CF112+CF113+CF114+CF115</f>
        <v>0</v>
      </c>
      <c r="CH116" s="240"/>
      <c r="CJ116" s="26">
        <f t="shared" ref="CJ116" si="175">+CJ110+CJ111+CJ112+CJ113+CJ114+CJ115</f>
        <v>0</v>
      </c>
      <c r="CK116" s="26">
        <f t="shared" ref="CK116" si="176">+CK110+CK111+CK112+CK113+CK114+CK115</f>
        <v>0</v>
      </c>
      <c r="CM116" s="240"/>
    </row>
    <row r="117" spans="1:91" hidden="1" outlineLevel="1">
      <c r="A117" s="16"/>
      <c r="F117" s="240"/>
      <c r="K117" s="240"/>
      <c r="P117" s="240"/>
      <c r="U117" s="240"/>
      <c r="Z117" s="240"/>
      <c r="AE117" s="240"/>
      <c r="AJ117" s="240"/>
      <c r="AO117" s="240"/>
      <c r="AQ117" s="26"/>
      <c r="AR117" s="26"/>
      <c r="AT117" s="240"/>
      <c r="AU117" s="374"/>
      <c r="AV117" s="26"/>
      <c r="AW117" s="26"/>
      <c r="AY117" s="240"/>
      <c r="BA117" s="26"/>
      <c r="BB117" s="26"/>
      <c r="BD117" s="240"/>
      <c r="BF117" s="26"/>
      <c r="BG117" s="26"/>
      <c r="BI117" s="240"/>
      <c r="BK117" s="26"/>
      <c r="BL117" s="26"/>
      <c r="BN117" s="240"/>
      <c r="BP117" s="26"/>
      <c r="BQ117" s="26"/>
      <c r="BS117" s="240"/>
      <c r="BU117" s="26"/>
      <c r="BV117" s="26"/>
      <c r="BX117" s="240"/>
      <c r="BZ117" s="26"/>
      <c r="CA117" s="26"/>
      <c r="CC117" s="240"/>
      <c r="CE117" s="26"/>
      <c r="CF117" s="26"/>
      <c r="CH117" s="240"/>
      <c r="CJ117" s="26"/>
      <c r="CK117" s="26"/>
      <c r="CM117" s="240"/>
    </row>
    <row r="118" spans="1:91" hidden="1" outlineLevel="1">
      <c r="A118" s="15" t="s">
        <v>98</v>
      </c>
      <c r="F118" s="240"/>
      <c r="K118" s="240"/>
      <c r="P118" s="240"/>
      <c r="U118" s="240"/>
      <c r="Z118" s="240"/>
      <c r="AE118" s="240"/>
      <c r="AJ118" s="240"/>
      <c r="AO118" s="240"/>
      <c r="AQ118" s="26">
        <f>+AQ99+AQ107+AQ116</f>
        <v>0</v>
      </c>
      <c r="AR118" s="26">
        <f>+AR99+AR107+AR116</f>
        <v>0</v>
      </c>
      <c r="AT118" s="240"/>
      <c r="AU118" s="374"/>
      <c r="AV118" s="26">
        <f t="shared" ref="AV118:AW118" si="177">+AV99+AV107+AV116</f>
        <v>0</v>
      </c>
      <c r="AW118" s="26">
        <f t="shared" si="177"/>
        <v>0</v>
      </c>
      <c r="AY118" s="240"/>
      <c r="BA118" s="26">
        <f t="shared" ref="BA118:BB118" si="178">+BA99+BA107+BA116</f>
        <v>0</v>
      </c>
      <c r="BB118" s="26">
        <f t="shared" si="178"/>
        <v>0</v>
      </c>
      <c r="BD118" s="240"/>
      <c r="BF118" s="26">
        <f t="shared" ref="BF118:BG118" si="179">+BF99+BF107+BF116</f>
        <v>0</v>
      </c>
      <c r="BG118" s="26">
        <f t="shared" si="179"/>
        <v>0</v>
      </c>
      <c r="BI118" s="240"/>
      <c r="BK118" s="26">
        <f t="shared" ref="BK118:BL118" si="180">+BK99+BK107+BK116</f>
        <v>0</v>
      </c>
      <c r="BL118" s="26">
        <f t="shared" si="180"/>
        <v>0</v>
      </c>
      <c r="BN118" s="240"/>
      <c r="BP118" s="26">
        <f t="shared" ref="BP118:BQ118" si="181">+BP99+BP107+BP116</f>
        <v>0</v>
      </c>
      <c r="BQ118" s="26">
        <f t="shared" si="181"/>
        <v>0</v>
      </c>
      <c r="BS118" s="240"/>
      <c r="BU118" s="26">
        <f t="shared" ref="BU118:BV118" si="182">+BU99+BU107+BU116</f>
        <v>0</v>
      </c>
      <c r="BV118" s="26">
        <f t="shared" si="182"/>
        <v>0</v>
      </c>
      <c r="BX118" s="240"/>
      <c r="BZ118" s="26">
        <f t="shared" ref="BZ118:CA118" si="183">+BZ99+BZ107+BZ116</f>
        <v>0</v>
      </c>
      <c r="CA118" s="26">
        <f t="shared" si="183"/>
        <v>0</v>
      </c>
      <c r="CC118" s="240"/>
      <c r="CE118" s="26">
        <f t="shared" ref="CE118:CF118" si="184">+CE99+CE107+CE116</f>
        <v>0</v>
      </c>
      <c r="CF118" s="26">
        <f t="shared" si="184"/>
        <v>0</v>
      </c>
      <c r="CH118" s="240"/>
      <c r="CJ118" s="26">
        <f t="shared" ref="CJ118:CK118" si="185">+CJ99+CJ107+CJ116</f>
        <v>0</v>
      </c>
      <c r="CK118" s="26">
        <f t="shared" si="185"/>
        <v>0</v>
      </c>
      <c r="CM118" s="240"/>
    </row>
    <row r="119" spans="1:91" hidden="1" outlineLevel="1">
      <c r="A119" s="16" t="s">
        <v>21</v>
      </c>
      <c r="F119" s="240"/>
      <c r="K119" s="240"/>
      <c r="P119" s="240"/>
      <c r="U119" s="240"/>
      <c r="Z119" s="240"/>
      <c r="AE119" s="240"/>
      <c r="AJ119" s="240"/>
      <c r="AO119" s="240"/>
      <c r="AQ119" s="26"/>
      <c r="AR119" s="26"/>
      <c r="AT119" s="240"/>
      <c r="AU119" s="374"/>
      <c r="AV119" s="26"/>
      <c r="AW119" s="26"/>
      <c r="AY119" s="240"/>
      <c r="BA119" s="26"/>
      <c r="BB119" s="26"/>
      <c r="BD119" s="240"/>
      <c r="BF119" s="26"/>
      <c r="BG119" s="26"/>
      <c r="BI119" s="240"/>
      <c r="BK119" s="26"/>
      <c r="BL119" s="26"/>
      <c r="BN119" s="240"/>
      <c r="BP119" s="26"/>
      <c r="BQ119" s="26"/>
      <c r="BS119" s="240"/>
      <c r="BU119" s="26"/>
      <c r="BV119" s="26"/>
      <c r="BX119" s="240"/>
      <c r="BZ119" s="26"/>
      <c r="CA119" s="26"/>
      <c r="CC119" s="240"/>
      <c r="CE119" s="26"/>
      <c r="CF119" s="26"/>
      <c r="CH119" s="240"/>
      <c r="CJ119" s="26"/>
      <c r="CK119" s="26"/>
      <c r="CM119" s="240"/>
    </row>
    <row r="120" spans="1:91" hidden="1" outlineLevel="1">
      <c r="A120" s="15" t="s">
        <v>99</v>
      </c>
      <c r="F120" s="240"/>
      <c r="K120" s="240"/>
      <c r="P120" s="240"/>
      <c r="U120" s="240"/>
      <c r="Z120" s="240"/>
      <c r="AE120" s="240"/>
      <c r="AJ120" s="240"/>
      <c r="AO120" s="240"/>
      <c r="AQ120" s="26">
        <f>+AQ118+AQ119</f>
        <v>0</v>
      </c>
      <c r="AR120" s="26">
        <f>+AR118+AR119</f>
        <v>0</v>
      </c>
      <c r="AT120" s="240"/>
      <c r="AU120" s="374"/>
      <c r="AV120" s="26">
        <f t="shared" ref="AV120:AW120" si="186">+AV118+AV119</f>
        <v>0</v>
      </c>
      <c r="AW120" s="26">
        <f t="shared" si="186"/>
        <v>0</v>
      </c>
      <c r="AY120" s="240"/>
      <c r="BA120" s="26">
        <f t="shared" ref="BA120" si="187">+BA118+BA119</f>
        <v>0</v>
      </c>
      <c r="BB120" s="26">
        <f t="shared" ref="BB120" si="188">+BB118+BB119</f>
        <v>0</v>
      </c>
      <c r="BD120" s="240"/>
      <c r="BF120" s="26">
        <f t="shared" ref="BF120" si="189">+BF118+BF119</f>
        <v>0</v>
      </c>
      <c r="BG120" s="26">
        <f t="shared" ref="BG120" si="190">+BG118+BG119</f>
        <v>0</v>
      </c>
      <c r="BI120" s="240"/>
      <c r="BK120" s="26">
        <f t="shared" ref="BK120" si="191">+BK118+BK119</f>
        <v>0</v>
      </c>
      <c r="BL120" s="26">
        <f t="shared" ref="BL120" si="192">+BL118+BL119</f>
        <v>0</v>
      </c>
      <c r="BN120" s="240"/>
      <c r="BP120" s="26">
        <f t="shared" ref="BP120" si="193">+BP118+BP119</f>
        <v>0</v>
      </c>
      <c r="BQ120" s="26">
        <f t="shared" ref="BQ120" si="194">+BQ118+BQ119</f>
        <v>0</v>
      </c>
      <c r="BS120" s="240"/>
      <c r="BU120" s="26">
        <f t="shared" ref="BU120" si="195">+BU118+BU119</f>
        <v>0</v>
      </c>
      <c r="BV120" s="26">
        <f t="shared" ref="BV120" si="196">+BV118+BV119</f>
        <v>0</v>
      </c>
      <c r="BX120" s="240"/>
      <c r="BZ120" s="26">
        <f t="shared" ref="BZ120" si="197">+BZ118+BZ119</f>
        <v>0</v>
      </c>
      <c r="CA120" s="26">
        <f t="shared" ref="CA120" si="198">+CA118+CA119</f>
        <v>0</v>
      </c>
      <c r="CC120" s="240"/>
      <c r="CE120" s="26">
        <f t="shared" ref="CE120" si="199">+CE118+CE119</f>
        <v>0</v>
      </c>
      <c r="CF120" s="26">
        <f t="shared" ref="CF120" si="200">+CF118+CF119</f>
        <v>0</v>
      </c>
      <c r="CH120" s="240"/>
      <c r="CJ120" s="26">
        <f t="shared" ref="CJ120" si="201">+CJ118+CJ119</f>
        <v>0</v>
      </c>
      <c r="CK120" s="26">
        <f t="shared" ref="CK120" si="202">+CK118+CK119</f>
        <v>0</v>
      </c>
      <c r="CM120" s="240"/>
    </row>
    <row r="121" spans="1:91" hidden="1" outlineLevel="1">
      <c r="F121" s="240"/>
      <c r="K121" s="240"/>
      <c r="P121" s="240"/>
      <c r="U121" s="240"/>
      <c r="Z121" s="240"/>
      <c r="AE121" s="240"/>
      <c r="AJ121" s="240"/>
      <c r="AO121" s="240"/>
      <c r="AT121" s="240"/>
      <c r="AU121" s="374"/>
      <c r="AY121" s="240"/>
      <c r="BD121" s="240"/>
      <c r="BI121" s="240"/>
      <c r="BN121" s="240"/>
      <c r="BS121" s="240"/>
      <c r="BX121" s="240"/>
      <c r="CC121" s="240"/>
      <c r="CH121" s="240"/>
      <c r="CM121" s="240"/>
    </row>
    <row r="122" spans="1:91" hidden="1" outlineLevel="1">
      <c r="F122" s="240"/>
      <c r="K122" s="240"/>
      <c r="P122" s="240"/>
      <c r="U122" s="240"/>
      <c r="Z122" s="240"/>
      <c r="AE122" s="240"/>
      <c r="AJ122" s="240"/>
      <c r="AO122" s="240"/>
      <c r="AT122" s="240"/>
      <c r="AU122" s="374"/>
      <c r="AY122" s="240"/>
      <c r="BD122" s="240"/>
      <c r="BI122" s="240"/>
      <c r="BN122" s="240"/>
      <c r="BS122" s="240"/>
      <c r="BX122" s="240"/>
      <c r="CC122" s="240"/>
      <c r="CH122" s="240"/>
      <c r="CM122" s="240"/>
    </row>
    <row r="123" spans="1:91" collapsed="1">
      <c r="F123" s="240"/>
      <c r="K123" s="240"/>
      <c r="P123" s="240"/>
      <c r="U123" s="240"/>
      <c r="Z123" s="240"/>
      <c r="AE123" s="240"/>
      <c r="AJ123" s="240"/>
      <c r="AO123" s="240"/>
      <c r="AT123" s="240"/>
      <c r="AU123" s="374"/>
      <c r="AY123" s="240"/>
      <c r="BD123" s="240"/>
      <c r="BI123" s="240"/>
      <c r="BN123" s="240"/>
      <c r="BS123" s="240"/>
      <c r="BX123" s="240"/>
      <c r="CC123" s="240"/>
      <c r="CH123" s="240"/>
      <c r="CM123" s="240"/>
    </row>
    <row r="124" spans="1:91">
      <c r="F124" s="240"/>
      <c r="K124" s="240"/>
      <c r="P124" s="240"/>
      <c r="U124" s="240"/>
      <c r="Z124" s="240"/>
      <c r="AE124" s="240"/>
      <c r="AJ124" s="240"/>
      <c r="AO124" s="240"/>
      <c r="AT124" s="240"/>
      <c r="AU124" s="374"/>
      <c r="AY124" s="240"/>
      <c r="BD124" s="240"/>
      <c r="BI124" s="240"/>
      <c r="BN124" s="240"/>
      <c r="BS124" s="240"/>
      <c r="BX124" s="240"/>
      <c r="CC124" s="240"/>
      <c r="CH124" s="240"/>
      <c r="CM124" s="240"/>
    </row>
    <row r="125" spans="1:91">
      <c r="F125" s="247"/>
      <c r="K125" s="247"/>
      <c r="P125" s="247"/>
      <c r="U125" s="247"/>
      <c r="Z125" s="247"/>
      <c r="AE125" s="247"/>
      <c r="AJ125" s="247"/>
      <c r="AO125" s="247"/>
      <c r="AT125" s="247"/>
      <c r="AU125" s="374"/>
      <c r="AY125" s="247"/>
      <c r="BD125" s="247"/>
      <c r="BI125" s="247"/>
      <c r="BN125" s="247"/>
      <c r="BS125" s="247"/>
      <c r="BX125" s="247"/>
      <c r="CC125" s="247"/>
      <c r="CH125" s="247"/>
      <c r="CM125" s="247"/>
    </row>
    <row r="128" spans="1:91">
      <c r="A128" s="18" t="str">
        <f>IS!A79</f>
        <v>Source: Company reports, Wells Fargo Securities, LLC estimates.</v>
      </c>
    </row>
  </sheetData>
  <printOptions horizontalCentered="1" verticalCentered="1"/>
  <pageMargins left="0.5" right="0.5" top="0.5" bottom="0.5" header="0.5" footer="0.5"/>
  <pageSetup scale="34" orientation="landscape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CM87"/>
  <sheetViews>
    <sheetView zoomScaleNormal="100" workbookViewId="0">
      <pane xSplit="1" ySplit="6" topLeftCell="AK7" activePane="bottomRight" state="frozen"/>
      <selection pane="topRight" activeCell="B1" sqref="B1"/>
      <selection pane="bottomLeft" activeCell="A7" sqref="A7"/>
      <selection pane="bottomRight" activeCell="AT68" sqref="AT68"/>
    </sheetView>
  </sheetViews>
  <sheetFormatPr defaultColWidth="8" defaultRowHeight="12.75" outlineLevelCol="1"/>
  <cols>
    <col min="1" max="1" width="35.140625" style="18" customWidth="1"/>
    <col min="2" max="5" width="8" style="18" hidden="1" customWidth="1" outlineLevel="1"/>
    <col min="6" max="6" width="8" style="18" customWidth="1" collapsed="1"/>
    <col min="7" max="7" width="8" style="18" hidden="1" customWidth="1" outlineLevel="1" collapsed="1"/>
    <col min="8" max="10" width="8" style="18" hidden="1" customWidth="1" outlineLevel="1"/>
    <col min="11" max="11" width="8" style="18" customWidth="1" collapsed="1"/>
    <col min="12" max="12" width="7.85546875" style="18" hidden="1" customWidth="1" outlineLevel="1" collapsed="1"/>
    <col min="13" max="15" width="7.85546875" style="18" hidden="1" customWidth="1" outlineLevel="1"/>
    <col min="16" max="16" width="7.85546875" style="18" customWidth="1" collapsed="1"/>
    <col min="17" max="17" width="8.42578125" style="18" hidden="1" customWidth="1" outlineLevel="1" collapsed="1"/>
    <col min="18" max="20" width="8.42578125" style="18" hidden="1" customWidth="1" outlineLevel="1"/>
    <col min="21" max="21" width="8" style="18" customWidth="1" collapsed="1"/>
    <col min="22" max="22" width="8.42578125" style="18" hidden="1" customWidth="1" outlineLevel="1" collapsed="1"/>
    <col min="23" max="25" width="8.42578125" style="18" hidden="1" customWidth="1" outlineLevel="1"/>
    <col min="26" max="26" width="8.42578125" style="18" customWidth="1" collapsed="1"/>
    <col min="27" max="30" width="8.42578125" style="18" hidden="1" customWidth="1" outlineLevel="1"/>
    <col min="31" max="31" width="8.42578125" style="18" customWidth="1" collapsed="1"/>
    <col min="32" max="35" width="8.42578125" style="18" hidden="1" customWidth="1" outlineLevel="1"/>
    <col min="36" max="36" width="8.42578125" style="18" bestFit="1" customWidth="1" collapsed="1"/>
    <col min="37" max="40" width="8.42578125" style="18" customWidth="1" outlineLevel="1"/>
    <col min="41" max="41" width="8" style="18"/>
    <col min="42" max="45" width="8" style="18" customWidth="1" outlineLevel="1"/>
    <col min="46" max="46" width="8" style="18"/>
    <col min="47" max="50" width="8" style="18" customWidth="1" outlineLevel="1"/>
    <col min="51" max="51" width="8" style="18"/>
    <col min="52" max="55" width="8" style="18" customWidth="1" outlineLevel="1"/>
    <col min="56" max="56" width="8" style="18"/>
    <col min="57" max="60" width="8" style="18" customWidth="1" outlineLevel="1"/>
    <col min="61" max="61" width="8" style="18"/>
    <col min="62" max="65" width="8" style="18" customWidth="1" outlineLevel="1"/>
    <col min="66" max="66" width="8" style="18"/>
    <col min="67" max="70" width="8" style="18" customWidth="1" outlineLevel="1"/>
    <col min="71" max="71" width="8" style="18"/>
    <col min="72" max="75" width="8" style="18" customWidth="1" outlineLevel="1"/>
    <col min="76" max="76" width="8" style="18"/>
    <col min="77" max="80" width="8" style="18" customWidth="1" outlineLevel="1"/>
    <col min="81" max="81" width="8" style="18"/>
    <col min="82" max="85" width="8" style="18" customWidth="1" outlineLevel="1"/>
    <col min="86" max="86" width="8" style="18"/>
    <col min="87" max="90" width="8" style="18" customWidth="1" outlineLevel="1"/>
    <col min="91" max="16384" width="8" style="18"/>
  </cols>
  <sheetData>
    <row r="1" spans="1:91" s="1" customFormat="1" ht="12.75" customHeight="1">
      <c r="A1" s="194" t="s">
        <v>391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spans="1:91" s="1" customFormat="1">
      <c r="A2" s="192" t="s">
        <v>138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91" s="1" customFormat="1">
      <c r="A3" s="192" t="s">
        <v>390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91" s="1" customFormat="1">
      <c r="A4" s="3"/>
    </row>
    <row r="5" spans="1:91" s="289" customFormat="1">
      <c r="A5" s="4"/>
      <c r="B5" s="183" t="str">
        <f>+IS!B5</f>
        <v>Mar</v>
      </c>
      <c r="C5" s="183" t="str">
        <f>+IS!C5</f>
        <v>Jun</v>
      </c>
      <c r="D5" s="183" t="str">
        <f>+IS!D5</f>
        <v>Sep</v>
      </c>
      <c r="E5" s="183" t="str">
        <f>+IS!E5</f>
        <v>Dec</v>
      </c>
      <c r="F5" s="184">
        <f>+IS!F5</f>
        <v>43070</v>
      </c>
      <c r="G5" s="183" t="str">
        <f>+IS!G5</f>
        <v>Mar</v>
      </c>
      <c r="H5" s="183" t="str">
        <f>+IS!H5</f>
        <v>Jun</v>
      </c>
      <c r="I5" s="183" t="str">
        <f>+IS!I5</f>
        <v>Sep</v>
      </c>
      <c r="J5" s="183" t="str">
        <f>+IS!J5</f>
        <v>Dec</v>
      </c>
      <c r="K5" s="184">
        <f>+IS!K5</f>
        <v>43435</v>
      </c>
      <c r="L5" s="183" t="str">
        <f>+IS!L5</f>
        <v>Mar</v>
      </c>
      <c r="M5" s="183" t="str">
        <f>+IS!M5</f>
        <v>Jun</v>
      </c>
      <c r="N5" s="183" t="str">
        <f>+IS!N5</f>
        <v>Sep</v>
      </c>
      <c r="O5" s="183" t="str">
        <f>+IS!O5</f>
        <v>Dec</v>
      </c>
      <c r="P5" s="184">
        <f>+IS!P5</f>
        <v>43800</v>
      </c>
      <c r="Q5" s="183" t="str">
        <f>+IS!Q5</f>
        <v>Mar</v>
      </c>
      <c r="R5" s="183" t="str">
        <f>+IS!R5</f>
        <v>Jun</v>
      </c>
      <c r="S5" s="183" t="str">
        <f>+IS!S5</f>
        <v>Sep</v>
      </c>
      <c r="T5" s="183" t="str">
        <f>+IS!T5</f>
        <v>Dec</v>
      </c>
      <c r="U5" s="184">
        <f>+IS!U5</f>
        <v>44166</v>
      </c>
      <c r="V5" s="183" t="str">
        <f>+IS!V5</f>
        <v>Mar</v>
      </c>
      <c r="W5" s="183" t="str">
        <f>+IS!W5</f>
        <v>Jun</v>
      </c>
      <c r="X5" s="183" t="str">
        <f>+IS!X5</f>
        <v>Sep</v>
      </c>
      <c r="Y5" s="183" t="str">
        <f>+IS!Y5</f>
        <v>Dec</v>
      </c>
      <c r="Z5" s="184">
        <f>+IS!Z5</f>
        <v>44531</v>
      </c>
      <c r="AA5" s="183" t="str">
        <f>+IS!AA5</f>
        <v>Mar</v>
      </c>
      <c r="AB5" s="183" t="str">
        <f>+IS!AB5</f>
        <v>Jun</v>
      </c>
      <c r="AC5" s="183" t="str">
        <f>+IS!AC5</f>
        <v>Sep</v>
      </c>
      <c r="AD5" s="183" t="str">
        <f>+IS!AD5</f>
        <v>Dec</v>
      </c>
      <c r="AE5" s="184">
        <f>+IS!AE5</f>
        <v>44896</v>
      </c>
      <c r="AF5" s="183" t="str">
        <f>+IS!AF5</f>
        <v>Mar</v>
      </c>
      <c r="AG5" s="183" t="str">
        <f>+IS!AG5</f>
        <v>Jun</v>
      </c>
      <c r="AH5" s="183" t="str">
        <f>+IS!AH5</f>
        <v>Sep</v>
      </c>
      <c r="AI5" s="183" t="str">
        <f>+IS!AI5</f>
        <v>Dec</v>
      </c>
      <c r="AJ5" s="184">
        <f>+IS!AJ5</f>
        <v>45261</v>
      </c>
      <c r="AK5" s="183" t="str">
        <f>+IS!AK5</f>
        <v>Mar</v>
      </c>
      <c r="AL5" s="183" t="str">
        <f>+IS!AL5</f>
        <v>Jun</v>
      </c>
      <c r="AM5" s="183" t="str">
        <f>+IS!AM5</f>
        <v>Sep</v>
      </c>
      <c r="AN5" s="183" t="str">
        <f>+IS!AN5</f>
        <v>Dec</v>
      </c>
      <c r="AO5" s="184">
        <f>+IS!AO5</f>
        <v>45627</v>
      </c>
      <c r="AP5" s="183" t="str">
        <f>+IS!AP5</f>
        <v>Mar</v>
      </c>
      <c r="AQ5" s="183" t="str">
        <f>+IS!AQ5</f>
        <v>Jun</v>
      </c>
      <c r="AR5" s="183" t="str">
        <f>+IS!AR5</f>
        <v>Sep</v>
      </c>
      <c r="AS5" s="183" t="str">
        <f>+IS!AS5</f>
        <v>Dec</v>
      </c>
      <c r="AT5" s="184">
        <f>+IS!AT5</f>
        <v>45992</v>
      </c>
      <c r="AU5" s="183" t="str">
        <f>+IS!AU5</f>
        <v>Mar</v>
      </c>
      <c r="AV5" s="183" t="str">
        <f>+IS!AV5</f>
        <v>Jun</v>
      </c>
      <c r="AW5" s="183" t="str">
        <f>+IS!AW5</f>
        <v>Sep</v>
      </c>
      <c r="AX5" s="183" t="str">
        <f>+IS!AX5</f>
        <v>Dec</v>
      </c>
      <c r="AY5" s="184">
        <f>+IS!AY5</f>
        <v>46357</v>
      </c>
      <c r="AZ5" s="183" t="str">
        <f>+IS!AZ5</f>
        <v>Mar</v>
      </c>
      <c r="BA5" s="183" t="str">
        <f>+IS!BA5</f>
        <v>Jun</v>
      </c>
      <c r="BB5" s="183" t="str">
        <f>+IS!BB5</f>
        <v>Sep</v>
      </c>
      <c r="BC5" s="183" t="str">
        <f>+IS!BC5</f>
        <v>Dec</v>
      </c>
      <c r="BD5" s="184">
        <f>+IS!BD5</f>
        <v>46722</v>
      </c>
      <c r="BE5" s="183" t="str">
        <f>+IS!BE5</f>
        <v>Mar</v>
      </c>
      <c r="BF5" s="183" t="str">
        <f>+IS!BF5</f>
        <v>Jun</v>
      </c>
      <c r="BG5" s="183" t="str">
        <f>+IS!BG5</f>
        <v>Sep</v>
      </c>
      <c r="BH5" s="183" t="str">
        <f>+IS!BH5</f>
        <v>Dec</v>
      </c>
      <c r="BI5" s="184">
        <f>+IS!BI5</f>
        <v>47088</v>
      </c>
      <c r="BJ5" s="183" t="str">
        <f>+IS!BJ5</f>
        <v>Mar</v>
      </c>
      <c r="BK5" s="183" t="str">
        <f>+IS!BK5</f>
        <v>Jun</v>
      </c>
      <c r="BL5" s="183" t="str">
        <f>+IS!BL5</f>
        <v>Sep</v>
      </c>
      <c r="BM5" s="183" t="str">
        <f>+IS!BM5</f>
        <v>Dec</v>
      </c>
      <c r="BN5" s="184">
        <f>+IS!BN5</f>
        <v>47453</v>
      </c>
      <c r="BO5" s="183" t="str">
        <f>+IS!BO5</f>
        <v>Mar</v>
      </c>
      <c r="BP5" s="183" t="str">
        <f>+IS!BP5</f>
        <v>Jun</v>
      </c>
      <c r="BQ5" s="183" t="str">
        <f>+IS!BQ5</f>
        <v>Sep</v>
      </c>
      <c r="BR5" s="183" t="str">
        <f>+IS!BR5</f>
        <v>Dec</v>
      </c>
      <c r="BS5" s="184">
        <f>+IS!BS5</f>
        <v>47818</v>
      </c>
      <c r="BT5" s="183" t="str">
        <f>+IS!BT5</f>
        <v>Mar</v>
      </c>
      <c r="BU5" s="183" t="str">
        <f>+IS!BU5</f>
        <v>Jun</v>
      </c>
      <c r="BV5" s="183" t="str">
        <f>+IS!BV5</f>
        <v>Sep</v>
      </c>
      <c r="BW5" s="183" t="str">
        <f>+IS!BW5</f>
        <v>Dec</v>
      </c>
      <c r="BX5" s="184">
        <f>+IS!BX5</f>
        <v>48183</v>
      </c>
      <c r="BY5" s="183" t="str">
        <f>+IS!BY5</f>
        <v>Mar</v>
      </c>
      <c r="BZ5" s="183" t="str">
        <f>+IS!BZ5</f>
        <v>Jun</v>
      </c>
      <c r="CA5" s="183" t="str">
        <f>+IS!CA5</f>
        <v>Sep</v>
      </c>
      <c r="CB5" s="183" t="str">
        <f>+IS!CB5</f>
        <v>Dec</v>
      </c>
      <c r="CC5" s="184">
        <f>+IS!CC5</f>
        <v>48549</v>
      </c>
      <c r="CD5" s="183" t="str">
        <f>+IS!CD5</f>
        <v>Mar</v>
      </c>
      <c r="CE5" s="183" t="str">
        <f>+IS!CE5</f>
        <v>Jun</v>
      </c>
      <c r="CF5" s="183" t="str">
        <f>+IS!CF5</f>
        <v>Sep</v>
      </c>
      <c r="CG5" s="183" t="str">
        <f>+IS!CG5</f>
        <v>Dec</v>
      </c>
      <c r="CH5" s="184">
        <f>+IS!CH5</f>
        <v>48914</v>
      </c>
      <c r="CI5" s="183" t="str">
        <f>+IS!CI5</f>
        <v>Mar</v>
      </c>
      <c r="CJ5" s="183" t="str">
        <f>+IS!CJ5</f>
        <v>Jun</v>
      </c>
      <c r="CK5" s="183" t="str">
        <f>+IS!CK5</f>
        <v>Sep</v>
      </c>
      <c r="CL5" s="183" t="str">
        <f>+IS!CL5</f>
        <v>Dec</v>
      </c>
      <c r="CM5" s="184">
        <f>+IS!CM5</f>
        <v>49279</v>
      </c>
    </row>
    <row r="6" spans="1:91" s="289" customFormat="1">
      <c r="A6" s="193"/>
      <c r="B6" s="185" t="str">
        <f>+IS!B6</f>
        <v>1Q17A</v>
      </c>
      <c r="C6" s="185" t="str">
        <f>+IS!C6</f>
        <v>2Q17A</v>
      </c>
      <c r="D6" s="185" t="str">
        <f>+IS!D6</f>
        <v>3Q17A</v>
      </c>
      <c r="E6" s="185" t="str">
        <f>+IS!E6</f>
        <v>4Q17A</v>
      </c>
      <c r="F6" s="186" t="str">
        <f>+IS!F6</f>
        <v>FY17A</v>
      </c>
      <c r="G6" s="185" t="str">
        <f>+IS!G6</f>
        <v>1Q18A</v>
      </c>
      <c r="H6" s="185" t="str">
        <f>+IS!H6</f>
        <v>2Q18A</v>
      </c>
      <c r="I6" s="185" t="str">
        <f>+IS!I6</f>
        <v>3Q18A</v>
      </c>
      <c r="J6" s="185" t="str">
        <f>+IS!J6</f>
        <v>4Q18A</v>
      </c>
      <c r="K6" s="186" t="str">
        <f>+IS!K6</f>
        <v>FY18A</v>
      </c>
      <c r="L6" s="185" t="str">
        <f>+IS!L6</f>
        <v>1Q19A</v>
      </c>
      <c r="M6" s="185" t="str">
        <f>+IS!M6</f>
        <v>2Q19A</v>
      </c>
      <c r="N6" s="185" t="str">
        <f>+IS!N6</f>
        <v>3Q19A</v>
      </c>
      <c r="O6" s="185" t="str">
        <f>+IS!O6</f>
        <v>4Q19A</v>
      </c>
      <c r="P6" s="186" t="str">
        <f>+IS!P6</f>
        <v>FY19A</v>
      </c>
      <c r="Q6" s="185" t="str">
        <f>+IS!Q6</f>
        <v>1Q20A</v>
      </c>
      <c r="R6" s="185" t="str">
        <f>+IS!R6</f>
        <v>2Q20A</v>
      </c>
      <c r="S6" s="185" t="str">
        <f>+IS!S6</f>
        <v>3Q20A</v>
      </c>
      <c r="T6" s="185" t="str">
        <f>+IS!T6</f>
        <v>4Q20A</v>
      </c>
      <c r="U6" s="186" t="str">
        <f>+IS!U6</f>
        <v>FY20A</v>
      </c>
      <c r="V6" s="185" t="str">
        <f>+IS!V6</f>
        <v>1Q21A</v>
      </c>
      <c r="W6" s="185" t="str">
        <f>+IS!W6</f>
        <v>2Q21A</v>
      </c>
      <c r="X6" s="185" t="str">
        <f>+IS!X6</f>
        <v>3Q21A</v>
      </c>
      <c r="Y6" s="185" t="str">
        <f>+IS!Y6</f>
        <v>4Q21A</v>
      </c>
      <c r="Z6" s="186" t="str">
        <f>+IS!Z6</f>
        <v>FY21A</v>
      </c>
      <c r="AA6" s="185" t="str">
        <f>+IS!AA6</f>
        <v>1Q22A</v>
      </c>
      <c r="AB6" s="185" t="str">
        <f>+IS!AB6</f>
        <v>2Q22A</v>
      </c>
      <c r="AC6" s="185" t="str">
        <f>+IS!AC6</f>
        <v>3Q22A</v>
      </c>
      <c r="AD6" s="185" t="str">
        <f>+IS!AD6</f>
        <v>4Q22A</v>
      </c>
      <c r="AE6" s="186" t="str">
        <f>+IS!AE6</f>
        <v>FY22A</v>
      </c>
      <c r="AF6" s="185" t="str">
        <f>+IS!AF6</f>
        <v>1Q23A</v>
      </c>
      <c r="AG6" s="185" t="str">
        <f>+IS!AG6</f>
        <v>2Q23A</v>
      </c>
      <c r="AH6" s="185" t="str">
        <f>+IS!AH6</f>
        <v>3Q23A</v>
      </c>
      <c r="AI6" s="185" t="str">
        <f>+IS!AI6</f>
        <v>4Q23A</v>
      </c>
      <c r="AJ6" s="186" t="str">
        <f>+IS!AJ6</f>
        <v>FY23A</v>
      </c>
      <c r="AK6" s="185" t="str">
        <f>+IS!AK6</f>
        <v>1Q24A</v>
      </c>
      <c r="AL6" s="185" t="str">
        <f>+IS!AL6</f>
        <v>2Q24A</v>
      </c>
      <c r="AM6" s="185" t="str">
        <f>+IS!AM6</f>
        <v>3Q24A</v>
      </c>
      <c r="AN6" s="185" t="str">
        <f>+IS!AN6</f>
        <v>4Q24A</v>
      </c>
      <c r="AO6" s="186" t="str">
        <f>+IS!AO6</f>
        <v>FY24A</v>
      </c>
      <c r="AP6" s="185" t="str">
        <f>+IS!AP6</f>
        <v>1Q25A</v>
      </c>
      <c r="AQ6" s="185" t="str">
        <f>+IS!AQ6</f>
        <v>2Q25A</v>
      </c>
      <c r="AR6" s="185" t="str">
        <f>+IS!AR6</f>
        <v>3Q25A</v>
      </c>
      <c r="AS6" s="185" t="str">
        <f>+IS!AS6</f>
        <v>4Q25A</v>
      </c>
      <c r="AT6" s="186" t="str">
        <f>+IS!AT6</f>
        <v>FY25A</v>
      </c>
      <c r="AU6" s="185" t="str">
        <f>+IS!AU6</f>
        <v>1Q26E</v>
      </c>
      <c r="AV6" s="185" t="str">
        <f>+IS!AV6</f>
        <v>2Q26E</v>
      </c>
      <c r="AW6" s="185" t="str">
        <f>+IS!AW6</f>
        <v>3Q26E</v>
      </c>
      <c r="AX6" s="185" t="str">
        <f>+IS!AX6</f>
        <v>4Q26E</v>
      </c>
      <c r="AY6" s="186" t="str">
        <f>+IS!AY6</f>
        <v>FY26E</v>
      </c>
      <c r="AZ6" s="185" t="str">
        <f>+IS!AZ6</f>
        <v>1Q27E</v>
      </c>
      <c r="BA6" s="185" t="str">
        <f>+IS!BA6</f>
        <v>2Q27E</v>
      </c>
      <c r="BB6" s="185" t="str">
        <f>+IS!BB6</f>
        <v>3Q27E</v>
      </c>
      <c r="BC6" s="185" t="str">
        <f>+IS!BC6</f>
        <v>4Q27E</v>
      </c>
      <c r="BD6" s="186" t="str">
        <f>+IS!BD6</f>
        <v>FY27E</v>
      </c>
      <c r="BE6" s="185" t="str">
        <f>+IS!BE6</f>
        <v>1Q28E</v>
      </c>
      <c r="BF6" s="185" t="str">
        <f>+IS!BF6</f>
        <v>2Q28E</v>
      </c>
      <c r="BG6" s="185" t="str">
        <f>+IS!BG6</f>
        <v>3Q28E</v>
      </c>
      <c r="BH6" s="185" t="str">
        <f>+IS!BH6</f>
        <v>4Q28E</v>
      </c>
      <c r="BI6" s="186" t="str">
        <f>+IS!BI6</f>
        <v>FY28E</v>
      </c>
      <c r="BJ6" s="185" t="str">
        <f>+IS!BJ6</f>
        <v>1Q29E</v>
      </c>
      <c r="BK6" s="185" t="str">
        <f>+IS!BK6</f>
        <v>2Q29E</v>
      </c>
      <c r="BL6" s="185" t="str">
        <f>+IS!BL6</f>
        <v>3Q29E</v>
      </c>
      <c r="BM6" s="185" t="str">
        <f>+IS!BM6</f>
        <v>4Q29E</v>
      </c>
      <c r="BN6" s="186" t="str">
        <f>+IS!BN6</f>
        <v>FY29E</v>
      </c>
      <c r="BO6" s="185" t="str">
        <f>+IS!BO6</f>
        <v>1Q30E</v>
      </c>
      <c r="BP6" s="185" t="str">
        <f>+IS!BP6</f>
        <v>2Q30E</v>
      </c>
      <c r="BQ6" s="185" t="str">
        <f>+IS!BQ6</f>
        <v>3Q30E</v>
      </c>
      <c r="BR6" s="185" t="str">
        <f>+IS!BR6</f>
        <v>4Q30E</v>
      </c>
      <c r="BS6" s="186" t="str">
        <f>+IS!BS6</f>
        <v>FY30E</v>
      </c>
      <c r="BT6" s="185" t="str">
        <f>+IS!BT6</f>
        <v>1Q31E</v>
      </c>
      <c r="BU6" s="185" t="str">
        <f>+IS!BU6</f>
        <v>2Q31E</v>
      </c>
      <c r="BV6" s="185" t="str">
        <f>+IS!BV6</f>
        <v>3Q31E</v>
      </c>
      <c r="BW6" s="185" t="str">
        <f>+IS!BW6</f>
        <v>4Q31E</v>
      </c>
      <c r="BX6" s="186" t="str">
        <f>+IS!BX6</f>
        <v>FY31E</v>
      </c>
      <c r="BY6" s="185" t="str">
        <f>+IS!BY6</f>
        <v>1Q32E</v>
      </c>
      <c r="BZ6" s="185" t="str">
        <f>+IS!BZ6</f>
        <v>2Q32E</v>
      </c>
      <c r="CA6" s="185" t="str">
        <f>+IS!CA6</f>
        <v>3Q32E</v>
      </c>
      <c r="CB6" s="185" t="str">
        <f>+IS!CB6</f>
        <v>4Q32E</v>
      </c>
      <c r="CC6" s="186" t="str">
        <f>+IS!CC6</f>
        <v>FY32E</v>
      </c>
      <c r="CD6" s="185" t="str">
        <f>+IS!CD6</f>
        <v>1Q33E</v>
      </c>
      <c r="CE6" s="185" t="str">
        <f>+IS!CE6</f>
        <v>2Q33E</v>
      </c>
      <c r="CF6" s="185" t="str">
        <f>+IS!CF6</f>
        <v>3Q33E</v>
      </c>
      <c r="CG6" s="185" t="str">
        <f>+IS!CG6</f>
        <v>4Q33E</v>
      </c>
      <c r="CH6" s="186" t="str">
        <f>+IS!CH6</f>
        <v>FY33E</v>
      </c>
      <c r="CI6" s="185" t="str">
        <f>+IS!CI6</f>
        <v>1Q34E</v>
      </c>
      <c r="CJ6" s="185" t="str">
        <f>+IS!CJ6</f>
        <v>2Q34E</v>
      </c>
      <c r="CK6" s="185" t="str">
        <f>+IS!CK6</f>
        <v>3Q34E</v>
      </c>
      <c r="CL6" s="185" t="str">
        <f>+IS!CL6</f>
        <v>4Q34E</v>
      </c>
      <c r="CM6" s="186" t="str">
        <f>+IS!CM6</f>
        <v>FY34E</v>
      </c>
    </row>
    <row r="7" spans="1:91" s="16" customFormat="1">
      <c r="A7" s="16" t="s">
        <v>139</v>
      </c>
      <c r="E7" s="16">
        <f>BS!E9</f>
        <v>221.32</v>
      </c>
      <c r="F7" s="269"/>
      <c r="I7" s="16">
        <f>BS!I9</f>
        <v>271.34199999999998</v>
      </c>
      <c r="J7" s="16">
        <f>BS!J9</f>
        <v>418.96100000000001</v>
      </c>
      <c r="K7" s="269"/>
      <c r="L7" s="16">
        <f>BS!L9</f>
        <v>466.85900000000004</v>
      </c>
      <c r="M7" s="16">
        <f>BS!M9</f>
        <v>545.62699999999995</v>
      </c>
      <c r="N7" s="16">
        <f>BS!N9</f>
        <v>522.9559999999999</v>
      </c>
      <c r="O7" s="16">
        <f>BS!O9</f>
        <v>522.80200000000002</v>
      </c>
      <c r="P7" s="269"/>
      <c r="Q7" s="16">
        <f>BS!Q9</f>
        <v>520.09199999999998</v>
      </c>
      <c r="R7" s="16">
        <f>BS!R9</f>
        <v>937.8309999999999</v>
      </c>
      <c r="S7" s="16">
        <f>BS!S9</f>
        <v>1013.404</v>
      </c>
      <c r="T7" s="16">
        <f>BS!T9</f>
        <v>1794.88</v>
      </c>
      <c r="U7" s="269"/>
      <c r="V7" s="16">
        <f>BS!V9</f>
        <v>1940.4499999999998</v>
      </c>
      <c r="W7" s="16">
        <f>BS!W9</f>
        <v>1791.662</v>
      </c>
      <c r="X7" s="16">
        <f>BS!X9</f>
        <v>1485.971</v>
      </c>
      <c r="Y7" s="16">
        <f>BS!Y9</f>
        <v>932.74800000000005</v>
      </c>
      <c r="Z7" s="269"/>
      <c r="AA7" s="16">
        <f>BS!AA9</f>
        <v>962.26600000000008</v>
      </c>
      <c r="AB7" s="16">
        <f>BS!AB9</f>
        <v>853.68999999999994</v>
      </c>
      <c r="AC7" s="16">
        <f>BS!AC9</f>
        <v>958.03700000000003</v>
      </c>
      <c r="AD7" s="16">
        <f>BS!AD9</f>
        <v>1011.231</v>
      </c>
      <c r="AE7" s="269"/>
      <c r="AF7" s="16">
        <f>BS!AF9</f>
        <v>937.02</v>
      </c>
      <c r="AG7" s="16">
        <f>BS!AG9</f>
        <v>1224.8489999999999</v>
      </c>
      <c r="AH7" s="16">
        <f>BS!AH9</f>
        <v>1154.8209999999999</v>
      </c>
      <c r="AI7" s="16">
        <f>BS!AI9</f>
        <v>1168.634</v>
      </c>
      <c r="AJ7" s="269"/>
      <c r="AK7" s="16">
        <f>BS!AK9</f>
        <v>1129.2570000000001</v>
      </c>
      <c r="AL7" s="16">
        <f>BS!AL9</f>
        <v>1035.239</v>
      </c>
      <c r="AM7" s="16">
        <f>BS!AM9</f>
        <v>999.06900000000007</v>
      </c>
      <c r="AN7" s="16">
        <f>BS!AN9</f>
        <v>839.97799999999995</v>
      </c>
      <c r="AO7" s="269"/>
      <c r="AP7" s="16">
        <f>BS!AP9</f>
        <v>698.572</v>
      </c>
      <c r="AQ7" s="16">
        <f>BS!AQ9</f>
        <v>629.14300000000003</v>
      </c>
      <c r="AR7" s="16">
        <f>BS!AR9</f>
        <v>580.01300000000003</v>
      </c>
      <c r="AS7" s="16">
        <f>BS!AS9</f>
        <v>1201.598</v>
      </c>
      <c r="AT7" s="269"/>
      <c r="AU7" s="16">
        <f>BS!AU9</f>
        <v>1131.9718355948457</v>
      </c>
      <c r="AV7" s="16">
        <f>BS!AV9</f>
        <v>1066.5279169372284</v>
      </c>
      <c r="AW7" s="16">
        <f>BS!AW9</f>
        <v>1036.9216378731353</v>
      </c>
      <c r="AX7" s="16">
        <f>BS!AX9</f>
        <v>1029.4270811277647</v>
      </c>
      <c r="AY7" s="269"/>
      <c r="AZ7" s="16">
        <f>BS!AZ9</f>
        <v>994.77603263000208</v>
      </c>
      <c r="BA7" s="16">
        <f>BS!BA9</f>
        <v>958.17529524437271</v>
      </c>
      <c r="BB7" s="16">
        <f>BS!BB9</f>
        <v>965.90735344557515</v>
      </c>
      <c r="BC7" s="16">
        <f>BS!BC9</f>
        <v>523.87214057700021</v>
      </c>
      <c r="BD7" s="269"/>
      <c r="BE7" s="16">
        <f>BS!BE9</f>
        <v>539.49183219803388</v>
      </c>
      <c r="BF7" s="16">
        <f>BS!BF9</f>
        <v>543.51612376919013</v>
      </c>
      <c r="BG7" s="16">
        <f>BS!BG9</f>
        <v>610.43301322440311</v>
      </c>
      <c r="BH7" s="16">
        <f>BS!BH9</f>
        <v>732.48672400405576</v>
      </c>
      <c r="BI7" s="269"/>
      <c r="BJ7" s="16">
        <f>BS!BJ9</f>
        <v>826.70254747235151</v>
      </c>
      <c r="BK7" s="16">
        <f>BS!BK9</f>
        <v>870.02400739371819</v>
      </c>
      <c r="BL7" s="16">
        <f>BS!BL9</f>
        <v>995.48254439000027</v>
      </c>
      <c r="BM7" s="16">
        <f>BS!BM9</f>
        <v>1184.8022170471882</v>
      </c>
      <c r="BN7" s="269"/>
      <c r="BO7" s="16">
        <f>BS!BO9</f>
        <v>1334.1825710683233</v>
      </c>
      <c r="BP7" s="16">
        <f>BS!BP9</f>
        <v>1429.2265043402429</v>
      </c>
      <c r="BQ7" s="16">
        <f>BS!BQ9</f>
        <v>1616.9456017557327</v>
      </c>
      <c r="BR7" s="16">
        <f>BS!BR9</f>
        <v>1880.4116233165119</v>
      </c>
      <c r="BS7" s="269"/>
      <c r="BT7" s="16">
        <f>BS!BT9</f>
        <v>1479.173604258207</v>
      </c>
      <c r="BU7" s="16">
        <f>BS!BU9</f>
        <v>1612.3009510960828</v>
      </c>
      <c r="BV7" s="16">
        <f>BS!BV9</f>
        <v>1849.1128525829868</v>
      </c>
      <c r="BW7" s="16">
        <f>BS!BW9</f>
        <v>2168.5073374168683</v>
      </c>
      <c r="BX7" s="269"/>
      <c r="BY7" s="16">
        <f>BS!BY9</f>
        <v>2437.5290006016794</v>
      </c>
      <c r="BZ7" s="16">
        <f>BS!BZ9</f>
        <v>2602.3756598327427</v>
      </c>
      <c r="CA7" s="16">
        <f>BS!CA9</f>
        <v>2882.4261822770818</v>
      </c>
      <c r="CB7" s="16">
        <f>BS!CB9</f>
        <v>3249.1916657831584</v>
      </c>
      <c r="CC7" s="269"/>
      <c r="CD7" s="16">
        <f>BS!CD9</f>
        <v>3559.8523456127296</v>
      </c>
      <c r="CE7" s="16">
        <f>BS!CE9</f>
        <v>3372.3050666420072</v>
      </c>
      <c r="CF7" s="16">
        <f>BS!CF9</f>
        <v>3690.674762709541</v>
      </c>
      <c r="CG7" s="16">
        <f>BS!CG9</f>
        <v>4099.1723232478034</v>
      </c>
      <c r="CH7" s="269"/>
      <c r="CI7" s="16">
        <f>BS!CI9</f>
        <v>4445.0160971269834</v>
      </c>
      <c r="CJ7" s="16">
        <f>BS!CJ9</f>
        <v>4672.9631393117606</v>
      </c>
      <c r="CK7" s="16">
        <f>BS!CK9</f>
        <v>5022.9595136804637</v>
      </c>
      <c r="CL7" s="16">
        <f>BS!CL9</f>
        <v>5463.2198004257534</v>
      </c>
      <c r="CM7" s="269"/>
    </row>
    <row r="8" spans="1:91" s="16" customFormat="1">
      <c r="A8" s="16" t="s">
        <v>7</v>
      </c>
      <c r="E8" s="16">
        <f>-IS!E19</f>
        <v>1.012</v>
      </c>
      <c r="F8" s="269">
        <f>-IS!F19</f>
        <v>2.234</v>
      </c>
      <c r="G8" s="16">
        <f>-IS!G19</f>
        <v>0.98499999999999999</v>
      </c>
      <c r="H8" s="16">
        <f>-IS!H19</f>
        <v>0.98899999999999999</v>
      </c>
      <c r="I8" s="16">
        <f>-IS!I19</f>
        <v>0.95799999999999996</v>
      </c>
      <c r="J8" s="16">
        <f>-IS!J19</f>
        <v>2.3340000000000001</v>
      </c>
      <c r="K8" s="269">
        <f>SUM(G8:J8)</f>
        <v>5.266</v>
      </c>
      <c r="L8" s="16">
        <f>-IS!L19</f>
        <v>2.4849999999999999</v>
      </c>
      <c r="M8" s="16">
        <f>-IS!M19</f>
        <v>3.0990000000000002</v>
      </c>
      <c r="N8" s="16">
        <f>-IS!N19</f>
        <v>4.2859999999999996</v>
      </c>
      <c r="O8" s="16">
        <f>-IS!O19</f>
        <v>3.871</v>
      </c>
      <c r="P8" s="269">
        <f>SUM(L8:O8)</f>
        <v>13.741</v>
      </c>
      <c r="Q8" s="16">
        <f>-IS!Q19</f>
        <v>3.3180000000000001</v>
      </c>
      <c r="R8" s="16">
        <f>-IS!R19</f>
        <v>2.64</v>
      </c>
      <c r="S8" s="16">
        <f>-IS!S19</f>
        <v>2.3130000000000002</v>
      </c>
      <c r="T8" s="16">
        <f>-IS!T19</f>
        <v>1.9</v>
      </c>
      <c r="U8" s="269">
        <f>SUM(Q8:T8)</f>
        <v>10.171000000000001</v>
      </c>
      <c r="V8" s="16">
        <f>-IS!V19</f>
        <v>1.5509999999999999</v>
      </c>
      <c r="W8" s="16">
        <f>-IS!W19</f>
        <v>1.0369999999999999</v>
      </c>
      <c r="X8" s="16">
        <f>-IS!X19</f>
        <v>0.68899999999999995</v>
      </c>
      <c r="Y8" s="16">
        <f>-IS!Y19</f>
        <v>0.65300000000000002</v>
      </c>
      <c r="Z8" s="269">
        <f>SUM(V8:Y8)</f>
        <v>3.93</v>
      </c>
      <c r="AA8" s="16">
        <f>-IS!AA19</f>
        <v>0.77800000000000002</v>
      </c>
      <c r="AB8" s="16">
        <f>-IS!AB19</f>
        <v>1.387</v>
      </c>
      <c r="AC8" s="16">
        <f>-IS!AC19</f>
        <v>1.754</v>
      </c>
      <c r="AD8" s="16">
        <f>-IS!AD19</f>
        <v>2.15</v>
      </c>
      <c r="AE8" s="269">
        <f>SUM(AA8:AD8)</f>
        <v>6.069</v>
      </c>
      <c r="AF8" s="16">
        <f>-IS!AF19</f>
        <v>3.06</v>
      </c>
      <c r="AG8" s="16">
        <f>-IS!AG19</f>
        <v>6.7270000000000003</v>
      </c>
      <c r="AH8" s="16">
        <f>-IS!AH19</f>
        <v>11.69</v>
      </c>
      <c r="AI8" s="16">
        <f>-IS!AI19</f>
        <v>13.888</v>
      </c>
      <c r="AJ8" s="269">
        <f>SUM(AF8:AI8)</f>
        <v>35.365000000000002</v>
      </c>
      <c r="AK8" s="16">
        <f>-IS!AK19</f>
        <v>14.868</v>
      </c>
      <c r="AL8" s="16">
        <f>-IS!AL19</f>
        <v>13.913</v>
      </c>
      <c r="AM8" s="16">
        <f>-IS!AM19</f>
        <v>13.257</v>
      </c>
      <c r="AN8" s="16">
        <f>-IS!AN19</f>
        <v>11.653</v>
      </c>
      <c r="AO8" s="269">
        <f>SUM(AK8:AN8)</f>
        <v>53.690999999999995</v>
      </c>
      <c r="AP8" s="16">
        <f>-IS!AP19</f>
        <v>9.1120000000000001</v>
      </c>
      <c r="AQ8" s="16">
        <f>-IS!AQ19</f>
        <v>7.56</v>
      </c>
      <c r="AR8" s="16">
        <f>-IS!AR19</f>
        <v>7.391</v>
      </c>
      <c r="AS8" s="16">
        <f>-IS!AS19</f>
        <v>10.032</v>
      </c>
      <c r="AT8" s="269">
        <f>+AP8+AQ8+AR8+AS8</f>
        <v>34.094999999999999</v>
      </c>
      <c r="AU8" s="16">
        <f>AS7*AU9/4</f>
        <v>12.015979999999999</v>
      </c>
      <c r="AV8" s="16">
        <f>AU7*AV9/4</f>
        <v>11.319718355948458</v>
      </c>
      <c r="AW8" s="16">
        <f>AV7*AW9/4</f>
        <v>9.3321192732007496</v>
      </c>
      <c r="AX8" s="16">
        <f>AW7*AX9/4</f>
        <v>9.0730643313899346</v>
      </c>
      <c r="AY8" s="269">
        <f>+AU8+AV8+AW8+AX8</f>
        <v>41.740881960539149</v>
      </c>
      <c r="AZ8" s="16">
        <f>AX7*AZ9/4</f>
        <v>7.7207031084582347</v>
      </c>
      <c r="BA8" s="16">
        <f>AZ7*BA9/4</f>
        <v>7.4608202447250154</v>
      </c>
      <c r="BB8" s="16">
        <f>BA7*BB9/4</f>
        <v>7.186314714332795</v>
      </c>
      <c r="BC8" s="16">
        <f>BB7*BC9/4</f>
        <v>7.2443051508418135</v>
      </c>
      <c r="BD8" s="269">
        <f>+AZ8+BA8+BB8+BC8</f>
        <v>29.612143218357861</v>
      </c>
      <c r="BE8" s="16">
        <f>BC7*BE9/4</f>
        <v>3.9290410543275014</v>
      </c>
      <c r="BF8" s="16">
        <f>BE7*BF9/4</f>
        <v>4.0461887414852535</v>
      </c>
      <c r="BG8" s="16">
        <f>BF7*BG9/4</f>
        <v>4.0763709282689256</v>
      </c>
      <c r="BH8" s="16">
        <f>BG7*BH9/4</f>
        <v>4.5782475991830234</v>
      </c>
      <c r="BI8" s="269">
        <f>+BE8+BF8+BG8+BH8</f>
        <v>16.629848323264703</v>
      </c>
      <c r="BJ8" s="16">
        <f>BH7*BJ9/4</f>
        <v>5.4936504300304181</v>
      </c>
      <c r="BK8" s="16">
        <f>BJ7*BK9/4</f>
        <v>6.2002691060426365</v>
      </c>
      <c r="BL8" s="16">
        <f>BK7*BL9/4</f>
        <v>6.5251800554528865</v>
      </c>
      <c r="BM8" s="16">
        <f>BL7*BM9/4</f>
        <v>7.4661190829250019</v>
      </c>
      <c r="BN8" s="269">
        <f>+BJ8+BK8+BL8+BM8</f>
        <v>25.68521867445094</v>
      </c>
      <c r="BO8" s="16">
        <f>BM7*BO9/4</f>
        <v>8.8860166278539108</v>
      </c>
      <c r="BP8" s="16">
        <f>BO7*BP9/4</f>
        <v>10.006369283012425</v>
      </c>
      <c r="BQ8" s="16">
        <f>BP7*BQ9/4</f>
        <v>10.719198782551821</v>
      </c>
      <c r="BR8" s="16">
        <f>BQ7*BR9/4</f>
        <v>12.127092013167994</v>
      </c>
      <c r="BS8" s="269">
        <f>+BO8+BP8+BQ8+BR8</f>
        <v>41.738676706586155</v>
      </c>
      <c r="BT8" s="16">
        <f>BR7*BT9/4</f>
        <v>14.103087174873838</v>
      </c>
      <c r="BU8" s="16">
        <f>BT7*BU9/4</f>
        <v>11.093802031936551</v>
      </c>
      <c r="BV8" s="16">
        <f>BU7*BV9/4</f>
        <v>12.09225713322062</v>
      </c>
      <c r="BW8" s="16">
        <f>BV7*BW9/4</f>
        <v>13.8683463943724</v>
      </c>
      <c r="BX8" s="269">
        <f>+BT8+BU8+BV8+BW8</f>
        <v>51.157492734403412</v>
      </c>
      <c r="BY8" s="16">
        <f>BW7*BY9/4</f>
        <v>16.263805030626511</v>
      </c>
      <c r="BZ8" s="16">
        <f>BY7*BZ9/4</f>
        <v>18.281467504512595</v>
      </c>
      <c r="CA8" s="16">
        <f>BZ7*CA9/4</f>
        <v>19.517817448745571</v>
      </c>
      <c r="CB8" s="16">
        <f>CA7*CB9/4</f>
        <v>21.618196367078113</v>
      </c>
      <c r="CC8" s="269">
        <f>+BY8+BZ8+CA8+CB8</f>
        <v>75.681286350962793</v>
      </c>
      <c r="CD8" s="16">
        <f>CB7*CD9/4</f>
        <v>24.368937493373686</v>
      </c>
      <c r="CE8" s="16">
        <f>CD7*CE9/4</f>
        <v>26.698892592095472</v>
      </c>
      <c r="CF8" s="16">
        <f>CE7*CF9/4</f>
        <v>25.292287999815052</v>
      </c>
      <c r="CG8" s="16">
        <f>CF7*CG9/4</f>
        <v>27.680060720321556</v>
      </c>
      <c r="CH8" s="269">
        <f>+CD8+CE8+CF8+CG8</f>
        <v>104.04017880560576</v>
      </c>
      <c r="CI8" s="16">
        <f>CG7*CI9/4</f>
        <v>30.743792424358524</v>
      </c>
      <c r="CJ8" s="16">
        <f>CI7*CJ9/4</f>
        <v>33.337620728452372</v>
      </c>
      <c r="CK8" s="16">
        <f>CJ7*CK9/4</f>
        <v>35.047223544838204</v>
      </c>
      <c r="CL8" s="16">
        <f>CK7*CL9/4</f>
        <v>37.672196352603478</v>
      </c>
      <c r="CM8" s="269">
        <f>+CI8+CJ8+CK8+CL8</f>
        <v>136.80083305025258</v>
      </c>
    </row>
    <row r="9" spans="1:91" s="16" customFormat="1">
      <c r="A9" s="16" t="s">
        <v>140</v>
      </c>
      <c r="B9" s="20"/>
      <c r="C9" s="20"/>
      <c r="D9" s="20"/>
      <c r="E9" s="20">
        <f>E8/E7*4</f>
        <v>1.8290258449304177E-2</v>
      </c>
      <c r="F9" s="269"/>
      <c r="G9" s="20"/>
      <c r="H9" s="20"/>
      <c r="I9" s="20">
        <f>I8/I7*4</f>
        <v>1.412239903885134E-2</v>
      </c>
      <c r="J9" s="20">
        <f>J8/J7*4</f>
        <v>2.2283697050560793E-2</v>
      </c>
      <c r="K9" s="269"/>
      <c r="L9" s="20">
        <f>L8/L7*4</f>
        <v>2.1291224973707262E-2</v>
      </c>
      <c r="M9" s="20">
        <f>M8/M7*4</f>
        <v>2.2718817067337214E-2</v>
      </c>
      <c r="N9" s="20">
        <f>N8/N7*4</f>
        <v>3.2782872746464332E-2</v>
      </c>
      <c r="O9" s="20">
        <f>O8/O7*4</f>
        <v>2.9617331226735932E-2</v>
      </c>
      <c r="P9" s="269"/>
      <c r="Q9" s="20">
        <f>Q8/Q7*4</f>
        <v>2.5518562100551444E-2</v>
      </c>
      <c r="R9" s="20">
        <f>R8/R7*4</f>
        <v>1.1260024460697078E-2</v>
      </c>
      <c r="S9" s="20">
        <f>S8/S7*4</f>
        <v>9.1296264865739635E-3</v>
      </c>
      <c r="T9" s="20">
        <f>T8/T7*4</f>
        <v>4.2342663576395078E-3</v>
      </c>
      <c r="U9" s="269"/>
      <c r="V9" s="20">
        <f>V8/V7*4</f>
        <v>3.1971965265788866E-3</v>
      </c>
      <c r="W9" s="20">
        <f>W8/W7*4</f>
        <v>2.3151688209048357E-3</v>
      </c>
      <c r="X9" s="20">
        <f>X8/X7*4</f>
        <v>1.8546795327768844E-3</v>
      </c>
      <c r="Y9" s="20">
        <f>Y8/Y7*4</f>
        <v>2.8003276340447794E-3</v>
      </c>
      <c r="Z9" s="269"/>
      <c r="AA9" s="20">
        <f>AA8/AA7*4</f>
        <v>3.2340330012699189E-3</v>
      </c>
      <c r="AB9" s="20">
        <f>AB8/AB7*4</f>
        <v>6.4988461853834533E-3</v>
      </c>
      <c r="AC9" s="20">
        <f>AC8/AC7*4</f>
        <v>7.3233079724478282E-3</v>
      </c>
      <c r="AD9" s="20">
        <f>AD8/AD7*4</f>
        <v>8.504486116426414E-3</v>
      </c>
      <c r="AE9" s="269"/>
      <c r="AF9" s="20">
        <f>AF8/AF7*4</f>
        <v>1.3062688096305309E-2</v>
      </c>
      <c r="AG9" s="20">
        <f>AG8/AG7*4</f>
        <v>2.1968422230005495E-2</v>
      </c>
      <c r="AH9" s="20">
        <f>AH8/AH7*4</f>
        <v>4.0491123732595787E-2</v>
      </c>
      <c r="AI9" s="20">
        <f>AI8/AI7*4</f>
        <v>4.7535840990421296E-2</v>
      </c>
      <c r="AJ9" s="269"/>
      <c r="AK9" s="20">
        <f>AK8/AK7*4</f>
        <v>5.2664716711961934E-2</v>
      </c>
      <c r="AL9" s="20">
        <f>AL8/AL7*4</f>
        <v>5.3757634710438845E-2</v>
      </c>
      <c r="AM9" s="20">
        <f>AM8/AM7*4</f>
        <v>5.3077415073433359E-2</v>
      </c>
      <c r="AN9" s="20">
        <f>AN8/AN7*4</f>
        <v>5.5491929550535855E-2</v>
      </c>
      <c r="AO9" s="269"/>
      <c r="AP9" s="20">
        <f>AP8/AP7*4</f>
        <v>5.2175008445800863E-2</v>
      </c>
      <c r="AQ9" s="20">
        <f>AQ8/AQ7*4</f>
        <v>4.8065384181338738E-2</v>
      </c>
      <c r="AR9" s="20">
        <f>AR8/AR7*4</f>
        <v>5.0971271333573556E-2</v>
      </c>
      <c r="AS9" s="20">
        <f>AS8/AS7*4</f>
        <v>3.3395528288162932E-2</v>
      </c>
      <c r="AT9" s="269"/>
      <c r="AU9" s="38">
        <f>AU10</f>
        <v>0.04</v>
      </c>
      <c r="AV9" s="38">
        <f>AV10</f>
        <v>0.04</v>
      </c>
      <c r="AW9" s="38">
        <f>AW10</f>
        <v>3.5000000000000003E-2</v>
      </c>
      <c r="AX9" s="38">
        <f>AX10</f>
        <v>3.5000000000000003E-2</v>
      </c>
      <c r="AY9" s="269"/>
      <c r="AZ9" s="38">
        <f>AZ10</f>
        <v>0.03</v>
      </c>
      <c r="BA9" s="38">
        <f>BA10</f>
        <v>0.03</v>
      </c>
      <c r="BB9" s="38">
        <f>BB10</f>
        <v>0.03</v>
      </c>
      <c r="BC9" s="38">
        <f>BC10</f>
        <v>0.03</v>
      </c>
      <c r="BD9" s="269"/>
      <c r="BE9" s="38">
        <f>BE10</f>
        <v>0.03</v>
      </c>
      <c r="BF9" s="38">
        <f>BF10</f>
        <v>0.03</v>
      </c>
      <c r="BG9" s="38">
        <f>BG10</f>
        <v>0.03</v>
      </c>
      <c r="BH9" s="38">
        <f>BH10</f>
        <v>0.03</v>
      </c>
      <c r="BI9" s="269"/>
      <c r="BJ9" s="38">
        <f>BJ10</f>
        <v>0.03</v>
      </c>
      <c r="BK9" s="38">
        <f>BK10</f>
        <v>0.03</v>
      </c>
      <c r="BL9" s="38">
        <f>BL10</f>
        <v>0.03</v>
      </c>
      <c r="BM9" s="38">
        <f>BM10</f>
        <v>0.03</v>
      </c>
      <c r="BN9" s="269"/>
      <c r="BO9" s="38">
        <f>BO10</f>
        <v>0.03</v>
      </c>
      <c r="BP9" s="38">
        <f>BP10</f>
        <v>0.03</v>
      </c>
      <c r="BQ9" s="38">
        <f>BQ10</f>
        <v>0.03</v>
      </c>
      <c r="BR9" s="38">
        <f>BR10</f>
        <v>0.03</v>
      </c>
      <c r="BS9" s="269"/>
      <c r="BT9" s="38">
        <f>BT10</f>
        <v>0.03</v>
      </c>
      <c r="BU9" s="38">
        <f>BU10</f>
        <v>0.03</v>
      </c>
      <c r="BV9" s="38">
        <f>BV10</f>
        <v>0.03</v>
      </c>
      <c r="BW9" s="38">
        <f>BW10</f>
        <v>0.03</v>
      </c>
      <c r="BX9" s="269"/>
      <c r="BY9" s="38">
        <f>BY10</f>
        <v>0.03</v>
      </c>
      <c r="BZ9" s="38">
        <f>BZ10</f>
        <v>0.03</v>
      </c>
      <c r="CA9" s="38">
        <f>CA10</f>
        <v>0.03</v>
      </c>
      <c r="CB9" s="38">
        <f>CB10</f>
        <v>0.03</v>
      </c>
      <c r="CC9" s="269"/>
      <c r="CD9" s="38">
        <f>CD10</f>
        <v>0.03</v>
      </c>
      <c r="CE9" s="38">
        <f>CE10</f>
        <v>0.03</v>
      </c>
      <c r="CF9" s="38">
        <f>CF10</f>
        <v>0.03</v>
      </c>
      <c r="CG9" s="38">
        <f>CG10</f>
        <v>0.03</v>
      </c>
      <c r="CH9" s="269"/>
      <c r="CI9" s="38">
        <f>CI10</f>
        <v>0.03</v>
      </c>
      <c r="CJ9" s="38">
        <f>CJ10</f>
        <v>0.03</v>
      </c>
      <c r="CK9" s="38">
        <f>CK10</f>
        <v>0.03</v>
      </c>
      <c r="CL9" s="38">
        <f>CL10</f>
        <v>0.03</v>
      </c>
      <c r="CM9" s="269"/>
    </row>
    <row r="10" spans="1:91" s="16" customFormat="1">
      <c r="A10" s="16" t="s">
        <v>141</v>
      </c>
      <c r="B10" s="20"/>
      <c r="C10" s="20"/>
      <c r="D10" s="20"/>
      <c r="E10" s="20"/>
      <c r="F10" s="269"/>
      <c r="G10" s="20"/>
      <c r="H10" s="20"/>
      <c r="I10" s="20">
        <f>AVERAGE(I9,E9,G9,H9)</f>
        <v>1.6206328744077757E-2</v>
      </c>
      <c r="J10" s="20">
        <f>AVERAGE(J9,G9,H9,I9)</f>
        <v>1.8203048044706065E-2</v>
      </c>
      <c r="K10" s="269"/>
      <c r="L10" s="20">
        <f>AVERAGE(L9,H9,I9,J9)</f>
        <v>1.9232440354373131E-2</v>
      </c>
      <c r="M10" s="20">
        <f>AVERAGE(M9,I9,J9,L9)</f>
        <v>2.0104034532614154E-2</v>
      </c>
      <c r="N10" s="20">
        <f>AVERAGE(N9,J9,L9,M9)</f>
        <v>2.4769152959517399E-2</v>
      </c>
      <c r="O10" s="20">
        <f>AVERAGE(O9,L9,M9,N9)</f>
        <v>2.6602561503561183E-2</v>
      </c>
      <c r="P10" s="269"/>
      <c r="Q10" s="20">
        <f>AVERAGE(Q9,M9,N9,O9)</f>
        <v>2.7659395785272232E-2</v>
      </c>
      <c r="R10" s="20">
        <f>AVERAGE(R9,N9,O9,Q9)</f>
        <v>2.4794697633612195E-2</v>
      </c>
      <c r="S10" s="20">
        <f>AVERAGE(S9,O9,Q9,R9)</f>
        <v>1.8881386068639601E-2</v>
      </c>
      <c r="T10" s="20">
        <f>AVERAGE(T9,Q9,R9,S9)</f>
        <v>1.2535619851365499E-2</v>
      </c>
      <c r="U10" s="269"/>
      <c r="V10" s="20">
        <f>AVERAGE(V9,R9,S9,T9)</f>
        <v>6.9552784578723595E-3</v>
      </c>
      <c r="W10" s="20">
        <f>AVERAGE(W9,S9,T9,V9)</f>
        <v>4.7190645479242991E-3</v>
      </c>
      <c r="X10" s="20">
        <f>AVERAGE(X9,T9,V9,W9)</f>
        <v>2.900327809475029E-3</v>
      </c>
      <c r="Y10" s="20">
        <f>AVERAGE(Y9,V9,W9,X9)</f>
        <v>2.5418431285763464E-3</v>
      </c>
      <c r="Z10" s="269"/>
      <c r="AA10" s="20">
        <f>AVERAGE(AA9,W9,X9,Y9)</f>
        <v>2.5510522472491047E-3</v>
      </c>
      <c r="AB10" s="20">
        <f>AVERAGE(AB9,X9,Y9,AA9)</f>
        <v>3.5969715883687591E-3</v>
      </c>
      <c r="AC10" s="20">
        <f>AVERAGE(AC9,Y9,AA9,AB9)</f>
        <v>4.9641286982864954E-3</v>
      </c>
      <c r="AD10" s="20">
        <f>AVERAGE(AD9,AA9,AB9,AC9)</f>
        <v>6.3901683188819034E-3</v>
      </c>
      <c r="AE10" s="269"/>
      <c r="AF10" s="20">
        <f>AVERAGE(AF9,AB9,AC9,AD9)</f>
        <v>8.8473320926407504E-3</v>
      </c>
      <c r="AG10" s="20">
        <f>AVERAGE(AG9,AC9,AD9,AF9)</f>
        <v>1.2714726103796261E-2</v>
      </c>
      <c r="AH10" s="20">
        <f>AVERAGE(AH9,AD9,AF9,AG9)</f>
        <v>2.1006680043833249E-2</v>
      </c>
      <c r="AI10" s="20">
        <f>AVERAGE(AI9,AF9,AG9,AH9)</f>
        <v>3.0764518762331973E-2</v>
      </c>
      <c r="AJ10" s="269"/>
      <c r="AK10" s="20">
        <f>AVERAGE(AK9,AG9,AH9,AI9)</f>
        <v>4.0665025916246128E-2</v>
      </c>
      <c r="AL10" s="20">
        <f>AVERAGE(AL9,AH9,AI9,AK9)</f>
        <v>4.8612329036354464E-2</v>
      </c>
      <c r="AM10" s="20">
        <f>AVERAGE(AM9,AI9,AK9,AL9)</f>
        <v>5.1758901871563859E-2</v>
      </c>
      <c r="AN10" s="20">
        <f>AVERAGE(AN9,AK9,AL9,AM9)</f>
        <v>5.37479240115925E-2</v>
      </c>
      <c r="AO10" s="269"/>
      <c r="AP10" s="20">
        <f>AVERAGE(AP9,AL9,AM9,AN9)</f>
        <v>5.3625496945052233E-2</v>
      </c>
      <c r="AQ10" s="20">
        <f>AVERAGE(AQ9,AM9,AN9,AP9)</f>
        <v>5.2202434312777206E-2</v>
      </c>
      <c r="AR10" s="20">
        <f>AVERAGE(AR9,AN9,AP9,AQ9)</f>
        <v>5.1675898377812252E-2</v>
      </c>
      <c r="AS10" s="20">
        <f>AVERAGE(AS9,AO9,AQ9,AR9)</f>
        <v>4.4144061267691742E-2</v>
      </c>
      <c r="AT10" s="269"/>
      <c r="AU10" s="39">
        <v>0.04</v>
      </c>
      <c r="AV10" s="39">
        <f>AU10</f>
        <v>0.04</v>
      </c>
      <c r="AW10" s="39">
        <v>3.5000000000000003E-2</v>
      </c>
      <c r="AX10" s="39">
        <f>AW10</f>
        <v>3.5000000000000003E-2</v>
      </c>
      <c r="AY10" s="269"/>
      <c r="AZ10" s="39">
        <v>0.03</v>
      </c>
      <c r="BA10" s="39">
        <f>AZ10</f>
        <v>0.03</v>
      </c>
      <c r="BB10" s="39">
        <f>BA10</f>
        <v>0.03</v>
      </c>
      <c r="BC10" s="39">
        <f>BB10</f>
        <v>0.03</v>
      </c>
      <c r="BD10" s="269"/>
      <c r="BE10" s="39">
        <f>BC10</f>
        <v>0.03</v>
      </c>
      <c r="BF10" s="39">
        <f>BE10</f>
        <v>0.03</v>
      </c>
      <c r="BG10" s="39">
        <f>BF10</f>
        <v>0.03</v>
      </c>
      <c r="BH10" s="39">
        <f>BG10</f>
        <v>0.03</v>
      </c>
      <c r="BI10" s="269"/>
      <c r="BJ10" s="39">
        <f>BH10</f>
        <v>0.03</v>
      </c>
      <c r="BK10" s="39">
        <f>BJ10</f>
        <v>0.03</v>
      </c>
      <c r="BL10" s="39">
        <f>BK10</f>
        <v>0.03</v>
      </c>
      <c r="BM10" s="39">
        <f>BL10</f>
        <v>0.03</v>
      </c>
      <c r="BN10" s="269"/>
      <c r="BO10" s="39">
        <f>BM10</f>
        <v>0.03</v>
      </c>
      <c r="BP10" s="39">
        <f>BO10</f>
        <v>0.03</v>
      </c>
      <c r="BQ10" s="39">
        <f>BP10</f>
        <v>0.03</v>
      </c>
      <c r="BR10" s="39">
        <f>BQ10</f>
        <v>0.03</v>
      </c>
      <c r="BS10" s="269"/>
      <c r="BT10" s="39">
        <f>BR10</f>
        <v>0.03</v>
      </c>
      <c r="BU10" s="39">
        <f>BT10</f>
        <v>0.03</v>
      </c>
      <c r="BV10" s="39">
        <f>BU10</f>
        <v>0.03</v>
      </c>
      <c r="BW10" s="39">
        <f>BV10</f>
        <v>0.03</v>
      </c>
      <c r="BX10" s="269"/>
      <c r="BY10" s="39">
        <f>BW10</f>
        <v>0.03</v>
      </c>
      <c r="BZ10" s="39">
        <f>BY10</f>
        <v>0.03</v>
      </c>
      <c r="CA10" s="39">
        <f>BZ10</f>
        <v>0.03</v>
      </c>
      <c r="CB10" s="39">
        <f>CA10</f>
        <v>0.03</v>
      </c>
      <c r="CC10" s="269"/>
      <c r="CD10" s="39">
        <f>CB10</f>
        <v>0.03</v>
      </c>
      <c r="CE10" s="39">
        <f>CD10</f>
        <v>0.03</v>
      </c>
      <c r="CF10" s="39">
        <f>CE10</f>
        <v>0.03</v>
      </c>
      <c r="CG10" s="39">
        <f>CF10</f>
        <v>0.03</v>
      </c>
      <c r="CH10" s="269"/>
      <c r="CI10" s="39">
        <f>CG10</f>
        <v>0.03</v>
      </c>
      <c r="CJ10" s="39">
        <f>CI10</f>
        <v>0.03</v>
      </c>
      <c r="CK10" s="39">
        <f>CJ10</f>
        <v>0.03</v>
      </c>
      <c r="CL10" s="39">
        <f>CK10</f>
        <v>0.03</v>
      </c>
      <c r="CM10" s="269"/>
    </row>
    <row r="11" spans="1:91" s="16" customFormat="1">
      <c r="D11" s="51"/>
      <c r="E11" s="51"/>
      <c r="F11" s="269"/>
      <c r="J11" s="51"/>
      <c r="K11" s="269"/>
      <c r="P11" s="269"/>
      <c r="U11" s="269"/>
      <c r="Z11" s="269"/>
      <c r="AE11" s="269"/>
      <c r="AJ11" s="269"/>
      <c r="AO11" s="269"/>
      <c r="AT11" s="269"/>
      <c r="AY11" s="269"/>
      <c r="BD11" s="269"/>
      <c r="BI11" s="269"/>
      <c r="BN11" s="269"/>
      <c r="BS11" s="269"/>
      <c r="BX11" s="269"/>
      <c r="CC11" s="269"/>
      <c r="CH11" s="269"/>
      <c r="CM11" s="269"/>
    </row>
    <row r="12" spans="1:91" s="16" customFormat="1">
      <c r="A12" s="15" t="s">
        <v>142</v>
      </c>
      <c r="F12" s="269"/>
      <c r="H12" s="28"/>
      <c r="K12" s="269"/>
      <c r="M12" s="28"/>
      <c r="P12" s="269"/>
      <c r="R12" s="28"/>
      <c r="U12" s="269"/>
      <c r="Z12" s="269"/>
      <c r="AE12" s="269"/>
      <c r="AJ12" s="269"/>
      <c r="AO12" s="269"/>
      <c r="AT12" s="269"/>
      <c r="AY12" s="269"/>
      <c r="BD12" s="269"/>
      <c r="BI12" s="269"/>
      <c r="BN12" s="269"/>
      <c r="BS12" s="269"/>
      <c r="BX12" s="269"/>
      <c r="CC12" s="269"/>
      <c r="CH12" s="269"/>
      <c r="CM12" s="269"/>
    </row>
    <row r="13" spans="1:91" s="16" customFormat="1">
      <c r="A13" s="16" t="s">
        <v>143</v>
      </c>
      <c r="F13" s="269"/>
      <c r="I13" s="16">
        <f>I33-I21</f>
        <v>7.76</v>
      </c>
      <c r="J13" s="16">
        <f>J33-J21</f>
        <v>7.9630000000000001</v>
      </c>
      <c r="K13" s="269">
        <f>J13</f>
        <v>7.9630000000000001</v>
      </c>
      <c r="L13" s="16">
        <f>L33-L21</f>
        <v>9.0749999999999993</v>
      </c>
      <c r="M13" s="16">
        <f>M33-M21</f>
        <v>10.992000000000001</v>
      </c>
      <c r="N13" s="16">
        <f>N33-N21</f>
        <v>10.621</v>
      </c>
      <c r="O13" s="16">
        <f>O33-O21</f>
        <v>33.256</v>
      </c>
      <c r="P13" s="269">
        <f>O13</f>
        <v>33.256</v>
      </c>
      <c r="Q13" s="16">
        <f>Q33-Q21</f>
        <v>33.773000000000003</v>
      </c>
      <c r="R13" s="16">
        <f>R33-R21</f>
        <v>41.116999999999997</v>
      </c>
      <c r="S13" s="16">
        <f t="shared" ref="S13:T13" si="0">S33-S17</f>
        <v>39.682000000000002</v>
      </c>
      <c r="T13" s="16">
        <f t="shared" si="0"/>
        <v>41.564999999999941</v>
      </c>
      <c r="U13" s="269">
        <f>T13</f>
        <v>41.564999999999941</v>
      </c>
      <c r="V13" s="16">
        <f t="shared" ref="V13:Y13" si="1">V33-V17</f>
        <v>210.24399999999991</v>
      </c>
      <c r="W13" s="16">
        <f t="shared" si="1"/>
        <v>211.7829999999999</v>
      </c>
      <c r="X13" s="16">
        <f t="shared" si="1"/>
        <v>216.80600000000004</v>
      </c>
      <c r="Y13" s="16">
        <f t="shared" si="1"/>
        <v>226.05299999999988</v>
      </c>
      <c r="Z13" s="269">
        <f>Y13</f>
        <v>226.05299999999988</v>
      </c>
      <c r="AA13" s="16">
        <f>AA33-AA17</f>
        <v>225.37699999999995</v>
      </c>
      <c r="AB13" s="16">
        <f>AB33-AB17</f>
        <v>221.50299999999993</v>
      </c>
      <c r="AC13" s="16">
        <f>AC33-AC17</f>
        <v>216.17399999999998</v>
      </c>
      <c r="AD13" s="16">
        <f>AD33-AD17</f>
        <v>210.01499999999987</v>
      </c>
      <c r="AE13" s="269">
        <f>AD13</f>
        <v>210.01499999999987</v>
      </c>
      <c r="AF13" s="16">
        <f>AF33-AF17</f>
        <v>204.85699999999997</v>
      </c>
      <c r="AG13" s="16">
        <f>AG33-AG17</f>
        <v>198.23000000000002</v>
      </c>
      <c r="AH13" s="16">
        <f>AH33-AH17</f>
        <v>192.67699999999991</v>
      </c>
      <c r="AI13" s="16">
        <f>AI33-AI17</f>
        <v>185.84799999999996</v>
      </c>
      <c r="AJ13" s="269">
        <f>AI13</f>
        <v>185.84799999999996</v>
      </c>
      <c r="AK13" s="16">
        <f>AK33-AK17</f>
        <v>178.90699999999993</v>
      </c>
      <c r="AL13" s="16">
        <f>AL33-AL17</f>
        <v>172.19399999999996</v>
      </c>
      <c r="AM13" s="16">
        <f>AM33-AM17</f>
        <v>170.13100000000009</v>
      </c>
      <c r="AN13" s="16">
        <f>AN33-AN17</f>
        <v>164.29199999999992</v>
      </c>
      <c r="AO13" s="269">
        <f>AN13</f>
        <v>164.29199999999992</v>
      </c>
      <c r="AP13" s="16">
        <f>AP33-AP17-AP21</f>
        <v>0</v>
      </c>
      <c r="AQ13" s="16">
        <f>AQ33-AQ17-AQ21</f>
        <v>0</v>
      </c>
      <c r="AR13" s="16">
        <f>AR33-AR17-AR21</f>
        <v>0</v>
      </c>
      <c r="AS13" s="16">
        <f>AS33-AS17-AS21-AS25</f>
        <v>0</v>
      </c>
      <c r="AT13" s="269">
        <f>AS13</f>
        <v>0</v>
      </c>
      <c r="AU13" s="16">
        <f>AT13+(0.25*AS35)+CF!AU35</f>
        <v>0</v>
      </c>
      <c r="AV13" s="16">
        <f>AU13+(0.333*AU35)+CF!AV35</f>
        <v>0</v>
      </c>
      <c r="AW13" s="16">
        <f>AV13+(0.5*AV35)+CF!AW35</f>
        <v>0</v>
      </c>
      <c r="AX13" s="16">
        <f>AW13+(AW35)+CF!AX35</f>
        <v>0</v>
      </c>
      <c r="AY13" s="269">
        <f>AX13</f>
        <v>0</v>
      </c>
      <c r="AZ13" s="16">
        <f>AY13+(0.25*AX35)+CF!AZ35</f>
        <v>0</v>
      </c>
      <c r="BA13" s="16">
        <f>AZ13+(0.333*AZ35)+CF!BA35</f>
        <v>0</v>
      </c>
      <c r="BB13" s="16">
        <f>BA13+(0.5*BA35)+CF!BB35</f>
        <v>0</v>
      </c>
      <c r="BC13" s="16">
        <f>BB13+(BB35)+CF!BC35*0</f>
        <v>0</v>
      </c>
      <c r="BD13" s="269">
        <f>BC13</f>
        <v>0</v>
      </c>
      <c r="BE13" s="16">
        <f>BD13+(0.25*BC35)+CF!BE35</f>
        <v>0</v>
      </c>
      <c r="BF13" s="16">
        <f>BE13+(0.333*BE35)+CF!BF35</f>
        <v>0</v>
      </c>
      <c r="BG13" s="16">
        <f>BF13+(0.5*BF35)+CF!BG35</f>
        <v>0</v>
      </c>
      <c r="BH13" s="16">
        <f>BG13+(BG35)+CF!BH35</f>
        <v>0</v>
      </c>
      <c r="BI13" s="269">
        <f>BH13</f>
        <v>0</v>
      </c>
      <c r="BJ13" s="16">
        <f>BI13+(0.25*BH35)+CF!BJ35</f>
        <v>0</v>
      </c>
      <c r="BK13" s="16">
        <f>BJ13+(0.333*BJ35)+CF!BK35</f>
        <v>0</v>
      </c>
      <c r="BL13" s="16">
        <f>BK13+(0.5*BK35)+CF!BL35</f>
        <v>0</v>
      </c>
      <c r="BM13" s="16">
        <f>BL13+(BL35)+CF!BM35</f>
        <v>0</v>
      </c>
      <c r="BN13" s="269">
        <f>BM13</f>
        <v>0</v>
      </c>
      <c r="BO13" s="16">
        <f>BN13+(0.25*BM35)+CF!BO35</f>
        <v>0</v>
      </c>
      <c r="BP13" s="16">
        <f>BO13+(0.333*BO35)+CF!BP35</f>
        <v>0</v>
      </c>
      <c r="BQ13" s="16">
        <f>BP13+(0.5*BP35)+CF!BQ35</f>
        <v>0</v>
      </c>
      <c r="BR13" s="16">
        <f>BQ13+(BQ35)+CF!BR35</f>
        <v>0</v>
      </c>
      <c r="BS13" s="269">
        <f>BR13</f>
        <v>0</v>
      </c>
      <c r="BT13" s="16">
        <f>BS13+(0.25*BR35)+CF!BT35+BR21</f>
        <v>-2.41700000000003</v>
      </c>
      <c r="BU13" s="16">
        <f>BT13+(0.333*BT35)+CF!BU35</f>
        <v>-2.41700000000003</v>
      </c>
      <c r="BV13" s="16">
        <f>BU13+(0.5*BU35)+CF!BV35</f>
        <v>-2.41700000000003</v>
      </c>
      <c r="BW13" s="16">
        <f>BV13+(BV35)+CF!BW35</f>
        <v>-2.41700000000003</v>
      </c>
      <c r="BX13" s="269">
        <f>BW13</f>
        <v>-2.41700000000003</v>
      </c>
      <c r="BY13" s="16">
        <f>BX13+(0.25*BW35)+CF!BY35</f>
        <v>0</v>
      </c>
      <c r="BZ13" s="16">
        <f>BY13+(0.333*BY35)+CF!BZ35</f>
        <v>0</v>
      </c>
      <c r="CA13" s="16">
        <f>BZ13+(0.5*BZ35)+CF!CA35</f>
        <v>0</v>
      </c>
      <c r="CB13" s="16">
        <f>CA13+(CA35)+CF!CB35</f>
        <v>0</v>
      </c>
      <c r="CC13" s="269">
        <f>CB13</f>
        <v>0</v>
      </c>
      <c r="CD13" s="16">
        <f>CC13+(0.25*CB35)+CF!CD35</f>
        <v>0</v>
      </c>
      <c r="CE13" s="16">
        <f>CD13+(0.333*CD35)+CF!CE35*0</f>
        <v>0</v>
      </c>
      <c r="CF13" s="16">
        <f>CE13+(0.5*CE35)+CF!CF35</f>
        <v>0</v>
      </c>
      <c r="CG13" s="16">
        <f>CF13+(CF35)+CF!CG35</f>
        <v>0</v>
      </c>
      <c r="CH13" s="269">
        <f>CG13</f>
        <v>0</v>
      </c>
      <c r="CI13" s="16">
        <f>CH13+(0.25*CG35)+CF!CI35</f>
        <v>0</v>
      </c>
      <c r="CJ13" s="16">
        <f>CI13+(0.333*CI35)+CF!CJ35</f>
        <v>0</v>
      </c>
      <c r="CK13" s="16">
        <f>CJ13+(0.5*CJ35)+CF!CK35</f>
        <v>0</v>
      </c>
      <c r="CL13" s="16">
        <f>CK13+(CK35)+CF!CL35</f>
        <v>0</v>
      </c>
      <c r="CM13" s="269">
        <f>CL13</f>
        <v>0</v>
      </c>
    </row>
    <row r="14" spans="1:91" s="16" customFormat="1">
      <c r="A14" s="16" t="s">
        <v>144</v>
      </c>
      <c r="B14" s="20"/>
      <c r="C14" s="69"/>
      <c r="D14" s="69"/>
      <c r="E14" s="69"/>
      <c r="F14" s="259"/>
      <c r="G14" s="69"/>
      <c r="H14" s="69"/>
      <c r="I14" s="69">
        <f>(I15/I13)*4</f>
        <v>0.15670103092783505</v>
      </c>
      <c r="J14" s="69">
        <f t="shared" ref="J14" si="2">I14</f>
        <v>0.15670103092783505</v>
      </c>
      <c r="K14" s="259">
        <f>J14</f>
        <v>0.15670103092783505</v>
      </c>
      <c r="L14" s="69">
        <f>(L15/L13)*4</f>
        <v>0.12914600550964186</v>
      </c>
      <c r="M14" s="69">
        <f>(M15/M13)*4</f>
        <v>0.10443959243085879</v>
      </c>
      <c r="N14" s="69">
        <f>(N15/N13)*4</f>
        <v>0.10545146408059505</v>
      </c>
      <c r="O14" s="69">
        <f>(O15/O13)*4</f>
        <v>3.8609574212172239E-2</v>
      </c>
      <c r="P14" s="259">
        <f>O14</f>
        <v>3.8609574212172239E-2</v>
      </c>
      <c r="Q14" s="69">
        <f>(Q15/Q13)*4</f>
        <v>1.4212536641696029E-3</v>
      </c>
      <c r="R14" s="69">
        <f>(R15/R13)*4</f>
        <v>9.7283362112994629E-4</v>
      </c>
      <c r="S14" s="69">
        <f>(S15/S13)*4</f>
        <v>8.0641096718915377E-4</v>
      </c>
      <c r="T14" s="69">
        <f>S14</f>
        <v>8.0641096718915377E-4</v>
      </c>
      <c r="U14" s="259">
        <f>T14</f>
        <v>8.0641096718915377E-4</v>
      </c>
      <c r="V14" s="69">
        <f>(V15/V13)*4</f>
        <v>1.2290481535739433E-2</v>
      </c>
      <c r="W14" s="69">
        <f>V14</f>
        <v>1.2290481535739433E-2</v>
      </c>
      <c r="X14" s="69">
        <f>W14</f>
        <v>1.2290481535739433E-2</v>
      </c>
      <c r="Y14" s="69">
        <f>X14</f>
        <v>1.2290481535739433E-2</v>
      </c>
      <c r="Z14" s="259">
        <f>Y14</f>
        <v>1.2290481535739433E-2</v>
      </c>
      <c r="AA14" s="69">
        <f>(AA15/AA13)*4</f>
        <v>1.1429737728339629E-2</v>
      </c>
      <c r="AB14" s="69">
        <f>AA14</f>
        <v>1.1429737728339629E-2</v>
      </c>
      <c r="AC14" s="69">
        <f>AB14</f>
        <v>1.1429737728339629E-2</v>
      </c>
      <c r="AD14" s="69">
        <f>AC14</f>
        <v>1.1429737728339629E-2</v>
      </c>
      <c r="AE14" s="259">
        <f>AD14</f>
        <v>1.1429737728339629E-2</v>
      </c>
      <c r="AF14" s="69">
        <f>AD14</f>
        <v>1.1429737728339629E-2</v>
      </c>
      <c r="AG14" s="69">
        <f>AF14</f>
        <v>1.1429737728339629E-2</v>
      </c>
      <c r="AH14" s="69">
        <f>AG14</f>
        <v>1.1429737728339629E-2</v>
      </c>
      <c r="AI14" s="69">
        <f>AH14</f>
        <v>1.1429737728339629E-2</v>
      </c>
      <c r="AJ14" s="259">
        <f>AI14</f>
        <v>1.1429737728339629E-2</v>
      </c>
      <c r="AK14" s="69">
        <f>AI14</f>
        <v>1.1429737728339629E-2</v>
      </c>
      <c r="AL14" s="69">
        <f>AK14</f>
        <v>1.1429737728339629E-2</v>
      </c>
      <c r="AM14" s="69">
        <f>AL14</f>
        <v>1.1429737728339629E-2</v>
      </c>
      <c r="AN14" s="69">
        <f>AM14</f>
        <v>1.1429737728339629E-2</v>
      </c>
      <c r="AO14" s="259">
        <f>AN14</f>
        <v>1.1429737728339629E-2</v>
      </c>
      <c r="AP14" s="69">
        <f>AN14</f>
        <v>1.1429737728339629E-2</v>
      </c>
      <c r="AQ14" s="20">
        <f>AP14</f>
        <v>1.1429737728339629E-2</v>
      </c>
      <c r="AR14" s="20">
        <f>AQ14</f>
        <v>1.1429737728339629E-2</v>
      </c>
      <c r="AS14" s="20">
        <f>AR14</f>
        <v>1.1429737728339629E-2</v>
      </c>
      <c r="AT14" s="259">
        <f>AS14</f>
        <v>1.1429737728339629E-2</v>
      </c>
      <c r="AU14" s="19">
        <f>AS14</f>
        <v>1.1429737728339629E-2</v>
      </c>
      <c r="AV14" s="19">
        <f>AU14</f>
        <v>1.1429737728339629E-2</v>
      </c>
      <c r="AW14" s="19">
        <f>AV14</f>
        <v>1.1429737728339629E-2</v>
      </c>
      <c r="AX14" s="19">
        <f>AW14</f>
        <v>1.1429737728339629E-2</v>
      </c>
      <c r="AY14" s="259">
        <f>AX14</f>
        <v>1.1429737728339629E-2</v>
      </c>
      <c r="AZ14" s="19">
        <f>AX14</f>
        <v>1.1429737728339629E-2</v>
      </c>
      <c r="BA14" s="19">
        <f>AZ14</f>
        <v>1.1429737728339629E-2</v>
      </c>
      <c r="BB14" s="19">
        <f>BA14</f>
        <v>1.1429737728339629E-2</v>
      </c>
      <c r="BC14" s="19">
        <f>BB14</f>
        <v>1.1429737728339629E-2</v>
      </c>
      <c r="BD14" s="259">
        <f>BC14</f>
        <v>1.1429737728339629E-2</v>
      </c>
      <c r="BE14" s="19">
        <f>BC14</f>
        <v>1.1429737728339629E-2</v>
      </c>
      <c r="BF14" s="19">
        <f>BE14</f>
        <v>1.1429737728339629E-2</v>
      </c>
      <c r="BG14" s="19">
        <f>BF14</f>
        <v>1.1429737728339629E-2</v>
      </c>
      <c r="BH14" s="19">
        <f>BG14</f>
        <v>1.1429737728339629E-2</v>
      </c>
      <c r="BI14" s="259">
        <f>BH14</f>
        <v>1.1429737728339629E-2</v>
      </c>
      <c r="BJ14" s="19">
        <f>BH14</f>
        <v>1.1429737728339629E-2</v>
      </c>
      <c r="BK14" s="19">
        <f>BJ14</f>
        <v>1.1429737728339629E-2</v>
      </c>
      <c r="BL14" s="19">
        <f>BK14</f>
        <v>1.1429737728339629E-2</v>
      </c>
      <c r="BM14" s="19">
        <f>BL14</f>
        <v>1.1429737728339629E-2</v>
      </c>
      <c r="BN14" s="259">
        <f>BM14</f>
        <v>1.1429737728339629E-2</v>
      </c>
      <c r="BO14" s="19">
        <f>BM14</f>
        <v>1.1429737728339629E-2</v>
      </c>
      <c r="BP14" s="19">
        <f>BO14</f>
        <v>1.1429737728339629E-2</v>
      </c>
      <c r="BQ14" s="19">
        <f>BP14</f>
        <v>1.1429737728339629E-2</v>
      </c>
      <c r="BR14" s="19">
        <f>BQ14</f>
        <v>1.1429737728339629E-2</v>
      </c>
      <c r="BS14" s="259">
        <f>BR14</f>
        <v>1.1429737728339629E-2</v>
      </c>
      <c r="BT14" s="19">
        <f>BR14</f>
        <v>1.1429737728339629E-2</v>
      </c>
      <c r="BU14" s="19">
        <f>BT14</f>
        <v>1.1429737728339629E-2</v>
      </c>
      <c r="BV14" s="19">
        <f>BU14</f>
        <v>1.1429737728339629E-2</v>
      </c>
      <c r="BW14" s="19">
        <f>BV14</f>
        <v>1.1429737728339629E-2</v>
      </c>
      <c r="BX14" s="259">
        <f>BW14</f>
        <v>1.1429737728339629E-2</v>
      </c>
      <c r="BY14" s="19">
        <f>BW14</f>
        <v>1.1429737728339629E-2</v>
      </c>
      <c r="BZ14" s="19">
        <f>BY14</f>
        <v>1.1429737728339629E-2</v>
      </c>
      <c r="CA14" s="19">
        <f>BZ14</f>
        <v>1.1429737728339629E-2</v>
      </c>
      <c r="CB14" s="19">
        <f>CA14</f>
        <v>1.1429737728339629E-2</v>
      </c>
      <c r="CC14" s="259">
        <f>CB14</f>
        <v>1.1429737728339629E-2</v>
      </c>
      <c r="CD14" s="19">
        <f>CB14</f>
        <v>1.1429737728339629E-2</v>
      </c>
      <c r="CE14" s="19">
        <f>CD14</f>
        <v>1.1429737728339629E-2</v>
      </c>
      <c r="CF14" s="19">
        <f>CE14</f>
        <v>1.1429737728339629E-2</v>
      </c>
      <c r="CG14" s="19">
        <f>CF14</f>
        <v>1.1429737728339629E-2</v>
      </c>
      <c r="CH14" s="259">
        <f>CG14</f>
        <v>1.1429737728339629E-2</v>
      </c>
      <c r="CI14" s="19">
        <f>CG14</f>
        <v>1.1429737728339629E-2</v>
      </c>
      <c r="CJ14" s="19">
        <f>CI14</f>
        <v>1.1429737728339629E-2</v>
      </c>
      <c r="CK14" s="19">
        <f>CJ14</f>
        <v>1.1429737728339629E-2</v>
      </c>
      <c r="CL14" s="19">
        <f>CK14</f>
        <v>1.1429737728339629E-2</v>
      </c>
      <c r="CM14" s="259">
        <f>CL14</f>
        <v>1.1429737728339629E-2</v>
      </c>
    </row>
    <row r="15" spans="1:91" s="16" customFormat="1">
      <c r="A15" s="16" t="s">
        <v>6</v>
      </c>
      <c r="E15" s="16">
        <f>E41</f>
        <v>0.30399999999999999</v>
      </c>
      <c r="F15" s="269">
        <f>F41</f>
        <v>2.7019999999999995</v>
      </c>
      <c r="I15" s="16">
        <f>I41</f>
        <v>0.30399999999999999</v>
      </c>
      <c r="J15" s="16">
        <f>J41</f>
        <v>0.29899999999999999</v>
      </c>
      <c r="K15" s="269">
        <f>SUM(G15:J15)</f>
        <v>0.60299999999999998</v>
      </c>
      <c r="L15" s="16">
        <f>L41</f>
        <v>0.29299999999999998</v>
      </c>
      <c r="M15" s="16">
        <f>M41</f>
        <v>0.28699999999999998</v>
      </c>
      <c r="N15" s="16">
        <f>N41</f>
        <v>0.28000000000000003</v>
      </c>
      <c r="O15" s="16">
        <f>O41</f>
        <v>0.32100000000000001</v>
      </c>
      <c r="P15" s="269">
        <f>SUM(L15:O15)</f>
        <v>1.181</v>
      </c>
      <c r="Q15" s="16">
        <f>Q41</f>
        <v>1.2E-2</v>
      </c>
      <c r="R15" s="16">
        <f>R41</f>
        <v>0.01</v>
      </c>
      <c r="S15" s="16">
        <f>S41</f>
        <v>8.0000000000000002E-3</v>
      </c>
      <c r="T15" s="16">
        <f>S13*T14/4</f>
        <v>8.0000000000000002E-3</v>
      </c>
      <c r="U15" s="269">
        <f>SUM(Q15:T15)</f>
        <v>3.7999999999999999E-2</v>
      </c>
      <c r="V15" s="16">
        <f>V41</f>
        <v>0.64600000000000002</v>
      </c>
      <c r="W15" s="16">
        <f>V13*W14/4</f>
        <v>0.64600000000000002</v>
      </c>
      <c r="X15" s="16">
        <f>W13*X14/4</f>
        <v>0.65072876277087577</v>
      </c>
      <c r="Y15" s="16">
        <f>X13*Y14/4</f>
        <v>0.66616253495938094</v>
      </c>
      <c r="Z15" s="269">
        <f>SUM(V15:Y15)</f>
        <v>2.6088912977302567</v>
      </c>
      <c r="AA15" s="16">
        <f>AA41</f>
        <v>0.64400000000000002</v>
      </c>
      <c r="AB15" s="16">
        <f>AA13*AB14/4</f>
        <v>0.64400000000000002</v>
      </c>
      <c r="AC15" s="16">
        <f>AB13*AC14/4</f>
        <v>0.632930299010103</v>
      </c>
      <c r="AD15" s="16">
        <f>AC13*AD14/4</f>
        <v>0.61770303092152268</v>
      </c>
      <c r="AE15" s="269">
        <f>SUM(AA15:AD15)</f>
        <v>2.5386333299316259</v>
      </c>
      <c r="AF15" s="16">
        <f>AD13*AF14/4</f>
        <v>0.60010409225431138</v>
      </c>
      <c r="AG15" s="16">
        <f>AF13*AG14/4</f>
        <v>0.58536544545361779</v>
      </c>
      <c r="AH15" s="16">
        <f>AG13*AH14/4</f>
        <v>0.56642922747219115</v>
      </c>
      <c r="AI15" s="16">
        <f>AH13*AI14/4</f>
        <v>0.55056189407082334</v>
      </c>
      <c r="AJ15" s="269">
        <f>SUM(AF15:AI15)</f>
        <v>2.3024606592509436</v>
      </c>
      <c r="AK15" s="16">
        <f>AI13*AK14/4</f>
        <v>0.53104847433411573</v>
      </c>
      <c r="AL15" s="16">
        <f>AK13*AL14/4</f>
        <v>0.51121502194101431</v>
      </c>
      <c r="AM15" s="16">
        <f>AL13*AM14/4</f>
        <v>0.49203306459842838</v>
      </c>
      <c r="AN15" s="16">
        <f>AM13*AN14/4</f>
        <v>0.48613817736503762</v>
      </c>
      <c r="AO15" s="269">
        <f>SUM(AK15:AN15)</f>
        <v>2.0204347382385959</v>
      </c>
      <c r="AP15" s="16">
        <f>AN13*AP14/4</f>
        <v>0.46945361771609334</v>
      </c>
      <c r="AQ15" s="16">
        <f>AP13*AQ14/4</f>
        <v>0</v>
      </c>
      <c r="AR15" s="16">
        <f>AQ13*AR14/4</f>
        <v>0</v>
      </c>
      <c r="AS15" s="16">
        <f>AR13*AS14/4</f>
        <v>0</v>
      </c>
      <c r="AT15" s="269">
        <f>SUM(AP15:AS15)</f>
        <v>0.46945361771609334</v>
      </c>
      <c r="AU15" s="16">
        <f>AS13*AU14/4</f>
        <v>0</v>
      </c>
      <c r="AV15" s="16">
        <f>AU13*AV14/4</f>
        <v>0</v>
      </c>
      <c r="AW15" s="16">
        <f>AV13*AW14/4</f>
        <v>0</v>
      </c>
      <c r="AX15" s="16">
        <f>AW13*AX14/4</f>
        <v>0</v>
      </c>
      <c r="AY15" s="269">
        <f>SUM(AU15:AX15)</f>
        <v>0</v>
      </c>
      <c r="AZ15" s="16">
        <f>AX13*AZ14/4</f>
        <v>0</v>
      </c>
      <c r="BA15" s="16">
        <f>AZ13*BA14/4</f>
        <v>0</v>
      </c>
      <c r="BB15" s="16">
        <f>BA13*BB14/4</f>
        <v>0</v>
      </c>
      <c r="BC15" s="16">
        <f>BB13*BC14/4</f>
        <v>0</v>
      </c>
      <c r="BD15" s="269">
        <f>SUM(AZ15:BC15)</f>
        <v>0</v>
      </c>
      <c r="BE15" s="16">
        <f>BC13*BE14/4</f>
        <v>0</v>
      </c>
      <c r="BF15" s="16">
        <f>BE13*BF14/4</f>
        <v>0</v>
      </c>
      <c r="BG15" s="16">
        <f>BF13*BG14/4</f>
        <v>0</v>
      </c>
      <c r="BH15" s="16">
        <f>BG13*BH14/4</f>
        <v>0</v>
      </c>
      <c r="BI15" s="269">
        <f>SUM(BE15:BH15)</f>
        <v>0</v>
      </c>
      <c r="BJ15" s="16">
        <f>BH13*BJ14/4</f>
        <v>0</v>
      </c>
      <c r="BK15" s="16">
        <f>BJ13*BK14/4</f>
        <v>0</v>
      </c>
      <c r="BL15" s="16">
        <f>BK13*BL14/4</f>
        <v>0</v>
      </c>
      <c r="BM15" s="16">
        <f>BL13*BM14/4</f>
        <v>0</v>
      </c>
      <c r="BN15" s="269">
        <f>SUM(BJ15:BM15)</f>
        <v>0</v>
      </c>
      <c r="BO15" s="16">
        <f>BM13*BO14/4</f>
        <v>0</v>
      </c>
      <c r="BP15" s="16">
        <f>BO13*BP14/4</f>
        <v>0</v>
      </c>
      <c r="BQ15" s="16">
        <f>BP13*BQ14/4</f>
        <v>0</v>
      </c>
      <c r="BR15" s="16">
        <f>BQ13*BR14/4</f>
        <v>0</v>
      </c>
      <c r="BS15" s="269">
        <f>SUM(BO15:BR15)</f>
        <v>0</v>
      </c>
      <c r="BT15" s="16">
        <f>BR13*BT14/4</f>
        <v>0</v>
      </c>
      <c r="BU15" s="16">
        <f>BT13*BU14/4</f>
        <v>-6.906419022349306E-3</v>
      </c>
      <c r="BV15" s="16">
        <f>BU13*BV14/4</f>
        <v>-6.906419022349306E-3</v>
      </c>
      <c r="BW15" s="16">
        <f>BV13*BW14/4</f>
        <v>-6.906419022349306E-3</v>
      </c>
      <c r="BX15" s="269">
        <f>SUM(BT15:BW15)</f>
        <v>-2.0719257067047917E-2</v>
      </c>
      <c r="BY15" s="16">
        <f>BW13*BY14/4</f>
        <v>-6.906419022349306E-3</v>
      </c>
      <c r="BZ15" s="16">
        <f>BY13*BZ14/4</f>
        <v>0</v>
      </c>
      <c r="CA15" s="16">
        <f>BZ13*CA14/4</f>
        <v>0</v>
      </c>
      <c r="CB15" s="16">
        <f>CA13*CB14/4</f>
        <v>0</v>
      </c>
      <c r="CC15" s="269">
        <f>SUM(BY15:CB15)</f>
        <v>-6.906419022349306E-3</v>
      </c>
      <c r="CD15" s="16">
        <f>CB13*CD14/4</f>
        <v>0</v>
      </c>
      <c r="CE15" s="16">
        <f>CD13*CE14/4</f>
        <v>0</v>
      </c>
      <c r="CF15" s="16">
        <f>CE13*CF14/4</f>
        <v>0</v>
      </c>
      <c r="CG15" s="16">
        <f>CF13*CG14/4</f>
        <v>0</v>
      </c>
      <c r="CH15" s="269">
        <f>SUM(CD15:CG15)</f>
        <v>0</v>
      </c>
      <c r="CI15" s="16">
        <f>CG13*CI14/4</f>
        <v>0</v>
      </c>
      <c r="CJ15" s="16">
        <f>CI13*CJ14/4</f>
        <v>0</v>
      </c>
      <c r="CK15" s="16">
        <f>CJ13*CK14/4</f>
        <v>0</v>
      </c>
      <c r="CL15" s="16">
        <f>CK13*CL14/4</f>
        <v>0</v>
      </c>
      <c r="CM15" s="269">
        <f>SUM(CI15:CL15)</f>
        <v>0</v>
      </c>
    </row>
    <row r="16" spans="1:91" s="16" customFormat="1" ht="12.75" customHeight="1">
      <c r="F16" s="269"/>
      <c r="K16" s="269"/>
      <c r="P16" s="269"/>
      <c r="U16" s="269"/>
      <c r="Z16" s="269"/>
      <c r="AE16" s="269"/>
      <c r="AJ16" s="269"/>
      <c r="AO16" s="269"/>
      <c r="AT16" s="269"/>
      <c r="AY16" s="269"/>
      <c r="BD16" s="269"/>
      <c r="BI16" s="269"/>
      <c r="BN16" s="269"/>
      <c r="BS16" s="269"/>
      <c r="BX16" s="269"/>
      <c r="CC16" s="269"/>
      <c r="CH16" s="269"/>
      <c r="CM16" s="269"/>
    </row>
    <row r="17" spans="1:91" s="16" customFormat="1" ht="12.75" customHeight="1">
      <c r="A17" s="16" t="s">
        <v>423</v>
      </c>
      <c r="F17" s="269"/>
      <c r="I17" s="16">
        <f t="shared" ref="I17:K18" si="3">H17</f>
        <v>0</v>
      </c>
      <c r="J17" s="16">
        <f t="shared" si="3"/>
        <v>0</v>
      </c>
      <c r="K17" s="269">
        <f t="shared" si="3"/>
        <v>0</v>
      </c>
      <c r="L17" s="16">
        <f>J17</f>
        <v>0</v>
      </c>
      <c r="M17" s="16">
        <f>K17</f>
        <v>0</v>
      </c>
      <c r="N17" s="16">
        <f t="shared" ref="N17:N18" si="4">M17</f>
        <v>0</v>
      </c>
      <c r="O17" s="16">
        <f t="shared" ref="O17:P18" si="5">N17</f>
        <v>0</v>
      </c>
      <c r="P17" s="269">
        <f t="shared" si="5"/>
        <v>0</v>
      </c>
      <c r="Q17" s="16">
        <f>O17</f>
        <v>0</v>
      </c>
      <c r="R17" s="16">
        <f>P17</f>
        <v>0</v>
      </c>
      <c r="S17" s="16">
        <f t="shared" ref="S17" si="6">R17</f>
        <v>0</v>
      </c>
      <c r="T17" s="16">
        <v>806.29200000000003</v>
      </c>
      <c r="U17" s="269">
        <f t="shared" ref="U17:U18" si="7">T17</f>
        <v>806.29200000000003</v>
      </c>
      <c r="V17" s="16">
        <v>1132.8989999999999</v>
      </c>
      <c r="W17" s="16">
        <v>1133.539</v>
      </c>
      <c r="X17" s="16">
        <v>1134.18</v>
      </c>
      <c r="Y17" s="16">
        <v>1134.8209999999999</v>
      </c>
      <c r="Z17" s="269">
        <f t="shared" ref="W17:Z18" si="8">Y17</f>
        <v>1134.8209999999999</v>
      </c>
      <c r="AA17" s="16">
        <v>1135.463</v>
      </c>
      <c r="AB17" s="16">
        <v>1136.105</v>
      </c>
      <c r="AC17" s="16">
        <v>1136.748</v>
      </c>
      <c r="AD17" s="16">
        <v>1137.3910000000001</v>
      </c>
      <c r="AE17" s="269">
        <f>AD17</f>
        <v>1137.3910000000001</v>
      </c>
      <c r="AF17" s="16">
        <v>1138.0340000000001</v>
      </c>
      <c r="AG17" s="16">
        <v>1138.6780000000001</v>
      </c>
      <c r="AH17" s="16">
        <v>1139.3219999999999</v>
      </c>
      <c r="AI17" s="16">
        <v>1139.9659999999999</v>
      </c>
      <c r="AJ17" s="269">
        <f t="shared" ref="AJ17:AJ18" si="9">AI17</f>
        <v>1139.9659999999999</v>
      </c>
      <c r="AK17" s="16">
        <v>1140.6110000000001</v>
      </c>
      <c r="AL17" s="16">
        <v>1141.2560000000001</v>
      </c>
      <c r="AM17" s="16">
        <v>1141.9010000000001</v>
      </c>
      <c r="AN17" s="16">
        <v>1142.547</v>
      </c>
      <c r="AO17" s="269">
        <f>AN17</f>
        <v>1142.547</v>
      </c>
      <c r="AP17" s="65">
        <v>487.75599999999997</v>
      </c>
      <c r="AQ17" s="65">
        <v>488.03199999999998</v>
      </c>
      <c r="AR17" s="65">
        <v>488.30799999999999</v>
      </c>
      <c r="AS17" s="65">
        <v>488.584</v>
      </c>
      <c r="AT17" s="269">
        <f t="shared" ref="AQ17:AT18" si="10">AS17</f>
        <v>488.584</v>
      </c>
      <c r="AU17" s="16">
        <f>AS17</f>
        <v>488.584</v>
      </c>
      <c r="AV17" s="16">
        <f t="shared" ref="AV17:AV18" si="11">AU17</f>
        <v>488.584</v>
      </c>
      <c r="AW17" s="16">
        <f t="shared" ref="AW17:AW18" si="12">AV17</f>
        <v>488.584</v>
      </c>
      <c r="AX17" s="16">
        <f t="shared" ref="AX17:AX18" si="13">AW17</f>
        <v>488.584</v>
      </c>
      <c r="AY17" s="269">
        <f t="shared" ref="AY17:AY18" si="14">AX17</f>
        <v>488.584</v>
      </c>
      <c r="AZ17" s="16">
        <f>AX17</f>
        <v>488.584</v>
      </c>
      <c r="BA17" s="16">
        <f t="shared" ref="BA17:BA18" si="15">AZ17</f>
        <v>488.584</v>
      </c>
      <c r="BB17" s="16">
        <f t="shared" ref="BB17:BB18" si="16">BA17</f>
        <v>488.584</v>
      </c>
      <c r="BC17" s="343">
        <v>0</v>
      </c>
      <c r="BD17" s="269">
        <f t="shared" ref="BD17:BD18" si="17">BC17</f>
        <v>0</v>
      </c>
      <c r="BE17" s="16">
        <f>BC17</f>
        <v>0</v>
      </c>
      <c r="BF17" s="16">
        <f t="shared" ref="BF17:BF18" si="18">BE17</f>
        <v>0</v>
      </c>
      <c r="BG17" s="16">
        <f t="shared" ref="BG17:BG18" si="19">BF17</f>
        <v>0</v>
      </c>
      <c r="BH17" s="16">
        <f t="shared" ref="BH17:BH18" si="20">BG17</f>
        <v>0</v>
      </c>
      <c r="BI17" s="269">
        <f t="shared" ref="BI17:BI18" si="21">BH17</f>
        <v>0</v>
      </c>
      <c r="BJ17" s="16">
        <f>BH17</f>
        <v>0</v>
      </c>
      <c r="BK17" s="16">
        <f t="shared" ref="BK17:BK18" si="22">BJ17</f>
        <v>0</v>
      </c>
      <c r="BL17" s="16">
        <f t="shared" ref="BL17:BL18" si="23">BK17</f>
        <v>0</v>
      </c>
      <c r="BM17" s="16">
        <f t="shared" ref="BM17:BM18" si="24">BL17</f>
        <v>0</v>
      </c>
      <c r="BN17" s="269">
        <f t="shared" ref="BN17:BN18" si="25">BM17</f>
        <v>0</v>
      </c>
      <c r="BO17" s="16">
        <f>BM17</f>
        <v>0</v>
      </c>
      <c r="BP17" s="16">
        <f t="shared" ref="BP17:BP18" si="26">BO17</f>
        <v>0</v>
      </c>
      <c r="BQ17" s="16">
        <f t="shared" ref="BQ17:BQ18" si="27">BP17</f>
        <v>0</v>
      </c>
      <c r="BR17" s="16">
        <f t="shared" ref="BR17:BR18" si="28">BQ17</f>
        <v>0</v>
      </c>
      <c r="BS17" s="269">
        <f t="shared" ref="BS17:BS18" si="29">BR17</f>
        <v>0</v>
      </c>
      <c r="BT17" s="16">
        <f>BR17</f>
        <v>0</v>
      </c>
      <c r="BU17" s="16">
        <f t="shared" ref="BU17:BU18" si="30">BT17</f>
        <v>0</v>
      </c>
      <c r="BV17" s="16">
        <f t="shared" ref="BV17:BV18" si="31">BU17</f>
        <v>0</v>
      </c>
      <c r="BW17" s="16">
        <f t="shared" ref="BW17:BW18" si="32">BV17</f>
        <v>0</v>
      </c>
      <c r="BX17" s="269">
        <f t="shared" ref="BX17:BX18" si="33">BW17</f>
        <v>0</v>
      </c>
      <c r="BY17" s="16">
        <f>BW17</f>
        <v>0</v>
      </c>
      <c r="BZ17" s="16">
        <f t="shared" ref="BZ17:BZ18" si="34">BY17</f>
        <v>0</v>
      </c>
      <c r="CA17" s="16">
        <f t="shared" ref="CA17:CA18" si="35">BZ17</f>
        <v>0</v>
      </c>
      <c r="CB17" s="16">
        <f t="shared" ref="CB17:CB18" si="36">CA17</f>
        <v>0</v>
      </c>
      <c r="CC17" s="269">
        <f t="shared" ref="CC17:CC18" si="37">CB17</f>
        <v>0</v>
      </c>
      <c r="CD17" s="16">
        <f>CB17</f>
        <v>0</v>
      </c>
      <c r="CE17" s="16">
        <f t="shared" ref="CE17:CE18" si="38">CD17</f>
        <v>0</v>
      </c>
      <c r="CF17" s="16">
        <f t="shared" ref="CF17:CF18" si="39">CE17</f>
        <v>0</v>
      </c>
      <c r="CG17" s="16">
        <f t="shared" ref="CG17:CG18" si="40">CF17</f>
        <v>0</v>
      </c>
      <c r="CH17" s="269">
        <f t="shared" ref="CH17:CH18" si="41">CG17</f>
        <v>0</v>
      </c>
      <c r="CI17" s="16">
        <f>CG17</f>
        <v>0</v>
      </c>
      <c r="CJ17" s="16">
        <f t="shared" ref="CJ17:CJ18" si="42">CI17</f>
        <v>0</v>
      </c>
      <c r="CK17" s="16">
        <f t="shared" ref="CK17:CK18" si="43">CJ17</f>
        <v>0</v>
      </c>
      <c r="CL17" s="16">
        <f t="shared" ref="CL17:CL18" si="44">CK17</f>
        <v>0</v>
      </c>
      <c r="CM17" s="269">
        <f t="shared" ref="CM17:CM18" si="45">CL17</f>
        <v>0</v>
      </c>
    </row>
    <row r="18" spans="1:91" s="16" customFormat="1" ht="12.75" customHeight="1">
      <c r="A18" s="16" t="s">
        <v>144</v>
      </c>
      <c r="B18" s="20"/>
      <c r="C18" s="20"/>
      <c r="D18" s="20"/>
      <c r="E18" s="20"/>
      <c r="F18" s="259"/>
      <c r="G18" s="20"/>
      <c r="H18" s="20"/>
      <c r="I18" s="20">
        <f t="shared" si="3"/>
        <v>0</v>
      </c>
      <c r="J18" s="20">
        <f t="shared" si="3"/>
        <v>0</v>
      </c>
      <c r="K18" s="259">
        <f t="shared" si="3"/>
        <v>0</v>
      </c>
      <c r="L18" s="20">
        <f>J18</f>
        <v>0</v>
      </c>
      <c r="M18" s="20">
        <f>K18</f>
        <v>0</v>
      </c>
      <c r="N18" s="20">
        <f t="shared" si="4"/>
        <v>0</v>
      </c>
      <c r="O18" s="20">
        <f t="shared" si="5"/>
        <v>0</v>
      </c>
      <c r="P18" s="259">
        <f t="shared" si="5"/>
        <v>0</v>
      </c>
      <c r="Q18" s="20">
        <v>0</v>
      </c>
      <c r="R18" s="20">
        <v>0</v>
      </c>
      <c r="S18" s="20">
        <v>0</v>
      </c>
      <c r="T18" s="20">
        <f t="shared" ref="T18" si="46">S18</f>
        <v>0</v>
      </c>
      <c r="U18" s="259">
        <f t="shared" si="7"/>
        <v>0</v>
      </c>
      <c r="V18" s="20">
        <v>2E-3</v>
      </c>
      <c r="W18" s="20">
        <f t="shared" si="8"/>
        <v>2E-3</v>
      </c>
      <c r="X18" s="20">
        <f t="shared" si="8"/>
        <v>2E-3</v>
      </c>
      <c r="Y18" s="20">
        <f t="shared" si="8"/>
        <v>2E-3</v>
      </c>
      <c r="Z18" s="259">
        <f t="shared" si="8"/>
        <v>2E-3</v>
      </c>
      <c r="AA18" s="20">
        <v>2E-3</v>
      </c>
      <c r="AB18" s="20">
        <f t="shared" ref="AB18:AE18" si="47">AA18</f>
        <v>2E-3</v>
      </c>
      <c r="AC18" s="20">
        <f t="shared" si="47"/>
        <v>2E-3</v>
      </c>
      <c r="AD18" s="20">
        <f t="shared" si="47"/>
        <v>2E-3</v>
      </c>
      <c r="AE18" s="259">
        <f t="shared" si="47"/>
        <v>2E-3</v>
      </c>
      <c r="AF18" s="20">
        <v>2E-3</v>
      </c>
      <c r="AG18" s="20">
        <v>2E-3</v>
      </c>
      <c r="AH18" s="20">
        <v>2E-3</v>
      </c>
      <c r="AI18" s="20">
        <v>2E-3</v>
      </c>
      <c r="AJ18" s="259">
        <f t="shared" si="9"/>
        <v>2E-3</v>
      </c>
      <c r="AK18" s="20">
        <f>AI18</f>
        <v>2E-3</v>
      </c>
      <c r="AL18" s="20">
        <f t="shared" ref="AL18:AO18" si="48">AK18</f>
        <v>2E-3</v>
      </c>
      <c r="AM18" s="20">
        <v>2E-3</v>
      </c>
      <c r="AN18" s="20">
        <f t="shared" si="48"/>
        <v>2E-3</v>
      </c>
      <c r="AO18" s="259">
        <f t="shared" si="48"/>
        <v>2E-3</v>
      </c>
      <c r="AP18" s="20">
        <f>AN18</f>
        <v>2E-3</v>
      </c>
      <c r="AQ18" s="20">
        <f t="shared" si="10"/>
        <v>2E-3</v>
      </c>
      <c r="AR18" s="20">
        <f t="shared" si="10"/>
        <v>2E-3</v>
      </c>
      <c r="AS18" s="19">
        <f t="shared" si="10"/>
        <v>2E-3</v>
      </c>
      <c r="AT18" s="259">
        <f t="shared" si="10"/>
        <v>2E-3</v>
      </c>
      <c r="AU18" s="19">
        <f>AS18</f>
        <v>2E-3</v>
      </c>
      <c r="AV18" s="19">
        <f t="shared" si="11"/>
        <v>2E-3</v>
      </c>
      <c r="AW18" s="19">
        <f t="shared" si="12"/>
        <v>2E-3</v>
      </c>
      <c r="AX18" s="19">
        <f t="shared" si="13"/>
        <v>2E-3</v>
      </c>
      <c r="AY18" s="259">
        <f t="shared" si="14"/>
        <v>2E-3</v>
      </c>
      <c r="AZ18" s="19">
        <f>AX18</f>
        <v>2E-3</v>
      </c>
      <c r="BA18" s="19">
        <f t="shared" si="15"/>
        <v>2E-3</v>
      </c>
      <c r="BB18" s="19">
        <f t="shared" si="16"/>
        <v>2E-3</v>
      </c>
      <c r="BC18" s="19">
        <f t="shared" ref="BC18" si="49">BB18</f>
        <v>2E-3</v>
      </c>
      <c r="BD18" s="259">
        <f t="shared" si="17"/>
        <v>2E-3</v>
      </c>
      <c r="BE18" s="349">
        <v>0.03</v>
      </c>
      <c r="BF18" s="19">
        <f t="shared" si="18"/>
        <v>0.03</v>
      </c>
      <c r="BG18" s="19">
        <f t="shared" si="19"/>
        <v>0.03</v>
      </c>
      <c r="BH18" s="19">
        <f t="shared" si="20"/>
        <v>0.03</v>
      </c>
      <c r="BI18" s="349">
        <f t="shared" si="21"/>
        <v>0.03</v>
      </c>
      <c r="BJ18" s="19">
        <f>BH18</f>
        <v>0.03</v>
      </c>
      <c r="BK18" s="19">
        <f t="shared" si="22"/>
        <v>0.03</v>
      </c>
      <c r="BL18" s="19">
        <f t="shared" si="23"/>
        <v>0.03</v>
      </c>
      <c r="BM18" s="19">
        <f t="shared" si="24"/>
        <v>0.03</v>
      </c>
      <c r="BN18" s="259">
        <f t="shared" si="25"/>
        <v>0.03</v>
      </c>
      <c r="BO18" s="19">
        <f>BM18</f>
        <v>0.03</v>
      </c>
      <c r="BP18" s="19">
        <f t="shared" si="26"/>
        <v>0.03</v>
      </c>
      <c r="BQ18" s="19">
        <f t="shared" si="27"/>
        <v>0.03</v>
      </c>
      <c r="BR18" s="19">
        <f t="shared" si="28"/>
        <v>0.03</v>
      </c>
      <c r="BS18" s="259">
        <f t="shared" si="29"/>
        <v>0.03</v>
      </c>
      <c r="BT18" s="19">
        <f>BR18</f>
        <v>0.03</v>
      </c>
      <c r="BU18" s="19">
        <f t="shared" si="30"/>
        <v>0.03</v>
      </c>
      <c r="BV18" s="19">
        <f t="shared" si="31"/>
        <v>0.03</v>
      </c>
      <c r="BW18" s="19">
        <f t="shared" si="32"/>
        <v>0.03</v>
      </c>
      <c r="BX18" s="259">
        <f t="shared" si="33"/>
        <v>0.03</v>
      </c>
      <c r="BY18" s="19">
        <f>BW18</f>
        <v>0.03</v>
      </c>
      <c r="BZ18" s="19">
        <f t="shared" si="34"/>
        <v>0.03</v>
      </c>
      <c r="CA18" s="19">
        <f t="shared" si="35"/>
        <v>0.03</v>
      </c>
      <c r="CB18" s="19">
        <f t="shared" si="36"/>
        <v>0.03</v>
      </c>
      <c r="CC18" s="259">
        <f t="shared" si="37"/>
        <v>0.03</v>
      </c>
      <c r="CD18" s="19">
        <f>CB18</f>
        <v>0.03</v>
      </c>
      <c r="CE18" s="19">
        <f t="shared" si="38"/>
        <v>0.03</v>
      </c>
      <c r="CF18" s="19">
        <f t="shared" si="39"/>
        <v>0.03</v>
      </c>
      <c r="CG18" s="19">
        <f t="shared" si="40"/>
        <v>0.03</v>
      </c>
      <c r="CH18" s="259">
        <f t="shared" si="41"/>
        <v>0.03</v>
      </c>
      <c r="CI18" s="19">
        <f>CG18</f>
        <v>0.03</v>
      </c>
      <c r="CJ18" s="19">
        <f t="shared" si="42"/>
        <v>0.03</v>
      </c>
      <c r="CK18" s="19">
        <f t="shared" si="43"/>
        <v>0.03</v>
      </c>
      <c r="CL18" s="19">
        <f t="shared" si="44"/>
        <v>0.03</v>
      </c>
      <c r="CM18" s="259">
        <f t="shared" si="45"/>
        <v>0.03</v>
      </c>
    </row>
    <row r="19" spans="1:91" s="16" customFormat="1" ht="12.75" customHeight="1">
      <c r="A19" s="16" t="s">
        <v>6</v>
      </c>
      <c r="F19" s="269"/>
      <c r="I19" s="16">
        <f>H17*I18/4</f>
        <v>0</v>
      </c>
      <c r="J19" s="16">
        <f>I17*J18/4</f>
        <v>0</v>
      </c>
      <c r="K19" s="269">
        <f>SUM(G19:J19)</f>
        <v>0</v>
      </c>
      <c r="L19" s="16">
        <f>J17*L18/4</f>
        <v>0</v>
      </c>
      <c r="M19" s="16">
        <f>K17*M18/4</f>
        <v>0</v>
      </c>
      <c r="N19" s="16">
        <f>M17*N18/4</f>
        <v>0</v>
      </c>
      <c r="O19" s="16">
        <f>N17*O18/4</f>
        <v>0</v>
      </c>
      <c r="P19" s="269">
        <f>SUM(L19:O19)</f>
        <v>0</v>
      </c>
      <c r="Q19" s="16">
        <f>O17*Q18/4</f>
        <v>0</v>
      </c>
      <c r="R19" s="16">
        <f>P17*R18/4</f>
        <v>0</v>
      </c>
      <c r="S19" s="16">
        <f>R17*S18/4</f>
        <v>0</v>
      </c>
      <c r="T19" s="16">
        <f>S17*T18/4</f>
        <v>0</v>
      </c>
      <c r="U19" s="269">
        <f>SUM(Q19:T19)</f>
        <v>0</v>
      </c>
      <c r="V19" s="16">
        <f>T17*V18/4</f>
        <v>0.403146</v>
      </c>
      <c r="W19" s="16">
        <f>V17*W18/4</f>
        <v>0.56644949999999994</v>
      </c>
      <c r="X19" s="16">
        <f>W17*X18/4</f>
        <v>0.56676950000000004</v>
      </c>
      <c r="Y19" s="16">
        <f>X17*Y18/4</f>
        <v>0.56709000000000009</v>
      </c>
      <c r="Z19" s="269">
        <f>SUM(V19:Y19)</f>
        <v>2.1034550000000003</v>
      </c>
      <c r="AA19" s="16">
        <f>Z17*AA18/4</f>
        <v>0.56741049999999993</v>
      </c>
      <c r="AB19" s="16">
        <f>AA17*AB18/4</f>
        <v>0.56773149999999994</v>
      </c>
      <c r="AC19" s="16">
        <f>AB17*AC18/4</f>
        <v>0.56805250000000007</v>
      </c>
      <c r="AD19" s="16">
        <f>AC17*AD18/4</f>
        <v>0.56837400000000005</v>
      </c>
      <c r="AE19" s="269">
        <f>SUM(AA19:AD19)</f>
        <v>2.2715684999999999</v>
      </c>
      <c r="AF19" s="16">
        <f>AD17*AF18/4</f>
        <v>0.56869550000000002</v>
      </c>
      <c r="AG19" s="16">
        <f>AE17*AG18/4</f>
        <v>0.56869550000000002</v>
      </c>
      <c r="AH19" s="16">
        <f>AG17*AH18/4</f>
        <v>0.56933900000000004</v>
      </c>
      <c r="AI19" s="16">
        <f>AH17*AI18/4</f>
        <v>0.56966099999999997</v>
      </c>
      <c r="AJ19" s="269">
        <f>SUM(AF19:AI19)</f>
        <v>2.2763910000000003</v>
      </c>
      <c r="AK19" s="16">
        <f>AI17*AK18/4</f>
        <v>0.56998299999999991</v>
      </c>
      <c r="AL19" s="16">
        <f>AK17*AL18/4</f>
        <v>0.57030550000000002</v>
      </c>
      <c r="AM19" s="16">
        <f>AL17*AM18/4</f>
        <v>0.57062800000000002</v>
      </c>
      <c r="AN19" s="16">
        <f>AM17*AN18/4</f>
        <v>0.57095050000000003</v>
      </c>
      <c r="AO19" s="269">
        <f>SUM(AK19:AN19)</f>
        <v>2.2818670000000001</v>
      </c>
      <c r="AP19" s="16">
        <f>AN17*AP18/4</f>
        <v>0.57127349999999999</v>
      </c>
      <c r="AQ19" s="16">
        <f>AP17*AQ18/4</f>
        <v>0.24387799999999998</v>
      </c>
      <c r="AR19" s="16">
        <f>AQ17*AR18/4</f>
        <v>0.24401599999999998</v>
      </c>
      <c r="AS19" s="16">
        <f>AR17*AS18/4</f>
        <v>0.24415400000000001</v>
      </c>
      <c r="AT19" s="269">
        <f>SUM(AP19:AS19)</f>
        <v>1.3033215</v>
      </c>
      <c r="AU19" s="16">
        <f>AS17*AU18/4</f>
        <v>0.24429200000000001</v>
      </c>
      <c r="AV19" s="16">
        <f>AU17*AV18/4</f>
        <v>0.24429200000000001</v>
      </c>
      <c r="AW19" s="16">
        <f>AV17*AW18/4</f>
        <v>0.24429200000000001</v>
      </c>
      <c r="AX19" s="16">
        <f>AW17*AX18/4</f>
        <v>0.24429200000000001</v>
      </c>
      <c r="AY19" s="269">
        <f>SUM(AU19:AX19)</f>
        <v>0.97716800000000004</v>
      </c>
      <c r="AZ19" s="16">
        <f>AX17*AZ18/4</f>
        <v>0.24429200000000001</v>
      </c>
      <c r="BA19" s="16">
        <f>AZ17*BA18/4</f>
        <v>0.24429200000000001</v>
      </c>
      <c r="BB19" s="16">
        <f>BA17*BB18/4</f>
        <v>0.24429200000000001</v>
      </c>
      <c r="BC19" s="16">
        <f>BB17*BC18/4</f>
        <v>0.24429200000000001</v>
      </c>
      <c r="BD19" s="269">
        <f>SUM(AZ19:BC19)</f>
        <v>0.97716800000000004</v>
      </c>
      <c r="BE19" s="16">
        <f>BC17*BE18/4</f>
        <v>0</v>
      </c>
      <c r="BF19" s="16">
        <f>BE17*BF18/4</f>
        <v>0</v>
      </c>
      <c r="BG19" s="16">
        <f>BF17*BG18/4</f>
        <v>0</v>
      </c>
      <c r="BH19" s="16">
        <f>BG17*BH18/4</f>
        <v>0</v>
      </c>
      <c r="BI19" s="269">
        <f>SUM(BE19:BH19)</f>
        <v>0</v>
      </c>
      <c r="BJ19" s="16">
        <f>BH17*BJ18/4</f>
        <v>0</v>
      </c>
      <c r="BK19" s="16">
        <f>BJ17*BK18/4</f>
        <v>0</v>
      </c>
      <c r="BL19" s="16">
        <f>BK17*BL18/4</f>
        <v>0</v>
      </c>
      <c r="BM19" s="16">
        <f>BL17*BM18/4</f>
        <v>0</v>
      </c>
      <c r="BN19" s="269">
        <f>SUM(BJ19:BM19)</f>
        <v>0</v>
      </c>
      <c r="BO19" s="16">
        <f>BM17*BO18/4</f>
        <v>0</v>
      </c>
      <c r="BP19" s="16">
        <f>BO17*BP18/4</f>
        <v>0</v>
      </c>
      <c r="BQ19" s="16">
        <f>BP17*BQ18/4</f>
        <v>0</v>
      </c>
      <c r="BR19" s="16">
        <f>BQ17*BR18/4</f>
        <v>0</v>
      </c>
      <c r="BS19" s="269">
        <f>SUM(BO19:BR19)</f>
        <v>0</v>
      </c>
      <c r="BT19" s="16">
        <f>BR17*BT18/4</f>
        <v>0</v>
      </c>
      <c r="BU19" s="16">
        <f>BT17*BU18/4</f>
        <v>0</v>
      </c>
      <c r="BV19" s="16">
        <f>BU17*BV18/4</f>
        <v>0</v>
      </c>
      <c r="BW19" s="16">
        <f>BV17*BW18/4</f>
        <v>0</v>
      </c>
      <c r="BX19" s="269">
        <f>SUM(BT19:BW19)</f>
        <v>0</v>
      </c>
      <c r="BY19" s="16">
        <f>BW17*BY18/4</f>
        <v>0</v>
      </c>
      <c r="BZ19" s="16">
        <f>BY17*BZ18/4</f>
        <v>0</v>
      </c>
      <c r="CA19" s="16">
        <f>BZ17*CA18/4</f>
        <v>0</v>
      </c>
      <c r="CB19" s="16">
        <f>CA17*CB18/4</f>
        <v>0</v>
      </c>
      <c r="CC19" s="269">
        <f>SUM(BY19:CB19)</f>
        <v>0</v>
      </c>
      <c r="CD19" s="16">
        <f>CB17*CD18/4</f>
        <v>0</v>
      </c>
      <c r="CE19" s="16">
        <f>CD17*CE18/4</f>
        <v>0</v>
      </c>
      <c r="CF19" s="16">
        <f>CE17*CF18/4</f>
        <v>0</v>
      </c>
      <c r="CG19" s="16">
        <f>CF17*CG18/4</f>
        <v>0</v>
      </c>
      <c r="CH19" s="269">
        <f>SUM(CD19:CG19)</f>
        <v>0</v>
      </c>
      <c r="CI19" s="16">
        <f>CG17*CI18/4</f>
        <v>0</v>
      </c>
      <c r="CJ19" s="16">
        <f>CI17*CJ18/4</f>
        <v>0</v>
      </c>
      <c r="CK19" s="16">
        <f>CJ17*CK18/4</f>
        <v>0</v>
      </c>
      <c r="CL19" s="16">
        <f>CK17*CL18/4</f>
        <v>0</v>
      </c>
      <c r="CM19" s="269">
        <f>SUM(CI19:CL19)</f>
        <v>0</v>
      </c>
    </row>
    <row r="20" spans="1:91" s="16" customFormat="1" ht="12.75" customHeight="1">
      <c r="F20" s="269"/>
      <c r="K20" s="269"/>
      <c r="P20" s="269"/>
      <c r="U20" s="269"/>
      <c r="Z20" s="269"/>
      <c r="AE20" s="269"/>
      <c r="AJ20" s="269"/>
      <c r="AO20" s="269"/>
      <c r="AT20" s="269"/>
      <c r="AY20" s="269"/>
      <c r="BD20" s="269"/>
      <c r="BI20" s="269"/>
      <c r="BN20" s="269"/>
      <c r="BS20" s="269"/>
      <c r="BX20" s="269"/>
      <c r="CC20" s="269"/>
      <c r="CH20" s="269"/>
      <c r="CM20" s="269"/>
    </row>
    <row r="21" spans="1:91" s="16" customFormat="1" ht="12.75" customHeight="1">
      <c r="A21" s="16" t="s">
        <v>422</v>
      </c>
      <c r="F21" s="269"/>
      <c r="I21" s="16">
        <f t="shared" ref="I21:K22" si="50">H21</f>
        <v>0</v>
      </c>
      <c r="J21" s="16">
        <f t="shared" si="50"/>
        <v>0</v>
      </c>
      <c r="K21" s="269">
        <f t="shared" si="50"/>
        <v>0</v>
      </c>
      <c r="N21" s="16">
        <f t="shared" ref="N21:N22" si="51">M21</f>
        <v>0</v>
      </c>
      <c r="O21" s="16">
        <f t="shared" ref="O21:P22" si="52">N21</f>
        <v>0</v>
      </c>
      <c r="P21" s="269">
        <f t="shared" si="52"/>
        <v>0</v>
      </c>
      <c r="S21" s="16">
        <f t="shared" ref="S21:S22" si="53">R21</f>
        <v>0</v>
      </c>
      <c r="T21" s="16">
        <f t="shared" ref="T21:U22" si="54">S21</f>
        <v>0</v>
      </c>
      <c r="U21" s="269">
        <f t="shared" si="54"/>
        <v>0</v>
      </c>
      <c r="W21" s="16">
        <f t="shared" ref="W21:Z22" si="55">V21</f>
        <v>0</v>
      </c>
      <c r="X21" s="16">
        <f t="shared" si="55"/>
        <v>0</v>
      </c>
      <c r="Y21" s="16">
        <f t="shared" si="55"/>
        <v>0</v>
      </c>
      <c r="Z21" s="269">
        <f t="shared" si="55"/>
        <v>0</v>
      </c>
      <c r="AA21" s="16">
        <f>Z21</f>
        <v>0</v>
      </c>
      <c r="AB21" s="16">
        <f t="shared" ref="AB21:AE22" si="56">AA21</f>
        <v>0</v>
      </c>
      <c r="AC21" s="16">
        <f t="shared" si="56"/>
        <v>0</v>
      </c>
      <c r="AD21" s="16">
        <f t="shared" si="56"/>
        <v>0</v>
      </c>
      <c r="AE21" s="269">
        <f t="shared" si="56"/>
        <v>0</v>
      </c>
      <c r="AF21" s="16">
        <f>AD21</f>
        <v>0</v>
      </c>
      <c r="AG21" s="16">
        <f>AE21</f>
        <v>0</v>
      </c>
      <c r="AH21" s="16">
        <f t="shared" ref="AH21:AJ22" si="57">AG21</f>
        <v>0</v>
      </c>
      <c r="AI21" s="16">
        <f t="shared" si="57"/>
        <v>0</v>
      </c>
      <c r="AJ21" s="269">
        <f t="shared" si="57"/>
        <v>0</v>
      </c>
      <c r="AK21" s="16">
        <f>AI21</f>
        <v>0</v>
      </c>
      <c r="AL21" s="16">
        <f t="shared" ref="AL21:AO22" si="58">AK21</f>
        <v>0</v>
      </c>
      <c r="AM21" s="16">
        <f t="shared" si="58"/>
        <v>0</v>
      </c>
      <c r="AN21" s="16">
        <f t="shared" si="58"/>
        <v>0</v>
      </c>
      <c r="AO21" s="269">
        <f t="shared" si="58"/>
        <v>0</v>
      </c>
      <c r="AP21" s="65">
        <v>628.58299999999997</v>
      </c>
      <c r="AQ21" s="65">
        <v>627.49400000000003</v>
      </c>
      <c r="AR21" s="65">
        <v>626.28599999999994</v>
      </c>
      <c r="AS21" s="65">
        <v>625.077</v>
      </c>
      <c r="AT21" s="269">
        <f t="shared" ref="AT21:AT22" si="59">AS21</f>
        <v>625.077</v>
      </c>
      <c r="AU21" s="16">
        <f>AS21</f>
        <v>625.077</v>
      </c>
      <c r="AV21" s="16">
        <f t="shared" ref="AV21:AV22" si="60">AU21</f>
        <v>625.077</v>
      </c>
      <c r="AW21" s="16">
        <f t="shared" ref="AW21:AW22" si="61">AV21</f>
        <v>625.077</v>
      </c>
      <c r="AX21" s="16">
        <f t="shared" ref="AX21:AX22" si="62">AW21</f>
        <v>625.077</v>
      </c>
      <c r="AY21" s="269">
        <f t="shared" ref="AY21:AY22" si="63">AX21</f>
        <v>625.077</v>
      </c>
      <c r="AZ21" s="16">
        <f>AX21</f>
        <v>625.077</v>
      </c>
      <c r="BA21" s="16">
        <f t="shared" ref="BA21:BA22" si="64">AZ21</f>
        <v>625.077</v>
      </c>
      <c r="BB21" s="16">
        <f t="shared" ref="BB21:BB22" si="65">BA21</f>
        <v>625.077</v>
      </c>
      <c r="BC21" s="16">
        <f t="shared" ref="BC21:BC22" si="66">BB21</f>
        <v>625.077</v>
      </c>
      <c r="BD21" s="269">
        <f t="shared" ref="BD21:BD22" si="67">BC21</f>
        <v>625.077</v>
      </c>
      <c r="BE21" s="16">
        <f>BC21</f>
        <v>625.077</v>
      </c>
      <c r="BF21" s="16">
        <f t="shared" ref="BF21:BF22" si="68">BE21</f>
        <v>625.077</v>
      </c>
      <c r="BG21" s="16">
        <f t="shared" ref="BG21:BG22" si="69">BF21</f>
        <v>625.077</v>
      </c>
      <c r="BH21" s="16">
        <f t="shared" ref="BH21:BH22" si="70">BG21</f>
        <v>625.077</v>
      </c>
      <c r="BI21" s="269">
        <f t="shared" ref="BI21:BI22" si="71">BH21</f>
        <v>625.077</v>
      </c>
      <c r="BJ21" s="16">
        <f>BH21</f>
        <v>625.077</v>
      </c>
      <c r="BK21" s="16">
        <f t="shared" ref="BK21:BK22" si="72">BJ21</f>
        <v>625.077</v>
      </c>
      <c r="BL21" s="16">
        <f t="shared" ref="BL21:BL22" si="73">BK21</f>
        <v>625.077</v>
      </c>
      <c r="BM21" s="16">
        <f t="shared" ref="BM21:BM22" si="74">BL21</f>
        <v>625.077</v>
      </c>
      <c r="BN21" s="269">
        <f t="shared" ref="BN21:BN22" si="75">BM21</f>
        <v>625.077</v>
      </c>
      <c r="BO21" s="16">
        <f>BM21</f>
        <v>625.077</v>
      </c>
      <c r="BP21" s="16">
        <f t="shared" ref="BP21:BP22" si="76">BO21</f>
        <v>625.077</v>
      </c>
      <c r="BQ21" s="16">
        <f t="shared" ref="BQ21:BQ22" si="77">BP21</f>
        <v>625.077</v>
      </c>
      <c r="BR21" s="16">
        <f t="shared" ref="BR21:BR22" si="78">BQ21</f>
        <v>625.077</v>
      </c>
      <c r="BS21" s="269">
        <f t="shared" ref="BS21:BS22" si="79">BR21</f>
        <v>625.077</v>
      </c>
      <c r="BT21" s="343">
        <f>BR21-BR21</f>
        <v>0</v>
      </c>
      <c r="BU21" s="16">
        <f t="shared" ref="BU21:BU22" si="80">BT21</f>
        <v>0</v>
      </c>
      <c r="BV21" s="16">
        <f t="shared" ref="BV21:BV22" si="81">BU21</f>
        <v>0</v>
      </c>
      <c r="BW21" s="16">
        <f t="shared" ref="BW21:BW22" si="82">BV21</f>
        <v>0</v>
      </c>
      <c r="BX21" s="269">
        <f t="shared" ref="BX21:BX22" si="83">BW21</f>
        <v>0</v>
      </c>
      <c r="BY21" s="16">
        <f>BW21</f>
        <v>0</v>
      </c>
      <c r="BZ21" s="16">
        <f t="shared" ref="BZ21:BZ22" si="84">BY21</f>
        <v>0</v>
      </c>
      <c r="CA21" s="16">
        <f t="shared" ref="CA21:CA22" si="85">BZ21</f>
        <v>0</v>
      </c>
      <c r="CB21" s="16">
        <f t="shared" ref="CB21:CB22" si="86">CA21</f>
        <v>0</v>
      </c>
      <c r="CC21" s="269">
        <f t="shared" ref="CC21:CC22" si="87">CB21</f>
        <v>0</v>
      </c>
      <c r="CD21" s="16">
        <f>CB21</f>
        <v>0</v>
      </c>
      <c r="CE21" s="16">
        <f t="shared" ref="CE21:CE22" si="88">CD21</f>
        <v>0</v>
      </c>
      <c r="CF21" s="16">
        <f t="shared" ref="CF21:CF22" si="89">CE21</f>
        <v>0</v>
      </c>
      <c r="CG21" s="16">
        <f t="shared" ref="CG21:CG22" si="90">CF21</f>
        <v>0</v>
      </c>
      <c r="CH21" s="269">
        <f t="shared" ref="CH21:CH22" si="91">CG21</f>
        <v>0</v>
      </c>
      <c r="CI21" s="16">
        <f>CG21</f>
        <v>0</v>
      </c>
      <c r="CJ21" s="16">
        <f t="shared" ref="CJ21:CJ22" si="92">CI21</f>
        <v>0</v>
      </c>
      <c r="CK21" s="16">
        <f t="shared" ref="CK21:CK22" si="93">CJ21</f>
        <v>0</v>
      </c>
      <c r="CL21" s="16">
        <f t="shared" ref="CL21:CL22" si="94">CK21</f>
        <v>0</v>
      </c>
      <c r="CM21" s="269">
        <f t="shared" ref="CM21:CM22" si="95">CL21</f>
        <v>0</v>
      </c>
    </row>
    <row r="22" spans="1:91" s="16" customFormat="1" ht="12.75" customHeight="1">
      <c r="A22" s="16" t="s">
        <v>144</v>
      </c>
      <c r="B22" s="20"/>
      <c r="C22" s="20"/>
      <c r="D22" s="20"/>
      <c r="E22" s="20"/>
      <c r="F22" s="259"/>
      <c r="G22" s="20"/>
      <c r="H22" s="20"/>
      <c r="I22" s="20">
        <f t="shared" si="50"/>
        <v>0</v>
      </c>
      <c r="J22" s="20">
        <f t="shared" si="50"/>
        <v>0</v>
      </c>
      <c r="K22" s="259">
        <f t="shared" si="50"/>
        <v>0</v>
      </c>
      <c r="L22" s="20"/>
      <c r="M22" s="20"/>
      <c r="N22" s="20">
        <f t="shared" si="51"/>
        <v>0</v>
      </c>
      <c r="O22" s="20">
        <f t="shared" si="52"/>
        <v>0</v>
      </c>
      <c r="P22" s="259">
        <f t="shared" si="52"/>
        <v>0</v>
      </c>
      <c r="Q22" s="20"/>
      <c r="R22" s="20"/>
      <c r="S22" s="20">
        <f t="shared" si="53"/>
        <v>0</v>
      </c>
      <c r="T22" s="20">
        <f t="shared" si="54"/>
        <v>0</v>
      </c>
      <c r="U22" s="259">
        <f t="shared" si="54"/>
        <v>0</v>
      </c>
      <c r="V22" s="20"/>
      <c r="W22" s="20">
        <f t="shared" si="55"/>
        <v>0</v>
      </c>
      <c r="X22" s="20">
        <f t="shared" si="55"/>
        <v>0</v>
      </c>
      <c r="Y22" s="20">
        <f t="shared" si="55"/>
        <v>0</v>
      </c>
      <c r="Z22" s="259">
        <f t="shared" si="55"/>
        <v>0</v>
      </c>
      <c r="AA22" s="20">
        <f>Z22</f>
        <v>0</v>
      </c>
      <c r="AB22" s="20">
        <f t="shared" si="56"/>
        <v>0</v>
      </c>
      <c r="AC22" s="20">
        <f t="shared" si="56"/>
        <v>0</v>
      </c>
      <c r="AD22" s="20">
        <f t="shared" si="56"/>
        <v>0</v>
      </c>
      <c r="AE22" s="259">
        <f t="shared" si="56"/>
        <v>0</v>
      </c>
      <c r="AF22" s="20">
        <f>AD22</f>
        <v>0</v>
      </c>
      <c r="AG22" s="20">
        <f>AE22</f>
        <v>0</v>
      </c>
      <c r="AH22" s="20">
        <f t="shared" si="57"/>
        <v>0</v>
      </c>
      <c r="AI22" s="20">
        <f t="shared" si="57"/>
        <v>0</v>
      </c>
      <c r="AJ22" s="259">
        <f t="shared" si="57"/>
        <v>0</v>
      </c>
      <c r="AK22" s="20">
        <f>AI22</f>
        <v>0</v>
      </c>
      <c r="AL22" s="20">
        <f t="shared" si="58"/>
        <v>0</v>
      </c>
      <c r="AM22" s="20">
        <f t="shared" si="58"/>
        <v>0</v>
      </c>
      <c r="AN22" s="20">
        <f t="shared" si="58"/>
        <v>0</v>
      </c>
      <c r="AO22" s="259">
        <f t="shared" si="58"/>
        <v>0</v>
      </c>
      <c r="AP22" s="20">
        <v>1.2500000000000001E-2</v>
      </c>
      <c r="AQ22" s="332">
        <v>4.0000000000000001E-3</v>
      </c>
      <c r="AR22" s="332">
        <v>4.0000000000000001E-3</v>
      </c>
      <c r="AS22" s="332">
        <v>4.0000000000000001E-3</v>
      </c>
      <c r="AT22" s="259">
        <f t="shared" si="59"/>
        <v>4.0000000000000001E-3</v>
      </c>
      <c r="AU22" s="19">
        <f>AS22</f>
        <v>4.0000000000000001E-3</v>
      </c>
      <c r="AV22" s="19">
        <f t="shared" si="60"/>
        <v>4.0000000000000001E-3</v>
      </c>
      <c r="AW22" s="19">
        <f t="shared" si="61"/>
        <v>4.0000000000000001E-3</v>
      </c>
      <c r="AX22" s="19">
        <f t="shared" si="62"/>
        <v>4.0000000000000001E-3</v>
      </c>
      <c r="AY22" s="259">
        <f t="shared" si="63"/>
        <v>4.0000000000000001E-3</v>
      </c>
      <c r="AZ22" s="19">
        <f>AX22</f>
        <v>4.0000000000000001E-3</v>
      </c>
      <c r="BA22" s="19">
        <f t="shared" si="64"/>
        <v>4.0000000000000001E-3</v>
      </c>
      <c r="BB22" s="19">
        <f t="shared" si="65"/>
        <v>4.0000000000000001E-3</v>
      </c>
      <c r="BC22" s="19">
        <f t="shared" si="66"/>
        <v>4.0000000000000001E-3</v>
      </c>
      <c r="BD22" s="259">
        <f t="shared" si="67"/>
        <v>4.0000000000000001E-3</v>
      </c>
      <c r="BE22" s="19">
        <f>BC22</f>
        <v>4.0000000000000001E-3</v>
      </c>
      <c r="BF22" s="19">
        <f t="shared" si="68"/>
        <v>4.0000000000000001E-3</v>
      </c>
      <c r="BG22" s="19">
        <f t="shared" si="69"/>
        <v>4.0000000000000001E-3</v>
      </c>
      <c r="BH22" s="19">
        <f t="shared" si="70"/>
        <v>4.0000000000000001E-3</v>
      </c>
      <c r="BI22" s="259">
        <f t="shared" si="71"/>
        <v>4.0000000000000001E-3</v>
      </c>
      <c r="BJ22" s="19">
        <f>BH22</f>
        <v>4.0000000000000001E-3</v>
      </c>
      <c r="BK22" s="19">
        <f t="shared" si="72"/>
        <v>4.0000000000000001E-3</v>
      </c>
      <c r="BL22" s="19">
        <f t="shared" si="73"/>
        <v>4.0000000000000001E-3</v>
      </c>
      <c r="BM22" s="19">
        <f t="shared" si="74"/>
        <v>4.0000000000000001E-3</v>
      </c>
      <c r="BN22" s="259">
        <f t="shared" si="75"/>
        <v>4.0000000000000001E-3</v>
      </c>
      <c r="BO22" s="19">
        <f>BM22</f>
        <v>4.0000000000000001E-3</v>
      </c>
      <c r="BP22" s="19">
        <f t="shared" si="76"/>
        <v>4.0000000000000001E-3</v>
      </c>
      <c r="BQ22" s="19">
        <f t="shared" si="77"/>
        <v>4.0000000000000001E-3</v>
      </c>
      <c r="BR22" s="19">
        <f t="shared" si="78"/>
        <v>4.0000000000000001E-3</v>
      </c>
      <c r="BS22" s="259">
        <f t="shared" si="79"/>
        <v>4.0000000000000001E-3</v>
      </c>
      <c r="BT22" s="20">
        <f>BR22</f>
        <v>4.0000000000000001E-3</v>
      </c>
      <c r="BU22" s="19">
        <f t="shared" si="80"/>
        <v>4.0000000000000001E-3</v>
      </c>
      <c r="BV22" s="19">
        <f t="shared" si="81"/>
        <v>4.0000000000000001E-3</v>
      </c>
      <c r="BW22" s="19">
        <f t="shared" si="82"/>
        <v>4.0000000000000001E-3</v>
      </c>
      <c r="BX22" s="259">
        <f t="shared" si="83"/>
        <v>4.0000000000000001E-3</v>
      </c>
      <c r="BY22" s="19">
        <f>BW22</f>
        <v>4.0000000000000001E-3</v>
      </c>
      <c r="BZ22" s="19">
        <f t="shared" si="84"/>
        <v>4.0000000000000001E-3</v>
      </c>
      <c r="CA22" s="19">
        <f t="shared" si="85"/>
        <v>4.0000000000000001E-3</v>
      </c>
      <c r="CB22" s="19">
        <f t="shared" si="86"/>
        <v>4.0000000000000001E-3</v>
      </c>
      <c r="CC22" s="259">
        <f t="shared" si="87"/>
        <v>4.0000000000000001E-3</v>
      </c>
      <c r="CD22" s="19">
        <f>CB22</f>
        <v>4.0000000000000001E-3</v>
      </c>
      <c r="CE22" s="19">
        <f t="shared" si="88"/>
        <v>4.0000000000000001E-3</v>
      </c>
      <c r="CF22" s="19">
        <f t="shared" si="89"/>
        <v>4.0000000000000001E-3</v>
      </c>
      <c r="CG22" s="19">
        <f t="shared" si="90"/>
        <v>4.0000000000000001E-3</v>
      </c>
      <c r="CH22" s="259">
        <f t="shared" si="91"/>
        <v>4.0000000000000001E-3</v>
      </c>
      <c r="CI22" s="19">
        <f>CG22</f>
        <v>4.0000000000000001E-3</v>
      </c>
      <c r="CJ22" s="19">
        <f t="shared" si="92"/>
        <v>4.0000000000000001E-3</v>
      </c>
      <c r="CK22" s="19">
        <f t="shared" si="93"/>
        <v>4.0000000000000001E-3</v>
      </c>
      <c r="CL22" s="19">
        <f t="shared" si="94"/>
        <v>4.0000000000000001E-3</v>
      </c>
      <c r="CM22" s="259">
        <f t="shared" si="95"/>
        <v>4.0000000000000001E-3</v>
      </c>
    </row>
    <row r="23" spans="1:91" s="16" customFormat="1" ht="12.75" customHeight="1">
      <c r="A23" s="16" t="s">
        <v>6</v>
      </c>
      <c r="F23" s="269"/>
      <c r="I23" s="16">
        <f>H21*I22/4</f>
        <v>0</v>
      </c>
      <c r="J23" s="16">
        <f>I21*J22/4</f>
        <v>0</v>
      </c>
      <c r="K23" s="269">
        <f>SUM(G23:J23)</f>
        <v>0</v>
      </c>
      <c r="N23" s="16">
        <f>M21*N22/4</f>
        <v>0</v>
      </c>
      <c r="O23" s="16">
        <f>N21*O22/4</f>
        <v>0</v>
      </c>
      <c r="P23" s="269">
        <f>SUM(L23:O23)</f>
        <v>0</v>
      </c>
      <c r="S23" s="16">
        <f>R21*S22/4</f>
        <v>0</v>
      </c>
      <c r="T23" s="16">
        <f>S21*T22/4</f>
        <v>0</v>
      </c>
      <c r="U23" s="269">
        <f>SUM(Q23:T23)</f>
        <v>0</v>
      </c>
      <c r="W23" s="16">
        <f>V21*W22/4</f>
        <v>0</v>
      </c>
      <c r="X23" s="16">
        <f>W21*X22/4</f>
        <v>0</v>
      </c>
      <c r="Y23" s="16">
        <f>X21*Y22/4</f>
        <v>0</v>
      </c>
      <c r="Z23" s="269">
        <f>SUM(V23:Y23)</f>
        <v>0</v>
      </c>
      <c r="AA23" s="16">
        <f>Z21*AA22/4</f>
        <v>0</v>
      </c>
      <c r="AB23" s="16">
        <f>AA21*AB22/4</f>
        <v>0</v>
      </c>
      <c r="AC23" s="16">
        <f>AB21*AC22/4</f>
        <v>0</v>
      </c>
      <c r="AD23" s="16">
        <f>AC21*AD22/4</f>
        <v>0</v>
      </c>
      <c r="AE23" s="269">
        <f>SUM(AA23:AD23)</f>
        <v>0</v>
      </c>
      <c r="AF23" s="16">
        <f>AD21*AF22/4</f>
        <v>0</v>
      </c>
      <c r="AG23" s="16">
        <f>AE21*AG22/4</f>
        <v>0</v>
      </c>
      <c r="AH23" s="16">
        <f>AG21*AH22/4</f>
        <v>0</v>
      </c>
      <c r="AI23" s="16">
        <f>AH21*AI22/4</f>
        <v>0</v>
      </c>
      <c r="AJ23" s="269">
        <f>SUM(AF23:AI23)</f>
        <v>0</v>
      </c>
      <c r="AK23" s="16">
        <f>AI21*AK22/4</f>
        <v>0</v>
      </c>
      <c r="AL23" s="16">
        <f>AK21*AL22/4</f>
        <v>0</v>
      </c>
      <c r="AM23" s="16">
        <f>AL21*AM22/4</f>
        <v>0</v>
      </c>
      <c r="AN23" s="16">
        <f>AM21*AN22/4</f>
        <v>0</v>
      </c>
      <c r="AO23" s="269">
        <f>SUM(AK23:AN23)</f>
        <v>0</v>
      </c>
      <c r="AP23" s="16">
        <f>AN21*AP22/4</f>
        <v>0</v>
      </c>
      <c r="AQ23" s="16">
        <f>AP21*AQ22/4</f>
        <v>0.628583</v>
      </c>
      <c r="AR23" s="16">
        <f>AQ21*AR22/4</f>
        <v>0.627494</v>
      </c>
      <c r="AS23" s="16">
        <f>AR21*AS22/4</f>
        <v>0.62628600000000001</v>
      </c>
      <c r="AT23" s="269">
        <f>SUM(AP23:AS23)</f>
        <v>1.8823629999999998</v>
      </c>
      <c r="AU23" s="16">
        <f>AS21*AU22/4</f>
        <v>0.62507699999999999</v>
      </c>
      <c r="AV23" s="16">
        <f>AU21*AV22/4</f>
        <v>0.62507699999999999</v>
      </c>
      <c r="AW23" s="16">
        <f>AV21*AW22/4</f>
        <v>0.62507699999999999</v>
      </c>
      <c r="AX23" s="16">
        <f>AW21*AX22/4</f>
        <v>0.62507699999999999</v>
      </c>
      <c r="AY23" s="269">
        <f>SUM(AU23:AX23)</f>
        <v>2.500308</v>
      </c>
      <c r="AZ23" s="16">
        <f>AX21*AZ22/4</f>
        <v>0.62507699999999999</v>
      </c>
      <c r="BA23" s="16">
        <f>AZ21*BA22/4</f>
        <v>0.62507699999999999</v>
      </c>
      <c r="BB23" s="16">
        <f>BA21*BB22/4</f>
        <v>0.62507699999999999</v>
      </c>
      <c r="BC23" s="16">
        <f>BB21*BC22/4</f>
        <v>0.62507699999999999</v>
      </c>
      <c r="BD23" s="269">
        <f>SUM(AZ23:BC23)</f>
        <v>2.500308</v>
      </c>
      <c r="BE23" s="16">
        <f>BC21*BE22/4</f>
        <v>0.62507699999999999</v>
      </c>
      <c r="BF23" s="16">
        <f>BE21*BF22/4</f>
        <v>0.62507699999999999</v>
      </c>
      <c r="BG23" s="16">
        <f>BF21*BG22/4</f>
        <v>0.62507699999999999</v>
      </c>
      <c r="BH23" s="16">
        <f>BG21*BH22/4</f>
        <v>0.62507699999999999</v>
      </c>
      <c r="BI23" s="269">
        <f>SUM(BE23:BH23)</f>
        <v>2.500308</v>
      </c>
      <c r="BJ23" s="16">
        <f>BH21*BJ22/4</f>
        <v>0.62507699999999999</v>
      </c>
      <c r="BK23" s="16">
        <f>BJ21*BK22/4</f>
        <v>0.62507699999999999</v>
      </c>
      <c r="BL23" s="16">
        <f>BK21*BL22/4</f>
        <v>0.62507699999999999</v>
      </c>
      <c r="BM23" s="16">
        <f>BL21*BM22/4</f>
        <v>0.62507699999999999</v>
      </c>
      <c r="BN23" s="269">
        <f>SUM(BJ23:BM23)</f>
        <v>2.500308</v>
      </c>
      <c r="BO23" s="16">
        <f>BM21*BO22/4</f>
        <v>0.62507699999999999</v>
      </c>
      <c r="BP23" s="16">
        <f>BO21*BP22/4</f>
        <v>0.62507699999999999</v>
      </c>
      <c r="BQ23" s="16">
        <f>BP21*BQ22/4</f>
        <v>0.62507699999999999</v>
      </c>
      <c r="BR23" s="16">
        <f>BQ21*BR22/4</f>
        <v>0.62507699999999999</v>
      </c>
      <c r="BS23" s="269">
        <f>SUM(BO23:BR23)</f>
        <v>2.500308</v>
      </c>
      <c r="BT23" s="16">
        <f>BR21*BT22/4</f>
        <v>0.62507699999999999</v>
      </c>
      <c r="BU23" s="16">
        <f>BT21*BU22/4</f>
        <v>0</v>
      </c>
      <c r="BV23" s="16">
        <f>BU21*BV22/4</f>
        <v>0</v>
      </c>
      <c r="BW23" s="16">
        <f>BV21*BW22/4</f>
        <v>0</v>
      </c>
      <c r="BX23" s="269">
        <f>SUM(BT23:BW23)</f>
        <v>0.62507699999999999</v>
      </c>
      <c r="BY23" s="16">
        <f>BW21*BY22/4</f>
        <v>0</v>
      </c>
      <c r="BZ23" s="16">
        <f>BY21*BZ22/4</f>
        <v>0</v>
      </c>
      <c r="CA23" s="16">
        <f>BZ21*CA22/4</f>
        <v>0</v>
      </c>
      <c r="CB23" s="16">
        <f>CA21*CB22/4</f>
        <v>0</v>
      </c>
      <c r="CC23" s="269">
        <f>SUM(BY23:CB23)</f>
        <v>0</v>
      </c>
      <c r="CD23" s="16">
        <f>CB21*CD22/4</f>
        <v>0</v>
      </c>
      <c r="CE23" s="16">
        <f>CD21*CE22/4</f>
        <v>0</v>
      </c>
      <c r="CF23" s="16">
        <f>CE21*CF22/4</f>
        <v>0</v>
      </c>
      <c r="CG23" s="16">
        <f>CF21*CG22/4</f>
        <v>0</v>
      </c>
      <c r="CH23" s="269">
        <f>SUM(CD23:CG23)</f>
        <v>0</v>
      </c>
      <c r="CI23" s="16">
        <f>CG21*CI22/4</f>
        <v>0</v>
      </c>
      <c r="CJ23" s="16">
        <f>CI21*CJ22/4</f>
        <v>0</v>
      </c>
      <c r="CK23" s="16">
        <f>CJ21*CK22/4</f>
        <v>0</v>
      </c>
      <c r="CL23" s="16">
        <f>CK21*CL22/4</f>
        <v>0</v>
      </c>
      <c r="CM23" s="269">
        <f>SUM(CI23:CL23)</f>
        <v>0</v>
      </c>
    </row>
    <row r="24" spans="1:91" s="16" customFormat="1" ht="12.75" customHeight="1">
      <c r="F24" s="269"/>
      <c r="K24" s="269"/>
      <c r="P24" s="269"/>
      <c r="U24" s="269"/>
      <c r="Z24" s="269"/>
      <c r="AE24" s="269"/>
      <c r="AJ24" s="269"/>
      <c r="AO24" s="269"/>
      <c r="AT24" s="269"/>
      <c r="AY24" s="269"/>
      <c r="BD24" s="269"/>
      <c r="BI24" s="269"/>
      <c r="BN24" s="269"/>
      <c r="BS24" s="269"/>
      <c r="BX24" s="269"/>
      <c r="CC24" s="269"/>
      <c r="CH24" s="269"/>
      <c r="CM24" s="269"/>
    </row>
    <row r="25" spans="1:91" s="16" customFormat="1" ht="12.75" customHeight="1">
      <c r="A25" s="16" t="s">
        <v>444</v>
      </c>
      <c r="F25" s="269"/>
      <c r="K25" s="269"/>
      <c r="P25" s="269"/>
      <c r="U25" s="269"/>
      <c r="Z25" s="269"/>
      <c r="AE25" s="269"/>
      <c r="AJ25" s="269"/>
      <c r="AO25" s="269"/>
      <c r="AS25" s="65">
        <v>390.339</v>
      </c>
      <c r="AT25" s="269">
        <f t="shared" ref="AT25:AT26" si="96">AS25</f>
        <v>390.339</v>
      </c>
      <c r="AU25" s="16">
        <f>AS25</f>
        <v>390.339</v>
      </c>
      <c r="AV25" s="16">
        <f t="shared" ref="AV25:AV26" si="97">AU25</f>
        <v>390.339</v>
      </c>
      <c r="AW25" s="16">
        <f t="shared" ref="AW25:AW26" si="98">AV25</f>
        <v>390.339</v>
      </c>
      <c r="AX25" s="16">
        <f t="shared" ref="AX25:AX26" si="99">AW25</f>
        <v>390.339</v>
      </c>
      <c r="AY25" s="269">
        <f t="shared" ref="AY25:AY26" si="100">AX25</f>
        <v>390.339</v>
      </c>
      <c r="AZ25" s="16">
        <f>AX25</f>
        <v>390.339</v>
      </c>
      <c r="BA25" s="16">
        <f t="shared" ref="BA25:BA26" si="101">AZ25</f>
        <v>390.339</v>
      </c>
      <c r="BB25" s="16">
        <f t="shared" ref="BB25:BB26" si="102">BA25</f>
        <v>390.339</v>
      </c>
      <c r="BC25" s="16">
        <f t="shared" ref="BC25:BC26" si="103">BB25</f>
        <v>390.339</v>
      </c>
      <c r="BD25" s="269">
        <f t="shared" ref="BD25:BD26" si="104">BC25</f>
        <v>390.339</v>
      </c>
      <c r="BE25" s="16">
        <f>BC25</f>
        <v>390.339</v>
      </c>
      <c r="BF25" s="16">
        <f t="shared" ref="BF25:BF26" si="105">BE25</f>
        <v>390.339</v>
      </c>
      <c r="BG25" s="16">
        <f t="shared" ref="BG25:BG26" si="106">BF25</f>
        <v>390.339</v>
      </c>
      <c r="BH25" s="16">
        <f t="shared" ref="BH25:BH26" si="107">BG25</f>
        <v>390.339</v>
      </c>
      <c r="BI25" s="269">
        <f t="shared" ref="BI25:BI26" si="108">BH25</f>
        <v>390.339</v>
      </c>
      <c r="BJ25" s="16">
        <f>BH25</f>
        <v>390.339</v>
      </c>
      <c r="BK25" s="16">
        <f t="shared" ref="BK25:BK26" si="109">BJ25</f>
        <v>390.339</v>
      </c>
      <c r="BL25" s="16">
        <f t="shared" ref="BL25:BL26" si="110">BK25</f>
        <v>390.339</v>
      </c>
      <c r="BM25" s="16">
        <f t="shared" ref="BM25:BM26" si="111">BL25</f>
        <v>390.339</v>
      </c>
      <c r="BN25" s="269">
        <f t="shared" ref="BN25:BN26" si="112">BM25</f>
        <v>390.339</v>
      </c>
      <c r="BO25" s="16">
        <f>BM25</f>
        <v>390.339</v>
      </c>
      <c r="BP25" s="16">
        <f t="shared" ref="BP25:BP26" si="113">BO25</f>
        <v>390.339</v>
      </c>
      <c r="BQ25" s="16">
        <f t="shared" ref="BQ25:BQ26" si="114">BP25</f>
        <v>390.339</v>
      </c>
      <c r="BR25" s="16">
        <f t="shared" ref="BR25:BR26" si="115">BQ25</f>
        <v>390.339</v>
      </c>
      <c r="BS25" s="269">
        <f t="shared" ref="BS25:BS26" si="116">BR25</f>
        <v>390.339</v>
      </c>
      <c r="BT25" s="16">
        <f>BR25</f>
        <v>390.339</v>
      </c>
      <c r="BU25" s="16">
        <f t="shared" ref="BU25:BU26" si="117">BT25</f>
        <v>390.339</v>
      </c>
      <c r="BV25" s="16">
        <f t="shared" ref="BV25:BV26" si="118">BU25</f>
        <v>390.339</v>
      </c>
      <c r="BW25" s="16">
        <f t="shared" ref="BW25:BW26" si="119">BV25</f>
        <v>390.339</v>
      </c>
      <c r="BX25" s="269">
        <f t="shared" ref="BX25:BX26" si="120">BW25</f>
        <v>390.339</v>
      </c>
      <c r="BY25" s="16">
        <f>BW25</f>
        <v>390.339</v>
      </c>
      <c r="BZ25" s="16">
        <f t="shared" ref="BZ25:BZ26" si="121">BY25</f>
        <v>390.339</v>
      </c>
      <c r="CA25" s="16">
        <f t="shared" ref="CA25:CA26" si="122">BZ25</f>
        <v>390.339</v>
      </c>
      <c r="CB25" s="16">
        <f t="shared" ref="CB25:CB26" si="123">CA25</f>
        <v>390.339</v>
      </c>
      <c r="CC25" s="269">
        <f t="shared" ref="CC25:CC26" si="124">CB25</f>
        <v>390.339</v>
      </c>
      <c r="CD25" s="16">
        <f>CB25</f>
        <v>390.339</v>
      </c>
      <c r="CE25" s="343">
        <v>0</v>
      </c>
      <c r="CF25" s="16">
        <f t="shared" ref="CF25:CF26" si="125">CE25</f>
        <v>0</v>
      </c>
      <c r="CG25" s="16">
        <f t="shared" ref="CG25:CG26" si="126">CF25</f>
        <v>0</v>
      </c>
      <c r="CH25" s="269">
        <f t="shared" ref="CH25:CH26" si="127">CG25</f>
        <v>0</v>
      </c>
      <c r="CI25" s="16">
        <f>CG25</f>
        <v>0</v>
      </c>
      <c r="CJ25" s="16">
        <f t="shared" ref="CJ25:CJ26" si="128">CI25</f>
        <v>0</v>
      </c>
      <c r="CK25" s="16">
        <f t="shared" ref="CK25:CK26" si="129">CJ25</f>
        <v>0</v>
      </c>
      <c r="CL25" s="16">
        <f t="shared" ref="CL25:CL26" si="130">CK25</f>
        <v>0</v>
      </c>
      <c r="CM25" s="269">
        <f t="shared" ref="CM25:CM26" si="131">CL25</f>
        <v>0</v>
      </c>
    </row>
    <row r="26" spans="1:91" s="16" customFormat="1" ht="12.75" customHeight="1">
      <c r="A26" s="16" t="s">
        <v>144</v>
      </c>
      <c r="F26" s="269"/>
      <c r="K26" s="269"/>
      <c r="P26" s="269"/>
      <c r="U26" s="269"/>
      <c r="Z26" s="269"/>
      <c r="AE26" s="269"/>
      <c r="AJ26" s="269"/>
      <c r="AO26" s="269"/>
      <c r="AS26" s="332">
        <v>0</v>
      </c>
      <c r="AT26" s="259">
        <f t="shared" si="96"/>
        <v>0</v>
      </c>
      <c r="AU26" s="19">
        <f>AS26</f>
        <v>0</v>
      </c>
      <c r="AV26" s="19">
        <f t="shared" si="97"/>
        <v>0</v>
      </c>
      <c r="AW26" s="19">
        <f t="shared" si="98"/>
        <v>0</v>
      </c>
      <c r="AX26" s="19">
        <f t="shared" si="99"/>
        <v>0</v>
      </c>
      <c r="AY26" s="259">
        <f t="shared" si="100"/>
        <v>0</v>
      </c>
      <c r="AZ26" s="19">
        <f>AX26</f>
        <v>0</v>
      </c>
      <c r="BA26" s="19">
        <f t="shared" si="101"/>
        <v>0</v>
      </c>
      <c r="BB26" s="19">
        <f t="shared" si="102"/>
        <v>0</v>
      </c>
      <c r="BC26" s="19">
        <f t="shared" si="103"/>
        <v>0</v>
      </c>
      <c r="BD26" s="259">
        <f t="shared" si="104"/>
        <v>0</v>
      </c>
      <c r="BE26" s="19">
        <f>BC26</f>
        <v>0</v>
      </c>
      <c r="BF26" s="19">
        <f t="shared" si="105"/>
        <v>0</v>
      </c>
      <c r="BG26" s="19">
        <f t="shared" si="106"/>
        <v>0</v>
      </c>
      <c r="BH26" s="19">
        <f t="shared" si="107"/>
        <v>0</v>
      </c>
      <c r="BI26" s="259">
        <f t="shared" si="108"/>
        <v>0</v>
      </c>
      <c r="BJ26" s="19">
        <f>BH26</f>
        <v>0</v>
      </c>
      <c r="BK26" s="19">
        <f t="shared" si="109"/>
        <v>0</v>
      </c>
      <c r="BL26" s="19">
        <f t="shared" si="110"/>
        <v>0</v>
      </c>
      <c r="BM26" s="19">
        <f t="shared" si="111"/>
        <v>0</v>
      </c>
      <c r="BN26" s="259">
        <f t="shared" si="112"/>
        <v>0</v>
      </c>
      <c r="BO26" s="19">
        <f>BM26</f>
        <v>0</v>
      </c>
      <c r="BP26" s="19">
        <f t="shared" si="113"/>
        <v>0</v>
      </c>
      <c r="BQ26" s="19">
        <f t="shared" si="114"/>
        <v>0</v>
      </c>
      <c r="BR26" s="19">
        <f t="shared" si="115"/>
        <v>0</v>
      </c>
      <c r="BS26" s="259">
        <f t="shared" si="116"/>
        <v>0</v>
      </c>
      <c r="BT26" s="20">
        <f>BR26</f>
        <v>0</v>
      </c>
      <c r="BU26" s="19">
        <f t="shared" si="117"/>
        <v>0</v>
      </c>
      <c r="BV26" s="19">
        <f t="shared" si="118"/>
        <v>0</v>
      </c>
      <c r="BW26" s="19">
        <f t="shared" si="119"/>
        <v>0</v>
      </c>
      <c r="BX26" s="259">
        <f t="shared" si="120"/>
        <v>0</v>
      </c>
      <c r="BY26" s="19">
        <f>BW26</f>
        <v>0</v>
      </c>
      <c r="BZ26" s="19">
        <f t="shared" si="121"/>
        <v>0</v>
      </c>
      <c r="CA26" s="19">
        <f t="shared" si="122"/>
        <v>0</v>
      </c>
      <c r="CB26" s="19">
        <f t="shared" si="123"/>
        <v>0</v>
      </c>
      <c r="CC26" s="259">
        <f t="shared" si="124"/>
        <v>0</v>
      </c>
      <c r="CD26" s="19">
        <f>CB26</f>
        <v>0</v>
      </c>
      <c r="CE26" s="19">
        <f t="shared" ref="CE26" si="132">CD26</f>
        <v>0</v>
      </c>
      <c r="CF26" s="19">
        <f t="shared" si="125"/>
        <v>0</v>
      </c>
      <c r="CG26" s="19">
        <f t="shared" si="126"/>
        <v>0</v>
      </c>
      <c r="CH26" s="259">
        <f t="shared" si="127"/>
        <v>0</v>
      </c>
      <c r="CI26" s="19">
        <f>CG26</f>
        <v>0</v>
      </c>
      <c r="CJ26" s="19">
        <f t="shared" si="128"/>
        <v>0</v>
      </c>
      <c r="CK26" s="19">
        <f t="shared" si="129"/>
        <v>0</v>
      </c>
      <c r="CL26" s="19">
        <f t="shared" si="130"/>
        <v>0</v>
      </c>
      <c r="CM26" s="259">
        <f t="shared" si="131"/>
        <v>0</v>
      </c>
    </row>
    <row r="27" spans="1:91" s="16" customFormat="1" ht="12.75" customHeight="1">
      <c r="A27" s="16" t="s">
        <v>6</v>
      </c>
      <c r="F27" s="269"/>
      <c r="K27" s="269"/>
      <c r="P27" s="269"/>
      <c r="U27" s="269"/>
      <c r="Z27" s="269"/>
      <c r="AE27" s="269"/>
      <c r="AJ27" s="269"/>
      <c r="AO27" s="269"/>
      <c r="AS27" s="16">
        <f>AR25*AS26/4</f>
        <v>0</v>
      </c>
      <c r="AT27" s="269">
        <f>SUM(AP27:AS27)</f>
        <v>0</v>
      </c>
      <c r="AU27" s="16">
        <f>AS25*AU26/4</f>
        <v>0</v>
      </c>
      <c r="AV27" s="16">
        <f>AU25*AV26/4</f>
        <v>0</v>
      </c>
      <c r="AW27" s="16">
        <f>AV25*AW26/4</f>
        <v>0</v>
      </c>
      <c r="AX27" s="16">
        <f>AW25*AX26/4</f>
        <v>0</v>
      </c>
      <c r="AY27" s="269">
        <f>SUM(AU27:AX27)</f>
        <v>0</v>
      </c>
      <c r="AZ27" s="16">
        <f>AX25*AZ26/4</f>
        <v>0</v>
      </c>
      <c r="BA27" s="16">
        <f>AZ25*BA26/4</f>
        <v>0</v>
      </c>
      <c r="BB27" s="16">
        <f>BA25*BB26/4</f>
        <v>0</v>
      </c>
      <c r="BC27" s="16">
        <f>BB25*BC26/4</f>
        <v>0</v>
      </c>
      <c r="BD27" s="269">
        <f>SUM(AZ27:BC27)</f>
        <v>0</v>
      </c>
      <c r="BE27" s="16">
        <f>BC25*BE26/4</f>
        <v>0</v>
      </c>
      <c r="BF27" s="16">
        <f>BE25*BF26/4</f>
        <v>0</v>
      </c>
      <c r="BG27" s="16">
        <f>BF25*BG26/4</f>
        <v>0</v>
      </c>
      <c r="BH27" s="16">
        <f>BG25*BH26/4</f>
        <v>0</v>
      </c>
      <c r="BI27" s="269">
        <f>SUM(BE27:BH27)</f>
        <v>0</v>
      </c>
      <c r="BJ27" s="16">
        <f>BH25*BJ26/4</f>
        <v>0</v>
      </c>
      <c r="BK27" s="16">
        <f>BJ25*BK26/4</f>
        <v>0</v>
      </c>
      <c r="BL27" s="16">
        <f>BK25*BL26/4</f>
        <v>0</v>
      </c>
      <c r="BM27" s="16">
        <f>BL25*BM26/4</f>
        <v>0</v>
      </c>
      <c r="BN27" s="269">
        <f>SUM(BJ27:BM27)</f>
        <v>0</v>
      </c>
      <c r="BO27" s="16">
        <f>BM25*BO26/4</f>
        <v>0</v>
      </c>
      <c r="BP27" s="16">
        <f>BO25*BP26/4</f>
        <v>0</v>
      </c>
      <c r="BQ27" s="16">
        <f>BP25*BQ26/4</f>
        <v>0</v>
      </c>
      <c r="BR27" s="16">
        <f>BQ25*BR26/4</f>
        <v>0</v>
      </c>
      <c r="BS27" s="269">
        <f>SUM(BO27:BR27)</f>
        <v>0</v>
      </c>
      <c r="BT27" s="16">
        <f>BR25*BT26/4</f>
        <v>0</v>
      </c>
      <c r="BU27" s="16">
        <f>BT25*BU26/4</f>
        <v>0</v>
      </c>
      <c r="BV27" s="16">
        <f>BU25*BV26/4</f>
        <v>0</v>
      </c>
      <c r="BW27" s="16">
        <f>BV25*BW26/4</f>
        <v>0</v>
      </c>
      <c r="BX27" s="269">
        <f>SUM(BT27:BW27)</f>
        <v>0</v>
      </c>
      <c r="BY27" s="16">
        <f>BW25*BY26/4</f>
        <v>0</v>
      </c>
      <c r="BZ27" s="16">
        <f>BY25*BZ26/4</f>
        <v>0</v>
      </c>
      <c r="CA27" s="16">
        <f>BZ25*CA26/4</f>
        <v>0</v>
      </c>
      <c r="CB27" s="16">
        <f>CA25*CB26/4</f>
        <v>0</v>
      </c>
      <c r="CC27" s="269">
        <f>SUM(BY27:CB27)</f>
        <v>0</v>
      </c>
      <c r="CD27" s="16">
        <f>CB25*CD26/4</f>
        <v>0</v>
      </c>
      <c r="CE27" s="16">
        <f>CD25*CE26/4</f>
        <v>0</v>
      </c>
      <c r="CF27" s="16">
        <f>CE25*CF26/4</f>
        <v>0</v>
      </c>
      <c r="CG27" s="16">
        <f>CF25*CG26/4</f>
        <v>0</v>
      </c>
      <c r="CH27" s="269">
        <f>SUM(CD27:CG27)</f>
        <v>0</v>
      </c>
      <c r="CI27" s="16">
        <f>CG25*CI26/4</f>
        <v>0</v>
      </c>
      <c r="CJ27" s="16">
        <f>CI25*CJ26/4</f>
        <v>0</v>
      </c>
      <c r="CK27" s="16">
        <f>CJ25*CK26/4</f>
        <v>0</v>
      </c>
      <c r="CL27" s="16">
        <f>CK25*CL26/4</f>
        <v>0</v>
      </c>
      <c r="CM27" s="269">
        <f>SUM(CI27:CL27)</f>
        <v>0</v>
      </c>
    </row>
    <row r="28" spans="1:91" s="16" customFormat="1" ht="12.75" customHeight="1">
      <c r="F28" s="269"/>
      <c r="K28" s="269"/>
      <c r="P28" s="269"/>
      <c r="U28" s="269"/>
      <c r="Z28" s="269"/>
      <c r="AE28" s="269"/>
      <c r="AJ28" s="269"/>
      <c r="AO28" s="269"/>
      <c r="AT28" s="269"/>
      <c r="AY28" s="269"/>
      <c r="BD28" s="269"/>
      <c r="BI28" s="269"/>
      <c r="BN28" s="269"/>
      <c r="BS28" s="269"/>
      <c r="BX28" s="269"/>
      <c r="CC28" s="269"/>
      <c r="CH28" s="269"/>
      <c r="CM28" s="269"/>
    </row>
    <row r="29" spans="1:91" s="16" customFormat="1" ht="12.75" customHeight="1">
      <c r="A29" s="16" t="s">
        <v>437</v>
      </c>
      <c r="F29" s="269"/>
      <c r="K29" s="269"/>
      <c r="P29" s="269"/>
      <c r="U29" s="269"/>
      <c r="Z29" s="269"/>
      <c r="AE29" s="269"/>
      <c r="AJ29" s="269"/>
      <c r="AO29" s="269"/>
      <c r="AT29" s="269"/>
      <c r="AY29" s="269"/>
      <c r="BB29" s="65">
        <v>0</v>
      </c>
      <c r="BC29" s="16">
        <f>BB29</f>
        <v>0</v>
      </c>
      <c r="BD29" s="269">
        <f t="shared" ref="BD29:BD30" si="133">BC29</f>
        <v>0</v>
      </c>
      <c r="BE29" s="16">
        <f>BC29</f>
        <v>0</v>
      </c>
      <c r="BF29" s="16">
        <f t="shared" ref="BF29:BF30" si="134">BE29</f>
        <v>0</v>
      </c>
      <c r="BG29" s="16">
        <f t="shared" ref="BG29:BG30" si="135">BF29</f>
        <v>0</v>
      </c>
      <c r="BH29" s="16">
        <f t="shared" ref="BH29:BH30" si="136">BG29</f>
        <v>0</v>
      </c>
      <c r="BI29" s="269">
        <f t="shared" ref="BI29:BI30" si="137">BH29</f>
        <v>0</v>
      </c>
      <c r="BJ29" s="16">
        <f>BH29</f>
        <v>0</v>
      </c>
      <c r="BK29" s="16">
        <f t="shared" ref="BK29:BK30" si="138">BJ29</f>
        <v>0</v>
      </c>
      <c r="BL29" s="16">
        <f t="shared" ref="BL29:BL30" si="139">BK29</f>
        <v>0</v>
      </c>
      <c r="BM29" s="16">
        <f t="shared" ref="BM29:BM30" si="140">BL29</f>
        <v>0</v>
      </c>
      <c r="BN29" s="269">
        <f t="shared" ref="BN29:BN30" si="141">BM29</f>
        <v>0</v>
      </c>
      <c r="BO29" s="16">
        <f>BM29</f>
        <v>0</v>
      </c>
      <c r="BP29" s="16">
        <f t="shared" ref="BP29:BP30" si="142">BO29</f>
        <v>0</v>
      </c>
      <c r="BQ29" s="16">
        <f t="shared" ref="BQ29:BQ30" si="143">BP29</f>
        <v>0</v>
      </c>
      <c r="BR29" s="16">
        <f t="shared" ref="BR29:BR30" si="144">BQ29</f>
        <v>0</v>
      </c>
      <c r="BS29" s="269">
        <f t="shared" ref="BS29:BS30" si="145">BR29</f>
        <v>0</v>
      </c>
      <c r="BT29" s="16">
        <f>BR29</f>
        <v>0</v>
      </c>
      <c r="BU29" s="16">
        <f t="shared" ref="BU29:BU30" si="146">BT29</f>
        <v>0</v>
      </c>
      <c r="BV29" s="16">
        <f t="shared" ref="BV29:BV30" si="147">BU29</f>
        <v>0</v>
      </c>
      <c r="BW29" s="16">
        <f t="shared" ref="BW29:BW30" si="148">BV29</f>
        <v>0</v>
      </c>
      <c r="BX29" s="269">
        <f t="shared" ref="BX29:BX30" si="149">BW29</f>
        <v>0</v>
      </c>
      <c r="BY29" s="16">
        <f>BW29</f>
        <v>0</v>
      </c>
      <c r="BZ29" s="16">
        <f t="shared" ref="BZ29:BZ30" si="150">BY29</f>
        <v>0</v>
      </c>
      <c r="CA29" s="16">
        <f t="shared" ref="CA29:CA30" si="151">BZ29</f>
        <v>0</v>
      </c>
      <c r="CB29" s="16">
        <f t="shared" ref="CB29:CB30" si="152">CA29</f>
        <v>0</v>
      </c>
      <c r="CC29" s="269">
        <f t="shared" ref="CC29:CC30" si="153">CB29</f>
        <v>0</v>
      </c>
      <c r="CD29" s="16">
        <f>CB29</f>
        <v>0</v>
      </c>
      <c r="CE29" s="16">
        <f t="shared" ref="CE29:CE30" si="154">CD29</f>
        <v>0</v>
      </c>
      <c r="CF29" s="16">
        <f t="shared" ref="CF29:CF30" si="155">CE29</f>
        <v>0</v>
      </c>
      <c r="CG29" s="16">
        <f t="shared" ref="CG29:CG30" si="156">CF29</f>
        <v>0</v>
      </c>
      <c r="CH29" s="269">
        <f t="shared" ref="CH29:CH30" si="157">CG29</f>
        <v>0</v>
      </c>
      <c r="CI29" s="16">
        <f>CG29</f>
        <v>0</v>
      </c>
      <c r="CJ29" s="16">
        <f t="shared" ref="CJ29:CJ30" si="158">CI29</f>
        <v>0</v>
      </c>
      <c r="CK29" s="16">
        <f t="shared" ref="CK29:CK30" si="159">CJ29</f>
        <v>0</v>
      </c>
      <c r="CL29" s="16">
        <f t="shared" ref="CL29:CL30" si="160">CK29</f>
        <v>0</v>
      </c>
      <c r="CM29" s="269">
        <f t="shared" ref="CM29:CM30" si="161">CL29</f>
        <v>0</v>
      </c>
    </row>
    <row r="30" spans="1:91" s="16" customFormat="1" ht="12.75" customHeight="1">
      <c r="A30" s="16" t="s">
        <v>144</v>
      </c>
      <c r="F30" s="269"/>
      <c r="K30" s="269"/>
      <c r="P30" s="269"/>
      <c r="U30" s="269"/>
      <c r="Z30" s="269"/>
      <c r="AE30" s="269"/>
      <c r="AJ30" s="269"/>
      <c r="AO30" s="269"/>
      <c r="AT30" s="269"/>
      <c r="AY30" s="269"/>
      <c r="BB30" s="332">
        <v>0.05</v>
      </c>
      <c r="BC30" s="19">
        <f>BB30</f>
        <v>0.05</v>
      </c>
      <c r="BD30" s="259">
        <f t="shared" si="133"/>
        <v>0.05</v>
      </c>
      <c r="BE30" s="19">
        <f>BC30</f>
        <v>0.05</v>
      </c>
      <c r="BF30" s="19">
        <f t="shared" si="134"/>
        <v>0.05</v>
      </c>
      <c r="BG30" s="19">
        <f t="shared" si="135"/>
        <v>0.05</v>
      </c>
      <c r="BH30" s="19">
        <f t="shared" si="136"/>
        <v>0.05</v>
      </c>
      <c r="BI30" s="259">
        <f t="shared" si="137"/>
        <v>0.05</v>
      </c>
      <c r="BJ30" s="19">
        <f>BH30</f>
        <v>0.05</v>
      </c>
      <c r="BK30" s="19">
        <f t="shared" si="138"/>
        <v>0.05</v>
      </c>
      <c r="BL30" s="19">
        <f t="shared" si="139"/>
        <v>0.05</v>
      </c>
      <c r="BM30" s="19">
        <f t="shared" si="140"/>
        <v>0.05</v>
      </c>
      <c r="BN30" s="259">
        <f t="shared" si="141"/>
        <v>0.05</v>
      </c>
      <c r="BO30" s="19">
        <f>BM30</f>
        <v>0.05</v>
      </c>
      <c r="BP30" s="19">
        <f t="shared" si="142"/>
        <v>0.05</v>
      </c>
      <c r="BQ30" s="19">
        <f t="shared" si="143"/>
        <v>0.05</v>
      </c>
      <c r="BR30" s="19">
        <f t="shared" si="144"/>
        <v>0.05</v>
      </c>
      <c r="BS30" s="259">
        <f t="shared" si="145"/>
        <v>0.05</v>
      </c>
      <c r="BT30" s="19">
        <f>BR30</f>
        <v>0.05</v>
      </c>
      <c r="BU30" s="19">
        <f t="shared" si="146"/>
        <v>0.05</v>
      </c>
      <c r="BV30" s="19">
        <f t="shared" si="147"/>
        <v>0.05</v>
      </c>
      <c r="BW30" s="19">
        <f t="shared" si="148"/>
        <v>0.05</v>
      </c>
      <c r="BX30" s="259">
        <f t="shared" si="149"/>
        <v>0.05</v>
      </c>
      <c r="BY30" s="19">
        <f>BW30</f>
        <v>0.05</v>
      </c>
      <c r="BZ30" s="19">
        <f t="shared" si="150"/>
        <v>0.05</v>
      </c>
      <c r="CA30" s="19">
        <f t="shared" si="151"/>
        <v>0.05</v>
      </c>
      <c r="CB30" s="19">
        <f t="shared" si="152"/>
        <v>0.05</v>
      </c>
      <c r="CC30" s="259">
        <f t="shared" si="153"/>
        <v>0.05</v>
      </c>
      <c r="CD30" s="19">
        <f>CB30</f>
        <v>0.05</v>
      </c>
      <c r="CE30" s="19">
        <f t="shared" si="154"/>
        <v>0.05</v>
      </c>
      <c r="CF30" s="19">
        <f t="shared" si="155"/>
        <v>0.05</v>
      </c>
      <c r="CG30" s="19">
        <f t="shared" si="156"/>
        <v>0.05</v>
      </c>
      <c r="CH30" s="259">
        <f t="shared" si="157"/>
        <v>0.05</v>
      </c>
      <c r="CI30" s="19">
        <f>CG30</f>
        <v>0.05</v>
      </c>
      <c r="CJ30" s="19">
        <f t="shared" si="158"/>
        <v>0.05</v>
      </c>
      <c r="CK30" s="19">
        <f t="shared" si="159"/>
        <v>0.05</v>
      </c>
      <c r="CL30" s="19">
        <f t="shared" si="160"/>
        <v>0.05</v>
      </c>
      <c r="CM30" s="259">
        <f t="shared" si="161"/>
        <v>0.05</v>
      </c>
    </row>
    <row r="31" spans="1:91" s="16" customFormat="1" ht="12.75" customHeight="1">
      <c r="A31" s="16" t="s">
        <v>6</v>
      </c>
      <c r="F31" s="269"/>
      <c r="K31" s="269"/>
      <c r="P31" s="269"/>
      <c r="U31" s="269"/>
      <c r="Z31" s="269"/>
      <c r="AE31" s="269"/>
      <c r="AJ31" s="269"/>
      <c r="AO31" s="269"/>
      <c r="AT31" s="269"/>
      <c r="AY31" s="269"/>
      <c r="BC31" s="16">
        <f>BB29*BC30/4</f>
        <v>0</v>
      </c>
      <c r="BD31" s="269">
        <f>SUM(AZ31:BC31)</f>
        <v>0</v>
      </c>
      <c r="BE31" s="16">
        <f>BC29*BE30/4</f>
        <v>0</v>
      </c>
      <c r="BF31" s="16">
        <f>BE29*BF30/4</f>
        <v>0</v>
      </c>
      <c r="BG31" s="16">
        <f>BF29*BG30/4</f>
        <v>0</v>
      </c>
      <c r="BH31" s="16">
        <f>BG29*BH30/4</f>
        <v>0</v>
      </c>
      <c r="BI31" s="269">
        <f>SUM(BE31:BH31)</f>
        <v>0</v>
      </c>
      <c r="BJ31" s="16">
        <f>BH29*BJ30/4</f>
        <v>0</v>
      </c>
      <c r="BK31" s="16">
        <f>BJ29*BK30/4</f>
        <v>0</v>
      </c>
      <c r="BL31" s="16">
        <f>BK29*BL30/4</f>
        <v>0</v>
      </c>
      <c r="BM31" s="16">
        <f>BL29*BM30/4</f>
        <v>0</v>
      </c>
      <c r="BN31" s="269">
        <f>SUM(BJ31:BM31)</f>
        <v>0</v>
      </c>
      <c r="BO31" s="16">
        <f>BM29*BO30/4</f>
        <v>0</v>
      </c>
      <c r="BP31" s="16">
        <f>BO29*BP30/4</f>
        <v>0</v>
      </c>
      <c r="BQ31" s="16">
        <f>BP29*BQ30/4</f>
        <v>0</v>
      </c>
      <c r="BR31" s="16">
        <f>BQ29*BR30/4</f>
        <v>0</v>
      </c>
      <c r="BS31" s="269">
        <f>SUM(BO31:BR31)</f>
        <v>0</v>
      </c>
      <c r="BT31" s="16">
        <f>BR29*BT30/4</f>
        <v>0</v>
      </c>
      <c r="BU31" s="16">
        <f>BT29*BU30/4</f>
        <v>0</v>
      </c>
      <c r="BV31" s="16">
        <f>BU29*BV30/4</f>
        <v>0</v>
      </c>
      <c r="BW31" s="16">
        <f>BV29*BW30/4</f>
        <v>0</v>
      </c>
      <c r="BX31" s="269">
        <f>SUM(BT31:BW31)</f>
        <v>0</v>
      </c>
      <c r="BY31" s="16">
        <f>BW29*BY30/4</f>
        <v>0</v>
      </c>
      <c r="BZ31" s="16">
        <f>BY29*BZ30/4</f>
        <v>0</v>
      </c>
      <c r="CA31" s="16">
        <f>BZ29*CA30/4</f>
        <v>0</v>
      </c>
      <c r="CB31" s="16">
        <f>CA29*CB30/4</f>
        <v>0</v>
      </c>
      <c r="CC31" s="269">
        <f>SUM(BY31:CB31)</f>
        <v>0</v>
      </c>
      <c r="CD31" s="16">
        <f>CB29*CD30/4</f>
        <v>0</v>
      </c>
      <c r="CE31" s="16">
        <f>CD29*CE30/4</f>
        <v>0</v>
      </c>
      <c r="CF31" s="16">
        <f>CE29*CF30/4</f>
        <v>0</v>
      </c>
      <c r="CG31" s="16">
        <f>CF29*CG30/4</f>
        <v>0</v>
      </c>
      <c r="CH31" s="269">
        <f>SUM(CD31:CG31)</f>
        <v>0</v>
      </c>
      <c r="CI31" s="16">
        <f>CG29*CI30/4</f>
        <v>0</v>
      </c>
      <c r="CJ31" s="16">
        <f>CI29*CJ30/4</f>
        <v>0</v>
      </c>
      <c r="CK31" s="16">
        <f>CJ29*CK30/4</f>
        <v>0</v>
      </c>
      <c r="CL31" s="16">
        <f>CK29*CL30/4</f>
        <v>0</v>
      </c>
      <c r="CM31" s="269">
        <f>SUM(CI31:CL31)</f>
        <v>0</v>
      </c>
    </row>
    <row r="32" spans="1:91" s="16" customFormat="1">
      <c r="F32" s="269"/>
      <c r="K32" s="269"/>
      <c r="P32" s="269"/>
      <c r="U32" s="269"/>
      <c r="Z32" s="269"/>
      <c r="AE32" s="269"/>
      <c r="AJ32" s="269"/>
      <c r="AO32" s="269"/>
      <c r="AT32" s="269"/>
      <c r="AY32" s="269"/>
      <c r="BD32" s="269"/>
      <c r="BI32" s="269"/>
      <c r="BN32" s="269"/>
      <c r="BS32" s="269"/>
      <c r="BX32" s="269"/>
      <c r="CC32" s="269"/>
      <c r="CH32" s="269"/>
      <c r="CM32" s="269"/>
    </row>
    <row r="33" spans="1:91" s="16" customFormat="1">
      <c r="A33" s="16" t="s">
        <v>145</v>
      </c>
      <c r="F33" s="269"/>
      <c r="I33" s="16">
        <f>BS!I32</f>
        <v>7.76</v>
      </c>
      <c r="J33" s="16">
        <f>BS!J32</f>
        <v>7.9630000000000001</v>
      </c>
      <c r="K33" s="269">
        <f>J33</f>
        <v>7.9630000000000001</v>
      </c>
      <c r="L33" s="16">
        <f>BS!L32</f>
        <v>9.0749999999999993</v>
      </c>
      <c r="M33" s="16">
        <f>BS!M32</f>
        <v>10.992000000000001</v>
      </c>
      <c r="N33" s="16">
        <f>BS!N32</f>
        <v>10.621</v>
      </c>
      <c r="O33" s="16">
        <f>BS!O32</f>
        <v>33.256</v>
      </c>
      <c r="P33" s="269">
        <f>O33</f>
        <v>33.256</v>
      </c>
      <c r="Q33" s="16">
        <f>BS!Q32</f>
        <v>33.773000000000003</v>
      </c>
      <c r="R33" s="16">
        <f>BS!R32</f>
        <v>41.116999999999997</v>
      </c>
      <c r="S33" s="16">
        <f>BS!S32</f>
        <v>39.682000000000002</v>
      </c>
      <c r="T33" s="16">
        <f>BS!T32</f>
        <v>847.85699999999997</v>
      </c>
      <c r="U33" s="269">
        <f>T33</f>
        <v>847.85699999999997</v>
      </c>
      <c r="V33" s="16">
        <f>BS!V32</f>
        <v>1343.1429999999998</v>
      </c>
      <c r="W33" s="16">
        <f>BS!W32</f>
        <v>1345.3219999999999</v>
      </c>
      <c r="X33" s="16">
        <f>BS!X32</f>
        <v>1350.9860000000001</v>
      </c>
      <c r="Y33" s="16">
        <f>BS!Y32</f>
        <v>1360.8739999999998</v>
      </c>
      <c r="Z33" s="269">
        <f>Y33</f>
        <v>1360.8739999999998</v>
      </c>
      <c r="AA33" s="16">
        <f>BS!AA32</f>
        <v>1360.84</v>
      </c>
      <c r="AB33" s="16">
        <f>BS!AB32</f>
        <v>1357.6079999999999</v>
      </c>
      <c r="AC33" s="16">
        <f>BS!AC32</f>
        <v>1352.922</v>
      </c>
      <c r="AD33" s="16">
        <f>BS!AD32</f>
        <v>1347.4059999999999</v>
      </c>
      <c r="AE33" s="269">
        <f>AD33</f>
        <v>1347.4059999999999</v>
      </c>
      <c r="AF33" s="16">
        <f>BS!AF32</f>
        <v>1342.8910000000001</v>
      </c>
      <c r="AG33" s="16">
        <f>BS!AG32</f>
        <v>1336.9080000000001</v>
      </c>
      <c r="AH33" s="16">
        <f>BS!AH32</f>
        <v>1331.9989999999998</v>
      </c>
      <c r="AI33" s="16">
        <f>BS!AI32</f>
        <v>1325.8139999999999</v>
      </c>
      <c r="AJ33" s="269">
        <f>AI33</f>
        <v>1325.8139999999999</v>
      </c>
      <c r="AK33" s="16">
        <f>BS!AK32</f>
        <v>1319.518</v>
      </c>
      <c r="AL33" s="16">
        <f>BS!AL32</f>
        <v>1313.45</v>
      </c>
      <c r="AM33" s="16">
        <f>BS!AM32</f>
        <v>1312.0320000000002</v>
      </c>
      <c r="AN33" s="16">
        <f>BS!AN32</f>
        <v>1306.8389999999999</v>
      </c>
      <c r="AO33" s="269">
        <f>AN33</f>
        <v>1306.8389999999999</v>
      </c>
      <c r="AP33" s="16">
        <f>BS!AP32</f>
        <v>1116.3389999999999</v>
      </c>
      <c r="AQ33" s="16">
        <f>BS!AQ32</f>
        <v>1115.5260000000001</v>
      </c>
      <c r="AR33" s="16">
        <f>BS!AR32</f>
        <v>1114.5940000000001</v>
      </c>
      <c r="AS33" s="16">
        <f>BS!AS32</f>
        <v>1504</v>
      </c>
      <c r="AT33" s="269">
        <f>AS33</f>
        <v>1504</v>
      </c>
      <c r="AU33" s="16">
        <f>SUM(AU13,AU17,AU21,AU25)</f>
        <v>1504</v>
      </c>
      <c r="AV33" s="16">
        <f t="shared" ref="AV33:AX33" si="162">SUM(AV13,AV17,AV21,AV25)</f>
        <v>1504</v>
      </c>
      <c r="AW33" s="16">
        <f t="shared" si="162"/>
        <v>1504</v>
      </c>
      <c r="AX33" s="16">
        <f t="shared" si="162"/>
        <v>1504</v>
      </c>
      <c r="AY33" s="269">
        <f>AX33</f>
        <v>1504</v>
      </c>
      <c r="AZ33" s="16">
        <f>SUM(AZ13,AZ17,AZ21,AZ25)</f>
        <v>1504</v>
      </c>
      <c r="BA33" s="16">
        <f t="shared" ref="BA33:BC33" si="163">SUM(BA13,BA17,BA21,BA25)</f>
        <v>1504</v>
      </c>
      <c r="BB33" s="16">
        <f t="shared" si="163"/>
        <v>1504</v>
      </c>
      <c r="BC33" s="16">
        <f t="shared" si="163"/>
        <v>1015.4159999999999</v>
      </c>
      <c r="BD33" s="269">
        <f>BC33</f>
        <v>1015.4159999999999</v>
      </c>
      <c r="BE33" s="16">
        <f>SUM(BE13,BE17,BE21,BE29,BE25)</f>
        <v>1015.4159999999999</v>
      </c>
      <c r="BF33" s="16">
        <f t="shared" ref="BF33:BH33" si="164">SUM(BF13,BF17,BF21,BF29,BF25)</f>
        <v>1015.4159999999999</v>
      </c>
      <c r="BG33" s="16">
        <f t="shared" si="164"/>
        <v>1015.4159999999999</v>
      </c>
      <c r="BH33" s="16">
        <f t="shared" si="164"/>
        <v>1015.4159999999999</v>
      </c>
      <c r="BI33" s="269">
        <f>BH33</f>
        <v>1015.4159999999999</v>
      </c>
      <c r="BJ33" s="16">
        <f>SUM(BJ13,BJ17,BJ21,BJ29,BJ25)</f>
        <v>1015.4159999999999</v>
      </c>
      <c r="BK33" s="16">
        <f t="shared" ref="BK33:BM33" si="165">SUM(BK13,BK17,BK21,BK29,BK25)</f>
        <v>1015.4159999999999</v>
      </c>
      <c r="BL33" s="16">
        <f t="shared" si="165"/>
        <v>1015.4159999999999</v>
      </c>
      <c r="BM33" s="16">
        <f t="shared" si="165"/>
        <v>1015.4159999999999</v>
      </c>
      <c r="BN33" s="269">
        <f>BM33</f>
        <v>1015.4159999999999</v>
      </c>
      <c r="BO33" s="16">
        <f>SUM(BO13,BO17,BO21,BO29,BO25)</f>
        <v>1015.4159999999999</v>
      </c>
      <c r="BP33" s="16">
        <f t="shared" ref="BP33:BR33" si="166">SUM(BP13,BP17,BP21,BP29,BP25)</f>
        <v>1015.4159999999999</v>
      </c>
      <c r="BQ33" s="16">
        <f t="shared" si="166"/>
        <v>1015.4159999999999</v>
      </c>
      <c r="BR33" s="16">
        <f t="shared" si="166"/>
        <v>1015.4159999999999</v>
      </c>
      <c r="BS33" s="269">
        <f>BR33</f>
        <v>1015.4159999999999</v>
      </c>
      <c r="BT33" s="16">
        <f>SUM(BT13,BT17,BT21,BT29,BT25)</f>
        <v>387.92199999999997</v>
      </c>
      <c r="BU33" s="16">
        <f t="shared" ref="BU33:BW33" si="167">SUM(BU13,BU17,BU21,BU29,BU25)</f>
        <v>387.92199999999997</v>
      </c>
      <c r="BV33" s="16">
        <f t="shared" si="167"/>
        <v>387.92199999999997</v>
      </c>
      <c r="BW33" s="16">
        <f t="shared" si="167"/>
        <v>387.92199999999997</v>
      </c>
      <c r="BX33" s="269">
        <f>BW33</f>
        <v>387.92199999999997</v>
      </c>
      <c r="BY33" s="16">
        <f>SUM(BY13,BY17,BY21,BY29,BY25)</f>
        <v>390.339</v>
      </c>
      <c r="BZ33" s="16">
        <f t="shared" ref="BZ33:CB33" si="168">SUM(BZ13,BZ17,BZ21,BZ29,BZ25)</f>
        <v>390.339</v>
      </c>
      <c r="CA33" s="16">
        <f t="shared" si="168"/>
        <v>390.339</v>
      </c>
      <c r="CB33" s="16">
        <f t="shared" si="168"/>
        <v>390.339</v>
      </c>
      <c r="CC33" s="269">
        <f>CB33</f>
        <v>390.339</v>
      </c>
      <c r="CD33" s="16">
        <f>SUM(CD13,CD17,CD21,CD29,CD25)</f>
        <v>390.339</v>
      </c>
      <c r="CE33" s="16">
        <f t="shared" ref="CE33:CG33" si="169">SUM(CE13,CE17,CE21,CE29,CE25)</f>
        <v>0</v>
      </c>
      <c r="CF33" s="16">
        <f t="shared" si="169"/>
        <v>0</v>
      </c>
      <c r="CG33" s="16">
        <f t="shared" si="169"/>
        <v>0</v>
      </c>
      <c r="CH33" s="269">
        <f>CG33</f>
        <v>0</v>
      </c>
      <c r="CI33" s="16">
        <f>SUM(CI13,CI17,CI21,CI29,CI25)</f>
        <v>0</v>
      </c>
      <c r="CJ33" s="16">
        <f t="shared" ref="CJ33:CL33" si="170">SUM(CJ13,CJ17,CJ21,CJ29,CJ25)</f>
        <v>0</v>
      </c>
      <c r="CK33" s="16">
        <f t="shared" si="170"/>
        <v>0</v>
      </c>
      <c r="CL33" s="16">
        <f t="shared" si="170"/>
        <v>0</v>
      </c>
      <c r="CM33" s="269">
        <f>CL33</f>
        <v>0</v>
      </c>
    </row>
    <row r="34" spans="1:91" s="16" customFormat="1">
      <c r="F34" s="269"/>
      <c r="K34" s="269"/>
      <c r="P34" s="269"/>
      <c r="U34" s="269"/>
      <c r="Z34" s="269"/>
      <c r="AE34" s="269"/>
      <c r="AJ34" s="269"/>
      <c r="AO34" s="269"/>
      <c r="AT34" s="269"/>
      <c r="AY34" s="269"/>
      <c r="BD34" s="269"/>
      <c r="BI34" s="269"/>
      <c r="BN34" s="269"/>
      <c r="BS34" s="269"/>
      <c r="BX34" s="269"/>
      <c r="CC34" s="269"/>
      <c r="CH34" s="269"/>
      <c r="CM34" s="269"/>
    </row>
    <row r="35" spans="1:91" s="16" customFormat="1">
      <c r="A35" s="16" t="s">
        <v>146</v>
      </c>
      <c r="E35" s="16">
        <f>BS!E29</f>
        <v>0.19900000000000001</v>
      </c>
      <c r="F35" s="269">
        <f>E35</f>
        <v>0.19900000000000001</v>
      </c>
      <c r="I35" s="16">
        <f>BS!I29</f>
        <v>0.10199999999999999</v>
      </c>
      <c r="J35" s="16">
        <f>BS!J29</f>
        <v>9.7000000000000003E-2</v>
      </c>
      <c r="K35" s="269">
        <f>J35</f>
        <v>9.7000000000000003E-2</v>
      </c>
      <c r="L35" s="16">
        <f>BS!L29</f>
        <v>9.6000000000000002E-2</v>
      </c>
      <c r="M35" s="16">
        <f>BS!M29</f>
        <v>7.3999999999999996E-2</v>
      </c>
      <c r="N35" s="16">
        <f>BS!N29</f>
        <v>0.08</v>
      </c>
      <c r="O35" s="16">
        <f>BS!O29</f>
        <v>0</v>
      </c>
      <c r="P35" s="269">
        <f>O35</f>
        <v>0</v>
      </c>
      <c r="Q35" s="16">
        <f>BS!Q29</f>
        <v>0</v>
      </c>
      <c r="R35" s="16">
        <f>BS!R29</f>
        <v>0</v>
      </c>
      <c r="S35" s="16">
        <f>BS!S29</f>
        <v>0</v>
      </c>
      <c r="T35" s="16">
        <f>BS!T29</f>
        <v>0</v>
      </c>
      <c r="U35" s="269">
        <f>T35</f>
        <v>0</v>
      </c>
      <c r="V35" s="16">
        <f>BS!V29</f>
        <v>0</v>
      </c>
      <c r="W35" s="16">
        <f>BS!W29</f>
        <v>0</v>
      </c>
      <c r="X35" s="16">
        <f>BS!X29</f>
        <v>0</v>
      </c>
      <c r="Y35" s="16">
        <f>BS!Y29</f>
        <v>0</v>
      </c>
      <c r="Z35" s="269">
        <f>Y35</f>
        <v>0</v>
      </c>
      <c r="AA35" s="16">
        <f>BS!AA29</f>
        <v>0</v>
      </c>
      <c r="AB35" s="16">
        <f>BS!AB29</f>
        <v>0</v>
      </c>
      <c r="AC35" s="16">
        <f>BS!AC29</f>
        <v>0</v>
      </c>
      <c r="AD35" s="16">
        <f>BS!AD29</f>
        <v>0</v>
      </c>
      <c r="AE35" s="269">
        <f>AD35</f>
        <v>0</v>
      </c>
      <c r="AF35" s="16">
        <f>BS!AF29</f>
        <v>0</v>
      </c>
      <c r="AG35" s="16">
        <f>BS!AG29</f>
        <v>0</v>
      </c>
      <c r="AH35" s="16">
        <f>BS!AH29</f>
        <v>0</v>
      </c>
      <c r="AI35" s="16">
        <f>BS!AI29</f>
        <v>0</v>
      </c>
      <c r="AJ35" s="269">
        <f>AI35</f>
        <v>0</v>
      </c>
      <c r="AK35" s="16">
        <f>BS!AK29</f>
        <v>0</v>
      </c>
      <c r="AL35" s="16">
        <f>BS!AL29</f>
        <v>0</v>
      </c>
      <c r="AM35" s="16">
        <f>BS!AM29</f>
        <v>0</v>
      </c>
      <c r="AN35" s="16">
        <f>BS!AN29</f>
        <v>0</v>
      </c>
      <c r="AO35" s="269">
        <f>AN35</f>
        <v>0</v>
      </c>
      <c r="AP35" s="16">
        <f>BS!AP29</f>
        <v>0</v>
      </c>
      <c r="AQ35" s="16">
        <f>BS!AQ29</f>
        <v>0</v>
      </c>
      <c r="AR35" s="16">
        <f>BS!AR29</f>
        <v>0</v>
      </c>
      <c r="AS35" s="16">
        <f>BS!AS29</f>
        <v>0</v>
      </c>
      <c r="AT35" s="269">
        <f>AS35</f>
        <v>0</v>
      </c>
      <c r="AU35" s="16">
        <f>AT35-(0.25*AS35)</f>
        <v>0</v>
      </c>
      <c r="AV35" s="16">
        <f>AU35-(0.333*AU35)</f>
        <v>0</v>
      </c>
      <c r="AW35" s="16">
        <f>AV35-(0.5*AV35)</f>
        <v>0</v>
      </c>
      <c r="AX35" s="16">
        <f>AW35-AW35</f>
        <v>0</v>
      </c>
      <c r="AY35" s="269">
        <f>AX35</f>
        <v>0</v>
      </c>
      <c r="AZ35" s="16">
        <f>AY35-(0.25*AX35)</f>
        <v>0</v>
      </c>
      <c r="BA35" s="16">
        <f>AZ35-(0.333*AZ35)</f>
        <v>0</v>
      </c>
      <c r="BB35" s="16">
        <f>BA35-(0.5*BA35)</f>
        <v>0</v>
      </c>
      <c r="BC35" s="16">
        <f>BB35-BB35</f>
        <v>0</v>
      </c>
      <c r="BD35" s="269">
        <f>BC35</f>
        <v>0</v>
      </c>
      <c r="BE35" s="16">
        <f>BD35-(0.25*BC35)</f>
        <v>0</v>
      </c>
      <c r="BF35" s="16">
        <f>BE35-(0.333*BE35)</f>
        <v>0</v>
      </c>
      <c r="BG35" s="16">
        <f>BF35-(0.5*BF35)</f>
        <v>0</v>
      </c>
      <c r="BH35" s="16">
        <f>BG35-BG35</f>
        <v>0</v>
      </c>
      <c r="BI35" s="269">
        <f>BH35</f>
        <v>0</v>
      </c>
      <c r="BJ35" s="16">
        <f>BI35-(0.25*BH35)</f>
        <v>0</v>
      </c>
      <c r="BK35" s="16">
        <f>BJ35-(0.333*BJ35)</f>
        <v>0</v>
      </c>
      <c r="BL35" s="16">
        <f>BK35-(0.5*BK35)</f>
        <v>0</v>
      </c>
      <c r="BM35" s="16">
        <f>BL35-BL35</f>
        <v>0</v>
      </c>
      <c r="BN35" s="269">
        <f>BM35</f>
        <v>0</v>
      </c>
      <c r="BO35" s="16">
        <f>BN35-(0.25*BM35)</f>
        <v>0</v>
      </c>
      <c r="BP35" s="16">
        <f>BO35-(0.333*BO35)</f>
        <v>0</v>
      </c>
      <c r="BQ35" s="16">
        <f>BP35-(0.5*BP35)</f>
        <v>0</v>
      </c>
      <c r="BR35" s="16">
        <f>BQ35-BQ35</f>
        <v>0</v>
      </c>
      <c r="BS35" s="269">
        <f>BR35</f>
        <v>0</v>
      </c>
      <c r="BT35" s="16">
        <f>BS35-(0.25*BR35)</f>
        <v>0</v>
      </c>
      <c r="BU35" s="16">
        <f>BT35-(0.333*BT35)</f>
        <v>0</v>
      </c>
      <c r="BV35" s="16">
        <f>BU35-(0.5*BU35)</f>
        <v>0</v>
      </c>
      <c r="BW35" s="16">
        <f>BV35-BV35</f>
        <v>0</v>
      </c>
      <c r="BX35" s="269">
        <f>BW35</f>
        <v>0</v>
      </c>
      <c r="BY35" s="16">
        <f>BX35-(0.25*BW35)</f>
        <v>0</v>
      </c>
      <c r="BZ35" s="16">
        <f>BY35-(0.333*BY35)</f>
        <v>0</v>
      </c>
      <c r="CA35" s="16">
        <f>BZ35-(0.5*BZ35)</f>
        <v>0</v>
      </c>
      <c r="CB35" s="16">
        <f>CA35-CA35</f>
        <v>0</v>
      </c>
      <c r="CC35" s="269">
        <f>CB35</f>
        <v>0</v>
      </c>
      <c r="CD35" s="16">
        <f>CC35-(0.25*CB35)</f>
        <v>0</v>
      </c>
      <c r="CE35" s="16">
        <f>CD35-(0.333*CD35)</f>
        <v>0</v>
      </c>
      <c r="CF35" s="16">
        <f>CE35-(0.5*CE35)</f>
        <v>0</v>
      </c>
      <c r="CG35" s="16">
        <f>CF35-CF35</f>
        <v>0</v>
      </c>
      <c r="CH35" s="269">
        <f>CG35</f>
        <v>0</v>
      </c>
      <c r="CI35" s="16">
        <f>CH35-(0.25*CG35)</f>
        <v>0</v>
      </c>
      <c r="CJ35" s="16">
        <f>CI35-(0.333*CI35)</f>
        <v>0</v>
      </c>
      <c r="CK35" s="16">
        <f>CJ35-(0.5*CJ35)</f>
        <v>0</v>
      </c>
      <c r="CL35" s="16">
        <f>CK35-CK35</f>
        <v>0</v>
      </c>
      <c r="CM35" s="269">
        <f>CL35</f>
        <v>0</v>
      </c>
    </row>
    <row r="36" spans="1:91" s="16" customFormat="1">
      <c r="A36" s="16" t="s">
        <v>144</v>
      </c>
      <c r="B36" s="20"/>
      <c r="C36" s="20"/>
      <c r="D36" s="20"/>
      <c r="E36" s="20">
        <v>0</v>
      </c>
      <c r="F36" s="259">
        <f>E36</f>
        <v>0</v>
      </c>
      <c r="G36" s="20"/>
      <c r="H36" s="20"/>
      <c r="I36" s="20">
        <f>H36</f>
        <v>0</v>
      </c>
      <c r="J36" s="20">
        <v>0</v>
      </c>
      <c r="K36" s="259">
        <f>J36</f>
        <v>0</v>
      </c>
      <c r="L36" s="20">
        <v>0</v>
      </c>
      <c r="M36" s="20">
        <v>0</v>
      </c>
      <c r="N36" s="20">
        <f>M36</f>
        <v>0</v>
      </c>
      <c r="O36" s="20">
        <f>N36</f>
        <v>0</v>
      </c>
      <c r="P36" s="259">
        <f>O36</f>
        <v>0</v>
      </c>
      <c r="Q36" s="20">
        <v>0</v>
      </c>
      <c r="R36" s="20">
        <v>0</v>
      </c>
      <c r="S36" s="20">
        <f>R36</f>
        <v>0</v>
      </c>
      <c r="T36" s="20">
        <f>S36</f>
        <v>0</v>
      </c>
      <c r="U36" s="259">
        <f>T36</f>
        <v>0</v>
      </c>
      <c r="V36" s="20">
        <v>0</v>
      </c>
      <c r="W36" s="20">
        <f>V36</f>
        <v>0</v>
      </c>
      <c r="X36" s="20">
        <f>W36</f>
        <v>0</v>
      </c>
      <c r="Y36" s="20">
        <f>X36</f>
        <v>0</v>
      </c>
      <c r="Z36" s="259">
        <f>Y36</f>
        <v>0</v>
      </c>
      <c r="AA36" s="20">
        <f>Z36</f>
        <v>0</v>
      </c>
      <c r="AB36" s="20">
        <f>AA36</f>
        <v>0</v>
      </c>
      <c r="AC36" s="20">
        <f>AB36</f>
        <v>0</v>
      </c>
      <c r="AD36" s="20">
        <f>AC36</f>
        <v>0</v>
      </c>
      <c r="AE36" s="259">
        <f>AD36</f>
        <v>0</v>
      </c>
      <c r="AF36" s="20">
        <f>AD36</f>
        <v>0</v>
      </c>
      <c r="AG36" s="20">
        <f>AF36</f>
        <v>0</v>
      </c>
      <c r="AH36" s="20">
        <f>AG36</f>
        <v>0</v>
      </c>
      <c r="AI36" s="20">
        <f>AH36</f>
        <v>0</v>
      </c>
      <c r="AJ36" s="259">
        <f>AI36</f>
        <v>0</v>
      </c>
      <c r="AK36" s="20">
        <f>AI36</f>
        <v>0</v>
      </c>
      <c r="AL36" s="20">
        <v>0</v>
      </c>
      <c r="AM36" s="20">
        <v>0</v>
      </c>
      <c r="AN36" s="20">
        <v>0</v>
      </c>
      <c r="AO36" s="259">
        <f>AN36</f>
        <v>0</v>
      </c>
      <c r="AP36" s="20">
        <f>AN36</f>
        <v>0</v>
      </c>
      <c r="AQ36" s="303">
        <f>AP36</f>
        <v>0</v>
      </c>
      <c r="AR36" s="303">
        <f>AQ36</f>
        <v>0</v>
      </c>
      <c r="AS36" s="39">
        <f>AR36</f>
        <v>0</v>
      </c>
      <c r="AT36" s="259">
        <f>AS36</f>
        <v>0</v>
      </c>
      <c r="AU36" s="39">
        <f>AS36</f>
        <v>0</v>
      </c>
      <c r="AV36" s="39">
        <f>AU36</f>
        <v>0</v>
      </c>
      <c r="AW36" s="39">
        <f>AV36</f>
        <v>0</v>
      </c>
      <c r="AX36" s="39">
        <f>AW36</f>
        <v>0</v>
      </c>
      <c r="AY36" s="259">
        <f>AX36</f>
        <v>0</v>
      </c>
      <c r="AZ36" s="39">
        <f>AX36</f>
        <v>0</v>
      </c>
      <c r="BA36" s="39">
        <f>AZ36</f>
        <v>0</v>
      </c>
      <c r="BB36" s="39">
        <f>BA36</f>
        <v>0</v>
      </c>
      <c r="BC36" s="39">
        <f>BB36</f>
        <v>0</v>
      </c>
      <c r="BD36" s="259">
        <f>BC36</f>
        <v>0</v>
      </c>
      <c r="BE36" s="39">
        <f>BC36</f>
        <v>0</v>
      </c>
      <c r="BF36" s="39">
        <f>BE36</f>
        <v>0</v>
      </c>
      <c r="BG36" s="39">
        <f>BF36</f>
        <v>0</v>
      </c>
      <c r="BH36" s="39">
        <f>BG36</f>
        <v>0</v>
      </c>
      <c r="BI36" s="259">
        <f>BH36</f>
        <v>0</v>
      </c>
      <c r="BJ36" s="39">
        <f>BH36</f>
        <v>0</v>
      </c>
      <c r="BK36" s="39">
        <f>BJ36</f>
        <v>0</v>
      </c>
      <c r="BL36" s="39">
        <f>BK36</f>
        <v>0</v>
      </c>
      <c r="BM36" s="39">
        <f>BL36</f>
        <v>0</v>
      </c>
      <c r="BN36" s="259">
        <f>BM36</f>
        <v>0</v>
      </c>
      <c r="BO36" s="39">
        <f>BM36</f>
        <v>0</v>
      </c>
      <c r="BP36" s="39">
        <f>BO36</f>
        <v>0</v>
      </c>
      <c r="BQ36" s="39">
        <f>BP36</f>
        <v>0</v>
      </c>
      <c r="BR36" s="39">
        <f>BQ36</f>
        <v>0</v>
      </c>
      <c r="BS36" s="259">
        <f>BR36</f>
        <v>0</v>
      </c>
      <c r="BT36" s="39">
        <f>BR36</f>
        <v>0</v>
      </c>
      <c r="BU36" s="39">
        <f>BT36</f>
        <v>0</v>
      </c>
      <c r="BV36" s="39">
        <f>BU36</f>
        <v>0</v>
      </c>
      <c r="BW36" s="39">
        <f>BV36</f>
        <v>0</v>
      </c>
      <c r="BX36" s="259">
        <f>BW36</f>
        <v>0</v>
      </c>
      <c r="BY36" s="39">
        <f>BW36</f>
        <v>0</v>
      </c>
      <c r="BZ36" s="39">
        <f>BY36</f>
        <v>0</v>
      </c>
      <c r="CA36" s="39">
        <f>BZ36</f>
        <v>0</v>
      </c>
      <c r="CB36" s="39">
        <f>CA36</f>
        <v>0</v>
      </c>
      <c r="CC36" s="259">
        <f>CB36</f>
        <v>0</v>
      </c>
      <c r="CD36" s="39">
        <f>CB36</f>
        <v>0</v>
      </c>
      <c r="CE36" s="39">
        <f>CD36</f>
        <v>0</v>
      </c>
      <c r="CF36" s="39">
        <f>CE36</f>
        <v>0</v>
      </c>
      <c r="CG36" s="39">
        <f>CF36</f>
        <v>0</v>
      </c>
      <c r="CH36" s="259">
        <f>CG36</f>
        <v>0</v>
      </c>
      <c r="CI36" s="39">
        <f>CG36</f>
        <v>0</v>
      </c>
      <c r="CJ36" s="39">
        <f>CI36</f>
        <v>0</v>
      </c>
      <c r="CK36" s="39">
        <f>CJ36</f>
        <v>0</v>
      </c>
      <c r="CL36" s="39">
        <f>CK36</f>
        <v>0</v>
      </c>
      <c r="CM36" s="259">
        <f>CL36</f>
        <v>0</v>
      </c>
    </row>
    <row r="37" spans="1:91" s="16" customFormat="1">
      <c r="A37" s="16" t="s">
        <v>6</v>
      </c>
      <c r="E37" s="16">
        <f>D35*E36/4</f>
        <v>0</v>
      </c>
      <c r="F37" s="269">
        <f>SUM(B37:E37)</f>
        <v>0</v>
      </c>
      <c r="I37" s="16">
        <f>H35*I36/4</f>
        <v>0</v>
      </c>
      <c r="J37" s="16">
        <f>I35*J36/4</f>
        <v>0</v>
      </c>
      <c r="K37" s="269">
        <f>SUM(G37:J37)</f>
        <v>0</v>
      </c>
      <c r="L37" s="16">
        <f>J35*L36/4</f>
        <v>0</v>
      </c>
      <c r="M37" s="16">
        <f>K35*M36/4</f>
        <v>0</v>
      </c>
      <c r="N37" s="16">
        <f>M35*N36/4</f>
        <v>0</v>
      </c>
      <c r="O37" s="16">
        <f>N35*O36/4</f>
        <v>0</v>
      </c>
      <c r="P37" s="269">
        <f>SUM(L37:O37)</f>
        <v>0</v>
      </c>
      <c r="Q37" s="16">
        <f>O35*Q36/4</f>
        <v>0</v>
      </c>
      <c r="R37" s="16">
        <f>P35*R36/4</f>
        <v>0</v>
      </c>
      <c r="S37" s="16">
        <f>R35*S36/4</f>
        <v>0</v>
      </c>
      <c r="T37" s="16">
        <f>S35*T36/4</f>
        <v>0</v>
      </c>
      <c r="U37" s="269">
        <f>SUM(Q37:T37)</f>
        <v>0</v>
      </c>
      <c r="V37" s="16">
        <f>T35*V36/4</f>
        <v>0</v>
      </c>
      <c r="W37" s="16">
        <f>V35*W36/4</f>
        <v>0</v>
      </c>
      <c r="X37" s="16">
        <f>W35*X36/4</f>
        <v>0</v>
      </c>
      <c r="Y37" s="16">
        <f>X35*Y36/4</f>
        <v>0</v>
      </c>
      <c r="Z37" s="269">
        <f>SUM(V37:Y37)</f>
        <v>0</v>
      </c>
      <c r="AA37" s="16">
        <f>Z35*AA36/4</f>
        <v>0</v>
      </c>
      <c r="AB37" s="16">
        <f>AA35*AB36/4</f>
        <v>0</v>
      </c>
      <c r="AC37" s="16">
        <f>AB35*AC36/4</f>
        <v>0</v>
      </c>
      <c r="AD37" s="16">
        <f>AC35*AD36/4</f>
        <v>0</v>
      </c>
      <c r="AE37" s="269">
        <f>SUM(AA37:AD37)</f>
        <v>0</v>
      </c>
      <c r="AF37" s="16">
        <f>AD35*AF36/4</f>
        <v>0</v>
      </c>
      <c r="AG37" s="16">
        <f>AF35*AG36/4</f>
        <v>0</v>
      </c>
      <c r="AH37" s="16">
        <f>AG35*AH36/4</f>
        <v>0</v>
      </c>
      <c r="AI37" s="16">
        <f>AH35*AI36/4</f>
        <v>0</v>
      </c>
      <c r="AJ37" s="269">
        <f>SUM(AF37:AI37)</f>
        <v>0</v>
      </c>
      <c r="AK37" s="16">
        <f>AI35*AK36/4</f>
        <v>0</v>
      </c>
      <c r="AL37" s="16">
        <f>AK35*AL36/4</f>
        <v>0</v>
      </c>
      <c r="AM37" s="16">
        <f>AL35*AM36/4</f>
        <v>0</v>
      </c>
      <c r="AN37" s="16">
        <f>AM35*AN36/4</f>
        <v>0</v>
      </c>
      <c r="AO37" s="269">
        <f>SUM(AK37:AN37)</f>
        <v>0</v>
      </c>
      <c r="AP37" s="16">
        <f>AN35*AP36/4</f>
        <v>0</v>
      </c>
      <c r="AQ37" s="16">
        <f>AP35*AQ36/4</f>
        <v>0</v>
      </c>
      <c r="AR37" s="16">
        <f>AQ35*AR36/4</f>
        <v>0</v>
      </c>
      <c r="AS37" s="16">
        <f>AR35*AS36/4</f>
        <v>0</v>
      </c>
      <c r="AT37" s="269">
        <f>SUM(AP37:AS37)</f>
        <v>0</v>
      </c>
      <c r="AU37" s="16">
        <f>AS35*AU36/4</f>
        <v>0</v>
      </c>
      <c r="AV37" s="16">
        <f>AU35*AV36/4</f>
        <v>0</v>
      </c>
      <c r="AW37" s="16">
        <f>AV35*AW36/4</f>
        <v>0</v>
      </c>
      <c r="AX37" s="16">
        <f>AW35*AX36/4</f>
        <v>0</v>
      </c>
      <c r="AY37" s="269">
        <f>SUM(AU37:AX37)</f>
        <v>0</v>
      </c>
      <c r="AZ37" s="16">
        <f>AX35*AZ36/4</f>
        <v>0</v>
      </c>
      <c r="BA37" s="16">
        <f>AZ35*BA36/4</f>
        <v>0</v>
      </c>
      <c r="BB37" s="16">
        <f>BA35*BB36/4</f>
        <v>0</v>
      </c>
      <c r="BC37" s="16">
        <f>BB35*BC36/4</f>
        <v>0</v>
      </c>
      <c r="BD37" s="269">
        <f>SUM(AZ37:BC37)</f>
        <v>0</v>
      </c>
      <c r="BE37" s="16">
        <f>BC35*BE36/4</f>
        <v>0</v>
      </c>
      <c r="BF37" s="16">
        <f>BE35*BF36/4</f>
        <v>0</v>
      </c>
      <c r="BG37" s="16">
        <f>BF35*BG36/4</f>
        <v>0</v>
      </c>
      <c r="BH37" s="16">
        <f>BG35*BH36/4</f>
        <v>0</v>
      </c>
      <c r="BI37" s="269">
        <f>SUM(BE37:BH37)</f>
        <v>0</v>
      </c>
      <c r="BJ37" s="16">
        <f>BH35*BJ36/4</f>
        <v>0</v>
      </c>
      <c r="BK37" s="16">
        <f>BJ35*BK36/4</f>
        <v>0</v>
      </c>
      <c r="BL37" s="16">
        <f>BK35*BL36/4</f>
        <v>0</v>
      </c>
      <c r="BM37" s="16">
        <f>BL35*BM36/4</f>
        <v>0</v>
      </c>
      <c r="BN37" s="269">
        <f>SUM(BJ37:BM37)</f>
        <v>0</v>
      </c>
      <c r="BO37" s="16">
        <f>BM35*BO36/4</f>
        <v>0</v>
      </c>
      <c r="BP37" s="16">
        <f>BO35*BP36/4</f>
        <v>0</v>
      </c>
      <c r="BQ37" s="16">
        <f>BP35*BQ36/4</f>
        <v>0</v>
      </c>
      <c r="BR37" s="16">
        <f>BQ35*BR36/4</f>
        <v>0</v>
      </c>
      <c r="BS37" s="269">
        <f>SUM(BO37:BR37)</f>
        <v>0</v>
      </c>
      <c r="BT37" s="16">
        <f>BR35*BT36/4</f>
        <v>0</v>
      </c>
      <c r="BU37" s="16">
        <f>BT35*BU36/4</f>
        <v>0</v>
      </c>
      <c r="BV37" s="16">
        <f>BU35*BV36/4</f>
        <v>0</v>
      </c>
      <c r="BW37" s="16">
        <f>BV35*BW36/4</f>
        <v>0</v>
      </c>
      <c r="BX37" s="269">
        <f>SUM(BT37:BW37)</f>
        <v>0</v>
      </c>
      <c r="BY37" s="16">
        <f>BW35*BY36/4</f>
        <v>0</v>
      </c>
      <c r="BZ37" s="16">
        <f>BY35*BZ36/4</f>
        <v>0</v>
      </c>
      <c r="CA37" s="16">
        <f>BZ35*CA36/4</f>
        <v>0</v>
      </c>
      <c r="CB37" s="16">
        <f>CA35*CB36/4</f>
        <v>0</v>
      </c>
      <c r="CC37" s="269">
        <f>SUM(BY37:CB37)</f>
        <v>0</v>
      </c>
      <c r="CD37" s="16">
        <f>CB35*CD36/4</f>
        <v>0</v>
      </c>
      <c r="CE37" s="16">
        <f>CD35*CE36/4</f>
        <v>0</v>
      </c>
      <c r="CF37" s="16">
        <f>CE35*CF36/4</f>
        <v>0</v>
      </c>
      <c r="CG37" s="16">
        <f>CF35*CG36/4</f>
        <v>0</v>
      </c>
      <c r="CH37" s="269">
        <f>SUM(CD37:CG37)</f>
        <v>0</v>
      </c>
      <c r="CI37" s="16">
        <f>CG35*CI36/4</f>
        <v>0</v>
      </c>
      <c r="CJ37" s="16">
        <f>CI35*CJ36/4</f>
        <v>0</v>
      </c>
      <c r="CK37" s="16">
        <f>CJ35*CK36/4</f>
        <v>0</v>
      </c>
      <c r="CL37" s="16">
        <f>CK35*CL36/4</f>
        <v>0</v>
      </c>
      <c r="CM37" s="269">
        <f>SUM(CI37:CL37)</f>
        <v>0</v>
      </c>
    </row>
    <row r="38" spans="1:91" s="16" customFormat="1">
      <c r="F38" s="269"/>
      <c r="K38" s="269"/>
      <c r="P38" s="269"/>
      <c r="U38" s="269"/>
      <c r="Z38" s="269"/>
      <c r="AE38" s="269"/>
      <c r="AJ38" s="269"/>
      <c r="AO38" s="269"/>
      <c r="AT38" s="269"/>
      <c r="AY38" s="269"/>
      <c r="BD38" s="269"/>
      <c r="BI38" s="269"/>
      <c r="BN38" s="269"/>
      <c r="BS38" s="269"/>
      <c r="BX38" s="269"/>
      <c r="CC38" s="269"/>
      <c r="CH38" s="269"/>
      <c r="CM38" s="269"/>
    </row>
    <row r="39" spans="1:91" s="16" customFormat="1">
      <c r="A39" s="16" t="s">
        <v>147</v>
      </c>
      <c r="E39" s="16">
        <f>BS!E32+BS!E29</f>
        <v>7.1959999999999997</v>
      </c>
      <c r="F39" s="269">
        <f>E39</f>
        <v>7.1959999999999997</v>
      </c>
      <c r="I39" s="16">
        <f>BS!I32+BS!I29</f>
        <v>7.8620000000000001</v>
      </c>
      <c r="J39" s="16">
        <f>BS!J32+BS!J29</f>
        <v>8.06</v>
      </c>
      <c r="K39" s="269">
        <f>J39</f>
        <v>8.06</v>
      </c>
      <c r="L39" s="16">
        <f>BS!L32+BS!L29</f>
        <v>9.1709999999999994</v>
      </c>
      <c r="M39" s="16">
        <f>BS!M32+BS!M29</f>
        <v>11.066000000000001</v>
      </c>
      <c r="N39" s="16">
        <f>BS!N32+BS!N29</f>
        <v>10.701000000000001</v>
      </c>
      <c r="O39" s="16">
        <f>BS!O32+BS!O29</f>
        <v>33.256</v>
      </c>
      <c r="P39" s="269">
        <f>O39</f>
        <v>33.256</v>
      </c>
      <c r="Q39" s="16">
        <f>BS!Q32+BS!Q29</f>
        <v>33.773000000000003</v>
      </c>
      <c r="R39" s="16">
        <f>BS!R32+BS!R29</f>
        <v>41.116999999999997</v>
      </c>
      <c r="S39" s="16">
        <f>BS!S32+BS!S29</f>
        <v>39.682000000000002</v>
      </c>
      <c r="T39" s="16">
        <f>BS!T32+BS!T29</f>
        <v>847.85699999999997</v>
      </c>
      <c r="U39" s="269">
        <f>T39</f>
        <v>847.85699999999997</v>
      </c>
      <c r="V39" s="16">
        <f>BS!V32+BS!V29</f>
        <v>1343.1429999999998</v>
      </c>
      <c r="W39" s="16">
        <f>BS!W32+BS!W29</f>
        <v>1345.3219999999999</v>
      </c>
      <c r="X39" s="16">
        <f>BS!X32+BS!X29</f>
        <v>1350.9860000000001</v>
      </c>
      <c r="Y39" s="16">
        <f>BS!Y32+BS!Y29</f>
        <v>1360.8739999999998</v>
      </c>
      <c r="Z39" s="269">
        <f>Y39</f>
        <v>1360.8739999999998</v>
      </c>
      <c r="AA39" s="16">
        <f>BS!AA32+BS!AA29</f>
        <v>1360.84</v>
      </c>
      <c r="AB39" s="16">
        <f>BS!AB32+BS!AB29</f>
        <v>1357.6079999999999</v>
      </c>
      <c r="AC39" s="16">
        <f>BS!AC32+BS!AC29</f>
        <v>1352.922</v>
      </c>
      <c r="AD39" s="16">
        <f>BS!AD32+BS!AD29</f>
        <v>1347.4059999999999</v>
      </c>
      <c r="AE39" s="269">
        <f>AD39</f>
        <v>1347.4059999999999</v>
      </c>
      <c r="AF39" s="16">
        <f>BS!AF32+BS!AF29</f>
        <v>1342.8910000000001</v>
      </c>
      <c r="AG39" s="16">
        <f>BS!AG32+BS!AG29</f>
        <v>1336.9080000000001</v>
      </c>
      <c r="AH39" s="16">
        <f>BS!AH32+BS!AH29</f>
        <v>1331.9989999999998</v>
      </c>
      <c r="AI39" s="16">
        <f>BS!AI32+BS!AI29</f>
        <v>1325.8139999999999</v>
      </c>
      <c r="AJ39" s="269">
        <f>AI39</f>
        <v>1325.8139999999999</v>
      </c>
      <c r="AK39" s="16">
        <f>BS!AK32+BS!AK29</f>
        <v>1319.518</v>
      </c>
      <c r="AL39" s="16">
        <f>BS!AL32+BS!AL29</f>
        <v>1313.45</v>
      </c>
      <c r="AM39" s="16">
        <f>BS!AM32+BS!AM29</f>
        <v>1312.0320000000002</v>
      </c>
      <c r="AN39" s="16">
        <f>BS!AN32+BS!AN29</f>
        <v>1306.8389999999999</v>
      </c>
      <c r="AO39" s="269">
        <f>AN39</f>
        <v>1306.8389999999999</v>
      </c>
      <c r="AP39" s="16">
        <f>BS!AP32+BS!AP29</f>
        <v>1116.3389999999999</v>
      </c>
      <c r="AQ39" s="16">
        <f>BS!AQ32+BS!AQ29</f>
        <v>1115.5260000000001</v>
      </c>
      <c r="AR39" s="16">
        <f>BS!AR32+BS!AR29</f>
        <v>1114.5940000000001</v>
      </c>
      <c r="AS39" s="16">
        <f>BS!AS32+BS!AS29</f>
        <v>1504</v>
      </c>
      <c r="AT39" s="269">
        <f>AS39</f>
        <v>1504</v>
      </c>
      <c r="AU39" s="16">
        <f>SUM(AU33,AU35)</f>
        <v>1504</v>
      </c>
      <c r="AV39" s="16">
        <f>SUM(AV33,AV35)</f>
        <v>1504</v>
      </c>
      <c r="AW39" s="16">
        <f>SUM(AW33,AW35)</f>
        <v>1504</v>
      </c>
      <c r="AX39" s="16">
        <f>SUM(AX33,AX35)</f>
        <v>1504</v>
      </c>
      <c r="AY39" s="269">
        <f>AX39</f>
        <v>1504</v>
      </c>
      <c r="AZ39" s="16">
        <f>SUM(AZ33,AZ35)</f>
        <v>1504</v>
      </c>
      <c r="BA39" s="16">
        <f>SUM(BA33,BA35)</f>
        <v>1504</v>
      </c>
      <c r="BB39" s="16">
        <f>SUM(BB33,BB35)</f>
        <v>1504</v>
      </c>
      <c r="BC39" s="16">
        <f>SUM(BC33,BC35)</f>
        <v>1015.4159999999999</v>
      </c>
      <c r="BD39" s="269">
        <f>BC39</f>
        <v>1015.4159999999999</v>
      </c>
      <c r="BE39" s="16">
        <f>SUM(BE33,BE35)</f>
        <v>1015.4159999999999</v>
      </c>
      <c r="BF39" s="16">
        <f>SUM(BF33,BF35)</f>
        <v>1015.4159999999999</v>
      </c>
      <c r="BG39" s="16">
        <f>SUM(BG33,BG35)</f>
        <v>1015.4159999999999</v>
      </c>
      <c r="BH39" s="16">
        <f>SUM(BH33,BH35)</f>
        <v>1015.4159999999999</v>
      </c>
      <c r="BI39" s="269">
        <f>BH39</f>
        <v>1015.4159999999999</v>
      </c>
      <c r="BJ39" s="16">
        <f>SUM(BJ33,BJ35)</f>
        <v>1015.4159999999999</v>
      </c>
      <c r="BK39" s="16">
        <f>SUM(BK33,BK35)</f>
        <v>1015.4159999999999</v>
      </c>
      <c r="BL39" s="16">
        <f>SUM(BL33,BL35)</f>
        <v>1015.4159999999999</v>
      </c>
      <c r="BM39" s="16">
        <f>SUM(BM33,BM35)</f>
        <v>1015.4159999999999</v>
      </c>
      <c r="BN39" s="269">
        <f>BM39</f>
        <v>1015.4159999999999</v>
      </c>
      <c r="BO39" s="16">
        <f>SUM(BO33,BO35)</f>
        <v>1015.4159999999999</v>
      </c>
      <c r="BP39" s="16">
        <f>SUM(BP33,BP35)</f>
        <v>1015.4159999999999</v>
      </c>
      <c r="BQ39" s="16">
        <f>SUM(BQ33,BQ35)</f>
        <v>1015.4159999999999</v>
      </c>
      <c r="BR39" s="16">
        <f>SUM(BR33,BR35)</f>
        <v>1015.4159999999999</v>
      </c>
      <c r="BS39" s="269">
        <f>BR39</f>
        <v>1015.4159999999999</v>
      </c>
      <c r="BT39" s="16">
        <f>SUM(BT33,BT35)</f>
        <v>387.92199999999997</v>
      </c>
      <c r="BU39" s="16">
        <f>SUM(BU33,BU35)</f>
        <v>387.92199999999997</v>
      </c>
      <c r="BV39" s="16">
        <f>SUM(BV33,BV35)</f>
        <v>387.92199999999997</v>
      </c>
      <c r="BW39" s="16">
        <f>SUM(BW33,BW35)</f>
        <v>387.92199999999997</v>
      </c>
      <c r="BX39" s="269">
        <f>BW39</f>
        <v>387.92199999999997</v>
      </c>
      <c r="BY39" s="16">
        <f>SUM(BY33,BY35)</f>
        <v>390.339</v>
      </c>
      <c r="BZ39" s="16">
        <f>SUM(BZ33,BZ35)</f>
        <v>390.339</v>
      </c>
      <c r="CA39" s="16">
        <f>SUM(CA33,CA35)</f>
        <v>390.339</v>
      </c>
      <c r="CB39" s="16">
        <f>SUM(CB33,CB35)</f>
        <v>390.339</v>
      </c>
      <c r="CC39" s="269">
        <f>CB39</f>
        <v>390.339</v>
      </c>
      <c r="CD39" s="16">
        <f>SUM(CD33,CD35)</f>
        <v>390.339</v>
      </c>
      <c r="CE39" s="16">
        <f>SUM(CE33,CE35)</f>
        <v>0</v>
      </c>
      <c r="CF39" s="16">
        <f>SUM(CF33,CF35)</f>
        <v>0</v>
      </c>
      <c r="CG39" s="16">
        <f>SUM(CG33,CG35)</f>
        <v>0</v>
      </c>
      <c r="CH39" s="269">
        <f>CG39</f>
        <v>0</v>
      </c>
      <c r="CI39" s="16">
        <f>SUM(CI33,CI35)</f>
        <v>0</v>
      </c>
      <c r="CJ39" s="16">
        <f>SUM(CJ33,CJ35)</f>
        <v>0</v>
      </c>
      <c r="CK39" s="16">
        <f>SUM(CK33,CK35)</f>
        <v>0</v>
      </c>
      <c r="CL39" s="16">
        <f>SUM(CL33,CL35)</f>
        <v>0</v>
      </c>
      <c r="CM39" s="269">
        <f>CL39</f>
        <v>0</v>
      </c>
    </row>
    <row r="40" spans="1:91" s="16" customFormat="1">
      <c r="A40" s="16" t="s">
        <v>148</v>
      </c>
      <c r="E40" s="16">
        <f>SUM(E37,E15,E19,E23)</f>
        <v>0.30399999999999999</v>
      </c>
      <c r="F40" s="269">
        <f>SUM(F37,F15,F19,F23)</f>
        <v>2.7019999999999995</v>
      </c>
      <c r="I40" s="16">
        <f t="shared" ref="I40:AN40" si="171">SUM(I37,I15,I19,I23)</f>
        <v>0.30399999999999999</v>
      </c>
      <c r="J40" s="16">
        <f t="shared" si="171"/>
        <v>0.29899999999999999</v>
      </c>
      <c r="K40" s="269">
        <f t="shared" si="171"/>
        <v>0.60299999999999998</v>
      </c>
      <c r="L40" s="16">
        <f t="shared" si="171"/>
        <v>0.29299999999999998</v>
      </c>
      <c r="M40" s="16">
        <f t="shared" si="171"/>
        <v>0.28699999999999998</v>
      </c>
      <c r="N40" s="16">
        <f t="shared" si="171"/>
        <v>0.28000000000000003</v>
      </c>
      <c r="O40" s="16">
        <f t="shared" si="171"/>
        <v>0.32100000000000001</v>
      </c>
      <c r="P40" s="269">
        <f t="shared" si="171"/>
        <v>1.181</v>
      </c>
      <c r="Q40" s="16">
        <f t="shared" si="171"/>
        <v>1.2E-2</v>
      </c>
      <c r="R40" s="16">
        <f t="shared" si="171"/>
        <v>0.01</v>
      </c>
      <c r="S40" s="16">
        <f t="shared" si="171"/>
        <v>8.0000000000000002E-3</v>
      </c>
      <c r="T40" s="16">
        <f t="shared" si="171"/>
        <v>8.0000000000000002E-3</v>
      </c>
      <c r="U40" s="269">
        <f t="shared" si="171"/>
        <v>3.7999999999999999E-2</v>
      </c>
      <c r="V40" s="16">
        <f t="shared" si="171"/>
        <v>1.0491459999999999</v>
      </c>
      <c r="W40" s="16">
        <f t="shared" si="171"/>
        <v>1.2124495</v>
      </c>
      <c r="X40" s="16">
        <f t="shared" si="171"/>
        <v>1.2174982627708757</v>
      </c>
      <c r="Y40" s="16">
        <f t="shared" si="171"/>
        <v>1.233252534959381</v>
      </c>
      <c r="Z40" s="269">
        <f t="shared" si="171"/>
        <v>4.7123462977302566</v>
      </c>
      <c r="AA40" s="16">
        <f t="shared" si="171"/>
        <v>1.2114104999999999</v>
      </c>
      <c r="AB40" s="16">
        <f t="shared" si="171"/>
        <v>1.2117315</v>
      </c>
      <c r="AC40" s="16">
        <f t="shared" si="171"/>
        <v>1.2009827990101032</v>
      </c>
      <c r="AD40" s="16">
        <f t="shared" si="171"/>
        <v>1.1860770309215227</v>
      </c>
      <c r="AE40" s="269">
        <f t="shared" si="171"/>
        <v>4.8102018299316258</v>
      </c>
      <c r="AF40" s="16">
        <f t="shared" si="171"/>
        <v>1.1687995922543113</v>
      </c>
      <c r="AG40" s="16">
        <f t="shared" si="171"/>
        <v>1.1540609454536179</v>
      </c>
      <c r="AH40" s="16">
        <f t="shared" si="171"/>
        <v>1.1357682274721912</v>
      </c>
      <c r="AI40" s="16">
        <f t="shared" si="171"/>
        <v>1.1202228940708232</v>
      </c>
      <c r="AJ40" s="269">
        <f t="shared" si="171"/>
        <v>4.5788516592509438</v>
      </c>
      <c r="AK40" s="16">
        <f t="shared" si="171"/>
        <v>1.1010314743341156</v>
      </c>
      <c r="AL40" s="16">
        <f t="shared" si="171"/>
        <v>1.0815205219410142</v>
      </c>
      <c r="AM40" s="16">
        <f t="shared" si="171"/>
        <v>1.0626610645984285</v>
      </c>
      <c r="AN40" s="16">
        <f t="shared" si="171"/>
        <v>1.0570886773650376</v>
      </c>
      <c r="AO40" s="269">
        <f t="shared" ref="AO40:AR40" si="172">SUM(AO37,AO15,AO19,AO23)</f>
        <v>4.3023017382385955</v>
      </c>
      <c r="AP40" s="16">
        <f t="shared" si="172"/>
        <v>1.0407271177160933</v>
      </c>
      <c r="AQ40" s="16">
        <f t="shared" si="172"/>
        <v>0.87246099999999993</v>
      </c>
      <c r="AR40" s="16">
        <f t="shared" si="172"/>
        <v>0.87151000000000001</v>
      </c>
      <c r="AS40" s="16">
        <f>SUM(AS37,AS15,AS19,AS23,AS31,AS27)</f>
        <v>0.87043999999999999</v>
      </c>
      <c r="AT40" s="269">
        <f>SUM(AP40:AS40)</f>
        <v>3.6551381177160933</v>
      </c>
      <c r="AU40" s="16">
        <f>SUM(AU37,AU15,AU19,AU23,AU31,AU27)</f>
        <v>0.86936900000000006</v>
      </c>
      <c r="AV40" s="16">
        <f t="shared" ref="AV40:AX40" si="173">SUM(AV37,AV15,AV19,AV23,AV31,AV27)</f>
        <v>0.86936900000000006</v>
      </c>
      <c r="AW40" s="16">
        <f t="shared" si="173"/>
        <v>0.86936900000000006</v>
      </c>
      <c r="AX40" s="16">
        <f t="shared" si="173"/>
        <v>0.86936900000000006</v>
      </c>
      <c r="AY40" s="269">
        <f>SUM(AU40:AX40)</f>
        <v>3.4774760000000002</v>
      </c>
      <c r="AZ40" s="16">
        <f>SUM(AZ37,AZ15,AZ19,AZ23,AZ31,AZ27)</f>
        <v>0.86936900000000006</v>
      </c>
      <c r="BA40" s="16">
        <f t="shared" ref="BA40:BC40" si="174">SUM(BA37,BA15,BA19,BA23,BA31,BA27)</f>
        <v>0.86936900000000006</v>
      </c>
      <c r="BB40" s="16">
        <f t="shared" si="174"/>
        <v>0.86936900000000006</v>
      </c>
      <c r="BC40" s="16">
        <f t="shared" si="174"/>
        <v>0.86936900000000006</v>
      </c>
      <c r="BD40" s="269">
        <f>SUM(AZ40:BC40)</f>
        <v>3.4774760000000002</v>
      </c>
      <c r="BE40" s="16">
        <f>SUM(BE37,BE15,BE19,BE23,BE31,BE27)</f>
        <v>0.62507699999999999</v>
      </c>
      <c r="BF40" s="16">
        <f t="shared" ref="BF40:BH40" si="175">SUM(BF37,BF15,BF19,BF23,BF31,BF27)</f>
        <v>0.62507699999999999</v>
      </c>
      <c r="BG40" s="16">
        <f t="shared" si="175"/>
        <v>0.62507699999999999</v>
      </c>
      <c r="BH40" s="16">
        <f t="shared" si="175"/>
        <v>0.62507699999999999</v>
      </c>
      <c r="BI40" s="269">
        <f>SUM(BE40:BH40)</f>
        <v>2.500308</v>
      </c>
      <c r="BJ40" s="16">
        <f>SUM(BJ37,BJ15,BJ19,BJ23,BJ31,BJ27)</f>
        <v>0.62507699999999999</v>
      </c>
      <c r="BK40" s="16">
        <f t="shared" ref="BK40:BM40" si="176">SUM(BK37,BK15,BK19,BK23,BK31,BK27)</f>
        <v>0.62507699999999999</v>
      </c>
      <c r="BL40" s="16">
        <f t="shared" si="176"/>
        <v>0.62507699999999999</v>
      </c>
      <c r="BM40" s="16">
        <f t="shared" si="176"/>
        <v>0.62507699999999999</v>
      </c>
      <c r="BN40" s="269">
        <f>SUM(BJ40:BM40)</f>
        <v>2.500308</v>
      </c>
      <c r="BO40" s="16">
        <f>SUM(BO37,BO15,BO19,BO23,BO31,BO27)</f>
        <v>0.62507699999999999</v>
      </c>
      <c r="BP40" s="16">
        <f t="shared" ref="BP40:BR40" si="177">SUM(BP37,BP15,BP19,BP23,BP31,BP27)</f>
        <v>0.62507699999999999</v>
      </c>
      <c r="BQ40" s="16">
        <f t="shared" si="177"/>
        <v>0.62507699999999999</v>
      </c>
      <c r="BR40" s="16">
        <f t="shared" si="177"/>
        <v>0.62507699999999999</v>
      </c>
      <c r="BS40" s="269">
        <f>SUM(BO40:BR40)</f>
        <v>2.500308</v>
      </c>
      <c r="BT40" s="16">
        <f>SUM(BT37,BT15,BT19,BT23,BT31,BT27)</f>
        <v>0.62507699999999999</v>
      </c>
      <c r="BU40" s="16">
        <f t="shared" ref="BU40:BW40" si="178">SUM(BU37,BU15,BU19,BU23,BU31,BU27)</f>
        <v>-6.906419022349306E-3</v>
      </c>
      <c r="BV40" s="16">
        <f t="shared" si="178"/>
        <v>-6.906419022349306E-3</v>
      </c>
      <c r="BW40" s="16">
        <f t="shared" si="178"/>
        <v>-6.906419022349306E-3</v>
      </c>
      <c r="BX40" s="269">
        <f>SUM(BT40:BW40)</f>
        <v>0.60435774293295197</v>
      </c>
      <c r="BY40" s="16">
        <f>SUM(BY37,BY15,BY19,BY23,BY31,BY27)</f>
        <v>-6.906419022349306E-3</v>
      </c>
      <c r="BZ40" s="16">
        <f t="shared" ref="BZ40:CB40" si="179">SUM(BZ37,BZ15,BZ19,BZ23,BZ31,BZ27)</f>
        <v>0</v>
      </c>
      <c r="CA40" s="16">
        <f t="shared" si="179"/>
        <v>0</v>
      </c>
      <c r="CB40" s="16">
        <f t="shared" si="179"/>
        <v>0</v>
      </c>
      <c r="CC40" s="16">
        <f>SUM(CC37,CC15,CC19,CC23,CC31,CC27)</f>
        <v>-6.906419022349306E-3</v>
      </c>
      <c r="CD40" s="16">
        <f t="shared" ref="CD40:CF40" si="180">SUM(CD37,CD15,CD19,CD23,CD31,CD27)</f>
        <v>0</v>
      </c>
      <c r="CE40" s="16">
        <f t="shared" si="180"/>
        <v>0</v>
      </c>
      <c r="CF40" s="16">
        <f t="shared" si="180"/>
        <v>0</v>
      </c>
      <c r="CG40" s="16">
        <f t="shared" ref="CG40" si="181">SUM(CG37,CG15,CG19,CG23,CG31,CG27)</f>
        <v>0</v>
      </c>
      <c r="CH40" s="269">
        <f>SUM(CD40:CG40)</f>
        <v>0</v>
      </c>
      <c r="CI40" s="16">
        <f>SUM(CI37,CI15,CI19,CI23,CI31,CI27)</f>
        <v>0</v>
      </c>
      <c r="CJ40" s="16">
        <f t="shared" ref="CJ40:CL40" si="182">SUM(CJ37,CJ15,CJ19,CJ23,CJ31,CJ27)</f>
        <v>0</v>
      </c>
      <c r="CK40" s="16">
        <f t="shared" si="182"/>
        <v>0</v>
      </c>
      <c r="CL40" s="16">
        <f t="shared" si="182"/>
        <v>0</v>
      </c>
      <c r="CM40" s="269">
        <f>SUM(CI40:CL40)</f>
        <v>0</v>
      </c>
    </row>
    <row r="41" spans="1:91" s="16" customFormat="1">
      <c r="A41" s="16" t="s">
        <v>149</v>
      </c>
      <c r="E41" s="16">
        <f>IS!E18</f>
        <v>0.30399999999999999</v>
      </c>
      <c r="F41" s="269">
        <f>IS!F18</f>
        <v>2.7019999999999995</v>
      </c>
      <c r="I41" s="16">
        <f>IS!I18</f>
        <v>0.30399999999999999</v>
      </c>
      <c r="J41" s="16">
        <f>IS!J18</f>
        <v>0.29899999999999999</v>
      </c>
      <c r="K41" s="269"/>
      <c r="L41" s="16">
        <f>IS!L18</f>
        <v>0.29299999999999998</v>
      </c>
      <c r="M41" s="16">
        <f>IS!M18</f>
        <v>0.28699999999999998</v>
      </c>
      <c r="N41" s="16">
        <f>IS!N18</f>
        <v>0.28000000000000003</v>
      </c>
      <c r="O41" s="16">
        <f>IS!O18</f>
        <v>0.32100000000000001</v>
      </c>
      <c r="P41" s="269"/>
      <c r="Q41" s="16">
        <f>IS!Q18</f>
        <v>1.2E-2</v>
      </c>
      <c r="R41" s="16">
        <f>IS!R18</f>
        <v>0.01</v>
      </c>
      <c r="S41" s="16">
        <f>IS!S18</f>
        <v>8.0000000000000002E-3</v>
      </c>
      <c r="T41" s="16">
        <f>IS!T18</f>
        <v>4.7359999999999998</v>
      </c>
      <c r="U41" s="269">
        <f>SUM(Q41:T41)</f>
        <v>4.766</v>
      </c>
      <c r="V41" s="16">
        <f>IS!V18</f>
        <v>0.64600000000000002</v>
      </c>
      <c r="W41" s="16">
        <f>IS!W18</f>
        <v>0.64400000000000002</v>
      </c>
      <c r="X41" s="16">
        <f>IS!X18</f>
        <v>0.64400000000000002</v>
      </c>
      <c r="Y41" s="16">
        <f>IS!Y18</f>
        <v>0.64300000000000002</v>
      </c>
      <c r="Z41" s="269">
        <f>SUM(V41:Y41)</f>
        <v>2.577</v>
      </c>
      <c r="AA41" s="16">
        <f>IS!AA18</f>
        <v>0.64400000000000002</v>
      </c>
      <c r="AB41" s="16">
        <f>IS!AB18</f>
        <v>0.64500000000000002</v>
      </c>
      <c r="AC41" s="16">
        <f>IS!AC18</f>
        <v>0.64400000000000002</v>
      </c>
      <c r="AD41" s="16">
        <f>IS!AD18</f>
        <v>0.64400000000000002</v>
      </c>
      <c r="AE41" s="269">
        <f>SUM(AA41:AD41)</f>
        <v>2.5770000000000004</v>
      </c>
      <c r="AF41" s="16">
        <f>IS!AF18</f>
        <v>0.64400000000000002</v>
      </c>
      <c r="AG41" s="16">
        <f>IS!AG18</f>
        <v>0.64500000000000002</v>
      </c>
      <c r="AH41" s="16">
        <f>IS!AH18</f>
        <v>0.64400000000000002</v>
      </c>
      <c r="AI41" s="16">
        <f>IS!AI18</f>
        <v>0.64500000000000002</v>
      </c>
      <c r="AJ41" s="269">
        <f>IS!AJ18</f>
        <v>2.5780000000000003</v>
      </c>
      <c r="AK41" s="16">
        <f>IS!AK18</f>
        <v>0.64500000000000002</v>
      </c>
      <c r="AL41" s="16">
        <f>IS!AL18</f>
        <v>0.64500000000000002</v>
      </c>
      <c r="AM41" s="16">
        <f>IS!AM18</f>
        <v>0.64600000000000002</v>
      </c>
      <c r="AN41" s="16">
        <f>IS!AN18</f>
        <v>0.64500000000000002</v>
      </c>
      <c r="AO41" s="269">
        <f>IS!AO18</f>
        <v>2.581</v>
      </c>
      <c r="AP41" s="16">
        <f>IS!AP18</f>
        <v>0.79100000000000004</v>
      </c>
      <c r="AQ41" s="16">
        <f>IS!AQ18</f>
        <v>0.98299999999999998</v>
      </c>
      <c r="AR41" s="16">
        <f>IS!AR18</f>
        <v>0.94299999999999995</v>
      </c>
      <c r="AS41" s="16">
        <f>IS!AS18</f>
        <v>1.18</v>
      </c>
      <c r="AT41" s="269"/>
      <c r="AY41" s="269"/>
      <c r="BD41" s="269"/>
      <c r="BI41" s="269"/>
      <c r="BN41" s="269"/>
      <c r="BS41" s="269"/>
      <c r="BX41" s="269"/>
      <c r="CC41" s="269"/>
      <c r="CH41" s="269"/>
      <c r="CM41" s="269"/>
    </row>
    <row r="42" spans="1:91" s="16" customFormat="1">
      <c r="E42" s="20"/>
      <c r="F42" s="259"/>
      <c r="G42" s="20"/>
      <c r="H42" s="20"/>
      <c r="I42" s="20"/>
      <c r="J42" s="20"/>
      <c r="K42" s="269"/>
      <c r="L42" s="20"/>
      <c r="M42" s="20"/>
      <c r="N42" s="20"/>
      <c r="O42" s="20"/>
      <c r="P42" s="269"/>
      <c r="Q42" s="20"/>
      <c r="S42" s="20"/>
      <c r="T42" s="20"/>
      <c r="U42" s="269"/>
      <c r="V42" s="20"/>
      <c r="W42" s="20"/>
      <c r="X42" s="20"/>
      <c r="Y42" s="20"/>
      <c r="Z42" s="269"/>
      <c r="AA42" s="20"/>
      <c r="AE42" s="269"/>
      <c r="AJ42" s="269"/>
      <c r="AO42" s="269"/>
      <c r="AT42" s="269"/>
      <c r="AY42" s="269"/>
      <c r="BD42" s="269"/>
      <c r="BI42" s="269"/>
      <c r="BN42" s="269"/>
      <c r="BS42" s="269"/>
      <c r="BX42" s="269"/>
      <c r="CC42" s="269"/>
      <c r="CH42" s="269"/>
      <c r="CM42" s="269"/>
    </row>
    <row r="43" spans="1:91" s="16" customFormat="1">
      <c r="A43" s="16" t="s">
        <v>188</v>
      </c>
      <c r="E43" s="16">
        <f>+E41-E8</f>
        <v>-0.70799999999999996</v>
      </c>
      <c r="F43" s="269">
        <f>+F41-F8</f>
        <v>0.46799999999999953</v>
      </c>
      <c r="I43" s="16">
        <f>+I41-I8</f>
        <v>-0.65399999999999991</v>
      </c>
      <c r="J43" s="16">
        <f>+J41-J8</f>
        <v>-2.0350000000000001</v>
      </c>
      <c r="K43" s="269"/>
      <c r="L43" s="16">
        <f>+L41-L8</f>
        <v>-2.1919999999999997</v>
      </c>
      <c r="M43" s="16">
        <f>+M41-M8</f>
        <v>-2.8120000000000003</v>
      </c>
      <c r="N43" s="16">
        <f>+N41-N8</f>
        <v>-4.0059999999999993</v>
      </c>
      <c r="O43" s="16">
        <f>+O41-O8</f>
        <v>-3.55</v>
      </c>
      <c r="P43" s="269">
        <f>+SUM(L43:O43)</f>
        <v>-12.559999999999999</v>
      </c>
      <c r="Q43" s="16">
        <f>+Q41-Q8</f>
        <v>-3.306</v>
      </c>
      <c r="R43" s="16">
        <f>+R41-R8</f>
        <v>-2.6300000000000003</v>
      </c>
      <c r="S43" s="16">
        <f>+S41-S8</f>
        <v>-2.3050000000000002</v>
      </c>
      <c r="T43" s="16">
        <f>+T41-T8</f>
        <v>2.8359999999999999</v>
      </c>
      <c r="U43" s="269">
        <f>+SUM(Q43:T43)</f>
        <v>-5.4049999999999994</v>
      </c>
      <c r="V43" s="16">
        <f>+V41-V8</f>
        <v>-0.90499999999999992</v>
      </c>
      <c r="W43" s="16">
        <f>+W41-W8</f>
        <v>-0.3929999999999999</v>
      </c>
      <c r="X43" s="16">
        <f>+X41-X8</f>
        <v>-4.4999999999999929E-2</v>
      </c>
      <c r="Y43" s="16">
        <f>+Y41-Y8</f>
        <v>-1.0000000000000009E-2</v>
      </c>
      <c r="Z43" s="269">
        <f>+SUM(V43:Y43)</f>
        <v>-1.3529999999999998</v>
      </c>
      <c r="AA43" s="16">
        <f>+AA41-AA8</f>
        <v>-0.13400000000000001</v>
      </c>
      <c r="AB43" s="16">
        <f>+AB41-AB8</f>
        <v>-0.74199999999999999</v>
      </c>
      <c r="AC43" s="16">
        <f>+AC41-AC8</f>
        <v>-1.1099999999999999</v>
      </c>
      <c r="AD43" s="16">
        <f>+AD41-AD8</f>
        <v>-1.5059999999999998</v>
      </c>
      <c r="AE43" s="269">
        <f>+SUM(AA43:AD43)</f>
        <v>-3.4919999999999995</v>
      </c>
      <c r="AF43" s="16">
        <f>+AF41-AF8</f>
        <v>-2.4159999999999999</v>
      </c>
      <c r="AG43" s="16">
        <f>+AG41-AG8</f>
        <v>-6.0820000000000007</v>
      </c>
      <c r="AH43" s="16">
        <f>+AH41-AH8</f>
        <v>-11.045999999999999</v>
      </c>
      <c r="AI43" s="16">
        <f>+AI41-AI8</f>
        <v>-13.243</v>
      </c>
      <c r="AJ43" s="269">
        <f>+SUM(AF43:AI43)</f>
        <v>-32.786999999999999</v>
      </c>
      <c r="AK43" s="16">
        <f>+AK41-AK8</f>
        <v>-14.223000000000001</v>
      </c>
      <c r="AL43" s="16">
        <f>+AL41-AL8</f>
        <v>-13.268000000000001</v>
      </c>
      <c r="AM43" s="16">
        <f>+AM41-AM8</f>
        <v>-12.610999999999999</v>
      </c>
      <c r="AN43" s="16">
        <f>+AN41-AN8</f>
        <v>-11.008000000000001</v>
      </c>
      <c r="AO43" s="269">
        <f>+SUM(AK43:AN43)</f>
        <v>-51.11</v>
      </c>
      <c r="AP43" s="16">
        <f>+AP41-AP8</f>
        <v>-8.3209999999999997</v>
      </c>
      <c r="AQ43" s="16">
        <f>+AQ41-AQ8</f>
        <v>-6.577</v>
      </c>
      <c r="AR43" s="16">
        <f>+AR41-AR8</f>
        <v>-6.4480000000000004</v>
      </c>
      <c r="AS43" s="16">
        <f>+AS41-AS8</f>
        <v>-8.8520000000000003</v>
      </c>
      <c r="AT43" s="269">
        <f>+SUM(AP43:AS43)</f>
        <v>-30.198</v>
      </c>
      <c r="AU43" s="16">
        <f>+AU41-AU8</f>
        <v>-12.015979999999999</v>
      </c>
      <c r="AV43" s="16">
        <f>+AV41-AV8</f>
        <v>-11.319718355948458</v>
      </c>
      <c r="AW43" s="16">
        <f>+AW41-AW8</f>
        <v>-9.3321192732007496</v>
      </c>
      <c r="AX43" s="16">
        <f>+AX41-AX8</f>
        <v>-9.0730643313899346</v>
      </c>
      <c r="AY43" s="269">
        <f>+SUM(AU43:AX43)</f>
        <v>-41.740881960539149</v>
      </c>
      <c r="AZ43" s="16">
        <f>+AZ41-AZ8</f>
        <v>-7.7207031084582347</v>
      </c>
      <c r="BA43" s="16">
        <f>+BA41-BA8</f>
        <v>-7.4608202447250154</v>
      </c>
      <c r="BB43" s="16">
        <f>+BB41-BB8</f>
        <v>-7.186314714332795</v>
      </c>
      <c r="BC43" s="16">
        <f>+BC41-BC8</f>
        <v>-7.2443051508418135</v>
      </c>
      <c r="BD43" s="269">
        <f>+SUM(AZ43:BC43)</f>
        <v>-29.612143218357861</v>
      </c>
      <c r="BE43" s="16">
        <f>+BE41-BE8</f>
        <v>-3.9290410543275014</v>
      </c>
      <c r="BF43" s="16">
        <f>+BF41-BF8</f>
        <v>-4.0461887414852535</v>
      </c>
      <c r="BG43" s="16">
        <f>+BG41-BG8</f>
        <v>-4.0763709282689256</v>
      </c>
      <c r="BH43" s="16">
        <f>+BH41-BH8</f>
        <v>-4.5782475991830234</v>
      </c>
      <c r="BI43" s="269">
        <f>+SUM(BE43:BH43)</f>
        <v>-16.629848323264703</v>
      </c>
      <c r="BJ43" s="16">
        <f>+BJ41-BJ8</f>
        <v>-5.4936504300304181</v>
      </c>
      <c r="BK43" s="16">
        <f>+BK41-BK8</f>
        <v>-6.2002691060426365</v>
      </c>
      <c r="BL43" s="16">
        <f>+BL41-BL8</f>
        <v>-6.5251800554528865</v>
      </c>
      <c r="BM43" s="16">
        <f>+BM41-BM8</f>
        <v>-7.4661190829250019</v>
      </c>
      <c r="BN43" s="269">
        <f>+SUM(BJ43:BM43)</f>
        <v>-25.68521867445094</v>
      </c>
      <c r="BO43" s="16">
        <f>+BO41-BO8</f>
        <v>-8.8860166278539108</v>
      </c>
      <c r="BP43" s="16">
        <f>+BP41-BP8</f>
        <v>-10.006369283012425</v>
      </c>
      <c r="BQ43" s="16">
        <f>+BQ41-BQ8</f>
        <v>-10.719198782551821</v>
      </c>
      <c r="BR43" s="16">
        <f>+BR41-BR8</f>
        <v>-12.127092013167994</v>
      </c>
      <c r="BS43" s="269">
        <f>+SUM(BO43:BR43)</f>
        <v>-41.738676706586155</v>
      </c>
      <c r="BT43" s="16">
        <f>+BT41-BT8</f>
        <v>-14.103087174873838</v>
      </c>
      <c r="BU43" s="16">
        <f>+BU41-BU8</f>
        <v>-11.093802031936551</v>
      </c>
      <c r="BV43" s="16">
        <f>+BV41-BV8</f>
        <v>-12.09225713322062</v>
      </c>
      <c r="BW43" s="16">
        <f>+BW41-BW8</f>
        <v>-13.8683463943724</v>
      </c>
      <c r="BX43" s="269">
        <f>+SUM(BT43:BW43)</f>
        <v>-51.157492734403412</v>
      </c>
      <c r="BY43" s="16">
        <f>+BY41-BY8</f>
        <v>-16.263805030626511</v>
      </c>
      <c r="BZ43" s="16">
        <f>+BZ41-BZ8</f>
        <v>-18.281467504512595</v>
      </c>
      <c r="CA43" s="16">
        <f>+CA41-CA8</f>
        <v>-19.517817448745571</v>
      </c>
      <c r="CB43" s="16">
        <f>+CB41-CB8</f>
        <v>-21.618196367078113</v>
      </c>
      <c r="CC43" s="269">
        <f>+SUM(BY43:CB43)</f>
        <v>-75.681286350962793</v>
      </c>
      <c r="CD43" s="16">
        <f>+CD41-CD8</f>
        <v>-24.368937493373686</v>
      </c>
      <c r="CE43" s="16">
        <f>+CE41-CE8</f>
        <v>-26.698892592095472</v>
      </c>
      <c r="CF43" s="16">
        <f>+CF41-CF8</f>
        <v>-25.292287999815052</v>
      </c>
      <c r="CG43" s="16">
        <f>+CG41-CG8</f>
        <v>-27.680060720321556</v>
      </c>
      <c r="CH43" s="269">
        <f>+SUM(CD43:CG43)</f>
        <v>-104.04017880560576</v>
      </c>
      <c r="CI43" s="16">
        <f>+CI41-CI8</f>
        <v>-30.743792424358524</v>
      </c>
      <c r="CJ43" s="16">
        <f>+CJ41-CJ8</f>
        <v>-33.337620728452372</v>
      </c>
      <c r="CK43" s="16">
        <f>+CK41-CK8</f>
        <v>-35.047223544838204</v>
      </c>
      <c r="CL43" s="16">
        <f>+CL41-CL8</f>
        <v>-37.672196352603478</v>
      </c>
      <c r="CM43" s="269">
        <f>+SUM(CI43:CL43)</f>
        <v>-136.80083305025258</v>
      </c>
    </row>
    <row r="44" spans="1:91" s="21" customFormat="1">
      <c r="A44" s="16"/>
      <c r="F44" s="269"/>
      <c r="K44" s="269"/>
      <c r="P44" s="269"/>
      <c r="U44" s="269"/>
      <c r="Z44" s="269"/>
      <c r="AE44" s="269"/>
      <c r="AJ44" s="269"/>
      <c r="AO44" s="269"/>
      <c r="AT44" s="269"/>
      <c r="AY44" s="269"/>
      <c r="BD44" s="269"/>
      <c r="BI44" s="269"/>
      <c r="BN44" s="269"/>
      <c r="BS44" s="269"/>
      <c r="BX44" s="269"/>
      <c r="CC44" s="269"/>
      <c r="CH44" s="269"/>
      <c r="CM44" s="269"/>
    </row>
    <row r="45" spans="1:91" s="33" customFormat="1">
      <c r="A45" s="40" t="s">
        <v>104</v>
      </c>
      <c r="F45" s="290"/>
      <c r="K45" s="290"/>
      <c r="P45" s="290"/>
      <c r="U45" s="290"/>
      <c r="Z45" s="290"/>
      <c r="AE45" s="290"/>
      <c r="AJ45" s="290"/>
      <c r="AO45" s="290"/>
      <c r="AT45" s="290"/>
      <c r="AY45" s="290"/>
      <c r="BD45" s="290"/>
      <c r="BI45" s="290"/>
      <c r="BN45" s="290"/>
      <c r="BS45" s="290"/>
      <c r="BX45" s="290"/>
      <c r="CC45" s="290"/>
      <c r="CH45" s="290"/>
      <c r="CM45" s="290"/>
    </row>
    <row r="46" spans="1:91" s="33" customFormat="1">
      <c r="A46" s="35" t="s">
        <v>150</v>
      </c>
      <c r="B46" s="35"/>
      <c r="C46" s="35"/>
      <c r="D46" s="35"/>
      <c r="E46" s="35"/>
      <c r="F46" s="290"/>
      <c r="G46" s="35">
        <f>F50</f>
        <v>16.036000000000001</v>
      </c>
      <c r="H46" s="35"/>
      <c r="I46" s="35"/>
      <c r="J46" s="35">
        <f>I50</f>
        <v>30.318000000000001</v>
      </c>
      <c r="K46" s="290">
        <f>G46</f>
        <v>16.036000000000001</v>
      </c>
      <c r="L46" s="35">
        <f>J50</f>
        <v>31.003</v>
      </c>
      <c r="M46" s="35">
        <f>K50</f>
        <v>31.003</v>
      </c>
      <c r="N46" s="35">
        <f>+M50</f>
        <v>34.811</v>
      </c>
      <c r="O46" s="35">
        <f>N50</f>
        <v>40.759</v>
      </c>
      <c r="P46" s="290">
        <f>L46</f>
        <v>31.003</v>
      </c>
      <c r="Q46" s="35">
        <f>O50</f>
        <v>43.667999999999999</v>
      </c>
      <c r="R46" s="35">
        <f>Q50</f>
        <v>46.685000000000002</v>
      </c>
      <c r="S46" s="35">
        <f>R50</f>
        <v>56.994999999999997</v>
      </c>
      <c r="T46" s="35">
        <f>S50</f>
        <v>61.881999999999998</v>
      </c>
      <c r="U46" s="290">
        <f>Q46</f>
        <v>43.667999999999999</v>
      </c>
      <c r="V46" s="35">
        <f>T50</f>
        <v>62.781999999999996</v>
      </c>
      <c r="W46" s="35">
        <f>V50</f>
        <v>71.765000000000001</v>
      </c>
      <c r="X46" s="35">
        <f>W50</f>
        <v>89.736999999999995</v>
      </c>
      <c r="Y46" s="35">
        <f>X50</f>
        <v>106.15600000000001</v>
      </c>
      <c r="Z46" s="290">
        <f>V46</f>
        <v>62.781999999999996</v>
      </c>
      <c r="AA46" s="35">
        <f>Y50</f>
        <v>124.461</v>
      </c>
      <c r="AB46" s="35">
        <f>AA50</f>
        <v>151.322</v>
      </c>
      <c r="AC46" s="35">
        <f>AB50</f>
        <v>163.36199999999999</v>
      </c>
      <c r="AD46" s="35">
        <f>AC50</f>
        <v>168.00700000000001</v>
      </c>
      <c r="AE46" s="290">
        <f>AA46</f>
        <v>124.461</v>
      </c>
      <c r="AF46" s="35">
        <f>AD50</f>
        <v>167.92</v>
      </c>
      <c r="AG46" s="35">
        <f>AF50</f>
        <v>163.22900000000001</v>
      </c>
      <c r="AH46" s="35">
        <f>AG50</f>
        <v>155.74100000000001</v>
      </c>
      <c r="AI46" s="35">
        <f>AH50</f>
        <v>147.67099999999999</v>
      </c>
      <c r="AJ46" s="290">
        <f>AF46</f>
        <v>167.92</v>
      </c>
      <c r="AK46" s="35">
        <f>AI50</f>
        <v>145.096</v>
      </c>
      <c r="AL46" s="35">
        <f>AK50</f>
        <v>138.387</v>
      </c>
      <c r="AM46" s="35">
        <f>AL50</f>
        <v>132.31700000000001</v>
      </c>
      <c r="AN46" s="35">
        <f>AM50</f>
        <v>125.169</v>
      </c>
      <c r="AO46" s="290">
        <f>AK46</f>
        <v>145.096</v>
      </c>
      <c r="AP46" s="35">
        <f>AN50</f>
        <v>136.81299999999999</v>
      </c>
      <c r="AQ46" s="35">
        <f>AP50</f>
        <v>129.29400000000001</v>
      </c>
      <c r="AR46" s="35">
        <f>AQ50</f>
        <v>126.14100000000001</v>
      </c>
      <c r="AS46" s="35">
        <f>AR50</f>
        <v>124.60899999999999</v>
      </c>
      <c r="AT46" s="290">
        <f>AP46</f>
        <v>136.81299999999999</v>
      </c>
      <c r="AU46" s="35">
        <f>AS50</f>
        <v>145.91499999999999</v>
      </c>
      <c r="AV46" s="35">
        <f>AU50</f>
        <v>144.89194444444445</v>
      </c>
      <c r="AW46" s="35">
        <f>AV50</f>
        <v>143.92572530864197</v>
      </c>
      <c r="AX46" s="35">
        <f>AW50</f>
        <v>143.01318501371742</v>
      </c>
      <c r="AY46" s="290">
        <f>AU46</f>
        <v>145.91499999999999</v>
      </c>
      <c r="AZ46" s="35">
        <f>AX50</f>
        <v>142.15134140184423</v>
      </c>
      <c r="BA46" s="35">
        <f>AZ50</f>
        <v>143.69848910174179</v>
      </c>
      <c r="BB46" s="35">
        <f>BA50</f>
        <v>145.15968415164502</v>
      </c>
      <c r="BC46" s="35">
        <f>BB50</f>
        <v>146.53970169877584</v>
      </c>
      <c r="BD46" s="290">
        <f>AZ46</f>
        <v>142.15134140184423</v>
      </c>
      <c r="BE46" s="35">
        <f>BC50</f>
        <v>147.84305160439942</v>
      </c>
      <c r="BF46" s="35">
        <f>BE50</f>
        <v>151.43510429304391</v>
      </c>
      <c r="BG46" s="35">
        <f>BF50</f>
        <v>154.82759849898591</v>
      </c>
      <c r="BH46" s="35">
        <f>BG50</f>
        <v>158.03162080459779</v>
      </c>
      <c r="BI46" s="290">
        <f>BE46</f>
        <v>147.84305160439942</v>
      </c>
      <c r="BJ46" s="35">
        <f>BH50</f>
        <v>161.05764187100903</v>
      </c>
      <c r="BK46" s="35">
        <f>BJ50</f>
        <v>166.27666176706407</v>
      </c>
      <c r="BL46" s="35">
        <f>BK50</f>
        <v>171.20573611333828</v>
      </c>
      <c r="BM46" s="35">
        <f>BL50</f>
        <v>175.86097299593058</v>
      </c>
      <c r="BN46" s="290">
        <f>BJ46</f>
        <v>161.05764187100903</v>
      </c>
      <c r="BO46" s="35">
        <f>BM50</f>
        <v>180.25758560726777</v>
      </c>
      <c r="BP46" s="35">
        <f>BO50</f>
        <v>185.59049751797511</v>
      </c>
      <c r="BQ46" s="35">
        <f>BP50</f>
        <v>190.62713654475428</v>
      </c>
      <c r="BR46" s="35">
        <f>BQ50</f>
        <v>195.38396229226794</v>
      </c>
      <c r="BS46" s="290">
        <f>BO46</f>
        <v>180.25758560726777</v>
      </c>
      <c r="BT46" s="35">
        <f>BR50</f>
        <v>199.87651994269748</v>
      </c>
      <c r="BU46" s="35">
        <f>BT50</f>
        <v>205.30004661254762</v>
      </c>
      <c r="BV46" s="35">
        <f>BU50</f>
        <v>210.42226624518386</v>
      </c>
      <c r="BW46" s="35">
        <f>BV50</f>
        <v>215.25991812045143</v>
      </c>
      <c r="BX46" s="290">
        <f>BT46</f>
        <v>199.87651994269748</v>
      </c>
      <c r="BY46" s="35">
        <f>BW50</f>
        <v>219.82881155820414</v>
      </c>
      <c r="BZ46" s="35">
        <f>BY50</f>
        <v>225.3244331383039</v>
      </c>
      <c r="CA46" s="35">
        <f>BZ50</f>
        <v>230.51474240839812</v>
      </c>
      <c r="CB46" s="35">
        <f>CA50</f>
        <v>235.41670116348712</v>
      </c>
      <c r="CC46" s="290">
        <f>BY46</f>
        <v>219.82881155820414</v>
      </c>
      <c r="CD46" s="35">
        <f>CB50</f>
        <v>240.04632887662672</v>
      </c>
      <c r="CE46" s="35">
        <f>CD50</f>
        <v>245.59931060570301</v>
      </c>
      <c r="CF46" s="35">
        <f>CE50</f>
        <v>250.84379334983063</v>
      </c>
      <c r="CG46" s="35">
        <f>CF50</f>
        <v>255.79691594150674</v>
      </c>
      <c r="CH46" s="290">
        <f>CD46</f>
        <v>240.04632887662672</v>
      </c>
      <c r="CI46" s="35">
        <f>CG50</f>
        <v>260.4748650558675</v>
      </c>
      <c r="CJ46" s="35">
        <f>CI50</f>
        <v>266.07348366387487</v>
      </c>
      <c r="CK46" s="35">
        <f>CJ50</f>
        <v>271.36106790477072</v>
      </c>
      <c r="CL46" s="35">
        <f>CK50</f>
        <v>276.35489746561677</v>
      </c>
      <c r="CM46" s="290">
        <f>CI46</f>
        <v>260.4748650558675</v>
      </c>
    </row>
    <row r="47" spans="1:91" s="33" customFormat="1">
      <c r="A47" s="35" t="s">
        <v>151</v>
      </c>
      <c r="B47" s="35"/>
      <c r="C47" s="35"/>
      <c r="D47" s="35"/>
      <c r="E47" s="35"/>
      <c r="F47" s="290"/>
      <c r="G47" s="35"/>
      <c r="H47" s="35"/>
      <c r="I47" s="35"/>
      <c r="J47" s="35"/>
      <c r="K47" s="290"/>
      <c r="L47" s="35"/>
      <c r="M47" s="35"/>
      <c r="N47" s="35"/>
      <c r="O47" s="35"/>
      <c r="P47" s="290"/>
      <c r="Q47" s="35"/>
      <c r="R47" s="35"/>
      <c r="S47" s="35"/>
      <c r="T47" s="35"/>
      <c r="U47" s="290"/>
      <c r="V47" s="35"/>
      <c r="W47" s="35"/>
      <c r="X47" s="35"/>
      <c r="Y47" s="35"/>
      <c r="Z47" s="290"/>
      <c r="AA47" s="35"/>
      <c r="AB47" s="35"/>
      <c r="AC47" s="35"/>
      <c r="AD47" s="35"/>
      <c r="AE47" s="290"/>
      <c r="AF47" s="35">
        <f t="shared" ref="AF47" si="183">AF50-AF46-AF48-AF49</f>
        <v>-2.5499999999999741</v>
      </c>
      <c r="AG47" s="35">
        <f t="shared" ref="AG47" si="184">AG50-AG46-AG48-AG49</f>
        <v>-4.0560000000000027</v>
      </c>
      <c r="AH47" s="35">
        <f t="shared" ref="AH47" si="185">AH50-AH46-AH48-AH49</f>
        <v>-9.6000000000021402E-2</v>
      </c>
      <c r="AI47" s="35">
        <f t="shared" ref="AI47" si="186">AI50-AI46-AI48-AI49</f>
        <v>3.525000000000011</v>
      </c>
      <c r="AJ47" s="290"/>
      <c r="AK47" s="35">
        <f t="shared" ref="AK47:AL47" si="187">AK50-AK46-AK48-AK49</f>
        <v>-3.616000000000005</v>
      </c>
      <c r="AL47" s="35">
        <f t="shared" si="187"/>
        <v>-1.0759999999999899</v>
      </c>
      <c r="AM47" s="35">
        <f>AM50-AM46-AM48-AM49</f>
        <v>-1.2400000000000126</v>
      </c>
      <c r="AN47" s="35">
        <f>AN50-AN46-AN48-AN49</f>
        <v>2.7319999999999922</v>
      </c>
      <c r="AO47" s="290"/>
      <c r="AP47" s="35">
        <f t="shared" ref="AP47:AS47" si="188">AP50-AP46-AP48-AP49</f>
        <v>-2.2219999999999764</v>
      </c>
      <c r="AQ47" s="35">
        <f t="shared" si="188"/>
        <v>0.82399999999999096</v>
      </c>
      <c r="AR47" s="35">
        <f t="shared" si="188"/>
        <v>-2.8900000000000077</v>
      </c>
      <c r="AS47" s="35">
        <f t="shared" si="188"/>
        <v>3.1209999999999987</v>
      </c>
      <c r="AT47" s="290">
        <f>SUM(AP47:AS47)</f>
        <v>-1.1669999999999945</v>
      </c>
      <c r="AU47" s="35"/>
      <c r="AV47" s="35"/>
      <c r="AW47" s="35"/>
      <c r="AX47" s="35"/>
      <c r="AY47" s="290"/>
      <c r="AZ47" s="35"/>
      <c r="BA47" s="35"/>
      <c r="BB47" s="35"/>
      <c r="BC47" s="35"/>
      <c r="BD47" s="290"/>
      <c r="BE47" s="35"/>
      <c r="BF47" s="35"/>
      <c r="BG47" s="35"/>
      <c r="BH47" s="35"/>
      <c r="BI47" s="290"/>
      <c r="BJ47" s="35"/>
      <c r="BK47" s="35"/>
      <c r="BL47" s="35"/>
      <c r="BM47" s="35"/>
      <c r="BN47" s="290"/>
      <c r="BO47" s="35"/>
      <c r="BP47" s="35"/>
      <c r="BQ47" s="35"/>
      <c r="BR47" s="35"/>
      <c r="BS47" s="290"/>
      <c r="BT47" s="35"/>
      <c r="BU47" s="35"/>
      <c r="BV47" s="35"/>
      <c r="BW47" s="35"/>
      <c r="BX47" s="290"/>
      <c r="BY47" s="35"/>
      <c r="BZ47" s="35"/>
      <c r="CA47" s="35"/>
      <c r="CB47" s="35"/>
      <c r="CC47" s="290"/>
      <c r="CD47" s="35"/>
      <c r="CE47" s="35"/>
      <c r="CF47" s="35"/>
      <c r="CG47" s="35"/>
      <c r="CH47" s="290"/>
      <c r="CI47" s="35"/>
      <c r="CJ47" s="35"/>
      <c r="CK47" s="35"/>
      <c r="CL47" s="35"/>
      <c r="CM47" s="290"/>
    </row>
    <row r="48" spans="1:91" s="33" customFormat="1">
      <c r="A48" s="35" t="s">
        <v>152</v>
      </c>
      <c r="B48" s="35"/>
      <c r="C48" s="35"/>
      <c r="D48" s="35"/>
      <c r="E48" s="35"/>
      <c r="F48" s="290"/>
      <c r="G48" s="35"/>
      <c r="H48" s="35"/>
      <c r="I48" s="35">
        <f>-CF!I29</f>
        <v>5.9119999999999999</v>
      </c>
      <c r="J48" s="35">
        <f>-CF!J29</f>
        <v>2.9310000000000009</v>
      </c>
      <c r="K48" s="290">
        <f>SUM(I48:J48)*2</f>
        <v>17.686</v>
      </c>
      <c r="L48" s="35">
        <f>-CF!L29</f>
        <v>2.7050000000000001</v>
      </c>
      <c r="M48" s="35">
        <f>-CF!M29</f>
        <v>3.0469999999999997</v>
      </c>
      <c r="N48" s="35">
        <f>-CF!N29</f>
        <v>5.8759999999999994</v>
      </c>
      <c r="O48" s="35">
        <f>-CF!O29</f>
        <v>7.0889999999999986</v>
      </c>
      <c r="P48" s="290">
        <f>SUM(L48:O48)</f>
        <v>18.716999999999999</v>
      </c>
      <c r="Q48" s="35">
        <f>-CF!Q29</f>
        <v>9.5980000000000008</v>
      </c>
      <c r="R48" s="35">
        <f>-CF!R29</f>
        <v>9.5069999999999997</v>
      </c>
      <c r="S48" s="35">
        <f>-CF!S29</f>
        <v>9.7859999999999996</v>
      </c>
      <c r="T48" s="35">
        <f>-CF!T29</f>
        <v>7.2820000000000036</v>
      </c>
      <c r="U48" s="290">
        <f>SUM(Q48:T48)</f>
        <v>36.173000000000002</v>
      </c>
      <c r="V48" s="35">
        <f>-CF!V29</f>
        <v>9.5860000000000003</v>
      </c>
      <c r="W48" s="35">
        <f>-CF!W29</f>
        <v>18.674999999999997</v>
      </c>
      <c r="X48" s="35">
        <f>-CF!X29</f>
        <v>22.149000000000001</v>
      </c>
      <c r="Y48" s="35">
        <f>-CF!Y29</f>
        <v>24.625</v>
      </c>
      <c r="Z48" s="290">
        <f>SUM(V48:Y48)</f>
        <v>75.034999999999997</v>
      </c>
      <c r="AA48" s="35">
        <f>-CF!AA29</f>
        <v>22.7</v>
      </c>
      <c r="AB48" s="35">
        <f>-CF!AB29</f>
        <v>23.034000000000002</v>
      </c>
      <c r="AC48" s="35">
        <f>-CF!AC29</f>
        <v>21.725999999999988</v>
      </c>
      <c r="AD48" s="35">
        <f>-CF!AD29</f>
        <v>10.001000000000005</v>
      </c>
      <c r="AE48" s="290">
        <f>SUM(AA48:AD48)</f>
        <v>77.460999999999999</v>
      </c>
      <c r="AF48" s="35">
        <f>-CF!AF29</f>
        <v>7.524</v>
      </c>
      <c r="AG48" s="35">
        <f>-CF!AG29</f>
        <v>6.5130000000000008</v>
      </c>
      <c r="AH48" s="35">
        <f>-CF!AH29</f>
        <v>2.3719999999999972</v>
      </c>
      <c r="AI48" s="35">
        <f>-CF!AI29</f>
        <v>4.0770000000000017</v>
      </c>
      <c r="AJ48" s="290">
        <f>SUM(AF48:AI48)</f>
        <v>20.486000000000001</v>
      </c>
      <c r="AK48" s="35">
        <f>-CF!AK29</f>
        <v>6.9340000000000002</v>
      </c>
      <c r="AL48" s="35">
        <f>-CF!AL29</f>
        <v>5.0769999999999991</v>
      </c>
      <c r="AM48" s="35">
        <f>-CF!AM29</f>
        <v>4.1990000000000025</v>
      </c>
      <c r="AN48" s="35">
        <f>-CF!AN29</f>
        <v>18.875</v>
      </c>
      <c r="AO48" s="290">
        <f>SUM(AK48:AN48)</f>
        <v>35.085000000000001</v>
      </c>
      <c r="AP48" s="35">
        <f>-CF!AP29</f>
        <v>4.4589999999999996</v>
      </c>
      <c r="AQ48" s="35">
        <f>-CF!AQ29</f>
        <v>5.6490000000000009</v>
      </c>
      <c r="AR48" s="35">
        <f>-CF!AR29</f>
        <v>10.349999999999998</v>
      </c>
      <c r="AS48" s="35">
        <f>-CF!AS29</f>
        <v>27.847999999999995</v>
      </c>
      <c r="AT48" s="290">
        <f>SUM(AP48:AS48)</f>
        <v>48.305999999999997</v>
      </c>
      <c r="AU48" s="35">
        <f>AY48/4</f>
        <v>7.5</v>
      </c>
      <c r="AV48" s="35">
        <f>(AY48-AU48)/3</f>
        <v>7.5</v>
      </c>
      <c r="AW48" s="35">
        <f>(AY48-SUM(AU48:AV48))/2</f>
        <v>7.5</v>
      </c>
      <c r="AX48" s="35">
        <f>AY48-SUM(AU48:AW48)</f>
        <v>7.5</v>
      </c>
      <c r="AY48" s="295">
        <v>30</v>
      </c>
      <c r="AZ48" s="35">
        <f>BD48/4</f>
        <v>10</v>
      </c>
      <c r="BA48" s="35">
        <f>(BD48-AZ48)/3</f>
        <v>10</v>
      </c>
      <c r="BB48" s="35">
        <f>(BD48-SUM(AZ48:BA48))/2</f>
        <v>10</v>
      </c>
      <c r="BC48" s="35">
        <f>BD48-SUM(AZ48:BB48)</f>
        <v>10</v>
      </c>
      <c r="BD48" s="295">
        <v>40</v>
      </c>
      <c r="BE48" s="35">
        <f>BI48/4</f>
        <v>12.5</v>
      </c>
      <c r="BF48" s="35">
        <f>(BI48-BE48)/3</f>
        <v>12.5</v>
      </c>
      <c r="BG48" s="35">
        <f>(BI48-SUM(BE48:BF48))/2</f>
        <v>12.5</v>
      </c>
      <c r="BH48" s="35">
        <f>BI48-SUM(BE48:BG48)</f>
        <v>12.5</v>
      </c>
      <c r="BI48" s="295">
        <f>BD48+10</f>
        <v>50</v>
      </c>
      <c r="BJ48" s="35">
        <f>BN48/4</f>
        <v>15</v>
      </c>
      <c r="BK48" s="35">
        <f>(BN48-BJ48)/3</f>
        <v>15</v>
      </c>
      <c r="BL48" s="35">
        <f>(BN48-SUM(BJ48:BK48))/2</f>
        <v>15</v>
      </c>
      <c r="BM48" s="35">
        <f>BN48-SUM(BJ48:BL48)</f>
        <v>15</v>
      </c>
      <c r="BN48" s="295">
        <f>BI48+10</f>
        <v>60</v>
      </c>
      <c r="BO48" s="35">
        <f>BS48/4</f>
        <v>16.25</v>
      </c>
      <c r="BP48" s="35">
        <f>(BS48-BO48)/3</f>
        <v>16.25</v>
      </c>
      <c r="BQ48" s="35">
        <f>(BS48-SUM(BO48:BP48))/2</f>
        <v>16.25</v>
      </c>
      <c r="BR48" s="35">
        <f>BS48-SUM(BO48:BQ48)</f>
        <v>16.25</v>
      </c>
      <c r="BS48" s="295">
        <f>BN48+5</f>
        <v>65</v>
      </c>
      <c r="BT48" s="35">
        <f>BX48/4</f>
        <v>17.5</v>
      </c>
      <c r="BU48" s="35">
        <f>(BX48-BT48)/3</f>
        <v>17.5</v>
      </c>
      <c r="BV48" s="35">
        <f>(BX48-SUM(BT48:BU48))/2</f>
        <v>17.5</v>
      </c>
      <c r="BW48" s="35">
        <f>BX48-SUM(BT48:BV48)</f>
        <v>17.5</v>
      </c>
      <c r="BX48" s="295">
        <f>BS48+5</f>
        <v>70</v>
      </c>
      <c r="BY48" s="35">
        <f>CC48/4</f>
        <v>18.75</v>
      </c>
      <c r="BZ48" s="35">
        <f>(CC48-BY48)/3</f>
        <v>18.75</v>
      </c>
      <c r="CA48" s="35">
        <f>(CC48-SUM(BY48:BZ48))/2</f>
        <v>18.75</v>
      </c>
      <c r="CB48" s="35">
        <f>CC48-SUM(BY48:CA48)</f>
        <v>18.75</v>
      </c>
      <c r="CC48" s="295">
        <f>BX48+5</f>
        <v>75</v>
      </c>
      <c r="CD48" s="35">
        <f>CH48/4</f>
        <v>20</v>
      </c>
      <c r="CE48" s="35">
        <f>(CH48-CD48)/3</f>
        <v>20</v>
      </c>
      <c r="CF48" s="35">
        <f>(CH48-SUM(CD48:CE48))/2</f>
        <v>20</v>
      </c>
      <c r="CG48" s="35">
        <f>CH48-SUM(CD48:CF48)</f>
        <v>20</v>
      </c>
      <c r="CH48" s="295">
        <f>CC48+5</f>
        <v>80</v>
      </c>
      <c r="CI48" s="35">
        <f>CM48/4</f>
        <v>21.25</v>
      </c>
      <c r="CJ48" s="35">
        <f>(CM48-CI48)/3</f>
        <v>21.25</v>
      </c>
      <c r="CK48" s="35">
        <f>(CM48-SUM(CI48:CJ48))/2</f>
        <v>21.25</v>
      </c>
      <c r="CL48" s="35">
        <f>CM48-SUM(CI48:CK48)</f>
        <v>21.25</v>
      </c>
      <c r="CM48" s="295">
        <f>CH48+5</f>
        <v>85</v>
      </c>
    </row>
    <row r="49" spans="1:91" s="35" customFormat="1">
      <c r="A49" s="35" t="s">
        <v>153</v>
      </c>
      <c r="F49" s="290"/>
      <c r="I49" s="35">
        <f>-CF!I9-I57</f>
        <v>-2.0029999999999997</v>
      </c>
      <c r="J49" s="35">
        <f>-CF!J9-J57</f>
        <v>-2.1690000000000005</v>
      </c>
      <c r="K49" s="290">
        <f>SUM(I49:J49)*2</f>
        <v>-8.3440000000000012</v>
      </c>
      <c r="L49" s="35">
        <f>-CF!L9-L57</f>
        <v>-2.3540000000000001</v>
      </c>
      <c r="M49" s="35">
        <f>-CF!M9-M57</f>
        <v>-2.657</v>
      </c>
      <c r="N49" s="35">
        <f>-CF!N9-N57</f>
        <v>-2.952</v>
      </c>
      <c r="O49" s="35">
        <f>-CF!O9-O57</f>
        <v>-3.4479999999999995</v>
      </c>
      <c r="P49" s="290">
        <f>SUM(L49:O49)</f>
        <v>-11.411</v>
      </c>
      <c r="Q49" s="35">
        <f>-CF!Q9-Q57</f>
        <v>-3.0749999999999997</v>
      </c>
      <c r="R49" s="35">
        <f>-CF!R9-R57</f>
        <v>-3.2720000000000002</v>
      </c>
      <c r="S49" s="35">
        <f>-CF!S9-S57</f>
        <v>-3.8499999999999996</v>
      </c>
      <c r="T49" s="35">
        <f>-CF!T9-T57</f>
        <v>-4.1130000000000013</v>
      </c>
      <c r="U49" s="290">
        <f>SUM(Q49:T49)</f>
        <v>-14.31</v>
      </c>
      <c r="V49" s="35">
        <f>-CF!V9-V57</f>
        <v>-4.5289999999999999</v>
      </c>
      <c r="W49" s="35">
        <f>-CF!W9-W57</f>
        <v>-5.1420000000000003</v>
      </c>
      <c r="X49" s="35">
        <f>-CF!X9-X57</f>
        <v>-5.0530000000000008</v>
      </c>
      <c r="Y49" s="35">
        <f>-CF!Y9-Y57</f>
        <v>-5.5990000000000002</v>
      </c>
      <c r="Z49" s="290">
        <f>SUM(V49:Y49)</f>
        <v>-20.323</v>
      </c>
      <c r="AA49" s="35">
        <f>-CF!AA9-AA57</f>
        <v>-6.7210000000000001</v>
      </c>
      <c r="AB49" s="35">
        <f>-CF!AB9-AB57</f>
        <v>-8.1660000000000004</v>
      </c>
      <c r="AC49" s="35">
        <f>-CF!AC9-AC57</f>
        <v>-9.1159999999999979</v>
      </c>
      <c r="AD49" s="35">
        <f>-CF!AD9-AD57</f>
        <v>-9.4790000000000045</v>
      </c>
      <c r="AE49" s="290">
        <f>SUM(AA49:AD49)</f>
        <v>-33.482000000000006</v>
      </c>
      <c r="AF49" s="35">
        <f>-CF!AF9-AF57</f>
        <v>-9.6650000000000009</v>
      </c>
      <c r="AG49" s="35">
        <f>-CF!AG9-AG57</f>
        <v>-9.9449999999999985</v>
      </c>
      <c r="AH49" s="35">
        <f>-CF!AH9-AH57</f>
        <v>-10.345999999999997</v>
      </c>
      <c r="AI49" s="35">
        <f>-CF!AI9-AI57</f>
        <v>-10.177000000000001</v>
      </c>
      <c r="AJ49" s="290">
        <f>SUM(AF49:AI49)</f>
        <v>-40.132999999999996</v>
      </c>
      <c r="AK49" s="35">
        <f>-CF!AK9-AK57</f>
        <v>-10.026999999999999</v>
      </c>
      <c r="AL49" s="35">
        <f>-CF!AL9-AL57</f>
        <v>-10.071000000000002</v>
      </c>
      <c r="AM49" s="35">
        <f>-CF!AM9-AM57</f>
        <v>-10.106999999999999</v>
      </c>
      <c r="AN49" s="35">
        <f>-CF!AN9-AN57</f>
        <v>-9.963000000000001</v>
      </c>
      <c r="AO49" s="290">
        <f>SUM(AK49:AN49)</f>
        <v>-40.167999999999999</v>
      </c>
      <c r="AP49" s="35">
        <f>-CF!AP9-AP57</f>
        <v>-9.7560000000000002</v>
      </c>
      <c r="AQ49" s="35">
        <f>-CF!AQ9-AQ57</f>
        <v>-9.6259999999999977</v>
      </c>
      <c r="AR49" s="35">
        <f>-CF!AR9-AR57</f>
        <v>-8.9920000000000009</v>
      </c>
      <c r="AS49" s="35">
        <f>-CF!AS9-AS57</f>
        <v>-9.6629999999999967</v>
      </c>
      <c r="AT49" s="290">
        <f>SUM(AP49:AS49)</f>
        <v>-38.036999999999992</v>
      </c>
      <c r="AU49" s="35">
        <f>-(AU46+AU48)/$A$52/4</f>
        <v>-8.5230555555555547</v>
      </c>
      <c r="AV49" s="35">
        <f>-(AV46+AV48)/$A$52/4</f>
        <v>-8.4662191358024685</v>
      </c>
      <c r="AW49" s="35">
        <f>-(AW46+AW48)/$A$52/4</f>
        <v>-8.412540294924554</v>
      </c>
      <c r="AX49" s="35">
        <f>-(AX46+AX48)/$A$52/4</f>
        <v>-8.3618436118731907</v>
      </c>
      <c r="AY49" s="290">
        <f>SUM(AU49:AX49)</f>
        <v>-33.763658598155772</v>
      </c>
      <c r="AZ49" s="35">
        <f>-(AZ46+AZ48)/$A$52/4</f>
        <v>-8.4528523001024567</v>
      </c>
      <c r="BA49" s="35">
        <f>-(BA46+BA48)/$A$52/4</f>
        <v>-8.5388049500967664</v>
      </c>
      <c r="BB49" s="35">
        <f>-(BB46+BB48)/$A$52/4</f>
        <v>-8.6199824528691682</v>
      </c>
      <c r="BC49" s="35">
        <f>-(BC46+BC48)/$A$52/4</f>
        <v>-8.6966500943764355</v>
      </c>
      <c r="BD49" s="290">
        <f>SUM(AZ49:BC49)</f>
        <v>-34.308289797444829</v>
      </c>
      <c r="BE49" s="35">
        <f>-(BE46+BE48)/$A$52/4</f>
        <v>-8.9079473113555228</v>
      </c>
      <c r="BF49" s="35">
        <f>-(BF46+BF48)/$A$52/4</f>
        <v>-9.1075057940579942</v>
      </c>
      <c r="BG49" s="35">
        <f>-(BG46+BG48)/$A$52/4</f>
        <v>-9.2959776943881067</v>
      </c>
      <c r="BH49" s="35">
        <f>-(BH46+BH48)/$A$52/4</f>
        <v>-9.4739789335887661</v>
      </c>
      <c r="BI49" s="290">
        <f>SUM(BE49:BH49)</f>
        <v>-36.785409733390388</v>
      </c>
      <c r="BJ49" s="35">
        <f>-(BJ46+BJ48)/$A$52/4</f>
        <v>-9.7809801039449464</v>
      </c>
      <c r="BK49" s="35">
        <f>-(BK46+BK48)/$A$52/4</f>
        <v>-10.070925653725782</v>
      </c>
      <c r="BL49" s="35">
        <f>-(BL46+BL48)/$A$52/4</f>
        <v>-10.344763117407682</v>
      </c>
      <c r="BM49" s="35">
        <f>-(BM46+BM48)/$A$52/4</f>
        <v>-10.60338738866281</v>
      </c>
      <c r="BN49" s="290">
        <f>SUM(BJ49:BM49)</f>
        <v>-40.800056263741219</v>
      </c>
      <c r="BO49" s="35">
        <f>-(BO46+BO48)/$A$52/4</f>
        <v>-10.917088089292655</v>
      </c>
      <c r="BP49" s="35">
        <f>-(BP46+BP48)/$A$52/4</f>
        <v>-11.213360973220839</v>
      </c>
      <c r="BQ49" s="35">
        <f>-(BQ46+BQ48)/$A$52/4</f>
        <v>-11.493174252486348</v>
      </c>
      <c r="BR49" s="35">
        <f>-(BR46+BR48)/$A$52/4</f>
        <v>-11.757442349570441</v>
      </c>
      <c r="BS49" s="290">
        <f>SUM(BO49:BR49)</f>
        <v>-45.381065664570279</v>
      </c>
      <c r="BT49" s="35">
        <f>-(BT46+BT48)/$A$52/4</f>
        <v>-12.076473330149859</v>
      </c>
      <c r="BU49" s="35">
        <f>-(BU46+BU48)/$A$52/4</f>
        <v>-12.377780367363757</v>
      </c>
      <c r="BV49" s="35">
        <f>-(BV46+BV48)/$A$52/4</f>
        <v>-12.662348124732437</v>
      </c>
      <c r="BW49" s="35">
        <f>-(BW46+BW48)/$A$52/4</f>
        <v>-12.931106562247301</v>
      </c>
      <c r="BX49" s="290">
        <f>SUM(BT49:BW49)</f>
        <v>-50.047708384493355</v>
      </c>
      <c r="BY49" s="35">
        <f>-(BY46+BY48)/$A$52/4</f>
        <v>-13.254378419900229</v>
      </c>
      <c r="BZ49" s="35">
        <f>-(BZ46+BZ48)/$A$52/4</f>
        <v>-13.559690729905773</v>
      </c>
      <c r="CA49" s="35">
        <f>-(CA46+CA48)/$A$52/4</f>
        <v>-13.848041244911007</v>
      </c>
      <c r="CB49" s="35">
        <f>-(CB46+CB48)/$A$52/4</f>
        <v>-14.120372286860395</v>
      </c>
      <c r="CC49" s="290">
        <f>SUM(BY49:CB49)</f>
        <v>-54.782482681577406</v>
      </c>
      <c r="CD49" s="35">
        <f>-(CD46+CD48)/$A$52/4</f>
        <v>-14.447018270923706</v>
      </c>
      <c r="CE49" s="35">
        <f>-(CE46+CE48)/$A$52/4</f>
        <v>-14.755517255872389</v>
      </c>
      <c r="CF49" s="35">
        <f>-(CF46+CF48)/$A$52/4</f>
        <v>-15.046877408323926</v>
      </c>
      <c r="CG49" s="35">
        <f>-(CG46+CG48)/$A$52/4</f>
        <v>-15.322050885639264</v>
      </c>
      <c r="CH49" s="290">
        <f>SUM(CD49:CG49)</f>
        <v>-59.571463820759284</v>
      </c>
      <c r="CI49" s="35">
        <f>-(CI46+CI48)/$A$52/4</f>
        <v>-15.651381391992638</v>
      </c>
      <c r="CJ49" s="35">
        <f>-(CJ46+CJ48)/$A$52/4</f>
        <v>-15.962415759104159</v>
      </c>
      <c r="CK49" s="35">
        <f>-(CK46+CK48)/$A$52/4</f>
        <v>-16.25617043915393</v>
      </c>
      <c r="CL49" s="35">
        <f>-(CL46+CL48)/$A$52/4</f>
        <v>-16.533605414756487</v>
      </c>
      <c r="CM49" s="290">
        <f>SUM(CI49:CL49)</f>
        <v>-64.403573005007217</v>
      </c>
    </row>
    <row r="50" spans="1:91" s="33" customFormat="1">
      <c r="A50" s="35" t="s">
        <v>154</v>
      </c>
      <c r="B50" s="35"/>
      <c r="C50" s="35"/>
      <c r="D50" s="35"/>
      <c r="E50" s="35"/>
      <c r="F50" s="290">
        <f>BS!F15</f>
        <v>16.036000000000001</v>
      </c>
      <c r="G50" s="35"/>
      <c r="H50" s="144"/>
      <c r="I50" s="35">
        <f>BS!I15</f>
        <v>30.318000000000001</v>
      </c>
      <c r="J50" s="35">
        <f>BS!J15</f>
        <v>31.003</v>
      </c>
      <c r="K50" s="290">
        <f>BS!K15</f>
        <v>31.003</v>
      </c>
      <c r="L50" s="35">
        <f>BS!L15</f>
        <v>30.581</v>
      </c>
      <c r="M50" s="35">
        <f>BS!M15</f>
        <v>34.811</v>
      </c>
      <c r="N50" s="35">
        <f>BS!N15</f>
        <v>40.759</v>
      </c>
      <c r="O50" s="35">
        <f>BS!O15</f>
        <v>43.667999999999999</v>
      </c>
      <c r="P50" s="290">
        <f>SUM(P46:P49)</f>
        <v>38.308999999999997</v>
      </c>
      <c r="Q50" s="35">
        <f>BS!Q15</f>
        <v>46.685000000000002</v>
      </c>
      <c r="R50" s="35">
        <f>BS!R15</f>
        <v>56.994999999999997</v>
      </c>
      <c r="S50" s="35">
        <f>BS!S15</f>
        <v>61.881999999999998</v>
      </c>
      <c r="T50" s="35">
        <f>BS!T15</f>
        <v>62.781999999999996</v>
      </c>
      <c r="U50" s="290">
        <f>SUM(U46:U49)</f>
        <v>65.531000000000006</v>
      </c>
      <c r="V50" s="35">
        <f>BS!V15</f>
        <v>71.765000000000001</v>
      </c>
      <c r="W50" s="35">
        <f>BS!W15</f>
        <v>89.736999999999995</v>
      </c>
      <c r="X50" s="35">
        <f>BS!X15</f>
        <v>106.15600000000001</v>
      </c>
      <c r="Y50" s="35">
        <f>BS!Y15</f>
        <v>124.461</v>
      </c>
      <c r="Z50" s="290">
        <f>SUM(Z46:Z49)</f>
        <v>117.494</v>
      </c>
      <c r="AA50" s="35">
        <f>BS!AA15</f>
        <v>151.322</v>
      </c>
      <c r="AB50" s="35">
        <f>BS!AB15</f>
        <v>163.36199999999999</v>
      </c>
      <c r="AC50" s="35">
        <f>BS!AC15</f>
        <v>168.00700000000001</v>
      </c>
      <c r="AD50" s="35">
        <f>BS!AD15</f>
        <v>167.92</v>
      </c>
      <c r="AE50" s="290">
        <f>SUM(AE46:AE49)</f>
        <v>168.44</v>
      </c>
      <c r="AF50" s="35">
        <f>BS!AF15</f>
        <v>163.22900000000001</v>
      </c>
      <c r="AG50" s="35">
        <f>BS!AG15</f>
        <v>155.74100000000001</v>
      </c>
      <c r="AH50" s="35">
        <f>BS!AH15</f>
        <v>147.67099999999999</v>
      </c>
      <c r="AI50" s="35">
        <f>BS!AI15</f>
        <v>145.096</v>
      </c>
      <c r="AJ50" s="290">
        <f>SUM(AJ46:AJ49)</f>
        <v>148.27299999999997</v>
      </c>
      <c r="AK50" s="35">
        <f>BS!AK15</f>
        <v>138.387</v>
      </c>
      <c r="AL50" s="35">
        <f>BS!AL15</f>
        <v>132.31700000000001</v>
      </c>
      <c r="AM50" s="35">
        <f>BS!AM15</f>
        <v>125.169</v>
      </c>
      <c r="AN50" s="35">
        <f>BS!AN15</f>
        <v>136.81299999999999</v>
      </c>
      <c r="AO50" s="290">
        <f>SUM(AO46:AO49)</f>
        <v>140.01300000000001</v>
      </c>
      <c r="AP50" s="35">
        <f>BS!AP15</f>
        <v>129.29400000000001</v>
      </c>
      <c r="AQ50" s="35">
        <f>BS!AQ15</f>
        <v>126.14100000000001</v>
      </c>
      <c r="AR50" s="35">
        <f>BS!AR15</f>
        <v>124.60899999999999</v>
      </c>
      <c r="AS50" s="35">
        <f>BS!AS15</f>
        <v>145.91499999999999</v>
      </c>
      <c r="AT50" s="290">
        <f t="shared" ref="AT50:BV50" si="189">SUM(AT46:AT49)</f>
        <v>145.91500000000002</v>
      </c>
      <c r="AU50" s="35">
        <f t="shared" si="189"/>
        <v>144.89194444444445</v>
      </c>
      <c r="AV50" s="35">
        <f t="shared" si="189"/>
        <v>143.92572530864197</v>
      </c>
      <c r="AW50" s="35">
        <f t="shared" si="189"/>
        <v>143.01318501371742</v>
      </c>
      <c r="AX50" s="35">
        <f t="shared" si="189"/>
        <v>142.15134140184423</v>
      </c>
      <c r="AY50" s="290">
        <f t="shared" si="189"/>
        <v>142.15134140184421</v>
      </c>
      <c r="AZ50" s="35">
        <f t="shared" si="189"/>
        <v>143.69848910174179</v>
      </c>
      <c r="BA50" s="35">
        <f t="shared" si="189"/>
        <v>145.15968415164502</v>
      </c>
      <c r="BB50" s="35">
        <f t="shared" si="189"/>
        <v>146.53970169877584</v>
      </c>
      <c r="BC50" s="35">
        <f t="shared" si="189"/>
        <v>147.84305160439942</v>
      </c>
      <c r="BD50" s="290">
        <f t="shared" si="189"/>
        <v>147.84305160439942</v>
      </c>
      <c r="BE50" s="35">
        <f t="shared" si="189"/>
        <v>151.43510429304391</v>
      </c>
      <c r="BF50" s="35">
        <f t="shared" si="189"/>
        <v>154.82759849898591</v>
      </c>
      <c r="BG50" s="35">
        <f t="shared" si="189"/>
        <v>158.03162080459779</v>
      </c>
      <c r="BH50" s="35">
        <f t="shared" si="189"/>
        <v>161.05764187100903</v>
      </c>
      <c r="BI50" s="290">
        <f t="shared" si="189"/>
        <v>161.05764187100903</v>
      </c>
      <c r="BJ50" s="35">
        <f t="shared" si="189"/>
        <v>166.27666176706407</v>
      </c>
      <c r="BK50" s="35">
        <f t="shared" si="189"/>
        <v>171.20573611333828</v>
      </c>
      <c r="BL50" s="35">
        <f t="shared" si="189"/>
        <v>175.86097299593058</v>
      </c>
      <c r="BM50" s="35">
        <f t="shared" si="189"/>
        <v>180.25758560726777</v>
      </c>
      <c r="BN50" s="290">
        <f t="shared" si="189"/>
        <v>180.2575856072678</v>
      </c>
      <c r="BO50" s="35">
        <f t="shared" si="189"/>
        <v>185.59049751797511</v>
      </c>
      <c r="BP50" s="35">
        <f t="shared" si="189"/>
        <v>190.62713654475428</v>
      </c>
      <c r="BQ50" s="35">
        <f t="shared" si="189"/>
        <v>195.38396229226794</v>
      </c>
      <c r="BR50" s="35">
        <f t="shared" si="189"/>
        <v>199.87651994269748</v>
      </c>
      <c r="BS50" s="290">
        <f t="shared" si="189"/>
        <v>199.87651994269748</v>
      </c>
      <c r="BT50" s="35">
        <f t="shared" si="189"/>
        <v>205.30004661254762</v>
      </c>
      <c r="BU50" s="35">
        <f t="shared" si="189"/>
        <v>210.42226624518386</v>
      </c>
      <c r="BV50" s="35">
        <f t="shared" si="189"/>
        <v>215.25991812045143</v>
      </c>
      <c r="BW50" s="35">
        <f t="shared" ref="BW50:CM50" si="190">SUM(BW46:BW49)</f>
        <v>219.82881155820414</v>
      </c>
      <c r="BX50" s="290">
        <f t="shared" si="190"/>
        <v>219.82881155820414</v>
      </c>
      <c r="BY50" s="35">
        <f t="shared" si="190"/>
        <v>225.3244331383039</v>
      </c>
      <c r="BZ50" s="35">
        <f t="shared" si="190"/>
        <v>230.51474240839812</v>
      </c>
      <c r="CA50" s="35">
        <f t="shared" si="190"/>
        <v>235.41670116348712</v>
      </c>
      <c r="CB50" s="35">
        <f t="shared" si="190"/>
        <v>240.04632887662672</v>
      </c>
      <c r="CC50" s="290">
        <f t="shared" si="190"/>
        <v>240.04632887662677</v>
      </c>
      <c r="CD50" s="35">
        <f t="shared" si="190"/>
        <v>245.59931060570301</v>
      </c>
      <c r="CE50" s="35">
        <f t="shared" si="190"/>
        <v>250.84379334983063</v>
      </c>
      <c r="CF50" s="35">
        <f t="shared" si="190"/>
        <v>255.79691594150674</v>
      </c>
      <c r="CG50" s="35">
        <f t="shared" si="190"/>
        <v>260.4748650558675</v>
      </c>
      <c r="CH50" s="290">
        <f t="shared" si="190"/>
        <v>260.47486505586744</v>
      </c>
      <c r="CI50" s="35">
        <f t="shared" si="190"/>
        <v>266.07348366387487</v>
      </c>
      <c r="CJ50" s="35">
        <f t="shared" si="190"/>
        <v>271.36106790477072</v>
      </c>
      <c r="CK50" s="35">
        <f t="shared" si="190"/>
        <v>276.35489746561677</v>
      </c>
      <c r="CL50" s="35">
        <f t="shared" si="190"/>
        <v>281.07129205086028</v>
      </c>
      <c r="CM50" s="290">
        <f t="shared" si="190"/>
        <v>281.07129205086028</v>
      </c>
    </row>
    <row r="51" spans="1:91" s="33" customFormat="1">
      <c r="A51" s="19">
        <v>0.05</v>
      </c>
      <c r="B51" s="35"/>
      <c r="C51" s="35"/>
      <c r="D51" s="35"/>
      <c r="E51" s="35"/>
      <c r="F51" s="290"/>
      <c r="G51" s="35"/>
      <c r="H51" s="144"/>
      <c r="I51" s="35"/>
      <c r="J51" s="35"/>
      <c r="K51" s="290"/>
      <c r="L51" s="35"/>
      <c r="M51" s="35"/>
      <c r="N51" s="35"/>
      <c r="O51" s="35"/>
      <c r="P51" s="290"/>
      <c r="Q51" s="35"/>
      <c r="R51" s="35"/>
      <c r="S51" s="35"/>
      <c r="T51" s="35"/>
      <c r="U51" s="290"/>
      <c r="V51" s="35"/>
      <c r="W51" s="35"/>
      <c r="X51" s="35"/>
      <c r="Y51" s="35"/>
      <c r="Z51" s="290"/>
      <c r="AA51" s="35"/>
      <c r="AB51" s="35"/>
      <c r="AC51" s="35"/>
      <c r="AD51" s="35"/>
      <c r="AE51" s="290"/>
      <c r="AF51" s="35"/>
      <c r="AG51" s="35"/>
      <c r="AH51" s="35"/>
      <c r="AI51" s="35"/>
      <c r="AJ51" s="290"/>
      <c r="AK51" s="35"/>
      <c r="AL51" s="35"/>
      <c r="AM51" s="35"/>
      <c r="AN51" s="35"/>
      <c r="AO51" s="290"/>
      <c r="AP51" s="35"/>
      <c r="AQ51" s="35"/>
      <c r="AR51" s="35"/>
      <c r="AS51" s="35"/>
      <c r="AT51" s="290"/>
      <c r="AU51" s="35"/>
      <c r="AV51" s="35"/>
      <c r="AW51" s="35"/>
      <c r="AX51" s="35"/>
      <c r="AY51" s="290"/>
      <c r="AZ51" s="35"/>
      <c r="BA51" s="35"/>
      <c r="BB51" s="35"/>
      <c r="BC51" s="35"/>
      <c r="BD51" s="290"/>
      <c r="BE51" s="35"/>
      <c r="BF51" s="35"/>
      <c r="BG51" s="35"/>
      <c r="BH51" s="35"/>
      <c r="BI51" s="290"/>
      <c r="BJ51" s="35"/>
      <c r="BK51" s="35"/>
      <c r="BL51" s="35"/>
      <c r="BM51" s="35"/>
      <c r="BN51" s="290"/>
      <c r="BO51" s="35"/>
      <c r="BP51" s="35"/>
      <c r="BQ51" s="35"/>
      <c r="BR51" s="35"/>
      <c r="BS51" s="290"/>
      <c r="BT51" s="35"/>
      <c r="BU51" s="35"/>
      <c r="BV51" s="35"/>
      <c r="BW51" s="35"/>
      <c r="BX51" s="290"/>
      <c r="BY51" s="35"/>
      <c r="BZ51" s="35"/>
      <c r="CA51" s="35"/>
      <c r="CB51" s="35"/>
      <c r="CC51" s="290"/>
      <c r="CD51" s="35"/>
      <c r="CE51" s="35"/>
      <c r="CF51" s="35"/>
      <c r="CG51" s="35"/>
      <c r="CH51" s="290"/>
      <c r="CI51" s="35"/>
      <c r="CJ51" s="35"/>
      <c r="CK51" s="35"/>
      <c r="CL51" s="35"/>
      <c r="CM51" s="290"/>
    </row>
    <row r="52" spans="1:91" s="33" customFormat="1">
      <c r="A52" s="331">
        <v>4.5</v>
      </c>
      <c r="B52" s="35"/>
      <c r="C52" s="35"/>
      <c r="D52" s="35"/>
      <c r="E52" s="35"/>
      <c r="F52" s="290"/>
      <c r="G52" s="35"/>
      <c r="H52" s="144"/>
      <c r="I52" s="35"/>
      <c r="J52" s="35"/>
      <c r="K52" s="290"/>
      <c r="L52" s="35"/>
      <c r="M52" s="35"/>
      <c r="N52" s="35"/>
      <c r="O52" s="35"/>
      <c r="P52" s="290"/>
      <c r="Q52" s="35"/>
      <c r="R52" s="35"/>
      <c r="S52" s="35"/>
      <c r="T52" s="35"/>
      <c r="U52" s="290"/>
      <c r="V52" s="35"/>
      <c r="W52" s="35"/>
      <c r="X52" s="35"/>
      <c r="Y52" s="35"/>
      <c r="Z52" s="290"/>
      <c r="AA52" s="35"/>
      <c r="AB52" s="35"/>
      <c r="AC52" s="35"/>
      <c r="AD52" s="35"/>
      <c r="AE52" s="290"/>
      <c r="AF52" s="35"/>
      <c r="AG52" s="35"/>
      <c r="AH52" s="35"/>
      <c r="AI52" s="35"/>
      <c r="AJ52" s="290"/>
      <c r="AK52" s="35"/>
      <c r="AL52" s="35"/>
      <c r="AM52" s="35"/>
      <c r="AN52" s="35"/>
      <c r="AO52" s="290"/>
      <c r="AP52" s="35"/>
      <c r="AQ52" s="35"/>
      <c r="AR52" s="35"/>
      <c r="AS52" s="35"/>
      <c r="AT52" s="290"/>
      <c r="AU52" s="35"/>
      <c r="AV52" s="35"/>
      <c r="AW52" s="35"/>
      <c r="AX52" s="35"/>
      <c r="AY52" s="290"/>
      <c r="AZ52" s="35"/>
      <c r="BA52" s="35"/>
      <c r="BB52" s="35"/>
      <c r="BC52" s="35"/>
      <c r="BD52" s="290"/>
      <c r="BE52" s="35"/>
      <c r="BF52" s="35"/>
      <c r="BG52" s="35"/>
      <c r="BH52" s="35"/>
      <c r="BI52" s="290"/>
      <c r="BJ52" s="35"/>
      <c r="BK52" s="35"/>
      <c r="BL52" s="35"/>
      <c r="BM52" s="35"/>
      <c r="BN52" s="290"/>
      <c r="BO52" s="35"/>
      <c r="BP52" s="35"/>
      <c r="BQ52" s="35"/>
      <c r="BR52" s="35"/>
      <c r="BS52" s="290"/>
      <c r="BT52" s="35"/>
      <c r="BU52" s="35"/>
      <c r="BV52" s="35"/>
      <c r="BW52" s="35"/>
      <c r="BX52" s="290"/>
      <c r="BY52" s="35"/>
      <c r="BZ52" s="35"/>
      <c r="CA52" s="35"/>
      <c r="CB52" s="35"/>
      <c r="CC52" s="290"/>
      <c r="CD52" s="35"/>
      <c r="CE52" s="35"/>
      <c r="CF52" s="35"/>
      <c r="CG52" s="35"/>
      <c r="CH52" s="290"/>
      <c r="CI52" s="35"/>
      <c r="CJ52" s="35"/>
      <c r="CK52" s="35"/>
      <c r="CL52" s="35"/>
      <c r="CM52" s="290"/>
    </row>
    <row r="53" spans="1:91" s="33" customFormat="1">
      <c r="A53" s="35"/>
      <c r="B53" s="35"/>
      <c r="C53" s="35"/>
      <c r="F53" s="290"/>
      <c r="K53" s="290"/>
      <c r="P53" s="290"/>
      <c r="Q53" s="35"/>
      <c r="U53" s="290"/>
      <c r="V53" s="35"/>
      <c r="W53" s="35"/>
      <c r="X53" s="35"/>
      <c r="Y53" s="35"/>
      <c r="Z53" s="290"/>
      <c r="AA53" s="35"/>
      <c r="AE53" s="290"/>
      <c r="AJ53" s="290"/>
      <c r="AO53" s="290"/>
      <c r="AT53" s="290"/>
      <c r="AY53" s="290"/>
      <c r="BD53" s="290"/>
      <c r="BI53" s="290"/>
      <c r="BN53" s="290"/>
      <c r="BS53" s="290"/>
      <c r="BX53" s="290"/>
      <c r="CC53" s="290"/>
      <c r="CH53" s="290"/>
      <c r="CM53" s="290"/>
    </row>
    <row r="54" spans="1:91" s="33" customFormat="1">
      <c r="A54" s="40" t="s">
        <v>155</v>
      </c>
      <c r="B54" s="35"/>
      <c r="C54" s="35"/>
      <c r="F54" s="290"/>
      <c r="K54" s="290"/>
      <c r="P54" s="290"/>
      <c r="Q54" s="35"/>
      <c r="U54" s="290"/>
      <c r="V54" s="35"/>
      <c r="W54" s="35"/>
      <c r="X54" s="35"/>
      <c r="Y54" s="35"/>
      <c r="Z54" s="290"/>
      <c r="AA54" s="35"/>
      <c r="AE54" s="290"/>
      <c r="AJ54" s="290"/>
      <c r="AO54" s="290"/>
      <c r="AT54" s="290"/>
      <c r="AY54" s="290"/>
      <c r="BD54" s="290"/>
      <c r="BI54" s="290"/>
      <c r="BN54" s="290"/>
      <c r="BS54" s="290"/>
      <c r="BX54" s="290"/>
      <c r="CC54" s="290"/>
      <c r="CH54" s="290"/>
      <c r="CM54" s="290"/>
    </row>
    <row r="55" spans="1:91" s="33" customFormat="1">
      <c r="A55" s="35" t="s">
        <v>150</v>
      </c>
      <c r="B55" s="35"/>
      <c r="C55" s="35"/>
      <c r="D55" s="35"/>
      <c r="E55" s="35"/>
      <c r="F55" s="290"/>
      <c r="G55" s="35"/>
      <c r="H55" s="35"/>
      <c r="I55" s="35">
        <f>H58</f>
        <v>0</v>
      </c>
      <c r="J55" s="35">
        <f>I58</f>
        <v>0</v>
      </c>
      <c r="K55" s="290">
        <f>G55</f>
        <v>0</v>
      </c>
      <c r="L55" s="35">
        <f>J58</f>
        <v>0</v>
      </c>
      <c r="M55" s="35">
        <f>K58</f>
        <v>0</v>
      </c>
      <c r="N55" s="35">
        <f>M58</f>
        <v>8.9870000000000001</v>
      </c>
      <c r="O55" s="35">
        <f>N58</f>
        <v>8.7550000000000008</v>
      </c>
      <c r="P55" s="290">
        <f>L55</f>
        <v>0</v>
      </c>
      <c r="Q55" s="35">
        <f>O58</f>
        <v>8.5239999999999991</v>
      </c>
      <c r="R55" s="35">
        <f>Q58</f>
        <v>17.681000000000001</v>
      </c>
      <c r="S55" s="35">
        <f>R58</f>
        <v>17.148</v>
      </c>
      <c r="T55" s="35">
        <f>S58</f>
        <v>16.645</v>
      </c>
      <c r="U55" s="290">
        <f>Q55</f>
        <v>8.5239999999999991</v>
      </c>
      <c r="V55" s="35">
        <f>T58</f>
        <v>16.155000000000001</v>
      </c>
      <c r="W55" s="35">
        <f>V58</f>
        <v>15.673999999999999</v>
      </c>
      <c r="X55" s="35">
        <f>W58</f>
        <v>15.189</v>
      </c>
      <c r="Y55" s="35">
        <f>X58</f>
        <v>14.698</v>
      </c>
      <c r="Z55" s="290">
        <f>V55</f>
        <v>16.155000000000001</v>
      </c>
      <c r="AA55" s="35">
        <f>Y58</f>
        <v>14.207000000000001</v>
      </c>
      <c r="AB55" s="35">
        <f>AA58</f>
        <v>13.727</v>
      </c>
      <c r="AC55" s="35">
        <f>AB58</f>
        <v>13.108000000000001</v>
      </c>
      <c r="AD55" s="35">
        <f>AC58</f>
        <v>12.417</v>
      </c>
      <c r="AE55" s="290">
        <f>AA55</f>
        <v>14.207000000000001</v>
      </c>
      <c r="AF55" s="35">
        <f>AD58</f>
        <v>11.727</v>
      </c>
      <c r="AG55" s="35">
        <f>AF58</f>
        <v>11.047000000000001</v>
      </c>
      <c r="AH55" s="35">
        <f>AG58</f>
        <v>10.361000000000001</v>
      </c>
      <c r="AI55" s="35">
        <f>AH58</f>
        <v>9.67</v>
      </c>
      <c r="AJ55" s="290">
        <f>AF55</f>
        <v>11.727</v>
      </c>
      <c r="AK55" s="35">
        <f>AI58</f>
        <v>8.9789999999999992</v>
      </c>
      <c r="AL55" s="35">
        <f>AK58</f>
        <v>8.2940000000000005</v>
      </c>
      <c r="AM55" s="35">
        <f>AL58</f>
        <v>7.742</v>
      </c>
      <c r="AN55" s="35">
        <f>AM58</f>
        <v>7.2510000000000003</v>
      </c>
      <c r="AO55" s="290">
        <f>AK55</f>
        <v>8.9789999999999992</v>
      </c>
      <c r="AP55" s="35">
        <f>AN58</f>
        <v>6.76</v>
      </c>
      <c r="AQ55" s="35">
        <f>AP58</f>
        <v>6.28</v>
      </c>
      <c r="AR55" s="35">
        <f>AQ58</f>
        <v>5.8639999999999999</v>
      </c>
      <c r="AS55" s="35">
        <f>AR58</f>
        <v>5.4770000000000003</v>
      </c>
      <c r="AT55" s="290">
        <f>AP55</f>
        <v>6.76</v>
      </c>
      <c r="AU55" s="35">
        <f>AS58</f>
        <v>25.920999999999999</v>
      </c>
      <c r="AV55" s="35">
        <f>AU58</f>
        <v>25.110968749999998</v>
      </c>
      <c r="AW55" s="35">
        <f>AV58</f>
        <v>24.300937499999996</v>
      </c>
      <c r="AX55" s="35">
        <f>AW58</f>
        <v>23.490906249999995</v>
      </c>
      <c r="AY55" s="290">
        <f>AU55</f>
        <v>25.920999999999999</v>
      </c>
      <c r="AZ55" s="35">
        <f>AX58</f>
        <v>22.680874999999993</v>
      </c>
      <c r="BA55" s="35">
        <f>AZ58</f>
        <v>21.972097656249993</v>
      </c>
      <c r="BB55" s="35">
        <f>BA58</f>
        <v>21.263320312499992</v>
      </c>
      <c r="BC55" s="35">
        <f>BB58</f>
        <v>20.554542968749992</v>
      </c>
      <c r="BD55" s="290">
        <f>AZ55</f>
        <v>22.680874999999993</v>
      </c>
      <c r="BE55" s="35">
        <f>BC58</f>
        <v>19.845765624999991</v>
      </c>
      <c r="BF55" s="35">
        <f>BE58</f>
        <v>19.225585449218741</v>
      </c>
      <c r="BG55" s="35">
        <f>BF58</f>
        <v>18.605405273437491</v>
      </c>
      <c r="BH55" s="35">
        <f>BG58</f>
        <v>17.98522509765624</v>
      </c>
      <c r="BI55" s="290">
        <f>BE55</f>
        <v>19.845765624999991</v>
      </c>
      <c r="BJ55" s="35">
        <f>BH58</f>
        <v>17.36504492187499</v>
      </c>
      <c r="BK55" s="35">
        <f>BJ58</f>
        <v>16.822387268066397</v>
      </c>
      <c r="BL55" s="35">
        <f>BK58</f>
        <v>16.279729614257803</v>
      </c>
      <c r="BM55" s="35">
        <f>BL58</f>
        <v>15.73707196044921</v>
      </c>
      <c r="BN55" s="290">
        <f>BJ55</f>
        <v>17.36504492187499</v>
      </c>
      <c r="BO55" s="35">
        <f>BM58</f>
        <v>15.194414306640617</v>
      </c>
      <c r="BP55" s="35">
        <f>BO58</f>
        <v>14.719588859558097</v>
      </c>
      <c r="BQ55" s="35">
        <f>BP58</f>
        <v>14.244763412475578</v>
      </c>
      <c r="BR55" s="35">
        <f>BQ58</f>
        <v>13.769937965393058</v>
      </c>
      <c r="BS55" s="290">
        <f>BO55</f>
        <v>15.194414306640617</v>
      </c>
      <c r="BT55" s="35">
        <f>BR58</f>
        <v>13.295112518310539</v>
      </c>
      <c r="BU55" s="35">
        <f>BT58</f>
        <v>12.879640252113335</v>
      </c>
      <c r="BV55" s="35">
        <f>BU58</f>
        <v>12.464167985916131</v>
      </c>
      <c r="BW55" s="35">
        <f>BV58</f>
        <v>12.048695719718927</v>
      </c>
      <c r="BX55" s="290">
        <f>BT55</f>
        <v>13.295112518310539</v>
      </c>
      <c r="BY55" s="35">
        <f>BW58</f>
        <v>11.633223453521722</v>
      </c>
      <c r="BZ55" s="35">
        <f>BY58</f>
        <v>11.269685220599168</v>
      </c>
      <c r="CA55" s="35">
        <f>BZ58</f>
        <v>10.906146987676614</v>
      </c>
      <c r="CB55" s="35">
        <f>CA58</f>
        <v>10.54260875475406</v>
      </c>
      <c r="CC55" s="290">
        <f>BY55</f>
        <v>11.633223453521722</v>
      </c>
      <c r="CD55" s="35">
        <f>CB58</f>
        <v>10.179070521831505</v>
      </c>
      <c r="CE55" s="35">
        <f>CD58</f>
        <v>9.8609745680242717</v>
      </c>
      <c r="CF55" s="35">
        <f>CE58</f>
        <v>9.5428786142170381</v>
      </c>
      <c r="CG55" s="35">
        <f>CF58</f>
        <v>9.2247826604098044</v>
      </c>
      <c r="CH55" s="290">
        <f>CD55</f>
        <v>10.179070521831505</v>
      </c>
      <c r="CI55" s="35">
        <f>CG58</f>
        <v>8.9066867066025708</v>
      </c>
      <c r="CJ55" s="35">
        <f>CI58</f>
        <v>8.6283527470212409</v>
      </c>
      <c r="CK55" s="35">
        <f>CJ58</f>
        <v>8.350018787439911</v>
      </c>
      <c r="CL55" s="35">
        <f>CK58</f>
        <v>8.0716848278585811</v>
      </c>
      <c r="CM55" s="290">
        <f>CI55</f>
        <v>8.9066867066025708</v>
      </c>
    </row>
    <row r="56" spans="1:91" s="33" customFormat="1">
      <c r="A56" s="35" t="s">
        <v>156</v>
      </c>
      <c r="B56" s="35"/>
      <c r="C56" s="35"/>
      <c r="D56" s="35"/>
      <c r="E56" s="35"/>
      <c r="F56" s="290"/>
      <c r="G56" s="35"/>
      <c r="H56" s="35"/>
      <c r="I56" s="35">
        <f>I58-I57-I55</f>
        <v>0</v>
      </c>
      <c r="J56" s="35">
        <f>J58-J57-J55</f>
        <v>0</v>
      </c>
      <c r="K56" s="290">
        <f>SUM(G56:J56)</f>
        <v>0</v>
      </c>
      <c r="L56" s="35">
        <f>L58-L57-L55</f>
        <v>0</v>
      </c>
      <c r="M56" s="35">
        <f>M58-M57-M55</f>
        <v>8.9870000000000001</v>
      </c>
      <c r="N56" s="35">
        <f>N58-N57-N55</f>
        <v>-0.23199999999999932</v>
      </c>
      <c r="O56" s="35">
        <f>O58-O57-O55</f>
        <v>-0.23100000000000165</v>
      </c>
      <c r="P56" s="290">
        <f>SUM(L56:O56)</f>
        <v>8.5239999999999991</v>
      </c>
      <c r="Q56" s="35">
        <f>Q58-Q57-Q55</f>
        <v>9.386000000000001</v>
      </c>
      <c r="R56" s="35">
        <f>R58-R57-R55</f>
        <v>0</v>
      </c>
      <c r="S56" s="35">
        <f>S58-S57-S55</f>
        <v>0</v>
      </c>
      <c r="T56" s="35">
        <f>T58-T57-T55</f>
        <v>0</v>
      </c>
      <c r="U56" s="290">
        <f>SUM(Q56:T56)</f>
        <v>9.386000000000001</v>
      </c>
      <c r="V56" s="35">
        <f>V58-V57-V55</f>
        <v>0</v>
      </c>
      <c r="W56" s="35">
        <f>W58-W57-W55</f>
        <v>0</v>
      </c>
      <c r="X56" s="35">
        <f>X58-X57-X55</f>
        <v>0</v>
      </c>
      <c r="Y56" s="35">
        <f>Y58-Y57-Y55</f>
        <v>0</v>
      </c>
      <c r="Z56" s="290">
        <f>SUM(V56:Y56)</f>
        <v>0</v>
      </c>
      <c r="AA56" s="35">
        <f>AA58-AA57-AA55</f>
        <v>0</v>
      </c>
      <c r="AB56" s="35">
        <f>AB58-AB57-AB55</f>
        <v>0</v>
      </c>
      <c r="AC56" s="35">
        <f>AC58-AC57-AC55</f>
        <v>0</v>
      </c>
      <c r="AD56" s="35">
        <f>AD58-AD57-AD55</f>
        <v>0</v>
      </c>
      <c r="AE56" s="290">
        <f>SUM(AA56:AD56)</f>
        <v>0</v>
      </c>
      <c r="AF56" s="35">
        <f>AF58-AF57-AF55</f>
        <v>0</v>
      </c>
      <c r="AG56" s="35">
        <f>AG58-AG57-AG55</f>
        <v>0</v>
      </c>
      <c r="AH56" s="35">
        <f>AH58-AH57-AH55</f>
        <v>0</v>
      </c>
      <c r="AI56" s="35">
        <f>AI58-AI57-AI55</f>
        <v>0</v>
      </c>
      <c r="AJ56" s="290">
        <f>SUM(AF56:AI56)</f>
        <v>0</v>
      </c>
      <c r="AK56" s="35">
        <f>AK58-AK57-AK55</f>
        <v>0</v>
      </c>
      <c r="AL56" s="35">
        <f>AL58-AL57-AL55</f>
        <v>0</v>
      </c>
      <c r="AM56" s="35">
        <f>AM58-AM57-AM55</f>
        <v>0</v>
      </c>
      <c r="AN56" s="35">
        <f>AN58-AN57-AN55</f>
        <v>0</v>
      </c>
      <c r="AO56" s="290">
        <f>SUM(AK56:AN56)</f>
        <v>0</v>
      </c>
      <c r="AP56" s="35">
        <f>AP58-AP57-AP55</f>
        <v>0</v>
      </c>
      <c r="AQ56" s="35">
        <f>AQ58-AQ57-AQ55</f>
        <v>0</v>
      </c>
      <c r="AR56" s="35">
        <f>AR58-AR57-AR55</f>
        <v>2.9000000000000803E-2</v>
      </c>
      <c r="AS56" s="35">
        <f>AS58-AS57-AS55</f>
        <v>20.831</v>
      </c>
      <c r="AT56" s="290">
        <f>SUM(AP56:AS56)</f>
        <v>20.86</v>
      </c>
      <c r="AU56" s="144">
        <v>0</v>
      </c>
      <c r="AV56" s="144">
        <v>0</v>
      </c>
      <c r="AW56" s="144">
        <v>0</v>
      </c>
      <c r="AX56" s="144">
        <v>0</v>
      </c>
      <c r="AY56" s="290">
        <f>SUM(AU56:AX56)</f>
        <v>0</v>
      </c>
      <c r="AZ56" s="41">
        <f>BD56/4</f>
        <v>0</v>
      </c>
      <c r="BA56" s="41">
        <f>(BD56-AZ56)/3</f>
        <v>0</v>
      </c>
      <c r="BB56" s="41">
        <f>(BD56-SUM(AZ56:BA56))/2</f>
        <v>0</v>
      </c>
      <c r="BC56" s="41">
        <f>BD56-SUM(AZ56:BB56)</f>
        <v>0</v>
      </c>
      <c r="BD56" s="295">
        <f>-CF!BD28</f>
        <v>0</v>
      </c>
      <c r="BE56" s="41">
        <f>BI56/4</f>
        <v>0</v>
      </c>
      <c r="BF56" s="41">
        <f>(BI56-BE56)/3</f>
        <v>0</v>
      </c>
      <c r="BG56" s="41">
        <f>(BI56-SUM(BE56:BF56))/2</f>
        <v>0</v>
      </c>
      <c r="BH56" s="41">
        <f>BI56-SUM(BE56:BG56)</f>
        <v>0</v>
      </c>
      <c r="BI56" s="295">
        <f>-CF!BI28</f>
        <v>0</v>
      </c>
      <c r="BJ56" s="41">
        <f>BN56/4</f>
        <v>0</v>
      </c>
      <c r="BK56" s="41">
        <f>(BN56-BJ56)/3</f>
        <v>0</v>
      </c>
      <c r="BL56" s="41">
        <f>(BN56-SUM(BJ56:BK56))/2</f>
        <v>0</v>
      </c>
      <c r="BM56" s="41">
        <f>BN56-SUM(BJ56:BL56)</f>
        <v>0</v>
      </c>
      <c r="BN56" s="295">
        <f>-CF!BN28</f>
        <v>0</v>
      </c>
      <c r="BO56" s="41">
        <f>BS56/4</f>
        <v>0</v>
      </c>
      <c r="BP56" s="41">
        <f>(BS56-BO56)/3</f>
        <v>0</v>
      </c>
      <c r="BQ56" s="41">
        <f>(BS56-SUM(BO56:BP56))/2</f>
        <v>0</v>
      </c>
      <c r="BR56" s="41">
        <f>BS56-SUM(BO56:BQ56)</f>
        <v>0</v>
      </c>
      <c r="BS56" s="295">
        <f>-CF!BS28</f>
        <v>0</v>
      </c>
      <c r="BT56" s="41">
        <f>BX56/4</f>
        <v>0</v>
      </c>
      <c r="BU56" s="41">
        <f>(BX56-BT56)/3</f>
        <v>0</v>
      </c>
      <c r="BV56" s="41">
        <f>(BX56-SUM(BT56:BU56))/2</f>
        <v>0</v>
      </c>
      <c r="BW56" s="41">
        <f>BX56-SUM(BT56:BV56)</f>
        <v>0</v>
      </c>
      <c r="BX56" s="295">
        <f>-CF!BX28</f>
        <v>0</v>
      </c>
      <c r="BY56" s="41">
        <f>CC56/4</f>
        <v>0</v>
      </c>
      <c r="BZ56" s="41">
        <f>(CC56-BY56)/3</f>
        <v>0</v>
      </c>
      <c r="CA56" s="41">
        <f>(CC56-SUM(BY56:BZ56))/2</f>
        <v>0</v>
      </c>
      <c r="CB56" s="41">
        <f>CC56-SUM(BY56:CA56)</f>
        <v>0</v>
      </c>
      <c r="CC56" s="295">
        <f>-CF!CC28</f>
        <v>0</v>
      </c>
      <c r="CD56" s="41">
        <f>CH56/4</f>
        <v>0</v>
      </c>
      <c r="CE56" s="41">
        <f>(CH56-CD56)/3</f>
        <v>0</v>
      </c>
      <c r="CF56" s="41">
        <f>(CH56-SUM(CD56:CE56))/2</f>
        <v>0</v>
      </c>
      <c r="CG56" s="41">
        <f>CH56-SUM(CD56:CF56)</f>
        <v>0</v>
      </c>
      <c r="CH56" s="295">
        <f>-CF!CH28</f>
        <v>0</v>
      </c>
      <c r="CI56" s="41">
        <f>CM56/4</f>
        <v>0</v>
      </c>
      <c r="CJ56" s="41">
        <f>(CM56-CI56)/3</f>
        <v>0</v>
      </c>
      <c r="CK56" s="41">
        <f>(CM56-SUM(CI56:CJ56))/2</f>
        <v>0</v>
      </c>
      <c r="CL56" s="41">
        <f>CM56-SUM(CI56:CK56)</f>
        <v>0</v>
      </c>
      <c r="CM56" s="295">
        <f>-CF!CM28</f>
        <v>0</v>
      </c>
    </row>
    <row r="57" spans="1:91" s="35" customFormat="1">
      <c r="A57" s="35" t="s">
        <v>157</v>
      </c>
      <c r="E57" s="351"/>
      <c r="F57" s="290"/>
      <c r="K57" s="290"/>
      <c r="P57" s="290"/>
      <c r="Q57" s="35">
        <f>-IS!Q25</f>
        <v>-0.22900000000000001</v>
      </c>
      <c r="R57" s="35">
        <f>-IS!R25</f>
        <v>-0.53299999999999992</v>
      </c>
      <c r="S57" s="35">
        <f>-IS!S25</f>
        <v>-0.503</v>
      </c>
      <c r="T57" s="35">
        <f>-IS!T25</f>
        <v>-0.49</v>
      </c>
      <c r="U57" s="290">
        <f>SUM(Q57:T57)</f>
        <v>-1.7549999999999999</v>
      </c>
      <c r="V57" s="35">
        <f>-IS!V25</f>
        <v>-0.48099999999999998</v>
      </c>
      <c r="W57" s="35">
        <f>-IS!W25</f>
        <v>-0.48499999999999999</v>
      </c>
      <c r="X57" s="35">
        <f>-IS!X25</f>
        <v>-0.49099999999999999</v>
      </c>
      <c r="Y57" s="35">
        <f>-IS!Y25</f>
        <v>-0.49099999999999999</v>
      </c>
      <c r="Z57" s="290">
        <f>SUM(V57:Y57)</f>
        <v>-1.948</v>
      </c>
      <c r="AA57" s="35">
        <f>-IS!AA25</f>
        <v>-0.48</v>
      </c>
      <c r="AB57" s="35">
        <f>-IS!AB25</f>
        <v>-0.61899999999999999</v>
      </c>
      <c r="AC57" s="35">
        <f>-IS!AC25</f>
        <v>-0.69099999999999995</v>
      </c>
      <c r="AD57" s="35">
        <f>-IS!AD25</f>
        <v>-0.69</v>
      </c>
      <c r="AE57" s="290">
        <f>SUM(AA57:AD57)</f>
        <v>-2.48</v>
      </c>
      <c r="AF57" s="35">
        <f>-IS!AF25</f>
        <v>-0.68</v>
      </c>
      <c r="AG57" s="35">
        <f>-IS!AG25</f>
        <v>-0.68600000000000005</v>
      </c>
      <c r="AH57" s="35">
        <f>-IS!AH25</f>
        <v>-0.69099999999999995</v>
      </c>
      <c r="AI57" s="35">
        <f>-IS!AI25</f>
        <v>-0.69099999999999995</v>
      </c>
      <c r="AJ57" s="290">
        <f>SUM(AF57:AI57)</f>
        <v>-2.7479999999999998</v>
      </c>
      <c r="AK57" s="35">
        <f>-1.237-AL57</f>
        <v>-0.68500000000000005</v>
      </c>
      <c r="AL57" s="35">
        <v>-0.55200000000000005</v>
      </c>
      <c r="AM57" s="35">
        <f>-IS!AM25</f>
        <v>-0.49099999999999999</v>
      </c>
      <c r="AN57" s="35">
        <f>-IS!AN25</f>
        <v>-0.49099999999999999</v>
      </c>
      <c r="AO57" s="290">
        <f>SUM(AK57:AN57)</f>
        <v>-2.2190000000000003</v>
      </c>
      <c r="AP57" s="35">
        <f>-0.896-AQ57</f>
        <v>-0.48000000000000004</v>
      </c>
      <c r="AQ57" s="35">
        <v>-0.41599999999999998</v>
      </c>
      <c r="AR57" s="35">
        <v>-0.41599999999999998</v>
      </c>
      <c r="AS57" s="35">
        <f>-IS!AS25</f>
        <v>-0.38700000000000001</v>
      </c>
      <c r="AT57" s="290">
        <f>SUM(AP57:AS57)</f>
        <v>-1.6990000000000001</v>
      </c>
      <c r="AU57" s="41">
        <f>IF(-AS58&lt;AY57/4,AY57/4,-AS58)</f>
        <v>-0.81003124999999998</v>
      </c>
      <c r="AV57" s="41">
        <f>IF(-AU58&lt;AY57/4,AY57/4,-AU58)</f>
        <v>-0.81003124999999998</v>
      </c>
      <c r="AW57" s="41">
        <f>IF(-AV58&lt;AY57/4,AY57/4,-AV58)</f>
        <v>-0.81003124999999998</v>
      </c>
      <c r="AX57" s="41">
        <f>IF(-AW58&lt;AY57/4,AY57/4,-AW58)</f>
        <v>-0.81003124999999998</v>
      </c>
      <c r="AY57" s="295">
        <f>-AU55/$A$59</f>
        <v>-3.2401249999999999</v>
      </c>
      <c r="AZ57" s="41">
        <f>IF(-AX58&lt;BD57/4,BD57/4,-AX58)</f>
        <v>-0.70877734374999979</v>
      </c>
      <c r="BA57" s="41">
        <f>IF(-AZ58&lt;BD57/4,BD57/4,-AZ58)</f>
        <v>-0.70877734374999979</v>
      </c>
      <c r="BB57" s="41">
        <f>IF(-BA58&lt;BD57/4,BD57/4,-BA58)</f>
        <v>-0.70877734374999979</v>
      </c>
      <c r="BC57" s="41">
        <f>IF(-BB58&lt;BD57/4,BD57/4,-BB58)</f>
        <v>-0.70877734374999979</v>
      </c>
      <c r="BD57" s="295">
        <f>-AZ55/$A$59</f>
        <v>-2.8351093749999992</v>
      </c>
      <c r="BE57" s="41">
        <f>IF(-BC58&lt;BI57/4,BI57/4,-BC58)</f>
        <v>-0.62018017578124973</v>
      </c>
      <c r="BF57" s="41">
        <f>IF(-BE58&lt;BI57/4,BI57/4,-BE58)</f>
        <v>-0.62018017578124973</v>
      </c>
      <c r="BG57" s="41">
        <f>IF(-BF58&lt;BI57/4,BI57/4,-BF58)</f>
        <v>-0.62018017578124973</v>
      </c>
      <c r="BH57" s="41">
        <f>IF(-BG58&lt;BI57/4,BI57/4,-BG58)</f>
        <v>-0.62018017578124973</v>
      </c>
      <c r="BI57" s="295">
        <f>-BE55/$A$59</f>
        <v>-2.4807207031249989</v>
      </c>
      <c r="BJ57" s="41">
        <f>IF(-BH58&lt;BN57/4,BN57/4,-BH58)</f>
        <v>-0.54265765380859343</v>
      </c>
      <c r="BK57" s="41">
        <f>IF(-BJ58&lt;BN57/4,BN57/4,-BJ58)</f>
        <v>-0.54265765380859343</v>
      </c>
      <c r="BL57" s="41">
        <f>IF(-BK58&lt;BN57/4,BN57/4,-BK58)</f>
        <v>-0.54265765380859343</v>
      </c>
      <c r="BM57" s="41">
        <f>IF(-BL58&lt;BN57/4,BN57/4,-BL58)</f>
        <v>-0.54265765380859343</v>
      </c>
      <c r="BN57" s="295">
        <f>-BJ55/$A$59</f>
        <v>-2.1706306152343737</v>
      </c>
      <c r="BO57" s="41">
        <f>IF(-BM58&lt;BS57/4,BS57/4,-BM58)</f>
        <v>-0.47482544708251928</v>
      </c>
      <c r="BP57" s="41">
        <f>IF(-BO58&lt;BS57/4,BS57/4,-BO58)</f>
        <v>-0.47482544708251928</v>
      </c>
      <c r="BQ57" s="41">
        <f>IF(-BP58&lt;BS57/4,BS57/4,-BP58)</f>
        <v>-0.47482544708251928</v>
      </c>
      <c r="BR57" s="41">
        <f>IF(-BQ58&lt;BS57/4,BS57/4,-BQ58)</f>
        <v>-0.47482544708251928</v>
      </c>
      <c r="BS57" s="295">
        <f>-BO55/$A$59</f>
        <v>-1.8993017883300771</v>
      </c>
      <c r="BT57" s="41">
        <f>IF(-BR58&lt;BX57/4,BX57/4,-BR58)</f>
        <v>-0.41547226619720434</v>
      </c>
      <c r="BU57" s="41">
        <f>IF(-BT58&lt;BX57/4,BX57/4,-BT58)</f>
        <v>-0.41547226619720434</v>
      </c>
      <c r="BV57" s="41">
        <f>IF(-BU58&lt;BX57/4,BX57/4,-BU58)</f>
        <v>-0.41547226619720434</v>
      </c>
      <c r="BW57" s="41">
        <f>IF(-BV58&lt;BX57/4,BX57/4,-BV58)</f>
        <v>-0.41547226619720434</v>
      </c>
      <c r="BX57" s="295">
        <f>-BT55/$A$59</f>
        <v>-1.6618890647888174</v>
      </c>
      <c r="BY57" s="41">
        <f>IF(-BW58&lt;CC57/4,CC57/4,-BW58)</f>
        <v>-0.36353823292255383</v>
      </c>
      <c r="BZ57" s="41">
        <f>IF(-BY58&lt;CC57/4,CC57/4,-BY58)</f>
        <v>-0.36353823292255383</v>
      </c>
      <c r="CA57" s="41">
        <f>IF(-BZ58&lt;CC57/4,CC57/4,-BZ58)</f>
        <v>-0.36353823292255383</v>
      </c>
      <c r="CB57" s="41">
        <f>IF(-CA58&lt;CC57/4,CC57/4,-CA58)</f>
        <v>-0.36353823292255383</v>
      </c>
      <c r="CC57" s="295">
        <f>-BY55/$A$59</f>
        <v>-1.4541529316902153</v>
      </c>
      <c r="CD57" s="41">
        <f>IF(-CB58&lt;CH57/4,CH57/4,-CB58)</f>
        <v>-0.31809595380723454</v>
      </c>
      <c r="CE57" s="41">
        <f>IF(-CD58&lt;CH57/4,CH57/4,-CD58)</f>
        <v>-0.31809595380723454</v>
      </c>
      <c r="CF57" s="41">
        <f>IF(-CE58&lt;CH57/4,CH57/4,-CE58)</f>
        <v>-0.31809595380723454</v>
      </c>
      <c r="CG57" s="41">
        <f>IF(-CF58&lt;CH57/4,CH57/4,-CF58)</f>
        <v>-0.31809595380723454</v>
      </c>
      <c r="CH57" s="295">
        <f>-CD55/$A$59</f>
        <v>-1.2723838152289382</v>
      </c>
      <c r="CI57" s="41">
        <f>IF(-CG58&lt;CM57/4,CM57/4,-CG58)</f>
        <v>-0.27833395958133034</v>
      </c>
      <c r="CJ57" s="41">
        <f>IF(-CI58&lt;CM57/4,CM57/4,-CI58)</f>
        <v>-0.27833395958133034</v>
      </c>
      <c r="CK57" s="41">
        <f>IF(-CJ58&lt;CM57/4,CM57/4,-CJ58)</f>
        <v>-0.27833395958133034</v>
      </c>
      <c r="CL57" s="41">
        <f>IF(-CK58&lt;CM57/4,CM57/4,-CK58)</f>
        <v>-0.27833395958133034</v>
      </c>
      <c r="CM57" s="295">
        <f>-CI55/$A$59</f>
        <v>-1.1133358383253213</v>
      </c>
    </row>
    <row r="58" spans="1:91" s="33" customFormat="1">
      <c r="A58" s="35" t="s">
        <v>154</v>
      </c>
      <c r="B58" s="35"/>
      <c r="C58" s="35"/>
      <c r="D58" s="35"/>
      <c r="E58" s="35"/>
      <c r="F58" s="290"/>
      <c r="G58" s="35"/>
      <c r="H58" s="35"/>
      <c r="I58" s="35">
        <f>BS!I16</f>
        <v>0</v>
      </c>
      <c r="J58" s="35">
        <f>BS!J16</f>
        <v>0</v>
      </c>
      <c r="K58" s="290">
        <f>SUM(K55:K57)</f>
        <v>0</v>
      </c>
      <c r="L58" s="35">
        <f>BS!L16</f>
        <v>0</v>
      </c>
      <c r="M58" s="35">
        <f>BS!M16</f>
        <v>8.9870000000000001</v>
      </c>
      <c r="N58" s="35">
        <f>BS!N16</f>
        <v>8.7550000000000008</v>
      </c>
      <c r="O58" s="35">
        <f>BS!O16</f>
        <v>8.5239999999999991</v>
      </c>
      <c r="P58" s="290">
        <f>SUM(P55:P57)</f>
        <v>8.5239999999999991</v>
      </c>
      <c r="Q58" s="35">
        <f>BS!Q16</f>
        <v>17.681000000000001</v>
      </c>
      <c r="R58" s="35">
        <f>BS!R16</f>
        <v>17.148</v>
      </c>
      <c r="S58" s="35">
        <f>BS!S16</f>
        <v>16.645</v>
      </c>
      <c r="T58" s="35">
        <f>BS!T16</f>
        <v>16.155000000000001</v>
      </c>
      <c r="U58" s="290">
        <f>SUM(U55:U57)</f>
        <v>16.155000000000001</v>
      </c>
      <c r="V58" s="35">
        <f>BS!V16</f>
        <v>15.673999999999999</v>
      </c>
      <c r="W58" s="35">
        <f>BS!W16</f>
        <v>15.189</v>
      </c>
      <c r="X58" s="35">
        <f>BS!X16</f>
        <v>14.698</v>
      </c>
      <c r="Y58" s="35">
        <f>BS!Y16</f>
        <v>14.207000000000001</v>
      </c>
      <c r="Z58" s="290">
        <f>SUM(Z55:Z57)</f>
        <v>14.207000000000001</v>
      </c>
      <c r="AA58" s="35">
        <f>BS!AA16</f>
        <v>13.727</v>
      </c>
      <c r="AB58" s="35">
        <f>BS!AB16</f>
        <v>13.108000000000001</v>
      </c>
      <c r="AC58" s="35">
        <f>BS!AC16</f>
        <v>12.417</v>
      </c>
      <c r="AD58" s="35">
        <f>BS!AD16</f>
        <v>11.727</v>
      </c>
      <c r="AE58" s="290">
        <f>SUM(AE55:AE57)</f>
        <v>11.727</v>
      </c>
      <c r="AF58" s="35">
        <f>BS!AF16</f>
        <v>11.047000000000001</v>
      </c>
      <c r="AG58" s="35">
        <f>BS!AG16</f>
        <v>10.361000000000001</v>
      </c>
      <c r="AH58" s="35">
        <f>BS!AH16</f>
        <v>9.67</v>
      </c>
      <c r="AI58" s="35">
        <f>BS!AI16</f>
        <v>8.9789999999999992</v>
      </c>
      <c r="AJ58" s="290">
        <f>SUM(AJ55:AJ57)</f>
        <v>8.979000000000001</v>
      </c>
      <c r="AK58" s="35">
        <f>BS!AK16</f>
        <v>8.2940000000000005</v>
      </c>
      <c r="AL58" s="35">
        <f>BS!AL16</f>
        <v>7.742</v>
      </c>
      <c r="AM58" s="35">
        <f>BS!AM16</f>
        <v>7.2510000000000003</v>
      </c>
      <c r="AN58" s="35">
        <f>BS!AN16</f>
        <v>6.76</v>
      </c>
      <c r="AO58" s="290">
        <f>SUM(AO55:AO57)</f>
        <v>6.7599999999999989</v>
      </c>
      <c r="AP58" s="35">
        <f>BS!AP16</f>
        <v>6.28</v>
      </c>
      <c r="AQ58" s="35">
        <f>BS!AQ16</f>
        <v>5.8639999999999999</v>
      </c>
      <c r="AR58" s="35">
        <f>BS!AR16</f>
        <v>5.4770000000000003</v>
      </c>
      <c r="AS58" s="35">
        <f>BS!AS16</f>
        <v>25.920999999999999</v>
      </c>
      <c r="AT58" s="290">
        <f t="shared" ref="AT58:BV58" si="191">SUM(AT55:AT57)</f>
        <v>25.920999999999996</v>
      </c>
      <c r="AU58" s="35">
        <f t="shared" si="191"/>
        <v>25.110968749999998</v>
      </c>
      <c r="AV58" s="35">
        <f t="shared" si="191"/>
        <v>24.300937499999996</v>
      </c>
      <c r="AW58" s="35">
        <f t="shared" si="191"/>
        <v>23.490906249999995</v>
      </c>
      <c r="AX58" s="35">
        <f t="shared" si="191"/>
        <v>22.680874999999993</v>
      </c>
      <c r="AY58" s="290">
        <f t="shared" si="191"/>
        <v>22.680875</v>
      </c>
      <c r="AZ58" s="35">
        <f t="shared" si="191"/>
        <v>21.972097656249993</v>
      </c>
      <c r="BA58" s="35">
        <f t="shared" si="191"/>
        <v>21.263320312499992</v>
      </c>
      <c r="BB58" s="35">
        <f t="shared" si="191"/>
        <v>20.554542968749992</v>
      </c>
      <c r="BC58" s="35">
        <f t="shared" si="191"/>
        <v>19.845765624999991</v>
      </c>
      <c r="BD58" s="290">
        <f t="shared" si="191"/>
        <v>19.845765624999995</v>
      </c>
      <c r="BE58" s="35">
        <f t="shared" si="191"/>
        <v>19.225585449218741</v>
      </c>
      <c r="BF58" s="35">
        <f t="shared" si="191"/>
        <v>18.605405273437491</v>
      </c>
      <c r="BG58" s="35">
        <f t="shared" si="191"/>
        <v>17.98522509765624</v>
      </c>
      <c r="BH58" s="35">
        <f t="shared" si="191"/>
        <v>17.36504492187499</v>
      </c>
      <c r="BI58" s="290">
        <f t="shared" si="191"/>
        <v>17.365044921874993</v>
      </c>
      <c r="BJ58" s="35">
        <f t="shared" si="191"/>
        <v>16.822387268066397</v>
      </c>
      <c r="BK58" s="35">
        <f t="shared" si="191"/>
        <v>16.279729614257803</v>
      </c>
      <c r="BL58" s="35">
        <f t="shared" si="191"/>
        <v>15.73707196044921</v>
      </c>
      <c r="BM58" s="35">
        <f t="shared" si="191"/>
        <v>15.194414306640617</v>
      </c>
      <c r="BN58" s="290">
        <f t="shared" si="191"/>
        <v>15.194414306640617</v>
      </c>
      <c r="BO58" s="35">
        <f t="shared" si="191"/>
        <v>14.719588859558097</v>
      </c>
      <c r="BP58" s="35">
        <f t="shared" si="191"/>
        <v>14.244763412475578</v>
      </c>
      <c r="BQ58" s="35">
        <f t="shared" si="191"/>
        <v>13.769937965393058</v>
      </c>
      <c r="BR58" s="35">
        <f t="shared" si="191"/>
        <v>13.295112518310539</v>
      </c>
      <c r="BS58" s="290">
        <f t="shared" si="191"/>
        <v>13.295112518310539</v>
      </c>
      <c r="BT58" s="35">
        <f t="shared" si="191"/>
        <v>12.879640252113335</v>
      </c>
      <c r="BU58" s="35">
        <f t="shared" si="191"/>
        <v>12.464167985916131</v>
      </c>
      <c r="BV58" s="35">
        <f t="shared" si="191"/>
        <v>12.048695719718927</v>
      </c>
      <c r="BW58" s="35">
        <f t="shared" ref="BW58:CM58" si="192">SUM(BW55:BW57)</f>
        <v>11.633223453521722</v>
      </c>
      <c r="BX58" s="290">
        <f t="shared" si="192"/>
        <v>11.633223453521722</v>
      </c>
      <c r="BY58" s="35">
        <f t="shared" si="192"/>
        <v>11.269685220599168</v>
      </c>
      <c r="BZ58" s="35">
        <f t="shared" si="192"/>
        <v>10.906146987676614</v>
      </c>
      <c r="CA58" s="35">
        <f t="shared" si="192"/>
        <v>10.54260875475406</v>
      </c>
      <c r="CB58" s="35">
        <f t="shared" si="192"/>
        <v>10.179070521831505</v>
      </c>
      <c r="CC58" s="290">
        <f t="shared" si="192"/>
        <v>10.179070521831507</v>
      </c>
      <c r="CD58" s="35">
        <f t="shared" si="192"/>
        <v>9.8609745680242717</v>
      </c>
      <c r="CE58" s="35">
        <f t="shared" si="192"/>
        <v>9.5428786142170381</v>
      </c>
      <c r="CF58" s="35">
        <f t="shared" si="192"/>
        <v>9.2247826604098044</v>
      </c>
      <c r="CG58" s="35">
        <f t="shared" si="192"/>
        <v>8.9066867066025708</v>
      </c>
      <c r="CH58" s="290">
        <f t="shared" si="192"/>
        <v>8.9066867066025672</v>
      </c>
      <c r="CI58" s="35">
        <f t="shared" si="192"/>
        <v>8.6283527470212409</v>
      </c>
      <c r="CJ58" s="35">
        <f t="shared" si="192"/>
        <v>8.350018787439911</v>
      </c>
      <c r="CK58" s="35">
        <f t="shared" si="192"/>
        <v>8.0716848278585811</v>
      </c>
      <c r="CL58" s="35">
        <f t="shared" si="192"/>
        <v>7.7933508682772512</v>
      </c>
      <c r="CM58" s="290">
        <f t="shared" si="192"/>
        <v>7.7933508682772494</v>
      </c>
    </row>
    <row r="59" spans="1:91" s="33" customFormat="1">
      <c r="A59" s="331">
        <v>8</v>
      </c>
      <c r="F59" s="290"/>
      <c r="K59" s="290"/>
      <c r="P59" s="290"/>
      <c r="Q59" s="35"/>
      <c r="U59" s="290"/>
      <c r="V59" s="35"/>
      <c r="W59" s="35"/>
      <c r="X59" s="35"/>
      <c r="Y59" s="35"/>
      <c r="Z59" s="290"/>
      <c r="AA59" s="35"/>
      <c r="AE59" s="290"/>
      <c r="AJ59" s="290"/>
      <c r="AO59" s="290"/>
      <c r="AT59" s="290"/>
      <c r="AY59" s="290"/>
      <c r="BD59" s="290"/>
      <c r="BI59" s="290"/>
      <c r="BN59" s="290"/>
      <c r="BS59" s="290"/>
      <c r="BX59" s="290"/>
      <c r="CC59" s="290"/>
      <c r="CH59" s="290"/>
      <c r="CM59" s="290"/>
    </row>
    <row r="60" spans="1:91" s="33" customFormat="1">
      <c r="A60" s="35"/>
      <c r="F60" s="290"/>
      <c r="K60" s="290"/>
      <c r="P60" s="290"/>
      <c r="Q60" s="35"/>
      <c r="U60" s="290"/>
      <c r="V60" s="35"/>
      <c r="W60" s="35"/>
      <c r="X60" s="35"/>
      <c r="Y60" s="35"/>
      <c r="Z60" s="290"/>
      <c r="AA60" s="35"/>
      <c r="AE60" s="290"/>
      <c r="AJ60" s="290"/>
      <c r="AO60" s="290"/>
      <c r="AT60" s="290"/>
      <c r="AY60" s="290"/>
      <c r="BD60" s="290"/>
      <c r="BI60" s="290"/>
      <c r="BN60" s="290"/>
      <c r="BS60" s="290"/>
      <c r="BX60" s="290"/>
      <c r="CC60" s="290"/>
      <c r="CH60" s="290"/>
      <c r="CM60" s="290"/>
    </row>
    <row r="61" spans="1:91" s="33" customFormat="1">
      <c r="A61" s="40" t="s">
        <v>158</v>
      </c>
      <c r="F61" s="290"/>
      <c r="K61" s="290"/>
      <c r="P61" s="290"/>
      <c r="Q61" s="35"/>
      <c r="U61" s="290"/>
      <c r="V61" s="35"/>
      <c r="W61" s="35"/>
      <c r="X61" s="35"/>
      <c r="Y61" s="35"/>
      <c r="Z61" s="290"/>
      <c r="AA61" s="35"/>
      <c r="AE61" s="290"/>
      <c r="AJ61" s="290"/>
      <c r="AO61" s="290"/>
      <c r="AT61" s="290"/>
      <c r="AY61" s="290"/>
      <c r="BD61" s="290"/>
      <c r="BI61" s="290"/>
      <c r="BN61" s="290"/>
      <c r="BS61" s="290"/>
      <c r="BX61" s="290"/>
      <c r="CC61" s="290"/>
      <c r="CH61" s="290"/>
      <c r="CM61" s="290"/>
    </row>
    <row r="62" spans="1:91" s="33" customFormat="1">
      <c r="A62" s="35" t="s">
        <v>150</v>
      </c>
      <c r="B62" s="35"/>
      <c r="C62" s="35"/>
      <c r="D62" s="35"/>
      <c r="E62" s="35"/>
      <c r="F62" s="290"/>
      <c r="G62" s="35"/>
      <c r="H62" s="35"/>
      <c r="I62" s="35">
        <f>H65</f>
        <v>0</v>
      </c>
      <c r="J62" s="35">
        <f>I65</f>
        <v>0</v>
      </c>
      <c r="K62" s="290">
        <f>G62</f>
        <v>0</v>
      </c>
      <c r="L62" s="35">
        <f>J65</f>
        <v>0</v>
      </c>
      <c r="M62" s="35">
        <f>K65</f>
        <v>0</v>
      </c>
      <c r="N62" s="35">
        <f>M65</f>
        <v>2.9350000000000001</v>
      </c>
      <c r="O62" s="35">
        <f>N65</f>
        <v>2.9279999999999999</v>
      </c>
      <c r="P62" s="290">
        <f>L62</f>
        <v>0</v>
      </c>
      <c r="Q62" s="35">
        <f>O65</f>
        <v>3.29</v>
      </c>
      <c r="R62" s="35">
        <f>Q65</f>
        <v>3.29</v>
      </c>
      <c r="S62" s="35">
        <f>R65</f>
        <v>3.29</v>
      </c>
      <c r="T62" s="35">
        <f>S65</f>
        <v>3.29</v>
      </c>
      <c r="U62" s="290">
        <f>Q62</f>
        <v>3.29</v>
      </c>
      <c r="V62" s="35">
        <f>T65</f>
        <v>3.29</v>
      </c>
      <c r="W62" s="35">
        <f>V65</f>
        <v>3.29</v>
      </c>
      <c r="X62" s="35">
        <f>W65</f>
        <v>3.29</v>
      </c>
      <c r="Y62" s="35">
        <f>X65</f>
        <v>3.29</v>
      </c>
      <c r="Z62" s="290">
        <f>V62</f>
        <v>3.29</v>
      </c>
      <c r="AA62" s="35">
        <f>Y65</f>
        <v>3.29</v>
      </c>
      <c r="AB62" s="35">
        <f>AA65</f>
        <v>3.29</v>
      </c>
      <c r="AC62" s="35">
        <f>AB65</f>
        <v>3.29</v>
      </c>
      <c r="AD62" s="35">
        <f>AC65</f>
        <v>3.29</v>
      </c>
      <c r="AE62" s="290">
        <f>AA62</f>
        <v>3.29</v>
      </c>
      <c r="AF62" s="35">
        <f>AD65</f>
        <v>3.29</v>
      </c>
      <c r="AG62" s="35">
        <f>AF65</f>
        <v>3.29</v>
      </c>
      <c r="AH62" s="35">
        <f>AG65</f>
        <v>3.29</v>
      </c>
      <c r="AI62" s="35">
        <f>AH65</f>
        <v>3.29</v>
      </c>
      <c r="AJ62" s="290">
        <f>AF62</f>
        <v>3.29</v>
      </c>
      <c r="AK62" s="35">
        <f>AI65</f>
        <v>3.29</v>
      </c>
      <c r="AL62" s="35">
        <f>AK65</f>
        <v>3.29</v>
      </c>
      <c r="AM62" s="35">
        <f>AL65</f>
        <v>3.29</v>
      </c>
      <c r="AN62" s="35">
        <f>AM65</f>
        <v>3.29</v>
      </c>
      <c r="AO62" s="290">
        <f>AK62</f>
        <v>3.29</v>
      </c>
      <c r="AP62" s="35">
        <f>AN65</f>
        <v>3.29</v>
      </c>
      <c r="AQ62" s="35">
        <f>AP65</f>
        <v>3.29</v>
      </c>
      <c r="AR62" s="35">
        <f>AQ65</f>
        <v>3.29</v>
      </c>
      <c r="AS62" s="35">
        <f>AR65</f>
        <v>3.29</v>
      </c>
      <c r="AT62" s="290">
        <f>AP62</f>
        <v>3.29</v>
      </c>
      <c r="AU62" s="35">
        <f>AS65</f>
        <v>77.257000000000005</v>
      </c>
      <c r="AV62" s="35">
        <f>AU65</f>
        <v>77.257000000000005</v>
      </c>
      <c r="AW62" s="35">
        <f>AV65</f>
        <v>77.257000000000005</v>
      </c>
      <c r="AX62" s="35">
        <f>AW65</f>
        <v>77.257000000000005</v>
      </c>
      <c r="AY62" s="290">
        <f>AU62</f>
        <v>77.257000000000005</v>
      </c>
      <c r="AZ62" s="35">
        <f>AX65</f>
        <v>77.257000000000005</v>
      </c>
      <c r="BA62" s="35">
        <f>AZ65</f>
        <v>77.257000000000005</v>
      </c>
      <c r="BB62" s="35">
        <f>BA65</f>
        <v>77.257000000000005</v>
      </c>
      <c r="BC62" s="35">
        <f>BB65</f>
        <v>77.257000000000005</v>
      </c>
      <c r="BD62" s="290">
        <f>AZ62</f>
        <v>77.257000000000005</v>
      </c>
      <c r="BE62" s="35">
        <f>BC65</f>
        <v>77.257000000000005</v>
      </c>
      <c r="BF62" s="35">
        <f>BE65</f>
        <v>77.257000000000005</v>
      </c>
      <c r="BG62" s="35">
        <f>BF65</f>
        <v>77.257000000000005</v>
      </c>
      <c r="BH62" s="35">
        <f>BG65</f>
        <v>77.257000000000005</v>
      </c>
      <c r="BI62" s="290">
        <f>BE62</f>
        <v>77.257000000000005</v>
      </c>
      <c r="BJ62" s="35">
        <f>BH65</f>
        <v>77.257000000000005</v>
      </c>
      <c r="BK62" s="35">
        <f>BJ65</f>
        <v>77.257000000000005</v>
      </c>
      <c r="BL62" s="35">
        <f>BK65</f>
        <v>77.257000000000005</v>
      </c>
      <c r="BM62" s="35">
        <f>BL65</f>
        <v>77.257000000000005</v>
      </c>
      <c r="BN62" s="290">
        <f>BJ62</f>
        <v>77.257000000000005</v>
      </c>
      <c r="BO62" s="35">
        <f>BM65</f>
        <v>77.257000000000005</v>
      </c>
      <c r="BP62" s="35">
        <f>BO65</f>
        <v>77.257000000000005</v>
      </c>
      <c r="BQ62" s="35">
        <f>BP65</f>
        <v>77.257000000000005</v>
      </c>
      <c r="BR62" s="35">
        <f>BQ65</f>
        <v>77.257000000000005</v>
      </c>
      <c r="BS62" s="290">
        <f>BO62</f>
        <v>77.257000000000005</v>
      </c>
      <c r="BT62" s="35">
        <f>BR65</f>
        <v>77.257000000000005</v>
      </c>
      <c r="BU62" s="35">
        <f>BT65</f>
        <v>77.257000000000005</v>
      </c>
      <c r="BV62" s="35">
        <f>BU65</f>
        <v>77.257000000000005</v>
      </c>
      <c r="BW62" s="35">
        <f>BV65</f>
        <v>77.257000000000005</v>
      </c>
      <c r="BX62" s="290">
        <f>BT62</f>
        <v>77.257000000000005</v>
      </c>
      <c r="BY62" s="35">
        <f>BW65</f>
        <v>77.257000000000005</v>
      </c>
      <c r="BZ62" s="35">
        <f>BY65</f>
        <v>77.257000000000005</v>
      </c>
      <c r="CA62" s="35">
        <f>BZ65</f>
        <v>77.257000000000005</v>
      </c>
      <c r="CB62" s="35">
        <f>CA65</f>
        <v>77.257000000000005</v>
      </c>
      <c r="CC62" s="290">
        <f>BY62</f>
        <v>77.257000000000005</v>
      </c>
      <c r="CD62" s="35">
        <f>CB65</f>
        <v>77.257000000000005</v>
      </c>
      <c r="CE62" s="35">
        <f>CD65</f>
        <v>77.257000000000005</v>
      </c>
      <c r="CF62" s="35">
        <f>CE65</f>
        <v>77.257000000000005</v>
      </c>
      <c r="CG62" s="35">
        <f>CF65</f>
        <v>77.257000000000005</v>
      </c>
      <c r="CH62" s="290">
        <f>CD62</f>
        <v>77.257000000000005</v>
      </c>
      <c r="CI62" s="35">
        <f>CG65</f>
        <v>77.257000000000005</v>
      </c>
      <c r="CJ62" s="35">
        <f>CI65</f>
        <v>77.257000000000005</v>
      </c>
      <c r="CK62" s="35">
        <f>CJ65</f>
        <v>77.257000000000005</v>
      </c>
      <c r="CL62" s="35">
        <f>CK65</f>
        <v>77.257000000000005</v>
      </c>
      <c r="CM62" s="290">
        <f>CI62</f>
        <v>77.257000000000005</v>
      </c>
    </row>
    <row r="63" spans="1:91" s="33" customFormat="1">
      <c r="A63" s="35" t="s">
        <v>156</v>
      </c>
      <c r="B63" s="35"/>
      <c r="C63" s="35"/>
      <c r="D63" s="35"/>
      <c r="E63" s="35"/>
      <c r="F63" s="290"/>
      <c r="G63" s="35"/>
      <c r="H63" s="35"/>
      <c r="I63" s="35">
        <f>I65-I62</f>
        <v>0</v>
      </c>
      <c r="J63" s="35">
        <f>J65-J62</f>
        <v>0</v>
      </c>
      <c r="K63" s="290">
        <f>SUM(G63:J63)</f>
        <v>0</v>
      </c>
      <c r="L63" s="35">
        <f>L65-L62</f>
        <v>0</v>
      </c>
      <c r="M63" s="35">
        <f>M65-M62</f>
        <v>2.9350000000000001</v>
      </c>
      <c r="N63" s="35">
        <f>N65-N62</f>
        <v>-7.0000000000001172E-3</v>
      </c>
      <c r="O63" s="35">
        <f>O65-O62</f>
        <v>0.3620000000000001</v>
      </c>
      <c r="P63" s="290">
        <f>SUM(L63:O63)</f>
        <v>3.29</v>
      </c>
      <c r="Q63" s="35">
        <f>Q65-Q62</f>
        <v>0</v>
      </c>
      <c r="R63" s="35">
        <f>R65-R62</f>
        <v>0</v>
      </c>
      <c r="S63" s="35">
        <f>S65-S62</f>
        <v>0</v>
      </c>
      <c r="T63" s="35">
        <f>T65-T62</f>
        <v>0</v>
      </c>
      <c r="U63" s="290">
        <f>SUM(Q63:T63)</f>
        <v>0</v>
      </c>
      <c r="V63" s="35">
        <f>V65-V62</f>
        <v>0</v>
      </c>
      <c r="W63" s="35">
        <f>W65-W62</f>
        <v>0</v>
      </c>
      <c r="X63" s="35">
        <f>X65-X62</f>
        <v>0</v>
      </c>
      <c r="Y63" s="35">
        <f>Y65-Y62</f>
        <v>0</v>
      </c>
      <c r="Z63" s="290">
        <f>SUM(V63:Y63)</f>
        <v>0</v>
      </c>
      <c r="AA63" s="35">
        <f>AA65-AA62</f>
        <v>0</v>
      </c>
      <c r="AB63" s="35">
        <f>AB65-AB62</f>
        <v>0</v>
      </c>
      <c r="AC63" s="35">
        <f>AC65-AC62</f>
        <v>0</v>
      </c>
      <c r="AD63" s="35">
        <f>AD65-AD62</f>
        <v>0</v>
      </c>
      <c r="AE63" s="290">
        <f>SUM(AA63:AD63)</f>
        <v>0</v>
      </c>
      <c r="AF63" s="35">
        <f>AF65-AF62</f>
        <v>0</v>
      </c>
      <c r="AG63" s="35">
        <f>AG65-AG62</f>
        <v>0</v>
      </c>
      <c r="AH63" s="35">
        <f>AH65-AH62</f>
        <v>0</v>
      </c>
      <c r="AI63" s="35">
        <f>AI65-AI62</f>
        <v>0</v>
      </c>
      <c r="AJ63" s="290">
        <f>SUM(AF63:AI63)</f>
        <v>0</v>
      </c>
      <c r="AK63" s="35">
        <f>AK65-AK62</f>
        <v>0</v>
      </c>
      <c r="AL63" s="35">
        <f>AL65-AL62</f>
        <v>0</v>
      </c>
      <c r="AM63" s="35">
        <f>AM65-AM62</f>
        <v>0</v>
      </c>
      <c r="AN63" s="35">
        <f>AN65-AN62</f>
        <v>0</v>
      </c>
      <c r="AO63" s="290">
        <f>SUM(AK63:AN63)</f>
        <v>0</v>
      </c>
      <c r="AP63" s="35">
        <f>AP65-AP62</f>
        <v>0</v>
      </c>
      <c r="AQ63" s="35">
        <f>AQ65-AQ62</f>
        <v>0</v>
      </c>
      <c r="AR63" s="35">
        <f>AR65-AR62</f>
        <v>0</v>
      </c>
      <c r="AS63" s="35">
        <f>AS65-AS62</f>
        <v>73.966999999999999</v>
      </c>
      <c r="AT63" s="290">
        <f>SUM(AP63:AS63)</f>
        <v>73.966999999999999</v>
      </c>
      <c r="AU63" s="144">
        <v>0</v>
      </c>
      <c r="AV63" s="144">
        <v>0</v>
      </c>
      <c r="AW63" s="144">
        <v>0</v>
      </c>
      <c r="AX63" s="144">
        <v>0</v>
      </c>
      <c r="AY63" s="290">
        <f>SUM(AU63:AX63)</f>
        <v>0</v>
      </c>
      <c r="AZ63" s="41">
        <f>BD63/4</f>
        <v>0</v>
      </c>
      <c r="BA63" s="41">
        <f>(BD63-AZ63)/3</f>
        <v>0</v>
      </c>
      <c r="BB63" s="41">
        <f>(BD63-SUM(AZ63:BA63))/2</f>
        <v>0</v>
      </c>
      <c r="BC63" s="41">
        <f>BD63-SUM(AZ63:BB63)</f>
        <v>0</v>
      </c>
      <c r="BD63" s="295">
        <f>-CF!BD27</f>
        <v>0</v>
      </c>
      <c r="BE63" s="41">
        <f>BI63/4</f>
        <v>0</v>
      </c>
      <c r="BF63" s="41">
        <f>(BI63-BE63)/3</f>
        <v>0</v>
      </c>
      <c r="BG63" s="41">
        <f>(BI63-SUM(BE63:BF63))/2</f>
        <v>0</v>
      </c>
      <c r="BH63" s="41">
        <f>BI63-SUM(BE63:BG63)</f>
        <v>0</v>
      </c>
      <c r="BI63" s="295">
        <f>-CF!BI27</f>
        <v>0</v>
      </c>
      <c r="BJ63" s="41">
        <f>BN63/4</f>
        <v>0</v>
      </c>
      <c r="BK63" s="41">
        <f>(BN63-BJ63)/3</f>
        <v>0</v>
      </c>
      <c r="BL63" s="41">
        <f>(BN63-SUM(BJ63:BK63))/2</f>
        <v>0</v>
      </c>
      <c r="BM63" s="41">
        <f>BN63-SUM(BJ63:BL63)</f>
        <v>0</v>
      </c>
      <c r="BN63" s="295">
        <f>-CF!BN27</f>
        <v>0</v>
      </c>
      <c r="BO63" s="41">
        <f>BS63/4</f>
        <v>0</v>
      </c>
      <c r="BP63" s="41">
        <f>(BS63-BO63)/3</f>
        <v>0</v>
      </c>
      <c r="BQ63" s="41">
        <f>(BS63-SUM(BO63:BP63))/2</f>
        <v>0</v>
      </c>
      <c r="BR63" s="41">
        <f>BS63-SUM(BO63:BQ63)</f>
        <v>0</v>
      </c>
      <c r="BS63" s="295">
        <f>-CF!BS27</f>
        <v>0</v>
      </c>
      <c r="BT63" s="41">
        <f>BX63/4</f>
        <v>0</v>
      </c>
      <c r="BU63" s="41">
        <f>(BX63-BT63)/3</f>
        <v>0</v>
      </c>
      <c r="BV63" s="41">
        <f>(BX63-SUM(BT63:BU63))/2</f>
        <v>0</v>
      </c>
      <c r="BW63" s="41">
        <f>BX63-SUM(BT63:BV63)</f>
        <v>0</v>
      </c>
      <c r="BX63" s="295">
        <f>-CF!BX27</f>
        <v>0</v>
      </c>
      <c r="BY63" s="41">
        <f>CC63/4</f>
        <v>0</v>
      </c>
      <c r="BZ63" s="41">
        <f>(CC63-BY63)/3</f>
        <v>0</v>
      </c>
      <c r="CA63" s="41">
        <f>(CC63-SUM(BY63:BZ63))/2</f>
        <v>0</v>
      </c>
      <c r="CB63" s="41">
        <f>CC63-SUM(BY63:CA63)</f>
        <v>0</v>
      </c>
      <c r="CC63" s="295">
        <f>-CF!CC27</f>
        <v>0</v>
      </c>
      <c r="CD63" s="41">
        <f>CH63/4</f>
        <v>0</v>
      </c>
      <c r="CE63" s="41">
        <f>(CH63-CD63)/3</f>
        <v>0</v>
      </c>
      <c r="CF63" s="41">
        <f>(CH63-SUM(CD63:CE63))/2</f>
        <v>0</v>
      </c>
      <c r="CG63" s="41">
        <f>CH63-SUM(CD63:CF63)</f>
        <v>0</v>
      </c>
      <c r="CH63" s="295">
        <f>-CF!CH27</f>
        <v>0</v>
      </c>
      <c r="CI63" s="41">
        <f>CM63/4</f>
        <v>0</v>
      </c>
      <c r="CJ63" s="41">
        <f>(CM63-CI63)/3</f>
        <v>0</v>
      </c>
      <c r="CK63" s="41">
        <f>(CM63-SUM(CI63:CJ63))/2</f>
        <v>0</v>
      </c>
      <c r="CL63" s="41">
        <f>CM63-SUM(CI63:CK63)</f>
        <v>0</v>
      </c>
      <c r="CM63" s="295">
        <f>-CF!CM27</f>
        <v>0</v>
      </c>
    </row>
    <row r="64" spans="1:91" s="33" customFormat="1">
      <c r="A64" s="35" t="s">
        <v>157</v>
      </c>
      <c r="F64" s="291"/>
      <c r="I64" s="33">
        <v>0</v>
      </c>
      <c r="J64" s="33">
        <v>0</v>
      </c>
      <c r="K64" s="291">
        <f>SUM(G64:J64)</f>
        <v>0</v>
      </c>
      <c r="L64" s="33">
        <v>0</v>
      </c>
      <c r="M64" s="33">
        <v>0</v>
      </c>
      <c r="N64" s="33">
        <v>0</v>
      </c>
      <c r="O64" s="33">
        <v>0</v>
      </c>
      <c r="P64" s="291">
        <f>SUM(L64:O64)</f>
        <v>0</v>
      </c>
      <c r="Q64" s="33">
        <v>0</v>
      </c>
      <c r="R64" s="33">
        <v>0</v>
      </c>
      <c r="S64" s="33">
        <v>0</v>
      </c>
      <c r="T64" s="33">
        <v>0</v>
      </c>
      <c r="U64" s="291">
        <f>SUM(Q64:T64)</f>
        <v>0</v>
      </c>
      <c r="V64" s="33">
        <v>0</v>
      </c>
      <c r="W64" s="33">
        <v>0</v>
      </c>
      <c r="X64" s="33">
        <v>0</v>
      </c>
      <c r="Y64" s="33">
        <v>0</v>
      </c>
      <c r="Z64" s="291">
        <f>SUM(V64:Y64)</f>
        <v>0</v>
      </c>
      <c r="AA64" s="33">
        <v>0</v>
      </c>
      <c r="AB64" s="33">
        <v>0</v>
      </c>
      <c r="AC64" s="33">
        <v>0</v>
      </c>
      <c r="AD64" s="33">
        <v>0</v>
      </c>
      <c r="AE64" s="291">
        <f>SUM(AA64:AD64)</f>
        <v>0</v>
      </c>
      <c r="AF64" s="33">
        <v>0</v>
      </c>
      <c r="AG64" s="33">
        <v>0</v>
      </c>
      <c r="AH64" s="33">
        <v>0</v>
      </c>
      <c r="AI64" s="33">
        <v>0</v>
      </c>
      <c r="AJ64" s="291">
        <f>SUM(AF64:AI64)</f>
        <v>0</v>
      </c>
      <c r="AK64" s="33">
        <v>0</v>
      </c>
      <c r="AL64" s="33">
        <v>0</v>
      </c>
      <c r="AM64" s="33">
        <v>0</v>
      </c>
      <c r="AN64" s="33">
        <v>0</v>
      </c>
      <c r="AO64" s="291">
        <f>SUM(AK64:AN64)</f>
        <v>0</v>
      </c>
      <c r="AP64" s="33">
        <v>0</v>
      </c>
      <c r="AQ64" s="33">
        <v>0</v>
      </c>
      <c r="AR64" s="33">
        <v>0</v>
      </c>
      <c r="AS64" s="33">
        <v>0</v>
      </c>
      <c r="AT64" s="291">
        <f>SUM(AP64:AS64)</f>
        <v>0</v>
      </c>
      <c r="AU64" s="33">
        <v>0</v>
      </c>
      <c r="AV64" s="33">
        <v>0</v>
      </c>
      <c r="AW64" s="33">
        <v>0</v>
      </c>
      <c r="AX64" s="33">
        <v>0</v>
      </c>
      <c r="AY64" s="291">
        <f>SUM(AU64:AX64)</f>
        <v>0</v>
      </c>
      <c r="AZ64" s="33">
        <v>0</v>
      </c>
      <c r="BA64" s="33">
        <v>0</v>
      </c>
      <c r="BB64" s="33">
        <v>0</v>
      </c>
      <c r="BC64" s="33">
        <v>0</v>
      </c>
      <c r="BD64" s="291">
        <f>SUM(AZ64:BC64)</f>
        <v>0</v>
      </c>
      <c r="BE64" s="33">
        <v>0</v>
      </c>
      <c r="BF64" s="33">
        <v>0</v>
      </c>
      <c r="BG64" s="33">
        <v>0</v>
      </c>
      <c r="BH64" s="33">
        <v>0</v>
      </c>
      <c r="BI64" s="291">
        <f>SUM(BE64:BH64)</f>
        <v>0</v>
      </c>
      <c r="BJ64" s="33">
        <v>0</v>
      </c>
      <c r="BK64" s="33">
        <v>0</v>
      </c>
      <c r="BL64" s="33">
        <v>0</v>
      </c>
      <c r="BM64" s="33">
        <v>0</v>
      </c>
      <c r="BN64" s="291">
        <f>SUM(BJ64:BM64)</f>
        <v>0</v>
      </c>
      <c r="BO64" s="33">
        <v>0</v>
      </c>
      <c r="BP64" s="33">
        <v>0</v>
      </c>
      <c r="BQ64" s="33">
        <v>0</v>
      </c>
      <c r="BR64" s="33">
        <v>0</v>
      </c>
      <c r="BS64" s="291">
        <f>SUM(BO64:BR64)</f>
        <v>0</v>
      </c>
      <c r="BT64" s="33">
        <v>0</v>
      </c>
      <c r="BU64" s="33">
        <v>0</v>
      </c>
      <c r="BV64" s="33">
        <v>0</v>
      </c>
      <c r="BW64" s="33">
        <v>0</v>
      </c>
      <c r="BX64" s="291">
        <f>SUM(BT64:BW64)</f>
        <v>0</v>
      </c>
      <c r="BY64" s="33">
        <v>0</v>
      </c>
      <c r="BZ64" s="33">
        <v>0</v>
      </c>
      <c r="CA64" s="33">
        <v>0</v>
      </c>
      <c r="CB64" s="33">
        <v>0</v>
      </c>
      <c r="CC64" s="291">
        <f>SUM(BY64:CB64)</f>
        <v>0</v>
      </c>
      <c r="CD64" s="33">
        <v>0</v>
      </c>
      <c r="CE64" s="33">
        <v>0</v>
      </c>
      <c r="CF64" s="33">
        <v>0</v>
      </c>
      <c r="CG64" s="33">
        <v>0</v>
      </c>
      <c r="CH64" s="291">
        <f>SUM(CD64:CG64)</f>
        <v>0</v>
      </c>
      <c r="CI64" s="33">
        <v>0</v>
      </c>
      <c r="CJ64" s="33">
        <v>0</v>
      </c>
      <c r="CK64" s="33">
        <v>0</v>
      </c>
      <c r="CL64" s="33">
        <v>0</v>
      </c>
      <c r="CM64" s="291">
        <f>SUM(CI64:CL64)</f>
        <v>0</v>
      </c>
    </row>
    <row r="65" spans="1:91" s="33" customFormat="1">
      <c r="A65" s="35" t="s">
        <v>154</v>
      </c>
      <c r="B65" s="35"/>
      <c r="C65" s="35"/>
      <c r="D65" s="35"/>
      <c r="E65" s="35"/>
      <c r="F65" s="290"/>
      <c r="G65" s="35"/>
      <c r="H65" s="35"/>
      <c r="I65" s="35">
        <f>BS!I17</f>
        <v>0</v>
      </c>
      <c r="J65" s="35">
        <f>BS!J17</f>
        <v>0</v>
      </c>
      <c r="K65" s="290">
        <f>SUM(K62:K64)</f>
        <v>0</v>
      </c>
      <c r="L65" s="35">
        <f>BS!L17</f>
        <v>0</v>
      </c>
      <c r="M65" s="35">
        <f>BS!M17</f>
        <v>2.9350000000000001</v>
      </c>
      <c r="N65" s="35">
        <f>BS!N17</f>
        <v>2.9279999999999999</v>
      </c>
      <c r="O65" s="35">
        <f>BS!O17</f>
        <v>3.29</v>
      </c>
      <c r="P65" s="290">
        <f>SUM(P62:P64)</f>
        <v>3.29</v>
      </c>
      <c r="Q65" s="35">
        <f>BS!Q17</f>
        <v>3.29</v>
      </c>
      <c r="R65" s="35">
        <f>BS!R17</f>
        <v>3.29</v>
      </c>
      <c r="S65" s="35">
        <f>BS!S17</f>
        <v>3.29</v>
      </c>
      <c r="T65" s="35">
        <f>BS!T17</f>
        <v>3.29</v>
      </c>
      <c r="U65" s="290">
        <f>SUM(U62:U64)</f>
        <v>3.29</v>
      </c>
      <c r="V65" s="35">
        <f>BS!V17</f>
        <v>3.29</v>
      </c>
      <c r="W65" s="35">
        <f>BS!W17</f>
        <v>3.29</v>
      </c>
      <c r="X65" s="35">
        <f>BS!X17</f>
        <v>3.29</v>
      </c>
      <c r="Y65" s="35">
        <f>BS!Y17</f>
        <v>3.29</v>
      </c>
      <c r="Z65" s="290">
        <f>SUM(Z62:Z64)</f>
        <v>3.29</v>
      </c>
      <c r="AA65" s="35">
        <f>BS!AA17</f>
        <v>3.29</v>
      </c>
      <c r="AB65" s="35">
        <f>BS!AB17</f>
        <v>3.29</v>
      </c>
      <c r="AC65" s="35">
        <f>BS!AC17</f>
        <v>3.29</v>
      </c>
      <c r="AD65" s="35">
        <f>BS!AD17</f>
        <v>3.29</v>
      </c>
      <c r="AE65" s="290">
        <f>SUM(AE62:AE64)</f>
        <v>3.29</v>
      </c>
      <c r="AF65" s="35">
        <f>BS!AF17</f>
        <v>3.29</v>
      </c>
      <c r="AG65" s="35">
        <f>BS!AG17</f>
        <v>3.29</v>
      </c>
      <c r="AH65" s="35">
        <f>BS!AH17</f>
        <v>3.29</v>
      </c>
      <c r="AI65" s="35">
        <f>BS!AI17</f>
        <v>3.29</v>
      </c>
      <c r="AJ65" s="290">
        <f>SUM(AJ62:AJ64)</f>
        <v>3.29</v>
      </c>
      <c r="AK65" s="35">
        <f>BS!AK17</f>
        <v>3.29</v>
      </c>
      <c r="AL65" s="35">
        <f>BS!AL17</f>
        <v>3.29</v>
      </c>
      <c r="AM65" s="35">
        <f>BS!AM17</f>
        <v>3.29</v>
      </c>
      <c r="AN65" s="35">
        <f>BS!AN17</f>
        <v>3.29</v>
      </c>
      <c r="AO65" s="290">
        <f>SUM(AO62:AO64)</f>
        <v>3.29</v>
      </c>
      <c r="AP65" s="35">
        <f>BS!AP17</f>
        <v>3.29</v>
      </c>
      <c r="AQ65" s="35">
        <f>BS!AQ17</f>
        <v>3.29</v>
      </c>
      <c r="AR65" s="35">
        <f>BS!AR17</f>
        <v>3.29</v>
      </c>
      <c r="AS65" s="35">
        <f>BS!AS17</f>
        <v>77.257000000000005</v>
      </c>
      <c r="AT65" s="290">
        <f t="shared" ref="AT65:BV65" si="193">SUM(AT62:AT64)</f>
        <v>77.257000000000005</v>
      </c>
      <c r="AU65" s="35">
        <f t="shared" si="193"/>
        <v>77.257000000000005</v>
      </c>
      <c r="AV65" s="35">
        <f t="shared" si="193"/>
        <v>77.257000000000005</v>
      </c>
      <c r="AW65" s="35">
        <f t="shared" si="193"/>
        <v>77.257000000000005</v>
      </c>
      <c r="AX65" s="35">
        <f t="shared" si="193"/>
        <v>77.257000000000005</v>
      </c>
      <c r="AY65" s="290">
        <f t="shared" si="193"/>
        <v>77.257000000000005</v>
      </c>
      <c r="AZ65" s="35">
        <f t="shared" si="193"/>
        <v>77.257000000000005</v>
      </c>
      <c r="BA65" s="35">
        <f t="shared" si="193"/>
        <v>77.257000000000005</v>
      </c>
      <c r="BB65" s="35">
        <f t="shared" si="193"/>
        <v>77.257000000000005</v>
      </c>
      <c r="BC65" s="35">
        <f t="shared" si="193"/>
        <v>77.257000000000005</v>
      </c>
      <c r="BD65" s="290">
        <f t="shared" si="193"/>
        <v>77.257000000000005</v>
      </c>
      <c r="BE65" s="35">
        <f t="shared" si="193"/>
        <v>77.257000000000005</v>
      </c>
      <c r="BF65" s="35">
        <f t="shared" si="193"/>
        <v>77.257000000000005</v>
      </c>
      <c r="BG65" s="35">
        <f t="shared" si="193"/>
        <v>77.257000000000005</v>
      </c>
      <c r="BH65" s="35">
        <f t="shared" si="193"/>
        <v>77.257000000000005</v>
      </c>
      <c r="BI65" s="290">
        <f t="shared" si="193"/>
        <v>77.257000000000005</v>
      </c>
      <c r="BJ65" s="35">
        <f t="shared" si="193"/>
        <v>77.257000000000005</v>
      </c>
      <c r="BK65" s="35">
        <f t="shared" si="193"/>
        <v>77.257000000000005</v>
      </c>
      <c r="BL65" s="35">
        <f t="shared" si="193"/>
        <v>77.257000000000005</v>
      </c>
      <c r="BM65" s="35">
        <f t="shared" si="193"/>
        <v>77.257000000000005</v>
      </c>
      <c r="BN65" s="290">
        <f t="shared" si="193"/>
        <v>77.257000000000005</v>
      </c>
      <c r="BO65" s="35">
        <f t="shared" si="193"/>
        <v>77.257000000000005</v>
      </c>
      <c r="BP65" s="35">
        <f t="shared" si="193"/>
        <v>77.257000000000005</v>
      </c>
      <c r="BQ65" s="35">
        <f t="shared" si="193"/>
        <v>77.257000000000005</v>
      </c>
      <c r="BR65" s="35">
        <f t="shared" si="193"/>
        <v>77.257000000000005</v>
      </c>
      <c r="BS65" s="290">
        <f t="shared" si="193"/>
        <v>77.257000000000005</v>
      </c>
      <c r="BT65" s="35">
        <f t="shared" si="193"/>
        <v>77.257000000000005</v>
      </c>
      <c r="BU65" s="35">
        <f t="shared" si="193"/>
        <v>77.257000000000005</v>
      </c>
      <c r="BV65" s="35">
        <f t="shared" si="193"/>
        <v>77.257000000000005</v>
      </c>
      <c r="BW65" s="35">
        <f t="shared" ref="BW65:CM65" si="194">SUM(BW62:BW64)</f>
        <v>77.257000000000005</v>
      </c>
      <c r="BX65" s="290">
        <f t="shared" si="194"/>
        <v>77.257000000000005</v>
      </c>
      <c r="BY65" s="35">
        <f t="shared" si="194"/>
        <v>77.257000000000005</v>
      </c>
      <c r="BZ65" s="35">
        <f t="shared" si="194"/>
        <v>77.257000000000005</v>
      </c>
      <c r="CA65" s="35">
        <f t="shared" si="194"/>
        <v>77.257000000000005</v>
      </c>
      <c r="CB65" s="35">
        <f t="shared" si="194"/>
        <v>77.257000000000005</v>
      </c>
      <c r="CC65" s="290">
        <f t="shared" si="194"/>
        <v>77.257000000000005</v>
      </c>
      <c r="CD65" s="35">
        <f t="shared" si="194"/>
        <v>77.257000000000005</v>
      </c>
      <c r="CE65" s="35">
        <f t="shared" si="194"/>
        <v>77.257000000000005</v>
      </c>
      <c r="CF65" s="35">
        <f t="shared" si="194"/>
        <v>77.257000000000005</v>
      </c>
      <c r="CG65" s="35">
        <f t="shared" si="194"/>
        <v>77.257000000000005</v>
      </c>
      <c r="CH65" s="290">
        <f t="shared" si="194"/>
        <v>77.257000000000005</v>
      </c>
      <c r="CI65" s="35">
        <f t="shared" si="194"/>
        <v>77.257000000000005</v>
      </c>
      <c r="CJ65" s="35">
        <f t="shared" si="194"/>
        <v>77.257000000000005</v>
      </c>
      <c r="CK65" s="35">
        <f t="shared" si="194"/>
        <v>77.257000000000005</v>
      </c>
      <c r="CL65" s="35">
        <f t="shared" si="194"/>
        <v>77.257000000000005</v>
      </c>
      <c r="CM65" s="290">
        <f t="shared" si="194"/>
        <v>77.257000000000005</v>
      </c>
    </row>
    <row r="66" spans="1:91" s="33" customFormat="1">
      <c r="A66" s="331">
        <v>7</v>
      </c>
      <c r="F66" s="290"/>
      <c r="K66" s="290"/>
      <c r="P66" s="290"/>
      <c r="U66" s="290"/>
      <c r="Z66" s="290"/>
      <c r="AE66" s="290"/>
      <c r="AJ66" s="290"/>
      <c r="AO66" s="290"/>
      <c r="AT66" s="290"/>
      <c r="AY66" s="290"/>
      <c r="BD66" s="290"/>
      <c r="BI66" s="290"/>
      <c r="BN66" s="290"/>
      <c r="BS66" s="290"/>
      <c r="BX66" s="290"/>
      <c r="CC66" s="291"/>
      <c r="CH66" s="291"/>
      <c r="CM66" s="291"/>
    </row>
    <row r="67" spans="1:91" s="33" customFormat="1">
      <c r="A67" s="35"/>
      <c r="F67" s="290"/>
      <c r="K67" s="290"/>
      <c r="P67" s="290"/>
      <c r="U67" s="290"/>
      <c r="Z67" s="290"/>
      <c r="AE67" s="290"/>
      <c r="AJ67" s="290"/>
      <c r="AO67" s="290"/>
      <c r="AT67" s="290"/>
      <c r="AY67" s="290"/>
      <c r="BD67" s="290"/>
      <c r="BI67" s="290"/>
      <c r="BN67" s="290"/>
      <c r="BS67" s="290"/>
      <c r="BX67" s="290"/>
      <c r="CC67" s="291"/>
      <c r="CH67" s="291"/>
      <c r="CM67" s="291"/>
    </row>
    <row r="68" spans="1:91" s="16" customFormat="1">
      <c r="A68" s="16" t="s">
        <v>169</v>
      </c>
      <c r="B68" s="44"/>
      <c r="C68" s="44"/>
      <c r="D68" s="44"/>
      <c r="E68" s="44"/>
      <c r="F68" s="292"/>
      <c r="G68" s="44">
        <f t="shared" ref="G68:AI68" si="195">F70</f>
        <v>0</v>
      </c>
      <c r="H68" s="44">
        <f t="shared" si="195"/>
        <v>17.369999999999997</v>
      </c>
      <c r="I68" s="44">
        <f t="shared" si="195"/>
        <v>38.892999999999994</v>
      </c>
      <c r="J68" s="44">
        <f t="shared" si="195"/>
        <v>61.266999999999989</v>
      </c>
      <c r="K68" s="292">
        <f t="shared" si="195"/>
        <v>86.090999999999994</v>
      </c>
      <c r="L68" s="44">
        <f t="shared" si="195"/>
        <v>172.18199999999996</v>
      </c>
      <c r="M68" s="44">
        <f t="shared" si="195"/>
        <v>192.66399999999996</v>
      </c>
      <c r="N68" s="44">
        <f t="shared" si="195"/>
        <v>204.71699999999996</v>
      </c>
      <c r="O68" s="44">
        <f t="shared" si="195"/>
        <v>216.70999999999995</v>
      </c>
      <c r="P68" s="292">
        <f t="shared" si="195"/>
        <v>237.59999999999997</v>
      </c>
      <c r="Q68" s="16">
        <f t="shared" si="195"/>
        <v>303.01799999999992</v>
      </c>
      <c r="R68" s="44">
        <f t="shared" si="195"/>
        <v>321.54899999999992</v>
      </c>
      <c r="S68" s="44">
        <f t="shared" si="195"/>
        <v>349.96899999999994</v>
      </c>
      <c r="T68" s="44">
        <f t="shared" si="195"/>
        <v>367.94799999999992</v>
      </c>
      <c r="U68" s="292">
        <f t="shared" si="195"/>
        <v>401.72099999999995</v>
      </c>
      <c r="V68" s="16">
        <f t="shared" si="195"/>
        <v>500.42399999999992</v>
      </c>
      <c r="W68" s="16">
        <f t="shared" si="195"/>
        <v>550.3069999999999</v>
      </c>
      <c r="X68" s="16">
        <f t="shared" si="195"/>
        <v>611.81399999999985</v>
      </c>
      <c r="Y68" s="16">
        <f t="shared" si="195"/>
        <v>682.08399999999983</v>
      </c>
      <c r="Z68" s="269">
        <f t="shared" si="195"/>
        <v>752.23699999999985</v>
      </c>
      <c r="AA68" s="16">
        <f t="shared" si="195"/>
        <v>1004.0499999999998</v>
      </c>
      <c r="AB68" s="16">
        <f t="shared" si="195"/>
        <v>1097.3439999999998</v>
      </c>
      <c r="AC68" s="16">
        <f t="shared" si="195"/>
        <v>1199.7909999999997</v>
      </c>
      <c r="AD68" s="16">
        <f t="shared" si="195"/>
        <v>1321.7239999999997</v>
      </c>
      <c r="AE68" s="269">
        <f t="shared" si="195"/>
        <v>1440.9629999999997</v>
      </c>
      <c r="AF68" s="16">
        <f t="shared" si="195"/>
        <v>1877.8759999999997</v>
      </c>
      <c r="AG68" s="16">
        <f t="shared" si="195"/>
        <v>1988.5279999999998</v>
      </c>
      <c r="AH68" s="16">
        <f t="shared" si="195"/>
        <v>2083.6639999999998</v>
      </c>
      <c r="AI68" s="16">
        <f t="shared" si="195"/>
        <v>2173.6659999999997</v>
      </c>
      <c r="AJ68" s="269">
        <f>AF68</f>
        <v>1877.8759999999997</v>
      </c>
      <c r="AK68" s="16">
        <f>AJ70</f>
        <v>2262.1979999999999</v>
      </c>
      <c r="AL68" s="16">
        <f>AK70</f>
        <v>2333.3669999999997</v>
      </c>
      <c r="AM68" s="16">
        <f>AL70</f>
        <v>2405.2979999999998</v>
      </c>
      <c r="AN68" s="16">
        <f>AM70</f>
        <v>2471.5829999999996</v>
      </c>
      <c r="AO68" s="269">
        <f>AK68</f>
        <v>2262.1979999999999</v>
      </c>
      <c r="AP68" s="16">
        <f>AO70</f>
        <v>2559.9009999999998</v>
      </c>
      <c r="AQ68" s="16">
        <f>AP70</f>
        <v>2628.1979999999999</v>
      </c>
      <c r="AR68" s="16">
        <f>AQ70</f>
        <v>2689.7159999999999</v>
      </c>
      <c r="AS68" s="16">
        <f>AR70</f>
        <v>2744.2419999999997</v>
      </c>
      <c r="AT68" s="269">
        <f>AP68</f>
        <v>2559.9009999999998</v>
      </c>
      <c r="AY68" s="269"/>
      <c r="BD68" s="269"/>
      <c r="BI68" s="269"/>
      <c r="BN68" s="269"/>
      <c r="BS68" s="269"/>
      <c r="BX68" s="269"/>
      <c r="CC68" s="269"/>
      <c r="CH68" s="269"/>
      <c r="CM68" s="269"/>
    </row>
    <row r="69" spans="1:91" s="16" customFormat="1">
      <c r="A69" s="16" t="s">
        <v>170</v>
      </c>
      <c r="B69" s="44"/>
      <c r="C69" s="44"/>
      <c r="D69" s="44"/>
      <c r="E69" s="44"/>
      <c r="F69" s="292"/>
      <c r="G69" s="44">
        <f>-IS!G17</f>
        <v>17.369999999999997</v>
      </c>
      <c r="H69" s="44">
        <f>-IS!H17</f>
        <v>21.522999999999996</v>
      </c>
      <c r="I69" s="44">
        <f>-IS!I17</f>
        <v>22.373999999999995</v>
      </c>
      <c r="J69" s="44">
        <f>-IS!J17</f>
        <v>24.824000000000005</v>
      </c>
      <c r="K69" s="292">
        <f>-IS!K17</f>
        <v>86.09099999999998</v>
      </c>
      <c r="L69" s="44">
        <f>-IS!L17</f>
        <v>20.481999999999992</v>
      </c>
      <c r="M69" s="44">
        <f>-IS!M17</f>
        <v>12.052999999999997</v>
      </c>
      <c r="N69" s="44">
        <f>-IS!N17</f>
        <v>11.993000000000002</v>
      </c>
      <c r="O69" s="44">
        <f>-IS!O17</f>
        <v>20.89</v>
      </c>
      <c r="P69" s="292">
        <f>-IS!P17</f>
        <v>65.417999999999978</v>
      </c>
      <c r="Q69" s="16">
        <f>-IS!Q17</f>
        <v>18.530999999999992</v>
      </c>
      <c r="R69" s="44">
        <f>-IS!R17</f>
        <v>28.420000000000016</v>
      </c>
      <c r="S69" s="44">
        <f>-IS!S17</f>
        <v>17.978999999999992</v>
      </c>
      <c r="T69" s="44">
        <f>-IS!T17</f>
        <v>33.77300000000001</v>
      </c>
      <c r="U69" s="292">
        <f>-IS!U17</f>
        <v>98.702999999999975</v>
      </c>
      <c r="V69" s="16">
        <f>-IS!V17</f>
        <v>49.882999999999996</v>
      </c>
      <c r="W69" s="16">
        <f>-IS!W17</f>
        <v>61.506999999999991</v>
      </c>
      <c r="X69" s="16">
        <f>-IS!X17</f>
        <v>70.270000000000024</v>
      </c>
      <c r="Y69" s="16">
        <f>-IS!Y17</f>
        <v>70.15300000000002</v>
      </c>
      <c r="Z69" s="269">
        <f>-IS!Z17</f>
        <v>251.81299999999999</v>
      </c>
      <c r="AA69" s="16">
        <f>-IS!AA17</f>
        <v>93.293999999999983</v>
      </c>
      <c r="AB69" s="16">
        <f>-IS!AB17</f>
        <v>102.44699999999997</v>
      </c>
      <c r="AC69" s="16">
        <f>-IS!AC17</f>
        <v>121.93300000000002</v>
      </c>
      <c r="AD69" s="16">
        <f>-IS!AD17</f>
        <v>119.23900000000002</v>
      </c>
      <c r="AE69" s="269">
        <f>-IS!AE17</f>
        <v>436.91300000000001</v>
      </c>
      <c r="AF69" s="16">
        <f>-IS!AF17</f>
        <v>110.65199999999999</v>
      </c>
      <c r="AG69" s="16">
        <f>-IS!AG17</f>
        <v>95.135999999999967</v>
      </c>
      <c r="AH69" s="16">
        <f>-IS!AH17</f>
        <v>90.001999999999981</v>
      </c>
      <c r="AI69" s="16">
        <f>-IS!AI17</f>
        <v>88.531999999999982</v>
      </c>
      <c r="AJ69" s="269">
        <f>-IS!AJ17</f>
        <v>384.32200000000006</v>
      </c>
      <c r="AK69" s="16">
        <f>-IS!AK17</f>
        <v>71.168999999999997</v>
      </c>
      <c r="AL69" s="16">
        <f>-IS!AL17</f>
        <v>71.931000000000026</v>
      </c>
      <c r="AM69" s="16">
        <f>-IS!AM17</f>
        <v>66.285000000000011</v>
      </c>
      <c r="AN69" s="16">
        <f>-IS!AN17</f>
        <v>88.317999999999998</v>
      </c>
      <c r="AO69" s="269">
        <f>-IS!AO17</f>
        <v>297.70300000000009</v>
      </c>
      <c r="AP69" s="16">
        <f>-IS!AP17</f>
        <v>68.296999999999997</v>
      </c>
      <c r="AQ69" s="16">
        <f>-IS!AQ17</f>
        <v>61.518000000000001</v>
      </c>
      <c r="AR69" s="16">
        <f>-IS!AR17</f>
        <v>54.525999999999982</v>
      </c>
      <c r="AS69" s="16">
        <f>-IS!AS17</f>
        <v>74.574999999999989</v>
      </c>
      <c r="AT69" s="269">
        <f>-IS!AT17</f>
        <v>258.91599999999994</v>
      </c>
      <c r="AY69" s="269"/>
      <c r="BD69" s="269"/>
      <c r="BI69" s="269"/>
      <c r="BN69" s="269"/>
      <c r="BS69" s="269"/>
      <c r="BX69" s="269"/>
      <c r="CC69" s="269"/>
      <c r="CH69" s="269"/>
      <c r="CM69" s="269"/>
    </row>
    <row r="70" spans="1:91" s="16" customFormat="1">
      <c r="A70" s="16" t="s">
        <v>166</v>
      </c>
      <c r="B70" s="44"/>
      <c r="C70" s="44"/>
      <c r="D70" s="44"/>
      <c r="E70" s="44"/>
      <c r="F70" s="293">
        <v>0</v>
      </c>
      <c r="G70" s="44">
        <f t="shared" ref="G70:S70" si="196">G68+G69</f>
        <v>17.369999999999997</v>
      </c>
      <c r="H70" s="44">
        <f t="shared" si="196"/>
        <v>38.892999999999994</v>
      </c>
      <c r="I70" s="44">
        <f t="shared" si="196"/>
        <v>61.266999999999989</v>
      </c>
      <c r="J70" s="44">
        <f t="shared" si="196"/>
        <v>86.090999999999994</v>
      </c>
      <c r="K70" s="292">
        <f t="shared" si="196"/>
        <v>172.18199999999996</v>
      </c>
      <c r="L70" s="44">
        <f t="shared" si="196"/>
        <v>192.66399999999996</v>
      </c>
      <c r="M70" s="44">
        <f t="shared" si="196"/>
        <v>204.71699999999996</v>
      </c>
      <c r="N70" s="44">
        <f t="shared" si="196"/>
        <v>216.70999999999995</v>
      </c>
      <c r="O70" s="44">
        <f t="shared" si="196"/>
        <v>237.59999999999997</v>
      </c>
      <c r="P70" s="292">
        <f t="shared" si="196"/>
        <v>303.01799999999992</v>
      </c>
      <c r="Q70" s="16">
        <f t="shared" si="196"/>
        <v>321.54899999999992</v>
      </c>
      <c r="R70" s="44">
        <f t="shared" si="196"/>
        <v>349.96899999999994</v>
      </c>
      <c r="S70" s="44">
        <f t="shared" si="196"/>
        <v>367.94799999999992</v>
      </c>
      <c r="T70" s="44">
        <f t="shared" ref="T70:U70" si="197">T68+T69</f>
        <v>401.72099999999995</v>
      </c>
      <c r="U70" s="292">
        <f t="shared" si="197"/>
        <v>500.42399999999992</v>
      </c>
      <c r="V70" s="16">
        <f t="shared" ref="V70:AK70" si="198">V68+V69</f>
        <v>550.3069999999999</v>
      </c>
      <c r="W70" s="16">
        <f t="shared" si="198"/>
        <v>611.81399999999985</v>
      </c>
      <c r="X70" s="16">
        <f t="shared" si="198"/>
        <v>682.08399999999983</v>
      </c>
      <c r="Y70" s="16">
        <f t="shared" si="198"/>
        <v>752.23699999999985</v>
      </c>
      <c r="Z70" s="269">
        <f t="shared" si="198"/>
        <v>1004.0499999999998</v>
      </c>
      <c r="AA70" s="16">
        <f t="shared" si="198"/>
        <v>1097.3439999999998</v>
      </c>
      <c r="AB70" s="16">
        <f t="shared" si="198"/>
        <v>1199.7909999999997</v>
      </c>
      <c r="AC70" s="16">
        <f t="shared" si="198"/>
        <v>1321.7239999999997</v>
      </c>
      <c r="AD70" s="16">
        <f t="shared" si="198"/>
        <v>1440.9629999999997</v>
      </c>
      <c r="AE70" s="269">
        <f t="shared" si="198"/>
        <v>1877.8759999999997</v>
      </c>
      <c r="AF70" s="16">
        <f t="shared" si="198"/>
        <v>1988.5279999999998</v>
      </c>
      <c r="AG70" s="16">
        <f t="shared" si="198"/>
        <v>2083.6639999999998</v>
      </c>
      <c r="AH70" s="16">
        <f t="shared" si="198"/>
        <v>2173.6659999999997</v>
      </c>
      <c r="AI70" s="16">
        <f t="shared" si="198"/>
        <v>2262.1979999999999</v>
      </c>
      <c r="AJ70" s="269">
        <f t="shared" si="198"/>
        <v>2262.1979999999999</v>
      </c>
      <c r="AK70" s="16">
        <f t="shared" si="198"/>
        <v>2333.3669999999997</v>
      </c>
      <c r="AL70" s="16">
        <f t="shared" ref="AL70:AN70" si="199">AL68+AL69</f>
        <v>2405.2979999999998</v>
      </c>
      <c r="AM70" s="16">
        <f t="shared" si="199"/>
        <v>2471.5829999999996</v>
      </c>
      <c r="AN70" s="16">
        <f t="shared" si="199"/>
        <v>2559.9009999999998</v>
      </c>
      <c r="AO70" s="269">
        <f>AO68+AO69</f>
        <v>2559.9009999999998</v>
      </c>
      <c r="AP70" s="16">
        <f t="shared" ref="AP70:AS70" si="200">AP68+AP69</f>
        <v>2628.1979999999999</v>
      </c>
      <c r="AQ70" s="16">
        <f t="shared" si="200"/>
        <v>2689.7159999999999</v>
      </c>
      <c r="AR70" s="16">
        <f t="shared" si="200"/>
        <v>2744.2419999999997</v>
      </c>
      <c r="AS70" s="16">
        <f t="shared" si="200"/>
        <v>2818.8169999999996</v>
      </c>
      <c r="AT70" s="269">
        <f>AT68+AT69</f>
        <v>2818.817</v>
      </c>
      <c r="AY70" s="269"/>
      <c r="BD70" s="269"/>
      <c r="BI70" s="269"/>
      <c r="BN70" s="269"/>
      <c r="BS70" s="269"/>
      <c r="BX70" s="269"/>
      <c r="CC70" s="269"/>
      <c r="CH70" s="269"/>
      <c r="CM70" s="269"/>
    </row>
    <row r="71" spans="1:91" s="16" customFormat="1">
      <c r="F71" s="269"/>
      <c r="K71" s="269"/>
      <c r="P71" s="269"/>
      <c r="U71" s="269"/>
      <c r="Z71" s="269"/>
      <c r="AE71" s="269"/>
      <c r="AJ71" s="269"/>
      <c r="AO71" s="269"/>
      <c r="AT71" s="269"/>
      <c r="AY71" s="269"/>
      <c r="BD71" s="269"/>
      <c r="BI71" s="269"/>
      <c r="BN71" s="269"/>
      <c r="BS71" s="269"/>
      <c r="BX71" s="269"/>
      <c r="CC71" s="269"/>
      <c r="CH71" s="269"/>
      <c r="CM71" s="269"/>
    </row>
    <row r="72" spans="1:91" s="16" customFormat="1">
      <c r="F72" s="269"/>
      <c r="K72" s="269"/>
      <c r="P72" s="269"/>
      <c r="U72" s="269"/>
      <c r="Z72" s="269"/>
      <c r="AE72" s="269"/>
      <c r="AJ72" s="269"/>
      <c r="AO72" s="269"/>
      <c r="AT72" s="269"/>
      <c r="AY72" s="269"/>
      <c r="BD72" s="269"/>
      <c r="BI72" s="269"/>
      <c r="BN72" s="269"/>
      <c r="BS72" s="269"/>
      <c r="BX72" s="269"/>
      <c r="CC72" s="269"/>
      <c r="CH72" s="269"/>
      <c r="CM72" s="269"/>
    </row>
    <row r="73" spans="1:91" s="16" customFormat="1">
      <c r="F73" s="294"/>
      <c r="K73" s="294"/>
      <c r="P73" s="294"/>
      <c r="U73" s="294"/>
      <c r="Z73" s="294"/>
      <c r="AE73" s="294"/>
      <c r="AJ73" s="294"/>
      <c r="AO73" s="294"/>
      <c r="AT73" s="294"/>
      <c r="AY73" s="294"/>
      <c r="BD73" s="294"/>
      <c r="BI73" s="294"/>
      <c r="BN73" s="294"/>
      <c r="BS73" s="294"/>
      <c r="BX73" s="294"/>
      <c r="CC73" s="294"/>
      <c r="CH73" s="294"/>
      <c r="CM73" s="294"/>
    </row>
    <row r="74" spans="1:91" s="16" customFormat="1"/>
    <row r="75" spans="1:91" s="16" customFormat="1">
      <c r="A75" s="16" t="str">
        <f>IS!A79</f>
        <v>Source: Company reports, Wells Fargo Securities, LLC estimates.</v>
      </c>
    </row>
    <row r="76" spans="1:91" s="16" customFormat="1"/>
    <row r="77" spans="1:91" s="16" customFormat="1"/>
    <row r="78" spans="1:91" s="16" customFormat="1"/>
    <row r="79" spans="1:91" s="16" customFormat="1"/>
    <row r="80" spans="1:91" s="16" customFormat="1"/>
    <row r="81" spans="1:1" s="16" customFormat="1"/>
    <row r="82" spans="1:1" s="16" customFormat="1"/>
    <row r="83" spans="1:1" s="21" customFormat="1">
      <c r="A83" s="16"/>
    </row>
    <row r="84" spans="1:1" s="16" customFormat="1"/>
    <row r="85" spans="1:1" s="16" customFormat="1"/>
    <row r="86" spans="1:1" s="16" customFormat="1"/>
    <row r="87" spans="1:1" s="16" customFormat="1"/>
  </sheetData>
  <printOptions horizontalCentered="1" verticalCentered="1"/>
  <pageMargins left="0.5" right="0.5" top="0.5" bottom="0.5" header="0.5" footer="0.5"/>
  <pageSetup scale="85" orientation="landscape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R90"/>
  <sheetViews>
    <sheetView zoomScaleNormal="100" workbookViewId="0">
      <pane xSplit="17" ySplit="8" topLeftCell="U9" activePane="bottomRight" state="frozen"/>
      <selection activeCell="DB8" sqref="DB8"/>
      <selection pane="topRight" activeCell="DB8" sqref="DB8"/>
      <selection pane="bottomLeft" activeCell="DB8" sqref="DB8"/>
      <selection pane="bottomRight" activeCell="AE8" sqref="AE8"/>
    </sheetView>
  </sheetViews>
  <sheetFormatPr defaultColWidth="8" defaultRowHeight="12.75" outlineLevelRow="1" outlineLevelCol="1"/>
  <cols>
    <col min="1" max="1" width="1.7109375" style="31" customWidth="1"/>
    <col min="2" max="2" width="3.140625" style="31" bestFit="1" customWidth="1"/>
    <col min="3" max="3" width="22.85546875" style="31" bestFit="1" customWidth="1"/>
    <col min="4" max="7" width="9.7109375" style="31" hidden="1" customWidth="1"/>
    <col min="8" max="10" width="8.7109375" style="31" hidden="1" customWidth="1"/>
    <col min="11" max="12" width="8.28515625" style="31" hidden="1" customWidth="1"/>
    <col min="13" max="20" width="7.7109375" style="31" hidden="1" customWidth="1"/>
    <col min="21" max="22" width="8.140625" style="31" bestFit="1" customWidth="1"/>
    <col min="23" max="24" width="7.5703125" style="31" bestFit="1" customWidth="1"/>
    <col min="25" max="27" width="8.42578125" style="31" bestFit="1" customWidth="1"/>
    <col min="28" max="29" width="7.5703125" style="31" customWidth="1"/>
    <col min="30" max="30" width="1.7109375" style="31" customWidth="1"/>
    <col min="31" max="32" width="7.5703125" style="31" customWidth="1"/>
    <col min="33" max="38" width="7.5703125" style="31" hidden="1" customWidth="1" outlineLevel="1"/>
    <col min="39" max="40" width="7.85546875" style="31" hidden="1" customWidth="1" outlineLevel="1"/>
    <col min="41" max="41" width="8.85546875" style="31" hidden="1" customWidth="1" outlineLevel="1"/>
    <col min="42" max="42" width="7.85546875" style="31" customWidth="1" collapsed="1"/>
    <col min="43" max="16384" width="8" style="31"/>
  </cols>
  <sheetData>
    <row r="1" spans="1:122" ht="12.75" customHeight="1">
      <c r="A1" s="30"/>
      <c r="B1" s="314" t="str">
        <f>Disclaimer!C12</f>
        <v>Guardant Health (GH)</v>
      </c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315"/>
      <c r="N1" s="315"/>
      <c r="O1" s="315"/>
      <c r="P1" s="315"/>
      <c r="Q1" s="315"/>
      <c r="R1" s="315"/>
      <c r="S1" s="315"/>
      <c r="T1" s="315"/>
      <c r="U1" s="315"/>
      <c r="V1" s="315"/>
      <c r="W1" s="315"/>
      <c r="X1" s="315"/>
      <c r="Y1" s="315"/>
      <c r="Z1" s="315"/>
      <c r="AA1" s="315"/>
      <c r="AB1" s="315"/>
      <c r="AC1" s="315"/>
      <c r="AD1" s="315"/>
      <c r="AE1" s="315"/>
      <c r="AF1" s="315"/>
      <c r="AG1" s="315"/>
      <c r="AH1" s="315"/>
      <c r="AI1" s="315"/>
      <c r="AJ1" s="315"/>
      <c r="AK1" s="315"/>
      <c r="AL1" s="315"/>
      <c r="AM1" s="315"/>
      <c r="AN1" s="315"/>
      <c r="AO1" s="315"/>
      <c r="AP1" s="315"/>
    </row>
    <row r="2" spans="1:122">
      <c r="A2" s="30"/>
      <c r="B2" s="314" t="s">
        <v>105</v>
      </c>
      <c r="C2" s="315"/>
      <c r="D2" s="315"/>
      <c r="E2" s="315"/>
      <c r="F2" s="315"/>
      <c r="G2" s="315"/>
      <c r="H2" s="315"/>
      <c r="I2" s="315"/>
      <c r="J2" s="315"/>
      <c r="K2" s="315"/>
      <c r="L2" s="315"/>
      <c r="M2" s="315"/>
      <c r="N2" s="315"/>
      <c r="O2" s="315"/>
      <c r="P2" s="315"/>
      <c r="Q2" s="315"/>
      <c r="R2" s="315"/>
      <c r="S2" s="315"/>
      <c r="T2" s="315"/>
      <c r="U2" s="315"/>
      <c r="V2" s="315"/>
      <c r="W2" s="315"/>
      <c r="X2" s="315"/>
      <c r="Y2" s="315"/>
      <c r="Z2" s="315"/>
      <c r="AA2" s="315"/>
      <c r="AB2" s="315"/>
      <c r="AC2" s="315"/>
      <c r="AD2" s="315"/>
      <c r="AE2" s="315"/>
      <c r="AF2" s="315"/>
      <c r="AG2" s="315"/>
      <c r="AH2" s="315"/>
      <c r="AI2" s="315"/>
      <c r="AJ2" s="315"/>
      <c r="AK2" s="315"/>
      <c r="AL2" s="315"/>
      <c r="AM2" s="315"/>
      <c r="AN2" s="315"/>
      <c r="AO2" s="315"/>
      <c r="AP2" s="315"/>
    </row>
    <row r="3" spans="1:122">
      <c r="A3" s="30"/>
      <c r="B3" s="3" t="str">
        <f>IS!A3</f>
        <v>$ millions except per share data, FY ending Dec</v>
      </c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  <c r="Z3" s="315"/>
      <c r="AA3" s="315"/>
      <c r="AB3" s="315"/>
      <c r="AC3" s="315"/>
      <c r="AD3" s="315"/>
      <c r="AE3" s="315"/>
      <c r="AF3" s="315"/>
      <c r="AG3" s="315"/>
      <c r="AH3" s="315"/>
      <c r="AI3" s="315"/>
      <c r="AJ3" s="315"/>
      <c r="AK3" s="315"/>
      <c r="AL3" s="315"/>
      <c r="AM3" s="315"/>
      <c r="AN3" s="315"/>
      <c r="AO3" s="315"/>
      <c r="AP3" s="315"/>
    </row>
    <row r="4" spans="1:122">
      <c r="A4" s="30"/>
    </row>
    <row r="5" spans="1:122">
      <c r="A5" s="30"/>
      <c r="B5" s="34"/>
      <c r="C5" s="96"/>
      <c r="D5" s="73"/>
      <c r="E5" s="73"/>
      <c r="F5" s="73"/>
      <c r="G5" s="73"/>
      <c r="H5" s="73"/>
      <c r="I5" s="73"/>
      <c r="J5" s="73"/>
      <c r="K5" s="73"/>
      <c r="L5" s="73"/>
      <c r="M5" s="73" t="s">
        <v>1</v>
      </c>
      <c r="N5" s="73"/>
      <c r="O5" s="73"/>
      <c r="P5" s="73"/>
      <c r="Q5" s="73"/>
      <c r="R5" s="73" t="s">
        <v>1</v>
      </c>
      <c r="S5" s="73"/>
      <c r="T5" s="73"/>
      <c r="U5" s="73" t="s">
        <v>413</v>
      </c>
      <c r="V5" s="73"/>
      <c r="W5" s="73"/>
      <c r="X5" s="73"/>
      <c r="Y5" s="73"/>
      <c r="Z5" s="73"/>
      <c r="AA5" s="73"/>
      <c r="AB5" s="73"/>
      <c r="AC5" s="73"/>
      <c r="AD5" s="110"/>
      <c r="AE5" s="73" t="s">
        <v>2</v>
      </c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110"/>
    </row>
    <row r="6" spans="1:122" s="32" customFormat="1">
      <c r="A6" s="4"/>
      <c r="D6" s="74">
        <v>2000</v>
      </c>
      <c r="E6" s="74">
        <v>2001</v>
      </c>
      <c r="F6" s="74">
        <v>2002</v>
      </c>
      <c r="G6" s="74">
        <v>2003</v>
      </c>
      <c r="H6" s="74">
        <v>2004</v>
      </c>
      <c r="I6" s="74">
        <v>2005</v>
      </c>
      <c r="J6" s="74">
        <v>2006</v>
      </c>
      <c r="K6" s="74">
        <v>2007</v>
      </c>
      <c r="L6" s="74">
        <v>2008</v>
      </c>
      <c r="M6" s="74">
        <v>2009</v>
      </c>
      <c r="N6" s="74">
        <v>2010</v>
      </c>
      <c r="O6" s="74">
        <v>2011</v>
      </c>
      <c r="P6" s="74">
        <v>2012</v>
      </c>
      <c r="Q6" s="74">
        <v>2013</v>
      </c>
      <c r="R6" s="74">
        <v>2014</v>
      </c>
      <c r="S6" s="74">
        <v>2015</v>
      </c>
      <c r="T6" s="74">
        <v>2016</v>
      </c>
      <c r="U6" s="74">
        <v>2017</v>
      </c>
      <c r="V6" s="74">
        <v>2018</v>
      </c>
      <c r="W6" s="74">
        <v>2019</v>
      </c>
      <c r="X6" s="74">
        <v>2020</v>
      </c>
      <c r="Y6" s="74">
        <v>2021</v>
      </c>
      <c r="Z6" s="74">
        <v>2022</v>
      </c>
      <c r="AA6" s="74">
        <v>2023</v>
      </c>
      <c r="AB6" s="74">
        <v>2024</v>
      </c>
      <c r="AC6" s="74">
        <v>2025</v>
      </c>
      <c r="AD6" s="74"/>
      <c r="AE6" s="74">
        <f>AC6+1</f>
        <v>2026</v>
      </c>
      <c r="AF6" s="74">
        <f t="shared" ref="AF6:AM6" si="0">AE6+1</f>
        <v>2027</v>
      </c>
      <c r="AG6" s="74">
        <f t="shared" si="0"/>
        <v>2028</v>
      </c>
      <c r="AH6" s="74">
        <f t="shared" si="0"/>
        <v>2029</v>
      </c>
      <c r="AI6" s="74">
        <f t="shared" si="0"/>
        <v>2030</v>
      </c>
      <c r="AJ6" s="74">
        <f t="shared" si="0"/>
        <v>2031</v>
      </c>
      <c r="AK6" s="74">
        <f t="shared" si="0"/>
        <v>2032</v>
      </c>
      <c r="AL6" s="74">
        <f t="shared" si="0"/>
        <v>2033</v>
      </c>
      <c r="AM6" s="74">
        <f t="shared" si="0"/>
        <v>2034</v>
      </c>
      <c r="AN6" s="74"/>
      <c r="AO6" s="101" t="s">
        <v>192</v>
      </c>
      <c r="AP6" s="74"/>
    </row>
    <row r="7" spans="1:122" s="28" customFormat="1">
      <c r="B7" s="31"/>
      <c r="C7" s="31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U7" s="16"/>
      <c r="V7" s="16"/>
      <c r="W7" s="16"/>
      <c r="X7" s="16"/>
      <c r="Y7" s="16"/>
      <c r="Z7" s="16"/>
      <c r="AA7" s="16"/>
      <c r="AB7" s="103"/>
      <c r="AC7" s="16"/>
      <c r="AD7" s="16"/>
      <c r="AE7" s="16"/>
      <c r="AF7" s="16"/>
      <c r="AG7" s="16"/>
      <c r="AH7" s="16"/>
      <c r="AI7" s="16"/>
      <c r="AJ7" s="16"/>
      <c r="AK7" s="16"/>
      <c r="AL7" s="16"/>
      <c r="AQ7" s="96"/>
      <c r="DR7" s="307"/>
    </row>
    <row r="8" spans="1:122" s="28" customFormat="1">
      <c r="C8" s="28" t="s">
        <v>106</v>
      </c>
      <c r="O8" s="53"/>
      <c r="U8" s="28">
        <v>25.84</v>
      </c>
      <c r="V8" s="28">
        <v>37.369999999999997</v>
      </c>
      <c r="W8" s="28">
        <v>27.78</v>
      </c>
      <c r="X8" s="28">
        <v>11.34</v>
      </c>
      <c r="Y8" s="28">
        <v>27.6</v>
      </c>
      <c r="Z8" s="28">
        <v>14.51</v>
      </c>
      <c r="AA8" s="28">
        <v>19.14</v>
      </c>
      <c r="AB8" s="28">
        <v>30.55</v>
      </c>
      <c r="AC8" s="28">
        <v>102.14</v>
      </c>
      <c r="AD8" s="75"/>
      <c r="AE8" s="75">
        <v>106.4</v>
      </c>
      <c r="AF8" s="28">
        <f>AE8</f>
        <v>106.4</v>
      </c>
      <c r="AQ8" s="345">
        <v>125</v>
      </c>
      <c r="AR8" s="9">
        <f>AQ8/AE8-1</f>
        <v>0.17481203007518786</v>
      </c>
      <c r="AT8" s="28">
        <f>120/93-1</f>
        <v>0.29032258064516125</v>
      </c>
      <c r="DR8" s="307"/>
    </row>
    <row r="9" spans="1:122" s="28" customFormat="1" ht="8.85" customHeight="1">
      <c r="B9" s="31"/>
      <c r="C9" s="31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DR9" s="307"/>
    </row>
    <row r="10" spans="1:122">
      <c r="A10" s="77" t="s">
        <v>107</v>
      </c>
      <c r="AQ10" s="9"/>
      <c r="DR10" s="316"/>
    </row>
    <row r="11" spans="1:122" s="78" customFormat="1">
      <c r="C11" s="78" t="s">
        <v>20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>
        <f>IS!F7</f>
        <v>49.841999999999999</v>
      </c>
      <c r="V11" s="33">
        <f>IS!K7</f>
        <v>90.638999999999996</v>
      </c>
      <c r="W11" s="33">
        <f>IS!P7</f>
        <v>214.375</v>
      </c>
      <c r="X11" s="33">
        <f>IS!U7</f>
        <v>286.73</v>
      </c>
      <c r="Y11" s="33">
        <f>IS!Z7</f>
        <v>373.65300000000002</v>
      </c>
      <c r="Z11" s="33">
        <f>IS!AE7</f>
        <v>449.53800000000001</v>
      </c>
      <c r="AA11" s="33">
        <f>IS!AJ7</f>
        <v>563.94799999999998</v>
      </c>
      <c r="AB11" s="33">
        <f>IS!AO7</f>
        <v>739.01599999999996</v>
      </c>
      <c r="AC11" s="33">
        <f>IS!AT7</f>
        <v>982.02099999999996</v>
      </c>
      <c r="AD11" s="33"/>
      <c r="AE11" s="33">
        <f>IS!AY7</f>
        <v>1299.9287112220513</v>
      </c>
      <c r="AF11" s="33">
        <f>IS!BD7</f>
        <v>1832.0690306854631</v>
      </c>
      <c r="AG11" s="33"/>
      <c r="AH11" s="33"/>
      <c r="AI11" s="33"/>
      <c r="AJ11" s="33"/>
      <c r="AK11" s="33"/>
      <c r="AL11" s="33"/>
      <c r="AR11" s="19"/>
      <c r="AS11" s="19"/>
      <c r="DR11" s="317"/>
    </row>
    <row r="12" spans="1:122" s="34" customFormat="1">
      <c r="B12" s="34" t="s">
        <v>108</v>
      </c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>
        <f t="shared" ref="U12:Z12" si="1">(U8*U34)/U11</f>
        <v>6.5229902491874325</v>
      </c>
      <c r="V12" s="79">
        <f t="shared" si="1"/>
        <v>12.535002703030703</v>
      </c>
      <c r="W12" s="79">
        <f t="shared" si="1"/>
        <v>11.740103370262389</v>
      </c>
      <c r="X12" s="79">
        <f t="shared" si="1"/>
        <v>3.8562248805496457</v>
      </c>
      <c r="Y12" s="79">
        <f t="shared" si="1"/>
        <v>7.4835914605262097</v>
      </c>
      <c r="Z12" s="79">
        <f t="shared" si="1"/>
        <v>3.2980588515320171</v>
      </c>
      <c r="AA12" s="79">
        <f>(AA8*AA34)/AA11</f>
        <v>3.7987833541390343</v>
      </c>
      <c r="AB12" s="79">
        <f>(AB8*AB34)/AB11</f>
        <v>5.0739599007328673</v>
      </c>
      <c r="AC12" s="79">
        <f>(AC8*AC34)/AC11</f>
        <v>13.038927085062339</v>
      </c>
      <c r="AD12" s="79"/>
      <c r="AE12" s="79">
        <f>(AE8*AE34)/AE11</f>
        <v>10.608416200789947</v>
      </c>
      <c r="AF12" s="79">
        <f>(AF8*AF34)/AF11</f>
        <v>7.6004519872213407</v>
      </c>
      <c r="AG12" s="79"/>
      <c r="AH12" s="79"/>
      <c r="AI12" s="79"/>
      <c r="AJ12" s="79"/>
      <c r="AK12" s="79"/>
      <c r="AL12" s="79"/>
      <c r="DR12" s="318"/>
    </row>
    <row r="13" spans="1:122" s="34" customFormat="1">
      <c r="B13" s="34" t="s">
        <v>175</v>
      </c>
      <c r="D13" s="79"/>
      <c r="E13" s="79"/>
      <c r="F13" s="79"/>
      <c r="G13" s="79"/>
      <c r="H13" s="79"/>
      <c r="I13" s="79"/>
      <c r="J13" s="79"/>
      <c r="K13" s="79"/>
      <c r="L13" s="80"/>
      <c r="M13" s="80"/>
      <c r="N13" s="80"/>
      <c r="O13" s="80"/>
      <c r="P13" s="80"/>
      <c r="Q13" s="80"/>
      <c r="R13" s="80"/>
      <c r="S13" s="80"/>
      <c r="T13" s="80"/>
      <c r="U13" s="80">
        <f t="shared" ref="U13:Z13" si="2">U36/U11</f>
        <v>2.2269347136952771</v>
      </c>
      <c r="V13" s="80">
        <f t="shared" si="2"/>
        <v>8.0016230320281529</v>
      </c>
      <c r="W13" s="80">
        <f t="shared" si="2"/>
        <v>9.456506868804663</v>
      </c>
      <c r="X13" s="80">
        <f t="shared" si="2"/>
        <v>0.55338597286645896</v>
      </c>
      <c r="Y13" s="80">
        <f t="shared" si="2"/>
        <v>8.6293764535544994</v>
      </c>
      <c r="Z13" s="80">
        <f t="shared" si="2"/>
        <v>4.0458821723636262</v>
      </c>
      <c r="AA13" s="80">
        <f>AA36/AA11</f>
        <v>4.0774969944037398</v>
      </c>
      <c r="AB13" s="80">
        <f>AB36/AB11</f>
        <v>5.705693178496813</v>
      </c>
      <c r="AC13" s="80">
        <f>AC36/AC11</f>
        <v>13.34686551000437</v>
      </c>
      <c r="AD13" s="80"/>
      <c r="AE13" s="80">
        <f>AE36/AE11</f>
        <v>10.973492312099228</v>
      </c>
      <c r="AF13" s="80">
        <f>AF36/AF11</f>
        <v>7.8687518444811353</v>
      </c>
      <c r="AG13" s="80"/>
      <c r="AH13" s="80"/>
      <c r="AI13" s="80"/>
      <c r="AJ13" s="80"/>
      <c r="AK13" s="80"/>
      <c r="AL13" s="80"/>
      <c r="AQ13" s="98"/>
      <c r="DR13" s="318"/>
    </row>
    <row r="14" spans="1:122" s="28" customFormat="1" ht="8.85" customHeight="1">
      <c r="B14" s="31"/>
      <c r="C14" s="31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DR14" s="307"/>
    </row>
    <row r="15" spans="1:122" s="35" customFormat="1">
      <c r="C15" s="35" t="s">
        <v>11</v>
      </c>
      <c r="U15" s="35">
        <f>IS!F31</f>
        <v>-87.936999999999998</v>
      </c>
      <c r="V15" s="35">
        <f>IS!K31</f>
        <v>-85.062999999999974</v>
      </c>
      <c r="W15" s="35">
        <f>IS!P31</f>
        <v>-75.650999999999968</v>
      </c>
      <c r="X15" s="35">
        <f>IS!U24</f>
        <v>-91.035999999999973</v>
      </c>
      <c r="Y15" s="35">
        <f>IS!Z24</f>
        <v>-251.68199999999999</v>
      </c>
      <c r="Z15" s="35">
        <f>IS!AE24</f>
        <v>-435.38400000000001</v>
      </c>
      <c r="AA15" s="35">
        <f>IS!AJ24</f>
        <v>-352.33300000000003</v>
      </c>
      <c r="AB15" s="35">
        <f>IS!AO24</f>
        <v>-247.1810000000001</v>
      </c>
      <c r="AC15" s="35">
        <f>IS!AT24</f>
        <v>-228.13499999999993</v>
      </c>
      <c r="AE15" s="35">
        <f>IS!AY24</f>
        <v>-157.08335063411755</v>
      </c>
      <c r="AF15" s="35">
        <f>IS!BD24</f>
        <v>47.296045757514548</v>
      </c>
      <c r="DR15" s="309"/>
    </row>
    <row r="16" spans="1:122" s="78" customFormat="1">
      <c r="C16" s="78" t="s">
        <v>109</v>
      </c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>
        <f>U15/IS!F34</f>
        <v>-6.9891114290255913</v>
      </c>
      <c r="V16" s="81">
        <f>V15/IS!K34</f>
        <v>-2.7978488964904771</v>
      </c>
      <c r="W16" s="81">
        <f>W15/IS!P34</f>
        <v>-0.83502764992218259</v>
      </c>
      <c r="X16" s="81">
        <f>X15/IS!U34</f>
        <v>-0.93366425992779756</v>
      </c>
      <c r="Y16" s="81">
        <f>Y15/IS!Z34</f>
        <v>-2.4841779023629509</v>
      </c>
      <c r="Z16" s="81">
        <f>Z15/IS!AE34</f>
        <v>-4.2610346649963793</v>
      </c>
      <c r="AA16" s="81">
        <f>AA15/IS!AJ34</f>
        <v>-3.147832884759278</v>
      </c>
      <c r="AB16" s="81">
        <f>AB15/IS!AO34</f>
        <v>-2.0138421554329855</v>
      </c>
      <c r="AC16" s="81">
        <f>AC15/IS!AT34</f>
        <v>-1.8198062016276821</v>
      </c>
      <c r="AD16" s="81"/>
      <c r="AE16" s="81">
        <f>AE15/IS!AY34</f>
        <v>-1.211997427871315</v>
      </c>
      <c r="AF16" s="81">
        <f>AF15/IS!BD34</f>
        <v>0.36139755259733114</v>
      </c>
      <c r="AG16" s="81"/>
      <c r="AH16" s="81"/>
      <c r="AI16" s="81"/>
      <c r="AJ16" s="81"/>
      <c r="AK16" s="81"/>
      <c r="AL16" s="81"/>
      <c r="DR16" s="317"/>
    </row>
    <row r="17" spans="2:122" s="34" customFormat="1">
      <c r="B17" s="34" t="s">
        <v>110</v>
      </c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>
        <f t="shared" ref="U17" si="3">U8/U16</f>
        <v>-3.6971795717388587</v>
      </c>
      <c r="V17" s="79">
        <f t="shared" ref="V17:AA17" si="4">V8/V16</f>
        <v>-13.356689865158767</v>
      </c>
      <c r="W17" s="79">
        <f t="shared" si="4"/>
        <v>-33.268359440060287</v>
      </c>
      <c r="X17" s="79">
        <f t="shared" si="4"/>
        <v>-12.145693571773807</v>
      </c>
      <c r="Y17" s="79">
        <f t="shared" si="4"/>
        <v>-11.110315398002241</v>
      </c>
      <c r="Z17" s="79">
        <f t="shared" si="4"/>
        <v>-3.4052762159381138</v>
      </c>
      <c r="AA17" s="79">
        <f t="shared" si="4"/>
        <v>-6.080373609624985</v>
      </c>
      <c r="AB17" s="79">
        <f>AB8/AB16</f>
        <v>-15.170007201200736</v>
      </c>
      <c r="AC17" s="79">
        <f>AC8/AC16</f>
        <v>-56.126855655642515</v>
      </c>
      <c r="AD17" s="79"/>
      <c r="AE17" s="79">
        <f>AE8/AE16</f>
        <v>-87.788965185243882</v>
      </c>
      <c r="AF17" s="79">
        <f>AF8/AF16</f>
        <v>294.41261910965625</v>
      </c>
      <c r="AG17" s="79"/>
      <c r="AH17" s="79"/>
      <c r="AI17" s="79"/>
      <c r="AJ17" s="79"/>
      <c r="AK17" s="79"/>
      <c r="AL17" s="79"/>
      <c r="DR17" s="318"/>
    </row>
    <row r="18" spans="2:122" s="34" customFormat="1" outlineLevel="1">
      <c r="B18" s="34" t="s">
        <v>176</v>
      </c>
      <c r="D18" s="79"/>
      <c r="E18" s="79"/>
      <c r="F18" s="79"/>
      <c r="G18" s="79"/>
      <c r="H18" s="79"/>
      <c r="I18" s="79"/>
      <c r="J18" s="79"/>
      <c r="K18" s="79"/>
      <c r="L18" s="80"/>
      <c r="M18" s="80"/>
      <c r="N18" s="80"/>
      <c r="O18" s="80"/>
      <c r="P18" s="80"/>
      <c r="Q18" s="80"/>
      <c r="R18" s="80"/>
      <c r="S18" s="80"/>
      <c r="T18" s="80"/>
      <c r="U18" s="80">
        <f t="shared" ref="U18:Z18" si="5">(U8-U65)/U16</f>
        <v>-1.2622090815015297</v>
      </c>
      <c r="V18" s="80">
        <f t="shared" si="5"/>
        <v>-8.526140742743614</v>
      </c>
      <c r="W18" s="80">
        <f t="shared" si="5"/>
        <v>-26.797248681445065</v>
      </c>
      <c r="X18" s="80">
        <f t="shared" si="5"/>
        <v>-1.7429627839536004</v>
      </c>
      <c r="Y18" s="80">
        <f t="shared" si="5"/>
        <v>-12.811374671212086</v>
      </c>
      <c r="Z18" s="80">
        <f t="shared" si="5"/>
        <v>-4.177410699520423</v>
      </c>
      <c r="AA18" s="80">
        <f>(AA8-AA65)/AA16</f>
        <v>-6.5264856683875756</v>
      </c>
      <c r="AB18" s="80">
        <f>(AB8-AB65)/AB16</f>
        <v>-17.058748649774859</v>
      </c>
      <c r="AC18" s="80">
        <f>(AC8-AC65)/AC16</f>
        <v>-57.452395358011728</v>
      </c>
      <c r="AD18" s="80"/>
      <c r="AE18" s="80">
        <f>(AE8-AE65)/AE16</f>
        <v>-90.810118712695825</v>
      </c>
      <c r="AF18" s="80">
        <f>(AF8-AF65)/AF16</f>
        <v>304.8055357171699</v>
      </c>
      <c r="AG18" s="80"/>
      <c r="AH18" s="80"/>
      <c r="AI18" s="80"/>
      <c r="AJ18" s="80"/>
      <c r="AK18" s="80"/>
      <c r="AL18" s="80"/>
      <c r="DR18" s="318"/>
    </row>
    <row r="19" spans="2:122" s="28" customFormat="1" ht="8.85" customHeight="1">
      <c r="B19" s="31"/>
      <c r="C19" s="31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80"/>
      <c r="AE19" s="16"/>
      <c r="AF19" s="16"/>
      <c r="AG19" s="16"/>
      <c r="AH19" s="16"/>
      <c r="AI19" s="16"/>
      <c r="AJ19" s="16"/>
      <c r="AK19" s="16"/>
      <c r="AL19" s="16"/>
      <c r="DR19" s="307"/>
    </row>
    <row r="20" spans="2:122" s="35" customFormat="1">
      <c r="C20" s="35" t="s">
        <v>111</v>
      </c>
      <c r="U20" s="35">
        <f>CF!F24</f>
        <v>-72.234999999999999</v>
      </c>
      <c r="V20" s="35">
        <f>CF!K24</f>
        <v>-72.185000000000002</v>
      </c>
      <c r="W20" s="35">
        <f>CF!P24</f>
        <v>-47.134</v>
      </c>
      <c r="X20" s="35">
        <f>CF!U24</f>
        <v>-103.92699999999998</v>
      </c>
      <c r="Y20" s="35">
        <f>CF!Z24</f>
        <v>-209.01699999999994</v>
      </c>
      <c r="Z20" s="35">
        <f>CF!AE24</f>
        <v>-309.46300000000002</v>
      </c>
      <c r="AA20" s="35">
        <f>CF!AJ24</f>
        <v>-324.97499999999997</v>
      </c>
      <c r="AB20" s="35">
        <f>CF!AO24</f>
        <v>-239.85799999999998</v>
      </c>
      <c r="AC20" s="35">
        <f>CF!AT24</f>
        <v>-184.76</v>
      </c>
      <c r="AD20" s="80"/>
      <c r="AE20" s="35">
        <f>CF!AY24</f>
        <v>-142.1709188722354</v>
      </c>
      <c r="AF20" s="35">
        <f>CF!BD24</f>
        <v>23.029059449235532</v>
      </c>
      <c r="AG20" s="35">
        <f>CF!BI24</f>
        <v>258.61458342705566</v>
      </c>
      <c r="AH20" s="35">
        <f>CF!BN24</f>
        <v>512.31549304313262</v>
      </c>
      <c r="AI20" s="35">
        <f>CF!BS24</f>
        <v>760.60940626932359</v>
      </c>
      <c r="AJ20" s="35">
        <f>CF!BX24</f>
        <v>985.58971410035633</v>
      </c>
      <c r="AK20" s="35">
        <f>CF!CC24</f>
        <v>1153.2673283662893</v>
      </c>
      <c r="AL20" s="35">
        <f>CF!CH24</f>
        <v>1320.3196574646427</v>
      </c>
      <c r="AM20" s="35">
        <f>CF!CM24</f>
        <v>1449.0474771779491</v>
      </c>
      <c r="AT20" s="19"/>
      <c r="DR20" s="309"/>
    </row>
    <row r="21" spans="2:122" s="35" customFormat="1">
      <c r="C21" s="35" t="s">
        <v>112</v>
      </c>
      <c r="U21" s="35">
        <f>CF!F29</f>
        <v>-6.681</v>
      </c>
      <c r="V21" s="35">
        <f>CF!K29</f>
        <v>-20.202999999999999</v>
      </c>
      <c r="W21" s="35">
        <f>CF!P29</f>
        <v>-18.716999999999999</v>
      </c>
      <c r="X21" s="35">
        <f>CF!U29</f>
        <v>-36.173000000000002</v>
      </c>
      <c r="Y21" s="35">
        <f>CF!Z29</f>
        <v>-75.034999999999997</v>
      </c>
      <c r="Z21" s="35">
        <f>CF!AE29</f>
        <v>-77.460999999999999</v>
      </c>
      <c r="AA21" s="35">
        <f>CF!AJ29</f>
        <v>-20.486000000000001</v>
      </c>
      <c r="AB21" s="35">
        <f>CF!AO29</f>
        <v>-35.085000000000001</v>
      </c>
      <c r="AC21" s="35">
        <f>CF!AT29</f>
        <v>-48.305999999999997</v>
      </c>
      <c r="AD21" s="80"/>
      <c r="AE21" s="35">
        <f>CF!AY29</f>
        <v>-30</v>
      </c>
      <c r="AF21" s="35">
        <f>CF!BD29</f>
        <v>-40</v>
      </c>
      <c r="AG21" s="35">
        <f>CF!BI29</f>
        <v>-50</v>
      </c>
      <c r="AH21" s="35">
        <f>CF!BN29</f>
        <v>-60</v>
      </c>
      <c r="AI21" s="35">
        <f>CF!BS29</f>
        <v>-65</v>
      </c>
      <c r="AJ21" s="35">
        <f>CF!BX29</f>
        <v>-70</v>
      </c>
      <c r="AK21" s="35">
        <f>CF!CC$29</f>
        <v>-75</v>
      </c>
      <c r="AL21" s="35">
        <f>CF!CH29</f>
        <v>-80</v>
      </c>
      <c r="AM21" s="35">
        <f>CF!CM29</f>
        <v>-85</v>
      </c>
      <c r="DR21" s="309"/>
    </row>
    <row r="22" spans="2:122" s="35" customFormat="1">
      <c r="C22" s="35" t="s">
        <v>103</v>
      </c>
      <c r="U22" s="35">
        <f t="shared" ref="U22:V22" si="6">U20+U21</f>
        <v>-78.915999999999997</v>
      </c>
      <c r="V22" s="35">
        <f t="shared" si="6"/>
        <v>-92.388000000000005</v>
      </c>
      <c r="W22" s="35">
        <f t="shared" ref="W22:AB22" si="7">W20+W21</f>
        <v>-65.850999999999999</v>
      </c>
      <c r="X22" s="35">
        <f t="shared" si="7"/>
        <v>-140.09999999999997</v>
      </c>
      <c r="Y22" s="35">
        <f t="shared" si="7"/>
        <v>-284.05199999999991</v>
      </c>
      <c r="Z22" s="35">
        <f t="shared" si="7"/>
        <v>-386.92400000000004</v>
      </c>
      <c r="AA22" s="35">
        <f t="shared" si="7"/>
        <v>-345.46099999999996</v>
      </c>
      <c r="AB22" s="35">
        <f t="shared" si="7"/>
        <v>-274.94299999999998</v>
      </c>
      <c r="AC22" s="35">
        <f>AC20+AC21</f>
        <v>-233.06599999999997</v>
      </c>
      <c r="AD22" s="80"/>
      <c r="AE22" s="35">
        <f>AE20+AE21</f>
        <v>-172.1709188722354</v>
      </c>
      <c r="AF22" s="35">
        <f>AF20+AF21</f>
        <v>-16.970940550764468</v>
      </c>
      <c r="AG22" s="35">
        <f t="shared" ref="AG22:AL22" si="8">AG20+AG21</f>
        <v>208.61458342705566</v>
      </c>
      <c r="AH22" s="35">
        <f t="shared" si="8"/>
        <v>452.31549304313262</v>
      </c>
      <c r="AI22" s="35">
        <f t="shared" si="8"/>
        <v>695.60940626932359</v>
      </c>
      <c r="AJ22" s="35">
        <f t="shared" si="8"/>
        <v>915.58971410035633</v>
      </c>
      <c r="AK22" s="35">
        <f t="shared" si="8"/>
        <v>1078.2673283662893</v>
      </c>
      <c r="AL22" s="35">
        <f t="shared" si="8"/>
        <v>1240.3196574646427</v>
      </c>
      <c r="AM22" s="35">
        <f>AM20+AM21</f>
        <v>1364.0474771779491</v>
      </c>
      <c r="AO22" s="35" t="e">
        <f>AM22*(1+S83) /(S82-S83)</f>
        <v>#DIV/0!</v>
      </c>
      <c r="DR22" s="309"/>
    </row>
    <row r="23" spans="2:122" s="34" customFormat="1">
      <c r="B23" s="82" t="s">
        <v>113</v>
      </c>
      <c r="C23" s="83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5"/>
      <c r="O23" s="85"/>
      <c r="P23" s="85"/>
      <c r="Q23" s="85"/>
      <c r="R23" s="85"/>
      <c r="S23" s="85"/>
      <c r="T23" s="85"/>
      <c r="U23" s="85">
        <f t="shared" ref="U23:Z23" si="9">U22/U35</f>
        <v>-0.24272967475773785</v>
      </c>
      <c r="V23" s="85">
        <f t="shared" si="9"/>
        <v>-8.1316003956519847E-2</v>
      </c>
      <c r="W23" s="85">
        <f t="shared" si="9"/>
        <v>-2.6164733537433434E-2</v>
      </c>
      <c r="X23" s="85">
        <f t="shared" si="9"/>
        <v>-0.12670759511914745</v>
      </c>
      <c r="Y23" s="85">
        <f t="shared" si="9"/>
        <v>-0.10158259599299978</v>
      </c>
      <c r="Z23" s="85">
        <f t="shared" si="9"/>
        <v>-0.26097617326739403</v>
      </c>
      <c r="AA23" s="321">
        <f>AA22/AA35</f>
        <v>-0.16125583511239486</v>
      </c>
      <c r="AB23" s="321">
        <f>AB22/AB35</f>
        <v>-7.332326498423869E-2</v>
      </c>
      <c r="AC23" s="324">
        <f>AC22/AC35</f>
        <v>-1.8201881845179065E-2</v>
      </c>
      <c r="AD23" s="80"/>
      <c r="AE23" s="326">
        <f>AE22/AE35</f>
        <v>-1.2485033476290713E-2</v>
      </c>
      <c r="AF23" s="324">
        <f>AF22/AF35</f>
        <v>-1.2187781475142517E-3</v>
      </c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DR23" s="318"/>
    </row>
    <row r="24" spans="2:122" s="78" customFormat="1">
      <c r="C24" s="78" t="s">
        <v>114</v>
      </c>
      <c r="U24" s="78">
        <f>U22/IS!F34</f>
        <v>-6.2721347957399454</v>
      </c>
      <c r="V24" s="78">
        <f>V22/IS!K34</f>
        <v>-3.0387790678551463</v>
      </c>
      <c r="W24" s="78">
        <f>W22/IS!P34</f>
        <v>-0.72685629766990079</v>
      </c>
      <c r="X24" s="78">
        <f>X22/IS!U34</f>
        <v>-1.4368641286511319</v>
      </c>
      <c r="Y24" s="78">
        <f>Y22/IS!Z34</f>
        <v>-2.8036796494067939</v>
      </c>
      <c r="Z24" s="78">
        <f>Z22/IS!AE34</f>
        <v>-3.786764274109887</v>
      </c>
      <c r="AA24" s="78">
        <f>AA22/IS!AJ34</f>
        <v>-3.0864366840512378</v>
      </c>
      <c r="AB24" s="78">
        <f>AB22/IS!AO34</f>
        <v>-2.240025745268492</v>
      </c>
      <c r="AC24" s="78">
        <f>AC22/IS!AT34</f>
        <v>-1.8591402116665898</v>
      </c>
      <c r="AD24" s="80"/>
      <c r="AE24" s="78">
        <f>AE22/IS!AY34</f>
        <v>-1.3284075618773319</v>
      </c>
      <c r="AF24" s="78">
        <f>AF22/IS!BD34</f>
        <v>-0.1296779948955164</v>
      </c>
      <c r="DR24" s="317"/>
    </row>
    <row r="25" spans="2:122" s="34" customFormat="1">
      <c r="B25" s="34" t="s">
        <v>115</v>
      </c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>
        <f t="shared" ref="U25:V25" si="10">U8/U24</f>
        <v>-4.1198094176085966</v>
      </c>
      <c r="V25" s="79">
        <f t="shared" si="10"/>
        <v>-12.297702190760702</v>
      </c>
      <c r="W25" s="79">
        <f t="shared" ref="W25:AB25" si="11">W8/W24</f>
        <v>-38.219384064023323</v>
      </c>
      <c r="X25" s="79">
        <f t="shared" si="11"/>
        <v>-7.8921867237687389</v>
      </c>
      <c r="Y25" s="79">
        <f t="shared" si="11"/>
        <v>-9.8442059904524548</v>
      </c>
      <c r="Z25" s="79">
        <f t="shared" si="11"/>
        <v>-3.8317674271950044</v>
      </c>
      <c r="AA25" s="79">
        <f t="shared" si="11"/>
        <v>-6.2013259818040245</v>
      </c>
      <c r="AB25" s="79">
        <f t="shared" si="11"/>
        <v>-13.638236107120386</v>
      </c>
      <c r="AC25" s="79">
        <f>AC8/AC24</f>
        <v>-54.939374318862477</v>
      </c>
      <c r="AD25" s="80"/>
      <c r="AE25" s="79">
        <f>AE8/AE24</f>
        <v>-80.09590057559852</v>
      </c>
      <c r="AF25" s="79">
        <f>AF8/AF24</f>
        <v>-820.49387088170329</v>
      </c>
      <c r="AG25" s="79"/>
      <c r="AH25" s="79"/>
      <c r="AI25" s="79"/>
      <c r="AJ25" s="79"/>
      <c r="AK25" s="79"/>
      <c r="AL25" s="79"/>
      <c r="DR25" s="318"/>
    </row>
    <row r="26" spans="2:122" s="34" customFormat="1">
      <c r="B26" s="34" t="s">
        <v>189</v>
      </c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>
        <f t="shared" ref="U26:V26" si="12">+U36/U22</f>
        <v>-1.4064939936134624</v>
      </c>
      <c r="V26" s="79">
        <f t="shared" si="12"/>
        <v>-7.8501440663289568</v>
      </c>
      <c r="W26" s="79">
        <f t="shared" ref="W26:X26" si="13">+W36/W22</f>
        <v>-30.785237278097519</v>
      </c>
      <c r="X26" s="79">
        <f t="shared" si="13"/>
        <v>-1.1325650249821544</v>
      </c>
      <c r="Y26" s="79">
        <f t="shared" ref="Y26:Z26" si="14">+Y36/Y22</f>
        <v>-11.351415937926861</v>
      </c>
      <c r="Z26" s="79">
        <f t="shared" si="14"/>
        <v>-4.7006073027261159</v>
      </c>
      <c r="AA26" s="79">
        <f t="shared" ref="AA26:AB26" si="15">+AA36/AA22</f>
        <v>-6.656312217587514</v>
      </c>
      <c r="AB26" s="79">
        <f t="shared" si="15"/>
        <v>-15.336264425717333</v>
      </c>
      <c r="AC26" s="79">
        <f t="shared" ref="AC26:AE26" si="16">+AC36/AC22</f>
        <v>-56.236869448997297</v>
      </c>
      <c r="AD26" s="80"/>
      <c r="AE26" s="79">
        <f t="shared" si="16"/>
        <v>-82.852306372702984</v>
      </c>
      <c r="AF26" s="79">
        <f t="shared" ref="AF26" si="17">+AF36/AF22</f>
        <v>-849.45772576957268</v>
      </c>
      <c r="AG26" s="79"/>
      <c r="AH26" s="79"/>
      <c r="AI26" s="79"/>
      <c r="AJ26" s="79"/>
      <c r="AK26" s="79"/>
      <c r="AL26" s="79"/>
      <c r="DR26" s="318"/>
    </row>
    <row r="27" spans="2:122" s="34" customFormat="1"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80"/>
      <c r="AE27" s="79"/>
      <c r="AF27" s="79"/>
      <c r="AG27" s="79"/>
      <c r="AH27" s="79"/>
      <c r="AI27" s="79"/>
      <c r="AJ27" s="79"/>
      <c r="AK27" s="79"/>
      <c r="AL27" s="79"/>
      <c r="DR27" s="318"/>
    </row>
    <row r="28" spans="2:122" s="34" customFormat="1">
      <c r="B28" s="31"/>
      <c r="C28" s="31" t="s">
        <v>184</v>
      </c>
      <c r="D28" s="79"/>
      <c r="E28" s="79"/>
      <c r="F28" s="79"/>
      <c r="G28" s="79"/>
      <c r="H28" s="79"/>
      <c r="I28" s="79"/>
      <c r="J28" s="79"/>
      <c r="K28" s="79"/>
      <c r="L28" s="79"/>
      <c r="M28" s="35"/>
      <c r="N28" s="35"/>
      <c r="O28" s="35"/>
      <c r="P28" s="35"/>
      <c r="Q28" s="35"/>
      <c r="R28" s="35"/>
      <c r="S28" s="35"/>
      <c r="T28" s="35"/>
      <c r="U28" s="35">
        <f>+'Other Accts'!F43*(1-IS!F71)</f>
        <v>0.46795539580099615</v>
      </c>
      <c r="V28" s="35">
        <f>+'Other Accts'!K43*(1-IS!K71)</f>
        <v>0</v>
      </c>
      <c r="W28" s="35">
        <f>+'Other Accts'!P43*(1-IS!P71)</f>
        <v>-13.005562251279134</v>
      </c>
      <c r="X28" s="35">
        <f>+'Other Accts'!U43*(1-IS!U71)</f>
        <v>-5.3824038960036171</v>
      </c>
      <c r="Y28" s="35">
        <f>+'Other Accts'!Z43*(1-IS!Z71)</f>
        <v>-1.3513853259183233</v>
      </c>
      <c r="Z28" s="35">
        <f>+'Other Accts'!AE43*(1-IS!AE71)</f>
        <v>-3.4845521262850396</v>
      </c>
      <c r="AA28" s="35">
        <f>+'Other Accts'!AJ43*(1-IS!AJ71)</f>
        <v>-32.723131884725632</v>
      </c>
      <c r="AB28" s="35">
        <f>+'Other Accts'!AO43*(1-IS!AO71)</f>
        <v>-50.843118988844921</v>
      </c>
      <c r="AC28" s="35">
        <f>+'Other Accts'!AT43*(1-IS!AT71)</f>
        <v>-30.364261580310199</v>
      </c>
      <c r="AD28" s="80"/>
      <c r="AE28" s="35">
        <f>+'Other Accts'!AY43*(1-IS!AY71)</f>
        <v>-41.949586370341841</v>
      </c>
      <c r="AF28" s="35">
        <f>+'Other Accts'!BD43*(1-IS!BD71)</f>
        <v>-29.760203934449649</v>
      </c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DR28" s="318"/>
    </row>
    <row r="29" spans="2:122" s="34" customFormat="1">
      <c r="B29" s="31"/>
      <c r="C29" s="31" t="s">
        <v>185</v>
      </c>
      <c r="D29" s="79"/>
      <c r="E29" s="79"/>
      <c r="F29" s="79"/>
      <c r="G29" s="79"/>
      <c r="H29" s="79"/>
      <c r="I29" s="79"/>
      <c r="J29" s="79"/>
      <c r="K29" s="79"/>
      <c r="L29" s="79"/>
      <c r="M29" s="35"/>
      <c r="N29" s="35"/>
      <c r="O29" s="35"/>
      <c r="P29" s="35"/>
      <c r="Q29" s="35"/>
      <c r="R29" s="35"/>
      <c r="S29" s="35"/>
      <c r="T29" s="35"/>
      <c r="U29" s="35">
        <f t="shared" ref="U29:V29" si="18">+U22+U28</f>
        <v>-78.448044604198998</v>
      </c>
      <c r="V29" s="35">
        <f t="shared" si="18"/>
        <v>-92.388000000000005</v>
      </c>
      <c r="W29" s="35">
        <f t="shared" ref="W29" si="19">+W22+W28</f>
        <v>-78.856562251279129</v>
      </c>
      <c r="X29" s="35">
        <f>+X22+X28</f>
        <v>-145.48240389600358</v>
      </c>
      <c r="Y29" s="35">
        <f>+Y22+Y28</f>
        <v>-285.40338532591824</v>
      </c>
      <c r="Z29" s="35">
        <f>+Z22+Z28</f>
        <v>-390.40855212628509</v>
      </c>
      <c r="AA29" s="35">
        <f t="shared" ref="AA29:AB29" si="20">+AA22+AA28</f>
        <v>-378.18413188472562</v>
      </c>
      <c r="AB29" s="35">
        <f t="shared" si="20"/>
        <v>-325.78611898884492</v>
      </c>
      <c r="AC29" s="35">
        <f t="shared" ref="AC29:AE29" si="21">+AC22+AC28</f>
        <v>-263.43026158031017</v>
      </c>
      <c r="AD29" s="80"/>
      <c r="AE29" s="35">
        <f t="shared" si="21"/>
        <v>-214.12050524257725</v>
      </c>
      <c r="AF29" s="35">
        <f t="shared" ref="AF29" si="22">+AF22+AF28</f>
        <v>-46.731144485214116</v>
      </c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DR29" s="318"/>
    </row>
    <row r="30" spans="2:122" s="34" customFormat="1">
      <c r="B30" s="31" t="s">
        <v>186</v>
      </c>
      <c r="C30" s="31"/>
      <c r="D30" s="79"/>
      <c r="E30" s="79"/>
      <c r="F30" s="79"/>
      <c r="G30" s="79"/>
      <c r="H30" s="79"/>
      <c r="I30" s="79"/>
      <c r="J30" s="79"/>
      <c r="K30" s="79"/>
      <c r="L30" s="79"/>
      <c r="M30" s="37"/>
      <c r="N30" s="37"/>
      <c r="O30" s="37"/>
      <c r="P30" s="37"/>
      <c r="Q30" s="37"/>
      <c r="R30" s="37"/>
      <c r="S30" s="37"/>
      <c r="T30" s="37"/>
      <c r="U30" s="37">
        <f t="shared" ref="U30:V30" si="23">+U36/U29</f>
        <v>-1.4148839599509775</v>
      </c>
      <c r="V30" s="37">
        <f t="shared" si="23"/>
        <v>-7.8501440663289568</v>
      </c>
      <c r="W30" s="37">
        <f t="shared" ref="W30" si="24">+W36/W29</f>
        <v>-25.70792591160815</v>
      </c>
      <c r="X30" s="37">
        <f>+X36/X29</f>
        <v>-1.0906635837102672</v>
      </c>
      <c r="Y30" s="37">
        <f>+Y36/Y29</f>
        <v>-11.297666971671987</v>
      </c>
      <c r="Z30" s="37">
        <f>+Z36/Z29</f>
        <v>-4.6586525066993962</v>
      </c>
      <c r="AA30" s="37">
        <f t="shared" ref="AA30:AB30" si="25">+AA36/AA29</f>
        <v>-6.0803616046505882</v>
      </c>
      <c r="AB30" s="37">
        <f t="shared" si="25"/>
        <v>-12.942842878288436</v>
      </c>
      <c r="AC30" s="37">
        <f t="shared" ref="AC30:AE30" si="26">+AC36/AC29</f>
        <v>-49.754732567063826</v>
      </c>
      <c r="AD30" s="80"/>
      <c r="AE30" s="37">
        <f t="shared" si="26"/>
        <v>-66.620231923662274</v>
      </c>
      <c r="AF30" s="37">
        <f t="shared" ref="AF30" si="27">+AF36/AF29</f>
        <v>-308.49012416086458</v>
      </c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DR30" s="318"/>
    </row>
    <row r="31" spans="2:122" s="34" customFormat="1">
      <c r="B31" s="82" t="s">
        <v>187</v>
      </c>
      <c r="C31" s="83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5"/>
      <c r="O31" s="85"/>
      <c r="P31" s="85"/>
      <c r="Q31" s="85"/>
      <c r="R31" s="85"/>
      <c r="S31" s="85"/>
      <c r="T31" s="85"/>
      <c r="U31" s="85">
        <f t="shared" ref="U31:V31" si="28">+U29/U36</f>
        <v>-0.70677174122084729</v>
      </c>
      <c r="V31" s="85">
        <f t="shared" si="28"/>
        <v>-0.12738619718958102</v>
      </c>
      <c r="W31" s="85">
        <f t="shared" ref="W31" si="29">+W29/W36</f>
        <v>-3.8898509488408797E-2</v>
      </c>
      <c r="X31" s="85">
        <f>+X29/X36</f>
        <v>-0.91687300734673483</v>
      </c>
      <c r="Y31" s="85">
        <f>+Y29/Y36</f>
        <v>-8.8513850028277663E-2</v>
      </c>
      <c r="Z31" s="85">
        <f>+Z29/Z36</f>
        <v>-0.21465434448307649</v>
      </c>
      <c r="AA31" s="321">
        <f t="shared" ref="AA31:AB31" si="30">+AA29/AA36</f>
        <v>-0.16446390281050818</v>
      </c>
      <c r="AB31" s="321">
        <f t="shared" si="30"/>
        <v>-7.7262778309508465E-2</v>
      </c>
      <c r="AC31" s="324">
        <f t="shared" ref="AC31:AE31" si="31">+AC29/AC36</f>
        <v>-2.0098590594414541E-2</v>
      </c>
      <c r="AD31" s="80"/>
      <c r="AE31" s="326">
        <f t="shared" si="31"/>
        <v>-1.5010455099373777E-2</v>
      </c>
      <c r="AF31" s="324">
        <f t="shared" ref="AF31" si="32">+AF29/AF36</f>
        <v>-3.2415948572750495E-3</v>
      </c>
      <c r="AG31" s="76"/>
      <c r="AH31" s="76"/>
      <c r="AI31" s="76"/>
      <c r="AJ31" s="76"/>
      <c r="AK31" s="76"/>
      <c r="AL31" s="76"/>
      <c r="DR31" s="318"/>
    </row>
    <row r="32" spans="2:122" s="28" customFormat="1">
      <c r="B32" s="31"/>
      <c r="C32" s="31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80"/>
      <c r="AE32" s="16"/>
      <c r="AF32" s="16"/>
      <c r="AG32" s="16"/>
      <c r="AH32" s="16"/>
      <c r="AI32" s="16"/>
      <c r="AJ32" s="16"/>
      <c r="AK32" s="16"/>
      <c r="AL32" s="16"/>
      <c r="DR32" s="307"/>
    </row>
    <row r="33" spans="1:122" s="35" customFormat="1" outlineLevel="1">
      <c r="C33" s="35" t="s">
        <v>116</v>
      </c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>
        <f>BS!F9</f>
        <v>221.32</v>
      </c>
      <c r="V33" s="86">
        <f>BS!K9</f>
        <v>418.96100000000001</v>
      </c>
      <c r="W33" s="86">
        <f>BS!P9</f>
        <v>522.80200000000002</v>
      </c>
      <c r="X33" s="86">
        <f>BS!U9</f>
        <v>1794.88</v>
      </c>
      <c r="Y33" s="86">
        <f>BS!Z9</f>
        <v>932.74800000000005</v>
      </c>
      <c r="Z33" s="86">
        <f>BS!AE9</f>
        <v>1011.231</v>
      </c>
      <c r="AA33" s="86">
        <f>BS!AJ9</f>
        <v>1168.634</v>
      </c>
      <c r="AB33" s="86">
        <f>BS!AO9</f>
        <v>839.97799999999995</v>
      </c>
      <c r="AC33" s="86">
        <f>BS!AT9</f>
        <v>1201.598</v>
      </c>
      <c r="AD33" s="80"/>
      <c r="AE33" s="86">
        <f>BS!AY9</f>
        <v>1029.4270811277647</v>
      </c>
      <c r="AF33" s="86">
        <f>BS!BD9</f>
        <v>523.87214057700021</v>
      </c>
      <c r="AG33" s="86"/>
      <c r="AH33" s="86"/>
      <c r="AI33" s="86"/>
      <c r="AJ33" s="86"/>
      <c r="AK33" s="86"/>
      <c r="AL33" s="86"/>
      <c r="DR33" s="309"/>
    </row>
    <row r="34" spans="1:122" s="24" customFormat="1" outlineLevel="1">
      <c r="C34" s="24" t="s">
        <v>117</v>
      </c>
      <c r="U34" s="24">
        <f>IS!F34</f>
        <v>12.582000000000001</v>
      </c>
      <c r="V34" s="24">
        <f>IS!K34</f>
        <v>30.402999999999999</v>
      </c>
      <c r="W34" s="24">
        <f>IS!P34</f>
        <v>90.596999999999994</v>
      </c>
      <c r="X34" s="24">
        <f>IS!U34</f>
        <v>97.504000000000005</v>
      </c>
      <c r="Y34" s="24">
        <f>IS!Z34</f>
        <v>101.31399999999999</v>
      </c>
      <c r="Z34" s="24">
        <f>IS!AE34</f>
        <v>102.178</v>
      </c>
      <c r="AA34" s="24">
        <f>IS!AJ34</f>
        <v>111.92874999999999</v>
      </c>
      <c r="AB34" s="24">
        <f>IS!AO34</f>
        <v>122.741</v>
      </c>
      <c r="AC34" s="24">
        <f>IS!AT34</f>
        <v>125.36225000000002</v>
      </c>
      <c r="AD34" s="80"/>
      <c r="AE34" s="24">
        <f>IS!AY34</f>
        <v>129.60700000000003</v>
      </c>
      <c r="AF34" s="24">
        <f>IS!BD34</f>
        <v>130.86985625000003</v>
      </c>
      <c r="DR34" s="319"/>
    </row>
    <row r="35" spans="1:122" outlineLevel="1">
      <c r="C35" s="31" t="s">
        <v>118</v>
      </c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>
        <f t="shared" ref="U35:Z35" si="33">U34*U8</f>
        <v>325.11887999999999</v>
      </c>
      <c r="V35" s="86">
        <f t="shared" si="33"/>
        <v>1136.1601099999998</v>
      </c>
      <c r="W35" s="86">
        <f t="shared" si="33"/>
        <v>2516.7846599999998</v>
      </c>
      <c r="X35" s="86">
        <f t="shared" si="33"/>
        <v>1105.6953599999999</v>
      </c>
      <c r="Y35" s="86">
        <f t="shared" si="33"/>
        <v>2796.2664</v>
      </c>
      <c r="Z35" s="86">
        <f t="shared" si="33"/>
        <v>1482.6027799999999</v>
      </c>
      <c r="AA35" s="86">
        <f>AA34*AA8</f>
        <v>2142.3162750000001</v>
      </c>
      <c r="AB35" s="86">
        <f>AB34*AB8</f>
        <v>3749.7375500000003</v>
      </c>
      <c r="AC35" s="86">
        <f>AC34*AC8</f>
        <v>12804.500215000002</v>
      </c>
      <c r="AD35" s="80"/>
      <c r="AE35" s="86">
        <f>AE34*AE8</f>
        <v>13790.184800000005</v>
      </c>
      <c r="AF35" s="86">
        <f>AF34*AF8</f>
        <v>13924.552705000004</v>
      </c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DR35" s="316"/>
    </row>
    <row r="36" spans="1:122" s="35" customFormat="1">
      <c r="C36" s="35" t="s">
        <v>119</v>
      </c>
      <c r="D36" s="78"/>
      <c r="E36" s="78"/>
      <c r="F36" s="78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>
        <f t="shared" ref="U36" si="34">U35-U33+U55</f>
        <v>110.99487999999999</v>
      </c>
      <c r="V36" s="86">
        <f t="shared" ref="V36:AA36" si="35">V35-V33+V55</f>
        <v>725.25910999999974</v>
      </c>
      <c r="W36" s="86">
        <f t="shared" si="35"/>
        <v>2027.2386599999998</v>
      </c>
      <c r="X36" s="86">
        <f t="shared" si="35"/>
        <v>158.6723599999998</v>
      </c>
      <c r="Y36" s="86">
        <f t="shared" si="35"/>
        <v>3224.3923999999997</v>
      </c>
      <c r="Z36" s="86">
        <f t="shared" si="35"/>
        <v>1818.7777799999999</v>
      </c>
      <c r="AA36" s="86">
        <f t="shared" si="35"/>
        <v>2299.496275</v>
      </c>
      <c r="AB36" s="86">
        <f>AB35-AB33+AB55</f>
        <v>4216.5985500000006</v>
      </c>
      <c r="AC36" s="86">
        <f>AC35-AC33+AC55</f>
        <v>13106.902215000002</v>
      </c>
      <c r="AD36" s="80"/>
      <c r="AE36" s="86">
        <f>AE35-AE33+AE55</f>
        <v>14264.757718872239</v>
      </c>
      <c r="AF36" s="86">
        <f>AF35-AF33+AF55</f>
        <v>14416.096564423004</v>
      </c>
      <c r="AG36" s="86"/>
      <c r="AH36" s="86"/>
      <c r="AI36" s="86"/>
      <c r="AJ36" s="86"/>
      <c r="AK36" s="86"/>
      <c r="AL36" s="86"/>
      <c r="DR36" s="309"/>
    </row>
    <row r="37" spans="1:122" s="33" customFormat="1">
      <c r="A37" s="35"/>
      <c r="B37" s="35"/>
      <c r="C37" s="35" t="s">
        <v>179</v>
      </c>
      <c r="D37" s="35"/>
      <c r="E37" s="35"/>
      <c r="F37" s="35"/>
      <c r="G37" s="86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>
        <f>IS!F42+CF!F13</f>
        <v>-63.042999999999992</v>
      </c>
      <c r="V37" s="87">
        <f>IS!K42+CF!K13</f>
        <v>-72.103999999999985</v>
      </c>
      <c r="W37" s="87">
        <f>IS!P42</f>
        <v>-54.006999999999977</v>
      </c>
      <c r="X37" s="87">
        <f>IS!U42</f>
        <v>-84.392999999999972</v>
      </c>
      <c r="Y37" s="87">
        <f>IS!Z42</f>
        <v>-231.48999999999998</v>
      </c>
      <c r="Z37" s="87">
        <f>IS!AE42</f>
        <v>-403.43100000000004</v>
      </c>
      <c r="AA37" s="87">
        <f>IS!AJ42</f>
        <v>-344.18900000000002</v>
      </c>
      <c r="AB37" s="87">
        <f>IS!AO42</f>
        <v>-257.53500000000008</v>
      </c>
      <c r="AC37" s="87">
        <f>IS!AT42</f>
        <v>-220.84999999999994</v>
      </c>
      <c r="AD37" s="87"/>
      <c r="AE37" s="87">
        <f>IS!AY42</f>
        <v>-162.37246156752667</v>
      </c>
      <c r="AF37" s="87">
        <f>IS!BD42</f>
        <v>55.707336908247314</v>
      </c>
      <c r="AG37" s="87"/>
      <c r="AH37" s="87"/>
      <c r="AI37" s="87"/>
      <c r="AJ37" s="87"/>
      <c r="AK37" s="87"/>
      <c r="AL37" s="87"/>
      <c r="DR37" s="308"/>
    </row>
    <row r="38" spans="1:122" s="34" customFormat="1">
      <c r="B38" s="34" t="s">
        <v>120</v>
      </c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>
        <f t="shared" ref="U38" si="36">U36/U37</f>
        <v>-1.7606217978205354</v>
      </c>
      <c r="V38" s="79">
        <f t="shared" ref="V38:AA38" si="37">V36/V37</f>
        <v>-10.058514229446354</v>
      </c>
      <c r="W38" s="79">
        <f t="shared" si="37"/>
        <v>-37.536590812302123</v>
      </c>
      <c r="X38" s="79">
        <f t="shared" si="37"/>
        <v>-1.880160202860425</v>
      </c>
      <c r="Y38" s="79">
        <f t="shared" si="37"/>
        <v>-13.928862585856841</v>
      </c>
      <c r="Z38" s="79">
        <f t="shared" si="37"/>
        <v>-4.5082747235586744</v>
      </c>
      <c r="AA38" s="79">
        <f t="shared" si="37"/>
        <v>-6.6809115776506509</v>
      </c>
      <c r="AB38" s="79">
        <f>AB36/AB37</f>
        <v>-16.372914555303161</v>
      </c>
      <c r="AC38" s="79">
        <f>AC36/AC37</f>
        <v>-59.34753097124748</v>
      </c>
      <c r="AD38" s="79"/>
      <c r="AE38" s="79">
        <f>AE36/AE37</f>
        <v>-87.852075291350317</v>
      </c>
      <c r="AF38" s="79">
        <f>AF36/AF37</f>
        <v>258.78272709691748</v>
      </c>
      <c r="AG38" s="79"/>
      <c r="AH38" s="79"/>
      <c r="AI38" s="79"/>
      <c r="AJ38" s="79"/>
      <c r="AK38" s="79"/>
      <c r="AL38" s="79"/>
      <c r="DR38" s="318"/>
    </row>
    <row r="39" spans="1:122" s="28" customFormat="1">
      <c r="B39" s="31"/>
      <c r="C39" s="31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DR39" s="307"/>
    </row>
    <row r="40" spans="1:122" s="28" customFormat="1">
      <c r="B40" s="31"/>
      <c r="C40" s="31" t="s">
        <v>18</v>
      </c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88"/>
      <c r="O40" s="88"/>
      <c r="P40" s="88"/>
      <c r="Q40" s="88"/>
      <c r="R40" s="88"/>
      <c r="S40" s="88"/>
      <c r="T40" s="88"/>
      <c r="U40" s="88">
        <f>IS!F66</f>
        <v>-1.4429396894185627</v>
      </c>
      <c r="V40" s="88">
        <f>IS!K66</f>
        <v>-0.94982292390692735</v>
      </c>
      <c r="W40" s="88">
        <f>IS!P66</f>
        <v>-0.30515685131195325</v>
      </c>
      <c r="X40" s="88">
        <f>IS!U66</f>
        <v>-0.34423673839500563</v>
      </c>
      <c r="Y40" s="88">
        <f>IS!Z66</f>
        <v>-0.67392206137780231</v>
      </c>
      <c r="Z40" s="88">
        <f>IS!AE66</f>
        <v>-0.97191561113854663</v>
      </c>
      <c r="AA40" s="88">
        <f>IS!AJ66</f>
        <v>-0.68148481774915426</v>
      </c>
      <c r="AB40" s="323">
        <f>IS!AO66</f>
        <v>-0.40283701570737318</v>
      </c>
      <c r="AC40" s="323">
        <f>IS!AT66</f>
        <v>-0.26365627618961301</v>
      </c>
      <c r="AD40" s="88"/>
      <c r="AE40" s="88">
        <f>IS!AY66</f>
        <v>-0.1508822125955635</v>
      </c>
      <c r="AF40" s="88">
        <f>IS!BD66</f>
        <v>1.1680262453209035E-2</v>
      </c>
      <c r="AG40" s="88"/>
      <c r="AH40" s="88"/>
      <c r="AI40" s="88"/>
      <c r="AJ40" s="88"/>
      <c r="AK40" s="88"/>
      <c r="AL40" s="88"/>
      <c r="DR40" s="307"/>
    </row>
    <row r="41" spans="1:122" s="28" customFormat="1">
      <c r="B41" s="31"/>
      <c r="C41" s="31" t="s">
        <v>121</v>
      </c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>
        <f>U11/(BS!F21)</f>
        <v>0.1453382244020785</v>
      </c>
      <c r="V41" s="89">
        <f>V11/(BS!K21)</f>
        <v>0.15430462561478234</v>
      </c>
      <c r="W41" s="89">
        <f>W11/(BS!P21)</f>
        <v>0.22271917384822368</v>
      </c>
      <c r="X41" s="89">
        <f>X11/(BS!U21)</f>
        <v>0.1262137503570987</v>
      </c>
      <c r="Y41" s="89">
        <f>Y11/(BS!Z21)</f>
        <v>0.16949565411460837</v>
      </c>
      <c r="Z41" s="89">
        <f>Z11/(BS!AE21)</f>
        <v>0.27921875048525296</v>
      </c>
      <c r="AA41" s="89">
        <f>AA11/(BS!AJ21)</f>
        <v>0.3156859441307508</v>
      </c>
      <c r="AB41" s="89">
        <f>AB11/(BS!AO21)</f>
        <v>0.49744986736079277</v>
      </c>
      <c r="AC41" s="89">
        <f>AC11/(BS!AT21)</f>
        <v>0.48767989018994784</v>
      </c>
      <c r="AD41" s="89"/>
      <c r="AE41" s="89">
        <f>AE11/(BS!AY21)</f>
        <v>0.69593671843566562</v>
      </c>
      <c r="AF41" s="89">
        <f>AF11/(BS!BD21)</f>
        <v>1.2581734156967317</v>
      </c>
      <c r="AG41" s="89"/>
      <c r="AH41" s="89"/>
      <c r="AI41" s="89"/>
      <c r="AJ41" s="89"/>
      <c r="AK41" s="89"/>
      <c r="AL41" s="89"/>
      <c r="DR41" s="307"/>
    </row>
    <row r="42" spans="1:122" s="28" customFormat="1">
      <c r="B42" s="34" t="s">
        <v>122</v>
      </c>
      <c r="C42" s="34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76"/>
      <c r="O42" s="76"/>
      <c r="P42" s="76"/>
      <c r="Q42" s="76"/>
      <c r="R42" s="76"/>
      <c r="S42" s="76"/>
      <c r="T42" s="76"/>
      <c r="U42" s="76">
        <f t="shared" ref="U42" si="38">U40*U41</f>
        <v>-0.20971429237938052</v>
      </c>
      <c r="V42" s="76">
        <f t="shared" ref="V42:AA42" si="39">V40*V41</f>
        <v>-0.14656207067379631</v>
      </c>
      <c r="W42" s="76">
        <f t="shared" si="39"/>
        <v>-6.7964281818323466E-2</v>
      </c>
      <c r="X42" s="76">
        <f t="shared" si="39"/>
        <v>-4.3447409763529135E-2</v>
      </c>
      <c r="Y42" s="76">
        <f t="shared" si="39"/>
        <v>-0.11422686061549585</v>
      </c>
      <c r="Z42" s="76">
        <f t="shared" si="39"/>
        <v>-0.27137706251921601</v>
      </c>
      <c r="AA42" s="76">
        <f t="shared" si="39"/>
        <v>-0.2151351781019144</v>
      </c>
      <c r="AB42" s="76">
        <f>AB40*AB41</f>
        <v>-0.20039122003165039</v>
      </c>
      <c r="AC42" s="76">
        <f>AC40*AC41</f>
        <v>-0.12857986382004102</v>
      </c>
      <c r="AD42" s="76"/>
      <c r="AE42" s="76">
        <f>AE40*AE41</f>
        <v>-0.10500447190406892</v>
      </c>
      <c r="AF42" s="76">
        <f>AF40*AF41</f>
        <v>1.4695795706988299E-2</v>
      </c>
      <c r="AG42" s="76"/>
      <c r="AH42" s="76"/>
      <c r="AI42" s="76"/>
      <c r="AJ42" s="76"/>
      <c r="AK42" s="76"/>
      <c r="AL42" s="76"/>
      <c r="DR42" s="307"/>
    </row>
    <row r="43" spans="1:122" s="28" customFormat="1">
      <c r="B43" s="31"/>
      <c r="C43" s="31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DR43" s="307"/>
    </row>
    <row r="44" spans="1:122" s="28" customFormat="1" outlineLevel="1">
      <c r="B44" s="31"/>
      <c r="C44" s="31" t="s">
        <v>123</v>
      </c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>
        <f>IS!F21/IS!F17</f>
        <v>1.0212322195803611</v>
      </c>
      <c r="V44" s="37">
        <f>IS!K21/IS!K17</f>
        <v>0.89874667502991024</v>
      </c>
      <c r="W44" s="37">
        <f>IS!P21/IS!P17</f>
        <v>0.80665871778409604</v>
      </c>
      <c r="X44" s="37">
        <f>IS!U21/IS!U17</f>
        <v>0.91848272088994243</v>
      </c>
      <c r="Y44" s="37">
        <f>IS!Z21/IS!Z17</f>
        <v>0.99828841243303557</v>
      </c>
      <c r="Z44" s="37">
        <f>IS!AE21/IS!AE17</f>
        <v>1.2222799504706885</v>
      </c>
      <c r="AA44" s="37">
        <f>IS!AJ21/IS!AJ17</f>
        <v>0.91498274884081565</v>
      </c>
      <c r="AB44" s="37">
        <f>IS!AO21/IS!AO17</f>
        <v>0.82598092730002737</v>
      </c>
      <c r="AC44" s="37">
        <f>IS!AT21/IS!AT17</f>
        <v>0.88599391308378006</v>
      </c>
      <c r="AD44" s="37"/>
      <c r="AE44" s="37">
        <f>IS!AY21/IS!AY17</f>
        <v>0.80491402640055876</v>
      </c>
      <c r="AF44" s="37">
        <f>IS!BD21/IS!BD17</f>
        <v>2.2213005131973742</v>
      </c>
      <c r="AG44" s="37"/>
      <c r="AH44" s="37"/>
      <c r="AI44" s="37"/>
      <c r="AJ44" s="37"/>
      <c r="AK44" s="37"/>
      <c r="AL44" s="37"/>
      <c r="DR44" s="307"/>
    </row>
    <row r="45" spans="1:122" s="28" customFormat="1" outlineLevel="1">
      <c r="B45" s="31"/>
      <c r="C45" s="31" t="s">
        <v>124</v>
      </c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>
        <f>BS!F21/BS!F46</f>
        <v>1.1112486471423109</v>
      </c>
      <c r="V45" s="37">
        <f>BS!K21/BS!K46</f>
        <v>1.2157726760936518</v>
      </c>
      <c r="W45" s="37">
        <f>BS!P21/BS!P46</f>
        <v>1.2055904798764521</v>
      </c>
      <c r="X45" s="37">
        <f>BS!U21/BS!U46</f>
        <v>1.7495492859040662</v>
      </c>
      <c r="Y45" s="37">
        <f>BS!Z21/BS!Z46</f>
        <v>3.4178014123921518</v>
      </c>
      <c r="Z45" s="37">
        <f>BS!AE21/BS!AE46</f>
        <v>26.752824858757066</v>
      </c>
      <c r="AA45" s="37">
        <f>BS!AJ21/BS!AJ46</f>
        <v>11.257726046734398</v>
      </c>
      <c r="AB45" s="37">
        <f>BS!AO21/BS!AO46</f>
        <v>-10.638316612601781</v>
      </c>
      <c r="AC45" s="37">
        <f>BS!AT21/BS!AT46</f>
        <v>-20.277110374898054</v>
      </c>
      <c r="AD45" s="37"/>
      <c r="AE45" s="37">
        <f>BS!AY21/BS!AY46</f>
        <v>-7.1943923081211576</v>
      </c>
      <c r="AF45" s="37">
        <f>BS!BD21/BS!BD46</f>
        <v>-6.767379616649106</v>
      </c>
      <c r="AG45" s="37"/>
      <c r="AH45" s="37"/>
      <c r="AI45" s="37"/>
      <c r="AJ45" s="37"/>
      <c r="AK45" s="37"/>
      <c r="AL45" s="37"/>
      <c r="DR45" s="307"/>
    </row>
    <row r="46" spans="1:122" s="28" customFormat="1" outlineLevel="1">
      <c r="B46" s="31"/>
      <c r="C46" s="31" t="s">
        <v>125</v>
      </c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>
        <f>IS!F24/IS!F21</f>
        <v>1.0000953081175286</v>
      </c>
      <c r="V46" s="89">
        <f>IS!K24/IS!K21</f>
        <v>1.0004911210484142</v>
      </c>
      <c r="W46" s="89">
        <f>IS!P24/IS!P21</f>
        <v>0.96452529846503698</v>
      </c>
      <c r="X46" s="89">
        <f>IS!U24/IS!U21</f>
        <v>1.0041805927837895</v>
      </c>
      <c r="Y46" s="89">
        <f>IS!Z24/IS!Z21</f>
        <v>1.0011934028689407</v>
      </c>
      <c r="Z46" s="89">
        <f>IS!AE24/IS!AE21</f>
        <v>0.81528004044716595</v>
      </c>
      <c r="AA46" s="89">
        <f>IS!AJ24/IS!AJ21</f>
        <v>1.0019479706979708</v>
      </c>
      <c r="AB46" s="89">
        <f>IS!AO24/IS!AO21</f>
        <v>1.0052216985160454</v>
      </c>
      <c r="AC46" s="89">
        <f>IS!AT24/IS!AT21</f>
        <v>0.99449428504171788</v>
      </c>
      <c r="AD46" s="89"/>
      <c r="AE46" s="89">
        <f>IS!AY24/IS!AY21</f>
        <v>0.995</v>
      </c>
      <c r="AF46" s="89">
        <f>IS!BD24/IS!BD21</f>
        <v>0.99500000000000011</v>
      </c>
      <c r="AG46" s="89"/>
      <c r="AH46" s="89"/>
      <c r="AI46" s="89"/>
      <c r="AJ46" s="89"/>
      <c r="AK46" s="89"/>
      <c r="AL46" s="89"/>
      <c r="DR46" s="307"/>
    </row>
    <row r="47" spans="1:122" s="28" customFormat="1">
      <c r="B47" s="34" t="s">
        <v>126</v>
      </c>
      <c r="C47" s="34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76"/>
      <c r="O47" s="76"/>
      <c r="P47" s="76"/>
      <c r="Q47" s="76"/>
      <c r="R47" s="76"/>
      <c r="S47" s="76"/>
      <c r="T47" s="76"/>
      <c r="U47" s="76">
        <f t="shared" ref="U47" si="40">U40*U41*U44*U45*U46</f>
        <v>-0.23801546308237684</v>
      </c>
      <c r="V47" s="76">
        <f t="shared" ref="V47:AA47" si="41">V40*V41*V44*V45*V46</f>
        <v>-0.16022286982150541</v>
      </c>
      <c r="W47" s="76">
        <f t="shared" si="41"/>
        <v>-6.3750558935261201E-2</v>
      </c>
      <c r="X47" s="76">
        <f t="shared" si="41"/>
        <v>-7.0108856791901389E-2</v>
      </c>
      <c r="Y47" s="76">
        <f t="shared" si="41"/>
        <v>-0.39020162634398181</v>
      </c>
      <c r="Z47" s="76">
        <f t="shared" si="41"/>
        <v>-7.2346959122632093</v>
      </c>
      <c r="AA47" s="76">
        <f t="shared" si="41"/>
        <v>-2.2203435759118766</v>
      </c>
      <c r="AB47" s="76">
        <f>AB40*AB41*AB44*AB45*AB46</f>
        <v>1.7700416049037953</v>
      </c>
      <c r="AC47" s="76">
        <f>AC40*AC41*AC44*AC45*AC46</f>
        <v>2.2972700816659466</v>
      </c>
      <c r="AD47" s="76"/>
      <c r="AE47" s="76">
        <f>AE40*AE41*AE44*AE45*AE46</f>
        <v>0.60502662582449107</v>
      </c>
      <c r="AF47" s="76">
        <f>AF40*AF41*AF44*AF45*AF46</f>
        <v>-0.21980827733339239</v>
      </c>
      <c r="AG47" s="76"/>
      <c r="AH47" s="76"/>
      <c r="AI47" s="76"/>
      <c r="AJ47" s="76"/>
      <c r="AK47" s="76"/>
      <c r="AL47" s="76"/>
      <c r="DR47" s="307"/>
    </row>
    <row r="48" spans="1:122">
      <c r="B48" s="34" t="s">
        <v>205</v>
      </c>
      <c r="AA48" s="102"/>
      <c r="AB48" s="102">
        <f>(IS!AL24+IS!AK24+IS!AI24+IS!AH24)/(BS!AL46+BS!AL32+BS!AL29)</f>
        <v>-0.20578776174174068</v>
      </c>
      <c r="DR48" s="316"/>
    </row>
    <row r="49" spans="1:122">
      <c r="A49" s="77" t="s">
        <v>127</v>
      </c>
      <c r="DR49" s="316"/>
    </row>
    <row r="50" spans="1:122">
      <c r="C50" s="31" t="s">
        <v>128</v>
      </c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>
        <f>BS!F71</f>
        <v>0</v>
      </c>
      <c r="V50" s="24">
        <f>BS!K71</f>
        <v>39.140581041273627</v>
      </c>
      <c r="W50" s="24">
        <f>BS!P71</f>
        <v>64.222548104956275</v>
      </c>
      <c r="X50" s="24">
        <f>BS!U71</f>
        <v>55.988445140027203</v>
      </c>
      <c r="Y50" s="24">
        <f>BS!Z71</f>
        <v>58.103914260021995</v>
      </c>
      <c r="Z50" s="24">
        <f>BS!AE71</f>
        <v>73.736961613923626</v>
      </c>
      <c r="AA50" s="24">
        <f>BS!AJ71</f>
        <v>57.520712237653107</v>
      </c>
      <c r="AB50" s="24">
        <f>BS!AO71</f>
        <v>46.064077097112929</v>
      </c>
      <c r="AC50" s="24">
        <f>BS!AT71</f>
        <v>45.095677689173655</v>
      </c>
      <c r="AE50" s="24">
        <f>BS!AY71</f>
        <v>37.907977544015495</v>
      </c>
      <c r="AF50" s="24">
        <f>BS!BD71</f>
        <v>32.571657817827116</v>
      </c>
      <c r="AG50" s="24"/>
      <c r="AH50" s="24"/>
      <c r="AI50" s="24"/>
      <c r="AJ50" s="24"/>
      <c r="AK50" s="24"/>
      <c r="AL50" s="24"/>
      <c r="DR50" s="316"/>
    </row>
    <row r="51" spans="1:122">
      <c r="C51" s="31" t="s">
        <v>129</v>
      </c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>
        <f>BS!F75</f>
        <v>0</v>
      </c>
      <c r="V51" s="24">
        <f>BS!K75</f>
        <v>32.668816455103283</v>
      </c>
      <c r="W51" s="24">
        <f>BS!P75</f>
        <v>67.076071474583784</v>
      </c>
      <c r="X51" s="24">
        <f>BS!U75</f>
        <v>93.25456624168514</v>
      </c>
      <c r="Y51" s="24">
        <f>BS!Z75</f>
        <v>82.11331389862498</v>
      </c>
      <c r="Z51" s="24">
        <f>BS!AE75</f>
        <v>122.23310772475752</v>
      </c>
      <c r="AA51" s="24">
        <f>BS!AJ75</f>
        <v>100.30856138589004</v>
      </c>
      <c r="AB51" s="24">
        <f>BS!AO75</f>
        <v>87.772738130598299</v>
      </c>
      <c r="AC51" s="24">
        <f>BS!AT75</f>
        <v>89.38018616824094</v>
      </c>
      <c r="AE51" s="24">
        <f>BS!AY75</f>
        <v>79.255583846368637</v>
      </c>
      <c r="AF51" s="24">
        <f>BS!BD75</f>
        <v>77.865926181422083</v>
      </c>
      <c r="AG51" s="24"/>
      <c r="AH51" s="24"/>
      <c r="AI51" s="24"/>
      <c r="AJ51" s="24"/>
      <c r="AK51" s="24"/>
      <c r="AL51" s="24"/>
    </row>
    <row r="52" spans="1:122">
      <c r="C52" s="31" t="s">
        <v>130</v>
      </c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>
        <f>BS!F79</f>
        <v>0</v>
      </c>
      <c r="V52" s="24">
        <f>BS!K79</f>
        <v>44.667578106702898</v>
      </c>
      <c r="W52" s="24">
        <f>BS!P79</f>
        <v>63.139064445939553</v>
      </c>
      <c r="X52" s="24">
        <f>BS!U79</f>
        <v>71.22912278270509</v>
      </c>
      <c r="Y52" s="24">
        <f>BS!Z79</f>
        <v>55.240662493259642</v>
      </c>
      <c r="Z52" s="24">
        <f>BS!AE79</f>
        <v>72.420402891527658</v>
      </c>
      <c r="AA52" s="24">
        <f>BS!AJ79</f>
        <v>0</v>
      </c>
      <c r="AB52" s="24">
        <f>BS!AO79</f>
        <v>37.487387586468515</v>
      </c>
      <c r="AC52" s="24">
        <f>BS!AT79</f>
        <v>43.625967541037085</v>
      </c>
      <c r="AE52" s="24">
        <f>BS!AY79</f>
        <v>35.821557293427638</v>
      </c>
      <c r="AF52" s="24">
        <f>BS!BD79</f>
        <v>35.549225800568479</v>
      </c>
      <c r="AG52" s="24"/>
      <c r="AH52" s="24"/>
      <c r="AI52" s="24"/>
      <c r="AJ52" s="24"/>
      <c r="AK52" s="24"/>
      <c r="AL52" s="24"/>
    </row>
    <row r="53" spans="1:122">
      <c r="B53" s="82" t="s">
        <v>131</v>
      </c>
      <c r="C53" s="83"/>
      <c r="D53" s="91"/>
      <c r="E53" s="91"/>
      <c r="F53" s="91"/>
      <c r="G53" s="91"/>
      <c r="H53" s="91"/>
      <c r="I53" s="91"/>
      <c r="J53" s="91"/>
      <c r="K53" s="91"/>
      <c r="L53" s="92"/>
      <c r="M53" s="92"/>
      <c r="N53" s="92"/>
      <c r="O53" s="92"/>
      <c r="P53" s="92"/>
      <c r="Q53" s="92"/>
      <c r="R53" s="92"/>
      <c r="S53" s="92"/>
      <c r="T53" s="92"/>
      <c r="U53" s="92">
        <f t="shared" ref="U53" si="42">U50+U51-U52</f>
        <v>0</v>
      </c>
      <c r="V53" s="92">
        <f t="shared" ref="V53:AA53" si="43">V50+V51-V52</f>
        <v>27.141819389674005</v>
      </c>
      <c r="W53" s="92">
        <f t="shared" si="43"/>
        <v>68.159555133600506</v>
      </c>
      <c r="X53" s="92">
        <f t="shared" si="43"/>
        <v>78.013888599007245</v>
      </c>
      <c r="Y53" s="92">
        <f t="shared" si="43"/>
        <v>84.976565665387341</v>
      </c>
      <c r="Z53" s="92">
        <f t="shared" si="43"/>
        <v>123.54966644715347</v>
      </c>
      <c r="AA53" s="322">
        <f t="shared" si="43"/>
        <v>157.82927362354314</v>
      </c>
      <c r="AB53" s="322">
        <f>AB50+AB51-AB52</f>
        <v>96.349427641242698</v>
      </c>
      <c r="AC53" s="325">
        <f>AC50+AC51-AC52</f>
        <v>90.84989631637751</v>
      </c>
      <c r="AE53" s="327">
        <f>AE50+AE51-AE52</f>
        <v>81.342004096956487</v>
      </c>
      <c r="AF53" s="325">
        <f>AF50+AF51-AF52</f>
        <v>74.88835819868072</v>
      </c>
      <c r="AG53" s="100"/>
      <c r="AH53" s="100"/>
      <c r="AI53" s="100"/>
      <c r="AJ53" s="100"/>
      <c r="AK53" s="100"/>
      <c r="AL53" s="100"/>
    </row>
    <row r="54" spans="1:122" s="28" customFormat="1">
      <c r="B54" s="31"/>
      <c r="C54" s="31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AD54" s="31"/>
    </row>
    <row r="55" spans="1:122">
      <c r="C55" s="31" t="s">
        <v>132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>
        <f>BS!F29+BS!F32</f>
        <v>7.1959999999999997</v>
      </c>
      <c r="V55" s="16">
        <f>BS!K29+BS!K32</f>
        <v>8.06</v>
      </c>
      <c r="W55" s="16">
        <f>BS!P29+BS!P32</f>
        <v>33.256</v>
      </c>
      <c r="X55" s="16">
        <f>BS!U29+BS!U32</f>
        <v>847.85699999999997</v>
      </c>
      <c r="Y55" s="16">
        <f>BS!Z29+BS!Z32</f>
        <v>1360.8739999999998</v>
      </c>
      <c r="Z55" s="16">
        <f>BS!AE29+BS!AE32</f>
        <v>1347.4059999999999</v>
      </c>
      <c r="AA55" s="16">
        <f>BS!AJ29+BS!AJ32</f>
        <v>1325.8139999999999</v>
      </c>
      <c r="AB55" s="16">
        <f>BS!AO29+BS!AO32</f>
        <v>1306.8389999999999</v>
      </c>
      <c r="AC55" s="16">
        <f>BS!AT29+BS!AT32</f>
        <v>1504</v>
      </c>
      <c r="AE55" s="16">
        <f>BS!AY29+BS!AY32</f>
        <v>1504</v>
      </c>
      <c r="AF55" s="16">
        <f>BS!BD29+BS!BD32</f>
        <v>1015.4159999999999</v>
      </c>
      <c r="AG55" s="16"/>
      <c r="AH55" s="16"/>
      <c r="AI55" s="16"/>
      <c r="AJ55" s="16"/>
      <c r="AK55" s="16"/>
      <c r="AL55" s="16"/>
    </row>
    <row r="56" spans="1:122">
      <c r="C56" s="31" t="s">
        <v>133</v>
      </c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>
        <f>BS!F46</f>
        <v>308.60599999999999</v>
      </c>
      <c r="V56" s="21">
        <f>BS!K46</f>
        <v>483.15199999999999</v>
      </c>
      <c r="W56" s="21">
        <f>BS!P46</f>
        <v>798.39299999999992</v>
      </c>
      <c r="X56" s="21">
        <f>BS!U46</f>
        <v>1298.4949999999997</v>
      </c>
      <c r="Y56" s="21">
        <f>BS!Z46</f>
        <v>645.005</v>
      </c>
      <c r="Z56" s="21">
        <f>BS!AE46</f>
        <v>60.18</v>
      </c>
      <c r="AA56" s="21">
        <f>BS!AJ46</f>
        <v>158.68399999999991</v>
      </c>
      <c r="AB56" s="21">
        <f>BS!AO46</f>
        <v>-139.64699999999991</v>
      </c>
      <c r="AC56" s="21">
        <f>BS!AT46</f>
        <v>-99.306999999999931</v>
      </c>
      <c r="AE56" s="21">
        <f>BS!AY46</f>
        <v>-259.63047563411703</v>
      </c>
      <c r="AF56" s="21">
        <f>BS!BD46</f>
        <v>-215.16953925160274</v>
      </c>
      <c r="AG56" s="21"/>
      <c r="AH56" s="21"/>
      <c r="AI56" s="21"/>
      <c r="AJ56" s="21"/>
      <c r="AK56" s="21"/>
      <c r="AL56" s="21"/>
    </row>
    <row r="57" spans="1:122">
      <c r="B57" s="34" t="s">
        <v>134</v>
      </c>
      <c r="C57" s="34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76"/>
      <c r="O57" s="76"/>
      <c r="P57" s="76"/>
      <c r="Q57" s="76"/>
      <c r="R57" s="76"/>
      <c r="S57" s="76"/>
      <c r="T57" s="76"/>
      <c r="U57" s="76">
        <f t="shared" ref="U57" si="44">U55/(U55+U56)</f>
        <v>2.2786429471630957E-2</v>
      </c>
      <c r="V57" s="76">
        <f t="shared" ref="V57:AA57" si="45">V55/(V55+V56)</f>
        <v>1.6408393931744338E-2</v>
      </c>
      <c r="W57" s="76">
        <f t="shared" si="45"/>
        <v>3.9988023793691818E-2</v>
      </c>
      <c r="X57" s="76">
        <f t="shared" si="45"/>
        <v>0.39502234489030691</v>
      </c>
      <c r="Y57" s="76">
        <f t="shared" si="45"/>
        <v>0.67844271763152209</v>
      </c>
      <c r="Z57" s="76">
        <f t="shared" si="45"/>
        <v>0.95724595157951264</v>
      </c>
      <c r="AA57" s="76">
        <f t="shared" si="45"/>
        <v>0.89310595231519341</v>
      </c>
      <c r="AB57" s="76">
        <f>AB55/(AB55+AB56)</f>
        <v>1.1196435547879011</v>
      </c>
      <c r="AC57" s="76">
        <f>AC55/(AC55+AC56)</f>
        <v>1.0706965863715416</v>
      </c>
      <c r="AD57" s="76"/>
      <c r="AE57" s="76">
        <f>AE55/(AE55+AE56)</f>
        <v>1.2086441933447556</v>
      </c>
      <c r="AF57" s="76">
        <f>AF55/(AF55+AF56)</f>
        <v>1.2688790888876589</v>
      </c>
      <c r="AG57" s="76"/>
      <c r="AH57" s="76"/>
      <c r="AI57" s="76"/>
      <c r="AJ57" s="76"/>
      <c r="AK57" s="76"/>
      <c r="AL57" s="76"/>
    </row>
    <row r="58" spans="1:122">
      <c r="C58" s="31" t="s">
        <v>135</v>
      </c>
      <c r="D58" s="37"/>
      <c r="E58" s="37"/>
      <c r="F58" s="37"/>
      <c r="G58" s="37"/>
      <c r="H58" s="37"/>
      <c r="I58" s="37"/>
      <c r="J58" s="37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 t="s">
        <v>164</v>
      </c>
      <c r="V58" s="93" t="s">
        <v>164</v>
      </c>
      <c r="W58" s="93" t="s">
        <v>164</v>
      </c>
      <c r="X58" s="93" t="s">
        <v>164</v>
      </c>
      <c r="Y58" s="93" t="s">
        <v>164</v>
      </c>
      <c r="Z58" s="93" t="s">
        <v>164</v>
      </c>
      <c r="AA58" s="93" t="s">
        <v>164</v>
      </c>
      <c r="AB58" s="93" t="s">
        <v>164</v>
      </c>
      <c r="AC58" s="93" t="s">
        <v>164</v>
      </c>
      <c r="AD58" s="93"/>
      <c r="AE58" s="93" t="s">
        <v>164</v>
      </c>
      <c r="AF58" s="93" t="s">
        <v>164</v>
      </c>
      <c r="AG58" s="93"/>
      <c r="AH58" s="93"/>
      <c r="AI58" s="93"/>
      <c r="AJ58" s="93"/>
      <c r="AK58" s="93"/>
      <c r="AL58" s="93"/>
    </row>
    <row r="59" spans="1:122">
      <c r="C59" s="31" t="s">
        <v>75</v>
      </c>
      <c r="D59" s="37"/>
      <c r="E59" s="37"/>
      <c r="F59" s="37"/>
      <c r="G59" s="37"/>
      <c r="H59" s="37"/>
      <c r="I59" s="37"/>
      <c r="J59" s="37"/>
      <c r="K59" s="37"/>
      <c r="L59" s="94"/>
      <c r="M59" s="94"/>
      <c r="N59" s="94"/>
      <c r="O59" s="94"/>
      <c r="P59" s="94"/>
      <c r="Q59" s="94"/>
      <c r="R59" s="94"/>
      <c r="S59" s="94"/>
      <c r="T59" s="94"/>
      <c r="U59" s="94">
        <f t="shared" ref="U59" si="46">U55/U37</f>
        <v>-0.11414431419824565</v>
      </c>
      <c r="V59" s="94">
        <f t="shared" ref="V59:AA59" si="47">V55/V37</f>
        <v>-0.11178298013979809</v>
      </c>
      <c r="W59" s="94">
        <f t="shared" si="47"/>
        <v>-0.61577202955172505</v>
      </c>
      <c r="X59" s="94">
        <f t="shared" si="47"/>
        <v>-10.046532295332554</v>
      </c>
      <c r="Y59" s="94">
        <f t="shared" si="47"/>
        <v>-5.8787593416562265</v>
      </c>
      <c r="Z59" s="94">
        <f t="shared" si="47"/>
        <v>-3.3398672883343119</v>
      </c>
      <c r="AA59" s="94">
        <f t="shared" si="47"/>
        <v>-3.8519941078883977</v>
      </c>
      <c r="AB59" s="94">
        <f>AB55/AB37</f>
        <v>-5.0744131865571651</v>
      </c>
      <c r="AC59" s="94">
        <f>AC55/AC37</f>
        <v>-6.8100520715417723</v>
      </c>
      <c r="AD59" s="94"/>
      <c r="AE59" s="94">
        <f>AE55/AE37</f>
        <v>-9.2626544272381057</v>
      </c>
      <c r="AF59" s="94">
        <f>AF55/AF37</f>
        <v>18.227688781325867</v>
      </c>
      <c r="AG59" s="94"/>
      <c r="AH59" s="94"/>
      <c r="AI59" s="94"/>
      <c r="AJ59" s="94"/>
      <c r="AK59" s="94"/>
      <c r="AL59" s="94"/>
      <c r="AM59" s="95"/>
      <c r="AN59" s="95"/>
      <c r="AO59" s="95"/>
      <c r="AP59" s="95"/>
    </row>
    <row r="60" spans="1:122">
      <c r="C60" s="31" t="s">
        <v>74</v>
      </c>
      <c r="D60" s="37"/>
      <c r="E60" s="37"/>
      <c r="F60" s="37"/>
      <c r="G60" s="37"/>
      <c r="H60" s="37"/>
      <c r="I60" s="37"/>
      <c r="J60" s="37"/>
      <c r="K60" s="37"/>
      <c r="L60" s="94"/>
      <c r="M60" s="94"/>
      <c r="N60" s="94"/>
      <c r="O60" s="94"/>
      <c r="P60" s="94"/>
      <c r="Q60" s="94"/>
      <c r="R60" s="94"/>
      <c r="S60" s="94"/>
      <c r="T60" s="94"/>
      <c r="U60" s="94">
        <f t="shared" ref="U60:W60" si="48">(U55-U33)/U37</f>
        <v>3.3964754215376809</v>
      </c>
      <c r="V60" s="94">
        <f t="shared" si="48"/>
        <v>5.6987268390103196</v>
      </c>
      <c r="W60" s="94">
        <f t="shared" si="48"/>
        <v>9.0644916399726014</v>
      </c>
      <c r="X60" s="94">
        <f t="shared" ref="X60:AC60" si="49">(X55-X33)/X37</f>
        <v>11.22158235872644</v>
      </c>
      <c r="Y60" s="94">
        <f t="shared" si="49"/>
        <v>-1.8494362607456036</v>
      </c>
      <c r="Z60" s="94">
        <f t="shared" si="49"/>
        <v>-0.83328995540749207</v>
      </c>
      <c r="AA60" s="94">
        <f t="shared" si="49"/>
        <v>-0.45666770291903525</v>
      </c>
      <c r="AB60" s="94">
        <f t="shared" si="49"/>
        <v>-1.8128060263653478</v>
      </c>
      <c r="AC60" s="94">
        <f t="shared" si="49"/>
        <v>-1.3692642064749836</v>
      </c>
      <c r="AD60" s="94"/>
      <c r="AE60" s="94">
        <f>(AE55-AE33)/AE37</f>
        <v>-2.9227426516218218</v>
      </c>
      <c r="AF60" s="94">
        <f>(AF55-AF33)/AF37</f>
        <v>8.8236826009578646</v>
      </c>
      <c r="AG60" s="94"/>
      <c r="AH60" s="94"/>
      <c r="AI60" s="94"/>
      <c r="AJ60" s="94"/>
      <c r="AK60" s="94"/>
      <c r="AL60" s="94"/>
      <c r="AM60" s="95"/>
      <c r="AN60" s="95"/>
      <c r="AO60" s="95"/>
      <c r="AP60" s="95"/>
    </row>
    <row r="61" spans="1:122" s="28" customFormat="1">
      <c r="B61" s="31"/>
      <c r="C61" s="31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</row>
    <row r="62" spans="1:122">
      <c r="C62" s="31" t="s">
        <v>136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>
        <f t="shared" ref="U62" si="50">U56/U34</f>
        <v>24.527579081227149</v>
      </c>
      <c r="V62" s="16">
        <f t="shared" ref="V62:AA62" si="51">V56/V34</f>
        <v>15.891589645758643</v>
      </c>
      <c r="W62" s="16">
        <f t="shared" si="51"/>
        <v>8.8125765753832912</v>
      </c>
      <c r="X62" s="16">
        <f t="shared" si="51"/>
        <v>13.317351083032486</v>
      </c>
      <c r="Y62" s="16">
        <f t="shared" si="51"/>
        <v>6.3663955623112312</v>
      </c>
      <c r="Z62" s="16">
        <f t="shared" si="51"/>
        <v>0.58897218579341937</v>
      </c>
      <c r="AA62" s="16">
        <f t="shared" si="51"/>
        <v>1.4177233284567183</v>
      </c>
      <c r="AB62" s="16">
        <f>AB56/AB34</f>
        <v>-1.1377371864332204</v>
      </c>
      <c r="AC62" s="16">
        <f>AC56/AC34</f>
        <v>-0.79216031939439435</v>
      </c>
      <c r="AD62" s="16"/>
      <c r="AE62" s="16">
        <f>AE56/AE34</f>
        <v>-2.0032133729977315</v>
      </c>
      <c r="AF62" s="16">
        <f>AF56/AF34</f>
        <v>-1.6441489691909301</v>
      </c>
      <c r="AG62" s="16"/>
      <c r="AH62" s="16"/>
      <c r="AI62" s="16"/>
      <c r="AJ62" s="16"/>
      <c r="AK62" s="16"/>
      <c r="AL62" s="16"/>
    </row>
    <row r="63" spans="1:122" s="34" customFormat="1">
      <c r="B63" s="34" t="s">
        <v>137</v>
      </c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>
        <f t="shared" ref="U63:Z63" si="52">U8/U62</f>
        <v>1.0535079680887605</v>
      </c>
      <c r="V63" s="79">
        <f t="shared" si="52"/>
        <v>2.3515583294698148</v>
      </c>
      <c r="W63" s="79">
        <f t="shared" si="52"/>
        <v>3.1523130338066592</v>
      </c>
      <c r="X63" s="79">
        <f t="shared" si="52"/>
        <v>0.85152069126180718</v>
      </c>
      <c r="Y63" s="79">
        <f t="shared" si="52"/>
        <v>4.3352631374950583</v>
      </c>
      <c r="Z63" s="79">
        <f t="shared" si="52"/>
        <v>24.636137919574608</v>
      </c>
      <c r="AA63" s="79">
        <f>AA8/AA62</f>
        <v>13.500518483274945</v>
      </c>
      <c r="AB63" s="328">
        <f>AB8/AB62</f>
        <v>-26.851543892815474</v>
      </c>
      <c r="AC63" s="328">
        <f>AC8/AC62</f>
        <v>-128.93854627569064</v>
      </c>
      <c r="AD63" s="328"/>
      <c r="AE63" s="328">
        <f>AE8/AE62</f>
        <v>-53.114661390651818</v>
      </c>
      <c r="AF63" s="328">
        <f>AF8/AF62</f>
        <v>-64.714330631705721</v>
      </c>
      <c r="AG63" s="79"/>
      <c r="AH63" s="79"/>
      <c r="AI63" s="79"/>
      <c r="AJ63" s="79"/>
      <c r="AK63" s="79"/>
      <c r="AL63" s="79"/>
    </row>
    <row r="64" spans="1:122" s="28" customFormat="1">
      <c r="B64" s="31"/>
      <c r="C64" s="31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</row>
    <row r="65" spans="1:42" s="34" customFormat="1">
      <c r="B65" s="34" t="s">
        <v>177</v>
      </c>
      <c r="L65" s="15"/>
      <c r="M65" s="96"/>
      <c r="N65" s="96"/>
      <c r="O65" s="96"/>
      <c r="P65" s="96"/>
      <c r="Q65" s="96"/>
      <c r="R65" s="96"/>
      <c r="S65" s="96"/>
      <c r="T65" s="96"/>
      <c r="U65" s="96">
        <f t="shared" ref="U65:Z65" si="53">(U33-U55)/U34</f>
        <v>17.018280082657764</v>
      </c>
      <c r="V65" s="96">
        <f t="shared" si="53"/>
        <v>13.515146531592277</v>
      </c>
      <c r="W65" s="96">
        <f t="shared" si="53"/>
        <v>5.403556409152622</v>
      </c>
      <c r="X65" s="96">
        <f t="shared" si="53"/>
        <v>9.7126579422382679</v>
      </c>
      <c r="Y65" s="96">
        <f t="shared" si="53"/>
        <v>-4.2257338571174738</v>
      </c>
      <c r="Z65" s="96">
        <f t="shared" si="53"/>
        <v>-3.2900918005832955</v>
      </c>
      <c r="AA65" s="96">
        <f>(AA33-AA55)/AA34</f>
        <v>-1.4042862088605461</v>
      </c>
      <c r="AB65" s="96">
        <f>(AB33-AB55)/AB34</f>
        <v>-3.8036271498521277</v>
      </c>
      <c r="AC65" s="96">
        <f>(AC33-AC55)/AC34</f>
        <v>-2.4122253708752037</v>
      </c>
      <c r="AD65" s="96"/>
      <c r="AE65" s="96">
        <f>(AE33-AE55)/AE34</f>
        <v>-3.6616303044761098</v>
      </c>
      <c r="AF65" s="96">
        <f>(AF33-AF55)/AF34</f>
        <v>-3.7559746263036002</v>
      </c>
      <c r="AG65" s="96"/>
      <c r="AH65" s="96"/>
      <c r="AI65" s="96"/>
      <c r="AJ65" s="96"/>
      <c r="AK65" s="96"/>
      <c r="AL65" s="96"/>
      <c r="AM65" s="96"/>
      <c r="AN65" s="96"/>
      <c r="AO65" s="96"/>
      <c r="AP65" s="96"/>
    </row>
    <row r="67" spans="1:42">
      <c r="A67" s="31" t="str">
        <f>IS!A79</f>
        <v>Source: Company reports, Wells Fargo Securities, LLC estimates.</v>
      </c>
      <c r="B67" s="34"/>
      <c r="AF67" s="102"/>
      <c r="AG67" s="102"/>
      <c r="AH67" s="102"/>
      <c r="AI67" s="102"/>
      <c r="AJ67" s="102"/>
      <c r="AK67" s="102"/>
      <c r="AL67" s="102"/>
      <c r="AM67" s="102"/>
      <c r="AN67" s="102"/>
    </row>
    <row r="69" spans="1:42">
      <c r="A69" s="1"/>
    </row>
    <row r="70" spans="1:42">
      <c r="M70" s="97"/>
    </row>
    <row r="71" spans="1:42">
      <c r="B71" s="31" t="s">
        <v>172</v>
      </c>
      <c r="M71" s="97"/>
      <c r="U71" s="31">
        <f t="shared" ref="U71:V71" si="54">U36/U11</f>
        <v>2.2269347136952771</v>
      </c>
      <c r="V71" s="31">
        <f t="shared" si="54"/>
        <v>8.0016230320281529</v>
      </c>
      <c r="W71" s="31">
        <f>W36/W11</f>
        <v>9.456506868804663</v>
      </c>
      <c r="X71" s="31">
        <f>X36/X11</f>
        <v>0.55338597286645896</v>
      </c>
      <c r="Y71" s="31">
        <f>Y36/Y11</f>
        <v>8.6293764535544994</v>
      </c>
      <c r="Z71" s="31">
        <f t="shared" ref="Z71:AA71" si="55">Z36/Z11</f>
        <v>4.0458821723636262</v>
      </c>
      <c r="AA71" s="31">
        <f t="shared" si="55"/>
        <v>4.0774969944037398</v>
      </c>
      <c r="AB71" s="31">
        <f t="shared" ref="AB71:AF71" si="56">AB36/AB11</f>
        <v>5.705693178496813</v>
      </c>
      <c r="AC71" s="31">
        <f t="shared" si="56"/>
        <v>13.34686551000437</v>
      </c>
      <c r="AE71" s="31">
        <f t="shared" si="56"/>
        <v>10.973492312099228</v>
      </c>
      <c r="AF71" s="31">
        <f t="shared" si="56"/>
        <v>7.8687518444811353</v>
      </c>
    </row>
    <row r="72" spans="1:42" s="34" customFormat="1">
      <c r="B72" s="34" t="s">
        <v>173</v>
      </c>
      <c r="R72" s="98"/>
      <c r="S72" s="98"/>
      <c r="T72" s="98"/>
      <c r="U72" s="98">
        <f t="shared" ref="U72:W72" si="57">U22/U36</f>
        <v>-0.71098775006558856</v>
      </c>
      <c r="V72" s="98">
        <f t="shared" si="57"/>
        <v>-0.12738619718958102</v>
      </c>
      <c r="W72" s="98">
        <f t="shared" si="57"/>
        <v>-3.2483101915587981E-2</v>
      </c>
      <c r="X72" s="98">
        <f>X22/X36</f>
        <v>-0.8829515108995678</v>
      </c>
      <c r="Y72" s="98">
        <f>Y22/Y36</f>
        <v>-8.809473685646943E-2</v>
      </c>
      <c r="Z72" s="98">
        <f t="shared" ref="Z72:AA72" si="58">Z22/Z36</f>
        <v>-0.21273846879743608</v>
      </c>
      <c r="AA72" s="98">
        <f t="shared" si="58"/>
        <v>-0.15023333751649584</v>
      </c>
      <c r="AB72" s="98">
        <f t="shared" ref="AB72:AF72" si="59">AB22/AB36</f>
        <v>-6.520492684796847E-2</v>
      </c>
      <c r="AC72" s="98">
        <f t="shared" si="59"/>
        <v>-1.7781928649263212E-2</v>
      </c>
      <c r="AD72" s="98"/>
      <c r="AE72" s="98">
        <f t="shared" si="59"/>
        <v>-1.2069670040343813E-2</v>
      </c>
      <c r="AF72" s="98">
        <f t="shared" si="59"/>
        <v>-1.1772216199388173E-3</v>
      </c>
      <c r="AG72" s="98"/>
      <c r="AH72" s="98"/>
      <c r="AI72" s="98"/>
      <c r="AJ72" s="98"/>
      <c r="AK72" s="98"/>
      <c r="AL72" s="98"/>
    </row>
    <row r="74" spans="1:42">
      <c r="B74" s="31" t="s">
        <v>182</v>
      </c>
      <c r="O74" s="99"/>
      <c r="P74" s="99"/>
      <c r="Q74" s="99"/>
      <c r="R74" s="99"/>
      <c r="S74" s="99"/>
      <c r="T74" s="99"/>
      <c r="U74" s="99"/>
      <c r="V74" s="99">
        <f>IS!K45</f>
        <v>0.81852654387865642</v>
      </c>
      <c r="W74" s="99">
        <f>IS!P45</f>
        <v>1.3651518661944637</v>
      </c>
      <c r="X74" s="99">
        <f>IS!U45</f>
        <v>0.33751603498542293</v>
      </c>
      <c r="Y74" s="99">
        <f>IS!Z45</f>
        <v>0.30315279182506183</v>
      </c>
      <c r="Z74" s="99">
        <f>IS!AE45</f>
        <v>0.20308949747492999</v>
      </c>
      <c r="AA74" s="99">
        <f>IS!AJ45</f>
        <v>0.2545057370010988</v>
      </c>
      <c r="AB74" s="99">
        <f>IS!AO45</f>
        <v>0.3104328767900586</v>
      </c>
      <c r="AC74" s="99">
        <f>IS!AT45</f>
        <v>0.32882238002966102</v>
      </c>
      <c r="AD74" s="99"/>
      <c r="AE74" s="99">
        <f>IS!AY45</f>
        <v>0.32372801724408284</v>
      </c>
      <c r="AF74" s="99">
        <f>IS!BD45</f>
        <v>0.40936115563072017</v>
      </c>
      <c r="AG74" s="99"/>
      <c r="AH74" s="99"/>
      <c r="AI74" s="99"/>
      <c r="AJ74" s="99"/>
      <c r="AK74" s="99"/>
      <c r="AL74" s="99"/>
    </row>
    <row r="75" spans="1:42"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  <c r="AA75" s="99"/>
      <c r="AB75" s="99"/>
      <c r="AC75" s="99"/>
      <c r="AD75" s="99"/>
      <c r="AE75" s="99"/>
      <c r="AF75" s="99"/>
      <c r="AG75" s="99"/>
      <c r="AH75" s="99"/>
      <c r="AI75" s="99"/>
      <c r="AJ75" s="99"/>
      <c r="AK75" s="99"/>
      <c r="AL75" s="99"/>
    </row>
    <row r="76" spans="1:42"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  <c r="AA76" s="99"/>
      <c r="AB76" s="99"/>
      <c r="AC76" s="99"/>
      <c r="AD76" s="99"/>
      <c r="AE76" s="99"/>
      <c r="AF76" s="99"/>
      <c r="AG76" s="99"/>
      <c r="AH76" s="99"/>
      <c r="AI76" s="99"/>
      <c r="AJ76" s="99"/>
      <c r="AK76" s="99"/>
      <c r="AL76" s="99"/>
    </row>
    <row r="77" spans="1:42"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  <c r="AA77" s="99"/>
      <c r="AB77" s="99"/>
      <c r="AC77" s="99"/>
      <c r="AD77" s="99"/>
      <c r="AE77" s="99"/>
      <c r="AF77" s="99"/>
      <c r="AG77" s="99"/>
      <c r="AH77" s="99"/>
      <c r="AI77" s="99"/>
      <c r="AJ77" s="99"/>
      <c r="AK77" s="99"/>
      <c r="AL77" s="99"/>
    </row>
    <row r="78" spans="1:42">
      <c r="B78" s="34"/>
    </row>
    <row r="79" spans="1:42">
      <c r="S79" s="105"/>
    </row>
    <row r="80" spans="1:42">
      <c r="B80" s="104"/>
      <c r="S80" s="106"/>
    </row>
    <row r="81" spans="2:20">
      <c r="B81" s="104"/>
      <c r="S81" s="105"/>
    </row>
    <row r="82" spans="2:20">
      <c r="B82" s="104"/>
      <c r="M82" s="24"/>
      <c r="S82" s="107"/>
    </row>
    <row r="83" spans="2:20">
      <c r="B83" s="104"/>
      <c r="M83" s="24"/>
      <c r="S83" s="107"/>
    </row>
    <row r="84" spans="2:20">
      <c r="B84" s="104"/>
      <c r="M84" s="24"/>
      <c r="S84" s="105"/>
    </row>
    <row r="85" spans="2:20">
      <c r="B85" s="104"/>
      <c r="M85" s="24"/>
      <c r="S85" s="105"/>
    </row>
    <row r="86" spans="2:20">
      <c r="B86" s="104"/>
      <c r="M86" s="24"/>
      <c r="S86" s="105"/>
      <c r="T86" s="320"/>
    </row>
    <row r="87" spans="2:20">
      <c r="B87" s="104"/>
      <c r="M87" s="37"/>
      <c r="S87" s="105"/>
    </row>
    <row r="88" spans="2:20">
      <c r="B88" s="104"/>
      <c r="S88" s="105"/>
    </row>
    <row r="89" spans="2:20">
      <c r="B89" s="104"/>
      <c r="S89" s="108"/>
    </row>
    <row r="90" spans="2:20">
      <c r="B90" s="109"/>
      <c r="S90" s="44">
        <v>21</v>
      </c>
    </row>
  </sheetData>
  <dataConsolidate/>
  <printOptions horizontalCentered="1" verticalCentered="1"/>
  <pageMargins left="0.5" right="0.5" top="0.5" bottom="0.5" header="0.5" footer="0.5"/>
  <pageSetup scale="83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771451734"><![CDATA[{"MYGN^FE_ESTIMATE(EPS_NONGAAP,MEAN,ANN_ROLL,2024,NOW,,,'')":0.030833334,"MYGN^FE_ESTIMATE(EPS_NONGAAP,MEAN,ANN_ROLL,2025,NOW,,,'')":0.21583334,"MYGN^FE_ESTIMATE(EPS_NONGAAP,MEAN,ANN_ROLL,2023,NOW,,,'')":-0.27,"MYGN^FE_ESTIMATE(EPS_NONGAAP,MEAN,ANN_ROLL,2022,NOW,,,'')":-0.3,"MYGN-US^FG_PRICE(45454)":22.47,"MYGN-US^FG_PRICE(45460)":24.03}]]></FdsFormulaCache>
</file>

<file path=customXml/itemProps1.xml><?xml version="1.0" encoding="utf-8"?>
<ds:datastoreItem xmlns:ds="http://schemas.openxmlformats.org/officeDocument/2006/customXml" ds:itemID="{40631A9F-2D99-4EC6-96FB-004D92E78788}">
  <ds:schemaRefs>
    <ds:schemaRef ds:uri="urn:fdsformulacach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Disclaimer</vt:lpstr>
      <vt:lpstr>IS</vt:lpstr>
      <vt:lpstr>Rev</vt:lpstr>
      <vt:lpstr>BS</vt:lpstr>
      <vt:lpstr>CF</vt:lpstr>
      <vt:lpstr>Other Accts</vt:lpstr>
      <vt:lpstr>Valuation</vt:lpstr>
      <vt:lpstr>BS!Print_Area</vt:lpstr>
      <vt:lpstr>CF!Print_Area</vt:lpstr>
      <vt:lpstr>IS!Print_Area</vt:lpstr>
      <vt:lpstr>'Other Accts'!Print_Area</vt:lpstr>
      <vt:lpstr>Rev!Print_Area</vt:lpstr>
      <vt:lpstr>Valuation!Print_Area</vt:lpstr>
    </vt:vector>
  </TitlesOfParts>
  <Company>Wells Fargo Securities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bcouillard</dc:creator>
  <cp:lastModifiedBy>Yuuji Anderson</cp:lastModifiedBy>
  <cp:lastPrinted>2026-02-20T04:32:52Z</cp:lastPrinted>
  <dcterms:created xsi:type="dcterms:W3CDTF">2009-08-31T18:14:21Z</dcterms:created>
  <dcterms:modified xsi:type="dcterms:W3CDTF">2026-03-19T21:24:32Z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d">
    <vt:lpwstr>63cb3003-8e7f-43a5-900f-343de5bd010a</vt:lpwstr>
  </property>
  <property fmtid="{D5CDD505-2E9C-101B-9397-08002B2CF9AE}" pid="3" name="=fdsSearchOrder">
    <vt:i4>0</vt:i4>
  </property>
  <property fmtid="{D5CDD505-2E9C-101B-9397-08002B2CF9AE}" pid="4" name="MSIP_Label_a21bb3d6-6588-4f45-8c90-d60eacca64f6_Enabled">
    <vt:lpwstr>true</vt:lpwstr>
  </property>
  <property fmtid="{D5CDD505-2E9C-101B-9397-08002B2CF9AE}" pid="5" name="MSIP_Label_a21bb3d6-6588-4f45-8c90-d60eacca64f6_SetDate">
    <vt:lpwstr>2025-03-21T15:29:58Z</vt:lpwstr>
  </property>
  <property fmtid="{D5CDD505-2E9C-101B-9397-08002B2CF9AE}" pid="6" name="MSIP_Label_a21bb3d6-6588-4f45-8c90-d60eacca64f6_Method">
    <vt:lpwstr>Privileged</vt:lpwstr>
  </property>
  <property fmtid="{D5CDD505-2E9C-101B-9397-08002B2CF9AE}" pid="7" name="MSIP_Label_a21bb3d6-6588-4f45-8c90-d60eacca64f6_Name">
    <vt:lpwstr>Proprietary External</vt:lpwstr>
  </property>
  <property fmtid="{D5CDD505-2E9C-101B-9397-08002B2CF9AE}" pid="8" name="MSIP_Label_a21bb3d6-6588-4f45-8c90-d60eacca64f6_SiteId">
    <vt:lpwstr>e122af3c-4c68-4e49-9c52-4ae1e25e91ae</vt:lpwstr>
  </property>
  <property fmtid="{D5CDD505-2E9C-101B-9397-08002B2CF9AE}" pid="9" name="MSIP_Label_a21bb3d6-6588-4f45-8c90-d60eacca64f6_ActionId">
    <vt:lpwstr>1e30b755-fdda-4380-a01d-476eca1c9327</vt:lpwstr>
  </property>
  <property fmtid="{D5CDD505-2E9C-101B-9397-08002B2CF9AE}" pid="10" name="MSIP_Label_a21bb3d6-6588-4f45-8c90-d60eacca64f6_ContentBits">
    <vt:lpwstr>0</vt:lpwstr>
  </property>
</Properties>
</file>