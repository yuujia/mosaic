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ji\Dropbox\Kaissa Consumer\Mosaic\buckets\CANCER\"/>
    </mc:Choice>
  </mc:AlternateContent>
  <xr:revisionPtr revIDLastSave="0" documentId="13_ncr:1_{27BA4F69-68F5-4DCD-BE59-A4FF570C9C52}" xr6:coauthVersionLast="47" xr6:coauthVersionMax="47" xr10:uidLastSave="{00000000-0000-0000-0000-000000000000}"/>
  <bookViews>
    <workbookView xWindow="21600" yWindow="-16200" windowWidth="19410" windowHeight="15585" activeTab="2" xr2:uid="{30DE43AD-F492-43CF-BD64-FB4AD4D1959C}"/>
  </bookViews>
  <sheets>
    <sheet name="TEM" sheetId="17" r:id="rId1"/>
    <sheet name="ADPT" sheetId="13" r:id="rId2"/>
    <sheet name="VCYT" sheetId="8" r:id="rId3"/>
    <sheet name="NEO" sheetId="14" r:id="rId4"/>
    <sheet name="NTRA" sheetId="16" r:id="rId5"/>
    <sheet name="GH" sheetId="15" r:id="rId6"/>
  </sheets>
  <definedNames>
    <definedName name="KPI_BLOCK" localSheetId="1">_xlfn.LET(   _xlpm.d, ADPT!$L$5:$O$5,   _xlpm.v, ADPT!$L$8:$O$8,   _xlpm.yy,ADPT!$L$9:$O$9,   _xlpm.qq,ADPT!$L$10:$O$10,   _xlpm.dyy,ADPT!$L$11:$O$11,   _xlpm.dqq,ADPT!$L$12:$O$12,   _xlpm.dd, TRANSPOSE(_xlpm.d),    _xlpm.block, _xlfn.HSTACK(     _xlfn.MAKEARRAY(ROWS(_xlpm.dd),1, _xlfn.LAMBDA(_xlpm.r,_xlpm.c,ADPT!$B$2)),     _xlpm.dd,     _xlfn.MAKEARRAY(ROWS(_xlpm.dd),1, _xlfn.LAMBDA(_xlpm.r,_xlpm.c,ADPT!$A$8)),     _xlfn.MAKEARRAY(ROWS(_xlpm.dd),1, _xlfn.LAMBDA(_xlpm.r,_xlpm.c,ADPT!$B$8)),     TRANSPOSE(_xlpm.v),     TRANSPOSE(_xlpm.yy),     TRANSPOSE(_xlpm.qq),     TRANSPOSE(_xlpm.dyy),     TRANSPOSE(_xlpm.dqq)   ),    _xlfn._xlws.FILTER(_xlpm.block, INDEX(_xlpm.block,,5) &lt;&gt; "") )</definedName>
    <definedName name="KPI_BLOCK" localSheetId="5">_xlfn.LET(   _xlpm.d, GH!$L$5:$O$5,   _xlpm.v, GH!$L$8:$O$8,   _xlpm.yy,GH!$L$9:$O$9,   _xlpm.qq,GH!$L$10:$O$10,   _xlpm.dyy,GH!$L$11:$O$11,   _xlpm.dqq,GH!$L$12:$O$12,   _xlpm.dd, TRANSPOSE(_xlpm.d),    _xlpm.block, _xlfn.HSTACK(     _xlfn.MAKEARRAY(ROWS(_xlpm.dd),1, _xlfn.LAMBDA(_xlpm.r,_xlpm.c,GH!$B$2)),     _xlpm.dd,     _xlfn.MAKEARRAY(ROWS(_xlpm.dd),1, _xlfn.LAMBDA(_xlpm.r,_xlpm.c,GH!$A$8)),     _xlfn.MAKEARRAY(ROWS(_xlpm.dd),1, _xlfn.LAMBDA(_xlpm.r,_xlpm.c,GH!$B$8)),     TRANSPOSE(_xlpm.v),     TRANSPOSE(_xlpm.yy),     TRANSPOSE(_xlpm.qq),     TRANSPOSE(_xlpm.dyy),     TRANSPOSE(_xlpm.dqq)   ),    _xlfn._xlws.FILTER(_xlpm.block, INDEX(_xlpm.block,,5) &lt;&gt; "") )</definedName>
    <definedName name="KPI_BLOCK" localSheetId="3">_xlfn.LET(   _xlpm.d, NEO!$L$5:$O$5,   _xlpm.v, NEO!$L$8:$O$8,   _xlpm.yy,NEO!$L$9:$O$9,   _xlpm.qq,NEO!$L$10:$O$10,   _xlpm.dyy,NEO!$L$11:$O$11,   _xlpm.dqq,NEO!$L$12:$O$12,   _xlpm.dd, TRANSPOSE(_xlpm.d),    _xlpm.block, _xlfn.HSTACK(     _xlfn.MAKEARRAY(ROWS(_xlpm.dd),1, _xlfn.LAMBDA(_xlpm.r,_xlpm.c,NEO!$B$2)),     _xlpm.dd,     _xlfn.MAKEARRAY(ROWS(_xlpm.dd),1, _xlfn.LAMBDA(_xlpm.r,_xlpm.c,NEO!$A$8)),     _xlfn.MAKEARRAY(ROWS(_xlpm.dd),1, _xlfn.LAMBDA(_xlpm.r,_xlpm.c,NEO!$B$8)),     TRANSPOSE(_xlpm.v),     TRANSPOSE(_xlpm.yy),     TRANSPOSE(_xlpm.qq),     TRANSPOSE(_xlpm.dyy),     TRANSPOSE(_xlpm.dqq)   ),    _xlfn._xlws.FILTER(_xlpm.block, INDEX(_xlpm.block,,5) &lt;&gt; "") )</definedName>
    <definedName name="KPI_BLOCK" localSheetId="4">_xlfn.LET(   _xlpm.d, NTRA!$L$5:$O$5,   _xlpm.v, NTRA!$L$8:$O$8,   _xlpm.yy,NTRA!$L$9:$O$9,   _xlpm.qq,NTRA!$L$10:$O$10,   _xlpm.dyy,NTRA!$L$11:$O$11,   _xlpm.dqq,NTRA!$L$12:$O$12,   _xlpm.dd, TRANSPOSE(_xlpm.d),    _xlpm.block, _xlfn.HSTACK(     _xlfn.MAKEARRAY(ROWS(_xlpm.dd),1, _xlfn.LAMBDA(_xlpm.r,_xlpm.c,NTRA!$B$2)),     _xlpm.dd,     _xlfn.MAKEARRAY(ROWS(_xlpm.dd),1, _xlfn.LAMBDA(_xlpm.r,_xlpm.c,NTRA!$A$8)),     _xlfn.MAKEARRAY(ROWS(_xlpm.dd),1, _xlfn.LAMBDA(_xlpm.r,_xlpm.c,NTRA!$B$8)),     TRANSPOSE(_xlpm.v),     TRANSPOSE(_xlpm.yy),     TRANSPOSE(_xlpm.qq),     TRANSPOSE(_xlpm.dyy),     TRANSPOSE(_xlpm.dqq)   ),    _xlfn._xlws.FILTER(_xlpm.block, INDEX(_xlpm.block,,5) &lt;&gt; "") )</definedName>
    <definedName name="KPI_BLOCK" localSheetId="0">_xlfn.LET(   _xlpm.d, TEM!$L$5:$O$5,   _xlpm.v, TEM!$L$8:$O$8,   _xlpm.yy,TEM!$L$9:$O$9,   _xlpm.qq,TEM!$L$10:$O$10,   _xlpm.dyy,TEM!$L$11:$O$11,   _xlpm.dqq,TEM!$L$12:$O$12,   _xlpm.dd, TRANSPOSE(_xlpm.d),    _xlpm.block, _xlfn.HSTACK(     _xlfn.MAKEARRAY(ROWS(_xlpm.dd),1, _xlfn.LAMBDA(_xlpm.r,_xlpm.c,TEM!$B$2)),     _xlpm.dd,     _xlfn.MAKEARRAY(ROWS(_xlpm.dd),1, _xlfn.LAMBDA(_xlpm.r,_xlpm.c,TEM!$A$8)),     _xlfn.MAKEARRAY(ROWS(_xlpm.dd),1, _xlfn.LAMBDA(_xlpm.r,_xlpm.c,TEM!$B$8)),     TRANSPOSE(_xlpm.v),     TRANSPOSE(_xlpm.yy),     TRANSPOSE(_xlpm.qq),     TRANSPOSE(_xlpm.dyy),     TRANSPOSE(_xlpm.dqq)   ),    _xlfn._xlws.FILTER(_xlpm.block, INDEX(_xlpm.block,,5) &lt;&gt; "") )</definedName>
    <definedName name="KPI_BLOCK" localSheetId="2">_xlfn.LET(   _xlpm.d, VCYT!$L$5:$O$5,   _xlpm.v, VCYT!$L$8:$O$8,   _xlpm.yy,VCYT!$L$9:$O$9,   _xlpm.qq,VCYT!$L$10:$O$10,   _xlpm.dyy,VCYT!$L$11:$O$11,   _xlpm.dqq,VCYT!$L$12:$O$12,   _xlpm.dd, TRANSPOSE(_xlpm.d),    _xlpm.block, _xlfn.HSTACK(     _xlfn.MAKEARRAY(ROWS(_xlpm.dd),1, _xlfn.LAMBDA(_xlpm.r,_xlpm.c,VCYT!$B$2)),     _xlpm.dd,     _xlfn.MAKEARRAY(ROWS(_xlpm.dd),1, _xlfn.LAMBDA(_xlpm.r,_xlpm.c,VCYT!$A$8)),     _xlfn.MAKEARRAY(ROWS(_xlpm.dd),1, _xlfn.LAMBDA(_xlpm.r,_xlpm.c,VCYT!$B$8)),     TRANSPOSE(_xlpm.v),     TRANSPOSE(_xlpm.yy),     TRANSPOSE(_xlpm.qq),     TRANSPOSE(_xlpm.dyy),     TRANSPOSE(_xlpm.dqq)   ),    _xlfn._xlws.FILTER(_xlpm.block, INDEX(_xlpm.block,,5) &lt;&gt; "") )</definedName>
    <definedName name="KPI_BLOCK">_xlfn.LET(   _xlpm.d,#REF!,   _xlpm.v,#REF!,   _xlpm.yy,#REF!,   _xlpm.qq,#REF!,   _xlpm.dyy,#REF!,   _xlpm.dqq,#REF!,   _xlpm.dd, TRANSPOSE(  _xlpm.d),    _xlpm.block, _xlfn.HSTACK(     _xlfn.MAKEARRAY(ROWS(_xlpm.dd),1, _xlfn.LAMBDA(_xlpm.r,_xlpm.c,#REF!)),     _xlpm.dd,     _xlfn.MAKEARRAY(ROWS(_xlpm.dd),1, _xlfn.LAMBDA(_xlpm.r,_xlpm.c,#REF!)),     _xlfn.MAKEARRAY(ROWS(_xlpm.dd),1, _xlfn.LAMBDA(_xlpm.r,_xlpm.c,#REF!)),     TRANSPOSE(_xlpm.v),     TRANSPOSE(_xlpm.yy),     TRANSPOSE(_xlpm.qq),     TRANSPOSE(_xlpm.dyy),     TRANSPOSE(_xlpm.dqq)   ),    _xlfn._xlws.FILTER(_xlpm.block, INDEX(_xlpm.block,,5) &lt;&gt; "")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4" i="17" l="1" a="1"/>
  <c r="U74" i="17" s="1"/>
  <c r="U66" i="17" a="1"/>
  <c r="U66" i="17" s="1"/>
  <c r="U58" i="17" a="1"/>
  <c r="U58" i="17" s="1"/>
  <c r="U50" i="17" a="1"/>
  <c r="U50" i="17" s="1"/>
  <c r="U42" i="17" a="1"/>
  <c r="U42" i="17" s="1"/>
  <c r="O93" i="17"/>
  <c r="N93" i="17"/>
  <c r="M93" i="17"/>
  <c r="L93" i="17"/>
  <c r="O90" i="17"/>
  <c r="O92" i="17" s="1"/>
  <c r="N90" i="17"/>
  <c r="N92" i="17" s="1"/>
  <c r="M90" i="17"/>
  <c r="M92" i="17" s="1"/>
  <c r="L90" i="17"/>
  <c r="L91" i="17" s="1"/>
  <c r="K90" i="17"/>
  <c r="J90" i="17"/>
  <c r="I90" i="17"/>
  <c r="H90" i="17"/>
  <c r="S93" i="17"/>
  <c r="R93" i="17"/>
  <c r="Q93" i="17"/>
  <c r="P93" i="17"/>
  <c r="S90" i="17"/>
  <c r="R90" i="17"/>
  <c r="Q90" i="17"/>
  <c r="P90" i="17"/>
  <c r="S88" i="17"/>
  <c r="R88" i="17"/>
  <c r="Q88" i="17"/>
  <c r="P88" i="17"/>
  <c r="O88" i="17"/>
  <c r="O86" i="17" s="1"/>
  <c r="N88" i="17"/>
  <c r="N86" i="17" s="1"/>
  <c r="M88" i="17"/>
  <c r="M86" i="17" s="1"/>
  <c r="L88" i="17"/>
  <c r="L86" i="17" s="1"/>
  <c r="K88" i="17"/>
  <c r="J88" i="17"/>
  <c r="I88" i="17"/>
  <c r="H88" i="17"/>
  <c r="G88" i="17"/>
  <c r="F88" i="17"/>
  <c r="E88" i="17"/>
  <c r="D88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S86" i="17"/>
  <c r="R86" i="17"/>
  <c r="Q86" i="17"/>
  <c r="P86" i="17"/>
  <c r="K86" i="17"/>
  <c r="J86" i="17"/>
  <c r="I86" i="17"/>
  <c r="H86" i="17"/>
  <c r="G86" i="17"/>
  <c r="F86" i="17"/>
  <c r="E86" i="17"/>
  <c r="D86" i="17"/>
  <c r="S84" i="17"/>
  <c r="R84" i="17"/>
  <c r="Q84" i="17"/>
  <c r="P84" i="17"/>
  <c r="S81" i="17"/>
  <c r="S83" i="17" s="1"/>
  <c r="R81" i="17"/>
  <c r="R83" i="17" s="1"/>
  <c r="Q81" i="17"/>
  <c r="Q83" i="17" s="1"/>
  <c r="P81" i="17"/>
  <c r="P83" i="17" s="1"/>
  <c r="O81" i="17"/>
  <c r="N81" i="17"/>
  <c r="M81" i="17"/>
  <c r="L81" i="17"/>
  <c r="S75" i="17"/>
  <c r="R75" i="17"/>
  <c r="Q75" i="17"/>
  <c r="P75" i="17"/>
  <c r="S72" i="17"/>
  <c r="S74" i="17" s="1"/>
  <c r="R72" i="17"/>
  <c r="R74" i="17" s="1"/>
  <c r="Q72" i="17"/>
  <c r="Q74" i="17" s="1"/>
  <c r="P72" i="17"/>
  <c r="P73" i="17" s="1"/>
  <c r="O72" i="17"/>
  <c r="N72" i="17"/>
  <c r="M72" i="17"/>
  <c r="L72" i="17"/>
  <c r="S66" i="17"/>
  <c r="R66" i="17"/>
  <c r="Q66" i="17"/>
  <c r="P66" i="17"/>
  <c r="S65" i="17"/>
  <c r="R65" i="17"/>
  <c r="Q65" i="17"/>
  <c r="P65" i="17"/>
  <c r="S64" i="17"/>
  <c r="R64" i="17"/>
  <c r="Q64" i="17"/>
  <c r="P64" i="17"/>
  <c r="S63" i="17"/>
  <c r="R63" i="17"/>
  <c r="Q63" i="17"/>
  <c r="P63" i="17"/>
  <c r="O63" i="17"/>
  <c r="N63" i="17"/>
  <c r="M63" i="17"/>
  <c r="L63" i="17"/>
  <c r="H80" i="17"/>
  <c r="I80" i="17"/>
  <c r="S80" i="17"/>
  <c r="R80" i="17"/>
  <c r="Q80" i="17"/>
  <c r="P80" i="17"/>
  <c r="O80" i="17"/>
  <c r="N80" i="17"/>
  <c r="M80" i="17"/>
  <c r="L80" i="17"/>
  <c r="K80" i="17"/>
  <c r="J80" i="17"/>
  <c r="S79" i="17"/>
  <c r="S77" i="17" s="1"/>
  <c r="R79" i="17"/>
  <c r="R77" i="17" s="1"/>
  <c r="Q79" i="17"/>
  <c r="Q77" i="17" s="1"/>
  <c r="P79" i="17"/>
  <c r="P77" i="17" s="1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S70" i="17"/>
  <c r="S68" i="17" s="1"/>
  <c r="R70" i="17"/>
  <c r="R68" i="17" s="1"/>
  <c r="Q70" i="17"/>
  <c r="Q68" i="17" s="1"/>
  <c r="P70" i="17"/>
  <c r="P68" i="17" s="1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S61" i="17"/>
  <c r="R61" i="17"/>
  <c r="R59" i="17" s="1"/>
  <c r="Q61" i="17"/>
  <c r="Q59" i="17" s="1"/>
  <c r="P61" i="17"/>
  <c r="P59" i="17" s="1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S59" i="17"/>
  <c r="S53" i="17"/>
  <c r="R53" i="17"/>
  <c r="Q53" i="17"/>
  <c r="P53" i="17"/>
  <c r="Q57" i="17" s="1"/>
  <c r="O53" i="17"/>
  <c r="N53" i="17"/>
  <c r="M53" i="17"/>
  <c r="L53" i="17"/>
  <c r="K53" i="17"/>
  <c r="O54" i="17" s="1"/>
  <c r="J53" i="17"/>
  <c r="I53" i="17"/>
  <c r="H53" i="17"/>
  <c r="L54" i="17" s="1"/>
  <c r="G53" i="17"/>
  <c r="F53" i="17"/>
  <c r="E53" i="17"/>
  <c r="D53" i="17"/>
  <c r="S52" i="17"/>
  <c r="R52" i="17"/>
  <c r="Q52" i="17"/>
  <c r="Q50" i="17" s="1"/>
  <c r="P52" i="17"/>
  <c r="P50" i="17" s="1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S50" i="17"/>
  <c r="R50" i="17"/>
  <c r="S48" i="17"/>
  <c r="R48" i="17"/>
  <c r="Q48" i="17"/>
  <c r="P48" i="17"/>
  <c r="O48" i="17"/>
  <c r="N48" i="17"/>
  <c r="M48" i="17"/>
  <c r="L48" i="17"/>
  <c r="S45" i="17"/>
  <c r="R45" i="17"/>
  <c r="Q45" i="17"/>
  <c r="P45" i="17"/>
  <c r="O45" i="17"/>
  <c r="N45" i="17"/>
  <c r="M45" i="17"/>
  <c r="L45" i="17"/>
  <c r="L47" i="17" s="1"/>
  <c r="K45" i="17"/>
  <c r="O47" i="17" s="1"/>
  <c r="J45" i="17"/>
  <c r="N47" i="17" s="1"/>
  <c r="I45" i="17"/>
  <c r="M47" i="17" s="1"/>
  <c r="H45" i="17"/>
  <c r="S43" i="17"/>
  <c r="R43" i="17"/>
  <c r="Q43" i="17"/>
  <c r="P43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S41" i="17"/>
  <c r="R41" i="17"/>
  <c r="Q41" i="17"/>
  <c r="P41" i="17"/>
  <c r="S39" i="17"/>
  <c r="R39" i="17"/>
  <c r="Q39" i="17"/>
  <c r="P39" i="17"/>
  <c r="O39" i="17"/>
  <c r="N39" i="17"/>
  <c r="M39" i="17"/>
  <c r="L39" i="17"/>
  <c r="O38" i="17"/>
  <c r="N38" i="17"/>
  <c r="M38" i="17"/>
  <c r="S36" i="17"/>
  <c r="S38" i="17" s="1"/>
  <c r="R36" i="17"/>
  <c r="Q36" i="17"/>
  <c r="P36" i="17"/>
  <c r="P37" i="17" s="1"/>
  <c r="O36" i="17"/>
  <c r="N36" i="17"/>
  <c r="M36" i="17"/>
  <c r="L36" i="17"/>
  <c r="K36" i="17"/>
  <c r="J36" i="17"/>
  <c r="I36" i="17"/>
  <c r="H36" i="17"/>
  <c r="S34" i="17"/>
  <c r="S32" i="17" s="1"/>
  <c r="R34" i="17"/>
  <c r="R32" i="17" s="1"/>
  <c r="Q34" i="17"/>
  <c r="Q32" i="17" s="1"/>
  <c r="P34" i="17"/>
  <c r="P32" i="17" s="1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S12" i="17"/>
  <c r="R12" i="17"/>
  <c r="Q12" i="17"/>
  <c r="S5" i="17"/>
  <c r="R5" i="17"/>
  <c r="Q5" i="17"/>
  <c r="P5" i="17"/>
  <c r="B4" i="17"/>
  <c r="B3" i="17" s="1"/>
  <c r="S66" i="16"/>
  <c r="R66" i="16"/>
  <c r="Q66" i="16"/>
  <c r="P66" i="16"/>
  <c r="O66" i="16"/>
  <c r="N66" i="16"/>
  <c r="M66" i="16"/>
  <c r="L66" i="16"/>
  <c r="S63" i="16"/>
  <c r="R63" i="16"/>
  <c r="R64" i="16" s="1"/>
  <c r="Q63" i="16"/>
  <c r="P63" i="16"/>
  <c r="O63" i="16"/>
  <c r="N63" i="16"/>
  <c r="N65" i="16" s="1"/>
  <c r="M63" i="16"/>
  <c r="M65" i="16" s="1"/>
  <c r="L63" i="16"/>
  <c r="L65" i="16" s="1"/>
  <c r="K63" i="16"/>
  <c r="J63" i="16"/>
  <c r="I63" i="16"/>
  <c r="H63" i="16"/>
  <c r="K60" i="16"/>
  <c r="J60" i="16"/>
  <c r="I60" i="16"/>
  <c r="H60" i="16"/>
  <c r="D60" i="16"/>
  <c r="S57" i="16"/>
  <c r="R57" i="16"/>
  <c r="Q57" i="16"/>
  <c r="P57" i="16"/>
  <c r="O57" i="16"/>
  <c r="N57" i="16"/>
  <c r="M57" i="16"/>
  <c r="L57" i="16"/>
  <c r="S54" i="16"/>
  <c r="R54" i="16"/>
  <c r="R55" i="16" s="1"/>
  <c r="Q54" i="16"/>
  <c r="P54" i="16"/>
  <c r="O54" i="16"/>
  <c r="N54" i="16"/>
  <c r="M54" i="16"/>
  <c r="M56" i="16" s="1"/>
  <c r="L54" i="16"/>
  <c r="L56" i="16" s="1"/>
  <c r="K54" i="16"/>
  <c r="L55" i="16" s="1"/>
  <c r="J54" i="16"/>
  <c r="I54" i="16"/>
  <c r="H54" i="16"/>
  <c r="S52" i="16"/>
  <c r="S61" i="16" s="1"/>
  <c r="S59" i="16" s="1"/>
  <c r="R52" i="16"/>
  <c r="R61" i="16" s="1"/>
  <c r="R59" i="16" s="1"/>
  <c r="Q52" i="16"/>
  <c r="Q50" i="16" s="1"/>
  <c r="P52" i="16"/>
  <c r="P61" i="16" s="1"/>
  <c r="P59" i="16" s="1"/>
  <c r="S51" i="16"/>
  <c r="S60" i="16" s="1"/>
  <c r="R51" i="16"/>
  <c r="R60" i="16" s="1"/>
  <c r="Q51" i="16"/>
  <c r="Q60" i="16" s="1"/>
  <c r="P51" i="16"/>
  <c r="P60" i="16" s="1"/>
  <c r="O51" i="16"/>
  <c r="O60" i="16" s="1"/>
  <c r="N51" i="16"/>
  <c r="N60" i="16" s="1"/>
  <c r="M51" i="16"/>
  <c r="M60" i="16" s="1"/>
  <c r="L51" i="16"/>
  <c r="L60" i="16" s="1"/>
  <c r="K51" i="16"/>
  <c r="J51" i="16"/>
  <c r="I51" i="16"/>
  <c r="H51" i="16"/>
  <c r="G51" i="16"/>
  <c r="G60" i="16" s="1"/>
  <c r="F51" i="16"/>
  <c r="F60" i="16" s="1"/>
  <c r="E51" i="16"/>
  <c r="E60" i="16" s="1"/>
  <c r="D51" i="16"/>
  <c r="Q30" i="16"/>
  <c r="R30" i="16"/>
  <c r="S30" i="16"/>
  <c r="S25" i="16"/>
  <c r="R25" i="16"/>
  <c r="Q25" i="16"/>
  <c r="P25" i="16"/>
  <c r="S24" i="16"/>
  <c r="R24" i="16"/>
  <c r="Q24" i="16"/>
  <c r="P24" i="16"/>
  <c r="S23" i="16"/>
  <c r="R23" i="16"/>
  <c r="Q23" i="16"/>
  <c r="P23" i="16"/>
  <c r="Q21" i="16"/>
  <c r="R21" i="16"/>
  <c r="S21" i="16"/>
  <c r="P14" i="16"/>
  <c r="Q14" i="16"/>
  <c r="R14" i="16"/>
  <c r="S14" i="16"/>
  <c r="S16" i="16"/>
  <c r="R16" i="16"/>
  <c r="Q16" i="16"/>
  <c r="P16" i="16"/>
  <c r="S15" i="16"/>
  <c r="R15" i="16"/>
  <c r="Q15" i="16"/>
  <c r="P15" i="16"/>
  <c r="D25" i="17" a="1"/>
  <c r="D16" i="17" a="1"/>
  <c r="D16" i="17" l="1"/>
  <c r="D25" i="17"/>
  <c r="D23" i="17" s="1"/>
  <c r="D14" i="17"/>
  <c r="L92" i="17"/>
  <c r="M91" i="17"/>
  <c r="N91" i="17"/>
  <c r="O91" i="17"/>
  <c r="Q91" i="17"/>
  <c r="P91" i="17"/>
  <c r="S92" i="17"/>
  <c r="R92" i="17"/>
  <c r="R91" i="17"/>
  <c r="S91" i="17"/>
  <c r="Q92" i="17"/>
  <c r="P92" i="17"/>
  <c r="R82" i="17"/>
  <c r="P82" i="17"/>
  <c r="Q82" i="17"/>
  <c r="S82" i="17"/>
  <c r="P74" i="17"/>
  <c r="Q73" i="17"/>
  <c r="R73" i="17"/>
  <c r="S73" i="17"/>
  <c r="R57" i="17"/>
  <c r="S57" i="17"/>
  <c r="S54" i="17"/>
  <c r="M46" i="17"/>
  <c r="O46" i="17"/>
  <c r="M54" i="17"/>
  <c r="N54" i="17"/>
  <c r="N46" i="17"/>
  <c r="P46" i="17"/>
  <c r="L46" i="17"/>
  <c r="Q46" i="17"/>
  <c r="R46" i="17"/>
  <c r="S46" i="17"/>
  <c r="P47" i="17"/>
  <c r="Q47" i="17"/>
  <c r="R47" i="17"/>
  <c r="S47" i="17"/>
  <c r="P57" i="17"/>
  <c r="P54" i="17"/>
  <c r="P55" i="17" s="1"/>
  <c r="R37" i="17"/>
  <c r="P38" i="17"/>
  <c r="R38" i="17"/>
  <c r="M57" i="17"/>
  <c r="N57" i="17"/>
  <c r="O57" i="17"/>
  <c r="N37" i="17"/>
  <c r="Q54" i="17"/>
  <c r="Q55" i="17" s="1"/>
  <c r="Q37" i="17"/>
  <c r="S37" i="17"/>
  <c r="Q38" i="17"/>
  <c r="R54" i="17"/>
  <c r="L38" i="17"/>
  <c r="L57" i="17"/>
  <c r="M37" i="17"/>
  <c r="S56" i="17"/>
  <c r="O37" i="17"/>
  <c r="H54" i="17"/>
  <c r="L56" i="17" s="1"/>
  <c r="I54" i="17"/>
  <c r="K54" i="17"/>
  <c r="L37" i="17"/>
  <c r="M56" i="17"/>
  <c r="J54" i="17"/>
  <c r="I70" i="17"/>
  <c r="I68" i="17" s="1"/>
  <c r="K52" i="17"/>
  <c r="K50" i="17" s="1"/>
  <c r="K43" i="17"/>
  <c r="K41" i="17" s="1"/>
  <c r="M34" i="17"/>
  <c r="M32" i="17" s="1"/>
  <c r="H52" i="17"/>
  <c r="H50" i="17" s="1"/>
  <c r="J34" i="17"/>
  <c r="J32" i="17" s="1"/>
  <c r="O12" i="17"/>
  <c r="L12" i="17"/>
  <c r="O70" i="17"/>
  <c r="O68" i="17" s="1"/>
  <c r="H9" i="17"/>
  <c r="N52" i="17"/>
  <c r="N50" i="17" s="1"/>
  <c r="M43" i="17"/>
  <c r="M41" i="17" s="1"/>
  <c r="J70" i="17"/>
  <c r="J68" i="17" s="1"/>
  <c r="H70" i="17"/>
  <c r="H68" i="17" s="1"/>
  <c r="J52" i="17"/>
  <c r="J50" i="17" s="1"/>
  <c r="J43" i="17"/>
  <c r="J41" i="17" s="1"/>
  <c r="L34" i="17"/>
  <c r="L32" i="17" s="1"/>
  <c r="U26" i="17" s="1" a="1"/>
  <c r="U26" i="17" s="1"/>
  <c r="H43" i="17"/>
  <c r="H41" i="17" s="1"/>
  <c r="N5" i="17"/>
  <c r="E70" i="17"/>
  <c r="E68" i="17" s="1"/>
  <c r="G52" i="17"/>
  <c r="G50" i="17" s="1"/>
  <c r="G43" i="17"/>
  <c r="G41" i="17" s="1"/>
  <c r="I34" i="17"/>
  <c r="I32" i="17" s="1"/>
  <c r="M5" i="17"/>
  <c r="O61" i="17"/>
  <c r="O59" i="17" s="1"/>
  <c r="E34" i="17"/>
  <c r="E32" i="17" s="1"/>
  <c r="N79" i="17"/>
  <c r="N77" i="17" s="1"/>
  <c r="N61" i="17"/>
  <c r="N59" i="17" s="1"/>
  <c r="H5" i="17"/>
  <c r="M79" i="17"/>
  <c r="M77" i="17" s="1"/>
  <c r="L79" i="17"/>
  <c r="L77" i="17" s="1"/>
  <c r="L61" i="17"/>
  <c r="L59" i="17" s="1"/>
  <c r="J61" i="17"/>
  <c r="J59" i="17" s="1"/>
  <c r="M70" i="17"/>
  <c r="M68" i="17" s="1"/>
  <c r="O52" i="17"/>
  <c r="O50" i="17" s="1"/>
  <c r="L70" i="17"/>
  <c r="L68" i="17" s="1"/>
  <c r="N43" i="17"/>
  <c r="N41" i="17" s="1"/>
  <c r="O34" i="17"/>
  <c r="O32" i="17" s="1"/>
  <c r="G70" i="17"/>
  <c r="G68" i="17" s="1"/>
  <c r="I52" i="17"/>
  <c r="I50" i="17" s="1"/>
  <c r="I43" i="17"/>
  <c r="I41" i="17" s="1"/>
  <c r="K34" i="17"/>
  <c r="K32" i="17" s="1"/>
  <c r="O5" i="17"/>
  <c r="F70" i="17"/>
  <c r="F68" i="17" s="1"/>
  <c r="I5" i="17"/>
  <c r="I61" i="17"/>
  <c r="I59" i="17" s="1"/>
  <c r="H79" i="17"/>
  <c r="H77" i="17" s="1"/>
  <c r="L43" i="17"/>
  <c r="L41" i="17" s="1"/>
  <c r="U34" i="17" s="1" a="1"/>
  <c r="U34" i="17" s="1"/>
  <c r="F61" i="17"/>
  <c r="F59" i="17" s="1"/>
  <c r="E79" i="17"/>
  <c r="E77" i="17" s="1"/>
  <c r="J9" i="17"/>
  <c r="L52" i="17"/>
  <c r="L50" i="17" s="1"/>
  <c r="P9" i="17"/>
  <c r="N12" i="17"/>
  <c r="K9" i="17"/>
  <c r="I9" i="17"/>
  <c r="N70" i="17"/>
  <c r="N68" i="17" s="1"/>
  <c r="M52" i="17"/>
  <c r="M50" i="17" s="1"/>
  <c r="F52" i="17"/>
  <c r="F50" i="17" s="1"/>
  <c r="F43" i="17"/>
  <c r="F41" i="17" s="1"/>
  <c r="H34" i="17"/>
  <c r="H32" i="17" s="1"/>
  <c r="L5" i="17"/>
  <c r="E52" i="17"/>
  <c r="E50" i="17" s="1"/>
  <c r="E43" i="17"/>
  <c r="E41" i="17" s="1"/>
  <c r="G34" i="17"/>
  <c r="G32" i="17" s="1"/>
  <c r="K5" i="17"/>
  <c r="F34" i="17"/>
  <c r="F32" i="17" s="1"/>
  <c r="J5" i="17"/>
  <c r="O79" i="17"/>
  <c r="O77" i="17" s="1"/>
  <c r="M61" i="17"/>
  <c r="M59" i="17" s="1"/>
  <c r="G5" i="17"/>
  <c r="F5" i="17"/>
  <c r="J79" i="17"/>
  <c r="J77" i="17" s="1"/>
  <c r="R9" i="17"/>
  <c r="I79" i="17"/>
  <c r="I77" i="17" s="1"/>
  <c r="G61" i="17"/>
  <c r="G59" i="17" s="1"/>
  <c r="O9" i="17"/>
  <c r="F79" i="17"/>
  <c r="F77" i="17" s="1"/>
  <c r="P12" i="17"/>
  <c r="E61" i="17"/>
  <c r="E59" i="17" s="1"/>
  <c r="M9" i="17"/>
  <c r="K79" i="17"/>
  <c r="K77" i="17" s="1"/>
  <c r="K61" i="17"/>
  <c r="K59" i="17" s="1"/>
  <c r="S9" i="17"/>
  <c r="E5" i="17"/>
  <c r="Q9" i="17"/>
  <c r="H61" i="17"/>
  <c r="H59" i="17" s="1"/>
  <c r="G79" i="17"/>
  <c r="G77" i="17" s="1"/>
  <c r="N9" i="17"/>
  <c r="L9" i="17"/>
  <c r="M12" i="17"/>
  <c r="O43" i="17"/>
  <c r="O41" i="17" s="1"/>
  <c r="K70" i="17"/>
  <c r="K68" i="17" s="1"/>
  <c r="N34" i="17"/>
  <c r="N32" i="17" s="1"/>
  <c r="O18" i="17"/>
  <c r="M18" i="17"/>
  <c r="N14" i="17"/>
  <c r="M14" i="17"/>
  <c r="I14" i="17"/>
  <c r="O21" i="17"/>
  <c r="N21" i="17"/>
  <c r="I18" i="17"/>
  <c r="O14" i="17"/>
  <c r="G14" i="17"/>
  <c r="H18" i="17"/>
  <c r="H14" i="17"/>
  <c r="L21" i="17"/>
  <c r="J18" i="17"/>
  <c r="M21" i="17"/>
  <c r="L14" i="17"/>
  <c r="K14" i="17"/>
  <c r="J14" i="17"/>
  <c r="F14" i="17"/>
  <c r="E14" i="17"/>
  <c r="N18" i="17"/>
  <c r="L18" i="17"/>
  <c r="K18" i="17"/>
  <c r="N23" i="17"/>
  <c r="M27" i="17"/>
  <c r="M23" i="17"/>
  <c r="H23" i="17"/>
  <c r="G23" i="17"/>
  <c r="F23" i="17"/>
  <c r="L27" i="17"/>
  <c r="K27" i="17"/>
  <c r="H27" i="17"/>
  <c r="O23" i="17"/>
  <c r="M30" i="17"/>
  <c r="L30" i="17"/>
  <c r="O30" i="17"/>
  <c r="N27" i="17"/>
  <c r="I27" i="17"/>
  <c r="J27" i="17"/>
  <c r="L23" i="17"/>
  <c r="K23" i="17"/>
  <c r="J23" i="17"/>
  <c r="I23" i="17"/>
  <c r="O27" i="17"/>
  <c r="E23" i="17"/>
  <c r="N30" i="17"/>
  <c r="O56" i="17"/>
  <c r="N56" i="17"/>
  <c r="M55" i="17"/>
  <c r="L55" i="17"/>
  <c r="O55" i="17"/>
  <c r="N55" i="17"/>
  <c r="P50" i="16"/>
  <c r="R50" i="16"/>
  <c r="S50" i="16"/>
  <c r="Q64" i="16"/>
  <c r="O64" i="16"/>
  <c r="S64" i="16"/>
  <c r="P65" i="16"/>
  <c r="N55" i="16"/>
  <c r="O55" i="16"/>
  <c r="Q55" i="16"/>
  <c r="P55" i="16"/>
  <c r="S56" i="16"/>
  <c r="M55" i="16"/>
  <c r="P56" i="16"/>
  <c r="O56" i="16"/>
  <c r="N56" i="16"/>
  <c r="Q56" i="16"/>
  <c r="Q65" i="16"/>
  <c r="R56" i="16"/>
  <c r="R65" i="16"/>
  <c r="S65" i="16"/>
  <c r="L64" i="16"/>
  <c r="Q61" i="16"/>
  <c r="Q59" i="16" s="1"/>
  <c r="M64" i="16"/>
  <c r="O65" i="16"/>
  <c r="N64" i="16"/>
  <c r="S55" i="16"/>
  <c r="P64" i="16"/>
  <c r="R55" i="17" l="1"/>
  <c r="P56" i="17"/>
  <c r="R56" i="17"/>
  <c r="Q56" i="17"/>
  <c r="S55" i="17"/>
  <c r="U18" i="17" a="1"/>
  <c r="U18" i="17" s="1"/>
  <c r="U10" i="17" a="1"/>
  <c r="U10" i="17" s="1"/>
  <c r="P11" i="17"/>
  <c r="P10" i="17"/>
  <c r="R11" i="17"/>
  <c r="R10" i="17"/>
  <c r="L11" i="17"/>
  <c r="L10" i="17"/>
  <c r="M11" i="17"/>
  <c r="M10" i="17"/>
  <c r="D34" i="17"/>
  <c r="D32" i="17" s="1"/>
  <c r="D5" i="17"/>
  <c r="D79" i="17"/>
  <c r="D77" i="17" s="1"/>
  <c r="D70" i="17"/>
  <c r="D68" i="17" s="1"/>
  <c r="D52" i="17"/>
  <c r="D50" i="17" s="1"/>
  <c r="D43" i="17"/>
  <c r="D41" i="17" s="1"/>
  <c r="D61" i="17"/>
  <c r="D59" i="17" s="1"/>
  <c r="O11" i="17"/>
  <c r="O10" i="17"/>
  <c r="Q11" i="17"/>
  <c r="Q10" i="17"/>
  <c r="N10" i="17"/>
  <c r="N11" i="17"/>
  <c r="S10" i="17"/>
  <c r="S11" i="17"/>
  <c r="S48" i="16"/>
  <c r="R48" i="16"/>
  <c r="Q48" i="16"/>
  <c r="P48" i="16"/>
  <c r="O48" i="16"/>
  <c r="N48" i="16"/>
  <c r="M48" i="16"/>
  <c r="L48" i="16"/>
  <c r="S45" i="16"/>
  <c r="R45" i="16"/>
  <c r="Q45" i="16"/>
  <c r="Q46" i="16" s="1"/>
  <c r="P45" i="16"/>
  <c r="P46" i="16" s="1"/>
  <c r="O45" i="16"/>
  <c r="N45" i="16"/>
  <c r="M45" i="16"/>
  <c r="L45" i="16"/>
  <c r="L47" i="16" s="1"/>
  <c r="K45" i="16"/>
  <c r="J45" i="16"/>
  <c r="I45" i="16"/>
  <c r="H45" i="16"/>
  <c r="M42" i="16"/>
  <c r="L42" i="16"/>
  <c r="K42" i="16"/>
  <c r="J42" i="16"/>
  <c r="I42" i="16"/>
  <c r="H42" i="16"/>
  <c r="S39" i="16"/>
  <c r="R39" i="16"/>
  <c r="Q39" i="16"/>
  <c r="P39" i="16"/>
  <c r="O39" i="16"/>
  <c r="N39" i="16"/>
  <c r="M39" i="16"/>
  <c r="L39" i="16"/>
  <c r="S36" i="16"/>
  <c r="S37" i="16" s="1"/>
  <c r="R36" i="16"/>
  <c r="R37" i="16" s="1"/>
  <c r="Q36" i="16"/>
  <c r="P36" i="16"/>
  <c r="O36" i="16"/>
  <c r="O37" i="16" s="1"/>
  <c r="N36" i="16"/>
  <c r="N37" i="16" s="1"/>
  <c r="M36" i="16"/>
  <c r="M38" i="16" s="1"/>
  <c r="L36" i="16"/>
  <c r="K36" i="16"/>
  <c r="J36" i="16"/>
  <c r="I36" i="16"/>
  <c r="H36" i="16"/>
  <c r="S34" i="16"/>
  <c r="S43" i="16" s="1"/>
  <c r="S41" i="16" s="1"/>
  <c r="R34" i="16"/>
  <c r="R43" i="16" s="1"/>
  <c r="R41" i="16" s="1"/>
  <c r="Q34" i="16"/>
  <c r="Q43" i="16" s="1"/>
  <c r="Q41" i="16" s="1"/>
  <c r="P34" i="16"/>
  <c r="P43" i="16" s="1"/>
  <c r="P41" i="16" s="1"/>
  <c r="S33" i="16"/>
  <c r="S42" i="16" s="1"/>
  <c r="R33" i="16"/>
  <c r="R42" i="16" s="1"/>
  <c r="Q33" i="16"/>
  <c r="Q42" i="16" s="1"/>
  <c r="P33" i="16"/>
  <c r="P42" i="16" s="1"/>
  <c r="O33" i="16"/>
  <c r="O42" i="16" s="1"/>
  <c r="N33" i="16"/>
  <c r="N42" i="16" s="1"/>
  <c r="M33" i="16"/>
  <c r="L33" i="16"/>
  <c r="K33" i="16"/>
  <c r="J33" i="16"/>
  <c r="I33" i="16"/>
  <c r="H33" i="16"/>
  <c r="G33" i="16"/>
  <c r="G42" i="16" s="1"/>
  <c r="F33" i="16"/>
  <c r="F42" i="16" s="1"/>
  <c r="E33" i="16"/>
  <c r="E42" i="16" s="1"/>
  <c r="D33" i="16"/>
  <c r="D42" i="16" s="1"/>
  <c r="S12" i="16"/>
  <c r="R12" i="16"/>
  <c r="Q12" i="16"/>
  <c r="S5" i="16"/>
  <c r="R5" i="16"/>
  <c r="Q5" i="16"/>
  <c r="P5" i="16"/>
  <c r="B4" i="16"/>
  <c r="B3" i="16" s="1"/>
  <c r="D25" i="16" a="1"/>
  <c r="D16" i="16" a="1"/>
  <c r="D7" i="16" a="1"/>
  <c r="D7" i="16" l="1"/>
  <c r="D16" i="16"/>
  <c r="D14" i="16" s="1"/>
  <c r="D25" i="16"/>
  <c r="D52" i="16"/>
  <c r="D23" i="16"/>
  <c r="U2" i="17" a="1"/>
  <c r="U2" i="17" s="1"/>
  <c r="P32" i="16"/>
  <c r="K52" i="16"/>
  <c r="M52" i="16"/>
  <c r="J52" i="16"/>
  <c r="L52" i="16"/>
  <c r="I52" i="16"/>
  <c r="H52" i="16"/>
  <c r="N52" i="16"/>
  <c r="G52" i="16"/>
  <c r="O52" i="16"/>
  <c r="F52" i="16"/>
  <c r="E52" i="16"/>
  <c r="S46" i="16"/>
  <c r="R46" i="16"/>
  <c r="N46" i="16"/>
  <c r="O46" i="16"/>
  <c r="M46" i="16"/>
  <c r="P37" i="16"/>
  <c r="Q37" i="16"/>
  <c r="M37" i="16"/>
  <c r="L37" i="16"/>
  <c r="L38" i="16"/>
  <c r="N38" i="16"/>
  <c r="O38" i="16"/>
  <c r="P27" i="16"/>
  <c r="Q27" i="16"/>
  <c r="R27" i="16"/>
  <c r="S27" i="16"/>
  <c r="P30" i="16"/>
  <c r="P18" i="16"/>
  <c r="R18" i="16"/>
  <c r="P21" i="16"/>
  <c r="Q18" i="16"/>
  <c r="S18" i="16"/>
  <c r="Q32" i="16"/>
  <c r="S32" i="16"/>
  <c r="R32" i="16"/>
  <c r="K18" i="16"/>
  <c r="E14" i="16"/>
  <c r="J18" i="16"/>
  <c r="I18" i="16"/>
  <c r="H18" i="16"/>
  <c r="H14" i="16"/>
  <c r="L21" i="16"/>
  <c r="O21" i="16"/>
  <c r="O14" i="16"/>
  <c r="N21" i="16"/>
  <c r="N14" i="16"/>
  <c r="I14" i="16"/>
  <c r="M18" i="16"/>
  <c r="L18" i="16"/>
  <c r="F14" i="16"/>
  <c r="N18" i="16"/>
  <c r="G14" i="16"/>
  <c r="M21" i="16"/>
  <c r="M14" i="16"/>
  <c r="L14" i="16"/>
  <c r="J14" i="16"/>
  <c r="O18" i="16"/>
  <c r="K14" i="16"/>
  <c r="M34" i="16"/>
  <c r="O9" i="16"/>
  <c r="M5" i="16"/>
  <c r="P12" i="16"/>
  <c r="F5" i="16"/>
  <c r="L12" i="16"/>
  <c r="L34" i="16"/>
  <c r="N9" i="16"/>
  <c r="L5" i="16"/>
  <c r="J5" i="16"/>
  <c r="J9" i="16"/>
  <c r="H5" i="16"/>
  <c r="H9" i="16"/>
  <c r="K34" i="16"/>
  <c r="M9" i="16"/>
  <c r="K5" i="16"/>
  <c r="L9" i="16"/>
  <c r="N12" i="16"/>
  <c r="J34" i="16"/>
  <c r="I34" i="16"/>
  <c r="K9" i="16"/>
  <c r="I5" i="16"/>
  <c r="H34" i="16"/>
  <c r="G34" i="16"/>
  <c r="O12" i="16"/>
  <c r="I9" i="16"/>
  <c r="G5" i="16"/>
  <c r="S9" i="16"/>
  <c r="R9" i="16"/>
  <c r="O34" i="16"/>
  <c r="Q9" i="16"/>
  <c r="P9" i="16"/>
  <c r="N5" i="16"/>
  <c r="F34" i="16"/>
  <c r="O5" i="16"/>
  <c r="N34" i="16"/>
  <c r="E34" i="16"/>
  <c r="M12" i="16"/>
  <c r="E5" i="16"/>
  <c r="M27" i="16"/>
  <c r="I23" i="16"/>
  <c r="L27" i="16"/>
  <c r="H23" i="16"/>
  <c r="K27" i="16"/>
  <c r="G23" i="16"/>
  <c r="J27" i="16"/>
  <c r="F23" i="16"/>
  <c r="I27" i="16"/>
  <c r="E23" i="16"/>
  <c r="L23" i="16"/>
  <c r="H27" i="16"/>
  <c r="O23" i="16"/>
  <c r="O30" i="16"/>
  <c r="N23" i="16"/>
  <c r="M30" i="16"/>
  <c r="L30" i="16"/>
  <c r="O27" i="16"/>
  <c r="K23" i="16"/>
  <c r="M23" i="16"/>
  <c r="N27" i="16"/>
  <c r="J23" i="16"/>
  <c r="N30" i="16"/>
  <c r="R38" i="16"/>
  <c r="N47" i="16"/>
  <c r="Q47" i="16"/>
  <c r="O47" i="16"/>
  <c r="R47" i="16"/>
  <c r="S47" i="16"/>
  <c r="P38" i="16"/>
  <c r="L46" i="16"/>
  <c r="Q38" i="16"/>
  <c r="M47" i="16"/>
  <c r="S38" i="16"/>
  <c r="P47" i="16"/>
  <c r="E61" i="16" l="1"/>
  <c r="E59" i="16" s="1"/>
  <c r="E50" i="16"/>
  <c r="F61" i="16"/>
  <c r="F59" i="16" s="1"/>
  <c r="F50" i="16"/>
  <c r="O61" i="16"/>
  <c r="O59" i="16" s="1"/>
  <c r="O50" i="16"/>
  <c r="G61" i="16"/>
  <c r="G59" i="16" s="1"/>
  <c r="G50" i="16"/>
  <c r="N61" i="16"/>
  <c r="N59" i="16" s="1"/>
  <c r="N50" i="16"/>
  <c r="H50" i="16"/>
  <c r="H61" i="16"/>
  <c r="H59" i="16" s="1"/>
  <c r="I50" i="16"/>
  <c r="I61" i="16"/>
  <c r="I59" i="16" s="1"/>
  <c r="D61" i="16"/>
  <c r="D59" i="16" s="1"/>
  <c r="D50" i="16"/>
  <c r="L61" i="16"/>
  <c r="L59" i="16" s="1"/>
  <c r="L50" i="16"/>
  <c r="J50" i="16"/>
  <c r="J61" i="16"/>
  <c r="J59" i="16" s="1"/>
  <c r="M50" i="16"/>
  <c r="M61" i="16"/>
  <c r="M59" i="16" s="1"/>
  <c r="K50" i="16"/>
  <c r="K61" i="16"/>
  <c r="K59" i="16" s="1"/>
  <c r="J32" i="16"/>
  <c r="J43" i="16"/>
  <c r="J41" i="16" s="1"/>
  <c r="G43" i="16"/>
  <c r="G41" i="16" s="1"/>
  <c r="G32" i="16"/>
  <c r="H32" i="16"/>
  <c r="H43" i="16"/>
  <c r="H41" i="16" s="1"/>
  <c r="O10" i="16"/>
  <c r="O11" i="16"/>
  <c r="P10" i="16"/>
  <c r="P11" i="16"/>
  <c r="L11" i="16"/>
  <c r="L10" i="16"/>
  <c r="M32" i="16"/>
  <c r="M43" i="16"/>
  <c r="M41" i="16" s="1"/>
  <c r="Q11" i="16"/>
  <c r="Q10" i="16"/>
  <c r="O32" i="16"/>
  <c r="O43" i="16"/>
  <c r="O41" i="16" s="1"/>
  <c r="M11" i="16"/>
  <c r="M10" i="16"/>
  <c r="N32" i="16"/>
  <c r="N43" i="16"/>
  <c r="N41" i="16" s="1"/>
  <c r="R10" i="16"/>
  <c r="R11" i="16"/>
  <c r="K32" i="16"/>
  <c r="K43" i="16"/>
  <c r="K41" i="16" s="1"/>
  <c r="U10" i="16" a="1"/>
  <c r="U10" i="16" s="1"/>
  <c r="U18" i="16" a="1"/>
  <c r="U18" i="16" s="1"/>
  <c r="S10" i="16"/>
  <c r="S11" i="16"/>
  <c r="D34" i="16"/>
  <c r="D5" i="16"/>
  <c r="N10" i="16"/>
  <c r="N11" i="16"/>
  <c r="L32" i="16"/>
  <c r="L43" i="16"/>
  <c r="L41" i="16" s="1"/>
  <c r="E43" i="16"/>
  <c r="E41" i="16" s="1"/>
  <c r="E32" i="16"/>
  <c r="I32" i="16"/>
  <c r="I43" i="16"/>
  <c r="I41" i="16" s="1"/>
  <c r="F43" i="16"/>
  <c r="F41" i="16" s="1"/>
  <c r="F32" i="16"/>
  <c r="U2" i="16" l="1" a="1"/>
  <c r="U2" i="16" s="1"/>
  <c r="U50" i="16" a="1"/>
  <c r="U50" i="16" s="1"/>
  <c r="U42" i="16" a="1"/>
  <c r="U42" i="16" s="1"/>
  <c r="D32" i="16"/>
  <c r="D43" i="16"/>
  <c r="D41" i="16" s="1"/>
  <c r="U26" i="16" a="1"/>
  <c r="U26" i="16" s="1"/>
  <c r="U34" i="16" a="1"/>
  <c r="U34" i="16" s="1"/>
  <c r="S84" i="15" l="1"/>
  <c r="R84" i="15"/>
  <c r="Q84" i="15"/>
  <c r="P84" i="15"/>
  <c r="O84" i="15"/>
  <c r="N84" i="15"/>
  <c r="M84" i="15"/>
  <c r="L84" i="15"/>
  <c r="K84" i="15"/>
  <c r="S83" i="15"/>
  <c r="R83" i="15"/>
  <c r="S82" i="15"/>
  <c r="R82" i="15"/>
  <c r="Q82" i="15"/>
  <c r="P82" i="15"/>
  <c r="O82" i="15"/>
  <c r="S81" i="15"/>
  <c r="R81" i="15"/>
  <c r="Q81" i="15"/>
  <c r="P81" i="15"/>
  <c r="O81" i="15"/>
  <c r="N81" i="15"/>
  <c r="S75" i="15"/>
  <c r="R75" i="15"/>
  <c r="Q75" i="15"/>
  <c r="P75" i="15"/>
  <c r="O75" i="15"/>
  <c r="N75" i="15"/>
  <c r="M75" i="15"/>
  <c r="L75" i="15"/>
  <c r="K75" i="15"/>
  <c r="S74" i="15"/>
  <c r="R74" i="15"/>
  <c r="S73" i="15"/>
  <c r="R73" i="15"/>
  <c r="Q73" i="15"/>
  <c r="P73" i="15"/>
  <c r="O73" i="15"/>
  <c r="S72" i="15"/>
  <c r="R72" i="15"/>
  <c r="Q72" i="15"/>
  <c r="P72" i="15"/>
  <c r="O72" i="15"/>
  <c r="N72" i="15"/>
  <c r="K66" i="15"/>
  <c r="S80" i="15"/>
  <c r="R80" i="15"/>
  <c r="Q80" i="15"/>
  <c r="P80" i="15"/>
  <c r="O80" i="15"/>
  <c r="N80" i="15"/>
  <c r="M80" i="15"/>
  <c r="L80" i="15"/>
  <c r="K80" i="15"/>
  <c r="J80" i="15"/>
  <c r="S79" i="15"/>
  <c r="S77" i="15" s="1"/>
  <c r="R79" i="15"/>
  <c r="Q79" i="15"/>
  <c r="P79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R77" i="15"/>
  <c r="Q77" i="15"/>
  <c r="P77" i="15"/>
  <c r="S70" i="15"/>
  <c r="S68" i="15" s="1"/>
  <c r="R70" i="15"/>
  <c r="R68" i="15" s="1"/>
  <c r="Q70" i="15"/>
  <c r="Q68" i="15" s="1"/>
  <c r="P70" i="15"/>
  <c r="P68" i="15" s="1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S66" i="15"/>
  <c r="R66" i="15"/>
  <c r="Q66" i="15"/>
  <c r="P66" i="15"/>
  <c r="O66" i="15"/>
  <c r="N66" i="15"/>
  <c r="M66" i="15"/>
  <c r="L66" i="15"/>
  <c r="S63" i="15"/>
  <c r="R63" i="15"/>
  <c r="Q63" i="15"/>
  <c r="P63" i="15"/>
  <c r="O63" i="15"/>
  <c r="N63" i="15"/>
  <c r="S61" i="15"/>
  <c r="S59" i="15" s="1"/>
  <c r="R61" i="15"/>
  <c r="R59" i="15" s="1"/>
  <c r="Q61" i="15"/>
  <c r="Q59" i="15" s="1"/>
  <c r="P61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P59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P34" i="14"/>
  <c r="Q34" i="14"/>
  <c r="R34" i="14"/>
  <c r="S34" i="14"/>
  <c r="Q64" i="15" l="1"/>
  <c r="R64" i="15"/>
  <c r="S64" i="15"/>
  <c r="O64" i="15"/>
  <c r="P64" i="15"/>
  <c r="S65" i="15"/>
  <c r="R65" i="15"/>
  <c r="S57" i="15" l="1"/>
  <c r="R57" i="15"/>
  <c r="Q57" i="15"/>
  <c r="P57" i="15"/>
  <c r="O57" i="15"/>
  <c r="N57" i="15"/>
  <c r="M57" i="15"/>
  <c r="L57" i="15"/>
  <c r="L55" i="15"/>
  <c r="S54" i="15"/>
  <c r="S55" i="15" s="1"/>
  <c r="R54" i="15"/>
  <c r="Q54" i="15"/>
  <c r="Q56" i="15" s="1"/>
  <c r="P54" i="15"/>
  <c r="P55" i="15" s="1"/>
  <c r="O54" i="15"/>
  <c r="O56" i="15" s="1"/>
  <c r="N54" i="15"/>
  <c r="N56" i="15" s="1"/>
  <c r="M54" i="15"/>
  <c r="M56" i="15" s="1"/>
  <c r="L54" i="15"/>
  <c r="K54" i="15"/>
  <c r="J54" i="15"/>
  <c r="I54" i="15"/>
  <c r="H54" i="15"/>
  <c r="S52" i="15"/>
  <c r="S50" i="15" s="1"/>
  <c r="R52" i="15"/>
  <c r="R50" i="15" s="1"/>
  <c r="Q52" i="15"/>
  <c r="Q50" i="15" s="1"/>
  <c r="P52" i="15"/>
  <c r="P50" i="15" s="1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S48" i="15"/>
  <c r="R48" i="15"/>
  <c r="Q48" i="15"/>
  <c r="P48" i="15"/>
  <c r="O48" i="15"/>
  <c r="N48" i="15"/>
  <c r="M48" i="15"/>
  <c r="L48" i="15"/>
  <c r="S45" i="15"/>
  <c r="R45" i="15"/>
  <c r="Q45" i="15"/>
  <c r="Q47" i="15" s="1"/>
  <c r="P45" i="15"/>
  <c r="P47" i="15" s="1"/>
  <c r="O45" i="15"/>
  <c r="N45" i="15"/>
  <c r="N46" i="15" s="1"/>
  <c r="M45" i="15"/>
  <c r="M46" i="15" s="1"/>
  <c r="L45" i="15"/>
  <c r="L46" i="15" s="1"/>
  <c r="K45" i="15"/>
  <c r="J45" i="15"/>
  <c r="I45" i="15"/>
  <c r="H45" i="15"/>
  <c r="S43" i="15"/>
  <c r="S41" i="15" s="1"/>
  <c r="R43" i="15"/>
  <c r="R41" i="15" s="1"/>
  <c r="Q43" i="15"/>
  <c r="Q41" i="15" s="1"/>
  <c r="P43" i="15"/>
  <c r="P41" i="15" s="1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S39" i="15"/>
  <c r="R39" i="15"/>
  <c r="Q39" i="15"/>
  <c r="P39" i="15"/>
  <c r="O39" i="15"/>
  <c r="N39" i="15"/>
  <c r="M39" i="15"/>
  <c r="L39" i="15"/>
  <c r="S36" i="15"/>
  <c r="S37" i="15" s="1"/>
  <c r="R36" i="15"/>
  <c r="Q36" i="15"/>
  <c r="Q38" i="15" s="1"/>
  <c r="P36" i="15"/>
  <c r="P38" i="15" s="1"/>
  <c r="O36" i="15"/>
  <c r="O37" i="15" s="1"/>
  <c r="N36" i="15"/>
  <c r="N37" i="15" s="1"/>
  <c r="M36" i="15"/>
  <c r="M37" i="15" s="1"/>
  <c r="L36" i="15"/>
  <c r="K36" i="15"/>
  <c r="J36" i="15"/>
  <c r="I36" i="15"/>
  <c r="H36" i="15"/>
  <c r="S34" i="15"/>
  <c r="S32" i="15" s="1"/>
  <c r="R34" i="15"/>
  <c r="R32" i="15" s="1"/>
  <c r="Q34" i="15"/>
  <c r="Q32" i="15" s="1"/>
  <c r="P34" i="15"/>
  <c r="P32" i="15" s="1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S12" i="15"/>
  <c r="R12" i="15"/>
  <c r="Q12" i="15"/>
  <c r="S5" i="15"/>
  <c r="R5" i="15"/>
  <c r="Q5" i="15"/>
  <c r="P5" i="15"/>
  <c r="B4" i="15"/>
  <c r="B3" i="15" s="1"/>
  <c r="S61" i="8"/>
  <c r="R61" i="8"/>
  <c r="Q61" i="8"/>
  <c r="Q59" i="8" s="1"/>
  <c r="P61" i="8"/>
  <c r="P59" i="8" s="1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S52" i="8"/>
  <c r="S50" i="8" s="1"/>
  <c r="R52" i="8"/>
  <c r="R50" i="8" s="1"/>
  <c r="Q52" i="8"/>
  <c r="Q50" i="8" s="1"/>
  <c r="P52" i="8"/>
  <c r="P50" i="8" s="1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S43" i="8"/>
  <c r="R43" i="8"/>
  <c r="Q43" i="8"/>
  <c r="P43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P34" i="8"/>
  <c r="Q34" i="8"/>
  <c r="R34" i="8"/>
  <c r="S34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66" i="8"/>
  <c r="R66" i="8"/>
  <c r="Q66" i="8"/>
  <c r="P66" i="8"/>
  <c r="O66" i="8"/>
  <c r="N66" i="8"/>
  <c r="M66" i="8"/>
  <c r="L66" i="8"/>
  <c r="S63" i="8"/>
  <c r="R63" i="8"/>
  <c r="Q63" i="8"/>
  <c r="P63" i="8"/>
  <c r="P64" i="8" s="1"/>
  <c r="O63" i="8"/>
  <c r="N63" i="8"/>
  <c r="O64" i="8" s="1"/>
  <c r="M63" i="8"/>
  <c r="L63" i="8"/>
  <c r="K63" i="8"/>
  <c r="O65" i="8" s="1"/>
  <c r="J63" i="8"/>
  <c r="I63" i="8"/>
  <c r="H63" i="8"/>
  <c r="S57" i="8"/>
  <c r="R57" i="8"/>
  <c r="Q57" i="8"/>
  <c r="P57" i="8"/>
  <c r="O57" i="8"/>
  <c r="N57" i="8"/>
  <c r="M57" i="8"/>
  <c r="L57" i="8"/>
  <c r="S54" i="8"/>
  <c r="R54" i="8"/>
  <c r="Q54" i="8"/>
  <c r="P54" i="8"/>
  <c r="O54" i="8"/>
  <c r="N54" i="8"/>
  <c r="M54" i="8"/>
  <c r="L54" i="8"/>
  <c r="K54" i="8"/>
  <c r="O56" i="8" s="1"/>
  <c r="J54" i="8"/>
  <c r="N56" i="8" s="1"/>
  <c r="I54" i="8"/>
  <c r="M56" i="8" s="1"/>
  <c r="H54" i="8"/>
  <c r="L56" i="8" s="1"/>
  <c r="D7" i="15" a="1"/>
  <c r="D16" i="15" a="1"/>
  <c r="D25" i="15" a="1"/>
  <c r="D25" i="15" l="1"/>
  <c r="D16" i="15"/>
  <c r="D7" i="15"/>
  <c r="D23" i="15"/>
  <c r="D14" i="15"/>
  <c r="R59" i="8"/>
  <c r="S59" i="8"/>
  <c r="G79" i="15"/>
  <c r="G77" i="15" s="1"/>
  <c r="K70" i="15"/>
  <c r="K68" i="15" s="1"/>
  <c r="O61" i="15"/>
  <c r="O59" i="15" s="1"/>
  <c r="L61" i="15"/>
  <c r="L59" i="15" s="1"/>
  <c r="F70" i="15"/>
  <c r="F68" i="15" s="1"/>
  <c r="I61" i="15"/>
  <c r="I59" i="15" s="1"/>
  <c r="O79" i="15"/>
  <c r="O77" i="15" s="1"/>
  <c r="F79" i="15"/>
  <c r="F77" i="15" s="1"/>
  <c r="J70" i="15"/>
  <c r="J68" i="15" s="1"/>
  <c r="N61" i="15"/>
  <c r="N59" i="15" s="1"/>
  <c r="H70" i="15"/>
  <c r="H68" i="15" s="1"/>
  <c r="G70" i="15"/>
  <c r="G68" i="15" s="1"/>
  <c r="J61" i="15"/>
  <c r="J59" i="15" s="1"/>
  <c r="H61" i="15"/>
  <c r="H59" i="15" s="1"/>
  <c r="N79" i="15"/>
  <c r="N77" i="15" s="1"/>
  <c r="E79" i="15"/>
  <c r="E77" i="15" s="1"/>
  <c r="I70" i="15"/>
  <c r="I68" i="15" s="1"/>
  <c r="M61" i="15"/>
  <c r="M59" i="15" s="1"/>
  <c r="K61" i="15"/>
  <c r="K59" i="15" s="1"/>
  <c r="G61" i="15"/>
  <c r="G59" i="15" s="1"/>
  <c r="F61" i="15"/>
  <c r="F59" i="15" s="1"/>
  <c r="O70" i="15"/>
  <c r="O68" i="15" s="1"/>
  <c r="L70" i="15"/>
  <c r="L68" i="15" s="1"/>
  <c r="E61" i="15"/>
  <c r="E59" i="15" s="1"/>
  <c r="E70" i="15"/>
  <c r="E68" i="15" s="1"/>
  <c r="I79" i="15"/>
  <c r="I77" i="15" s="1"/>
  <c r="M70" i="15"/>
  <c r="M68" i="15" s="1"/>
  <c r="H79" i="15"/>
  <c r="H77" i="15" s="1"/>
  <c r="M79" i="15"/>
  <c r="M77" i="15" s="1"/>
  <c r="L79" i="15"/>
  <c r="L77" i="15" s="1"/>
  <c r="K79" i="15"/>
  <c r="K77" i="15" s="1"/>
  <c r="J79" i="15"/>
  <c r="J77" i="15" s="1"/>
  <c r="N70" i="15"/>
  <c r="N68" i="15" s="1"/>
  <c r="R55" i="15"/>
  <c r="M55" i="15"/>
  <c r="O55" i="15"/>
  <c r="L56" i="15"/>
  <c r="P46" i="15"/>
  <c r="R47" i="15"/>
  <c r="S47" i="15"/>
  <c r="Q46" i="15"/>
  <c r="S46" i="15"/>
  <c r="O46" i="15"/>
  <c r="L47" i="15"/>
  <c r="M47" i="15"/>
  <c r="N47" i="15"/>
  <c r="O47" i="15"/>
  <c r="R38" i="15"/>
  <c r="Q37" i="15"/>
  <c r="R37" i="15"/>
  <c r="P37" i="15"/>
  <c r="S38" i="15"/>
  <c r="O38" i="15"/>
  <c r="L37" i="15"/>
  <c r="M21" i="15"/>
  <c r="M14" i="15"/>
  <c r="L21" i="15"/>
  <c r="L14" i="15"/>
  <c r="H18" i="15"/>
  <c r="N21" i="15"/>
  <c r="E14" i="15"/>
  <c r="K14" i="15"/>
  <c r="J14" i="15"/>
  <c r="O14" i="15"/>
  <c r="O18" i="15"/>
  <c r="I14" i="15"/>
  <c r="N14" i="15"/>
  <c r="N18" i="15"/>
  <c r="H14" i="15"/>
  <c r="M18" i="15"/>
  <c r="G14" i="15"/>
  <c r="L18" i="15"/>
  <c r="F14" i="15"/>
  <c r="K18" i="15"/>
  <c r="J18" i="15"/>
  <c r="I18" i="15"/>
  <c r="O21" i="15"/>
  <c r="O30" i="15"/>
  <c r="I23" i="15"/>
  <c r="O23" i="15"/>
  <c r="M27" i="15"/>
  <c r="N30" i="15"/>
  <c r="N23" i="15"/>
  <c r="M30" i="15"/>
  <c r="M23" i="15"/>
  <c r="F23" i="15"/>
  <c r="I27" i="15"/>
  <c r="L30" i="15"/>
  <c r="L23" i="15"/>
  <c r="O27" i="15"/>
  <c r="K23" i="15"/>
  <c r="N27" i="15"/>
  <c r="J23" i="15"/>
  <c r="J27" i="15"/>
  <c r="L27" i="15"/>
  <c r="H23" i="15"/>
  <c r="K27" i="15"/>
  <c r="G23" i="15"/>
  <c r="E23" i="15"/>
  <c r="H27" i="15"/>
  <c r="K52" i="15"/>
  <c r="K50" i="15" s="1"/>
  <c r="O43" i="15"/>
  <c r="O41" i="15" s="1"/>
  <c r="E34" i="15"/>
  <c r="E32" i="15" s="1"/>
  <c r="M12" i="15"/>
  <c r="E5" i="15"/>
  <c r="L12" i="15"/>
  <c r="M5" i="15"/>
  <c r="K9" i="15"/>
  <c r="J9" i="15"/>
  <c r="H9" i="15"/>
  <c r="J52" i="15"/>
  <c r="J50" i="15" s="1"/>
  <c r="N43" i="15"/>
  <c r="N41" i="15" s="1"/>
  <c r="I52" i="15"/>
  <c r="I50" i="15" s="1"/>
  <c r="M43" i="15"/>
  <c r="M41" i="15" s="1"/>
  <c r="J34" i="15"/>
  <c r="J32" i="15" s="1"/>
  <c r="N52" i="15"/>
  <c r="N50" i="15" s="1"/>
  <c r="H52" i="15"/>
  <c r="H50" i="15" s="1"/>
  <c r="L43" i="15"/>
  <c r="L41" i="15" s="1"/>
  <c r="G52" i="15"/>
  <c r="G50" i="15" s="1"/>
  <c r="K43" i="15"/>
  <c r="K41" i="15" s="1"/>
  <c r="S9" i="15"/>
  <c r="O9" i="15"/>
  <c r="L9" i="15"/>
  <c r="J5" i="15"/>
  <c r="O52" i="15"/>
  <c r="O50" i="15" s="1"/>
  <c r="F5" i="15"/>
  <c r="F52" i="15"/>
  <c r="F50" i="15" s="1"/>
  <c r="J43" i="15"/>
  <c r="J41" i="15" s="1"/>
  <c r="R9" i="15"/>
  <c r="E52" i="15"/>
  <c r="E50" i="15" s="1"/>
  <c r="I43" i="15"/>
  <c r="I41" i="15" s="1"/>
  <c r="O34" i="15"/>
  <c r="O32" i="15" s="1"/>
  <c r="Q9" i="15"/>
  <c r="O5" i="15"/>
  <c r="H43" i="15"/>
  <c r="H41" i="15" s="1"/>
  <c r="N34" i="15"/>
  <c r="N32" i="15" s="1"/>
  <c r="P9" i="15"/>
  <c r="N5" i="15"/>
  <c r="G43" i="15"/>
  <c r="G41" i="15" s="1"/>
  <c r="M34" i="15"/>
  <c r="M32" i="15" s="1"/>
  <c r="G5" i="15"/>
  <c r="F34" i="15"/>
  <c r="F32" i="15" s="1"/>
  <c r="I5" i="15"/>
  <c r="M52" i="15"/>
  <c r="M50" i="15" s="1"/>
  <c r="N12" i="15"/>
  <c r="F43" i="15"/>
  <c r="F41" i="15" s="1"/>
  <c r="L34" i="15"/>
  <c r="L32" i="15" s="1"/>
  <c r="N9" i="15"/>
  <c r="L5" i="15"/>
  <c r="E43" i="15"/>
  <c r="E41" i="15" s="1"/>
  <c r="K34" i="15"/>
  <c r="K32" i="15" s="1"/>
  <c r="M9" i="15"/>
  <c r="K5" i="15"/>
  <c r="I34" i="15"/>
  <c r="I32" i="15" s="1"/>
  <c r="H34" i="15"/>
  <c r="H32" i="15" s="1"/>
  <c r="P12" i="15"/>
  <c r="H5" i="15"/>
  <c r="G34" i="15"/>
  <c r="G32" i="15" s="1"/>
  <c r="O12" i="15"/>
  <c r="I9" i="15"/>
  <c r="L52" i="15"/>
  <c r="L50" i="15" s="1"/>
  <c r="R56" i="15"/>
  <c r="M38" i="15"/>
  <c r="N38" i="15"/>
  <c r="R46" i="15"/>
  <c r="N55" i="15"/>
  <c r="P56" i="15"/>
  <c r="Q55" i="15"/>
  <c r="S56" i="15"/>
  <c r="L38" i="15"/>
  <c r="L65" i="8"/>
  <c r="M65" i="8"/>
  <c r="L64" i="8"/>
  <c r="M64" i="8"/>
  <c r="N65" i="8"/>
  <c r="S64" i="8"/>
  <c r="Q64" i="8"/>
  <c r="R64" i="8"/>
  <c r="R65" i="8"/>
  <c r="S65" i="8"/>
  <c r="Q65" i="8"/>
  <c r="P65" i="8"/>
  <c r="S55" i="8"/>
  <c r="M55" i="8"/>
  <c r="N55" i="8"/>
  <c r="O55" i="8"/>
  <c r="R56" i="8"/>
  <c r="P56" i="8"/>
  <c r="Q56" i="8"/>
  <c r="L55" i="8"/>
  <c r="N64" i="8"/>
  <c r="R55" i="8"/>
  <c r="S56" i="8"/>
  <c r="P55" i="8"/>
  <c r="Q55" i="8"/>
  <c r="U42" i="15" l="1" a="1"/>
  <c r="U42" i="15" s="1"/>
  <c r="U58" i="15" a="1"/>
  <c r="U58" i="15" s="1"/>
  <c r="U66" i="15" a="1"/>
  <c r="U66" i="15" s="1"/>
  <c r="U50" i="15" a="1"/>
  <c r="U50" i="15" s="1"/>
  <c r="D79" i="15"/>
  <c r="D77" i="15" s="1"/>
  <c r="D61" i="15"/>
  <c r="D59" i="15" s="1"/>
  <c r="D70" i="15"/>
  <c r="D68" i="15" s="1"/>
  <c r="U34" i="15" a="1"/>
  <c r="U34" i="15" s="1"/>
  <c r="U26" i="15" a="1"/>
  <c r="U26" i="15" s="1"/>
  <c r="P10" i="15"/>
  <c r="P11" i="15"/>
  <c r="D5" i="15"/>
  <c r="D43" i="15"/>
  <c r="D41" i="15" s="1"/>
  <c r="D34" i="15"/>
  <c r="D32" i="15" s="1"/>
  <c r="D52" i="15"/>
  <c r="D50" i="15" s="1"/>
  <c r="U18" i="15" a="1"/>
  <c r="U18" i="15" s="1"/>
  <c r="M10" i="15"/>
  <c r="M11" i="15"/>
  <c r="L10" i="15"/>
  <c r="L11" i="15"/>
  <c r="U10" i="15" a="1"/>
  <c r="U10" i="15" s="1"/>
  <c r="S11" i="15"/>
  <c r="S10" i="15"/>
  <c r="Q10" i="15"/>
  <c r="Q11" i="15"/>
  <c r="R11" i="15"/>
  <c r="R10" i="15"/>
  <c r="O10" i="15"/>
  <c r="O11" i="15"/>
  <c r="N10" i="15"/>
  <c r="N11" i="15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S43" i="14"/>
  <c r="P43" i="14"/>
  <c r="Q43" i="14"/>
  <c r="R43" i="14"/>
  <c r="U2" i="15" l="1" a="1"/>
  <c r="U2" i="15" s="1"/>
  <c r="S48" i="14" l="1"/>
  <c r="R48" i="14"/>
  <c r="Q48" i="14"/>
  <c r="P48" i="14"/>
  <c r="O48" i="14"/>
  <c r="N48" i="14"/>
  <c r="M48" i="14"/>
  <c r="L48" i="14"/>
  <c r="S45" i="14"/>
  <c r="R45" i="14"/>
  <c r="Q45" i="14"/>
  <c r="P45" i="14"/>
  <c r="O45" i="14"/>
  <c r="N45" i="14"/>
  <c r="M45" i="14"/>
  <c r="M47" i="14" s="1"/>
  <c r="L45" i="14"/>
  <c r="L47" i="14" s="1"/>
  <c r="K45" i="14"/>
  <c r="J45" i="14"/>
  <c r="I45" i="14"/>
  <c r="H45" i="14"/>
  <c r="S41" i="14"/>
  <c r="R41" i="14"/>
  <c r="Q41" i="14"/>
  <c r="P41" i="14"/>
  <c r="S39" i="14"/>
  <c r="R39" i="14"/>
  <c r="Q39" i="14"/>
  <c r="P39" i="14"/>
  <c r="O39" i="14"/>
  <c r="N39" i="14"/>
  <c r="M39" i="14"/>
  <c r="L39" i="14"/>
  <c r="S36" i="14"/>
  <c r="R36" i="14"/>
  <c r="Q36" i="14"/>
  <c r="P36" i="14"/>
  <c r="O36" i="14"/>
  <c r="P37" i="14" s="1"/>
  <c r="N36" i="14"/>
  <c r="M36" i="14"/>
  <c r="L36" i="14"/>
  <c r="K36" i="14"/>
  <c r="L37" i="14" s="1"/>
  <c r="J36" i="14"/>
  <c r="I36" i="14"/>
  <c r="H36" i="14"/>
  <c r="S32" i="14"/>
  <c r="R32" i="14"/>
  <c r="Q32" i="14"/>
  <c r="P32" i="14"/>
  <c r="S12" i="14"/>
  <c r="R12" i="14"/>
  <c r="Q12" i="14"/>
  <c r="S5" i="14"/>
  <c r="R5" i="14"/>
  <c r="Q5" i="14"/>
  <c r="P5" i="14"/>
  <c r="B4" i="14"/>
  <c r="B3" i="14" s="1"/>
  <c r="P36" i="13"/>
  <c r="Q36" i="13"/>
  <c r="R36" i="13"/>
  <c r="S36" i="13"/>
  <c r="P37" i="13"/>
  <c r="Q37" i="13"/>
  <c r="R37" i="13"/>
  <c r="S37" i="13"/>
  <c r="P38" i="13"/>
  <c r="Q38" i="13"/>
  <c r="R38" i="13"/>
  <c r="S38" i="13"/>
  <c r="P39" i="13"/>
  <c r="Q39" i="13"/>
  <c r="R39" i="13"/>
  <c r="S39" i="13"/>
  <c r="S32" i="13"/>
  <c r="R32" i="13"/>
  <c r="Q32" i="13"/>
  <c r="P32" i="13"/>
  <c r="O48" i="13"/>
  <c r="N48" i="13"/>
  <c r="M48" i="13"/>
  <c r="L48" i="13"/>
  <c r="O45" i="13"/>
  <c r="O46" i="13" s="1"/>
  <c r="N45" i="13"/>
  <c r="N46" i="13" s="1"/>
  <c r="M45" i="13"/>
  <c r="M46" i="13" s="1"/>
  <c r="L45" i="13"/>
  <c r="K45" i="13"/>
  <c r="O47" i="13" s="1"/>
  <c r="J45" i="13"/>
  <c r="N47" i="13" s="1"/>
  <c r="I45" i="13"/>
  <c r="M47" i="13" s="1"/>
  <c r="H45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O39" i="13"/>
  <c r="N39" i="13"/>
  <c r="M39" i="13"/>
  <c r="L39" i="13"/>
  <c r="O38" i="13"/>
  <c r="N38" i="13"/>
  <c r="M38" i="13"/>
  <c r="L38" i="13"/>
  <c r="O36" i="13"/>
  <c r="N36" i="13"/>
  <c r="M36" i="13"/>
  <c r="M37" i="13" s="1"/>
  <c r="L36" i="13"/>
  <c r="K36" i="13"/>
  <c r="J36" i="13"/>
  <c r="I36" i="13"/>
  <c r="H36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S12" i="13"/>
  <c r="R12" i="13"/>
  <c r="Q12" i="13"/>
  <c r="S5" i="13"/>
  <c r="R5" i="13"/>
  <c r="Q5" i="13"/>
  <c r="P5" i="13"/>
  <c r="B4" i="13"/>
  <c r="B3" i="13" s="1"/>
  <c r="D25" i="13" a="1"/>
  <c r="D16" i="13" a="1"/>
  <c r="D7" i="13" a="1"/>
  <c r="D16" i="14" a="1"/>
  <c r="D7" i="14" a="1"/>
  <c r="D25" i="14" a="1"/>
  <c r="D25" i="14" l="1"/>
  <c r="D7" i="14"/>
  <c r="D16" i="14"/>
  <c r="D7" i="13"/>
  <c r="D16" i="13"/>
  <c r="D14" i="13" s="1"/>
  <c r="D25" i="13"/>
  <c r="D23" i="13" s="1"/>
  <c r="D14" i="14"/>
  <c r="D5" i="13"/>
  <c r="D34" i="14"/>
  <c r="E34" i="14"/>
  <c r="F34" i="14"/>
  <c r="G34" i="14"/>
  <c r="H34" i="14"/>
  <c r="K34" i="14"/>
  <c r="N34" i="14"/>
  <c r="I34" i="14"/>
  <c r="J34" i="14"/>
  <c r="L34" i="14"/>
  <c r="M34" i="14"/>
  <c r="O34" i="14"/>
  <c r="N47" i="14"/>
  <c r="N46" i="14"/>
  <c r="L46" i="14"/>
  <c r="N37" i="14"/>
  <c r="O37" i="14"/>
  <c r="O46" i="14"/>
  <c r="R47" i="14"/>
  <c r="Q47" i="14"/>
  <c r="M46" i="14"/>
  <c r="S47" i="14"/>
  <c r="P47" i="14"/>
  <c r="O47" i="14"/>
  <c r="M37" i="14"/>
  <c r="P38" i="14"/>
  <c r="Q38" i="14"/>
  <c r="R38" i="14"/>
  <c r="S38" i="14"/>
  <c r="N38" i="14"/>
  <c r="M38" i="14"/>
  <c r="O38" i="14"/>
  <c r="O18" i="14"/>
  <c r="N18" i="14"/>
  <c r="N14" i="14"/>
  <c r="M18" i="14"/>
  <c r="K18" i="14"/>
  <c r="O14" i="14"/>
  <c r="L18" i="14"/>
  <c r="J18" i="14"/>
  <c r="I18" i="14"/>
  <c r="H18" i="14"/>
  <c r="G14" i="14"/>
  <c r="F14" i="14"/>
  <c r="E14" i="14"/>
  <c r="O21" i="14"/>
  <c r="N21" i="14"/>
  <c r="M21" i="14"/>
  <c r="H14" i="14"/>
  <c r="M14" i="14"/>
  <c r="L14" i="14"/>
  <c r="K14" i="14"/>
  <c r="J14" i="14"/>
  <c r="I14" i="14"/>
  <c r="L21" i="14"/>
  <c r="M27" i="14"/>
  <c r="L27" i="14"/>
  <c r="N23" i="14"/>
  <c r="K27" i="14"/>
  <c r="J27" i="14"/>
  <c r="I27" i="14"/>
  <c r="H27" i="14"/>
  <c r="O23" i="14"/>
  <c r="G23" i="14"/>
  <c r="F23" i="14"/>
  <c r="H23" i="14"/>
  <c r="O30" i="14"/>
  <c r="M23" i="14"/>
  <c r="L23" i="14"/>
  <c r="K23" i="14"/>
  <c r="J23" i="14"/>
  <c r="I23" i="14"/>
  <c r="E23" i="14"/>
  <c r="N30" i="14"/>
  <c r="M30" i="14"/>
  <c r="L30" i="14"/>
  <c r="O27" i="14"/>
  <c r="N27" i="14"/>
  <c r="M12" i="14"/>
  <c r="K9" i="14"/>
  <c r="J5" i="14"/>
  <c r="L12" i="14"/>
  <c r="J9" i="14"/>
  <c r="N5" i="14"/>
  <c r="I9" i="14"/>
  <c r="O5" i="14"/>
  <c r="H9" i="14"/>
  <c r="G5" i="14"/>
  <c r="F5" i="14"/>
  <c r="Q9" i="14"/>
  <c r="P9" i="14"/>
  <c r="O9" i="14"/>
  <c r="H5" i="14"/>
  <c r="E5" i="14"/>
  <c r="R9" i="14"/>
  <c r="M5" i="14"/>
  <c r="K5" i="14"/>
  <c r="I5" i="14"/>
  <c r="L5" i="14"/>
  <c r="S9" i="14"/>
  <c r="P12" i="14"/>
  <c r="N9" i="14"/>
  <c r="O12" i="14"/>
  <c r="M9" i="14"/>
  <c r="N12" i="14"/>
  <c r="L9" i="14"/>
  <c r="P46" i="14"/>
  <c r="Q46" i="14"/>
  <c r="R46" i="14"/>
  <c r="S46" i="14"/>
  <c r="Q37" i="14"/>
  <c r="R37" i="14"/>
  <c r="S37" i="14"/>
  <c r="L38" i="14"/>
  <c r="L47" i="13"/>
  <c r="U34" i="13" s="1" a="1"/>
  <c r="U34" i="13" s="1"/>
  <c r="L46" i="13"/>
  <c r="N37" i="13"/>
  <c r="L37" i="13"/>
  <c r="O37" i="13"/>
  <c r="O18" i="13"/>
  <c r="M18" i="13"/>
  <c r="N18" i="13"/>
  <c r="L18" i="13"/>
  <c r="I18" i="13"/>
  <c r="K18" i="13"/>
  <c r="J18" i="13"/>
  <c r="H18" i="13"/>
  <c r="O14" i="13"/>
  <c r="N14" i="13"/>
  <c r="M14" i="13"/>
  <c r="L14" i="13"/>
  <c r="K14" i="13"/>
  <c r="G14" i="13"/>
  <c r="E14" i="13"/>
  <c r="O21" i="13"/>
  <c r="M21" i="13"/>
  <c r="L21" i="13"/>
  <c r="J14" i="13"/>
  <c r="I14" i="13"/>
  <c r="H14" i="13"/>
  <c r="F14" i="13"/>
  <c r="N21" i="13"/>
  <c r="M27" i="13"/>
  <c r="L27" i="13"/>
  <c r="K27" i="13"/>
  <c r="J27" i="13"/>
  <c r="I27" i="13"/>
  <c r="H27" i="13"/>
  <c r="O23" i="13"/>
  <c r="N23" i="13"/>
  <c r="M23" i="13"/>
  <c r="L23" i="13"/>
  <c r="K23" i="13"/>
  <c r="G23" i="13"/>
  <c r="E23" i="13"/>
  <c r="O30" i="13"/>
  <c r="M30" i="13"/>
  <c r="L30" i="13"/>
  <c r="J23" i="13"/>
  <c r="I23" i="13"/>
  <c r="H23" i="13"/>
  <c r="F23" i="13"/>
  <c r="N30" i="13"/>
  <c r="O27" i="13"/>
  <c r="N27" i="13"/>
  <c r="M12" i="13"/>
  <c r="K9" i="13"/>
  <c r="J9" i="13"/>
  <c r="I9" i="13"/>
  <c r="H9" i="13"/>
  <c r="L12" i="13"/>
  <c r="O5" i="13"/>
  <c r="N5" i="13"/>
  <c r="N12" i="13"/>
  <c r="L9" i="13"/>
  <c r="M5" i="13"/>
  <c r="L5" i="13"/>
  <c r="K5" i="13"/>
  <c r="S9" i="13"/>
  <c r="Q9" i="13"/>
  <c r="O9" i="13"/>
  <c r="P12" i="13"/>
  <c r="J5" i="13"/>
  <c r="I5" i="13"/>
  <c r="H5" i="13"/>
  <c r="G5" i="13"/>
  <c r="F5" i="13"/>
  <c r="E5" i="13"/>
  <c r="R9" i="13"/>
  <c r="P9" i="13"/>
  <c r="N9" i="13"/>
  <c r="O12" i="13"/>
  <c r="M9" i="13"/>
  <c r="U26" i="13" a="1"/>
  <c r="U26" i="13" s="1"/>
  <c r="D23" i="14" l="1"/>
  <c r="K32" i="14"/>
  <c r="K43" i="14"/>
  <c r="J32" i="14"/>
  <c r="J43" i="14"/>
  <c r="H32" i="14"/>
  <c r="H43" i="14"/>
  <c r="H41" i="14" s="1"/>
  <c r="F32" i="14"/>
  <c r="F43" i="14"/>
  <c r="F41" i="14" s="1"/>
  <c r="O32" i="14"/>
  <c r="O43" i="14"/>
  <c r="E32" i="14"/>
  <c r="E43" i="14"/>
  <c r="E41" i="14" s="1"/>
  <c r="N32" i="14"/>
  <c r="N43" i="14"/>
  <c r="M32" i="14"/>
  <c r="M43" i="14"/>
  <c r="L32" i="14"/>
  <c r="L43" i="14"/>
  <c r="I32" i="14"/>
  <c r="I43" i="14"/>
  <c r="I41" i="14" s="1"/>
  <c r="G32" i="14"/>
  <c r="G43" i="14"/>
  <c r="G41" i="14" s="1"/>
  <c r="D5" i="14"/>
  <c r="U10" i="14" a="1"/>
  <c r="U10" i="14" s="1"/>
  <c r="N11" i="14"/>
  <c r="N10" i="14"/>
  <c r="M11" i="14"/>
  <c r="M10" i="14"/>
  <c r="R11" i="14"/>
  <c r="R10" i="14"/>
  <c r="Q11" i="14"/>
  <c r="Q10" i="14"/>
  <c r="U18" i="14" a="1"/>
  <c r="U18" i="14" s="1"/>
  <c r="L11" i="14"/>
  <c r="L10" i="14"/>
  <c r="S11" i="14"/>
  <c r="S10" i="14"/>
  <c r="O11" i="14"/>
  <c r="O10" i="14"/>
  <c r="P10" i="14"/>
  <c r="P11" i="14"/>
  <c r="R11" i="13"/>
  <c r="R10" i="13"/>
  <c r="M11" i="13"/>
  <c r="M10" i="13"/>
  <c r="N11" i="13"/>
  <c r="N10" i="13"/>
  <c r="P11" i="13"/>
  <c r="P10" i="13"/>
  <c r="Q11" i="13"/>
  <c r="Q10" i="13"/>
  <c r="S11" i="13"/>
  <c r="S10" i="13"/>
  <c r="U10" i="13" a="1"/>
  <c r="U10" i="13" s="1"/>
  <c r="O11" i="13"/>
  <c r="O10" i="13"/>
  <c r="U18" i="13" a="1"/>
  <c r="U18" i="13" s="1"/>
  <c r="L11" i="13"/>
  <c r="L10" i="13"/>
  <c r="U2" i="13" l="1" a="1"/>
  <c r="U2" i="13" s="1"/>
  <c r="U2" i="14" a="1"/>
  <c r="U2" i="14" s="1"/>
  <c r="J41" i="14"/>
  <c r="O41" i="14"/>
  <c r="K41" i="14"/>
  <c r="N41" i="14"/>
  <c r="L41" i="14"/>
  <c r="M41" i="14"/>
  <c r="U26" i="14" a="1"/>
  <c r="U26" i="14" s="1"/>
  <c r="D32" i="14"/>
  <c r="D43" i="14"/>
  <c r="D41" i="14" s="1"/>
  <c r="U34" i="14" l="1" a="1"/>
  <c r="U34" i="14" s="1"/>
  <c r="S48" i="8" l="1"/>
  <c r="R48" i="8"/>
  <c r="Q48" i="8"/>
  <c r="P48" i="8"/>
  <c r="O48" i="8"/>
  <c r="N48" i="8"/>
  <c r="M48" i="8"/>
  <c r="L48" i="8"/>
  <c r="S45" i="8"/>
  <c r="R45" i="8"/>
  <c r="Q45" i="8"/>
  <c r="P45" i="8"/>
  <c r="O45" i="8"/>
  <c r="N45" i="8"/>
  <c r="M45" i="8"/>
  <c r="L45" i="8"/>
  <c r="K45" i="8"/>
  <c r="J45" i="8"/>
  <c r="I45" i="8"/>
  <c r="H45" i="8"/>
  <c r="P41" i="8"/>
  <c r="Q41" i="8"/>
  <c r="R41" i="8"/>
  <c r="S41" i="8"/>
  <c r="S39" i="8"/>
  <c r="R39" i="8"/>
  <c r="Q39" i="8"/>
  <c r="P39" i="8"/>
  <c r="O39" i="8"/>
  <c r="N39" i="8"/>
  <c r="M39" i="8"/>
  <c r="L39" i="8"/>
  <c r="S36" i="8"/>
  <c r="R36" i="8"/>
  <c r="Q36" i="8"/>
  <c r="P36" i="8"/>
  <c r="O36" i="8"/>
  <c r="N36" i="8"/>
  <c r="M36" i="8"/>
  <c r="L36" i="8"/>
  <c r="K36" i="8"/>
  <c r="J36" i="8"/>
  <c r="I36" i="8"/>
  <c r="M38" i="8" s="1"/>
  <c r="H36" i="8"/>
  <c r="P32" i="8"/>
  <c r="Q32" i="8"/>
  <c r="R32" i="8"/>
  <c r="S32" i="8"/>
  <c r="N46" i="8" l="1"/>
  <c r="S47" i="8"/>
  <c r="O47" i="8"/>
  <c r="N38" i="8"/>
  <c r="M46" i="8"/>
  <c r="L38" i="8"/>
  <c r="O38" i="8"/>
  <c r="L37" i="8"/>
  <c r="R47" i="8"/>
  <c r="Q46" i="8"/>
  <c r="O46" i="8"/>
  <c r="P46" i="8"/>
  <c r="N47" i="8"/>
  <c r="L47" i="8"/>
  <c r="M47" i="8"/>
  <c r="L46" i="8"/>
  <c r="M37" i="8"/>
  <c r="N37" i="8"/>
  <c r="S38" i="8"/>
  <c r="R38" i="8"/>
  <c r="Q38" i="8"/>
  <c r="P38" i="8"/>
  <c r="O37" i="8"/>
  <c r="S46" i="8"/>
  <c r="R46" i="8"/>
  <c r="Q47" i="8"/>
  <c r="P47" i="8"/>
  <c r="P37" i="8"/>
  <c r="Q37" i="8"/>
  <c r="R37" i="8"/>
  <c r="S37" i="8"/>
  <c r="Q12" i="8" l="1"/>
  <c r="R12" i="8"/>
  <c r="S12" i="8"/>
  <c r="P5" i="8"/>
  <c r="Q5" i="8"/>
  <c r="R5" i="8"/>
  <c r="S5" i="8"/>
  <c r="B4" i="8" l="1"/>
  <c r="B3" i="8" s="1"/>
  <c r="D16" i="8" a="1"/>
  <c r="D25" i="8" a="1"/>
  <c r="D7" i="8" a="1"/>
  <c r="D7" i="8" l="1"/>
  <c r="D25" i="8"/>
  <c r="D16" i="8"/>
  <c r="D14" i="8" s="1"/>
  <c r="I61" i="8"/>
  <c r="L61" i="8"/>
  <c r="H61" i="8"/>
  <c r="H59" i="8" s="1"/>
  <c r="J61" i="8"/>
  <c r="O61" i="8"/>
  <c r="K61" i="8"/>
  <c r="N61" i="8"/>
  <c r="N59" i="8" s="1"/>
  <c r="M61" i="8"/>
  <c r="G61" i="8"/>
  <c r="F61" i="8"/>
  <c r="F59" i="8" s="1"/>
  <c r="E61" i="8"/>
  <c r="E52" i="8"/>
  <c r="E50" i="8" s="1"/>
  <c r="O52" i="8"/>
  <c r="O50" i="8" s="1"/>
  <c r="N52" i="8"/>
  <c r="N50" i="8" s="1"/>
  <c r="M52" i="8"/>
  <c r="M50" i="8" s="1"/>
  <c r="L52" i="8"/>
  <c r="L50" i="8" s="1"/>
  <c r="F52" i="8"/>
  <c r="F50" i="8" s="1"/>
  <c r="K52" i="8"/>
  <c r="K50" i="8" s="1"/>
  <c r="J52" i="8"/>
  <c r="J50" i="8" s="1"/>
  <c r="I52" i="8"/>
  <c r="I50" i="8" s="1"/>
  <c r="H52" i="8"/>
  <c r="H50" i="8" s="1"/>
  <c r="G52" i="8"/>
  <c r="G50" i="8" s="1"/>
  <c r="K43" i="8"/>
  <c r="N43" i="8"/>
  <c r="M43" i="8"/>
  <c r="J43" i="8"/>
  <c r="O43" i="8"/>
  <c r="L43" i="8"/>
  <c r="I43" i="8"/>
  <c r="H43" i="8"/>
  <c r="G43" i="8"/>
  <c r="F43" i="8"/>
  <c r="E43" i="8"/>
  <c r="J34" i="8"/>
  <c r="E34" i="8"/>
  <c r="G34" i="8"/>
  <c r="I34" i="8"/>
  <c r="K34" i="8"/>
  <c r="L34" i="8"/>
  <c r="F34" i="8"/>
  <c r="H34" i="8"/>
  <c r="M34" i="8"/>
  <c r="N34" i="8"/>
  <c r="O34" i="8"/>
  <c r="P9" i="8"/>
  <c r="Q9" i="8"/>
  <c r="R9" i="8"/>
  <c r="S9" i="8"/>
  <c r="P12" i="8"/>
  <c r="O30" i="8"/>
  <c r="N30" i="8"/>
  <c r="M30" i="8"/>
  <c r="L30" i="8"/>
  <c r="O21" i="8"/>
  <c r="N21" i="8"/>
  <c r="M21" i="8"/>
  <c r="L21" i="8"/>
  <c r="O9" i="8"/>
  <c r="O12" i="8"/>
  <c r="O18" i="8"/>
  <c r="O27" i="8"/>
  <c r="O23" i="8"/>
  <c r="O14" i="8"/>
  <c r="O5" i="8"/>
  <c r="E23" i="8"/>
  <c r="N27" i="8"/>
  <c r="M27" i="8"/>
  <c r="N23" i="8"/>
  <c r="L23" i="8"/>
  <c r="K23" i="8"/>
  <c r="J23" i="8"/>
  <c r="I23" i="8"/>
  <c r="H23" i="8"/>
  <c r="G23" i="8"/>
  <c r="F23" i="8"/>
  <c r="L27" i="8"/>
  <c r="J27" i="8"/>
  <c r="K27" i="8"/>
  <c r="I27" i="8"/>
  <c r="H27" i="8"/>
  <c r="M23" i="8"/>
  <c r="N18" i="8"/>
  <c r="M18" i="8"/>
  <c r="L18" i="8"/>
  <c r="M14" i="8"/>
  <c r="K14" i="8"/>
  <c r="J14" i="8"/>
  <c r="I14" i="8"/>
  <c r="H14" i="8"/>
  <c r="G14" i="8"/>
  <c r="F14" i="8"/>
  <c r="E14" i="8"/>
  <c r="I18" i="8"/>
  <c r="N14" i="8"/>
  <c r="K18" i="8"/>
  <c r="J18" i="8"/>
  <c r="H18" i="8"/>
  <c r="L14" i="8"/>
  <c r="I5" i="8"/>
  <c r="H5" i="8"/>
  <c r="M12" i="8"/>
  <c r="G5" i="8"/>
  <c r="L12" i="8"/>
  <c r="F5" i="8"/>
  <c r="M9" i="8"/>
  <c r="N5" i="8"/>
  <c r="M5" i="8"/>
  <c r="L5" i="8"/>
  <c r="K5" i="8"/>
  <c r="J5" i="8"/>
  <c r="N12" i="8"/>
  <c r="E5" i="8"/>
  <c r="L9" i="8"/>
  <c r="J9" i="8"/>
  <c r="H9" i="8"/>
  <c r="N9" i="8"/>
  <c r="K9" i="8"/>
  <c r="I9" i="8"/>
  <c r="U42" i="8" l="1" a="1"/>
  <c r="U42" i="8" s="1"/>
  <c r="K59" i="8"/>
  <c r="O59" i="8"/>
  <c r="L59" i="8"/>
  <c r="I59" i="8"/>
  <c r="J59" i="8"/>
  <c r="M59" i="8"/>
  <c r="G59" i="8"/>
  <c r="E59" i="8"/>
  <c r="D52" i="8"/>
  <c r="D50" i="8" s="1"/>
  <c r="D61" i="8"/>
  <c r="D34" i="8"/>
  <c r="D43" i="8"/>
  <c r="D41" i="8" s="1"/>
  <c r="D23" i="8"/>
  <c r="N32" i="8"/>
  <c r="N41" i="8"/>
  <c r="F32" i="8"/>
  <c r="F41" i="8"/>
  <c r="G32" i="8"/>
  <c r="G41" i="8"/>
  <c r="O32" i="8"/>
  <c r="O41" i="8"/>
  <c r="M32" i="8"/>
  <c r="M41" i="8"/>
  <c r="L32" i="8"/>
  <c r="L41" i="8"/>
  <c r="K32" i="8"/>
  <c r="K41" i="8"/>
  <c r="H32" i="8"/>
  <c r="H41" i="8"/>
  <c r="J32" i="8"/>
  <c r="J41" i="8"/>
  <c r="I32" i="8"/>
  <c r="I41" i="8"/>
  <c r="E32" i="8"/>
  <c r="E41" i="8"/>
  <c r="D5" i="8"/>
  <c r="U18" i="8" a="1"/>
  <c r="U18" i="8" s="1"/>
  <c r="U10" i="8" a="1"/>
  <c r="U10" i="8" s="1"/>
  <c r="S11" i="8"/>
  <c r="S10" i="8"/>
  <c r="R11" i="8"/>
  <c r="R10" i="8"/>
  <c r="Q11" i="8"/>
  <c r="Q10" i="8"/>
  <c r="P10" i="8"/>
  <c r="P11" i="8"/>
  <c r="O10" i="8"/>
  <c r="O11" i="8"/>
  <c r="M11" i="8"/>
  <c r="M10" i="8"/>
  <c r="N10" i="8"/>
  <c r="N11" i="8"/>
  <c r="L11" i="8"/>
  <c r="L10" i="8"/>
  <c r="U50" i="8" l="1" a="1"/>
  <c r="U50" i="8" s="1"/>
  <c r="D59" i="8"/>
  <c r="D32" i="8"/>
  <c r="U34" i="8" a="1"/>
  <c r="U34" i="8" s="1"/>
  <c r="U26" i="8" a="1"/>
  <c r="U26" i="8" s="1"/>
  <c r="U2" i="8" a="1"/>
  <c r="U2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<sst xmlns="http://schemas.openxmlformats.org/spreadsheetml/2006/main" count="853" uniqueCount="71">
  <si>
    <t>IS_COMP_SALES</t>
  </si>
  <si>
    <t>Stock:</t>
  </si>
  <si>
    <t>End Day</t>
  </si>
  <si>
    <t>Beg. Day</t>
  </si>
  <si>
    <t>Y/Y</t>
  </si>
  <si>
    <t>Q/Q</t>
  </si>
  <si>
    <t>GROSS_MARGIN</t>
  </si>
  <si>
    <t>OPER_MARGIN</t>
  </si>
  <si>
    <t>revenue</t>
  </si>
  <si>
    <t>canonical</t>
  </si>
  <si>
    <t>value</t>
  </si>
  <si>
    <t>calendar_quarter</t>
  </si>
  <si>
    <t>Calendar Quarter</t>
  </si>
  <si>
    <t>company</t>
  </si>
  <si>
    <t>gross_margin_gaap</t>
  </si>
  <si>
    <t>operating_margin_gaap</t>
  </si>
  <si>
    <t>yoy</t>
  </si>
  <si>
    <t>kpi</t>
  </si>
  <si>
    <t>type</t>
  </si>
  <si>
    <t>Y/Y vs last Q</t>
  </si>
  <si>
    <t>yoy_vs_last_q</t>
  </si>
  <si>
    <t>custom</t>
  </si>
  <si>
    <t>ignore</t>
  </si>
  <si>
    <t>Y/Y vs last Y</t>
  </si>
  <si>
    <t>yoy_vs_last_y</t>
  </si>
  <si>
    <t>Qoq</t>
  </si>
  <si>
    <t>ADPT US EQUITY</t>
  </si>
  <si>
    <t>mrd_sales</t>
  </si>
  <si>
    <t>MRD Sales</t>
  </si>
  <si>
    <t>clonoSEQ test volumes</t>
  </si>
  <si>
    <t>VCYT US EQUITY</t>
  </si>
  <si>
    <t>Test Volume</t>
  </si>
  <si>
    <t>revenue_per_test</t>
  </si>
  <si>
    <t>test_volume</t>
  </si>
  <si>
    <t>Revenue Per Test</t>
  </si>
  <si>
    <t>Period Status</t>
  </si>
  <si>
    <t>actual</t>
  </si>
  <si>
    <t>forecast</t>
  </si>
  <si>
    <t>status</t>
  </si>
  <si>
    <t>Afirma</t>
  </si>
  <si>
    <t>Afirma Volume</t>
  </si>
  <si>
    <t>Decipher</t>
  </si>
  <si>
    <t>Decipher Volume</t>
  </si>
  <si>
    <t>NEO US EQUITY</t>
  </si>
  <si>
    <t>GH US EQUITY</t>
  </si>
  <si>
    <t>oncology_test_volumes</t>
  </si>
  <si>
    <t>Oncology Test Volumes</t>
  </si>
  <si>
    <t>oncology_revenue</t>
  </si>
  <si>
    <t>Oncology Revenue</t>
  </si>
  <si>
    <t>oncology_rev_per_test</t>
  </si>
  <si>
    <t>Oncology Rev Per Test</t>
  </si>
  <si>
    <t>screening_test_volumes</t>
  </si>
  <si>
    <t>Screening Test Volumes</t>
  </si>
  <si>
    <t>screening_revenue</t>
  </si>
  <si>
    <t>Screening Revenue</t>
  </si>
  <si>
    <t>screening_rev_per_test</t>
  </si>
  <si>
    <t>NTRA US EQUITY</t>
  </si>
  <si>
    <t>total_test_volume</t>
  </si>
  <si>
    <t>Signatera Volume</t>
  </si>
  <si>
    <t>signatera_MRD_CLIA_volume</t>
  </si>
  <si>
    <t>signatera_revenue_per_test</t>
  </si>
  <si>
    <t>Signatera ASP</t>
  </si>
  <si>
    <t>TEM US EQUITY</t>
  </si>
  <si>
    <t>hereditary_test_volumes</t>
  </si>
  <si>
    <t>Hereditary Test Volumes</t>
  </si>
  <si>
    <t>hereditary_revenue</t>
  </si>
  <si>
    <t>Hereditary Revenue</t>
  </si>
  <si>
    <t>hereditary_rev_per_test</t>
  </si>
  <si>
    <t>Hereditary Rev Per Test</t>
  </si>
  <si>
    <t>data_revenue</t>
  </si>
  <si>
    <t>Data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</si>
</sst>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164" formatCode="0&quot; bps&quot;"/>
    <numFmt numFmtId="165" formatCode="0.0%"/>
    <numFmt numFmtId="166" formatCode="_(&quot;$&quot;* #,##0.0_);_(&quot;$&quot;* \(#,##0.0\);_(&quot;$&quot;* &quot;-&quot;?_);_(@_)"/>
    <numFmt numFmtId="167" formatCode="&quot;$&quot;#,##0.0_);\(&quot;$&quot;#,##0.0\)"/>
  </numFmts>
  <fonts count="9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5" fillId="3" borderId="2" applyNumberFormat="0" applyAlignment="0" applyProtection="0"/>
    <xf numFmtId="0" fontId="6" fillId="3" borderId="1" applyNumberFormat="0" applyAlignment="0" applyProtection="0"/>
    <xf numFmtId="0" fontId="7" fillId="0" borderId="0" applyNumberFormat="0" applyFill="0" applyBorder="0" applyAlignment="0" applyProtection="0"/>
    <xf numFmtId="0" fontId="4" fillId="4" borderId="3" applyNumberFormat="0" applyFont="0" applyAlignment="0" applyProtection="0"/>
  </cellStyleXfs>
  <cellXfs count="37">
    <xf numFmtId="0" fontId="0" fillId="0" borderId="0" xfId="0"/>
    <xf numFmtId="14" fontId="0" fillId="0" borderId="0" xfId="0" applyNumberFormat="1"/>
    <xf numFmtId="14" fontId="1" fillId="2" borderId="1" xfId="1" applyNumberFormat="1"/>
    <xf numFmtId="4" fontId="0" fillId="0" borderId="0" xfId="0" applyNumberFormat="1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  <xf numFmtId="10" fontId="3" fillId="2" borderId="1" xfId="1" applyNumberFormat="1" applyFont="1"/>
    <xf numFmtId="14" fontId="3" fillId="2" borderId="1" xfId="1" applyNumberFormat="1" applyFont="1"/>
    <xf numFmtId="42" fontId="1" fillId="2" borderId="1" xfId="1" applyNumberFormat="1"/>
    <xf numFmtId="166" fontId="0" fillId="0" borderId="0" xfId="0" applyNumberFormat="1"/>
    <xf numFmtId="165" fontId="2" fillId="0" borderId="0" xfId="0" applyNumberFormat="1" applyFont="1"/>
    <xf numFmtId="14" fontId="5" fillId="3" borderId="2" xfId="2" applyNumberFormat="1"/>
    <xf numFmtId="14" fontId="8" fillId="0" borderId="0" xfId="0" applyNumberFormat="1" applyFont="1"/>
    <xf numFmtId="14" fontId="6" fillId="3" borderId="1" xfId="3" applyNumberFormat="1"/>
    <xf numFmtId="0" fontId="8" fillId="4" borderId="3" xfId="5" applyFont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1" fillId="2" borderId="8" xfId="1" applyNumberFormat="1" applyBorder="1"/>
    <xf numFmtId="0" fontId="7" fillId="0" borderId="0" xfId="0" applyFont="1"/>
    <xf numFmtId="0" fontId="7" fillId="0" borderId="0" xfId="4"/>
    <xf numFmtId="14" fontId="7" fillId="0" borderId="0" xfId="4" applyNumberFormat="1"/>
    <xf numFmtId="0" fontId="1" fillId="2" borderId="1" xfId="1"/>
    <xf numFmtId="166" fontId="3" fillId="2" borderId="1" xfId="1" applyNumberFormat="1" applyFont="1"/>
    <xf numFmtId="41" fontId="1" fillId="2" borderId="1" xfId="1" applyNumberFormat="1"/>
    <xf numFmtId="167" fontId="1" fillId="2" borderId="1" xfId="1" applyNumberFormat="1"/>
    <xf numFmtId="4" fontId="3" fillId="2" borderId="1" xfId="1" applyNumberFormat="1" applyFont="1"/>
    <xf numFmtId="4" fontId="2" fillId="0" borderId="0" xfId="0" applyNumberFormat="1" applyFont="1"/>
    <xf numFmtId="37" fontId="1" fillId="2" borderId="1" xfId="1" applyNumberFormat="1"/>
    <xf numFmtId="4" fontId="7" fillId="0" borderId="0" xfId="4" applyNumberFormat="1"/>
    <xf numFmtId="166" fontId="1" fillId="2" borderId="1" xfId="1" applyNumberFormat="1"/>
    <xf numFmtId="8" fontId="2" fillId="0" borderId="0" xfId="0" applyNumberFormat="1" applyFont="1"/>
    <xf numFmtId="8" fontId="1" fillId="2" borderId="1" xfId="1" applyNumberFormat="1"/>
    <xf numFmtId="7" fontId="0" fillId="0" borderId="0" xfId="0" applyNumberFormat="1"/>
  </cellXfs>
  <cellStyles count="6">
    <cellStyle name="Calculation" xfId="3" builtinId="22"/>
    <cellStyle name="Input" xfId="1" builtinId="20"/>
    <cellStyle name="Normal" xfId="0" builtinId="0"/>
    <cellStyle name="Note" xfId="5" builtinId="10"/>
    <cellStyle name="Output" xfId="2" builtinId="21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BDH|11035927726153620292</stp>
        <tr r="D25" s="15"/>
      </tp>
      <tp t="s">
        <v>#N/A N/A</v>
        <stp/>
        <stp>BDH|16986997150974934238</stp>
        <tr r="D16" s="14"/>
      </tp>
      <tp t="s">
        <v>#N/A N/A</v>
        <stp/>
        <stp>BDH|11102980958411971192</stp>
        <tr r="D7" s="15"/>
      </tp>
      <tp t="s">
        <v>#N/A N/A</v>
        <stp/>
        <stp>BDH|13990844549962007068</stp>
        <tr r="D7" s="14"/>
      </tp>
      <tp t="s">
        <v>#N/A N/A</v>
        <stp/>
        <stp>BDH|11246157783137562246</stp>
        <tr r="D25" s="13"/>
      </tp>
      <tp t="s">
        <v>#N/A N/A</v>
        <stp/>
        <stp>BDH|12965273444776551176</stp>
        <tr r="D16" s="16"/>
      </tp>
      <tp t="s">
        <v>#N/A N/A</v>
        <stp/>
        <stp>BDH|16820797438213809597</stp>
        <tr r="D7" s="13"/>
      </tp>
      <tp t="s">
        <v>#N/A N/A</v>
        <stp/>
        <stp>BDH|11137175209421355444</stp>
        <tr r="D25" s="8"/>
      </tp>
    </main>
    <main first="bofaddin.rtdserver">
      <tp t="s">
        <v>#N/A N/A</v>
        <stp/>
        <stp>BDH|3123407921061529831</stp>
        <tr r="D25" s="16"/>
      </tp>
      <tp t="s">
        <v>#N/A N/A</v>
        <stp/>
        <stp>BDH|5887069528440135945</stp>
        <tr r="D25" s="14"/>
      </tp>
      <tp t="s">
        <v>#N/A N/A</v>
        <stp/>
        <stp>BDH|8102436615532875771</stp>
        <tr r="D7" s="8"/>
      </tp>
      <tp t="s">
        <v>#N/A N/A</v>
        <stp/>
        <stp>BDH|5637859954895453560</stp>
        <tr r="D7" s="16"/>
      </tp>
      <tp t="s">
        <v>#N/A N/A</v>
        <stp/>
        <stp>BDH|6804275965462298678</stp>
        <tr r="D16" s="13"/>
      </tp>
      <tp t="s">
        <v>#N/A N/A</v>
        <stp/>
        <stp>BDH|1511095535636820268</stp>
        <tr r="D16" s="15"/>
      </tp>
      <tp t="s">
        <v>#N/A N/A</v>
        <stp/>
        <stp>BDH|4533877244538545013</stp>
        <tr r="D16" s="8"/>
      </tp>
      <tp t="s">
        <v>#N/A N/A</v>
        <stp/>
        <stp>BDH|8090093473966879840</stp>
        <tr r="D25" s="17"/>
      </tp>
      <tp t="s">
        <v>#N/A N/A</v>
        <stp/>
        <stp>BDH|6479293907125943330</stp>
        <tr r="D16" s="1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7E0F-42C9-48F7-9B13-2EE31ED3DB97}">
  <dimension ref="A1:AD94"/>
  <sheetViews>
    <sheetView topLeftCell="H1" zoomScale="85" zoomScaleNormal="85" workbookViewId="0">
      <selection activeCell="L32" sqref="L32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265625" bestFit="1" customWidth="1"/>
    <col min="5" max="6" width="9.59765625" bestFit="1" customWidth="1"/>
    <col min="7" max="10" width="10.3984375" customWidth="1"/>
    <col min="11" max="11" width="10.59765625" bestFit="1" customWidth="1"/>
    <col min="12" max="13" width="9.59765625" bestFit="1" customWidth="1"/>
    <col min="14" max="14" width="11.3984375" bestFit="1" customWidth="1"/>
    <col min="15" max="15" width="10.59765625" bestFit="1" customWidth="1"/>
    <col min="16" max="19" width="10.3984375" customWidth="1"/>
    <col min="20" max="20" width="9" customWidth="1"/>
    <col min="21" max="21" width="12.3984375" bestFit="1" customWidth="1"/>
    <col min="22" max="22" width="14.3984375" bestFit="1" customWidth="1"/>
    <col min="23" max="23" width="8.59765625" bestFit="1" customWidth="1"/>
    <col min="24" max="24" width="20.265625" bestFit="1" customWidth="1"/>
    <col min="25" max="25" width="7.3984375" bestFit="1" customWidth="1"/>
    <col min="26" max="26" width="10.73046875" bestFit="1" customWidth="1"/>
    <col min="27" max="27" width="9.1328125" bestFit="1" customWidth="1"/>
    <col min="28" max="28" width="10.3984375" bestFit="1" customWidth="1"/>
    <col min="29" max="29" width="9.1328125" bestFit="1" customWidth="1"/>
  </cols>
  <sheetData>
    <row r="1" spans="1:30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45">
      <c r="A2" s="17" t="s">
        <v>1</v>
      </c>
      <c r="B2" s="25" t="s">
        <v>62</v>
      </c>
      <c r="U2" s="24" t="str" cm="1">
        <f t="array" ref="U2:AD9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TEM US EQUITY</v>
      </c>
      <c r="V2" s="24">
        <v>45747</v>
      </c>
      <c r="W2" s="24" t="str">
        <v>canonical</v>
      </c>
      <c r="X2" s="24" t="str">
        <v>revenue</v>
      </c>
      <c r="Y2" s="24" t="str">
        <v>actual</v>
      </c>
      <c r="Z2" s="32" t="str">
        <v>255.737</v>
      </c>
      <c r="AA2" s="32" t="str">
        <v>0.753784993853294</v>
      </c>
      <c r="AB2" s="32" t="str">
        <v>3949.94763139748</v>
      </c>
      <c r="AC2" s="32" t="str">
        <v>4926.32338721733</v>
      </c>
      <c r="AD2" s="32" t="str">
        <v>0.274352202511461</v>
      </c>
    </row>
    <row r="3" spans="1:30" x14ac:dyDescent="0.45">
      <c r="A3" s="18" t="s">
        <v>3</v>
      </c>
      <c r="B3" s="19">
        <f ca="1">+B4-365*3</f>
        <v>45016</v>
      </c>
      <c r="U3" s="24" t="str">
        <v>TEM US EQUITY</v>
      </c>
      <c r="V3" s="24">
        <v>45838</v>
      </c>
      <c r="W3" s="24" t="str">
        <v>canonical</v>
      </c>
      <c r="X3" s="24" t="str">
        <v>revenue</v>
      </c>
      <c r="Y3" s="24" t="str">
        <v>actual</v>
      </c>
      <c r="Z3" s="32" t="str">
        <v>314.635</v>
      </c>
      <c r="AA3" s="32" t="str">
        <v>0.895745591044111</v>
      </c>
      <c r="AB3" s="32" t="str">
        <v>1419.60597190816</v>
      </c>
      <c r="AC3" s="32" t="str">
        <v>6423.57929922959</v>
      </c>
      <c r="AD3" s="32" t="str">
        <v>0.23030691687163</v>
      </c>
    </row>
    <row r="4" spans="1:30" x14ac:dyDescent="0.45">
      <c r="A4" s="20" t="s">
        <v>2</v>
      </c>
      <c r="B4" s="21">
        <f ca="1">TODAY()</f>
        <v>46111</v>
      </c>
      <c r="U4" s="24" t="str">
        <v>TEM US EQUITY</v>
      </c>
      <c r="V4" s="24">
        <v>45930</v>
      </c>
      <c r="W4" s="24" t="str">
        <v>canonical</v>
      </c>
      <c r="X4" s="24" t="str">
        <v>revenue</v>
      </c>
      <c r="Y4" s="24" t="str">
        <v>actual</v>
      </c>
      <c r="Z4" s="32" t="str">
        <v>334.206</v>
      </c>
      <c r="AA4" s="32" t="str">
        <v>0.847166568101299</v>
      </c>
      <c r="AB4" s="32" t="str">
        <v>-485.790229428111</v>
      </c>
      <c r="AC4" s="32" t="str">
        <v>5170.6279472641</v>
      </c>
      <c r="AD4" s="32" t="str">
        <v>0.0622022343350233</v>
      </c>
    </row>
    <row r="5" spans="1:30" x14ac:dyDescent="0.45">
      <c r="C5" s="13" t="s">
        <v>12</v>
      </c>
      <c r="D5" s="14">
        <f>EOMONTH(DATE(YEAR(D7),ROUNDUP(MONTH(D7)/3,0)*3,1),0)</f>
        <v>45016</v>
      </c>
      <c r="E5" s="14">
        <f>EOMONTH(DATE(YEAR(E7),ROUNDUP(MONTH(E7)/3,0)*3,1),0)</f>
        <v>45107</v>
      </c>
      <c r="F5" s="14">
        <f>EOMONTH(DATE(YEAR(F7),ROUNDUP(MONTH(F7)/3,0)*3,1),0)</f>
        <v>45199</v>
      </c>
      <c r="G5" s="14">
        <f t="shared" ref="G5:K5" si="0">EOMONTH(DATE(YEAR(G7),ROUNDUP(MONTH(G7)/3,0)*3,1),0)</f>
        <v>45291</v>
      </c>
      <c r="H5" s="14">
        <f t="shared" si="0"/>
        <v>45382</v>
      </c>
      <c r="I5" s="14">
        <f t="shared" si="0"/>
        <v>45473</v>
      </c>
      <c r="J5" s="14">
        <f t="shared" si="0"/>
        <v>45565</v>
      </c>
      <c r="K5" s="14">
        <f t="shared" si="0"/>
        <v>45657</v>
      </c>
      <c r="L5" s="14">
        <f>EOMONTH(DATE(YEAR(L7),ROUNDUP(MONTH(L7)/3,0)*3,1),0)</f>
        <v>45747</v>
      </c>
      <c r="M5" s="14">
        <f>EOMONTH(DATE(YEAR(M7),ROUNDUP(MONTH(M7)/3,0)*3,1),0)</f>
        <v>45838</v>
      </c>
      <c r="N5" s="14">
        <f>EOMONTH(DATE(YEAR(N7),ROUNDUP(MONTH(N7)/3,0)*3,1),0)</f>
        <v>45930</v>
      </c>
      <c r="O5" s="14">
        <f>EOMONTH(DATE(YEAR(O7),ROUNDUP(MONTH(O7)/3,0)*3,1),0)</f>
        <v>46022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v>TEM US EQUITY</v>
      </c>
      <c r="V5" s="24">
        <v>46022</v>
      </c>
      <c r="W5" s="24" t="str">
        <v>canonical</v>
      </c>
      <c r="X5" s="24" t="str">
        <v>revenue</v>
      </c>
      <c r="Y5" s="24" t="str">
        <v>actual</v>
      </c>
      <c r="Z5" s="32" t="str">
        <v>367.211</v>
      </c>
      <c r="AA5" s="32" t="str">
        <v>0.829833565876021</v>
      </c>
      <c r="AB5" s="32" t="str">
        <v>-173.33002225278</v>
      </c>
      <c r="AC5" s="32" t="str">
        <v>4710.43335162475</v>
      </c>
      <c r="AD5" s="32" t="str">
        <v>0.0987564555992411</v>
      </c>
    </row>
    <row r="6" spans="1:30" x14ac:dyDescent="0.4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v>TEM US EQUITY</v>
      </c>
      <c r="V6" s="24">
        <v>46112</v>
      </c>
      <c r="W6" s="24" t="str">
        <v>canonical</v>
      </c>
      <c r="X6" s="24" t="str">
        <v>revenue</v>
      </c>
      <c r="Y6" s="24" t="str">
        <v>forecast</v>
      </c>
      <c r="Z6" s="32" t="str">
        <v>344.957948170879</v>
      </c>
      <c r="AA6" s="32" t="str">
        <v>0.34887774616453</v>
      </c>
      <c r="AB6" s="32" t="str">
        <v>-4809.55819711491</v>
      </c>
      <c r="AC6" s="32" t="str">
        <v>-4049.07247688764</v>
      </c>
      <c r="AD6" s="32" t="str">
        <v>-0.0606001776338985</v>
      </c>
    </row>
    <row r="7" spans="1:30" x14ac:dyDescent="0.45">
      <c r="D7" s="2">
        <v>45016</v>
      </c>
      <c r="E7" s="2">
        <v>45107</v>
      </c>
      <c r="F7" s="2">
        <v>45199</v>
      </c>
      <c r="G7" s="2">
        <v>45291</v>
      </c>
      <c r="H7" s="2">
        <v>45382</v>
      </c>
      <c r="I7" s="2">
        <v>45473</v>
      </c>
      <c r="J7" s="2">
        <v>45565</v>
      </c>
      <c r="K7" s="2">
        <v>45657</v>
      </c>
      <c r="L7" s="2">
        <v>45747</v>
      </c>
      <c r="M7" s="2">
        <v>45838</v>
      </c>
      <c r="N7" s="2">
        <v>45930</v>
      </c>
      <c r="O7" s="2">
        <v>46022</v>
      </c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v>TEM US EQUITY</v>
      </c>
      <c r="V7" s="24">
        <v>46203</v>
      </c>
      <c r="W7" s="24" t="str">
        <v>canonical</v>
      </c>
      <c r="X7" s="24" t="str">
        <v>revenue</v>
      </c>
      <c r="Y7" s="24" t="str">
        <v>forecast</v>
      </c>
      <c r="Z7" s="32" t="str">
        <v>394.9823435</v>
      </c>
      <c r="AA7" s="32" t="str">
        <v>0.255366832996965</v>
      </c>
      <c r="AB7" s="32" t="str">
        <v>-935.109131675658</v>
      </c>
      <c r="AC7" s="32" t="str">
        <v>-6403.78758047146</v>
      </c>
      <c r="AD7" s="32" t="str">
        <v>0.145015923228826</v>
      </c>
    </row>
    <row r="8" spans="1:30" x14ac:dyDescent="0.45">
      <c r="A8" s="16" t="s">
        <v>9</v>
      </c>
      <c r="B8" s="16" t="s">
        <v>8</v>
      </c>
      <c r="C8" s="9" t="s">
        <v>0</v>
      </c>
      <c r="D8" s="28">
        <v>115.62441753</v>
      </c>
      <c r="E8" s="28">
        <v>132.41633466499999</v>
      </c>
      <c r="F8" s="28">
        <v>136.02622864599999</v>
      </c>
      <c r="G8" s="28">
        <v>147.69019931400024</v>
      </c>
      <c r="H8" s="28">
        <v>145.82004116599975</v>
      </c>
      <c r="I8" s="28">
        <v>165.96899999999999</v>
      </c>
      <c r="J8" s="28">
        <v>180.929</v>
      </c>
      <c r="K8" s="28">
        <v>200.68</v>
      </c>
      <c r="L8" s="28">
        <v>255.73699999999999</v>
      </c>
      <c r="M8" s="28">
        <v>314.63499999999999</v>
      </c>
      <c r="N8" s="28">
        <v>334.20600000000002</v>
      </c>
      <c r="O8" s="28">
        <v>367.21100000000001</v>
      </c>
      <c r="P8" s="28">
        <v>344.95794817087852</v>
      </c>
      <c r="Q8" s="28">
        <v>394.98234350000001</v>
      </c>
      <c r="R8" s="28">
        <v>415.16579080000002</v>
      </c>
      <c r="S8" s="28">
        <v>434.87938680700796</v>
      </c>
      <c r="T8" s="3"/>
      <c r="U8" s="24" t="str">
        <v>TEM US EQUITY</v>
      </c>
      <c r="V8" s="24">
        <v>46295</v>
      </c>
      <c r="W8" s="24" t="str">
        <v>canonical</v>
      </c>
      <c r="X8" s="24" t="str">
        <v>revenue</v>
      </c>
      <c r="Y8" s="24" t="str">
        <v>forecast</v>
      </c>
      <c r="Z8" s="32" t="str">
        <v>415.1657908</v>
      </c>
      <c r="AA8" s="32" t="str">
        <v>0.242245174533072</v>
      </c>
      <c r="AB8" s="32" t="str">
        <v>-131.216584638922</v>
      </c>
      <c r="AC8" s="32" t="str">
        <v>-6049.21393568227</v>
      </c>
      <c r="AD8" s="32" t="str">
        <v>0.0510996190896822</v>
      </c>
    </row>
    <row r="9" spans="1:30" x14ac:dyDescent="0.45">
      <c r="C9" s="4" t="s">
        <v>4</v>
      </c>
      <c r="D9" s="5"/>
      <c r="E9" s="4"/>
      <c r="F9" s="4"/>
      <c r="G9" s="12"/>
      <c r="H9" s="12">
        <f t="shared" ref="H9:S9" si="2">+H8/D8-1</f>
        <v>0.2611526551315615</v>
      </c>
      <c r="I9" s="12">
        <f t="shared" si="2"/>
        <v>0.25338766112115141</v>
      </c>
      <c r="J9" s="12">
        <f t="shared" si="2"/>
        <v>0.33010377337488905</v>
      </c>
      <c r="K9" s="12">
        <f t="shared" si="2"/>
        <v>0.35879023071354621</v>
      </c>
      <c r="L9" s="12">
        <f t="shared" si="2"/>
        <v>0.75378499385329434</v>
      </c>
      <c r="M9" s="12">
        <f t="shared" si="2"/>
        <v>0.89574559104411056</v>
      </c>
      <c r="N9" s="12">
        <f t="shared" si="2"/>
        <v>0.84716656810129942</v>
      </c>
      <c r="O9" s="12">
        <f t="shared" si="2"/>
        <v>0.82983356587602142</v>
      </c>
      <c r="P9" s="12">
        <f t="shared" si="2"/>
        <v>0.34887774616453049</v>
      </c>
      <c r="Q9" s="12">
        <f t="shared" si="2"/>
        <v>0.25536683299696472</v>
      </c>
      <c r="R9" s="12">
        <f t="shared" si="2"/>
        <v>0.24224517453307248</v>
      </c>
      <c r="S9" s="12">
        <f t="shared" si="2"/>
        <v>0.18427657887973936</v>
      </c>
      <c r="U9" s="24" t="str">
        <v>TEM US EQUITY</v>
      </c>
      <c r="V9" s="24">
        <v>46387</v>
      </c>
      <c r="W9" s="24" t="str">
        <v>canonical</v>
      </c>
      <c r="X9" s="24" t="str">
        <v>revenue</v>
      </c>
      <c r="Y9" s="24" t="str">
        <v>forecast</v>
      </c>
      <c r="Z9" s="32" t="str">
        <v>434.879386807008</v>
      </c>
      <c r="AA9" s="32" t="str">
        <v>0.184276578879739</v>
      </c>
      <c r="AB9" s="32" t="str">
        <v>-579.685956533331</v>
      </c>
      <c r="AC9" s="32" t="str">
        <v>-6455.56986996282</v>
      </c>
      <c r="AD9" s="32" t="str">
        <v>0.0474836714485098</v>
      </c>
    </row>
    <row r="10" spans="1:30" x14ac:dyDescent="0.45">
      <c r="C10" s="4" t="s">
        <v>19</v>
      </c>
      <c r="D10" s="1"/>
      <c r="L10" s="7">
        <f>(L9-K9)*10000</f>
        <v>3949.9476313974815</v>
      </c>
      <c r="M10" s="7">
        <f>(M9-L9)*10000</f>
        <v>1419.6059719081622</v>
      </c>
      <c r="N10" s="7">
        <f>(N9-M9)*10000</f>
        <v>-485.79022942811133</v>
      </c>
      <c r="O10" s="7">
        <f>(O9-N9)*10000</f>
        <v>-173.33002225278005</v>
      </c>
      <c r="P10" s="7">
        <f t="shared" ref="P10:S10" si="3">(P9-O9)*10000</f>
        <v>-4809.5581971149095</v>
      </c>
      <c r="Q10" s="7">
        <f t="shared" si="3"/>
        <v>-935.10913167565764</v>
      </c>
      <c r="R10" s="7">
        <f t="shared" si="3"/>
        <v>-131.21658463892237</v>
      </c>
      <c r="S10" s="7">
        <f t="shared" si="3"/>
        <v>-579.68595653333125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TEM US EQUITY</v>
      </c>
      <c r="V10" s="24">
        <f ca="1"/>
        <v>45747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60.6885</v>
      </c>
      <c r="AA10" s="32" t="str">
        <f ca="1"/>
        <v>740.57</v>
      </c>
      <c r="AB10" s="32" t="str">
        <f ca="1"/>
        <v/>
      </c>
      <c r="AC10" s="32" t="str">
        <f ca="1"/>
        <v/>
      </c>
      <c r="AD10" s="32" t="str">
        <f ca="1"/>
        <v>-13.6700000000005</v>
      </c>
    </row>
    <row r="11" spans="1:30" x14ac:dyDescent="0.4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>(L9-H9)*10000</f>
        <v>4926.3233872173287</v>
      </c>
      <c r="M11" s="7">
        <f>(M9-I9)*10000</f>
        <v>6423.5792992295919</v>
      </c>
      <c r="N11" s="7">
        <f>(N9-J9)*10000</f>
        <v>5170.6279472641036</v>
      </c>
      <c r="O11" s="7">
        <f>(O9-K9)*10000</f>
        <v>4710.4333516247525</v>
      </c>
      <c r="P11" s="7">
        <f t="shared" ref="P11:S11" si="4">(P9-L9)*10000</f>
        <v>-4049.0724768876385</v>
      </c>
      <c r="Q11" s="7">
        <f t="shared" si="4"/>
        <v>-6403.7875804714586</v>
      </c>
      <c r="R11" s="7">
        <f t="shared" si="4"/>
        <v>-6049.213935682269</v>
      </c>
      <c r="S11" s="7">
        <f t="shared" si="4"/>
        <v>-6455.5698699628201</v>
      </c>
      <c r="U11" t="str">
        <f ca="1"/>
        <v>TEM US EQUITY</v>
      </c>
      <c r="V11" s="24">
        <f ca="1"/>
        <v>45838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61.989</v>
      </c>
      <c r="AA11" s="32" t="str">
        <f ca="1"/>
        <v>1649.07</v>
      </c>
      <c r="AB11" s="32" t="str">
        <f ca="1"/>
        <v/>
      </c>
      <c r="AC11" s="32" t="str">
        <f ca="1"/>
        <v/>
      </c>
      <c r="AD11" s="32" t="str">
        <f ca="1"/>
        <v>130.05</v>
      </c>
    </row>
    <row r="12" spans="1:30" x14ac:dyDescent="0.45">
      <c r="C12" s="4" t="s">
        <v>5</v>
      </c>
      <c r="D12" s="1"/>
      <c r="L12" s="12">
        <f t="shared" ref="L12:S12" si="5">L8/K8-1</f>
        <v>0.27435220251146086</v>
      </c>
      <c r="M12" s="12">
        <f t="shared" si="5"/>
        <v>0.23030691687162985</v>
      </c>
      <c r="N12" s="12">
        <f t="shared" si="5"/>
        <v>6.2202234335023254E-2</v>
      </c>
      <c r="O12" s="12">
        <f t="shared" si="5"/>
        <v>9.8756455599241066E-2</v>
      </c>
      <c r="P12" s="12">
        <f t="shared" si="5"/>
        <v>-6.0600177633898467E-2</v>
      </c>
      <c r="Q12" s="12">
        <f t="shared" si="5"/>
        <v>0.14501592322882617</v>
      </c>
      <c r="R12" s="12">
        <f t="shared" si="5"/>
        <v>5.1099619089682191E-2</v>
      </c>
      <c r="S12" s="12">
        <f t="shared" si="5"/>
        <v>4.7483671448509845E-2</v>
      </c>
      <c r="U12" s="24" t="str">
        <f ca="1"/>
        <v>TEM US EQUITY</v>
      </c>
      <c r="V12" s="24">
        <f ca="1"/>
        <v>45930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62.8181</v>
      </c>
      <c r="AA12" s="32" t="str">
        <f ca="1"/>
        <v>432.06</v>
      </c>
      <c r="AB12" s="32" t="str">
        <f ca="1"/>
        <v/>
      </c>
      <c r="AC12" s="32" t="str">
        <f ca="1"/>
        <v/>
      </c>
      <c r="AD12" s="32" t="str">
        <f ca="1"/>
        <v>82.9100000000004</v>
      </c>
    </row>
    <row r="13" spans="1:30" x14ac:dyDescent="0.45">
      <c r="U13" s="24" t="str">
        <f ca="1"/>
        <v>TEM US EQUITY</v>
      </c>
      <c r="V13" s="24">
        <f ca="1"/>
        <v>46022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>64.7347</v>
      </c>
      <c r="AA13" s="32" t="str">
        <f ca="1"/>
        <v>390.95</v>
      </c>
      <c r="AB13" s="32" t="str">
        <f ca="1"/>
        <v/>
      </c>
      <c r="AC13" s="32" t="str">
        <f ca="1"/>
        <v/>
      </c>
      <c r="AD13" s="32" t="str">
        <f ca="1"/>
        <v>191.66</v>
      </c>
    </row>
    <row r="14" spans="1:30" x14ac:dyDescent="0.45">
      <c r="C14" s="13" t="s">
        <v>12</v>
      </c>
      <c r="D14" s="14">
        <f ca="1">EOMONTH(DATE(YEAR(D16),ROUNDUP(MONTH(D16)/3,0)*3,1),0)</f>
        <v>45016</v>
      </c>
      <c r="E14" s="14">
        <f ca="1">EOMONTH(DATE(YEAR(E16),ROUNDUP(MONTH(E16)/3,0)*3,1),0)</f>
        <v>45107</v>
      </c>
      <c r="F14" s="14">
        <f ca="1">EOMONTH(DATE(YEAR(F16),ROUNDUP(MONTH(F16)/3,0)*3,1),0)</f>
        <v>45199</v>
      </c>
      <c r="G14" s="14">
        <f t="shared" ref="G14:K14" ca="1" si="6">EOMONTH(DATE(YEAR(G16),ROUNDUP(MONTH(G16)/3,0)*3,1),0)</f>
        <v>45291</v>
      </c>
      <c r="H14" s="14">
        <f t="shared" ca="1" si="6"/>
        <v>45382</v>
      </c>
      <c r="I14" s="14">
        <f t="shared" ca="1" si="6"/>
        <v>45473</v>
      </c>
      <c r="J14" s="14">
        <f t="shared" ca="1" si="6"/>
        <v>45565</v>
      </c>
      <c r="K14" s="14">
        <f t="shared" ca="1" si="6"/>
        <v>45657</v>
      </c>
      <c r="L14" s="14">
        <f ca="1">EOMONTH(DATE(YEAR(L16),ROUNDUP(MONTH(L16)/3,0)*3,1),0)</f>
        <v>45747</v>
      </c>
      <c r="M14" s="14">
        <f ca="1">EOMONTH(DATE(YEAR(M16),ROUNDUP(MONTH(M16)/3,0)*3,1),0)</f>
        <v>45838</v>
      </c>
      <c r="N14" s="14">
        <f ca="1">EOMONTH(DATE(YEAR(N16),ROUNDUP(MONTH(N16)/3,0)*3,1),0)</f>
        <v>45930</v>
      </c>
      <c r="O14" s="14">
        <f ca="1">EOMONTH(DATE(YEAR(O16),ROUNDUP(MONTH(O16)/3,0)*3,1),0)</f>
        <v>46022</v>
      </c>
      <c r="P14" s="14"/>
      <c r="Q14" s="14"/>
      <c r="R14" s="14"/>
      <c r="S14" s="14"/>
      <c r="T14" s="1"/>
      <c r="U14" s="24" t="str">
        <f ca="1"/>
        <v>TEM US EQUITY</v>
      </c>
      <c r="V14" s="24">
        <f ca="1"/>
        <v>0</v>
      </c>
      <c r="W14" s="24" t="str">
        <f ca="1"/>
        <v>canonical</v>
      </c>
      <c r="X14" s="24" t="str">
        <f ca="1"/>
        <v>gross_margin_gaap</v>
      </c>
      <c r="Y14" s="24" t="str">
        <f ca="1"/>
        <v/>
      </c>
      <c r="Z14" s="32" t="str">
        <f ca="1"/>
        <v/>
      </c>
      <c r="AA14" s="32" t="str">
        <f ca="1"/>
        <v/>
      </c>
      <c r="AB14" s="32" t="str">
        <f ca="1"/>
        <v/>
      </c>
      <c r="AC14" s="32" t="str">
        <f ca="1"/>
        <v/>
      </c>
      <c r="AD14" s="32" t="str">
        <f ca="1"/>
        <v/>
      </c>
    </row>
    <row r="15" spans="1:30" x14ac:dyDescent="0.4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/>
      <c r="Q15" s="2"/>
      <c r="R15" s="2"/>
      <c r="S15" s="2"/>
      <c r="U15" s="24" t="str">
        <f ca="1"/>
        <v>TEM US EQUITY</v>
      </c>
      <c r="V15" s="24">
        <f ca="1"/>
        <v>0</v>
      </c>
      <c r="W15" s="24" t="str">
        <f ca="1"/>
        <v>canonical</v>
      </c>
      <c r="X15" s="24" t="str">
        <f ca="1"/>
        <v>gross_margin_gaap</v>
      </c>
      <c r="Y15" s="24" t="str">
        <f ca="1"/>
        <v/>
      </c>
      <c r="Z15" s="32" t="str">
        <f ca="1"/>
        <v/>
      </c>
      <c r="AA15" s="32" t="str">
        <f ca="1"/>
        <v/>
      </c>
      <c r="AB15" s="32" t="str">
        <f ca="1"/>
        <v/>
      </c>
      <c r="AC15" s="32" t="str">
        <f ca="1"/>
        <v/>
      </c>
      <c r="AD15" s="32" t="str">
        <f ca="1"/>
        <v/>
      </c>
    </row>
    <row r="16" spans="1:30" x14ac:dyDescent="0.45">
      <c r="D16" s="1" cm="1">
        <f t="array" aca="1" ref="D16:O17" ca="1">+_xll.BDH($B$2,C17,$B$3,$B$4,"DIR=H")</f>
        <v>45016</v>
      </c>
      <c r="E16" s="1">
        <f ca="1"/>
        <v>45107</v>
      </c>
      <c r="F16" s="1">
        <f ca="1"/>
        <v>45199</v>
      </c>
      <c r="G16" s="1">
        <f ca="1"/>
        <v>45291</v>
      </c>
      <c r="H16" s="1">
        <f ca="1"/>
        <v>45382</v>
      </c>
      <c r="I16" s="1">
        <f ca="1"/>
        <v>45473</v>
      </c>
      <c r="J16" s="1">
        <f ca="1"/>
        <v>45565</v>
      </c>
      <c r="K16" s="1">
        <f ca="1"/>
        <v>45657</v>
      </c>
      <c r="L16" s="1">
        <f ca="1"/>
        <v>45747</v>
      </c>
      <c r="M16" s="1">
        <f ca="1"/>
        <v>45838</v>
      </c>
      <c r="N16" s="1">
        <f ca="1"/>
        <v>45930</v>
      </c>
      <c r="O16" s="1">
        <f ca="1"/>
        <v>46022</v>
      </c>
      <c r="P16" s="2"/>
      <c r="Q16" s="2"/>
      <c r="R16" s="2"/>
      <c r="S16" s="2"/>
      <c r="U16" s="24" t="str">
        <f ca="1"/>
        <v>TEM US EQUITY</v>
      </c>
      <c r="V16" s="24">
        <f ca="1"/>
        <v>0</v>
      </c>
      <c r="W16" s="24" t="str">
        <f ca="1"/>
        <v>canonical</v>
      </c>
      <c r="X16" s="24" t="str">
        <f ca="1"/>
        <v>gross_margin_gaap</v>
      </c>
      <c r="Y16" s="24" t="str">
        <f ca="1"/>
        <v/>
      </c>
      <c r="Z16" s="32" t="str">
        <f ca="1"/>
        <v/>
      </c>
      <c r="AA16" s="32" t="str">
        <f ca="1"/>
        <v/>
      </c>
      <c r="AB16" s="32" t="str">
        <f ca="1"/>
        <v/>
      </c>
      <c r="AC16" s="32" t="str">
        <f ca="1"/>
        <v/>
      </c>
      <c r="AD16" s="32" t="str">
        <f ca="1"/>
        <v/>
      </c>
    </row>
    <row r="17" spans="1:30" x14ac:dyDescent="0.45">
      <c r="A17" s="16" t="s">
        <v>9</v>
      </c>
      <c r="B17" s="16" t="s">
        <v>14</v>
      </c>
      <c r="C17" s="9" t="s">
        <v>6</v>
      </c>
      <c r="D17" s="30">
        <f ca="1"/>
        <v>50.985100000000003</v>
      </c>
      <c r="E17" s="30">
        <f ca="1"/>
        <v>54.108600000000003</v>
      </c>
      <c r="F17" s="30">
        <f ca="1"/>
        <v>54.408799999999999</v>
      </c>
      <c r="G17" s="30">
        <f ca="1"/>
        <v>55.2029</v>
      </c>
      <c r="H17" s="30">
        <f ca="1"/>
        <v>53.282800000000002</v>
      </c>
      <c r="I17" s="30">
        <f ca="1"/>
        <v>45.4983</v>
      </c>
      <c r="J17" s="30">
        <f ca="1"/>
        <v>58.497500000000002</v>
      </c>
      <c r="K17" s="30">
        <f ca="1"/>
        <v>60.825200000000002</v>
      </c>
      <c r="L17" s="30">
        <f ca="1"/>
        <v>60.688499999999998</v>
      </c>
      <c r="M17" s="30">
        <f ca="1"/>
        <v>61.988999999999997</v>
      </c>
      <c r="N17" s="30">
        <f ca="1"/>
        <v>62.818100000000001</v>
      </c>
      <c r="O17" s="30">
        <f ca="1"/>
        <v>64.734700000000004</v>
      </c>
      <c r="P17" s="29"/>
      <c r="Q17" s="29"/>
      <c r="R17" s="29"/>
      <c r="S17" s="29"/>
      <c r="U17" s="24" t="str">
        <f ca="1"/>
        <v>TEM US EQUITY</v>
      </c>
      <c r="V17" s="24">
        <f ca="1"/>
        <v>0</v>
      </c>
      <c r="W17" s="24" t="str">
        <f ca="1"/>
        <v>canonical</v>
      </c>
      <c r="X17" s="24" t="str">
        <f ca="1"/>
        <v>gross_margin_gaap</v>
      </c>
      <c r="Y17" s="24" t="str">
        <f ca="1"/>
        <v/>
      </c>
      <c r="Z17" s="32" t="str">
        <f ca="1"/>
        <v/>
      </c>
      <c r="AA17" s="32" t="str">
        <f ca="1"/>
        <v/>
      </c>
      <c r="AB17" s="32" t="str">
        <f ca="1"/>
        <v/>
      </c>
      <c r="AC17" s="32" t="str">
        <f ca="1"/>
        <v/>
      </c>
      <c r="AD17" s="32" t="str">
        <f ca="1"/>
        <v/>
      </c>
    </row>
    <row r="18" spans="1:30" x14ac:dyDescent="0.45">
      <c r="C18" s="4" t="s">
        <v>4</v>
      </c>
      <c r="D18" s="5"/>
      <c r="E18" s="4"/>
      <c r="F18" s="4"/>
      <c r="G18" s="4"/>
      <c r="H18" s="7">
        <f t="shared" ref="H18:O18" ca="1" si="7">(H17-D17)*100</f>
        <v>229.7699999999999</v>
      </c>
      <c r="I18" s="7">
        <f t="shared" ca="1" si="7"/>
        <v>-861.0300000000002</v>
      </c>
      <c r="J18" s="7">
        <f t="shared" ca="1" si="7"/>
        <v>408.87000000000029</v>
      </c>
      <c r="K18" s="7">
        <f t="shared" ca="1" si="7"/>
        <v>562.23000000000025</v>
      </c>
      <c r="L18" s="7">
        <f t="shared" ca="1" si="7"/>
        <v>740.5699999999996</v>
      </c>
      <c r="M18" s="7">
        <f t="shared" ca="1" si="7"/>
        <v>1649.0699999999997</v>
      </c>
      <c r="N18" s="7">
        <f t="shared" ca="1" si="7"/>
        <v>432.05999999999989</v>
      </c>
      <c r="O18" s="7">
        <f t="shared" ca="1" si="7"/>
        <v>390.95000000000016</v>
      </c>
      <c r="P18" s="7"/>
      <c r="Q18" s="7"/>
      <c r="R18" s="7"/>
      <c r="S18" s="7"/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TEM US EQUITY</v>
      </c>
      <c r="V18" s="24">
        <f ca="1"/>
        <v>45747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-26.8592</v>
      </c>
      <c r="AA18" s="32" t="str">
        <f ca="1"/>
        <v>967.49</v>
      </c>
      <c r="AB18" s="32" t="str">
        <f ca="1"/>
        <v/>
      </c>
      <c r="AC18" s="32" t="str">
        <f ca="1"/>
        <v/>
      </c>
      <c r="AD18" s="32" t="str">
        <f ca="1"/>
        <v>-159.51</v>
      </c>
    </row>
    <row r="19" spans="1:30" x14ac:dyDescent="0.4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t="str">
        <f ca="1"/>
        <v>TEM US EQUITY</v>
      </c>
      <c r="V19" s="24">
        <f ca="1"/>
        <v>45838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-19.6335</v>
      </c>
      <c r="AA19" s="32" t="str">
        <f ca="1"/>
        <v>30180.73</v>
      </c>
      <c r="AB19" s="32" t="str">
        <f ca="1"/>
        <v/>
      </c>
      <c r="AC19" s="32" t="str">
        <f ca="1"/>
        <v/>
      </c>
      <c r="AD19" s="32" t="str">
        <f ca="1"/>
        <v>722.57</v>
      </c>
    </row>
    <row r="20" spans="1:30" x14ac:dyDescent="0.4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TEM US EQUITY</v>
      </c>
      <c r="V20" s="24">
        <f ca="1"/>
        <v>45930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-18.251</v>
      </c>
      <c r="AA20" s="32" t="str">
        <f ca="1"/>
        <v>1138.27</v>
      </c>
      <c r="AB20" s="32" t="str">
        <f ca="1"/>
        <v/>
      </c>
      <c r="AC20" s="32" t="str">
        <f ca="1"/>
        <v/>
      </c>
      <c r="AD20" s="32" t="str">
        <f ca="1"/>
        <v>138.25</v>
      </c>
    </row>
    <row r="21" spans="1:30" x14ac:dyDescent="0.45">
      <c r="C21" s="4" t="s">
        <v>5</v>
      </c>
      <c r="D21" s="1"/>
      <c r="K21" s="7"/>
      <c r="L21" s="7">
        <f ca="1">(L17-K17)*100</f>
        <v>-13.670000000000471</v>
      </c>
      <c r="M21" s="7">
        <f t="shared" ref="M21:O21" ca="1" si="8">(M17-L17)*100</f>
        <v>130.04999999999995</v>
      </c>
      <c r="N21" s="7">
        <f t="shared" ca="1" si="8"/>
        <v>82.910000000000394</v>
      </c>
      <c r="O21" s="7">
        <f t="shared" ca="1" si="8"/>
        <v>191.66000000000025</v>
      </c>
      <c r="P21" s="7"/>
      <c r="Q21" s="7"/>
      <c r="R21" s="7"/>
      <c r="S21" s="7"/>
      <c r="U21" s="24" t="str">
        <f ca="1"/>
        <v>TEM US EQUITY</v>
      </c>
      <c r="V21" s="24">
        <f ca="1"/>
        <v>46022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>-16.7242</v>
      </c>
      <c r="AA21" s="32" t="str">
        <f ca="1"/>
        <v>853.99</v>
      </c>
      <c r="AB21" s="32" t="str">
        <f ca="1"/>
        <v/>
      </c>
      <c r="AC21" s="32" t="str">
        <f ca="1"/>
        <v/>
      </c>
      <c r="AD21" s="32" t="str">
        <f ca="1"/>
        <v>152.68</v>
      </c>
    </row>
    <row r="22" spans="1:30" x14ac:dyDescent="0.45">
      <c r="T22" s="1"/>
      <c r="U22" s="24" t="str">
        <f ca="1"/>
        <v>TEM US EQUITY</v>
      </c>
      <c r="V22" s="24">
        <f ca="1"/>
        <v>0</v>
      </c>
      <c r="W22" s="24" t="str">
        <f ca="1"/>
        <v>canonical</v>
      </c>
      <c r="X22" s="24" t="str">
        <f ca="1"/>
        <v>operating_margin_gaap</v>
      </c>
      <c r="Y22" s="24" t="str">
        <f ca="1"/>
        <v/>
      </c>
      <c r="Z22" s="32" t="str">
        <f ca="1"/>
        <v/>
      </c>
      <c r="AA22" s="32" t="str">
        <f ca="1"/>
        <v/>
      </c>
      <c r="AB22" s="32" t="str">
        <f ca="1"/>
        <v/>
      </c>
      <c r="AC22" s="32" t="str">
        <f ca="1"/>
        <v/>
      </c>
      <c r="AD22" s="32" t="str">
        <f ca="1"/>
        <v/>
      </c>
    </row>
    <row r="23" spans="1:30" x14ac:dyDescent="0.45">
      <c r="C23" s="13" t="s">
        <v>12</v>
      </c>
      <c r="D23" s="14">
        <f ca="1">EOMONTH(DATE(YEAR(D25),ROUNDUP(MONTH(D25)/3,0)*3,1),0)</f>
        <v>45016</v>
      </c>
      <c r="E23" s="14">
        <f ca="1">EOMONTH(DATE(YEAR(E25),ROUNDUP(MONTH(E25)/3,0)*3,1),0)</f>
        <v>45107</v>
      </c>
      <c r="F23" s="14">
        <f ca="1">EOMONTH(DATE(YEAR(F25),ROUNDUP(MONTH(F25)/3,0)*3,1),0)</f>
        <v>45199</v>
      </c>
      <c r="G23" s="14">
        <f t="shared" ref="G23:K23" ca="1" si="9">EOMONTH(DATE(YEAR(G25),ROUNDUP(MONTH(G25)/3,0)*3,1),0)</f>
        <v>45291</v>
      </c>
      <c r="H23" s="14">
        <f t="shared" ca="1" si="9"/>
        <v>45382</v>
      </c>
      <c r="I23" s="14">
        <f t="shared" ca="1" si="9"/>
        <v>45473</v>
      </c>
      <c r="J23" s="14">
        <f t="shared" ca="1" si="9"/>
        <v>45565</v>
      </c>
      <c r="K23" s="14">
        <f t="shared" ca="1" si="9"/>
        <v>45657</v>
      </c>
      <c r="L23" s="14">
        <f ca="1">EOMONTH(DATE(YEAR(L25),ROUNDUP(MONTH(L25)/3,0)*3,1),0)</f>
        <v>45747</v>
      </c>
      <c r="M23" s="14">
        <f ca="1">EOMONTH(DATE(YEAR(M25),ROUNDUP(MONTH(M25)/3,0)*3,1),0)</f>
        <v>45838</v>
      </c>
      <c r="N23" s="14">
        <f ca="1">EOMONTH(DATE(YEAR(N25),ROUNDUP(MONTH(N25)/3,0)*3,1),0)</f>
        <v>45930</v>
      </c>
      <c r="O23" s="14">
        <f ca="1">EOMONTH(DATE(YEAR(O25),ROUNDUP(MONTH(O25)/3,0)*3,1),0)</f>
        <v>46022</v>
      </c>
      <c r="P23" s="14"/>
      <c r="Q23" s="14"/>
      <c r="R23" s="14"/>
      <c r="S23" s="14"/>
      <c r="U23" s="24" t="str">
        <f ca="1"/>
        <v>TEM US EQUITY</v>
      </c>
      <c r="V23" s="24">
        <f ca="1"/>
        <v>0</v>
      </c>
      <c r="W23" s="24" t="str">
        <f ca="1"/>
        <v>canonical</v>
      </c>
      <c r="X23" s="24" t="str">
        <f ca="1"/>
        <v>operating_margin_gaap</v>
      </c>
      <c r="Y23" s="24" t="str">
        <f ca="1"/>
        <v/>
      </c>
      <c r="Z23" s="32" t="str">
        <f ca="1"/>
        <v/>
      </c>
      <c r="AA23" s="32" t="str">
        <f ca="1"/>
        <v/>
      </c>
      <c r="AB23" s="32" t="str">
        <f ca="1"/>
        <v/>
      </c>
      <c r="AC23" s="32" t="str">
        <f ca="1"/>
        <v/>
      </c>
      <c r="AD23" s="32" t="str">
        <f ca="1"/>
        <v/>
      </c>
    </row>
    <row r="24" spans="1:30" x14ac:dyDescent="0.4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14"/>
      <c r="Q24" s="14"/>
      <c r="R24" s="14"/>
      <c r="S24" s="14"/>
      <c r="U24" s="24" t="str">
        <f ca="1"/>
        <v>TEM US EQUITY</v>
      </c>
      <c r="V24" s="24">
        <f ca="1"/>
        <v>0</v>
      </c>
      <c r="W24" s="24" t="str">
        <f ca="1"/>
        <v>canonical</v>
      </c>
      <c r="X24" s="24" t="str">
        <f ca="1"/>
        <v>operating_margin_gaap</v>
      </c>
      <c r="Y24" s="24" t="str">
        <f ca="1"/>
        <v/>
      </c>
      <c r="Z24" s="32" t="str">
        <f ca="1"/>
        <v/>
      </c>
      <c r="AA24" s="32" t="str">
        <f ca="1"/>
        <v/>
      </c>
      <c r="AB24" s="32" t="str">
        <f ca="1"/>
        <v/>
      </c>
      <c r="AC24" s="32" t="str">
        <f ca="1"/>
        <v/>
      </c>
      <c r="AD24" s="32" t="str">
        <f ca="1"/>
        <v/>
      </c>
    </row>
    <row r="25" spans="1:30" x14ac:dyDescent="0.45">
      <c r="D25" s="1" cm="1">
        <f t="array" aca="1" ref="D25:O26" ca="1">+_xll.BDH($B$2,C26,$B$3,$B$4,"DIR=H")</f>
        <v>45016</v>
      </c>
      <c r="E25" s="1">
        <f ca="1"/>
        <v>45107</v>
      </c>
      <c r="F25" s="1">
        <f ca="1"/>
        <v>45199</v>
      </c>
      <c r="G25" s="1">
        <f ca="1"/>
        <v>45291</v>
      </c>
      <c r="H25" s="1">
        <f ca="1"/>
        <v>45382</v>
      </c>
      <c r="I25" s="1">
        <f ca="1"/>
        <v>45473</v>
      </c>
      <c r="J25" s="1">
        <f ca="1"/>
        <v>45565</v>
      </c>
      <c r="K25" s="1">
        <f ca="1"/>
        <v>45657</v>
      </c>
      <c r="L25" s="1">
        <f ca="1"/>
        <v>45747</v>
      </c>
      <c r="M25" s="1">
        <f ca="1"/>
        <v>45838</v>
      </c>
      <c r="N25" s="1">
        <f ca="1"/>
        <v>45930</v>
      </c>
      <c r="O25" s="1">
        <f ca="1"/>
        <v>46022</v>
      </c>
      <c r="P25" s="2"/>
      <c r="Q25" s="2"/>
      <c r="R25" s="2"/>
      <c r="S25" s="2"/>
      <c r="U25" s="24" t="str">
        <f ca="1"/>
        <v>TEM US EQUITY</v>
      </c>
      <c r="V25" s="24">
        <f ca="1"/>
        <v>0</v>
      </c>
      <c r="W25" s="24" t="str">
        <f ca="1"/>
        <v>canonical</v>
      </c>
      <c r="X25" s="24" t="str">
        <f ca="1"/>
        <v>operating_margin_gaap</v>
      </c>
      <c r="Y25" s="24" t="str">
        <f ca="1"/>
        <v/>
      </c>
      <c r="Z25" s="32" t="str">
        <f ca="1"/>
        <v/>
      </c>
      <c r="AA25" s="32" t="str">
        <f ca="1"/>
        <v/>
      </c>
      <c r="AB25" s="32" t="str">
        <f ca="1"/>
        <v/>
      </c>
      <c r="AC25" s="32" t="str">
        <f ca="1"/>
        <v/>
      </c>
      <c r="AD25" s="32" t="str">
        <f ca="1"/>
        <v/>
      </c>
    </row>
    <row r="26" spans="1:30" x14ac:dyDescent="0.45">
      <c r="A26" s="16" t="s">
        <v>9</v>
      </c>
      <c r="B26" s="16" t="s">
        <v>15</v>
      </c>
      <c r="C26" s="9" t="s">
        <v>7</v>
      </c>
      <c r="D26" s="3">
        <f ca="1"/>
        <v>-46.582900000000002</v>
      </c>
      <c r="E26" s="3">
        <f ca="1"/>
        <v>-34.087800000000001</v>
      </c>
      <c r="F26" s="3">
        <f ca="1"/>
        <v>-32.9193</v>
      </c>
      <c r="G26" s="3">
        <f ca="1"/>
        <v>-35.400500000000001</v>
      </c>
      <c r="H26" s="3">
        <f ca="1"/>
        <v>-36.534100000000002</v>
      </c>
      <c r="I26" s="3">
        <f ca="1"/>
        <v>-321.44080000000002</v>
      </c>
      <c r="J26" s="3">
        <f ca="1"/>
        <v>-29.633700000000001</v>
      </c>
      <c r="K26" s="3">
        <f ca="1"/>
        <v>-25.264099999999999</v>
      </c>
      <c r="L26" s="3">
        <f ca="1"/>
        <v>-26.859200000000001</v>
      </c>
      <c r="M26" s="3">
        <f ca="1"/>
        <v>-19.633500000000002</v>
      </c>
      <c r="N26" s="3">
        <f ca="1"/>
        <v>-18.251000000000001</v>
      </c>
      <c r="O26" s="3">
        <f ca="1"/>
        <v>-16.7242</v>
      </c>
      <c r="P26" s="29"/>
      <c r="Q26" s="29"/>
      <c r="R26" s="29"/>
      <c r="S26" s="29"/>
      <c r="U26" s="24" t="str" cm="1">
        <f t="array" ref="U26:AD33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TEM US EQUITY</v>
      </c>
      <c r="V26" s="24">
        <v>45747</v>
      </c>
      <c r="W26" s="24" t="str">
        <v>custom</v>
      </c>
      <c r="X26" s="24" t="str">
        <v>oncology_test_volumes</v>
      </c>
      <c r="Y26" s="24" t="str">
        <v>actual</v>
      </c>
      <c r="Z26" s="32" t="str">
        <v>75000</v>
      </c>
      <c r="AA26" s="32" t="str">
        <v>0.195828948627188</v>
      </c>
      <c r="AB26" s="32" t="str">
        <v>-291.710513728116</v>
      </c>
      <c r="AC26" s="32" t="str">
        <v>-994.649284770599</v>
      </c>
      <c r="AD26" s="32" t="str">
        <v>0.0334817068570477</v>
      </c>
    </row>
    <row r="27" spans="1:30" x14ac:dyDescent="0.45">
      <c r="C27" s="4" t="s">
        <v>4</v>
      </c>
      <c r="D27" s="5"/>
      <c r="E27" s="4"/>
      <c r="F27" s="4"/>
      <c r="G27" s="4"/>
      <c r="H27" s="7">
        <f t="shared" ref="H27:O27" ca="1" si="10">(H26-D26)*100</f>
        <v>1004.88</v>
      </c>
      <c r="I27" s="7">
        <f t="shared" ca="1" si="10"/>
        <v>-28735.3</v>
      </c>
      <c r="J27" s="7">
        <f t="shared" ca="1" si="10"/>
        <v>328.55999999999989</v>
      </c>
      <c r="K27" s="7">
        <f t="shared" ca="1" si="10"/>
        <v>1013.6400000000002</v>
      </c>
      <c r="L27" s="7">
        <f t="shared" ca="1" si="10"/>
        <v>967.49000000000012</v>
      </c>
      <c r="M27" s="7">
        <f t="shared" ca="1" si="10"/>
        <v>30180.73</v>
      </c>
      <c r="N27" s="7">
        <f t="shared" ca="1" si="10"/>
        <v>1138.27</v>
      </c>
      <c r="O27" s="7">
        <f t="shared" ca="1" si="10"/>
        <v>853.9899999999999</v>
      </c>
      <c r="P27" s="7"/>
      <c r="Q27" s="7"/>
      <c r="R27" s="7"/>
      <c r="S27" s="7"/>
      <c r="U27" t="str">
        <v>TEM US EQUITY</v>
      </c>
      <c r="V27" s="24">
        <v>45838</v>
      </c>
      <c r="W27" s="24" t="str">
        <v>custom</v>
      </c>
      <c r="X27" s="24" t="str">
        <v>oncology_test_volumes</v>
      </c>
      <c r="Y27" s="24" t="str">
        <v>actual</v>
      </c>
      <c r="Z27" s="32" t="str">
        <v>84000</v>
      </c>
      <c r="AA27" s="32" t="str">
        <v>0.263157894736842</v>
      </c>
      <c r="AB27" s="32" t="str">
        <v>673.289461096536</v>
      </c>
      <c r="AC27" s="32" t="str">
        <v>606.262491672218</v>
      </c>
      <c r="AD27" s="32" t="str">
        <v>0.12</v>
      </c>
    </row>
    <row r="28" spans="1:30" x14ac:dyDescent="0.4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v>TEM US EQUITY</v>
      </c>
      <c r="V28" s="24">
        <v>45930</v>
      </c>
      <c r="W28" s="24" t="str">
        <v>custom</v>
      </c>
      <c r="X28" s="24" t="str">
        <v>oncology_test_volumes</v>
      </c>
      <c r="Y28" s="24" t="str">
        <v>actual</v>
      </c>
      <c r="Z28" s="32" t="str">
        <v>87500</v>
      </c>
      <c r="AA28" s="32" t="str">
        <v>0.2672528877145</v>
      </c>
      <c r="AB28" s="32" t="str">
        <v>40.9499297765836</v>
      </c>
      <c r="AC28" s="32" t="str">
        <v>282.528877145005</v>
      </c>
      <c r="AD28" s="32" t="str">
        <v>0.0416666666666667</v>
      </c>
    </row>
    <row r="29" spans="1:30" x14ac:dyDescent="0.4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v>TEM US EQUITY</v>
      </c>
      <c r="V29" s="24">
        <v>46022</v>
      </c>
      <c r="W29" s="24" t="str">
        <v>custom</v>
      </c>
      <c r="X29" s="24" t="str">
        <v>oncology_test_volumes</v>
      </c>
      <c r="Y29" s="24" t="str">
        <v>actual</v>
      </c>
      <c r="Z29" s="32" t="str">
        <v>94000</v>
      </c>
      <c r="AA29" s="32" t="str">
        <v>0.295297072594166</v>
      </c>
      <c r="AB29" s="32" t="str">
        <v>280.44184879666</v>
      </c>
      <c r="AC29" s="32" t="str">
        <v>702.970725941663</v>
      </c>
      <c r="AD29" s="32" t="str">
        <v>0.0742857142857143</v>
      </c>
    </row>
    <row r="30" spans="1:30" x14ac:dyDescent="0.45">
      <c r="C30" s="4" t="s">
        <v>5</v>
      </c>
      <c r="D30" s="1"/>
      <c r="K30" s="7"/>
      <c r="L30" s="7">
        <f ca="1">(L26-K26)*100</f>
        <v>-159.51000000000022</v>
      </c>
      <c r="M30" s="7">
        <f t="shared" ref="M30:O30" ca="1" si="11">(M26-L26)*100</f>
        <v>722.56999999999994</v>
      </c>
      <c r="N30" s="7">
        <f t="shared" ca="1" si="11"/>
        <v>138.25000000000003</v>
      </c>
      <c r="O30" s="7">
        <f t="shared" ca="1" si="11"/>
        <v>152.68000000000015</v>
      </c>
      <c r="P30" s="7"/>
      <c r="Q30" s="7"/>
      <c r="R30" s="7"/>
      <c r="S30" s="7"/>
      <c r="U30" s="24" t="str">
        <v>TEM US EQUITY</v>
      </c>
      <c r="V30" s="24">
        <v>46112</v>
      </c>
      <c r="W30" s="24" t="str">
        <v>custom</v>
      </c>
      <c r="X30" s="24" t="str">
        <v>oncology_test_volumes</v>
      </c>
      <c r="Y30" s="24" t="str">
        <v>forecast</v>
      </c>
      <c r="Z30" s="32" t="str">
        <v>96000</v>
      </c>
      <c r="AA30" s="32" t="str">
        <v>0.28</v>
      </c>
      <c r="AB30" s="32" t="str">
        <v>-152.970725941663</v>
      </c>
      <c r="AC30" s="32" t="str">
        <v>841.710513728116</v>
      </c>
      <c r="AD30" s="32" t="str">
        <v>0.0212765957446808</v>
      </c>
    </row>
    <row r="31" spans="1:30" x14ac:dyDescent="0.4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v>TEM US EQUITY</v>
      </c>
      <c r="V31" s="24">
        <v>46203</v>
      </c>
      <c r="W31" s="24" t="str">
        <v>custom</v>
      </c>
      <c r="X31" s="24" t="str">
        <v>oncology_test_volumes</v>
      </c>
      <c r="Y31" s="24" t="str">
        <v>forecast</v>
      </c>
      <c r="Z31" s="32" t="str">
        <v>105000</v>
      </c>
      <c r="AA31" s="32" t="str">
        <v>0.25</v>
      </c>
      <c r="AB31" s="32" t="str">
        <v>-300</v>
      </c>
      <c r="AC31" s="32" t="str">
        <v>-131.57894736842</v>
      </c>
      <c r="AD31" s="32" t="str">
        <v>0.09375</v>
      </c>
    </row>
    <row r="32" spans="1:30" x14ac:dyDescent="0.45">
      <c r="C32" s="13" t="s">
        <v>12</v>
      </c>
      <c r="D32" s="14">
        <f t="shared" ref="D32:L32" si="12">EOMONTH(DATE(YEAR(D34),ROUNDUP(MONTH(D34)/3,0)*3,1),0)</f>
        <v>45016</v>
      </c>
      <c r="E32" s="14">
        <f t="shared" si="12"/>
        <v>45107</v>
      </c>
      <c r="F32" s="14">
        <f t="shared" si="12"/>
        <v>45199</v>
      </c>
      <c r="G32" s="14">
        <f t="shared" si="12"/>
        <v>45291</v>
      </c>
      <c r="H32" s="14">
        <f t="shared" si="12"/>
        <v>45382</v>
      </c>
      <c r="I32" s="14">
        <f t="shared" si="12"/>
        <v>45473</v>
      </c>
      <c r="J32" s="14">
        <f t="shared" si="12"/>
        <v>45565</v>
      </c>
      <c r="K32" s="14">
        <f t="shared" si="12"/>
        <v>45657</v>
      </c>
      <c r="L32" s="14">
        <f t="shared" si="12"/>
        <v>45747</v>
      </c>
      <c r="M32" s="14">
        <f>EOMONTH(DATE(YEAR(M34),ROUNDUP(MONTH(M34)/3,0)*3,1),0)</f>
        <v>45838</v>
      </c>
      <c r="N32" s="14">
        <f>EOMONTH(DATE(YEAR(N34),ROUNDUP(MONTH(N34)/3,0)*3,1),0)</f>
        <v>45930</v>
      </c>
      <c r="O32" s="14">
        <f>EOMONTH(DATE(YEAR(O34),ROUNDUP(MONTH(O34)/3,0)*3,1),0)</f>
        <v>46022</v>
      </c>
      <c r="P32" s="14">
        <f t="shared" ref="P32:S32" si="13">EOMONTH(DATE(YEAR(P34),ROUNDUP(MONTH(P34)/3,0)*3,1),0)</f>
        <v>46112</v>
      </c>
      <c r="Q32" s="14">
        <f t="shared" si="13"/>
        <v>46203</v>
      </c>
      <c r="R32" s="14">
        <f t="shared" si="13"/>
        <v>46295</v>
      </c>
      <c r="S32" s="14">
        <f t="shared" si="13"/>
        <v>46387</v>
      </c>
      <c r="U32" s="24" t="str">
        <v>TEM US EQUITY</v>
      </c>
      <c r="V32" s="24">
        <v>46295</v>
      </c>
      <c r="W32" s="24" t="str">
        <v>custom</v>
      </c>
      <c r="X32" s="24" t="str">
        <v>oncology_test_volumes</v>
      </c>
      <c r="Y32" s="24" t="str">
        <v>forecast</v>
      </c>
      <c r="Z32" s="32" t="str">
        <v>109375</v>
      </c>
      <c r="AA32" s="32" t="str">
        <v>0.25</v>
      </c>
      <c r="AB32" s="32" t="str">
        <v>0</v>
      </c>
      <c r="AC32" s="32" t="str">
        <v>-172.528877145004</v>
      </c>
      <c r="AD32" s="32" t="str">
        <v>0.0416666666666667</v>
      </c>
    </row>
    <row r="33" spans="1:30" x14ac:dyDescent="0.45">
      <c r="C33" s="13" t="s">
        <v>35</v>
      </c>
      <c r="D33" s="2" t="str">
        <f t="shared" ref="D33:S33" si="14">+D$6</f>
        <v>actual</v>
      </c>
      <c r="E33" s="2" t="str">
        <f t="shared" si="14"/>
        <v>actual</v>
      </c>
      <c r="F33" s="2" t="str">
        <f t="shared" si="14"/>
        <v>actual</v>
      </c>
      <c r="G33" s="2" t="str">
        <f t="shared" si="14"/>
        <v>actual</v>
      </c>
      <c r="H33" s="2" t="str">
        <f t="shared" si="14"/>
        <v>actual</v>
      </c>
      <c r="I33" s="2" t="str">
        <f t="shared" si="14"/>
        <v>actual</v>
      </c>
      <c r="J33" s="2" t="str">
        <f t="shared" si="14"/>
        <v>actual</v>
      </c>
      <c r="K33" s="2" t="str">
        <f t="shared" si="14"/>
        <v>actual</v>
      </c>
      <c r="L33" s="2" t="str">
        <f t="shared" si="14"/>
        <v>actual</v>
      </c>
      <c r="M33" s="2" t="str">
        <f t="shared" si="14"/>
        <v>actual</v>
      </c>
      <c r="N33" s="2" t="str">
        <f t="shared" si="14"/>
        <v>actual</v>
      </c>
      <c r="O33" s="2" t="str">
        <f t="shared" si="14"/>
        <v>actual</v>
      </c>
      <c r="P33" s="2" t="str">
        <f t="shared" si="14"/>
        <v>forecast</v>
      </c>
      <c r="Q33" s="2" t="str">
        <f t="shared" si="14"/>
        <v>forecast</v>
      </c>
      <c r="R33" s="2" t="str">
        <f t="shared" si="14"/>
        <v>forecast</v>
      </c>
      <c r="S33" s="2" t="str">
        <f t="shared" si="14"/>
        <v>forecast</v>
      </c>
      <c r="U33" s="24" t="str">
        <v>TEM US EQUITY</v>
      </c>
      <c r="V33" s="24">
        <v>46387</v>
      </c>
      <c r="W33" s="24" t="str">
        <v>custom</v>
      </c>
      <c r="X33" s="24" t="str">
        <v>oncology_test_volumes</v>
      </c>
      <c r="Y33" s="24" t="str">
        <v>forecast</v>
      </c>
      <c r="Z33" s="32" t="str">
        <v>117124</v>
      </c>
      <c r="AA33" s="32" t="str">
        <v>0.246</v>
      </c>
      <c r="AB33" s="32" t="str">
        <v>-40</v>
      </c>
      <c r="AC33" s="32" t="str">
        <v>-492.970725941664</v>
      </c>
      <c r="AD33" s="32" t="str">
        <v>0.070848</v>
      </c>
    </row>
    <row r="34" spans="1:30" x14ac:dyDescent="0.45">
      <c r="D34" s="2">
        <f t="shared" ref="D34:S34" si="15">+D$7</f>
        <v>45016</v>
      </c>
      <c r="E34" s="2">
        <f t="shared" si="15"/>
        <v>45107</v>
      </c>
      <c r="F34" s="2">
        <f t="shared" si="15"/>
        <v>45199</v>
      </c>
      <c r="G34" s="2">
        <f t="shared" si="15"/>
        <v>45291</v>
      </c>
      <c r="H34" s="2">
        <f t="shared" si="15"/>
        <v>45382</v>
      </c>
      <c r="I34" s="2">
        <f t="shared" si="15"/>
        <v>45473</v>
      </c>
      <c r="J34" s="2">
        <f t="shared" si="15"/>
        <v>45565</v>
      </c>
      <c r="K34" s="2">
        <f t="shared" si="15"/>
        <v>45657</v>
      </c>
      <c r="L34" s="2">
        <f t="shared" si="15"/>
        <v>45747</v>
      </c>
      <c r="M34" s="2">
        <f t="shared" si="15"/>
        <v>45838</v>
      </c>
      <c r="N34" s="2">
        <f t="shared" si="15"/>
        <v>45930</v>
      </c>
      <c r="O34" s="2">
        <f t="shared" si="15"/>
        <v>46022</v>
      </c>
      <c r="P34" s="2">
        <f t="shared" si="15"/>
        <v>46112</v>
      </c>
      <c r="Q34" s="2">
        <f t="shared" si="15"/>
        <v>46203</v>
      </c>
      <c r="R34" s="2">
        <f t="shared" si="15"/>
        <v>46295</v>
      </c>
      <c r="S34" s="2">
        <f t="shared" si="15"/>
        <v>46387</v>
      </c>
      <c r="U34" s="24" t="str" cm="1">
        <f t="array" ref="U34:AD4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TEM US EQUITY</v>
      </c>
      <c r="V34" s="24">
        <v>45747</v>
      </c>
      <c r="W34" s="24" t="str">
        <v>custom</v>
      </c>
      <c r="X34" s="24" t="str">
        <v>oncology_revenue</v>
      </c>
      <c r="Y34" s="24" t="str">
        <v>actual</v>
      </c>
      <c r="Z34" s="32" t="str">
        <v>119.25</v>
      </c>
      <c r="AA34" s="32" t="str">
        <v>0.313657277513733</v>
      </c>
      <c r="AB34" s="32" t="str">
        <v>-387.64417607599</v>
      </c>
      <c r="AC34" s="32" t="str">
        <v>-2.73997529704584</v>
      </c>
      <c r="AD34" s="32" t="str">
        <v>0.0740104012435985</v>
      </c>
    </row>
    <row r="35" spans="1:30" x14ac:dyDescent="0.45">
      <c r="A35" s="16" t="s">
        <v>21</v>
      </c>
      <c r="B35" s="16" t="s">
        <v>45</v>
      </c>
      <c r="C35" s="2" t="s">
        <v>46</v>
      </c>
      <c r="D35" s="31">
        <v>48419.9</v>
      </c>
      <c r="E35" s="31">
        <v>55300</v>
      </c>
      <c r="F35" s="31">
        <v>55728</v>
      </c>
      <c r="G35" s="31">
        <v>59241</v>
      </c>
      <c r="H35" s="31">
        <v>62718</v>
      </c>
      <c r="I35" s="31">
        <v>66500</v>
      </c>
      <c r="J35" s="31">
        <v>69046.991999999998</v>
      </c>
      <c r="K35" s="31">
        <v>72570.225000000006</v>
      </c>
      <c r="L35" s="31">
        <v>75000</v>
      </c>
      <c r="M35" s="31">
        <v>84000</v>
      </c>
      <c r="N35" s="31">
        <v>87500</v>
      </c>
      <c r="O35" s="31">
        <v>94000</v>
      </c>
      <c r="P35" s="31">
        <v>96000</v>
      </c>
      <c r="Q35" s="31">
        <v>105000</v>
      </c>
      <c r="R35" s="31">
        <v>109375</v>
      </c>
      <c r="S35" s="31">
        <v>117124</v>
      </c>
      <c r="U35" t="str">
        <v>TEM US EQUITY</v>
      </c>
      <c r="V35" s="24">
        <v>45838</v>
      </c>
      <c r="W35" s="24" t="str">
        <v>custom</v>
      </c>
      <c r="X35" s="24" t="str">
        <v>oncology_revenue</v>
      </c>
      <c r="Y35" s="24" t="str">
        <v>actual</v>
      </c>
      <c r="Z35" s="32" t="str">
        <v>132.72</v>
      </c>
      <c r="AA35" s="32" t="str">
        <v>0.330526315789474</v>
      </c>
      <c r="AB35" s="32" t="str">
        <v>168.690382757404</v>
      </c>
      <c r="AC35" s="32" t="str">
        <v>865.897197571466</v>
      </c>
      <c r="AD35" s="32" t="str">
        <v>0.112955974842767</v>
      </c>
    </row>
    <row r="36" spans="1:30" x14ac:dyDescent="0.45">
      <c r="C36" s="4" t="s">
        <v>4</v>
      </c>
      <c r="D36" s="5"/>
      <c r="E36" s="4"/>
      <c r="F36" s="4"/>
      <c r="G36" s="4"/>
      <c r="H36" s="12">
        <f t="shared" ref="H36:S36" si="16">+H35/D35-1</f>
        <v>0.29529387710424837</v>
      </c>
      <c r="I36" s="12">
        <f t="shared" si="16"/>
        <v>0.20253164556962022</v>
      </c>
      <c r="J36" s="12">
        <f t="shared" si="16"/>
        <v>0.23899999999999988</v>
      </c>
      <c r="K36" s="12">
        <f t="shared" si="16"/>
        <v>0.22500000000000009</v>
      </c>
      <c r="L36" s="12">
        <f t="shared" si="16"/>
        <v>0.19582894862718847</v>
      </c>
      <c r="M36" s="12">
        <f t="shared" si="16"/>
        <v>0.26315789473684204</v>
      </c>
      <c r="N36" s="12">
        <f t="shared" si="16"/>
        <v>0.2672528877145004</v>
      </c>
      <c r="O36" s="12">
        <f t="shared" si="16"/>
        <v>0.29529707259416638</v>
      </c>
      <c r="P36" s="12">
        <f t="shared" si="16"/>
        <v>0.28000000000000003</v>
      </c>
      <c r="Q36" s="12">
        <f t="shared" si="16"/>
        <v>0.25</v>
      </c>
      <c r="R36" s="12">
        <f t="shared" si="16"/>
        <v>0.25</v>
      </c>
      <c r="S36" s="12">
        <f t="shared" si="16"/>
        <v>0.246</v>
      </c>
      <c r="U36" t="str">
        <v>TEM US EQUITY</v>
      </c>
      <c r="V36" s="24">
        <v>45930</v>
      </c>
      <c r="W36" s="24" t="str">
        <v>custom</v>
      </c>
      <c r="X36" s="24" t="str">
        <v>oncology_revenue</v>
      </c>
      <c r="Y36" s="24" t="str">
        <v>actual</v>
      </c>
      <c r="Z36" s="32" t="str">
        <v>139.5</v>
      </c>
      <c r="AA36" s="32" t="str">
        <v>0.32049880736637</v>
      </c>
      <c r="AB36" s="32" t="str">
        <v>-100.275084231036</v>
      </c>
      <c r="AC36" s="32" t="str">
        <v>947.901412044185</v>
      </c>
      <c r="AD36" s="32" t="str">
        <v>0.0510849909584088</v>
      </c>
    </row>
    <row r="37" spans="1:30" x14ac:dyDescent="0.45">
      <c r="C37" s="4" t="s">
        <v>19</v>
      </c>
      <c r="D37" s="1"/>
      <c r="L37" s="7">
        <f>(L36-K36)*10000</f>
        <v>-291.71051372811621</v>
      </c>
      <c r="M37" s="7">
        <f>(M36-L36)*10000</f>
        <v>673.28946109653566</v>
      </c>
      <c r="N37" s="7">
        <f>(N36-M36)*10000</f>
        <v>40.94992977658363</v>
      </c>
      <c r="O37" s="7">
        <f>(O36-N36)*10000</f>
        <v>280.44184879665977</v>
      </c>
      <c r="P37" s="7">
        <f t="shared" ref="P37:S37" si="17">(P36-O36)*10000</f>
        <v>-152.97072594166349</v>
      </c>
      <c r="Q37" s="7">
        <f t="shared" si="17"/>
        <v>-300.00000000000028</v>
      </c>
      <c r="R37" s="7">
        <f t="shared" si="17"/>
        <v>0</v>
      </c>
      <c r="S37" s="7">
        <f t="shared" si="17"/>
        <v>-40.000000000000036</v>
      </c>
      <c r="U37" t="str">
        <v>TEM US EQUITY</v>
      </c>
      <c r="V37" s="24">
        <v>46022</v>
      </c>
      <c r="W37" s="24" t="str">
        <v>custom</v>
      </c>
      <c r="X37" s="24" t="str">
        <v>oncology_revenue</v>
      </c>
      <c r="Y37" s="24" t="str">
        <v>actual</v>
      </c>
      <c r="Z37" s="32" t="str">
        <v>167.5</v>
      </c>
      <c r="AA37" s="32" t="str">
        <v>0.508568068832727</v>
      </c>
      <c r="AB37" s="32" t="str">
        <v>1880.69261466357</v>
      </c>
      <c r="AC37" s="32" t="str">
        <v>1561.46373711395</v>
      </c>
      <c r="AD37" s="32" t="str">
        <v>0.200716845878136</v>
      </c>
    </row>
    <row r="38" spans="1:30" x14ac:dyDescent="0.4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-994.64928477059902</v>
      </c>
      <c r="M38" s="7">
        <f>(M36-I36)*10000</f>
        <v>606.26249167221818</v>
      </c>
      <c r="N38" s="7">
        <f>(N36-J36)*10000</f>
        <v>282.5288771450052</v>
      </c>
      <c r="O38" s="7">
        <f>(O36-K36)*10000</f>
        <v>702.97072594166286</v>
      </c>
      <c r="P38" s="7">
        <f t="shared" ref="P38:S38" si="18">(P36-L36)*10000</f>
        <v>841.71051372811553</v>
      </c>
      <c r="Q38" s="7">
        <f t="shared" si="18"/>
        <v>-131.57894736842036</v>
      </c>
      <c r="R38" s="7">
        <f t="shared" si="18"/>
        <v>-172.52887714500397</v>
      </c>
      <c r="S38" s="7">
        <f t="shared" si="18"/>
        <v>-492.97072594166377</v>
      </c>
      <c r="U38" t="str">
        <v>TEM US EQUITY</v>
      </c>
      <c r="V38" s="24">
        <v>46112</v>
      </c>
      <c r="W38" s="24" t="str">
        <v>custom</v>
      </c>
      <c r="X38" s="24" t="str">
        <v>oncology_revenue</v>
      </c>
      <c r="Y38" s="24" t="str">
        <v>forecast</v>
      </c>
      <c r="Z38" s="32" t="str">
        <v>158.4</v>
      </c>
      <c r="AA38" s="32" t="str">
        <v>0.328301886792453</v>
      </c>
      <c r="AB38" s="32" t="str">
        <v>-1802.66182040274</v>
      </c>
      <c r="AC38" s="32" t="str">
        <v>146.446092787196</v>
      </c>
      <c r="AD38" s="32" t="str">
        <v>-0.0543283582089552</v>
      </c>
    </row>
    <row r="39" spans="1:30" x14ac:dyDescent="0.45">
      <c r="C39" s="4" t="s">
        <v>5</v>
      </c>
      <c r="D39" s="1"/>
      <c r="G39" s="7"/>
      <c r="L39" s="12">
        <f t="shared" ref="L39:S39" si="19">L35/K35-1</f>
        <v>3.3481706857047655E-2</v>
      </c>
      <c r="M39" s="12">
        <f t="shared" si="19"/>
        <v>0.12000000000000011</v>
      </c>
      <c r="N39" s="12">
        <f t="shared" si="19"/>
        <v>4.1666666666666741E-2</v>
      </c>
      <c r="O39" s="12">
        <f t="shared" si="19"/>
        <v>7.4285714285714288E-2</v>
      </c>
      <c r="P39" s="12">
        <f t="shared" si="19"/>
        <v>2.1276595744680771E-2</v>
      </c>
      <c r="Q39" s="12">
        <f t="shared" si="19"/>
        <v>9.375E-2</v>
      </c>
      <c r="R39" s="12">
        <f t="shared" si="19"/>
        <v>4.1666666666666741E-2</v>
      </c>
      <c r="S39" s="12">
        <f t="shared" si="19"/>
        <v>7.0848000000000022E-2</v>
      </c>
      <c r="U39" t="str">
        <v>TEM US EQUITY</v>
      </c>
      <c r="V39" s="24">
        <v>46203</v>
      </c>
      <c r="W39" s="24" t="str">
        <v>custom</v>
      </c>
      <c r="X39" s="24" t="str">
        <v>oncology_revenue</v>
      </c>
      <c r="Y39" s="24" t="str">
        <v>forecast</v>
      </c>
      <c r="Z39" s="32" t="str">
        <v>176.4</v>
      </c>
      <c r="AA39" s="32" t="str">
        <v>0.329113924050633</v>
      </c>
      <c r="AB39" s="32" t="str">
        <v>8.1203725817991</v>
      </c>
      <c r="AC39" s="32" t="str">
        <v>-14.1239173884089</v>
      </c>
      <c r="AD39" s="32" t="str">
        <v>0.113636363636364</v>
      </c>
    </row>
    <row r="40" spans="1:30" x14ac:dyDescent="0.4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t="str">
        <v>TEM US EQUITY</v>
      </c>
      <c r="V40" s="24">
        <v>46295</v>
      </c>
      <c r="W40" s="24" t="str">
        <v>custom</v>
      </c>
      <c r="X40" s="24" t="str">
        <v>oncology_revenue</v>
      </c>
      <c r="Y40" s="24" t="str">
        <v>forecast</v>
      </c>
      <c r="Z40" s="32" t="str">
        <v>187.03125</v>
      </c>
      <c r="AA40" s="32" t="str">
        <v>0.340725806451613</v>
      </c>
      <c r="AB40" s="32" t="str">
        <v>116.118824009801</v>
      </c>
      <c r="AC40" s="32" t="str">
        <v>202.269990852428</v>
      </c>
      <c r="AD40" s="32" t="str">
        <v>0.0602678571428572</v>
      </c>
    </row>
    <row r="41" spans="1:30" x14ac:dyDescent="0.45">
      <c r="C41" s="13" t="s">
        <v>12</v>
      </c>
      <c r="D41" s="14">
        <f t="shared" ref="D41:L41" si="20">EOMONTH(DATE(YEAR(D43),ROUNDUP(MONTH(D43)/3,0)*3,1),0)</f>
        <v>45016</v>
      </c>
      <c r="E41" s="14">
        <f t="shared" si="20"/>
        <v>45107</v>
      </c>
      <c r="F41" s="14">
        <f t="shared" si="20"/>
        <v>45199</v>
      </c>
      <c r="G41" s="14">
        <f t="shared" si="20"/>
        <v>45291</v>
      </c>
      <c r="H41" s="14">
        <f t="shared" si="20"/>
        <v>45382</v>
      </c>
      <c r="I41" s="14">
        <f t="shared" si="20"/>
        <v>45473</v>
      </c>
      <c r="J41" s="14">
        <f t="shared" si="20"/>
        <v>45565</v>
      </c>
      <c r="K41" s="14">
        <f t="shared" si="20"/>
        <v>45657</v>
      </c>
      <c r="L41" s="14">
        <f t="shared" si="20"/>
        <v>45747</v>
      </c>
      <c r="M41" s="14">
        <f>EOMONTH(DATE(YEAR(M43),ROUNDUP(MONTH(M43)/3,0)*3,1),0)</f>
        <v>45838</v>
      </c>
      <c r="N41" s="14">
        <f>EOMONTH(DATE(YEAR(N43),ROUNDUP(MONTH(N43)/3,0)*3,1),0)</f>
        <v>45930</v>
      </c>
      <c r="O41" s="14">
        <f>EOMONTH(DATE(YEAR(O43),ROUNDUP(MONTH(O43)/3,0)*3,1),0)</f>
        <v>46022</v>
      </c>
      <c r="P41" s="14">
        <f t="shared" ref="P41:S41" si="21">EOMONTH(DATE(YEAR(P43),ROUNDUP(MONTH(P43)/3,0)*3,1),0)</f>
        <v>46112</v>
      </c>
      <c r="Q41" s="14">
        <f t="shared" si="21"/>
        <v>46203</v>
      </c>
      <c r="R41" s="14">
        <f t="shared" si="21"/>
        <v>46295</v>
      </c>
      <c r="S41" s="14">
        <f t="shared" si="21"/>
        <v>46387</v>
      </c>
      <c r="U41" t="str">
        <v>TEM US EQUITY</v>
      </c>
      <c r="V41" s="24">
        <v>46387</v>
      </c>
      <c r="W41" s="24" t="str">
        <v>custom</v>
      </c>
      <c r="X41" s="24" t="str">
        <v>oncology_revenue</v>
      </c>
      <c r="Y41" s="24" t="str">
        <v>forecast</v>
      </c>
      <c r="Z41" s="32" t="str">
        <v>203.79576</v>
      </c>
      <c r="AA41" s="32" t="str">
        <v>0.216691104477612</v>
      </c>
      <c r="AB41" s="32" t="str">
        <v>-1240.34701974001</v>
      </c>
      <c r="AC41" s="32" t="str">
        <v>-2918.76964355116</v>
      </c>
      <c r="AD41" s="32" t="str">
        <v>0.0896348070175439</v>
      </c>
    </row>
    <row r="42" spans="1:30" x14ac:dyDescent="0.45">
      <c r="C42" s="13" t="s">
        <v>35</v>
      </c>
      <c r="D42" s="2" t="str">
        <f t="shared" ref="D42:S42" si="22">+D$6</f>
        <v>actual</v>
      </c>
      <c r="E42" s="2" t="str">
        <f t="shared" si="22"/>
        <v>actual</v>
      </c>
      <c r="F42" s="2" t="str">
        <f t="shared" si="22"/>
        <v>actual</v>
      </c>
      <c r="G42" s="2" t="str">
        <f t="shared" si="22"/>
        <v>actual</v>
      </c>
      <c r="H42" s="2" t="str">
        <f t="shared" si="22"/>
        <v>actual</v>
      </c>
      <c r="I42" s="2" t="str">
        <f t="shared" si="22"/>
        <v>actual</v>
      </c>
      <c r="J42" s="2" t="str">
        <f t="shared" si="22"/>
        <v>actual</v>
      </c>
      <c r="K42" s="2" t="str">
        <f t="shared" si="22"/>
        <v>actual</v>
      </c>
      <c r="L42" s="2" t="str">
        <f t="shared" si="22"/>
        <v>actual</v>
      </c>
      <c r="M42" s="2" t="str">
        <f t="shared" si="22"/>
        <v>actual</v>
      </c>
      <c r="N42" s="2" t="str">
        <f t="shared" si="22"/>
        <v>actual</v>
      </c>
      <c r="O42" s="2" t="str">
        <f t="shared" si="22"/>
        <v>actual</v>
      </c>
      <c r="P42" s="2" t="str">
        <f t="shared" si="22"/>
        <v>forecast</v>
      </c>
      <c r="Q42" s="2" t="str">
        <f t="shared" si="22"/>
        <v>forecast</v>
      </c>
      <c r="R42" s="2" t="str">
        <f t="shared" si="22"/>
        <v>forecast</v>
      </c>
      <c r="S42" s="2" t="str">
        <f t="shared" si="22"/>
        <v>forecast</v>
      </c>
      <c r="U42" s="24" t="str" cm="1">
        <f t="array" ref="U42:AD49">_xlfn.LET(
  _xlpm.d, L50:S50,
  _xlpm.s, L51:S51,
  _xlpm.v, L53:S53,
  _xlpm.yy, L54:S54,
  _xlpm.qq, L55:S55,
  _xlpm.dyy, L56:S56,
  _xlpm.dqq, L57:S57,
  _xlpm.dd, TRANSPOSE(_xlpm.d),
  _xlpm.clean, _xlfn.LAMBDA(_xlpm.x, IF(_xlpm.x="","",_xlpm.x)),
_xlfn.HSTACK(
  _xlfn.MAKEARRAY(ROWS(_xlpm.dd),1, _xlfn.LAMBDA(_xlpm.r,_xlpm.c,$B$2)),
  _xlpm.dd,
  _xlfn.MAKEARRAY(ROWS(_xlpm.dd),1, _xlfn.LAMBDA(_xlpm.r,_xlpm.c,A53)),
  _xlfn.MAKEARRAY(ROWS(_xlpm.dd),1, _xlfn.LAMBDA(_xlpm.r,_xlpm.c,B53)),
  CLEAN(TRANSPOSE(_xlpm.s)),
  CLEAN(TRANSPOSE(_xlpm.v)),
  CLEAN(TRANSPOSE(_xlpm.yy)),
  CLEAN(TRANSPOSE(_xlpm.qq)),
  CLEAN(TRANSPOSE(_xlpm.dyy)),
  CLEAN(TRANSPOSE(_xlpm.dqq))
))</f>
        <v>TEM US EQUITY</v>
      </c>
      <c r="V42">
        <v>45747</v>
      </c>
      <c r="W42" t="str">
        <v>custom</v>
      </c>
      <c r="X42" t="str">
        <v>oncology_rev_per_test</v>
      </c>
      <c r="Y42" t="str">
        <v>actual</v>
      </c>
      <c r="Z42" t="str">
        <v>1590</v>
      </c>
      <c r="AA42" t="str">
        <v>0.0985327617480845</v>
      </c>
      <c r="AB42" t="str">
        <v>-54.8494855504389</v>
      </c>
      <c r="AC42" t="str">
        <v>841.442138913964</v>
      </c>
      <c r="AD42" t="str">
        <v>0.0392156862745099</v>
      </c>
    </row>
    <row r="43" spans="1:30" x14ac:dyDescent="0.45">
      <c r="D43" s="2">
        <f t="shared" ref="D43:S43" si="23">+D$7</f>
        <v>45016</v>
      </c>
      <c r="E43" s="2">
        <f t="shared" si="23"/>
        <v>45107</v>
      </c>
      <c r="F43" s="2">
        <f t="shared" si="23"/>
        <v>45199</v>
      </c>
      <c r="G43" s="2">
        <f t="shared" si="23"/>
        <v>45291</v>
      </c>
      <c r="H43" s="2">
        <f t="shared" si="23"/>
        <v>45382</v>
      </c>
      <c r="I43" s="2">
        <f t="shared" si="23"/>
        <v>45473</v>
      </c>
      <c r="J43" s="2">
        <f t="shared" si="23"/>
        <v>45565</v>
      </c>
      <c r="K43" s="2">
        <f t="shared" si="23"/>
        <v>45657</v>
      </c>
      <c r="L43" s="2">
        <f t="shared" si="23"/>
        <v>45747</v>
      </c>
      <c r="M43" s="2">
        <f t="shared" si="23"/>
        <v>45838</v>
      </c>
      <c r="N43" s="2">
        <f t="shared" si="23"/>
        <v>45930</v>
      </c>
      <c r="O43" s="2">
        <f t="shared" si="23"/>
        <v>46022</v>
      </c>
      <c r="P43" s="2">
        <f t="shared" si="23"/>
        <v>46112</v>
      </c>
      <c r="Q43" s="2">
        <f t="shared" si="23"/>
        <v>46203</v>
      </c>
      <c r="R43" s="2">
        <f t="shared" si="23"/>
        <v>46295</v>
      </c>
      <c r="S43" s="2">
        <f t="shared" si="23"/>
        <v>46387</v>
      </c>
      <c r="U43" t="str">
        <v>TEM US EQUITY</v>
      </c>
      <c r="V43">
        <v>45838</v>
      </c>
      <c r="W43" t="str">
        <v>custom</v>
      </c>
      <c r="X43" t="str">
        <v>oncology_rev_per_test</v>
      </c>
      <c r="Y43" t="str">
        <v>actual</v>
      </c>
      <c r="Z43" t="str">
        <v>1580</v>
      </c>
      <c r="AA43" t="str">
        <v>0.0533333333333332</v>
      </c>
      <c r="AB43" t="str">
        <v>-451.994284147512</v>
      </c>
      <c r="AC43" t="str">
        <v>189.018482117138</v>
      </c>
      <c r="AD43" t="str">
        <v>-0.00628930817610063</v>
      </c>
    </row>
    <row r="44" spans="1:30" x14ac:dyDescent="0.45">
      <c r="A44" s="16" t="s">
        <v>21</v>
      </c>
      <c r="B44" s="16" t="s">
        <v>47</v>
      </c>
      <c r="C44" s="2" t="s">
        <v>48</v>
      </c>
      <c r="D44" s="10">
        <v>69.088165576999998</v>
      </c>
      <c r="E44" s="10">
        <v>80.188974516999991</v>
      </c>
      <c r="F44" s="10">
        <v>86.188423624999999</v>
      </c>
      <c r="G44" s="10">
        <v>82.098981886000246</v>
      </c>
      <c r="H44" s="10">
        <v>90.777101486999769</v>
      </c>
      <c r="I44" s="10">
        <v>99.75</v>
      </c>
      <c r="J44" s="10">
        <v>105.64189775999999</v>
      </c>
      <c r="K44" s="10">
        <v>111.03244425000001</v>
      </c>
      <c r="L44" s="10">
        <v>119.25</v>
      </c>
      <c r="M44" s="10">
        <v>132.72</v>
      </c>
      <c r="N44" s="10">
        <v>139.5</v>
      </c>
      <c r="O44" s="10">
        <v>167.5</v>
      </c>
      <c r="P44" s="10">
        <v>158.4</v>
      </c>
      <c r="Q44" s="10">
        <v>176.4</v>
      </c>
      <c r="R44" s="10">
        <v>187.03125</v>
      </c>
      <c r="S44" s="10">
        <v>203.79576</v>
      </c>
      <c r="U44" t="str">
        <v>TEM US EQUITY</v>
      </c>
      <c r="V44">
        <v>45930</v>
      </c>
      <c r="W44" t="str">
        <v>custom</v>
      </c>
      <c r="X44" t="str">
        <v>oncology_rev_per_test</v>
      </c>
      <c r="Y44" t="str">
        <v>actual</v>
      </c>
      <c r="Z44" t="str">
        <v>1594.28571428571</v>
      </c>
      <c r="AA44" t="str">
        <v>0.0420168067226889</v>
      </c>
      <c r="AB44" t="str">
        <v>-113.165266106443</v>
      </c>
      <c r="AC44" t="str">
        <v>527.44275518531</v>
      </c>
      <c r="AD44" t="str">
        <v>0.00904159132007232</v>
      </c>
    </row>
    <row r="45" spans="1:30" x14ac:dyDescent="0.45">
      <c r="C45" s="4" t="s">
        <v>4</v>
      </c>
      <c r="D45" s="5"/>
      <c r="E45" s="4"/>
      <c r="F45" s="4"/>
      <c r="G45" s="4"/>
      <c r="H45" s="12">
        <f t="shared" ref="H45:S45" si="24">+H44/D44-1</f>
        <v>0.31393127504343799</v>
      </c>
      <c r="I45" s="12">
        <f t="shared" si="24"/>
        <v>0.2439365960323272</v>
      </c>
      <c r="J45" s="12">
        <f t="shared" si="24"/>
        <v>0.22570866616195162</v>
      </c>
      <c r="K45" s="12">
        <f t="shared" si="24"/>
        <v>0.35242169512133237</v>
      </c>
      <c r="L45" s="12">
        <f t="shared" si="24"/>
        <v>0.3136572775137334</v>
      </c>
      <c r="M45" s="12">
        <f t="shared" si="24"/>
        <v>0.33052631578947378</v>
      </c>
      <c r="N45" s="12">
        <f t="shared" si="24"/>
        <v>0.32049880736637015</v>
      </c>
      <c r="O45" s="12">
        <f t="shared" si="24"/>
        <v>0.50856806883272743</v>
      </c>
      <c r="P45" s="12">
        <f t="shared" si="24"/>
        <v>0.32830188679245298</v>
      </c>
      <c r="Q45" s="12">
        <f t="shared" si="24"/>
        <v>0.32911392405063289</v>
      </c>
      <c r="R45" s="12">
        <f t="shared" si="24"/>
        <v>0.34072580645161299</v>
      </c>
      <c r="S45" s="12">
        <f t="shared" si="24"/>
        <v>0.21669110447761186</v>
      </c>
      <c r="U45" s="1" t="str">
        <v>TEM US EQUITY</v>
      </c>
      <c r="V45">
        <v>46022</v>
      </c>
      <c r="W45" t="str">
        <v>custom</v>
      </c>
      <c r="X45" t="str">
        <v>oncology_rev_per_test</v>
      </c>
      <c r="Y45" t="str">
        <v>actual</v>
      </c>
      <c r="Z45" t="str">
        <v>1781.91489361702</v>
      </c>
      <c r="AA45" t="str">
        <v>0.164650257266027</v>
      </c>
      <c r="AB45" t="str">
        <v>1226.33450543338</v>
      </c>
      <c r="AC45" t="str">
        <v>606.325469628986</v>
      </c>
      <c r="AD45" t="str">
        <v>0.11768855334401</v>
      </c>
    </row>
    <row r="46" spans="1:30" x14ac:dyDescent="0.45">
      <c r="C46" s="4" t="s">
        <v>19</v>
      </c>
      <c r="D46" s="1"/>
      <c r="L46" s="7">
        <f>(L45-K45)*10000</f>
        <v>-387.64417607598966</v>
      </c>
      <c r="M46" s="7">
        <f>(M45-L45)*10000</f>
        <v>168.69038275740377</v>
      </c>
      <c r="N46" s="7">
        <f>(N45-M45)*10000</f>
        <v>-100.27508423103626</v>
      </c>
      <c r="O46" s="7">
        <f>(O45-N45)*10000</f>
        <v>1880.6926146635728</v>
      </c>
      <c r="P46" s="7">
        <f t="shared" ref="P46:S46" si="25">(P45-O45)*10000</f>
        <v>-1802.6618204027445</v>
      </c>
      <c r="Q46" s="7">
        <f t="shared" si="25"/>
        <v>8.1203725817990957</v>
      </c>
      <c r="R46" s="7">
        <f t="shared" si="25"/>
        <v>116.118824009801</v>
      </c>
      <c r="S46" s="7">
        <f t="shared" si="25"/>
        <v>-1240.3470197400113</v>
      </c>
      <c r="U46" s="1" t="str">
        <v>TEM US EQUITY</v>
      </c>
      <c r="V46">
        <v>46112</v>
      </c>
      <c r="W46" t="str">
        <v>custom</v>
      </c>
      <c r="X46" s="11" t="str">
        <v>oncology_rev_per_test</v>
      </c>
      <c r="Y46" s="12" t="str">
        <v>forecast</v>
      </c>
      <c r="Z46" s="7" t="str">
        <v>1650</v>
      </c>
      <c r="AA46" s="12" t="str">
        <v>0.0377358490566038</v>
      </c>
      <c r="AB46" s="7" t="str">
        <v>-1269.14408209423</v>
      </c>
      <c r="AC46" t="str">
        <v>-607.969126914807</v>
      </c>
      <c r="AD46" t="str">
        <v>-0.0740298507462686</v>
      </c>
    </row>
    <row r="47" spans="1:30" x14ac:dyDescent="0.4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-2.739975297045838</v>
      </c>
      <c r="M47" s="7">
        <f>(M45-I45)*10000</f>
        <v>865.89719757146577</v>
      </c>
      <c r="N47" s="7">
        <f>(N45-J45)*10000</f>
        <v>947.90141204418535</v>
      </c>
      <c r="O47" s="7">
        <f>(O45-K45)*10000</f>
        <v>1561.4637371139506</v>
      </c>
      <c r="P47" s="7">
        <f t="shared" ref="P47:S47" si="26">(P45-L45)*10000</f>
        <v>146.44609278719577</v>
      </c>
      <c r="Q47" s="7">
        <f t="shared" si="26"/>
        <v>-14.123917388408902</v>
      </c>
      <c r="R47" s="7">
        <f t="shared" si="26"/>
        <v>202.26999085242835</v>
      </c>
      <c r="S47" s="7">
        <f t="shared" si="26"/>
        <v>-2918.7696435511557</v>
      </c>
      <c r="U47" s="1" t="str">
        <v>TEM US EQUITY</v>
      </c>
      <c r="V47">
        <v>46203</v>
      </c>
      <c r="W47" t="str">
        <v>custom</v>
      </c>
      <c r="X47" s="11" t="str">
        <v>oncology_rev_per_test</v>
      </c>
      <c r="Y47" s="12" t="str">
        <v>forecast</v>
      </c>
      <c r="Z47" s="7" t="str">
        <v>1680</v>
      </c>
      <c r="AA47" s="12" t="str">
        <v>0.0632911392405062</v>
      </c>
      <c r="AB47" s="7" t="str">
        <v>255.552901839025</v>
      </c>
      <c r="AC47" t="str">
        <v>99.5780590717299</v>
      </c>
      <c r="AD47" t="str">
        <v>0.0181818181818181</v>
      </c>
    </row>
    <row r="48" spans="1:30" x14ac:dyDescent="0.45">
      <c r="C48" s="4" t="s">
        <v>5</v>
      </c>
      <c r="D48" s="1"/>
      <c r="G48" s="7"/>
      <c r="L48" s="12">
        <f t="shared" ref="L48:S48" si="27">L44/K44-1</f>
        <v>7.4010401243598478E-2</v>
      </c>
      <c r="M48" s="12">
        <f t="shared" si="27"/>
        <v>0.11295597484276731</v>
      </c>
      <c r="N48" s="12">
        <f t="shared" si="27"/>
        <v>5.1084990958408794E-2</v>
      </c>
      <c r="O48" s="12">
        <f t="shared" si="27"/>
        <v>0.2007168458781361</v>
      </c>
      <c r="P48" s="12">
        <f t="shared" si="27"/>
        <v>-5.4328358208955208E-2</v>
      </c>
      <c r="Q48" s="12">
        <f t="shared" si="27"/>
        <v>0.11363636363636354</v>
      </c>
      <c r="R48" s="12">
        <f t="shared" si="27"/>
        <v>6.0267857142857206E-2</v>
      </c>
      <c r="S48" s="12">
        <f t="shared" si="27"/>
        <v>8.9634807017543894E-2</v>
      </c>
      <c r="U48" t="str">
        <v>TEM US EQUITY</v>
      </c>
      <c r="V48">
        <v>46295</v>
      </c>
      <c r="W48" t="str">
        <v>custom</v>
      </c>
      <c r="X48" s="11" t="str">
        <v>oncology_rev_per_test</v>
      </c>
      <c r="Y48" s="12" t="str">
        <v>forecast</v>
      </c>
      <c r="Z48" s="7" t="str">
        <v>1710</v>
      </c>
      <c r="AA48" s="12" t="str">
        <v>0.0725806451612903</v>
      </c>
      <c r="AB48" s="7" t="str">
        <v>92.8950592078404</v>
      </c>
      <c r="AC48" t="str">
        <v>305.638384386013</v>
      </c>
      <c r="AD48" t="str">
        <v>0.0178571428571428</v>
      </c>
    </row>
    <row r="49" spans="1:30" x14ac:dyDescent="0.45">
      <c r="C49" s="4"/>
      <c r="D49" s="1"/>
      <c r="L49" s="7"/>
      <c r="M49" s="7"/>
      <c r="N49" s="7"/>
      <c r="O49" s="7"/>
      <c r="P49" s="7"/>
      <c r="Q49" s="7"/>
      <c r="R49" s="7"/>
      <c r="S49" s="7"/>
      <c r="U49" t="str">
        <v>TEM US EQUITY</v>
      </c>
      <c r="V49">
        <v>46387</v>
      </c>
      <c r="W49" t="str">
        <v>custom</v>
      </c>
      <c r="X49" t="str">
        <v>oncology_rev_per_test</v>
      </c>
      <c r="Y49" t="str">
        <v>forecast</v>
      </c>
      <c r="Z49" t="str">
        <v>1740</v>
      </c>
      <c r="AA49" t="str">
        <v>-0.0235223880597014</v>
      </c>
      <c r="AB49" t="str">
        <v>-961.030332209917</v>
      </c>
      <c r="AC49" t="str">
        <v>-1881.72645325728</v>
      </c>
      <c r="AD49" t="str">
        <v>0.0175438596491229</v>
      </c>
    </row>
    <row r="50" spans="1:30" x14ac:dyDescent="0.45">
      <c r="C50" s="13" t="s">
        <v>12</v>
      </c>
      <c r="D50" s="14">
        <f t="shared" ref="D50:L50" si="28">EOMONTH(DATE(YEAR(D52),ROUNDUP(MONTH(D52)/3,0)*3,1),0)</f>
        <v>45016</v>
      </c>
      <c r="E50" s="14">
        <f t="shared" si="28"/>
        <v>45107</v>
      </c>
      <c r="F50" s="14">
        <f t="shared" si="28"/>
        <v>45199</v>
      </c>
      <c r="G50" s="14">
        <f t="shared" si="28"/>
        <v>45291</v>
      </c>
      <c r="H50" s="14">
        <f t="shared" si="28"/>
        <v>45382</v>
      </c>
      <c r="I50" s="14">
        <f t="shared" si="28"/>
        <v>45473</v>
      </c>
      <c r="J50" s="14">
        <f t="shared" si="28"/>
        <v>45565</v>
      </c>
      <c r="K50" s="14">
        <f t="shared" si="28"/>
        <v>45657</v>
      </c>
      <c r="L50" s="14">
        <f t="shared" si="28"/>
        <v>45747</v>
      </c>
      <c r="M50" s="14">
        <f>EOMONTH(DATE(YEAR(M52),ROUNDUP(MONTH(M52)/3,0)*3,1),0)</f>
        <v>45838</v>
      </c>
      <c r="N50" s="14">
        <f>EOMONTH(DATE(YEAR(N52),ROUNDUP(MONTH(N52)/3,0)*3,1),0)</f>
        <v>45930</v>
      </c>
      <c r="O50" s="14">
        <f>EOMONTH(DATE(YEAR(O52),ROUNDUP(MONTH(O52)/3,0)*3,1),0)</f>
        <v>46022</v>
      </c>
      <c r="P50" s="14">
        <f t="shared" ref="P50:S50" si="29">EOMONTH(DATE(YEAR(P52),ROUNDUP(MONTH(P52)/3,0)*3,1),0)</f>
        <v>46112</v>
      </c>
      <c r="Q50" s="14">
        <f t="shared" si="29"/>
        <v>46203</v>
      </c>
      <c r="R50" s="14">
        <f t="shared" si="29"/>
        <v>46295</v>
      </c>
      <c r="S50" s="14">
        <f t="shared" si="29"/>
        <v>46387</v>
      </c>
      <c r="U50" s="24" t="str" cm="1">
        <f t="array" ref="U50:AD57">_xlfn.LET(
  _xlpm.d, L59:S59,
  _xlpm.s, L60:S60,
  _xlpm.v, L62:S62,
  _xlpm.yy, L63:S63,
  _xlpm.qq, L64:S64,
  _xlpm.dyy, L65:S65,
  _xlpm.dqq, L66:S66,
  _xlpm.dd, TRANSPOSE(_xlpm.d),
  _xlpm.clean, _xlfn.LAMBDA(_xlpm.x, IF(_xlpm.x="","",_xlpm.x)),
_xlfn.HSTACK(
  _xlfn.MAKEARRAY(ROWS(_xlpm.dd),1, _xlfn.LAMBDA(_xlpm.r,_xlpm.c,$B$2)),
  _xlpm.dd,
  _xlfn.MAKEARRAY(ROWS(_xlpm.dd),1, _xlfn.LAMBDA(_xlpm.r,_xlpm.c,A62)),
  _xlfn.MAKEARRAY(ROWS(_xlpm.dd),1, _xlfn.LAMBDA(_xlpm.r,_xlpm.c,B62)),
  CLEAN(TRANSPOSE(_xlpm.s)),
  CLEAN(TRANSPOSE(_xlpm.v)),
  CLEAN(TRANSPOSE(_xlpm.yy)),
  CLEAN(TRANSPOSE(_xlpm.qq)),
  CLEAN(TRANSPOSE(_xlpm.dyy)),
  CLEAN(TRANSPOSE(_xlpm.dqq))
))</f>
        <v>TEM US EQUITY</v>
      </c>
      <c r="V50">
        <v>45747</v>
      </c>
      <c r="W50" t="str">
        <v>custom</v>
      </c>
      <c r="X50" t="str">
        <v>hereditary_test_volumes</v>
      </c>
      <c r="Y50" t="str">
        <v>actual</v>
      </c>
      <c r="Z50" t="str">
        <v>78000</v>
      </c>
      <c r="AA50" t="str">
        <v>0.228346456692913</v>
      </c>
      <c r="AB50" t="str">
        <v/>
      </c>
      <c r="AC50" t="str">
        <v/>
      </c>
      <c r="AD50" t="str">
        <v/>
      </c>
    </row>
    <row r="51" spans="1:30" x14ac:dyDescent="0.45">
      <c r="C51" s="13" t="s">
        <v>35</v>
      </c>
      <c r="D51" s="2" t="str">
        <f t="shared" ref="D51:S51" si="30">+D$6</f>
        <v>actual</v>
      </c>
      <c r="E51" s="2" t="str">
        <f t="shared" si="30"/>
        <v>actual</v>
      </c>
      <c r="F51" s="2" t="str">
        <f t="shared" si="30"/>
        <v>actual</v>
      </c>
      <c r="G51" s="2" t="str">
        <f t="shared" si="30"/>
        <v>actual</v>
      </c>
      <c r="H51" s="2" t="str">
        <f t="shared" si="30"/>
        <v>actual</v>
      </c>
      <c r="I51" s="2" t="str">
        <f t="shared" si="30"/>
        <v>actual</v>
      </c>
      <c r="J51" s="2" t="str">
        <f t="shared" si="30"/>
        <v>actual</v>
      </c>
      <c r="K51" s="2" t="str">
        <f t="shared" si="30"/>
        <v>actual</v>
      </c>
      <c r="L51" s="2" t="str">
        <f t="shared" si="30"/>
        <v>actual</v>
      </c>
      <c r="M51" s="2" t="str">
        <f t="shared" si="30"/>
        <v>actual</v>
      </c>
      <c r="N51" s="2" t="str">
        <f t="shared" si="30"/>
        <v>actual</v>
      </c>
      <c r="O51" s="2" t="str">
        <f t="shared" si="30"/>
        <v>actual</v>
      </c>
      <c r="P51" s="2" t="str">
        <f t="shared" si="30"/>
        <v>forecast</v>
      </c>
      <c r="Q51" s="2" t="str">
        <f t="shared" si="30"/>
        <v>forecast</v>
      </c>
      <c r="R51" s="2" t="str">
        <f t="shared" si="30"/>
        <v>forecast</v>
      </c>
      <c r="S51" s="2" t="str">
        <f t="shared" si="30"/>
        <v>forecast</v>
      </c>
      <c r="U51" t="str">
        <v>TEM US EQUITY</v>
      </c>
      <c r="V51">
        <v>45838</v>
      </c>
      <c r="W51" t="str">
        <v>custom</v>
      </c>
      <c r="X51" t="str">
        <v>hereditary_test_volumes</v>
      </c>
      <c r="Y51" t="str">
        <v>actual</v>
      </c>
      <c r="Z51" t="str">
        <v>128000</v>
      </c>
      <c r="AA51" t="str">
        <v>0.319587628865979</v>
      </c>
      <c r="AB51" t="str">
        <v/>
      </c>
      <c r="AC51" t="str">
        <v/>
      </c>
      <c r="AD51" t="str">
        <v/>
      </c>
    </row>
    <row r="52" spans="1:30" x14ac:dyDescent="0.45">
      <c r="D52" s="2">
        <f t="shared" ref="D52:S52" si="31">+D$7</f>
        <v>45016</v>
      </c>
      <c r="E52" s="2">
        <f t="shared" si="31"/>
        <v>45107</v>
      </c>
      <c r="F52" s="2">
        <f t="shared" si="31"/>
        <v>45199</v>
      </c>
      <c r="G52" s="2">
        <f t="shared" si="31"/>
        <v>45291</v>
      </c>
      <c r="H52" s="2">
        <f t="shared" si="31"/>
        <v>45382</v>
      </c>
      <c r="I52" s="2">
        <f t="shared" si="31"/>
        <v>45473</v>
      </c>
      <c r="J52" s="2">
        <f t="shared" si="31"/>
        <v>45565</v>
      </c>
      <c r="K52" s="2">
        <f t="shared" si="31"/>
        <v>45657</v>
      </c>
      <c r="L52" s="2">
        <f t="shared" si="31"/>
        <v>45747</v>
      </c>
      <c r="M52" s="2">
        <f t="shared" si="31"/>
        <v>45838</v>
      </c>
      <c r="N52" s="2">
        <f t="shared" si="31"/>
        <v>45930</v>
      </c>
      <c r="O52" s="2">
        <f t="shared" si="31"/>
        <v>46022</v>
      </c>
      <c r="P52" s="2">
        <f t="shared" si="31"/>
        <v>46112</v>
      </c>
      <c r="Q52" s="2">
        <f t="shared" si="31"/>
        <v>46203</v>
      </c>
      <c r="R52" s="2">
        <f t="shared" si="31"/>
        <v>46295</v>
      </c>
      <c r="S52" s="2">
        <f t="shared" si="31"/>
        <v>46387</v>
      </c>
      <c r="U52" t="str">
        <v>TEM US EQUITY</v>
      </c>
      <c r="V52">
        <v>45930</v>
      </c>
      <c r="W52" t="str">
        <v>custom</v>
      </c>
      <c r="X52" t="str">
        <v>hereditary_test_volumes</v>
      </c>
      <c r="Y52" t="str">
        <v>actual</v>
      </c>
      <c r="Z52" t="str">
        <v>129500</v>
      </c>
      <c r="AA52" t="str">
        <v>0.37037037037037</v>
      </c>
      <c r="AB52" t="str">
        <v/>
      </c>
      <c r="AC52" t="str">
        <v/>
      </c>
      <c r="AD52" t="str">
        <v/>
      </c>
    </row>
    <row r="53" spans="1:30" x14ac:dyDescent="0.45">
      <c r="A53" s="16" t="s">
        <v>21</v>
      </c>
      <c r="B53" s="16" t="s">
        <v>49</v>
      </c>
      <c r="C53" s="2" t="s">
        <v>50</v>
      </c>
      <c r="D53" s="35">
        <f t="shared" ref="D53:S53" si="32">D44/D35*1000000</f>
        <v>1426.8547761767372</v>
      </c>
      <c r="E53" s="35">
        <f t="shared" si="32"/>
        <v>1450.0718719168171</v>
      </c>
      <c r="F53" s="35">
        <f t="shared" si="32"/>
        <v>1546.5910067650016</v>
      </c>
      <c r="G53" s="35">
        <f t="shared" si="32"/>
        <v>1385.8473335358999</v>
      </c>
      <c r="H53" s="35">
        <f t="shared" si="32"/>
        <v>1447.3851444083002</v>
      </c>
      <c r="I53" s="35">
        <f t="shared" si="32"/>
        <v>1500</v>
      </c>
      <c r="J53" s="35">
        <f t="shared" si="32"/>
        <v>1530</v>
      </c>
      <c r="K53" s="35">
        <f t="shared" si="32"/>
        <v>1530</v>
      </c>
      <c r="L53" s="35">
        <f t="shared" si="32"/>
        <v>1590</v>
      </c>
      <c r="M53" s="35">
        <f t="shared" si="32"/>
        <v>1580</v>
      </c>
      <c r="N53" s="35">
        <f t="shared" si="32"/>
        <v>1594.2857142857142</v>
      </c>
      <c r="O53" s="35">
        <f t="shared" si="32"/>
        <v>1781.9148936170211</v>
      </c>
      <c r="P53" s="35">
        <f t="shared" si="32"/>
        <v>1650</v>
      </c>
      <c r="Q53" s="35">
        <f t="shared" si="32"/>
        <v>1680</v>
      </c>
      <c r="R53" s="35">
        <f t="shared" si="32"/>
        <v>1710</v>
      </c>
      <c r="S53" s="35">
        <f t="shared" si="32"/>
        <v>1740</v>
      </c>
      <c r="U53" t="str">
        <v>TEM US EQUITY</v>
      </c>
      <c r="V53">
        <v>46022</v>
      </c>
      <c r="W53" t="str">
        <v>custom</v>
      </c>
      <c r="X53" t="str">
        <v>hereditary_test_volumes</v>
      </c>
      <c r="Y53" t="str">
        <v>actual</v>
      </c>
      <c r="Z53" t="str">
        <v>125000</v>
      </c>
      <c r="AA53" t="str">
        <v>0.231527093596059</v>
      </c>
      <c r="AB53" t="str">
        <v/>
      </c>
      <c r="AC53" t="str">
        <v/>
      </c>
      <c r="AD53" t="str">
        <v/>
      </c>
    </row>
    <row r="54" spans="1:30" x14ac:dyDescent="0.45">
      <c r="C54" s="4" t="s">
        <v>4</v>
      </c>
      <c r="D54" s="5"/>
      <c r="E54" s="4"/>
      <c r="F54" s="4"/>
      <c r="G54" s="4"/>
      <c r="H54" s="12">
        <f t="shared" ref="H54:S54" si="33">+H53/D53-1</f>
        <v>1.4388547856688083E-2</v>
      </c>
      <c r="I54" s="12">
        <f t="shared" si="33"/>
        <v>3.4431485121619421E-2</v>
      </c>
      <c r="J54" s="12">
        <f t="shared" si="33"/>
        <v>-1.0727468795842077E-2</v>
      </c>
      <c r="K54" s="12">
        <f t="shared" si="33"/>
        <v>0.10401771030312834</v>
      </c>
      <c r="L54" s="12">
        <f t="shared" si="33"/>
        <v>9.8532761748084452E-2</v>
      </c>
      <c r="M54" s="12">
        <f t="shared" si="33"/>
        <v>5.3333333333333233E-2</v>
      </c>
      <c r="N54" s="12">
        <f t="shared" si="33"/>
        <v>4.2016806722688926E-2</v>
      </c>
      <c r="O54" s="12">
        <f t="shared" si="33"/>
        <v>0.16465025726602689</v>
      </c>
      <c r="P54" s="12">
        <f t="shared" si="33"/>
        <v>3.7735849056603765E-2</v>
      </c>
      <c r="Q54" s="12">
        <f t="shared" si="33"/>
        <v>6.3291139240506222E-2</v>
      </c>
      <c r="R54" s="12">
        <f t="shared" si="33"/>
        <v>7.2580645161290258E-2</v>
      </c>
      <c r="S54" s="12">
        <f t="shared" si="33"/>
        <v>-2.3522388059701416E-2</v>
      </c>
      <c r="U54" t="str">
        <v>TEM US EQUITY</v>
      </c>
      <c r="V54">
        <v>46112</v>
      </c>
      <c r="W54" t="str">
        <v>custom</v>
      </c>
      <c r="X54" t="str">
        <v>hereditary_test_volumes</v>
      </c>
      <c r="Y54" t="str">
        <v>forecast</v>
      </c>
      <c r="Z54" t="str">
        <v>111700</v>
      </c>
      <c r="AA54" t="str">
        <v>0.432051282051282</v>
      </c>
      <c r="AB54" t="str">
        <v>2005.24188455223</v>
      </c>
      <c r="AC54" t="str">
        <v>2037.04825358369</v>
      </c>
      <c r="AD54" t="str">
        <v>-0.1064</v>
      </c>
    </row>
    <row r="55" spans="1:30" x14ac:dyDescent="0.45">
      <c r="C55" s="4" t="s">
        <v>19</v>
      </c>
      <c r="D55" s="1"/>
      <c r="L55" s="7">
        <f>(L54-K54)*10000</f>
        <v>-54.849485550438892</v>
      </c>
      <c r="M55" s="7">
        <f>(M54-L54)*10000</f>
        <v>-451.99428414751219</v>
      </c>
      <c r="N55" s="7">
        <f>(N54-M54)*10000</f>
        <v>-113.16526610644306</v>
      </c>
      <c r="O55" s="7">
        <f>(O54-N54)*10000</f>
        <v>1226.3345054333797</v>
      </c>
      <c r="P55" s="7">
        <f t="shared" ref="P55:S55" si="34">(P54-O54)*10000</f>
        <v>-1269.1440820942312</v>
      </c>
      <c r="Q55" s="7">
        <f t="shared" si="34"/>
        <v>255.55290183902457</v>
      </c>
      <c r="R55" s="7">
        <f t="shared" si="34"/>
        <v>92.895059207840362</v>
      </c>
      <c r="S55" s="7">
        <f t="shared" si="34"/>
        <v>-961.03033220991676</v>
      </c>
      <c r="U55" t="str">
        <v>TEM US EQUITY</v>
      </c>
      <c r="V55">
        <v>46203</v>
      </c>
      <c r="W55" t="str">
        <v>custom</v>
      </c>
      <c r="X55" t="str">
        <v>hereditary_test_volumes</v>
      </c>
      <c r="Y55" t="str">
        <v>forecast</v>
      </c>
      <c r="Z55" t="str">
        <v>140000</v>
      </c>
      <c r="AA55" t="str">
        <v>0.09375</v>
      </c>
      <c r="AB55" t="str">
        <v>-3383.01282051282</v>
      </c>
      <c r="AC55" t="str">
        <v>-2258.37628865979</v>
      </c>
      <c r="AD55" t="str">
        <v>0.253357206803939</v>
      </c>
    </row>
    <row r="56" spans="1:30" x14ac:dyDescent="0.45">
      <c r="C56" s="4" t="s">
        <v>23</v>
      </c>
      <c r="D56" s="1"/>
      <c r="E56" s="7"/>
      <c r="F56" s="7"/>
      <c r="G56" s="7"/>
      <c r="H56" s="6"/>
      <c r="I56" s="6"/>
      <c r="J56" s="6"/>
      <c r="K56" s="6"/>
      <c r="L56" s="7">
        <f>(L54-H54)*10000</f>
        <v>841.44213891396373</v>
      </c>
      <c r="M56" s="7">
        <f>(M54-I54)*10000</f>
        <v>189.01848211713812</v>
      </c>
      <c r="N56" s="7">
        <f>(N54-J54)*10000</f>
        <v>527.44275518531003</v>
      </c>
      <c r="O56" s="7">
        <f>(O54-K54)*10000</f>
        <v>606.3254696289855</v>
      </c>
      <c r="P56" s="7">
        <f t="shared" ref="P56:S56" si="35">(P54-L54)*10000</f>
        <v>-607.96912691480691</v>
      </c>
      <c r="Q56" s="7">
        <f t="shared" si="35"/>
        <v>99.578059071729896</v>
      </c>
      <c r="R56" s="7">
        <f t="shared" si="35"/>
        <v>305.63838438601334</v>
      </c>
      <c r="S56" s="7">
        <f t="shared" si="35"/>
        <v>-1881.7264532572831</v>
      </c>
      <c r="U56" t="str">
        <v>TEM US EQUITY</v>
      </c>
      <c r="V56">
        <v>46295</v>
      </c>
      <c r="W56" t="str">
        <v>custom</v>
      </c>
      <c r="X56" t="str">
        <v>hereditary_test_volumes</v>
      </c>
      <c r="Y56" t="str">
        <v>forecast</v>
      </c>
      <c r="Z56" t="str">
        <v>140000</v>
      </c>
      <c r="AA56" t="str">
        <v>0.0810810810810811</v>
      </c>
      <c r="AB56" t="str">
        <v>-126.689189189189</v>
      </c>
      <c r="AC56" t="str">
        <v>-2892.89289289289</v>
      </c>
      <c r="AD56" t="str">
        <v>0</v>
      </c>
    </row>
    <row r="57" spans="1:30" x14ac:dyDescent="0.45">
      <c r="C57" s="4" t="s">
        <v>5</v>
      </c>
      <c r="D57" s="1"/>
      <c r="G57" s="7"/>
      <c r="L57" s="12">
        <f t="shared" ref="L57:S57" si="36">L53/K53-1</f>
        <v>3.9215686274509887E-2</v>
      </c>
      <c r="M57" s="12">
        <f t="shared" si="36"/>
        <v>-6.2893081761006275E-3</v>
      </c>
      <c r="N57" s="12">
        <f t="shared" si="36"/>
        <v>9.0415913200723175E-3</v>
      </c>
      <c r="O57" s="12">
        <f t="shared" si="36"/>
        <v>0.11768855334400974</v>
      </c>
      <c r="P57" s="12">
        <f t="shared" si="36"/>
        <v>-7.4029850746268555E-2</v>
      </c>
      <c r="Q57" s="12">
        <f t="shared" si="36"/>
        <v>1.8181818181818077E-2</v>
      </c>
      <c r="R57" s="12">
        <f t="shared" si="36"/>
        <v>1.7857142857142794E-2</v>
      </c>
      <c r="S57" s="12">
        <f t="shared" si="36"/>
        <v>1.7543859649122862E-2</v>
      </c>
      <c r="U57" t="str">
        <v>TEM US EQUITY</v>
      </c>
      <c r="V57">
        <v>46387</v>
      </c>
      <c r="W57" t="str">
        <v>custom</v>
      </c>
      <c r="X57" t="str">
        <v>hereditary_test_volumes</v>
      </c>
      <c r="Y57" t="str">
        <v>forecast</v>
      </c>
      <c r="Z57" t="str">
        <v>140000</v>
      </c>
      <c r="AA57" t="str">
        <v>0.12</v>
      </c>
      <c r="AB57" t="str">
        <v>389.18918918919</v>
      </c>
      <c r="AC57" t="str">
        <v>-1115.27093596059</v>
      </c>
      <c r="AD57" t="str">
        <v>0</v>
      </c>
    </row>
    <row r="58" spans="1:30" x14ac:dyDescent="0.45">
      <c r="C58" s="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U58" s="24" t="str" cm="1">
        <f t="array" ref="U58:AD65">_xlfn.LET(
  _xlpm.d, L68:S68,
  _xlpm.s, L69:S69,
  _xlpm.v, L71:S71,
  _xlpm.yy, L72:S72,
  _xlpm.qq, L73:S73,
  _xlpm.dyy, L74:S74,
  _xlpm.dqq, L75:S75,
  _xlpm.dd, TRANSPOSE(_xlpm.d),
  _xlpm.clean, _xlfn.LAMBDA(_xlpm.x, IF(_xlpm.x="","",_xlpm.x)),
_xlfn.HSTACK(
  _xlfn.MAKEARRAY(ROWS(_xlpm.dd),1, _xlfn.LAMBDA(_xlpm.r,_xlpm.c,$B$2)),
  _xlpm.dd,
  _xlfn.MAKEARRAY(ROWS(_xlpm.dd),1, _xlfn.LAMBDA(_xlpm.r,_xlpm.c,A71)),
  _xlfn.MAKEARRAY(ROWS(_xlpm.dd),1, _xlfn.LAMBDA(_xlpm.r,_xlpm.c,B71)),
  CLEAN(TRANSPOSE(_xlpm.s)),
  CLEAN(TRANSPOSE(_xlpm.v)),
  CLEAN(TRANSPOSE(_xlpm.yy)),
  CLEAN(TRANSPOSE(_xlpm.qq)),
  CLEAN(TRANSPOSE(_xlpm.dyy)),
  CLEAN(TRANSPOSE(_xlpm.dqq))
))</f>
        <v>TEM US EQUITY</v>
      </c>
      <c r="V58">
        <v>45747</v>
      </c>
      <c r="W58" t="str">
        <v>custom</v>
      </c>
      <c r="X58" t="str">
        <v>hereditary_revenue</v>
      </c>
      <c r="Y58" t="str">
        <v>actual</v>
      </c>
      <c r="Z58" t="str">
        <v>63.5</v>
      </c>
      <c r="AA58" t="str">
        <v>0.229666924864446</v>
      </c>
      <c r="AB58" t="str">
        <v/>
      </c>
      <c r="AC58" t="str">
        <v/>
      </c>
      <c r="AD58" t="str">
        <v/>
      </c>
    </row>
    <row r="59" spans="1:30" x14ac:dyDescent="0.45">
      <c r="C59" s="13" t="s">
        <v>12</v>
      </c>
      <c r="D59" s="14">
        <f t="shared" ref="D59:L59" si="37">EOMONTH(DATE(YEAR(D61),ROUNDUP(MONTH(D61)/3,0)*3,1),0)</f>
        <v>45016</v>
      </c>
      <c r="E59" s="14">
        <f t="shared" si="37"/>
        <v>45107</v>
      </c>
      <c r="F59" s="14">
        <f t="shared" si="37"/>
        <v>45199</v>
      </c>
      <c r="G59" s="14">
        <f t="shared" si="37"/>
        <v>45291</v>
      </c>
      <c r="H59" s="14">
        <f t="shared" si="37"/>
        <v>45382</v>
      </c>
      <c r="I59" s="14">
        <f t="shared" si="37"/>
        <v>45473</v>
      </c>
      <c r="J59" s="14">
        <f t="shared" si="37"/>
        <v>45565</v>
      </c>
      <c r="K59" s="14">
        <f t="shared" si="37"/>
        <v>45657</v>
      </c>
      <c r="L59" s="14">
        <f t="shared" si="37"/>
        <v>45747</v>
      </c>
      <c r="M59" s="14">
        <f>EOMONTH(DATE(YEAR(M61),ROUNDUP(MONTH(M61)/3,0)*3,1),0)</f>
        <v>45838</v>
      </c>
      <c r="N59" s="14">
        <f>EOMONTH(DATE(YEAR(N61),ROUNDUP(MONTH(N61)/3,0)*3,1),0)</f>
        <v>45930</v>
      </c>
      <c r="O59" s="14">
        <f>EOMONTH(DATE(YEAR(O61),ROUNDUP(MONTH(O61)/3,0)*3,1),0)</f>
        <v>46022</v>
      </c>
      <c r="P59" s="14">
        <f t="shared" ref="P59:S59" si="38">EOMONTH(DATE(YEAR(P61),ROUNDUP(MONTH(P61)/3,0)*3,1),0)</f>
        <v>46112</v>
      </c>
      <c r="Q59" s="14">
        <f t="shared" si="38"/>
        <v>46203</v>
      </c>
      <c r="R59" s="14">
        <f t="shared" si="38"/>
        <v>46295</v>
      </c>
      <c r="S59" s="14">
        <f t="shared" si="38"/>
        <v>46387</v>
      </c>
      <c r="U59" t="str">
        <v>TEM US EQUITY</v>
      </c>
      <c r="V59">
        <v>45838</v>
      </c>
      <c r="W59" t="str">
        <v>custom</v>
      </c>
      <c r="X59" t="str">
        <v>hereditary_revenue</v>
      </c>
      <c r="Y59" t="str">
        <v>actual</v>
      </c>
      <c r="Z59" t="str">
        <v>97.28</v>
      </c>
      <c r="AA59" t="str">
        <v>0.336263736263736</v>
      </c>
      <c r="AB59" t="str">
        <v/>
      </c>
      <c r="AC59" t="str">
        <v/>
      </c>
      <c r="AD59" t="str">
        <v/>
      </c>
    </row>
    <row r="60" spans="1:30" x14ac:dyDescent="0.45">
      <c r="C60" s="13" t="s">
        <v>35</v>
      </c>
      <c r="D60" s="2" t="str">
        <f t="shared" ref="D60:S60" si="39">+D$6</f>
        <v>actual</v>
      </c>
      <c r="E60" s="2" t="str">
        <f t="shared" si="39"/>
        <v>actual</v>
      </c>
      <c r="F60" s="2" t="str">
        <f t="shared" si="39"/>
        <v>actual</v>
      </c>
      <c r="G60" s="2" t="str">
        <f t="shared" si="39"/>
        <v>actual</v>
      </c>
      <c r="H60" s="2" t="str">
        <f t="shared" si="39"/>
        <v>actual</v>
      </c>
      <c r="I60" s="2" t="str">
        <f t="shared" si="39"/>
        <v>actual</v>
      </c>
      <c r="J60" s="2" t="str">
        <f t="shared" si="39"/>
        <v>actual</v>
      </c>
      <c r="K60" s="2" t="str">
        <f t="shared" si="39"/>
        <v>actual</v>
      </c>
      <c r="L60" s="2" t="str">
        <f t="shared" si="39"/>
        <v>actual</v>
      </c>
      <c r="M60" s="2" t="str">
        <f t="shared" si="39"/>
        <v>actual</v>
      </c>
      <c r="N60" s="2" t="str">
        <f t="shared" si="39"/>
        <v>actual</v>
      </c>
      <c r="O60" s="2" t="str">
        <f t="shared" si="39"/>
        <v>actual</v>
      </c>
      <c r="P60" s="2" t="str">
        <f t="shared" si="39"/>
        <v>forecast</v>
      </c>
      <c r="Q60" s="2" t="str">
        <f t="shared" si="39"/>
        <v>forecast</v>
      </c>
      <c r="R60" s="2" t="str">
        <f t="shared" si="39"/>
        <v>forecast</v>
      </c>
      <c r="S60" s="2" t="str">
        <f t="shared" si="39"/>
        <v>forecast</v>
      </c>
      <c r="U60" s="12" t="str">
        <v>TEM US EQUITY</v>
      </c>
      <c r="V60">
        <v>45930</v>
      </c>
      <c r="W60" t="str">
        <v>custom</v>
      </c>
      <c r="X60" t="str">
        <v>hereditary_revenue</v>
      </c>
      <c r="Y60" t="str">
        <v>actual</v>
      </c>
      <c r="Z60" t="str">
        <v>102.6</v>
      </c>
      <c r="AA60" t="str">
        <v>0.328155339805825</v>
      </c>
      <c r="AB60" t="str">
        <v/>
      </c>
      <c r="AC60" t="str">
        <v/>
      </c>
      <c r="AD60" t="str">
        <v/>
      </c>
    </row>
    <row r="61" spans="1:30" x14ac:dyDescent="0.45">
      <c r="D61" s="2">
        <f t="shared" ref="D61:S61" si="40">+D$7</f>
        <v>45016</v>
      </c>
      <c r="E61" s="2">
        <f t="shared" si="40"/>
        <v>45107</v>
      </c>
      <c r="F61" s="2">
        <f t="shared" si="40"/>
        <v>45199</v>
      </c>
      <c r="G61" s="2">
        <f t="shared" si="40"/>
        <v>45291</v>
      </c>
      <c r="H61" s="2">
        <f t="shared" si="40"/>
        <v>45382</v>
      </c>
      <c r="I61" s="2">
        <f t="shared" si="40"/>
        <v>45473</v>
      </c>
      <c r="J61" s="2">
        <f t="shared" si="40"/>
        <v>45565</v>
      </c>
      <c r="K61" s="2">
        <f t="shared" si="40"/>
        <v>45657</v>
      </c>
      <c r="L61" s="2">
        <f t="shared" si="40"/>
        <v>45747</v>
      </c>
      <c r="M61" s="2">
        <f t="shared" si="40"/>
        <v>45838</v>
      </c>
      <c r="N61" s="2">
        <f t="shared" si="40"/>
        <v>45930</v>
      </c>
      <c r="O61" s="2">
        <f t="shared" si="40"/>
        <v>46022</v>
      </c>
      <c r="P61" s="2">
        <f t="shared" si="40"/>
        <v>46112</v>
      </c>
      <c r="Q61" s="2">
        <f t="shared" si="40"/>
        <v>46203</v>
      </c>
      <c r="R61" s="2">
        <f t="shared" si="40"/>
        <v>46295</v>
      </c>
      <c r="S61" s="2">
        <f t="shared" si="40"/>
        <v>46387</v>
      </c>
      <c r="U61" s="7" t="str">
        <v>TEM US EQUITY</v>
      </c>
      <c r="V61">
        <v>46022</v>
      </c>
      <c r="W61" t="str">
        <v>custom</v>
      </c>
      <c r="X61" t="str">
        <v>hereditary_revenue</v>
      </c>
      <c r="Y61" t="str">
        <v>actual</v>
      </c>
      <c r="Z61" t="str">
        <v>99.4</v>
      </c>
      <c r="AA61" t="str">
        <v>0.153132250580047</v>
      </c>
      <c r="AB61" t="str">
        <v/>
      </c>
      <c r="AC61" t="str">
        <v/>
      </c>
      <c r="AD61" t="str">
        <v/>
      </c>
    </row>
    <row r="62" spans="1:30" x14ac:dyDescent="0.45">
      <c r="A62" s="16" t="s">
        <v>21</v>
      </c>
      <c r="B62" s="16" t="s">
        <v>63</v>
      </c>
      <c r="C62" s="2" t="s">
        <v>64</v>
      </c>
      <c r="D62" s="31"/>
      <c r="E62" s="31"/>
      <c r="F62" s="31"/>
      <c r="G62" s="31"/>
      <c r="H62" s="31">
        <v>63500</v>
      </c>
      <c r="I62" s="31">
        <v>97000</v>
      </c>
      <c r="J62" s="31">
        <v>94500</v>
      </c>
      <c r="K62" s="31">
        <v>101500</v>
      </c>
      <c r="L62" s="31">
        <v>78000</v>
      </c>
      <c r="M62" s="31">
        <v>128000</v>
      </c>
      <c r="N62" s="31">
        <v>129500</v>
      </c>
      <c r="O62" s="31">
        <v>125000</v>
      </c>
      <c r="P62" s="31">
        <v>111700</v>
      </c>
      <c r="Q62" s="31">
        <v>140000</v>
      </c>
      <c r="R62" s="31">
        <v>140000</v>
      </c>
      <c r="S62" s="31">
        <v>140000</v>
      </c>
      <c r="U62" s="7" t="str">
        <v>TEM US EQUITY</v>
      </c>
      <c r="V62">
        <v>46112</v>
      </c>
      <c r="W62" t="str">
        <v>custom</v>
      </c>
      <c r="X62" t="str">
        <v>hereditary_revenue</v>
      </c>
      <c r="Y62" t="str">
        <v>forecast</v>
      </c>
      <c r="Z62" t="str">
        <v>88.243</v>
      </c>
      <c r="AA62" t="str">
        <v>0.389653543307086</v>
      </c>
      <c r="AB62" t="str">
        <v>2365.2129272704</v>
      </c>
      <c r="AC62" t="str">
        <v>1599.8661844264</v>
      </c>
      <c r="AD62" t="str">
        <v>-0.112243460764588</v>
      </c>
    </row>
    <row r="63" spans="1:30" x14ac:dyDescent="0.45">
      <c r="C63" s="4" t="s">
        <v>4</v>
      </c>
      <c r="D63" s="5"/>
      <c r="E63" s="4"/>
      <c r="F63" s="4"/>
      <c r="G63" s="4"/>
      <c r="H63" s="12"/>
      <c r="I63" s="12"/>
      <c r="J63" s="12"/>
      <c r="K63" s="12"/>
      <c r="L63" s="12">
        <f t="shared" ref="L63" si="41">+L62/H62-1</f>
        <v>0.22834645669291342</v>
      </c>
      <c r="M63" s="12">
        <f t="shared" ref="M63" si="42">+M62/I62-1</f>
        <v>0.31958762886597936</v>
      </c>
      <c r="N63" s="12">
        <f t="shared" ref="N63" si="43">+N62/J62-1</f>
        <v>0.37037037037037046</v>
      </c>
      <c r="O63" s="12">
        <f t="shared" ref="O63" si="44">+O62/K62-1</f>
        <v>0.23152709359605916</v>
      </c>
      <c r="P63" s="12">
        <f t="shared" ref="P63" si="45">+P62/L62-1</f>
        <v>0.43205128205128207</v>
      </c>
      <c r="Q63" s="12">
        <f t="shared" ref="Q63" si="46">+Q62/M62-1</f>
        <v>9.375E-2</v>
      </c>
      <c r="R63" s="12">
        <f t="shared" ref="R63" si="47">+R62/N62-1</f>
        <v>8.1081081081081141E-2</v>
      </c>
      <c r="S63" s="12">
        <f t="shared" ref="S63" si="48">+S62/O62-1</f>
        <v>0.12000000000000011</v>
      </c>
      <c r="T63" s="12"/>
      <c r="U63" s="12" t="str">
        <v>TEM US EQUITY</v>
      </c>
      <c r="V63" s="12">
        <v>46203</v>
      </c>
      <c r="W63" s="12" t="str">
        <v>custom</v>
      </c>
      <c r="X63" t="str">
        <v>hereditary_revenue</v>
      </c>
      <c r="Y63" t="str">
        <v>forecast</v>
      </c>
      <c r="Z63" t="str">
        <v>110.6</v>
      </c>
      <c r="AA63" t="str">
        <v>0.136924342105263</v>
      </c>
      <c r="AB63" t="str">
        <v>-2527.29201201823</v>
      </c>
      <c r="AC63" t="str">
        <v>-1993.39394158473</v>
      </c>
      <c r="AD63" t="str">
        <v>0.253357206803939</v>
      </c>
    </row>
    <row r="64" spans="1:30" x14ac:dyDescent="0.45">
      <c r="C64" s="4" t="s">
        <v>19</v>
      </c>
      <c r="D64" s="1"/>
      <c r="P64" s="7">
        <f>(P63-O63)*10000</f>
        <v>2005.2418845522291</v>
      </c>
      <c r="Q64" s="7">
        <f>(Q63-P63)*10000</f>
        <v>-3383.0128205128208</v>
      </c>
      <c r="R64" s="7">
        <f>(R63-Q63)*10000</f>
        <v>-126.6891891891886</v>
      </c>
      <c r="S64" s="7">
        <f>(S63-R63)*10000</f>
        <v>389.18918918918968</v>
      </c>
      <c r="T64" s="7"/>
      <c r="U64" t="str">
        <v>TEM US EQUITY</v>
      </c>
      <c r="V64" s="7">
        <v>46295</v>
      </c>
      <c r="W64" s="7" t="str">
        <v>custom</v>
      </c>
      <c r="X64" t="str">
        <v>hereditary_revenue</v>
      </c>
      <c r="Y64" t="str">
        <v>forecast</v>
      </c>
      <c r="Z64" t="str">
        <v>110.6</v>
      </c>
      <c r="AA64" t="str">
        <v>0.0779727095516569</v>
      </c>
      <c r="AB64" t="str">
        <v>-589.516325536061</v>
      </c>
      <c r="AC64" t="str">
        <v>-2501.82630254168</v>
      </c>
      <c r="AD64" t="str">
        <v>0</v>
      </c>
    </row>
    <row r="65" spans="1:30" x14ac:dyDescent="0.45">
      <c r="C65" s="4" t="s">
        <v>23</v>
      </c>
      <c r="D65" s="1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7">
        <f>(P63-L63)*10000</f>
        <v>2037.0482535836866</v>
      </c>
      <c r="Q65" s="7">
        <f>(Q63-M63)*10000</f>
        <v>-2258.3762886597938</v>
      </c>
      <c r="R65" s="7">
        <f>(R63-N63)*10000</f>
        <v>-2892.8928928928931</v>
      </c>
      <c r="S65" s="7">
        <f>(S63-O63)*10000</f>
        <v>-1115.2709359605906</v>
      </c>
      <c r="T65" s="7"/>
      <c r="U65" t="str">
        <v>TEM US EQUITY</v>
      </c>
      <c r="V65" s="7">
        <v>46387</v>
      </c>
      <c r="W65" s="7" t="str">
        <v>custom</v>
      </c>
      <c r="X65" t="str">
        <v>hereditary_revenue</v>
      </c>
      <c r="Y65" t="str">
        <v>forecast</v>
      </c>
      <c r="Z65" t="str">
        <v>110.6</v>
      </c>
      <c r="AA65" t="str">
        <v>0.112676056338028</v>
      </c>
      <c r="AB65" t="str">
        <v>347.033467863711</v>
      </c>
      <c r="AC65" t="str">
        <v>-404.561942420185</v>
      </c>
      <c r="AD65" t="str">
        <v>0</v>
      </c>
    </row>
    <row r="66" spans="1:30" x14ac:dyDescent="0.45">
      <c r="C66" s="4" t="s">
        <v>5</v>
      </c>
      <c r="D66" s="1"/>
      <c r="G66" s="7"/>
      <c r="P66" s="12">
        <f t="shared" ref="P66" si="49">P62/O62-1</f>
        <v>-0.10640000000000005</v>
      </c>
      <c r="Q66" s="12">
        <f t="shared" ref="Q66" si="50">Q62/P62-1</f>
        <v>0.25335720680393914</v>
      </c>
      <c r="R66" s="12">
        <f t="shared" ref="R66" si="51">R62/Q62-1</f>
        <v>0</v>
      </c>
      <c r="S66" s="12">
        <f t="shared" ref="S66" si="52">S62/R62-1</f>
        <v>0</v>
      </c>
      <c r="T66" s="12"/>
      <c r="U66" s="24" t="str" cm="1">
        <f t="array" ref="U66:AD73">_xlfn.LET(
  _xlpm.d, L77:S77,
  _xlpm.s, L78:S78,
  _xlpm.v, L80:S80,
  _xlpm.yy, L81:S81,
  _xlpm.qq, L82:S82,
  _xlpm.dyy, L83:S83,
  _xlpm.dqq, L84:S84,
  _xlpm.dd, TRANSPOSE(_xlpm.d),
  _xlpm.clean, _xlfn.LAMBDA(_xlpm.x, IF(_xlpm.x="","",_xlpm.x)),
_xlfn.HSTACK(
  _xlfn.MAKEARRAY(ROWS(_xlpm.dd),1, _xlfn.LAMBDA(_xlpm.r,_xlpm.c,$B$2)),
  _xlpm.dd,
  _xlfn.MAKEARRAY(ROWS(_xlpm.dd),1, _xlfn.LAMBDA(_xlpm.r,_xlpm.c,A80)),
  _xlfn.MAKEARRAY(ROWS(_xlpm.dd),1, _xlfn.LAMBDA(_xlpm.r,_xlpm.c,B80)),
  CLEAN(TRANSPOSE(_xlpm.s)),
  CLEAN(TRANSPOSE(_xlpm.v)),
  CLEAN(TRANSPOSE(_xlpm.yy)),
  CLEAN(TRANSPOSE(_xlpm.qq)),
  CLEAN(TRANSPOSE(_xlpm.dyy)),
  CLEAN(TRANSPOSE(_xlpm.dqq))
))</f>
        <v>TEM US EQUITY</v>
      </c>
      <c r="V66" s="12">
        <v>45747</v>
      </c>
      <c r="W66" s="12" t="str">
        <v>custom</v>
      </c>
      <c r="X66" t="str">
        <v>hereditary_rev_per_test</v>
      </c>
      <c r="Y66" t="str">
        <v>actual</v>
      </c>
      <c r="Z66" t="str">
        <v>814.102564102564</v>
      </c>
      <c r="AA66" t="str">
        <v>0.00107499652426069</v>
      </c>
      <c r="AB66" t="str">
        <v/>
      </c>
      <c r="AC66" t="str">
        <v/>
      </c>
      <c r="AD66" t="str">
        <v/>
      </c>
    </row>
    <row r="67" spans="1:30" x14ac:dyDescent="0.45">
      <c r="C67" s="4"/>
      <c r="D67" s="1"/>
      <c r="K67" s="7"/>
      <c r="L67" s="7"/>
      <c r="M67" s="7"/>
      <c r="N67" s="7"/>
      <c r="O67" s="7"/>
      <c r="P67" s="7"/>
      <c r="Q67" s="7"/>
      <c r="R67" s="7"/>
      <c r="S67" s="7"/>
      <c r="U67" s="36" t="str">
        <v>TEM US EQUITY</v>
      </c>
      <c r="V67">
        <v>45838</v>
      </c>
      <c r="W67" t="str">
        <v>custom</v>
      </c>
      <c r="X67" t="str">
        <v>hereditary_rev_per_test</v>
      </c>
      <c r="Y67" t="str">
        <v>actual</v>
      </c>
      <c r="Z67" t="str">
        <v>760</v>
      </c>
      <c r="AA67" t="str">
        <v>0.0126373626373628</v>
      </c>
      <c r="AB67" t="str">
        <v/>
      </c>
      <c r="AC67" t="str">
        <v/>
      </c>
      <c r="AD67" t="str">
        <v/>
      </c>
    </row>
    <row r="68" spans="1:30" x14ac:dyDescent="0.45">
      <c r="C68" s="13" t="s">
        <v>12</v>
      </c>
      <c r="D68" s="14">
        <f t="shared" ref="D68:L68" si="53">EOMONTH(DATE(YEAR(D70),ROUNDUP(MONTH(D70)/3,0)*3,1),0)</f>
        <v>45016</v>
      </c>
      <c r="E68" s="14">
        <f t="shared" si="53"/>
        <v>45107</v>
      </c>
      <c r="F68" s="14">
        <f t="shared" si="53"/>
        <v>45199</v>
      </c>
      <c r="G68" s="14">
        <f t="shared" si="53"/>
        <v>45291</v>
      </c>
      <c r="H68" s="14">
        <f t="shared" si="53"/>
        <v>45382</v>
      </c>
      <c r="I68" s="14">
        <f t="shared" si="53"/>
        <v>45473</v>
      </c>
      <c r="J68" s="14">
        <f t="shared" si="53"/>
        <v>45565</v>
      </c>
      <c r="K68" s="14">
        <f t="shared" si="53"/>
        <v>45657</v>
      </c>
      <c r="L68" s="14">
        <f t="shared" si="53"/>
        <v>45747</v>
      </c>
      <c r="M68" s="14">
        <f>EOMONTH(DATE(YEAR(M70),ROUNDUP(MONTH(M70)/3,0)*3,1),0)</f>
        <v>45838</v>
      </c>
      <c r="N68" s="14">
        <f>EOMONTH(DATE(YEAR(N70),ROUNDUP(MONTH(N70)/3,0)*3,1),0)</f>
        <v>45930</v>
      </c>
      <c r="O68" s="14">
        <f>EOMONTH(DATE(YEAR(O70),ROUNDUP(MONTH(O70)/3,0)*3,1),0)</f>
        <v>46022</v>
      </c>
      <c r="P68" s="14">
        <f t="shared" ref="P68:S68" si="54">EOMONTH(DATE(YEAR(P70),ROUNDUP(MONTH(P70)/3,0)*3,1),0)</f>
        <v>46112</v>
      </c>
      <c r="Q68" s="14">
        <f t="shared" si="54"/>
        <v>46203</v>
      </c>
      <c r="R68" s="14">
        <f t="shared" si="54"/>
        <v>46295</v>
      </c>
      <c r="S68" s="14">
        <f t="shared" si="54"/>
        <v>46387</v>
      </c>
      <c r="U68" t="str">
        <v>TEM US EQUITY</v>
      </c>
      <c r="V68">
        <v>45930</v>
      </c>
      <c r="W68" t="str">
        <v>custom</v>
      </c>
      <c r="X68" t="str">
        <v>hereditary_rev_per_test</v>
      </c>
      <c r="Y68" t="str">
        <v>actual</v>
      </c>
      <c r="Z68" t="str">
        <v>792.277992277992</v>
      </c>
      <c r="AA68" t="str">
        <v>-0.0308055628443977</v>
      </c>
      <c r="AB68" t="str">
        <v/>
      </c>
      <c r="AC68" t="str">
        <v/>
      </c>
      <c r="AD68" t="str">
        <v/>
      </c>
    </row>
    <row r="69" spans="1:30" x14ac:dyDescent="0.45">
      <c r="C69" s="13" t="s">
        <v>35</v>
      </c>
      <c r="D69" s="2" t="str">
        <f t="shared" ref="D69:S69" si="55">+D$6</f>
        <v>actual</v>
      </c>
      <c r="E69" s="2" t="str">
        <f t="shared" si="55"/>
        <v>actual</v>
      </c>
      <c r="F69" s="2" t="str">
        <f t="shared" si="55"/>
        <v>actual</v>
      </c>
      <c r="G69" s="2" t="str">
        <f t="shared" si="55"/>
        <v>actual</v>
      </c>
      <c r="H69" s="2" t="str">
        <f t="shared" si="55"/>
        <v>actual</v>
      </c>
      <c r="I69" s="2" t="str">
        <f t="shared" si="55"/>
        <v>actual</v>
      </c>
      <c r="J69" s="2" t="str">
        <f t="shared" si="55"/>
        <v>actual</v>
      </c>
      <c r="K69" s="2" t="str">
        <f t="shared" si="55"/>
        <v>actual</v>
      </c>
      <c r="L69" s="2" t="str">
        <f t="shared" si="55"/>
        <v>actual</v>
      </c>
      <c r="M69" s="2" t="str">
        <f t="shared" si="55"/>
        <v>actual</v>
      </c>
      <c r="N69" s="2" t="str">
        <f t="shared" si="55"/>
        <v>actual</v>
      </c>
      <c r="O69" s="2" t="str">
        <f t="shared" si="55"/>
        <v>actual</v>
      </c>
      <c r="P69" s="2" t="str">
        <f t="shared" si="55"/>
        <v>forecast</v>
      </c>
      <c r="Q69" s="2" t="str">
        <f t="shared" si="55"/>
        <v>forecast</v>
      </c>
      <c r="R69" s="2" t="str">
        <f t="shared" si="55"/>
        <v>forecast</v>
      </c>
      <c r="S69" s="2" t="str">
        <f t="shared" si="55"/>
        <v>forecast</v>
      </c>
      <c r="U69" t="str">
        <v>TEM US EQUITY</v>
      </c>
      <c r="V69">
        <v>46022</v>
      </c>
      <c r="W69" t="str">
        <v>custom</v>
      </c>
      <c r="X69" t="str">
        <v>hereditary_rev_per_test</v>
      </c>
      <c r="Y69" t="str">
        <v>actual</v>
      </c>
      <c r="Z69" t="str">
        <v>795.2</v>
      </c>
      <c r="AA69" t="str">
        <v>-0.0636566125290023</v>
      </c>
      <c r="AB69" t="str">
        <v/>
      </c>
      <c r="AC69" t="str">
        <v/>
      </c>
      <c r="AD69" t="str">
        <v/>
      </c>
    </row>
    <row r="70" spans="1:30" x14ac:dyDescent="0.45">
      <c r="D70" s="2">
        <f t="shared" ref="D70:S70" si="56">+D$7</f>
        <v>45016</v>
      </c>
      <c r="E70" s="2">
        <f t="shared" si="56"/>
        <v>45107</v>
      </c>
      <c r="F70" s="2">
        <f t="shared" si="56"/>
        <v>45199</v>
      </c>
      <c r="G70" s="2">
        <f t="shared" si="56"/>
        <v>45291</v>
      </c>
      <c r="H70" s="2">
        <f t="shared" si="56"/>
        <v>45382</v>
      </c>
      <c r="I70" s="2">
        <f t="shared" si="56"/>
        <v>45473</v>
      </c>
      <c r="J70" s="2">
        <f t="shared" si="56"/>
        <v>45565</v>
      </c>
      <c r="K70" s="2">
        <f t="shared" si="56"/>
        <v>45657</v>
      </c>
      <c r="L70" s="2">
        <f t="shared" si="56"/>
        <v>45747</v>
      </c>
      <c r="M70" s="2">
        <f t="shared" si="56"/>
        <v>45838</v>
      </c>
      <c r="N70" s="2">
        <f t="shared" si="56"/>
        <v>45930</v>
      </c>
      <c r="O70" s="2">
        <f t="shared" si="56"/>
        <v>46022</v>
      </c>
      <c r="P70" s="2">
        <f t="shared" si="56"/>
        <v>46112</v>
      </c>
      <c r="Q70" s="2">
        <f t="shared" si="56"/>
        <v>46203</v>
      </c>
      <c r="R70" s="2">
        <f t="shared" si="56"/>
        <v>46295</v>
      </c>
      <c r="S70" s="2">
        <f t="shared" si="56"/>
        <v>46387</v>
      </c>
      <c r="U70" t="str">
        <v>TEM US EQUITY</v>
      </c>
      <c r="V70">
        <v>46112</v>
      </c>
      <c r="W70" t="str">
        <v>custom</v>
      </c>
      <c r="X70" t="str">
        <v>hereditary_rev_per_test</v>
      </c>
      <c r="Y70" t="str">
        <v>forecast</v>
      </c>
      <c r="Z70" t="str">
        <v>790</v>
      </c>
      <c r="AA70" t="str">
        <v>-0.0296062992125985</v>
      </c>
      <c r="AB70" t="str">
        <v>340.503133164038</v>
      </c>
      <c r="AC70" t="str">
        <v>-306.812957368592</v>
      </c>
      <c r="AD70" t="str">
        <v>-0.00653923541247503</v>
      </c>
    </row>
    <row r="71" spans="1:30" x14ac:dyDescent="0.45">
      <c r="A71" s="16" t="s">
        <v>21</v>
      </c>
      <c r="B71" s="16" t="s">
        <v>65</v>
      </c>
      <c r="C71" s="2" t="s">
        <v>66</v>
      </c>
      <c r="D71" s="10"/>
      <c r="E71" s="10"/>
      <c r="F71" s="10"/>
      <c r="G71" s="10"/>
      <c r="H71" s="10">
        <v>51.64</v>
      </c>
      <c r="I71" s="10">
        <v>72.8</v>
      </c>
      <c r="J71" s="10">
        <v>77.25</v>
      </c>
      <c r="K71" s="10">
        <v>86.2</v>
      </c>
      <c r="L71" s="10">
        <v>63.5</v>
      </c>
      <c r="M71" s="10">
        <v>97.28</v>
      </c>
      <c r="N71" s="10">
        <v>102.6</v>
      </c>
      <c r="O71" s="10">
        <v>99.4</v>
      </c>
      <c r="P71" s="10">
        <v>88.242999999999995</v>
      </c>
      <c r="Q71" s="10">
        <v>110.6</v>
      </c>
      <c r="R71" s="10">
        <v>110.6</v>
      </c>
      <c r="S71" s="10">
        <v>110.6</v>
      </c>
      <c r="U71" t="str">
        <v>TEM US EQUITY</v>
      </c>
      <c r="V71">
        <v>46203</v>
      </c>
      <c r="W71" t="str">
        <v>custom</v>
      </c>
      <c r="X71" t="str">
        <v>hereditary_rev_per_test</v>
      </c>
      <c r="Y71" t="str">
        <v>forecast</v>
      </c>
      <c r="Z71" t="str">
        <v>790</v>
      </c>
      <c r="AA71" t="str">
        <v>0.0394736842105263</v>
      </c>
      <c r="AB71" t="str">
        <v>690.799834231248</v>
      </c>
      <c r="AC71" t="str">
        <v>268.363215731635</v>
      </c>
      <c r="AD71" t="str">
        <v>0</v>
      </c>
    </row>
    <row r="72" spans="1:30" x14ac:dyDescent="0.45">
      <c r="C72" s="4" t="s">
        <v>4</v>
      </c>
      <c r="D72" s="5"/>
      <c r="E72" s="4"/>
      <c r="F72" s="4"/>
      <c r="G72" s="4"/>
      <c r="H72" s="12"/>
      <c r="I72" s="12"/>
      <c r="J72" s="12"/>
      <c r="K72" s="12"/>
      <c r="L72" s="12">
        <f t="shared" ref="L72" si="57">+L71/H71-1</f>
        <v>0.22966692486444606</v>
      </c>
      <c r="M72" s="12">
        <f t="shared" ref="M72" si="58">+M71/I71-1</f>
        <v>0.3362637362637364</v>
      </c>
      <c r="N72" s="12">
        <f t="shared" ref="N72" si="59">+N71/J71-1</f>
        <v>0.32815533980582523</v>
      </c>
      <c r="O72" s="12">
        <f t="shared" ref="O72" si="60">+O71/K71-1</f>
        <v>0.15313225058004654</v>
      </c>
      <c r="P72" s="12">
        <f t="shared" ref="P72" si="61">+P71/L71-1</f>
        <v>0.38965354330708646</v>
      </c>
      <c r="Q72" s="12">
        <f t="shared" ref="Q72" si="62">+Q71/M71-1</f>
        <v>0.13692434210526305</v>
      </c>
      <c r="R72" s="12">
        <f t="shared" ref="R72" si="63">+R71/N71-1</f>
        <v>7.7972709551656916E-2</v>
      </c>
      <c r="S72" s="12">
        <f t="shared" ref="S72" si="64">+S71/O71-1</f>
        <v>0.11267605633802802</v>
      </c>
      <c r="U72" t="str">
        <v>TEM US EQUITY</v>
      </c>
      <c r="V72">
        <v>46295</v>
      </c>
      <c r="W72" t="str">
        <v>custom</v>
      </c>
      <c r="X72" t="str">
        <v>hereditary_rev_per_test</v>
      </c>
      <c r="Y72" t="str">
        <v>forecast</v>
      </c>
      <c r="Z72" t="str">
        <v>790</v>
      </c>
      <c r="AA72" t="str">
        <v>-0.00287524366471736</v>
      </c>
      <c r="AB72" t="str">
        <v>-423.489278752437</v>
      </c>
      <c r="AC72" t="str">
        <v>279.303191796804</v>
      </c>
      <c r="AD72" t="str">
        <v>0</v>
      </c>
    </row>
    <row r="73" spans="1:30" x14ac:dyDescent="0.45">
      <c r="C73" s="4" t="s">
        <v>19</v>
      </c>
      <c r="D73" s="1"/>
      <c r="P73" s="7">
        <f>(P72-O72)*10000</f>
        <v>2365.2129272703992</v>
      </c>
      <c r="Q73" s="7">
        <f>(Q72-P72)*10000</f>
        <v>-2527.2920120182339</v>
      </c>
      <c r="R73" s="7">
        <f>(R72-Q72)*10000</f>
        <v>-589.51632553606134</v>
      </c>
      <c r="S73" s="7">
        <f>(S72-R72)*10000</f>
        <v>347.03346786371105</v>
      </c>
      <c r="U73" t="str">
        <v>TEM US EQUITY</v>
      </c>
      <c r="V73">
        <v>46387</v>
      </c>
      <c r="W73" t="str">
        <v>custom</v>
      </c>
      <c r="X73" t="str">
        <v>hereditary_rev_per_test</v>
      </c>
      <c r="Y73" t="str">
        <v>forecast</v>
      </c>
      <c r="Z73" t="str">
        <v>790</v>
      </c>
      <c r="AA73" t="str">
        <v>-0.00653923541247492</v>
      </c>
      <c r="AB73" t="str">
        <v>-36.6399174775756</v>
      </c>
      <c r="AC73" t="str">
        <v>571.173771165274</v>
      </c>
      <c r="AD73" t="str">
        <v>0</v>
      </c>
    </row>
    <row r="74" spans="1:30" x14ac:dyDescent="0.45">
      <c r="C74" s="4" t="s">
        <v>23</v>
      </c>
      <c r="D74" s="1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7">
        <f>(P72-L72)*10000</f>
        <v>1599.8661844264038</v>
      </c>
      <c r="Q74" s="7">
        <f>(Q72-M72)*10000</f>
        <v>-1993.3939415847335</v>
      </c>
      <c r="R74" s="7">
        <f>(R72-N72)*10000</f>
        <v>-2501.8263025416832</v>
      </c>
      <c r="S74" s="7">
        <f>(S72-O72)*10000</f>
        <v>-404.56194242018518</v>
      </c>
      <c r="U74" s="24" t="str" cm="1">
        <f t="array" ref="U74:AD81">_xlfn.LET(
  _xlpm.d, L86:S86,
  _xlpm.s, L87:S87,
  _xlpm.v, L89:S89,
  _xlpm.yy, L90:S90,
  _xlpm.qq, L91:S91,
  _xlpm.dyy, L92:S92,
  _xlpm.dqq, L93:S93,
  _xlpm.dd, TRANSPOSE(_xlpm.d),
  _xlpm.clean, _xlfn.LAMBDA(_xlpm.x, IF(_xlpm.x="","",_xlpm.x)),
_xlfn.HSTACK(
  _xlfn.MAKEARRAY(ROWS(_xlpm.dd),1, _xlfn.LAMBDA(_xlpm.r,_xlpm.c,$B$2)),
  _xlpm.dd,
  _xlfn.MAKEARRAY(ROWS(_xlpm.dd),1, _xlfn.LAMBDA(_xlpm.r,_xlpm.c,A89)),
  _xlfn.MAKEARRAY(ROWS(_xlpm.dd),1, _xlfn.LAMBDA(_xlpm.r,_xlpm.c,B89)),
  CLEAN(TRANSPOSE(_xlpm.s)),
  CLEAN(TRANSPOSE(_xlpm.v)),
  CLEAN(TRANSPOSE(_xlpm.yy)),
  CLEAN(TRANSPOSE(_xlpm.qq)),
  CLEAN(TRANSPOSE(_xlpm.dyy)),
  CLEAN(TRANSPOSE(_xlpm.dqq))
))</f>
        <v>TEM US EQUITY</v>
      </c>
      <c r="V74">
        <v>45747</v>
      </c>
      <c r="W74" t="str">
        <v>custom</v>
      </c>
      <c r="X74" t="str">
        <v>data_revenue</v>
      </c>
      <c r="Y74" t="str">
        <v>actual</v>
      </c>
      <c r="Z74" t="str">
        <v>61.933</v>
      </c>
      <c r="AA74" t="str">
        <v>0.431956272381206</v>
      </c>
      <c r="AB74" t="str">
        <v>-139.508198924678</v>
      </c>
      <c r="AC74" t="str">
        <v>1434.41093210536</v>
      </c>
      <c r="AD74" t="str">
        <v>-0.228210751937791</v>
      </c>
    </row>
    <row r="75" spans="1:30" x14ac:dyDescent="0.45">
      <c r="C75" s="4" t="s">
        <v>5</v>
      </c>
      <c r="D75" s="1"/>
      <c r="G75" s="7"/>
      <c r="K75" s="12"/>
      <c r="P75" s="12">
        <f t="shared" ref="P75" si="65">P71/O71-1</f>
        <v>-0.11224346076458758</v>
      </c>
      <c r="Q75" s="12">
        <f t="shared" ref="Q75" si="66">Q71/P71-1</f>
        <v>0.25335720680393914</v>
      </c>
      <c r="R75" s="12">
        <f t="shared" ref="R75" si="67">R71/Q71-1</f>
        <v>0</v>
      </c>
      <c r="S75" s="12">
        <f t="shared" ref="S75" si="68">S71/R71-1</f>
        <v>0</v>
      </c>
      <c r="U75" t="str">
        <v>TEM US EQUITY</v>
      </c>
      <c r="V75">
        <v>45838</v>
      </c>
      <c r="W75" t="str">
        <v>custom</v>
      </c>
      <c r="X75" t="str">
        <v>data_revenue</v>
      </c>
      <c r="Y75" t="str">
        <v>actual</v>
      </c>
      <c r="Z75" t="str">
        <v>72.792</v>
      </c>
      <c r="AA75" t="str">
        <v>0.356920495852363</v>
      </c>
      <c r="AB75" t="str">
        <v>-750.357765288432</v>
      </c>
      <c r="AC75" t="str">
        <v>321.166486227411</v>
      </c>
      <c r="AD75" t="str">
        <v>0.175334635816124</v>
      </c>
    </row>
    <row r="76" spans="1:30" x14ac:dyDescent="0.45">
      <c r="C76" s="4"/>
      <c r="D76" s="1"/>
      <c r="L76" s="7"/>
      <c r="M76" s="7"/>
      <c r="N76" s="7"/>
      <c r="O76" s="7"/>
      <c r="P76" s="7"/>
      <c r="Q76" s="7"/>
      <c r="R76" s="7"/>
      <c r="S76" s="7"/>
      <c r="U76" t="str">
        <v>TEM US EQUITY</v>
      </c>
      <c r="V76">
        <v>45930</v>
      </c>
      <c r="W76" t="str">
        <v>custom</v>
      </c>
      <c r="X76" t="str">
        <v>data_revenue</v>
      </c>
      <c r="Y76" t="str">
        <v>actual</v>
      </c>
      <c r="Z76" t="str">
        <v>81.328</v>
      </c>
      <c r="AA76" t="str">
        <v>0.2607623978793</v>
      </c>
      <c r="AB76" t="str">
        <v>-961.580979730627</v>
      </c>
      <c r="AC76" t="str">
        <v>-3830.66579544137</v>
      </c>
      <c r="AD76" t="str">
        <v>0.117265633586108</v>
      </c>
    </row>
    <row r="77" spans="1:30" x14ac:dyDescent="0.45">
      <c r="C77" s="13" t="s">
        <v>12</v>
      </c>
      <c r="D77" s="14">
        <f t="shared" ref="D77:L77" si="69">EOMONTH(DATE(YEAR(D79),ROUNDUP(MONTH(D79)/3,0)*3,1),0)</f>
        <v>45016</v>
      </c>
      <c r="E77" s="14">
        <f t="shared" si="69"/>
        <v>45107</v>
      </c>
      <c r="F77" s="14">
        <f t="shared" si="69"/>
        <v>45199</v>
      </c>
      <c r="G77" s="14">
        <f t="shared" si="69"/>
        <v>45291</v>
      </c>
      <c r="H77" s="14">
        <f t="shared" si="69"/>
        <v>45382</v>
      </c>
      <c r="I77" s="14">
        <f t="shared" si="69"/>
        <v>45473</v>
      </c>
      <c r="J77" s="14">
        <f t="shared" si="69"/>
        <v>45565</v>
      </c>
      <c r="K77" s="14">
        <f t="shared" si="69"/>
        <v>45657</v>
      </c>
      <c r="L77" s="14">
        <f t="shared" si="69"/>
        <v>45747</v>
      </c>
      <c r="M77" s="14">
        <f>EOMONTH(DATE(YEAR(M79),ROUNDUP(MONTH(M79)/3,0)*3,1),0)</f>
        <v>45838</v>
      </c>
      <c r="N77" s="14">
        <f>EOMONTH(DATE(YEAR(N79),ROUNDUP(MONTH(N79)/3,0)*3,1),0)</f>
        <v>45930</v>
      </c>
      <c r="O77" s="14">
        <f>EOMONTH(DATE(YEAR(O79),ROUNDUP(MONTH(O79)/3,0)*3,1),0)</f>
        <v>46022</v>
      </c>
      <c r="P77" s="14">
        <f t="shared" ref="P77:S77" si="70">EOMONTH(DATE(YEAR(P79),ROUNDUP(MONTH(P79)/3,0)*3,1),0)</f>
        <v>46112</v>
      </c>
      <c r="Q77" s="14">
        <f t="shared" si="70"/>
        <v>46203</v>
      </c>
      <c r="R77" s="14">
        <f t="shared" si="70"/>
        <v>46295</v>
      </c>
      <c r="S77" s="14">
        <f t="shared" si="70"/>
        <v>46387</v>
      </c>
      <c r="U77" t="str">
        <v>TEM US EQUITY</v>
      </c>
      <c r="V77">
        <v>46022</v>
      </c>
      <c r="W77" t="str">
        <v>custom</v>
      </c>
      <c r="X77" t="str">
        <v>data_revenue</v>
      </c>
      <c r="Y77" t="str">
        <v>actual</v>
      </c>
      <c r="Z77" t="str">
        <v>100.355</v>
      </c>
      <c r="AA77" t="str">
        <v>0.250591929815817</v>
      </c>
      <c r="AB77" t="str">
        <v>-101.704680634833</v>
      </c>
      <c r="AC77" t="str">
        <v>-1953.15162457857</v>
      </c>
      <c r="AD77" t="str">
        <v>0.233953865827267</v>
      </c>
    </row>
    <row r="78" spans="1:30" x14ac:dyDescent="0.45">
      <c r="C78" s="13" t="s">
        <v>35</v>
      </c>
      <c r="D78" s="2" t="str">
        <f t="shared" ref="D78:S78" si="71">+D$6</f>
        <v>actual</v>
      </c>
      <c r="E78" s="2" t="str">
        <f t="shared" si="71"/>
        <v>actual</v>
      </c>
      <c r="F78" s="2" t="str">
        <f t="shared" si="71"/>
        <v>actual</v>
      </c>
      <c r="G78" s="2" t="str">
        <f t="shared" si="71"/>
        <v>actual</v>
      </c>
      <c r="H78" s="2" t="str">
        <f t="shared" si="71"/>
        <v>actual</v>
      </c>
      <c r="I78" s="2" t="str">
        <f t="shared" si="71"/>
        <v>actual</v>
      </c>
      <c r="J78" s="2" t="str">
        <f t="shared" si="71"/>
        <v>actual</v>
      </c>
      <c r="K78" s="2" t="str">
        <f t="shared" si="71"/>
        <v>actual</v>
      </c>
      <c r="L78" s="2" t="str">
        <f t="shared" si="71"/>
        <v>actual</v>
      </c>
      <c r="M78" s="2" t="str">
        <f t="shared" si="71"/>
        <v>actual</v>
      </c>
      <c r="N78" s="2" t="str">
        <f t="shared" si="71"/>
        <v>actual</v>
      </c>
      <c r="O78" s="2" t="str">
        <f t="shared" si="71"/>
        <v>actual</v>
      </c>
      <c r="P78" s="2" t="str">
        <f t="shared" si="71"/>
        <v>forecast</v>
      </c>
      <c r="Q78" s="2" t="str">
        <f t="shared" si="71"/>
        <v>forecast</v>
      </c>
      <c r="R78" s="2" t="str">
        <f t="shared" si="71"/>
        <v>forecast</v>
      </c>
      <c r="S78" s="2" t="str">
        <f t="shared" si="71"/>
        <v>forecast</v>
      </c>
      <c r="U78" t="str">
        <v>TEM US EQUITY</v>
      </c>
      <c r="V78">
        <v>46112</v>
      </c>
      <c r="W78" t="str">
        <v>custom</v>
      </c>
      <c r="X78" t="str">
        <v>data_revenue</v>
      </c>
      <c r="Y78" t="str">
        <v>forecast</v>
      </c>
      <c r="Z78" t="str">
        <v>86.7082481708785</v>
      </c>
      <c r="AA78" t="str">
        <v>0.400033070751918</v>
      </c>
      <c r="AB78" t="str">
        <v>1494.41140936101</v>
      </c>
      <c r="AC78" t="str">
        <v>-319.232016292883</v>
      </c>
      <c r="AD78" t="str">
        <v>-0.135984772349375</v>
      </c>
    </row>
    <row r="79" spans="1:30" x14ac:dyDescent="0.45">
      <c r="D79" s="2">
        <f t="shared" ref="D79:S79" si="72">+D$7</f>
        <v>45016</v>
      </c>
      <c r="E79" s="2">
        <f t="shared" si="72"/>
        <v>45107</v>
      </c>
      <c r="F79" s="2">
        <f t="shared" si="72"/>
        <v>45199</v>
      </c>
      <c r="G79" s="2">
        <f t="shared" si="72"/>
        <v>45291</v>
      </c>
      <c r="H79" s="2">
        <f t="shared" si="72"/>
        <v>45382</v>
      </c>
      <c r="I79" s="2">
        <f t="shared" si="72"/>
        <v>45473</v>
      </c>
      <c r="J79" s="2">
        <f t="shared" si="72"/>
        <v>45565</v>
      </c>
      <c r="K79" s="2">
        <f t="shared" si="72"/>
        <v>45657</v>
      </c>
      <c r="L79" s="2">
        <f t="shared" si="72"/>
        <v>45747</v>
      </c>
      <c r="M79" s="2">
        <f t="shared" si="72"/>
        <v>45838</v>
      </c>
      <c r="N79" s="2">
        <f t="shared" si="72"/>
        <v>45930</v>
      </c>
      <c r="O79" s="2">
        <f t="shared" si="72"/>
        <v>46022</v>
      </c>
      <c r="P79" s="2">
        <f t="shared" si="72"/>
        <v>46112</v>
      </c>
      <c r="Q79" s="2">
        <f t="shared" si="72"/>
        <v>46203</v>
      </c>
      <c r="R79" s="2">
        <f t="shared" si="72"/>
        <v>46295</v>
      </c>
      <c r="S79" s="2">
        <f t="shared" si="72"/>
        <v>46387</v>
      </c>
      <c r="U79" t="str">
        <v>TEM US EQUITY</v>
      </c>
      <c r="V79">
        <v>46203</v>
      </c>
      <c r="W79" t="str">
        <v>custom</v>
      </c>
      <c r="X79" t="str">
        <v>data_revenue</v>
      </c>
      <c r="Y79" t="str">
        <v>forecast</v>
      </c>
      <c r="Z79" t="str">
        <v>96.6130635</v>
      </c>
      <c r="AA79" t="str">
        <v>0.327248372073854</v>
      </c>
      <c r="AB79" t="str">
        <v>-727.846986780634</v>
      </c>
      <c r="AC79" t="str">
        <v>-296.721237785085</v>
      </c>
      <c r="AD79" t="str">
        <v>0.114231523967613</v>
      </c>
    </row>
    <row r="80" spans="1:30" x14ac:dyDescent="0.45">
      <c r="A80" s="16" t="s">
        <v>21</v>
      </c>
      <c r="B80" s="16" t="s">
        <v>67</v>
      </c>
      <c r="C80" s="2" t="s">
        <v>68</v>
      </c>
      <c r="D80" s="35"/>
      <c r="E80" s="35"/>
      <c r="F80" s="35"/>
      <c r="G80" s="35"/>
      <c r="H80" s="35">
        <f t="shared" ref="H80:S80" si="73">H71/H62*1000000</f>
        <v>813.22834645669286</v>
      </c>
      <c r="I80" s="35">
        <f t="shared" si="73"/>
        <v>750.51546391752572</v>
      </c>
      <c r="J80" s="35">
        <f t="shared" si="73"/>
        <v>817.46031746031747</v>
      </c>
      <c r="K80" s="35">
        <f t="shared" si="73"/>
        <v>849.26108374384239</v>
      </c>
      <c r="L80" s="35">
        <f t="shared" si="73"/>
        <v>814.10256410256409</v>
      </c>
      <c r="M80" s="35">
        <f t="shared" si="73"/>
        <v>760</v>
      </c>
      <c r="N80" s="35">
        <f t="shared" si="73"/>
        <v>792.27799227799233</v>
      </c>
      <c r="O80" s="35">
        <f t="shared" si="73"/>
        <v>795.2</v>
      </c>
      <c r="P80" s="35">
        <f t="shared" si="73"/>
        <v>789.99999999999989</v>
      </c>
      <c r="Q80" s="35">
        <f t="shared" si="73"/>
        <v>790</v>
      </c>
      <c r="R80" s="35">
        <f t="shared" si="73"/>
        <v>790</v>
      </c>
      <c r="S80" s="35">
        <f t="shared" si="73"/>
        <v>790</v>
      </c>
      <c r="U80" t="str">
        <v>TEM US EQUITY</v>
      </c>
      <c r="V80">
        <v>46295</v>
      </c>
      <c r="W80" t="str">
        <v>custom</v>
      </c>
      <c r="X80" t="str">
        <v>data_revenue</v>
      </c>
      <c r="Y80" t="str">
        <v>forecast</v>
      </c>
      <c r="Z80" t="str">
        <v>107.1876608</v>
      </c>
      <c r="AA80" t="str">
        <v>0.317967499508164</v>
      </c>
      <c r="AB80" t="str">
        <v>-92.8087256568966</v>
      </c>
      <c r="AC80" t="str">
        <v>572.051016288646</v>
      </c>
      <c r="AD80" t="str">
        <v>0.109453079292947</v>
      </c>
    </row>
    <row r="81" spans="1:30" x14ac:dyDescent="0.45">
      <c r="C81" s="4" t="s">
        <v>4</v>
      </c>
      <c r="D81" s="5"/>
      <c r="E81" s="4"/>
      <c r="F81" s="4"/>
      <c r="G81" s="4"/>
      <c r="H81" s="12"/>
      <c r="I81" s="12"/>
      <c r="J81" s="12"/>
      <c r="K81" s="12"/>
      <c r="L81" s="12">
        <f t="shared" ref="L81" si="74">+L80/H80-1</f>
        <v>1.0749965242606851E-3</v>
      </c>
      <c r="M81" s="12">
        <f t="shared" ref="M81" si="75">+M80/I80-1</f>
        <v>1.2637362637362815E-2</v>
      </c>
      <c r="N81" s="12">
        <f t="shared" ref="N81" si="76">+N80/J80-1</f>
        <v>-3.0805562844397727E-2</v>
      </c>
      <c r="O81" s="12">
        <f t="shared" ref="O81" si="77">+O80/K80-1</f>
        <v>-6.3656612529002343E-2</v>
      </c>
      <c r="P81" s="12">
        <f t="shared" ref="P81" si="78">+P80/L80-1</f>
        <v>-2.9606299212598497E-2</v>
      </c>
      <c r="Q81" s="12">
        <f t="shared" ref="Q81" si="79">+Q80/M80-1</f>
        <v>3.9473684210526327E-2</v>
      </c>
      <c r="R81" s="12">
        <f t="shared" ref="R81" si="80">+R80/N80-1</f>
        <v>-2.875243664717364E-3</v>
      </c>
      <c r="S81" s="12">
        <f t="shared" ref="S81" si="81">+S80/O80-1</f>
        <v>-6.5392354124749197E-3</v>
      </c>
      <c r="U81" t="str">
        <v>TEM US EQUITY</v>
      </c>
      <c r="V81">
        <v>46387</v>
      </c>
      <c r="W81" t="str">
        <v>custom</v>
      </c>
      <c r="X81" t="str">
        <v>data_revenue</v>
      </c>
      <c r="Y81" t="str">
        <v>forecast</v>
      </c>
      <c r="Z81" t="str">
        <v>120.532026807008</v>
      </c>
      <c r="AA81" t="str">
        <v>0.201056517433192</v>
      </c>
      <c r="AB81" t="str">
        <v>-1169.10982074973</v>
      </c>
      <c r="AC81" t="str">
        <v>-495.354123826246</v>
      </c>
      <c r="AD81" t="str">
        <v>0.124495356157712</v>
      </c>
    </row>
    <row r="82" spans="1:30" x14ac:dyDescent="0.45">
      <c r="C82" s="4" t="s">
        <v>19</v>
      </c>
      <c r="D82" s="1"/>
      <c r="P82" s="7">
        <f>(P81-O81)*10000</f>
        <v>340.50313316403845</v>
      </c>
      <c r="Q82" s="7">
        <f>(Q81-P81)*10000</f>
        <v>690.79983423124827</v>
      </c>
      <c r="R82" s="7">
        <f>(R81-Q81)*10000</f>
        <v>-423.48927875243692</v>
      </c>
      <c r="S82" s="7">
        <f>(S81-R81)*10000</f>
        <v>-36.639917477575558</v>
      </c>
    </row>
    <row r="83" spans="1:30" x14ac:dyDescent="0.45">
      <c r="C83" s="4" t="s">
        <v>23</v>
      </c>
      <c r="D83" s="1"/>
      <c r="E83" s="7"/>
      <c r="F83" s="7"/>
      <c r="G83" s="7"/>
      <c r="H83" s="6"/>
      <c r="I83" s="6"/>
      <c r="J83" s="6"/>
      <c r="K83" s="6"/>
      <c r="L83" s="6"/>
      <c r="M83" s="6"/>
      <c r="N83" s="6"/>
      <c r="O83" s="6"/>
      <c r="P83" s="7">
        <f>(P81-L81)*10000</f>
        <v>-306.81295736859181</v>
      </c>
      <c r="Q83" s="7">
        <f>(Q81-M81)*10000</f>
        <v>268.36321573163514</v>
      </c>
      <c r="R83" s="7">
        <f>(R81-N81)*10000</f>
        <v>279.30319179680362</v>
      </c>
      <c r="S83" s="7">
        <f>(S81-O81)*10000</f>
        <v>571.17377116527427</v>
      </c>
    </row>
    <row r="84" spans="1:30" x14ac:dyDescent="0.45">
      <c r="C84" s="4" t="s">
        <v>5</v>
      </c>
      <c r="D84" s="1"/>
      <c r="G84" s="7"/>
      <c r="K84" s="12"/>
      <c r="P84" s="12">
        <f t="shared" ref="P84" si="82">P80/O80-1</f>
        <v>-6.5392354124750307E-3</v>
      </c>
      <c r="Q84" s="12">
        <f t="shared" ref="Q84" si="83">Q80/P80-1</f>
        <v>0</v>
      </c>
      <c r="R84" s="12">
        <f t="shared" ref="R84" si="84">R80/Q80-1</f>
        <v>0</v>
      </c>
      <c r="S84" s="12">
        <f t="shared" ref="S84" si="85">S80/R80-1</f>
        <v>0</v>
      </c>
    </row>
    <row r="85" spans="1:30" x14ac:dyDescent="0.45">
      <c r="C85" s="4"/>
      <c r="D85" s="1"/>
      <c r="K85" s="7"/>
      <c r="L85" s="7"/>
      <c r="M85" s="7"/>
      <c r="N85" s="7"/>
      <c r="O85" s="7"/>
      <c r="P85" s="7"/>
      <c r="Q85" s="7"/>
      <c r="R85" s="7"/>
      <c r="S85" s="7"/>
    </row>
    <row r="86" spans="1:30" x14ac:dyDescent="0.45">
      <c r="C86" s="13" t="s">
        <v>12</v>
      </c>
      <c r="D86" s="14">
        <f t="shared" ref="D86:L86" si="86">EOMONTH(DATE(YEAR(D88),ROUNDUP(MONTH(D88)/3,0)*3,1),0)</f>
        <v>45016</v>
      </c>
      <c r="E86" s="14">
        <f t="shared" si="86"/>
        <v>45107</v>
      </c>
      <c r="F86" s="14">
        <f t="shared" si="86"/>
        <v>45199</v>
      </c>
      <c r="G86" s="14">
        <f t="shared" si="86"/>
        <v>45291</v>
      </c>
      <c r="H86" s="14">
        <f t="shared" si="86"/>
        <v>45382</v>
      </c>
      <c r="I86" s="14">
        <f t="shared" si="86"/>
        <v>45473</v>
      </c>
      <c r="J86" s="14">
        <f t="shared" si="86"/>
        <v>45565</v>
      </c>
      <c r="K86" s="14">
        <f t="shared" si="86"/>
        <v>45657</v>
      </c>
      <c r="L86" s="14">
        <f t="shared" si="86"/>
        <v>45747</v>
      </c>
      <c r="M86" s="14">
        <f>EOMONTH(DATE(YEAR(M88),ROUNDUP(MONTH(M88)/3,0)*3,1),0)</f>
        <v>45838</v>
      </c>
      <c r="N86" s="14">
        <f>EOMONTH(DATE(YEAR(N88),ROUNDUP(MONTH(N88)/3,0)*3,1),0)</f>
        <v>45930</v>
      </c>
      <c r="O86" s="14">
        <f>EOMONTH(DATE(YEAR(O88),ROUNDUP(MONTH(O88)/3,0)*3,1),0)</f>
        <v>46022</v>
      </c>
      <c r="P86" s="14">
        <f t="shared" ref="P86:S86" si="87">EOMONTH(DATE(YEAR(P88),ROUNDUP(MONTH(P88)/3,0)*3,1),0)</f>
        <v>46112</v>
      </c>
      <c r="Q86" s="14">
        <f t="shared" si="87"/>
        <v>46203</v>
      </c>
      <c r="R86" s="14">
        <f t="shared" si="87"/>
        <v>46295</v>
      </c>
      <c r="S86" s="14">
        <f t="shared" si="87"/>
        <v>46387</v>
      </c>
    </row>
    <row r="87" spans="1:30" x14ac:dyDescent="0.45">
      <c r="C87" s="13" t="s">
        <v>35</v>
      </c>
      <c r="D87" s="2" t="str">
        <f t="shared" ref="D87:S87" si="88">+D$6</f>
        <v>actual</v>
      </c>
      <c r="E87" s="2" t="str">
        <f t="shared" si="88"/>
        <v>actual</v>
      </c>
      <c r="F87" s="2" t="str">
        <f t="shared" si="88"/>
        <v>actual</v>
      </c>
      <c r="G87" s="2" t="str">
        <f t="shared" si="88"/>
        <v>actual</v>
      </c>
      <c r="H87" s="2" t="str">
        <f t="shared" si="88"/>
        <v>actual</v>
      </c>
      <c r="I87" s="2" t="str">
        <f t="shared" si="88"/>
        <v>actual</v>
      </c>
      <c r="J87" s="2" t="str">
        <f t="shared" si="88"/>
        <v>actual</v>
      </c>
      <c r="K87" s="2" t="str">
        <f t="shared" si="88"/>
        <v>actual</v>
      </c>
      <c r="L87" s="2" t="str">
        <f t="shared" si="88"/>
        <v>actual</v>
      </c>
      <c r="M87" s="2" t="str">
        <f t="shared" si="88"/>
        <v>actual</v>
      </c>
      <c r="N87" s="2" t="str">
        <f t="shared" si="88"/>
        <v>actual</v>
      </c>
      <c r="O87" s="2" t="str">
        <f t="shared" si="88"/>
        <v>actual</v>
      </c>
      <c r="P87" s="2" t="str">
        <f t="shared" si="88"/>
        <v>forecast</v>
      </c>
      <c r="Q87" s="2" t="str">
        <f t="shared" si="88"/>
        <v>forecast</v>
      </c>
      <c r="R87" s="2" t="str">
        <f t="shared" si="88"/>
        <v>forecast</v>
      </c>
      <c r="S87" s="2" t="str">
        <f t="shared" si="88"/>
        <v>forecast</v>
      </c>
    </row>
    <row r="88" spans="1:30" x14ac:dyDescent="0.45">
      <c r="D88" s="2">
        <f t="shared" ref="D88:S88" si="89">+D$7</f>
        <v>45016</v>
      </c>
      <c r="E88" s="2">
        <f t="shared" si="89"/>
        <v>45107</v>
      </c>
      <c r="F88" s="2">
        <f t="shared" si="89"/>
        <v>45199</v>
      </c>
      <c r="G88" s="2">
        <f t="shared" si="89"/>
        <v>45291</v>
      </c>
      <c r="H88" s="2">
        <f t="shared" si="89"/>
        <v>45382</v>
      </c>
      <c r="I88" s="2">
        <f t="shared" si="89"/>
        <v>45473</v>
      </c>
      <c r="J88" s="2">
        <f t="shared" si="89"/>
        <v>45565</v>
      </c>
      <c r="K88" s="2">
        <f t="shared" si="89"/>
        <v>45657</v>
      </c>
      <c r="L88" s="2">
        <f t="shared" si="89"/>
        <v>45747</v>
      </c>
      <c r="M88" s="2">
        <f t="shared" si="89"/>
        <v>45838</v>
      </c>
      <c r="N88" s="2">
        <f t="shared" si="89"/>
        <v>45930</v>
      </c>
      <c r="O88" s="2">
        <f t="shared" si="89"/>
        <v>46022</v>
      </c>
      <c r="P88" s="2">
        <f t="shared" si="89"/>
        <v>46112</v>
      </c>
      <c r="Q88" s="2">
        <f t="shared" si="89"/>
        <v>46203</v>
      </c>
      <c r="R88" s="2">
        <f t="shared" si="89"/>
        <v>46295</v>
      </c>
      <c r="S88" s="2">
        <f t="shared" si="89"/>
        <v>46387</v>
      </c>
    </row>
    <row r="89" spans="1:30" x14ac:dyDescent="0.45">
      <c r="A89" s="16" t="s">
        <v>21</v>
      </c>
      <c r="B89" s="16" t="s">
        <v>69</v>
      </c>
      <c r="C89" s="2" t="s">
        <v>70</v>
      </c>
      <c r="D89" s="10">
        <v>33.566249803000005</v>
      </c>
      <c r="E89" s="10">
        <v>40.492786998000007</v>
      </c>
      <c r="F89" s="10">
        <v>39.241916821000004</v>
      </c>
      <c r="G89" s="10">
        <v>55.498724937999995</v>
      </c>
      <c r="H89" s="10">
        <v>43.250622378999999</v>
      </c>
      <c r="I89" s="10">
        <v>53.645000000000003</v>
      </c>
      <c r="J89" s="10">
        <v>64.507000000000005</v>
      </c>
      <c r="K89" s="10">
        <v>80.245999999999995</v>
      </c>
      <c r="L89" s="10">
        <v>61.933</v>
      </c>
      <c r="M89" s="10">
        <v>72.792000000000002</v>
      </c>
      <c r="N89" s="10">
        <v>81.328000000000003</v>
      </c>
      <c r="O89" s="10">
        <v>100.355</v>
      </c>
      <c r="P89" s="10">
        <v>86.708248170878505</v>
      </c>
      <c r="Q89" s="10">
        <v>96.613063499999996</v>
      </c>
      <c r="R89" s="10">
        <v>107.1876608</v>
      </c>
      <c r="S89" s="10">
        <v>120.53202680700798</v>
      </c>
    </row>
    <row r="90" spans="1:30" x14ac:dyDescent="0.45">
      <c r="C90" s="4" t="s">
        <v>4</v>
      </c>
      <c r="D90" s="5"/>
      <c r="E90" s="4"/>
      <c r="F90" s="4"/>
      <c r="G90" s="4"/>
      <c r="H90" s="12">
        <f t="shared" ref="H90" si="90">+H89/D89-1</f>
        <v>0.28851517917066949</v>
      </c>
      <c r="I90" s="12">
        <f t="shared" ref="I90" si="91">+I89/E89-1</f>
        <v>0.32480384722962152</v>
      </c>
      <c r="J90" s="12">
        <f t="shared" ref="J90" si="92">+J89/F89-1</f>
        <v>0.64382897742343692</v>
      </c>
      <c r="K90" s="12">
        <f t="shared" ref="K90" si="93">+K89/G89-1</f>
        <v>0.44590709227367364</v>
      </c>
      <c r="L90" s="12">
        <f t="shared" ref="L90" si="94">+L89/H89-1</f>
        <v>0.43195627238120582</v>
      </c>
      <c r="M90" s="12">
        <f t="shared" ref="M90" si="95">+M89/I89-1</f>
        <v>0.35692049585236263</v>
      </c>
      <c r="N90" s="12">
        <f t="shared" ref="N90" si="96">+N89/J89-1</f>
        <v>0.26076239787929989</v>
      </c>
      <c r="O90" s="12">
        <f t="shared" ref="O90" si="97">+O89/K89-1</f>
        <v>0.25059192981581657</v>
      </c>
      <c r="P90" s="12">
        <f t="shared" ref="P90" si="98">+P89/L89-1</f>
        <v>0.40003307075191752</v>
      </c>
      <c r="Q90" s="12">
        <f t="shared" ref="Q90" si="99">+Q89/M89-1</f>
        <v>0.32724837207385415</v>
      </c>
      <c r="R90" s="12">
        <f t="shared" ref="R90" si="100">+R89/N89-1</f>
        <v>0.3179674995081645</v>
      </c>
      <c r="S90" s="12">
        <f t="shared" ref="S90" si="101">+S89/O89-1</f>
        <v>0.20105651743319197</v>
      </c>
    </row>
    <row r="91" spans="1:30" x14ac:dyDescent="0.45">
      <c r="C91" s="4" t="s">
        <v>19</v>
      </c>
      <c r="D91" s="1"/>
      <c r="L91" s="7">
        <f t="shared" ref="L91:S91" si="102">(L90-K90)*10000</f>
        <v>-139.50819892467825</v>
      </c>
      <c r="M91" s="7">
        <f t="shared" si="102"/>
        <v>-750.35776528843189</v>
      </c>
      <c r="N91" s="7">
        <f t="shared" si="102"/>
        <v>-961.5809797306274</v>
      </c>
      <c r="O91" s="7">
        <f t="shared" si="102"/>
        <v>-101.70468063483318</v>
      </c>
      <c r="P91" s="7">
        <f t="shared" si="102"/>
        <v>1494.4114093610094</v>
      </c>
      <c r="Q91" s="7">
        <f t="shared" si="102"/>
        <v>-727.84698678063364</v>
      </c>
      <c r="R91" s="7">
        <f t="shared" si="102"/>
        <v>-92.80872565689657</v>
      </c>
      <c r="S91" s="7">
        <f t="shared" si="102"/>
        <v>-1169.1098207497253</v>
      </c>
    </row>
    <row r="92" spans="1:30" x14ac:dyDescent="0.45">
      <c r="C92" s="4" t="s">
        <v>23</v>
      </c>
      <c r="D92" s="1"/>
      <c r="E92" s="7"/>
      <c r="F92" s="7"/>
      <c r="G92" s="7"/>
      <c r="H92" s="6"/>
      <c r="I92" s="6"/>
      <c r="J92" s="6"/>
      <c r="K92" s="6"/>
      <c r="L92" s="7">
        <f t="shared" ref="L92:S92" si="103">(L90-H90)*10000</f>
        <v>1434.4109321053634</v>
      </c>
      <c r="M92" s="7">
        <f t="shared" si="103"/>
        <v>321.16648622741104</v>
      </c>
      <c r="N92" s="7">
        <f t="shared" si="103"/>
        <v>-3830.6657954413704</v>
      </c>
      <c r="O92" s="7">
        <f t="shared" si="103"/>
        <v>-1953.1516245785708</v>
      </c>
      <c r="P92" s="7">
        <f t="shared" si="103"/>
        <v>-319.23201629288303</v>
      </c>
      <c r="Q92" s="7">
        <f t="shared" si="103"/>
        <v>-296.72123778508472</v>
      </c>
      <c r="R92" s="7">
        <f t="shared" si="103"/>
        <v>572.05101628864611</v>
      </c>
      <c r="S92" s="7">
        <f t="shared" si="103"/>
        <v>-495.354123826246</v>
      </c>
    </row>
    <row r="93" spans="1:30" x14ac:dyDescent="0.45">
      <c r="C93" s="4" t="s">
        <v>5</v>
      </c>
      <c r="D93" s="1"/>
      <c r="G93" s="7"/>
      <c r="L93" s="12">
        <f t="shared" ref="L93" si="104">L89/K89-1</f>
        <v>-0.22821075193779128</v>
      </c>
      <c r="M93" s="12">
        <f t="shared" ref="M93" si="105">M89/L89-1</f>
        <v>0.17533463581612385</v>
      </c>
      <c r="N93" s="12">
        <f t="shared" ref="N93" si="106">N89/M89-1</f>
        <v>0.11726563358610842</v>
      </c>
      <c r="O93" s="12">
        <f t="shared" ref="O93" si="107">O89/N89-1</f>
        <v>0.23395386582726729</v>
      </c>
      <c r="P93" s="12">
        <f t="shared" ref="P93" si="108">P89/O89-1</f>
        <v>-0.13598477234937467</v>
      </c>
      <c r="Q93" s="12">
        <f t="shared" ref="Q93" si="109">Q89/P89-1</f>
        <v>0.11423152396761349</v>
      </c>
      <c r="R93" s="12">
        <f t="shared" ref="R93" si="110">R89/Q89-1</f>
        <v>0.1094530792929469</v>
      </c>
      <c r="S93" s="12">
        <f t="shared" ref="S93" si="111">S89/R89-1</f>
        <v>0.12449535615771157</v>
      </c>
    </row>
    <row r="94" spans="1:30" x14ac:dyDescent="0.45">
      <c r="C94" s="4"/>
      <c r="D94" s="1"/>
      <c r="L94" s="7"/>
      <c r="M94" s="7"/>
      <c r="N94" s="7"/>
      <c r="O94" s="7"/>
      <c r="P94" s="7"/>
      <c r="Q94" s="7"/>
      <c r="R94" s="7"/>
      <c r="S9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79C1-752C-4A8E-8C58-2928E1B63476}">
  <dimension ref="A1:AD72"/>
  <sheetViews>
    <sheetView topLeftCell="D19" zoomScale="85" zoomScaleNormal="85" workbookViewId="0">
      <selection activeCell="U34" sqref="U34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1328125" bestFit="1" customWidth="1"/>
    <col min="5" max="6" width="9.3984375" bestFit="1" customWidth="1"/>
    <col min="7" max="10" width="10.3984375" customWidth="1"/>
    <col min="11" max="11" width="10" bestFit="1" customWidth="1"/>
    <col min="12" max="13" width="9.3984375" bestFit="1" customWidth="1"/>
    <col min="14" max="14" width="11.265625" bestFit="1" customWidth="1"/>
    <col min="15" max="15" width="10.3984375" bestFit="1" customWidth="1"/>
    <col min="16" max="19" width="10.3984375" customWidth="1"/>
    <col min="20" max="20" width="9" customWidth="1"/>
    <col min="21" max="21" width="12.3984375" bestFit="1" customWidth="1"/>
    <col min="22" max="22" width="14.3984375" bestFit="1" customWidth="1"/>
    <col min="23" max="23" width="8.59765625" bestFit="1" customWidth="1"/>
    <col min="24" max="24" width="20.265625" bestFit="1" customWidth="1"/>
    <col min="25" max="25" width="7.3984375" bestFit="1" customWidth="1"/>
    <col min="26" max="26" width="10.73046875" bestFit="1" customWidth="1"/>
    <col min="27" max="27" width="9.1328125" bestFit="1" customWidth="1"/>
    <col min="28" max="28" width="10.3984375" bestFit="1" customWidth="1"/>
    <col min="29" max="29" width="9.1328125" bestFit="1" customWidth="1"/>
  </cols>
  <sheetData>
    <row r="1" spans="1:30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45">
      <c r="A2" s="17" t="s">
        <v>1</v>
      </c>
      <c r="B2" s="25" t="s">
        <v>26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ADPT US EQUITY</v>
      </c>
      <c r="V2" s="24">
        <f ca="1"/>
        <v>45747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52.443</v>
      </c>
      <c r="AA2" s="32" t="str">
        <f ca="1"/>
        <v>0.252429966804385</v>
      </c>
      <c r="AB2" s="32" t="str">
        <f ca="1"/>
        <v>2158.45133674907</v>
      </c>
      <c r="AC2" s="32" t="str">
        <f ca="1"/>
        <v>1401.76666408603</v>
      </c>
      <c r="AD2" s="32" t="str">
        <f ca="1"/>
        <v>0.105016962009313</v>
      </c>
    </row>
    <row r="3" spans="1:30" x14ac:dyDescent="0.45">
      <c r="A3" s="18" t="s">
        <v>3</v>
      </c>
      <c r="B3" s="19">
        <f ca="1">+B4-365*3</f>
        <v>45016</v>
      </c>
      <c r="U3" s="24" t="str">
        <f ca="1"/>
        <v>ADPT US EQUITY</v>
      </c>
      <c r="V3" s="24">
        <f ca="1"/>
        <v>45838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58.879</v>
      </c>
      <c r="AA3" s="32" t="str">
        <f ca="1"/>
        <v>0.363255383190553</v>
      </c>
      <c r="AB3" s="32" t="str">
        <f ca="1"/>
        <v>1108.25416386169</v>
      </c>
      <c r="AC3" s="32" t="str">
        <f ca="1"/>
        <v>4804.93661406635</v>
      </c>
      <c r="AD3" s="32" t="str">
        <f ca="1"/>
        <v>0.122723719085483</v>
      </c>
    </row>
    <row r="4" spans="1:30" x14ac:dyDescent="0.45">
      <c r="A4" s="20" t="s">
        <v>2</v>
      </c>
      <c r="B4" s="21">
        <f ca="1">TODAY()</f>
        <v>46111</v>
      </c>
      <c r="U4" s="24" t="str">
        <f ca="1"/>
        <v>ADPT US EQUITY</v>
      </c>
      <c r="V4" s="24">
        <f ca="1"/>
        <v>45930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93.973</v>
      </c>
      <c r="AA4" s="32" t="str">
        <f ca="1"/>
        <v>1.0237536341122</v>
      </c>
      <c r="AB4" s="32" t="str">
        <f ca="1"/>
        <v>6604.98250921646</v>
      </c>
      <c r="AC4" s="32" t="str">
        <f ca="1"/>
        <v>7991.69652467114</v>
      </c>
      <c r="AD4" s="32" t="str">
        <f ca="1"/>
        <v>0.596035938110362</v>
      </c>
    </row>
    <row r="5" spans="1:30" x14ac:dyDescent="0.45">
      <c r="C5" s="13" t="s">
        <v>12</v>
      </c>
      <c r="D5" s="14">
        <f ca="1">EOMONTH(DATE(YEAR(D7),ROUNDUP(MONTH(D7)/3,0)*3,1),0)</f>
        <v>45016</v>
      </c>
      <c r="E5" s="14">
        <f ca="1">EOMONTH(DATE(YEAR(E7),ROUNDUP(MONTH(E7)/3,0)*3,1),0)</f>
        <v>45107</v>
      </c>
      <c r="F5" s="14">
        <f ca="1">EOMONTH(DATE(YEAR(F7),ROUNDUP(MONTH(F7)/3,0)*3,1),0)</f>
        <v>45199</v>
      </c>
      <c r="G5" s="14">
        <f t="shared" ref="G5:K5" ca="1" si="0">EOMONTH(DATE(YEAR(G7),ROUNDUP(MONTH(G7)/3,0)*3,1),0)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EOMONTH(DATE(YEAR(L7),ROUNDUP(MONTH(L7)/3,0)*3,1),0)</f>
        <v>45747</v>
      </c>
      <c r="M5" s="14">
        <f ca="1">EOMONTH(DATE(YEAR(M7),ROUNDUP(MONTH(M7)/3,0)*3,1),0)</f>
        <v>45838</v>
      </c>
      <c r="N5" s="14">
        <f ca="1">EOMONTH(DATE(YEAR(N7),ROUNDUP(MONTH(N7)/3,0)*3,1),0)</f>
        <v>45930</v>
      </c>
      <c r="O5" s="14">
        <f ca="1">EOMONTH(DATE(YEAR(O7),ROUNDUP(MONTH(O7)/3,0)*3,1),0)</f>
        <v>46022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ADPT US EQUITY</v>
      </c>
      <c r="V5" s="24">
        <f ca="1"/>
        <v>46022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>72</v>
      </c>
      <c r="AA5" s="32" t="str">
        <f ca="1"/>
        <v>0.51709896963695</v>
      </c>
      <c r="AB5" s="32" t="str">
        <f ca="1"/>
        <v>-5066.5466447525</v>
      </c>
      <c r="AC5" s="32" t="str">
        <f ca="1"/>
        <v>4805.14136507472</v>
      </c>
      <c r="AD5" s="32" t="str">
        <f ca="1"/>
        <v>-0.233822480925372</v>
      </c>
    </row>
    <row r="6" spans="1:30" x14ac:dyDescent="0.4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ADPT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60.7</v>
      </c>
      <c r="AA6" s="32" t="str">
        <f ca="1"/>
        <v>0.157447133077818</v>
      </c>
      <c r="AB6" s="32" t="str">
        <f ca="1"/>
        <v>-3596.51836559132</v>
      </c>
      <c r="AC6" s="32" t="str">
        <f ca="1"/>
        <v>-949.828337265668</v>
      </c>
      <c r="AD6" s="32" t="str">
        <f ca="1"/>
        <v>-0.156944444444444</v>
      </c>
    </row>
    <row r="7" spans="1:30" x14ac:dyDescent="0.45">
      <c r="D7" s="15" cm="1">
        <f t="array" aca="1" ref="D7:O8" ca="1">+_xll.BDH($B$2,C8,$B$3,$B$4,"DIR=H")</f>
        <v>45016</v>
      </c>
      <c r="E7" s="1">
        <f ca="1"/>
        <v>45107</v>
      </c>
      <c r="F7" s="1">
        <f ca="1"/>
        <v>45199</v>
      </c>
      <c r="G7" s="1">
        <f ca="1"/>
        <v>45291</v>
      </c>
      <c r="H7" s="1">
        <f ca="1"/>
        <v>45382</v>
      </c>
      <c r="I7" s="1">
        <f ca="1"/>
        <v>45473</v>
      </c>
      <c r="J7" s="1">
        <f ca="1"/>
        <v>45565</v>
      </c>
      <c r="K7" s="1">
        <f ca="1"/>
        <v>45657</v>
      </c>
      <c r="L7" s="1">
        <f ca="1"/>
        <v>45747</v>
      </c>
      <c r="M7" s="1">
        <f ca="1"/>
        <v>45838</v>
      </c>
      <c r="N7" s="1">
        <f ca="1"/>
        <v>45930</v>
      </c>
      <c r="O7" s="1">
        <f ca="1"/>
        <v>46022</v>
      </c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ADPT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66.1</v>
      </c>
      <c r="AA7" s="32" t="str">
        <f ca="1"/>
        <v>0.122641349207697</v>
      </c>
      <c r="AB7" s="32" t="str">
        <f ca="1"/>
        <v>-348.05783870121</v>
      </c>
      <c r="AC7" s="32" t="str">
        <f ca="1"/>
        <v>-2406.14033982856</v>
      </c>
      <c r="AD7" s="32" t="str">
        <f ca="1"/>
        <v>0.088962108731466</v>
      </c>
    </row>
    <row r="8" spans="1:30" x14ac:dyDescent="0.45">
      <c r="A8" s="16" t="s">
        <v>9</v>
      </c>
      <c r="B8" s="16" t="s">
        <v>8</v>
      </c>
      <c r="C8" s="9" t="s">
        <v>0</v>
      </c>
      <c r="D8" s="11">
        <f ca="1"/>
        <v>37.646999999999998</v>
      </c>
      <c r="E8" s="11">
        <f ca="1"/>
        <v>48.926000000000002</v>
      </c>
      <c r="F8" s="11">
        <f ca="1"/>
        <v>37.918999999999997</v>
      </c>
      <c r="G8" s="11">
        <f ca="1"/>
        <v>45.783999999999999</v>
      </c>
      <c r="H8" s="11">
        <f ca="1"/>
        <v>41.872999999999998</v>
      </c>
      <c r="I8" s="11">
        <f ca="1"/>
        <v>43.19</v>
      </c>
      <c r="J8" s="11">
        <f ca="1"/>
        <v>46.435000000000002</v>
      </c>
      <c r="K8" s="11">
        <f ca="1"/>
        <v>47.459000000000003</v>
      </c>
      <c r="L8" s="11">
        <f ca="1"/>
        <v>52.442999999999998</v>
      </c>
      <c r="M8" s="11">
        <f ca="1"/>
        <v>58.878999999999998</v>
      </c>
      <c r="N8" s="11">
        <f ca="1"/>
        <v>93.972999999999999</v>
      </c>
      <c r="O8" s="11">
        <f ca="1"/>
        <v>72</v>
      </c>
      <c r="P8" s="28">
        <v>60.7</v>
      </c>
      <c r="Q8" s="28">
        <v>66.099999999999994</v>
      </c>
      <c r="R8" s="28">
        <v>71.900000000000006</v>
      </c>
      <c r="S8" s="28">
        <v>83.6</v>
      </c>
      <c r="T8" s="3"/>
      <c r="U8" s="24" t="str">
        <f ca="1"/>
        <v>ADPT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71.9</v>
      </c>
      <c r="AA8" s="32" t="str">
        <f ca="1"/>
        <v>-0.234886616368531</v>
      </c>
      <c r="AB8" s="32" t="str">
        <f ca="1"/>
        <v>-3575.27965576228</v>
      </c>
      <c r="AC8" s="32" t="str">
        <f ca="1"/>
        <v>-12586.4025048073</v>
      </c>
      <c r="AD8" s="32" t="str">
        <f ca="1"/>
        <v>0.087745839636914</v>
      </c>
    </row>
    <row r="9" spans="1:30" x14ac:dyDescent="0.45">
      <c r="C9" s="4" t="s">
        <v>4</v>
      </c>
      <c r="D9" s="5"/>
      <c r="E9" s="4"/>
      <c r="F9" s="4"/>
      <c r="G9" s="12"/>
      <c r="H9" s="12">
        <f t="shared" ref="H9:S9" ca="1" si="2">+H8/D8-1</f>
        <v>0.11225330039578174</v>
      </c>
      <c r="I9" s="12">
        <f t="shared" ca="1" si="2"/>
        <v>-0.11723827821608146</v>
      </c>
      <c r="J9" s="12">
        <f t="shared" ca="1" si="2"/>
        <v>0.22458398164508564</v>
      </c>
      <c r="K9" s="12">
        <f t="shared" ca="1" si="2"/>
        <v>3.6584833129477579E-2</v>
      </c>
      <c r="L9" s="12">
        <f t="shared" ca="1" si="2"/>
        <v>0.25242996680438479</v>
      </c>
      <c r="M9" s="12">
        <f t="shared" ca="1" si="2"/>
        <v>0.36325538319055339</v>
      </c>
      <c r="N9" s="12">
        <f t="shared" ca="1" si="2"/>
        <v>1.0237536341121998</v>
      </c>
      <c r="O9" s="12">
        <f t="shared" ca="1" si="2"/>
        <v>0.51709896963694968</v>
      </c>
      <c r="P9" s="12">
        <f t="shared" ca="1" si="2"/>
        <v>0.15744713307781799</v>
      </c>
      <c r="Q9" s="12">
        <f t="shared" ca="1" si="2"/>
        <v>0.12264134920769698</v>
      </c>
      <c r="R9" s="12">
        <f t="shared" ca="1" si="2"/>
        <v>-0.23488661636853136</v>
      </c>
      <c r="S9" s="12">
        <f t="shared" ca="1" si="2"/>
        <v>0.16111111111111098</v>
      </c>
      <c r="U9" s="24" t="str">
        <f ca="1"/>
        <v>ADPT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83.6</v>
      </c>
      <c r="AA9" s="32" t="str">
        <f ca="1"/>
        <v>0.161111111111111</v>
      </c>
      <c r="AB9" s="32" t="str">
        <f ca="1"/>
        <v>3959.97727479642</v>
      </c>
      <c r="AC9" s="32" t="str">
        <f ca="1"/>
        <v>-3559.87858525839</v>
      </c>
      <c r="AD9" s="32" t="str">
        <f ca="1"/>
        <v>0.162726008344923</v>
      </c>
    </row>
    <row r="10" spans="1:30" x14ac:dyDescent="0.45">
      <c r="C10" s="4" t="s">
        <v>19</v>
      </c>
      <c r="D10" s="1"/>
      <c r="L10" s="7">
        <f ca="1">(L9-K9)*10000</f>
        <v>2158.4513367490722</v>
      </c>
      <c r="M10" s="7">
        <f ca="1">(M9-L9)*10000</f>
        <v>1108.254163861686</v>
      </c>
      <c r="N10" s="7">
        <f ca="1">(N9-M9)*10000</f>
        <v>6604.9825092164638</v>
      </c>
      <c r="O10" s="7">
        <f ca="1">(O9-N9)*10000</f>
        <v>-5066.5466447525014</v>
      </c>
      <c r="P10" s="7">
        <f t="shared" ref="P10:S10" ca="1" si="3">(P9-O9)*10000</f>
        <v>-3596.518365591317</v>
      </c>
      <c r="Q10" s="7">
        <f t="shared" ca="1" si="3"/>
        <v>-348.05783870121007</v>
      </c>
      <c r="R10" s="7">
        <f t="shared" ca="1" si="3"/>
        <v>-3575.2796557622833</v>
      </c>
      <c r="S10" s="7">
        <f t="shared" ca="1" si="3"/>
        <v>3959.9772747964234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ADPT US EQUITY</v>
      </c>
      <c r="V10" s="24">
        <f ca="1"/>
        <v>45747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67.6239</v>
      </c>
      <c r="AA10" s="32" t="str">
        <f ca="1"/>
        <v>1073.28</v>
      </c>
      <c r="AB10" s="32" t="str">
        <f ca="1"/>
        <v/>
      </c>
      <c r="AC10" s="32" t="str">
        <f ca="1"/>
        <v/>
      </c>
      <c r="AD10" s="32" t="str">
        <f ca="1"/>
        <v>564.620000000001</v>
      </c>
    </row>
    <row r="11" spans="1:30" x14ac:dyDescent="0.4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1401.7666640860305</v>
      </c>
      <c r="M11" s="7">
        <f ca="1">(M9-I9)*10000</f>
        <v>4804.9366140663487</v>
      </c>
      <c r="N11" s="7">
        <f ca="1">(N9-J9)*10000</f>
        <v>7991.6965246711416</v>
      </c>
      <c r="O11" s="7">
        <f ca="1">(O9-K9)*10000</f>
        <v>4805.1413650747209</v>
      </c>
      <c r="P11" s="7">
        <f t="shared" ref="P11:S11" ca="1" si="4">(P9-L9)*10000</f>
        <v>-949.82833726566798</v>
      </c>
      <c r="Q11" s="7">
        <f t="shared" ca="1" si="4"/>
        <v>-2406.1403398285643</v>
      </c>
      <c r="R11" s="7">
        <f t="shared" ca="1" si="4"/>
        <v>-12586.402504807311</v>
      </c>
      <c r="S11" s="7">
        <f t="shared" ca="1" si="4"/>
        <v>-3559.8785852583869</v>
      </c>
      <c r="U11" t="str">
        <f ca="1"/>
        <v>ADPT US EQUITY</v>
      </c>
      <c r="V11" s="24">
        <f ca="1"/>
        <v>45838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69.4305</v>
      </c>
      <c r="AA11" s="32" t="str">
        <f ca="1"/>
        <v>1415.61</v>
      </c>
      <c r="AB11" s="32" t="str">
        <f ca="1"/>
        <v/>
      </c>
      <c r="AC11" s="32" t="str">
        <f ca="1"/>
        <v/>
      </c>
      <c r="AD11" s="32" t="str">
        <f ca="1"/>
        <v>180.659999999999</v>
      </c>
    </row>
    <row r="12" spans="1:30" x14ac:dyDescent="0.45">
      <c r="C12" s="4" t="s">
        <v>5</v>
      </c>
      <c r="D12" s="1"/>
      <c r="L12" s="12">
        <f t="shared" ref="L12:S12" ca="1" si="5">L8/K8-1</f>
        <v>0.1050169620093131</v>
      </c>
      <c r="M12" s="12">
        <f t="shared" ca="1" si="5"/>
        <v>0.1227237190854833</v>
      </c>
      <c r="N12" s="12">
        <f t="shared" ca="1" si="5"/>
        <v>0.59603593811036193</v>
      </c>
      <c r="O12" s="12">
        <f t="shared" ca="1" si="5"/>
        <v>-0.23382248092537217</v>
      </c>
      <c r="P12" s="12">
        <f t="shared" ca="1" si="5"/>
        <v>-0.15694444444444444</v>
      </c>
      <c r="Q12" s="12">
        <f t="shared" si="5"/>
        <v>8.8962108731466039E-2</v>
      </c>
      <c r="R12" s="12">
        <f t="shared" si="5"/>
        <v>8.7745839636913958E-2</v>
      </c>
      <c r="S12" s="12">
        <f t="shared" si="5"/>
        <v>0.16272600834492335</v>
      </c>
      <c r="U12" s="24" t="str">
        <f ca="1"/>
        <v>ADPT US EQUITY</v>
      </c>
      <c r="V12" s="24">
        <f ca="1"/>
        <v>45930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80.6785</v>
      </c>
      <c r="AA12" s="32" t="str">
        <f ca="1"/>
        <v>1657.17</v>
      </c>
      <c r="AB12" s="32" t="str">
        <f ca="1"/>
        <v/>
      </c>
      <c r="AC12" s="32" t="str">
        <f ca="1"/>
        <v/>
      </c>
      <c r="AD12" s="32" t="str">
        <f ca="1"/>
        <v>1124.8</v>
      </c>
    </row>
    <row r="13" spans="1:30" x14ac:dyDescent="0.45">
      <c r="U13" s="24" t="str">
        <f ca="1"/>
        <v>ADPT US EQUITY</v>
      </c>
      <c r="V13" s="24">
        <f ca="1"/>
        <v>46022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>74.5762</v>
      </c>
      <c r="AA13" s="32" t="str">
        <f ca="1"/>
        <v>1259.85</v>
      </c>
      <c r="AB13" s="32" t="str">
        <f ca="1"/>
        <v/>
      </c>
      <c r="AC13" s="32" t="str">
        <f ca="1"/>
        <v/>
      </c>
      <c r="AD13" s="32" t="str">
        <f ca="1"/>
        <v>-610.23</v>
      </c>
    </row>
    <row r="14" spans="1:30" x14ac:dyDescent="0.45">
      <c r="C14" s="13" t="s">
        <v>12</v>
      </c>
      <c r="D14" s="14">
        <f ca="1">EOMONTH(DATE(YEAR(D16),ROUNDUP(MONTH(D16)/3,0)*3,1),0)</f>
        <v>45016</v>
      </c>
      <c r="E14" s="14">
        <f ca="1">EOMONTH(DATE(YEAR(E16),ROUNDUP(MONTH(E16)/3,0)*3,1),0)</f>
        <v>45107</v>
      </c>
      <c r="F14" s="14">
        <f ca="1">EOMONTH(DATE(YEAR(F16),ROUNDUP(MONTH(F16)/3,0)*3,1),0)</f>
        <v>45199</v>
      </c>
      <c r="G14" s="14">
        <f t="shared" ref="G14:K14" ca="1" si="6">EOMONTH(DATE(YEAR(G16),ROUNDUP(MONTH(G16)/3,0)*3,1),0)</f>
        <v>45291</v>
      </c>
      <c r="H14" s="14">
        <f t="shared" ca="1" si="6"/>
        <v>45382</v>
      </c>
      <c r="I14" s="14">
        <f t="shared" ca="1" si="6"/>
        <v>45473</v>
      </c>
      <c r="J14" s="14">
        <f t="shared" ca="1" si="6"/>
        <v>45565</v>
      </c>
      <c r="K14" s="14">
        <f t="shared" ca="1" si="6"/>
        <v>45657</v>
      </c>
      <c r="L14" s="14">
        <f ca="1">EOMONTH(DATE(YEAR(L16),ROUNDUP(MONTH(L16)/3,0)*3,1),0)</f>
        <v>45747</v>
      </c>
      <c r="M14" s="14">
        <f ca="1">EOMONTH(DATE(YEAR(M16),ROUNDUP(MONTH(M16)/3,0)*3,1),0)</f>
        <v>45838</v>
      </c>
      <c r="N14" s="14">
        <f ca="1">EOMONTH(DATE(YEAR(N16),ROUNDUP(MONTH(N16)/3,0)*3,1),0)</f>
        <v>45930</v>
      </c>
      <c r="O14" s="14">
        <f ca="1">EOMONTH(DATE(YEAR(O16),ROUNDUP(MONTH(O16)/3,0)*3,1),0)</f>
        <v>46022</v>
      </c>
      <c r="P14" s="14"/>
      <c r="Q14" s="14"/>
      <c r="R14" s="14"/>
      <c r="S14" s="14"/>
      <c r="T14" s="1"/>
      <c r="U14" s="24" t="str">
        <f ca="1"/>
        <v>ADPT US EQUITY</v>
      </c>
      <c r="V14" s="24">
        <f ca="1"/>
        <v>0</v>
      </c>
      <c r="W14" s="24" t="str">
        <f ca="1"/>
        <v>canonical</v>
      </c>
      <c r="X14" s="24" t="str">
        <f ca="1"/>
        <v>gross_margin_gaap</v>
      </c>
      <c r="Y14" s="24" t="str">
        <f ca="1"/>
        <v/>
      </c>
      <c r="Z14" s="32" t="str">
        <f ca="1"/>
        <v/>
      </c>
      <c r="AA14" s="32" t="str">
        <f ca="1"/>
        <v/>
      </c>
      <c r="AB14" s="32" t="str">
        <f ca="1"/>
        <v/>
      </c>
      <c r="AC14" s="32" t="str">
        <f ca="1"/>
        <v/>
      </c>
      <c r="AD14" s="32" t="str">
        <f ca="1"/>
        <v/>
      </c>
    </row>
    <row r="15" spans="1:30" x14ac:dyDescent="0.4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/>
      <c r="Q15" s="2"/>
      <c r="R15" s="2"/>
      <c r="S15" s="2"/>
      <c r="U15" s="24" t="str">
        <f ca="1"/>
        <v>ADPT US EQUITY</v>
      </c>
      <c r="V15" s="24">
        <f ca="1"/>
        <v>0</v>
      </c>
      <c r="W15" s="24" t="str">
        <f ca="1"/>
        <v>canonical</v>
      </c>
      <c r="X15" s="24" t="str">
        <f ca="1"/>
        <v>gross_margin_gaap</v>
      </c>
      <c r="Y15" s="24" t="str">
        <f ca="1"/>
        <v/>
      </c>
      <c r="Z15" s="32" t="str">
        <f ca="1"/>
        <v/>
      </c>
      <c r="AA15" s="32" t="str">
        <f ca="1"/>
        <v/>
      </c>
      <c r="AB15" s="32" t="str">
        <f ca="1"/>
        <v/>
      </c>
      <c r="AC15" s="32" t="str">
        <f ca="1"/>
        <v/>
      </c>
      <c r="AD15" s="32" t="str">
        <f ca="1"/>
        <v/>
      </c>
    </row>
    <row r="16" spans="1:30" x14ac:dyDescent="0.45">
      <c r="D16" s="1" cm="1">
        <f t="array" aca="1" ref="D16:O17" ca="1">+_xll.BDH($B$2,C17,$B$3,$B$4,"DIR=H")</f>
        <v>45016</v>
      </c>
      <c r="E16" s="1">
        <f ca="1"/>
        <v>45107</v>
      </c>
      <c r="F16" s="1">
        <f ca="1"/>
        <v>45199</v>
      </c>
      <c r="G16" s="1">
        <f ca="1"/>
        <v>45291</v>
      </c>
      <c r="H16" s="1">
        <f ca="1"/>
        <v>45382</v>
      </c>
      <c r="I16" s="1">
        <f ca="1"/>
        <v>45473</v>
      </c>
      <c r="J16" s="1">
        <f ca="1"/>
        <v>45565</v>
      </c>
      <c r="K16" s="1">
        <f ca="1"/>
        <v>45657</v>
      </c>
      <c r="L16" s="1">
        <f ca="1"/>
        <v>45747</v>
      </c>
      <c r="M16" s="1">
        <f ca="1"/>
        <v>45838</v>
      </c>
      <c r="N16" s="1">
        <f ca="1"/>
        <v>45930</v>
      </c>
      <c r="O16" s="1">
        <f ca="1"/>
        <v>46022</v>
      </c>
      <c r="P16" s="2"/>
      <c r="Q16" s="2"/>
      <c r="R16" s="2"/>
      <c r="S16" s="2"/>
      <c r="U16" s="24" t="str">
        <f ca="1"/>
        <v>ADPT US EQUITY</v>
      </c>
      <c r="V16" s="24">
        <f ca="1"/>
        <v>0</v>
      </c>
      <c r="W16" s="24" t="str">
        <f ca="1"/>
        <v>canonical</v>
      </c>
      <c r="X16" s="24" t="str">
        <f ca="1"/>
        <v>gross_margin_gaap</v>
      </c>
      <c r="Y16" s="24" t="str">
        <f ca="1"/>
        <v/>
      </c>
      <c r="Z16" s="32" t="str">
        <f ca="1"/>
        <v/>
      </c>
      <c r="AA16" s="32" t="str">
        <f ca="1"/>
        <v/>
      </c>
      <c r="AB16" s="32" t="str">
        <f ca="1"/>
        <v/>
      </c>
      <c r="AC16" s="32" t="str">
        <f ca="1"/>
        <v/>
      </c>
      <c r="AD16" s="32" t="str">
        <f ca="1"/>
        <v/>
      </c>
    </row>
    <row r="17" spans="1:30" x14ac:dyDescent="0.45">
      <c r="A17" s="16" t="s">
        <v>9</v>
      </c>
      <c r="B17" s="16" t="s">
        <v>14</v>
      </c>
      <c r="C17" s="9" t="s">
        <v>6</v>
      </c>
      <c r="D17" s="30">
        <f ca="1"/>
        <v>50.378500000000003</v>
      </c>
      <c r="E17" s="30">
        <f ca="1"/>
        <v>63.393700000000003</v>
      </c>
      <c r="F17" s="30">
        <f ca="1"/>
        <v>48.980699999999999</v>
      </c>
      <c r="G17" s="30">
        <f ca="1"/>
        <v>57.155299999999997</v>
      </c>
      <c r="H17" s="30">
        <f ca="1"/>
        <v>56.891100000000002</v>
      </c>
      <c r="I17" s="30">
        <f ca="1"/>
        <v>55.2744</v>
      </c>
      <c r="J17" s="30">
        <f ca="1"/>
        <v>64.106800000000007</v>
      </c>
      <c r="K17" s="30">
        <f ca="1"/>
        <v>61.977699999999999</v>
      </c>
      <c r="L17" s="30">
        <f ca="1"/>
        <v>67.623900000000006</v>
      </c>
      <c r="M17" s="30">
        <f ca="1"/>
        <v>69.430499999999995</v>
      </c>
      <c r="N17" s="30">
        <f ca="1"/>
        <v>80.6785</v>
      </c>
      <c r="O17" s="30">
        <f ca="1"/>
        <v>74.5762</v>
      </c>
      <c r="P17" s="29"/>
      <c r="Q17" s="29"/>
      <c r="R17" s="29"/>
      <c r="S17" s="29"/>
      <c r="U17" s="24" t="str">
        <f ca="1"/>
        <v>ADPT US EQUITY</v>
      </c>
      <c r="V17" s="24">
        <f ca="1"/>
        <v>0</v>
      </c>
      <c r="W17" s="24" t="str">
        <f ca="1"/>
        <v>canonical</v>
      </c>
      <c r="X17" s="24" t="str">
        <f ca="1"/>
        <v>gross_margin_gaap</v>
      </c>
      <c r="Y17" s="24" t="str">
        <f ca="1"/>
        <v/>
      </c>
      <c r="Z17" s="32" t="str">
        <f ca="1"/>
        <v/>
      </c>
      <c r="AA17" s="32" t="str">
        <f ca="1"/>
        <v/>
      </c>
      <c r="AB17" s="32" t="str">
        <f ca="1"/>
        <v/>
      </c>
      <c r="AC17" s="32" t="str">
        <f ca="1"/>
        <v/>
      </c>
      <c r="AD17" s="32" t="str">
        <f ca="1"/>
        <v/>
      </c>
    </row>
    <row r="18" spans="1:30" x14ac:dyDescent="0.45">
      <c r="C18" s="4" t="s">
        <v>4</v>
      </c>
      <c r="D18" s="5"/>
      <c r="E18" s="4"/>
      <c r="F18" s="4"/>
      <c r="G18" s="4"/>
      <c r="H18" s="7">
        <f t="shared" ref="H18:O18" ca="1" si="7">(H17-D17)*100</f>
        <v>651.25999999999988</v>
      </c>
      <c r="I18" s="7">
        <f t="shared" ca="1" si="7"/>
        <v>-811.93000000000029</v>
      </c>
      <c r="J18" s="7">
        <f t="shared" ca="1" si="7"/>
        <v>1512.6100000000008</v>
      </c>
      <c r="K18" s="7">
        <f t="shared" ca="1" si="7"/>
        <v>482.24000000000018</v>
      </c>
      <c r="L18" s="7">
        <f t="shared" ca="1" si="7"/>
        <v>1073.2800000000004</v>
      </c>
      <c r="M18" s="7">
        <f t="shared" ca="1" si="7"/>
        <v>1415.6099999999994</v>
      </c>
      <c r="N18" s="7">
        <f t="shared" ca="1" si="7"/>
        <v>1657.1699999999992</v>
      </c>
      <c r="O18" s="7">
        <f t="shared" ca="1" si="7"/>
        <v>1259.8500000000001</v>
      </c>
      <c r="P18" s="7"/>
      <c r="Q18" s="7"/>
      <c r="R18" s="7"/>
      <c r="S18" s="7"/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ADPT US EQUITY</v>
      </c>
      <c r="V18" s="24">
        <f ca="1"/>
        <v>45747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-56.4499</v>
      </c>
      <c r="AA18" s="32" t="str">
        <f ca="1"/>
        <v>6000.22</v>
      </c>
      <c r="AB18" s="32" t="str">
        <f ca="1"/>
        <v/>
      </c>
      <c r="AC18" s="32" t="str">
        <f ca="1"/>
        <v/>
      </c>
      <c r="AD18" s="32" t="str">
        <f ca="1"/>
        <v>1484.74</v>
      </c>
    </row>
    <row r="19" spans="1:30" x14ac:dyDescent="0.4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t="str">
        <f ca="1"/>
        <v>ADPT US EQUITY</v>
      </c>
      <c r="V19" s="24">
        <f ca="1"/>
        <v>45838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-42.5211</v>
      </c>
      <c r="AA19" s="32" t="str">
        <f ca="1"/>
        <v>6703.67</v>
      </c>
      <c r="AB19" s="32" t="str">
        <f ca="1"/>
        <v/>
      </c>
      <c r="AC19" s="32" t="str">
        <f ca="1"/>
        <v/>
      </c>
      <c r="AD19" s="32" t="str">
        <f ca="1"/>
        <v>1392.88</v>
      </c>
    </row>
    <row r="20" spans="1:30" x14ac:dyDescent="0.4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ADPT US EQUITY</v>
      </c>
      <c r="V20" s="24">
        <f ca="1"/>
        <v>45930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10.95</v>
      </c>
      <c r="AA20" s="32" t="str">
        <f ca="1"/>
        <v>8122.46</v>
      </c>
      <c r="AB20" s="32" t="str">
        <f ca="1"/>
        <v/>
      </c>
      <c r="AC20" s="32" t="str">
        <f ca="1"/>
        <v/>
      </c>
      <c r="AD20" s="32" t="str">
        <f ca="1"/>
        <v>5347.11</v>
      </c>
    </row>
    <row r="21" spans="1:30" x14ac:dyDescent="0.45">
      <c r="C21" s="4" t="s">
        <v>5</v>
      </c>
      <c r="D21" s="1"/>
      <c r="K21" s="7"/>
      <c r="L21" s="7">
        <f ca="1">(L17-K17)*100</f>
        <v>564.6200000000008</v>
      </c>
      <c r="M21" s="7">
        <f t="shared" ref="M21:O21" ca="1" si="8">(M17-L17)*100</f>
        <v>180.65999999999889</v>
      </c>
      <c r="N21" s="7">
        <f t="shared" ca="1" si="8"/>
        <v>1124.8000000000004</v>
      </c>
      <c r="O21" s="7">
        <f t="shared" ca="1" si="8"/>
        <v>-610.23</v>
      </c>
      <c r="P21" s="7"/>
      <c r="Q21" s="7"/>
      <c r="R21" s="7"/>
      <c r="S21" s="7"/>
      <c r="U21" s="24" t="str">
        <f ca="1"/>
        <v>ADPT US EQUITY</v>
      </c>
      <c r="V21" s="24">
        <f ca="1"/>
        <v>46022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>-17.8192</v>
      </c>
      <c r="AA21" s="32" t="str">
        <f ca="1"/>
        <v>5347.81</v>
      </c>
      <c r="AB21" s="32" t="str">
        <f ca="1"/>
        <v/>
      </c>
      <c r="AC21" s="32" t="str">
        <f ca="1"/>
        <v/>
      </c>
      <c r="AD21" s="32" t="str">
        <f ca="1"/>
        <v>-2876.92</v>
      </c>
    </row>
    <row r="22" spans="1:30" x14ac:dyDescent="0.45">
      <c r="T22" s="1"/>
      <c r="U22" s="24" t="str">
        <f ca="1"/>
        <v>ADPT US EQUITY</v>
      </c>
      <c r="V22" s="24">
        <f ca="1"/>
        <v>0</v>
      </c>
      <c r="W22" s="24" t="str">
        <f ca="1"/>
        <v>canonical</v>
      </c>
      <c r="X22" s="24" t="str">
        <f ca="1"/>
        <v>operating_margin_gaap</v>
      </c>
      <c r="Y22" s="24" t="str">
        <f ca="1"/>
        <v/>
      </c>
      <c r="Z22" s="32" t="str">
        <f ca="1"/>
        <v/>
      </c>
      <c r="AA22" s="32" t="str">
        <f ca="1"/>
        <v/>
      </c>
      <c r="AB22" s="32" t="str">
        <f ca="1"/>
        <v/>
      </c>
      <c r="AC22" s="32" t="str">
        <f ca="1"/>
        <v/>
      </c>
      <c r="AD22" s="32" t="str">
        <f ca="1"/>
        <v/>
      </c>
    </row>
    <row r="23" spans="1:30" x14ac:dyDescent="0.45">
      <c r="C23" s="13" t="s">
        <v>12</v>
      </c>
      <c r="D23" s="14">
        <f ca="1">EOMONTH(DATE(YEAR(D25),ROUNDUP(MONTH(D25)/3,0)*3,1),0)</f>
        <v>45016</v>
      </c>
      <c r="E23" s="14">
        <f ca="1">EOMONTH(DATE(YEAR(E25),ROUNDUP(MONTH(E25)/3,0)*3,1),0)</f>
        <v>45107</v>
      </c>
      <c r="F23" s="14">
        <f ca="1">EOMONTH(DATE(YEAR(F25),ROUNDUP(MONTH(F25)/3,0)*3,1),0)</f>
        <v>45199</v>
      </c>
      <c r="G23" s="14">
        <f t="shared" ref="G23:K23" ca="1" si="9">EOMONTH(DATE(YEAR(G25),ROUNDUP(MONTH(G25)/3,0)*3,1),0)</f>
        <v>45291</v>
      </c>
      <c r="H23" s="14">
        <f t="shared" ca="1" si="9"/>
        <v>45382</v>
      </c>
      <c r="I23" s="14">
        <f t="shared" ca="1" si="9"/>
        <v>45473</v>
      </c>
      <c r="J23" s="14">
        <f t="shared" ca="1" si="9"/>
        <v>45565</v>
      </c>
      <c r="K23" s="14">
        <f t="shared" ca="1" si="9"/>
        <v>45657</v>
      </c>
      <c r="L23" s="14">
        <f ca="1">EOMONTH(DATE(YEAR(L25),ROUNDUP(MONTH(L25)/3,0)*3,1),0)</f>
        <v>45747</v>
      </c>
      <c r="M23" s="14">
        <f ca="1">EOMONTH(DATE(YEAR(M25),ROUNDUP(MONTH(M25)/3,0)*3,1),0)</f>
        <v>45838</v>
      </c>
      <c r="N23" s="14">
        <f ca="1">EOMONTH(DATE(YEAR(N25),ROUNDUP(MONTH(N25)/3,0)*3,1),0)</f>
        <v>45930</v>
      </c>
      <c r="O23" s="14">
        <f ca="1">EOMONTH(DATE(YEAR(O25),ROUNDUP(MONTH(O25)/3,0)*3,1),0)</f>
        <v>46022</v>
      </c>
      <c r="P23" s="14"/>
      <c r="Q23" s="14"/>
      <c r="R23" s="14"/>
      <c r="S23" s="14"/>
      <c r="U23" s="24" t="str">
        <f ca="1"/>
        <v>ADPT US EQUITY</v>
      </c>
      <c r="V23" s="24">
        <f ca="1"/>
        <v>0</v>
      </c>
      <c r="W23" s="24" t="str">
        <f ca="1"/>
        <v>canonical</v>
      </c>
      <c r="X23" s="24" t="str">
        <f ca="1"/>
        <v>operating_margin_gaap</v>
      </c>
      <c r="Y23" s="24" t="str">
        <f ca="1"/>
        <v/>
      </c>
      <c r="Z23" s="32" t="str">
        <f ca="1"/>
        <v/>
      </c>
      <c r="AA23" s="32" t="str">
        <f ca="1"/>
        <v/>
      </c>
      <c r="AB23" s="32" t="str">
        <f ca="1"/>
        <v/>
      </c>
      <c r="AC23" s="32" t="str">
        <f ca="1"/>
        <v/>
      </c>
      <c r="AD23" s="32" t="str">
        <f ca="1"/>
        <v/>
      </c>
    </row>
    <row r="24" spans="1:30" x14ac:dyDescent="0.4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14"/>
      <c r="Q24" s="14"/>
      <c r="R24" s="14"/>
      <c r="S24" s="14"/>
      <c r="U24" s="24" t="str">
        <f ca="1"/>
        <v>ADPT US EQUITY</v>
      </c>
      <c r="V24" s="24">
        <f ca="1"/>
        <v>0</v>
      </c>
      <c r="W24" s="24" t="str">
        <f ca="1"/>
        <v>canonical</v>
      </c>
      <c r="X24" s="24" t="str">
        <f ca="1"/>
        <v>operating_margin_gaap</v>
      </c>
      <c r="Y24" s="24" t="str">
        <f ca="1"/>
        <v/>
      </c>
      <c r="Z24" s="32" t="str">
        <f ca="1"/>
        <v/>
      </c>
      <c r="AA24" s="32" t="str">
        <f ca="1"/>
        <v/>
      </c>
      <c r="AB24" s="32" t="str">
        <f ca="1"/>
        <v/>
      </c>
      <c r="AC24" s="32" t="str">
        <f ca="1"/>
        <v/>
      </c>
      <c r="AD24" s="32" t="str">
        <f ca="1"/>
        <v/>
      </c>
    </row>
    <row r="25" spans="1:30" x14ac:dyDescent="0.45">
      <c r="D25" s="1" cm="1">
        <f t="array" aca="1" ref="D25:O26" ca="1">+_xll.BDH($B$2,C26,$B$3,$B$4,"DIR=H")</f>
        <v>45016</v>
      </c>
      <c r="E25" s="1">
        <f ca="1"/>
        <v>45107</v>
      </c>
      <c r="F25" s="1">
        <f ca="1"/>
        <v>45199</v>
      </c>
      <c r="G25" s="1">
        <f ca="1"/>
        <v>45291</v>
      </c>
      <c r="H25" s="1">
        <f ca="1"/>
        <v>45382</v>
      </c>
      <c r="I25" s="1">
        <f ca="1"/>
        <v>45473</v>
      </c>
      <c r="J25" s="1">
        <f ca="1"/>
        <v>45565</v>
      </c>
      <c r="K25" s="1">
        <f ca="1"/>
        <v>45657</v>
      </c>
      <c r="L25" s="1">
        <f ca="1"/>
        <v>45747</v>
      </c>
      <c r="M25" s="1">
        <f ca="1"/>
        <v>45838</v>
      </c>
      <c r="N25" s="1">
        <f ca="1"/>
        <v>45930</v>
      </c>
      <c r="O25" s="1">
        <f ca="1"/>
        <v>46022</v>
      </c>
      <c r="P25" s="2"/>
      <c r="Q25" s="2"/>
      <c r="R25" s="2"/>
      <c r="S25" s="2"/>
      <c r="U25" s="24" t="str">
        <f ca="1"/>
        <v>ADPT US EQUITY</v>
      </c>
      <c r="V25" s="24">
        <f ca="1"/>
        <v>0</v>
      </c>
      <c r="W25" s="24" t="str">
        <f ca="1"/>
        <v>canonical</v>
      </c>
      <c r="X25" s="24" t="str">
        <f ca="1"/>
        <v>operating_margin_gaap</v>
      </c>
      <c r="Y25" s="24" t="str">
        <f ca="1"/>
        <v/>
      </c>
      <c r="Z25" s="32" t="str">
        <f ca="1"/>
        <v/>
      </c>
      <c r="AA25" s="32" t="str">
        <f ca="1"/>
        <v/>
      </c>
      <c r="AB25" s="32" t="str">
        <f ca="1"/>
        <v/>
      </c>
      <c r="AC25" s="32" t="str">
        <f ca="1"/>
        <v/>
      </c>
      <c r="AD25" s="32" t="str">
        <f ca="1"/>
        <v/>
      </c>
    </row>
    <row r="26" spans="1:30" x14ac:dyDescent="0.45">
      <c r="A26" s="16" t="s">
        <v>9</v>
      </c>
      <c r="B26" s="16" t="s">
        <v>15</v>
      </c>
      <c r="C26" s="9" t="s">
        <v>7</v>
      </c>
      <c r="D26" s="3">
        <f ca="1"/>
        <v>-151.91909999999999</v>
      </c>
      <c r="E26" s="3">
        <f ca="1"/>
        <v>-97.735399999999998</v>
      </c>
      <c r="F26" s="3">
        <f ca="1"/>
        <v>-134.38120000000001</v>
      </c>
      <c r="G26" s="3">
        <f ca="1"/>
        <v>-155.22450000000001</v>
      </c>
      <c r="H26" s="3">
        <f ca="1"/>
        <v>-116.4521</v>
      </c>
      <c r="I26" s="3">
        <f ca="1"/>
        <v>-109.5578</v>
      </c>
      <c r="J26" s="3">
        <f ca="1"/>
        <v>-70.274600000000007</v>
      </c>
      <c r="K26" s="3">
        <f ca="1"/>
        <v>-71.297300000000007</v>
      </c>
      <c r="L26" s="3">
        <f ca="1"/>
        <v>-56.4499</v>
      </c>
      <c r="M26" s="3">
        <f ca="1"/>
        <v>-42.521099999999997</v>
      </c>
      <c r="N26" s="3">
        <f ca="1"/>
        <v>10.95</v>
      </c>
      <c r="O26" s="3">
        <f ca="1"/>
        <v>-17.819199999999999</v>
      </c>
      <c r="P26" s="29"/>
      <c r="Q26" s="29"/>
      <c r="R26" s="29"/>
      <c r="S26" s="29"/>
      <c r="U26" s="24" t="str" cm="1">
        <f t="array" ref="U26:AD33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ADPT US EQUITY</v>
      </c>
      <c r="V26" s="24">
        <v>45747</v>
      </c>
      <c r="W26" s="24" t="str">
        <v>custom</v>
      </c>
      <c r="X26" s="24" t="str">
        <v>mrd_sales</v>
      </c>
      <c r="Y26" s="24" t="str">
        <v>actual</v>
      </c>
      <c r="Z26" s="32" t="str">
        <v>43.7</v>
      </c>
      <c r="AA26" s="32" t="str">
        <v>0.340490797546012</v>
      </c>
      <c r="AB26" s="32" t="str">
        <v>385.427455979603</v>
      </c>
      <c r="AC26" s="32" t="str">
        <v>-1828.73688435296</v>
      </c>
      <c r="AD26" s="32" t="str">
        <v>0.0897755610972568</v>
      </c>
    </row>
    <row r="27" spans="1:30" x14ac:dyDescent="0.45">
      <c r="C27" s="4" t="s">
        <v>4</v>
      </c>
      <c r="D27" s="5"/>
      <c r="E27" s="4"/>
      <c r="F27" s="4"/>
      <c r="G27" s="4"/>
      <c r="H27" s="7">
        <f t="shared" ref="H27:O27" ca="1" si="10">(H26-D26)*100</f>
        <v>3546.6999999999985</v>
      </c>
      <c r="I27" s="7">
        <f t="shared" ca="1" si="10"/>
        <v>-1182.2400000000002</v>
      </c>
      <c r="J27" s="7">
        <f t="shared" ca="1" si="10"/>
        <v>6410.66</v>
      </c>
      <c r="K27" s="7">
        <f t="shared" ca="1" si="10"/>
        <v>8392.7199999999993</v>
      </c>
      <c r="L27" s="7">
        <f t="shared" ca="1" si="10"/>
        <v>6000.22</v>
      </c>
      <c r="M27" s="7">
        <f t="shared" ca="1" si="10"/>
        <v>6703.67</v>
      </c>
      <c r="N27" s="7">
        <f t="shared" ca="1" si="10"/>
        <v>8122.4600000000009</v>
      </c>
      <c r="O27" s="7">
        <f t="shared" ca="1" si="10"/>
        <v>5347.8100000000013</v>
      </c>
      <c r="P27" s="7"/>
      <c r="Q27" s="7"/>
      <c r="R27" s="7"/>
      <c r="S27" s="7"/>
      <c r="U27" t="str">
        <v>ADPT US EQUITY</v>
      </c>
      <c r="V27" s="24">
        <v>45838</v>
      </c>
      <c r="W27" s="24" t="str">
        <v>custom</v>
      </c>
      <c r="X27" s="24" t="str">
        <v>mrd_sales</v>
      </c>
      <c r="Y27" s="24" t="str">
        <v>actual</v>
      </c>
      <c r="Z27" s="32" t="str">
        <v>49.9</v>
      </c>
      <c r="AA27" s="32" t="str">
        <v>0.405633802816901</v>
      </c>
      <c r="AB27" s="32" t="str">
        <v>651.43005270889</v>
      </c>
      <c r="AC27" s="32" t="str">
        <v>349.774321605305</v>
      </c>
      <c r="AD27" s="32" t="str">
        <v>0.14187643020595</v>
      </c>
    </row>
    <row r="28" spans="1:30" x14ac:dyDescent="0.4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v>ADPT US EQUITY</v>
      </c>
      <c r="V28" s="24">
        <v>45930</v>
      </c>
      <c r="W28" s="24" t="str">
        <v>custom</v>
      </c>
      <c r="X28" s="24" t="str">
        <v>mrd_sales</v>
      </c>
      <c r="Y28" s="24" t="str">
        <v>actual</v>
      </c>
      <c r="Z28" s="32" t="str">
        <v>56.8</v>
      </c>
      <c r="AA28" s="32" t="str">
        <v>0.514666666666667</v>
      </c>
      <c r="AB28" s="32" t="str">
        <v>1090.32863849765</v>
      </c>
      <c r="AC28" s="32" t="str">
        <v>-35.5195681511478</v>
      </c>
      <c r="AD28" s="32" t="str">
        <v>0.138276553106212</v>
      </c>
    </row>
    <row r="29" spans="1:30" x14ac:dyDescent="0.4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v>ADPT US EQUITY</v>
      </c>
      <c r="V29" s="24">
        <v>46022</v>
      </c>
      <c r="W29" s="24" t="str">
        <v>custom</v>
      </c>
      <c r="X29" s="24" t="str">
        <v>mrd_sales</v>
      </c>
      <c r="Y29" s="24" t="str">
        <v>actual</v>
      </c>
      <c r="Z29" s="32" t="str">
        <v>61.9</v>
      </c>
      <c r="AA29" s="32" t="str">
        <v>0.543640897755611</v>
      </c>
      <c r="AB29" s="32" t="str">
        <v>289.742310889443</v>
      </c>
      <c r="AC29" s="32" t="str">
        <v>2416.92845807559</v>
      </c>
      <c r="AD29" s="32" t="str">
        <v>0.0897887323943662</v>
      </c>
    </row>
    <row r="30" spans="1:30" x14ac:dyDescent="0.45">
      <c r="C30" s="4" t="s">
        <v>5</v>
      </c>
      <c r="D30" s="1"/>
      <c r="K30" s="7"/>
      <c r="L30" s="7">
        <f ca="1">(L26-K26)*100</f>
        <v>1484.7400000000007</v>
      </c>
      <c r="M30" s="7">
        <f t="shared" ref="M30:O30" ca="1" si="11">(M26-L26)*100</f>
        <v>1392.8800000000003</v>
      </c>
      <c r="N30" s="7">
        <f t="shared" ca="1" si="11"/>
        <v>5347.11</v>
      </c>
      <c r="O30" s="7">
        <f t="shared" ca="1" si="11"/>
        <v>-2876.9199999999996</v>
      </c>
      <c r="P30" s="7"/>
      <c r="Q30" s="7"/>
      <c r="R30" s="7"/>
      <c r="S30" s="7"/>
      <c r="U30" s="24" t="str">
        <v>ADPT US EQUITY</v>
      </c>
      <c r="V30" s="24">
        <v>46112</v>
      </c>
      <c r="W30" s="24" t="str">
        <v>custom</v>
      </c>
      <c r="X30" s="24" t="str">
        <v>mrd_sales</v>
      </c>
      <c r="Y30" s="24" t="str">
        <v>forecast</v>
      </c>
      <c r="Z30" s="32" t="str">
        <v>55.1</v>
      </c>
      <c r="AA30" s="32" t="str">
        <v>0.260869565217391</v>
      </c>
      <c r="AB30" s="32" t="str">
        <v>-2827.7133253822</v>
      </c>
      <c r="AC30" s="32" t="str">
        <v>-796.21232328621</v>
      </c>
      <c r="AD30" s="32" t="str">
        <v>-0.109854604200323</v>
      </c>
    </row>
    <row r="31" spans="1:30" x14ac:dyDescent="0.4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v>ADPT US EQUITY</v>
      </c>
      <c r="V31" s="24">
        <v>46203</v>
      </c>
      <c r="W31" s="24" t="str">
        <v>custom</v>
      </c>
      <c r="X31" s="24" t="str">
        <v>mrd_sales</v>
      </c>
      <c r="Y31" s="24" t="str">
        <v>forecast</v>
      </c>
      <c r="Z31" s="32" t="str">
        <v>60.5</v>
      </c>
      <c r="AA31" s="32" t="str">
        <v>0.212424849699399</v>
      </c>
      <c r="AB31" s="32" t="str">
        <v>-484.447155179926</v>
      </c>
      <c r="AC31" s="32" t="str">
        <v>-1932.08953117503</v>
      </c>
      <c r="AD31" s="32" t="str">
        <v>0.0980036297640654</v>
      </c>
    </row>
    <row r="32" spans="1:30" x14ac:dyDescent="0.45">
      <c r="C32" s="13" t="s">
        <v>12</v>
      </c>
      <c r="D32" s="14">
        <f t="shared" ref="D32:L32" si="12">EOMONTH(DATE(YEAR(D34),ROUNDUP(MONTH(D34)/3,0)*3,1),0)</f>
        <v>45016</v>
      </c>
      <c r="E32" s="14">
        <f t="shared" si="12"/>
        <v>45107</v>
      </c>
      <c r="F32" s="14">
        <f t="shared" si="12"/>
        <v>45199</v>
      </c>
      <c r="G32" s="14">
        <f t="shared" si="12"/>
        <v>45291</v>
      </c>
      <c r="H32" s="14">
        <f t="shared" si="12"/>
        <v>45382</v>
      </c>
      <c r="I32" s="14">
        <f t="shared" si="12"/>
        <v>45473</v>
      </c>
      <c r="J32" s="14">
        <f t="shared" si="12"/>
        <v>45565</v>
      </c>
      <c r="K32" s="14">
        <f t="shared" si="12"/>
        <v>45657</v>
      </c>
      <c r="L32" s="14">
        <f t="shared" si="12"/>
        <v>45747</v>
      </c>
      <c r="M32" s="14">
        <f>EOMONTH(DATE(YEAR(M34),ROUNDUP(MONTH(M34)/3,0)*3,1),0)</f>
        <v>45838</v>
      </c>
      <c r="N32" s="14">
        <f>EOMONTH(DATE(YEAR(N34),ROUNDUP(MONTH(N34)/3,0)*3,1),0)</f>
        <v>45930</v>
      </c>
      <c r="O32" s="14">
        <f>EOMONTH(DATE(YEAR(O34),ROUNDUP(MONTH(O34)/3,0)*3,1),0)</f>
        <v>46022</v>
      </c>
      <c r="P32" s="14">
        <f t="shared" ref="P32:S32" si="13">EOMONTH(DATE(YEAR(P34),ROUNDUP(MONTH(P34)/3,0)*3,1),0)</f>
        <v>46112</v>
      </c>
      <c r="Q32" s="14">
        <f t="shared" si="13"/>
        <v>46203</v>
      </c>
      <c r="R32" s="14">
        <f t="shared" si="13"/>
        <v>46295</v>
      </c>
      <c r="S32" s="14">
        <f t="shared" si="13"/>
        <v>46387</v>
      </c>
      <c r="U32" s="24" t="str">
        <v>ADPT US EQUITY</v>
      </c>
      <c r="V32" s="24">
        <v>46295</v>
      </c>
      <c r="W32" s="24" t="str">
        <v>custom</v>
      </c>
      <c r="X32" s="24" t="str">
        <v>mrd_sales</v>
      </c>
      <c r="Y32" s="24" t="str">
        <v>forecast</v>
      </c>
      <c r="Z32" s="32" t="str">
        <v>67.6</v>
      </c>
      <c r="AA32" s="32" t="str">
        <v>0.190140845070423</v>
      </c>
      <c r="AB32" s="32" t="str">
        <v>-222.840046289763</v>
      </c>
      <c r="AC32" s="32" t="str">
        <v>-3245.25821596244</v>
      </c>
      <c r="AD32" s="32" t="str">
        <v>0.117355371900826</v>
      </c>
    </row>
    <row r="33" spans="1:30" x14ac:dyDescent="0.45">
      <c r="C33" s="13" t="s">
        <v>35</v>
      </c>
      <c r="D33" s="2" t="s">
        <v>36</v>
      </c>
      <c r="E33" s="2" t="s">
        <v>36</v>
      </c>
      <c r="F33" s="2" t="s">
        <v>36</v>
      </c>
      <c r="G33" s="2" t="s">
        <v>36</v>
      </c>
      <c r="H33" s="2" t="s">
        <v>36</v>
      </c>
      <c r="I33" s="2" t="s">
        <v>36</v>
      </c>
      <c r="J33" s="2" t="s">
        <v>36</v>
      </c>
      <c r="K33" s="2" t="s">
        <v>36</v>
      </c>
      <c r="L33" s="2" t="s">
        <v>36</v>
      </c>
      <c r="M33" s="2" t="s">
        <v>36</v>
      </c>
      <c r="N33" s="2" t="s">
        <v>36</v>
      </c>
      <c r="O33" s="2" t="s">
        <v>36</v>
      </c>
      <c r="P33" s="2" t="s">
        <v>37</v>
      </c>
      <c r="Q33" s="2" t="s">
        <v>37</v>
      </c>
      <c r="R33" s="2" t="s">
        <v>37</v>
      </c>
      <c r="S33" s="2" t="s">
        <v>37</v>
      </c>
      <c r="U33" s="24" t="str">
        <v>ADPT US EQUITY</v>
      </c>
      <c r="V33" s="24">
        <v>46387</v>
      </c>
      <c r="W33" s="24" t="str">
        <v>custom</v>
      </c>
      <c r="X33" s="24" t="str">
        <v>mrd_sales</v>
      </c>
      <c r="Y33" s="24" t="str">
        <v>forecast</v>
      </c>
      <c r="Z33" s="32" t="str">
        <v>77.2</v>
      </c>
      <c r="AA33" s="32" t="str">
        <v>0.247172859450727</v>
      </c>
      <c r="AB33" s="32" t="str">
        <v>570.320143803045</v>
      </c>
      <c r="AC33" s="32" t="str">
        <v>-2964.68038304884</v>
      </c>
      <c r="AD33" s="32" t="str">
        <v>0.142011834319527</v>
      </c>
    </row>
    <row r="34" spans="1:30" x14ac:dyDescent="0.45">
      <c r="D34" s="2">
        <v>45016</v>
      </c>
      <c r="E34" s="2">
        <v>45107</v>
      </c>
      <c r="F34" s="2">
        <v>45199</v>
      </c>
      <c r="G34" s="2">
        <v>45291</v>
      </c>
      <c r="H34" s="2">
        <v>45382</v>
      </c>
      <c r="I34" s="2">
        <v>45473</v>
      </c>
      <c r="J34" s="2">
        <v>45565</v>
      </c>
      <c r="K34" s="2">
        <v>45657</v>
      </c>
      <c r="L34" s="2">
        <v>45747</v>
      </c>
      <c r="M34" s="2">
        <v>45838</v>
      </c>
      <c r="N34" s="2">
        <v>45930</v>
      </c>
      <c r="O34" s="2">
        <v>46022</v>
      </c>
      <c r="P34" s="2">
        <v>46112</v>
      </c>
      <c r="Q34" s="2">
        <v>46203</v>
      </c>
      <c r="R34" s="2">
        <v>46295</v>
      </c>
      <c r="S34" s="2">
        <v>46387</v>
      </c>
      <c r="U34" s="24" t="str" cm="1">
        <f t="array" ref="U34:AD4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ADPT US EQUITY</v>
      </c>
      <c r="V34" s="24">
        <v>45747</v>
      </c>
      <c r="W34" s="24" t="str">
        <v>custom</v>
      </c>
      <c r="X34" s="24" t="str">
        <v>clonoSEQ test volumes</v>
      </c>
      <c r="Y34" s="24" t="str">
        <v>actual</v>
      </c>
      <c r="Z34" s="32" t="str">
        <v>23117</v>
      </c>
      <c r="AA34" s="32" t="str">
        <v>0.356631455399061</v>
      </c>
      <c r="AB34" s="32" t="str">
        <v>208.533941745712</v>
      </c>
      <c r="AC34" s="32" t="str">
        <v>-540.813519525409</v>
      </c>
      <c r="AD34" s="32" t="str">
        <v>0.103700167104321</v>
      </c>
    </row>
    <row r="35" spans="1:30" x14ac:dyDescent="0.45">
      <c r="A35" s="16" t="s">
        <v>21</v>
      </c>
      <c r="B35" s="16" t="s">
        <v>27</v>
      </c>
      <c r="C35" s="2" t="s">
        <v>28</v>
      </c>
      <c r="D35" s="10">
        <v>21.4</v>
      </c>
      <c r="E35" s="10">
        <v>25.9</v>
      </c>
      <c r="F35" s="10">
        <v>24.7</v>
      </c>
      <c r="G35" s="26">
        <v>30.8</v>
      </c>
      <c r="H35" s="26">
        <v>32.6</v>
      </c>
      <c r="I35" s="26">
        <v>35.5</v>
      </c>
      <c r="J35" s="26">
        <v>37.5</v>
      </c>
      <c r="K35" s="26">
        <v>40.1</v>
      </c>
      <c r="L35" s="26">
        <v>43.7</v>
      </c>
      <c r="M35" s="26">
        <v>49.9</v>
      </c>
      <c r="N35" s="26">
        <v>56.8</v>
      </c>
      <c r="O35" s="26">
        <v>61.9</v>
      </c>
      <c r="P35" s="26">
        <v>55.1</v>
      </c>
      <c r="Q35" s="26">
        <v>60.5</v>
      </c>
      <c r="R35" s="26">
        <v>67.599999999999994</v>
      </c>
      <c r="S35" s="26">
        <v>77.2</v>
      </c>
      <c r="U35" t="str">
        <v>ADPT US EQUITY</v>
      </c>
      <c r="V35" s="24">
        <v>45838</v>
      </c>
      <c r="W35" s="24" t="str">
        <v>custom</v>
      </c>
      <c r="X35" s="24" t="str">
        <v>clonoSEQ test volumes</v>
      </c>
      <c r="Y35" s="24" t="str">
        <v>actual</v>
      </c>
      <c r="Z35" s="32" t="str">
        <v>25321</v>
      </c>
      <c r="AA35" s="32" t="str">
        <v>0.367224622030238</v>
      </c>
      <c r="AB35" s="32" t="str">
        <v>105.931666311765</v>
      </c>
      <c r="AC35" s="32" t="str">
        <v>119.373918802193</v>
      </c>
      <c r="AD35" s="32" t="str">
        <v>0.095341090972012</v>
      </c>
    </row>
    <row r="36" spans="1:30" x14ac:dyDescent="0.45">
      <c r="C36" s="4" t="s">
        <v>4</v>
      </c>
      <c r="D36" s="5"/>
      <c r="E36" s="4"/>
      <c r="F36" s="4"/>
      <c r="G36" s="4"/>
      <c r="H36" s="12">
        <f t="shared" ref="H36:O36" si="14">+H35/D35-1</f>
        <v>0.52336448598130847</v>
      </c>
      <c r="I36" s="12">
        <f t="shared" si="14"/>
        <v>0.3706563706563708</v>
      </c>
      <c r="J36" s="12">
        <f t="shared" si="14"/>
        <v>0.51821862348178138</v>
      </c>
      <c r="K36" s="12">
        <f t="shared" si="14"/>
        <v>0.30194805194805197</v>
      </c>
      <c r="L36" s="12">
        <f t="shared" si="14"/>
        <v>0.3404907975460123</v>
      </c>
      <c r="M36" s="12">
        <f t="shared" si="14"/>
        <v>0.40563380281690131</v>
      </c>
      <c r="N36" s="12">
        <f t="shared" si="14"/>
        <v>0.51466666666666661</v>
      </c>
      <c r="O36" s="12">
        <f t="shared" si="14"/>
        <v>0.54364089775561086</v>
      </c>
      <c r="P36" s="12">
        <f t="shared" ref="P36" si="15">+P35/L35-1</f>
        <v>0.26086956521739135</v>
      </c>
      <c r="Q36" s="12">
        <f t="shared" ref="Q36" si="16">+Q35/M35-1</f>
        <v>0.21242484969939879</v>
      </c>
      <c r="R36" s="12">
        <f t="shared" ref="R36" si="17">+R35/N35-1</f>
        <v>0.1901408450704225</v>
      </c>
      <c r="S36" s="12">
        <f t="shared" ref="S36" si="18">+S35/O35-1</f>
        <v>0.24717285945072698</v>
      </c>
      <c r="U36" t="str">
        <v>ADPT US EQUITY</v>
      </c>
      <c r="V36" s="24">
        <v>45930</v>
      </c>
      <c r="W36" s="24" t="str">
        <v>custom</v>
      </c>
      <c r="X36" s="24" t="str">
        <v>clonoSEQ test volumes</v>
      </c>
      <c r="Y36" s="24" t="str">
        <v>actual</v>
      </c>
      <c r="Z36" s="32" t="str">
        <v>27111</v>
      </c>
      <c r="AA36" s="32" t="str">
        <v>0.383214285714286</v>
      </c>
      <c r="AB36" s="32" t="str">
        <v>159.896636840482</v>
      </c>
      <c r="AC36" s="32" t="str">
        <v>827.896572641795</v>
      </c>
      <c r="AD36" s="32" t="str">
        <v>0.070692310730224</v>
      </c>
    </row>
    <row r="37" spans="1:30" x14ac:dyDescent="0.45">
      <c r="C37" s="4" t="s">
        <v>19</v>
      </c>
      <c r="D37" s="1"/>
      <c r="L37" s="7">
        <f>(L36-K36)*10000</f>
        <v>385.42745597960339</v>
      </c>
      <c r="M37" s="7">
        <f>(M36-L36)*10000</f>
        <v>651.43005270889012</v>
      </c>
      <c r="N37" s="7">
        <f>(N36-M36)*10000</f>
        <v>1090.3286384976529</v>
      </c>
      <c r="O37" s="7">
        <f>(O36-N36)*10000</f>
        <v>289.74231088944259</v>
      </c>
      <c r="P37" s="7">
        <f t="shared" ref="P37:S37" si="19">(P36-O36)*10000</f>
        <v>-2827.7133253821953</v>
      </c>
      <c r="Q37" s="7">
        <f t="shared" si="19"/>
        <v>-484.44715517992563</v>
      </c>
      <c r="R37" s="7">
        <f t="shared" si="19"/>
        <v>-222.84004628976282</v>
      </c>
      <c r="S37" s="7">
        <f t="shared" si="19"/>
        <v>570.32014380304474</v>
      </c>
      <c r="U37" t="str">
        <v>ADPT US EQUITY</v>
      </c>
      <c r="V37" s="24">
        <v>46022</v>
      </c>
      <c r="W37" s="24" t="str">
        <v>custom</v>
      </c>
      <c r="X37" s="24" t="str">
        <v>clonoSEQ test volumes</v>
      </c>
      <c r="Y37" s="24" t="str">
        <v>actual</v>
      </c>
      <c r="Z37" s="32" t="str">
        <v>30038</v>
      </c>
      <c r="AA37" s="32" t="str">
        <v>0.434137025543089</v>
      </c>
      <c r="AB37" s="32" t="str">
        <v>509.227398288032</v>
      </c>
      <c r="AC37" s="32" t="str">
        <v>983.589643185991</v>
      </c>
      <c r="AD37" s="32" t="str">
        <v>0.107963557227694</v>
      </c>
    </row>
    <row r="38" spans="1:30" x14ac:dyDescent="0.4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-1828.7368843529616</v>
      </c>
      <c r="M38" s="7">
        <f>(M36-I36)*10000</f>
        <v>349.77432160530509</v>
      </c>
      <c r="N38" s="7">
        <f>(N36-J36)*10000</f>
        <v>-35.519568151147766</v>
      </c>
      <c r="O38" s="7">
        <f>(O36-K36)*10000</f>
        <v>2416.9284580755889</v>
      </c>
      <c r="P38" s="7">
        <f t="shared" ref="P38:S38" si="20">(P36-L36)*10000</f>
        <v>-796.21232328620954</v>
      </c>
      <c r="Q38" s="7">
        <f t="shared" si="20"/>
        <v>-1932.0895311750253</v>
      </c>
      <c r="R38" s="7">
        <f t="shared" si="20"/>
        <v>-3245.2582159624412</v>
      </c>
      <c r="S38" s="7">
        <f t="shared" si="20"/>
        <v>-2964.6803830488388</v>
      </c>
      <c r="U38" t="str">
        <v>ADPT US EQUITY</v>
      </c>
      <c r="V38" s="24">
        <v>0</v>
      </c>
      <c r="W38" s="24" t="str">
        <v>custom</v>
      </c>
      <c r="X38" s="24" t="str">
        <v>clonoSEQ test volumes</v>
      </c>
      <c r="Y38" s="24" t="str">
        <v/>
      </c>
      <c r="Z38" s="32" t="str">
        <v/>
      </c>
      <c r="AA38" s="32" t="str">
        <v/>
      </c>
      <c r="AB38" s="32" t="str">
        <v/>
      </c>
      <c r="AC38" s="32" t="str">
        <v/>
      </c>
      <c r="AD38" s="32" t="str">
        <v/>
      </c>
    </row>
    <row r="39" spans="1:30" x14ac:dyDescent="0.45">
      <c r="C39" s="4" t="s">
        <v>5</v>
      </c>
      <c r="D39" s="1"/>
      <c r="G39" s="7"/>
      <c r="L39" s="12">
        <f t="shared" ref="L39:O39" si="21">L35/K35-1</f>
        <v>8.9775561097256817E-2</v>
      </c>
      <c r="M39" s="12">
        <f t="shared" si="21"/>
        <v>0.14187643020594964</v>
      </c>
      <c r="N39" s="12">
        <f t="shared" si="21"/>
        <v>0.13827655310621245</v>
      </c>
      <c r="O39" s="12">
        <f t="shared" si="21"/>
        <v>8.9788732394366244E-2</v>
      </c>
      <c r="P39" s="12">
        <f t="shared" ref="P39" si="22">P35/O35-1</f>
        <v>-0.10985460420032311</v>
      </c>
      <c r="Q39" s="12">
        <f t="shared" ref="Q39" si="23">Q35/P35-1</f>
        <v>9.8003629764065403E-2</v>
      </c>
      <c r="R39" s="12">
        <f t="shared" ref="R39" si="24">R35/Q35-1</f>
        <v>0.11735537190082646</v>
      </c>
      <c r="S39" s="12">
        <f t="shared" ref="S39" si="25">S35/R35-1</f>
        <v>0.14201183431952669</v>
      </c>
      <c r="U39" t="str">
        <v>ADPT US EQUITY</v>
      </c>
      <c r="V39" s="24">
        <v>0</v>
      </c>
      <c r="W39" s="24" t="str">
        <v>custom</v>
      </c>
      <c r="X39" s="24" t="str">
        <v>clonoSEQ test volumes</v>
      </c>
      <c r="Y39" s="24" t="str">
        <v/>
      </c>
      <c r="Z39" s="32" t="str">
        <v/>
      </c>
      <c r="AA39" s="32" t="str">
        <v/>
      </c>
      <c r="AB39" s="32" t="str">
        <v/>
      </c>
      <c r="AC39" s="32" t="str">
        <v/>
      </c>
      <c r="AD39" s="32" t="str">
        <v/>
      </c>
    </row>
    <row r="40" spans="1:30" x14ac:dyDescent="0.4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t="str">
        <v>ADPT US EQUITY</v>
      </c>
      <c r="V40" s="24">
        <v>0</v>
      </c>
      <c r="W40" s="24" t="str">
        <v>custom</v>
      </c>
      <c r="X40" s="24" t="str">
        <v>clonoSEQ test volumes</v>
      </c>
      <c r="Y40" s="24" t="str">
        <v/>
      </c>
      <c r="Z40" s="32" t="str">
        <v/>
      </c>
      <c r="AA40" s="32" t="str">
        <v/>
      </c>
      <c r="AB40" s="32" t="str">
        <v/>
      </c>
      <c r="AC40" s="32" t="str">
        <v/>
      </c>
      <c r="AD40" s="32" t="str">
        <v/>
      </c>
    </row>
    <row r="41" spans="1:30" x14ac:dyDescent="0.45">
      <c r="C41" s="13" t="s">
        <v>12</v>
      </c>
      <c r="D41" s="14">
        <f t="shared" ref="D41:L41" si="26">EOMONTH(DATE(YEAR(D43),ROUNDUP(MONTH(D43)/3,0)*3,1),0)</f>
        <v>45016</v>
      </c>
      <c r="E41" s="14">
        <f t="shared" si="26"/>
        <v>45107</v>
      </c>
      <c r="F41" s="14">
        <f t="shared" si="26"/>
        <v>45199</v>
      </c>
      <c r="G41" s="14">
        <f t="shared" si="26"/>
        <v>45291</v>
      </c>
      <c r="H41" s="14">
        <f t="shared" si="26"/>
        <v>45382</v>
      </c>
      <c r="I41" s="14">
        <f t="shared" si="26"/>
        <v>45473</v>
      </c>
      <c r="J41" s="14">
        <f t="shared" si="26"/>
        <v>45565</v>
      </c>
      <c r="K41" s="14">
        <f t="shared" si="26"/>
        <v>45657</v>
      </c>
      <c r="L41" s="14">
        <f t="shared" si="26"/>
        <v>45747</v>
      </c>
      <c r="M41" s="14">
        <f>EOMONTH(DATE(YEAR(M43),ROUNDUP(MONTH(M43)/3,0)*3,1),0)</f>
        <v>45838</v>
      </c>
      <c r="N41" s="14">
        <f>EOMONTH(DATE(YEAR(N43),ROUNDUP(MONTH(N43)/3,0)*3,1),0)</f>
        <v>45930</v>
      </c>
      <c r="O41" s="14">
        <f>EOMONTH(DATE(YEAR(O43),ROUNDUP(MONTH(O43)/3,0)*3,1),0)</f>
        <v>46022</v>
      </c>
      <c r="P41" s="14"/>
      <c r="Q41" s="14"/>
      <c r="R41" s="14"/>
      <c r="S41" s="14"/>
      <c r="U41" t="str">
        <v>ADPT US EQUITY</v>
      </c>
      <c r="V41" s="24">
        <v>0</v>
      </c>
      <c r="W41" s="24" t="str">
        <v>custom</v>
      </c>
      <c r="X41" s="24" t="str">
        <v>clonoSEQ test volumes</v>
      </c>
      <c r="Y41" s="24" t="str">
        <v/>
      </c>
      <c r="Z41" s="32" t="str">
        <v/>
      </c>
      <c r="AA41" s="32" t="str">
        <v/>
      </c>
      <c r="AB41" s="32" t="str">
        <v/>
      </c>
      <c r="AC41" s="32" t="str">
        <v/>
      </c>
      <c r="AD41" s="32" t="str">
        <v/>
      </c>
    </row>
    <row r="42" spans="1:30" x14ac:dyDescent="0.45">
      <c r="C42" s="13" t="s">
        <v>35</v>
      </c>
      <c r="D42" s="2" t="s">
        <v>36</v>
      </c>
      <c r="E42" s="2" t="s">
        <v>36</v>
      </c>
      <c r="F42" s="2" t="s">
        <v>36</v>
      </c>
      <c r="G42" s="2" t="s">
        <v>36</v>
      </c>
      <c r="H42" s="2" t="s">
        <v>36</v>
      </c>
      <c r="I42" s="2" t="s">
        <v>36</v>
      </c>
      <c r="J42" s="2" t="s">
        <v>36</v>
      </c>
      <c r="K42" s="2" t="s">
        <v>36</v>
      </c>
      <c r="L42" s="2" t="s">
        <v>36</v>
      </c>
      <c r="M42" s="2" t="s">
        <v>36</v>
      </c>
      <c r="N42" s="2" t="s">
        <v>36</v>
      </c>
      <c r="O42" s="2" t="s">
        <v>36</v>
      </c>
      <c r="P42" s="2"/>
      <c r="Q42" s="2"/>
      <c r="R42" s="2"/>
      <c r="S42" s="2"/>
    </row>
    <row r="43" spans="1:30" x14ac:dyDescent="0.45">
      <c r="D43" s="2">
        <v>45016</v>
      </c>
      <c r="E43" s="2">
        <v>45107</v>
      </c>
      <c r="F43" s="2">
        <v>45199</v>
      </c>
      <c r="G43" s="2">
        <v>45291</v>
      </c>
      <c r="H43" s="2">
        <v>45382</v>
      </c>
      <c r="I43" s="2">
        <v>45473</v>
      </c>
      <c r="J43" s="2">
        <v>45565</v>
      </c>
      <c r="K43" s="2">
        <v>45657</v>
      </c>
      <c r="L43" s="2">
        <v>45747</v>
      </c>
      <c r="M43" s="2">
        <v>45838</v>
      </c>
      <c r="N43" s="2">
        <v>45930</v>
      </c>
      <c r="O43" s="2">
        <v>46022</v>
      </c>
      <c r="P43" s="2"/>
      <c r="Q43" s="2"/>
      <c r="R43" s="2"/>
      <c r="S43" s="2"/>
    </row>
    <row r="44" spans="1:30" x14ac:dyDescent="0.45">
      <c r="A44" s="16" t="s">
        <v>21</v>
      </c>
      <c r="B44" s="16" t="s">
        <v>29</v>
      </c>
      <c r="C44" s="2" t="s">
        <v>29</v>
      </c>
      <c r="D44" s="27">
        <v>12079</v>
      </c>
      <c r="E44" s="27">
        <v>13665</v>
      </c>
      <c r="F44" s="27">
        <v>15072</v>
      </c>
      <c r="G44" s="27">
        <v>15680</v>
      </c>
      <c r="H44" s="27">
        <v>17040</v>
      </c>
      <c r="I44" s="27">
        <v>18520</v>
      </c>
      <c r="J44" s="27">
        <v>19600</v>
      </c>
      <c r="K44" s="27">
        <v>20945</v>
      </c>
      <c r="L44" s="27">
        <v>23117</v>
      </c>
      <c r="M44" s="27">
        <v>25321</v>
      </c>
      <c r="N44" s="27">
        <v>27111</v>
      </c>
      <c r="O44" s="27">
        <v>30038</v>
      </c>
      <c r="P44" s="10"/>
      <c r="Q44" s="10"/>
      <c r="R44" s="10"/>
      <c r="S44" s="10"/>
    </row>
    <row r="45" spans="1:30" x14ac:dyDescent="0.45">
      <c r="C45" s="4" t="s">
        <v>4</v>
      </c>
      <c r="D45" s="5"/>
      <c r="E45" s="4"/>
      <c r="F45" s="4"/>
      <c r="G45" s="4"/>
      <c r="H45" s="12">
        <f t="shared" ref="H45:O45" si="27">+H44/D44-1</f>
        <v>0.41071280735160198</v>
      </c>
      <c r="I45" s="12">
        <f t="shared" si="27"/>
        <v>0.35528723015001829</v>
      </c>
      <c r="J45" s="12">
        <f t="shared" si="27"/>
        <v>0.3004246284501062</v>
      </c>
      <c r="K45" s="12">
        <f t="shared" si="27"/>
        <v>0.33577806122448983</v>
      </c>
      <c r="L45" s="12">
        <f t="shared" si="27"/>
        <v>0.35663145539906105</v>
      </c>
      <c r="M45" s="12">
        <f t="shared" si="27"/>
        <v>0.36722462203023754</v>
      </c>
      <c r="N45" s="12">
        <f t="shared" si="27"/>
        <v>0.38321428571428573</v>
      </c>
      <c r="O45" s="12">
        <f t="shared" si="27"/>
        <v>0.43413702554308897</v>
      </c>
      <c r="P45" s="12"/>
      <c r="Q45" s="12"/>
      <c r="R45" s="12"/>
      <c r="S45" s="12"/>
    </row>
    <row r="46" spans="1:30" x14ac:dyDescent="0.45">
      <c r="C46" s="4" t="s">
        <v>19</v>
      </c>
      <c r="D46" s="1"/>
      <c r="L46" s="7">
        <f>(L45-K45)*10000</f>
        <v>208.53394174571216</v>
      </c>
      <c r="M46" s="7">
        <f>(M45-L45)*10000</f>
        <v>105.93166631176487</v>
      </c>
      <c r="N46" s="7">
        <f>(N45-M45)*10000</f>
        <v>159.89663684048193</v>
      </c>
      <c r="O46" s="7">
        <f>(O45-N45)*10000</f>
        <v>509.22739828803242</v>
      </c>
      <c r="P46" s="7"/>
      <c r="Q46" s="7"/>
      <c r="R46" s="7"/>
      <c r="S46" s="7"/>
      <c r="U46" s="1"/>
      <c r="X46" s="11"/>
      <c r="Y46" s="12"/>
      <c r="Z46" s="7"/>
      <c r="AA46" s="12"/>
      <c r="AB46" s="7"/>
    </row>
    <row r="47" spans="1:30" x14ac:dyDescent="0.4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-540.81351952540933</v>
      </c>
      <c r="M47" s="7">
        <f>(M45-I45)*10000</f>
        <v>119.37391880219251</v>
      </c>
      <c r="N47" s="7">
        <f>(N45-J45)*10000</f>
        <v>827.89657264179527</v>
      </c>
      <c r="O47" s="7">
        <f>(O45-K45)*10000</f>
        <v>983.58964318599135</v>
      </c>
      <c r="P47" s="7"/>
      <c r="Q47" s="7"/>
      <c r="R47" s="7"/>
      <c r="S47" s="7"/>
      <c r="U47" s="1"/>
      <c r="X47" s="11"/>
      <c r="Y47" s="12"/>
      <c r="Z47" s="7"/>
      <c r="AA47" s="12"/>
      <c r="AB47" s="7"/>
    </row>
    <row r="48" spans="1:30" x14ac:dyDescent="0.45">
      <c r="C48" s="4" t="s">
        <v>5</v>
      </c>
      <c r="D48" s="1"/>
      <c r="G48" s="7"/>
      <c r="L48" s="12">
        <f t="shared" ref="L48:O48" si="28">L44/K44-1</f>
        <v>0.10370016710432095</v>
      </c>
      <c r="M48" s="12">
        <f t="shared" si="28"/>
        <v>9.5341090972012044E-2</v>
      </c>
      <c r="N48" s="12">
        <f t="shared" si="28"/>
        <v>7.0692310730223973E-2</v>
      </c>
      <c r="O48" s="12">
        <f t="shared" si="28"/>
        <v>0.10796355722769357</v>
      </c>
      <c r="P48" s="12"/>
      <c r="Q48" s="12"/>
      <c r="R48" s="12"/>
      <c r="S48" s="12"/>
      <c r="U48" s="1"/>
      <c r="X48" s="11"/>
      <c r="Y48" s="12"/>
      <c r="Z48" s="7"/>
      <c r="AA48" s="12"/>
      <c r="AB48" s="7"/>
    </row>
    <row r="49" spans="1:19" x14ac:dyDescent="0.45">
      <c r="C49" s="4"/>
      <c r="D49" s="1"/>
      <c r="L49" s="7"/>
      <c r="M49" s="7"/>
      <c r="N49" s="7"/>
      <c r="O49" s="7"/>
      <c r="P49" s="7"/>
      <c r="Q49" s="7"/>
      <c r="R49" s="7"/>
      <c r="S49" s="7"/>
    </row>
    <row r="50" spans="1:19" x14ac:dyDescent="0.45"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 spans="1:19" x14ac:dyDescent="0.45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45">
      <c r="A52" s="16"/>
      <c r="B52" s="16"/>
      <c r="C52" s="2"/>
      <c r="D52" s="10"/>
      <c r="E52" s="10"/>
      <c r="F52" s="1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x14ac:dyDescent="0.45">
      <c r="C53" s="4"/>
      <c r="D53" s="5"/>
      <c r="E53" s="4"/>
      <c r="F53" s="4"/>
      <c r="G53" s="4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x14ac:dyDescent="0.45">
      <c r="C54" s="4"/>
      <c r="D54" s="1"/>
      <c r="K54" s="7"/>
      <c r="L54" s="7"/>
      <c r="M54" s="7"/>
      <c r="N54" s="7"/>
      <c r="O54" s="7"/>
      <c r="P54" s="7"/>
      <c r="Q54" s="7"/>
      <c r="R54" s="7"/>
      <c r="S54" s="7"/>
    </row>
    <row r="55" spans="1:19" x14ac:dyDescent="0.45">
      <c r="C55" s="4"/>
      <c r="D55" s="1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x14ac:dyDescent="0.45">
      <c r="C56" s="4"/>
      <c r="D56" s="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x14ac:dyDescent="0.45">
      <c r="C57" s="4"/>
      <c r="D57" s="1"/>
      <c r="G57" s="1"/>
    </row>
    <row r="58" spans="1:19" x14ac:dyDescent="0.45"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x14ac:dyDescent="0.4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45">
      <c r="A60" s="16"/>
      <c r="B60" s="16"/>
      <c r="C60" s="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x14ac:dyDescent="0.45">
      <c r="C61" s="4"/>
      <c r="D61" s="5"/>
      <c r="E61" s="4"/>
      <c r="F61" s="4"/>
      <c r="G61" s="4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x14ac:dyDescent="0.45">
      <c r="C62" s="4"/>
      <c r="D62" s="1"/>
      <c r="K62" s="7"/>
      <c r="L62" s="7"/>
      <c r="M62" s="7"/>
      <c r="N62" s="7"/>
      <c r="O62" s="7"/>
      <c r="P62" s="7"/>
      <c r="Q62" s="7"/>
      <c r="R62" s="7"/>
      <c r="S62" s="7"/>
    </row>
    <row r="63" spans="1:19" x14ac:dyDescent="0.45">
      <c r="C63" s="4"/>
      <c r="D63" s="1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x14ac:dyDescent="0.45">
      <c r="C64" s="4"/>
      <c r="D64" s="1"/>
      <c r="K64" s="7"/>
      <c r="L64" s="7"/>
      <c r="M64" s="7"/>
      <c r="N64" s="7"/>
      <c r="O64" s="7"/>
      <c r="P64" s="7"/>
      <c r="Q64" s="7"/>
      <c r="R64" s="7"/>
      <c r="S64" s="7"/>
    </row>
    <row r="65" spans="1:19" x14ac:dyDescent="0.45">
      <c r="C65" s="4"/>
      <c r="D65" s="1"/>
      <c r="G65" s="1"/>
    </row>
    <row r="66" spans="1:19" x14ac:dyDescent="0.45"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x14ac:dyDescent="0.4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4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4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45">
      <c r="C70" s="4"/>
      <c r="D70" s="1"/>
      <c r="K70" s="7"/>
      <c r="L70" s="7"/>
      <c r="M70" s="7"/>
      <c r="N70" s="7"/>
      <c r="O70" s="7"/>
      <c r="P70" s="7"/>
      <c r="Q70" s="7"/>
      <c r="R70" s="7"/>
      <c r="S70" s="7"/>
    </row>
    <row r="71" spans="1:19" x14ac:dyDescent="0.4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4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7023-C680-4D8A-BD09-27D32E3E49A7}">
  <dimension ref="A1:AD72"/>
  <sheetViews>
    <sheetView tabSelected="1" topLeftCell="D16" zoomScale="85" zoomScaleNormal="85" workbookViewId="0">
      <selection activeCell="Q28" sqref="Q28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265625" bestFit="1" customWidth="1"/>
    <col min="5" max="6" width="9.59765625" bestFit="1" customWidth="1"/>
    <col min="7" max="10" width="10.3984375" customWidth="1"/>
    <col min="11" max="11" width="10.59765625" bestFit="1" customWidth="1"/>
    <col min="12" max="13" width="9.59765625" bestFit="1" customWidth="1"/>
    <col min="14" max="14" width="11.3984375" bestFit="1" customWidth="1"/>
    <col min="15" max="15" width="10.59765625" bestFit="1" customWidth="1"/>
    <col min="16" max="19" width="10.3984375" customWidth="1"/>
    <col min="20" max="20" width="9" customWidth="1"/>
    <col min="21" max="21" width="12.3984375" bestFit="1" customWidth="1"/>
    <col min="22" max="22" width="14.3984375" bestFit="1" customWidth="1"/>
    <col min="23" max="23" width="8.59765625" bestFit="1" customWidth="1"/>
    <col min="24" max="24" width="20.265625" bestFit="1" customWidth="1"/>
    <col min="25" max="25" width="7.3984375" bestFit="1" customWidth="1"/>
    <col min="26" max="26" width="10.73046875" bestFit="1" customWidth="1"/>
    <col min="27" max="27" width="9.1328125" bestFit="1" customWidth="1"/>
    <col min="28" max="28" width="10.3984375" bestFit="1" customWidth="1"/>
    <col min="29" max="29" width="9.1328125" bestFit="1" customWidth="1"/>
  </cols>
  <sheetData>
    <row r="1" spans="1:30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45">
      <c r="A2" s="17" t="s">
        <v>1</v>
      </c>
      <c r="B2" s="25" t="s">
        <v>30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VCYT US EQUITY</v>
      </c>
      <c r="V2" s="24">
        <f ca="1"/>
        <v>45747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114.473</v>
      </c>
      <c r="AA2" s="32" t="str">
        <f ca="1"/>
        <v>0.182035025401677</v>
      </c>
      <c r="AB2" s="32" t="str">
        <f ca="1"/>
        <v>-260.424499290293</v>
      </c>
      <c r="AC2" s="32" t="str">
        <f ca="1"/>
        <v>70.5747086526687</v>
      </c>
      <c r="AD2" s="32" t="str">
        <f ca="1"/>
        <v>-0.0350579944702948</v>
      </c>
    </row>
    <row r="3" spans="1:30" x14ac:dyDescent="0.45">
      <c r="A3" s="18" t="s">
        <v>3</v>
      </c>
      <c r="B3" s="19">
        <f ca="1">+B4-365*3</f>
        <v>45016</v>
      </c>
      <c r="U3" s="24" t="str">
        <f ca="1"/>
        <v>VCYT US EQUITY</v>
      </c>
      <c r="V3" s="24">
        <f ca="1"/>
        <v>45838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130.164</v>
      </c>
      <c r="AA3" s="32" t="str">
        <f ca="1"/>
        <v>0.137518789107561</v>
      </c>
      <c r="AB3" s="32" t="str">
        <f ca="1"/>
        <v>-445.162362941158</v>
      </c>
      <c r="AC3" s="32" t="str">
        <f ca="1"/>
        <v>-1293.70783753979</v>
      </c>
      <c r="AD3" s="32" t="str">
        <f ca="1"/>
        <v>0.137071623876373</v>
      </c>
    </row>
    <row r="4" spans="1:30" x14ac:dyDescent="0.45">
      <c r="A4" s="20" t="s">
        <v>2</v>
      </c>
      <c r="B4" s="21">
        <f ca="1">TODAY()</f>
        <v>46111</v>
      </c>
      <c r="U4" s="24" t="str">
        <f ca="1"/>
        <v>VCYT US EQUITY</v>
      </c>
      <c r="V4" s="24">
        <f ca="1"/>
        <v>45930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131.872</v>
      </c>
      <c r="AA4" s="32" t="str">
        <f ca="1"/>
        <v>0.138201277403763</v>
      </c>
      <c r="AB4" s="32" t="str">
        <f ca="1"/>
        <v>6.82488296202211</v>
      </c>
      <c r="AC4" s="32" t="str">
        <f ca="1"/>
        <v>-1475.89107467724</v>
      </c>
      <c r="AD4" s="32" t="str">
        <f ca="1"/>
        <v>0.0131219077471501</v>
      </c>
    </row>
    <row r="5" spans="1:30" x14ac:dyDescent="0.45">
      <c r="C5" s="13" t="s">
        <v>12</v>
      </c>
      <c r="D5" s="14">
        <f ca="1">EOMONTH(DATE(YEAR(D7),ROUNDUP(MONTH(D7)/3,0)*3,1),0)</f>
        <v>45016</v>
      </c>
      <c r="E5" s="14">
        <f ca="1">EOMONTH(DATE(YEAR(E7),ROUNDUP(MONTH(E7)/3,0)*3,1),0)</f>
        <v>45107</v>
      </c>
      <c r="F5" s="14">
        <f ca="1">EOMONTH(DATE(YEAR(F7),ROUNDUP(MONTH(F7)/3,0)*3,1),0)</f>
        <v>45199</v>
      </c>
      <c r="G5" s="14">
        <f t="shared" ref="G5:K5" ca="1" si="0">EOMONTH(DATE(YEAR(G7),ROUNDUP(MONTH(G7)/3,0)*3,1),0)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EOMONTH(DATE(YEAR(L7),ROUNDUP(MONTH(L7)/3,0)*3,1),0)</f>
        <v>45747</v>
      </c>
      <c r="M5" s="14">
        <f ca="1">EOMONTH(DATE(YEAR(M7),ROUNDUP(MONTH(M7)/3,0)*3,1),0)</f>
        <v>45838</v>
      </c>
      <c r="N5" s="14">
        <f ca="1">EOMONTH(DATE(YEAR(N7),ROUNDUP(MONTH(N7)/3,0)*3,1),0)</f>
        <v>45930</v>
      </c>
      <c r="O5" s="14">
        <f ca="1">EOMONTH(DATE(YEAR(O7),ROUNDUP(MONTH(O7)/3,0)*3,1),0)</f>
        <v>46022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VCYT US EQUITY</v>
      </c>
      <c r="V5" s="24">
        <f ca="1"/>
        <v>46022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>140.636</v>
      </c>
      <c r="AA5" s="32" t="str">
        <f ca="1"/>
        <v>0.185481151797154</v>
      </c>
      <c r="AB5" s="32" t="str">
        <f ca="1"/>
        <v>472.798743933909</v>
      </c>
      <c r="AC5" s="32" t="str">
        <f ca="1"/>
        <v>-225.96323533552</v>
      </c>
      <c r="AD5" s="32" t="str">
        <f ca="1"/>
        <v>0.0664583838874058</v>
      </c>
    </row>
    <row r="6" spans="1:30" x14ac:dyDescent="0.4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VCYT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130.264665</v>
      </c>
      <c r="AA6" s="32" t="str">
        <f ca="1"/>
        <v>0.137951001546216</v>
      </c>
      <c r="AB6" s="32" t="str">
        <f ca="1"/>
        <v>-475.30150250938</v>
      </c>
      <c r="AC6" s="32" t="str">
        <f ca="1"/>
        <v>-440.840238554607</v>
      </c>
      <c r="AD6" s="32" t="str">
        <f ca="1"/>
        <v>-0.0737459469837025</v>
      </c>
    </row>
    <row r="7" spans="1:30" x14ac:dyDescent="0.45">
      <c r="D7" s="15" cm="1">
        <f t="array" aca="1" ref="D7:O8" ca="1">+_xll.BDH($B$2,C8,$B$3,$B$4,"DIR=H")</f>
        <v>45016</v>
      </c>
      <c r="E7" s="1">
        <f ca="1"/>
        <v>45107</v>
      </c>
      <c r="F7" s="1">
        <f ca="1"/>
        <v>45199</v>
      </c>
      <c r="G7" s="1">
        <f ca="1"/>
        <v>45291</v>
      </c>
      <c r="H7" s="1">
        <f ca="1"/>
        <v>45382</v>
      </c>
      <c r="I7" s="1">
        <f ca="1"/>
        <v>45473</v>
      </c>
      <c r="J7" s="1">
        <f ca="1"/>
        <v>45565</v>
      </c>
      <c r="K7" s="1">
        <f ca="1"/>
        <v>45657</v>
      </c>
      <c r="L7" s="1">
        <f ca="1"/>
        <v>45747</v>
      </c>
      <c r="M7" s="1">
        <f ca="1"/>
        <v>45838</v>
      </c>
      <c r="N7" s="1">
        <f ca="1"/>
        <v>45930</v>
      </c>
      <c r="O7" s="1">
        <f ca="1"/>
        <v>46022</v>
      </c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VCYT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147.2242855</v>
      </c>
      <c r="AA7" s="32" t="str">
        <f ca="1"/>
        <v>0.131067618542761</v>
      </c>
      <c r="AB7" s="32" t="str">
        <f ca="1"/>
        <v>-68.833830034547</v>
      </c>
      <c r="AC7" s="32" t="str">
        <f ca="1"/>
        <v>-64.511705647996</v>
      </c>
      <c r="AD7" s="32" t="str">
        <f ca="1"/>
        <v>0.130193560164608</v>
      </c>
    </row>
    <row r="8" spans="1:30" x14ac:dyDescent="0.45">
      <c r="A8" s="16" t="s">
        <v>9</v>
      </c>
      <c r="B8" s="16" t="s">
        <v>8</v>
      </c>
      <c r="C8" s="9" t="s">
        <v>0</v>
      </c>
      <c r="D8" s="11">
        <f ca="1"/>
        <v>82.421999999999997</v>
      </c>
      <c r="E8" s="11">
        <f ca="1"/>
        <v>90.322000000000003</v>
      </c>
      <c r="F8" s="11">
        <f ca="1"/>
        <v>90.108000000000004</v>
      </c>
      <c r="G8" s="11">
        <f ca="1"/>
        <v>98.198999999999998</v>
      </c>
      <c r="H8" s="11">
        <f ca="1"/>
        <v>96.843999999999994</v>
      </c>
      <c r="I8" s="11">
        <f ca="1"/>
        <v>114.428</v>
      </c>
      <c r="J8" s="11">
        <f ca="1"/>
        <v>115.86</v>
      </c>
      <c r="K8" s="11">
        <f ca="1"/>
        <v>118.63200000000001</v>
      </c>
      <c r="L8" s="11">
        <f ca="1"/>
        <v>114.473</v>
      </c>
      <c r="M8" s="11">
        <f ca="1"/>
        <v>130.16399999999999</v>
      </c>
      <c r="N8" s="11">
        <f ca="1"/>
        <v>131.87200000000001</v>
      </c>
      <c r="O8" s="11">
        <f ca="1"/>
        <v>140.636</v>
      </c>
      <c r="P8" s="28">
        <v>130.26466500000001</v>
      </c>
      <c r="Q8" s="28">
        <v>147.22428550000001</v>
      </c>
      <c r="R8" s="28">
        <v>146.12502600000002</v>
      </c>
      <c r="S8" s="28">
        <v>153.36364349999999</v>
      </c>
      <c r="T8" s="3"/>
      <c r="U8" s="24" t="str">
        <f ca="1"/>
        <v>VCYT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146.125026</v>
      </c>
      <c r="AA8" s="32" t="str">
        <f ca="1"/>
        <v>0.108082276753215</v>
      </c>
      <c r="AB8" s="32" t="str">
        <f ca="1"/>
        <v>-229.853417895463</v>
      </c>
      <c r="AC8" s="32" t="str">
        <f ca="1"/>
        <v>-301.190006505481</v>
      </c>
      <c r="AD8" s="32" t="str">
        <f ca="1"/>
        <v>-0.00746656366011023</v>
      </c>
    </row>
    <row r="9" spans="1:30" x14ac:dyDescent="0.45">
      <c r="C9" s="4" t="s">
        <v>4</v>
      </c>
      <c r="D9" s="5"/>
      <c r="E9" s="4"/>
      <c r="F9" s="4"/>
      <c r="G9" s="12"/>
      <c r="H9" s="12">
        <f t="shared" ref="H9:O9" ca="1" si="2">+H8/D8-1</f>
        <v>0.17497755453641006</v>
      </c>
      <c r="I9" s="12">
        <f t="shared" ca="1" si="2"/>
        <v>0.26688957286153969</v>
      </c>
      <c r="J9" s="12">
        <f t="shared" ca="1" si="2"/>
        <v>0.28579038487148756</v>
      </c>
      <c r="K9" s="12">
        <f t="shared" ca="1" si="2"/>
        <v>0.2080774753307062</v>
      </c>
      <c r="L9" s="12">
        <f t="shared" ca="1" si="2"/>
        <v>0.18203502540167693</v>
      </c>
      <c r="M9" s="12">
        <f t="shared" ca="1" si="2"/>
        <v>0.1375187891075611</v>
      </c>
      <c r="N9" s="12">
        <f t="shared" ca="1" si="2"/>
        <v>0.13820127740376331</v>
      </c>
      <c r="O9" s="12">
        <f t="shared" ca="1" si="2"/>
        <v>0.18548115179715419</v>
      </c>
      <c r="P9" s="12">
        <f t="shared" ref="P9" ca="1" si="3">+P8/L8-1</f>
        <v>0.1379510015462162</v>
      </c>
      <c r="Q9" s="12">
        <f t="shared" ref="Q9" ca="1" si="4">+Q8/M8-1</f>
        <v>0.1310676185427615</v>
      </c>
      <c r="R9" s="12">
        <f t="shared" ref="R9" ca="1" si="5">+R8/N8-1</f>
        <v>0.10808227675321525</v>
      </c>
      <c r="S9" s="12">
        <f t="shared" ref="S9" ca="1" si="6">+S8/O8-1</f>
        <v>9.0500607952444634E-2</v>
      </c>
      <c r="U9" s="24" t="str">
        <f ca="1"/>
        <v>VCYT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153.3636435</v>
      </c>
      <c r="AA9" s="32" t="str">
        <f ca="1"/>
        <v>0.0905006079524446</v>
      </c>
      <c r="AB9" s="32" t="str">
        <f ca="1"/>
        <v>-175.816688007706</v>
      </c>
      <c r="AC9" s="32" t="str">
        <f ca="1"/>
        <v>-949.805438447096</v>
      </c>
      <c r="AD9" s="32" t="str">
        <f ca="1"/>
        <v>0.0495371511516445</v>
      </c>
    </row>
    <row r="10" spans="1:30" x14ac:dyDescent="0.45">
      <c r="C10" s="4" t="s">
        <v>19</v>
      </c>
      <c r="D10" s="1"/>
      <c r="L10" s="7">
        <f ca="1">(L9-K9)*10000</f>
        <v>-260.42449929029266</v>
      </c>
      <c r="M10" s="7">
        <f ca="1">(M9-L9)*10000</f>
        <v>-445.16236294115828</v>
      </c>
      <c r="N10" s="7">
        <f ca="1">(N9-M9)*10000</f>
        <v>6.8248829620221052</v>
      </c>
      <c r="O10" s="7">
        <f ca="1">(O9-N9)*10000</f>
        <v>472.79874393390872</v>
      </c>
      <c r="P10" s="7">
        <f t="shared" ref="P10:S10" ca="1" si="7">(P9-O9)*10000</f>
        <v>-475.30150250937987</v>
      </c>
      <c r="Q10" s="7">
        <f t="shared" ca="1" si="7"/>
        <v>-68.83383003454702</v>
      </c>
      <c r="R10" s="7">
        <f t="shared" ca="1" si="7"/>
        <v>-229.85341789546254</v>
      </c>
      <c r="S10" s="7">
        <f t="shared" ca="1" si="7"/>
        <v>-175.81668800770612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VCYT US EQUITY</v>
      </c>
      <c r="V10" s="24">
        <f ca="1"/>
        <v>45747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69.4557</v>
      </c>
      <c r="AA10" s="32" t="str">
        <f ca="1"/>
        <v>194.199999999999</v>
      </c>
      <c r="AB10" s="32" t="str">
        <f ca="1"/>
        <v/>
      </c>
      <c r="AC10" s="32" t="str">
        <f ca="1"/>
        <v/>
      </c>
      <c r="AD10" s="32" t="str">
        <f ca="1"/>
        <v>70.1099999999997</v>
      </c>
    </row>
    <row r="11" spans="1:30" x14ac:dyDescent="0.4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70.574708652668676</v>
      </c>
      <c r="M11" s="7">
        <f ca="1">(M9-I9)*10000</f>
        <v>-1293.7078375397859</v>
      </c>
      <c r="N11" s="7">
        <f ca="1">(N9-J9)*10000</f>
        <v>-1475.8910746772424</v>
      </c>
      <c r="O11" s="7">
        <f ca="1">(O9-K9)*10000</f>
        <v>-225.9632353355201</v>
      </c>
      <c r="P11" s="7">
        <f t="shared" ref="P11:S11" ca="1" si="8">(P9-L9)*10000</f>
        <v>-440.84023855460731</v>
      </c>
      <c r="Q11" s="7">
        <f t="shared" ca="1" si="8"/>
        <v>-64.511705647996024</v>
      </c>
      <c r="R11" s="7">
        <f t="shared" ca="1" si="8"/>
        <v>-301.19000650548065</v>
      </c>
      <c r="S11" s="7">
        <f t="shared" ca="1" si="8"/>
        <v>-949.80543844709553</v>
      </c>
      <c r="U11" t="str">
        <f ca="1"/>
        <v>VCYT US EQUITY</v>
      </c>
      <c r="V11" s="24">
        <f ca="1"/>
        <v>45838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71.015</v>
      </c>
      <c r="AA11" s="32" t="str">
        <f ca="1"/>
        <v>38.3700000000005</v>
      </c>
      <c r="AB11" s="32" t="str">
        <f ca="1"/>
        <v/>
      </c>
      <c r="AC11" s="32" t="str">
        <f ca="1"/>
        <v/>
      </c>
      <c r="AD11" s="32" t="str">
        <f ca="1"/>
        <v>155.930000000001</v>
      </c>
    </row>
    <row r="12" spans="1:30" x14ac:dyDescent="0.45">
      <c r="C12" s="4" t="s">
        <v>5</v>
      </c>
      <c r="D12" s="1"/>
      <c r="L12" s="12">
        <f t="shared" ref="L12:O12" ca="1" si="9">L8/K8-1</f>
        <v>-3.5057994470294784E-2</v>
      </c>
      <c r="M12" s="12">
        <f t="shared" ca="1" si="9"/>
        <v>0.13707162387637251</v>
      </c>
      <c r="N12" s="12">
        <f t="shared" ca="1" si="9"/>
        <v>1.3121907747150052E-2</v>
      </c>
      <c r="O12" s="12">
        <f t="shared" ca="1" si="9"/>
        <v>6.645838388740577E-2</v>
      </c>
      <c r="P12" s="12">
        <f t="shared" ref="P12" ca="1" si="10">P8/O8-1</f>
        <v>-7.3745946983702515E-2</v>
      </c>
      <c r="Q12" s="12">
        <f t="shared" ref="Q12" si="11">Q8/P8-1</f>
        <v>0.13019356016460804</v>
      </c>
      <c r="R12" s="12">
        <f t="shared" ref="R12" si="12">R8/Q8-1</f>
        <v>-7.4665636601102259E-3</v>
      </c>
      <c r="S12" s="12">
        <f t="shared" ref="S12" si="13">S8/R8-1</f>
        <v>4.9537151151644476E-2</v>
      </c>
      <c r="U12" s="24" t="str">
        <f ca="1"/>
        <v>VCYT US EQUITY</v>
      </c>
      <c r="V12" s="24">
        <f ca="1"/>
        <v>45930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71.2729</v>
      </c>
      <c r="AA12" s="32" t="str">
        <f ca="1"/>
        <v>56.08</v>
      </c>
      <c r="AB12" s="32" t="str">
        <f ca="1"/>
        <v/>
      </c>
      <c r="AC12" s="32" t="str">
        <f ca="1"/>
        <v/>
      </c>
      <c r="AD12" s="32" t="str">
        <f ca="1"/>
        <v>25.7900000000006</v>
      </c>
    </row>
    <row r="13" spans="1:30" x14ac:dyDescent="0.45">
      <c r="U13" s="24" t="str">
        <f ca="1"/>
        <v>VCYT US EQUITY</v>
      </c>
      <c r="V13" s="24">
        <f ca="1"/>
        <v>46022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>74.4333</v>
      </c>
      <c r="AA13" s="32" t="str">
        <f ca="1"/>
        <v>567.870000000001</v>
      </c>
      <c r="AB13" s="32" t="str">
        <f ca="1"/>
        <v/>
      </c>
      <c r="AC13" s="32" t="str">
        <f ca="1"/>
        <v/>
      </c>
      <c r="AD13" s="32" t="str">
        <f ca="1"/>
        <v>316.04</v>
      </c>
    </row>
    <row r="14" spans="1:30" x14ac:dyDescent="0.45">
      <c r="C14" s="13" t="s">
        <v>12</v>
      </c>
      <c r="D14" s="14">
        <f ca="1">EOMONTH(DATE(YEAR(D16),ROUNDUP(MONTH(D16)/3,0)*3,1),0)</f>
        <v>45016</v>
      </c>
      <c r="E14" s="14">
        <f ca="1">EOMONTH(DATE(YEAR(E16),ROUNDUP(MONTH(E16)/3,0)*3,1),0)</f>
        <v>45107</v>
      </c>
      <c r="F14" s="14">
        <f ca="1">EOMONTH(DATE(YEAR(F16),ROUNDUP(MONTH(F16)/3,0)*3,1),0)</f>
        <v>45199</v>
      </c>
      <c r="G14" s="14">
        <f t="shared" ref="G14:K14" ca="1" si="14">EOMONTH(DATE(YEAR(G16),ROUNDUP(MONTH(G16)/3,0)*3,1),0)</f>
        <v>45291</v>
      </c>
      <c r="H14" s="14">
        <f t="shared" ca="1" si="14"/>
        <v>45382</v>
      </c>
      <c r="I14" s="14">
        <f t="shared" ca="1" si="14"/>
        <v>45473</v>
      </c>
      <c r="J14" s="14">
        <f t="shared" ca="1" si="14"/>
        <v>45565</v>
      </c>
      <c r="K14" s="14">
        <f t="shared" ca="1" si="14"/>
        <v>45657</v>
      </c>
      <c r="L14" s="14">
        <f ca="1">EOMONTH(DATE(YEAR(L16),ROUNDUP(MONTH(L16)/3,0)*3,1),0)</f>
        <v>45747</v>
      </c>
      <c r="M14" s="14">
        <f ca="1">EOMONTH(DATE(YEAR(M16),ROUNDUP(MONTH(M16)/3,0)*3,1),0)</f>
        <v>45838</v>
      </c>
      <c r="N14" s="14">
        <f ca="1">EOMONTH(DATE(YEAR(N16),ROUNDUP(MONTH(N16)/3,0)*3,1),0)</f>
        <v>45930</v>
      </c>
      <c r="O14" s="14">
        <f ca="1">EOMONTH(DATE(YEAR(O16),ROUNDUP(MONTH(O16)/3,0)*3,1),0)</f>
        <v>46022</v>
      </c>
      <c r="P14" s="14"/>
      <c r="Q14" s="14"/>
      <c r="R14" s="14"/>
      <c r="S14" s="14"/>
      <c r="T14" s="1"/>
      <c r="U14" s="24" t="str">
        <f ca="1"/>
        <v>VCYT US EQUITY</v>
      </c>
      <c r="V14" s="24">
        <f ca="1"/>
        <v>0</v>
      </c>
      <c r="W14" s="24" t="str">
        <f ca="1"/>
        <v>canonical</v>
      </c>
      <c r="X14" s="24" t="str">
        <f ca="1"/>
        <v>gross_margin_gaap</v>
      </c>
      <c r="Y14" s="24" t="str">
        <f ca="1"/>
        <v/>
      </c>
      <c r="Z14" s="32" t="str">
        <f ca="1"/>
        <v/>
      </c>
      <c r="AA14" s="32" t="str">
        <f ca="1"/>
        <v/>
      </c>
      <c r="AB14" s="32" t="str">
        <f ca="1"/>
        <v/>
      </c>
      <c r="AC14" s="32" t="str">
        <f ca="1"/>
        <v/>
      </c>
      <c r="AD14" s="32" t="str">
        <f ca="1"/>
        <v/>
      </c>
    </row>
    <row r="15" spans="1:30" x14ac:dyDescent="0.4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/>
      <c r="Q15" s="2"/>
      <c r="R15" s="2"/>
      <c r="S15" s="2"/>
      <c r="U15" s="24" t="str">
        <f ca="1"/>
        <v>VCYT US EQUITY</v>
      </c>
      <c r="V15" s="24">
        <f ca="1"/>
        <v>0</v>
      </c>
      <c r="W15" s="24" t="str">
        <f ca="1"/>
        <v>canonical</v>
      </c>
      <c r="X15" s="24" t="str">
        <f ca="1"/>
        <v>gross_margin_gaap</v>
      </c>
      <c r="Y15" s="24" t="str">
        <f ca="1"/>
        <v/>
      </c>
      <c r="Z15" s="32" t="str">
        <f ca="1"/>
        <v/>
      </c>
      <c r="AA15" s="32" t="str">
        <f ca="1"/>
        <v/>
      </c>
      <c r="AB15" s="32" t="str">
        <f ca="1"/>
        <v/>
      </c>
      <c r="AC15" s="32" t="str">
        <f ca="1"/>
        <v/>
      </c>
      <c r="AD15" s="32" t="str">
        <f ca="1"/>
        <v/>
      </c>
    </row>
    <row r="16" spans="1:30" x14ac:dyDescent="0.45">
      <c r="D16" s="1" cm="1">
        <f t="array" aca="1" ref="D16:O17" ca="1">+_xll.BDH($B$2,C17,$B$3,$B$4,"DIR=H")</f>
        <v>45016</v>
      </c>
      <c r="E16" s="1">
        <f ca="1"/>
        <v>45107</v>
      </c>
      <c r="F16" s="1">
        <f ca="1"/>
        <v>45199</v>
      </c>
      <c r="G16" s="1">
        <f ca="1"/>
        <v>45291</v>
      </c>
      <c r="H16" s="1">
        <f ca="1"/>
        <v>45382</v>
      </c>
      <c r="I16" s="1">
        <f ca="1"/>
        <v>45473</v>
      </c>
      <c r="J16" s="1">
        <f ca="1"/>
        <v>45565</v>
      </c>
      <c r="K16" s="1">
        <f ca="1"/>
        <v>45657</v>
      </c>
      <c r="L16" s="1">
        <f ca="1"/>
        <v>45747</v>
      </c>
      <c r="M16" s="1">
        <f ca="1"/>
        <v>45838</v>
      </c>
      <c r="N16" s="1">
        <f ca="1"/>
        <v>45930</v>
      </c>
      <c r="O16" s="1">
        <f ca="1"/>
        <v>46022</v>
      </c>
      <c r="P16" s="2"/>
      <c r="Q16" s="2"/>
      <c r="R16" s="2"/>
      <c r="S16" s="2"/>
      <c r="U16" s="24" t="str">
        <f ca="1"/>
        <v>VCYT US EQUITY</v>
      </c>
      <c r="V16" s="24">
        <f ca="1"/>
        <v>0</v>
      </c>
      <c r="W16" s="24" t="str">
        <f ca="1"/>
        <v>canonical</v>
      </c>
      <c r="X16" s="24" t="str">
        <f ca="1"/>
        <v>gross_margin_gaap</v>
      </c>
      <c r="Y16" s="24" t="str">
        <f ca="1"/>
        <v/>
      </c>
      <c r="Z16" s="32" t="str">
        <f ca="1"/>
        <v/>
      </c>
      <c r="AA16" s="32" t="str">
        <f ca="1"/>
        <v/>
      </c>
      <c r="AB16" s="32" t="str">
        <f ca="1"/>
        <v/>
      </c>
      <c r="AC16" s="32" t="str">
        <f ca="1"/>
        <v/>
      </c>
      <c r="AD16" s="32" t="str">
        <f ca="1"/>
        <v/>
      </c>
    </row>
    <row r="17" spans="1:30" x14ac:dyDescent="0.45">
      <c r="A17" s="16" t="s">
        <v>9</v>
      </c>
      <c r="B17" s="16" t="s">
        <v>14</v>
      </c>
      <c r="C17" s="9" t="s">
        <v>6</v>
      </c>
      <c r="D17" s="30">
        <f ca="1"/>
        <v>68.177199999999999</v>
      </c>
      <c r="E17" s="30">
        <f ca="1"/>
        <v>67.130899999999997</v>
      </c>
      <c r="F17" s="30">
        <f ca="1"/>
        <v>69.358999999999995</v>
      </c>
      <c r="G17" s="30">
        <f ca="1"/>
        <v>70.0852</v>
      </c>
      <c r="H17" s="30">
        <f ca="1"/>
        <v>67.5137</v>
      </c>
      <c r="I17" s="30">
        <f ca="1"/>
        <v>70.631299999999996</v>
      </c>
      <c r="J17" s="30">
        <f ca="1"/>
        <v>70.712100000000007</v>
      </c>
      <c r="K17" s="30">
        <f ca="1"/>
        <v>68.754599999999996</v>
      </c>
      <c r="L17" s="30">
        <f ca="1"/>
        <v>69.455699999999993</v>
      </c>
      <c r="M17" s="30">
        <f ca="1"/>
        <v>71.015000000000001</v>
      </c>
      <c r="N17" s="30">
        <f ca="1"/>
        <v>71.272900000000007</v>
      </c>
      <c r="O17" s="30">
        <f ca="1"/>
        <v>74.433300000000003</v>
      </c>
      <c r="P17" s="29"/>
      <c r="Q17" s="29"/>
      <c r="R17" s="29"/>
      <c r="S17" s="29"/>
      <c r="U17" s="24" t="str">
        <f ca="1"/>
        <v>VCYT US EQUITY</v>
      </c>
      <c r="V17" s="24">
        <f ca="1"/>
        <v>0</v>
      </c>
      <c r="W17" s="24" t="str">
        <f ca="1"/>
        <v>canonical</v>
      </c>
      <c r="X17" s="24" t="str">
        <f ca="1"/>
        <v>gross_margin_gaap</v>
      </c>
      <c r="Y17" s="24" t="str">
        <f ca="1"/>
        <v/>
      </c>
      <c r="Z17" s="32" t="str">
        <f ca="1"/>
        <v/>
      </c>
      <c r="AA17" s="32" t="str">
        <f ca="1"/>
        <v/>
      </c>
      <c r="AB17" s="32" t="str">
        <f ca="1"/>
        <v/>
      </c>
      <c r="AC17" s="32" t="str">
        <f ca="1"/>
        <v/>
      </c>
      <c r="AD17" s="32" t="str">
        <f ca="1"/>
        <v/>
      </c>
    </row>
    <row r="18" spans="1:30" x14ac:dyDescent="0.45">
      <c r="C18" s="4" t="s">
        <v>4</v>
      </c>
      <c r="D18" s="5"/>
      <c r="E18" s="4"/>
      <c r="F18" s="4"/>
      <c r="G18" s="4"/>
      <c r="H18" s="7">
        <f t="shared" ref="H18:O18" ca="1" si="15">(H17-D17)*100</f>
        <v>-66.349999999999909</v>
      </c>
      <c r="I18" s="7">
        <f t="shared" ca="1" si="15"/>
        <v>350.03999999999991</v>
      </c>
      <c r="J18" s="7">
        <f t="shared" ca="1" si="15"/>
        <v>135.3100000000012</v>
      </c>
      <c r="K18" s="7">
        <f t="shared" ca="1" si="15"/>
        <v>-133.0600000000004</v>
      </c>
      <c r="L18" s="7">
        <f t="shared" ca="1" si="15"/>
        <v>194.19999999999931</v>
      </c>
      <c r="M18" s="7">
        <f t="shared" ca="1" si="15"/>
        <v>38.370000000000459</v>
      </c>
      <c r="N18" s="7">
        <f t="shared" ca="1" si="15"/>
        <v>56.080000000000041</v>
      </c>
      <c r="O18" s="7">
        <f t="shared" ca="1" si="15"/>
        <v>567.87000000000057</v>
      </c>
      <c r="P18" s="7"/>
      <c r="Q18" s="7"/>
      <c r="R18" s="7"/>
      <c r="S18" s="7"/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VCYT US EQUITY</v>
      </c>
      <c r="V18" s="24">
        <f ca="1"/>
        <v>45747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2.5368</v>
      </c>
      <c r="AA18" s="32" t="str">
        <f ca="1"/>
        <v>734.45</v>
      </c>
      <c r="AB18" s="32" t="str">
        <f ca="1"/>
        <v/>
      </c>
      <c r="AC18" s="32" t="str">
        <f ca="1"/>
        <v/>
      </c>
      <c r="AD18" s="32" t="str">
        <f ca="1"/>
        <v>-98.25</v>
      </c>
    </row>
    <row r="19" spans="1:30" x14ac:dyDescent="0.4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t="str">
        <f ca="1"/>
        <v>VCYT US EQUITY</v>
      </c>
      <c r="V19" s="24">
        <f ca="1"/>
        <v>45838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-4.0472</v>
      </c>
      <c r="AA19" s="32" t="str">
        <f ca="1"/>
        <v>-807.24</v>
      </c>
      <c r="AB19" s="32" t="str">
        <f ca="1"/>
        <v/>
      </c>
      <c r="AC19" s="32" t="str">
        <f ca="1"/>
        <v/>
      </c>
      <c r="AD19" s="32" t="str">
        <f ca="1"/>
        <v>-658.4</v>
      </c>
    </row>
    <row r="20" spans="1:30" x14ac:dyDescent="0.4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VCYT US EQUITY</v>
      </c>
      <c r="V20" s="24">
        <f ca="1"/>
        <v>45930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17.4002</v>
      </c>
      <c r="AA20" s="32" t="str">
        <f ca="1"/>
        <v>702.82</v>
      </c>
      <c r="AB20" s="32" t="str">
        <f ca="1"/>
        <v/>
      </c>
      <c r="AC20" s="32" t="str">
        <f ca="1"/>
        <v/>
      </c>
      <c r="AD20" s="32" t="str">
        <f ca="1"/>
        <v>2144.74</v>
      </c>
    </row>
    <row r="21" spans="1:30" x14ac:dyDescent="0.45">
      <c r="C21" s="4" t="s">
        <v>5</v>
      </c>
      <c r="D21" s="1"/>
      <c r="K21" s="7"/>
      <c r="L21" s="7">
        <f ca="1">(L17-K17)*100</f>
        <v>70.109999999999673</v>
      </c>
      <c r="M21" s="7">
        <f t="shared" ref="M21:O21" ca="1" si="16">(M17-L17)*100</f>
        <v>155.93000000000075</v>
      </c>
      <c r="N21" s="7">
        <f t="shared" ca="1" si="16"/>
        <v>25.790000000000646</v>
      </c>
      <c r="O21" s="7">
        <f t="shared" ca="1" si="16"/>
        <v>316.03999999999957</v>
      </c>
      <c r="P21" s="7"/>
      <c r="Q21" s="7"/>
      <c r="R21" s="7"/>
      <c r="S21" s="7"/>
      <c r="U21" s="24" t="str">
        <f ca="1"/>
        <v>VCYT US EQUITY</v>
      </c>
      <c r="V21" s="24">
        <f ca="1"/>
        <v>46022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>26.4477</v>
      </c>
      <c r="AA21" s="32" t="str">
        <f ca="1"/>
        <v>2292.84</v>
      </c>
      <c r="AB21" s="32" t="str">
        <f ca="1"/>
        <v/>
      </c>
      <c r="AC21" s="32" t="str">
        <f ca="1"/>
        <v/>
      </c>
      <c r="AD21" s="32" t="str">
        <f ca="1"/>
        <v>904.75</v>
      </c>
    </row>
    <row r="22" spans="1:30" x14ac:dyDescent="0.45">
      <c r="T22" s="1"/>
      <c r="U22" s="24" t="str">
        <f ca="1"/>
        <v>VCYT US EQUITY</v>
      </c>
      <c r="V22" s="24">
        <f ca="1"/>
        <v>0</v>
      </c>
      <c r="W22" s="24" t="str">
        <f ca="1"/>
        <v>canonical</v>
      </c>
      <c r="X22" s="24" t="str">
        <f ca="1"/>
        <v>operating_margin_gaap</v>
      </c>
      <c r="Y22" s="24" t="str">
        <f ca="1"/>
        <v/>
      </c>
      <c r="Z22" s="32" t="str">
        <f ca="1"/>
        <v/>
      </c>
      <c r="AA22" s="32" t="str">
        <f ca="1"/>
        <v/>
      </c>
      <c r="AB22" s="32" t="str">
        <f ca="1"/>
        <v/>
      </c>
      <c r="AC22" s="32" t="str">
        <f ca="1"/>
        <v/>
      </c>
      <c r="AD22" s="32" t="str">
        <f ca="1"/>
        <v/>
      </c>
    </row>
    <row r="23" spans="1:30" x14ac:dyDescent="0.45">
      <c r="C23" s="13" t="s">
        <v>12</v>
      </c>
      <c r="D23" s="14">
        <f ca="1">EOMONTH(DATE(YEAR(D25),ROUNDUP(MONTH(D25)/3,0)*3,1),0)</f>
        <v>45016</v>
      </c>
      <c r="E23" s="14">
        <f ca="1">EOMONTH(DATE(YEAR(E25),ROUNDUP(MONTH(E25)/3,0)*3,1),0)</f>
        <v>45107</v>
      </c>
      <c r="F23" s="14">
        <f ca="1">EOMONTH(DATE(YEAR(F25),ROUNDUP(MONTH(F25)/3,0)*3,1),0)</f>
        <v>45199</v>
      </c>
      <c r="G23" s="14">
        <f t="shared" ref="G23:K23" ca="1" si="17">EOMONTH(DATE(YEAR(G25),ROUNDUP(MONTH(G25)/3,0)*3,1),0)</f>
        <v>45291</v>
      </c>
      <c r="H23" s="14">
        <f t="shared" ca="1" si="17"/>
        <v>45382</v>
      </c>
      <c r="I23" s="14">
        <f t="shared" ca="1" si="17"/>
        <v>45473</v>
      </c>
      <c r="J23" s="14">
        <f t="shared" ca="1" si="17"/>
        <v>45565</v>
      </c>
      <c r="K23" s="14">
        <f t="shared" ca="1" si="17"/>
        <v>45657</v>
      </c>
      <c r="L23" s="14">
        <f ca="1">EOMONTH(DATE(YEAR(L25),ROUNDUP(MONTH(L25)/3,0)*3,1),0)</f>
        <v>45747</v>
      </c>
      <c r="M23" s="14">
        <f ca="1">EOMONTH(DATE(YEAR(M25),ROUNDUP(MONTH(M25)/3,0)*3,1),0)</f>
        <v>45838</v>
      </c>
      <c r="N23" s="14">
        <f ca="1">EOMONTH(DATE(YEAR(N25),ROUNDUP(MONTH(N25)/3,0)*3,1),0)</f>
        <v>45930</v>
      </c>
      <c r="O23" s="14">
        <f ca="1">EOMONTH(DATE(YEAR(O25),ROUNDUP(MONTH(O25)/3,0)*3,1),0)</f>
        <v>46022</v>
      </c>
      <c r="P23" s="14"/>
      <c r="Q23" s="14"/>
      <c r="R23" s="14"/>
      <c r="S23" s="14"/>
      <c r="U23" s="24" t="str">
        <f ca="1"/>
        <v>VCYT US EQUITY</v>
      </c>
      <c r="V23" s="24">
        <f ca="1"/>
        <v>0</v>
      </c>
      <c r="W23" s="24" t="str">
        <f ca="1"/>
        <v>canonical</v>
      </c>
      <c r="X23" s="24" t="str">
        <f ca="1"/>
        <v>operating_margin_gaap</v>
      </c>
      <c r="Y23" s="24" t="str">
        <f ca="1"/>
        <v/>
      </c>
      <c r="Z23" s="32" t="str">
        <f ca="1"/>
        <v/>
      </c>
      <c r="AA23" s="32" t="str">
        <f ca="1"/>
        <v/>
      </c>
      <c r="AB23" s="32" t="str">
        <f ca="1"/>
        <v/>
      </c>
      <c r="AC23" s="32" t="str">
        <f ca="1"/>
        <v/>
      </c>
      <c r="AD23" s="32" t="str">
        <f ca="1"/>
        <v/>
      </c>
    </row>
    <row r="24" spans="1:30" x14ac:dyDescent="0.4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14"/>
      <c r="Q24" s="14"/>
      <c r="R24" s="14"/>
      <c r="S24" s="14"/>
      <c r="U24" s="24" t="str">
        <f ca="1"/>
        <v>VCYT US EQUITY</v>
      </c>
      <c r="V24" s="24">
        <f ca="1"/>
        <v>0</v>
      </c>
      <c r="W24" s="24" t="str">
        <f ca="1"/>
        <v>canonical</v>
      </c>
      <c r="X24" s="24" t="str">
        <f ca="1"/>
        <v>operating_margin_gaap</v>
      </c>
      <c r="Y24" s="24" t="str">
        <f ca="1"/>
        <v/>
      </c>
      <c r="Z24" s="32" t="str">
        <f ca="1"/>
        <v/>
      </c>
      <c r="AA24" s="32" t="str">
        <f ca="1"/>
        <v/>
      </c>
      <c r="AB24" s="32" t="str">
        <f ca="1"/>
        <v/>
      </c>
      <c r="AC24" s="32" t="str">
        <f ca="1"/>
        <v/>
      </c>
      <c r="AD24" s="32" t="str">
        <f ca="1"/>
        <v/>
      </c>
    </row>
    <row r="25" spans="1:30" x14ac:dyDescent="0.45">
      <c r="D25" s="1" cm="1">
        <f t="array" aca="1" ref="D25:O26" ca="1">+_xll.BDH($B$2,C26,$B$3,$B$4,"DIR=H")</f>
        <v>45016</v>
      </c>
      <c r="E25" s="1">
        <f ca="1"/>
        <v>45107</v>
      </c>
      <c r="F25" s="1">
        <f ca="1"/>
        <v>45199</v>
      </c>
      <c r="G25" s="1">
        <f ca="1"/>
        <v>45291</v>
      </c>
      <c r="H25" s="1">
        <f ca="1"/>
        <v>45382</v>
      </c>
      <c r="I25" s="1">
        <f ca="1"/>
        <v>45473</v>
      </c>
      <c r="J25" s="1">
        <f ca="1"/>
        <v>45565</v>
      </c>
      <c r="K25" s="1">
        <f ca="1"/>
        <v>45657</v>
      </c>
      <c r="L25" s="1">
        <f ca="1"/>
        <v>45747</v>
      </c>
      <c r="M25" s="1">
        <f ca="1"/>
        <v>45838</v>
      </c>
      <c r="N25" s="1">
        <f ca="1"/>
        <v>45930</v>
      </c>
      <c r="O25" s="1">
        <f ca="1"/>
        <v>46022</v>
      </c>
      <c r="P25" s="2"/>
      <c r="Q25" s="2"/>
      <c r="R25" s="2"/>
      <c r="S25" s="2"/>
      <c r="U25" s="24" t="str">
        <f ca="1"/>
        <v>VCYT US EQUITY</v>
      </c>
      <c r="V25" s="24">
        <f ca="1"/>
        <v>0</v>
      </c>
      <c r="W25" s="24" t="str">
        <f ca="1"/>
        <v>canonical</v>
      </c>
      <c r="X25" s="24" t="str">
        <f ca="1"/>
        <v>operating_margin_gaap</v>
      </c>
      <c r="Y25" s="24" t="str">
        <f ca="1"/>
        <v/>
      </c>
      <c r="Z25" s="32" t="str">
        <f ca="1"/>
        <v/>
      </c>
      <c r="AA25" s="32" t="str">
        <f ca="1"/>
        <v/>
      </c>
      <c r="AB25" s="32" t="str">
        <f ca="1"/>
        <v/>
      </c>
      <c r="AC25" s="32" t="str">
        <f ca="1"/>
        <v/>
      </c>
      <c r="AD25" s="32" t="str">
        <f ca="1"/>
        <v/>
      </c>
    </row>
    <row r="26" spans="1:30" x14ac:dyDescent="0.45">
      <c r="A26" s="16" t="s">
        <v>9</v>
      </c>
      <c r="B26" s="16" t="s">
        <v>15</v>
      </c>
      <c r="C26" s="9" t="s">
        <v>7</v>
      </c>
      <c r="D26" s="3">
        <f ca="1"/>
        <v>-12.7369</v>
      </c>
      <c r="E26" s="3">
        <f ca="1"/>
        <v>-8.9137000000000004</v>
      </c>
      <c r="F26" s="3">
        <f ca="1"/>
        <v>-35.223300000000002</v>
      </c>
      <c r="G26" s="3">
        <f ca="1"/>
        <v>-36.158200000000001</v>
      </c>
      <c r="H26" s="3">
        <f ca="1"/>
        <v>-4.8076999999999996</v>
      </c>
      <c r="I26" s="3">
        <f ca="1"/>
        <v>4.0251999999999999</v>
      </c>
      <c r="J26" s="3">
        <f ca="1"/>
        <v>10.372</v>
      </c>
      <c r="K26" s="3">
        <f ca="1"/>
        <v>3.5192999999999999</v>
      </c>
      <c r="L26" s="3">
        <f ca="1"/>
        <v>2.5367999999999999</v>
      </c>
      <c r="M26" s="3">
        <f ca="1"/>
        <v>-4.0472000000000001</v>
      </c>
      <c r="N26" s="3">
        <f ca="1"/>
        <v>17.400200000000002</v>
      </c>
      <c r="O26" s="3">
        <f ca="1"/>
        <v>26.447700000000001</v>
      </c>
      <c r="P26" s="29"/>
      <c r="Q26" s="29"/>
      <c r="R26" s="29"/>
      <c r="S26" s="29"/>
      <c r="U26" s="24" t="str" cm="1">
        <f t="array" aca="1" ref="U26:AD33" ca="1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VCYT US EQUITY</v>
      </c>
      <c r="V26" s="24">
        <f ca="1"/>
        <v>45747</v>
      </c>
      <c r="W26" s="24" t="str">
        <f ca="1"/>
        <v>custom</v>
      </c>
      <c r="X26" s="24" t="str">
        <f ca="1"/>
        <v>test_volume</v>
      </c>
      <c r="Y26" s="24" t="str">
        <f ca="1"/>
        <v>actual</v>
      </c>
      <c r="Z26" s="32" t="str">
        <f ca="1"/>
        <v>38100</v>
      </c>
      <c r="AA26" s="32" t="str">
        <f ca="1"/>
        <v>0.232052774544043</v>
      </c>
      <c r="AB26" s="32" t="str">
        <f ca="1"/>
        <v>-199.321146863316</v>
      </c>
      <c r="AC26" s="32" t="str">
        <f ca="1"/>
        <v>375.224902424365</v>
      </c>
      <c r="AD26" s="32" t="str">
        <f ca="1"/>
        <v>-0.0257498657529343</v>
      </c>
    </row>
    <row r="27" spans="1:30" x14ac:dyDescent="0.45">
      <c r="C27" s="4" t="s">
        <v>4</v>
      </c>
      <c r="D27" s="5"/>
      <c r="E27" s="4"/>
      <c r="F27" s="4"/>
      <c r="G27" s="4"/>
      <c r="H27" s="7">
        <f t="shared" ref="H27:O27" ca="1" si="18">(H26-D26)*100</f>
        <v>792.92000000000007</v>
      </c>
      <c r="I27" s="7">
        <f t="shared" ca="1" si="18"/>
        <v>1293.8900000000001</v>
      </c>
      <c r="J27" s="7">
        <f t="shared" ca="1" si="18"/>
        <v>4559.53</v>
      </c>
      <c r="K27" s="7">
        <f t="shared" ca="1" si="18"/>
        <v>3967.75</v>
      </c>
      <c r="L27" s="7">
        <f t="shared" ca="1" si="18"/>
        <v>734.45</v>
      </c>
      <c r="M27" s="7">
        <f t="shared" ca="1" si="18"/>
        <v>-807.24</v>
      </c>
      <c r="N27" s="7">
        <f t="shared" ca="1" si="18"/>
        <v>702.82000000000016</v>
      </c>
      <c r="O27" s="7">
        <f t="shared" ca="1" si="18"/>
        <v>2292.84</v>
      </c>
      <c r="P27" s="7"/>
      <c r="Q27" s="7"/>
      <c r="R27" s="7"/>
      <c r="S27" s="7"/>
      <c r="U27" t="str">
        <f ca="1"/>
        <v>VCYT US EQUITY</v>
      </c>
      <c r="V27" s="24">
        <f ca="1"/>
        <v>45838</v>
      </c>
      <c r="W27" s="24" t="str">
        <f ca="1"/>
        <v>custom</v>
      </c>
      <c r="X27" s="24" t="str">
        <f ca="1"/>
        <v>test_volume</v>
      </c>
      <c r="Y27" s="24" t="str">
        <f ca="1"/>
        <v>actual</v>
      </c>
      <c r="Z27" s="32" t="str">
        <f ca="1"/>
        <v>42441</v>
      </c>
      <c r="AA27" s="32" t="str">
        <f ca="1"/>
        <v>0.178916666666667</v>
      </c>
      <c r="AB27" s="32" t="str">
        <f ca="1"/>
        <v>-531.361078773769</v>
      </c>
      <c r="AC27" s="32" t="str">
        <f ca="1"/>
        <v>-599.422066600135</v>
      </c>
      <c r="AD27" s="32" t="str">
        <f ca="1"/>
        <v>0.113937007874016</v>
      </c>
    </row>
    <row r="28" spans="1:30" x14ac:dyDescent="0.4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f ca="1"/>
        <v>VCYT US EQUITY</v>
      </c>
      <c r="V28" s="24">
        <f ca="1"/>
        <v>45930</v>
      </c>
      <c r="W28" s="24" t="str">
        <f ca="1"/>
        <v>custom</v>
      </c>
      <c r="X28" s="24" t="str">
        <f ca="1"/>
        <v>test_volume</v>
      </c>
      <c r="Y28" s="24" t="str">
        <f ca="1"/>
        <v>actual</v>
      </c>
      <c r="Z28" s="32" t="str">
        <f ca="1"/>
        <v>43700</v>
      </c>
      <c r="AA28" s="32" t="str">
        <f ca="1"/>
        <v>0.187758208306154</v>
      </c>
      <c r="AB28" s="32" t="str">
        <f ca="1"/>
        <v>88.4154163948692</v>
      </c>
      <c r="AC28" s="32" t="str">
        <f ca="1"/>
        <v>-512.799812270854</v>
      </c>
      <c r="AD28" s="32" t="str">
        <f ca="1"/>
        <v>0.0296647110105794</v>
      </c>
    </row>
    <row r="29" spans="1:30" x14ac:dyDescent="0.4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f ca="1"/>
        <v>VCYT US EQUITY</v>
      </c>
      <c r="V29" s="24">
        <f ca="1"/>
        <v>46022</v>
      </c>
      <c r="W29" s="24" t="str">
        <f ca="1"/>
        <v>custom</v>
      </c>
      <c r="X29" s="24" t="str">
        <f ca="1"/>
        <v>test_volume</v>
      </c>
      <c r="Y29" s="24" t="str">
        <f ca="1"/>
        <v>actual</v>
      </c>
      <c r="Z29" s="32" t="str">
        <f ca="1"/>
        <v>45450</v>
      </c>
      <c r="AA29" s="32" t="str">
        <f ca="1"/>
        <v>0.162196026286854</v>
      </c>
      <c r="AB29" s="32" t="str">
        <f ca="1"/>
        <v>-255.621820192995</v>
      </c>
      <c r="AC29" s="32" t="str">
        <f ca="1"/>
        <v>-897.888629435211</v>
      </c>
      <c r="AD29" s="32" t="str">
        <f ca="1"/>
        <v>0.0400457665903891</v>
      </c>
    </row>
    <row r="30" spans="1:30" x14ac:dyDescent="0.45">
      <c r="C30" s="4" t="s">
        <v>5</v>
      </c>
      <c r="D30" s="1"/>
      <c r="K30" s="7"/>
      <c r="L30" s="7">
        <f ca="1">(L26-K26)*100</f>
        <v>-98.25</v>
      </c>
      <c r="M30" s="7">
        <f t="shared" ref="M30:O30" ca="1" si="19">(M26-L26)*100</f>
        <v>-658.4</v>
      </c>
      <c r="N30" s="7">
        <f t="shared" ca="1" si="19"/>
        <v>2144.7400000000002</v>
      </c>
      <c r="O30" s="7">
        <f t="shared" ca="1" si="19"/>
        <v>904.75</v>
      </c>
      <c r="P30" s="7"/>
      <c r="Q30" s="7"/>
      <c r="R30" s="7"/>
      <c r="S30" s="7"/>
      <c r="U30" s="24" t="str">
        <f ca="1"/>
        <v>VCYT US EQUITY</v>
      </c>
      <c r="V30" s="24">
        <f ca="1"/>
        <v>46112</v>
      </c>
      <c r="W30" s="24" t="str">
        <f ca="1"/>
        <v>custom</v>
      </c>
      <c r="X30" s="24" t="str">
        <f ca="1"/>
        <v>test_volume</v>
      </c>
      <c r="Y30" s="24" t="str">
        <f ca="1"/>
        <v>forecast</v>
      </c>
      <c r="Z30" s="32" t="str">
        <f ca="1"/>
        <v>43621</v>
      </c>
      <c r="AA30" s="32" t="str">
        <f ca="1"/>
        <v>0.14490813648294</v>
      </c>
      <c r="AB30" s="32" t="str">
        <f ca="1"/>
        <v>-172.878898039144</v>
      </c>
      <c r="AC30" s="32" t="str">
        <f ca="1"/>
        <v>-871.446380611038</v>
      </c>
      <c r="AD30" s="32" t="str">
        <f ca="1"/>
        <v>-0.0402420242024203</v>
      </c>
    </row>
    <row r="31" spans="1:30" x14ac:dyDescent="0.4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f ca="1"/>
        <v>VCYT US EQUITY</v>
      </c>
      <c r="V31" s="24">
        <f ca="1"/>
        <v>46203</v>
      </c>
      <c r="W31" s="24" t="str">
        <f ca="1"/>
        <v>custom</v>
      </c>
      <c r="X31" s="24" t="str">
        <f ca="1"/>
        <v>test_volume</v>
      </c>
      <c r="Y31" s="24" t="str">
        <f ca="1"/>
        <v>forecast</v>
      </c>
      <c r="Z31" s="32" t="str">
        <f ca="1"/>
        <v>49491.87</v>
      </c>
      <c r="AA31" s="32" t="str">
        <f ca="1"/>
        <v>0.166133455856365</v>
      </c>
      <c r="AB31" s="32" t="str">
        <f ca="1"/>
        <v>212.253193734258</v>
      </c>
      <c r="AC31" s="32" t="str">
        <f ca="1"/>
        <v>-127.832108103012</v>
      </c>
      <c r="AD31" s="32" t="str">
        <f ca="1"/>
        <v>0.134588157080305</v>
      </c>
    </row>
    <row r="32" spans="1:30" x14ac:dyDescent="0.45">
      <c r="C32" s="13" t="s">
        <v>12</v>
      </c>
      <c r="D32" s="14">
        <f t="shared" ref="D32:L32" ca="1" si="20">EOMONTH(DATE(YEAR(D34),ROUNDUP(MONTH(D34)/3,0)*3,1),0)</f>
        <v>45016</v>
      </c>
      <c r="E32" s="14">
        <f t="shared" ca="1" si="20"/>
        <v>45107</v>
      </c>
      <c r="F32" s="14">
        <f t="shared" ca="1" si="20"/>
        <v>45199</v>
      </c>
      <c r="G32" s="14">
        <f t="shared" ca="1" si="20"/>
        <v>45291</v>
      </c>
      <c r="H32" s="14">
        <f t="shared" ca="1" si="20"/>
        <v>45382</v>
      </c>
      <c r="I32" s="14">
        <f t="shared" ca="1" si="20"/>
        <v>45473</v>
      </c>
      <c r="J32" s="14">
        <f t="shared" ca="1" si="20"/>
        <v>45565</v>
      </c>
      <c r="K32" s="14">
        <f t="shared" ca="1" si="20"/>
        <v>45657</v>
      </c>
      <c r="L32" s="14">
        <f t="shared" ca="1" si="20"/>
        <v>45747</v>
      </c>
      <c r="M32" s="14">
        <f ca="1">EOMONTH(DATE(YEAR(M34),ROUNDUP(MONTH(M34)/3,0)*3,1),0)</f>
        <v>45838</v>
      </c>
      <c r="N32" s="14">
        <f ca="1">EOMONTH(DATE(YEAR(N34),ROUNDUP(MONTH(N34)/3,0)*3,1),0)</f>
        <v>45930</v>
      </c>
      <c r="O32" s="14">
        <f ca="1">EOMONTH(DATE(YEAR(O34),ROUNDUP(MONTH(O34)/3,0)*3,1),0)</f>
        <v>46022</v>
      </c>
      <c r="P32" s="14">
        <f t="shared" ref="P32:S32" si="21">EOMONTH(DATE(YEAR(P34),ROUNDUP(MONTH(P34)/3,0)*3,1),0)</f>
        <v>46112</v>
      </c>
      <c r="Q32" s="14">
        <f t="shared" si="21"/>
        <v>46203</v>
      </c>
      <c r="R32" s="14">
        <f t="shared" si="21"/>
        <v>46295</v>
      </c>
      <c r="S32" s="14">
        <f t="shared" si="21"/>
        <v>46387</v>
      </c>
      <c r="U32" s="24" t="str">
        <f ca="1"/>
        <v>VCYT US EQUITY</v>
      </c>
      <c r="V32" s="24">
        <f ca="1"/>
        <v>46295</v>
      </c>
      <c r="W32" s="24" t="str">
        <f ca="1"/>
        <v>custom</v>
      </c>
      <c r="X32" s="24" t="str">
        <f ca="1"/>
        <v>test_volume</v>
      </c>
      <c r="Y32" s="24" t="str">
        <f ca="1"/>
        <v>forecast</v>
      </c>
      <c r="Z32" s="32" t="str">
        <f ca="1"/>
        <v>49283</v>
      </c>
      <c r="AA32" s="32" t="str">
        <f ca="1"/>
        <v>0.127757437070938</v>
      </c>
      <c r="AB32" s="32" t="str">
        <f ca="1"/>
        <v>-383.760187854272</v>
      </c>
      <c r="AC32" s="32" t="str">
        <f ca="1"/>
        <v>-600.007712352153</v>
      </c>
      <c r="AD32" s="32" t="str">
        <f ca="1"/>
        <v>-0.00422028911011041</v>
      </c>
    </row>
    <row r="33" spans="1:30" x14ac:dyDescent="0.45">
      <c r="C33" s="13" t="s">
        <v>35</v>
      </c>
      <c r="D33" s="2" t="str">
        <f t="shared" ref="D33:S33" si="22">+D$6</f>
        <v>actual</v>
      </c>
      <c r="E33" s="2" t="str">
        <f t="shared" si="22"/>
        <v>actual</v>
      </c>
      <c r="F33" s="2" t="str">
        <f t="shared" si="22"/>
        <v>actual</v>
      </c>
      <c r="G33" s="2" t="str">
        <f t="shared" si="22"/>
        <v>actual</v>
      </c>
      <c r="H33" s="2" t="str">
        <f t="shared" si="22"/>
        <v>actual</v>
      </c>
      <c r="I33" s="2" t="str">
        <f t="shared" si="22"/>
        <v>actual</v>
      </c>
      <c r="J33" s="2" t="str">
        <f t="shared" si="22"/>
        <v>actual</v>
      </c>
      <c r="K33" s="2" t="str">
        <f t="shared" si="22"/>
        <v>actual</v>
      </c>
      <c r="L33" s="2" t="str">
        <f t="shared" si="22"/>
        <v>actual</v>
      </c>
      <c r="M33" s="2" t="str">
        <f t="shared" si="22"/>
        <v>actual</v>
      </c>
      <c r="N33" s="2" t="str">
        <f t="shared" si="22"/>
        <v>actual</v>
      </c>
      <c r="O33" s="2" t="str">
        <f t="shared" si="22"/>
        <v>actual</v>
      </c>
      <c r="P33" s="2" t="str">
        <f t="shared" si="22"/>
        <v>forecast</v>
      </c>
      <c r="Q33" s="2" t="str">
        <f t="shared" si="22"/>
        <v>forecast</v>
      </c>
      <c r="R33" s="2" t="str">
        <f t="shared" si="22"/>
        <v>forecast</v>
      </c>
      <c r="S33" s="2" t="str">
        <f t="shared" si="22"/>
        <v>forecast</v>
      </c>
      <c r="U33" s="24" t="str">
        <f ca="1"/>
        <v>VCYT US EQUITY</v>
      </c>
      <c r="V33" s="24">
        <f ca="1"/>
        <v>46387</v>
      </c>
      <c r="W33" s="24" t="str">
        <f ca="1"/>
        <v>custom</v>
      </c>
      <c r="X33" s="24" t="str">
        <f ca="1"/>
        <v>test_volume</v>
      </c>
      <c r="Y33" s="24" t="str">
        <f ca="1"/>
        <v>forecast</v>
      </c>
      <c r="Z33" s="32" t="str">
        <f ca="1"/>
        <v>51620</v>
      </c>
      <c r="AA33" s="32" t="str">
        <f ca="1"/>
        <v>0.135753575357536</v>
      </c>
      <c r="AB33" s="32" t="str">
        <f ca="1"/>
        <v>79.9613828659762</v>
      </c>
      <c r="AC33" s="32" t="str">
        <f ca="1"/>
        <v>-264.424509293182</v>
      </c>
      <c r="AD33" s="32" t="str">
        <f ca="1"/>
        <v>0.0474200028407361</v>
      </c>
    </row>
    <row r="34" spans="1:30" x14ac:dyDescent="0.45">
      <c r="D34" s="2">
        <f t="shared" ref="D34:S34" ca="1" si="23">+D$7</f>
        <v>45016</v>
      </c>
      <c r="E34" s="2">
        <f t="shared" ca="1" si="23"/>
        <v>45107</v>
      </c>
      <c r="F34" s="2">
        <f t="shared" ca="1" si="23"/>
        <v>45199</v>
      </c>
      <c r="G34" s="2">
        <f t="shared" ca="1" si="23"/>
        <v>45291</v>
      </c>
      <c r="H34" s="2">
        <f t="shared" ca="1" si="23"/>
        <v>45382</v>
      </c>
      <c r="I34" s="2">
        <f t="shared" ca="1" si="23"/>
        <v>45473</v>
      </c>
      <c r="J34" s="2">
        <f t="shared" ca="1" si="23"/>
        <v>45565</v>
      </c>
      <c r="K34" s="2">
        <f t="shared" ca="1" si="23"/>
        <v>45657</v>
      </c>
      <c r="L34" s="2">
        <f t="shared" ca="1" si="23"/>
        <v>45747</v>
      </c>
      <c r="M34" s="2">
        <f t="shared" ca="1" si="23"/>
        <v>45838</v>
      </c>
      <c r="N34" s="2">
        <f t="shared" ca="1" si="23"/>
        <v>45930</v>
      </c>
      <c r="O34" s="2">
        <f t="shared" ca="1" si="23"/>
        <v>46022</v>
      </c>
      <c r="P34" s="2">
        <f t="shared" si="23"/>
        <v>46112</v>
      </c>
      <c r="Q34" s="2">
        <f t="shared" si="23"/>
        <v>46203</v>
      </c>
      <c r="R34" s="2">
        <f t="shared" si="23"/>
        <v>46295</v>
      </c>
      <c r="S34" s="2">
        <f t="shared" si="23"/>
        <v>46387</v>
      </c>
      <c r="U34" s="24" t="str" cm="1">
        <f t="array" aca="1" ref="U34:AD41" ca="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VCYT US EQUITY</v>
      </c>
      <c r="V34" s="24">
        <f ca="1"/>
        <v>45747</v>
      </c>
      <c r="W34" s="24" t="str">
        <f ca="1"/>
        <v>custom</v>
      </c>
      <c r="X34" s="24" t="str">
        <f ca="1"/>
        <v>revenue_per_test</v>
      </c>
      <c r="Y34" s="24" t="str">
        <f ca="1"/>
        <v>actual</v>
      </c>
      <c r="Z34" s="32" t="str">
        <f ca="1"/>
        <v>2816.50918635171</v>
      </c>
      <c r="AA34" s="32" t="str">
        <f ca="1"/>
        <v>-0.0354946117101297</v>
      </c>
      <c r="AB34" s="32" t="str">
        <f ca="1"/>
        <v>-265.811406799241</v>
      </c>
      <c r="AC34" s="32" t="str">
        <f ca="1"/>
        <v>-797.108498140019</v>
      </c>
      <c r="AD34" s="32" t="str">
        <f ca="1"/>
        <v>-0.0178933523195649</v>
      </c>
    </row>
    <row r="35" spans="1:30" x14ac:dyDescent="0.45">
      <c r="A35" s="16" t="s">
        <v>21</v>
      </c>
      <c r="B35" s="16" t="s">
        <v>33</v>
      </c>
      <c r="C35" s="2" t="s">
        <v>31</v>
      </c>
      <c r="D35" s="31">
        <v>25888</v>
      </c>
      <c r="E35" s="31">
        <v>29059</v>
      </c>
      <c r="F35" s="31">
        <v>29694</v>
      </c>
      <c r="G35" s="31">
        <v>31236</v>
      </c>
      <c r="H35" s="31">
        <v>30924</v>
      </c>
      <c r="I35" s="31">
        <v>36000</v>
      </c>
      <c r="J35" s="31">
        <v>36792</v>
      </c>
      <c r="K35" s="31">
        <v>39107</v>
      </c>
      <c r="L35" s="31">
        <v>38100</v>
      </c>
      <c r="M35" s="31">
        <v>42441</v>
      </c>
      <c r="N35" s="31">
        <v>43700</v>
      </c>
      <c r="O35" s="31">
        <v>45450</v>
      </c>
      <c r="P35" s="31">
        <v>43621</v>
      </c>
      <c r="Q35" s="31">
        <v>49491.87</v>
      </c>
      <c r="R35" s="31">
        <v>49283</v>
      </c>
      <c r="S35" s="31">
        <v>51620</v>
      </c>
      <c r="U35" t="str">
        <f ca="1"/>
        <v>VCYT US EQUITY</v>
      </c>
      <c r="V35" s="24">
        <f ca="1"/>
        <v>45838</v>
      </c>
      <c r="W35" s="24" t="str">
        <f ca="1"/>
        <v>custom</v>
      </c>
      <c r="X35" s="24" t="str">
        <f ca="1"/>
        <v>revenue_per_test</v>
      </c>
      <c r="Y35" s="24" t="str">
        <f ca="1"/>
        <v>actual</v>
      </c>
      <c r="Z35" s="32" t="str">
        <f ca="1"/>
        <v>2880.77566504088</v>
      </c>
      <c r="AA35" s="32" t="str">
        <f ca="1"/>
        <v>-0.030495242203686</v>
      </c>
      <c r="AB35" s="32" t="str">
        <f ca="1"/>
        <v>49.9936950644364</v>
      </c>
      <c r="AC35" s="32" t="str">
        <f ca="1"/>
        <v>-867.233272227349</v>
      </c>
      <c r="AD35" s="32" t="str">
        <f ca="1"/>
        <v>0.0228177770555831</v>
      </c>
    </row>
    <row r="36" spans="1:30" x14ac:dyDescent="0.45">
      <c r="C36" s="4" t="s">
        <v>4</v>
      </c>
      <c r="D36" s="5"/>
      <c r="E36" s="4"/>
      <c r="F36" s="4"/>
      <c r="G36" s="4"/>
      <c r="H36" s="12">
        <f t="shared" ref="H36" si="24">+H35/D35-1</f>
        <v>0.19453028430160701</v>
      </c>
      <c r="I36" s="12">
        <f t="shared" ref="I36" si="25">+I35/E35-1</f>
        <v>0.2388588733266801</v>
      </c>
      <c r="J36" s="12">
        <f t="shared" ref="J36" si="26">+J35/F35-1</f>
        <v>0.23903818953323897</v>
      </c>
      <c r="K36" s="12">
        <f t="shared" ref="K36" si="27">+K35/G35-1</f>
        <v>0.2519848892303751</v>
      </c>
      <c r="L36" s="12">
        <f t="shared" ref="L36" si="28">+L35/H35-1</f>
        <v>0.23205277454404349</v>
      </c>
      <c r="M36" s="12">
        <f t="shared" ref="M36" si="29">+M35/I35-1</f>
        <v>0.17891666666666661</v>
      </c>
      <c r="N36" s="12">
        <f t="shared" ref="N36" si="30">+N35/J35-1</f>
        <v>0.18775820830615353</v>
      </c>
      <c r="O36" s="12">
        <f t="shared" ref="O36" si="31">+O35/K35-1</f>
        <v>0.16219602628685403</v>
      </c>
      <c r="P36" s="12">
        <f t="shared" ref="P36" si="32">+P35/L35-1</f>
        <v>0.14490813648293965</v>
      </c>
      <c r="Q36" s="12">
        <f t="shared" ref="Q36" si="33">+Q35/M35-1</f>
        <v>0.16613345585636541</v>
      </c>
      <c r="R36" s="12">
        <f t="shared" ref="R36" si="34">+R35/N35-1</f>
        <v>0.12775743707093823</v>
      </c>
      <c r="S36" s="12">
        <f t="shared" ref="S36" si="35">+S35/O35-1</f>
        <v>0.13575357535753585</v>
      </c>
      <c r="U36" t="str">
        <f ca="1"/>
        <v>VCYT US EQUITY</v>
      </c>
      <c r="V36" s="24">
        <f ca="1"/>
        <v>45930</v>
      </c>
      <c r="W36" s="24" t="str">
        <f ca="1"/>
        <v>custom</v>
      </c>
      <c r="X36" s="24" t="str">
        <f ca="1"/>
        <v>revenue_per_test</v>
      </c>
      <c r="Y36" s="24" t="str">
        <f ca="1"/>
        <v>actual</v>
      </c>
      <c r="Z36" s="32" t="str">
        <f ca="1"/>
        <v>2923.47826086957</v>
      </c>
      <c r="AA36" s="32" t="str">
        <f ca="1"/>
        <v>-0.0180341424379833</v>
      </c>
      <c r="AB36" s="32" t="str">
        <f ca="1"/>
        <v>124.610997657028</v>
      </c>
      <c r="AC36" s="32" t="str">
        <f ca="1"/>
        <v>-959.746242518709</v>
      </c>
      <c r="AD36" s="32" t="str">
        <f ca="1"/>
        <v>0.0148232978870568</v>
      </c>
    </row>
    <row r="37" spans="1:30" x14ac:dyDescent="0.45">
      <c r="C37" s="4" t="s">
        <v>19</v>
      </c>
      <c r="D37" s="1"/>
      <c r="L37" s="7">
        <f>(L36-K36)*10000</f>
        <v>-199.32114686331605</v>
      </c>
      <c r="M37" s="7">
        <f>(M36-L36)*10000</f>
        <v>-531.36107877376878</v>
      </c>
      <c r="N37" s="7">
        <f>(N36-M36)*10000</f>
        <v>88.415416394869169</v>
      </c>
      <c r="O37" s="7">
        <f>(O36-N36)*10000</f>
        <v>-255.62182019299496</v>
      </c>
      <c r="P37" s="7">
        <f t="shared" ref="P37" si="36">(P36-O36)*10000</f>
        <v>-172.87889803914379</v>
      </c>
      <c r="Q37" s="7">
        <f t="shared" ref="Q37" si="37">(Q36-P36)*10000</f>
        <v>212.25319373425754</v>
      </c>
      <c r="R37" s="7">
        <f t="shared" ref="R37" si="38">(R36-Q36)*10000</f>
        <v>-383.76018785427181</v>
      </c>
      <c r="S37" s="7">
        <f t="shared" ref="S37" si="39">(S36-R36)*10000</f>
        <v>79.961382865976205</v>
      </c>
      <c r="U37" t="str">
        <f ca="1"/>
        <v>VCYT US EQUITY</v>
      </c>
      <c r="V37" s="24">
        <f ca="1"/>
        <v>46022</v>
      </c>
      <c r="W37" s="24" t="str">
        <f ca="1"/>
        <v>custom</v>
      </c>
      <c r="X37" s="24" t="str">
        <f ca="1"/>
        <v>revenue_per_test</v>
      </c>
      <c r="Y37" s="24" t="str">
        <f ca="1"/>
        <v>actual</v>
      </c>
      <c r="Z37" s="32" t="str">
        <f ca="1"/>
        <v>2988.47084708471</v>
      </c>
      <c r="AA37" s="32" t="str">
        <f ca="1"/>
        <v>0.0420690617817043</v>
      </c>
      <c r="AB37" s="32" t="str">
        <f ca="1"/>
        <v>601.032042196876</v>
      </c>
      <c r="AC37" s="32" t="str">
        <f ca="1"/>
        <v>509.825328119099</v>
      </c>
      <c r="AD37" s="32" t="str">
        <f ca="1"/>
        <v>0.0222312534644302</v>
      </c>
    </row>
    <row r="38" spans="1:30" x14ac:dyDescent="0.4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375.22490242436481</v>
      </c>
      <c r="M38" s="7">
        <f>(M36-I36)*10000</f>
        <v>-599.42206660013483</v>
      </c>
      <c r="N38" s="7">
        <f>(N36-J36)*10000</f>
        <v>-512.79981227085432</v>
      </c>
      <c r="O38" s="7">
        <f>(O36-K36)*10000</f>
        <v>-897.88862943521065</v>
      </c>
      <c r="P38" s="7">
        <f t="shared" ref="P38" si="40">(P36-L36)*10000</f>
        <v>-871.44638061103842</v>
      </c>
      <c r="Q38" s="7">
        <f t="shared" ref="Q38" si="41">(Q36-M36)*10000</f>
        <v>-127.83210810301205</v>
      </c>
      <c r="R38" s="7">
        <f t="shared" ref="R38" si="42">(R36-N36)*10000</f>
        <v>-600.00771235215302</v>
      </c>
      <c r="S38" s="7">
        <f t="shared" ref="S38" si="43">(S36-O36)*10000</f>
        <v>-264.42450929318181</v>
      </c>
      <c r="U38" t="str">
        <f ca="1"/>
        <v>VCYT US EQUITY</v>
      </c>
      <c r="V38" s="24">
        <f ca="1"/>
        <v>46112</v>
      </c>
      <c r="W38" s="24" t="str">
        <f ca="1"/>
        <v>custom</v>
      </c>
      <c r="X38" s="24" t="str">
        <f ca="1"/>
        <v>revenue_per_test</v>
      </c>
      <c r="Y38" s="24" t="str">
        <f ca="1"/>
        <v>forecast</v>
      </c>
      <c r="Z38" s="32" t="str">
        <f ca="1"/>
        <v>2900</v>
      </c>
      <c r="AA38" s="32" t="str">
        <f ca="1"/>
        <v>0.0296433663532416</v>
      </c>
      <c r="AB38" s="32" t="str">
        <f ca="1"/>
        <v>-124.256954284627</v>
      </c>
      <c r="AC38" s="32" t="str">
        <f ca="1"/>
        <v>651.379780633713</v>
      </c>
      <c r="AD38" s="32" t="str">
        <f ca="1"/>
        <v>-0.0296040522433113</v>
      </c>
    </row>
    <row r="39" spans="1:30" x14ac:dyDescent="0.45">
      <c r="C39" s="4" t="s">
        <v>5</v>
      </c>
      <c r="D39" s="1"/>
      <c r="G39" s="7"/>
      <c r="L39" s="12">
        <f t="shared" ref="L39" si="44">L35/K35-1</f>
        <v>-2.5749865752934253E-2</v>
      </c>
      <c r="M39" s="12">
        <f t="shared" ref="M39" si="45">M35/L35-1</f>
        <v>0.11393700787401584</v>
      </c>
      <c r="N39" s="12">
        <f t="shared" ref="N39" si="46">N35/M35-1</f>
        <v>2.9664711010579436E-2</v>
      </c>
      <c r="O39" s="12">
        <f t="shared" ref="O39" si="47">O35/N35-1</f>
        <v>4.0045766590389054E-2</v>
      </c>
      <c r="P39" s="12">
        <f t="shared" ref="P39" si="48">P35/O35-1</f>
        <v>-4.024202420242029E-2</v>
      </c>
      <c r="Q39" s="12">
        <f t="shared" ref="Q39" si="49">Q35/P35-1</f>
        <v>0.13458815708030536</v>
      </c>
      <c r="R39" s="12">
        <f t="shared" ref="R39" si="50">R35/Q35-1</f>
        <v>-4.220289110110409E-3</v>
      </c>
      <c r="S39" s="12">
        <f t="shared" ref="S39" si="51">S35/R35-1</f>
        <v>4.7420002840736108E-2</v>
      </c>
      <c r="U39" t="str">
        <f ca="1"/>
        <v>VCYT US EQUITY</v>
      </c>
      <c r="V39" s="24">
        <f ca="1"/>
        <v>46203</v>
      </c>
      <c r="W39" s="24" t="str">
        <f ca="1"/>
        <v>custom</v>
      </c>
      <c r="X39" s="24" t="str">
        <f ca="1"/>
        <v>revenue_per_test</v>
      </c>
      <c r="Y39" s="24" t="str">
        <f ca="1"/>
        <v>forecast</v>
      </c>
      <c r="Z39" s="32" t="str">
        <f ca="1"/>
        <v>2900</v>
      </c>
      <c r="AA39" s="32" t="str">
        <f ca="1"/>
        <v>0.00667331899266332</v>
      </c>
      <c r="AB39" s="32" t="str">
        <f ca="1"/>
        <v>-229.700473605783</v>
      </c>
      <c r="AC39" s="32" t="str">
        <f ca="1"/>
        <v>371.685611963494</v>
      </c>
      <c r="AD39" s="32" t="str">
        <f ca="1"/>
        <v>0</v>
      </c>
    </row>
    <row r="40" spans="1:30" x14ac:dyDescent="0.4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t="str">
        <f ca="1"/>
        <v>VCYT US EQUITY</v>
      </c>
      <c r="V40" s="24">
        <f ca="1"/>
        <v>46295</v>
      </c>
      <c r="W40" s="24" t="str">
        <f ca="1"/>
        <v>custom</v>
      </c>
      <c r="X40" s="24" t="str">
        <f ca="1"/>
        <v>revenue_per_test</v>
      </c>
      <c r="Y40" s="24" t="str">
        <f ca="1"/>
        <v>forecast</v>
      </c>
      <c r="Z40" s="32" t="str">
        <f ca="1"/>
        <v>2900</v>
      </c>
      <c r="AA40" s="32" t="str">
        <f ca="1"/>
        <v>-0.00803093396787635</v>
      </c>
      <c r="AB40" s="32" t="str">
        <f ca="1"/>
        <v>-147.042529605397</v>
      </c>
      <c r="AC40" s="32" t="str">
        <f ca="1"/>
        <v>100.032084701069</v>
      </c>
      <c r="AD40" s="32" t="str">
        <f ca="1"/>
        <v>0</v>
      </c>
    </row>
    <row r="41" spans="1:30" x14ac:dyDescent="0.45">
      <c r="C41" s="13" t="s">
        <v>12</v>
      </c>
      <c r="D41" s="14">
        <f t="shared" ref="D41:L41" ca="1" si="52">EOMONTH(DATE(YEAR(D43),ROUNDUP(MONTH(D43)/3,0)*3,1),0)</f>
        <v>45016</v>
      </c>
      <c r="E41" s="14">
        <f t="shared" ca="1" si="52"/>
        <v>45107</v>
      </c>
      <c r="F41" s="14">
        <f t="shared" ca="1" si="52"/>
        <v>45199</v>
      </c>
      <c r="G41" s="14">
        <f t="shared" ca="1" si="52"/>
        <v>45291</v>
      </c>
      <c r="H41" s="14">
        <f t="shared" ca="1" si="52"/>
        <v>45382</v>
      </c>
      <c r="I41" s="14">
        <f t="shared" ca="1" si="52"/>
        <v>45473</v>
      </c>
      <c r="J41" s="14">
        <f t="shared" ca="1" si="52"/>
        <v>45565</v>
      </c>
      <c r="K41" s="14">
        <f t="shared" ca="1" si="52"/>
        <v>45657</v>
      </c>
      <c r="L41" s="14">
        <f t="shared" ca="1" si="52"/>
        <v>45747</v>
      </c>
      <c r="M41" s="14">
        <f ca="1">EOMONTH(DATE(YEAR(M43),ROUNDUP(MONTH(M43)/3,0)*3,1),0)</f>
        <v>45838</v>
      </c>
      <c r="N41" s="14">
        <f ca="1">EOMONTH(DATE(YEAR(N43),ROUNDUP(MONTH(N43)/3,0)*3,1),0)</f>
        <v>45930</v>
      </c>
      <c r="O41" s="14">
        <f ca="1">EOMONTH(DATE(YEAR(O43),ROUNDUP(MONTH(O43)/3,0)*3,1),0)</f>
        <v>46022</v>
      </c>
      <c r="P41" s="14">
        <f t="shared" ref="P41:S41" si="53">EOMONTH(DATE(YEAR(P43),ROUNDUP(MONTH(P43)/3,0)*3,1),0)</f>
        <v>46112</v>
      </c>
      <c r="Q41" s="14">
        <f t="shared" si="53"/>
        <v>46203</v>
      </c>
      <c r="R41" s="14">
        <f t="shared" si="53"/>
        <v>46295</v>
      </c>
      <c r="S41" s="14">
        <f t="shared" si="53"/>
        <v>46387</v>
      </c>
      <c r="U41" t="str">
        <f ca="1"/>
        <v>VCYT US EQUITY</v>
      </c>
      <c r="V41" s="24">
        <f ca="1"/>
        <v>46387</v>
      </c>
      <c r="W41" s="24" t="str">
        <f ca="1"/>
        <v>custom</v>
      </c>
      <c r="X41" s="24" t="str">
        <f ca="1"/>
        <v>revenue_per_test</v>
      </c>
      <c r="Y41" s="24" t="str">
        <f ca="1"/>
        <v>forecast</v>
      </c>
      <c r="Z41" s="32" t="str">
        <f ca="1"/>
        <v>2900</v>
      </c>
      <c r="AA41" s="32" t="str">
        <f ca="1"/>
        <v>-0.0296040522433113</v>
      </c>
      <c r="AB41" s="32" t="str">
        <f ca="1"/>
        <v>-215.73118275435</v>
      </c>
      <c r="AC41" s="32" t="str">
        <f ca="1"/>
        <v>-716.731140250156</v>
      </c>
      <c r="AD41" s="32" t="str">
        <f ca="1"/>
        <v>0</v>
      </c>
    </row>
    <row r="42" spans="1:30" x14ac:dyDescent="0.45">
      <c r="C42" s="13" t="s">
        <v>35</v>
      </c>
      <c r="D42" s="2" t="str">
        <f t="shared" ref="D42:S42" si="54">+D$6</f>
        <v>actual</v>
      </c>
      <c r="E42" s="2" t="str">
        <f t="shared" si="54"/>
        <v>actual</v>
      </c>
      <c r="F42" s="2" t="str">
        <f t="shared" si="54"/>
        <v>actual</v>
      </c>
      <c r="G42" s="2" t="str">
        <f t="shared" si="54"/>
        <v>actual</v>
      </c>
      <c r="H42" s="2" t="str">
        <f t="shared" si="54"/>
        <v>actual</v>
      </c>
      <c r="I42" s="2" t="str">
        <f t="shared" si="54"/>
        <v>actual</v>
      </c>
      <c r="J42" s="2" t="str">
        <f t="shared" si="54"/>
        <v>actual</v>
      </c>
      <c r="K42" s="2" t="str">
        <f t="shared" si="54"/>
        <v>actual</v>
      </c>
      <c r="L42" s="2" t="str">
        <f t="shared" si="54"/>
        <v>actual</v>
      </c>
      <c r="M42" s="2" t="str">
        <f t="shared" si="54"/>
        <v>actual</v>
      </c>
      <c r="N42" s="2" t="str">
        <f t="shared" si="54"/>
        <v>actual</v>
      </c>
      <c r="O42" s="2" t="str">
        <f t="shared" si="54"/>
        <v>actual</v>
      </c>
      <c r="P42" s="2" t="str">
        <f t="shared" si="54"/>
        <v>forecast</v>
      </c>
      <c r="Q42" s="2" t="str">
        <f t="shared" si="54"/>
        <v>forecast</v>
      </c>
      <c r="R42" s="2" t="str">
        <f t="shared" si="54"/>
        <v>forecast</v>
      </c>
      <c r="S42" s="2" t="str">
        <f t="shared" si="54"/>
        <v>forecast</v>
      </c>
      <c r="U42" s="24" t="str" cm="1">
        <f t="array" aca="1" ref="U42:AD49" ca="1">_xlfn.LET(
  _xlpm.d, L50:S50,
  _xlpm.s, L51:S51,
  _xlpm.v, L53:S53,
  _xlpm.yy, L54:S54,
  _xlpm.qq, L55:S55,
  _xlpm.dyy, L56:S56,
  _xlpm.dqq, L57:S57,
  _xlpm.dd, TRANSPOSE(_xlpm.d),
  _xlpm.clean, _xlfn.LAMBDA(_xlpm.x, IF(_xlpm.x="","",_xlpm.x)),
_xlfn.HSTACK(
  _xlfn.MAKEARRAY(ROWS(_xlpm.dd),1, _xlfn.LAMBDA(_xlpm.r,_xlpm.c,$B$2)),
  _xlpm.dd,
  _xlfn.MAKEARRAY(ROWS(_xlpm.dd),1, _xlfn.LAMBDA(_xlpm.r,_xlpm.c,A53)),
  _xlfn.MAKEARRAY(ROWS(_xlpm.dd),1, _xlfn.LAMBDA(_xlpm.r,_xlpm.c,B53)),
  CLEAN(TRANSPOSE(_xlpm.s)),
  CLEAN(TRANSPOSE(_xlpm.v)),
  CLEAN(TRANSPOSE(_xlpm.yy)),
  CLEAN(TRANSPOSE(_xlpm.qq)),
  CLEAN(TRANSPOSE(_xlpm.dyy)),
  CLEAN(TRANSPOSE(_xlpm.dqq))
))</f>
        <v>VCYT US EQUITY</v>
      </c>
      <c r="V42">
        <f ca="1"/>
        <v>45747</v>
      </c>
      <c r="W42" t="str">
        <f ca="1"/>
        <v>custom</v>
      </c>
      <c r="X42" t="str">
        <f ca="1"/>
        <v>Afirma</v>
      </c>
      <c r="Y42" t="str">
        <f ca="1"/>
        <v>actual</v>
      </c>
      <c r="Z42" t="str">
        <f ca="1"/>
        <v>15500</v>
      </c>
      <c r="AA42" t="str">
        <f ca="1"/>
        <v>0.107142857142857</v>
      </c>
      <c r="AB42" t="str">
        <f ca="1"/>
        <v>713.014743263853</v>
      </c>
      <c r="AC42" t="str">
        <f ca="1"/>
        <v>614.302787144139</v>
      </c>
      <c r="AD42" t="str">
        <f ca="1"/>
        <v>-0.049079754601227</v>
      </c>
    </row>
    <row r="43" spans="1:30" x14ac:dyDescent="0.45">
      <c r="D43" s="2">
        <f t="shared" ref="D43:S43" ca="1" si="55">+D$7</f>
        <v>45016</v>
      </c>
      <c r="E43" s="2">
        <f t="shared" ca="1" si="55"/>
        <v>45107</v>
      </c>
      <c r="F43" s="2">
        <f t="shared" ca="1" si="55"/>
        <v>45199</v>
      </c>
      <c r="G43" s="2">
        <f t="shared" ca="1" si="55"/>
        <v>45291</v>
      </c>
      <c r="H43" s="2">
        <f t="shared" ca="1" si="55"/>
        <v>45382</v>
      </c>
      <c r="I43" s="2">
        <f t="shared" ca="1" si="55"/>
        <v>45473</v>
      </c>
      <c r="J43" s="2">
        <f t="shared" ca="1" si="55"/>
        <v>45565</v>
      </c>
      <c r="K43" s="2">
        <f t="shared" ca="1" si="55"/>
        <v>45657</v>
      </c>
      <c r="L43" s="2">
        <f t="shared" ca="1" si="55"/>
        <v>45747</v>
      </c>
      <c r="M43" s="2">
        <f t="shared" ca="1" si="55"/>
        <v>45838</v>
      </c>
      <c r="N43" s="2">
        <f t="shared" ca="1" si="55"/>
        <v>45930</v>
      </c>
      <c r="O43" s="2">
        <f t="shared" ca="1" si="55"/>
        <v>46022</v>
      </c>
      <c r="P43" s="2">
        <f t="shared" si="55"/>
        <v>46112</v>
      </c>
      <c r="Q43" s="2">
        <f t="shared" si="55"/>
        <v>46203</v>
      </c>
      <c r="R43" s="2">
        <f t="shared" si="55"/>
        <v>46295</v>
      </c>
      <c r="S43" s="2">
        <f t="shared" si="55"/>
        <v>46387</v>
      </c>
      <c r="U43" t="str">
        <f ca="1"/>
        <v>VCYT US EQUITY</v>
      </c>
      <c r="V43">
        <f ca="1"/>
        <v>45838</v>
      </c>
      <c r="W43" t="str">
        <f ca="1"/>
        <v>custom</v>
      </c>
      <c r="X43" t="str">
        <f ca="1"/>
        <v>Afirma</v>
      </c>
      <c r="Y43" t="str">
        <f ca="1"/>
        <v>actual</v>
      </c>
      <c r="Z43" t="str">
        <f ca="1"/>
        <v>16941</v>
      </c>
      <c r="AA43" t="str">
        <f ca="1"/>
        <v>0.0790445859872611</v>
      </c>
      <c r="AB43" t="str">
        <f ca="1"/>
        <v>-280.982711555962</v>
      </c>
      <c r="AC43" t="str">
        <f ca="1"/>
        <v>-416.635302237462</v>
      </c>
      <c r="AD43" t="str">
        <f ca="1"/>
        <v>0.092967741935484</v>
      </c>
    </row>
    <row r="44" spans="1:30" x14ac:dyDescent="0.45">
      <c r="A44" s="16" t="s">
        <v>21</v>
      </c>
      <c r="B44" s="16" t="s">
        <v>32</v>
      </c>
      <c r="C44" s="2" t="s">
        <v>34</v>
      </c>
      <c r="D44" s="10">
        <v>2796.5080346106306</v>
      </c>
      <c r="E44" s="10">
        <v>2813.2076120995216</v>
      </c>
      <c r="F44" s="10">
        <v>2761.9047619047619</v>
      </c>
      <c r="G44" s="10">
        <v>2893.6163401203739</v>
      </c>
      <c r="H44" s="10">
        <v>2920.1590997283661</v>
      </c>
      <c r="I44" s="10">
        <v>2971.3888888888887</v>
      </c>
      <c r="J44" s="10">
        <v>2977.1689497716893</v>
      </c>
      <c r="K44" s="10">
        <v>2867.8241747001816</v>
      </c>
      <c r="L44" s="10">
        <v>2816.5091863517059</v>
      </c>
      <c r="M44" s="10">
        <v>2880.7756650408805</v>
      </c>
      <c r="N44" s="10">
        <v>2923.4782608695655</v>
      </c>
      <c r="O44" s="10">
        <v>2988.4708470847086</v>
      </c>
      <c r="P44" s="10">
        <v>2900</v>
      </c>
      <c r="Q44" s="10">
        <v>2900</v>
      </c>
      <c r="R44" s="10">
        <v>2900</v>
      </c>
      <c r="S44" s="10">
        <v>2900</v>
      </c>
      <c r="U44" t="str">
        <f ca="1"/>
        <v>VCYT US EQUITY</v>
      </c>
      <c r="V44">
        <f ca="1"/>
        <v>45930</v>
      </c>
      <c r="W44" t="str">
        <f ca="1"/>
        <v>custom</v>
      </c>
      <c r="X44" t="str">
        <f ca="1"/>
        <v>Afirma</v>
      </c>
      <c r="Y44" t="str">
        <f ca="1"/>
        <v>actual</v>
      </c>
      <c r="Z44" t="str">
        <f ca="1"/>
        <v>17000</v>
      </c>
      <c r="AA44" t="str">
        <f ca="1"/>
        <v>0.125827814569536</v>
      </c>
      <c r="AB44" t="str">
        <f ca="1"/>
        <v>467.832285822753</v>
      </c>
      <c r="AC44" t="str">
        <f ca="1"/>
        <v>619.980273354939</v>
      </c>
      <c r="AD44" t="str">
        <f ca="1"/>
        <v>0.00348267516675516</v>
      </c>
    </row>
    <row r="45" spans="1:30" x14ac:dyDescent="0.45">
      <c r="C45" s="4" t="s">
        <v>4</v>
      </c>
      <c r="D45" s="5"/>
      <c r="E45" s="4"/>
      <c r="F45" s="4"/>
      <c r="G45" s="4"/>
      <c r="H45" s="12">
        <f t="shared" ref="H45" si="56">+H44/D44-1</f>
        <v>4.4216238103872207E-2</v>
      </c>
      <c r="I45" s="12">
        <f t="shared" ref="I45" si="57">+I44/E44-1</f>
        <v>5.6228085019048857E-2</v>
      </c>
      <c r="J45" s="12">
        <f t="shared" ref="J45" si="58">+J44/F44-1</f>
        <v>7.7940481813887574E-2</v>
      </c>
      <c r="K45" s="12">
        <f t="shared" ref="K45" si="59">+K44/G44-1</f>
        <v>-8.9134710302055664E-3</v>
      </c>
      <c r="L45" s="12">
        <f t="shared" ref="L45" si="60">+L44/H44-1</f>
        <v>-3.5494611710129687E-2</v>
      </c>
      <c r="M45" s="12">
        <f t="shared" ref="M45" si="61">+M44/I44-1</f>
        <v>-3.0495242203686046E-2</v>
      </c>
      <c r="N45" s="12">
        <f t="shared" ref="N45" si="62">+N44/J44-1</f>
        <v>-1.8034142437983292E-2</v>
      </c>
      <c r="O45" s="12">
        <f t="shared" ref="O45" si="63">+O44/K44-1</f>
        <v>4.2069061781704331E-2</v>
      </c>
      <c r="P45" s="12">
        <f t="shared" ref="P45" si="64">+P44/L44-1</f>
        <v>2.9643366353241607E-2</v>
      </c>
      <c r="Q45" s="12">
        <f t="shared" ref="Q45" si="65">+Q44/M44-1</f>
        <v>6.6733189926633241E-3</v>
      </c>
      <c r="R45" s="12">
        <f t="shared" ref="R45" si="66">+R44/N44-1</f>
        <v>-8.0309339678763525E-3</v>
      </c>
      <c r="S45" s="12">
        <f t="shared" ref="S45" si="67">+S44/O44-1</f>
        <v>-2.9604052243311307E-2</v>
      </c>
      <c r="U45" s="1" t="str">
        <f ca="1"/>
        <v>VCYT US EQUITY</v>
      </c>
      <c r="V45">
        <f ca="1"/>
        <v>46022</v>
      </c>
      <c r="W45" t="str">
        <f ca="1"/>
        <v>custom</v>
      </c>
      <c r="X45" t="str">
        <f ca="1"/>
        <v>Afirma</v>
      </c>
      <c r="Y45" t="str">
        <f ca="1"/>
        <v>actual</v>
      </c>
      <c r="Z45" t="str">
        <f ca="1"/>
        <v>18250</v>
      </c>
      <c r="AA45" t="str">
        <f ca="1"/>
        <v>0.119631901840491</v>
      </c>
      <c r="AB45" t="str">
        <f ca="1"/>
        <v>-61.9591272904563</v>
      </c>
      <c r="AC45" t="str">
        <f ca="1"/>
        <v>837.905190240189</v>
      </c>
      <c r="AD45" t="str">
        <f ca="1"/>
        <v>0.0735294117647058</v>
      </c>
    </row>
    <row r="46" spans="1:30" x14ac:dyDescent="0.45">
      <c r="C46" s="4" t="s">
        <v>19</v>
      </c>
      <c r="D46" s="1"/>
      <c r="L46" s="7">
        <f>(L45-K45)*10000</f>
        <v>-265.81140679924118</v>
      </c>
      <c r="M46" s="7">
        <f>(M45-L45)*10000</f>
        <v>49.993695064436409</v>
      </c>
      <c r="N46" s="7">
        <f>(N45-M45)*10000</f>
        <v>124.61099765702754</v>
      </c>
      <c r="O46" s="7">
        <f>(O45-N45)*10000</f>
        <v>601.0320421968762</v>
      </c>
      <c r="P46" s="7">
        <f t="shared" ref="P46" si="68">(P45-O45)*10000</f>
        <v>-124.25695428462724</v>
      </c>
      <c r="Q46" s="7">
        <f t="shared" ref="Q46" si="69">(Q45-P45)*10000</f>
        <v>-229.70047360578283</v>
      </c>
      <c r="R46" s="7">
        <f t="shared" ref="R46" si="70">(R45-Q45)*10000</f>
        <v>-147.04252960539677</v>
      </c>
      <c r="S46" s="7">
        <f t="shared" ref="S46" si="71">(S45-R45)*10000</f>
        <v>-215.73118275434956</v>
      </c>
      <c r="U46" s="1" t="str">
        <f ca="1"/>
        <v>VCYT US EQUITY</v>
      </c>
      <c r="V46">
        <f ca="1"/>
        <v>46112</v>
      </c>
      <c r="W46" t="str">
        <f ca="1"/>
        <v>custom</v>
      </c>
      <c r="X46" s="11" t="str">
        <f ca="1"/>
        <v>Afirma</v>
      </c>
      <c r="Y46" s="12" t="str">
        <f ca="1"/>
        <v>forecast</v>
      </c>
      <c r="Z46" s="7" t="str">
        <f ca="1"/>
        <v>16275</v>
      </c>
      <c r="AA46" s="12" t="str">
        <f ca="1"/>
        <v>0.05</v>
      </c>
      <c r="AB46" s="7" t="str">
        <f ca="1"/>
        <v>-696.319018404907</v>
      </c>
      <c r="AC46" t="str">
        <f ca="1"/>
        <v>-571.428571428572</v>
      </c>
      <c r="AD46" t="str">
        <f ca="1"/>
        <v>-0.108219178082192</v>
      </c>
    </row>
    <row r="47" spans="1:30" x14ac:dyDescent="0.4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-797.10849814001892</v>
      </c>
      <c r="M47" s="7">
        <f>(M45-I45)*10000</f>
        <v>-867.23327222734906</v>
      </c>
      <c r="N47" s="7">
        <f>(N45-J45)*10000</f>
        <v>-959.74624251870864</v>
      </c>
      <c r="O47" s="7">
        <f>(O45-K45)*10000</f>
        <v>509.82532811909897</v>
      </c>
      <c r="P47" s="7">
        <f t="shared" ref="P47" si="72">(P45-L45)*10000</f>
        <v>651.37978063371293</v>
      </c>
      <c r="Q47" s="7">
        <f t="shared" ref="Q47" si="73">(Q45-M45)*10000</f>
        <v>371.68561196349373</v>
      </c>
      <c r="R47" s="7">
        <f t="shared" ref="R47" si="74">(R45-N45)*10000</f>
        <v>100.03208470106939</v>
      </c>
      <c r="S47" s="7">
        <f t="shared" ref="S47" si="75">(S45-O45)*10000</f>
        <v>-716.73114025015639</v>
      </c>
      <c r="U47" s="1" t="str">
        <f ca="1"/>
        <v>VCYT US EQUITY</v>
      </c>
      <c r="V47">
        <f ca="1"/>
        <v>46203</v>
      </c>
      <c r="W47" t="str">
        <f ca="1"/>
        <v>custom</v>
      </c>
      <c r="X47" s="11" t="str">
        <f ca="1"/>
        <v>Afirma</v>
      </c>
      <c r="Y47" s="12" t="str">
        <f ca="1"/>
        <v>forecast</v>
      </c>
      <c r="Z47" s="7" t="str">
        <f ca="1"/>
        <v>18126.87</v>
      </c>
      <c r="AA47" s="12" t="str">
        <f ca="1"/>
        <v>0.0700000000000001</v>
      </c>
      <c r="AB47" s="7" t="str">
        <f ca="1"/>
        <v>200</v>
      </c>
      <c r="AC47" t="str">
        <f ca="1"/>
        <v>-90.4458598726099</v>
      </c>
      <c r="AD47" t="str">
        <f ca="1"/>
        <v>0.113786175115208</v>
      </c>
    </row>
    <row r="48" spans="1:30" x14ac:dyDescent="0.45">
      <c r="C48" s="4" t="s">
        <v>5</v>
      </c>
      <c r="D48" s="1"/>
      <c r="G48" s="7"/>
      <c r="L48" s="12">
        <f t="shared" ref="L48" si="76">L44/K44-1</f>
        <v>-1.7893352319564904E-2</v>
      </c>
      <c r="M48" s="12">
        <f t="shared" ref="M48" si="77">M44/L44-1</f>
        <v>2.2817777055583077E-2</v>
      </c>
      <c r="N48" s="12">
        <f t="shared" ref="N48" si="78">N44/M44-1</f>
        <v>1.482329788705683E-2</v>
      </c>
      <c r="O48" s="12">
        <f t="shared" ref="O48" si="79">O44/N44-1</f>
        <v>2.2231253464430223E-2</v>
      </c>
      <c r="P48" s="12">
        <f t="shared" ref="P48" si="80">P44/O44-1</f>
        <v>-2.9604052243311307E-2</v>
      </c>
      <c r="Q48" s="12">
        <f t="shared" ref="Q48" si="81">Q44/P44-1</f>
        <v>0</v>
      </c>
      <c r="R48" s="12">
        <f t="shared" ref="R48" si="82">R44/Q44-1</f>
        <v>0</v>
      </c>
      <c r="S48" s="12">
        <f t="shared" ref="S48" si="83">S44/R44-1</f>
        <v>0</v>
      </c>
      <c r="U48" t="str">
        <f ca="1"/>
        <v>VCYT US EQUITY</v>
      </c>
      <c r="V48">
        <f ca="1"/>
        <v>46295</v>
      </c>
      <c r="W48" t="str">
        <f ca="1"/>
        <v>custom</v>
      </c>
      <c r="X48" s="11" t="str">
        <f ca="1"/>
        <v>Afirma</v>
      </c>
      <c r="Y48" s="12" t="str">
        <f ca="1"/>
        <v>forecast</v>
      </c>
      <c r="Z48" s="7" t="str">
        <f ca="1"/>
        <v>17510</v>
      </c>
      <c r="AA48" s="12" t="str">
        <f ca="1"/>
        <v>0.03</v>
      </c>
      <c r="AB48" s="7" t="str">
        <f ca="1"/>
        <v>-400</v>
      </c>
      <c r="AC48" t="str">
        <f ca="1"/>
        <v>-958.278145695364</v>
      </c>
      <c r="AD48" t="str">
        <f ca="1"/>
        <v>-0.0340306958675162</v>
      </c>
    </row>
    <row r="49" spans="1:30" x14ac:dyDescent="0.45">
      <c r="C49" s="4"/>
      <c r="D49" s="1"/>
      <c r="L49" s="7"/>
      <c r="M49" s="7"/>
      <c r="N49" s="7"/>
      <c r="O49" s="7"/>
      <c r="P49" s="7"/>
      <c r="Q49" s="7"/>
      <c r="R49" s="7"/>
      <c r="S49" s="7"/>
      <c r="U49" t="str">
        <f ca="1"/>
        <v>VCYT US EQUITY</v>
      </c>
      <c r="V49">
        <f ca="1"/>
        <v>46387</v>
      </c>
      <c r="W49" t="str">
        <f ca="1"/>
        <v>custom</v>
      </c>
      <c r="X49" t="str">
        <f ca="1"/>
        <v>Afirma</v>
      </c>
      <c r="Y49" t="str">
        <f ca="1"/>
        <v>forecast</v>
      </c>
      <c r="Z49" t="str">
        <f ca="1"/>
        <v>18980</v>
      </c>
      <c r="AA49" t="str">
        <f ca="1"/>
        <v>0.04</v>
      </c>
      <c r="AB49" t="str">
        <f ca="1"/>
        <v>100</v>
      </c>
      <c r="AC49" t="str">
        <f ca="1"/>
        <v>-796.319018404907</v>
      </c>
      <c r="AD49" t="str">
        <f ca="1"/>
        <v>0.0839520274129069</v>
      </c>
    </row>
    <row r="50" spans="1:30" x14ac:dyDescent="0.45">
      <c r="C50" s="13" t="s">
        <v>12</v>
      </c>
      <c r="D50" s="14">
        <f t="shared" ref="D50:L50" ca="1" si="84">EOMONTH(DATE(YEAR(D52),ROUNDUP(MONTH(D52)/3,0)*3,1),0)</f>
        <v>45016</v>
      </c>
      <c r="E50" s="14">
        <f t="shared" ca="1" si="84"/>
        <v>45107</v>
      </c>
      <c r="F50" s="14">
        <f t="shared" ca="1" si="84"/>
        <v>45199</v>
      </c>
      <c r="G50" s="14">
        <f t="shared" ca="1" si="84"/>
        <v>45291</v>
      </c>
      <c r="H50" s="14">
        <f t="shared" ca="1" si="84"/>
        <v>45382</v>
      </c>
      <c r="I50" s="14">
        <f t="shared" ca="1" si="84"/>
        <v>45473</v>
      </c>
      <c r="J50" s="14">
        <f t="shared" ca="1" si="84"/>
        <v>45565</v>
      </c>
      <c r="K50" s="14">
        <f t="shared" ca="1" si="84"/>
        <v>45657</v>
      </c>
      <c r="L50" s="14">
        <f t="shared" ca="1" si="84"/>
        <v>45747</v>
      </c>
      <c r="M50" s="14">
        <f ca="1">EOMONTH(DATE(YEAR(M52),ROUNDUP(MONTH(M52)/3,0)*3,1),0)</f>
        <v>45838</v>
      </c>
      <c r="N50" s="14">
        <f ca="1">EOMONTH(DATE(YEAR(N52),ROUNDUP(MONTH(N52)/3,0)*3,1),0)</f>
        <v>45930</v>
      </c>
      <c r="O50" s="14">
        <f ca="1">EOMONTH(DATE(YEAR(O52),ROUNDUP(MONTH(O52)/3,0)*3,1),0)</f>
        <v>46022</v>
      </c>
      <c r="P50" s="14">
        <f t="shared" ref="P50:S50" si="85">EOMONTH(DATE(YEAR(P52),ROUNDUP(MONTH(P52)/3,0)*3,1),0)</f>
        <v>46112</v>
      </c>
      <c r="Q50" s="14">
        <f t="shared" si="85"/>
        <v>46203</v>
      </c>
      <c r="R50" s="14">
        <f t="shared" si="85"/>
        <v>46295</v>
      </c>
      <c r="S50" s="14">
        <f t="shared" si="85"/>
        <v>46387</v>
      </c>
      <c r="U50" s="24" t="str" cm="1">
        <f t="array" aca="1" ref="U50:AD57" ca="1">_xlfn.LET(
  _xlpm.d, L59:S59,
  _xlpm.s, L60:S60,
  _xlpm.v, L62:S62,
  _xlpm.yy, L63:S63,
  _xlpm.qq, L64:S64,
  _xlpm.dyy, L65:S65,
  _xlpm.dqq, L66:S66,
  _xlpm.dd, TRANSPOSE(_xlpm.d),
  _xlpm.clean, _xlfn.LAMBDA(_xlpm.x, IF(_xlpm.x="","",_xlpm.x)),
_xlfn.HSTACK(
  _xlfn.MAKEARRAY(ROWS(_xlpm.dd),1, _xlfn.LAMBDA(_xlpm.r,_xlpm.c,$B$2)),
  _xlpm.dd,
  _xlfn.MAKEARRAY(ROWS(_xlpm.dd),1, _xlfn.LAMBDA(_xlpm.r,_xlpm.c,A62)),
  _xlfn.MAKEARRAY(ROWS(_xlpm.dd),1, _xlfn.LAMBDA(_xlpm.r,_xlpm.c,B62)),
  CLEAN(TRANSPOSE(_xlpm.s)),
  CLEAN(TRANSPOSE(_xlpm.v)),
  CLEAN(TRANSPOSE(_xlpm.yy)),
  CLEAN(TRANSPOSE(_xlpm.qq)),
  CLEAN(TRANSPOSE(_xlpm.dyy)),
  CLEAN(TRANSPOSE(_xlpm.dqq))
))</f>
        <v>VCYT US EQUITY</v>
      </c>
      <c r="V50">
        <f ca="1"/>
        <v>45747</v>
      </c>
      <c r="W50" t="str">
        <f ca="1"/>
        <v>custom</v>
      </c>
      <c r="X50" t="str">
        <f ca="1"/>
        <v>Decipher</v>
      </c>
      <c r="Y50" t="str">
        <f ca="1"/>
        <v>actual</v>
      </c>
      <c r="Z50" t="str">
        <f ca="1"/>
        <v>22600</v>
      </c>
      <c r="AA50" t="str">
        <f ca="1"/>
        <v>0.36969696969697</v>
      </c>
      <c r="AB50" t="str">
        <f ca="1"/>
        <v>-754.643206256109</v>
      </c>
      <c r="AC50" t="str">
        <f ca="1"/>
        <v>496.969696969696</v>
      </c>
      <c r="AD50" t="str">
        <f ca="1"/>
        <v>0.0089285714285714</v>
      </c>
    </row>
    <row r="51" spans="1:30" x14ac:dyDescent="0.45">
      <c r="C51" s="13" t="s">
        <v>35</v>
      </c>
      <c r="D51" s="2" t="str">
        <f t="shared" ref="D51:S51" si="86">+D$6</f>
        <v>actual</v>
      </c>
      <c r="E51" s="2" t="str">
        <f t="shared" si="86"/>
        <v>actual</v>
      </c>
      <c r="F51" s="2" t="str">
        <f t="shared" si="86"/>
        <v>actual</v>
      </c>
      <c r="G51" s="2" t="str">
        <f t="shared" si="86"/>
        <v>actual</v>
      </c>
      <c r="H51" s="2" t="str">
        <f t="shared" si="86"/>
        <v>actual</v>
      </c>
      <c r="I51" s="2" t="str">
        <f t="shared" si="86"/>
        <v>actual</v>
      </c>
      <c r="J51" s="2" t="str">
        <f t="shared" si="86"/>
        <v>actual</v>
      </c>
      <c r="K51" s="2" t="str">
        <f t="shared" si="86"/>
        <v>actual</v>
      </c>
      <c r="L51" s="2" t="str">
        <f t="shared" si="86"/>
        <v>actual</v>
      </c>
      <c r="M51" s="2" t="str">
        <f t="shared" si="86"/>
        <v>actual</v>
      </c>
      <c r="N51" s="2" t="str">
        <f t="shared" si="86"/>
        <v>actual</v>
      </c>
      <c r="O51" s="2" t="str">
        <f t="shared" si="86"/>
        <v>actual</v>
      </c>
      <c r="P51" s="2" t="str">
        <f t="shared" si="86"/>
        <v>forecast</v>
      </c>
      <c r="Q51" s="2" t="str">
        <f t="shared" si="86"/>
        <v>forecast</v>
      </c>
      <c r="R51" s="2" t="str">
        <f t="shared" si="86"/>
        <v>forecast</v>
      </c>
      <c r="S51" s="2" t="str">
        <f t="shared" si="86"/>
        <v>forecast</v>
      </c>
      <c r="U51" t="str">
        <f ca="1"/>
        <v>VCYT US EQUITY</v>
      </c>
      <c r="V51">
        <f ca="1"/>
        <v>45838</v>
      </c>
      <c r="W51" t="str">
        <f ca="1"/>
        <v>custom</v>
      </c>
      <c r="X51" t="str">
        <f ca="1"/>
        <v>Decipher</v>
      </c>
      <c r="Y51" t="str">
        <f ca="1"/>
        <v>actual</v>
      </c>
      <c r="Z51" t="str">
        <f ca="1"/>
        <v>25500</v>
      </c>
      <c r="AA51" t="str">
        <f ca="1"/>
        <v>0.28140703517588</v>
      </c>
      <c r="AB51" t="str">
        <f ca="1"/>
        <v>-882.899345210901</v>
      </c>
      <c r="AC51" t="str">
        <f ca="1"/>
        <v>-408.521010367451</v>
      </c>
      <c r="AD51" t="str">
        <f ca="1"/>
        <v>0.128318584070797</v>
      </c>
    </row>
    <row r="52" spans="1:30" x14ac:dyDescent="0.45">
      <c r="D52" s="2">
        <f t="shared" ref="D52:S52" ca="1" si="87">+D$7</f>
        <v>45016</v>
      </c>
      <c r="E52" s="2">
        <f t="shared" ca="1" si="87"/>
        <v>45107</v>
      </c>
      <c r="F52" s="2">
        <f t="shared" ca="1" si="87"/>
        <v>45199</v>
      </c>
      <c r="G52" s="2">
        <f t="shared" ca="1" si="87"/>
        <v>45291</v>
      </c>
      <c r="H52" s="2">
        <f t="shared" ca="1" si="87"/>
        <v>45382</v>
      </c>
      <c r="I52" s="2">
        <f t="shared" ca="1" si="87"/>
        <v>45473</v>
      </c>
      <c r="J52" s="2">
        <f t="shared" ca="1" si="87"/>
        <v>45565</v>
      </c>
      <c r="K52" s="2">
        <f t="shared" ca="1" si="87"/>
        <v>45657</v>
      </c>
      <c r="L52" s="2">
        <f t="shared" ca="1" si="87"/>
        <v>45747</v>
      </c>
      <c r="M52" s="2">
        <f t="shared" ca="1" si="87"/>
        <v>45838</v>
      </c>
      <c r="N52" s="2">
        <f t="shared" ca="1" si="87"/>
        <v>45930</v>
      </c>
      <c r="O52" s="2">
        <f t="shared" ca="1" si="87"/>
        <v>46022</v>
      </c>
      <c r="P52" s="2">
        <f t="shared" si="87"/>
        <v>46112</v>
      </c>
      <c r="Q52" s="2">
        <f t="shared" si="87"/>
        <v>46203</v>
      </c>
      <c r="R52" s="2">
        <f t="shared" si="87"/>
        <v>46295</v>
      </c>
      <c r="S52" s="2">
        <f t="shared" si="87"/>
        <v>46387</v>
      </c>
      <c r="U52" t="str">
        <f ca="1"/>
        <v>VCYT US EQUITY</v>
      </c>
      <c r="V52">
        <f ca="1"/>
        <v>45930</v>
      </c>
      <c r="W52" t="str">
        <f ca="1"/>
        <v>custom</v>
      </c>
      <c r="X52" t="str">
        <f ca="1"/>
        <v>Decipher</v>
      </c>
      <c r="Y52" t="str">
        <f ca="1"/>
        <v>actual</v>
      </c>
      <c r="Z52" t="str">
        <f ca="1"/>
        <v>26700</v>
      </c>
      <c r="AA52" t="str">
        <f ca="1"/>
        <v>0.256470588235294</v>
      </c>
      <c r="AB52" t="str">
        <f ca="1"/>
        <v>-249.364469405853</v>
      </c>
      <c r="AC52" t="str">
        <f ca="1"/>
        <v>-1144.9715370019</v>
      </c>
      <c r="AD52" t="str">
        <f ca="1"/>
        <v>0.0470588235294118</v>
      </c>
    </row>
    <row r="53" spans="1:30" x14ac:dyDescent="0.45">
      <c r="A53" s="16" t="s">
        <v>21</v>
      </c>
      <c r="B53" s="16" t="s">
        <v>39</v>
      </c>
      <c r="C53" s="2" t="s">
        <v>40</v>
      </c>
      <c r="D53" s="31">
        <v>13388</v>
      </c>
      <c r="E53" s="31">
        <v>14009</v>
      </c>
      <c r="F53" s="31">
        <v>14194</v>
      </c>
      <c r="G53" s="31">
        <v>15736</v>
      </c>
      <c r="H53" s="31">
        <v>14000</v>
      </c>
      <c r="I53" s="31">
        <v>15700</v>
      </c>
      <c r="J53" s="31">
        <v>15100</v>
      </c>
      <c r="K53" s="31">
        <v>16300</v>
      </c>
      <c r="L53" s="31">
        <v>15500</v>
      </c>
      <c r="M53" s="31">
        <v>16941</v>
      </c>
      <c r="N53" s="31">
        <v>17000</v>
      </c>
      <c r="O53" s="31">
        <v>18250</v>
      </c>
      <c r="P53" s="31">
        <v>16275</v>
      </c>
      <c r="Q53" s="31">
        <v>18126.870000000003</v>
      </c>
      <c r="R53" s="31">
        <v>17510</v>
      </c>
      <c r="S53" s="31">
        <v>18980</v>
      </c>
      <c r="U53" t="str">
        <f ca="1"/>
        <v>VCYT US EQUITY</v>
      </c>
      <c r="V53">
        <f ca="1"/>
        <v>46022</v>
      </c>
      <c r="W53" t="str">
        <f ca="1"/>
        <v>custom</v>
      </c>
      <c r="X53" t="str">
        <f ca="1"/>
        <v>Decipher</v>
      </c>
      <c r="Y53" t="str">
        <f ca="1"/>
        <v>actual</v>
      </c>
      <c r="Z53" t="str">
        <f ca="1"/>
        <v>27200</v>
      </c>
      <c r="AA53" t="str">
        <f ca="1"/>
        <v>0.214285714285714</v>
      </c>
      <c r="AB53" t="str">
        <f ca="1"/>
        <v>-421.8487394958</v>
      </c>
      <c r="AC53" t="str">
        <f ca="1"/>
        <v>-2308.75576036866</v>
      </c>
      <c r="AD53" t="str">
        <f ca="1"/>
        <v>0.0187265917602997</v>
      </c>
    </row>
    <row r="54" spans="1:30" x14ac:dyDescent="0.45">
      <c r="C54" s="4" t="s">
        <v>4</v>
      </c>
      <c r="D54" s="5"/>
      <c r="E54" s="4"/>
      <c r="F54" s="4"/>
      <c r="G54" s="4"/>
      <c r="H54" s="12">
        <f t="shared" ref="H54" si="88">+H53/D53-1</f>
        <v>4.571257842844334E-2</v>
      </c>
      <c r="I54" s="12">
        <f t="shared" ref="I54" si="89">+I53/E53-1</f>
        <v>0.1207081162110073</v>
      </c>
      <c r="J54" s="12">
        <f t="shared" ref="J54" si="90">+J53/F53-1</f>
        <v>6.3829787234042534E-2</v>
      </c>
      <c r="K54" s="12">
        <f t="shared" ref="K54" si="91">+K53/G53-1</f>
        <v>3.5841382816471867E-2</v>
      </c>
      <c r="L54" s="12">
        <f t="shared" ref="L54" si="92">+L53/H53-1</f>
        <v>0.10714285714285721</v>
      </c>
      <c r="M54" s="12">
        <f t="shared" ref="M54" si="93">+M53/I53-1</f>
        <v>7.9044585987261051E-2</v>
      </c>
      <c r="N54" s="12">
        <f t="shared" ref="N54" si="94">+N53/J53-1</f>
        <v>0.1258278145695364</v>
      </c>
      <c r="O54" s="12">
        <f t="shared" ref="O54" si="95">+O53/K53-1</f>
        <v>0.11963190184049077</v>
      </c>
      <c r="P54" s="12">
        <f t="shared" ref="P54" si="96">+P53/L53-1</f>
        <v>5.0000000000000044E-2</v>
      </c>
      <c r="Q54" s="12">
        <f t="shared" ref="Q54" si="97">+Q53/M53-1</f>
        <v>7.0000000000000062E-2</v>
      </c>
      <c r="R54" s="12">
        <f t="shared" ref="R54" si="98">+R53/N53-1</f>
        <v>3.0000000000000027E-2</v>
      </c>
      <c r="S54" s="12">
        <f t="shared" ref="S54" si="99">+S53/O53-1</f>
        <v>4.0000000000000036E-2</v>
      </c>
      <c r="U54" t="str">
        <f ca="1"/>
        <v>VCYT US EQUITY</v>
      </c>
      <c r="V54">
        <f ca="1"/>
        <v>46112</v>
      </c>
      <c r="W54" t="str">
        <f ca="1"/>
        <v>custom</v>
      </c>
      <c r="X54" t="str">
        <f ca="1"/>
        <v>Decipher</v>
      </c>
      <c r="Y54" t="str">
        <f ca="1"/>
        <v>forecast</v>
      </c>
      <c r="Z54" t="str">
        <f ca="1"/>
        <v>27346</v>
      </c>
      <c r="AA54" t="str">
        <f ca="1"/>
        <v>0.21</v>
      </c>
      <c r="AB54" t="str">
        <f ca="1"/>
        <v>-42.8571428571423</v>
      </c>
      <c r="AC54" t="str">
        <f ca="1"/>
        <v>-1596.9696969697</v>
      </c>
      <c r="AD54" t="str">
        <f ca="1"/>
        <v>0.00536764705882353</v>
      </c>
    </row>
    <row r="55" spans="1:30" x14ac:dyDescent="0.45">
      <c r="C55" s="4" t="s">
        <v>19</v>
      </c>
      <c r="D55" s="1"/>
      <c r="L55" s="7">
        <f>(L54-K54)*10000</f>
        <v>713.01474326385335</v>
      </c>
      <c r="M55" s="7">
        <f>(M54-L54)*10000</f>
        <v>-280.98271155596154</v>
      </c>
      <c r="N55" s="7">
        <f>(N54-M54)*10000</f>
        <v>467.83228582275348</v>
      </c>
      <c r="O55" s="7">
        <f>(O54-N54)*10000</f>
        <v>-61.959127290456273</v>
      </c>
      <c r="P55" s="7">
        <f t="shared" ref="P55" si="100">(P54-O54)*10000</f>
        <v>-696.3190184049073</v>
      </c>
      <c r="Q55" s="7">
        <f t="shared" ref="Q55" si="101">(Q54-P54)*10000</f>
        <v>200.00000000000017</v>
      </c>
      <c r="R55" s="7">
        <f t="shared" ref="R55" si="102">(R54-Q54)*10000</f>
        <v>-400.00000000000034</v>
      </c>
      <c r="S55" s="7">
        <f t="shared" ref="S55" si="103">(S54-R54)*10000</f>
        <v>100.00000000000009</v>
      </c>
      <c r="U55" t="str">
        <f ca="1"/>
        <v>VCYT US EQUITY</v>
      </c>
      <c r="V55">
        <f ca="1"/>
        <v>46203</v>
      </c>
      <c r="W55" t="str">
        <f ca="1"/>
        <v>custom</v>
      </c>
      <c r="X55" t="str">
        <f ca="1"/>
        <v>Decipher</v>
      </c>
      <c r="Y55" t="str">
        <f ca="1"/>
        <v>forecast</v>
      </c>
      <c r="Z55" t="str">
        <f ca="1"/>
        <v>31365</v>
      </c>
      <c r="AA55" t="str">
        <f ca="1"/>
        <v>0.23</v>
      </c>
      <c r="AB55" t="str">
        <f ca="1"/>
        <v>200</v>
      </c>
      <c r="AC55" t="str">
        <f ca="1"/>
        <v>-514.070351758795</v>
      </c>
      <c r="AD55" t="str">
        <f ca="1"/>
        <v>0.14696847802238</v>
      </c>
    </row>
    <row r="56" spans="1:30" x14ac:dyDescent="0.45">
      <c r="C56" s="4" t="s">
        <v>23</v>
      </c>
      <c r="D56" s="1"/>
      <c r="E56" s="7"/>
      <c r="F56" s="7"/>
      <c r="G56" s="7"/>
      <c r="H56" s="6"/>
      <c r="I56" s="6"/>
      <c r="J56" s="6"/>
      <c r="K56" s="6"/>
      <c r="L56" s="7">
        <f>(L54-H54)*10000</f>
        <v>614.30278714413862</v>
      </c>
      <c r="M56" s="7">
        <f>(M54-I54)*10000</f>
        <v>-416.6353022374625</v>
      </c>
      <c r="N56" s="7">
        <f>(N54-J54)*10000</f>
        <v>619.98027335493862</v>
      </c>
      <c r="O56" s="7">
        <f>(O54-K54)*10000</f>
        <v>837.90519024018909</v>
      </c>
      <c r="P56" s="7">
        <f t="shared" ref="P56" si="104">(P54-L54)*10000</f>
        <v>-571.42857142857167</v>
      </c>
      <c r="Q56" s="7">
        <f t="shared" ref="Q56" si="105">(Q54-M54)*10000</f>
        <v>-90.445859872609887</v>
      </c>
      <c r="R56" s="7">
        <f t="shared" ref="R56" si="106">(R54-N54)*10000</f>
        <v>-958.27814569536372</v>
      </c>
      <c r="S56" s="7">
        <f t="shared" ref="S56" si="107">(S54-O54)*10000</f>
        <v>-796.31901840490741</v>
      </c>
      <c r="U56" t="str">
        <f ca="1"/>
        <v>VCYT US EQUITY</v>
      </c>
      <c r="V56">
        <f ca="1"/>
        <v>46295</v>
      </c>
      <c r="W56" t="str">
        <f ca="1"/>
        <v>custom</v>
      </c>
      <c r="X56" t="str">
        <f ca="1"/>
        <v>Decipher</v>
      </c>
      <c r="Y56" t="str">
        <f ca="1"/>
        <v>forecast</v>
      </c>
      <c r="Z56" t="str">
        <f ca="1"/>
        <v>31773</v>
      </c>
      <c r="AA56" t="str">
        <f ca="1"/>
        <v>0.19</v>
      </c>
      <c r="AB56" t="str">
        <f ca="1"/>
        <v>-400</v>
      </c>
      <c r="AC56" t="str">
        <f ca="1"/>
        <v>-664.705882352943</v>
      </c>
      <c r="AD56" t="str">
        <f ca="1"/>
        <v>0.0130081300813008</v>
      </c>
    </row>
    <row r="57" spans="1:30" x14ac:dyDescent="0.45">
      <c r="C57" s="4" t="s">
        <v>5</v>
      </c>
      <c r="D57" s="1"/>
      <c r="G57" s="7"/>
      <c r="L57" s="12">
        <f t="shared" ref="L57" si="108">L53/K53-1</f>
        <v>-4.9079754601227044E-2</v>
      </c>
      <c r="M57" s="12">
        <f t="shared" ref="M57" si="109">M53/L53-1</f>
        <v>9.2967741935483961E-2</v>
      </c>
      <c r="N57" s="12">
        <f t="shared" ref="N57" si="110">N53/M53-1</f>
        <v>3.4826751667551559E-3</v>
      </c>
      <c r="O57" s="12">
        <f t="shared" ref="O57" si="111">O53/N53-1</f>
        <v>7.3529411764705843E-2</v>
      </c>
      <c r="P57" s="12">
        <f t="shared" ref="P57" si="112">P53/O53-1</f>
        <v>-0.10821917808219184</v>
      </c>
      <c r="Q57" s="12">
        <f t="shared" ref="Q57" si="113">Q53/P53-1</f>
        <v>0.11378617511520761</v>
      </c>
      <c r="R57" s="12">
        <f t="shared" ref="R57" si="114">R53/Q53-1</f>
        <v>-3.403069586751617E-2</v>
      </c>
      <c r="S57" s="12">
        <f t="shared" ref="S57" si="115">S53/R53-1</f>
        <v>8.395202741290686E-2</v>
      </c>
      <c r="U57" t="str">
        <f ca="1"/>
        <v>VCYT US EQUITY</v>
      </c>
      <c r="V57">
        <f ca="1"/>
        <v>46387</v>
      </c>
      <c r="W57" t="str">
        <f ca="1"/>
        <v>custom</v>
      </c>
      <c r="X57" t="str">
        <f ca="1"/>
        <v>Decipher</v>
      </c>
      <c r="Y57" t="str">
        <f ca="1"/>
        <v>forecast</v>
      </c>
      <c r="Z57" t="str">
        <f ca="1"/>
        <v>32640</v>
      </c>
      <c r="AA57" t="str">
        <f ca="1"/>
        <v>0.2</v>
      </c>
      <c r="AB57" t="str">
        <f ca="1"/>
        <v>100</v>
      </c>
      <c r="AC57" t="str">
        <f ca="1"/>
        <v>-142.857142857142</v>
      </c>
      <c r="AD57" t="str">
        <f ca="1"/>
        <v>0.0272873194221508</v>
      </c>
    </row>
    <row r="58" spans="1:30" x14ac:dyDescent="0.45"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30" x14ac:dyDescent="0.45">
      <c r="C59" s="13" t="s">
        <v>12</v>
      </c>
      <c r="D59" s="14">
        <f t="shared" ref="D59:L59" ca="1" si="116">EOMONTH(DATE(YEAR(D61),ROUNDUP(MONTH(D61)/3,0)*3,1),0)</f>
        <v>45016</v>
      </c>
      <c r="E59" s="14">
        <f t="shared" ca="1" si="116"/>
        <v>45107</v>
      </c>
      <c r="F59" s="14">
        <f t="shared" ca="1" si="116"/>
        <v>45199</v>
      </c>
      <c r="G59" s="14">
        <f t="shared" ca="1" si="116"/>
        <v>45291</v>
      </c>
      <c r="H59" s="14">
        <f t="shared" ca="1" si="116"/>
        <v>45382</v>
      </c>
      <c r="I59" s="14">
        <f t="shared" ca="1" si="116"/>
        <v>45473</v>
      </c>
      <c r="J59" s="14">
        <f t="shared" ca="1" si="116"/>
        <v>45565</v>
      </c>
      <c r="K59" s="14">
        <f t="shared" ca="1" si="116"/>
        <v>45657</v>
      </c>
      <c r="L59" s="14">
        <f t="shared" ca="1" si="116"/>
        <v>45747</v>
      </c>
      <c r="M59" s="14">
        <f ca="1">EOMONTH(DATE(YEAR(M61),ROUNDUP(MONTH(M61)/3,0)*3,1),0)</f>
        <v>45838</v>
      </c>
      <c r="N59" s="14">
        <f ca="1">EOMONTH(DATE(YEAR(N61),ROUNDUP(MONTH(N61)/3,0)*3,1),0)</f>
        <v>45930</v>
      </c>
      <c r="O59" s="14">
        <f ca="1">EOMONTH(DATE(YEAR(O61),ROUNDUP(MONTH(O61)/3,0)*3,1),0)</f>
        <v>46022</v>
      </c>
      <c r="P59" s="14">
        <f t="shared" ref="P59:S59" si="117">EOMONTH(DATE(YEAR(P61),ROUNDUP(MONTH(P61)/3,0)*3,1),0)</f>
        <v>46112</v>
      </c>
      <c r="Q59" s="14">
        <f t="shared" si="117"/>
        <v>46203</v>
      </c>
      <c r="R59" s="14">
        <f t="shared" si="117"/>
        <v>46295</v>
      </c>
      <c r="S59" s="14">
        <f t="shared" si="117"/>
        <v>46387</v>
      </c>
    </row>
    <row r="60" spans="1:30" x14ac:dyDescent="0.45">
      <c r="C60" s="13" t="s">
        <v>35</v>
      </c>
      <c r="D60" s="2" t="str">
        <f t="shared" ref="D60:S60" si="118">+D$6</f>
        <v>actual</v>
      </c>
      <c r="E60" s="2" t="str">
        <f t="shared" si="118"/>
        <v>actual</v>
      </c>
      <c r="F60" s="2" t="str">
        <f t="shared" si="118"/>
        <v>actual</v>
      </c>
      <c r="G60" s="2" t="str">
        <f t="shared" si="118"/>
        <v>actual</v>
      </c>
      <c r="H60" s="2" t="str">
        <f t="shared" si="118"/>
        <v>actual</v>
      </c>
      <c r="I60" s="2" t="str">
        <f t="shared" si="118"/>
        <v>actual</v>
      </c>
      <c r="J60" s="2" t="str">
        <f t="shared" si="118"/>
        <v>actual</v>
      </c>
      <c r="K60" s="2" t="str">
        <f t="shared" si="118"/>
        <v>actual</v>
      </c>
      <c r="L60" s="2" t="str">
        <f t="shared" si="118"/>
        <v>actual</v>
      </c>
      <c r="M60" s="2" t="str">
        <f t="shared" si="118"/>
        <v>actual</v>
      </c>
      <c r="N60" s="2" t="str">
        <f t="shared" si="118"/>
        <v>actual</v>
      </c>
      <c r="O60" s="2" t="str">
        <f t="shared" si="118"/>
        <v>actual</v>
      </c>
      <c r="P60" s="2" t="str">
        <f t="shared" si="118"/>
        <v>forecast</v>
      </c>
      <c r="Q60" s="2" t="str">
        <f t="shared" si="118"/>
        <v>forecast</v>
      </c>
      <c r="R60" s="2" t="str">
        <f t="shared" si="118"/>
        <v>forecast</v>
      </c>
      <c r="S60" s="2" t="str">
        <f t="shared" si="118"/>
        <v>forecast</v>
      </c>
    </row>
    <row r="61" spans="1:30" x14ac:dyDescent="0.45">
      <c r="D61" s="2">
        <f t="shared" ref="D61:S61" ca="1" si="119">+D$7</f>
        <v>45016</v>
      </c>
      <c r="E61" s="2">
        <f t="shared" ca="1" si="119"/>
        <v>45107</v>
      </c>
      <c r="F61" s="2">
        <f t="shared" ca="1" si="119"/>
        <v>45199</v>
      </c>
      <c r="G61" s="2">
        <f t="shared" ca="1" si="119"/>
        <v>45291</v>
      </c>
      <c r="H61" s="2">
        <f t="shared" ca="1" si="119"/>
        <v>45382</v>
      </c>
      <c r="I61" s="2">
        <f t="shared" ca="1" si="119"/>
        <v>45473</v>
      </c>
      <c r="J61" s="2">
        <f t="shared" ca="1" si="119"/>
        <v>45565</v>
      </c>
      <c r="K61" s="2">
        <f t="shared" ca="1" si="119"/>
        <v>45657</v>
      </c>
      <c r="L61" s="2">
        <f t="shared" ca="1" si="119"/>
        <v>45747</v>
      </c>
      <c r="M61" s="2">
        <f t="shared" ca="1" si="119"/>
        <v>45838</v>
      </c>
      <c r="N61" s="2">
        <f t="shared" ca="1" si="119"/>
        <v>45930</v>
      </c>
      <c r="O61" s="2">
        <f t="shared" ca="1" si="119"/>
        <v>46022</v>
      </c>
      <c r="P61" s="2">
        <f t="shared" si="119"/>
        <v>46112</v>
      </c>
      <c r="Q61" s="2">
        <f t="shared" si="119"/>
        <v>46203</v>
      </c>
      <c r="R61" s="2">
        <f t="shared" si="119"/>
        <v>46295</v>
      </c>
      <c r="S61" s="2">
        <f t="shared" si="119"/>
        <v>46387</v>
      </c>
    </row>
    <row r="62" spans="1:30" x14ac:dyDescent="0.45">
      <c r="A62" s="16" t="s">
        <v>21</v>
      </c>
      <c r="B62" s="16" t="s">
        <v>41</v>
      </c>
      <c r="C62" s="2" t="s">
        <v>42</v>
      </c>
      <c r="D62" s="31">
        <v>12500</v>
      </c>
      <c r="E62" s="31">
        <v>15050</v>
      </c>
      <c r="F62" s="31">
        <v>15500</v>
      </c>
      <c r="G62" s="31">
        <v>15500</v>
      </c>
      <c r="H62" s="31">
        <v>16500</v>
      </c>
      <c r="I62" s="31">
        <v>19900</v>
      </c>
      <c r="J62" s="31">
        <v>21250</v>
      </c>
      <c r="K62" s="31">
        <v>22400</v>
      </c>
      <c r="L62" s="31">
        <v>22600</v>
      </c>
      <c r="M62" s="31">
        <v>25500</v>
      </c>
      <c r="N62" s="31">
        <v>26700</v>
      </c>
      <c r="O62" s="31">
        <v>27200</v>
      </c>
      <c r="P62" s="31">
        <v>27346</v>
      </c>
      <c r="Q62" s="31">
        <v>31365</v>
      </c>
      <c r="R62" s="31">
        <v>31773</v>
      </c>
      <c r="S62" s="31">
        <v>32640</v>
      </c>
    </row>
    <row r="63" spans="1:30" x14ac:dyDescent="0.45">
      <c r="C63" s="4" t="s">
        <v>4</v>
      </c>
      <c r="D63" s="5"/>
      <c r="E63" s="4"/>
      <c r="F63" s="4"/>
      <c r="G63" s="4"/>
      <c r="H63" s="12">
        <f t="shared" ref="H63" si="120">+H62/D62-1</f>
        <v>0.32000000000000006</v>
      </c>
      <c r="I63" s="12">
        <f t="shared" ref="I63" si="121">+I62/E62-1</f>
        <v>0.32225913621262459</v>
      </c>
      <c r="J63" s="12">
        <f t="shared" ref="J63" si="122">+J62/F62-1</f>
        <v>0.37096774193548376</v>
      </c>
      <c r="K63" s="12">
        <f t="shared" ref="K63" si="123">+K62/G62-1</f>
        <v>0.44516129032258056</v>
      </c>
      <c r="L63" s="12">
        <f t="shared" ref="L63" si="124">+L62/H62-1</f>
        <v>0.36969696969696964</v>
      </c>
      <c r="M63" s="12">
        <f t="shared" ref="M63" si="125">+M62/I62-1</f>
        <v>0.28140703517587951</v>
      </c>
      <c r="N63" s="12">
        <f t="shared" ref="N63" si="126">+N62/J62-1</f>
        <v>0.25647058823529423</v>
      </c>
      <c r="O63" s="12">
        <f t="shared" ref="O63" si="127">+O62/K62-1</f>
        <v>0.21428571428571419</v>
      </c>
      <c r="P63" s="12">
        <f t="shared" ref="P63" si="128">+P62/L62-1</f>
        <v>0.20999999999999996</v>
      </c>
      <c r="Q63" s="12">
        <f t="shared" ref="Q63" si="129">+Q62/M62-1</f>
        <v>0.22999999999999998</v>
      </c>
      <c r="R63" s="12">
        <f t="shared" ref="R63" si="130">+R62/N62-1</f>
        <v>0.18999999999999995</v>
      </c>
      <c r="S63" s="12">
        <f t="shared" ref="S63" si="131">+S62/O62-1</f>
        <v>0.19999999999999996</v>
      </c>
    </row>
    <row r="64" spans="1:30" x14ac:dyDescent="0.45">
      <c r="C64" s="4" t="s">
        <v>19</v>
      </c>
      <c r="D64" s="1"/>
      <c r="L64" s="7">
        <f>(L63-K63)*10000</f>
        <v>-754.64320625610924</v>
      </c>
      <c r="M64" s="7">
        <f>(M63-L63)*10000</f>
        <v>-882.89934521090129</v>
      </c>
      <c r="N64" s="7">
        <f>(N63-M63)*10000</f>
        <v>-249.36446940585279</v>
      </c>
      <c r="O64" s="7">
        <f>(O63-N63)*10000</f>
        <v>-421.84873949580037</v>
      </c>
      <c r="P64" s="7">
        <f t="shared" ref="P64" si="132">(P63-O63)*10000</f>
        <v>-42.857142857142264</v>
      </c>
      <c r="Q64" s="7">
        <f t="shared" ref="Q64" si="133">(Q63-P63)*10000</f>
        <v>200.00000000000017</v>
      </c>
      <c r="R64" s="7">
        <f t="shared" ref="R64" si="134">(R63-Q63)*10000</f>
        <v>-400.00000000000034</v>
      </c>
      <c r="S64" s="7">
        <f t="shared" ref="S64" si="135">(S63-R63)*10000</f>
        <v>100.00000000000009</v>
      </c>
    </row>
    <row r="65" spans="1:19" x14ac:dyDescent="0.45">
      <c r="C65" s="4" t="s">
        <v>23</v>
      </c>
      <c r="D65" s="1"/>
      <c r="E65" s="7"/>
      <c r="F65" s="7"/>
      <c r="G65" s="7"/>
      <c r="H65" s="6"/>
      <c r="I65" s="6"/>
      <c r="J65" s="6"/>
      <c r="K65" s="6"/>
      <c r="L65" s="7">
        <f>(L63-H63)*10000</f>
        <v>496.96969696969575</v>
      </c>
      <c r="M65" s="7">
        <f>(M63-I63)*10000</f>
        <v>-408.5210103674508</v>
      </c>
      <c r="N65" s="7">
        <f>(N63-J63)*10000</f>
        <v>-1144.9715370018953</v>
      </c>
      <c r="O65" s="7">
        <f>(O63-K63)*10000</f>
        <v>-2308.7557603686637</v>
      </c>
      <c r="P65" s="7">
        <f t="shared" ref="P65" si="136">(P63-L63)*10000</f>
        <v>-1596.9696969696968</v>
      </c>
      <c r="Q65" s="7">
        <f t="shared" ref="Q65" si="137">(Q63-M63)*10000</f>
        <v>-514.07035175879525</v>
      </c>
      <c r="R65" s="7">
        <f t="shared" ref="R65" si="138">(R63-N63)*10000</f>
        <v>-664.70588235294281</v>
      </c>
      <c r="S65" s="7">
        <f t="shared" ref="S65" si="139">(S63-O63)*10000</f>
        <v>-142.85714285714235</v>
      </c>
    </row>
    <row r="66" spans="1:19" x14ac:dyDescent="0.45">
      <c r="C66" s="4" t="s">
        <v>5</v>
      </c>
      <c r="D66" s="1"/>
      <c r="G66" s="7"/>
      <c r="L66" s="12">
        <f t="shared" ref="L66" si="140">L62/K62-1</f>
        <v>8.9285714285713969E-3</v>
      </c>
      <c r="M66" s="12">
        <f t="shared" ref="M66" si="141">M62/L62-1</f>
        <v>0.12831858407079655</v>
      </c>
      <c r="N66" s="12">
        <f t="shared" ref="N66" si="142">N62/M62-1</f>
        <v>4.705882352941182E-2</v>
      </c>
      <c r="O66" s="12">
        <f t="shared" ref="O66" si="143">O62/N62-1</f>
        <v>1.8726591760299671E-2</v>
      </c>
      <c r="P66" s="12">
        <f t="shared" ref="P66" si="144">P62/O62-1</f>
        <v>5.3676470588235325E-3</v>
      </c>
      <c r="Q66" s="12">
        <f t="shared" ref="Q66" si="145">Q62/P62-1</f>
        <v>0.14696847802237989</v>
      </c>
      <c r="R66" s="12">
        <f t="shared" ref="R66" si="146">R62/Q62-1</f>
        <v>1.3008130081300751E-2</v>
      </c>
      <c r="S66" s="12">
        <f t="shared" ref="S66" si="147">S62/R62-1</f>
        <v>2.7287319422150791E-2</v>
      </c>
    </row>
    <row r="67" spans="1:19" x14ac:dyDescent="0.4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4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4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45">
      <c r="C70" s="4"/>
      <c r="D70" s="1"/>
      <c r="K70" s="7"/>
      <c r="L70" s="7"/>
      <c r="M70" s="7"/>
      <c r="N70" s="7"/>
      <c r="O70" s="7"/>
      <c r="P70" s="7"/>
      <c r="Q70" s="7"/>
      <c r="R70" s="7"/>
      <c r="S70" s="7"/>
    </row>
    <row r="71" spans="1:19" x14ac:dyDescent="0.4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4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EC31-13C7-45E0-B24E-EBC5FB44EFD6}">
  <dimension ref="A1:AD72"/>
  <sheetViews>
    <sheetView zoomScale="85" zoomScaleNormal="85" workbookViewId="0">
      <pane xSplit="3" topLeftCell="I1" activePane="topRight" state="frozen"/>
      <selection pane="topRight" activeCell="N9" sqref="N9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265625" bestFit="1" customWidth="1"/>
    <col min="5" max="6" width="9.59765625" bestFit="1" customWidth="1"/>
    <col min="7" max="10" width="10.3984375" customWidth="1"/>
    <col min="11" max="11" width="10.59765625" bestFit="1" customWidth="1"/>
    <col min="12" max="13" width="9.59765625" bestFit="1" customWidth="1"/>
    <col min="14" max="14" width="11.3984375" bestFit="1" customWidth="1"/>
    <col min="15" max="15" width="10.06640625" bestFit="1" customWidth="1"/>
    <col min="16" max="19" width="10.3984375" customWidth="1"/>
    <col min="20" max="20" width="9" customWidth="1"/>
    <col min="21" max="21" width="12.3984375" bestFit="1" customWidth="1"/>
    <col min="22" max="22" width="14.3984375" bestFit="1" customWidth="1"/>
    <col min="23" max="23" width="8.59765625" bestFit="1" customWidth="1"/>
    <col min="24" max="24" width="20.265625" bestFit="1" customWidth="1"/>
    <col min="25" max="25" width="7.3984375" bestFit="1" customWidth="1"/>
    <col min="26" max="26" width="10.73046875" bestFit="1" customWidth="1"/>
    <col min="27" max="27" width="9.1328125" bestFit="1" customWidth="1"/>
    <col min="28" max="28" width="10.3984375" bestFit="1" customWidth="1"/>
    <col min="29" max="29" width="9.1328125" bestFit="1" customWidth="1"/>
  </cols>
  <sheetData>
    <row r="1" spans="1:30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45">
      <c r="A2" s="17" t="s">
        <v>1</v>
      </c>
      <c r="B2" s="25" t="s">
        <v>43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NEO US EQUITY</v>
      </c>
      <c r="V2" s="24">
        <f ca="1"/>
        <v>45747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168.035</v>
      </c>
      <c r="AA2" s="32" t="str">
        <f ca="1"/>
        <v>0.0754928315412187</v>
      </c>
      <c r="AB2" s="32" t="str">
        <f ca="1"/>
        <v>-302.467282201473</v>
      </c>
      <c r="AC2" s="32" t="str">
        <f ca="1"/>
        <v>-631.167005969537</v>
      </c>
      <c r="AD2" s="32" t="str">
        <f ca="1"/>
        <v>-0.0230523255813954</v>
      </c>
    </row>
    <row r="3" spans="1:30" x14ac:dyDescent="0.45">
      <c r="A3" s="18" t="s">
        <v>3</v>
      </c>
      <c r="B3" s="19">
        <f ca="1">+B4-365*3</f>
        <v>45016</v>
      </c>
      <c r="U3" s="24" t="str">
        <f ca="1"/>
        <v>NEO US EQUITY</v>
      </c>
      <c r="V3" s="24">
        <f ca="1"/>
        <v>45838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181.33</v>
      </c>
      <c r="AA3" s="32" t="str">
        <f ca="1"/>
        <v>0.102296628612418</v>
      </c>
      <c r="AB3" s="32" t="str">
        <f ca="1"/>
        <v>268.037970711994</v>
      </c>
      <c r="AC3" s="32" t="str">
        <f ca="1"/>
        <v>-173.968037337366</v>
      </c>
      <c r="AD3" s="32" t="str">
        <f ca="1"/>
        <v>0.0791204213407921</v>
      </c>
    </row>
    <row r="4" spans="1:30" x14ac:dyDescent="0.45">
      <c r="A4" s="20" t="s">
        <v>2</v>
      </c>
      <c r="B4" s="21">
        <f ca="1">TODAY()</f>
        <v>46111</v>
      </c>
      <c r="U4" s="24" t="str">
        <f ca="1"/>
        <v>NEO US EQUITY</v>
      </c>
      <c r="V4" s="24">
        <f ca="1"/>
        <v>45930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187.797</v>
      </c>
      <c r="AA4" s="32" t="str">
        <f ca="1"/>
        <v>0.119011583563733</v>
      </c>
      <c r="AB4" s="32" t="str">
        <f ca="1"/>
        <v>167.149549513153</v>
      </c>
      <c r="AC4" s="32" t="str">
        <f ca="1"/>
        <v>145.720821356696</v>
      </c>
      <c r="AD4" s="32" t="str">
        <f ca="1"/>
        <v>0.0356642585341642</v>
      </c>
    </row>
    <row r="5" spans="1:30" x14ac:dyDescent="0.45">
      <c r="C5" s="13" t="s">
        <v>12</v>
      </c>
      <c r="D5" s="14">
        <f ca="1">EOMONTH(DATE(YEAR(D7),ROUNDUP(MONTH(D7)/3,0)*3,1),0)</f>
        <v>45016</v>
      </c>
      <c r="E5" s="14">
        <f ca="1">EOMONTH(DATE(YEAR(E7),ROUNDUP(MONTH(E7)/3,0)*3,1),0)</f>
        <v>45107</v>
      </c>
      <c r="F5" s="14">
        <f ca="1">EOMONTH(DATE(YEAR(F7),ROUNDUP(MONTH(F7)/3,0)*3,1),0)</f>
        <v>45199</v>
      </c>
      <c r="G5" s="14">
        <f t="shared" ref="G5:K5" ca="1" si="0">EOMONTH(DATE(YEAR(G7),ROUNDUP(MONTH(G7)/3,0)*3,1),0)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EOMONTH(DATE(YEAR(L7),ROUNDUP(MONTH(L7)/3,0)*3,1),0)</f>
        <v>45747</v>
      </c>
      <c r="M5" s="14">
        <f ca="1">EOMONTH(DATE(YEAR(M7),ROUNDUP(MONTH(M7)/3,0)*3,1),0)</f>
        <v>45838</v>
      </c>
      <c r="N5" s="14">
        <f ca="1">EOMONTH(DATE(YEAR(N7),ROUNDUP(MONTH(N7)/3,0)*3,1),0)</f>
        <v>45930</v>
      </c>
      <c r="O5" s="14">
        <f ca="1">EOMONTH(DATE(YEAR(O7),ROUNDUP(MONTH(O7)/3,0)*3,1),0)</f>
        <v>46022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NEO US EQUITY</v>
      </c>
      <c r="V5" s="24">
        <f ca="1"/>
        <v>46022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>190</v>
      </c>
      <c r="AA5" s="32" t="str">
        <f ca="1"/>
        <v>0.104651162790698</v>
      </c>
      <c r="AB5" s="32" t="str">
        <f ca="1"/>
        <v>-143.604207730357</v>
      </c>
      <c r="AC5" s="32" t="str">
        <f ca="1"/>
        <v>-10.8839697066831</v>
      </c>
      <c r="AD5" s="32" t="str">
        <f ca="1"/>
        <v>0.0117307518224465</v>
      </c>
    </row>
    <row r="6" spans="1:30" x14ac:dyDescent="0.4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NEO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184.6828267812</v>
      </c>
      <c r="AA6" s="32" t="str">
        <f ca="1"/>
        <v>0.0990735667045557</v>
      </c>
      <c r="AB6" s="32" t="str">
        <f ca="1"/>
        <v>-55.7759608614194</v>
      </c>
      <c r="AC6" s="32" t="str">
        <f ca="1"/>
        <v>235.80735163337</v>
      </c>
      <c r="AD6" s="32" t="str">
        <f ca="1"/>
        <v>-0.0279851222042105</v>
      </c>
    </row>
    <row r="7" spans="1:30" x14ac:dyDescent="0.45">
      <c r="D7" s="15" cm="1">
        <f t="array" aca="1" ref="D7:O8" ca="1">+_xll.BDH($B$2,C8,$B$3,$B$4,"DIR=H")</f>
        <v>45016</v>
      </c>
      <c r="E7" s="1">
        <f ca="1"/>
        <v>45107</v>
      </c>
      <c r="F7" s="1">
        <f ca="1"/>
        <v>45199</v>
      </c>
      <c r="G7" s="1">
        <f ca="1"/>
        <v>45291</v>
      </c>
      <c r="H7" s="1">
        <f ca="1"/>
        <v>45382</v>
      </c>
      <c r="I7" s="1">
        <f ca="1"/>
        <v>45473</v>
      </c>
      <c r="J7" s="1">
        <f ca="1"/>
        <v>45565</v>
      </c>
      <c r="K7" s="1">
        <f ca="1"/>
        <v>45657</v>
      </c>
      <c r="L7" s="1">
        <f ca="1"/>
        <v>45747</v>
      </c>
      <c r="M7" s="1">
        <f ca="1"/>
        <v>45838</v>
      </c>
      <c r="N7" s="1">
        <f ca="1"/>
        <v>45930</v>
      </c>
      <c r="O7" s="1">
        <f ca="1"/>
        <v>46022</v>
      </c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NEO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196.5696333885</v>
      </c>
      <c r="AA7" s="32" t="str">
        <f ca="1"/>
        <v>0.0840436408123311</v>
      </c>
      <c r="AB7" s="32" t="str">
        <f ca="1"/>
        <v>-150.299258922246</v>
      </c>
      <c r="AC7" s="32" t="str">
        <f ca="1"/>
        <v>-182.52987800087</v>
      </c>
      <c r="AD7" s="32" t="str">
        <f ca="1"/>
        <v>0.064363356433691</v>
      </c>
    </row>
    <row r="8" spans="1:30" x14ac:dyDescent="0.45">
      <c r="A8" s="16" t="s">
        <v>9</v>
      </c>
      <c r="B8" s="16" t="s">
        <v>8</v>
      </c>
      <c r="C8" s="9" t="s">
        <v>0</v>
      </c>
      <c r="D8" s="11">
        <f ca="1"/>
        <v>137.22</v>
      </c>
      <c r="E8" s="11">
        <f ca="1"/>
        <v>146.917</v>
      </c>
      <c r="F8" s="11">
        <f ca="1"/>
        <v>151.95400000000001</v>
      </c>
      <c r="G8" s="11">
        <f ca="1"/>
        <v>155.55199999999999</v>
      </c>
      <c r="H8" s="11">
        <f ca="1"/>
        <v>156.24</v>
      </c>
      <c r="I8" s="11">
        <f ca="1"/>
        <v>164.50200000000001</v>
      </c>
      <c r="J8" s="11">
        <f ca="1"/>
        <v>167.82400000000001</v>
      </c>
      <c r="K8" s="11">
        <f ca="1"/>
        <v>172</v>
      </c>
      <c r="L8" s="11">
        <f ca="1"/>
        <v>168.035</v>
      </c>
      <c r="M8" s="11">
        <f ca="1"/>
        <v>181.33</v>
      </c>
      <c r="N8" s="11">
        <f ca="1"/>
        <v>187.797</v>
      </c>
      <c r="O8" s="11">
        <f ca="1"/>
        <v>190</v>
      </c>
      <c r="P8" s="28">
        <v>184.68282678120002</v>
      </c>
      <c r="Q8" s="28">
        <v>196.56963338849999</v>
      </c>
      <c r="R8" s="28">
        <v>205.84916168599997</v>
      </c>
      <c r="S8" s="28">
        <v>210.42624173439998</v>
      </c>
      <c r="T8" s="3"/>
      <c r="U8" s="24" t="str">
        <f ca="1"/>
        <v>NEO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205.849161686</v>
      </c>
      <c r="AA8" s="32" t="str">
        <f ca="1"/>
        <v>0.0961259321820902</v>
      </c>
      <c r="AB8" s="32" t="str">
        <f ca="1"/>
        <v>120.822913697591</v>
      </c>
      <c r="AC8" s="32" t="str">
        <f ca="1"/>
        <v>-228.856513816431</v>
      </c>
      <c r="AD8" s="32" t="str">
        <f ca="1"/>
        <v>0.0472073337958561</v>
      </c>
    </row>
    <row r="9" spans="1:30" x14ac:dyDescent="0.45">
      <c r="C9" s="4" t="s">
        <v>4</v>
      </c>
      <c r="D9" s="5"/>
      <c r="E9" s="4"/>
      <c r="F9" s="4"/>
      <c r="G9" s="12"/>
      <c r="H9" s="12">
        <f t="shared" ref="H9:S9" ca="1" si="2">+H8/D8-1</f>
        <v>0.1386095321381724</v>
      </c>
      <c r="I9" s="12">
        <f t="shared" ca="1" si="2"/>
        <v>0.1196934323461547</v>
      </c>
      <c r="J9" s="12">
        <f t="shared" ca="1" si="2"/>
        <v>0.10443950142806369</v>
      </c>
      <c r="K9" s="12">
        <f t="shared" ca="1" si="2"/>
        <v>0.10573955976136595</v>
      </c>
      <c r="L9" s="12">
        <f t="shared" ca="1" si="2"/>
        <v>7.5492831541218663E-2</v>
      </c>
      <c r="M9" s="12">
        <f t="shared" ca="1" si="2"/>
        <v>0.10229662861241806</v>
      </c>
      <c r="N9" s="12">
        <f t="shared" ca="1" si="2"/>
        <v>0.11901158356373331</v>
      </c>
      <c r="O9" s="12">
        <f t="shared" ca="1" si="2"/>
        <v>0.10465116279069764</v>
      </c>
      <c r="P9" s="12">
        <f t="shared" ca="1" si="2"/>
        <v>9.9073566704555693E-2</v>
      </c>
      <c r="Q9" s="12">
        <f t="shared" ca="1" si="2"/>
        <v>8.4043640812331066E-2</v>
      </c>
      <c r="R9" s="12">
        <f t="shared" ca="1" si="2"/>
        <v>9.6125932182090201E-2</v>
      </c>
      <c r="S9" s="12">
        <f t="shared" ca="1" si="2"/>
        <v>0.1075065354442104</v>
      </c>
      <c r="U9" s="24" t="str">
        <f ca="1"/>
        <v>NEO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210.4262417344</v>
      </c>
      <c r="AA9" s="32" t="str">
        <f ca="1"/>
        <v>0.10750653544421</v>
      </c>
      <c r="AB9" s="32" t="str">
        <f ca="1"/>
        <v>113.806032621202</v>
      </c>
      <c r="AC9" s="32" t="str">
        <f ca="1"/>
        <v>28.5537265351277</v>
      </c>
      <c r="AD9" s="32" t="str">
        <f ca="1"/>
        <v>0.0222351162905479</v>
      </c>
    </row>
    <row r="10" spans="1:30" x14ac:dyDescent="0.45">
      <c r="C10" s="4" t="s">
        <v>19</v>
      </c>
      <c r="D10" s="1"/>
      <c r="L10" s="7">
        <f ca="1">(L9-K9)*10000</f>
        <v>-302.46728220147293</v>
      </c>
      <c r="M10" s="7">
        <f ca="1">(M9-L9)*10000</f>
        <v>268.03797071199398</v>
      </c>
      <c r="N10" s="7">
        <f ca="1">(N9-M9)*10000</f>
        <v>167.14954951315252</v>
      </c>
      <c r="O10" s="7">
        <f ca="1">(O9-N9)*10000</f>
        <v>-143.60420773035676</v>
      </c>
      <c r="P10" s="7">
        <f t="shared" ref="P10:S10" ca="1" si="3">(P9-O9)*10000</f>
        <v>-55.775960861419449</v>
      </c>
      <c r="Q10" s="7">
        <f t="shared" ca="1" si="3"/>
        <v>-150.29925892224628</v>
      </c>
      <c r="R10" s="7">
        <f t="shared" ca="1" si="3"/>
        <v>120.82291369759135</v>
      </c>
      <c r="S10" s="7">
        <f t="shared" ca="1" si="3"/>
        <v>113.80603262120204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NEO US EQUITY</v>
      </c>
      <c r="V10" s="24">
        <f ca="1"/>
        <v>45747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43.5897</v>
      </c>
      <c r="AA10" s="32" t="str">
        <f ca="1"/>
        <v>168.69</v>
      </c>
      <c r="AB10" s="32" t="str">
        <f ca="1"/>
        <v/>
      </c>
      <c r="AC10" s="32" t="str">
        <f ca="1"/>
        <v/>
      </c>
      <c r="AD10" s="32" t="str">
        <f ca="1"/>
        <v>-132.72</v>
      </c>
    </row>
    <row r="11" spans="1:30" x14ac:dyDescent="0.4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-631.16700596953729</v>
      </c>
      <c r="M11" s="7">
        <f ca="1">(M9-I9)*10000</f>
        <v>-173.96803733736644</v>
      </c>
      <c r="N11" s="7">
        <f ca="1">(N9-J9)*10000</f>
        <v>145.72082135669629</v>
      </c>
      <c r="O11" s="7">
        <f ca="1">(O9-K9)*10000</f>
        <v>-10.88396970668315</v>
      </c>
      <c r="P11" s="7">
        <f t="shared" ref="P11:S11" ca="1" si="4">(P9-L9)*10000</f>
        <v>235.8073516333703</v>
      </c>
      <c r="Q11" s="7">
        <f t="shared" ca="1" si="4"/>
        <v>-182.52987800086996</v>
      </c>
      <c r="R11" s="7">
        <f t="shared" ca="1" si="4"/>
        <v>-228.85651381643112</v>
      </c>
      <c r="S11" s="7">
        <f t="shared" ca="1" si="4"/>
        <v>28.553726535127666</v>
      </c>
      <c r="U11" t="str">
        <f ca="1"/>
        <v>NEO US EQUITY</v>
      </c>
      <c r="V11" s="24">
        <f ca="1"/>
        <v>45838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42.6063</v>
      </c>
      <c r="AA11" s="32" t="str">
        <f ca="1"/>
        <v>-146.250000000001</v>
      </c>
      <c r="AB11" s="32" t="str">
        <f ca="1"/>
        <v/>
      </c>
      <c r="AC11" s="32" t="str">
        <f ca="1"/>
        <v/>
      </c>
      <c r="AD11" s="32" t="str">
        <f ca="1"/>
        <v>-98.3400000000003</v>
      </c>
    </row>
    <row r="12" spans="1:30" x14ac:dyDescent="0.45">
      <c r="C12" s="4" t="s">
        <v>5</v>
      </c>
      <c r="D12" s="1"/>
      <c r="L12" s="12">
        <f t="shared" ref="L12:S12" ca="1" si="5">L8/K8-1</f>
        <v>-2.3052325581395361E-2</v>
      </c>
      <c r="M12" s="12">
        <f t="shared" ca="1" si="5"/>
        <v>7.9120421340792113E-2</v>
      </c>
      <c r="N12" s="12">
        <f t="shared" ca="1" si="5"/>
        <v>3.5664258534164217E-2</v>
      </c>
      <c r="O12" s="12">
        <f t="shared" ca="1" si="5"/>
        <v>1.1730751822446539E-2</v>
      </c>
      <c r="P12" s="12">
        <f t="shared" ca="1" si="5"/>
        <v>-2.7985122204210455E-2</v>
      </c>
      <c r="Q12" s="12">
        <f t="shared" si="5"/>
        <v>6.4363356433690955E-2</v>
      </c>
      <c r="R12" s="12">
        <f t="shared" si="5"/>
        <v>4.7207333795856066E-2</v>
      </c>
      <c r="S12" s="12">
        <f t="shared" si="5"/>
        <v>2.2235116290547863E-2</v>
      </c>
      <c r="U12" s="24" t="str">
        <f ca="1"/>
        <v>NEO US EQUITY</v>
      </c>
      <c r="V12" s="24">
        <f ca="1"/>
        <v>45930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42.8367</v>
      </c>
      <c r="AA12" s="32" t="str">
        <f ca="1"/>
        <v>-178.15</v>
      </c>
      <c r="AB12" s="32" t="str">
        <f ca="1"/>
        <v/>
      </c>
      <c r="AC12" s="32" t="str">
        <f ca="1"/>
        <v/>
      </c>
      <c r="AD12" s="32" t="str">
        <f ca="1"/>
        <v>23.0400000000003</v>
      </c>
    </row>
    <row r="13" spans="1:30" x14ac:dyDescent="0.45">
      <c r="U13" s="24" t="str">
        <f ca="1"/>
        <v>NEO US EQUITY</v>
      </c>
      <c r="V13" s="24">
        <f ca="1"/>
        <v>46022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>43.8255</v>
      </c>
      <c r="AA13" s="32" t="str">
        <f ca="1"/>
        <v>-109.14</v>
      </c>
      <c r="AB13" s="32" t="str">
        <f ca="1"/>
        <v/>
      </c>
      <c r="AC13" s="32" t="str">
        <f ca="1"/>
        <v/>
      </c>
      <c r="AD13" s="32" t="str">
        <f ca="1"/>
        <v>98.8799999999998</v>
      </c>
    </row>
    <row r="14" spans="1:30" x14ac:dyDescent="0.45">
      <c r="C14" s="13" t="s">
        <v>12</v>
      </c>
      <c r="D14" s="14">
        <f ca="1">EOMONTH(DATE(YEAR(D16),ROUNDUP(MONTH(D16)/3,0)*3,1),0)</f>
        <v>45016</v>
      </c>
      <c r="E14" s="14">
        <f ca="1">EOMONTH(DATE(YEAR(E16),ROUNDUP(MONTH(E16)/3,0)*3,1),0)</f>
        <v>45107</v>
      </c>
      <c r="F14" s="14">
        <f ca="1">EOMONTH(DATE(YEAR(F16),ROUNDUP(MONTH(F16)/3,0)*3,1),0)</f>
        <v>45199</v>
      </c>
      <c r="G14" s="14">
        <f t="shared" ref="G14:K14" ca="1" si="6">EOMONTH(DATE(YEAR(G16),ROUNDUP(MONTH(G16)/3,0)*3,1),0)</f>
        <v>45291</v>
      </c>
      <c r="H14" s="14">
        <f t="shared" ca="1" si="6"/>
        <v>45382</v>
      </c>
      <c r="I14" s="14">
        <f t="shared" ca="1" si="6"/>
        <v>45473</v>
      </c>
      <c r="J14" s="14">
        <f t="shared" ca="1" si="6"/>
        <v>45565</v>
      </c>
      <c r="K14" s="14">
        <f t="shared" ca="1" si="6"/>
        <v>45657</v>
      </c>
      <c r="L14" s="14">
        <f ca="1">EOMONTH(DATE(YEAR(L16),ROUNDUP(MONTH(L16)/3,0)*3,1),0)</f>
        <v>45747</v>
      </c>
      <c r="M14" s="14">
        <f ca="1">EOMONTH(DATE(YEAR(M16),ROUNDUP(MONTH(M16)/3,0)*3,1),0)</f>
        <v>45838</v>
      </c>
      <c r="N14" s="14">
        <f ca="1">EOMONTH(DATE(YEAR(N16),ROUNDUP(MONTH(N16)/3,0)*3,1),0)</f>
        <v>45930</v>
      </c>
      <c r="O14" s="14">
        <f ca="1">EOMONTH(DATE(YEAR(O16),ROUNDUP(MONTH(O16)/3,0)*3,1),0)</f>
        <v>46022</v>
      </c>
      <c r="P14" s="14"/>
      <c r="Q14" s="14"/>
      <c r="R14" s="14"/>
      <c r="S14" s="14"/>
      <c r="T14" s="1"/>
      <c r="U14" s="24" t="str">
        <f ca="1"/>
        <v>NEO US EQUITY</v>
      </c>
      <c r="V14" s="24">
        <f ca="1"/>
        <v>0</v>
      </c>
      <c r="W14" s="24" t="str">
        <f ca="1"/>
        <v>canonical</v>
      </c>
      <c r="X14" s="24" t="str">
        <f ca="1"/>
        <v>gross_margin_gaap</v>
      </c>
      <c r="Y14" s="24" t="str">
        <f ca="1"/>
        <v/>
      </c>
      <c r="Z14" s="32" t="str">
        <f ca="1"/>
        <v/>
      </c>
      <c r="AA14" s="32" t="str">
        <f ca="1"/>
        <v/>
      </c>
      <c r="AB14" s="32" t="str">
        <f ca="1"/>
        <v/>
      </c>
      <c r="AC14" s="32" t="str">
        <f ca="1"/>
        <v/>
      </c>
      <c r="AD14" s="32" t="str">
        <f ca="1"/>
        <v/>
      </c>
    </row>
    <row r="15" spans="1:30" x14ac:dyDescent="0.4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/>
      <c r="Q15" s="2"/>
      <c r="R15" s="2"/>
      <c r="S15" s="2"/>
      <c r="U15" s="24" t="str">
        <f ca="1"/>
        <v>NEO US EQUITY</v>
      </c>
      <c r="V15" s="24">
        <f ca="1"/>
        <v>0</v>
      </c>
      <c r="W15" s="24" t="str">
        <f ca="1"/>
        <v>canonical</v>
      </c>
      <c r="X15" s="24" t="str">
        <f ca="1"/>
        <v>gross_margin_gaap</v>
      </c>
      <c r="Y15" s="24" t="str">
        <f ca="1"/>
        <v/>
      </c>
      <c r="Z15" s="32" t="str">
        <f ca="1"/>
        <v/>
      </c>
      <c r="AA15" s="32" t="str">
        <f ca="1"/>
        <v/>
      </c>
      <c r="AB15" s="32" t="str">
        <f ca="1"/>
        <v/>
      </c>
      <c r="AC15" s="32" t="str">
        <f ca="1"/>
        <v/>
      </c>
      <c r="AD15" s="32" t="str">
        <f ca="1"/>
        <v/>
      </c>
    </row>
    <row r="16" spans="1:30" x14ac:dyDescent="0.45">
      <c r="D16" s="1" cm="1">
        <f t="array" aca="1" ref="D16:O17" ca="1">+_xll.BDH($B$2,C17,$B$3,$B$4,"DIR=H")</f>
        <v>45016</v>
      </c>
      <c r="E16" s="1">
        <f ca="1"/>
        <v>45107</v>
      </c>
      <c r="F16" s="1">
        <f ca="1"/>
        <v>45199</v>
      </c>
      <c r="G16" s="1">
        <f ca="1"/>
        <v>45291</v>
      </c>
      <c r="H16" s="1">
        <f ca="1"/>
        <v>45382</v>
      </c>
      <c r="I16" s="1">
        <f ca="1"/>
        <v>45473</v>
      </c>
      <c r="J16" s="1">
        <f ca="1"/>
        <v>45565</v>
      </c>
      <c r="K16" s="1">
        <f ca="1"/>
        <v>45657</v>
      </c>
      <c r="L16" s="1">
        <f ca="1"/>
        <v>45747</v>
      </c>
      <c r="M16" s="1">
        <f ca="1"/>
        <v>45838</v>
      </c>
      <c r="N16" s="1">
        <f ca="1"/>
        <v>45930</v>
      </c>
      <c r="O16" s="1">
        <f ca="1"/>
        <v>46022</v>
      </c>
      <c r="P16" s="2"/>
      <c r="Q16" s="2"/>
      <c r="R16" s="2"/>
      <c r="S16" s="2"/>
      <c r="U16" s="24" t="str">
        <f ca="1"/>
        <v>NEO US EQUITY</v>
      </c>
      <c r="V16" s="24">
        <f ca="1"/>
        <v>0</v>
      </c>
      <c r="W16" s="24" t="str">
        <f ca="1"/>
        <v>canonical</v>
      </c>
      <c r="X16" s="24" t="str">
        <f ca="1"/>
        <v>gross_margin_gaap</v>
      </c>
      <c r="Y16" s="24" t="str">
        <f ca="1"/>
        <v/>
      </c>
      <c r="Z16" s="32" t="str">
        <f ca="1"/>
        <v/>
      </c>
      <c r="AA16" s="32" t="str">
        <f ca="1"/>
        <v/>
      </c>
      <c r="AB16" s="32" t="str">
        <f ca="1"/>
        <v/>
      </c>
      <c r="AC16" s="32" t="str">
        <f ca="1"/>
        <v/>
      </c>
      <c r="AD16" s="32" t="str">
        <f ca="1"/>
        <v/>
      </c>
    </row>
    <row r="17" spans="1:30" x14ac:dyDescent="0.45">
      <c r="A17" s="16" t="s">
        <v>9</v>
      </c>
      <c r="B17" s="16" t="s">
        <v>14</v>
      </c>
      <c r="C17" s="9" t="s">
        <v>6</v>
      </c>
      <c r="D17" s="30">
        <f ca="1"/>
        <v>39.946100000000001</v>
      </c>
      <c r="E17" s="30">
        <f ca="1"/>
        <v>40.7652</v>
      </c>
      <c r="F17" s="30">
        <f ca="1"/>
        <v>41.006500000000003</v>
      </c>
      <c r="G17" s="30">
        <f ca="1"/>
        <v>43.450400000000002</v>
      </c>
      <c r="H17" s="30">
        <f ca="1"/>
        <v>41.902799999999999</v>
      </c>
      <c r="I17" s="30">
        <f ca="1"/>
        <v>44.068800000000003</v>
      </c>
      <c r="J17" s="30">
        <f ca="1"/>
        <v>44.618200000000002</v>
      </c>
      <c r="K17" s="30">
        <f ca="1"/>
        <v>44.916899999999998</v>
      </c>
      <c r="L17" s="30">
        <f ca="1"/>
        <v>43.589700000000001</v>
      </c>
      <c r="M17" s="30">
        <f ca="1"/>
        <v>42.606299999999997</v>
      </c>
      <c r="N17" s="30">
        <f ca="1"/>
        <v>42.8367</v>
      </c>
      <c r="O17" s="30">
        <f ca="1"/>
        <v>43.825499999999998</v>
      </c>
      <c r="P17" s="29"/>
      <c r="Q17" s="29"/>
      <c r="R17" s="29"/>
      <c r="S17" s="29"/>
      <c r="U17" s="24" t="str">
        <f ca="1"/>
        <v>NEO US EQUITY</v>
      </c>
      <c r="V17" s="24">
        <f ca="1"/>
        <v>0</v>
      </c>
      <c r="W17" s="24" t="str">
        <f ca="1"/>
        <v>canonical</v>
      </c>
      <c r="X17" s="24" t="str">
        <f ca="1"/>
        <v>gross_margin_gaap</v>
      </c>
      <c r="Y17" s="24" t="str">
        <f ca="1"/>
        <v/>
      </c>
      <c r="Z17" s="32" t="str">
        <f ca="1"/>
        <v/>
      </c>
      <c r="AA17" s="32" t="str">
        <f ca="1"/>
        <v/>
      </c>
      <c r="AB17" s="32" t="str">
        <f ca="1"/>
        <v/>
      </c>
      <c r="AC17" s="32" t="str">
        <f ca="1"/>
        <v/>
      </c>
      <c r="AD17" s="32" t="str">
        <f ca="1"/>
        <v/>
      </c>
    </row>
    <row r="18" spans="1:30" x14ac:dyDescent="0.45">
      <c r="C18" s="4" t="s">
        <v>4</v>
      </c>
      <c r="D18" s="5"/>
      <c r="E18" s="4"/>
      <c r="F18" s="4"/>
      <c r="G18" s="4"/>
      <c r="H18" s="7">
        <f t="shared" ref="H18:O18" ca="1" si="7">(H17-D17)*100</f>
        <v>195.66999999999979</v>
      </c>
      <c r="I18" s="7">
        <f t="shared" ca="1" si="7"/>
        <v>330.3600000000003</v>
      </c>
      <c r="J18" s="7">
        <f t="shared" ca="1" si="7"/>
        <v>361.1699999999999</v>
      </c>
      <c r="K18" s="7">
        <f t="shared" ca="1" si="7"/>
        <v>146.64999999999964</v>
      </c>
      <c r="L18" s="7">
        <f t="shared" ca="1" si="7"/>
        <v>168.69000000000014</v>
      </c>
      <c r="M18" s="7">
        <f t="shared" ca="1" si="7"/>
        <v>-146.25000000000057</v>
      </c>
      <c r="N18" s="7">
        <f t="shared" ca="1" si="7"/>
        <v>-178.15000000000012</v>
      </c>
      <c r="O18" s="7">
        <f t="shared" ca="1" si="7"/>
        <v>-109.14000000000001</v>
      </c>
      <c r="P18" s="7"/>
      <c r="Q18" s="7"/>
      <c r="R18" s="7"/>
      <c r="S18" s="7"/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NEO US EQUITY</v>
      </c>
      <c r="V18" s="24">
        <f ca="1"/>
        <v>45747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-16.5591</v>
      </c>
      <c r="AA18" s="32" t="str">
        <f ca="1"/>
        <v>300.5</v>
      </c>
      <c r="AB18" s="32" t="str">
        <f ca="1"/>
        <v/>
      </c>
      <c r="AC18" s="32" t="str">
        <f ca="1"/>
        <v/>
      </c>
      <c r="AD18" s="32" t="str">
        <f ca="1"/>
        <v>-586.08</v>
      </c>
    </row>
    <row r="19" spans="1:30" x14ac:dyDescent="0.4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t="str">
        <f ca="1"/>
        <v>NEO US EQUITY</v>
      </c>
      <c r="V19" s="24">
        <f ca="1"/>
        <v>45838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-26.2659</v>
      </c>
      <c r="AA19" s="32" t="str">
        <f ca="1"/>
        <v>-1292.81</v>
      </c>
      <c r="AB19" s="32" t="str">
        <f ca="1"/>
        <v/>
      </c>
      <c r="AC19" s="32" t="str">
        <f ca="1"/>
        <v/>
      </c>
      <c r="AD19" s="32" t="str">
        <f ca="1"/>
        <v>-970.68</v>
      </c>
    </row>
    <row r="20" spans="1:30" x14ac:dyDescent="0.4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NEO US EQUITY</v>
      </c>
      <c r="V20" s="24">
        <f ca="1"/>
        <v>45930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-14.3847</v>
      </c>
      <c r="AA20" s="32" t="str">
        <f ca="1"/>
        <v>-175.42</v>
      </c>
      <c r="AB20" s="32" t="str">
        <f ca="1"/>
        <v/>
      </c>
      <c r="AC20" s="32" t="str">
        <f ca="1"/>
        <v/>
      </c>
      <c r="AD20" s="32" t="str">
        <f ca="1"/>
        <v>1188.12</v>
      </c>
    </row>
    <row r="21" spans="1:30" x14ac:dyDescent="0.45">
      <c r="C21" s="4" t="s">
        <v>5</v>
      </c>
      <c r="D21" s="1"/>
      <c r="K21" s="7"/>
      <c r="L21" s="7">
        <f ca="1">(L17-K17)*100</f>
        <v>-132.71999999999977</v>
      </c>
      <c r="M21" s="7">
        <f t="shared" ref="M21:O21" ca="1" si="8">(M17-L17)*100</f>
        <v>-98.340000000000316</v>
      </c>
      <c r="N21" s="7">
        <f t="shared" ca="1" si="8"/>
        <v>23.040000000000305</v>
      </c>
      <c r="O21" s="7">
        <f t="shared" ca="1" si="8"/>
        <v>98.879999999999768</v>
      </c>
      <c r="P21" s="7"/>
      <c r="Q21" s="7"/>
      <c r="R21" s="7"/>
      <c r="S21" s="7"/>
      <c r="U21" s="24" t="str">
        <f ca="1"/>
        <v>NEO US EQUITY</v>
      </c>
      <c r="V21" s="24">
        <f ca="1"/>
        <v>46022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>-7.0537</v>
      </c>
      <c r="AA21" s="32" t="str">
        <f ca="1"/>
        <v>364.46</v>
      </c>
      <c r="AB21" s="32" t="str">
        <f ca="1"/>
        <v/>
      </c>
      <c r="AC21" s="32" t="str">
        <f ca="1"/>
        <v/>
      </c>
      <c r="AD21" s="32" t="str">
        <f ca="1"/>
        <v>733.1</v>
      </c>
    </row>
    <row r="22" spans="1:30" x14ac:dyDescent="0.45">
      <c r="T22" s="1"/>
      <c r="U22" s="24" t="str">
        <f ca="1"/>
        <v>NEO US EQUITY</v>
      </c>
      <c r="V22" s="24">
        <f ca="1"/>
        <v>0</v>
      </c>
      <c r="W22" s="24" t="str">
        <f ca="1"/>
        <v>canonical</v>
      </c>
      <c r="X22" s="24" t="str">
        <f ca="1"/>
        <v>operating_margin_gaap</v>
      </c>
      <c r="Y22" s="24" t="str">
        <f ca="1"/>
        <v/>
      </c>
      <c r="Z22" s="32" t="str">
        <f ca="1"/>
        <v/>
      </c>
      <c r="AA22" s="32" t="str">
        <f ca="1"/>
        <v/>
      </c>
      <c r="AB22" s="32" t="str">
        <f ca="1"/>
        <v/>
      </c>
      <c r="AC22" s="32" t="str">
        <f ca="1"/>
        <v/>
      </c>
      <c r="AD22" s="32" t="str">
        <f ca="1"/>
        <v/>
      </c>
    </row>
    <row r="23" spans="1:30" x14ac:dyDescent="0.45">
      <c r="C23" s="13" t="s">
        <v>12</v>
      </c>
      <c r="D23" s="14">
        <f ca="1">EOMONTH(DATE(YEAR(D25),ROUNDUP(MONTH(D25)/3,0)*3,1),0)</f>
        <v>45016</v>
      </c>
      <c r="E23" s="14">
        <f ca="1">EOMONTH(DATE(YEAR(E25),ROUNDUP(MONTH(E25)/3,0)*3,1),0)</f>
        <v>45107</v>
      </c>
      <c r="F23" s="14">
        <f ca="1">EOMONTH(DATE(YEAR(F25),ROUNDUP(MONTH(F25)/3,0)*3,1),0)</f>
        <v>45199</v>
      </c>
      <c r="G23" s="14">
        <f t="shared" ref="G23:K23" ca="1" si="9">EOMONTH(DATE(YEAR(G25),ROUNDUP(MONTH(G25)/3,0)*3,1),0)</f>
        <v>45291</v>
      </c>
      <c r="H23" s="14">
        <f t="shared" ca="1" si="9"/>
        <v>45382</v>
      </c>
      <c r="I23" s="14">
        <f t="shared" ca="1" si="9"/>
        <v>45473</v>
      </c>
      <c r="J23" s="14">
        <f t="shared" ca="1" si="9"/>
        <v>45565</v>
      </c>
      <c r="K23" s="14">
        <f t="shared" ca="1" si="9"/>
        <v>45657</v>
      </c>
      <c r="L23" s="14">
        <f ca="1">EOMONTH(DATE(YEAR(L25),ROUNDUP(MONTH(L25)/3,0)*3,1),0)</f>
        <v>45747</v>
      </c>
      <c r="M23" s="14">
        <f ca="1">EOMONTH(DATE(YEAR(M25),ROUNDUP(MONTH(M25)/3,0)*3,1),0)</f>
        <v>45838</v>
      </c>
      <c r="N23" s="14">
        <f ca="1">EOMONTH(DATE(YEAR(N25),ROUNDUP(MONTH(N25)/3,0)*3,1),0)</f>
        <v>45930</v>
      </c>
      <c r="O23" s="14">
        <f ca="1">EOMONTH(DATE(YEAR(O25),ROUNDUP(MONTH(O25)/3,0)*3,1),0)</f>
        <v>46022</v>
      </c>
      <c r="P23" s="14"/>
      <c r="Q23" s="14"/>
      <c r="R23" s="14"/>
      <c r="S23" s="14"/>
      <c r="U23" s="24" t="str">
        <f ca="1"/>
        <v>NEO US EQUITY</v>
      </c>
      <c r="V23" s="24">
        <f ca="1"/>
        <v>0</v>
      </c>
      <c r="W23" s="24" t="str">
        <f ca="1"/>
        <v>canonical</v>
      </c>
      <c r="X23" s="24" t="str">
        <f ca="1"/>
        <v>operating_margin_gaap</v>
      </c>
      <c r="Y23" s="24" t="str">
        <f ca="1"/>
        <v/>
      </c>
      <c r="Z23" s="32" t="str">
        <f ca="1"/>
        <v/>
      </c>
      <c r="AA23" s="32" t="str">
        <f ca="1"/>
        <v/>
      </c>
      <c r="AB23" s="32" t="str">
        <f ca="1"/>
        <v/>
      </c>
      <c r="AC23" s="32" t="str">
        <f ca="1"/>
        <v/>
      </c>
      <c r="AD23" s="32" t="str">
        <f ca="1"/>
        <v/>
      </c>
    </row>
    <row r="24" spans="1:30" x14ac:dyDescent="0.4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14"/>
      <c r="Q24" s="14"/>
      <c r="R24" s="14"/>
      <c r="S24" s="14"/>
      <c r="U24" s="24" t="str">
        <f ca="1"/>
        <v>NEO US EQUITY</v>
      </c>
      <c r="V24" s="24">
        <f ca="1"/>
        <v>0</v>
      </c>
      <c r="W24" s="24" t="str">
        <f ca="1"/>
        <v>canonical</v>
      </c>
      <c r="X24" s="24" t="str">
        <f ca="1"/>
        <v>operating_margin_gaap</v>
      </c>
      <c r="Y24" s="24" t="str">
        <f ca="1"/>
        <v/>
      </c>
      <c r="Z24" s="32" t="str">
        <f ca="1"/>
        <v/>
      </c>
      <c r="AA24" s="32" t="str">
        <f ca="1"/>
        <v/>
      </c>
      <c r="AB24" s="32" t="str">
        <f ca="1"/>
        <v/>
      </c>
      <c r="AC24" s="32" t="str">
        <f ca="1"/>
        <v/>
      </c>
      <c r="AD24" s="32" t="str">
        <f ca="1"/>
        <v/>
      </c>
    </row>
    <row r="25" spans="1:30" x14ac:dyDescent="0.45">
      <c r="D25" s="1" cm="1">
        <f t="array" aca="1" ref="D25:O26" ca="1">+_xll.BDH($B$2,C26,$B$3,$B$4,"DIR=H")</f>
        <v>45016</v>
      </c>
      <c r="E25" s="1">
        <f ca="1"/>
        <v>45107</v>
      </c>
      <c r="F25" s="1">
        <f ca="1"/>
        <v>45199</v>
      </c>
      <c r="G25" s="1">
        <f ca="1"/>
        <v>45291</v>
      </c>
      <c r="H25" s="1">
        <f ca="1"/>
        <v>45382</v>
      </c>
      <c r="I25" s="1">
        <f ca="1"/>
        <v>45473</v>
      </c>
      <c r="J25" s="1">
        <f ca="1"/>
        <v>45565</v>
      </c>
      <c r="K25" s="1">
        <f ca="1"/>
        <v>45657</v>
      </c>
      <c r="L25" s="1">
        <f ca="1"/>
        <v>45747</v>
      </c>
      <c r="M25" s="1">
        <f ca="1"/>
        <v>45838</v>
      </c>
      <c r="N25" s="1">
        <f ca="1"/>
        <v>45930</v>
      </c>
      <c r="O25" s="1">
        <f ca="1"/>
        <v>46022</v>
      </c>
      <c r="P25" s="2"/>
      <c r="Q25" s="2"/>
      <c r="R25" s="2"/>
      <c r="S25" s="2"/>
      <c r="U25" s="24" t="str">
        <f ca="1"/>
        <v>NEO US EQUITY</v>
      </c>
      <c r="V25" s="24">
        <f ca="1"/>
        <v>0</v>
      </c>
      <c r="W25" s="24" t="str">
        <f ca="1"/>
        <v>canonical</v>
      </c>
      <c r="X25" s="24" t="str">
        <f ca="1"/>
        <v>operating_margin_gaap</v>
      </c>
      <c r="Y25" s="24" t="str">
        <f ca="1"/>
        <v/>
      </c>
      <c r="Z25" s="32" t="str">
        <f ca="1"/>
        <v/>
      </c>
      <c r="AA25" s="32" t="str">
        <f ca="1"/>
        <v/>
      </c>
      <c r="AB25" s="32" t="str">
        <f ca="1"/>
        <v/>
      </c>
      <c r="AC25" s="32" t="str">
        <f ca="1"/>
        <v/>
      </c>
      <c r="AD25" s="32" t="str">
        <f ca="1"/>
        <v/>
      </c>
    </row>
    <row r="26" spans="1:30" x14ac:dyDescent="0.45">
      <c r="A26" s="16" t="s">
        <v>9</v>
      </c>
      <c r="B26" s="16" t="s">
        <v>15</v>
      </c>
      <c r="C26" s="9" t="s">
        <v>7</v>
      </c>
      <c r="D26" s="3">
        <f ca="1"/>
        <v>-25.559699999999999</v>
      </c>
      <c r="E26" s="3">
        <f ca="1"/>
        <v>-20.3475</v>
      </c>
      <c r="F26" s="3">
        <f ca="1"/>
        <v>-15.922599999999999</v>
      </c>
      <c r="G26" s="3">
        <f ca="1"/>
        <v>-11.9407</v>
      </c>
      <c r="H26" s="3">
        <f ca="1"/>
        <v>-19.5641</v>
      </c>
      <c r="I26" s="3">
        <f ca="1"/>
        <v>-13.3378</v>
      </c>
      <c r="J26" s="3">
        <f ca="1"/>
        <v>-12.6305</v>
      </c>
      <c r="K26" s="3">
        <f ca="1"/>
        <v>-10.6983</v>
      </c>
      <c r="L26" s="3">
        <f ca="1"/>
        <v>-16.559100000000001</v>
      </c>
      <c r="M26" s="3">
        <f ca="1"/>
        <v>-26.265899999999998</v>
      </c>
      <c r="N26" s="3">
        <f ca="1"/>
        <v>-14.3847</v>
      </c>
      <c r="O26" s="3">
        <f ca="1"/>
        <v>-7.0537000000000001</v>
      </c>
      <c r="P26" s="29"/>
      <c r="Q26" s="29"/>
      <c r="R26" s="29"/>
      <c r="S26" s="29"/>
      <c r="U26" s="24" t="str" cm="1">
        <f t="array" aca="1" ref="U26:AD33" ca="1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NEO US EQUITY</v>
      </c>
      <c r="V26" s="24">
        <f ca="1"/>
        <v>45747</v>
      </c>
      <c r="W26" s="24" t="str">
        <f ca="1"/>
        <v>custom</v>
      </c>
      <c r="X26" s="24" t="str">
        <f ca="1"/>
        <v>test_volume</v>
      </c>
      <c r="Y26" s="24" t="str">
        <f ca="1"/>
        <v>actual</v>
      </c>
      <c r="Z26" s="32" t="str">
        <f ca="1"/>
        <v>326163</v>
      </c>
      <c r="AA26" s="32" t="str">
        <f ca="1"/>
        <v>0.084221163658847</v>
      </c>
      <c r="AB26" s="32" t="str">
        <f ca="1"/>
        <v>-67.7086618683731</v>
      </c>
      <c r="AC26" s="32" t="str">
        <f ca="1"/>
        <v>304.478166874729</v>
      </c>
      <c r="AD26" s="32" t="str">
        <f ca="1"/>
        <v>0.013939361910476</v>
      </c>
    </row>
    <row r="27" spans="1:30" x14ac:dyDescent="0.45">
      <c r="C27" s="4" t="s">
        <v>4</v>
      </c>
      <c r="D27" s="5"/>
      <c r="E27" s="4"/>
      <c r="F27" s="4"/>
      <c r="G27" s="4"/>
      <c r="H27" s="7">
        <f t="shared" ref="H27:O27" ca="1" si="10">(H26-D26)*100</f>
        <v>599.55999999999995</v>
      </c>
      <c r="I27" s="7">
        <f t="shared" ca="1" si="10"/>
        <v>700.97</v>
      </c>
      <c r="J27" s="7">
        <f t="shared" ca="1" si="10"/>
        <v>329.21</v>
      </c>
      <c r="K27" s="7">
        <f t="shared" ca="1" si="10"/>
        <v>124.24</v>
      </c>
      <c r="L27" s="7">
        <f t="shared" ca="1" si="10"/>
        <v>300.49999999999989</v>
      </c>
      <c r="M27" s="7">
        <f t="shared" ca="1" si="10"/>
        <v>-1292.81</v>
      </c>
      <c r="N27" s="7">
        <f t="shared" ca="1" si="10"/>
        <v>-175.42000000000007</v>
      </c>
      <c r="O27" s="7">
        <f t="shared" ca="1" si="10"/>
        <v>364.46</v>
      </c>
      <c r="P27" s="7"/>
      <c r="Q27" s="7"/>
      <c r="R27" s="7"/>
      <c r="S27" s="7"/>
      <c r="U27" t="str">
        <f ca="1"/>
        <v>NEO US EQUITY</v>
      </c>
      <c r="V27" s="24">
        <f ca="1"/>
        <v>45838</v>
      </c>
      <c r="W27" s="24" t="str">
        <f ca="1"/>
        <v>custom</v>
      </c>
      <c r="X27" s="24" t="str">
        <f ca="1"/>
        <v>test_volume</v>
      </c>
      <c r="Y27" s="24" t="str">
        <f ca="1"/>
        <v>actual</v>
      </c>
      <c r="Z27" s="32" t="str">
        <f ca="1"/>
        <v>356630</v>
      </c>
      <c r="AA27" s="32" t="str">
        <f ca="1"/>
        <v>0.144255141656239</v>
      </c>
      <c r="AB27" s="32" t="str">
        <f ca="1"/>
        <v>600.33977997392</v>
      </c>
      <c r="AC27" s="32" t="str">
        <f ca="1"/>
        <v>881.619444049886</v>
      </c>
      <c r="AD27" s="32" t="str">
        <f ca="1"/>
        <v>0.0934103500397041</v>
      </c>
    </row>
    <row r="28" spans="1:30" x14ac:dyDescent="0.4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f ca="1"/>
        <v>NEO US EQUITY</v>
      </c>
      <c r="V28" s="24">
        <f ca="1"/>
        <v>45930</v>
      </c>
      <c r="W28" s="24" t="str">
        <f ca="1"/>
        <v>custom</v>
      </c>
      <c r="X28" s="24" t="str">
        <f ca="1"/>
        <v>test_volume</v>
      </c>
      <c r="Y28" s="24" t="str">
        <f ca="1"/>
        <v>actual</v>
      </c>
      <c r="Z28" s="32" t="str">
        <f ca="1"/>
        <v>360774</v>
      </c>
      <c r="AA28" s="32" t="str">
        <f ca="1"/>
        <v>0.14690174336542</v>
      </c>
      <c r="AB28" s="32" t="str">
        <f ca="1"/>
        <v>26.4660170918107</v>
      </c>
      <c r="AC28" s="32" t="str">
        <f ca="1"/>
        <v>608.388439430396</v>
      </c>
      <c r="AD28" s="32" t="str">
        <f ca="1"/>
        <v>0.0116198861565207</v>
      </c>
    </row>
    <row r="29" spans="1:30" x14ac:dyDescent="0.4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f ca="1"/>
        <v>NEO US EQUITY</v>
      </c>
      <c r="V29" s="24">
        <f ca="1"/>
        <v>46022</v>
      </c>
      <c r="W29" s="24" t="str">
        <f ca="1"/>
        <v>custom</v>
      </c>
      <c r="X29" s="24" t="str">
        <f ca="1"/>
        <v>test_volume</v>
      </c>
      <c r="Y29" s="24" t="str">
        <f ca="1"/>
        <v>actual</v>
      </c>
      <c r="Z29" s="32" t="str">
        <f ca="1"/>
        <v>356136</v>
      </c>
      <c r="AA29" s="32" t="str">
        <f ca="1"/>
        <v>0.107116100211702</v>
      </c>
      <c r="AB29" s="32" t="str">
        <f ca="1"/>
        <v>-397.856431537182</v>
      </c>
      <c r="AC29" s="32" t="str">
        <f ca="1"/>
        <v>161.240703660175</v>
      </c>
      <c r="AD29" s="32" t="str">
        <f ca="1"/>
        <v>-0.0128556935921103</v>
      </c>
    </row>
    <row r="30" spans="1:30" x14ac:dyDescent="0.45">
      <c r="C30" s="4" t="s">
        <v>5</v>
      </c>
      <c r="D30" s="1"/>
      <c r="K30" s="7"/>
      <c r="L30" s="7">
        <f ca="1">(L26-K26)*100</f>
        <v>-586.08000000000015</v>
      </c>
      <c r="M30" s="7">
        <f t="shared" ref="M30:O30" ca="1" si="11">(M26-L26)*100</f>
        <v>-970.67999999999972</v>
      </c>
      <c r="N30" s="7">
        <f t="shared" ca="1" si="11"/>
        <v>1188.1199999999999</v>
      </c>
      <c r="O30" s="7">
        <f t="shared" ca="1" si="11"/>
        <v>733.1</v>
      </c>
      <c r="P30" s="7"/>
      <c r="Q30" s="7"/>
      <c r="R30" s="7"/>
      <c r="S30" s="7"/>
      <c r="U30" s="24" t="str">
        <f ca="1"/>
        <v>NEO US EQUITY</v>
      </c>
      <c r="V30" s="24">
        <f ca="1"/>
        <v>46112</v>
      </c>
      <c r="W30" s="24" t="str">
        <f ca="1"/>
        <v>custom</v>
      </c>
      <c r="X30" s="24" t="str">
        <f ca="1"/>
        <v>test_volume</v>
      </c>
      <c r="Y30" s="24" t="str">
        <f ca="1"/>
        <v>forecast</v>
      </c>
      <c r="Z30" s="32" t="str">
        <f ca="1"/>
        <v>345732.78</v>
      </c>
      <c r="AA30" s="32" t="str">
        <f ca="1"/>
        <v>0.0600000000000001</v>
      </c>
      <c r="AB30" s="32" t="str">
        <f ca="1"/>
        <v>-471.161002117018</v>
      </c>
      <c r="AC30" s="32" t="str">
        <f ca="1"/>
        <v>-242.21163658847</v>
      </c>
      <c r="AD30" s="32" t="str">
        <f ca="1"/>
        <v>-0.0292113686906125</v>
      </c>
    </row>
    <row r="31" spans="1:30" x14ac:dyDescent="0.4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f ca="1"/>
        <v>NEO US EQUITY</v>
      </c>
      <c r="V31" s="24">
        <f ca="1"/>
        <v>46203</v>
      </c>
      <c r="W31" s="24" t="str">
        <f ca="1"/>
        <v>custom</v>
      </c>
      <c r="X31" s="24" t="str">
        <f ca="1"/>
        <v>test_volume</v>
      </c>
      <c r="Y31" s="24" t="str">
        <f ca="1"/>
        <v>forecast</v>
      </c>
      <c r="Z31" s="32" t="str">
        <f ca="1"/>
        <v>367328.9</v>
      </c>
      <c r="AA31" s="32" t="str">
        <f ca="1"/>
        <v>0.03</v>
      </c>
      <c r="AB31" s="32" t="str">
        <f ca="1"/>
        <v>-300</v>
      </c>
      <c r="AC31" s="32" t="str">
        <f ca="1"/>
        <v>-1142.55141656239</v>
      </c>
      <c r="AD31" s="32" t="str">
        <f ca="1"/>
        <v>0.062464774095184</v>
      </c>
    </row>
    <row r="32" spans="1:30" x14ac:dyDescent="0.45">
      <c r="C32" s="13" t="s">
        <v>12</v>
      </c>
      <c r="D32" s="14">
        <f t="shared" ref="D32:L32" ca="1" si="12">EOMONTH(DATE(YEAR(D34),ROUNDUP(MONTH(D34)/3,0)*3,1),0)</f>
        <v>45016</v>
      </c>
      <c r="E32" s="14">
        <f t="shared" ca="1" si="12"/>
        <v>45107</v>
      </c>
      <c r="F32" s="14">
        <f t="shared" ca="1" si="12"/>
        <v>45199</v>
      </c>
      <c r="G32" s="14">
        <f t="shared" ca="1" si="12"/>
        <v>45291</v>
      </c>
      <c r="H32" s="14">
        <f t="shared" ca="1" si="12"/>
        <v>45382</v>
      </c>
      <c r="I32" s="14">
        <f t="shared" ca="1" si="12"/>
        <v>45473</v>
      </c>
      <c r="J32" s="14">
        <f t="shared" ca="1" si="12"/>
        <v>45565</v>
      </c>
      <c r="K32" s="14">
        <f t="shared" ca="1" si="12"/>
        <v>45657</v>
      </c>
      <c r="L32" s="14">
        <f t="shared" ca="1" si="12"/>
        <v>45747</v>
      </c>
      <c r="M32" s="14">
        <f ca="1">EOMONTH(DATE(YEAR(M34),ROUNDUP(MONTH(M34)/3,0)*3,1),0)</f>
        <v>45838</v>
      </c>
      <c r="N32" s="14">
        <f ca="1">EOMONTH(DATE(YEAR(N34),ROUNDUP(MONTH(N34)/3,0)*3,1),0)</f>
        <v>45930</v>
      </c>
      <c r="O32" s="14">
        <f ca="1">EOMONTH(DATE(YEAR(O34),ROUNDUP(MONTH(O34)/3,0)*3,1),0)</f>
        <v>46022</v>
      </c>
      <c r="P32" s="14">
        <f t="shared" ref="P32:S32" si="13">EOMONTH(DATE(YEAR(P34),ROUNDUP(MONTH(P34)/3,0)*3,1),0)</f>
        <v>46112</v>
      </c>
      <c r="Q32" s="14">
        <f t="shared" si="13"/>
        <v>46203</v>
      </c>
      <c r="R32" s="14">
        <f t="shared" si="13"/>
        <v>46295</v>
      </c>
      <c r="S32" s="14">
        <f t="shared" si="13"/>
        <v>46387</v>
      </c>
      <c r="U32" s="24" t="str">
        <f ca="1"/>
        <v>NEO US EQUITY</v>
      </c>
      <c r="V32" s="24">
        <f ca="1"/>
        <v>46295</v>
      </c>
      <c r="W32" s="24" t="str">
        <f ca="1"/>
        <v>custom</v>
      </c>
      <c r="X32" s="24" t="str">
        <f ca="1"/>
        <v>test_volume</v>
      </c>
      <c r="Y32" s="24" t="str">
        <f ca="1"/>
        <v>forecast</v>
      </c>
      <c r="Z32" s="32" t="str">
        <f ca="1"/>
        <v>380616.57</v>
      </c>
      <c r="AA32" s="32" t="str">
        <f ca="1"/>
        <v>0.0549999999999999</v>
      </c>
      <c r="AB32" s="32" t="str">
        <f ca="1"/>
        <v>249.999999999999</v>
      </c>
      <c r="AC32" s="32" t="str">
        <f ca="1"/>
        <v>-919.017433654201</v>
      </c>
      <c r="AD32" s="32" t="str">
        <f ca="1"/>
        <v>0.036173766888475</v>
      </c>
    </row>
    <row r="33" spans="1:30" x14ac:dyDescent="0.45">
      <c r="C33" s="13" t="s">
        <v>35</v>
      </c>
      <c r="D33" s="2" t="str">
        <f t="shared" ref="D33:S33" si="14">+D$6</f>
        <v>actual</v>
      </c>
      <c r="E33" s="2" t="str">
        <f t="shared" si="14"/>
        <v>actual</v>
      </c>
      <c r="F33" s="2" t="str">
        <f t="shared" si="14"/>
        <v>actual</v>
      </c>
      <c r="G33" s="2" t="str">
        <f t="shared" si="14"/>
        <v>actual</v>
      </c>
      <c r="H33" s="2" t="str">
        <f t="shared" si="14"/>
        <v>actual</v>
      </c>
      <c r="I33" s="2" t="str">
        <f t="shared" si="14"/>
        <v>actual</v>
      </c>
      <c r="J33" s="2" t="str">
        <f t="shared" si="14"/>
        <v>actual</v>
      </c>
      <c r="K33" s="2" t="str">
        <f t="shared" si="14"/>
        <v>actual</v>
      </c>
      <c r="L33" s="2" t="str">
        <f t="shared" si="14"/>
        <v>actual</v>
      </c>
      <c r="M33" s="2" t="str">
        <f t="shared" si="14"/>
        <v>actual</v>
      </c>
      <c r="N33" s="2" t="str">
        <f t="shared" si="14"/>
        <v>actual</v>
      </c>
      <c r="O33" s="2" t="str">
        <f t="shared" si="14"/>
        <v>actual</v>
      </c>
      <c r="P33" s="2" t="str">
        <f t="shared" si="14"/>
        <v>forecast</v>
      </c>
      <c r="Q33" s="2" t="str">
        <f t="shared" si="14"/>
        <v>forecast</v>
      </c>
      <c r="R33" s="2" t="str">
        <f t="shared" si="14"/>
        <v>forecast</v>
      </c>
      <c r="S33" s="2" t="str">
        <f t="shared" si="14"/>
        <v>forecast</v>
      </c>
      <c r="U33" s="24" t="str">
        <f ca="1"/>
        <v>NEO US EQUITY</v>
      </c>
      <c r="V33" s="24">
        <f ca="1"/>
        <v>46387</v>
      </c>
      <c r="W33" s="24" t="str">
        <f ca="1"/>
        <v>custom</v>
      </c>
      <c r="X33" s="24" t="str">
        <f ca="1"/>
        <v>test_volume</v>
      </c>
      <c r="Y33" s="24" t="str">
        <f ca="1"/>
        <v>forecast</v>
      </c>
      <c r="Z33" s="32" t="str">
        <f ca="1"/>
        <v>377504.16</v>
      </c>
      <c r="AA33" s="32" t="str">
        <f ca="1"/>
        <v>0.0600000000000001</v>
      </c>
      <c r="AB33" s="32" t="str">
        <f ca="1"/>
        <v>50.0000000000012</v>
      </c>
      <c r="AC33" s="32" t="str">
        <f ca="1"/>
        <v>-471.161002117018</v>
      </c>
      <c r="AD33" s="32" t="str">
        <f ca="1"/>
        <v>-0.00817728455700162</v>
      </c>
    </row>
    <row r="34" spans="1:30" x14ac:dyDescent="0.45">
      <c r="D34" s="2">
        <f t="shared" ref="D34:S34" ca="1" si="15">+D$7</f>
        <v>45016</v>
      </c>
      <c r="E34" s="2">
        <f t="shared" ca="1" si="15"/>
        <v>45107</v>
      </c>
      <c r="F34" s="2">
        <f t="shared" ca="1" si="15"/>
        <v>45199</v>
      </c>
      <c r="G34" s="2">
        <f t="shared" ca="1" si="15"/>
        <v>45291</v>
      </c>
      <c r="H34" s="2">
        <f t="shared" ca="1" si="15"/>
        <v>45382</v>
      </c>
      <c r="I34" s="2">
        <f t="shared" ca="1" si="15"/>
        <v>45473</v>
      </c>
      <c r="J34" s="2">
        <f t="shared" ca="1" si="15"/>
        <v>45565</v>
      </c>
      <c r="K34" s="2">
        <f t="shared" ca="1" si="15"/>
        <v>45657</v>
      </c>
      <c r="L34" s="2">
        <f t="shared" ca="1" si="15"/>
        <v>45747</v>
      </c>
      <c r="M34" s="2">
        <f t="shared" ca="1" si="15"/>
        <v>45838</v>
      </c>
      <c r="N34" s="2">
        <f t="shared" ca="1" si="15"/>
        <v>45930</v>
      </c>
      <c r="O34" s="2">
        <f t="shared" ca="1" si="15"/>
        <v>46022</v>
      </c>
      <c r="P34" s="2">
        <f t="shared" si="15"/>
        <v>46112</v>
      </c>
      <c r="Q34" s="2">
        <f t="shared" si="15"/>
        <v>46203</v>
      </c>
      <c r="R34" s="2">
        <f t="shared" si="15"/>
        <v>46295</v>
      </c>
      <c r="S34" s="2">
        <f t="shared" si="15"/>
        <v>46387</v>
      </c>
      <c r="U34" s="24" t="str" cm="1">
        <f t="array" aca="1" ref="U34:AD41" ca="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NEO US EQUITY</v>
      </c>
      <c r="V34" s="24">
        <f ca="1"/>
        <v>45747</v>
      </c>
      <c r="W34" s="24" t="str">
        <f ca="1"/>
        <v>custom</v>
      </c>
      <c r="X34" s="24" t="str">
        <f ca="1"/>
        <v>revenue_per_test</v>
      </c>
      <c r="Y34" s="24" t="str">
        <f ca="1"/>
        <v>actual</v>
      </c>
      <c r="Z34" s="32" t="str">
        <f ca="1"/>
        <v>459</v>
      </c>
      <c r="AA34" s="32" t="str">
        <f ca="1"/>
        <v>0.0263469952057085</v>
      </c>
      <c r="AB34" s="32" t="str">
        <f ca="1"/>
        <v>-278.38445136293</v>
      </c>
      <c r="AC34" s="32" t="str">
        <f ca="1"/>
        <v>-850.909837346268</v>
      </c>
      <c r="AD34" s="32" t="str">
        <f ca="1"/>
        <v>-0.0129032258064516</v>
      </c>
    </row>
    <row r="35" spans="1:30" x14ac:dyDescent="0.45">
      <c r="A35" s="16" t="s">
        <v>21</v>
      </c>
      <c r="B35" s="16" t="s">
        <v>33</v>
      </c>
      <c r="C35" s="2" t="s">
        <v>31</v>
      </c>
      <c r="D35" s="27">
        <v>285476</v>
      </c>
      <c r="E35" s="27">
        <v>295116</v>
      </c>
      <c r="F35" s="27">
        <v>289637</v>
      </c>
      <c r="G35" s="27">
        <v>294850</v>
      </c>
      <c r="H35" s="27">
        <v>300827</v>
      </c>
      <c r="I35" s="27">
        <v>311670</v>
      </c>
      <c r="J35" s="27">
        <v>314564</v>
      </c>
      <c r="K35" s="27">
        <v>321679</v>
      </c>
      <c r="L35" s="27">
        <v>326163</v>
      </c>
      <c r="M35" s="27">
        <v>356630</v>
      </c>
      <c r="N35" s="27">
        <v>360774</v>
      </c>
      <c r="O35" s="27">
        <v>356136</v>
      </c>
      <c r="P35" s="27">
        <v>345732.78</v>
      </c>
      <c r="Q35" s="27">
        <v>367328.9</v>
      </c>
      <c r="R35" s="27">
        <v>380616.56999999995</v>
      </c>
      <c r="S35" s="27">
        <v>377504.16000000003</v>
      </c>
      <c r="U35" t="str">
        <f ca="1"/>
        <v>NEO US EQUITY</v>
      </c>
      <c r="V35" s="24">
        <f ca="1"/>
        <v>45838</v>
      </c>
      <c r="W35" s="24" t="str">
        <f ca="1"/>
        <v>custom</v>
      </c>
      <c r="X35" s="24" t="str">
        <f ca="1"/>
        <v>revenue_per_test</v>
      </c>
      <c r="Y35" s="24" t="str">
        <f ca="1"/>
        <v>actual</v>
      </c>
      <c r="Z35" s="32" t="str">
        <f ca="1"/>
        <v>461</v>
      </c>
      <c r="AA35" s="32" t="str">
        <f ca="1"/>
        <v>0.0162097914957422</v>
      </c>
      <c r="AB35" s="32" t="str">
        <f ca="1"/>
        <v>-101.372037099663</v>
      </c>
      <c r="AC35" s="32" t="str">
        <f ca="1"/>
        <v>-708.53251200067</v>
      </c>
      <c r="AD35" s="32" t="str">
        <f ca="1"/>
        <v>0.00435729847494559</v>
      </c>
    </row>
    <row r="36" spans="1:30" x14ac:dyDescent="0.45">
      <c r="C36" s="4" t="s">
        <v>4</v>
      </c>
      <c r="D36" s="5"/>
      <c r="E36" s="4"/>
      <c r="F36" s="4"/>
      <c r="G36" s="4"/>
      <c r="H36" s="12">
        <f t="shared" ref="H36:S36" si="16">+H35/D35-1</f>
        <v>5.3773346971374147E-2</v>
      </c>
      <c r="I36" s="12">
        <f t="shared" si="16"/>
        <v>5.6093197251250393E-2</v>
      </c>
      <c r="J36" s="12">
        <f t="shared" si="16"/>
        <v>8.6062899422380434E-2</v>
      </c>
      <c r="K36" s="12">
        <f t="shared" si="16"/>
        <v>9.099202984568433E-2</v>
      </c>
      <c r="L36" s="12">
        <f t="shared" si="16"/>
        <v>8.422116365884702E-2</v>
      </c>
      <c r="M36" s="12">
        <f t="shared" si="16"/>
        <v>0.14425514165623898</v>
      </c>
      <c r="N36" s="12">
        <f t="shared" si="16"/>
        <v>0.14690174336542006</v>
      </c>
      <c r="O36" s="12">
        <f t="shared" si="16"/>
        <v>0.10711610021170181</v>
      </c>
      <c r="P36" s="12">
        <f t="shared" si="16"/>
        <v>6.0000000000000053E-2</v>
      </c>
      <c r="Q36" s="12">
        <f t="shared" si="16"/>
        <v>3.0000000000000027E-2</v>
      </c>
      <c r="R36" s="12">
        <f t="shared" si="16"/>
        <v>5.4999999999999938E-2</v>
      </c>
      <c r="S36" s="12">
        <f t="shared" si="16"/>
        <v>6.0000000000000053E-2</v>
      </c>
      <c r="U36" t="str">
        <f ca="1"/>
        <v>NEO US EQUITY</v>
      </c>
      <c r="V36" s="24">
        <f ca="1"/>
        <v>45930</v>
      </c>
      <c r="W36" s="24" t="str">
        <f ca="1"/>
        <v>custom</v>
      </c>
      <c r="X36" s="24" t="str">
        <f ca="1"/>
        <v>revenue_per_test</v>
      </c>
      <c r="Y36" s="24" t="str">
        <f ca="1"/>
        <v>actual</v>
      </c>
      <c r="Z36" s="32" t="str">
        <f ca="1"/>
        <v>476</v>
      </c>
      <c r="AA36" s="32" t="str">
        <f ca="1"/>
        <v>0.0270913892566349</v>
      </c>
      <c r="AB36" s="32" t="str">
        <f ca="1"/>
        <v>108.815977608927</v>
      </c>
      <c r="AC36" s="32" t="str">
        <f ca="1"/>
        <v>-252.610872658765</v>
      </c>
      <c r="AD36" s="32" t="str">
        <f ca="1"/>
        <v>0.0325379609544469</v>
      </c>
    </row>
    <row r="37" spans="1:30" x14ac:dyDescent="0.45">
      <c r="C37" s="4" t="s">
        <v>19</v>
      </c>
      <c r="D37" s="1"/>
      <c r="L37" s="7">
        <f>(L36-K36)*10000</f>
        <v>-67.708661868373099</v>
      </c>
      <c r="M37" s="7">
        <f>(M36-L36)*10000</f>
        <v>600.33977997391958</v>
      </c>
      <c r="N37" s="7">
        <f>(N36-M36)*10000</f>
        <v>26.466017091810734</v>
      </c>
      <c r="O37" s="7">
        <f>(O36-N36)*10000</f>
        <v>-397.8564315371824</v>
      </c>
      <c r="P37" s="7">
        <f t="shared" ref="P37:S37" si="17">(P36-O36)*10000</f>
        <v>-471.16100211701763</v>
      </c>
      <c r="Q37" s="7">
        <f t="shared" si="17"/>
        <v>-300.00000000000028</v>
      </c>
      <c r="R37" s="7">
        <f t="shared" si="17"/>
        <v>249.99999999999912</v>
      </c>
      <c r="S37" s="7">
        <f t="shared" si="17"/>
        <v>50.000000000001151</v>
      </c>
      <c r="U37" t="str">
        <f ca="1"/>
        <v>NEO US EQUITY</v>
      </c>
      <c r="V37" s="24">
        <f ca="1"/>
        <v>46022</v>
      </c>
      <c r="W37" s="24" t="str">
        <f ca="1"/>
        <v>custom</v>
      </c>
      <c r="X37" s="24" t="str">
        <f ca="1"/>
        <v>revenue_per_test</v>
      </c>
      <c r="Y37" s="24" t="str">
        <f ca="1"/>
        <v>actual</v>
      </c>
      <c r="Z37" s="32" t="str">
        <f ca="1"/>
        <v>488</v>
      </c>
      <c r="AA37" s="32" t="str">
        <f ca="1"/>
        <v>0.0494623655913979</v>
      </c>
      <c r="AB37" s="32" t="str">
        <f ca="1"/>
        <v>223.70976334763</v>
      </c>
      <c r="AC37" s="32" t="str">
        <f ca="1"/>
        <v>-47.2307475060352</v>
      </c>
      <c r="AD37" s="32" t="str">
        <f ca="1"/>
        <v>0.0252100840336134</v>
      </c>
    </row>
    <row r="38" spans="1:30" x14ac:dyDescent="0.4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304.47816687472874</v>
      </c>
      <c r="M38" s="7">
        <f>(M36-I36)*10000</f>
        <v>881.61944404988594</v>
      </c>
      <c r="N38" s="7">
        <f>(N36-J36)*10000</f>
        <v>608.38843943039626</v>
      </c>
      <c r="O38" s="7">
        <f>(O36-K36)*10000</f>
        <v>161.24070366017486</v>
      </c>
      <c r="P38" s="7">
        <f t="shared" ref="P38:S38" si="18">(P36-L36)*10000</f>
        <v>-242.21163658846967</v>
      </c>
      <c r="Q38" s="7">
        <f t="shared" si="18"/>
        <v>-1142.5514165623895</v>
      </c>
      <c r="R38" s="7">
        <f t="shared" si="18"/>
        <v>-919.01743365420123</v>
      </c>
      <c r="S38" s="7">
        <f t="shared" si="18"/>
        <v>-471.16100211701763</v>
      </c>
      <c r="U38" t="str">
        <f ca="1"/>
        <v>NEO US EQUITY</v>
      </c>
      <c r="V38" s="24">
        <f ca="1"/>
        <v>46112</v>
      </c>
      <c r="W38" s="24" t="str">
        <f ca="1"/>
        <v>custom</v>
      </c>
      <c r="X38" s="24" t="str">
        <f ca="1"/>
        <v>revenue_per_test</v>
      </c>
      <c r="Y38" s="24" t="str">
        <f ca="1"/>
        <v>forecast</v>
      </c>
      <c r="Z38" s="32" t="str">
        <f ca="1"/>
        <v>486.54</v>
      </c>
      <c r="AA38" s="32" t="str">
        <f ca="1"/>
        <v>0.0600000000000001</v>
      </c>
      <c r="AB38" s="32" t="str">
        <f ca="1"/>
        <v>105.376344086021</v>
      </c>
      <c r="AC38" s="32" t="str">
        <f ca="1"/>
        <v>336.530047942916</v>
      </c>
      <c r="AD38" s="32" t="str">
        <f ca="1"/>
        <v>-0.00299180327868853</v>
      </c>
    </row>
    <row r="39" spans="1:30" x14ac:dyDescent="0.45">
      <c r="C39" s="4" t="s">
        <v>5</v>
      </c>
      <c r="D39" s="1"/>
      <c r="G39" s="7"/>
      <c r="L39" s="12">
        <f t="shared" ref="L39:S39" si="19">L35/K35-1</f>
        <v>1.3939361910475956E-2</v>
      </c>
      <c r="M39" s="12">
        <f t="shared" si="19"/>
        <v>9.3410350039704104E-2</v>
      </c>
      <c r="N39" s="12">
        <f t="shared" si="19"/>
        <v>1.1619886156520653E-2</v>
      </c>
      <c r="O39" s="12">
        <f t="shared" si="19"/>
        <v>-1.2855693592110251E-2</v>
      </c>
      <c r="P39" s="12">
        <f t="shared" si="19"/>
        <v>-2.9211368690612471E-2</v>
      </c>
      <c r="Q39" s="12">
        <f t="shared" si="19"/>
        <v>6.2464774095184028E-2</v>
      </c>
      <c r="R39" s="12">
        <f t="shared" si="19"/>
        <v>3.6173766888474956E-2</v>
      </c>
      <c r="S39" s="12">
        <f t="shared" si="19"/>
        <v>-8.1772845570016184E-3</v>
      </c>
      <c r="U39" t="str">
        <f ca="1"/>
        <v>NEO US EQUITY</v>
      </c>
      <c r="V39" s="24">
        <f ca="1"/>
        <v>46203</v>
      </c>
      <c r="W39" s="24" t="str">
        <f ca="1"/>
        <v>custom</v>
      </c>
      <c r="X39" s="24" t="str">
        <f ca="1"/>
        <v>revenue_per_test</v>
      </c>
      <c r="Y39" s="24" t="str">
        <f ca="1"/>
        <v>forecast</v>
      </c>
      <c r="Z39" s="32" t="str">
        <f ca="1"/>
        <v>490.965</v>
      </c>
      <c r="AA39" s="32" t="str">
        <f ca="1"/>
        <v>0.0649999999999999</v>
      </c>
      <c r="AB39" s="32" t="str">
        <f ca="1"/>
        <v>49.9999999999989</v>
      </c>
      <c r="AC39" s="32" t="str">
        <f ca="1"/>
        <v>487.902085042577</v>
      </c>
      <c r="AD39" s="32" t="str">
        <f ca="1"/>
        <v>0.00909483290171398</v>
      </c>
    </row>
    <row r="40" spans="1:30" x14ac:dyDescent="0.4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t="str">
        <f ca="1"/>
        <v>NEO US EQUITY</v>
      </c>
      <c r="V40" s="24">
        <f ca="1"/>
        <v>46295</v>
      </c>
      <c r="W40" s="24" t="str">
        <f ca="1"/>
        <v>custom</v>
      </c>
      <c r="X40" s="24" t="str">
        <f ca="1"/>
        <v>revenue_per_test</v>
      </c>
      <c r="Y40" s="24" t="str">
        <f ca="1"/>
        <v>forecast</v>
      </c>
      <c r="Z40" s="32" t="str">
        <f ca="1"/>
        <v>499.8</v>
      </c>
      <c r="AA40" s="32" t="str">
        <f ca="1"/>
        <v>0.05</v>
      </c>
      <c r="AB40" s="32" t="str">
        <f ca="1"/>
        <v>-149.999999999999</v>
      </c>
      <c r="AC40" s="32" t="str">
        <f ca="1"/>
        <v>229.086107433651</v>
      </c>
      <c r="AD40" s="32" t="str">
        <f ca="1"/>
        <v>0.01799517277199</v>
      </c>
    </row>
    <row r="41" spans="1:30" x14ac:dyDescent="0.45">
      <c r="C41" s="13" t="s">
        <v>12</v>
      </c>
      <c r="D41" s="14">
        <f t="shared" ref="D41:L41" ca="1" si="20">EOMONTH(DATE(YEAR(D43),ROUNDUP(MONTH(D43)/3,0)*3,1),0)</f>
        <v>45016</v>
      </c>
      <c r="E41" s="14">
        <f t="shared" ca="1" si="20"/>
        <v>45107</v>
      </c>
      <c r="F41" s="14">
        <f t="shared" ca="1" si="20"/>
        <v>45199</v>
      </c>
      <c r="G41" s="14">
        <f t="shared" ca="1" si="20"/>
        <v>45291</v>
      </c>
      <c r="H41" s="14">
        <f t="shared" ca="1" si="20"/>
        <v>45382</v>
      </c>
      <c r="I41" s="14">
        <f t="shared" ca="1" si="20"/>
        <v>45473</v>
      </c>
      <c r="J41" s="14">
        <f t="shared" ca="1" si="20"/>
        <v>45565</v>
      </c>
      <c r="K41" s="14">
        <f t="shared" ca="1" si="20"/>
        <v>45657</v>
      </c>
      <c r="L41" s="14">
        <f t="shared" ca="1" si="20"/>
        <v>45747</v>
      </c>
      <c r="M41" s="14">
        <f ca="1">EOMONTH(DATE(YEAR(M43),ROUNDUP(MONTH(M43)/3,0)*3,1),0)</f>
        <v>45838</v>
      </c>
      <c r="N41" s="14">
        <f ca="1">EOMONTH(DATE(YEAR(N43),ROUNDUP(MONTH(N43)/3,0)*3,1),0)</f>
        <v>45930</v>
      </c>
      <c r="O41" s="14">
        <f ca="1">EOMONTH(DATE(YEAR(O43),ROUNDUP(MONTH(O43)/3,0)*3,1),0)</f>
        <v>46022</v>
      </c>
      <c r="P41" s="14">
        <f t="shared" ref="P41:S41" si="21">EOMONTH(DATE(YEAR(P43),ROUNDUP(MONTH(P43)/3,0)*3,1),0)</f>
        <v>46112</v>
      </c>
      <c r="Q41" s="14">
        <f t="shared" si="21"/>
        <v>46203</v>
      </c>
      <c r="R41" s="14">
        <f t="shared" si="21"/>
        <v>46295</v>
      </c>
      <c r="S41" s="14">
        <f t="shared" si="21"/>
        <v>46387</v>
      </c>
      <c r="U41" t="str">
        <f ca="1"/>
        <v>NEO US EQUITY</v>
      </c>
      <c r="V41" s="24">
        <f ca="1"/>
        <v>46387</v>
      </c>
      <c r="W41" s="24" t="str">
        <f ca="1"/>
        <v>custom</v>
      </c>
      <c r="X41" s="24" t="str">
        <f ca="1"/>
        <v>revenue_per_test</v>
      </c>
      <c r="Y41" s="24" t="str">
        <f ca="1"/>
        <v>forecast</v>
      </c>
      <c r="Z41" s="32" t="str">
        <f ca="1"/>
        <v>514.84</v>
      </c>
      <c r="AA41" s="32" t="str">
        <f ca="1"/>
        <v>0.0549999999999999</v>
      </c>
      <c r="AB41" s="32" t="str">
        <f ca="1"/>
        <v>49.9999999999989</v>
      </c>
      <c r="AC41" s="32" t="str">
        <f ca="1"/>
        <v>55.37634408602</v>
      </c>
      <c r="AD41" s="32" t="str">
        <f ca="1"/>
        <v>0.0300920368147257</v>
      </c>
    </row>
    <row r="42" spans="1:30" x14ac:dyDescent="0.45">
      <c r="C42" s="13" t="s">
        <v>35</v>
      </c>
      <c r="D42" s="2" t="str">
        <f t="shared" ref="D42:S42" si="22">+D33</f>
        <v>actual</v>
      </c>
      <c r="E42" s="2" t="str">
        <f t="shared" si="22"/>
        <v>actual</v>
      </c>
      <c r="F42" s="2" t="str">
        <f t="shared" si="22"/>
        <v>actual</v>
      </c>
      <c r="G42" s="2" t="str">
        <f t="shared" si="22"/>
        <v>actual</v>
      </c>
      <c r="H42" s="2" t="str">
        <f t="shared" si="22"/>
        <v>actual</v>
      </c>
      <c r="I42" s="2" t="str">
        <f t="shared" si="22"/>
        <v>actual</v>
      </c>
      <c r="J42" s="2" t="str">
        <f t="shared" si="22"/>
        <v>actual</v>
      </c>
      <c r="K42" s="2" t="str">
        <f t="shared" si="22"/>
        <v>actual</v>
      </c>
      <c r="L42" s="2" t="str">
        <f t="shared" si="22"/>
        <v>actual</v>
      </c>
      <c r="M42" s="2" t="str">
        <f t="shared" si="22"/>
        <v>actual</v>
      </c>
      <c r="N42" s="2" t="str">
        <f t="shared" si="22"/>
        <v>actual</v>
      </c>
      <c r="O42" s="2" t="str">
        <f t="shared" si="22"/>
        <v>actual</v>
      </c>
      <c r="P42" s="2" t="str">
        <f t="shared" si="22"/>
        <v>forecast</v>
      </c>
      <c r="Q42" s="2" t="str">
        <f t="shared" si="22"/>
        <v>forecast</v>
      </c>
      <c r="R42" s="2" t="str">
        <f t="shared" si="22"/>
        <v>forecast</v>
      </c>
      <c r="S42" s="2" t="str">
        <f t="shared" si="22"/>
        <v>forecast</v>
      </c>
      <c r="U42" s="24"/>
      <c r="V42" s="24"/>
    </row>
    <row r="43" spans="1:30" x14ac:dyDescent="0.45">
      <c r="D43" s="2">
        <f t="shared" ref="D43:S43" ca="1" si="23">+D34</f>
        <v>45016</v>
      </c>
      <c r="E43" s="2">
        <f t="shared" ca="1" si="23"/>
        <v>45107</v>
      </c>
      <c r="F43" s="2">
        <f t="shared" ca="1" si="23"/>
        <v>45199</v>
      </c>
      <c r="G43" s="2">
        <f t="shared" ca="1" si="23"/>
        <v>45291</v>
      </c>
      <c r="H43" s="2">
        <f t="shared" ca="1" si="23"/>
        <v>45382</v>
      </c>
      <c r="I43" s="2">
        <f t="shared" ca="1" si="23"/>
        <v>45473</v>
      </c>
      <c r="J43" s="2">
        <f t="shared" ca="1" si="23"/>
        <v>45565</v>
      </c>
      <c r="K43" s="2">
        <f t="shared" ca="1" si="23"/>
        <v>45657</v>
      </c>
      <c r="L43" s="2">
        <f t="shared" ca="1" si="23"/>
        <v>45747</v>
      </c>
      <c r="M43" s="2">
        <f t="shared" ca="1" si="23"/>
        <v>45838</v>
      </c>
      <c r="N43" s="2">
        <f t="shared" ca="1" si="23"/>
        <v>45930</v>
      </c>
      <c r="O43" s="2">
        <f t="shared" ca="1" si="23"/>
        <v>46022</v>
      </c>
      <c r="P43" s="2">
        <f t="shared" si="23"/>
        <v>46112</v>
      </c>
      <c r="Q43" s="2">
        <f t="shared" si="23"/>
        <v>46203</v>
      </c>
      <c r="R43" s="2">
        <f t="shared" si="23"/>
        <v>46295</v>
      </c>
      <c r="S43" s="2">
        <f t="shared" si="23"/>
        <v>46387</v>
      </c>
      <c r="V43" s="24"/>
    </row>
    <row r="44" spans="1:30" x14ac:dyDescent="0.45">
      <c r="A44" s="16" t="s">
        <v>21</v>
      </c>
      <c r="B44" s="16" t="s">
        <v>32</v>
      </c>
      <c r="C44" s="2" t="s">
        <v>34</v>
      </c>
      <c r="D44" s="27">
        <v>402.37708248679394</v>
      </c>
      <c r="E44" s="27">
        <v>417.31386980034966</v>
      </c>
      <c r="F44" s="27">
        <v>440.38917679716337</v>
      </c>
      <c r="G44" s="27">
        <v>441.09886382906558</v>
      </c>
      <c r="H44" s="27">
        <v>447.21717133103078</v>
      </c>
      <c r="I44" s="27">
        <v>453.64648506433088</v>
      </c>
      <c r="J44" s="27">
        <v>463.444640836205</v>
      </c>
      <c r="K44" s="27">
        <v>465</v>
      </c>
      <c r="L44" s="27">
        <v>459</v>
      </c>
      <c r="M44" s="27">
        <v>461</v>
      </c>
      <c r="N44" s="27">
        <v>476</v>
      </c>
      <c r="O44" s="27">
        <v>488</v>
      </c>
      <c r="P44" s="27">
        <v>486.54</v>
      </c>
      <c r="Q44" s="27">
        <v>490.96499999999997</v>
      </c>
      <c r="R44" s="27">
        <v>499.8</v>
      </c>
      <c r="S44" s="27">
        <v>514.83999999999992</v>
      </c>
      <c r="V44" s="24"/>
    </row>
    <row r="45" spans="1:30" x14ac:dyDescent="0.45">
      <c r="C45" s="4" t="s">
        <v>4</v>
      </c>
      <c r="D45" s="5"/>
      <c r="E45" s="4"/>
      <c r="F45" s="4"/>
      <c r="G45" s="4"/>
      <c r="H45" s="12">
        <f t="shared" ref="H45:S45" si="24">+H44/D44-1</f>
        <v>0.11143797894033525</v>
      </c>
      <c r="I45" s="12">
        <f t="shared" si="24"/>
        <v>8.7063042695809223E-2</v>
      </c>
      <c r="J45" s="12">
        <f t="shared" si="24"/>
        <v>5.2352476522511404E-2</v>
      </c>
      <c r="K45" s="12">
        <f t="shared" si="24"/>
        <v>5.4185440342001456E-2</v>
      </c>
      <c r="L45" s="12">
        <f t="shared" si="24"/>
        <v>2.634699520570849E-2</v>
      </c>
      <c r="M45" s="12">
        <f t="shared" si="24"/>
        <v>1.6209791495742198E-2</v>
      </c>
      <c r="N45" s="12">
        <f t="shared" si="24"/>
        <v>2.7091389256634901E-2</v>
      </c>
      <c r="O45" s="12">
        <f t="shared" si="24"/>
        <v>4.9462365591397939E-2</v>
      </c>
      <c r="P45" s="12">
        <f t="shared" si="24"/>
        <v>6.0000000000000053E-2</v>
      </c>
      <c r="Q45" s="12">
        <f t="shared" si="24"/>
        <v>6.4999999999999947E-2</v>
      </c>
      <c r="R45" s="12">
        <f t="shared" si="24"/>
        <v>5.0000000000000044E-2</v>
      </c>
      <c r="S45" s="12">
        <f t="shared" si="24"/>
        <v>5.4999999999999938E-2</v>
      </c>
      <c r="U45" s="1"/>
      <c r="V45" s="24"/>
      <c r="X45" s="11"/>
      <c r="Y45" s="12"/>
      <c r="Z45" s="7"/>
      <c r="AA45" s="12"/>
      <c r="AB45" s="7"/>
    </row>
    <row r="46" spans="1:30" x14ac:dyDescent="0.45">
      <c r="C46" s="4" t="s">
        <v>19</v>
      </c>
      <c r="D46" s="1"/>
      <c r="L46" s="7">
        <f>(L45-K45)*10000</f>
        <v>-278.38445136292967</v>
      </c>
      <c r="M46" s="7">
        <f>(M45-L45)*10000</f>
        <v>-101.37203709966292</v>
      </c>
      <c r="N46" s="7">
        <f>(N45-M45)*10000</f>
        <v>108.81597760892703</v>
      </c>
      <c r="O46" s="7">
        <f>(O45-N45)*10000</f>
        <v>223.70976334763037</v>
      </c>
      <c r="P46" s="7">
        <f t="shared" ref="P46:S46" si="25">(P45-O45)*10000</f>
        <v>105.37634408602115</v>
      </c>
      <c r="Q46" s="7">
        <f t="shared" si="25"/>
        <v>49.999999999998934</v>
      </c>
      <c r="R46" s="7">
        <f t="shared" si="25"/>
        <v>-149.99999999999903</v>
      </c>
      <c r="S46" s="7">
        <f t="shared" si="25"/>
        <v>49.999999999998934</v>
      </c>
      <c r="U46" s="1"/>
      <c r="V46" s="24"/>
      <c r="X46" s="11"/>
      <c r="Y46" s="12"/>
      <c r="Z46" s="7"/>
      <c r="AA46" s="12"/>
      <c r="AB46" s="7"/>
    </row>
    <row r="47" spans="1:30" x14ac:dyDescent="0.4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-850.90983734626752</v>
      </c>
      <c r="M47" s="7">
        <f>(M45-I45)*10000</f>
        <v>-708.53251200067029</v>
      </c>
      <c r="N47" s="7">
        <f>(N45-J45)*10000</f>
        <v>-252.61087265876503</v>
      </c>
      <c r="O47" s="7">
        <f>(O45-K45)*10000</f>
        <v>-47.230747506035172</v>
      </c>
      <c r="P47" s="7">
        <f t="shared" ref="P47:S47" si="26">(P45-L45)*10000</f>
        <v>336.53004794291564</v>
      </c>
      <c r="Q47" s="7">
        <f t="shared" si="26"/>
        <v>487.90208504257748</v>
      </c>
      <c r="R47" s="7">
        <f t="shared" si="26"/>
        <v>229.08610743365142</v>
      </c>
      <c r="S47" s="7">
        <f t="shared" si="26"/>
        <v>55.376344086019991</v>
      </c>
      <c r="U47" s="1"/>
      <c r="V47" s="24"/>
      <c r="X47" s="11"/>
      <c r="Y47" s="12"/>
      <c r="Z47" s="7"/>
      <c r="AA47" s="12"/>
      <c r="AB47" s="7"/>
    </row>
    <row r="48" spans="1:30" x14ac:dyDescent="0.45">
      <c r="C48" s="4" t="s">
        <v>5</v>
      </c>
      <c r="D48" s="1"/>
      <c r="G48" s="7"/>
      <c r="L48" s="12">
        <f t="shared" ref="L48:S48" si="27">L44/K44-1</f>
        <v>-1.2903225806451646E-2</v>
      </c>
      <c r="M48" s="12">
        <f t="shared" si="27"/>
        <v>4.3572984749455923E-3</v>
      </c>
      <c r="N48" s="12">
        <f t="shared" si="27"/>
        <v>3.2537960954446943E-2</v>
      </c>
      <c r="O48" s="12">
        <f t="shared" si="27"/>
        <v>2.5210084033613356E-2</v>
      </c>
      <c r="P48" s="12">
        <f t="shared" si="27"/>
        <v>-2.9918032786885318E-3</v>
      </c>
      <c r="Q48" s="12">
        <f t="shared" si="27"/>
        <v>9.0948329017139784E-3</v>
      </c>
      <c r="R48" s="12">
        <f t="shared" si="27"/>
        <v>1.7995172771990031E-2</v>
      </c>
      <c r="S48" s="12">
        <f t="shared" si="27"/>
        <v>3.009203681472572E-2</v>
      </c>
      <c r="V48" s="24"/>
    </row>
    <row r="49" spans="1:22" x14ac:dyDescent="0.45">
      <c r="C49" s="4"/>
      <c r="D49" s="1"/>
      <c r="L49" s="7"/>
      <c r="M49" s="7"/>
      <c r="N49" s="7"/>
      <c r="O49" s="7"/>
      <c r="P49" s="7"/>
      <c r="Q49" s="7"/>
      <c r="R49" s="7"/>
      <c r="S49" s="7"/>
      <c r="V49" s="24"/>
    </row>
    <row r="50" spans="1:22" x14ac:dyDescent="0.45"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U50" s="24"/>
      <c r="V50" s="24"/>
    </row>
    <row r="51" spans="1:22" x14ac:dyDescent="0.45">
      <c r="C51" s="1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V51" s="24"/>
    </row>
    <row r="52" spans="1:22" x14ac:dyDescent="0.45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V52" s="24"/>
    </row>
    <row r="53" spans="1:22" x14ac:dyDescent="0.45">
      <c r="A53" s="16"/>
      <c r="B53" s="16"/>
      <c r="C53" s="2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V53" s="24"/>
    </row>
    <row r="54" spans="1:22" x14ac:dyDescent="0.45">
      <c r="C54" s="4"/>
      <c r="D54" s="5"/>
      <c r="E54" s="4"/>
      <c r="F54" s="4"/>
      <c r="G54" s="4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V54" s="24"/>
    </row>
    <row r="55" spans="1:22" x14ac:dyDescent="0.45">
      <c r="C55" s="4"/>
      <c r="D55" s="1"/>
      <c r="L55" s="7"/>
      <c r="M55" s="7"/>
      <c r="N55" s="7"/>
      <c r="O55" s="7"/>
      <c r="P55" s="7"/>
      <c r="Q55" s="7"/>
      <c r="R55" s="7"/>
      <c r="S55" s="7"/>
      <c r="V55" s="24"/>
    </row>
    <row r="56" spans="1:22" x14ac:dyDescent="0.45">
      <c r="C56" s="4"/>
      <c r="D56" s="1"/>
      <c r="E56" s="7"/>
      <c r="F56" s="7"/>
      <c r="G56" s="7"/>
      <c r="H56" s="6"/>
      <c r="I56" s="6"/>
      <c r="J56" s="6"/>
      <c r="K56" s="6"/>
      <c r="L56" s="7"/>
      <c r="M56" s="7"/>
      <c r="N56" s="7"/>
      <c r="O56" s="7"/>
      <c r="P56" s="7"/>
      <c r="Q56" s="7"/>
      <c r="R56" s="7"/>
      <c r="S56" s="7"/>
      <c r="V56" s="24"/>
    </row>
    <row r="57" spans="1:22" x14ac:dyDescent="0.45">
      <c r="C57" s="4"/>
      <c r="D57" s="1"/>
      <c r="G57" s="7"/>
      <c r="K57" s="12"/>
      <c r="L57" s="12"/>
      <c r="M57" s="12"/>
      <c r="N57" s="12"/>
      <c r="O57" s="12"/>
      <c r="P57" s="12"/>
      <c r="Q57" s="12"/>
      <c r="R57" s="12"/>
      <c r="S57" s="12"/>
      <c r="V57" s="24"/>
    </row>
    <row r="58" spans="1:22" x14ac:dyDescent="0.45">
      <c r="C58" s="4"/>
      <c r="D58" s="1"/>
      <c r="K58" s="7"/>
      <c r="L58" s="7"/>
      <c r="M58" s="7"/>
      <c r="N58" s="7"/>
      <c r="O58" s="7"/>
      <c r="P58" s="7"/>
      <c r="Q58" s="7"/>
      <c r="R58" s="7"/>
      <c r="S58" s="7"/>
    </row>
    <row r="59" spans="1:22" x14ac:dyDescent="0.45"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22" x14ac:dyDescent="0.45">
      <c r="C60" s="1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22" x14ac:dyDescent="0.45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22" x14ac:dyDescent="0.45">
      <c r="A62" s="16"/>
      <c r="B62" s="16"/>
      <c r="C62" s="2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spans="1:22" x14ac:dyDescent="0.45">
      <c r="C63" s="4"/>
      <c r="D63" s="5"/>
      <c r="E63" s="4"/>
      <c r="F63" s="4"/>
      <c r="G63" s="4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spans="1:22" x14ac:dyDescent="0.45">
      <c r="C64" s="4"/>
      <c r="D64" s="1"/>
      <c r="L64" s="7"/>
      <c r="M64" s="7"/>
      <c r="N64" s="7"/>
      <c r="O64" s="7"/>
      <c r="P64" s="7"/>
      <c r="Q64" s="7"/>
      <c r="R64" s="7"/>
      <c r="S64" s="7"/>
    </row>
    <row r="65" spans="1:19" x14ac:dyDescent="0.45">
      <c r="C65" s="4"/>
      <c r="D65" s="1"/>
      <c r="E65" s="7"/>
      <c r="F65" s="7"/>
      <c r="G65" s="7"/>
      <c r="H65" s="6"/>
      <c r="I65" s="6"/>
      <c r="J65" s="6"/>
      <c r="K65" s="6"/>
      <c r="L65" s="7"/>
      <c r="M65" s="7"/>
      <c r="N65" s="7"/>
      <c r="O65" s="7"/>
      <c r="P65" s="7"/>
      <c r="Q65" s="7"/>
      <c r="R65" s="7"/>
      <c r="S65" s="7"/>
    </row>
    <row r="66" spans="1:19" x14ac:dyDescent="0.45">
      <c r="C66" s="4"/>
      <c r="D66" s="1"/>
      <c r="G66" s="7"/>
      <c r="K66" s="12"/>
      <c r="L66" s="12"/>
      <c r="M66" s="12"/>
      <c r="N66" s="12"/>
      <c r="O66" s="12"/>
      <c r="P66" s="12"/>
      <c r="Q66" s="12"/>
      <c r="R66" s="12"/>
      <c r="S66" s="12"/>
    </row>
    <row r="67" spans="1:19" x14ac:dyDescent="0.4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4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4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45">
      <c r="C70" s="4"/>
      <c r="D70" s="1"/>
      <c r="K70" s="34"/>
      <c r="L70" s="34"/>
      <c r="M70" s="34"/>
      <c r="N70" s="34"/>
      <c r="O70" s="34"/>
      <c r="P70" s="7"/>
      <c r="Q70" s="7"/>
      <c r="R70" s="7"/>
      <c r="S70" s="7"/>
    </row>
    <row r="71" spans="1:19" x14ac:dyDescent="0.4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4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6A3A-A2A0-4F9E-8417-B2E2BC6CA308}">
  <dimension ref="A1:AD72"/>
  <sheetViews>
    <sheetView topLeftCell="A41" zoomScale="85" zoomScaleNormal="85" workbookViewId="0">
      <pane xSplit="3" topLeftCell="D1" activePane="topRight" state="frozen"/>
      <selection pane="topRight" activeCell="U50" sqref="U50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265625" bestFit="1" customWidth="1"/>
    <col min="5" max="6" width="9.59765625" bestFit="1" customWidth="1"/>
    <col min="7" max="10" width="10.3984375" customWidth="1"/>
    <col min="11" max="11" width="10.59765625" bestFit="1" customWidth="1"/>
    <col min="12" max="13" width="9.59765625" bestFit="1" customWidth="1"/>
    <col min="14" max="14" width="11.3984375" bestFit="1" customWidth="1"/>
    <col min="15" max="15" width="12.265625" bestFit="1" customWidth="1"/>
    <col min="16" max="19" width="10.3984375" customWidth="1"/>
    <col min="20" max="20" width="9" customWidth="1"/>
    <col min="21" max="21" width="12.3984375" bestFit="1" customWidth="1"/>
    <col min="22" max="22" width="14.3984375" bestFit="1" customWidth="1"/>
    <col min="23" max="23" width="8.59765625" bestFit="1" customWidth="1"/>
    <col min="24" max="24" width="20.265625" bestFit="1" customWidth="1"/>
    <col min="25" max="25" width="7.3984375" bestFit="1" customWidth="1"/>
    <col min="26" max="26" width="10.73046875" bestFit="1" customWidth="1"/>
    <col min="27" max="27" width="9.1328125" bestFit="1" customWidth="1"/>
    <col min="28" max="28" width="10.3984375" bestFit="1" customWidth="1"/>
    <col min="29" max="29" width="9.1328125" bestFit="1" customWidth="1"/>
  </cols>
  <sheetData>
    <row r="1" spans="1:30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45">
      <c r="A2" s="17" t="s">
        <v>1</v>
      </c>
      <c r="B2" s="25" t="s">
        <v>56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NTRA US EQUITY</v>
      </c>
      <c r="V2" s="24">
        <f ca="1"/>
        <v>45747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501.83</v>
      </c>
      <c r="AA2" s="32" t="str">
        <f ca="1"/>
        <v>0.364628910020911</v>
      </c>
      <c r="AB2" s="32" t="str">
        <f ca="1"/>
        <v>-1656.21813219204</v>
      </c>
      <c r="AC2" s="32" t="str">
        <f ca="1"/>
        <v>-1564.95694952698</v>
      </c>
      <c r="AD2" s="32" t="str">
        <f ca="1"/>
        <v>0.0541296178430914</v>
      </c>
    </row>
    <row r="3" spans="1:30" x14ac:dyDescent="0.45">
      <c r="A3" s="18" t="s">
        <v>3</v>
      </c>
      <c r="B3" s="19">
        <f ca="1">+B4-365*3</f>
        <v>45016</v>
      </c>
      <c r="U3" s="24" t="str">
        <f ca="1"/>
        <v>NTRA US EQUITY</v>
      </c>
      <c r="V3" s="24">
        <f ca="1"/>
        <v>45838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546.6</v>
      </c>
      <c r="AA3" s="32" t="str">
        <f ca="1"/>
        <v>0.322362834491752</v>
      </c>
      <c r="AB3" s="32" t="str">
        <f ca="1"/>
        <v>-422.6607552916</v>
      </c>
      <c r="AC3" s="32" t="str">
        <f ca="1"/>
        <v>-2589.09831573037</v>
      </c>
      <c r="AD3" s="32" t="str">
        <f ca="1"/>
        <v>0.0892134786680749</v>
      </c>
    </row>
    <row r="4" spans="1:30" x14ac:dyDescent="0.45">
      <c r="A4" s="20" t="s">
        <v>2</v>
      </c>
      <c r="B4" s="21">
        <f ca="1">TODAY()</f>
        <v>46111</v>
      </c>
      <c r="U4" s="24" t="str">
        <f ca="1"/>
        <v>NTRA US EQUITY</v>
      </c>
      <c r="V4" s="24">
        <f ca="1"/>
        <v>45930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592.183</v>
      </c>
      <c r="AA4" s="32" t="str">
        <f ca="1"/>
        <v>0.346611090645309</v>
      </c>
      <c r="AB4" s="32" t="str">
        <f ca="1"/>
        <v>242.48256153558</v>
      </c>
      <c r="AC4" s="32" t="str">
        <f ca="1"/>
        <v>-2924.05554528485</v>
      </c>
      <c r="AD4" s="32" t="str">
        <f ca="1"/>
        <v>0.0833937065495791</v>
      </c>
    </row>
    <row r="5" spans="1:30" x14ac:dyDescent="0.45">
      <c r="C5" s="13" t="s">
        <v>12</v>
      </c>
      <c r="D5" s="14">
        <f ca="1">EOMONTH(DATE(YEAR(D7),ROUNDUP(MONTH(D7)/3,0)*3,1),0)</f>
        <v>45016</v>
      </c>
      <c r="E5" s="14">
        <f ca="1">EOMONTH(DATE(YEAR(E7),ROUNDUP(MONTH(E7)/3,0)*3,1),0)</f>
        <v>45107</v>
      </c>
      <c r="F5" s="14">
        <f ca="1">EOMONTH(DATE(YEAR(F7),ROUNDUP(MONTH(F7)/3,0)*3,1),0)</f>
        <v>45199</v>
      </c>
      <c r="G5" s="14">
        <f t="shared" ref="G5:K5" ca="1" si="0">EOMONTH(DATE(YEAR(G7),ROUNDUP(MONTH(G7)/3,0)*3,1),0)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EOMONTH(DATE(YEAR(L7),ROUNDUP(MONTH(L7)/3,0)*3,1),0)</f>
        <v>45747</v>
      </c>
      <c r="M5" s="14">
        <f ca="1">EOMONTH(DATE(YEAR(M7),ROUNDUP(MONTH(M7)/3,0)*3,1),0)</f>
        <v>45838</v>
      </c>
      <c r="N5" s="14">
        <f ca="1">EOMONTH(DATE(YEAR(N7),ROUNDUP(MONTH(N7)/3,0)*3,1),0)</f>
        <v>45930</v>
      </c>
      <c r="O5" s="14">
        <f ca="1">EOMONTH(DATE(YEAR(O7),ROUNDUP(MONTH(O7)/3,0)*3,1),0)</f>
        <v>46022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NTRA US EQUITY</v>
      </c>
      <c r="V5" s="24">
        <f ca="1"/>
        <v>46022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>660</v>
      </c>
      <c r="AA5" s="32" t="str">
        <f ca="1"/>
        <v>0.386376955894308</v>
      </c>
      <c r="AB5" s="32" t="str">
        <f ca="1"/>
        <v>397.658652489983</v>
      </c>
      <c r="AC5" s="32" t="str">
        <f ca="1"/>
        <v>-1438.73767345808</v>
      </c>
      <c r="AD5" s="32" t="str">
        <f ca="1"/>
        <v>0.114520342529252</v>
      </c>
    </row>
    <row r="6" spans="1:30" x14ac:dyDescent="0.4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NTRA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616.532869376175</v>
      </c>
      <c r="AA6" s="32" t="str">
        <f ca="1"/>
        <v>0.228569175569765</v>
      </c>
      <c r="AB6" s="32" t="str">
        <f ca="1"/>
        <v>-1578.07780324543</v>
      </c>
      <c r="AC6" s="32" t="str">
        <f ca="1"/>
        <v>-1360.59734451146</v>
      </c>
      <c r="AD6" s="32" t="str">
        <f ca="1"/>
        <v>-0.065859288823977</v>
      </c>
    </row>
    <row r="7" spans="1:30" x14ac:dyDescent="0.45">
      <c r="D7" s="15" cm="1">
        <f t="array" aca="1" ref="D7:O8" ca="1">+_xll.BDH($B$2,C8,$B$3,$B$4,"DIR=H")</f>
        <v>45016</v>
      </c>
      <c r="E7" s="1">
        <f ca="1"/>
        <v>45107</v>
      </c>
      <c r="F7" s="1">
        <f ca="1"/>
        <v>45199</v>
      </c>
      <c r="G7" s="1">
        <f ca="1"/>
        <v>45291</v>
      </c>
      <c r="H7" s="1">
        <f ca="1"/>
        <v>45382</v>
      </c>
      <c r="I7" s="1">
        <f ca="1"/>
        <v>45473</v>
      </c>
      <c r="J7" s="1">
        <f ca="1"/>
        <v>45565</v>
      </c>
      <c r="K7" s="1">
        <f ca="1"/>
        <v>45657</v>
      </c>
      <c r="L7" s="1">
        <f ca="1"/>
        <v>45747</v>
      </c>
      <c r="M7" s="1">
        <f ca="1"/>
        <v>45838</v>
      </c>
      <c r="N7" s="1">
        <f ca="1"/>
        <v>45930</v>
      </c>
      <c r="O7" s="1">
        <f ca="1"/>
        <v>46022</v>
      </c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NTRA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650.507823038814</v>
      </c>
      <c r="AA7" s="32" t="str">
        <f ca="1"/>
        <v>0.190098468786707</v>
      </c>
      <c r="AB7" s="32" t="str">
        <f ca="1"/>
        <v>-384.707067830579</v>
      </c>
      <c r="AC7" s="32" t="str">
        <f ca="1"/>
        <v>-1322.64365705044</v>
      </c>
      <c r="AD7" s="32" t="str">
        <f ca="1"/>
        <v>0.0551064758266917</v>
      </c>
    </row>
    <row r="8" spans="1:30" x14ac:dyDescent="0.45">
      <c r="A8" s="16" t="s">
        <v>9</v>
      </c>
      <c r="B8" s="16" t="s">
        <v>8</v>
      </c>
      <c r="C8" s="9" t="s">
        <v>0</v>
      </c>
      <c r="D8" s="11">
        <f ca="1"/>
        <v>241.756</v>
      </c>
      <c r="E8" s="11">
        <f ca="1"/>
        <v>261.404</v>
      </c>
      <c r="F8" s="11">
        <f ca="1"/>
        <v>268.30599999999998</v>
      </c>
      <c r="G8" s="11">
        <f ca="1"/>
        <v>311.10000000000002</v>
      </c>
      <c r="H8" s="11">
        <f ca="1"/>
        <v>367.74099999999999</v>
      </c>
      <c r="I8" s="11">
        <f ca="1"/>
        <v>413.351</v>
      </c>
      <c r="J8" s="11">
        <f ca="1"/>
        <v>439.75799999999998</v>
      </c>
      <c r="K8" s="11">
        <f ca="1"/>
        <v>476.06099999999998</v>
      </c>
      <c r="L8" s="11">
        <f ca="1"/>
        <v>501.83</v>
      </c>
      <c r="M8" s="11">
        <f ca="1"/>
        <v>546.6</v>
      </c>
      <c r="N8" s="11">
        <f ca="1"/>
        <v>592.18299999999999</v>
      </c>
      <c r="O8" s="11">
        <f ca="1"/>
        <v>660</v>
      </c>
      <c r="P8" s="28">
        <v>616.5328693761752</v>
      </c>
      <c r="Q8" s="28">
        <v>650.50782303881431</v>
      </c>
      <c r="R8" s="28">
        <v>676.58177181621988</v>
      </c>
      <c r="S8" s="28">
        <v>715.30686832652486</v>
      </c>
      <c r="T8" s="3"/>
      <c r="U8" s="24" t="str">
        <f ca="1"/>
        <v>NTRA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676.58177181622</v>
      </c>
      <c r="AA8" s="32" t="str">
        <f ca="1"/>
        <v>0.142521436475245</v>
      </c>
      <c r="AB8" s="32" t="str">
        <f ca="1"/>
        <v>-475.770323114626</v>
      </c>
      <c r="AC8" s="32" t="str">
        <f ca="1"/>
        <v>-2040.89654170065</v>
      </c>
      <c r="AD8" s="32" t="str">
        <f ca="1"/>
        <v>0.0400824522841285</v>
      </c>
    </row>
    <row r="9" spans="1:30" x14ac:dyDescent="0.45">
      <c r="C9" s="4" t="s">
        <v>4</v>
      </c>
      <c r="D9" s="5"/>
      <c r="E9" s="4"/>
      <c r="F9" s="4"/>
      <c r="G9" s="12"/>
      <c r="H9" s="12">
        <f t="shared" ref="H9:S9" ca="1" si="2">+H8/D8-1</f>
        <v>0.5211246049736098</v>
      </c>
      <c r="I9" s="12">
        <f t="shared" ca="1" si="2"/>
        <v>0.58127266606478867</v>
      </c>
      <c r="J9" s="12">
        <f t="shared" ca="1" si="2"/>
        <v>0.6390166451737942</v>
      </c>
      <c r="K9" s="12">
        <f t="shared" ca="1" si="2"/>
        <v>0.53025072324011546</v>
      </c>
      <c r="L9" s="12">
        <f t="shared" ca="1" si="2"/>
        <v>0.36462891002091147</v>
      </c>
      <c r="M9" s="12">
        <f t="shared" ca="1" si="2"/>
        <v>0.32236283449175152</v>
      </c>
      <c r="N9" s="12">
        <f t="shared" ca="1" si="2"/>
        <v>0.34661109064530948</v>
      </c>
      <c r="O9" s="12">
        <f t="shared" ca="1" si="2"/>
        <v>0.38637695589430776</v>
      </c>
      <c r="P9" s="12">
        <f t="shared" ca="1" si="2"/>
        <v>0.22856917556976519</v>
      </c>
      <c r="Q9" s="12">
        <f t="shared" ca="1" si="2"/>
        <v>0.19009846878670733</v>
      </c>
      <c r="R9" s="12">
        <f t="shared" ca="1" si="2"/>
        <v>0.14252143647524473</v>
      </c>
      <c r="S9" s="12">
        <f t="shared" ca="1" si="2"/>
        <v>8.3798285343219536E-2</v>
      </c>
      <c r="U9" s="24" t="str">
        <f ca="1"/>
        <v>NTRA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715.306868326525</v>
      </c>
      <c r="AA9" s="32" t="str">
        <f ca="1"/>
        <v>0.0837982853432195</v>
      </c>
      <c r="AB9" s="32" t="str">
        <f ca="1"/>
        <v>-587.231511320252</v>
      </c>
      <c r="AC9" s="32" t="str">
        <f ca="1"/>
        <v>-3025.78670551088</v>
      </c>
      <c r="AD9" s="32" t="str">
        <f ca="1"/>
        <v>0.0572363875638433</v>
      </c>
    </row>
    <row r="10" spans="1:30" x14ac:dyDescent="0.45">
      <c r="C10" s="4" t="s">
        <v>19</v>
      </c>
      <c r="D10" s="1"/>
      <c r="L10" s="7">
        <f ca="1">(L9-K9)*10000</f>
        <v>-1656.21813219204</v>
      </c>
      <c r="M10" s="7">
        <f ca="1">(M9-L9)*10000</f>
        <v>-422.66075529159951</v>
      </c>
      <c r="N10" s="7">
        <f ca="1">(N9-M9)*10000</f>
        <v>242.48256153557969</v>
      </c>
      <c r="O10" s="7">
        <f ca="1">(O9-N9)*10000</f>
        <v>397.65865248998279</v>
      </c>
      <c r="P10" s="7">
        <f t="shared" ref="P10:S10" ca="1" si="3">(P9-O9)*10000</f>
        <v>-1578.0778032454257</v>
      </c>
      <c r="Q10" s="7">
        <f t="shared" ca="1" si="3"/>
        <v>-384.70706783057864</v>
      </c>
      <c r="R10" s="7">
        <f t="shared" ca="1" si="3"/>
        <v>-475.77032311462597</v>
      </c>
      <c r="S10" s="7">
        <f t="shared" ca="1" si="3"/>
        <v>-587.23151132025203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NTRA US EQUITY</v>
      </c>
      <c r="V10" s="24">
        <f ca="1"/>
        <v>45747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63.122</v>
      </c>
      <c r="AA10" s="32" t="str">
        <f ca="1"/>
        <v>639.7</v>
      </c>
      <c r="AB10" s="32" t="str">
        <f ca="1"/>
        <v/>
      </c>
      <c r="AC10" s="32" t="str">
        <f ca="1"/>
        <v/>
      </c>
      <c r="AD10" s="32" t="str">
        <f ca="1"/>
        <v>18.0900000000001</v>
      </c>
    </row>
    <row r="11" spans="1:30" x14ac:dyDescent="0.4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-1564.9569495269832</v>
      </c>
      <c r="M11" s="7">
        <f ca="1">(M9-I9)*10000</f>
        <v>-2589.0983157303717</v>
      </c>
      <c r="N11" s="7">
        <f ca="1">(N9-J9)*10000</f>
        <v>-2924.0555452848471</v>
      </c>
      <c r="O11" s="7">
        <f ca="1">(O9-K9)*10000</f>
        <v>-1438.7376734580771</v>
      </c>
      <c r="P11" s="7">
        <f t="shared" ref="P11:S11" ca="1" si="4">(P9-L9)*10000</f>
        <v>-1360.5973445114628</v>
      </c>
      <c r="Q11" s="7">
        <f t="shared" ca="1" si="4"/>
        <v>-1322.6436570504418</v>
      </c>
      <c r="R11" s="7">
        <f t="shared" ca="1" si="4"/>
        <v>-2040.8965417006475</v>
      </c>
      <c r="S11" s="7">
        <f t="shared" ca="1" si="4"/>
        <v>-3025.7867055108823</v>
      </c>
      <c r="U11" s="24" t="str">
        <f ca="1"/>
        <v>NTRA US EQUITY</v>
      </c>
      <c r="V11" s="24">
        <f ca="1"/>
        <v>45838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63.4109</v>
      </c>
      <c r="AA11" s="32" t="str">
        <f ca="1"/>
        <v>458.15</v>
      </c>
      <c r="AB11" s="32" t="str">
        <f ca="1"/>
        <v/>
      </c>
      <c r="AC11" s="32" t="str">
        <f ca="1"/>
        <v/>
      </c>
      <c r="AD11" s="32" t="str">
        <f ca="1"/>
        <v>28.8899999999998</v>
      </c>
    </row>
    <row r="12" spans="1:30" x14ac:dyDescent="0.45">
      <c r="C12" s="4" t="s">
        <v>5</v>
      </c>
      <c r="D12" s="1"/>
      <c r="L12" s="12">
        <f t="shared" ref="L12:S12" ca="1" si="5">L8/K8-1</f>
        <v>5.4129617843091449E-2</v>
      </c>
      <c r="M12" s="12">
        <f t="shared" ca="1" si="5"/>
        <v>8.9213478668074941E-2</v>
      </c>
      <c r="N12" s="12">
        <f t="shared" ca="1" si="5"/>
        <v>8.3393706549579116E-2</v>
      </c>
      <c r="O12" s="12">
        <f t="shared" ca="1" si="5"/>
        <v>0.11452034252925203</v>
      </c>
      <c r="P12" s="12">
        <f t="shared" ca="1" si="5"/>
        <v>-6.5859288823976958E-2</v>
      </c>
      <c r="Q12" s="12">
        <f t="shared" si="5"/>
        <v>5.5106475826691703E-2</v>
      </c>
      <c r="R12" s="12">
        <f t="shared" si="5"/>
        <v>4.0082452284128545E-2</v>
      </c>
      <c r="S12" s="12">
        <f t="shared" si="5"/>
        <v>5.7236387563843305E-2</v>
      </c>
      <c r="U12" s="24" t="str">
        <f ca="1"/>
        <v>NTRA US EQUITY</v>
      </c>
      <c r="V12" s="24">
        <f ca="1"/>
        <v>45930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64.9093</v>
      </c>
      <c r="AA12" s="32" t="str">
        <f ca="1"/>
        <v>311.46</v>
      </c>
      <c r="AB12" s="32" t="str">
        <f ca="1"/>
        <v/>
      </c>
      <c r="AC12" s="32" t="str">
        <f ca="1"/>
        <v/>
      </c>
      <c r="AD12" s="32" t="str">
        <f ca="1"/>
        <v>149.84</v>
      </c>
    </row>
    <row r="13" spans="1:30" x14ac:dyDescent="0.45">
      <c r="U13" s="24" t="str">
        <f ca="1"/>
        <v>NTRA US EQUITY</v>
      </c>
      <c r="V13" s="24">
        <f ca="1"/>
        <v>46022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>66.9315</v>
      </c>
      <c r="AA13" s="32" t="str">
        <f ca="1"/>
        <v>399.04</v>
      </c>
      <c r="AB13" s="32" t="str">
        <f ca="1"/>
        <v/>
      </c>
      <c r="AC13" s="32" t="str">
        <f ca="1"/>
        <v/>
      </c>
      <c r="AD13" s="32" t="str">
        <f ca="1"/>
        <v>202.22</v>
      </c>
    </row>
    <row r="14" spans="1:30" x14ac:dyDescent="0.45">
      <c r="C14" s="13" t="s">
        <v>12</v>
      </c>
      <c r="D14" s="14">
        <f ca="1">EOMONTH(DATE(YEAR(D16),ROUNDUP(MONTH(D16)/3,0)*3,1),0)</f>
        <v>45016</v>
      </c>
      <c r="E14" s="14">
        <f ca="1">EOMONTH(DATE(YEAR(E16),ROUNDUP(MONTH(E16)/3,0)*3,1),0)</f>
        <v>45107</v>
      </c>
      <c r="F14" s="14">
        <f ca="1">EOMONTH(DATE(YEAR(F16),ROUNDUP(MONTH(F16)/3,0)*3,1),0)</f>
        <v>45199</v>
      </c>
      <c r="G14" s="14">
        <f t="shared" ref="G14:K14" ca="1" si="6">EOMONTH(DATE(YEAR(G16),ROUNDUP(MONTH(G16)/3,0)*3,1),0)</f>
        <v>45291</v>
      </c>
      <c r="H14" s="14">
        <f t="shared" ca="1" si="6"/>
        <v>45382</v>
      </c>
      <c r="I14" s="14">
        <f t="shared" ca="1" si="6"/>
        <v>45473</v>
      </c>
      <c r="J14" s="14">
        <f t="shared" ca="1" si="6"/>
        <v>45565</v>
      </c>
      <c r="K14" s="14">
        <f t="shared" ca="1" si="6"/>
        <v>45657</v>
      </c>
      <c r="L14" s="14">
        <f ca="1">EOMONTH(DATE(YEAR(L16),ROUNDUP(MONTH(L16)/3,0)*3,1),0)</f>
        <v>45747</v>
      </c>
      <c r="M14" s="14">
        <f ca="1">EOMONTH(DATE(YEAR(M16),ROUNDUP(MONTH(M16)/3,0)*3,1),0)</f>
        <v>45838</v>
      </c>
      <c r="N14" s="14">
        <f ca="1">EOMONTH(DATE(YEAR(N16),ROUNDUP(MONTH(N16)/3,0)*3,1),0)</f>
        <v>45930</v>
      </c>
      <c r="O14" s="14">
        <f ca="1">EOMONTH(DATE(YEAR(O16),ROUNDUP(MONTH(O16)/3,0)*3,1),0)</f>
        <v>46022</v>
      </c>
      <c r="P14" s="14">
        <f t="shared" ref="P14:S14" si="7">EOMONTH(DATE(YEAR(P16),ROUNDUP(MONTH(P16)/3,0)*3,1),0)</f>
        <v>46112</v>
      </c>
      <c r="Q14" s="14">
        <f t="shared" si="7"/>
        <v>46203</v>
      </c>
      <c r="R14" s="14">
        <f t="shared" si="7"/>
        <v>46295</v>
      </c>
      <c r="S14" s="14">
        <f t="shared" si="7"/>
        <v>46387</v>
      </c>
      <c r="T14" s="1"/>
      <c r="U14" s="24" t="str">
        <f ca="1"/>
        <v>NTRA US EQUITY</v>
      </c>
      <c r="V14" s="24">
        <f ca="1"/>
        <v>46112</v>
      </c>
      <c r="W14" s="24" t="str">
        <f ca="1"/>
        <v>canonical</v>
      </c>
      <c r="X14" s="24" t="str">
        <f ca="1"/>
        <v>gross_margin_gaap</v>
      </c>
      <c r="Y14" s="24" t="str">
        <f ca="1"/>
        <v>forecast</v>
      </c>
      <c r="Z14" s="32" t="str">
        <f ca="1"/>
        <v>62.6212299898171</v>
      </c>
      <c r="AA14" s="32" t="str">
        <f ca="1"/>
        <v>-50.077001018289</v>
      </c>
      <c r="AB14" s="32" t="str">
        <f ca="1"/>
        <v/>
      </c>
      <c r="AC14" s="32" t="str">
        <f ca="1"/>
        <v/>
      </c>
      <c r="AD14" s="32" t="str">
        <f ca="1"/>
        <v>-431.027001018289</v>
      </c>
    </row>
    <row r="15" spans="1:30" x14ac:dyDescent="0.4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 t="str">
        <f t="shared" ref="P15:S15" si="8">+P$6</f>
        <v>forecast</v>
      </c>
      <c r="Q15" s="2" t="str">
        <f t="shared" si="8"/>
        <v>forecast</v>
      </c>
      <c r="R15" s="2" t="str">
        <f t="shared" si="8"/>
        <v>forecast</v>
      </c>
      <c r="S15" s="2" t="str">
        <f t="shared" si="8"/>
        <v>forecast</v>
      </c>
      <c r="U15" s="24" t="str">
        <f ca="1"/>
        <v>NTRA US EQUITY</v>
      </c>
      <c r="V15" s="24">
        <f ca="1"/>
        <v>46203</v>
      </c>
      <c r="W15" s="24" t="str">
        <f ca="1"/>
        <v>canonical</v>
      </c>
      <c r="X15" s="24" t="str">
        <f ca="1"/>
        <v>gross_margin_gaap</v>
      </c>
      <c r="Y15" s="24" t="str">
        <f ca="1"/>
        <v>forecast</v>
      </c>
      <c r="Z15" s="32" t="str">
        <f ca="1"/>
        <v>63.1590078549223</v>
      </c>
      <c r="AA15" s="32" t="str">
        <f ca="1"/>
        <v>-25.189214507769</v>
      </c>
      <c r="AB15" s="32" t="str">
        <f ca="1"/>
        <v/>
      </c>
      <c r="AC15" s="32" t="str">
        <f ca="1"/>
        <v/>
      </c>
      <c r="AD15" s="32" t="str">
        <f ca="1"/>
        <v>53.7777865105198</v>
      </c>
    </row>
    <row r="16" spans="1:30" x14ac:dyDescent="0.45">
      <c r="D16" s="1" cm="1">
        <f t="array" aca="1" ref="D16:O17" ca="1">+_xll.BDH($B$2,C17,$B$3,$B$4,"DIR=H")</f>
        <v>45016</v>
      </c>
      <c r="E16" s="1">
        <f ca="1"/>
        <v>45107</v>
      </c>
      <c r="F16" s="1">
        <f ca="1"/>
        <v>45199</v>
      </c>
      <c r="G16" s="1">
        <f ca="1"/>
        <v>45291</v>
      </c>
      <c r="H16" s="1">
        <f ca="1"/>
        <v>45382</v>
      </c>
      <c r="I16" s="1">
        <f ca="1"/>
        <v>45473</v>
      </c>
      <c r="J16" s="1">
        <f ca="1"/>
        <v>45565</v>
      </c>
      <c r="K16" s="1">
        <f ca="1"/>
        <v>45657</v>
      </c>
      <c r="L16" s="1">
        <f ca="1"/>
        <v>45747</v>
      </c>
      <c r="M16" s="1">
        <f ca="1"/>
        <v>45838</v>
      </c>
      <c r="N16" s="1">
        <f ca="1"/>
        <v>45930</v>
      </c>
      <c r="O16" s="1">
        <f ca="1"/>
        <v>46022</v>
      </c>
      <c r="P16" s="2">
        <f t="shared" ref="P16:S16" si="9">+P$7</f>
        <v>46112</v>
      </c>
      <c r="Q16" s="2">
        <f t="shared" si="9"/>
        <v>46203</v>
      </c>
      <c r="R16" s="2">
        <f t="shared" si="9"/>
        <v>46295</v>
      </c>
      <c r="S16" s="2">
        <f t="shared" si="9"/>
        <v>46387</v>
      </c>
      <c r="U16" s="24" t="str">
        <f ca="1"/>
        <v>NTRA US EQUITY</v>
      </c>
      <c r="V16" s="24">
        <f ca="1"/>
        <v>46295</v>
      </c>
      <c r="W16" s="24" t="str">
        <f ca="1"/>
        <v>canonical</v>
      </c>
      <c r="X16" s="24" t="str">
        <f ca="1"/>
        <v>gross_margin_gaap</v>
      </c>
      <c r="Y16" s="24" t="str">
        <f ca="1"/>
        <v>forecast</v>
      </c>
      <c r="Z16" s="32" t="str">
        <f ca="1"/>
        <v>64.8936912822304</v>
      </c>
      <c r="AA16" s="32" t="str">
        <f ca="1"/>
        <v>-1.56087177695667</v>
      </c>
      <c r="AB16" s="32" t="str">
        <f ca="1"/>
        <v/>
      </c>
      <c r="AC16" s="32" t="str">
        <f ca="1"/>
        <v/>
      </c>
      <c r="AD16" s="32" t="str">
        <f ca="1"/>
        <v>173.468342730813</v>
      </c>
    </row>
    <row r="17" spans="1:30" x14ac:dyDescent="0.45">
      <c r="A17" s="16" t="s">
        <v>9</v>
      </c>
      <c r="B17" s="16" t="s">
        <v>14</v>
      </c>
      <c r="C17" s="9" t="s">
        <v>6</v>
      </c>
      <c r="D17" s="30">
        <f ca="1"/>
        <v>38.729999999999997</v>
      </c>
      <c r="E17" s="30">
        <f ca="1"/>
        <v>45.238399999999999</v>
      </c>
      <c r="F17" s="30">
        <f ca="1"/>
        <v>45.0959</v>
      </c>
      <c r="G17" s="30">
        <f ca="1"/>
        <v>51.383899999999997</v>
      </c>
      <c r="H17" s="30">
        <f ca="1"/>
        <v>56.725000000000001</v>
      </c>
      <c r="I17" s="30">
        <f ca="1"/>
        <v>58.8294</v>
      </c>
      <c r="J17" s="30">
        <f ca="1"/>
        <v>61.794699999999999</v>
      </c>
      <c r="K17" s="30">
        <f ca="1"/>
        <v>62.941099999999999</v>
      </c>
      <c r="L17" s="30">
        <f ca="1"/>
        <v>63.122</v>
      </c>
      <c r="M17" s="30">
        <f ca="1"/>
        <v>63.410899999999998</v>
      </c>
      <c r="N17" s="30">
        <f ca="1"/>
        <v>64.909300000000002</v>
      </c>
      <c r="O17" s="30">
        <f ca="1"/>
        <v>66.9315</v>
      </c>
      <c r="P17" s="29">
        <v>62.62122998981711</v>
      </c>
      <c r="Q17" s="29">
        <v>63.159007854922308</v>
      </c>
      <c r="R17" s="29">
        <v>64.893691282230435</v>
      </c>
      <c r="S17" s="29">
        <v>67.17060095369321</v>
      </c>
      <c r="U17" s="24" t="str">
        <f ca="1"/>
        <v>NTRA US EQUITY</v>
      </c>
      <c r="V17" s="24">
        <f ca="1"/>
        <v>46387</v>
      </c>
      <c r="W17" s="24" t="str">
        <f ca="1"/>
        <v>canonical</v>
      </c>
      <c r="X17" s="24" t="str">
        <f ca="1"/>
        <v>gross_margin_gaap</v>
      </c>
      <c r="Y17" s="24" t="str">
        <f ca="1"/>
        <v>forecast</v>
      </c>
      <c r="Z17" s="32" t="str">
        <f ca="1"/>
        <v>67.1706009536932</v>
      </c>
      <c r="AA17" s="32" t="str">
        <f ca="1"/>
        <v>23.910095369321</v>
      </c>
      <c r="AB17" s="32" t="str">
        <f ca="1"/>
        <v/>
      </c>
      <c r="AC17" s="32" t="str">
        <f ca="1"/>
        <v/>
      </c>
      <c r="AD17" s="32" t="str">
        <f ca="1"/>
        <v>227.690967146278</v>
      </c>
    </row>
    <row r="18" spans="1:30" x14ac:dyDescent="0.45">
      <c r="C18" s="4" t="s">
        <v>4</v>
      </c>
      <c r="D18" s="5"/>
      <c r="E18" s="4"/>
      <c r="F18" s="4"/>
      <c r="G18" s="4"/>
      <c r="H18" s="7">
        <f t="shared" ref="H18:O18" ca="1" si="10">(H17-D17)*100</f>
        <v>1799.5000000000005</v>
      </c>
      <c r="I18" s="7">
        <f t="shared" ca="1" si="10"/>
        <v>1359.1000000000001</v>
      </c>
      <c r="J18" s="7">
        <f t="shared" ca="1" si="10"/>
        <v>1669.8799999999999</v>
      </c>
      <c r="K18" s="7">
        <f t="shared" ca="1" si="10"/>
        <v>1155.7200000000003</v>
      </c>
      <c r="L18" s="7">
        <f t="shared" ca="1" si="10"/>
        <v>639.69999999999982</v>
      </c>
      <c r="M18" s="7">
        <f t="shared" ca="1" si="10"/>
        <v>458.14999999999986</v>
      </c>
      <c r="N18" s="7">
        <f t="shared" ca="1" si="10"/>
        <v>311.46000000000026</v>
      </c>
      <c r="O18" s="7">
        <f t="shared" ca="1" si="10"/>
        <v>399.04000000000008</v>
      </c>
      <c r="P18" s="7">
        <f t="shared" ref="P18" ca="1" si="11">(P17-L17)*100</f>
        <v>-50.077001018289025</v>
      </c>
      <c r="Q18" s="7">
        <f t="shared" ref="Q18" ca="1" si="12">(Q17-M17)*100</f>
        <v>-25.189214507769009</v>
      </c>
      <c r="R18" s="7">
        <f t="shared" ref="R18" ca="1" si="13">(R17-N17)*100</f>
        <v>-1.5608717769566738</v>
      </c>
      <c r="S18" s="7">
        <f t="shared" ref="S18" ca="1" si="14">(S17-O17)*100</f>
        <v>23.910095369321027</v>
      </c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NTRA US EQUITY</v>
      </c>
      <c r="V18" s="24">
        <f ca="1"/>
        <v>45747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-15.7777</v>
      </c>
      <c r="AA18" s="32" t="str">
        <f ca="1"/>
        <v>443.05</v>
      </c>
      <c r="AB18" s="32" t="str">
        <f ca="1"/>
        <v/>
      </c>
      <c r="AC18" s="32" t="str">
        <f ca="1"/>
        <v/>
      </c>
      <c r="AD18" s="32" t="str">
        <f ca="1"/>
        <v>-217.86</v>
      </c>
    </row>
    <row r="19" spans="1:30" x14ac:dyDescent="0.4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s="24" t="str">
        <f ca="1"/>
        <v>NTRA US EQUITY</v>
      </c>
      <c r="V19" s="24">
        <f ca="1"/>
        <v>45838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-20.1925</v>
      </c>
      <c r="AA19" s="32" t="str">
        <f ca="1"/>
        <v>-957.15</v>
      </c>
      <c r="AB19" s="32" t="str">
        <f ca="1"/>
        <v/>
      </c>
      <c r="AC19" s="32" t="str">
        <f ca="1"/>
        <v/>
      </c>
      <c r="AD19" s="32" t="str">
        <f ca="1"/>
        <v>-441.48</v>
      </c>
    </row>
    <row r="20" spans="1:30" x14ac:dyDescent="0.4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NTRA US EQUITY</v>
      </c>
      <c r="V20" s="24">
        <f ca="1"/>
        <v>45930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-16.4773</v>
      </c>
      <c r="AA20" s="32" t="str">
        <f ca="1"/>
        <v>-753.19</v>
      </c>
      <c r="AB20" s="32" t="str">
        <f ca="1"/>
        <v/>
      </c>
      <c r="AC20" s="32" t="str">
        <f ca="1"/>
        <v/>
      </c>
      <c r="AD20" s="32" t="str">
        <f ca="1"/>
        <v>371.52</v>
      </c>
    </row>
    <row r="21" spans="1:30" x14ac:dyDescent="0.45">
      <c r="C21" s="4" t="s">
        <v>5</v>
      </c>
      <c r="D21" s="1"/>
      <c r="K21" s="7"/>
      <c r="L21" s="7">
        <f ca="1">(L17-K17)*100</f>
        <v>18.090000000000117</v>
      </c>
      <c r="M21" s="7">
        <f t="shared" ref="M21:O21" ca="1" si="15">(M17-L17)*100</f>
        <v>28.889999999999816</v>
      </c>
      <c r="N21" s="7">
        <f t="shared" ca="1" si="15"/>
        <v>149.84000000000037</v>
      </c>
      <c r="O21" s="7">
        <f t="shared" ca="1" si="15"/>
        <v>202.2199999999998</v>
      </c>
      <c r="P21" s="7">
        <f t="shared" ref="P21" ca="1" si="16">(P17-O17)*100</f>
        <v>-431.02700101828901</v>
      </c>
      <c r="Q21" s="7">
        <f t="shared" ref="Q21" si="17">(Q17-P17)*100</f>
        <v>53.777786510519832</v>
      </c>
      <c r="R21" s="7">
        <f t="shared" ref="R21" si="18">(R17-Q17)*100</f>
        <v>173.46834273081271</v>
      </c>
      <c r="S21" s="7">
        <f t="shared" ref="S21" si="19">(S17-R17)*100</f>
        <v>227.6909671462775</v>
      </c>
      <c r="U21" s="24" t="str">
        <f ca="1"/>
        <v>NTRA US EQUITY</v>
      </c>
      <c r="V21" s="24">
        <f ca="1"/>
        <v>46022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>-3.4239</v>
      </c>
      <c r="AA21" s="32" t="str">
        <f ca="1"/>
        <v>1017.52</v>
      </c>
      <c r="AB21" s="32" t="str">
        <f ca="1"/>
        <v/>
      </c>
      <c r="AC21" s="32" t="str">
        <f ca="1"/>
        <v/>
      </c>
      <c r="AD21" s="32" t="str">
        <f ca="1"/>
        <v>1305.34</v>
      </c>
    </row>
    <row r="22" spans="1:30" x14ac:dyDescent="0.45">
      <c r="T22" s="1"/>
      <c r="U22" s="24" t="str">
        <f ca="1"/>
        <v>NTRA US EQUITY</v>
      </c>
      <c r="V22" s="24">
        <f ca="1"/>
        <v>46112</v>
      </c>
      <c r="W22" s="24" t="str">
        <f ca="1"/>
        <v>canonical</v>
      </c>
      <c r="X22" s="24" t="str">
        <f ca="1"/>
        <v>operating_margin_gaap</v>
      </c>
      <c r="Y22" s="24" t="str">
        <f ca="1"/>
        <v>forecast</v>
      </c>
      <c r="Z22" s="32" t="str">
        <f ca="1"/>
        <v>-14.9091051703591</v>
      </c>
      <c r="AA22" s="32" t="str">
        <f ca="1"/>
        <v>86.8594829640903</v>
      </c>
      <c r="AB22" s="32" t="str">
        <f ca="1"/>
        <v/>
      </c>
      <c r="AC22" s="32" t="str">
        <f ca="1"/>
        <v/>
      </c>
      <c r="AD22" s="32" t="str">
        <f ca="1"/>
        <v>-1148.52051703591</v>
      </c>
    </row>
    <row r="23" spans="1:30" x14ac:dyDescent="0.45">
      <c r="C23" s="13" t="s">
        <v>12</v>
      </c>
      <c r="D23" s="14">
        <f ca="1">EOMONTH(DATE(YEAR(D25),ROUNDUP(MONTH(D25)/3,0)*3,1),0)</f>
        <v>45016</v>
      </c>
      <c r="E23" s="14">
        <f ca="1">EOMONTH(DATE(YEAR(E25),ROUNDUP(MONTH(E25)/3,0)*3,1),0)</f>
        <v>45107</v>
      </c>
      <c r="F23" s="14">
        <f ca="1">EOMONTH(DATE(YEAR(F25),ROUNDUP(MONTH(F25)/3,0)*3,1),0)</f>
        <v>45199</v>
      </c>
      <c r="G23" s="14">
        <f t="shared" ref="G23:K23" ca="1" si="20">EOMONTH(DATE(YEAR(G25),ROUNDUP(MONTH(G25)/3,0)*3,1),0)</f>
        <v>45291</v>
      </c>
      <c r="H23" s="14">
        <f t="shared" ca="1" si="20"/>
        <v>45382</v>
      </c>
      <c r="I23" s="14">
        <f t="shared" ca="1" si="20"/>
        <v>45473</v>
      </c>
      <c r="J23" s="14">
        <f t="shared" ca="1" si="20"/>
        <v>45565</v>
      </c>
      <c r="K23" s="14">
        <f t="shared" ca="1" si="20"/>
        <v>45657</v>
      </c>
      <c r="L23" s="14">
        <f ca="1">EOMONTH(DATE(YEAR(L25),ROUNDUP(MONTH(L25)/3,0)*3,1),0)</f>
        <v>45747</v>
      </c>
      <c r="M23" s="14">
        <f ca="1">EOMONTH(DATE(YEAR(M25),ROUNDUP(MONTH(M25)/3,0)*3,1),0)</f>
        <v>45838</v>
      </c>
      <c r="N23" s="14">
        <f ca="1">EOMONTH(DATE(YEAR(N25),ROUNDUP(MONTH(N25)/3,0)*3,1),0)</f>
        <v>45930</v>
      </c>
      <c r="O23" s="14">
        <f ca="1">EOMONTH(DATE(YEAR(O25),ROUNDUP(MONTH(O25)/3,0)*3,1),0)</f>
        <v>46022</v>
      </c>
      <c r="P23" s="14">
        <f t="shared" ref="P23:S23" si="21">EOMONTH(DATE(YEAR(P25),ROUNDUP(MONTH(P25)/3,0)*3,1),0)</f>
        <v>46112</v>
      </c>
      <c r="Q23" s="14">
        <f t="shared" si="21"/>
        <v>46203</v>
      </c>
      <c r="R23" s="14">
        <f t="shared" si="21"/>
        <v>46295</v>
      </c>
      <c r="S23" s="14">
        <f t="shared" si="21"/>
        <v>46387</v>
      </c>
      <c r="U23" s="24" t="str">
        <f ca="1"/>
        <v>NTRA US EQUITY</v>
      </c>
      <c r="V23" s="24">
        <f ca="1"/>
        <v>46203</v>
      </c>
      <c r="W23" s="24" t="str">
        <f ca="1"/>
        <v>canonical</v>
      </c>
      <c r="X23" s="24" t="str">
        <f ca="1"/>
        <v>operating_margin_gaap</v>
      </c>
      <c r="Y23" s="24" t="str">
        <f ca="1"/>
        <v>forecast</v>
      </c>
      <c r="Z23" s="32" t="str">
        <f ca="1"/>
        <v>-11.8593059480282</v>
      </c>
      <c r="AA23" s="32" t="str">
        <f ca="1"/>
        <v>833.319405197175</v>
      </c>
      <c r="AB23" s="32" t="str">
        <f ca="1"/>
        <v/>
      </c>
      <c r="AC23" s="32" t="str">
        <f ca="1"/>
        <v/>
      </c>
      <c r="AD23" s="32" t="str">
        <f ca="1"/>
        <v>304.979922233085</v>
      </c>
    </row>
    <row r="24" spans="1:30" x14ac:dyDescent="0.4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2" t="str">
        <f t="shared" ref="P24:S24" si="22">+P$6</f>
        <v>forecast</v>
      </c>
      <c r="Q24" s="2" t="str">
        <f t="shared" si="22"/>
        <v>forecast</v>
      </c>
      <c r="R24" s="2" t="str">
        <f t="shared" si="22"/>
        <v>forecast</v>
      </c>
      <c r="S24" s="2" t="str">
        <f t="shared" si="22"/>
        <v>forecast</v>
      </c>
      <c r="U24" s="24" t="str">
        <f ca="1"/>
        <v>NTRA US EQUITY</v>
      </c>
      <c r="V24" s="24">
        <f ca="1"/>
        <v>46295</v>
      </c>
      <c r="W24" s="24" t="str">
        <f ca="1"/>
        <v>canonical</v>
      </c>
      <c r="X24" s="24" t="str">
        <f ca="1"/>
        <v>operating_margin_gaap</v>
      </c>
      <c r="Y24" s="24" t="str">
        <f ca="1"/>
        <v>forecast</v>
      </c>
      <c r="Z24" s="32" t="str">
        <f ca="1"/>
        <v>-9.59841314545162</v>
      </c>
      <c r="AA24" s="32" t="str">
        <f ca="1"/>
        <v>687.888685454838</v>
      </c>
      <c r="AB24" s="32" t="str">
        <f ca="1"/>
        <v/>
      </c>
      <c r="AC24" s="32" t="str">
        <f ca="1"/>
        <v/>
      </c>
      <c r="AD24" s="32" t="str">
        <f ca="1"/>
        <v>226.089280257663</v>
      </c>
    </row>
    <row r="25" spans="1:30" x14ac:dyDescent="0.45">
      <c r="D25" s="1" cm="1">
        <f t="array" aca="1" ref="D25:O26" ca="1">+_xll.BDH($B$2,C26,$B$3,$B$4,"DIR=H")</f>
        <v>45016</v>
      </c>
      <c r="E25" s="1">
        <f ca="1"/>
        <v>45107</v>
      </c>
      <c r="F25" s="1">
        <f ca="1"/>
        <v>45199</v>
      </c>
      <c r="G25" s="1">
        <f ca="1"/>
        <v>45291</v>
      </c>
      <c r="H25" s="1">
        <f ca="1"/>
        <v>45382</v>
      </c>
      <c r="I25" s="1">
        <f ca="1"/>
        <v>45473</v>
      </c>
      <c r="J25" s="1">
        <f ca="1"/>
        <v>45565</v>
      </c>
      <c r="K25" s="1">
        <f ca="1"/>
        <v>45657</v>
      </c>
      <c r="L25" s="1">
        <f ca="1"/>
        <v>45747</v>
      </c>
      <c r="M25" s="1">
        <f ca="1"/>
        <v>45838</v>
      </c>
      <c r="N25" s="1">
        <f ca="1"/>
        <v>45930</v>
      </c>
      <c r="O25" s="1">
        <f ca="1"/>
        <v>46022</v>
      </c>
      <c r="P25" s="2">
        <f t="shared" ref="P25:S25" si="23">+P$7</f>
        <v>46112</v>
      </c>
      <c r="Q25" s="2">
        <f t="shared" si="23"/>
        <v>46203</v>
      </c>
      <c r="R25" s="2">
        <f t="shared" si="23"/>
        <v>46295</v>
      </c>
      <c r="S25" s="2">
        <f t="shared" si="23"/>
        <v>46387</v>
      </c>
      <c r="U25" s="24" t="str">
        <f ca="1"/>
        <v>NTRA US EQUITY</v>
      </c>
      <c r="V25" s="24">
        <f ca="1"/>
        <v>46387</v>
      </c>
      <c r="W25" s="24" t="str">
        <f ca="1"/>
        <v>canonical</v>
      </c>
      <c r="X25" s="24" t="str">
        <f ca="1"/>
        <v>operating_margin_gaap</v>
      </c>
      <c r="Y25" s="24" t="str">
        <f ca="1"/>
        <v>forecast</v>
      </c>
      <c r="Z25" s="32" t="str">
        <f ca="1"/>
        <v>-5.24587132370456</v>
      </c>
      <c r="AA25" s="32" t="str">
        <f ca="1"/>
        <v>-182.197132370456</v>
      </c>
      <c r="AB25" s="32" t="str">
        <f ca="1"/>
        <v/>
      </c>
      <c r="AC25" s="32" t="str">
        <f ca="1"/>
        <v/>
      </c>
      <c r="AD25" s="32" t="str">
        <f ca="1"/>
        <v>435.254182174706</v>
      </c>
    </row>
    <row r="26" spans="1:30" x14ac:dyDescent="0.45">
      <c r="A26" s="16" t="s">
        <v>9</v>
      </c>
      <c r="B26" s="16" t="s">
        <v>15</v>
      </c>
      <c r="C26" s="9" t="s">
        <v>7</v>
      </c>
      <c r="D26" s="3">
        <f ca="1"/>
        <v>-57.206899999999997</v>
      </c>
      <c r="E26" s="3">
        <f ca="1"/>
        <v>-43.008499999999998</v>
      </c>
      <c r="F26" s="3">
        <f ca="1"/>
        <v>-41.363999999999997</v>
      </c>
      <c r="G26" s="3">
        <f ca="1"/>
        <v>-27.172799999999999</v>
      </c>
      <c r="H26" s="3">
        <f ca="1"/>
        <v>-20.208200000000001</v>
      </c>
      <c r="I26" s="3">
        <f ca="1"/>
        <v>-10.621</v>
      </c>
      <c r="J26" s="3">
        <f ca="1"/>
        <v>-8.9453999999999994</v>
      </c>
      <c r="K26" s="3">
        <f ca="1"/>
        <v>-13.5991</v>
      </c>
      <c r="L26" s="3">
        <f ca="1"/>
        <v>-15.777699999999999</v>
      </c>
      <c r="M26" s="3">
        <f ca="1"/>
        <v>-20.192499999999999</v>
      </c>
      <c r="N26" s="3">
        <f ca="1"/>
        <v>-16.4773</v>
      </c>
      <c r="O26" s="3">
        <f ca="1"/>
        <v>-3.4239000000000002</v>
      </c>
      <c r="P26" s="29">
        <v>-14.909105170359096</v>
      </c>
      <c r="Q26" s="29">
        <v>-11.859305948028247</v>
      </c>
      <c r="R26" s="29">
        <v>-9.5984131454516195</v>
      </c>
      <c r="S26" s="29">
        <v>-5.2458713237045629</v>
      </c>
      <c r="U26" s="24" t="str" cm="1">
        <f t="array" aca="1" ref="U26:AD33" ca="1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NTRA US EQUITY</v>
      </c>
      <c r="V26" s="24">
        <f ca="1"/>
        <v>45747</v>
      </c>
      <c r="W26" s="24" t="str">
        <f ca="1"/>
        <v>custom</v>
      </c>
      <c r="X26" s="24" t="str">
        <f ca="1"/>
        <v>total_test_volume</v>
      </c>
      <c r="Y26" s="24" t="str">
        <f ca="1"/>
        <v>actual</v>
      </c>
      <c r="Z26" s="32" t="str">
        <f ca="1"/>
        <v>855100</v>
      </c>
      <c r="AA26" s="32" t="str">
        <f ca="1"/>
        <v>0.162136450122316</v>
      </c>
      <c r="AB26" s="32" t="str">
        <f ca="1"/>
        <v>-1027.00818543925</v>
      </c>
      <c r="AC26" s="32" t="str">
        <f ca="1"/>
        <v>-128.875038859881</v>
      </c>
      <c r="AD26" s="32" t="str">
        <f ca="1"/>
        <v>0.0785822401614531</v>
      </c>
    </row>
    <row r="27" spans="1:30" x14ac:dyDescent="0.45">
      <c r="C27" s="4" t="s">
        <v>4</v>
      </c>
      <c r="D27" s="5"/>
      <c r="E27" s="4"/>
      <c r="F27" s="4"/>
      <c r="G27" s="4"/>
      <c r="H27" s="7">
        <f t="shared" ref="H27:O27" ca="1" si="24">(H26-D26)*100</f>
        <v>3699.87</v>
      </c>
      <c r="I27" s="7">
        <f t="shared" ca="1" si="24"/>
        <v>3238.7499999999995</v>
      </c>
      <c r="J27" s="7">
        <f t="shared" ca="1" si="24"/>
        <v>3241.8599999999997</v>
      </c>
      <c r="K27" s="7">
        <f t="shared" ca="1" si="24"/>
        <v>1357.37</v>
      </c>
      <c r="L27" s="7">
        <f t="shared" ca="1" si="24"/>
        <v>443.05000000000018</v>
      </c>
      <c r="M27" s="7">
        <f t="shared" ca="1" si="24"/>
        <v>-957.14999999999986</v>
      </c>
      <c r="N27" s="7">
        <f t="shared" ca="1" si="24"/>
        <v>-753.19</v>
      </c>
      <c r="O27" s="7">
        <f t="shared" ca="1" si="24"/>
        <v>1017.52</v>
      </c>
      <c r="P27" s="7">
        <f t="shared" ref="P27" ca="1" si="25">(P26-L26)*100</f>
        <v>86.859482964090347</v>
      </c>
      <c r="Q27" s="7">
        <f t="shared" ref="Q27" ca="1" si="26">(Q26-M26)*100</f>
        <v>833.31940519717523</v>
      </c>
      <c r="R27" s="7">
        <f t="shared" ref="R27" ca="1" si="27">(R26-N26)*100</f>
        <v>687.88868545483797</v>
      </c>
      <c r="S27" s="7">
        <f t="shared" ref="S27" ca="1" si="28">(S26-O26)*100</f>
        <v>-182.19713237045627</v>
      </c>
      <c r="U27" s="24" t="str">
        <f ca="1"/>
        <v>NTRA US EQUITY</v>
      </c>
      <c r="V27" s="24">
        <f ca="1"/>
        <v>45838</v>
      </c>
      <c r="W27" s="24" t="str">
        <f ca="1"/>
        <v>custom</v>
      </c>
      <c r="X27" s="24" t="str">
        <f ca="1"/>
        <v>total_test_volume</v>
      </c>
      <c r="Y27" s="24" t="str">
        <f ca="1"/>
        <v>actual</v>
      </c>
      <c r="Z27" s="32" t="str">
        <f ca="1"/>
        <v>853100</v>
      </c>
      <c r="AA27" s="32" t="str">
        <f ca="1"/>
        <v>0.122057082730501</v>
      </c>
      <c r="AB27" s="32" t="str">
        <f ca="1"/>
        <v>-400.793673918147</v>
      </c>
      <c r="AC27" s="32" t="str">
        <f ca="1"/>
        <v>-1097.96449349862</v>
      </c>
      <c r="AD27" s="32" t="str">
        <f ca="1"/>
        <v>-0.00233890773009005</v>
      </c>
    </row>
    <row r="28" spans="1:30" x14ac:dyDescent="0.4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f ca="1"/>
        <v>NTRA US EQUITY</v>
      </c>
      <c r="V28" s="24">
        <f ca="1"/>
        <v>45930</v>
      </c>
      <c r="W28" s="24" t="str">
        <f ca="1"/>
        <v>custom</v>
      </c>
      <c r="X28" s="24" t="str">
        <f ca="1"/>
        <v>total_test_volume</v>
      </c>
      <c r="Y28" s="24" t="str">
        <f ca="1"/>
        <v>actual</v>
      </c>
      <c r="Z28" s="32" t="str">
        <f ca="1"/>
        <v>893600</v>
      </c>
      <c r="AA28" s="32" t="str">
        <f ca="1"/>
        <v>0.151843258571797</v>
      </c>
      <c r="AB28" s="32" t="str">
        <f ca="1"/>
        <v>297.861758412956</v>
      </c>
      <c r="AC28" s="32" t="str">
        <f ca="1"/>
        <v>-874.538660288422</v>
      </c>
      <c r="AD28" s="32" t="str">
        <f ca="1"/>
        <v>0.0474739186496307</v>
      </c>
    </row>
    <row r="29" spans="1:30" x14ac:dyDescent="0.4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f ca="1"/>
        <v>NTRA US EQUITY</v>
      </c>
      <c r="V29" s="24">
        <f ca="1"/>
        <v>46022</v>
      </c>
      <c r="W29" s="24" t="str">
        <f ca="1"/>
        <v>custom</v>
      </c>
      <c r="X29" s="24" t="str">
        <f ca="1"/>
        <v>total_test_volume</v>
      </c>
      <c r="Y29" s="24" t="str">
        <f ca="1"/>
        <v>actual</v>
      </c>
      <c r="Z29" s="32" t="str">
        <f ca="1"/>
        <v>923600</v>
      </c>
      <c r="AA29" s="32" t="str">
        <f ca="1"/>
        <v>0.164984863773966</v>
      </c>
      <c r="AB29" s="32" t="str">
        <f ca="1"/>
        <v>131.416052021689</v>
      </c>
      <c r="AC29" s="32" t="str">
        <f ca="1"/>
        <v>-998.524048922755</v>
      </c>
      <c r="AD29" s="32" t="str">
        <f ca="1"/>
        <v>0.0335720680393912</v>
      </c>
    </row>
    <row r="30" spans="1:30" x14ac:dyDescent="0.45">
      <c r="C30" s="4" t="s">
        <v>5</v>
      </c>
      <c r="D30" s="1"/>
      <c r="K30" s="7"/>
      <c r="L30" s="7">
        <f ca="1">(L26-K26)*100</f>
        <v>-217.85999999999996</v>
      </c>
      <c r="M30" s="7">
        <f t="shared" ref="M30:O30" ca="1" si="29">(M26-L26)*100</f>
        <v>-441.47999999999996</v>
      </c>
      <c r="N30" s="7">
        <f t="shared" ca="1" si="29"/>
        <v>371.51999999999992</v>
      </c>
      <c r="O30" s="7">
        <f t="shared" ca="1" si="29"/>
        <v>1305.3399999999999</v>
      </c>
      <c r="P30" s="7">
        <f t="shared" ref="P30" ca="1" si="30">(P26-O26)*100</f>
        <v>-1148.5205170359097</v>
      </c>
      <c r="Q30" s="7">
        <f t="shared" ref="Q30" si="31">(Q26-P26)*100</f>
        <v>304.97992223308489</v>
      </c>
      <c r="R30" s="7">
        <f t="shared" ref="R30" si="32">(R26-Q26)*100</f>
        <v>226.08928025766275</v>
      </c>
      <c r="S30" s="7">
        <f t="shared" ref="S30" si="33">(S26-R26)*100</f>
        <v>435.25418217470565</v>
      </c>
      <c r="U30" s="24" t="str">
        <f ca="1"/>
        <v>NTRA US EQUITY</v>
      </c>
      <c r="V30" s="24">
        <f ca="1"/>
        <v>46112</v>
      </c>
      <c r="W30" s="24" t="str">
        <f ca="1"/>
        <v>custom</v>
      </c>
      <c r="X30" s="24" t="str">
        <f ca="1"/>
        <v>total_test_volume</v>
      </c>
      <c r="Y30" s="24" t="str">
        <f ca="1"/>
        <v>forecast</v>
      </c>
      <c r="Z30" s="32" t="str">
        <f ca="1"/>
        <v>972433.109314011</v>
      </c>
      <c r="AA30" s="32" t="str">
        <f ca="1"/>
        <v>0.13721565818502</v>
      </c>
      <c r="AB30" s="32" t="str">
        <f ca="1"/>
        <v>-277.692055889454</v>
      </c>
      <c r="AC30" s="32" t="str">
        <f ca="1"/>
        <v>-249.207919372956</v>
      </c>
      <c r="AD30" s="32" t="str">
        <f ca="1"/>
        <v>0.0528725739649316</v>
      </c>
    </row>
    <row r="31" spans="1:30" x14ac:dyDescent="0.4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f ca="1"/>
        <v>NTRA US EQUITY</v>
      </c>
      <c r="V31" s="24">
        <f ca="1"/>
        <v>46203</v>
      </c>
      <c r="W31" s="24" t="str">
        <f ca="1"/>
        <v>custom</v>
      </c>
      <c r="X31" s="24" t="str">
        <f ca="1"/>
        <v>total_test_volume</v>
      </c>
      <c r="Y31" s="24" t="str">
        <f ca="1"/>
        <v>forecast</v>
      </c>
      <c r="Z31" s="32" t="str">
        <f ca="1"/>
        <v>973583.431440457</v>
      </c>
      <c r="AA31" s="32" t="str">
        <f ca="1"/>
        <v>0.141230138835374</v>
      </c>
      <c r="AB31" s="32" t="str">
        <f ca="1"/>
        <v>40.1448065035348</v>
      </c>
      <c r="AC31" s="32" t="str">
        <f ca="1"/>
        <v>191.730561048726</v>
      </c>
      <c r="AD31" s="32" t="str">
        <f ca="1"/>
        <v>0.00118293188027918</v>
      </c>
    </row>
    <row r="32" spans="1:30" x14ac:dyDescent="0.45">
      <c r="C32" s="13" t="s">
        <v>12</v>
      </c>
      <c r="D32" s="14">
        <f t="shared" ref="D32:L32" ca="1" si="34">EOMONTH(DATE(YEAR(D34),ROUNDUP(MONTH(D34)/3,0)*3,1),0)</f>
        <v>45016</v>
      </c>
      <c r="E32" s="14">
        <f t="shared" ca="1" si="34"/>
        <v>45107</v>
      </c>
      <c r="F32" s="14">
        <f t="shared" ca="1" si="34"/>
        <v>45199</v>
      </c>
      <c r="G32" s="14">
        <f t="shared" ca="1" si="34"/>
        <v>45291</v>
      </c>
      <c r="H32" s="14">
        <f t="shared" ca="1" si="34"/>
        <v>45382</v>
      </c>
      <c r="I32" s="14">
        <f t="shared" ca="1" si="34"/>
        <v>45473</v>
      </c>
      <c r="J32" s="14">
        <f t="shared" ca="1" si="34"/>
        <v>45565</v>
      </c>
      <c r="K32" s="14">
        <f t="shared" ca="1" si="34"/>
        <v>45657</v>
      </c>
      <c r="L32" s="14">
        <f t="shared" ca="1" si="34"/>
        <v>45747</v>
      </c>
      <c r="M32" s="14">
        <f ca="1">EOMONTH(DATE(YEAR(M34),ROUNDUP(MONTH(M34)/3,0)*3,1),0)</f>
        <v>45838</v>
      </c>
      <c r="N32" s="14">
        <f ca="1">EOMONTH(DATE(YEAR(N34),ROUNDUP(MONTH(N34)/3,0)*3,1),0)</f>
        <v>45930</v>
      </c>
      <c r="O32" s="14">
        <f ca="1">EOMONTH(DATE(YEAR(O34),ROUNDUP(MONTH(O34)/3,0)*3,1),0)</f>
        <v>46022</v>
      </c>
      <c r="P32" s="14">
        <f t="shared" ref="P32:S32" si="35">EOMONTH(DATE(YEAR(P34),ROUNDUP(MONTH(P34)/3,0)*3,1),0)</f>
        <v>46112</v>
      </c>
      <c r="Q32" s="14">
        <f t="shared" si="35"/>
        <v>46203</v>
      </c>
      <c r="R32" s="14">
        <f t="shared" si="35"/>
        <v>46295</v>
      </c>
      <c r="S32" s="14">
        <f t="shared" si="35"/>
        <v>46387</v>
      </c>
      <c r="U32" s="24" t="str">
        <f ca="1"/>
        <v>NTRA US EQUITY</v>
      </c>
      <c r="V32" s="24">
        <f ca="1"/>
        <v>46295</v>
      </c>
      <c r="W32" s="24" t="str">
        <f ca="1"/>
        <v>custom</v>
      </c>
      <c r="X32" s="24" t="str">
        <f ca="1"/>
        <v>total_test_volume</v>
      </c>
      <c r="Y32" s="24" t="str">
        <f ca="1"/>
        <v>forecast</v>
      </c>
      <c r="Z32" s="32" t="str">
        <f ca="1"/>
        <v>1001384.38689265</v>
      </c>
      <c r="AA32" s="32" t="str">
        <f ca="1"/>
        <v>0.12061815901147</v>
      </c>
      <c r="AB32" s="32" t="str">
        <f ca="1"/>
        <v>-206.119798239035</v>
      </c>
      <c r="AC32" s="32" t="str">
        <f ca="1"/>
        <v>-312.250995603265</v>
      </c>
      <c r="AD32" s="32" t="str">
        <f ca="1"/>
        <v>0.0285552881801405</v>
      </c>
    </row>
    <row r="33" spans="1:30" x14ac:dyDescent="0.45">
      <c r="C33" s="13" t="s">
        <v>35</v>
      </c>
      <c r="D33" s="2" t="str">
        <f t="shared" ref="D33:S33" si="36">+D$6</f>
        <v>actual</v>
      </c>
      <c r="E33" s="2" t="str">
        <f t="shared" si="36"/>
        <v>actual</v>
      </c>
      <c r="F33" s="2" t="str">
        <f t="shared" si="36"/>
        <v>actual</v>
      </c>
      <c r="G33" s="2" t="str">
        <f t="shared" si="36"/>
        <v>actual</v>
      </c>
      <c r="H33" s="2" t="str">
        <f t="shared" si="36"/>
        <v>actual</v>
      </c>
      <c r="I33" s="2" t="str">
        <f t="shared" si="36"/>
        <v>actual</v>
      </c>
      <c r="J33" s="2" t="str">
        <f t="shared" si="36"/>
        <v>actual</v>
      </c>
      <c r="K33" s="2" t="str">
        <f t="shared" si="36"/>
        <v>actual</v>
      </c>
      <c r="L33" s="2" t="str">
        <f t="shared" si="36"/>
        <v>actual</v>
      </c>
      <c r="M33" s="2" t="str">
        <f t="shared" si="36"/>
        <v>actual</v>
      </c>
      <c r="N33" s="2" t="str">
        <f t="shared" si="36"/>
        <v>actual</v>
      </c>
      <c r="O33" s="2" t="str">
        <f t="shared" si="36"/>
        <v>actual</v>
      </c>
      <c r="P33" s="2" t="str">
        <f t="shared" si="36"/>
        <v>forecast</v>
      </c>
      <c r="Q33" s="2" t="str">
        <f t="shared" si="36"/>
        <v>forecast</v>
      </c>
      <c r="R33" s="2" t="str">
        <f t="shared" si="36"/>
        <v>forecast</v>
      </c>
      <c r="S33" s="2" t="str">
        <f t="shared" si="36"/>
        <v>forecast</v>
      </c>
      <c r="U33" s="24" t="str">
        <f ca="1"/>
        <v>NTRA US EQUITY</v>
      </c>
      <c r="V33" s="24">
        <f ca="1"/>
        <v>46387</v>
      </c>
      <c r="W33" s="24" t="str">
        <f ca="1"/>
        <v>custom</v>
      </c>
      <c r="X33" s="24" t="str">
        <f ca="1"/>
        <v>total_test_volume</v>
      </c>
      <c r="Y33" s="24" t="str">
        <f ca="1"/>
        <v>forecast</v>
      </c>
      <c r="Z33" s="32" t="str">
        <f ca="1"/>
        <v>1037415.73314364</v>
      </c>
      <c r="AA33" s="32" t="str">
        <f ca="1"/>
        <v>0.123230546929019</v>
      </c>
      <c r="AB33" s="32" t="str">
        <f ca="1"/>
        <v>26.1238791754836</v>
      </c>
      <c r="AC33" s="32" t="str">
        <f ca="1"/>
        <v>-417.54316844947</v>
      </c>
      <c r="AD33" s="32" t="str">
        <f ca="1"/>
        <v>0.035981533887101</v>
      </c>
    </row>
    <row r="34" spans="1:30" x14ac:dyDescent="0.45">
      <c r="D34" s="2">
        <f t="shared" ref="D34:S34" ca="1" si="37">+D$7</f>
        <v>45016</v>
      </c>
      <c r="E34" s="2">
        <f t="shared" ca="1" si="37"/>
        <v>45107</v>
      </c>
      <c r="F34" s="2">
        <f t="shared" ca="1" si="37"/>
        <v>45199</v>
      </c>
      <c r="G34" s="2">
        <f t="shared" ca="1" si="37"/>
        <v>45291</v>
      </c>
      <c r="H34" s="2">
        <f t="shared" ca="1" si="37"/>
        <v>45382</v>
      </c>
      <c r="I34" s="2">
        <f t="shared" ca="1" si="37"/>
        <v>45473</v>
      </c>
      <c r="J34" s="2">
        <f t="shared" ca="1" si="37"/>
        <v>45565</v>
      </c>
      <c r="K34" s="2">
        <f t="shared" ca="1" si="37"/>
        <v>45657</v>
      </c>
      <c r="L34" s="2">
        <f t="shared" ca="1" si="37"/>
        <v>45747</v>
      </c>
      <c r="M34" s="2">
        <f t="shared" ca="1" si="37"/>
        <v>45838</v>
      </c>
      <c r="N34" s="2">
        <f t="shared" ca="1" si="37"/>
        <v>45930</v>
      </c>
      <c r="O34" s="2">
        <f t="shared" ca="1" si="37"/>
        <v>46022</v>
      </c>
      <c r="P34" s="2">
        <f t="shared" si="37"/>
        <v>46112</v>
      </c>
      <c r="Q34" s="2">
        <f t="shared" si="37"/>
        <v>46203</v>
      </c>
      <c r="R34" s="2">
        <f t="shared" si="37"/>
        <v>46295</v>
      </c>
      <c r="S34" s="2">
        <f t="shared" si="37"/>
        <v>46387</v>
      </c>
      <c r="U34" s="24" t="str" cm="1">
        <f t="array" aca="1" ref="U34:AD41" ca="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NTRA US EQUITY</v>
      </c>
      <c r="V34" s="24">
        <f ca="1"/>
        <v>45747</v>
      </c>
      <c r="W34" s="24" t="str">
        <f ca="1"/>
        <v>custom</v>
      </c>
      <c r="X34" s="24" t="str">
        <f ca="1"/>
        <v>revenue_per_test</v>
      </c>
      <c r="Y34" s="24" t="str">
        <f ca="1"/>
        <v>actual</v>
      </c>
      <c r="Z34" s="32" t="str">
        <f ca="1"/>
        <v>584.769032861654</v>
      </c>
      <c r="AA34" s="32" t="str">
        <f ca="1"/>
        <v>0.179890571197143</v>
      </c>
      <c r="AB34" s="32" t="str">
        <f ca="1"/>
        <v>-369.99806930613</v>
      </c>
      <c r="AC34" s="32" t="str">
        <f ca="1"/>
        <v>-1252.26070150266</v>
      </c>
      <c r="AD34" s="32" t="str">
        <f ca="1"/>
        <v>-0.0196783554353379</v>
      </c>
    </row>
    <row r="35" spans="1:30" x14ac:dyDescent="0.45">
      <c r="A35" s="16" t="s">
        <v>21</v>
      </c>
      <c r="B35" s="16" t="s">
        <v>57</v>
      </c>
      <c r="C35" s="2" t="s">
        <v>31</v>
      </c>
      <c r="D35" s="27">
        <v>626200</v>
      </c>
      <c r="E35" s="27">
        <v>617200</v>
      </c>
      <c r="F35" s="27">
        <v>626000</v>
      </c>
      <c r="G35" s="27">
        <v>626800</v>
      </c>
      <c r="H35" s="27">
        <v>735800</v>
      </c>
      <c r="I35" s="27">
        <v>760300</v>
      </c>
      <c r="J35" s="27">
        <v>775800</v>
      </c>
      <c r="K35" s="27">
        <v>792800</v>
      </c>
      <c r="L35" s="27">
        <v>855100</v>
      </c>
      <c r="M35" s="27">
        <v>853100</v>
      </c>
      <c r="N35" s="27">
        <v>893600</v>
      </c>
      <c r="O35" s="27">
        <v>923600</v>
      </c>
      <c r="P35" s="27">
        <v>972433.10931401083</v>
      </c>
      <c r="Q35" s="27">
        <v>973583.43144045747</v>
      </c>
      <c r="R35" s="27">
        <v>1001384.3868926498</v>
      </c>
      <c r="S35" s="27">
        <v>1037415.7331436416</v>
      </c>
      <c r="U35" s="24" t="str">
        <f ca="1"/>
        <v>NTRA US EQUITY</v>
      </c>
      <c r="V35" s="24">
        <f ca="1"/>
        <v>45838</v>
      </c>
      <c r="W35" s="24" t="str">
        <f ca="1"/>
        <v>custom</v>
      </c>
      <c r="X35" s="24" t="str">
        <f ca="1"/>
        <v>revenue_per_test</v>
      </c>
      <c r="Y35" s="24" t="str">
        <f ca="1"/>
        <v>actual</v>
      </c>
      <c r="Z35" s="32" t="str">
        <f ca="1"/>
        <v>638.174891571914</v>
      </c>
      <c r="AA35" s="32" t="str">
        <f ca="1"/>
        <v>0.179501293409551</v>
      </c>
      <c r="AB35" s="32" t="str">
        <f ca="1"/>
        <v>-3.89277787592679</v>
      </c>
      <c r="AC35" s="32" t="str">
        <f ca="1"/>
        <v>-1135.53084521914</v>
      </c>
      <c r="AD35" s="32" t="str">
        <f ca="1"/>
        <v>0.0913281239413639</v>
      </c>
    </row>
    <row r="36" spans="1:30" x14ac:dyDescent="0.45">
      <c r="C36" s="4" t="s">
        <v>4</v>
      </c>
      <c r="D36" s="5"/>
      <c r="E36" s="4"/>
      <c r="F36" s="4"/>
      <c r="G36" s="4"/>
      <c r="H36" s="12">
        <f t="shared" ref="H36:S36" si="38">+H35/D35-1</f>
        <v>0.17502395400830406</v>
      </c>
      <c r="I36" s="12">
        <f t="shared" si="38"/>
        <v>0.23185353208036297</v>
      </c>
      <c r="J36" s="12">
        <f t="shared" si="38"/>
        <v>0.23929712460063901</v>
      </c>
      <c r="K36" s="12">
        <f t="shared" si="38"/>
        <v>0.26483726866624124</v>
      </c>
      <c r="L36" s="12">
        <f t="shared" si="38"/>
        <v>0.16213645012231592</v>
      </c>
      <c r="M36" s="12">
        <f t="shared" si="38"/>
        <v>0.1220570827305012</v>
      </c>
      <c r="N36" s="12">
        <f t="shared" si="38"/>
        <v>0.15184325857179681</v>
      </c>
      <c r="O36" s="12">
        <f t="shared" si="38"/>
        <v>0.16498486377396571</v>
      </c>
      <c r="P36" s="12">
        <f t="shared" si="38"/>
        <v>0.13721565818502035</v>
      </c>
      <c r="Q36" s="12">
        <f t="shared" si="38"/>
        <v>0.14123013883537383</v>
      </c>
      <c r="R36" s="12">
        <f t="shared" si="38"/>
        <v>0.12061815901147033</v>
      </c>
      <c r="S36" s="12">
        <f t="shared" si="38"/>
        <v>0.12323054692901869</v>
      </c>
      <c r="U36" s="24" t="str">
        <f ca="1"/>
        <v>NTRA US EQUITY</v>
      </c>
      <c r="V36" s="24">
        <f ca="1"/>
        <v>45930</v>
      </c>
      <c r="W36" s="24" t="str">
        <f ca="1"/>
        <v>custom</v>
      </c>
      <c r="X36" s="24" t="str">
        <f ca="1"/>
        <v>revenue_per_test</v>
      </c>
      <c r="Y36" s="24" t="str">
        <f ca="1"/>
        <v>actual</v>
      </c>
      <c r="Z36" s="32" t="str">
        <f ca="1"/>
        <v>660.471128021486</v>
      </c>
      <c r="AA36" s="32" t="str">
        <f ca="1"/>
        <v>0.174872230151009</v>
      </c>
      <c r="AB36" s="32" t="str">
        <f ca="1"/>
        <v>-46.2906325854195</v>
      </c>
      <c r="AC36" s="32" t="str">
        <f ca="1"/>
        <v>-1520.16594160458</v>
      </c>
      <c r="AD36" s="32" t="str">
        <f ca="1"/>
        <v>0.0349375018416238</v>
      </c>
    </row>
    <row r="37" spans="1:30" x14ac:dyDescent="0.45">
      <c r="C37" s="4" t="s">
        <v>19</v>
      </c>
      <c r="D37" s="1"/>
      <c r="L37" s="7">
        <f>(L36-K36)*10000</f>
        <v>-1027.0081854392531</v>
      </c>
      <c r="M37" s="7">
        <f>(M36-L36)*10000</f>
        <v>-400.79367391814725</v>
      </c>
      <c r="N37" s="7">
        <f>(N36-M36)*10000</f>
        <v>297.86175841295614</v>
      </c>
      <c r="O37" s="7">
        <f>(O36-N36)*10000</f>
        <v>131.41605202168893</v>
      </c>
      <c r="P37" s="7">
        <f t="shared" ref="P37:S37" si="39">(P36-O36)*10000</f>
        <v>-277.69205588945357</v>
      </c>
      <c r="Q37" s="7">
        <f t="shared" si="39"/>
        <v>40.144806503534802</v>
      </c>
      <c r="R37" s="7">
        <f t="shared" si="39"/>
        <v>-206.11979823903505</v>
      </c>
      <c r="S37" s="7">
        <f t="shared" si="39"/>
        <v>26.123879175483644</v>
      </c>
      <c r="U37" s="24" t="str">
        <f ca="1"/>
        <v>NTRA US EQUITY</v>
      </c>
      <c r="V37" s="24">
        <f ca="1"/>
        <v>46022</v>
      </c>
      <c r="W37" s="24" t="str">
        <f ca="1"/>
        <v>custom</v>
      </c>
      <c r="X37" s="24" t="str">
        <f ca="1"/>
        <v>revenue_per_test</v>
      </c>
      <c r="Y37" s="24" t="str">
        <f ca="1"/>
        <v>actual</v>
      </c>
      <c r="Z37" s="32" t="str">
        <f ca="1"/>
        <v>715.851017756605</v>
      </c>
      <c r="AA37" s="32" t="str">
        <f ca="1"/>
        <v>0.200070810104726</v>
      </c>
      <c r="AB37" s="32" t="str">
        <f ca="1"/>
        <v>251.985799537169</v>
      </c>
      <c r="AC37" s="32" t="str">
        <f ca="1"/>
        <v>-168.195680230308</v>
      </c>
      <c r="AD37" s="32" t="str">
        <f ca="1"/>
        <v>0.0838490698314323</v>
      </c>
    </row>
    <row r="38" spans="1:30" x14ac:dyDescent="0.4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-128.87503885988139</v>
      </c>
      <c r="M38" s="7">
        <f>(M36-I36)*10000</f>
        <v>-1097.9644934986177</v>
      </c>
      <c r="N38" s="7">
        <f>(N36-J36)*10000</f>
        <v>-874.53866028842197</v>
      </c>
      <c r="O38" s="7">
        <f>(O36-K36)*10000</f>
        <v>-998.52404892275536</v>
      </c>
      <c r="P38" s="7">
        <f t="shared" ref="P38:S38" si="40">(P36-L36)*10000</f>
        <v>-249.20791937295573</v>
      </c>
      <c r="Q38" s="7">
        <f t="shared" si="40"/>
        <v>191.73056104872632</v>
      </c>
      <c r="R38" s="7">
        <f t="shared" si="40"/>
        <v>-312.25099560326487</v>
      </c>
      <c r="S38" s="7">
        <f t="shared" si="40"/>
        <v>-417.54316844947016</v>
      </c>
      <c r="U38" s="24" t="str">
        <f ca="1"/>
        <v>NTRA US EQUITY</v>
      </c>
      <c r="V38" s="24">
        <f ca="1"/>
        <v>46112</v>
      </c>
      <c r="W38" s="24" t="str">
        <f ca="1"/>
        <v>custom</v>
      </c>
      <c r="X38" s="24" t="str">
        <f ca="1"/>
        <v>revenue_per_test</v>
      </c>
      <c r="Y38" s="24" t="str">
        <f ca="1"/>
        <v>forecast</v>
      </c>
      <c r="Z38" s="32" t="str">
        <f ca="1"/>
        <v>632.073469618667</v>
      </c>
      <c r="AA38" s="32" t="str">
        <f ca="1"/>
        <v>0.0808942233577623</v>
      </c>
      <c r="AB38" s="32" t="str">
        <f ca="1"/>
        <v>-1191.76586746963</v>
      </c>
      <c r="AC38" s="32" t="str">
        <f ca="1"/>
        <v>-989.963478393812</v>
      </c>
      <c r="AD38" s="32" t="str">
        <f ca="1"/>
        <v>-0.1170321003391</v>
      </c>
    </row>
    <row r="39" spans="1:30" x14ac:dyDescent="0.45">
      <c r="C39" s="4" t="s">
        <v>5</v>
      </c>
      <c r="D39" s="1"/>
      <c r="G39" s="7"/>
      <c r="L39" s="12">
        <f t="shared" ref="L39:S39" si="41">L35/K35-1</f>
        <v>7.8582240161453099E-2</v>
      </c>
      <c r="M39" s="12">
        <f t="shared" si="41"/>
        <v>-2.3389077300900452E-3</v>
      </c>
      <c r="N39" s="12">
        <f t="shared" si="41"/>
        <v>4.7473918649630686E-2</v>
      </c>
      <c r="O39" s="12">
        <f t="shared" si="41"/>
        <v>3.3572068039391167E-2</v>
      </c>
      <c r="P39" s="12">
        <f t="shared" si="41"/>
        <v>5.2872573964931613E-2</v>
      </c>
      <c r="Q39" s="12">
        <f t="shared" si="41"/>
        <v>1.1829318802791811E-3</v>
      </c>
      <c r="R39" s="12">
        <f t="shared" si="41"/>
        <v>2.8555288180140526E-2</v>
      </c>
      <c r="S39" s="12">
        <f t="shared" si="41"/>
        <v>3.5981533887101014E-2</v>
      </c>
      <c r="U39" s="24" t="str">
        <f ca="1"/>
        <v>NTRA US EQUITY</v>
      </c>
      <c r="V39" s="24">
        <f ca="1"/>
        <v>46203</v>
      </c>
      <c r="W39" s="24" t="str">
        <f ca="1"/>
        <v>custom</v>
      </c>
      <c r="X39" s="24" t="str">
        <f ca="1"/>
        <v>revenue_per_test</v>
      </c>
      <c r="Y39" s="24" t="str">
        <f ca="1"/>
        <v>forecast</v>
      </c>
      <c r="Z39" s="32" t="str">
        <f ca="1"/>
        <v>665.814713054162</v>
      </c>
      <c r="AA39" s="32" t="str">
        <f ca="1"/>
        <v>0.0433107316619221</v>
      </c>
      <c r="AB39" s="32" t="str">
        <f ca="1"/>
        <v>-375.834916958402</v>
      </c>
      <c r="AC39" s="32" t="str">
        <f ca="1"/>
        <v>-1361.90561747629</v>
      </c>
      <c r="AD39" s="32" t="str">
        <f ca="1"/>
        <v>0.0533818378041575</v>
      </c>
    </row>
    <row r="40" spans="1:30" x14ac:dyDescent="0.4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s="24" t="str">
        <f ca="1"/>
        <v>NTRA US EQUITY</v>
      </c>
      <c r="V40" s="24">
        <f ca="1"/>
        <v>46295</v>
      </c>
      <c r="W40" s="24" t="str">
        <f ca="1"/>
        <v>custom</v>
      </c>
      <c r="X40" s="24" t="str">
        <f ca="1"/>
        <v>revenue_per_test</v>
      </c>
      <c r="Y40" s="24" t="str">
        <f ca="1"/>
        <v>forecast</v>
      </c>
      <c r="Z40" s="32" t="str">
        <f ca="1"/>
        <v>673.563998645135</v>
      </c>
      <c r="AA40" s="32" t="str">
        <f ca="1"/>
        <v>0.019823532124515</v>
      </c>
      <c r="AB40" s="32" t="str">
        <f ca="1"/>
        <v>-234.871995374071</v>
      </c>
      <c r="AC40" s="32" t="str">
        <f ca="1"/>
        <v>-1550.48698026494</v>
      </c>
      <c r="AD40" s="32" t="str">
        <f ca="1"/>
        <v>0.0116388019655294</v>
      </c>
    </row>
    <row r="41" spans="1:30" x14ac:dyDescent="0.45">
      <c r="C41" s="13" t="s">
        <v>12</v>
      </c>
      <c r="D41" s="14">
        <f t="shared" ref="D41:L41" ca="1" si="42">EOMONTH(DATE(YEAR(D43),ROUNDUP(MONTH(D43)/3,0)*3,1),0)</f>
        <v>45016</v>
      </c>
      <c r="E41" s="14">
        <f t="shared" ca="1" si="42"/>
        <v>45107</v>
      </c>
      <c r="F41" s="14">
        <f t="shared" ca="1" si="42"/>
        <v>45199</v>
      </c>
      <c r="G41" s="14">
        <f t="shared" ca="1" si="42"/>
        <v>45291</v>
      </c>
      <c r="H41" s="14">
        <f t="shared" ca="1" si="42"/>
        <v>45382</v>
      </c>
      <c r="I41" s="14">
        <f t="shared" ca="1" si="42"/>
        <v>45473</v>
      </c>
      <c r="J41" s="14">
        <f t="shared" ca="1" si="42"/>
        <v>45565</v>
      </c>
      <c r="K41" s="14">
        <f t="shared" ca="1" si="42"/>
        <v>45657</v>
      </c>
      <c r="L41" s="14">
        <f t="shared" ca="1" si="42"/>
        <v>45747</v>
      </c>
      <c r="M41" s="14">
        <f ca="1">EOMONTH(DATE(YEAR(M43),ROUNDUP(MONTH(M43)/3,0)*3,1),0)</f>
        <v>45838</v>
      </c>
      <c r="N41" s="14">
        <f ca="1">EOMONTH(DATE(YEAR(N43),ROUNDUP(MONTH(N43)/3,0)*3,1),0)</f>
        <v>45930</v>
      </c>
      <c r="O41" s="14">
        <f ca="1">EOMONTH(DATE(YEAR(O43),ROUNDUP(MONTH(O43)/3,0)*3,1),0)</f>
        <v>46022</v>
      </c>
      <c r="P41" s="14">
        <f t="shared" ref="P41:S41" si="43">EOMONTH(DATE(YEAR(P43),ROUNDUP(MONTH(P43)/3,0)*3,1),0)</f>
        <v>46112</v>
      </c>
      <c r="Q41" s="14">
        <f t="shared" si="43"/>
        <v>46203</v>
      </c>
      <c r="R41" s="14">
        <f t="shared" si="43"/>
        <v>46295</v>
      </c>
      <c r="S41" s="14">
        <f t="shared" si="43"/>
        <v>46387</v>
      </c>
      <c r="U41" s="24" t="str">
        <f ca="1"/>
        <v>NTRA US EQUITY</v>
      </c>
      <c r="V41" s="24">
        <f ca="1"/>
        <v>46387</v>
      </c>
      <c r="W41" s="24" t="str">
        <f ca="1"/>
        <v>custom</v>
      </c>
      <c r="X41" s="24" t="str">
        <f ca="1"/>
        <v>revenue_per_test</v>
      </c>
      <c r="Y41" s="24" t="str">
        <f ca="1"/>
        <v>forecast</v>
      </c>
      <c r="Z41" s="32" t="str">
        <f ca="1"/>
        <v>685.115759882267</v>
      </c>
      <c r="AA41" s="32" t="str">
        <f ca="1"/>
        <v>-0.0429352716025446</v>
      </c>
      <c r="AB41" s="32" t="str">
        <f ca="1"/>
        <v>-627.588037270597</v>
      </c>
      <c r="AC41" s="32" t="str">
        <f ca="1"/>
        <v>-2430.0608170727</v>
      </c>
      <c r="AD41" s="32" t="str">
        <f ca="1"/>
        <v>0.0171502058607171</v>
      </c>
    </row>
    <row r="42" spans="1:30" x14ac:dyDescent="0.45">
      <c r="C42" s="13" t="s">
        <v>35</v>
      </c>
      <c r="D42" s="2" t="str">
        <f t="shared" ref="D42:S43" si="44">+D33</f>
        <v>actual</v>
      </c>
      <c r="E42" s="2" t="str">
        <f t="shared" si="44"/>
        <v>actual</v>
      </c>
      <c r="F42" s="2" t="str">
        <f t="shared" si="44"/>
        <v>actual</v>
      </c>
      <c r="G42" s="2" t="str">
        <f t="shared" si="44"/>
        <v>actual</v>
      </c>
      <c r="H42" s="2" t="str">
        <f t="shared" si="44"/>
        <v>actual</v>
      </c>
      <c r="I42" s="2" t="str">
        <f t="shared" si="44"/>
        <v>actual</v>
      </c>
      <c r="J42" s="2" t="str">
        <f t="shared" si="44"/>
        <v>actual</v>
      </c>
      <c r="K42" s="2" t="str">
        <f t="shared" si="44"/>
        <v>actual</v>
      </c>
      <c r="L42" s="2" t="str">
        <f t="shared" si="44"/>
        <v>actual</v>
      </c>
      <c r="M42" s="2" t="str">
        <f t="shared" si="44"/>
        <v>actual</v>
      </c>
      <c r="N42" s="2" t="str">
        <f t="shared" si="44"/>
        <v>actual</v>
      </c>
      <c r="O42" s="2" t="str">
        <f t="shared" si="44"/>
        <v>actual</v>
      </c>
      <c r="P42" s="2" t="str">
        <f t="shared" si="44"/>
        <v>forecast</v>
      </c>
      <c r="Q42" s="2" t="str">
        <f t="shared" si="44"/>
        <v>forecast</v>
      </c>
      <c r="R42" s="2" t="str">
        <f t="shared" si="44"/>
        <v>forecast</v>
      </c>
      <c r="S42" s="2" t="str">
        <f t="shared" si="44"/>
        <v>forecast</v>
      </c>
      <c r="U42" s="24" t="str" cm="1">
        <f t="array" aca="1" ref="U42:AD49" ca="1">_xlfn.LET(
  _xlpm.d, L50:S50,
  _xlpm.s, L51:S51,
  _xlpm.v, L53:S53,
  _xlpm.yy, L54:S54,
  _xlpm.qq, L55:S55,
  _xlpm.dyy, L56:S56,
  _xlpm.dqq, L57:S57,
  _xlpm.dd, TRANSPOSE(_xlpm.d),
  _xlpm.clean, _xlfn.LAMBDA(_xlpm.x, IF(_xlpm.x="","",_xlpm.x)),
_xlfn.HSTACK(
  _xlfn.MAKEARRAY(ROWS(_xlpm.dd),1, _xlfn.LAMBDA(_xlpm.r,_xlpm.c,$B$2)),
  _xlpm.dd,
  _xlfn.MAKEARRAY(ROWS(_xlpm.dd),1, _xlfn.LAMBDA(_xlpm.r,_xlpm.c,A53)),
  _xlfn.MAKEARRAY(ROWS(_xlpm.dd),1, _xlfn.LAMBDA(_xlpm.r,_xlpm.c,B53)),
  CLEAN(TRANSPOSE(_xlpm.s)),
  CLEAN(TRANSPOSE(_xlpm.v)),
  CLEAN(TRANSPOSE(_xlpm.yy)),
  CLEAN(TRANSPOSE(_xlpm.qq)),
  CLEAN(TRANSPOSE(_xlpm.dyy)),
  CLEAN(TRANSPOSE(_xlpm.dqq))
))</f>
        <v>NTRA US EQUITY</v>
      </c>
      <c r="V42" s="24">
        <f ca="1"/>
        <v>45747</v>
      </c>
      <c r="W42" s="24" t="str">
        <f ca="1"/>
        <v>custom</v>
      </c>
      <c r="X42" s="24" t="str">
        <f ca="1"/>
        <v>signatera_MRD_CLIA_volume</v>
      </c>
      <c r="Y42" s="24" t="str">
        <f ca="1"/>
        <v>actual</v>
      </c>
      <c r="Z42" s="32" t="str">
        <f ca="1"/>
        <v>161000</v>
      </c>
      <c r="AA42" s="32" t="str">
        <f ca="1"/>
        <v>0.518867924528302</v>
      </c>
      <c r="AB42" s="32" t="str">
        <f ca="1"/>
        <v>-745.386688782914</v>
      </c>
      <c r="AC42" s="32" t="str">
        <f ca="1"/>
        <v>-2188.36993504485</v>
      </c>
      <c r="AD42" s="32" t="str">
        <f ca="1"/>
        <v>0.110344827586207</v>
      </c>
    </row>
    <row r="43" spans="1:30" x14ac:dyDescent="0.45">
      <c r="D43" s="2">
        <f t="shared" ca="1" si="44"/>
        <v>45016</v>
      </c>
      <c r="E43" s="2">
        <f t="shared" ca="1" si="44"/>
        <v>45107</v>
      </c>
      <c r="F43" s="2">
        <f t="shared" ca="1" si="44"/>
        <v>45199</v>
      </c>
      <c r="G43" s="2">
        <f t="shared" ca="1" si="44"/>
        <v>45291</v>
      </c>
      <c r="H43" s="2">
        <f t="shared" ca="1" si="44"/>
        <v>45382</v>
      </c>
      <c r="I43" s="2">
        <f t="shared" ca="1" si="44"/>
        <v>45473</v>
      </c>
      <c r="J43" s="2">
        <f t="shared" ca="1" si="44"/>
        <v>45565</v>
      </c>
      <c r="K43" s="2">
        <f t="shared" ca="1" si="44"/>
        <v>45657</v>
      </c>
      <c r="L43" s="2">
        <f t="shared" ca="1" si="44"/>
        <v>45747</v>
      </c>
      <c r="M43" s="2">
        <f t="shared" ca="1" si="44"/>
        <v>45838</v>
      </c>
      <c r="N43" s="2">
        <f t="shared" ca="1" si="44"/>
        <v>45930</v>
      </c>
      <c r="O43" s="2">
        <f t="shared" ca="1" si="44"/>
        <v>46022</v>
      </c>
      <c r="P43" s="2">
        <f t="shared" si="44"/>
        <v>46112</v>
      </c>
      <c r="Q43" s="2">
        <f t="shared" si="44"/>
        <v>46203</v>
      </c>
      <c r="R43" s="2">
        <f t="shared" si="44"/>
        <v>46295</v>
      </c>
      <c r="S43" s="2">
        <f t="shared" si="44"/>
        <v>46387</v>
      </c>
      <c r="U43" s="24" t="str">
        <f ca="1"/>
        <v>NTRA US EQUITY</v>
      </c>
      <c r="V43" s="24">
        <f ca="1"/>
        <v>45838</v>
      </c>
      <c r="W43" s="24" t="str">
        <f ca="1"/>
        <v>custom</v>
      </c>
      <c r="X43" s="24" t="str">
        <f ca="1"/>
        <v>signatera_MRD_CLIA_volume</v>
      </c>
      <c r="Y43" s="24" t="str">
        <f ca="1"/>
        <v>actual</v>
      </c>
      <c r="Z43" s="32" t="str">
        <f ca="1"/>
        <v>181000</v>
      </c>
      <c r="AA43" s="32" t="str">
        <f ca="1"/>
        <v>0.533898305084746</v>
      </c>
      <c r="AB43" s="32" t="str">
        <f ca="1"/>
        <v>150.303805564438</v>
      </c>
      <c r="AC43" s="32" t="str">
        <f ca="1"/>
        <v>-1049.90583804143</v>
      </c>
      <c r="AD43" s="32" t="str">
        <f ca="1"/>
        <v>0.124223602484472</v>
      </c>
    </row>
    <row r="44" spans="1:30" x14ac:dyDescent="0.45">
      <c r="A44" s="16" t="s">
        <v>21</v>
      </c>
      <c r="B44" s="16" t="s">
        <v>32</v>
      </c>
      <c r="C44" s="2" t="s">
        <v>34</v>
      </c>
      <c r="D44" s="35">
        <v>379.74608751197695</v>
      </c>
      <c r="E44" s="35">
        <v>418.43162670123132</v>
      </c>
      <c r="F44" s="35">
        <v>423.67092651757196</v>
      </c>
      <c r="G44" s="35">
        <v>490.18985322271851</v>
      </c>
      <c r="H44" s="35">
        <v>495.61293829845073</v>
      </c>
      <c r="I44" s="35">
        <v>541.0548467710114</v>
      </c>
      <c r="J44" s="35">
        <v>562.16421758185095</v>
      </c>
      <c r="K44" s="35">
        <v>596.50731584258335</v>
      </c>
      <c r="L44" s="35">
        <v>584.76903286165361</v>
      </c>
      <c r="M44" s="35">
        <v>638.17489157191426</v>
      </c>
      <c r="N44" s="35">
        <v>660.47112802148615</v>
      </c>
      <c r="O44" s="35">
        <v>715.85101775660451</v>
      </c>
      <c r="P44" s="35">
        <v>632.07346961866688</v>
      </c>
      <c r="Q44" s="35">
        <v>665.81471305416164</v>
      </c>
      <c r="R44" s="35">
        <v>673.5639986451348</v>
      </c>
      <c r="S44" s="35">
        <v>685.11575988226673</v>
      </c>
      <c r="U44" s="24" t="str">
        <f ca="1"/>
        <v>NTRA US EQUITY</v>
      </c>
      <c r="V44" s="24">
        <f ca="1"/>
        <v>45930</v>
      </c>
      <c r="W44" s="24" t="str">
        <f ca="1"/>
        <v>custom</v>
      </c>
      <c r="X44" s="24" t="str">
        <f ca="1"/>
        <v>signatera_MRD_CLIA_volume</v>
      </c>
      <c r="Y44" s="24" t="str">
        <f ca="1"/>
        <v>actual</v>
      </c>
      <c r="Z44" s="32" t="str">
        <f ca="1"/>
        <v>202500</v>
      </c>
      <c r="AA44" s="32" t="str">
        <f ca="1"/>
        <v>0.557692307692308</v>
      </c>
      <c r="AB44" s="32" t="str">
        <f ca="1"/>
        <v>237.94002607562</v>
      </c>
      <c r="AC44" s="32" t="str">
        <f ca="1"/>
        <v>-472.459639126306</v>
      </c>
      <c r="AD44" s="32" t="str">
        <f ca="1"/>
        <v>0.11878453038674</v>
      </c>
    </row>
    <row r="45" spans="1:30" x14ac:dyDescent="0.45">
      <c r="C45" s="4" t="s">
        <v>4</v>
      </c>
      <c r="D45" s="5"/>
      <c r="E45" s="4"/>
      <c r="F45" s="4"/>
      <c r="G45" s="4"/>
      <c r="H45" s="12">
        <f t="shared" ref="H45:S45" si="45">+H44/D44-1</f>
        <v>0.30511664134740935</v>
      </c>
      <c r="I45" s="12">
        <f t="shared" si="45"/>
        <v>0.29305437793146449</v>
      </c>
      <c r="J45" s="12">
        <f t="shared" si="45"/>
        <v>0.32688882431146693</v>
      </c>
      <c r="K45" s="12">
        <f t="shared" si="45"/>
        <v>0.21689037812775647</v>
      </c>
      <c r="L45" s="12">
        <f t="shared" si="45"/>
        <v>0.17989057119714347</v>
      </c>
      <c r="M45" s="12">
        <f t="shared" si="45"/>
        <v>0.17950129340955079</v>
      </c>
      <c r="N45" s="12">
        <f t="shared" si="45"/>
        <v>0.17487223015100883</v>
      </c>
      <c r="O45" s="12">
        <f t="shared" si="45"/>
        <v>0.20007081010472572</v>
      </c>
      <c r="P45" s="12">
        <f t="shared" si="45"/>
        <v>8.0894223357762307E-2</v>
      </c>
      <c r="Q45" s="12">
        <f t="shared" si="45"/>
        <v>4.3310731661922119E-2</v>
      </c>
      <c r="R45" s="12">
        <f t="shared" si="45"/>
        <v>1.9823532124515042E-2</v>
      </c>
      <c r="S45" s="12">
        <f t="shared" si="45"/>
        <v>-4.2935271602544622E-2</v>
      </c>
      <c r="U45" s="24" t="str">
        <f ca="1"/>
        <v>NTRA US EQUITY</v>
      </c>
      <c r="V45" s="24">
        <f ca="1"/>
        <v>46022</v>
      </c>
      <c r="W45" s="24" t="str">
        <f ca="1"/>
        <v>custom</v>
      </c>
      <c r="X45" s="24" t="str">
        <f ca="1"/>
        <v>signatera_MRD_CLIA_volume</v>
      </c>
      <c r="Y45" s="24" t="str">
        <f ca="1"/>
        <v>actual</v>
      </c>
      <c r="Z45" s="32" t="str">
        <f ca="1"/>
        <v>225300</v>
      </c>
      <c r="AA45" s="32" t="str">
        <f ca="1"/>
        <v>0.553793103448276</v>
      </c>
      <c r="AB45" s="32" t="str">
        <f ca="1"/>
        <v>-38.9920424403178</v>
      </c>
      <c r="AC45" s="32" t="str">
        <f ca="1"/>
        <v>-396.134899583174</v>
      </c>
      <c r="AD45" s="32" t="str">
        <f ca="1"/>
        <v>0.112592592592593</v>
      </c>
    </row>
    <row r="46" spans="1:30" x14ac:dyDescent="0.45">
      <c r="C46" s="4" t="s">
        <v>19</v>
      </c>
      <c r="D46" s="1"/>
      <c r="L46" s="7">
        <f>(L45-K45)*10000</f>
        <v>-369.99806930612999</v>
      </c>
      <c r="M46" s="7">
        <f>(M45-L45)*10000</f>
        <v>-3.8927778759267895</v>
      </c>
      <c r="N46" s="7">
        <f>(N45-M45)*10000</f>
        <v>-46.290632585419544</v>
      </c>
      <c r="O46" s="7">
        <f>(O45-N45)*10000</f>
        <v>251.98579953716882</v>
      </c>
      <c r="P46" s="7">
        <f t="shared" ref="P46:S46" si="46">(P45-O45)*10000</f>
        <v>-1191.765867469634</v>
      </c>
      <c r="Q46" s="7">
        <f t="shared" si="46"/>
        <v>-375.83491695840189</v>
      </c>
      <c r="R46" s="7">
        <f t="shared" si="46"/>
        <v>-234.87199537407076</v>
      </c>
      <c r="S46" s="7">
        <f t="shared" si="46"/>
        <v>-627.5880372705966</v>
      </c>
      <c r="U46" s="24" t="str">
        <f ca="1"/>
        <v>NTRA US EQUITY</v>
      </c>
      <c r="V46" s="24">
        <f ca="1"/>
        <v>46112</v>
      </c>
      <c r="W46" s="24" t="str">
        <f ca="1"/>
        <v>custom</v>
      </c>
      <c r="X46" s="24" t="str">
        <f ca="1"/>
        <v>signatera_MRD_CLIA_volume</v>
      </c>
      <c r="Y46" s="24" t="str">
        <f ca="1"/>
        <v>forecast</v>
      </c>
      <c r="Z46" s="32" t="str">
        <f ca="1"/>
        <v>238778.820686931</v>
      </c>
      <c r="AA46" s="32" t="str">
        <f ca="1"/>
        <v>0.483098265136216</v>
      </c>
      <c r="AB46" s="32" t="str">
        <f ca="1"/>
        <v>-706.948383120596</v>
      </c>
      <c r="AC46" s="32" t="str">
        <f ca="1"/>
        <v>-357.696593920855</v>
      </c>
      <c r="AD46" s="32" t="str">
        <f ca="1"/>
        <v>0.0598261015842469</v>
      </c>
    </row>
    <row r="47" spans="1:30" x14ac:dyDescent="0.4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-1252.2607015026588</v>
      </c>
      <c r="M47" s="7">
        <f>(M45-I45)*10000</f>
        <v>-1135.5308452191371</v>
      </c>
      <c r="N47" s="7">
        <f>(N45-J45)*10000</f>
        <v>-1520.1659416045809</v>
      </c>
      <c r="O47" s="7">
        <f>(O45-K45)*10000</f>
        <v>-168.19568023030752</v>
      </c>
      <c r="P47" s="7">
        <f t="shared" ref="P47:S47" si="47">(P45-L45)*10000</f>
        <v>-989.96347839381156</v>
      </c>
      <c r="Q47" s="7">
        <f t="shared" si="47"/>
        <v>-1361.9056174762866</v>
      </c>
      <c r="R47" s="7">
        <f t="shared" si="47"/>
        <v>-1550.486980264938</v>
      </c>
      <c r="S47" s="7">
        <f t="shared" si="47"/>
        <v>-2430.0608170727032</v>
      </c>
      <c r="U47" s="24" t="str">
        <f ca="1"/>
        <v>NTRA US EQUITY</v>
      </c>
      <c r="V47" s="24">
        <f ca="1"/>
        <v>46203</v>
      </c>
      <c r="W47" s="24" t="str">
        <f ca="1"/>
        <v>custom</v>
      </c>
      <c r="X47" s="24" t="str">
        <f ca="1"/>
        <v>signatera_MRD_CLIA_volume</v>
      </c>
      <c r="Y47" s="24" t="str">
        <f ca="1"/>
        <v>forecast</v>
      </c>
      <c r="Z47" s="32" t="str">
        <f ca="1"/>
        <v>250675.075612359</v>
      </c>
      <c r="AA47" s="32" t="str">
        <f ca="1"/>
        <v>0.384945169129053</v>
      </c>
      <c r="AB47" s="32" t="str">
        <f ca="1"/>
        <v>-981.530960071635</v>
      </c>
      <c r="AC47" s="32" t="str">
        <f ca="1"/>
        <v>-1489.53135955693</v>
      </c>
      <c r="AD47" s="32" t="str">
        <f ca="1"/>
        <v>0.0498212315950133</v>
      </c>
    </row>
    <row r="48" spans="1:30" x14ac:dyDescent="0.45">
      <c r="C48" s="4" t="s">
        <v>5</v>
      </c>
      <c r="D48" s="1"/>
      <c r="G48" s="7"/>
      <c r="L48" s="12">
        <f t="shared" ref="L48:S48" si="48">L44/K44-1</f>
        <v>-1.9678355435337913E-2</v>
      </c>
      <c r="M48" s="12">
        <f t="shared" si="48"/>
        <v>9.1328123941363915E-2</v>
      </c>
      <c r="N48" s="12">
        <f t="shared" si="48"/>
        <v>3.4937501841623808E-2</v>
      </c>
      <c r="O48" s="12">
        <f t="shared" si="48"/>
        <v>8.3849069831432255E-2</v>
      </c>
      <c r="P48" s="12">
        <f t="shared" si="48"/>
        <v>-0.11703210033909972</v>
      </c>
      <c r="Q48" s="12">
        <f t="shared" si="48"/>
        <v>5.3381837804157506E-2</v>
      </c>
      <c r="R48" s="12">
        <f t="shared" si="48"/>
        <v>1.1638801965529355E-2</v>
      </c>
      <c r="S48" s="12">
        <f t="shared" si="48"/>
        <v>1.7150205860717138E-2</v>
      </c>
      <c r="U48" s="24" t="str">
        <f ca="1"/>
        <v>NTRA US EQUITY</v>
      </c>
      <c r="V48" s="24">
        <f ca="1"/>
        <v>46295</v>
      </c>
      <c r="W48" s="24" t="str">
        <f ca="1"/>
        <v>custom</v>
      </c>
      <c r="X48" s="24" t="str">
        <f ca="1"/>
        <v>signatera_MRD_CLIA_volume</v>
      </c>
      <c r="Y48" s="24" t="str">
        <f ca="1"/>
        <v>forecast</v>
      </c>
      <c r="Z48" s="32" t="str">
        <f ca="1"/>
        <v>266120.333956578</v>
      </c>
      <c r="AA48" s="32" t="str">
        <f ca="1"/>
        <v>0.314174488674458</v>
      </c>
      <c r="AB48" s="32" t="str">
        <f ca="1"/>
        <v>-707.706804545953</v>
      </c>
      <c r="AC48" s="32" t="str">
        <f ca="1"/>
        <v>-2435.1781901785</v>
      </c>
      <c r="AD48" s="32" t="str">
        <f ca="1"/>
        <v>0.0616146551725927</v>
      </c>
    </row>
    <row r="49" spans="1:30" x14ac:dyDescent="0.45">
      <c r="C49" s="4"/>
      <c r="D49" s="1"/>
      <c r="L49" s="7"/>
      <c r="M49" s="7"/>
      <c r="N49" s="7"/>
      <c r="O49" s="7"/>
      <c r="P49" s="7"/>
      <c r="Q49" s="7"/>
      <c r="R49" s="7"/>
      <c r="S49" s="7"/>
      <c r="U49" s="24" t="str">
        <f ca="1"/>
        <v>NTRA US EQUITY</v>
      </c>
      <c r="V49" s="24">
        <f ca="1"/>
        <v>46387</v>
      </c>
      <c r="W49" s="24" t="str">
        <f ca="1"/>
        <v>custom</v>
      </c>
      <c r="X49" s="24" t="str">
        <f ca="1"/>
        <v>signatera_MRD_CLIA_volume</v>
      </c>
      <c r="Y49" s="24" t="str">
        <f ca="1"/>
        <v>forecast</v>
      </c>
      <c r="Z49" s="32" t="str">
        <f ca="1"/>
        <v>284095.887235511</v>
      </c>
      <c r="AA49" s="32" t="str">
        <f ca="1"/>
        <v>0.260967098249048</v>
      </c>
      <c r="AB49" s="32" t="str">
        <f ca="1"/>
        <v>-532.073904254096</v>
      </c>
      <c r="AC49" s="32" t="str">
        <f ca="1"/>
        <v>-2928.26005199228</v>
      </c>
      <c r="AD49" s="32" t="str">
        <f ca="1"/>
        <v>0.0675467109622143</v>
      </c>
    </row>
    <row r="50" spans="1:30" x14ac:dyDescent="0.45">
      <c r="C50" s="13" t="s">
        <v>12</v>
      </c>
      <c r="D50" s="14">
        <f t="shared" ref="D50:L50" ca="1" si="49">EOMONTH(DATE(YEAR(D52),ROUNDUP(MONTH(D52)/3,0)*3,1),0)</f>
        <v>45016</v>
      </c>
      <c r="E50" s="14">
        <f t="shared" ca="1" si="49"/>
        <v>45107</v>
      </c>
      <c r="F50" s="14">
        <f t="shared" ca="1" si="49"/>
        <v>45199</v>
      </c>
      <c r="G50" s="14">
        <f t="shared" ca="1" si="49"/>
        <v>45291</v>
      </c>
      <c r="H50" s="14">
        <f t="shared" ca="1" si="49"/>
        <v>45382</v>
      </c>
      <c r="I50" s="14">
        <f t="shared" ca="1" si="49"/>
        <v>45473</v>
      </c>
      <c r="J50" s="14">
        <f t="shared" ca="1" si="49"/>
        <v>45565</v>
      </c>
      <c r="K50" s="14">
        <f t="shared" ca="1" si="49"/>
        <v>45657</v>
      </c>
      <c r="L50" s="14">
        <f t="shared" ca="1" si="49"/>
        <v>45747</v>
      </c>
      <c r="M50" s="14">
        <f ca="1">EOMONTH(DATE(YEAR(M52),ROUNDUP(MONTH(M52)/3,0)*3,1),0)</f>
        <v>45838</v>
      </c>
      <c r="N50" s="14">
        <f ca="1">EOMONTH(DATE(YEAR(N52),ROUNDUP(MONTH(N52)/3,0)*3,1),0)</f>
        <v>45930</v>
      </c>
      <c r="O50" s="14">
        <f ca="1">EOMONTH(DATE(YEAR(O52),ROUNDUP(MONTH(O52)/3,0)*3,1),0)</f>
        <v>46022</v>
      </c>
      <c r="P50" s="14">
        <f t="shared" ref="P50:S50" si="50">EOMONTH(DATE(YEAR(P52),ROUNDUP(MONTH(P52)/3,0)*3,1),0)</f>
        <v>46112</v>
      </c>
      <c r="Q50" s="14">
        <f t="shared" si="50"/>
        <v>46203</v>
      </c>
      <c r="R50" s="14">
        <f t="shared" si="50"/>
        <v>46295</v>
      </c>
      <c r="S50" s="14">
        <f t="shared" si="50"/>
        <v>46387</v>
      </c>
      <c r="U50" s="24" t="str" cm="1">
        <f t="array" aca="1" ref="U50:AD57" ca="1">_xlfn.LET(
  _xlpm.d, L59:S59,
  _xlpm.s, L60:S60,
  _xlpm.v, L62:S62,
  _xlpm.yy, L63:S63,
  _xlpm.qq, L64:S64,
  _xlpm.dyy, L65:S65,
  _xlpm.dqq, L66:S66,
  _xlpm.dd, TRANSPOSE(_xlpm.d),
  _xlpm.clean, _xlfn.LAMBDA(_xlpm.x, IF(_xlpm.x="","",_xlpm.x)),
_xlfn.HSTACK(
  _xlfn.MAKEARRAY(ROWS(_xlpm.dd),1, _xlfn.LAMBDA(_xlpm.r,_xlpm.c,$B$2)),
  _xlpm.dd,
  _xlfn.MAKEARRAY(ROWS(_xlpm.dd),1, _xlfn.LAMBDA(_xlpm.r,_xlpm.c,A62)),
  _xlfn.MAKEARRAY(ROWS(_xlpm.dd),1, _xlfn.LAMBDA(_xlpm.r,_xlpm.c,B62)),
  CLEAN(TRANSPOSE(_xlpm.s)),
  CLEAN(TRANSPOSE(_xlpm.v)),
  CLEAN(TRANSPOSE(_xlpm.yy)),
  CLEAN(TRANSPOSE(_xlpm.qq)),
  CLEAN(TRANSPOSE(_xlpm.dyy)),
  CLEAN(TRANSPOSE(_xlpm.dqq))
))</f>
        <v>NTRA US EQUITY</v>
      </c>
      <c r="V50" s="24">
        <f ca="1"/>
        <v>45747</v>
      </c>
      <c r="W50" s="24" t="str">
        <f ca="1"/>
        <v>custom</v>
      </c>
      <c r="X50" s="24" t="str">
        <f ca="1"/>
        <v>signatera_revenue_per_test</v>
      </c>
      <c r="Y50" s="24" t="str">
        <f ca="1"/>
        <v>actual</v>
      </c>
      <c r="Z50" s="32" t="str">
        <f ca="1"/>
        <v>1145</v>
      </c>
      <c r="AA50" s="32" t="str">
        <f ca="1"/>
        <v>0.111650485436893</v>
      </c>
      <c r="AB50" s="32" t="str">
        <f ca="1"/>
        <v>1333.89615871676</v>
      </c>
      <c r="AC50" s="32" t="str">
        <f ca="1"/>
        <v>-2616.8284789644</v>
      </c>
      <c r="AD50" s="32" t="str">
        <f ca="1"/>
        <v>0.0177777777777777</v>
      </c>
    </row>
    <row r="51" spans="1:30" x14ac:dyDescent="0.45">
      <c r="C51" s="13" t="s">
        <v>35</v>
      </c>
      <c r="D51" s="2" t="str">
        <f t="shared" ref="D51:S51" si="51">+D$6</f>
        <v>actual</v>
      </c>
      <c r="E51" s="2" t="str">
        <f t="shared" si="51"/>
        <v>actual</v>
      </c>
      <c r="F51" s="2" t="str">
        <f t="shared" si="51"/>
        <v>actual</v>
      </c>
      <c r="G51" s="2" t="str">
        <f t="shared" si="51"/>
        <v>actual</v>
      </c>
      <c r="H51" s="2" t="str">
        <f t="shared" si="51"/>
        <v>actual</v>
      </c>
      <c r="I51" s="2" t="str">
        <f t="shared" si="51"/>
        <v>actual</v>
      </c>
      <c r="J51" s="2" t="str">
        <f t="shared" si="51"/>
        <v>actual</v>
      </c>
      <c r="K51" s="2" t="str">
        <f t="shared" si="51"/>
        <v>actual</v>
      </c>
      <c r="L51" s="2" t="str">
        <f t="shared" si="51"/>
        <v>actual</v>
      </c>
      <c r="M51" s="2" t="str">
        <f t="shared" si="51"/>
        <v>actual</v>
      </c>
      <c r="N51" s="2" t="str">
        <f t="shared" si="51"/>
        <v>actual</v>
      </c>
      <c r="O51" s="2" t="str">
        <f t="shared" si="51"/>
        <v>actual</v>
      </c>
      <c r="P51" s="2" t="str">
        <f t="shared" si="51"/>
        <v>forecast</v>
      </c>
      <c r="Q51" s="2" t="str">
        <f t="shared" si="51"/>
        <v>forecast</v>
      </c>
      <c r="R51" s="2" t="str">
        <f t="shared" si="51"/>
        <v>forecast</v>
      </c>
      <c r="S51" s="2" t="str">
        <f t="shared" si="51"/>
        <v>forecast</v>
      </c>
      <c r="U51" s="24" t="str">
        <f ca="1"/>
        <v>NTRA US EQUITY</v>
      </c>
      <c r="V51" s="24">
        <f ca="1"/>
        <v>45838</v>
      </c>
      <c r="W51" s="24" t="str">
        <f ca="1"/>
        <v>custom</v>
      </c>
      <c r="X51" s="24" t="str">
        <f ca="1"/>
        <v>signatera_revenue_per_test</v>
      </c>
      <c r="Y51" s="24" t="str">
        <f ca="1"/>
        <v>actual</v>
      </c>
      <c r="Z51" s="32" t="str">
        <f ca="1"/>
        <v>1175</v>
      </c>
      <c r="AA51" s="32" t="str">
        <f ca="1"/>
        <v>0.0681818181818181</v>
      </c>
      <c r="AB51" s="32" t="str">
        <f ca="1"/>
        <v>-434.68667255075</v>
      </c>
      <c r="AC51" s="32" t="str">
        <f ca="1"/>
        <v>-1540.40404040404</v>
      </c>
      <c r="AD51" s="32" t="str">
        <f ca="1"/>
        <v>0.0262008733624455</v>
      </c>
    </row>
    <row r="52" spans="1:30" x14ac:dyDescent="0.45">
      <c r="D52" s="2">
        <f t="shared" ref="D52:S52" ca="1" si="52">+D$7</f>
        <v>45016</v>
      </c>
      <c r="E52" s="2">
        <f t="shared" ca="1" si="52"/>
        <v>45107</v>
      </c>
      <c r="F52" s="2">
        <f t="shared" ca="1" si="52"/>
        <v>45199</v>
      </c>
      <c r="G52" s="2">
        <f t="shared" ca="1" si="52"/>
        <v>45291</v>
      </c>
      <c r="H52" s="2">
        <f t="shared" ca="1" si="52"/>
        <v>45382</v>
      </c>
      <c r="I52" s="2">
        <f t="shared" ca="1" si="52"/>
        <v>45473</v>
      </c>
      <c r="J52" s="2">
        <f t="shared" ca="1" si="52"/>
        <v>45565</v>
      </c>
      <c r="K52" s="2">
        <f t="shared" ca="1" si="52"/>
        <v>45657</v>
      </c>
      <c r="L52" s="2">
        <f t="shared" ca="1" si="52"/>
        <v>45747</v>
      </c>
      <c r="M52" s="2">
        <f t="shared" ca="1" si="52"/>
        <v>45838</v>
      </c>
      <c r="N52" s="2">
        <f t="shared" ca="1" si="52"/>
        <v>45930</v>
      </c>
      <c r="O52" s="2">
        <f t="shared" ca="1" si="52"/>
        <v>46022</v>
      </c>
      <c r="P52" s="2">
        <f t="shared" si="52"/>
        <v>46112</v>
      </c>
      <c r="Q52" s="2">
        <f t="shared" si="52"/>
        <v>46203</v>
      </c>
      <c r="R52" s="2">
        <f t="shared" si="52"/>
        <v>46295</v>
      </c>
      <c r="S52" s="2">
        <f t="shared" si="52"/>
        <v>46387</v>
      </c>
      <c r="U52" s="24" t="str">
        <f ca="1"/>
        <v>NTRA US EQUITY</v>
      </c>
      <c r="V52" s="24">
        <f ca="1"/>
        <v>45930</v>
      </c>
      <c r="W52" s="24" t="str">
        <f ca="1"/>
        <v>custom</v>
      </c>
      <c r="X52" s="24" t="str">
        <f ca="1"/>
        <v>signatera_revenue_per_test</v>
      </c>
      <c r="Y52" s="24" t="str">
        <f ca="1"/>
        <v>actual</v>
      </c>
      <c r="Z52" s="32" t="str">
        <f ca="1"/>
        <v>1200</v>
      </c>
      <c r="AA52" s="32" t="str">
        <f ca="1"/>
        <v>0.0909090909090908</v>
      </c>
      <c r="AB52" s="32" t="str">
        <f ca="1"/>
        <v>227.272727272727</v>
      </c>
      <c r="AC52" s="32" t="str">
        <f ca="1"/>
        <v>-2032.08556149733</v>
      </c>
      <c r="AD52" s="32" t="str">
        <f ca="1"/>
        <v>0.0212765957446808</v>
      </c>
    </row>
    <row r="53" spans="1:30" x14ac:dyDescent="0.45">
      <c r="A53" s="16" t="s">
        <v>21</v>
      </c>
      <c r="B53" s="16" t="s">
        <v>59</v>
      </c>
      <c r="C53" s="2" t="s">
        <v>58</v>
      </c>
      <c r="D53" s="27">
        <v>61000</v>
      </c>
      <c r="E53" s="27">
        <v>72000</v>
      </c>
      <c r="F53" s="27">
        <v>81000</v>
      </c>
      <c r="G53" s="27">
        <v>91000</v>
      </c>
      <c r="H53" s="27">
        <v>106000</v>
      </c>
      <c r="I53" s="27">
        <v>118000</v>
      </c>
      <c r="J53" s="27">
        <v>130000</v>
      </c>
      <c r="K53" s="27">
        <v>145000</v>
      </c>
      <c r="L53" s="27">
        <v>161000</v>
      </c>
      <c r="M53" s="27">
        <v>181000</v>
      </c>
      <c r="N53" s="27">
        <v>202500</v>
      </c>
      <c r="O53" s="27">
        <v>225300</v>
      </c>
      <c r="P53" s="27">
        <v>238778.82068693085</v>
      </c>
      <c r="Q53" s="27">
        <v>250675.07561235857</v>
      </c>
      <c r="R53" s="27">
        <v>266120.33395657764</v>
      </c>
      <c r="S53" s="27">
        <v>284095.88723551051</v>
      </c>
      <c r="U53" s="24" t="str">
        <f ca="1"/>
        <v>NTRA US EQUITY</v>
      </c>
      <c r="V53" s="24">
        <f ca="1"/>
        <v>46022</v>
      </c>
      <c r="W53" s="24" t="str">
        <f ca="1"/>
        <v>custom</v>
      </c>
      <c r="X53" s="24" t="str">
        <f ca="1"/>
        <v>signatera_revenue_per_test</v>
      </c>
      <c r="Y53" s="24" t="str">
        <f ca="1"/>
        <v>actual</v>
      </c>
      <c r="Z53" s="32" t="str">
        <f ca="1"/>
        <v>1225</v>
      </c>
      <c r="AA53" s="32" t="str">
        <f ca="1"/>
        <v>0.0888888888888888</v>
      </c>
      <c r="AB53" s="32" t="str">
        <f ca="1"/>
        <v>-20.2020202020203</v>
      </c>
      <c r="AC53" s="32" t="str">
        <f ca="1"/>
        <v>1106.28019323671</v>
      </c>
      <c r="AD53" s="32" t="str">
        <f ca="1"/>
        <v>0.0208333333333333</v>
      </c>
    </row>
    <row r="54" spans="1:30" x14ac:dyDescent="0.45">
      <c r="C54" s="4" t="s">
        <v>4</v>
      </c>
      <c r="D54" s="5"/>
      <c r="E54" s="4"/>
      <c r="F54" s="4"/>
      <c r="G54" s="4"/>
      <c r="H54" s="12">
        <f t="shared" ref="H54" si="53">+H53/D53-1</f>
        <v>0.73770491803278682</v>
      </c>
      <c r="I54" s="12">
        <f t="shared" ref="I54" si="54">+I53/E53-1</f>
        <v>0.63888888888888884</v>
      </c>
      <c r="J54" s="12">
        <f t="shared" ref="J54" si="55">+J53/F53-1</f>
        <v>0.60493827160493829</v>
      </c>
      <c r="K54" s="12">
        <f t="shared" ref="K54" si="56">+K53/G53-1</f>
        <v>0.5934065934065933</v>
      </c>
      <c r="L54" s="12">
        <f t="shared" ref="L54" si="57">+L53/H53-1</f>
        <v>0.51886792452830188</v>
      </c>
      <c r="M54" s="12">
        <f t="shared" ref="M54" si="58">+M53/I53-1</f>
        <v>0.53389830508474567</v>
      </c>
      <c r="N54" s="12">
        <f t="shared" ref="N54" si="59">+N53/J53-1</f>
        <v>0.55769230769230771</v>
      </c>
      <c r="O54" s="12">
        <f t="shared" ref="O54" si="60">+O53/K53-1</f>
        <v>0.55379310344827593</v>
      </c>
      <c r="P54" s="12">
        <f t="shared" ref="P54" si="61">+P53/L53-1</f>
        <v>0.48309826513621634</v>
      </c>
      <c r="Q54" s="12">
        <f t="shared" ref="Q54" si="62">+Q53/M53-1</f>
        <v>0.38494516912905286</v>
      </c>
      <c r="R54" s="12">
        <f t="shared" ref="R54" si="63">+R53/N53-1</f>
        <v>0.31417448867445752</v>
      </c>
      <c r="S54" s="12">
        <f t="shared" ref="S54" si="64">+S53/O53-1</f>
        <v>0.26096709824904796</v>
      </c>
      <c r="U54" s="24" t="str">
        <f ca="1"/>
        <v>NTRA US EQUITY</v>
      </c>
      <c r="V54" s="24">
        <f ca="1"/>
        <v>46112</v>
      </c>
      <c r="W54" s="24" t="str">
        <f ca="1"/>
        <v>custom</v>
      </c>
      <c r="X54" s="24" t="str">
        <f ca="1"/>
        <v>signatera_revenue_per_test</v>
      </c>
      <c r="Y54" s="24" t="str">
        <f ca="1"/>
        <v>forecast</v>
      </c>
      <c r="Z54" s="32" t="str">
        <f ca="1"/>
        <v>1230</v>
      </c>
      <c r="AA54" s="32" t="str">
        <f ca="1"/>
        <v>0.0742358078602621</v>
      </c>
      <c r="AB54" s="32" t="str">
        <f ca="1"/>
        <v>-146.530810286267</v>
      </c>
      <c r="AC54" s="32" t="str">
        <f ca="1"/>
        <v>-374.146775766311</v>
      </c>
      <c r="AD54" s="32" t="str">
        <f ca="1"/>
        <v>0.00408163265306127</v>
      </c>
    </row>
    <row r="55" spans="1:30" x14ac:dyDescent="0.45">
      <c r="C55" s="4" t="s">
        <v>19</v>
      </c>
      <c r="D55" s="1"/>
      <c r="L55" s="7">
        <f>(L54-K54)*10000</f>
        <v>-745.38668878291412</v>
      </c>
      <c r="M55" s="7">
        <f>(M54-L54)*10000</f>
        <v>150.30380556443791</v>
      </c>
      <c r="N55" s="7">
        <f>(N54-M54)*10000</f>
        <v>237.94002607562038</v>
      </c>
      <c r="O55" s="7">
        <f>(O54-N54)*10000</f>
        <v>-38.992042440317846</v>
      </c>
      <c r="P55" s="7">
        <f t="shared" ref="P55" si="65">(P54-O54)*10000</f>
        <v>-706.94838312059585</v>
      </c>
      <c r="Q55" s="7">
        <f t="shared" ref="Q55" si="66">(Q54-P54)*10000</f>
        <v>-981.53096007163492</v>
      </c>
      <c r="R55" s="7">
        <f t="shared" ref="R55" si="67">(R54-Q54)*10000</f>
        <v>-707.70680454595333</v>
      </c>
      <c r="S55" s="7">
        <f t="shared" ref="S55" si="68">(S54-R54)*10000</f>
        <v>-532.07390425409562</v>
      </c>
      <c r="U55" s="24" t="str">
        <f ca="1"/>
        <v>NTRA US EQUITY</v>
      </c>
      <c r="V55" s="24">
        <f ca="1"/>
        <v>46203</v>
      </c>
      <c r="W55" s="24" t="str">
        <f ca="1"/>
        <v>custom</v>
      </c>
      <c r="X55" s="24" t="str">
        <f ca="1"/>
        <v>signatera_revenue_per_test</v>
      </c>
      <c r="Y55" s="24" t="str">
        <f ca="1"/>
        <v>forecast</v>
      </c>
      <c r="Z55" s="32" t="str">
        <f ca="1"/>
        <v>1240</v>
      </c>
      <c r="AA55" s="32" t="str">
        <f ca="1"/>
        <v>0.0553191489361702</v>
      </c>
      <c r="AB55" s="32" t="str">
        <f ca="1"/>
        <v>-189.166589240919</v>
      </c>
      <c r="AC55" s="32" t="str">
        <f ca="1"/>
        <v>-128.626692456479</v>
      </c>
      <c r="AD55" s="32" t="str">
        <f ca="1"/>
        <v>0.00813008130081294</v>
      </c>
    </row>
    <row r="56" spans="1:30" x14ac:dyDescent="0.45">
      <c r="C56" s="4" t="s">
        <v>23</v>
      </c>
      <c r="D56" s="1"/>
      <c r="E56" s="7"/>
      <c r="F56" s="7"/>
      <c r="G56" s="7"/>
      <c r="H56" s="6"/>
      <c r="I56" s="6"/>
      <c r="J56" s="6"/>
      <c r="K56" s="6"/>
      <c r="L56" s="7">
        <f>(L54-H54)*10000</f>
        <v>-2188.3699350448492</v>
      </c>
      <c r="M56" s="7">
        <f>(M54-I54)*10000</f>
        <v>-1049.9058380414317</v>
      </c>
      <c r="N56" s="7">
        <f>(N54-J54)*10000</f>
        <v>-472.45963912630583</v>
      </c>
      <c r="O56" s="7">
        <f>(O54-K54)*10000</f>
        <v>-396.13489958317371</v>
      </c>
      <c r="P56" s="7">
        <f t="shared" ref="P56" si="69">(P54-L54)*10000</f>
        <v>-357.69659392085538</v>
      </c>
      <c r="Q56" s="7">
        <f t="shared" ref="Q56" si="70">(Q54-M54)*10000</f>
        <v>-1489.5313595569282</v>
      </c>
      <c r="R56" s="7">
        <f t="shared" ref="R56" si="71">(R54-N54)*10000</f>
        <v>-2435.1781901785021</v>
      </c>
      <c r="S56" s="7">
        <f t="shared" ref="S56" si="72">(S54-O54)*10000</f>
        <v>-2928.2600519922798</v>
      </c>
      <c r="U56" s="24" t="str">
        <f ca="1"/>
        <v>NTRA US EQUITY</v>
      </c>
      <c r="V56" s="24">
        <f ca="1"/>
        <v>46295</v>
      </c>
      <c r="W56" s="24" t="str">
        <f ca="1"/>
        <v>custom</v>
      </c>
      <c r="X56" s="24" t="str">
        <f ca="1"/>
        <v>signatera_revenue_per_test</v>
      </c>
      <c r="Y56" s="24" t="str">
        <f ca="1"/>
        <v>forecast</v>
      </c>
      <c r="Z56" s="32" t="str">
        <f ca="1"/>
        <v>1250</v>
      </c>
      <c r="AA56" s="32" t="str">
        <f ca="1"/>
        <v>0.0416666666666667</v>
      </c>
      <c r="AB56" s="32" t="str">
        <f ca="1"/>
        <v>-136.524822695034</v>
      </c>
      <c r="AC56" s="32" t="str">
        <f ca="1"/>
        <v>-492.424242424241</v>
      </c>
      <c r="AD56" s="32" t="str">
        <f ca="1"/>
        <v>0.00806451612903225</v>
      </c>
    </row>
    <row r="57" spans="1:30" x14ac:dyDescent="0.45">
      <c r="C57" s="4" t="s">
        <v>5</v>
      </c>
      <c r="D57" s="1"/>
      <c r="G57" s="7"/>
      <c r="L57" s="12">
        <f t="shared" ref="L57" si="73">L53/K53-1</f>
        <v>0.1103448275862069</v>
      </c>
      <c r="M57" s="12">
        <f t="shared" ref="M57" si="74">M53/L53-1</f>
        <v>0.12422360248447206</v>
      </c>
      <c r="N57" s="12">
        <f t="shared" ref="N57" si="75">N53/M53-1</f>
        <v>0.11878453038674031</v>
      </c>
      <c r="O57" s="12">
        <f t="shared" ref="O57" si="76">O53/N53-1</f>
        <v>0.11259259259259258</v>
      </c>
      <c r="P57" s="12">
        <f t="shared" ref="P57" si="77">P53/O53-1</f>
        <v>5.9826101584246949E-2</v>
      </c>
      <c r="Q57" s="12">
        <f t="shared" ref="Q57" si="78">Q53/P53-1</f>
        <v>4.9821231595013282E-2</v>
      </c>
      <c r="R57" s="12">
        <f t="shared" ref="R57" si="79">R53/Q53-1</f>
        <v>6.1614655172592681E-2</v>
      </c>
      <c r="S57" s="12">
        <f t="shared" ref="S57" si="80">S53/R53-1</f>
        <v>6.7546710962214318E-2</v>
      </c>
      <c r="U57" s="24" t="str">
        <f ca="1"/>
        <v>NTRA US EQUITY</v>
      </c>
      <c r="V57" s="24">
        <f ca="1"/>
        <v>46387</v>
      </c>
      <c r="W57" s="24" t="str">
        <f ca="1"/>
        <v>custom</v>
      </c>
      <c r="X57" s="24" t="str">
        <f ca="1"/>
        <v>signatera_revenue_per_test</v>
      </c>
      <c r="Y57" s="24" t="str">
        <f ca="1"/>
        <v>forecast</v>
      </c>
      <c r="Z57" s="32" t="str">
        <f ca="1"/>
        <v>1260</v>
      </c>
      <c r="AA57" s="32" t="str">
        <f ca="1"/>
        <v>0.0285714285714285</v>
      </c>
      <c r="AB57" s="32" t="str">
        <f ca="1"/>
        <v>-130.952380952383</v>
      </c>
      <c r="AC57" s="32" t="str">
        <f ca="1"/>
        <v>-603.174603174603</v>
      </c>
      <c r="AD57" s="32" t="str">
        <f ca="1"/>
        <v>0.00800000000000001</v>
      </c>
    </row>
    <row r="58" spans="1:30" x14ac:dyDescent="0.45">
      <c r="C58" s="4"/>
      <c r="D58" s="1"/>
      <c r="K58" s="7"/>
      <c r="L58" s="7"/>
      <c r="M58" s="7"/>
      <c r="N58" s="7"/>
      <c r="O58" s="7"/>
      <c r="P58" s="7"/>
      <c r="Q58" s="7"/>
      <c r="R58" s="7"/>
      <c r="S58" s="7"/>
    </row>
    <row r="59" spans="1:30" x14ac:dyDescent="0.45">
      <c r="C59" s="13" t="s">
        <v>12</v>
      </c>
      <c r="D59" s="14">
        <f t="shared" ref="D59:L59" ca="1" si="81">EOMONTH(DATE(YEAR(D61),ROUNDUP(MONTH(D61)/3,0)*3,1),0)</f>
        <v>45016</v>
      </c>
      <c r="E59" s="14">
        <f t="shared" ca="1" si="81"/>
        <v>45107</v>
      </c>
      <c r="F59" s="14">
        <f t="shared" ca="1" si="81"/>
        <v>45199</v>
      </c>
      <c r="G59" s="14">
        <f t="shared" ca="1" si="81"/>
        <v>45291</v>
      </c>
      <c r="H59" s="14">
        <f t="shared" ca="1" si="81"/>
        <v>45382</v>
      </c>
      <c r="I59" s="14">
        <f t="shared" ca="1" si="81"/>
        <v>45473</v>
      </c>
      <c r="J59" s="14">
        <f t="shared" ca="1" si="81"/>
        <v>45565</v>
      </c>
      <c r="K59" s="14">
        <f t="shared" ca="1" si="81"/>
        <v>45657</v>
      </c>
      <c r="L59" s="14">
        <f t="shared" ca="1" si="81"/>
        <v>45747</v>
      </c>
      <c r="M59" s="14">
        <f ca="1">EOMONTH(DATE(YEAR(M61),ROUNDUP(MONTH(M61)/3,0)*3,1),0)</f>
        <v>45838</v>
      </c>
      <c r="N59" s="14">
        <f ca="1">EOMONTH(DATE(YEAR(N61),ROUNDUP(MONTH(N61)/3,0)*3,1),0)</f>
        <v>45930</v>
      </c>
      <c r="O59" s="14">
        <f ca="1">EOMONTH(DATE(YEAR(O61),ROUNDUP(MONTH(O61)/3,0)*3,1),0)</f>
        <v>46022</v>
      </c>
      <c r="P59" s="14">
        <f t="shared" ref="P59:S59" si="82">EOMONTH(DATE(YEAR(P61),ROUNDUP(MONTH(P61)/3,0)*3,1),0)</f>
        <v>46112</v>
      </c>
      <c r="Q59" s="14">
        <f t="shared" si="82"/>
        <v>46203</v>
      </c>
      <c r="R59" s="14">
        <f t="shared" si="82"/>
        <v>46295</v>
      </c>
      <c r="S59" s="14">
        <f t="shared" si="82"/>
        <v>46387</v>
      </c>
    </row>
    <row r="60" spans="1:30" x14ac:dyDescent="0.45">
      <c r="C60" s="13" t="s">
        <v>35</v>
      </c>
      <c r="D60" s="2" t="str">
        <f t="shared" ref="D60:S60" si="83">+D51</f>
        <v>actual</v>
      </c>
      <c r="E60" s="2" t="str">
        <f t="shared" si="83"/>
        <v>actual</v>
      </c>
      <c r="F60" s="2" t="str">
        <f t="shared" si="83"/>
        <v>actual</v>
      </c>
      <c r="G60" s="2" t="str">
        <f t="shared" si="83"/>
        <v>actual</v>
      </c>
      <c r="H60" s="2" t="str">
        <f t="shared" si="83"/>
        <v>actual</v>
      </c>
      <c r="I60" s="2" t="str">
        <f t="shared" si="83"/>
        <v>actual</v>
      </c>
      <c r="J60" s="2" t="str">
        <f t="shared" si="83"/>
        <v>actual</v>
      </c>
      <c r="K60" s="2" t="str">
        <f t="shared" si="83"/>
        <v>actual</v>
      </c>
      <c r="L60" s="2" t="str">
        <f t="shared" si="83"/>
        <v>actual</v>
      </c>
      <c r="M60" s="2" t="str">
        <f t="shared" si="83"/>
        <v>actual</v>
      </c>
      <c r="N60" s="2" t="str">
        <f t="shared" si="83"/>
        <v>actual</v>
      </c>
      <c r="O60" s="2" t="str">
        <f t="shared" si="83"/>
        <v>actual</v>
      </c>
      <c r="P60" s="2" t="str">
        <f t="shared" si="83"/>
        <v>forecast</v>
      </c>
      <c r="Q60" s="2" t="str">
        <f t="shared" si="83"/>
        <v>forecast</v>
      </c>
      <c r="R60" s="2" t="str">
        <f t="shared" si="83"/>
        <v>forecast</v>
      </c>
      <c r="S60" s="2" t="str">
        <f t="shared" si="83"/>
        <v>forecast</v>
      </c>
    </row>
    <row r="61" spans="1:30" x14ac:dyDescent="0.45">
      <c r="D61" s="2">
        <f t="shared" ref="D61:S61" ca="1" si="84">+D52</f>
        <v>45016</v>
      </c>
      <c r="E61" s="2">
        <f t="shared" ca="1" si="84"/>
        <v>45107</v>
      </c>
      <c r="F61" s="2">
        <f t="shared" ca="1" si="84"/>
        <v>45199</v>
      </c>
      <c r="G61" s="2">
        <f t="shared" ca="1" si="84"/>
        <v>45291</v>
      </c>
      <c r="H61" s="2">
        <f t="shared" ca="1" si="84"/>
        <v>45382</v>
      </c>
      <c r="I61" s="2">
        <f t="shared" ca="1" si="84"/>
        <v>45473</v>
      </c>
      <c r="J61" s="2">
        <f t="shared" ca="1" si="84"/>
        <v>45565</v>
      </c>
      <c r="K61" s="2">
        <f t="shared" ca="1" si="84"/>
        <v>45657</v>
      </c>
      <c r="L61" s="2">
        <f t="shared" ca="1" si="84"/>
        <v>45747</v>
      </c>
      <c r="M61" s="2">
        <f t="shared" ca="1" si="84"/>
        <v>45838</v>
      </c>
      <c r="N61" s="2">
        <f t="shared" ca="1" si="84"/>
        <v>45930</v>
      </c>
      <c r="O61" s="2">
        <f t="shared" ca="1" si="84"/>
        <v>46022</v>
      </c>
      <c r="P61" s="2">
        <f t="shared" si="84"/>
        <v>46112</v>
      </c>
      <c r="Q61" s="2">
        <f t="shared" si="84"/>
        <v>46203</v>
      </c>
      <c r="R61" s="2">
        <f t="shared" si="84"/>
        <v>46295</v>
      </c>
      <c r="S61" s="2">
        <f t="shared" si="84"/>
        <v>46387</v>
      </c>
    </row>
    <row r="62" spans="1:30" x14ac:dyDescent="0.45">
      <c r="A62" s="16" t="s">
        <v>21</v>
      </c>
      <c r="B62" s="16" t="s">
        <v>60</v>
      </c>
      <c r="C62" s="2" t="s">
        <v>61</v>
      </c>
      <c r="D62" s="35">
        <v>750</v>
      </c>
      <c r="E62" s="35">
        <v>900</v>
      </c>
      <c r="F62" s="35">
        <v>850</v>
      </c>
      <c r="G62" s="35">
        <v>1150</v>
      </c>
      <c r="H62" s="35">
        <v>1030</v>
      </c>
      <c r="I62" s="35">
        <v>1100</v>
      </c>
      <c r="J62" s="35">
        <v>1100</v>
      </c>
      <c r="K62" s="35">
        <v>1125</v>
      </c>
      <c r="L62" s="35">
        <v>1145</v>
      </c>
      <c r="M62" s="35">
        <v>1175</v>
      </c>
      <c r="N62" s="35">
        <v>1200</v>
      </c>
      <c r="O62" s="35">
        <v>1225</v>
      </c>
      <c r="P62" s="35">
        <v>1230</v>
      </c>
      <c r="Q62" s="35">
        <v>1240</v>
      </c>
      <c r="R62" s="35">
        <v>1250</v>
      </c>
      <c r="S62" s="35">
        <v>1260</v>
      </c>
    </row>
    <row r="63" spans="1:30" x14ac:dyDescent="0.45">
      <c r="C63" s="4" t="s">
        <v>4</v>
      </c>
      <c r="D63" s="5"/>
      <c r="E63" s="4"/>
      <c r="F63" s="4"/>
      <c r="G63" s="4"/>
      <c r="H63" s="12">
        <f t="shared" ref="H63" si="85">+H62/D62-1</f>
        <v>0.37333333333333329</v>
      </c>
      <c r="I63" s="12">
        <f t="shared" ref="I63" si="86">+I62/E62-1</f>
        <v>0.22222222222222232</v>
      </c>
      <c r="J63" s="12">
        <f t="shared" ref="J63" si="87">+J62/F62-1</f>
        <v>0.29411764705882359</v>
      </c>
      <c r="K63" s="12">
        <f t="shared" ref="K63" si="88">+K62/G62-1</f>
        <v>-2.1739130434782594E-2</v>
      </c>
      <c r="L63" s="12">
        <f t="shared" ref="L63" si="89">+L62/H62-1</f>
        <v>0.11165048543689315</v>
      </c>
      <c r="M63" s="12">
        <f t="shared" ref="M63" si="90">+M62/I62-1</f>
        <v>6.8181818181818121E-2</v>
      </c>
      <c r="N63" s="12">
        <f t="shared" ref="N63" si="91">+N62/J62-1</f>
        <v>9.0909090909090828E-2</v>
      </c>
      <c r="O63" s="12">
        <f t="shared" ref="O63" si="92">+O62/K62-1</f>
        <v>8.8888888888888795E-2</v>
      </c>
      <c r="P63" s="12">
        <f t="shared" ref="P63" si="93">+P62/L62-1</f>
        <v>7.4235807860262071E-2</v>
      </c>
      <c r="Q63" s="12">
        <f t="shared" ref="Q63" si="94">+Q62/M62-1</f>
        <v>5.5319148936170182E-2</v>
      </c>
      <c r="R63" s="12">
        <f t="shared" ref="R63" si="95">+R62/N62-1</f>
        <v>4.1666666666666741E-2</v>
      </c>
      <c r="S63" s="12">
        <f t="shared" ref="S63" si="96">+S62/O62-1</f>
        <v>2.857142857142847E-2</v>
      </c>
    </row>
    <row r="64" spans="1:30" x14ac:dyDescent="0.45">
      <c r="C64" s="4" t="s">
        <v>19</v>
      </c>
      <c r="D64" s="1"/>
      <c r="L64" s="7">
        <f>(L63-K63)*10000</f>
        <v>1333.8961587167576</v>
      </c>
      <c r="M64" s="7">
        <f>(M63-L63)*10000</f>
        <v>-434.68667255075036</v>
      </c>
      <c r="N64" s="7">
        <f>(N63-M63)*10000</f>
        <v>227.27272727272708</v>
      </c>
      <c r="O64" s="7">
        <f>(O63-N63)*10000</f>
        <v>-20.202020202020332</v>
      </c>
      <c r="P64" s="7">
        <f t="shared" ref="P64" si="97">(P63-O63)*10000</f>
        <v>-146.53081028626724</v>
      </c>
      <c r="Q64" s="7">
        <f t="shared" ref="Q64" si="98">(Q63-P63)*10000</f>
        <v>-189.16658924091888</v>
      </c>
      <c r="R64" s="7">
        <f t="shared" ref="R64" si="99">(R63-Q63)*10000</f>
        <v>-136.5248226950344</v>
      </c>
      <c r="S64" s="7">
        <f t="shared" ref="S64" si="100">(S63-R63)*10000</f>
        <v>-130.9523809523827</v>
      </c>
    </row>
    <row r="65" spans="1:19" x14ac:dyDescent="0.45">
      <c r="C65" s="4" t="s">
        <v>23</v>
      </c>
      <c r="D65" s="1"/>
      <c r="E65" s="7"/>
      <c r="F65" s="7"/>
      <c r="G65" s="7"/>
      <c r="H65" s="6"/>
      <c r="I65" s="6"/>
      <c r="J65" s="6"/>
      <c r="K65" s="6"/>
      <c r="L65" s="7">
        <f>(L63-H63)*10000</f>
        <v>-2616.8284789644013</v>
      </c>
      <c r="M65" s="7">
        <f>(M63-I63)*10000</f>
        <v>-1540.404040404042</v>
      </c>
      <c r="N65" s="7">
        <f>(N63-J63)*10000</f>
        <v>-2032.0855614973277</v>
      </c>
      <c r="O65" s="7">
        <f>(O63-K63)*10000</f>
        <v>1106.2801932367138</v>
      </c>
      <c r="P65" s="7">
        <f t="shared" ref="P65" si="101">(P63-L63)*10000</f>
        <v>-374.14677576631084</v>
      </c>
      <c r="Q65" s="7">
        <f t="shared" ref="Q65" si="102">(Q63-M63)*10000</f>
        <v>-128.62669245647939</v>
      </c>
      <c r="R65" s="7">
        <f t="shared" ref="R65" si="103">(R63-N63)*10000</f>
        <v>-492.4242424242409</v>
      </c>
      <c r="S65" s="7">
        <f t="shared" ref="S65" si="104">(S63-O63)*10000</f>
        <v>-603.17460317460325</v>
      </c>
    </row>
    <row r="66" spans="1:19" x14ac:dyDescent="0.45">
      <c r="C66" s="4" t="s">
        <v>5</v>
      </c>
      <c r="D66" s="1"/>
      <c r="G66" s="7"/>
      <c r="L66" s="12">
        <f t="shared" ref="L66" si="105">L62/K62-1</f>
        <v>1.777777777777767E-2</v>
      </c>
      <c r="M66" s="12">
        <f t="shared" ref="M66" si="106">M62/L62-1</f>
        <v>2.6200873362445476E-2</v>
      </c>
      <c r="N66" s="12">
        <f t="shared" ref="N66" si="107">N62/M62-1</f>
        <v>2.1276595744680771E-2</v>
      </c>
      <c r="O66" s="12">
        <f t="shared" ref="O66" si="108">O62/N62-1</f>
        <v>2.0833333333333259E-2</v>
      </c>
      <c r="P66" s="12">
        <f t="shared" ref="P66" si="109">P62/O62-1</f>
        <v>4.0816326530612734E-3</v>
      </c>
      <c r="Q66" s="12">
        <f t="shared" ref="Q66" si="110">Q62/P62-1</f>
        <v>8.1300813008129413E-3</v>
      </c>
      <c r="R66" s="12">
        <f t="shared" ref="R66" si="111">R62/Q62-1</f>
        <v>8.0645161290322509E-3</v>
      </c>
      <c r="S66" s="12">
        <f t="shared" ref="S66" si="112">S62/R62-1</f>
        <v>8.0000000000000071E-3</v>
      </c>
    </row>
    <row r="67" spans="1:19" x14ac:dyDescent="0.4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4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4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45">
      <c r="C70" s="4"/>
      <c r="D70" s="1"/>
      <c r="K70" s="34"/>
      <c r="L70" s="34"/>
      <c r="M70" s="34"/>
      <c r="N70" s="34"/>
      <c r="O70" s="34"/>
      <c r="P70" s="7"/>
      <c r="Q70" s="7"/>
      <c r="R70" s="7"/>
      <c r="S70" s="7"/>
    </row>
    <row r="71" spans="1:19" x14ac:dyDescent="0.4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4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204E-1940-4E81-BED2-54100AE710FD}">
  <dimension ref="A1:AD85"/>
  <sheetViews>
    <sheetView topLeftCell="A33" zoomScale="85" zoomScaleNormal="85" workbookViewId="0">
      <selection activeCell="U73" sqref="U73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265625" bestFit="1" customWidth="1"/>
    <col min="5" max="6" width="9.59765625" bestFit="1" customWidth="1"/>
    <col min="7" max="10" width="10.3984375" customWidth="1"/>
    <col min="11" max="11" width="10.59765625" bestFit="1" customWidth="1"/>
    <col min="12" max="13" width="9.59765625" bestFit="1" customWidth="1"/>
    <col min="14" max="14" width="11.3984375" bestFit="1" customWidth="1"/>
    <col min="15" max="15" width="10.59765625" bestFit="1" customWidth="1"/>
    <col min="16" max="19" width="10.3984375" customWidth="1"/>
    <col min="20" max="20" width="9" customWidth="1"/>
    <col min="21" max="21" width="12.3984375" bestFit="1" customWidth="1"/>
    <col min="22" max="22" width="14.3984375" bestFit="1" customWidth="1"/>
    <col min="23" max="23" width="8.59765625" bestFit="1" customWidth="1"/>
    <col min="24" max="24" width="20.265625" bestFit="1" customWidth="1"/>
    <col min="25" max="25" width="7.3984375" bestFit="1" customWidth="1"/>
    <col min="26" max="26" width="10.73046875" bestFit="1" customWidth="1"/>
    <col min="27" max="27" width="9.1328125" bestFit="1" customWidth="1"/>
    <col min="28" max="28" width="10.3984375" bestFit="1" customWidth="1"/>
    <col min="29" max="29" width="9.1328125" bestFit="1" customWidth="1"/>
  </cols>
  <sheetData>
    <row r="1" spans="1:30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U1" s="23" t="s">
        <v>13</v>
      </c>
      <c r="V1" s="23" t="s">
        <v>11</v>
      </c>
      <c r="W1" s="23" t="s">
        <v>18</v>
      </c>
      <c r="X1" s="23" t="s">
        <v>17</v>
      </c>
      <c r="Y1" s="23" t="s">
        <v>38</v>
      </c>
      <c r="Z1" s="23" t="s">
        <v>10</v>
      </c>
      <c r="AA1" s="23" t="s">
        <v>16</v>
      </c>
      <c r="AB1" s="23" t="s">
        <v>20</v>
      </c>
      <c r="AC1" s="23" t="s">
        <v>24</v>
      </c>
      <c r="AD1" s="23" t="s">
        <v>25</v>
      </c>
    </row>
    <row r="2" spans="1:30" x14ac:dyDescent="0.45">
      <c r="A2" s="17" t="s">
        <v>1</v>
      </c>
      <c r="B2" s="25" t="s">
        <v>44</v>
      </c>
      <c r="U2" s="24" t="str" cm="1">
        <f t="array" aca="1" ref="U2:AD9" ca="1">_xlfn.LET(
  _xlpm.d, L5:S5,
  _xlpm.s, L6:S6,
  _xlpm.v, L8:S8,
  _xlpm.yy, L9:S9,
  _xlpm.qq, L10:S10,
  _xlpm.dyy, L11:S11,
  _xlpm.dqq, L12:S12,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CLEAN(TRANSPOSE(_xlpm.s)),
  CLEAN(TRANSPOSE(_xlpm.v)),
  CLEAN(TRANSPOSE(_xlpm.yy)),
  CLEAN(TRANSPOSE(_xlpm.qq)),
  CLEAN(TRANSPOSE(_xlpm.dyy)),
  CLEAN(TRANSPOSE(_xlpm.dqq))
))</f>
        <v>GH US EQUITY</v>
      </c>
      <c r="V2" s="24">
        <f ca="1"/>
        <v>45747</v>
      </c>
      <c r="W2" s="24" t="str">
        <f ca="1"/>
        <v>canonical</v>
      </c>
      <c r="X2" s="24" t="str">
        <f ca="1"/>
        <v>revenue</v>
      </c>
      <c r="Y2" s="24" t="str">
        <f ca="1"/>
        <v>actual</v>
      </c>
      <c r="Z2" s="32" t="str">
        <f ca="1"/>
        <v>203.471</v>
      </c>
      <c r="AA2" s="32" t="str">
        <f ca="1"/>
        <v>0.207607527998528</v>
      </c>
      <c r="AB2" s="32" t="str">
        <f ca="1"/>
        <v>-939.648274389324</v>
      </c>
      <c r="AC2" s="32" t="str">
        <f ca="1"/>
        <v>-1014.26454318858</v>
      </c>
      <c r="AD2" s="32" t="str">
        <f ca="1"/>
        <v>0.00821053048846965</v>
      </c>
    </row>
    <row r="3" spans="1:30" x14ac:dyDescent="0.45">
      <c r="A3" s="18" t="s">
        <v>3</v>
      </c>
      <c r="B3" s="19">
        <f ca="1">+B4-365*3</f>
        <v>45016</v>
      </c>
      <c r="U3" s="24" t="str">
        <f ca="1"/>
        <v>GH US EQUITY</v>
      </c>
      <c r="V3" s="24">
        <f ca="1"/>
        <v>45838</v>
      </c>
      <c r="W3" s="24" t="str">
        <f ca="1"/>
        <v>canonical</v>
      </c>
      <c r="X3" s="24" t="str">
        <f ca="1"/>
        <v>revenue</v>
      </c>
      <c r="Y3" s="24" t="str">
        <f ca="1"/>
        <v>actual</v>
      </c>
      <c r="Z3" s="32" t="str">
        <f ca="1"/>
        <v>232.088</v>
      </c>
      <c r="AA3" s="32" t="str">
        <f ca="1"/>
        <v>0.309493045955934</v>
      </c>
      <c r="AB3" s="32" t="str">
        <f ca="1"/>
        <v>1018.85517957406</v>
      </c>
      <c r="AC3" s="32" t="str">
        <f ca="1"/>
        <v>172.218100828023</v>
      </c>
      <c r="AD3" s="32" t="str">
        <f ca="1"/>
        <v>0.140644121275268</v>
      </c>
    </row>
    <row r="4" spans="1:30" x14ac:dyDescent="0.45">
      <c r="A4" s="20" t="s">
        <v>2</v>
      </c>
      <c r="B4" s="21">
        <f ca="1">TODAY()</f>
        <v>46111</v>
      </c>
      <c r="U4" s="24" t="str">
        <f ca="1"/>
        <v>GH US EQUITY</v>
      </c>
      <c r="V4" s="24">
        <f ca="1"/>
        <v>45930</v>
      </c>
      <c r="W4" s="24" t="str">
        <f ca="1"/>
        <v>canonical</v>
      </c>
      <c r="X4" s="24" t="str">
        <f ca="1"/>
        <v>revenue</v>
      </c>
      <c r="Y4" s="24" t="str">
        <f ca="1"/>
        <v>actual</v>
      </c>
      <c r="Z4" s="32" t="str">
        <f ca="1"/>
        <v>265.196</v>
      </c>
      <c r="AA4" s="32" t="str">
        <f ca="1"/>
        <v>0.385009087300759</v>
      </c>
      <c r="AB4" s="32" t="str">
        <f ca="1"/>
        <v>755.160413448246</v>
      </c>
      <c r="AC4" s="32" t="str">
        <f ca="1"/>
        <v>462.969290122877</v>
      </c>
      <c r="AD4" s="32" t="str">
        <f ca="1"/>
        <v>0.142652786873944</v>
      </c>
    </row>
    <row r="5" spans="1:30" x14ac:dyDescent="0.45">
      <c r="C5" s="13" t="s">
        <v>12</v>
      </c>
      <c r="D5" s="14">
        <f ca="1">EOMONTH(DATE(YEAR(D7),ROUNDUP(MONTH(D7)/3,0)*3,1),0)</f>
        <v>45016</v>
      </c>
      <c r="E5" s="14">
        <f ca="1">EOMONTH(DATE(YEAR(E7),ROUNDUP(MONTH(E7)/3,0)*3,1),0)</f>
        <v>45107</v>
      </c>
      <c r="F5" s="14">
        <f ca="1">EOMONTH(DATE(YEAR(F7),ROUNDUP(MONTH(F7)/3,0)*3,1),0)</f>
        <v>45199</v>
      </c>
      <c r="G5" s="14">
        <f t="shared" ref="G5:K5" ca="1" si="0">EOMONTH(DATE(YEAR(G7),ROUNDUP(MONTH(G7)/3,0)*3,1),0)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EOMONTH(DATE(YEAR(L7),ROUNDUP(MONTH(L7)/3,0)*3,1),0)</f>
        <v>45747</v>
      </c>
      <c r="M5" s="14">
        <f ca="1">EOMONTH(DATE(YEAR(M7),ROUNDUP(MONTH(M7)/3,0)*3,1),0)</f>
        <v>45838</v>
      </c>
      <c r="N5" s="14">
        <f ca="1">EOMONTH(DATE(YEAR(N7),ROUNDUP(MONTH(N7)/3,0)*3,1),0)</f>
        <v>45930</v>
      </c>
      <c r="O5" s="14">
        <f ca="1">EOMONTH(DATE(YEAR(O7),ROUNDUP(MONTH(O7)/3,0)*3,1),0)</f>
        <v>46022</v>
      </c>
      <c r="P5" s="14">
        <f t="shared" ref="P5:S5" si="1">EOMONTH(DATE(YEAR(P7),ROUNDUP(MONTH(P7)/3,0)*3,1),0)</f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U5" s="24" t="str">
        <f ca="1"/>
        <v>GH US EQUITY</v>
      </c>
      <c r="V5" s="24">
        <f ca="1"/>
        <v>46022</v>
      </c>
      <c r="W5" s="24" t="str">
        <f ca="1"/>
        <v>canonical</v>
      </c>
      <c r="X5" s="24" t="str">
        <f ca="1"/>
        <v>revenue</v>
      </c>
      <c r="Y5" s="24" t="str">
        <f ca="1"/>
        <v>actual</v>
      </c>
      <c r="Z5" s="32" t="str">
        <f ca="1"/>
        <v>281.266</v>
      </c>
      <c r="AA5" s="32" t="str">
        <f ca="1"/>
        <v>0.393689238605845</v>
      </c>
      <c r="AB5" s="32" t="str">
        <f ca="1"/>
        <v>86.8015130508648</v>
      </c>
      <c r="AC5" s="32" t="str">
        <f ca="1"/>
        <v>921.168831683845</v>
      </c>
      <c r="AD5" s="32" t="str">
        <f ca="1"/>
        <v>0.0605966907494833</v>
      </c>
    </row>
    <row r="6" spans="1:30" x14ac:dyDescent="0.45">
      <c r="C6" s="13" t="s">
        <v>35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37</v>
      </c>
      <c r="R6" s="2" t="s">
        <v>37</v>
      </c>
      <c r="S6" s="2" t="s">
        <v>37</v>
      </c>
      <c r="T6" s="1"/>
      <c r="U6" s="24" t="str">
        <f ca="1"/>
        <v>GH US EQUITY</v>
      </c>
      <c r="V6" s="24">
        <f ca="1"/>
        <v>46112</v>
      </c>
      <c r="W6" s="24" t="str">
        <f ca="1"/>
        <v>canonical</v>
      </c>
      <c r="X6" s="24" t="str">
        <f ca="1"/>
        <v>revenue</v>
      </c>
      <c r="Y6" s="24" t="str">
        <f ca="1"/>
        <v>forecast</v>
      </c>
      <c r="Z6" s="32" t="str">
        <f ca="1"/>
        <v>130.264665</v>
      </c>
      <c r="AA6" s="32" t="str">
        <f ca="1"/>
        <v>-0.359787561863853</v>
      </c>
      <c r="AB6" s="32" t="str">
        <f ca="1"/>
        <v>-7534.76800469698</v>
      </c>
      <c r="AC6" s="32" t="str">
        <f ca="1"/>
        <v>-5673.95089862381</v>
      </c>
      <c r="AD6" s="32" t="str">
        <f ca="1"/>
        <v>-0.536863094010652</v>
      </c>
    </row>
    <row r="7" spans="1:30" x14ac:dyDescent="0.45">
      <c r="D7" s="15" cm="1">
        <f t="array" aca="1" ref="D7:O8" ca="1">+_xll.BDH($B$2,C8,$B$3,$B$4,"DIR=H")</f>
        <v>45016</v>
      </c>
      <c r="E7" s="1">
        <f ca="1"/>
        <v>45107</v>
      </c>
      <c r="F7" s="1">
        <f ca="1"/>
        <v>45199</v>
      </c>
      <c r="G7" s="1">
        <f ca="1"/>
        <v>45291</v>
      </c>
      <c r="H7" s="1">
        <f ca="1"/>
        <v>45382</v>
      </c>
      <c r="I7" s="1">
        <f ca="1"/>
        <v>45473</v>
      </c>
      <c r="J7" s="1">
        <f ca="1"/>
        <v>45565</v>
      </c>
      <c r="K7" s="1">
        <f ca="1"/>
        <v>45657</v>
      </c>
      <c r="L7" s="1">
        <f ca="1"/>
        <v>45747</v>
      </c>
      <c r="M7" s="1">
        <f ca="1"/>
        <v>45838</v>
      </c>
      <c r="N7" s="1">
        <f ca="1"/>
        <v>45930</v>
      </c>
      <c r="O7" s="1">
        <f ca="1"/>
        <v>46022</v>
      </c>
      <c r="P7" s="2">
        <v>46112</v>
      </c>
      <c r="Q7" s="2">
        <v>46203</v>
      </c>
      <c r="R7" s="2">
        <v>46295</v>
      </c>
      <c r="S7" s="2">
        <v>46387</v>
      </c>
      <c r="T7" s="1"/>
      <c r="U7" s="24" t="str">
        <f ca="1"/>
        <v>GH US EQUITY</v>
      </c>
      <c r="V7" s="24">
        <f ca="1"/>
        <v>46203</v>
      </c>
      <c r="W7" s="24" t="str">
        <f ca="1"/>
        <v>canonical</v>
      </c>
      <c r="X7" s="24" t="str">
        <f ca="1"/>
        <v>revenue</v>
      </c>
      <c r="Y7" s="24" t="str">
        <f ca="1"/>
        <v>forecast</v>
      </c>
      <c r="Z7" s="32" t="str">
        <f ca="1"/>
        <v>147.2242855</v>
      </c>
      <c r="AA7" s="32" t="str">
        <f ca="1"/>
        <v>-0.365653176812244</v>
      </c>
      <c r="AB7" s="32" t="str">
        <f ca="1"/>
        <v>-58.6561494839077</v>
      </c>
      <c r="AC7" s="32" t="str">
        <f ca="1"/>
        <v>-6751.46222768178</v>
      </c>
      <c r="AD7" s="32" t="str">
        <f ca="1"/>
        <v>0.130193560164608</v>
      </c>
    </row>
    <row r="8" spans="1:30" x14ac:dyDescent="0.45">
      <c r="A8" s="16" t="s">
        <v>9</v>
      </c>
      <c r="B8" s="16" t="s">
        <v>8</v>
      </c>
      <c r="C8" s="9" t="s">
        <v>0</v>
      </c>
      <c r="D8" s="11">
        <f ca="1"/>
        <v>128.714</v>
      </c>
      <c r="E8" s="11">
        <f ca="1"/>
        <v>137.15</v>
      </c>
      <c r="F8" s="11">
        <f ca="1"/>
        <v>143.03</v>
      </c>
      <c r="G8" s="11">
        <f ca="1"/>
        <v>155.054</v>
      </c>
      <c r="H8" s="11">
        <f ca="1"/>
        <v>168.49100000000001</v>
      </c>
      <c r="I8" s="11">
        <f ca="1"/>
        <v>177.23500000000001</v>
      </c>
      <c r="J8" s="11">
        <f ca="1"/>
        <v>191.476</v>
      </c>
      <c r="K8" s="11">
        <f ca="1"/>
        <v>201.81399999999999</v>
      </c>
      <c r="L8" s="11">
        <f ca="1"/>
        <v>203.471</v>
      </c>
      <c r="M8" s="11">
        <f ca="1"/>
        <v>232.08799999999999</v>
      </c>
      <c r="N8" s="11">
        <f ca="1"/>
        <v>265.19600000000003</v>
      </c>
      <c r="O8" s="11">
        <f ca="1"/>
        <v>281.26600000000002</v>
      </c>
      <c r="P8" s="28">
        <v>130.26466500000001</v>
      </c>
      <c r="Q8" s="28">
        <v>147.22428550000001</v>
      </c>
      <c r="R8" s="28">
        <v>146.12502600000002</v>
      </c>
      <c r="S8" s="28">
        <v>153.36364349999999</v>
      </c>
      <c r="T8" s="3"/>
      <c r="U8" s="24" t="str">
        <f ca="1"/>
        <v>GH US EQUITY</v>
      </c>
      <c r="V8" s="24">
        <f ca="1"/>
        <v>46295</v>
      </c>
      <c r="W8" s="24" t="str">
        <f ca="1"/>
        <v>canonical</v>
      </c>
      <c r="X8" s="24" t="str">
        <f ca="1"/>
        <v>revenue</v>
      </c>
      <c r="Y8" s="24" t="str">
        <f ca="1"/>
        <v>forecast</v>
      </c>
      <c r="Z8" s="32" t="str">
        <f ca="1"/>
        <v>146.125026</v>
      </c>
      <c r="AA8" s="32" t="str">
        <f ca="1"/>
        <v>-0.448992345284243</v>
      </c>
      <c r="AB8" s="32" t="str">
        <f ca="1"/>
        <v>-833.39168471999</v>
      </c>
      <c r="AC8" s="32" t="str">
        <f ca="1"/>
        <v>-8340.01432585001</v>
      </c>
      <c r="AD8" s="32" t="str">
        <f ca="1"/>
        <v>-0.00746656366011023</v>
      </c>
    </row>
    <row r="9" spans="1:30" x14ac:dyDescent="0.45">
      <c r="C9" s="4" t="s">
        <v>4</v>
      </c>
      <c r="D9" s="5"/>
      <c r="E9" s="4"/>
      <c r="F9" s="4"/>
      <c r="G9" s="12"/>
      <c r="H9" s="12">
        <f t="shared" ref="H9:S9" ca="1" si="2">+H8/D8-1</f>
        <v>0.30903398231738599</v>
      </c>
      <c r="I9" s="12">
        <f t="shared" ca="1" si="2"/>
        <v>0.29227123587313164</v>
      </c>
      <c r="J9" s="12">
        <f t="shared" ca="1" si="2"/>
        <v>0.3387121582884709</v>
      </c>
      <c r="K9" s="12">
        <f t="shared" ca="1" si="2"/>
        <v>0.30157235543746053</v>
      </c>
      <c r="L9" s="12">
        <f t="shared" ca="1" si="2"/>
        <v>0.20760752799852811</v>
      </c>
      <c r="M9" s="12">
        <f t="shared" ca="1" si="2"/>
        <v>0.30949304595593397</v>
      </c>
      <c r="N9" s="12">
        <f t="shared" ca="1" si="2"/>
        <v>0.38500908730075856</v>
      </c>
      <c r="O9" s="12">
        <f t="shared" ca="1" si="2"/>
        <v>0.39368923860584504</v>
      </c>
      <c r="P9" s="12">
        <f t="shared" ca="1" si="2"/>
        <v>-0.35978756186385286</v>
      </c>
      <c r="Q9" s="12">
        <f t="shared" ca="1" si="2"/>
        <v>-0.36565317681224363</v>
      </c>
      <c r="R9" s="12">
        <f t="shared" ca="1" si="2"/>
        <v>-0.44899234528424259</v>
      </c>
      <c r="S9" s="12">
        <f t="shared" ca="1" si="2"/>
        <v>-0.45473806467898725</v>
      </c>
      <c r="U9" s="24" t="str">
        <f ca="1"/>
        <v>GH US EQUITY</v>
      </c>
      <c r="V9" s="24">
        <f ca="1"/>
        <v>46387</v>
      </c>
      <c r="W9" s="24" t="str">
        <f ca="1"/>
        <v>canonical</v>
      </c>
      <c r="X9" s="24" t="str">
        <f ca="1"/>
        <v>revenue</v>
      </c>
      <c r="Y9" s="24" t="str">
        <f ca="1"/>
        <v>forecast</v>
      </c>
      <c r="Z9" s="32" t="str">
        <f ca="1"/>
        <v>153.3636435</v>
      </c>
      <c r="AA9" s="32" t="str">
        <f ca="1"/>
        <v>-0.454738064678987</v>
      </c>
      <c r="AB9" s="32" t="str">
        <f ca="1"/>
        <v>-57.4571939474466</v>
      </c>
      <c r="AC9" s="32" t="str">
        <f ca="1"/>
        <v>-8484.27303284832</v>
      </c>
      <c r="AD9" s="32" t="str">
        <f ca="1"/>
        <v>0.0495371511516445</v>
      </c>
    </row>
    <row r="10" spans="1:30" x14ac:dyDescent="0.45">
      <c r="C10" s="4" t="s">
        <v>19</v>
      </c>
      <c r="D10" s="1"/>
      <c r="L10" s="7">
        <f ca="1">(L9-K9)*10000</f>
        <v>-939.64827438932423</v>
      </c>
      <c r="M10" s="7">
        <f ca="1">(M9-L9)*10000</f>
        <v>1018.8551795740585</v>
      </c>
      <c r="N10" s="7">
        <f ca="1">(N9-M9)*10000</f>
        <v>755.16041344824589</v>
      </c>
      <c r="O10" s="7">
        <f ca="1">(O9-N9)*10000</f>
        <v>86.801513050864813</v>
      </c>
      <c r="P10" s="7">
        <f t="shared" ref="P10:S10" ca="1" si="3">(P9-O9)*10000</f>
        <v>-7534.768004696979</v>
      </c>
      <c r="Q10" s="7">
        <f t="shared" ca="1" si="3"/>
        <v>-58.65614948390774</v>
      </c>
      <c r="R10" s="7">
        <f t="shared" ca="1" si="3"/>
        <v>-833.3916847199896</v>
      </c>
      <c r="S10" s="7">
        <f t="shared" ca="1" si="3"/>
        <v>-57.45719394744664</v>
      </c>
      <c r="U10" s="24" t="str" cm="1">
        <f t="array" aca="1" ref="U10:AD17" ca="1">_xlfn.LET(
  _xlpm.d, L14:S14,
  _xlpm.s, L15:S15,
  _xlpm.v, L17:S17,
  _xlpm.yy, L18:S18,
  _xlpm.qq, L19:S19,
  _xlpm.dyy, L20:S20,
  _xlpm.dqq, L21:S21,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CLEAN(TRANSPOSE(_xlpm.s)),
  CLEAN(TRANSPOSE(_xlpm.v)),
  CLEAN(TRANSPOSE(_xlpm.yy)),
  CLEAN(TRANSPOSE(_xlpm.qq)),
  CLEAN(TRANSPOSE(_xlpm.dyy)),
  CLEAN(TRANSPOSE(_xlpm.dqq))
))</f>
        <v>GH US EQUITY</v>
      </c>
      <c r="V10" s="24">
        <f ca="1"/>
        <v>45747</v>
      </c>
      <c r="W10" s="24" t="str">
        <f ca="1"/>
        <v>canonical</v>
      </c>
      <c r="X10" s="24" t="str">
        <f ca="1"/>
        <v>gross_margin_gaap</v>
      </c>
      <c r="Y10" s="24" t="str">
        <f ca="1"/>
        <v>actual</v>
      </c>
      <c r="Z10" s="32" t="str">
        <f ca="1"/>
        <v>63.2758</v>
      </c>
      <c r="AA10" s="32" t="str">
        <f ca="1"/>
        <v>202.92</v>
      </c>
      <c r="AB10" s="32" t="str">
        <f ca="1"/>
        <v/>
      </c>
      <c r="AC10" s="32" t="str">
        <f ca="1"/>
        <v/>
      </c>
      <c r="AD10" s="32" t="str">
        <f ca="1"/>
        <v>172.36</v>
      </c>
    </row>
    <row r="11" spans="1:30" x14ac:dyDescent="0.45">
      <c r="C11" s="4" t="s">
        <v>23</v>
      </c>
      <c r="D11" s="1"/>
      <c r="E11" s="6"/>
      <c r="F11" s="6"/>
      <c r="G11" s="6"/>
      <c r="H11" s="6"/>
      <c r="I11" s="6"/>
      <c r="J11" s="6"/>
      <c r="K11" s="6"/>
      <c r="L11" s="7">
        <f ca="1">(L9-H9)*10000</f>
        <v>-1014.2645431885788</v>
      </c>
      <c r="M11" s="7">
        <f ca="1">(M9-I9)*10000</f>
        <v>172.21810082802324</v>
      </c>
      <c r="N11" s="7">
        <f ca="1">(N9-J9)*10000</f>
        <v>462.9692901228766</v>
      </c>
      <c r="O11" s="7">
        <f ca="1">(O9-K9)*10000</f>
        <v>921.16883168384516</v>
      </c>
      <c r="P11" s="7">
        <f t="shared" ref="P11:S11" ca="1" si="4">(P9-L9)*10000</f>
        <v>-5673.9508986238097</v>
      </c>
      <c r="Q11" s="7">
        <f t="shared" ca="1" si="4"/>
        <v>-6751.4622276817763</v>
      </c>
      <c r="R11" s="7">
        <f t="shared" ca="1" si="4"/>
        <v>-8340.014325850012</v>
      </c>
      <c r="S11" s="7">
        <f t="shared" ca="1" si="4"/>
        <v>-8484.2730328483231</v>
      </c>
      <c r="U11" t="str">
        <f ca="1"/>
        <v>GH US EQUITY</v>
      </c>
      <c r="V11" s="24">
        <f ca="1"/>
        <v>45838</v>
      </c>
      <c r="W11" s="24" t="str">
        <f ca="1"/>
        <v>canonical</v>
      </c>
      <c r="X11" s="24" t="str">
        <f ca="1"/>
        <v>gross_margin_gaap</v>
      </c>
      <c r="Y11" s="24" t="str">
        <f ca="1"/>
        <v>actual</v>
      </c>
      <c r="Z11" s="32" t="str">
        <f ca="1"/>
        <v>65.0111</v>
      </c>
      <c r="AA11" s="32" t="str">
        <f ca="1"/>
        <v>587.27</v>
      </c>
      <c r="AB11" s="32" t="str">
        <f ca="1"/>
        <v/>
      </c>
      <c r="AC11" s="32" t="str">
        <f ca="1"/>
        <v/>
      </c>
      <c r="AD11" s="32" t="str">
        <f ca="1"/>
        <v>173.53</v>
      </c>
    </row>
    <row r="12" spans="1:30" x14ac:dyDescent="0.45">
      <c r="C12" s="4" t="s">
        <v>5</v>
      </c>
      <c r="D12" s="1"/>
      <c r="L12" s="12">
        <f t="shared" ref="L12:S12" ca="1" si="5">L8/K8-1</f>
        <v>8.2105304884696473E-3</v>
      </c>
      <c r="M12" s="12">
        <f t="shared" ca="1" si="5"/>
        <v>0.1406441212752676</v>
      </c>
      <c r="N12" s="12">
        <f t="shared" ca="1" si="5"/>
        <v>0.14265278687394445</v>
      </c>
      <c r="O12" s="12">
        <f t="shared" ca="1" si="5"/>
        <v>6.0596690749483262E-2</v>
      </c>
      <c r="P12" s="12">
        <f t="shared" ca="1" si="5"/>
        <v>-0.5368630940106518</v>
      </c>
      <c r="Q12" s="12">
        <f t="shared" si="5"/>
        <v>0.13019356016460804</v>
      </c>
      <c r="R12" s="12">
        <f t="shared" si="5"/>
        <v>-7.4665636601102259E-3</v>
      </c>
      <c r="S12" s="12">
        <f t="shared" si="5"/>
        <v>4.9537151151644476E-2</v>
      </c>
      <c r="U12" s="24" t="str">
        <f ca="1"/>
        <v>GH US EQUITY</v>
      </c>
      <c r="V12" s="24">
        <f ca="1"/>
        <v>45930</v>
      </c>
      <c r="W12" s="24" t="str">
        <f ca="1"/>
        <v>canonical</v>
      </c>
      <c r="X12" s="24" t="str">
        <f ca="1"/>
        <v>gross_margin_gaap</v>
      </c>
      <c r="Y12" s="24" t="str">
        <f ca="1"/>
        <v>actual</v>
      </c>
      <c r="Z12" s="32" t="str">
        <f ca="1"/>
        <v>64.7103</v>
      </c>
      <c r="AA12" s="32" t="str">
        <f ca="1"/>
        <v>361.280000000001</v>
      </c>
      <c r="AB12" s="32" t="str">
        <f ca="1"/>
        <v/>
      </c>
      <c r="AC12" s="32" t="str">
        <f ca="1"/>
        <v/>
      </c>
      <c r="AD12" s="32" t="str">
        <f ca="1"/>
        <v>-30.0799999999995</v>
      </c>
    </row>
    <row r="13" spans="1:30" x14ac:dyDescent="0.45">
      <c r="U13" s="24" t="str">
        <f ca="1"/>
        <v>GH US EQUITY</v>
      </c>
      <c r="V13" s="24">
        <f ca="1"/>
        <v>46022</v>
      </c>
      <c r="W13" s="24" t="str">
        <f ca="1"/>
        <v>canonical</v>
      </c>
      <c r="X13" s="24" t="str">
        <f ca="1"/>
        <v>gross_margin_gaap</v>
      </c>
      <c r="Y13" s="24" t="str">
        <f ca="1"/>
        <v>actual</v>
      </c>
      <c r="Z13" s="32" t="str">
        <f ca="1"/>
        <v>64.6271</v>
      </c>
      <c r="AA13" s="32" t="str">
        <f ca="1"/>
        <v>307.49</v>
      </c>
      <c r="AB13" s="32" t="str">
        <f ca="1"/>
        <v/>
      </c>
      <c r="AC13" s="32" t="str">
        <f ca="1"/>
        <v/>
      </c>
      <c r="AD13" s="32" t="str">
        <f ca="1"/>
        <v>-8.3200000000005</v>
      </c>
    </row>
    <row r="14" spans="1:30" x14ac:dyDescent="0.45">
      <c r="C14" s="13" t="s">
        <v>12</v>
      </c>
      <c r="D14" s="14">
        <f ca="1">EOMONTH(DATE(YEAR(D16),ROUNDUP(MONTH(D16)/3,0)*3,1),0)</f>
        <v>45016</v>
      </c>
      <c r="E14" s="14">
        <f ca="1">EOMONTH(DATE(YEAR(E16),ROUNDUP(MONTH(E16)/3,0)*3,1),0)</f>
        <v>45107</v>
      </c>
      <c r="F14" s="14">
        <f ca="1">EOMONTH(DATE(YEAR(F16),ROUNDUP(MONTH(F16)/3,0)*3,1),0)</f>
        <v>45199</v>
      </c>
      <c r="G14" s="14">
        <f t="shared" ref="G14:K14" ca="1" si="6">EOMONTH(DATE(YEAR(G16),ROUNDUP(MONTH(G16)/3,0)*3,1),0)</f>
        <v>45291</v>
      </c>
      <c r="H14" s="14">
        <f t="shared" ca="1" si="6"/>
        <v>45382</v>
      </c>
      <c r="I14" s="14">
        <f t="shared" ca="1" si="6"/>
        <v>45473</v>
      </c>
      <c r="J14" s="14">
        <f t="shared" ca="1" si="6"/>
        <v>45565</v>
      </c>
      <c r="K14" s="14">
        <f t="shared" ca="1" si="6"/>
        <v>45657</v>
      </c>
      <c r="L14" s="14">
        <f ca="1">EOMONTH(DATE(YEAR(L16),ROUNDUP(MONTH(L16)/3,0)*3,1),0)</f>
        <v>45747</v>
      </c>
      <c r="M14" s="14">
        <f ca="1">EOMONTH(DATE(YEAR(M16),ROUNDUP(MONTH(M16)/3,0)*3,1),0)</f>
        <v>45838</v>
      </c>
      <c r="N14" s="14">
        <f ca="1">EOMONTH(DATE(YEAR(N16),ROUNDUP(MONTH(N16)/3,0)*3,1),0)</f>
        <v>45930</v>
      </c>
      <c r="O14" s="14">
        <f ca="1">EOMONTH(DATE(YEAR(O16),ROUNDUP(MONTH(O16)/3,0)*3,1),0)</f>
        <v>46022</v>
      </c>
      <c r="P14" s="14"/>
      <c r="Q14" s="14"/>
      <c r="R14" s="14"/>
      <c r="S14" s="14"/>
      <c r="T14" s="1"/>
      <c r="U14" s="24" t="str">
        <f ca="1"/>
        <v>GH US EQUITY</v>
      </c>
      <c r="V14" s="24">
        <f ca="1"/>
        <v>0</v>
      </c>
      <c r="W14" s="24" t="str">
        <f ca="1"/>
        <v>canonical</v>
      </c>
      <c r="X14" s="24" t="str">
        <f ca="1"/>
        <v>gross_margin_gaap</v>
      </c>
      <c r="Y14" s="24" t="str">
        <f ca="1"/>
        <v/>
      </c>
      <c r="Z14" s="32" t="str">
        <f ca="1"/>
        <v/>
      </c>
      <c r="AA14" s="32" t="str">
        <f ca="1"/>
        <v/>
      </c>
      <c r="AB14" s="32" t="str">
        <f ca="1"/>
        <v/>
      </c>
      <c r="AC14" s="32" t="str">
        <f ca="1"/>
        <v/>
      </c>
      <c r="AD14" s="32" t="str">
        <f ca="1"/>
        <v/>
      </c>
    </row>
    <row r="15" spans="1:30" x14ac:dyDescent="0.45">
      <c r="C15" s="13" t="s">
        <v>35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/>
      <c r="Q15" s="2"/>
      <c r="R15" s="2"/>
      <c r="S15" s="2"/>
      <c r="U15" s="24" t="str">
        <f ca="1"/>
        <v>GH US EQUITY</v>
      </c>
      <c r="V15" s="24">
        <f ca="1"/>
        <v>0</v>
      </c>
      <c r="W15" s="24" t="str">
        <f ca="1"/>
        <v>canonical</v>
      </c>
      <c r="X15" s="24" t="str">
        <f ca="1"/>
        <v>gross_margin_gaap</v>
      </c>
      <c r="Y15" s="24" t="str">
        <f ca="1"/>
        <v/>
      </c>
      <c r="Z15" s="32" t="str">
        <f ca="1"/>
        <v/>
      </c>
      <c r="AA15" s="32" t="str">
        <f ca="1"/>
        <v/>
      </c>
      <c r="AB15" s="32" t="str">
        <f ca="1"/>
        <v/>
      </c>
      <c r="AC15" s="32" t="str">
        <f ca="1"/>
        <v/>
      </c>
      <c r="AD15" s="32" t="str">
        <f ca="1"/>
        <v/>
      </c>
    </row>
    <row r="16" spans="1:30" x14ac:dyDescent="0.45">
      <c r="D16" s="1" cm="1">
        <f t="array" aca="1" ref="D16:O17" ca="1">+_xll.BDH($B$2,C17,$B$3,$B$4,"DIR=H")</f>
        <v>45016</v>
      </c>
      <c r="E16" s="1">
        <f ca="1"/>
        <v>45107</v>
      </c>
      <c r="F16" s="1">
        <f ca="1"/>
        <v>45199</v>
      </c>
      <c r="G16" s="1">
        <f ca="1"/>
        <v>45291</v>
      </c>
      <c r="H16" s="1">
        <f ca="1"/>
        <v>45382</v>
      </c>
      <c r="I16" s="1">
        <f ca="1"/>
        <v>45473</v>
      </c>
      <c r="J16" s="1">
        <f ca="1"/>
        <v>45565</v>
      </c>
      <c r="K16" s="1">
        <f ca="1"/>
        <v>45657</v>
      </c>
      <c r="L16" s="1">
        <f ca="1"/>
        <v>45747</v>
      </c>
      <c r="M16" s="1">
        <f ca="1"/>
        <v>45838</v>
      </c>
      <c r="N16" s="1">
        <f ca="1"/>
        <v>45930</v>
      </c>
      <c r="O16" s="1">
        <f ca="1"/>
        <v>46022</v>
      </c>
      <c r="P16" s="2"/>
      <c r="Q16" s="2"/>
      <c r="R16" s="2"/>
      <c r="S16" s="2"/>
      <c r="U16" s="24" t="str">
        <f ca="1"/>
        <v>GH US EQUITY</v>
      </c>
      <c r="V16" s="24">
        <f ca="1"/>
        <v>0</v>
      </c>
      <c r="W16" s="24" t="str">
        <f ca="1"/>
        <v>canonical</v>
      </c>
      <c r="X16" s="24" t="str">
        <f ca="1"/>
        <v>gross_margin_gaap</v>
      </c>
      <c r="Y16" s="24" t="str">
        <f ca="1"/>
        <v/>
      </c>
      <c r="Z16" s="32" t="str">
        <f ca="1"/>
        <v/>
      </c>
      <c r="AA16" s="32" t="str">
        <f ca="1"/>
        <v/>
      </c>
      <c r="AB16" s="32" t="str">
        <f ca="1"/>
        <v/>
      </c>
      <c r="AC16" s="32" t="str">
        <f ca="1"/>
        <v/>
      </c>
      <c r="AD16" s="32" t="str">
        <f ca="1"/>
        <v/>
      </c>
    </row>
    <row r="17" spans="1:30" x14ac:dyDescent="0.45">
      <c r="A17" s="16" t="s">
        <v>9</v>
      </c>
      <c r="B17" s="16" t="s">
        <v>14</v>
      </c>
      <c r="C17" s="9" t="s">
        <v>6</v>
      </c>
      <c r="D17" s="30">
        <f ca="1"/>
        <v>58.7667</v>
      </c>
      <c r="E17" s="30">
        <f ca="1"/>
        <v>60.737900000000003</v>
      </c>
      <c r="F17" s="30">
        <f ca="1"/>
        <v>59.718899999999998</v>
      </c>
      <c r="G17" s="30">
        <f ca="1"/>
        <v>59.680500000000002</v>
      </c>
      <c r="H17" s="30">
        <f ca="1"/>
        <v>61.246600000000001</v>
      </c>
      <c r="I17" s="30">
        <f ca="1"/>
        <v>59.138399999999997</v>
      </c>
      <c r="J17" s="30">
        <f ca="1"/>
        <v>61.097499999999997</v>
      </c>
      <c r="K17" s="30">
        <f ca="1"/>
        <v>61.552199999999999</v>
      </c>
      <c r="L17" s="30">
        <f ca="1"/>
        <v>63.275799999999997</v>
      </c>
      <c r="M17" s="30">
        <f ca="1"/>
        <v>65.011099999999999</v>
      </c>
      <c r="N17" s="30">
        <f ca="1"/>
        <v>64.710300000000004</v>
      </c>
      <c r="O17" s="30">
        <f ca="1"/>
        <v>64.627099999999999</v>
      </c>
      <c r="P17" s="29"/>
      <c r="Q17" s="29"/>
      <c r="R17" s="29"/>
      <c r="S17" s="29"/>
      <c r="U17" s="24" t="str">
        <f ca="1"/>
        <v>GH US EQUITY</v>
      </c>
      <c r="V17" s="24">
        <f ca="1"/>
        <v>0</v>
      </c>
      <c r="W17" s="24" t="str">
        <f ca="1"/>
        <v>canonical</v>
      </c>
      <c r="X17" s="24" t="str">
        <f ca="1"/>
        <v>gross_margin_gaap</v>
      </c>
      <c r="Y17" s="24" t="str">
        <f ca="1"/>
        <v/>
      </c>
      <c r="Z17" s="32" t="str">
        <f ca="1"/>
        <v/>
      </c>
      <c r="AA17" s="32" t="str">
        <f ca="1"/>
        <v/>
      </c>
      <c r="AB17" s="32" t="str">
        <f ca="1"/>
        <v/>
      </c>
      <c r="AC17" s="32" t="str">
        <f ca="1"/>
        <v/>
      </c>
      <c r="AD17" s="32" t="str">
        <f ca="1"/>
        <v/>
      </c>
    </row>
    <row r="18" spans="1:30" x14ac:dyDescent="0.45">
      <c r="C18" s="4" t="s">
        <v>4</v>
      </c>
      <c r="D18" s="5"/>
      <c r="E18" s="4"/>
      <c r="F18" s="4"/>
      <c r="G18" s="4"/>
      <c r="H18" s="7">
        <f t="shared" ref="H18:O18" ca="1" si="7">(H17-D17)*100</f>
        <v>247.99000000000007</v>
      </c>
      <c r="I18" s="7">
        <f t="shared" ca="1" si="7"/>
        <v>-159.95000000000061</v>
      </c>
      <c r="J18" s="7">
        <f t="shared" ca="1" si="7"/>
        <v>137.85999999999987</v>
      </c>
      <c r="K18" s="7">
        <f t="shared" ca="1" si="7"/>
        <v>187.1699999999997</v>
      </c>
      <c r="L18" s="7">
        <f t="shared" ca="1" si="7"/>
        <v>202.91999999999959</v>
      </c>
      <c r="M18" s="7">
        <f t="shared" ca="1" si="7"/>
        <v>587.27000000000021</v>
      </c>
      <c r="N18" s="7">
        <f t="shared" ca="1" si="7"/>
        <v>361.28000000000071</v>
      </c>
      <c r="O18" s="7">
        <f t="shared" ca="1" si="7"/>
        <v>307.48999999999995</v>
      </c>
      <c r="P18" s="7"/>
      <c r="Q18" s="7"/>
      <c r="R18" s="7"/>
      <c r="S18" s="7"/>
      <c r="U18" s="24" t="str" cm="1">
        <f t="array" aca="1" ref="U18:AD25" ca="1">_xlfn.LET(
  _xlpm.d, L23:S23,
  _xlpm.s, L24:S24,
  _xlpm.v, L26:S26,
  _xlpm.yy, L27:S27,
  _xlpm.qq, L28:S28,
  _xlpm.dyy, L29:S29,
  _xlpm.dqq, L30:S30,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CLEAN(TRANSPOSE(_xlpm.s)),
  CLEAN(TRANSPOSE(_xlpm.v)),
  CLEAN(TRANSPOSE(_xlpm.yy)),
  CLEAN(TRANSPOSE(_xlpm.qq)),
  CLEAN(TRANSPOSE(_xlpm.dyy)),
  CLEAN(TRANSPOSE(_xlpm.dqq))
))</f>
        <v>GH US EQUITY</v>
      </c>
      <c r="V18" s="24">
        <f ca="1"/>
        <v>45747</v>
      </c>
      <c r="W18" s="24" t="str">
        <f ca="1"/>
        <v>canonical</v>
      </c>
      <c r="X18" s="24" t="str">
        <f ca="1"/>
        <v>operating_margin_gaap</v>
      </c>
      <c r="Y18" s="24" t="str">
        <f ca="1"/>
        <v>actual</v>
      </c>
      <c r="Z18" s="32" t="str">
        <f ca="1"/>
        <v>-54.5734</v>
      </c>
      <c r="AA18" s="32" t="str">
        <f ca="1"/>
        <v>458.88</v>
      </c>
      <c r="AB18" s="32" t="str">
        <f ca="1"/>
        <v/>
      </c>
      <c r="AC18" s="32" t="str">
        <f ca="1"/>
        <v/>
      </c>
      <c r="AD18" s="32" t="str">
        <f ca="1"/>
        <v>784.3</v>
      </c>
    </row>
    <row r="19" spans="1:30" x14ac:dyDescent="0.45">
      <c r="C19" s="4" t="s">
        <v>19</v>
      </c>
      <c r="D19" s="1"/>
      <c r="K19" s="7"/>
      <c r="L19" s="7"/>
      <c r="M19" s="7"/>
      <c r="N19" s="7"/>
      <c r="O19" s="7"/>
      <c r="P19" s="7"/>
      <c r="Q19" s="7"/>
      <c r="R19" s="7"/>
      <c r="S19" s="7"/>
      <c r="U19" t="str">
        <f ca="1"/>
        <v>GH US EQUITY</v>
      </c>
      <c r="V19" s="24">
        <f ca="1"/>
        <v>45838</v>
      </c>
      <c r="W19" s="24" t="str">
        <f ca="1"/>
        <v>canonical</v>
      </c>
      <c r="X19" s="24" t="str">
        <f ca="1"/>
        <v>operating_margin_gaap</v>
      </c>
      <c r="Y19" s="24" t="str">
        <f ca="1"/>
        <v>actual</v>
      </c>
      <c r="Z19" s="32" t="str">
        <f ca="1"/>
        <v>-45.8503</v>
      </c>
      <c r="AA19" s="32" t="str">
        <f ca="1"/>
        <v>1092.07</v>
      </c>
      <c r="AB19" s="32" t="str">
        <f ca="1"/>
        <v/>
      </c>
      <c r="AC19" s="32" t="str">
        <f ca="1"/>
        <v/>
      </c>
      <c r="AD19" s="32" t="str">
        <f ca="1"/>
        <v>872.31</v>
      </c>
    </row>
    <row r="20" spans="1:30" x14ac:dyDescent="0.45">
      <c r="C20" s="4" t="s">
        <v>23</v>
      </c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U20" s="24" t="str">
        <f ca="1"/>
        <v>GH US EQUITY</v>
      </c>
      <c r="V20" s="24">
        <f ca="1"/>
        <v>45930</v>
      </c>
      <c r="W20" s="24" t="str">
        <f ca="1"/>
        <v>canonical</v>
      </c>
      <c r="X20" s="24" t="str">
        <f ca="1"/>
        <v>operating_margin_gaap</v>
      </c>
      <c r="Y20" s="24" t="str">
        <f ca="1"/>
        <v>actual</v>
      </c>
      <c r="Z20" s="32" t="str">
        <f ca="1"/>
        <v>-37.3267</v>
      </c>
      <c r="AA20" s="32" t="str">
        <f ca="1"/>
        <v>2394.89</v>
      </c>
      <c r="AB20" s="32" t="str">
        <f ca="1"/>
        <v/>
      </c>
      <c r="AC20" s="32" t="str">
        <f ca="1"/>
        <v/>
      </c>
      <c r="AD20" s="32" t="str">
        <f ca="1"/>
        <v>852.359999999999</v>
      </c>
    </row>
    <row r="21" spans="1:30" x14ac:dyDescent="0.45">
      <c r="C21" s="4" t="s">
        <v>5</v>
      </c>
      <c r="D21" s="1"/>
      <c r="K21" s="7"/>
      <c r="L21" s="7">
        <f ca="1">(L17-K17)*100</f>
        <v>172.35999999999976</v>
      </c>
      <c r="M21" s="7">
        <f t="shared" ref="M21:O21" ca="1" si="8">(M17-L17)*100</f>
        <v>173.53000000000023</v>
      </c>
      <c r="N21" s="7">
        <f t="shared" ca="1" si="8"/>
        <v>-30.079999999999529</v>
      </c>
      <c r="O21" s="7">
        <f t="shared" ca="1" si="8"/>
        <v>-8.3200000000005048</v>
      </c>
      <c r="P21" s="7"/>
      <c r="Q21" s="7"/>
      <c r="R21" s="7"/>
      <c r="S21" s="7"/>
      <c r="U21" s="24" t="str">
        <f ca="1"/>
        <v>GH US EQUITY</v>
      </c>
      <c r="V21" s="24">
        <f ca="1"/>
        <v>46022</v>
      </c>
      <c r="W21" s="24" t="str">
        <f ca="1"/>
        <v>canonical</v>
      </c>
      <c r="X21" s="24" t="str">
        <f ca="1"/>
        <v>operating_margin_gaap</v>
      </c>
      <c r="Y21" s="24" t="str">
        <f ca="1"/>
        <v>actual</v>
      </c>
      <c r="Z21" s="32" t="str">
        <f ca="1"/>
        <v>-42.9504</v>
      </c>
      <c r="AA21" s="32" t="str">
        <f ca="1"/>
        <v>1946.6</v>
      </c>
      <c r="AB21" s="32" t="str">
        <f ca="1"/>
        <v/>
      </c>
      <c r="AC21" s="32" t="str">
        <f ca="1"/>
        <v/>
      </c>
      <c r="AD21" s="32" t="str">
        <f ca="1"/>
        <v>-562.37</v>
      </c>
    </row>
    <row r="22" spans="1:30" x14ac:dyDescent="0.45">
      <c r="T22" s="1"/>
      <c r="U22" s="24" t="str">
        <f ca="1"/>
        <v>GH US EQUITY</v>
      </c>
      <c r="V22" s="24">
        <f ca="1"/>
        <v>0</v>
      </c>
      <c r="W22" s="24" t="str">
        <f ca="1"/>
        <v>canonical</v>
      </c>
      <c r="X22" s="24" t="str">
        <f ca="1"/>
        <v>operating_margin_gaap</v>
      </c>
      <c r="Y22" s="24" t="str">
        <f ca="1"/>
        <v/>
      </c>
      <c r="Z22" s="32" t="str">
        <f ca="1"/>
        <v/>
      </c>
      <c r="AA22" s="32" t="str">
        <f ca="1"/>
        <v/>
      </c>
      <c r="AB22" s="32" t="str">
        <f ca="1"/>
        <v/>
      </c>
      <c r="AC22" s="32" t="str">
        <f ca="1"/>
        <v/>
      </c>
      <c r="AD22" s="32" t="str">
        <f ca="1"/>
        <v/>
      </c>
    </row>
    <row r="23" spans="1:30" x14ac:dyDescent="0.45">
      <c r="C23" s="13" t="s">
        <v>12</v>
      </c>
      <c r="D23" s="14">
        <f ca="1">EOMONTH(DATE(YEAR(D25),ROUNDUP(MONTH(D25)/3,0)*3,1),0)</f>
        <v>45016</v>
      </c>
      <c r="E23" s="14">
        <f ca="1">EOMONTH(DATE(YEAR(E25),ROUNDUP(MONTH(E25)/3,0)*3,1),0)</f>
        <v>45107</v>
      </c>
      <c r="F23" s="14">
        <f ca="1">EOMONTH(DATE(YEAR(F25),ROUNDUP(MONTH(F25)/3,0)*3,1),0)</f>
        <v>45199</v>
      </c>
      <c r="G23" s="14">
        <f t="shared" ref="G23:K23" ca="1" si="9">EOMONTH(DATE(YEAR(G25),ROUNDUP(MONTH(G25)/3,0)*3,1),0)</f>
        <v>45291</v>
      </c>
      <c r="H23" s="14">
        <f t="shared" ca="1" si="9"/>
        <v>45382</v>
      </c>
      <c r="I23" s="14">
        <f t="shared" ca="1" si="9"/>
        <v>45473</v>
      </c>
      <c r="J23" s="14">
        <f t="shared" ca="1" si="9"/>
        <v>45565</v>
      </c>
      <c r="K23" s="14">
        <f t="shared" ca="1" si="9"/>
        <v>45657</v>
      </c>
      <c r="L23" s="14">
        <f ca="1">EOMONTH(DATE(YEAR(L25),ROUNDUP(MONTH(L25)/3,0)*3,1),0)</f>
        <v>45747</v>
      </c>
      <c r="M23" s="14">
        <f ca="1">EOMONTH(DATE(YEAR(M25),ROUNDUP(MONTH(M25)/3,0)*3,1),0)</f>
        <v>45838</v>
      </c>
      <c r="N23" s="14">
        <f ca="1">EOMONTH(DATE(YEAR(N25),ROUNDUP(MONTH(N25)/3,0)*3,1),0)</f>
        <v>45930</v>
      </c>
      <c r="O23" s="14">
        <f ca="1">EOMONTH(DATE(YEAR(O25),ROUNDUP(MONTH(O25)/3,0)*3,1),0)</f>
        <v>46022</v>
      </c>
      <c r="P23" s="14"/>
      <c r="Q23" s="14"/>
      <c r="R23" s="14"/>
      <c r="S23" s="14"/>
      <c r="U23" s="24" t="str">
        <f ca="1"/>
        <v>GH US EQUITY</v>
      </c>
      <c r="V23" s="24">
        <f ca="1"/>
        <v>0</v>
      </c>
      <c r="W23" s="24" t="str">
        <f ca="1"/>
        <v>canonical</v>
      </c>
      <c r="X23" s="24" t="str">
        <f ca="1"/>
        <v>operating_margin_gaap</v>
      </c>
      <c r="Y23" s="24" t="str">
        <f ca="1"/>
        <v/>
      </c>
      <c r="Z23" s="32" t="str">
        <f ca="1"/>
        <v/>
      </c>
      <c r="AA23" s="32" t="str">
        <f ca="1"/>
        <v/>
      </c>
      <c r="AB23" s="32" t="str">
        <f ca="1"/>
        <v/>
      </c>
      <c r="AC23" s="32" t="str">
        <f ca="1"/>
        <v/>
      </c>
      <c r="AD23" s="32" t="str">
        <f ca="1"/>
        <v/>
      </c>
    </row>
    <row r="24" spans="1:30" x14ac:dyDescent="0.45">
      <c r="C24" s="13" t="s">
        <v>35</v>
      </c>
      <c r="D24" s="2" t="s">
        <v>36</v>
      </c>
      <c r="E24" s="2" t="s">
        <v>36</v>
      </c>
      <c r="F24" s="2" t="s">
        <v>36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14"/>
      <c r="Q24" s="14"/>
      <c r="R24" s="14"/>
      <c r="S24" s="14"/>
      <c r="U24" s="24" t="str">
        <f ca="1"/>
        <v>GH US EQUITY</v>
      </c>
      <c r="V24" s="24">
        <f ca="1"/>
        <v>0</v>
      </c>
      <c r="W24" s="24" t="str">
        <f ca="1"/>
        <v>canonical</v>
      </c>
      <c r="X24" s="24" t="str">
        <f ca="1"/>
        <v>operating_margin_gaap</v>
      </c>
      <c r="Y24" s="24" t="str">
        <f ca="1"/>
        <v/>
      </c>
      <c r="Z24" s="32" t="str">
        <f ca="1"/>
        <v/>
      </c>
      <c r="AA24" s="32" t="str">
        <f ca="1"/>
        <v/>
      </c>
      <c r="AB24" s="32" t="str">
        <f ca="1"/>
        <v/>
      </c>
      <c r="AC24" s="32" t="str">
        <f ca="1"/>
        <v/>
      </c>
      <c r="AD24" s="32" t="str">
        <f ca="1"/>
        <v/>
      </c>
    </row>
    <row r="25" spans="1:30" x14ac:dyDescent="0.45">
      <c r="D25" s="1" cm="1">
        <f t="array" aca="1" ref="D25:O26" ca="1">+_xll.BDH($B$2,C26,$B$3,$B$4,"DIR=H")</f>
        <v>45016</v>
      </c>
      <c r="E25" s="1">
        <f ca="1"/>
        <v>45107</v>
      </c>
      <c r="F25" s="1">
        <f ca="1"/>
        <v>45199</v>
      </c>
      <c r="G25" s="1">
        <f ca="1"/>
        <v>45291</v>
      </c>
      <c r="H25" s="1">
        <f ca="1"/>
        <v>45382</v>
      </c>
      <c r="I25" s="1">
        <f ca="1"/>
        <v>45473</v>
      </c>
      <c r="J25" s="1">
        <f ca="1"/>
        <v>45565</v>
      </c>
      <c r="K25" s="1">
        <f ca="1"/>
        <v>45657</v>
      </c>
      <c r="L25" s="1">
        <f ca="1"/>
        <v>45747</v>
      </c>
      <c r="M25" s="1">
        <f ca="1"/>
        <v>45838</v>
      </c>
      <c r="N25" s="1">
        <f ca="1"/>
        <v>45930</v>
      </c>
      <c r="O25" s="1">
        <f ca="1"/>
        <v>46022</v>
      </c>
      <c r="P25" s="2"/>
      <c r="Q25" s="2"/>
      <c r="R25" s="2"/>
      <c r="S25" s="2"/>
      <c r="U25" s="24" t="str">
        <f ca="1"/>
        <v>GH US EQUITY</v>
      </c>
      <c r="V25" s="24">
        <f ca="1"/>
        <v>0</v>
      </c>
      <c r="W25" s="24" t="str">
        <f ca="1"/>
        <v>canonical</v>
      </c>
      <c r="X25" s="24" t="str">
        <f ca="1"/>
        <v>operating_margin_gaap</v>
      </c>
      <c r="Y25" s="24" t="str">
        <f ca="1"/>
        <v/>
      </c>
      <c r="Z25" s="32" t="str">
        <f ca="1"/>
        <v/>
      </c>
      <c r="AA25" s="32" t="str">
        <f ca="1"/>
        <v/>
      </c>
      <c r="AB25" s="32" t="str">
        <f ca="1"/>
        <v/>
      </c>
      <c r="AC25" s="32" t="str">
        <f ca="1"/>
        <v/>
      </c>
      <c r="AD25" s="32" t="str">
        <f ca="1"/>
        <v/>
      </c>
    </row>
    <row r="26" spans="1:30" x14ac:dyDescent="0.45">
      <c r="A26" s="16" t="s">
        <v>9</v>
      </c>
      <c r="B26" s="16" t="s">
        <v>15</v>
      </c>
      <c r="C26" s="9" t="s">
        <v>7</v>
      </c>
      <c r="D26" s="3">
        <f ca="1"/>
        <v>-104.1495</v>
      </c>
      <c r="E26" s="3">
        <f ca="1"/>
        <v>-87.215500000000006</v>
      </c>
      <c r="F26" s="3">
        <f ca="1"/>
        <v>-79.384</v>
      </c>
      <c r="G26" s="3">
        <f ca="1"/>
        <v>-127.38209999999999</v>
      </c>
      <c r="H26" s="3">
        <f ca="1"/>
        <v>-59.162199999999999</v>
      </c>
      <c r="I26" s="3">
        <f ca="1"/>
        <v>-56.771000000000001</v>
      </c>
      <c r="J26" s="3">
        <f ca="1"/>
        <v>-61.275599999999997</v>
      </c>
      <c r="K26" s="3">
        <f ca="1"/>
        <v>-62.416400000000003</v>
      </c>
      <c r="L26" s="3">
        <f ca="1"/>
        <v>-54.573399999999999</v>
      </c>
      <c r="M26" s="3">
        <f ca="1"/>
        <v>-45.850299999999997</v>
      </c>
      <c r="N26" s="3">
        <f ca="1"/>
        <v>-37.326700000000002</v>
      </c>
      <c r="O26" s="3">
        <f ca="1"/>
        <v>-42.950400000000002</v>
      </c>
      <c r="P26" s="29"/>
      <c r="Q26" s="29"/>
      <c r="R26" s="29"/>
      <c r="S26" s="29"/>
      <c r="U26" s="24" t="str" cm="1">
        <f t="array" aca="1" ref="U26:AD33" ca="1">_xlfn.LET(
  _xlpm.d, L32:S32,
  _xlpm.s, L33:S33,
  _xlpm.v, L35:S35,
  _xlpm.yy, L36:S36,
  _xlpm.qq, L37:S37,
  _xlpm.dyy, L38:S38,
  _xlpm.dqq, L39:S39,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CLEAN(TRANSPOSE(_xlpm.s)),
  CLEAN(TRANSPOSE(_xlpm.v)),
  CLEAN(TRANSPOSE(_xlpm.yy)),
  CLEAN(TRANSPOSE(_xlpm.qq)),
  CLEAN(TRANSPOSE(_xlpm.dyy)),
  CLEAN(TRANSPOSE(_xlpm.dqq))
))</f>
        <v>GH US EQUITY</v>
      </c>
      <c r="V26" s="24">
        <f ca="1"/>
        <v>45747</v>
      </c>
      <c r="W26" s="24" t="str">
        <f ca="1"/>
        <v>custom</v>
      </c>
      <c r="X26" s="24" t="str">
        <f ca="1"/>
        <v>oncology_test_volumes</v>
      </c>
      <c r="Y26" s="24" t="str">
        <f ca="1"/>
        <v>actual</v>
      </c>
      <c r="Z26" s="32" t="str">
        <f ca="1"/>
        <v>59000</v>
      </c>
      <c r="AA26" s="32" t="str">
        <f ca="1"/>
        <v>0.257995735607676</v>
      </c>
      <c r="AB26" s="32" t="str">
        <f ca="1"/>
        <v>230.819425042277</v>
      </c>
      <c r="AC26" s="32" t="str">
        <f ca="1"/>
        <v>585.072445590824</v>
      </c>
      <c r="AD26" s="32" t="str">
        <f ca="1"/>
        <v>0.0296684118673647</v>
      </c>
    </row>
    <row r="27" spans="1:30" x14ac:dyDescent="0.45">
      <c r="C27" s="4" t="s">
        <v>4</v>
      </c>
      <c r="D27" s="5"/>
      <c r="E27" s="4"/>
      <c r="F27" s="4"/>
      <c r="G27" s="4"/>
      <c r="H27" s="7">
        <f t="shared" ref="H27:O27" ca="1" si="10">(H26-D26)*100</f>
        <v>4498.7300000000005</v>
      </c>
      <c r="I27" s="7">
        <f t="shared" ca="1" si="10"/>
        <v>3044.4500000000007</v>
      </c>
      <c r="J27" s="7">
        <f t="shared" ca="1" si="10"/>
        <v>1810.8400000000004</v>
      </c>
      <c r="K27" s="7">
        <f t="shared" ca="1" si="10"/>
        <v>6496.57</v>
      </c>
      <c r="L27" s="7">
        <f t="shared" ca="1" si="10"/>
        <v>458.87999999999988</v>
      </c>
      <c r="M27" s="7">
        <f t="shared" ca="1" si="10"/>
        <v>1092.0700000000004</v>
      </c>
      <c r="N27" s="7">
        <f t="shared" ca="1" si="10"/>
        <v>2394.8899999999994</v>
      </c>
      <c r="O27" s="7">
        <f t="shared" ca="1" si="10"/>
        <v>1946.6000000000001</v>
      </c>
      <c r="P27" s="7"/>
      <c r="Q27" s="7"/>
      <c r="R27" s="7"/>
      <c r="S27" s="7"/>
      <c r="U27" t="str">
        <f ca="1"/>
        <v>GH US EQUITY</v>
      </c>
      <c r="V27" s="24">
        <f ca="1"/>
        <v>45838</v>
      </c>
      <c r="W27" s="24" t="str">
        <f ca="1"/>
        <v>custom</v>
      </c>
      <c r="X27" s="24" t="str">
        <f ca="1"/>
        <v>oncology_test_volumes</v>
      </c>
      <c r="Y27" s="24" t="str">
        <f ca="1"/>
        <v>actual</v>
      </c>
      <c r="Z27" s="32" t="str">
        <f ca="1"/>
        <v>64000</v>
      </c>
      <c r="AA27" s="32" t="str">
        <f ca="1"/>
        <v>0.295546558704453</v>
      </c>
      <c r="AB27" s="32" t="str">
        <f ca="1"/>
        <v>375.508230967776</v>
      </c>
      <c r="AC27" s="32" t="str">
        <f ca="1"/>
        <v>1599.14374796408</v>
      </c>
      <c r="AD27" s="32" t="str">
        <f ca="1"/>
        <v>0.0847457627118644</v>
      </c>
    </row>
    <row r="28" spans="1:30" x14ac:dyDescent="0.45">
      <c r="C28" s="4" t="s">
        <v>19</v>
      </c>
      <c r="D28" s="1"/>
      <c r="K28" s="7"/>
      <c r="L28" s="7"/>
      <c r="M28" s="7"/>
      <c r="N28" s="7"/>
      <c r="O28" s="7"/>
      <c r="P28" s="7"/>
      <c r="Q28" s="7"/>
      <c r="R28" s="7"/>
      <c r="S28" s="7"/>
      <c r="U28" s="24" t="str">
        <f ca="1"/>
        <v>GH US EQUITY</v>
      </c>
      <c r="V28" s="24">
        <f ca="1"/>
        <v>45930</v>
      </c>
      <c r="W28" s="24" t="str">
        <f ca="1"/>
        <v>custom</v>
      </c>
      <c r="X28" s="24" t="str">
        <f ca="1"/>
        <v>oncology_test_volumes</v>
      </c>
      <c r="Y28" s="24" t="str">
        <f ca="1"/>
        <v>actual</v>
      </c>
      <c r="Z28" s="32" t="str">
        <f ca="1"/>
        <v>74000</v>
      </c>
      <c r="AA28" s="32" t="str">
        <f ca="1"/>
        <v>0.393596986817326</v>
      </c>
      <c r="AB28" s="32" t="str">
        <f ca="1"/>
        <v>980.504281128725</v>
      </c>
      <c r="AC28" s="32" t="str">
        <f ca="1"/>
        <v>1840.29788639649</v>
      </c>
      <c r="AD28" s="32" t="str">
        <f ca="1"/>
        <v>0.15625</v>
      </c>
    </row>
    <row r="29" spans="1:30" x14ac:dyDescent="0.45">
      <c r="C29" s="4" t="s">
        <v>23</v>
      </c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U29" s="24" t="str">
        <f ca="1"/>
        <v>GH US EQUITY</v>
      </c>
      <c r="V29" s="24">
        <f ca="1"/>
        <v>46022</v>
      </c>
      <c r="W29" s="24" t="str">
        <f ca="1"/>
        <v>custom</v>
      </c>
      <c r="X29" s="24" t="str">
        <f ca="1"/>
        <v>oncology_test_volumes</v>
      </c>
      <c r="Y29" s="24" t="str">
        <f ca="1"/>
        <v>actual</v>
      </c>
      <c r="Z29" s="32" t="str">
        <f ca="1"/>
        <v>79000</v>
      </c>
      <c r="AA29" s="32" t="str">
        <f ca="1"/>
        <v>0.378708551483421</v>
      </c>
      <c r="AB29" s="32" t="str">
        <f ca="1"/>
        <v>-148.884353339054</v>
      </c>
      <c r="AC29" s="32" t="str">
        <f ca="1"/>
        <v>1437.94758379972</v>
      </c>
      <c r="AD29" s="32" t="str">
        <f ca="1"/>
        <v>0.0675675675675675</v>
      </c>
    </row>
    <row r="30" spans="1:30" x14ac:dyDescent="0.45">
      <c r="C30" s="4" t="s">
        <v>5</v>
      </c>
      <c r="D30" s="1"/>
      <c r="K30" s="7"/>
      <c r="L30" s="7">
        <f ca="1">(L26-K26)*100</f>
        <v>784.30000000000041</v>
      </c>
      <c r="M30" s="7">
        <f t="shared" ref="M30:O30" ca="1" si="11">(M26-L26)*100</f>
        <v>872.31000000000017</v>
      </c>
      <c r="N30" s="7">
        <f t="shared" ca="1" si="11"/>
        <v>852.35999999999945</v>
      </c>
      <c r="O30" s="7">
        <f t="shared" ca="1" si="11"/>
        <v>-562.36999999999989</v>
      </c>
      <c r="P30" s="7"/>
      <c r="Q30" s="7"/>
      <c r="R30" s="7"/>
      <c r="S30" s="7"/>
      <c r="U30" s="24" t="str">
        <f ca="1"/>
        <v>GH US EQUITY</v>
      </c>
      <c r="V30" s="24">
        <f ca="1"/>
        <v>46112</v>
      </c>
      <c r="W30" s="24" t="str">
        <f ca="1"/>
        <v>custom</v>
      </c>
      <c r="X30" s="24" t="str">
        <f ca="1"/>
        <v>oncology_test_volumes</v>
      </c>
      <c r="Y30" s="24" t="str">
        <f ca="1"/>
        <v>forecast</v>
      </c>
      <c r="Z30" s="32" t="str">
        <f ca="1"/>
        <v>79763.1458138182</v>
      </c>
      <c r="AA30" s="32" t="str">
        <f ca="1"/>
        <v>0.351917725657936</v>
      </c>
      <c r="AB30" s="32" t="str">
        <f ca="1"/>
        <v>-267.90825825485</v>
      </c>
      <c r="AC30" s="32" t="str">
        <f ca="1"/>
        <v>939.219900502597</v>
      </c>
      <c r="AD30" s="32" t="str">
        <f ca="1"/>
        <v>0.00966007359263532</v>
      </c>
    </row>
    <row r="31" spans="1:30" x14ac:dyDescent="0.4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U31" s="24" t="str">
        <f ca="1"/>
        <v>GH US EQUITY</v>
      </c>
      <c r="V31" s="24">
        <f ca="1"/>
        <v>46203</v>
      </c>
      <c r="W31" s="24" t="str">
        <f ca="1"/>
        <v>custom</v>
      </c>
      <c r="X31" s="24" t="str">
        <f ca="1"/>
        <v>oncology_test_volumes</v>
      </c>
      <c r="Y31" s="24" t="str">
        <f ca="1"/>
        <v>forecast</v>
      </c>
      <c r="Z31" s="32" t="str">
        <f ca="1"/>
        <v>88305.2576511532</v>
      </c>
      <c r="AA31" s="32" t="str">
        <f ca="1"/>
        <v>0.379769650799269</v>
      </c>
      <c r="AB31" s="32" t="str">
        <f ca="1"/>
        <v>278.519251413338</v>
      </c>
      <c r="AC31" s="32" t="str">
        <f ca="1"/>
        <v>842.230920948159</v>
      </c>
      <c r="AD31" s="32" t="str">
        <f ca="1"/>
        <v>0.107093467166828</v>
      </c>
    </row>
    <row r="32" spans="1:30" x14ac:dyDescent="0.45">
      <c r="C32" s="13" t="s">
        <v>12</v>
      </c>
      <c r="D32" s="14">
        <f t="shared" ref="D32:L32" ca="1" si="12">EOMONTH(DATE(YEAR(D34),ROUNDUP(MONTH(D34)/3,0)*3,1),0)</f>
        <v>45016</v>
      </c>
      <c r="E32" s="14">
        <f t="shared" ca="1" si="12"/>
        <v>45107</v>
      </c>
      <c r="F32" s="14">
        <f t="shared" ca="1" si="12"/>
        <v>45199</v>
      </c>
      <c r="G32" s="14">
        <f t="shared" ca="1" si="12"/>
        <v>45291</v>
      </c>
      <c r="H32" s="14">
        <f t="shared" ca="1" si="12"/>
        <v>45382</v>
      </c>
      <c r="I32" s="14">
        <f t="shared" ca="1" si="12"/>
        <v>45473</v>
      </c>
      <c r="J32" s="14">
        <f t="shared" ca="1" si="12"/>
        <v>45565</v>
      </c>
      <c r="K32" s="14">
        <f t="shared" ca="1" si="12"/>
        <v>45657</v>
      </c>
      <c r="L32" s="14">
        <f t="shared" ca="1" si="12"/>
        <v>45747</v>
      </c>
      <c r="M32" s="14">
        <f ca="1">EOMONTH(DATE(YEAR(M34),ROUNDUP(MONTH(M34)/3,0)*3,1),0)</f>
        <v>45838</v>
      </c>
      <c r="N32" s="14">
        <f ca="1">EOMONTH(DATE(YEAR(N34),ROUNDUP(MONTH(N34)/3,0)*3,1),0)</f>
        <v>45930</v>
      </c>
      <c r="O32" s="14">
        <f ca="1">EOMONTH(DATE(YEAR(O34),ROUNDUP(MONTH(O34)/3,0)*3,1),0)</f>
        <v>46022</v>
      </c>
      <c r="P32" s="14">
        <f t="shared" ref="P32:S32" si="13">EOMONTH(DATE(YEAR(P34),ROUNDUP(MONTH(P34)/3,0)*3,1),0)</f>
        <v>46112</v>
      </c>
      <c r="Q32" s="14">
        <f t="shared" si="13"/>
        <v>46203</v>
      </c>
      <c r="R32" s="14">
        <f t="shared" si="13"/>
        <v>46295</v>
      </c>
      <c r="S32" s="14">
        <f t="shared" si="13"/>
        <v>46387</v>
      </c>
      <c r="U32" s="24" t="str">
        <f ca="1"/>
        <v>GH US EQUITY</v>
      </c>
      <c r="V32" s="24">
        <f ca="1"/>
        <v>46295</v>
      </c>
      <c r="W32" s="24" t="str">
        <f ca="1"/>
        <v>custom</v>
      </c>
      <c r="X32" s="24" t="str">
        <f ca="1"/>
        <v>oncology_test_volumes</v>
      </c>
      <c r="Y32" s="24" t="str">
        <f ca="1"/>
        <v>forecast</v>
      </c>
      <c r="Z32" s="32" t="str">
        <f ca="1"/>
        <v>95858.1077654833</v>
      </c>
      <c r="AA32" s="32" t="str">
        <f ca="1"/>
        <v>0.295379834668693</v>
      </c>
      <c r="AB32" s="32" t="str">
        <f ca="1"/>
        <v>-843.898161305763</v>
      </c>
      <c r="AC32" s="32" t="str">
        <f ca="1"/>
        <v>-982.171521486328</v>
      </c>
      <c r="AD32" s="32" t="str">
        <f ca="1"/>
        <v>0.0855311486000903</v>
      </c>
    </row>
    <row r="33" spans="1:30" x14ac:dyDescent="0.45">
      <c r="C33" s="13" t="s">
        <v>35</v>
      </c>
      <c r="D33" s="2" t="str">
        <f t="shared" ref="D33:S33" si="14">+D$6</f>
        <v>actual</v>
      </c>
      <c r="E33" s="2" t="str">
        <f t="shared" si="14"/>
        <v>actual</v>
      </c>
      <c r="F33" s="2" t="str">
        <f t="shared" si="14"/>
        <v>actual</v>
      </c>
      <c r="G33" s="2" t="str">
        <f t="shared" si="14"/>
        <v>actual</v>
      </c>
      <c r="H33" s="2" t="str">
        <f t="shared" si="14"/>
        <v>actual</v>
      </c>
      <c r="I33" s="2" t="str">
        <f t="shared" si="14"/>
        <v>actual</v>
      </c>
      <c r="J33" s="2" t="str">
        <f t="shared" si="14"/>
        <v>actual</v>
      </c>
      <c r="K33" s="2" t="str">
        <f t="shared" si="14"/>
        <v>actual</v>
      </c>
      <c r="L33" s="2" t="str">
        <f t="shared" si="14"/>
        <v>actual</v>
      </c>
      <c r="M33" s="2" t="str">
        <f t="shared" si="14"/>
        <v>actual</v>
      </c>
      <c r="N33" s="2" t="str">
        <f t="shared" si="14"/>
        <v>actual</v>
      </c>
      <c r="O33" s="2" t="str">
        <f t="shared" si="14"/>
        <v>actual</v>
      </c>
      <c r="P33" s="2" t="str">
        <f t="shared" si="14"/>
        <v>forecast</v>
      </c>
      <c r="Q33" s="2" t="str">
        <f t="shared" si="14"/>
        <v>forecast</v>
      </c>
      <c r="R33" s="2" t="str">
        <f t="shared" si="14"/>
        <v>forecast</v>
      </c>
      <c r="S33" s="2" t="str">
        <f t="shared" si="14"/>
        <v>forecast</v>
      </c>
      <c r="U33" s="24" t="str">
        <f ca="1"/>
        <v>GH US EQUITY</v>
      </c>
      <c r="V33" s="24">
        <f ca="1"/>
        <v>46387</v>
      </c>
      <c r="W33" s="24" t="str">
        <f ca="1"/>
        <v>custom</v>
      </c>
      <c r="X33" s="24" t="str">
        <f ca="1"/>
        <v>oncology_test_volumes</v>
      </c>
      <c r="Y33" s="24" t="str">
        <f ca="1"/>
        <v>forecast</v>
      </c>
      <c r="Z33" s="32" t="str">
        <f ca="1"/>
        <v>102991.568821612</v>
      </c>
      <c r="AA33" s="32" t="str">
        <f ca="1"/>
        <v>0.303690744577361</v>
      </c>
      <c r="AB33" s="32" t="str">
        <f ca="1"/>
        <v>83.1090990866801</v>
      </c>
      <c r="AC33" s="32" t="str">
        <f ca="1"/>
        <v>-750.178069060594</v>
      </c>
      <c r="AD33" s="32" t="str">
        <f ca="1"/>
        <v>0.0744168774286702</v>
      </c>
    </row>
    <row r="34" spans="1:30" x14ac:dyDescent="0.45">
      <c r="D34" s="2">
        <f t="shared" ref="D34:S34" ca="1" si="15">+D$7</f>
        <v>45016</v>
      </c>
      <c r="E34" s="2">
        <f t="shared" ca="1" si="15"/>
        <v>45107</v>
      </c>
      <c r="F34" s="2">
        <f t="shared" ca="1" si="15"/>
        <v>45199</v>
      </c>
      <c r="G34" s="2">
        <f t="shared" ca="1" si="15"/>
        <v>45291</v>
      </c>
      <c r="H34" s="2">
        <f t="shared" ca="1" si="15"/>
        <v>45382</v>
      </c>
      <c r="I34" s="2">
        <f t="shared" ca="1" si="15"/>
        <v>45473</v>
      </c>
      <c r="J34" s="2">
        <f t="shared" ca="1" si="15"/>
        <v>45565</v>
      </c>
      <c r="K34" s="2">
        <f t="shared" ca="1" si="15"/>
        <v>45657</v>
      </c>
      <c r="L34" s="2">
        <f t="shared" ca="1" si="15"/>
        <v>45747</v>
      </c>
      <c r="M34" s="2">
        <f t="shared" ca="1" si="15"/>
        <v>45838</v>
      </c>
      <c r="N34" s="2">
        <f t="shared" ca="1" si="15"/>
        <v>45930</v>
      </c>
      <c r="O34" s="2">
        <f t="shared" ca="1" si="15"/>
        <v>46022</v>
      </c>
      <c r="P34" s="2">
        <f t="shared" si="15"/>
        <v>46112</v>
      </c>
      <c r="Q34" s="2">
        <f t="shared" si="15"/>
        <v>46203</v>
      </c>
      <c r="R34" s="2">
        <f t="shared" si="15"/>
        <v>46295</v>
      </c>
      <c r="S34" s="2">
        <f t="shared" si="15"/>
        <v>46387</v>
      </c>
      <c r="U34" s="24" t="str" cm="1">
        <f t="array" aca="1" ref="U34:AD41" ca="1">_xlfn.LET(
  _xlpm.d, L41:S41,
  _xlpm.s, L42:S42,
  _xlpm.v, L44:S44,
  _xlpm.yy, L45:S45,
  _xlpm.qq, L46:S46,
  _xlpm.dyy, L47:S47,
  _xlpm.dqq, L48:S48,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CLEAN(TRANSPOSE(_xlpm.s)),
  CLEAN(TRANSPOSE(_xlpm.v)),
  CLEAN(TRANSPOSE(_xlpm.yy)),
  CLEAN(TRANSPOSE(_xlpm.qq)),
  CLEAN(TRANSPOSE(_xlpm.dyy)),
  CLEAN(TRANSPOSE(_xlpm.dqq))
))</f>
        <v>GH US EQUITY</v>
      </c>
      <c r="V34" s="24">
        <f ca="1"/>
        <v>45747</v>
      </c>
      <c r="W34" s="24" t="str">
        <f ca="1"/>
        <v>custom</v>
      </c>
      <c r="X34" s="24" t="str">
        <f ca="1"/>
        <v>oncology_revenue</v>
      </c>
      <c r="Y34" s="24" t="str">
        <f ca="1"/>
        <v>actual</v>
      </c>
      <c r="Z34" s="32" t="str">
        <f ca="1"/>
        <v>150.559</v>
      </c>
      <c r="AA34" s="32" t="str">
        <f ca="1"/>
        <v>0.197307313038776</v>
      </c>
      <c r="AB34" s="32" t="str">
        <f ca="1"/>
        <v>-1376.62924183326</v>
      </c>
      <c r="AC34" s="32" t="str">
        <f ca="1"/>
        <v>-1761.37809037316</v>
      </c>
      <c r="AD34" s="32" t="str">
        <f ca="1"/>
        <v>0.03396674747447</v>
      </c>
    </row>
    <row r="35" spans="1:30" x14ac:dyDescent="0.45">
      <c r="A35" s="16" t="s">
        <v>21</v>
      </c>
      <c r="B35" s="16" t="s">
        <v>45</v>
      </c>
      <c r="C35" s="2" t="s">
        <v>46</v>
      </c>
      <c r="D35" s="31">
        <v>39100</v>
      </c>
      <c r="E35" s="31">
        <v>43500</v>
      </c>
      <c r="F35" s="31">
        <v>43900</v>
      </c>
      <c r="G35" s="31">
        <v>46400</v>
      </c>
      <c r="H35" s="31">
        <v>46900</v>
      </c>
      <c r="I35" s="31">
        <v>49400</v>
      </c>
      <c r="J35" s="31">
        <v>53100</v>
      </c>
      <c r="K35" s="31">
        <v>57300</v>
      </c>
      <c r="L35" s="31">
        <v>59000</v>
      </c>
      <c r="M35" s="31">
        <v>64000</v>
      </c>
      <c r="N35" s="31">
        <v>74000</v>
      </c>
      <c r="O35" s="31">
        <v>79000</v>
      </c>
      <c r="P35" s="31">
        <v>79763.145813818192</v>
      </c>
      <c r="Q35" s="31">
        <v>88305.257651153239</v>
      </c>
      <c r="R35" s="31">
        <v>95858.107765483292</v>
      </c>
      <c r="S35" s="31">
        <v>102991.56882161152</v>
      </c>
      <c r="U35" t="str">
        <f ca="1"/>
        <v>GH US EQUITY</v>
      </c>
      <c r="V35" s="24">
        <f ca="1"/>
        <v>45838</v>
      </c>
      <c r="W35" s="24" t="str">
        <f ca="1"/>
        <v>custom</v>
      </c>
      <c r="X35" s="24" t="str">
        <f ca="1"/>
        <v>oncology_revenue</v>
      </c>
      <c r="Y35" s="24" t="str">
        <f ca="1"/>
        <v>actual</v>
      </c>
      <c r="Z35" s="32" t="str">
        <f ca="1"/>
        <v>158.685</v>
      </c>
      <c r="AA35" s="32" t="str">
        <f ca="1"/>
        <v>0.218133247357391</v>
      </c>
      <c r="AB35" s="32" t="str">
        <f ca="1"/>
        <v>208.259343186152</v>
      </c>
      <c r="AC35" s="32" t="str">
        <f ca="1"/>
        <v>-804.504233025947</v>
      </c>
      <c r="AD35" s="32" t="str">
        <f ca="1"/>
        <v>0.0539721969460478</v>
      </c>
    </row>
    <row r="36" spans="1:30" x14ac:dyDescent="0.45">
      <c r="C36" s="4" t="s">
        <v>4</v>
      </c>
      <c r="D36" s="5"/>
      <c r="E36" s="4"/>
      <c r="F36" s="4"/>
      <c r="G36" s="4"/>
      <c r="H36" s="12">
        <f t="shared" ref="H36:S36" si="16">+H35/D35-1</f>
        <v>0.19948849104859345</v>
      </c>
      <c r="I36" s="12">
        <f t="shared" si="16"/>
        <v>0.13563218390804588</v>
      </c>
      <c r="J36" s="12">
        <f t="shared" si="16"/>
        <v>0.20956719817767655</v>
      </c>
      <c r="K36" s="12">
        <f t="shared" si="16"/>
        <v>0.23491379310344818</v>
      </c>
      <c r="L36" s="12">
        <f t="shared" si="16"/>
        <v>0.25799573560767586</v>
      </c>
      <c r="M36" s="12">
        <f t="shared" si="16"/>
        <v>0.29554655870445345</v>
      </c>
      <c r="N36" s="12">
        <f t="shared" si="16"/>
        <v>0.39359698681732591</v>
      </c>
      <c r="O36" s="12">
        <f t="shared" si="16"/>
        <v>0.37870855148342053</v>
      </c>
      <c r="P36" s="12">
        <f t="shared" si="16"/>
        <v>0.35191772565793555</v>
      </c>
      <c r="Q36" s="12">
        <f t="shared" si="16"/>
        <v>0.37976965079926939</v>
      </c>
      <c r="R36" s="12">
        <f t="shared" si="16"/>
        <v>0.29537983466869311</v>
      </c>
      <c r="S36" s="12">
        <f t="shared" si="16"/>
        <v>0.30369074457736112</v>
      </c>
      <c r="U36" t="str">
        <f ca="1"/>
        <v>GH US EQUITY</v>
      </c>
      <c r="V36" s="24">
        <f ca="1"/>
        <v>45930</v>
      </c>
      <c r="W36" s="24" t="str">
        <f ca="1"/>
        <v>custom</v>
      </c>
      <c r="X36" s="24" t="str">
        <f ca="1"/>
        <v>oncology_revenue</v>
      </c>
      <c r="Y36" s="24" t="str">
        <f ca="1"/>
        <v>actual</v>
      </c>
      <c r="Z36" s="32" t="str">
        <f ca="1"/>
        <v>184.402</v>
      </c>
      <c r="AA36" s="32" t="str">
        <f ca="1"/>
        <v>0.305990920486979</v>
      </c>
      <c r="AB36" s="32" t="str">
        <f ca="1"/>
        <v>878.576731295879</v>
      </c>
      <c r="AC36" s="32" t="str">
        <f ca="1"/>
        <v>-580.539100113928</v>
      </c>
      <c r="AD36" s="32" t="str">
        <f ca="1"/>
        <v>0.162063206982386</v>
      </c>
    </row>
    <row r="37" spans="1:30" x14ac:dyDescent="0.45">
      <c r="C37" s="4" t="s">
        <v>19</v>
      </c>
      <c r="D37" s="1"/>
      <c r="L37" s="7">
        <f>(L36-K36)*10000</f>
        <v>230.81942504227681</v>
      </c>
      <c r="M37" s="7">
        <f>(M36-L36)*10000</f>
        <v>375.50823096777594</v>
      </c>
      <c r="N37" s="7">
        <f>(N36-M36)*10000</f>
        <v>980.50428112872453</v>
      </c>
      <c r="O37" s="7">
        <f>(O36-N36)*10000</f>
        <v>-148.8843533390538</v>
      </c>
      <c r="P37" s="7">
        <f t="shared" ref="P37:S37" si="17">(P36-O36)*10000</f>
        <v>-267.90825825484978</v>
      </c>
      <c r="Q37" s="7">
        <f t="shared" si="17"/>
        <v>278.51925141333834</v>
      </c>
      <c r="R37" s="7">
        <f t="shared" si="17"/>
        <v>-843.89816130576276</v>
      </c>
      <c r="S37" s="7">
        <f t="shared" si="17"/>
        <v>83.109099086680075</v>
      </c>
      <c r="U37" t="str">
        <f ca="1"/>
        <v>GH US EQUITY</v>
      </c>
      <c r="V37" s="24">
        <f ca="1"/>
        <v>46022</v>
      </c>
      <c r="W37" s="24" t="str">
        <f ca="1"/>
        <v>custom</v>
      </c>
      <c r="X37" s="24" t="str">
        <f ca="1"/>
        <v>oncology_revenue</v>
      </c>
      <c r="Y37" s="24" t="str">
        <f ca="1"/>
        <v>actual</v>
      </c>
      <c r="Z37" s="32" t="str">
        <f ca="1"/>
        <v>189.949</v>
      </c>
      <c r="AA37" s="32" t="str">
        <f ca="1"/>
        <v>0.304478308942196</v>
      </c>
      <c r="AB37" s="32" t="str">
        <f ca="1"/>
        <v>-15.1261154478299</v>
      </c>
      <c r="AC37" s="32" t="str">
        <f ca="1"/>
        <v>-304.919282799057</v>
      </c>
      <c r="AD37" s="32" t="str">
        <f ca="1"/>
        <v>0.0300810186440497</v>
      </c>
    </row>
    <row r="38" spans="1:30" x14ac:dyDescent="0.45">
      <c r="C38" s="4" t="s">
        <v>23</v>
      </c>
      <c r="D38" s="1"/>
      <c r="E38" s="7"/>
      <c r="F38" s="7"/>
      <c r="G38" s="7"/>
      <c r="H38" s="6"/>
      <c r="I38" s="6"/>
      <c r="J38" s="6"/>
      <c r="K38" s="6"/>
      <c r="L38" s="7">
        <f>(L36-H36)*10000</f>
        <v>585.07244559082403</v>
      </c>
      <c r="M38" s="7">
        <f>(M36-I36)*10000</f>
        <v>1599.1437479640758</v>
      </c>
      <c r="N38" s="7">
        <f>(N36-J36)*10000</f>
        <v>1840.2978863964936</v>
      </c>
      <c r="O38" s="7">
        <f>(O36-K36)*10000</f>
        <v>1437.9475837997236</v>
      </c>
      <c r="P38" s="7">
        <f t="shared" ref="P38:S38" si="18">(P36-L36)*10000</f>
        <v>939.21990050259694</v>
      </c>
      <c r="Q38" s="7">
        <f t="shared" si="18"/>
        <v>842.23092094815934</v>
      </c>
      <c r="R38" s="7">
        <f t="shared" si="18"/>
        <v>-982.17152148632806</v>
      </c>
      <c r="S38" s="7">
        <f t="shared" si="18"/>
        <v>-750.17806906059411</v>
      </c>
      <c r="U38" t="str">
        <f ca="1"/>
        <v>GH US EQUITY</v>
      </c>
      <c r="V38" s="24">
        <f ca="1"/>
        <v>46112</v>
      </c>
      <c r="W38" s="24" t="str">
        <f ca="1"/>
        <v>custom</v>
      </c>
      <c r="X38" s="24" t="str">
        <f ca="1"/>
        <v>oncology_revenue</v>
      </c>
      <c r="Y38" s="24" t="str">
        <f ca="1"/>
        <v>forecast</v>
      </c>
      <c r="Z38" s="32" t="str">
        <f ca="1"/>
        <v>196.159089310244</v>
      </c>
      <c r="AA38" s="32" t="str">
        <f ca="1"/>
        <v>0.302871892814404</v>
      </c>
      <c r="AB38" s="32" t="str">
        <f ca="1"/>
        <v>-16.06416127792</v>
      </c>
      <c r="AC38" s="32" t="str">
        <f ca="1"/>
        <v>1055.64579775628</v>
      </c>
      <c r="AD38" s="32" t="str">
        <f ca="1"/>
        <v>0.0326934561921561</v>
      </c>
    </row>
    <row r="39" spans="1:30" x14ac:dyDescent="0.45">
      <c r="C39" s="4" t="s">
        <v>5</v>
      </c>
      <c r="D39" s="1"/>
      <c r="G39" s="7"/>
      <c r="L39" s="12">
        <f t="shared" ref="L39:S39" si="19">L35/K35-1</f>
        <v>2.9668411867364686E-2</v>
      </c>
      <c r="M39" s="12">
        <f t="shared" si="19"/>
        <v>8.4745762711864403E-2</v>
      </c>
      <c r="N39" s="12">
        <f t="shared" si="19"/>
        <v>0.15625</v>
      </c>
      <c r="O39" s="12">
        <f t="shared" si="19"/>
        <v>6.7567567567567544E-2</v>
      </c>
      <c r="P39" s="12">
        <f t="shared" si="19"/>
        <v>9.6600735926353209E-3</v>
      </c>
      <c r="Q39" s="12">
        <f t="shared" si="19"/>
        <v>0.10709346716682799</v>
      </c>
      <c r="R39" s="12">
        <f t="shared" si="19"/>
        <v>8.5531148600090257E-2</v>
      </c>
      <c r="S39" s="12">
        <f t="shared" si="19"/>
        <v>7.4416877428670203E-2</v>
      </c>
      <c r="U39" t="str">
        <f ca="1"/>
        <v>GH US EQUITY</v>
      </c>
      <c r="V39" s="24">
        <f ca="1"/>
        <v>46203</v>
      </c>
      <c r="W39" s="24" t="str">
        <f ca="1"/>
        <v>custom</v>
      </c>
      <c r="X39" s="24" t="str">
        <f ca="1"/>
        <v>oncology_revenue</v>
      </c>
      <c r="Y39" s="24" t="str">
        <f ca="1"/>
        <v>forecast</v>
      </c>
      <c r="Z39" s="32" t="str">
        <f ca="1"/>
        <v>210.230049498262</v>
      </c>
      <c r="AA39" s="32" t="str">
        <f ca="1"/>
        <v>0.324826224900034</v>
      </c>
      <c r="AB39" s="32" t="str">
        <f ca="1"/>
        <v>219.543320856295</v>
      </c>
      <c r="AC39" s="32" t="str">
        <f ca="1"/>
        <v>1066.92977542642</v>
      </c>
      <c r="AD39" s="32" t="str">
        <f ca="1"/>
        <v>0.0717323894472379</v>
      </c>
    </row>
    <row r="40" spans="1:30" x14ac:dyDescent="0.4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U40" t="str">
        <f ca="1"/>
        <v>GH US EQUITY</v>
      </c>
      <c r="V40" s="24">
        <f ca="1"/>
        <v>46295</v>
      </c>
      <c r="W40" s="24" t="str">
        <f ca="1"/>
        <v>custom</v>
      </c>
      <c r="X40" s="24" t="str">
        <f ca="1"/>
        <v>oncology_revenue</v>
      </c>
      <c r="Y40" s="24" t="str">
        <f ca="1"/>
        <v>forecast</v>
      </c>
      <c r="Z40" s="32" t="str">
        <f ca="1"/>
        <v>224.228943208213</v>
      </c>
      <c r="AA40" s="32" t="str">
        <f ca="1"/>
        <v>0.215978911336172</v>
      </c>
      <c r="AB40" s="32" t="str">
        <f ca="1"/>
        <v>-1088.47313563862</v>
      </c>
      <c r="AC40" s="32" t="str">
        <f ca="1"/>
        <v>-900.120091508074</v>
      </c>
      <c r="AD40" s="32" t="str">
        <f ca="1"/>
        <v>0.0665884527134006</v>
      </c>
    </row>
    <row r="41" spans="1:30" x14ac:dyDescent="0.45">
      <c r="C41" s="13" t="s">
        <v>12</v>
      </c>
      <c r="D41" s="14">
        <f t="shared" ref="D41:L41" ca="1" si="20">EOMONTH(DATE(YEAR(D43),ROUNDUP(MONTH(D43)/3,0)*3,1),0)</f>
        <v>45016</v>
      </c>
      <c r="E41" s="14">
        <f t="shared" ca="1" si="20"/>
        <v>45107</v>
      </c>
      <c r="F41" s="14">
        <f t="shared" ca="1" si="20"/>
        <v>45199</v>
      </c>
      <c r="G41" s="14">
        <f t="shared" ca="1" si="20"/>
        <v>45291</v>
      </c>
      <c r="H41" s="14">
        <f t="shared" ca="1" si="20"/>
        <v>45382</v>
      </c>
      <c r="I41" s="14">
        <f t="shared" ca="1" si="20"/>
        <v>45473</v>
      </c>
      <c r="J41" s="14">
        <f t="shared" ca="1" si="20"/>
        <v>45565</v>
      </c>
      <c r="K41" s="14">
        <f t="shared" ca="1" si="20"/>
        <v>45657</v>
      </c>
      <c r="L41" s="14">
        <f t="shared" ca="1" si="20"/>
        <v>45747</v>
      </c>
      <c r="M41" s="14">
        <f ca="1">EOMONTH(DATE(YEAR(M43),ROUNDUP(MONTH(M43)/3,0)*3,1),0)</f>
        <v>45838</v>
      </c>
      <c r="N41" s="14">
        <f ca="1">EOMONTH(DATE(YEAR(N43),ROUNDUP(MONTH(N43)/3,0)*3,1),0)</f>
        <v>45930</v>
      </c>
      <c r="O41" s="14">
        <f ca="1">EOMONTH(DATE(YEAR(O43),ROUNDUP(MONTH(O43)/3,0)*3,1),0)</f>
        <v>46022</v>
      </c>
      <c r="P41" s="14">
        <f t="shared" ref="P41:S41" si="21">EOMONTH(DATE(YEAR(P43),ROUNDUP(MONTH(P43)/3,0)*3,1),0)</f>
        <v>46112</v>
      </c>
      <c r="Q41" s="14">
        <f t="shared" si="21"/>
        <v>46203</v>
      </c>
      <c r="R41" s="14">
        <f t="shared" si="21"/>
        <v>46295</v>
      </c>
      <c r="S41" s="14">
        <f t="shared" si="21"/>
        <v>46387</v>
      </c>
      <c r="U41" t="str">
        <f ca="1"/>
        <v>GH US EQUITY</v>
      </c>
      <c r="V41" s="24">
        <f ca="1"/>
        <v>46387</v>
      </c>
      <c r="W41" s="24" t="str">
        <f ca="1"/>
        <v>custom</v>
      </c>
      <c r="X41" s="24" t="str">
        <f ca="1"/>
        <v>oncology_revenue</v>
      </c>
      <c r="Y41" s="24" t="str">
        <f ca="1"/>
        <v>forecast</v>
      </c>
      <c r="Z41" s="32" t="str">
        <f ca="1"/>
        <v>230.011041256556</v>
      </c>
      <c r="AA41" s="32" t="str">
        <f ca="1"/>
        <v>0.210909461258317</v>
      </c>
      <c r="AB41" s="32" t="str">
        <f ca="1"/>
        <v>-50.6945007785475</v>
      </c>
      <c r="AC41" s="32" t="str">
        <f ca="1"/>
        <v>-935.688476838792</v>
      </c>
      <c r="AD41" s="32" t="str">
        <f ca="1"/>
        <v>0.0257865820781855</v>
      </c>
    </row>
    <row r="42" spans="1:30" x14ac:dyDescent="0.45">
      <c r="C42" s="13" t="s">
        <v>35</v>
      </c>
      <c r="D42" s="2" t="str">
        <f t="shared" ref="D42:S42" si="22">+D$6</f>
        <v>actual</v>
      </c>
      <c r="E42" s="2" t="str">
        <f t="shared" si="22"/>
        <v>actual</v>
      </c>
      <c r="F42" s="2" t="str">
        <f t="shared" si="22"/>
        <v>actual</v>
      </c>
      <c r="G42" s="2" t="str">
        <f t="shared" si="22"/>
        <v>actual</v>
      </c>
      <c r="H42" s="2" t="str">
        <f t="shared" si="22"/>
        <v>actual</v>
      </c>
      <c r="I42" s="2" t="str">
        <f t="shared" si="22"/>
        <v>actual</v>
      </c>
      <c r="J42" s="2" t="str">
        <f t="shared" si="22"/>
        <v>actual</v>
      </c>
      <c r="K42" s="2" t="str">
        <f t="shared" si="22"/>
        <v>actual</v>
      </c>
      <c r="L42" s="2" t="str">
        <f t="shared" si="22"/>
        <v>actual</v>
      </c>
      <c r="M42" s="2" t="str">
        <f t="shared" si="22"/>
        <v>actual</v>
      </c>
      <c r="N42" s="2" t="str">
        <f t="shared" si="22"/>
        <v>actual</v>
      </c>
      <c r="O42" s="2" t="str">
        <f t="shared" si="22"/>
        <v>actual</v>
      </c>
      <c r="P42" s="2" t="str">
        <f t="shared" si="22"/>
        <v>forecast</v>
      </c>
      <c r="Q42" s="2" t="str">
        <f t="shared" si="22"/>
        <v>forecast</v>
      </c>
      <c r="R42" s="2" t="str">
        <f t="shared" si="22"/>
        <v>forecast</v>
      </c>
      <c r="S42" s="2" t="str">
        <f t="shared" si="22"/>
        <v>forecast</v>
      </c>
      <c r="U42" s="24" t="str" cm="1">
        <f t="array" aca="1" ref="U42:AD49" ca="1">_xlfn.LET(
  _xlpm.d, L50:S50,
  _xlpm.s, L51:S51,
  _xlpm.v, L53:S53,
  _xlpm.yy, L54:S54,
  _xlpm.qq, L55:S55,
  _xlpm.dyy, L56:S56,
  _xlpm.dqq, L57:S57,
  _xlpm.dd, TRANSPOSE(_xlpm.d),
  _xlpm.clean, _xlfn.LAMBDA(_xlpm.x, IF(_xlpm.x="","",_xlpm.x)),
_xlfn.HSTACK(
  _xlfn.MAKEARRAY(ROWS(_xlpm.dd),1, _xlfn.LAMBDA(_xlpm.r,_xlpm.c,$B$2)),
  _xlpm.dd,
  _xlfn.MAKEARRAY(ROWS(_xlpm.dd),1, _xlfn.LAMBDA(_xlpm.r,_xlpm.c,A53)),
  _xlfn.MAKEARRAY(ROWS(_xlpm.dd),1, _xlfn.LAMBDA(_xlpm.r,_xlpm.c,B53)),
  CLEAN(TRANSPOSE(_xlpm.s)),
  CLEAN(TRANSPOSE(_xlpm.v)),
  CLEAN(TRANSPOSE(_xlpm.yy)),
  CLEAN(TRANSPOSE(_xlpm.qq)),
  CLEAN(TRANSPOSE(_xlpm.dyy)),
  CLEAN(TRANSPOSE(_xlpm.dqq))
))</f>
        <v>GH US EQUITY</v>
      </c>
      <c r="V42">
        <f ca="1"/>
        <v>45747</v>
      </c>
      <c r="W42" t="str">
        <f ca="1"/>
        <v>custom</v>
      </c>
      <c r="X42" t="str">
        <f ca="1"/>
        <v>oncology_rev_per_test</v>
      </c>
      <c r="Y42" t="str">
        <f ca="1"/>
        <v>actual</v>
      </c>
      <c r="Z42" t="str">
        <f ca="1"/>
        <v>2551.84745762712</v>
      </c>
      <c r="AA42" t="str">
        <f ca="1"/>
        <v>-0.0482421528556172</v>
      </c>
      <c r="AB42" t="str">
        <f ca="1"/>
        <v>-1292.6517217683</v>
      </c>
      <c r="AC42" t="str">
        <f ca="1"/>
        <v>-1932.67830322039</v>
      </c>
      <c r="AD42" t="str">
        <f ca="1"/>
        <v>0.00417448525910413</v>
      </c>
    </row>
    <row r="43" spans="1:30" x14ac:dyDescent="0.45">
      <c r="D43" s="2">
        <f t="shared" ref="D43:S43" ca="1" si="23">+D$7</f>
        <v>45016</v>
      </c>
      <c r="E43" s="2">
        <f t="shared" ca="1" si="23"/>
        <v>45107</v>
      </c>
      <c r="F43" s="2">
        <f t="shared" ca="1" si="23"/>
        <v>45199</v>
      </c>
      <c r="G43" s="2">
        <f t="shared" ca="1" si="23"/>
        <v>45291</v>
      </c>
      <c r="H43" s="2">
        <f t="shared" ca="1" si="23"/>
        <v>45382</v>
      </c>
      <c r="I43" s="2">
        <f t="shared" ca="1" si="23"/>
        <v>45473</v>
      </c>
      <c r="J43" s="2">
        <f t="shared" ca="1" si="23"/>
        <v>45565</v>
      </c>
      <c r="K43" s="2">
        <f t="shared" ca="1" si="23"/>
        <v>45657</v>
      </c>
      <c r="L43" s="2">
        <f t="shared" ca="1" si="23"/>
        <v>45747</v>
      </c>
      <c r="M43" s="2">
        <f t="shared" ca="1" si="23"/>
        <v>45838</v>
      </c>
      <c r="N43" s="2">
        <f t="shared" ca="1" si="23"/>
        <v>45930</v>
      </c>
      <c r="O43" s="2">
        <f t="shared" ca="1" si="23"/>
        <v>46022</v>
      </c>
      <c r="P43" s="2">
        <f t="shared" si="23"/>
        <v>46112</v>
      </c>
      <c r="Q43" s="2">
        <f t="shared" si="23"/>
        <v>46203</v>
      </c>
      <c r="R43" s="2">
        <f t="shared" si="23"/>
        <v>46295</v>
      </c>
      <c r="S43" s="2">
        <f t="shared" si="23"/>
        <v>46387</v>
      </c>
      <c r="U43" t="str">
        <f ca="1"/>
        <v>GH US EQUITY</v>
      </c>
      <c r="V43">
        <f ca="1"/>
        <v>45838</v>
      </c>
      <c r="W43" t="str">
        <f ca="1"/>
        <v>custom</v>
      </c>
      <c r="X43" t="str">
        <f ca="1"/>
        <v>oncology_rev_per_test</v>
      </c>
      <c r="Y43" t="str">
        <f ca="1"/>
        <v>actual</v>
      </c>
      <c r="Z43" t="str">
        <f ca="1"/>
        <v>2479.453125</v>
      </c>
      <c r="AA43" t="str">
        <f ca="1"/>
        <v>-0.0597533996960137</v>
      </c>
      <c r="AB43" t="str">
        <f ca="1"/>
        <v>-115.112468403965</v>
      </c>
      <c r="AC43" t="str">
        <f ca="1"/>
        <v>-2032.43069204301</v>
      </c>
      <c r="AD43" t="str">
        <f ca="1"/>
        <v>-0.0283693809403622</v>
      </c>
    </row>
    <row r="44" spans="1:30" x14ac:dyDescent="0.45">
      <c r="A44" s="16" t="s">
        <v>21</v>
      </c>
      <c r="B44" s="16" t="s">
        <v>47</v>
      </c>
      <c r="C44" s="2" t="s">
        <v>48</v>
      </c>
      <c r="D44" s="10">
        <v>91.556625000000011</v>
      </c>
      <c r="E44" s="10">
        <v>100.316216</v>
      </c>
      <c r="F44" s="10">
        <v>103.51346000000001</v>
      </c>
      <c r="G44" s="10">
        <v>109.07583999999999</v>
      </c>
      <c r="H44" s="10">
        <v>125.748</v>
      </c>
      <c r="I44" s="10">
        <v>130.26900000000001</v>
      </c>
      <c r="J44" s="10">
        <v>141.197</v>
      </c>
      <c r="K44" s="10">
        <v>145.613</v>
      </c>
      <c r="L44" s="10">
        <v>150.559</v>
      </c>
      <c r="M44" s="10">
        <v>158.685</v>
      </c>
      <c r="N44" s="10">
        <v>184.40199999999999</v>
      </c>
      <c r="O44" s="10">
        <v>189.94900000000001</v>
      </c>
      <c r="P44" s="10">
        <v>196.15908931024387</v>
      </c>
      <c r="Q44" s="10">
        <v>210.23004949826182</v>
      </c>
      <c r="R44" s="10">
        <v>224.22894320821271</v>
      </c>
      <c r="S44" s="10">
        <v>230.01104125655607</v>
      </c>
      <c r="U44" t="str">
        <f ca="1"/>
        <v>GH US EQUITY</v>
      </c>
      <c r="V44">
        <f ca="1"/>
        <v>45930</v>
      </c>
      <c r="W44" t="str">
        <f ca="1"/>
        <v>custom</v>
      </c>
      <c r="X44" t="str">
        <f ca="1"/>
        <v>oncology_rev_per_test</v>
      </c>
      <c r="Y44" t="str">
        <f ca="1"/>
        <v>actual</v>
      </c>
      <c r="Z44" t="str">
        <f ca="1"/>
        <v>2491.91891891892</v>
      </c>
      <c r="AA44" t="str">
        <f ca="1"/>
        <v>-0.06286327192083</v>
      </c>
      <c r="AB44" t="str">
        <f ca="1"/>
        <v>-31.0987222481629</v>
      </c>
      <c r="AC44" t="str">
        <f ca="1"/>
        <v>-1905.7641803907</v>
      </c>
      <c r="AD44" t="str">
        <f ca="1"/>
        <v>0.00502763847125309</v>
      </c>
    </row>
    <row r="45" spans="1:30" x14ac:dyDescent="0.45">
      <c r="C45" s="4" t="s">
        <v>4</v>
      </c>
      <c r="D45" s="5"/>
      <c r="E45" s="4"/>
      <c r="F45" s="4"/>
      <c r="G45" s="4"/>
      <c r="H45" s="12">
        <f t="shared" ref="H45:S45" si="24">+H44/D44-1</f>
        <v>0.37344512207609215</v>
      </c>
      <c r="I45" s="12">
        <f t="shared" si="24"/>
        <v>0.29858367065998581</v>
      </c>
      <c r="J45" s="12">
        <f t="shared" si="24"/>
        <v>0.36404483049837189</v>
      </c>
      <c r="K45" s="12">
        <f t="shared" si="24"/>
        <v>0.33497023722210173</v>
      </c>
      <c r="L45" s="12">
        <f t="shared" si="24"/>
        <v>0.19730731303877591</v>
      </c>
      <c r="M45" s="12">
        <f t="shared" si="24"/>
        <v>0.21813324735739115</v>
      </c>
      <c r="N45" s="12">
        <f t="shared" si="24"/>
        <v>0.30599092048697907</v>
      </c>
      <c r="O45" s="12">
        <f t="shared" si="24"/>
        <v>0.30447830894219607</v>
      </c>
      <c r="P45" s="12">
        <f t="shared" si="24"/>
        <v>0.30287189281440408</v>
      </c>
      <c r="Q45" s="12">
        <f t="shared" si="24"/>
        <v>0.32482622490003354</v>
      </c>
      <c r="R45" s="12">
        <f t="shared" si="24"/>
        <v>0.21597891133617164</v>
      </c>
      <c r="S45" s="12">
        <f t="shared" si="24"/>
        <v>0.21090946125831689</v>
      </c>
      <c r="U45" s="1" t="str">
        <f ca="1"/>
        <v>GH US EQUITY</v>
      </c>
      <c r="V45">
        <f ca="1"/>
        <v>46022</v>
      </c>
      <c r="W45" t="str">
        <f ca="1"/>
        <v>custom</v>
      </c>
      <c r="X45" t="str">
        <f ca="1"/>
        <v>oncology_rev_per_test</v>
      </c>
      <c r="Y45" t="str">
        <f ca="1"/>
        <v>actual</v>
      </c>
      <c r="Z45" t="str">
        <f ca="1"/>
        <v>2404.41772151899</v>
      </c>
      <c r="AA45" t="str">
        <f ca="1"/>
        <v>-0.0538404164254702</v>
      </c>
      <c r="AB45" t="str">
        <f ca="1"/>
        <v>90.2285549535975</v>
      </c>
      <c r="AC45" t="str">
        <f ca="1"/>
        <v>-1348.63435746683</v>
      </c>
      <c r="AD45" t="str">
        <f ca="1"/>
        <v>-0.0351139825359535</v>
      </c>
    </row>
    <row r="46" spans="1:30" x14ac:dyDescent="0.45">
      <c r="C46" s="4" t="s">
        <v>19</v>
      </c>
      <c r="D46" s="1"/>
      <c r="L46" s="7">
        <f>(L45-K45)*10000</f>
        <v>-1376.6292418332582</v>
      </c>
      <c r="M46" s="7">
        <f>(M45-L45)*10000</f>
        <v>208.25934318615236</v>
      </c>
      <c r="N46" s="7">
        <f>(N45-M45)*10000</f>
        <v>878.5767312958792</v>
      </c>
      <c r="O46" s="7">
        <f>(O45-N45)*10000</f>
        <v>-15.126115447829935</v>
      </c>
      <c r="P46" s="7">
        <f t="shared" ref="P46:S46" si="25">(P45-O45)*10000</f>
        <v>-16.064161277919986</v>
      </c>
      <c r="Q46" s="7">
        <f t="shared" si="25"/>
        <v>219.54332085629468</v>
      </c>
      <c r="R46" s="7">
        <f t="shared" si="25"/>
        <v>-1088.4731356386189</v>
      </c>
      <c r="S46" s="7">
        <f t="shared" si="25"/>
        <v>-50.694500778547535</v>
      </c>
      <c r="U46" s="1" t="str">
        <f ca="1"/>
        <v>GH US EQUITY</v>
      </c>
      <c r="V46">
        <f ca="1"/>
        <v>46112</v>
      </c>
      <c r="W46" t="str">
        <f ca="1"/>
        <v>custom</v>
      </c>
      <c r="X46" s="11" t="str">
        <f ca="1"/>
        <v>oncology_rev_per_test</v>
      </c>
      <c r="Y46" s="12" t="str">
        <f ca="1"/>
        <v>forecast</v>
      </c>
      <c r="Z46" s="7" t="str">
        <f ca="1"/>
        <v>2459.26972048112</v>
      </c>
      <c r="AA46" s="12" t="str">
        <f ca="1"/>
        <v>-0.036278711280054</v>
      </c>
      <c r="AB46" s="7" t="str">
        <f ca="1"/>
        <v>175.617051454162</v>
      </c>
      <c r="AC46" t="str">
        <f ca="1"/>
        <v>119.634415755632</v>
      </c>
      <c r="AD46" t="str">
        <f ca="1"/>
        <v>0.0228130072704191</v>
      </c>
    </row>
    <row r="47" spans="1:30" x14ac:dyDescent="0.45">
      <c r="C47" s="4" t="s">
        <v>23</v>
      </c>
      <c r="D47" s="1"/>
      <c r="E47" s="7"/>
      <c r="F47" s="7"/>
      <c r="G47" s="7"/>
      <c r="H47" s="6"/>
      <c r="I47" s="6"/>
      <c r="J47" s="6"/>
      <c r="K47" s="6"/>
      <c r="L47" s="7">
        <f>(L45-H45)*10000</f>
        <v>-1761.3780903731624</v>
      </c>
      <c r="M47" s="7">
        <f>(M45-I45)*10000</f>
        <v>-804.50423302594663</v>
      </c>
      <c r="N47" s="7">
        <f>(N45-J45)*10000</f>
        <v>-580.53910011392816</v>
      </c>
      <c r="O47" s="7">
        <f>(O45-K45)*10000</f>
        <v>-304.91928279905653</v>
      </c>
      <c r="P47" s="7">
        <f t="shared" ref="P47:S47" si="26">(P45-L45)*10000</f>
        <v>1055.6457977562816</v>
      </c>
      <c r="Q47" s="7">
        <f t="shared" si="26"/>
        <v>1066.9297754264239</v>
      </c>
      <c r="R47" s="7">
        <f t="shared" si="26"/>
        <v>-900.12009150807421</v>
      </c>
      <c r="S47" s="7">
        <f t="shared" si="26"/>
        <v>-935.68847683879187</v>
      </c>
      <c r="U47" s="1" t="str">
        <f ca="1"/>
        <v>GH US EQUITY</v>
      </c>
      <c r="V47">
        <f ca="1"/>
        <v>46203</v>
      </c>
      <c r="W47" t="str">
        <f ca="1"/>
        <v>custom</v>
      </c>
      <c r="X47" s="11" t="str">
        <f ca="1"/>
        <v>oncology_rev_per_test</v>
      </c>
      <c r="Y47" s="12" t="str">
        <f ca="1"/>
        <v>forecast</v>
      </c>
      <c r="Z47" s="7" t="str">
        <f ca="1"/>
        <v>2380.71950742467</v>
      </c>
      <c r="AA47" s="12" t="str">
        <f ca="1"/>
        <v>-0.0398207236022391</v>
      </c>
      <c r="AB47" s="7" t="str">
        <f ca="1"/>
        <v>-35.420123221851</v>
      </c>
      <c r="AC47" t="str">
        <f ca="1"/>
        <v>199.326760937746</v>
      </c>
      <c r="AD47" t="str">
        <f ca="1"/>
        <v>-0.0319404628139326</v>
      </c>
    </row>
    <row r="48" spans="1:30" x14ac:dyDescent="0.45">
      <c r="C48" s="4" t="s">
        <v>5</v>
      </c>
      <c r="D48" s="1"/>
      <c r="G48" s="7"/>
      <c r="L48" s="12">
        <f t="shared" ref="L48:S48" si="27">L44/K44-1</f>
        <v>3.3966747474470038E-2</v>
      </c>
      <c r="M48" s="12">
        <f t="shared" si="27"/>
        <v>5.3972196946047823E-2</v>
      </c>
      <c r="N48" s="12">
        <f t="shared" si="27"/>
        <v>0.16206320698238641</v>
      </c>
      <c r="O48" s="12">
        <f t="shared" si="27"/>
        <v>3.0081018644049662E-2</v>
      </c>
      <c r="P48" s="12">
        <f t="shared" si="27"/>
        <v>3.2693456192156134E-2</v>
      </c>
      <c r="Q48" s="12">
        <f t="shared" si="27"/>
        <v>7.1732389447237921E-2</v>
      </c>
      <c r="R48" s="12">
        <f t="shared" si="27"/>
        <v>6.6588452713400637E-2</v>
      </c>
      <c r="S48" s="12">
        <f t="shared" si="27"/>
        <v>2.5786582078185516E-2</v>
      </c>
      <c r="U48" t="str">
        <f ca="1"/>
        <v>GH US EQUITY</v>
      </c>
      <c r="V48">
        <f ca="1"/>
        <v>46295</v>
      </c>
      <c r="W48" t="str">
        <f ca="1"/>
        <v>custom</v>
      </c>
      <c r="X48" s="11" t="str">
        <f ca="1"/>
        <v>oncology_rev_per_test</v>
      </c>
      <c r="Y48" s="12" t="str">
        <f ca="1"/>
        <v>forecast</v>
      </c>
      <c r="Z48" s="7" t="str">
        <f ca="1"/>
        <v>2339.1755630811</v>
      </c>
      <c r="AA48" s="12" t="str">
        <f ca="1"/>
        <v>-0.0612954758191285</v>
      </c>
      <c r="AB48" s="7" t="str">
        <f ca="1"/>
        <v>-214.747522168894</v>
      </c>
      <c r="AC48" t="str">
        <f ca="1"/>
        <v>15.6779610170144</v>
      </c>
      <c r="AD48" t="str">
        <f ca="1"/>
        <v>-0.0174501633703634</v>
      </c>
    </row>
    <row r="49" spans="1:30" x14ac:dyDescent="0.45">
      <c r="C49" s="4"/>
      <c r="D49" s="1"/>
      <c r="L49" s="7"/>
      <c r="M49" s="7"/>
      <c r="N49" s="7"/>
      <c r="O49" s="7"/>
      <c r="P49" s="7"/>
      <c r="Q49" s="7"/>
      <c r="R49" s="7"/>
      <c r="S49" s="7"/>
      <c r="U49" t="str">
        <f ca="1"/>
        <v>GH US EQUITY</v>
      </c>
      <c r="V49">
        <f ca="1"/>
        <v>46387</v>
      </c>
      <c r="W49" t="str">
        <f ca="1"/>
        <v>custom</v>
      </c>
      <c r="X49" t="str">
        <f ca="1"/>
        <v>oncology_rev_per_test</v>
      </c>
      <c r="Y49" t="str">
        <f ca="1"/>
        <v>forecast</v>
      </c>
      <c r="Z49" t="str">
        <f ca="1"/>
        <v>2233.29971461014</v>
      </c>
      <c r="AA49" t="str">
        <f ca="1"/>
        <v>-0.0711681690653734</v>
      </c>
      <c r="AB49" t="str">
        <f ca="1"/>
        <v>-98.7269324624485</v>
      </c>
      <c r="AC49" t="str">
        <f ca="1"/>
        <v>-173.277526399032</v>
      </c>
      <c r="AD49" t="str">
        <f ca="1"/>
        <v>-0.0452620359677041</v>
      </c>
    </row>
    <row r="50" spans="1:30" x14ac:dyDescent="0.45">
      <c r="C50" s="13" t="s">
        <v>12</v>
      </c>
      <c r="D50" s="14">
        <f t="shared" ref="D50:L50" ca="1" si="28">EOMONTH(DATE(YEAR(D52),ROUNDUP(MONTH(D52)/3,0)*3,1),0)</f>
        <v>45016</v>
      </c>
      <c r="E50" s="14">
        <f t="shared" ca="1" si="28"/>
        <v>45107</v>
      </c>
      <c r="F50" s="14">
        <f t="shared" ca="1" si="28"/>
        <v>45199</v>
      </c>
      <c r="G50" s="14">
        <f t="shared" ca="1" si="28"/>
        <v>45291</v>
      </c>
      <c r="H50" s="14">
        <f t="shared" ca="1" si="28"/>
        <v>45382</v>
      </c>
      <c r="I50" s="14">
        <f t="shared" ca="1" si="28"/>
        <v>45473</v>
      </c>
      <c r="J50" s="14">
        <f t="shared" ca="1" si="28"/>
        <v>45565</v>
      </c>
      <c r="K50" s="14">
        <f t="shared" ca="1" si="28"/>
        <v>45657</v>
      </c>
      <c r="L50" s="14">
        <f t="shared" ca="1" si="28"/>
        <v>45747</v>
      </c>
      <c r="M50" s="14">
        <f ca="1">EOMONTH(DATE(YEAR(M52),ROUNDUP(MONTH(M52)/3,0)*3,1),0)</f>
        <v>45838</v>
      </c>
      <c r="N50" s="14">
        <f ca="1">EOMONTH(DATE(YEAR(N52),ROUNDUP(MONTH(N52)/3,0)*3,1),0)</f>
        <v>45930</v>
      </c>
      <c r="O50" s="14">
        <f ca="1">EOMONTH(DATE(YEAR(O52),ROUNDUP(MONTH(O52)/3,0)*3,1),0)</f>
        <v>46022</v>
      </c>
      <c r="P50" s="14">
        <f t="shared" ref="P50:S50" si="29">EOMONTH(DATE(YEAR(P52),ROUNDUP(MONTH(P52)/3,0)*3,1),0)</f>
        <v>46112</v>
      </c>
      <c r="Q50" s="14">
        <f t="shared" si="29"/>
        <v>46203</v>
      </c>
      <c r="R50" s="14">
        <f t="shared" si="29"/>
        <v>46295</v>
      </c>
      <c r="S50" s="14">
        <f t="shared" si="29"/>
        <v>46387</v>
      </c>
      <c r="U50" s="24" t="str" cm="1">
        <f t="array" aca="1" ref="U50:AD57" ca="1">_xlfn.LET(
  _xlpm.d, L59:S59,
  _xlpm.s, L60:S60,
  _xlpm.v, L62:S62,
  _xlpm.yy, L63:S63,
  _xlpm.qq, L64:S64,
  _xlpm.dyy, L65:S65,
  _xlpm.dqq, L66:S66,
  _xlpm.dd, TRANSPOSE(_xlpm.d),
  _xlpm.clean, _xlfn.LAMBDA(_xlpm.x, IF(_xlpm.x="","",_xlpm.x)),
_xlfn.HSTACK(
  _xlfn.MAKEARRAY(ROWS(_xlpm.dd),1, _xlfn.LAMBDA(_xlpm.r,_xlpm.c,$B$2)),
  _xlpm.dd,
  _xlfn.MAKEARRAY(ROWS(_xlpm.dd),1, _xlfn.LAMBDA(_xlpm.r,_xlpm.c,A62)),
  _xlfn.MAKEARRAY(ROWS(_xlpm.dd),1, _xlfn.LAMBDA(_xlpm.r,_xlpm.c,B62)),
  CLEAN(TRANSPOSE(_xlpm.s)),
  CLEAN(TRANSPOSE(_xlpm.v)),
  CLEAN(TRANSPOSE(_xlpm.yy)),
  CLEAN(TRANSPOSE(_xlpm.qq)),
  CLEAN(TRANSPOSE(_xlpm.dyy)),
  CLEAN(TRANSPOSE(_xlpm.dqq))
))</f>
        <v>GH US EQUITY</v>
      </c>
      <c r="V50">
        <f ca="1"/>
        <v>45747</v>
      </c>
      <c r="W50" t="str">
        <f ca="1"/>
        <v>custom</v>
      </c>
      <c r="X50" t="str">
        <f ca="1"/>
        <v>screening_test_volumes</v>
      </c>
      <c r="Y50" t="str">
        <f ca="1"/>
        <v>actual</v>
      </c>
      <c r="Z50" t="str">
        <f ca="1"/>
        <v>9000</v>
      </c>
      <c r="AA50" t="str">
        <f ca="1"/>
        <v/>
      </c>
      <c r="AB50" t="str">
        <f ca="1"/>
        <v/>
      </c>
      <c r="AC50" t="str">
        <f ca="1"/>
        <v/>
      </c>
      <c r="AD50" t="str">
        <f ca="1"/>
        <v>0.40625</v>
      </c>
    </row>
    <row r="51" spans="1:30" x14ac:dyDescent="0.45">
      <c r="C51" s="13" t="s">
        <v>35</v>
      </c>
      <c r="D51" s="2" t="str">
        <f t="shared" ref="D51:S51" si="30">+D$6</f>
        <v>actual</v>
      </c>
      <c r="E51" s="2" t="str">
        <f t="shared" si="30"/>
        <v>actual</v>
      </c>
      <c r="F51" s="2" t="str">
        <f t="shared" si="30"/>
        <v>actual</v>
      </c>
      <c r="G51" s="2" t="str">
        <f t="shared" si="30"/>
        <v>actual</v>
      </c>
      <c r="H51" s="2" t="str">
        <f t="shared" si="30"/>
        <v>actual</v>
      </c>
      <c r="I51" s="2" t="str">
        <f t="shared" si="30"/>
        <v>actual</v>
      </c>
      <c r="J51" s="2" t="str">
        <f t="shared" si="30"/>
        <v>actual</v>
      </c>
      <c r="K51" s="2" t="str">
        <f t="shared" si="30"/>
        <v>actual</v>
      </c>
      <c r="L51" s="2" t="str">
        <f t="shared" si="30"/>
        <v>actual</v>
      </c>
      <c r="M51" s="2" t="str">
        <f t="shared" si="30"/>
        <v>actual</v>
      </c>
      <c r="N51" s="2" t="str">
        <f t="shared" si="30"/>
        <v>actual</v>
      </c>
      <c r="O51" s="2" t="str">
        <f t="shared" si="30"/>
        <v>actual</v>
      </c>
      <c r="P51" s="2" t="str">
        <f t="shared" si="30"/>
        <v>forecast</v>
      </c>
      <c r="Q51" s="2" t="str">
        <f t="shared" si="30"/>
        <v>forecast</v>
      </c>
      <c r="R51" s="2" t="str">
        <f t="shared" si="30"/>
        <v>forecast</v>
      </c>
      <c r="S51" s="2" t="str">
        <f t="shared" si="30"/>
        <v>forecast</v>
      </c>
      <c r="U51" t="str">
        <f ca="1"/>
        <v>GH US EQUITY</v>
      </c>
      <c r="V51">
        <f ca="1"/>
        <v>45838</v>
      </c>
      <c r="W51" t="str">
        <f ca="1"/>
        <v>custom</v>
      </c>
      <c r="X51" t="str">
        <f ca="1"/>
        <v>screening_test_volumes</v>
      </c>
      <c r="Y51" t="str">
        <f ca="1"/>
        <v>actual</v>
      </c>
      <c r="Z51" t="str">
        <f ca="1"/>
        <v>16000</v>
      </c>
      <c r="AA51" t="str">
        <f ca="1"/>
        <v/>
      </c>
      <c r="AB51" t="str">
        <f ca="1"/>
        <v/>
      </c>
      <c r="AC51" t="str">
        <f ca="1"/>
        <v/>
      </c>
      <c r="AD51" t="str">
        <f ca="1"/>
        <v>0.777777777777778</v>
      </c>
    </row>
    <row r="52" spans="1:30" x14ac:dyDescent="0.45">
      <c r="D52" s="2">
        <f t="shared" ref="D52:S52" ca="1" si="31">+D$7</f>
        <v>45016</v>
      </c>
      <c r="E52" s="2">
        <f t="shared" ca="1" si="31"/>
        <v>45107</v>
      </c>
      <c r="F52" s="2">
        <f t="shared" ca="1" si="31"/>
        <v>45199</v>
      </c>
      <c r="G52" s="2">
        <f t="shared" ca="1" si="31"/>
        <v>45291</v>
      </c>
      <c r="H52" s="2">
        <f t="shared" ca="1" si="31"/>
        <v>45382</v>
      </c>
      <c r="I52" s="2">
        <f t="shared" ca="1" si="31"/>
        <v>45473</v>
      </c>
      <c r="J52" s="2">
        <f t="shared" ca="1" si="31"/>
        <v>45565</v>
      </c>
      <c r="K52" s="2">
        <f t="shared" ca="1" si="31"/>
        <v>45657</v>
      </c>
      <c r="L52" s="2">
        <f t="shared" ca="1" si="31"/>
        <v>45747</v>
      </c>
      <c r="M52" s="2">
        <f t="shared" ca="1" si="31"/>
        <v>45838</v>
      </c>
      <c r="N52" s="2">
        <f t="shared" ca="1" si="31"/>
        <v>45930</v>
      </c>
      <c r="O52" s="2">
        <f t="shared" ca="1" si="31"/>
        <v>46022</v>
      </c>
      <c r="P52" s="2">
        <f t="shared" si="31"/>
        <v>46112</v>
      </c>
      <c r="Q52" s="2">
        <f t="shared" si="31"/>
        <v>46203</v>
      </c>
      <c r="R52" s="2">
        <f t="shared" si="31"/>
        <v>46295</v>
      </c>
      <c r="S52" s="2">
        <f t="shared" si="31"/>
        <v>46387</v>
      </c>
      <c r="U52" t="str">
        <f ca="1"/>
        <v>GH US EQUITY</v>
      </c>
      <c r="V52">
        <f ca="1"/>
        <v>45930</v>
      </c>
      <c r="W52" t="str">
        <f ca="1"/>
        <v>custom</v>
      </c>
      <c r="X52" t="str">
        <f ca="1"/>
        <v>screening_test_volumes</v>
      </c>
      <c r="Y52" t="str">
        <f ca="1"/>
        <v>actual</v>
      </c>
      <c r="Z52" t="str">
        <f ca="1"/>
        <v>43713.3425511445</v>
      </c>
      <c r="AA52" t="str">
        <f ca="1"/>
        <v>9.24531466042448</v>
      </c>
      <c r="AB52" t="str">
        <f ca="1"/>
        <v/>
      </c>
      <c r="AC52" t="str">
        <f ca="1"/>
        <v/>
      </c>
      <c r="AD52" t="str">
        <f ca="1"/>
        <v>1.73208390944653</v>
      </c>
    </row>
    <row r="53" spans="1:30" x14ac:dyDescent="0.45">
      <c r="A53" s="16" t="s">
        <v>21</v>
      </c>
      <c r="B53" s="16" t="s">
        <v>49</v>
      </c>
      <c r="C53" s="2" t="s">
        <v>50</v>
      </c>
      <c r="D53" s="35">
        <f t="shared" ref="D53:S53" si="32">D44/D35*1000000</f>
        <v>2341.6016624040926</v>
      </c>
      <c r="E53" s="35">
        <f t="shared" si="32"/>
        <v>2306.1199080459769</v>
      </c>
      <c r="F53" s="35">
        <f t="shared" si="32"/>
        <v>2357.9375854214122</v>
      </c>
      <c r="G53" s="35">
        <f t="shared" si="32"/>
        <v>2350.7724137931032</v>
      </c>
      <c r="H53" s="35">
        <f t="shared" si="32"/>
        <v>2681.1940298507466</v>
      </c>
      <c r="I53" s="35">
        <f t="shared" si="32"/>
        <v>2637.0242914979758</v>
      </c>
      <c r="J53" s="35">
        <f t="shared" si="32"/>
        <v>2659.0772128060266</v>
      </c>
      <c r="K53" s="35">
        <f t="shared" si="32"/>
        <v>2541.2390924956367</v>
      </c>
      <c r="L53" s="35">
        <f t="shared" si="32"/>
        <v>2551.8474576271187</v>
      </c>
      <c r="M53" s="35">
        <f t="shared" si="32"/>
        <v>2479.453125</v>
      </c>
      <c r="N53" s="35">
        <f t="shared" si="32"/>
        <v>2491.9189189189187</v>
      </c>
      <c r="O53" s="35">
        <f t="shared" si="32"/>
        <v>2404.4177215189875</v>
      </c>
      <c r="P53" s="35">
        <f t="shared" si="32"/>
        <v>2459.2697204811248</v>
      </c>
      <c r="Q53" s="35">
        <f t="shared" si="32"/>
        <v>2380.719507424667</v>
      </c>
      <c r="R53" s="35">
        <f t="shared" si="32"/>
        <v>2339.1755630810953</v>
      </c>
      <c r="S53" s="35">
        <f t="shared" si="32"/>
        <v>2233.2997146101443</v>
      </c>
      <c r="U53" t="str">
        <f ca="1"/>
        <v>GH US EQUITY</v>
      </c>
      <c r="V53">
        <f ca="1"/>
        <v>46022</v>
      </c>
      <c r="W53" t="str">
        <f ca="1"/>
        <v>custom</v>
      </c>
      <c r="X53" t="str">
        <f ca="1"/>
        <v>screening_test_volumes</v>
      </c>
      <c r="Y53" t="str">
        <f ca="1"/>
        <v>actual</v>
      </c>
      <c r="Z53" t="str">
        <f ca="1"/>
        <v>48891.1543955851</v>
      </c>
      <c r="AA53" t="str">
        <f ca="1"/>
        <v>6.63924287431018</v>
      </c>
      <c r="AB53" t="str">
        <f ca="1"/>
        <v>-26060.717861143</v>
      </c>
      <c r="AC53" t="str">
        <f ca="1"/>
        <v/>
      </c>
      <c r="AD53" t="str">
        <f ca="1"/>
        <v>0.118449231796509</v>
      </c>
    </row>
    <row r="54" spans="1:30" x14ac:dyDescent="0.45">
      <c r="C54" s="4" t="s">
        <v>4</v>
      </c>
      <c r="D54" s="5"/>
      <c r="E54" s="4"/>
      <c r="F54" s="4"/>
      <c r="G54" s="4"/>
      <c r="H54" s="12">
        <f t="shared" ref="H54:S54" si="33">+H53/D53-1</f>
        <v>0.14502567746642225</v>
      </c>
      <c r="I54" s="12">
        <f t="shared" si="33"/>
        <v>0.14348966950828723</v>
      </c>
      <c r="J54" s="12">
        <f t="shared" si="33"/>
        <v>0.12771314611823992</v>
      </c>
      <c r="K54" s="12">
        <f t="shared" si="33"/>
        <v>8.1023019321213141E-2</v>
      </c>
      <c r="L54" s="12">
        <f t="shared" si="33"/>
        <v>-4.8242152855617171E-2</v>
      </c>
      <c r="M54" s="12">
        <f t="shared" si="33"/>
        <v>-5.9753399696013676E-2</v>
      </c>
      <c r="N54" s="12">
        <f t="shared" si="33"/>
        <v>-6.2863271920829966E-2</v>
      </c>
      <c r="O54" s="12">
        <f t="shared" si="33"/>
        <v>-5.3840416425470217E-2</v>
      </c>
      <c r="P54" s="12">
        <f t="shared" si="33"/>
        <v>-3.6278711280053999E-2</v>
      </c>
      <c r="Q54" s="12">
        <f t="shared" si="33"/>
        <v>-3.9820723602239094E-2</v>
      </c>
      <c r="R54" s="12">
        <f t="shared" si="33"/>
        <v>-6.1295475819128531E-2</v>
      </c>
      <c r="S54" s="12">
        <f t="shared" si="33"/>
        <v>-7.1168169065373377E-2</v>
      </c>
      <c r="U54" t="str">
        <f ca="1"/>
        <v>GH US EQUITY</v>
      </c>
      <c r="V54">
        <f ca="1"/>
        <v>46112</v>
      </c>
      <c r="W54" t="str">
        <f ca="1"/>
        <v>custom</v>
      </c>
      <c r="X54" t="str">
        <f ca="1"/>
        <v>screening_test_volumes</v>
      </c>
      <c r="Y54" t="str">
        <f ca="1"/>
        <v>forecast</v>
      </c>
      <c r="Z54" t="str">
        <f ca="1"/>
        <v>72317.6476510045</v>
      </c>
      <c r="AA54" t="str">
        <f ca="1"/>
        <v>7.03529418344494</v>
      </c>
      <c r="AB54" t="str">
        <f ca="1"/>
        <v>3960.51309134766</v>
      </c>
      <c r="AC54" t="str">
        <f ca="1"/>
        <v/>
      </c>
      <c r="AD54" t="str">
        <f ca="1"/>
        <v>0.479156067084699</v>
      </c>
    </row>
    <row r="55" spans="1:30" x14ac:dyDescent="0.45">
      <c r="C55" s="4" t="s">
        <v>19</v>
      </c>
      <c r="D55" s="1"/>
      <c r="L55" s="7">
        <f>(L54-K54)*10000</f>
        <v>-1292.6517217683031</v>
      </c>
      <c r="M55" s="7">
        <f>(M54-L54)*10000</f>
        <v>-115.11246840396505</v>
      </c>
      <c r="N55" s="7">
        <f>(N54-M54)*10000</f>
        <v>-31.0987222481629</v>
      </c>
      <c r="O55" s="7">
        <f>(O54-N54)*10000</f>
        <v>90.228554953597495</v>
      </c>
      <c r="P55" s="7">
        <f t="shared" ref="P55:S55" si="34">(P54-O54)*10000</f>
        <v>175.61705145416218</v>
      </c>
      <c r="Q55" s="7">
        <f t="shared" si="34"/>
        <v>-35.42012322185095</v>
      </c>
      <c r="R55" s="7">
        <f t="shared" si="34"/>
        <v>-214.74752216889436</v>
      </c>
      <c r="S55" s="7">
        <f t="shared" si="34"/>
        <v>-98.72693246244846</v>
      </c>
      <c r="U55" t="str">
        <f ca="1"/>
        <v>GH US EQUITY</v>
      </c>
      <c r="V55">
        <f ca="1"/>
        <v>46203</v>
      </c>
      <c r="W55" t="str">
        <f ca="1"/>
        <v>custom</v>
      </c>
      <c r="X55" t="str">
        <f ca="1"/>
        <v>screening_test_volumes</v>
      </c>
      <c r="Y55" t="str">
        <f ca="1"/>
        <v>forecast</v>
      </c>
      <c r="Z55" t="str">
        <f ca="1"/>
        <v>90661.6503039133</v>
      </c>
      <c r="AA55" t="str">
        <f ca="1"/>
        <v>4.66635314399458</v>
      </c>
      <c r="AB55" t="str">
        <f ca="1"/>
        <v>-23689.4103945037</v>
      </c>
      <c r="AC55" t="str">
        <f ca="1"/>
        <v/>
      </c>
      <c r="AD55" t="str">
        <f ca="1"/>
        <v>0.25365872990552</v>
      </c>
    </row>
    <row r="56" spans="1:30" x14ac:dyDescent="0.45">
      <c r="C56" s="4" t="s">
        <v>23</v>
      </c>
      <c r="D56" s="1"/>
      <c r="E56" s="7"/>
      <c r="F56" s="7"/>
      <c r="G56" s="7"/>
      <c r="H56" s="6"/>
      <c r="I56" s="6"/>
      <c r="J56" s="6"/>
      <c r="K56" s="6"/>
      <c r="L56" s="7">
        <f>(L54-H54)*10000</f>
        <v>-1932.6783032203944</v>
      </c>
      <c r="M56" s="7">
        <f>(M54-I54)*10000</f>
        <v>-2032.430692043009</v>
      </c>
      <c r="N56" s="7">
        <f>(N54-J54)*10000</f>
        <v>-1905.7641803906988</v>
      </c>
      <c r="O56" s="7">
        <f>(O54-K54)*10000</f>
        <v>-1348.6343574668335</v>
      </c>
      <c r="P56" s="7">
        <f t="shared" ref="P56:S56" si="35">(P54-L54)*10000</f>
        <v>119.63441575563172</v>
      </c>
      <c r="Q56" s="7">
        <f t="shared" si="35"/>
        <v>199.3267609377458</v>
      </c>
      <c r="R56" s="7">
        <f t="shared" si="35"/>
        <v>15.677961017014352</v>
      </c>
      <c r="S56" s="7">
        <f t="shared" si="35"/>
        <v>-173.27752639903161</v>
      </c>
      <c r="U56" t="str">
        <f ca="1"/>
        <v>GH US EQUITY</v>
      </c>
      <c r="V56">
        <f ca="1"/>
        <v>46295</v>
      </c>
      <c r="W56" t="str">
        <f ca="1"/>
        <v>custom</v>
      </c>
      <c r="X56" t="str">
        <f ca="1"/>
        <v>screening_test_volumes</v>
      </c>
      <c r="Y56" t="str">
        <f ca="1"/>
        <v>forecast</v>
      </c>
      <c r="Z56" t="str">
        <f ca="1"/>
        <v>95858.1077654833</v>
      </c>
      <c r="AA56" t="str">
        <f ca="1"/>
        <v>1.19287984334142</v>
      </c>
      <c r="AB56" t="str">
        <f ca="1"/>
        <v>-34734.7330065316</v>
      </c>
      <c r="AC56" t="str">
        <f ca="1"/>
        <v>-80524.3481708306</v>
      </c>
      <c r="AD56" t="str">
        <f ca="1"/>
        <v>0.0573170402717205</v>
      </c>
    </row>
    <row r="57" spans="1:30" x14ac:dyDescent="0.45">
      <c r="C57" s="4" t="s">
        <v>5</v>
      </c>
      <c r="D57" s="1"/>
      <c r="G57" s="7"/>
      <c r="L57" s="12">
        <f t="shared" ref="L57:S57" si="36">L53/K53-1</f>
        <v>4.1744852591041326E-3</v>
      </c>
      <c r="M57" s="12">
        <f t="shared" si="36"/>
        <v>-2.8369380940362232E-2</v>
      </c>
      <c r="N57" s="12">
        <f t="shared" si="36"/>
        <v>5.027638471253093E-3</v>
      </c>
      <c r="O57" s="12">
        <f t="shared" si="36"/>
        <v>-3.5113982535953547E-2</v>
      </c>
      <c r="P57" s="12">
        <f t="shared" si="36"/>
        <v>2.2813007270419128E-2</v>
      </c>
      <c r="Q57" s="12">
        <f t="shared" si="36"/>
        <v>-3.1940462813932591E-2</v>
      </c>
      <c r="R57" s="12">
        <f t="shared" si="36"/>
        <v>-1.7450163370363425E-2</v>
      </c>
      <c r="S57" s="12">
        <f t="shared" si="36"/>
        <v>-4.5262035967704062E-2</v>
      </c>
      <c r="U57" t="str">
        <f ca="1"/>
        <v>GH US EQUITY</v>
      </c>
      <c r="V57">
        <f ca="1"/>
        <v>46387</v>
      </c>
      <c r="W57" t="str">
        <f ca="1"/>
        <v>custom</v>
      </c>
      <c r="X57" t="str">
        <f ca="1"/>
        <v>screening_test_volumes</v>
      </c>
      <c r="Y57" t="str">
        <f ca="1"/>
        <v>forecast</v>
      </c>
      <c r="Z57" t="str">
        <f ca="1"/>
        <v>102991.568821612</v>
      </c>
      <c r="AA57" t="str">
        <f ca="1"/>
        <v>1.10654810864747</v>
      </c>
      <c r="AB57" t="str">
        <f ca="1"/>
        <v>-863.317346939416</v>
      </c>
      <c r="AC57" t="str">
        <f ca="1"/>
        <v>-55326.9476566271</v>
      </c>
      <c r="AD57" t="str">
        <f ca="1"/>
        <v>0.0744168774286702</v>
      </c>
    </row>
    <row r="58" spans="1:30" x14ac:dyDescent="0.45">
      <c r="C58" s="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U58" s="24" t="str" cm="1">
        <f t="array" aca="1" ref="U58:AD65" ca="1">_xlfn.LET(
  _xlpm.d, L68:S68,
  _xlpm.s, L69:S69,
  _xlpm.v, L71:S71,
  _xlpm.yy, L72:S72,
  _xlpm.qq, L73:S73,
  _xlpm.dyy, L74:S74,
  _xlpm.dqq, L75:S75,
  _xlpm.dd, TRANSPOSE(_xlpm.d),
  _xlpm.clean, _xlfn.LAMBDA(_xlpm.x, IF(_xlpm.x="","",_xlpm.x)),
_xlfn.HSTACK(
  _xlfn.MAKEARRAY(ROWS(_xlpm.dd),1, _xlfn.LAMBDA(_xlpm.r,_xlpm.c,$B$2)),
  _xlpm.dd,
  _xlfn.MAKEARRAY(ROWS(_xlpm.dd),1, _xlfn.LAMBDA(_xlpm.r,_xlpm.c,A71)),
  _xlfn.MAKEARRAY(ROWS(_xlpm.dd),1, _xlfn.LAMBDA(_xlpm.r,_xlpm.c,B71)),
  CLEAN(TRANSPOSE(_xlpm.s)),
  CLEAN(TRANSPOSE(_xlpm.v)),
  CLEAN(TRANSPOSE(_xlpm.yy)),
  CLEAN(TRANSPOSE(_xlpm.qq)),
  CLEAN(TRANSPOSE(_xlpm.dyy)),
  CLEAN(TRANSPOSE(_xlpm.dqq))
))</f>
        <v>GH US EQUITY</v>
      </c>
      <c r="V58">
        <f ca="1"/>
        <v>45747</v>
      </c>
      <c r="W58" t="str">
        <f ca="1"/>
        <v>custom</v>
      </c>
      <c r="X58" t="str">
        <f ca="1"/>
        <v>screening_revenue</v>
      </c>
      <c r="Y58" t="str">
        <f ca="1"/>
        <v>actual</v>
      </c>
      <c r="Z58" t="str">
        <f ca="1"/>
        <v>5.677</v>
      </c>
      <c r="AA58" t="str">
        <f ca="1"/>
        <v/>
      </c>
      <c r="AB58" t="str">
        <f ca="1"/>
        <v/>
      </c>
      <c r="AC58" t="str">
        <f ca="1"/>
        <v/>
      </c>
      <c r="AD58" t="str">
        <f ca="1"/>
        <v>0.37757825770444</v>
      </c>
    </row>
    <row r="59" spans="1:30" x14ac:dyDescent="0.45">
      <c r="C59" s="13" t="s">
        <v>12</v>
      </c>
      <c r="D59" s="14">
        <f t="shared" ref="D59:L59" ca="1" si="37">EOMONTH(DATE(YEAR(D61),ROUNDUP(MONTH(D61)/3,0)*3,1),0)</f>
        <v>45016</v>
      </c>
      <c r="E59" s="14">
        <f t="shared" ca="1" si="37"/>
        <v>45107</v>
      </c>
      <c r="F59" s="14">
        <f t="shared" ca="1" si="37"/>
        <v>45199</v>
      </c>
      <c r="G59" s="14">
        <f t="shared" ca="1" si="37"/>
        <v>45291</v>
      </c>
      <c r="H59" s="14">
        <f t="shared" ca="1" si="37"/>
        <v>45382</v>
      </c>
      <c r="I59" s="14">
        <f t="shared" ca="1" si="37"/>
        <v>45473</v>
      </c>
      <c r="J59" s="14">
        <f t="shared" ca="1" si="37"/>
        <v>45565</v>
      </c>
      <c r="K59" s="14">
        <f t="shared" ca="1" si="37"/>
        <v>45657</v>
      </c>
      <c r="L59" s="14">
        <f t="shared" ca="1" si="37"/>
        <v>45747</v>
      </c>
      <c r="M59" s="14">
        <f ca="1">EOMONTH(DATE(YEAR(M61),ROUNDUP(MONTH(M61)/3,0)*3,1),0)</f>
        <v>45838</v>
      </c>
      <c r="N59" s="14">
        <f ca="1">EOMONTH(DATE(YEAR(N61),ROUNDUP(MONTH(N61)/3,0)*3,1),0)</f>
        <v>45930</v>
      </c>
      <c r="O59" s="14">
        <f ca="1">EOMONTH(DATE(YEAR(O61),ROUNDUP(MONTH(O61)/3,0)*3,1),0)</f>
        <v>46022</v>
      </c>
      <c r="P59" s="14">
        <f t="shared" ref="P59:S59" si="38">EOMONTH(DATE(YEAR(P61),ROUNDUP(MONTH(P61)/3,0)*3,1),0)</f>
        <v>46112</v>
      </c>
      <c r="Q59" s="14">
        <f t="shared" si="38"/>
        <v>46203</v>
      </c>
      <c r="R59" s="14">
        <f t="shared" si="38"/>
        <v>46295</v>
      </c>
      <c r="S59" s="14">
        <f t="shared" si="38"/>
        <v>46387</v>
      </c>
      <c r="U59" t="str">
        <f ca="1"/>
        <v>GH US EQUITY</v>
      </c>
      <c r="V59">
        <f ca="1"/>
        <v>45838</v>
      </c>
      <c r="W59" t="str">
        <f ca="1"/>
        <v>custom</v>
      </c>
      <c r="X59" t="str">
        <f ca="1"/>
        <v>screening_revenue</v>
      </c>
      <c r="Y59" t="str">
        <f ca="1"/>
        <v>actual</v>
      </c>
      <c r="Z59" t="str">
        <f ca="1"/>
        <v>14.814</v>
      </c>
      <c r="AA59" t="str">
        <f ca="1"/>
        <v/>
      </c>
      <c r="AB59" t="str">
        <f ca="1"/>
        <v/>
      </c>
      <c r="AC59" t="str">
        <f ca="1"/>
        <v/>
      </c>
      <c r="AD59" t="str">
        <f ca="1"/>
        <v>1.60947683635723</v>
      </c>
    </row>
    <row r="60" spans="1:30" x14ac:dyDescent="0.45">
      <c r="C60" s="13" t="s">
        <v>35</v>
      </c>
      <c r="D60" s="2" t="str">
        <f t="shared" ref="D60:S60" si="39">+D$6</f>
        <v>actual</v>
      </c>
      <c r="E60" s="2" t="str">
        <f t="shared" si="39"/>
        <v>actual</v>
      </c>
      <c r="F60" s="2" t="str">
        <f t="shared" si="39"/>
        <v>actual</v>
      </c>
      <c r="G60" s="2" t="str">
        <f t="shared" si="39"/>
        <v>actual</v>
      </c>
      <c r="H60" s="2" t="str">
        <f t="shared" si="39"/>
        <v>actual</v>
      </c>
      <c r="I60" s="2" t="str">
        <f t="shared" si="39"/>
        <v>actual</v>
      </c>
      <c r="J60" s="2" t="str">
        <f t="shared" si="39"/>
        <v>actual</v>
      </c>
      <c r="K60" s="2" t="str">
        <f t="shared" si="39"/>
        <v>actual</v>
      </c>
      <c r="L60" s="2" t="str">
        <f t="shared" si="39"/>
        <v>actual</v>
      </c>
      <c r="M60" s="2" t="str">
        <f t="shared" si="39"/>
        <v>actual</v>
      </c>
      <c r="N60" s="2" t="str">
        <f t="shared" si="39"/>
        <v>actual</v>
      </c>
      <c r="O60" s="2" t="str">
        <f t="shared" si="39"/>
        <v>actual</v>
      </c>
      <c r="P60" s="2" t="str">
        <f t="shared" si="39"/>
        <v>forecast</v>
      </c>
      <c r="Q60" s="2" t="str">
        <f t="shared" si="39"/>
        <v>forecast</v>
      </c>
      <c r="R60" s="2" t="str">
        <f t="shared" si="39"/>
        <v>forecast</v>
      </c>
      <c r="S60" s="2" t="str">
        <f t="shared" si="39"/>
        <v>forecast</v>
      </c>
      <c r="U60" t="str">
        <f ca="1"/>
        <v>GH US EQUITY</v>
      </c>
      <c r="V60">
        <f ca="1"/>
        <v>45930</v>
      </c>
      <c r="W60" t="str">
        <f ca="1"/>
        <v>custom</v>
      </c>
      <c r="X60" t="str">
        <f ca="1"/>
        <v>screening_revenue</v>
      </c>
      <c r="Y60" t="str">
        <f ca="1"/>
        <v>actual</v>
      </c>
      <c r="Z60" t="str">
        <f ca="1"/>
        <v>24.112</v>
      </c>
      <c r="AA60" t="str">
        <f ca="1"/>
        <v>23.0398803589232</v>
      </c>
      <c r="AB60" t="str">
        <f ca="1"/>
        <v/>
      </c>
      <c r="AC60" t="str">
        <f ca="1"/>
        <v/>
      </c>
      <c r="AD60" t="str">
        <f ca="1"/>
        <v>0.62764952072364</v>
      </c>
    </row>
    <row r="61" spans="1:30" x14ac:dyDescent="0.45">
      <c r="D61" s="2">
        <f t="shared" ref="D61:S61" ca="1" si="40">+D$7</f>
        <v>45016</v>
      </c>
      <c r="E61" s="2">
        <f t="shared" ca="1" si="40"/>
        <v>45107</v>
      </c>
      <c r="F61" s="2">
        <f t="shared" ca="1" si="40"/>
        <v>45199</v>
      </c>
      <c r="G61" s="2">
        <f t="shared" ca="1" si="40"/>
        <v>45291</v>
      </c>
      <c r="H61" s="2">
        <f t="shared" ca="1" si="40"/>
        <v>45382</v>
      </c>
      <c r="I61" s="2">
        <f t="shared" ca="1" si="40"/>
        <v>45473</v>
      </c>
      <c r="J61" s="2">
        <f t="shared" ca="1" si="40"/>
        <v>45565</v>
      </c>
      <c r="K61" s="2">
        <f t="shared" ca="1" si="40"/>
        <v>45657</v>
      </c>
      <c r="L61" s="2">
        <f t="shared" ca="1" si="40"/>
        <v>45747</v>
      </c>
      <c r="M61" s="2">
        <f t="shared" ca="1" si="40"/>
        <v>45838</v>
      </c>
      <c r="N61" s="2">
        <f t="shared" ca="1" si="40"/>
        <v>45930</v>
      </c>
      <c r="O61" s="2">
        <f t="shared" ca="1" si="40"/>
        <v>46022</v>
      </c>
      <c r="P61" s="2">
        <f t="shared" si="40"/>
        <v>46112</v>
      </c>
      <c r="Q61" s="2">
        <f t="shared" si="40"/>
        <v>46203</v>
      </c>
      <c r="R61" s="2">
        <f t="shared" si="40"/>
        <v>46295</v>
      </c>
      <c r="S61" s="2">
        <f t="shared" si="40"/>
        <v>46387</v>
      </c>
      <c r="U61" s="1" t="str">
        <f ca="1"/>
        <v>GH US EQUITY</v>
      </c>
      <c r="V61">
        <f ca="1"/>
        <v>46022</v>
      </c>
      <c r="W61" t="str">
        <f ca="1"/>
        <v>custom</v>
      </c>
      <c r="X61" t="str">
        <f ca="1"/>
        <v>screening_revenue</v>
      </c>
      <c r="Y61" t="str">
        <f ca="1"/>
        <v>actual</v>
      </c>
      <c r="Z61" t="str">
        <f ca="1"/>
        <v>35.129</v>
      </c>
      <c r="AA61" t="str">
        <f ca="1"/>
        <v>7.52438728463965</v>
      </c>
      <c r="AB61" t="str">
        <f ca="1"/>
        <v>-155154.930742836</v>
      </c>
      <c r="AC61" t="str">
        <f ca="1"/>
        <v/>
      </c>
      <c r="AD61" t="str">
        <f ca="1"/>
        <v>0.456909422694094</v>
      </c>
    </row>
    <row r="62" spans="1:30" x14ac:dyDescent="0.45">
      <c r="A62" s="16" t="s">
        <v>21</v>
      </c>
      <c r="B62" s="16" t="s">
        <v>51</v>
      </c>
      <c r="C62" s="2" t="s">
        <v>52</v>
      </c>
      <c r="D62" s="31"/>
      <c r="E62" s="31"/>
      <c r="F62" s="31"/>
      <c r="G62" s="31"/>
      <c r="H62" s="31">
        <v>0</v>
      </c>
      <c r="I62" s="31">
        <v>0</v>
      </c>
      <c r="J62" s="31">
        <v>4266.666666666667</v>
      </c>
      <c r="K62" s="31">
        <v>6400</v>
      </c>
      <c r="L62" s="31">
        <v>9000</v>
      </c>
      <c r="M62" s="31">
        <v>16000</v>
      </c>
      <c r="N62" s="31">
        <v>43713.342551144451</v>
      </c>
      <c r="O62" s="31">
        <v>48891.154395585145</v>
      </c>
      <c r="P62" s="31">
        <v>72317.647651004503</v>
      </c>
      <c r="Q62" s="31">
        <v>90661.650303913251</v>
      </c>
      <c r="R62" s="31">
        <v>95858.107765483292</v>
      </c>
      <c r="S62" s="31">
        <v>102991.56882161152</v>
      </c>
      <c r="U62" s="1" t="str">
        <f ca="1"/>
        <v>GH US EQUITY</v>
      </c>
      <c r="V62">
        <f ca="1"/>
        <v>46112</v>
      </c>
      <c r="W62" t="str">
        <f ca="1"/>
        <v>custom</v>
      </c>
      <c r="X62" t="str">
        <f ca="1"/>
        <v>screening_revenue</v>
      </c>
      <c r="Y62" t="str">
        <f ca="1"/>
        <v>forecast</v>
      </c>
      <c r="Z62" t="str">
        <f ca="1"/>
        <v>33.8778404771369</v>
      </c>
      <c r="AA62" t="str">
        <f ca="1"/>
        <v>4.9675604152082</v>
      </c>
      <c r="AB62" t="str">
        <f ca="1"/>
        <v>-25568.2686943145</v>
      </c>
      <c r="AC62" t="str">
        <f ca="1"/>
        <v/>
      </c>
      <c r="AD62" t="str">
        <f ca="1"/>
        <v>-0.0356161440081713</v>
      </c>
    </row>
    <row r="63" spans="1:30" x14ac:dyDescent="0.45">
      <c r="C63" s="4" t="s">
        <v>4</v>
      </c>
      <c r="D63" s="5"/>
      <c r="E63" s="4"/>
      <c r="F63" s="4"/>
      <c r="G63" s="4"/>
      <c r="H63" s="12"/>
      <c r="I63" s="12"/>
      <c r="J63" s="12"/>
      <c r="K63" s="12"/>
      <c r="L63" s="12"/>
      <c r="M63" s="12"/>
      <c r="N63" s="12">
        <f t="shared" ref="N63" si="41">+N62/J62-1</f>
        <v>9.24531466042448</v>
      </c>
      <c r="O63" s="12">
        <f t="shared" ref="O63" si="42">+O62/K62-1</f>
        <v>6.6392428743101792</v>
      </c>
      <c r="P63" s="12">
        <f t="shared" ref="P63" si="43">+P62/L62-1</f>
        <v>7.0352941834449449</v>
      </c>
      <c r="Q63" s="12">
        <f t="shared" ref="Q63" si="44">+Q62/M62-1</f>
        <v>4.666353143994578</v>
      </c>
      <c r="R63" s="12">
        <f t="shared" ref="R63" si="45">+R62/N62-1</f>
        <v>1.1928798433414158</v>
      </c>
      <c r="S63" s="12">
        <f t="shared" ref="S63" si="46">+S62/O62-1</f>
        <v>1.1065481086474742</v>
      </c>
      <c r="U63" s="1" t="str">
        <f ca="1"/>
        <v>GH US EQUITY</v>
      </c>
      <c r="V63">
        <f ca="1"/>
        <v>46203</v>
      </c>
      <c r="W63" t="str">
        <f ca="1"/>
        <v>custom</v>
      </c>
      <c r="X63" t="str">
        <f ca="1"/>
        <v>screening_revenue</v>
      </c>
      <c r="Y63" t="str">
        <f ca="1"/>
        <v>forecast</v>
      </c>
      <c r="Z63" t="str">
        <f ca="1"/>
        <v>37.8906446565785</v>
      </c>
      <c r="AA63" t="str">
        <f ca="1"/>
        <v>1.55775919107456</v>
      </c>
      <c r="AB63" t="str">
        <f ca="1"/>
        <v>-34098.0122413364</v>
      </c>
      <c r="AC63" t="str">
        <f ca="1"/>
        <v/>
      </c>
      <c r="AD63" t="str">
        <f ca="1"/>
        <v>0.118449231796509</v>
      </c>
    </row>
    <row r="64" spans="1:30" x14ac:dyDescent="0.45">
      <c r="C64" s="4" t="s">
        <v>19</v>
      </c>
      <c r="D64" s="1"/>
      <c r="L64" s="7"/>
      <c r="M64" s="7"/>
      <c r="N64" s="7"/>
      <c r="O64" s="7">
        <f>(O63-N63)*10000</f>
        <v>-26060.717861143006</v>
      </c>
      <c r="P64" s="7">
        <f t="shared" ref="P64" si="47">(P63-O63)*10000</f>
        <v>3960.5130913476573</v>
      </c>
      <c r="Q64" s="7">
        <f t="shared" ref="Q64" si="48">(Q63-P63)*10000</f>
        <v>-23689.41039450367</v>
      </c>
      <c r="R64" s="7">
        <f t="shared" ref="R64" si="49">(R63-Q63)*10000</f>
        <v>-34734.73300653162</v>
      </c>
      <c r="S64" s="7">
        <f t="shared" ref="S64" si="50">(S63-R63)*10000</f>
        <v>-863.31734693941621</v>
      </c>
      <c r="U64" t="str">
        <f ca="1"/>
        <v>GH US EQUITY</v>
      </c>
      <c r="V64">
        <f ca="1"/>
        <v>46295</v>
      </c>
      <c r="W64" t="str">
        <f ca="1"/>
        <v>custom</v>
      </c>
      <c r="X64" t="str">
        <f ca="1"/>
        <v>screening_revenue</v>
      </c>
      <c r="Y64" t="str">
        <f ca="1"/>
        <v>forecast</v>
      </c>
      <c r="Z64" t="str">
        <f ca="1"/>
        <v>56.0461769295285</v>
      </c>
      <c r="AA64" t="str">
        <f ca="1"/>
        <v>1.32441012481455</v>
      </c>
      <c r="AB64" t="str">
        <f ca="1"/>
        <v>-2333.49066260004</v>
      </c>
      <c r="AC64" t="str">
        <f ca="1"/>
        <v>-217154.702341087</v>
      </c>
      <c r="AD64" t="str">
        <f ca="1"/>
        <v>0.479156067084699</v>
      </c>
    </row>
    <row r="65" spans="1:30" x14ac:dyDescent="0.45">
      <c r="C65" s="4" t="s">
        <v>23</v>
      </c>
      <c r="D65" s="1"/>
      <c r="E65" s="7"/>
      <c r="F65" s="7"/>
      <c r="G65" s="7"/>
      <c r="H65" s="6"/>
      <c r="I65" s="6"/>
      <c r="J65" s="6"/>
      <c r="K65" s="6"/>
      <c r="L65" s="7"/>
      <c r="M65" s="7"/>
      <c r="N65" s="7"/>
      <c r="O65" s="7"/>
      <c r="P65" s="7"/>
      <c r="Q65" s="7"/>
      <c r="R65" s="7">
        <f t="shared" ref="R65" si="51">(R63-N63)*10000</f>
        <v>-80524.348170830635</v>
      </c>
      <c r="S65" s="7">
        <f t="shared" ref="S65" si="52">(S63-O63)*10000</f>
        <v>-55326.947656627053</v>
      </c>
      <c r="U65" t="str">
        <f ca="1"/>
        <v>GH US EQUITY</v>
      </c>
      <c r="V65">
        <f ca="1"/>
        <v>46387</v>
      </c>
      <c r="W65" t="str">
        <f ca="1"/>
        <v>custom</v>
      </c>
      <c r="X65" t="str">
        <f ca="1"/>
        <v>screening_revenue</v>
      </c>
      <c r="Y65" t="str">
        <f ca="1"/>
        <v>forecast</v>
      </c>
      <c r="Z65" t="str">
        <f ca="1"/>
        <v>70.2627789855328</v>
      </c>
      <c r="AA65" t="str">
        <f ca="1"/>
        <v>1.00013604103541</v>
      </c>
      <c r="AB65" t="str">
        <f ca="1"/>
        <v>-3242.74083779147</v>
      </c>
      <c r="AC65" t="str">
        <f ca="1"/>
        <v>-65242.5124360424</v>
      </c>
      <c r="AD65" t="str">
        <f ca="1"/>
        <v>0.253658729905521</v>
      </c>
    </row>
    <row r="66" spans="1:30" x14ac:dyDescent="0.45">
      <c r="C66" s="4" t="s">
        <v>5</v>
      </c>
      <c r="D66" s="1"/>
      <c r="G66" s="7"/>
      <c r="K66" s="12">
        <f t="shared" ref="K66:L66" si="53">K62/J62-1</f>
        <v>0.5</v>
      </c>
      <c r="L66" s="12">
        <f t="shared" si="53"/>
        <v>0.40625</v>
      </c>
      <c r="M66" s="12">
        <f t="shared" ref="M66" si="54">M62/L62-1</f>
        <v>0.77777777777777768</v>
      </c>
      <c r="N66" s="12">
        <f t="shared" ref="N66" si="55">N62/M62-1</f>
        <v>1.7320839094465281</v>
      </c>
      <c r="O66" s="12">
        <f t="shared" ref="O66" si="56">O62/N62-1</f>
        <v>0.11844923179650868</v>
      </c>
      <c r="P66" s="12">
        <f t="shared" ref="P66" si="57">P62/O62-1</f>
        <v>0.47915606708469882</v>
      </c>
      <c r="Q66" s="12">
        <f t="shared" ref="Q66" si="58">Q62/P62-1</f>
        <v>0.25365872990552041</v>
      </c>
      <c r="R66" s="12">
        <f t="shared" ref="R66" si="59">R62/Q62-1</f>
        <v>5.7317040271720465E-2</v>
      </c>
      <c r="S66" s="12">
        <f t="shared" ref="S66" si="60">S62/R62-1</f>
        <v>7.4416877428670203E-2</v>
      </c>
      <c r="U66" s="24" t="str" cm="1">
        <f t="array" aca="1" ref="U66:AD73" ca="1">_xlfn.LET(
  _xlpm.d, L77:S77,
  _xlpm.s, L78:S78,
  _xlpm.v, L80:S80,
  _xlpm.yy, L81:S81,
  _xlpm.qq, L82:S82,
  _xlpm.dyy, L83:S83,
  _xlpm.dqq, L84:S84,
  _xlpm.dd, TRANSPOSE(_xlpm.d),
  _xlpm.clean, _xlfn.LAMBDA(_xlpm.x, IF(_xlpm.x="","",_xlpm.x)),
_xlfn.HSTACK(
  _xlfn.MAKEARRAY(ROWS(_xlpm.dd),1, _xlfn.LAMBDA(_xlpm.r,_xlpm.c,$B$2)),
  _xlpm.dd,
  _xlfn.MAKEARRAY(ROWS(_xlpm.dd),1, _xlfn.LAMBDA(_xlpm.r,_xlpm.c,A80)),
  _xlfn.MAKEARRAY(ROWS(_xlpm.dd),1, _xlfn.LAMBDA(_xlpm.r,_xlpm.c,B80)),
  CLEAN(TRANSPOSE(_xlpm.s)),
  CLEAN(TRANSPOSE(_xlpm.v)),
  CLEAN(TRANSPOSE(_xlpm.yy)),
  CLEAN(TRANSPOSE(_xlpm.qq)),
  CLEAN(TRANSPOSE(_xlpm.dyy)),
  CLEAN(TRANSPOSE(_xlpm.dqq))
))</f>
        <v>GH US EQUITY</v>
      </c>
      <c r="V66">
        <f ca="1"/>
        <v>45747</v>
      </c>
      <c r="W66" t="str">
        <f ca="1"/>
        <v>custom</v>
      </c>
      <c r="X66" t="str">
        <f ca="1"/>
        <v>screening_rev_per_test</v>
      </c>
      <c r="Y66" t="str">
        <f ca="1"/>
        <v>actual</v>
      </c>
      <c r="Z66" t="str">
        <f ca="1"/>
        <v>630.777777777778</v>
      </c>
      <c r="AA66" t="str">
        <f ca="1"/>
        <v/>
      </c>
      <c r="AB66" t="str">
        <f ca="1"/>
        <v/>
      </c>
      <c r="AC66" t="str">
        <f ca="1"/>
        <v/>
      </c>
      <c r="AD66" t="str">
        <f ca="1"/>
        <v>-0.0203887945212867</v>
      </c>
    </row>
    <row r="67" spans="1:30" x14ac:dyDescent="0.45">
      <c r="C67" s="4"/>
      <c r="D67" s="1"/>
      <c r="K67" s="7"/>
      <c r="L67" s="7"/>
      <c r="M67" s="7"/>
      <c r="N67" s="7"/>
      <c r="O67" s="7"/>
      <c r="P67" s="7"/>
      <c r="Q67" s="7"/>
      <c r="R67" s="7"/>
      <c r="S67" s="7"/>
      <c r="U67" t="str">
        <f ca="1"/>
        <v>GH US EQUITY</v>
      </c>
      <c r="V67">
        <f ca="1"/>
        <v>45838</v>
      </c>
      <c r="W67" t="str">
        <f ca="1"/>
        <v>custom</v>
      </c>
      <c r="X67" t="str">
        <f ca="1"/>
        <v>screening_rev_per_test</v>
      </c>
      <c r="Y67" t="str">
        <f ca="1"/>
        <v>actual</v>
      </c>
      <c r="Z67" t="str">
        <f ca="1"/>
        <v>925.875</v>
      </c>
      <c r="AA67" t="str">
        <f ca="1"/>
        <v/>
      </c>
      <c r="AB67" t="str">
        <f ca="1"/>
        <v/>
      </c>
      <c r="AC67" t="str">
        <f ca="1"/>
        <v/>
      </c>
      <c r="AD67" t="str">
        <f ca="1"/>
        <v>0.467830720450943</v>
      </c>
    </row>
    <row r="68" spans="1:30" x14ac:dyDescent="0.45">
      <c r="C68" s="13" t="s">
        <v>12</v>
      </c>
      <c r="D68" s="14">
        <f t="shared" ref="D68:L68" ca="1" si="61">EOMONTH(DATE(YEAR(D70),ROUNDUP(MONTH(D70)/3,0)*3,1),0)</f>
        <v>45016</v>
      </c>
      <c r="E68" s="14">
        <f t="shared" ca="1" si="61"/>
        <v>45107</v>
      </c>
      <c r="F68" s="14">
        <f t="shared" ca="1" si="61"/>
        <v>45199</v>
      </c>
      <c r="G68" s="14">
        <f t="shared" ca="1" si="61"/>
        <v>45291</v>
      </c>
      <c r="H68" s="14">
        <f t="shared" ca="1" si="61"/>
        <v>45382</v>
      </c>
      <c r="I68" s="14">
        <f t="shared" ca="1" si="61"/>
        <v>45473</v>
      </c>
      <c r="J68" s="14">
        <f t="shared" ca="1" si="61"/>
        <v>45565</v>
      </c>
      <c r="K68" s="14">
        <f t="shared" ca="1" si="61"/>
        <v>45657</v>
      </c>
      <c r="L68" s="14">
        <f t="shared" ca="1" si="61"/>
        <v>45747</v>
      </c>
      <c r="M68" s="14">
        <f ca="1">EOMONTH(DATE(YEAR(M70),ROUNDUP(MONTH(M70)/3,0)*3,1),0)</f>
        <v>45838</v>
      </c>
      <c r="N68" s="14">
        <f ca="1">EOMONTH(DATE(YEAR(N70),ROUNDUP(MONTH(N70)/3,0)*3,1),0)</f>
        <v>45930</v>
      </c>
      <c r="O68" s="14">
        <f ca="1">EOMONTH(DATE(YEAR(O70),ROUNDUP(MONTH(O70)/3,0)*3,1),0)</f>
        <v>46022</v>
      </c>
      <c r="P68" s="14">
        <f t="shared" ref="P68:S68" si="62">EOMONTH(DATE(YEAR(P70),ROUNDUP(MONTH(P70)/3,0)*3,1),0)</f>
        <v>46112</v>
      </c>
      <c r="Q68" s="14">
        <f t="shared" si="62"/>
        <v>46203</v>
      </c>
      <c r="R68" s="14">
        <f t="shared" si="62"/>
        <v>46295</v>
      </c>
      <c r="S68" s="14">
        <f t="shared" si="62"/>
        <v>46387</v>
      </c>
      <c r="U68" t="str">
        <f ca="1"/>
        <v>GH US EQUITY</v>
      </c>
      <c r="V68">
        <f ca="1"/>
        <v>45930</v>
      </c>
      <c r="W68" t="str">
        <f ca="1"/>
        <v>custom</v>
      </c>
      <c r="X68" t="str">
        <f ca="1"/>
        <v>screening_rev_per_test</v>
      </c>
      <c r="Y68" t="str">
        <f ca="1"/>
        <v>actual</v>
      </c>
      <c r="Z68" t="str">
        <f ca="1"/>
        <v>551.59360032441</v>
      </c>
      <c r="AA68" t="str">
        <f ca="1"/>
        <v>1.34642674780739</v>
      </c>
      <c r="AB68" t="str">
        <f ca="1"/>
        <v/>
      </c>
      <c r="AC68" t="str">
        <f ca="1"/>
        <v/>
      </c>
      <c r="AD68" t="str">
        <f ca="1"/>
        <v>-0.404246145187622</v>
      </c>
    </row>
    <row r="69" spans="1:30" x14ac:dyDescent="0.45">
      <c r="C69" s="13" t="s">
        <v>35</v>
      </c>
      <c r="D69" s="2" t="str">
        <f t="shared" ref="D69:S69" si="63">+D$6</f>
        <v>actual</v>
      </c>
      <c r="E69" s="2" t="str">
        <f t="shared" si="63"/>
        <v>actual</v>
      </c>
      <c r="F69" s="2" t="str">
        <f t="shared" si="63"/>
        <v>actual</v>
      </c>
      <c r="G69" s="2" t="str">
        <f t="shared" si="63"/>
        <v>actual</v>
      </c>
      <c r="H69" s="2" t="str">
        <f t="shared" si="63"/>
        <v>actual</v>
      </c>
      <c r="I69" s="2" t="str">
        <f t="shared" si="63"/>
        <v>actual</v>
      </c>
      <c r="J69" s="2" t="str">
        <f t="shared" si="63"/>
        <v>actual</v>
      </c>
      <c r="K69" s="2" t="str">
        <f t="shared" si="63"/>
        <v>actual</v>
      </c>
      <c r="L69" s="2" t="str">
        <f t="shared" si="63"/>
        <v>actual</v>
      </c>
      <c r="M69" s="2" t="str">
        <f t="shared" si="63"/>
        <v>actual</v>
      </c>
      <c r="N69" s="2" t="str">
        <f t="shared" si="63"/>
        <v>actual</v>
      </c>
      <c r="O69" s="2" t="str">
        <f t="shared" si="63"/>
        <v>actual</v>
      </c>
      <c r="P69" s="2" t="str">
        <f t="shared" si="63"/>
        <v>forecast</v>
      </c>
      <c r="Q69" s="2" t="str">
        <f t="shared" si="63"/>
        <v>forecast</v>
      </c>
      <c r="R69" s="2" t="str">
        <f t="shared" si="63"/>
        <v>forecast</v>
      </c>
      <c r="S69" s="2" t="str">
        <f t="shared" si="63"/>
        <v>forecast</v>
      </c>
      <c r="U69" t="str">
        <f ca="1"/>
        <v>GH US EQUITY</v>
      </c>
      <c r="V69">
        <f ca="1"/>
        <v>46022</v>
      </c>
      <c r="W69" t="str">
        <f ca="1"/>
        <v>custom</v>
      </c>
      <c r="X69" t="str">
        <f ca="1"/>
        <v>screening_rev_per_test</v>
      </c>
      <c r="Y69" t="str">
        <f ca="1"/>
        <v>actual</v>
      </c>
      <c r="Z69" t="str">
        <f ca="1"/>
        <v>718.514431378862</v>
      </c>
      <c r="AA69" t="str">
        <f ca="1"/>
        <v>0.115868080763095</v>
      </c>
      <c r="AB69" t="str">
        <f ca="1"/>
        <v>-12305.586670443</v>
      </c>
      <c r="AC69" t="str">
        <f ca="1"/>
        <v/>
      </c>
      <c r="AD69" t="str">
        <f ca="1"/>
        <v>0.302615604960391</v>
      </c>
    </row>
    <row r="70" spans="1:30" x14ac:dyDescent="0.45">
      <c r="D70" s="2">
        <f t="shared" ref="D70:S70" ca="1" si="64">+D$7</f>
        <v>45016</v>
      </c>
      <c r="E70" s="2">
        <f t="shared" ca="1" si="64"/>
        <v>45107</v>
      </c>
      <c r="F70" s="2">
        <f t="shared" ca="1" si="64"/>
        <v>45199</v>
      </c>
      <c r="G70" s="2">
        <f t="shared" ca="1" si="64"/>
        <v>45291</v>
      </c>
      <c r="H70" s="2">
        <f t="shared" ca="1" si="64"/>
        <v>45382</v>
      </c>
      <c r="I70" s="2">
        <f t="shared" ca="1" si="64"/>
        <v>45473</v>
      </c>
      <c r="J70" s="2">
        <f t="shared" ca="1" si="64"/>
        <v>45565</v>
      </c>
      <c r="K70" s="2">
        <f t="shared" ca="1" si="64"/>
        <v>45657</v>
      </c>
      <c r="L70" s="2">
        <f t="shared" ca="1" si="64"/>
        <v>45747</v>
      </c>
      <c r="M70" s="2">
        <f t="shared" ca="1" si="64"/>
        <v>45838</v>
      </c>
      <c r="N70" s="2">
        <f t="shared" ca="1" si="64"/>
        <v>45930</v>
      </c>
      <c r="O70" s="2">
        <f t="shared" ca="1" si="64"/>
        <v>46022</v>
      </c>
      <c r="P70" s="2">
        <f t="shared" si="64"/>
        <v>46112</v>
      </c>
      <c r="Q70" s="2">
        <f t="shared" si="64"/>
        <v>46203</v>
      </c>
      <c r="R70" s="2">
        <f t="shared" si="64"/>
        <v>46295</v>
      </c>
      <c r="S70" s="2">
        <f t="shared" si="64"/>
        <v>46387</v>
      </c>
      <c r="U70" t="str">
        <f ca="1"/>
        <v>GH US EQUITY</v>
      </c>
      <c r="V70">
        <f ca="1"/>
        <v>46112</v>
      </c>
      <c r="W70" t="str">
        <f ca="1"/>
        <v>custom</v>
      </c>
      <c r="X70" t="str">
        <f ca="1"/>
        <v>screening_rev_per_test</v>
      </c>
      <c r="Y70" t="str">
        <f ca="1"/>
        <v>forecast</v>
      </c>
      <c r="Z70" t="str">
        <f ca="1"/>
        <v>468.458828205073</v>
      </c>
      <c r="AA70" t="str">
        <f ca="1"/>
        <v>-0.257331433178499</v>
      </c>
      <c r="AB70" t="str">
        <f ca="1"/>
        <v>-3731.99513941594</v>
      </c>
      <c r="AC70" t="str">
        <f ca="1"/>
        <v/>
      </c>
      <c r="AD70" t="str">
        <f ca="1"/>
        <v>-0.348017509813853</v>
      </c>
    </row>
    <row r="71" spans="1:30" x14ac:dyDescent="0.45">
      <c r="A71" s="16" t="s">
        <v>21</v>
      </c>
      <c r="B71" s="16" t="s">
        <v>53</v>
      </c>
      <c r="C71" s="2" t="s">
        <v>54</v>
      </c>
      <c r="D71" s="10"/>
      <c r="E71" s="10"/>
      <c r="F71" s="10"/>
      <c r="G71" s="10"/>
      <c r="H71" s="10">
        <v>0</v>
      </c>
      <c r="I71" s="10">
        <v>0</v>
      </c>
      <c r="J71" s="10">
        <v>1.0029999999999999</v>
      </c>
      <c r="K71" s="10">
        <v>4.1210000000000004</v>
      </c>
      <c r="L71" s="10">
        <v>5.6769999999999996</v>
      </c>
      <c r="M71" s="10">
        <v>14.814</v>
      </c>
      <c r="N71" s="10">
        <v>24.111999999999998</v>
      </c>
      <c r="O71" s="10">
        <v>35.128999999999998</v>
      </c>
      <c r="P71" s="10">
        <v>33.877840477136949</v>
      </c>
      <c r="Q71" s="10">
        <v>37.890644656578488</v>
      </c>
      <c r="R71" s="10">
        <v>56.046176929528492</v>
      </c>
      <c r="S71" s="10">
        <v>70.262778985532776</v>
      </c>
      <c r="U71" t="str">
        <f ca="1"/>
        <v>GH US EQUITY</v>
      </c>
      <c r="V71">
        <f ca="1"/>
        <v>46203</v>
      </c>
      <c r="W71" t="str">
        <f ca="1"/>
        <v>custom</v>
      </c>
      <c r="X71" t="str">
        <f ca="1"/>
        <v>screening_rev_per_test</v>
      </c>
      <c r="Y71" t="str">
        <f ca="1"/>
        <v>forecast</v>
      </c>
      <c r="Z71" t="str">
        <f ca="1"/>
        <v>417.934645239333</v>
      </c>
      <c r="AA71" t="str">
        <f ca="1"/>
        <v>-0.548605756458125</v>
      </c>
      <c r="AB71" t="str">
        <f ca="1"/>
        <v>-2912.74323279626</v>
      </c>
      <c r="AC71" t="str">
        <f ca="1"/>
        <v/>
      </c>
      <c r="AD71" t="str">
        <f ca="1"/>
        <v>-0.107851917658007</v>
      </c>
    </row>
    <row r="72" spans="1:30" x14ac:dyDescent="0.45">
      <c r="C72" s="4" t="s">
        <v>4</v>
      </c>
      <c r="D72" s="5"/>
      <c r="E72" s="4"/>
      <c r="F72" s="4"/>
      <c r="G72" s="4"/>
      <c r="H72" s="12"/>
      <c r="I72" s="12"/>
      <c r="J72" s="12"/>
      <c r="K72" s="12"/>
      <c r="L72" s="12"/>
      <c r="M72" s="12"/>
      <c r="N72" s="12">
        <f t="shared" ref="N72" si="65">+N71/J71-1</f>
        <v>23.039880358923231</v>
      </c>
      <c r="O72" s="12">
        <f t="shared" ref="O72" si="66">+O71/K71-1</f>
        <v>7.5243872846396496</v>
      </c>
      <c r="P72" s="12">
        <f t="shared" ref="P72" si="67">+P71/L71-1</f>
        <v>4.9675604152082</v>
      </c>
      <c r="Q72" s="12">
        <f t="shared" ref="Q72" si="68">+Q71/M71-1</f>
        <v>1.557759191074557</v>
      </c>
      <c r="R72" s="12">
        <f t="shared" ref="R72" si="69">+R71/N71-1</f>
        <v>1.3244101248145528</v>
      </c>
      <c r="S72" s="12">
        <f t="shared" ref="S72" si="70">+S71/O71-1</f>
        <v>1.0001360410354061</v>
      </c>
      <c r="U72" t="str">
        <f ca="1"/>
        <v>GH US EQUITY</v>
      </c>
      <c r="V72">
        <f ca="1"/>
        <v>46295</v>
      </c>
      <c r="W72" t="str">
        <f ca="1"/>
        <v>custom</v>
      </c>
      <c r="X72" t="str">
        <f ca="1"/>
        <v>screening_rev_per_test</v>
      </c>
      <c r="Y72" t="str">
        <f ca="1"/>
        <v>forecast</v>
      </c>
      <c r="Z72" t="str">
        <f ca="1"/>
        <v>584.678523663803</v>
      </c>
      <c r="AA72" t="str">
        <f ca="1"/>
        <v>0.0599806149308739</v>
      </c>
      <c r="AB72" t="str">
        <f ca="1"/>
        <v>6085.86371388999</v>
      </c>
      <c r="AC72" t="str">
        <f ca="1"/>
        <v>-12864.4613287652</v>
      </c>
      <c r="AD72" t="str">
        <f ca="1"/>
        <v>0.398971179642172</v>
      </c>
    </row>
    <row r="73" spans="1:30" x14ac:dyDescent="0.45">
      <c r="C73" s="4" t="s">
        <v>19</v>
      </c>
      <c r="D73" s="1"/>
      <c r="L73" s="7"/>
      <c r="M73" s="7"/>
      <c r="N73" s="7"/>
      <c r="O73" s="7">
        <f>(O72-N72)*10000</f>
        <v>-155154.9307428358</v>
      </c>
      <c r="P73" s="7">
        <f t="shared" ref="P73" si="71">(P72-O72)*10000</f>
        <v>-25568.268694314494</v>
      </c>
      <c r="Q73" s="7">
        <f t="shared" ref="Q73" si="72">(Q72-P72)*10000</f>
        <v>-34098.01224133643</v>
      </c>
      <c r="R73" s="7">
        <f t="shared" ref="R73" si="73">(R72-Q72)*10000</f>
        <v>-2333.490662600042</v>
      </c>
      <c r="S73" s="7">
        <f t="shared" ref="S73" si="74">(S72-R72)*10000</f>
        <v>-3242.7408377914667</v>
      </c>
      <c r="U73" t="str">
        <f ca="1"/>
        <v>GH US EQUITY</v>
      </c>
      <c r="V73">
        <f ca="1"/>
        <v>46387</v>
      </c>
      <c r="W73" t="str">
        <f ca="1"/>
        <v>custom</v>
      </c>
      <c r="X73" t="str">
        <f ca="1"/>
        <v>screening_rev_per_test</v>
      </c>
      <c r="Y73" t="str">
        <f ca="1"/>
        <v>forecast</v>
      </c>
      <c r="Z73" t="str">
        <f ca="1"/>
        <v>682.218746538687</v>
      </c>
      <c r="AA73" t="str">
        <f ca="1"/>
        <v>-0.0505149002651503</v>
      </c>
      <c r="AB73" t="str">
        <f ca="1"/>
        <v>-1104.95515196024</v>
      </c>
      <c r="AC73" t="str">
        <f ca="1"/>
        <v>-1663.82981028245</v>
      </c>
      <c r="AD73" t="str">
        <f ca="1"/>
        <v>0.166827100581124</v>
      </c>
    </row>
    <row r="74" spans="1:30" x14ac:dyDescent="0.45">
      <c r="C74" s="4" t="s">
        <v>23</v>
      </c>
      <c r="D74" s="1"/>
      <c r="E74" s="7"/>
      <c r="F74" s="7"/>
      <c r="G74" s="7"/>
      <c r="H74" s="6"/>
      <c r="I74" s="6"/>
      <c r="J74" s="6"/>
      <c r="K74" s="6"/>
      <c r="L74" s="7"/>
      <c r="M74" s="7"/>
      <c r="N74" s="7"/>
      <c r="O74" s="7"/>
      <c r="P74" s="7"/>
      <c r="Q74" s="7"/>
      <c r="R74" s="7">
        <f t="shared" ref="R74" si="75">(R72-N72)*10000</f>
        <v>-217154.70234108678</v>
      </c>
      <c r="S74" s="7">
        <f t="shared" ref="S74" si="76">(S72-O72)*10000</f>
        <v>-65242.512436042438</v>
      </c>
    </row>
    <row r="75" spans="1:30" x14ac:dyDescent="0.45">
      <c r="C75" s="4" t="s">
        <v>5</v>
      </c>
      <c r="D75" s="1"/>
      <c r="G75" s="7"/>
      <c r="K75" s="12">
        <f t="shared" ref="K75" si="77">K71/J71-1</f>
        <v>3.108673978065803</v>
      </c>
      <c r="L75" s="12">
        <f t="shared" ref="L75" si="78">L71/K71-1</f>
        <v>0.37757825770444042</v>
      </c>
      <c r="M75" s="12">
        <f t="shared" ref="M75" si="79">M71/L71-1</f>
        <v>1.6094768363572309</v>
      </c>
      <c r="N75" s="12">
        <f t="shared" ref="N75" si="80">N71/M71-1</f>
        <v>0.62764952072363966</v>
      </c>
      <c r="O75" s="12">
        <f t="shared" ref="O75" si="81">O71/N71-1</f>
        <v>0.45690942269409418</v>
      </c>
      <c r="P75" s="12">
        <f t="shared" ref="P75" si="82">P71/O71-1</f>
        <v>-3.5616144008171258E-2</v>
      </c>
      <c r="Q75" s="12">
        <f t="shared" ref="Q75" si="83">Q71/P71-1</f>
        <v>0.11844923179650868</v>
      </c>
      <c r="R75" s="12">
        <f t="shared" ref="R75" si="84">R71/Q71-1</f>
        <v>0.47915606708469882</v>
      </c>
      <c r="S75" s="12">
        <f t="shared" ref="S75" si="85">S71/R71-1</f>
        <v>0.25365872990552063</v>
      </c>
    </row>
    <row r="76" spans="1:30" x14ac:dyDescent="0.45">
      <c r="C76" s="4"/>
      <c r="D76" s="1"/>
      <c r="L76" s="7"/>
      <c r="M76" s="7"/>
      <c r="N76" s="7"/>
      <c r="O76" s="7"/>
      <c r="P76" s="7"/>
      <c r="Q76" s="7"/>
      <c r="R76" s="7"/>
      <c r="S76" s="7"/>
    </row>
    <row r="77" spans="1:30" x14ac:dyDescent="0.45">
      <c r="C77" s="13" t="s">
        <v>12</v>
      </c>
      <c r="D77" s="14">
        <f t="shared" ref="D77:L77" ca="1" si="86">EOMONTH(DATE(YEAR(D79),ROUNDUP(MONTH(D79)/3,0)*3,1),0)</f>
        <v>45016</v>
      </c>
      <c r="E77" s="14">
        <f t="shared" ca="1" si="86"/>
        <v>45107</v>
      </c>
      <c r="F77" s="14">
        <f t="shared" ca="1" si="86"/>
        <v>45199</v>
      </c>
      <c r="G77" s="14">
        <f t="shared" ca="1" si="86"/>
        <v>45291</v>
      </c>
      <c r="H77" s="14">
        <f t="shared" ca="1" si="86"/>
        <v>45382</v>
      </c>
      <c r="I77" s="14">
        <f t="shared" ca="1" si="86"/>
        <v>45473</v>
      </c>
      <c r="J77" s="14">
        <f t="shared" ca="1" si="86"/>
        <v>45565</v>
      </c>
      <c r="K77" s="14">
        <f t="shared" ca="1" si="86"/>
        <v>45657</v>
      </c>
      <c r="L77" s="14">
        <f t="shared" ca="1" si="86"/>
        <v>45747</v>
      </c>
      <c r="M77" s="14">
        <f ca="1">EOMONTH(DATE(YEAR(M79),ROUNDUP(MONTH(M79)/3,0)*3,1),0)</f>
        <v>45838</v>
      </c>
      <c r="N77" s="14">
        <f ca="1">EOMONTH(DATE(YEAR(N79),ROUNDUP(MONTH(N79)/3,0)*3,1),0)</f>
        <v>45930</v>
      </c>
      <c r="O77" s="14">
        <f ca="1">EOMONTH(DATE(YEAR(O79),ROUNDUP(MONTH(O79)/3,0)*3,1),0)</f>
        <v>46022</v>
      </c>
      <c r="P77" s="14">
        <f t="shared" ref="P77:S77" si="87">EOMONTH(DATE(YEAR(P79),ROUNDUP(MONTH(P79)/3,0)*3,1),0)</f>
        <v>46112</v>
      </c>
      <c r="Q77" s="14">
        <f t="shared" si="87"/>
        <v>46203</v>
      </c>
      <c r="R77" s="14">
        <f t="shared" si="87"/>
        <v>46295</v>
      </c>
      <c r="S77" s="14">
        <f t="shared" si="87"/>
        <v>46387</v>
      </c>
    </row>
    <row r="78" spans="1:30" x14ac:dyDescent="0.45">
      <c r="C78" s="13" t="s">
        <v>35</v>
      </c>
      <c r="D78" s="2" t="str">
        <f t="shared" ref="D78:S78" si="88">+D$6</f>
        <v>actual</v>
      </c>
      <c r="E78" s="2" t="str">
        <f t="shared" si="88"/>
        <v>actual</v>
      </c>
      <c r="F78" s="2" t="str">
        <f t="shared" si="88"/>
        <v>actual</v>
      </c>
      <c r="G78" s="2" t="str">
        <f t="shared" si="88"/>
        <v>actual</v>
      </c>
      <c r="H78" s="2" t="str">
        <f t="shared" si="88"/>
        <v>actual</v>
      </c>
      <c r="I78" s="2" t="str">
        <f t="shared" si="88"/>
        <v>actual</v>
      </c>
      <c r="J78" s="2" t="str">
        <f t="shared" si="88"/>
        <v>actual</v>
      </c>
      <c r="K78" s="2" t="str">
        <f t="shared" si="88"/>
        <v>actual</v>
      </c>
      <c r="L78" s="2" t="str">
        <f t="shared" si="88"/>
        <v>actual</v>
      </c>
      <c r="M78" s="2" t="str">
        <f t="shared" si="88"/>
        <v>actual</v>
      </c>
      <c r="N78" s="2" t="str">
        <f t="shared" si="88"/>
        <v>actual</v>
      </c>
      <c r="O78" s="2" t="str">
        <f t="shared" si="88"/>
        <v>actual</v>
      </c>
      <c r="P78" s="2" t="str">
        <f t="shared" si="88"/>
        <v>forecast</v>
      </c>
      <c r="Q78" s="2" t="str">
        <f t="shared" si="88"/>
        <v>forecast</v>
      </c>
      <c r="R78" s="2" t="str">
        <f t="shared" si="88"/>
        <v>forecast</v>
      </c>
      <c r="S78" s="2" t="str">
        <f t="shared" si="88"/>
        <v>forecast</v>
      </c>
    </row>
    <row r="79" spans="1:30" x14ac:dyDescent="0.45">
      <c r="D79" s="2">
        <f t="shared" ref="D79:S79" ca="1" si="89">+D$7</f>
        <v>45016</v>
      </c>
      <c r="E79" s="2">
        <f t="shared" ca="1" si="89"/>
        <v>45107</v>
      </c>
      <c r="F79" s="2">
        <f t="shared" ca="1" si="89"/>
        <v>45199</v>
      </c>
      <c r="G79" s="2">
        <f t="shared" ca="1" si="89"/>
        <v>45291</v>
      </c>
      <c r="H79" s="2">
        <f t="shared" ca="1" si="89"/>
        <v>45382</v>
      </c>
      <c r="I79" s="2">
        <f t="shared" ca="1" si="89"/>
        <v>45473</v>
      </c>
      <c r="J79" s="2">
        <f t="shared" ca="1" si="89"/>
        <v>45565</v>
      </c>
      <c r="K79" s="2">
        <f t="shared" ca="1" si="89"/>
        <v>45657</v>
      </c>
      <c r="L79" s="2">
        <f t="shared" ca="1" si="89"/>
        <v>45747</v>
      </c>
      <c r="M79" s="2">
        <f t="shared" ca="1" si="89"/>
        <v>45838</v>
      </c>
      <c r="N79" s="2">
        <f t="shared" ca="1" si="89"/>
        <v>45930</v>
      </c>
      <c r="O79" s="2">
        <f t="shared" ca="1" si="89"/>
        <v>46022</v>
      </c>
      <c r="P79" s="2">
        <f t="shared" si="89"/>
        <v>46112</v>
      </c>
      <c r="Q79" s="2">
        <f t="shared" si="89"/>
        <v>46203</v>
      </c>
      <c r="R79" s="2">
        <f t="shared" si="89"/>
        <v>46295</v>
      </c>
      <c r="S79" s="2">
        <f t="shared" si="89"/>
        <v>46387</v>
      </c>
    </row>
    <row r="80" spans="1:30" x14ac:dyDescent="0.45">
      <c r="A80" s="16" t="s">
        <v>21</v>
      </c>
      <c r="B80" s="16" t="s">
        <v>55</v>
      </c>
      <c r="C80" s="2" t="s">
        <v>50</v>
      </c>
      <c r="D80" s="35"/>
      <c r="E80" s="35"/>
      <c r="F80" s="35"/>
      <c r="G80" s="35"/>
      <c r="H80" s="35"/>
      <c r="I80" s="35"/>
      <c r="J80" s="35">
        <f t="shared" ref="J80:S80" si="90">J71/J62*1000000</f>
        <v>235.07812499999997</v>
      </c>
      <c r="K80" s="35">
        <f t="shared" si="90"/>
        <v>643.90625</v>
      </c>
      <c r="L80" s="35">
        <f t="shared" si="90"/>
        <v>630.77777777777771</v>
      </c>
      <c r="M80" s="35">
        <f t="shared" si="90"/>
        <v>925.875</v>
      </c>
      <c r="N80" s="35">
        <f t="shared" si="90"/>
        <v>551.59360032441009</v>
      </c>
      <c r="O80" s="35">
        <f t="shared" si="90"/>
        <v>718.51443137886179</v>
      </c>
      <c r="P80" s="35">
        <f t="shared" si="90"/>
        <v>468.45882820507342</v>
      </c>
      <c r="Q80" s="35">
        <f t="shared" si="90"/>
        <v>417.93464523933341</v>
      </c>
      <c r="R80" s="35">
        <f t="shared" si="90"/>
        <v>584.67852366380293</v>
      </c>
      <c r="S80" s="35">
        <f t="shared" si="90"/>
        <v>682.21874653868747</v>
      </c>
    </row>
    <row r="81" spans="3:19" x14ac:dyDescent="0.45">
      <c r="C81" s="4" t="s">
        <v>4</v>
      </c>
      <c r="D81" s="5"/>
      <c r="E81" s="4"/>
      <c r="F81" s="4"/>
      <c r="G81" s="4"/>
      <c r="H81" s="12"/>
      <c r="I81" s="12"/>
      <c r="J81" s="12"/>
      <c r="K81" s="12"/>
      <c r="L81" s="12"/>
      <c r="M81" s="12"/>
      <c r="N81" s="12">
        <f t="shared" ref="N81" si="91">+N80/J80-1</f>
        <v>1.3464267478073944</v>
      </c>
      <c r="O81" s="12">
        <f t="shared" ref="O81" si="92">+O80/K80-1</f>
        <v>0.11586808076309518</v>
      </c>
      <c r="P81" s="12">
        <f t="shared" ref="P81" si="93">+P80/L80-1</f>
        <v>-0.25733143317849905</v>
      </c>
      <c r="Q81" s="12">
        <f t="shared" ref="Q81" si="94">+Q80/M80-1</f>
        <v>-0.54860575645812504</v>
      </c>
      <c r="R81" s="12">
        <f t="shared" ref="R81" si="95">+R80/N80-1</f>
        <v>5.9980614930873921E-2</v>
      </c>
      <c r="S81" s="12">
        <f t="shared" ref="S81" si="96">+S80/O80-1</f>
        <v>-5.0514900265150264E-2</v>
      </c>
    </row>
    <row r="82" spans="3:19" x14ac:dyDescent="0.45">
      <c r="C82" s="4" t="s">
        <v>19</v>
      </c>
      <c r="D82" s="1"/>
      <c r="L82" s="7"/>
      <c r="M82" s="7"/>
      <c r="N82" s="7"/>
      <c r="O82" s="7">
        <f>(O81-N81)*10000</f>
        <v>-12305.586670442992</v>
      </c>
      <c r="P82" s="7">
        <f t="shared" ref="P82" si="97">(P81-O81)*10000</f>
        <v>-3731.9951394159425</v>
      </c>
      <c r="Q82" s="7">
        <f t="shared" ref="Q82" si="98">(Q81-P81)*10000</f>
        <v>-2912.7432327962597</v>
      </c>
      <c r="R82" s="7">
        <f t="shared" ref="R82" si="99">(R81-Q81)*10000</f>
        <v>6085.8637138899894</v>
      </c>
      <c r="S82" s="7">
        <f t="shared" ref="S82" si="100">(S81-R81)*10000</f>
        <v>-1104.9551519602419</v>
      </c>
    </row>
    <row r="83" spans="3:19" x14ac:dyDescent="0.45">
      <c r="C83" s="4" t="s">
        <v>23</v>
      </c>
      <c r="D83" s="1"/>
      <c r="E83" s="7"/>
      <c r="F83" s="7"/>
      <c r="G83" s="7"/>
      <c r="H83" s="6"/>
      <c r="I83" s="6"/>
      <c r="J83" s="6"/>
      <c r="K83" s="6"/>
      <c r="L83" s="7"/>
      <c r="M83" s="7"/>
      <c r="N83" s="7"/>
      <c r="O83" s="7"/>
      <c r="P83" s="7"/>
      <c r="Q83" s="7"/>
      <c r="R83" s="7">
        <f t="shared" ref="R83" si="101">(R81-N81)*10000</f>
        <v>-12864.461328765205</v>
      </c>
      <c r="S83" s="7">
        <f t="shared" ref="S83" si="102">(S81-O81)*10000</f>
        <v>-1663.8298102824544</v>
      </c>
    </row>
    <row r="84" spans="3:19" x14ac:dyDescent="0.45">
      <c r="C84" s="4" t="s">
        <v>5</v>
      </c>
      <c r="D84" s="1"/>
      <c r="G84" s="7"/>
      <c r="K84" s="12">
        <f t="shared" ref="K84" si="103">K80/J80-1</f>
        <v>1.739115985377202</v>
      </c>
      <c r="L84" s="12">
        <f t="shared" ref="L84" si="104">L80/K80-1</f>
        <v>-2.0388794521286724E-2</v>
      </c>
      <c r="M84" s="12">
        <f t="shared" ref="M84" si="105">M80/L80-1</f>
        <v>0.46783072045094265</v>
      </c>
      <c r="N84" s="12">
        <f t="shared" ref="N84" si="106">N80/M80-1</f>
        <v>-0.40424614518762247</v>
      </c>
      <c r="O84" s="12">
        <f t="shared" ref="O84" si="107">O80/N80-1</f>
        <v>0.30261560496039142</v>
      </c>
      <c r="P84" s="12">
        <f t="shared" ref="P84" si="108">P80/O80-1</f>
        <v>-0.34801750981385349</v>
      </c>
      <c r="Q84" s="12">
        <f t="shared" ref="Q84" si="109">Q80/P80-1</f>
        <v>-0.10785191765800695</v>
      </c>
      <c r="R84" s="12">
        <f t="shared" ref="R84" si="110">R80/Q80-1</f>
        <v>0.39897117964217199</v>
      </c>
      <c r="S84" s="12">
        <f t="shared" ref="S84" si="111">S80/R80-1</f>
        <v>0.16682710058112438</v>
      </c>
    </row>
    <row r="85" spans="3:19" x14ac:dyDescent="0.45"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</vt:lpstr>
      <vt:lpstr>ADPT</vt:lpstr>
      <vt:lpstr>VCYT</vt:lpstr>
      <vt:lpstr>NEO</vt:lpstr>
      <vt:lpstr>NTRA</vt:lpstr>
      <vt:lpstr>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Yuuji Anderson</dc:creator>
  <cp:lastModifiedBy>Yuuji Anderson</cp:lastModifiedBy>
  <dcterms:created xsi:type="dcterms:W3CDTF">2026-02-26T16:05:26Z</dcterms:created>
  <dcterms:modified xsi:type="dcterms:W3CDTF">2026-03-30T20:38:11Z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