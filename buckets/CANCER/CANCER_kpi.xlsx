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ji\Dropbox\Kaissa Consumer\Mosaic\buckets\CANCER\"/>
    </mc:Choice>
  </mc:AlternateContent>
  <xr:revisionPtr revIDLastSave="0" documentId="13_ncr:1_{4D9DDCA6-2637-45F2-82E7-A672702C717D}" xr6:coauthVersionLast="47" xr6:coauthVersionMax="47" xr10:uidLastSave="{00000000-0000-0000-0000-000000000000}"/>
  <bookViews>
    <workbookView xWindow="21600" yWindow="-16200" windowWidth="19410" windowHeight="15585" activeTab="1" xr2:uid="{30DE43AD-F492-43CF-BD64-FB4AD4D1959C}"/>
  </bookViews>
  <sheets>
    <sheet name="ADPT" sheetId="1" r:id="rId1"/>
    <sheet name="GH" sheetId="12" r:id="rId2"/>
    <sheet name="CASY" sheetId="8" r:id="rId3"/>
    <sheet name="MUSA" sheetId="9" r:id="rId4"/>
    <sheet name="ORLY" sheetId="10" r:id="rId5"/>
    <sheet name="VVV" sheetId="11" r:id="rId6"/>
  </sheets>
  <definedNames>
    <definedName name="KPI_BLOCK" localSheetId="2">_xlfn.LET(   _xlpm.d, CASY!$L$5:$O$5,   _xlpm.v, CASY!$L$7:$O$7,   _xlpm.yy,CASY!$L$8:$O$8,   _xlpm.qq,CASY!$L$9:$O$9,   _xlpm.dyy,CASY!$L$10:$O$10,   _xlpm.dqq,CASY!$L$11:$O$11,   _xlpm.dd, TRANSPOSE(_xlpm.d),    _xlpm.block, _xlfn.HSTACK(     _xlfn.MAKEARRAY(ROWS(_xlpm.dd),1, _xlfn.LAMBDA(_xlpm.r,_xlpm.c,CASY!$B$2)),     _xlpm.dd,     _xlfn.MAKEARRAY(ROWS(_xlpm.dd),1, _xlfn.LAMBDA(_xlpm.r,_xlpm.c,CASY!$A$7)),     _xlfn.MAKEARRAY(ROWS(_xlpm.dd),1, _xlfn.LAMBDA(_xlpm.r,_xlpm.c,CASY!$B$7)),     TRANSPOSE(_xlpm.v),     TRANSPOSE(_xlpm.yy),     TRANSPOSE(_xlpm.qq),     TRANSPOSE(_xlpm.dyy),     TRANSPOSE(_xlpm.dqq)   ),    _xlfn._xlws.FILTER(_xlpm.block, INDEX(_xlpm.block,,5) &lt;&gt; "") )</definedName>
    <definedName name="KPI_BLOCK" localSheetId="1">_xlfn.LET(   _xlpm.d, GH!$L$5:$O$5,   _xlpm.v, GH!$L$7:$O$7,   _xlpm.yy,GH!$L$8:$O$8,   _xlpm.qq,GH!$L$9:$O$9,   _xlpm.dyy,GH!$L$10:$O$10,   _xlpm.dqq,GH!$L$11:$O$11,   _xlpm.dd, TRANSPOSE(_xlpm.d),    _xlpm.block, _xlfn.HSTACK(     _xlfn.MAKEARRAY(ROWS(_xlpm.dd),1, _xlfn.LAMBDA(_xlpm.r,_xlpm.c,GH!$B$2)),     _xlpm.dd,     _xlfn.MAKEARRAY(ROWS(_xlpm.dd),1, _xlfn.LAMBDA(_xlpm.r,_xlpm.c,GH!$A$7)),     _xlfn.MAKEARRAY(ROWS(_xlpm.dd),1, _xlfn.LAMBDA(_xlpm.r,_xlpm.c,GH!$B$7)),     TRANSPOSE(_xlpm.v),     TRANSPOSE(_xlpm.yy),     TRANSPOSE(_xlpm.qq),     TRANSPOSE(_xlpm.dyy),     TRANSPOSE(_xlpm.dqq)   ),    _xlfn._xlws.FILTER(_xlpm.block, INDEX(_xlpm.block,,5) &lt;&gt; "") )</definedName>
    <definedName name="KPI_BLOCK" localSheetId="3">_xlfn.LET(   _xlpm.d, MUSA!$L$5:$O$5,   _xlpm.v, MUSA!$L$7:$O$7,   _xlpm.yy,MUSA!$L$8:$O$8,   _xlpm.qq,MUSA!$L$9:$O$9,   _xlpm.dyy,MUSA!$L$10:$O$10,   _xlpm.dqq,MUSA!$L$11:$O$11,   _xlpm.dd, TRANSPOSE(_xlpm.d),    _xlpm.block, _xlfn.HSTACK(     _xlfn.MAKEARRAY(ROWS(_xlpm.dd),1, _xlfn.LAMBDA(_xlpm.r,_xlpm.c,MUSA!$B$2)),     _xlpm.dd,     _xlfn.MAKEARRAY(ROWS(_xlpm.dd),1, _xlfn.LAMBDA(_xlpm.r,_xlpm.c,MUSA!$A$7)),     _xlfn.MAKEARRAY(ROWS(_xlpm.dd),1, _xlfn.LAMBDA(_xlpm.r,_xlpm.c,MUSA!$B$7)),     TRANSPOSE(_xlpm.v),     TRANSPOSE(_xlpm.yy),     TRANSPOSE(_xlpm.qq),     TRANSPOSE(_xlpm.dyy),     TRANSPOSE(_xlpm.dqq)   ),    _xlfn._xlws.FILTER(_xlpm.block, INDEX(_xlpm.block,,5) &lt;&gt; "") )</definedName>
    <definedName name="KPI_BLOCK" localSheetId="4">_xlfn.LET(   _xlpm.d, ORLY!$L$5:$O$5,   _xlpm.v, ORLY!$L$7:$O$7,   _xlpm.yy,ORLY!$L$8:$O$8,   _xlpm.qq,ORLY!$L$9:$O$9,   _xlpm.dyy,ORLY!$L$10:$O$10,   _xlpm.dqq,ORLY!$L$11:$O$11,   _xlpm.dd, TRANSPOSE(_xlpm.d),    _xlpm.block, _xlfn.HSTACK(     _xlfn.MAKEARRAY(ROWS(_xlpm.dd),1, _xlfn.LAMBDA(_xlpm.r,_xlpm.c,ORLY!$B$2)),     _xlpm.dd,     _xlfn.MAKEARRAY(ROWS(_xlpm.dd),1, _xlfn.LAMBDA(_xlpm.r,_xlpm.c,ORLY!$A$7)),     _xlfn.MAKEARRAY(ROWS(_xlpm.dd),1, _xlfn.LAMBDA(_xlpm.r,_xlpm.c,ORLY!$B$7)),     TRANSPOSE(_xlpm.v),     TRANSPOSE(_xlpm.yy),     TRANSPOSE(_xlpm.qq),     TRANSPOSE(_xlpm.dyy),     TRANSPOSE(_xlpm.dqq)   ),    _xlfn._xlws.FILTER(_xlpm.block, INDEX(_xlpm.block,,5) &lt;&gt; "") )</definedName>
    <definedName name="KPI_BLOCK" localSheetId="5">_xlfn.LET(   _xlpm.d, VVV!$L$5:$O$5,   _xlpm.v, VVV!$L$7:$O$7,   _xlpm.yy,VVV!$L$8:$O$8,   _xlpm.qq,VVV!$L$9:$O$9,   _xlpm.dyy,VVV!$L$10:$O$10,   _xlpm.dqq,VVV!$L$11:$O$11,   _xlpm.dd, TRANSPOSE(_xlpm.d),    _xlpm.block, _xlfn.HSTACK(     _xlfn.MAKEARRAY(ROWS(_xlpm.dd),1, _xlfn.LAMBDA(_xlpm.r,_xlpm.c,VVV!$B$2)),     _xlpm.dd,     _xlfn.MAKEARRAY(ROWS(_xlpm.dd),1, _xlfn.LAMBDA(_xlpm.r,_xlpm.c,VVV!$A$7)),     _xlfn.MAKEARRAY(ROWS(_xlpm.dd),1, _xlfn.LAMBDA(_xlpm.r,_xlpm.c,VVV!$B$7)),     TRANSPOSE(_xlpm.v),     TRANSPOSE(_xlpm.yy),     TRANSPOSE(_xlpm.qq),     TRANSPOSE(_xlpm.dyy),     TRANSPOSE(_xlpm.dqq)   ),    _xlfn._xlws.FILTER(_xlpm.block, INDEX(_xlpm.block,,5) &lt;&gt; "") )</definedName>
    <definedName name="KPI_BLOCK">_xlfn.LET(   _xlpm.d, ADPT!$L$5:$O$5,   _xlpm.v, ADPT!$L$7:$O$7,   _xlpm.yy,ADPT!$L$8:$O$8,   _xlpm.qq,ADPT!$L$9:$O$9,   _xlpm.dyy,ADPT!$L$10:$O$10,   _xlpm.dqq,ADPT!$L$11:$O$11,   _xlpm.dd, TRANSPOSE(_xlpm.d),    _xlpm.block, _xlfn.HSTACK(     _xlfn.MAKEARRAY(ROWS(_xlpm.dd),1, _xlfn.LAMBDA(_xlpm.r,_xlpm.c,ADPT!$B$2)),     _xlpm.dd,     _xlfn.MAKEARRAY(ROWS(_xlpm.dd),1, _xlfn.LAMBDA(_xlpm.r,_xlpm.c,ADPT!$A$7)),     _xlfn.MAKEARRAY(ROWS(_xlpm.dd),1, _xlfn.LAMBDA(_xlpm.r,_xlpm.c,ADPT!$B$7)),     TRANSPOSE(_xlpm.v),     TRANSPOSE(_xlpm.yy),     TRANSPOSE(_xlpm.qq),     TRANSPOSE(_xlpm.dyy),     TRANSPOSE(_xlpm.dqq)   ),    _xlfn._xlws.FILTER(_xlpm.block, INDEX(_xlpm.block,,5) &lt;&gt; "") 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" i="12" l="1"/>
  <c r="N43" i="12"/>
  <c r="M43" i="12"/>
  <c r="L43" i="12"/>
  <c r="O40" i="12"/>
  <c r="O41" i="12" s="1"/>
  <c r="N40" i="12"/>
  <c r="N41" i="12" s="1"/>
  <c r="M40" i="12"/>
  <c r="M41" i="12" s="1"/>
  <c r="L40" i="12"/>
  <c r="O59" i="12"/>
  <c r="N59" i="12"/>
  <c r="M59" i="12"/>
  <c r="O53" i="12"/>
  <c r="N53" i="12"/>
  <c r="M53" i="12"/>
  <c r="L53" i="12"/>
  <c r="O51" i="12"/>
  <c r="N51" i="12"/>
  <c r="M51" i="12"/>
  <c r="O45" i="12"/>
  <c r="N45" i="12"/>
  <c r="M45" i="12"/>
  <c r="L45" i="12"/>
  <c r="O37" i="12" l="1"/>
  <c r="N37" i="12"/>
  <c r="M37" i="12"/>
  <c r="L37" i="12"/>
  <c r="K37" i="12"/>
  <c r="J37" i="12"/>
  <c r="I37" i="12"/>
  <c r="H37" i="12"/>
  <c r="O35" i="12"/>
  <c r="N35" i="12"/>
  <c r="M35" i="12"/>
  <c r="L35" i="12"/>
  <c r="O32" i="12"/>
  <c r="N32" i="12"/>
  <c r="M32" i="12"/>
  <c r="L32" i="12"/>
  <c r="Q30" i="12" a="1"/>
  <c r="Q30" i="12" s="1"/>
  <c r="O29" i="12"/>
  <c r="N29" i="12"/>
  <c r="M29" i="12"/>
  <c r="L29" i="12"/>
  <c r="K29" i="12"/>
  <c r="J29" i="12"/>
  <c r="I29" i="12"/>
  <c r="H29" i="12"/>
  <c r="Q26" i="12" a="1"/>
  <c r="Q26" i="12" s="1"/>
  <c r="Q22" i="12" a="1"/>
  <c r="Q22" i="12" s="1"/>
  <c r="B4" i="12"/>
  <c r="B3" i="12" s="1"/>
  <c r="D14" i="12" a="1"/>
  <c r="D6" i="12" a="1"/>
  <c r="D22" i="12" a="1"/>
  <c r="D22" i="12" l="1"/>
  <c r="D6" i="12"/>
  <c r="D5" i="12" s="1"/>
  <c r="D14" i="12"/>
  <c r="D13" i="12" s="1"/>
  <c r="M11" i="12"/>
  <c r="K8" i="12"/>
  <c r="G5" i="12"/>
  <c r="L11" i="12"/>
  <c r="J8" i="12"/>
  <c r="F5" i="12"/>
  <c r="N5" i="12"/>
  <c r="O8" i="12"/>
  <c r="K5" i="12"/>
  <c r="I5" i="12"/>
  <c r="N11" i="12"/>
  <c r="H5" i="12"/>
  <c r="I8" i="12"/>
  <c r="E5" i="12"/>
  <c r="M5" i="12"/>
  <c r="H8" i="12"/>
  <c r="O5" i="12"/>
  <c r="N8" i="12"/>
  <c r="J5" i="12"/>
  <c r="O11" i="12"/>
  <c r="L8" i="12"/>
  <c r="L5" i="12"/>
  <c r="M8" i="12"/>
  <c r="K24" i="12"/>
  <c r="G21" i="12"/>
  <c r="O27" i="12"/>
  <c r="D21" i="12"/>
  <c r="J21" i="12"/>
  <c r="M24" i="12"/>
  <c r="N27" i="12"/>
  <c r="O24" i="12"/>
  <c r="J24" i="12"/>
  <c r="F21" i="12"/>
  <c r="M27" i="12"/>
  <c r="O21" i="12"/>
  <c r="L27" i="12"/>
  <c r="N21" i="12"/>
  <c r="M21" i="12"/>
  <c r="L21" i="12"/>
  <c r="K21" i="12"/>
  <c r="N24" i="12"/>
  <c r="I21" i="12"/>
  <c r="H21" i="12"/>
  <c r="I24" i="12"/>
  <c r="E21" i="12"/>
  <c r="L24" i="12"/>
  <c r="H24" i="12"/>
  <c r="O19" i="12"/>
  <c r="N19" i="12"/>
  <c r="L16" i="12"/>
  <c r="E13" i="12"/>
  <c r="M19" i="12"/>
  <c r="O13" i="12"/>
  <c r="L19" i="12"/>
  <c r="N13" i="12"/>
  <c r="L13" i="12"/>
  <c r="M16" i="12"/>
  <c r="I13" i="12"/>
  <c r="H16" i="12"/>
  <c r="M13" i="12"/>
  <c r="O16" i="12"/>
  <c r="K13" i="12"/>
  <c r="N16" i="12"/>
  <c r="J13" i="12"/>
  <c r="H13" i="12"/>
  <c r="K16" i="12"/>
  <c r="G13" i="12"/>
  <c r="J16" i="12"/>
  <c r="F13" i="12"/>
  <c r="I16" i="12"/>
  <c r="Q18" i="12" a="1"/>
  <c r="Q18" i="12" s="1"/>
  <c r="O33" i="12"/>
  <c r="M33" i="12"/>
  <c r="Q14" i="12" s="1" a="1"/>
  <c r="Q14" i="12" s="1"/>
  <c r="N33" i="12"/>
  <c r="O43" i="1"/>
  <c r="N43" i="1"/>
  <c r="M43" i="1"/>
  <c r="L43" i="1"/>
  <c r="O40" i="1"/>
  <c r="N40" i="1"/>
  <c r="M40" i="1"/>
  <c r="L40" i="1"/>
  <c r="K40" i="1"/>
  <c r="J40" i="1"/>
  <c r="I40" i="1"/>
  <c r="H40" i="1"/>
  <c r="O37" i="1"/>
  <c r="N37" i="1"/>
  <c r="M37" i="1"/>
  <c r="L37" i="1"/>
  <c r="K37" i="1"/>
  <c r="J37" i="1"/>
  <c r="I37" i="1"/>
  <c r="H37" i="1"/>
  <c r="G37" i="1"/>
  <c r="F37" i="1"/>
  <c r="E37" i="1"/>
  <c r="D37" i="1"/>
  <c r="F29" i="1"/>
  <c r="E29" i="1"/>
  <c r="D29" i="1"/>
  <c r="O35" i="1"/>
  <c r="N35" i="1"/>
  <c r="M35" i="1"/>
  <c r="L35" i="1"/>
  <c r="O32" i="1"/>
  <c r="O33" i="1" s="1"/>
  <c r="N32" i="1"/>
  <c r="M32" i="1"/>
  <c r="L32" i="1"/>
  <c r="L33" i="1" s="1"/>
  <c r="K32" i="1"/>
  <c r="J32" i="1"/>
  <c r="I32" i="1"/>
  <c r="H32" i="1"/>
  <c r="O35" i="11"/>
  <c r="N35" i="11"/>
  <c r="M35" i="11"/>
  <c r="L35" i="11"/>
  <c r="K35" i="11"/>
  <c r="J35" i="11"/>
  <c r="I35" i="11"/>
  <c r="H35" i="11"/>
  <c r="G35" i="11"/>
  <c r="O32" i="11"/>
  <c r="N32" i="11"/>
  <c r="M32" i="11"/>
  <c r="L32" i="11"/>
  <c r="K32" i="11"/>
  <c r="Q30" i="11" a="1"/>
  <c r="Q30" i="11" s="1"/>
  <c r="O29" i="11"/>
  <c r="N29" i="11"/>
  <c r="M29" i="11"/>
  <c r="L29" i="11"/>
  <c r="Q14" i="11" s="1" a="1"/>
  <c r="Q14" i="11" s="1"/>
  <c r="K29" i="11"/>
  <c r="J29" i="11"/>
  <c r="I29" i="11"/>
  <c r="H29" i="11"/>
  <c r="G29" i="11"/>
  <c r="F29" i="11"/>
  <c r="E29" i="11"/>
  <c r="D29" i="11"/>
  <c r="Q26" i="11" a="1"/>
  <c r="Q26" i="11" s="1"/>
  <c r="Q22" i="11" a="1"/>
  <c r="Q22" i="11" s="1"/>
  <c r="Q18" i="11" a="1"/>
  <c r="Q18" i="11" s="1"/>
  <c r="B4" i="11"/>
  <c r="B3" i="11" s="1"/>
  <c r="O35" i="10"/>
  <c r="N35" i="10"/>
  <c r="M35" i="10"/>
  <c r="L35" i="10"/>
  <c r="K35" i="10"/>
  <c r="J35" i="10"/>
  <c r="I35" i="10"/>
  <c r="H35" i="10"/>
  <c r="G35" i="10"/>
  <c r="O32" i="10"/>
  <c r="N32" i="10"/>
  <c r="M32" i="10"/>
  <c r="L32" i="10"/>
  <c r="K32" i="10"/>
  <c r="Q30" i="10" a="1"/>
  <c r="Q30" i="10" s="1"/>
  <c r="O29" i="10"/>
  <c r="N29" i="10"/>
  <c r="M29" i="10"/>
  <c r="L29" i="10"/>
  <c r="Q14" i="10" s="1" a="1"/>
  <c r="Q14" i="10" s="1"/>
  <c r="K29" i="10"/>
  <c r="J29" i="10"/>
  <c r="I29" i="10"/>
  <c r="H29" i="10"/>
  <c r="G29" i="10"/>
  <c r="F29" i="10"/>
  <c r="E29" i="10"/>
  <c r="D29" i="10"/>
  <c r="Q26" i="10" a="1"/>
  <c r="Q26" i="10" s="1"/>
  <c r="Q22" i="10" a="1"/>
  <c r="Q22" i="10" s="1"/>
  <c r="Q18" i="10" a="1"/>
  <c r="Q18" i="10" s="1"/>
  <c r="B4" i="10"/>
  <c r="B3" i="10" s="1"/>
  <c r="H40" i="9"/>
  <c r="I40" i="9"/>
  <c r="J40" i="9"/>
  <c r="K40" i="9"/>
  <c r="O42" i="9" s="1"/>
  <c r="O43" i="9"/>
  <c r="N43" i="9"/>
  <c r="M43" i="9"/>
  <c r="L43" i="9"/>
  <c r="O40" i="9"/>
  <c r="N40" i="9"/>
  <c r="N42" i="9" s="1"/>
  <c r="M40" i="9"/>
  <c r="M41" i="9" s="1"/>
  <c r="L40" i="9"/>
  <c r="L42" i="9" s="1"/>
  <c r="Q22" i="9" a="1"/>
  <c r="Q22" i="9" s="1"/>
  <c r="O37" i="9"/>
  <c r="N37" i="9"/>
  <c r="M37" i="9"/>
  <c r="L37" i="9"/>
  <c r="K37" i="9"/>
  <c r="J37" i="9"/>
  <c r="I37" i="9"/>
  <c r="H37" i="9"/>
  <c r="G37" i="9"/>
  <c r="F37" i="9"/>
  <c r="E37" i="9"/>
  <c r="D37" i="9"/>
  <c r="O35" i="9"/>
  <c r="N35" i="9"/>
  <c r="M35" i="9"/>
  <c r="L35" i="9"/>
  <c r="Q14" i="9" s="1" a="1"/>
  <c r="Q14" i="9" s="1"/>
  <c r="K35" i="9"/>
  <c r="J35" i="9"/>
  <c r="I35" i="9"/>
  <c r="H35" i="9"/>
  <c r="G35" i="9"/>
  <c r="O32" i="9"/>
  <c r="N32" i="9"/>
  <c r="M32" i="9"/>
  <c r="L32" i="9"/>
  <c r="K32" i="9"/>
  <c r="J32" i="9"/>
  <c r="Q30" i="9" a="1"/>
  <c r="Q30" i="9" s="1"/>
  <c r="O29" i="9"/>
  <c r="N29" i="9"/>
  <c r="M29" i="9"/>
  <c r="L29" i="9"/>
  <c r="K29" i="9"/>
  <c r="J29" i="9"/>
  <c r="I29" i="9"/>
  <c r="H29" i="9"/>
  <c r="G29" i="9"/>
  <c r="F29" i="9"/>
  <c r="E29" i="9"/>
  <c r="Q26" i="9" a="1"/>
  <c r="Q26" i="9" s="1"/>
  <c r="B4" i="9"/>
  <c r="B3" i="9" s="1"/>
  <c r="O29" i="1"/>
  <c r="O32" i="8"/>
  <c r="O35" i="8"/>
  <c r="O37" i="8"/>
  <c r="O40" i="8"/>
  <c r="O43" i="8"/>
  <c r="O48" i="8"/>
  <c r="O51" i="8"/>
  <c r="O45" i="8"/>
  <c r="Q22" i="8" s="1" a="1"/>
  <c r="Q22" i="8" s="1"/>
  <c r="O29" i="8"/>
  <c r="N51" i="8"/>
  <c r="M51" i="8"/>
  <c r="L51" i="8"/>
  <c r="K51" i="8"/>
  <c r="J51" i="8"/>
  <c r="I51" i="8"/>
  <c r="H51" i="8"/>
  <c r="G51" i="8"/>
  <c r="N48" i="8"/>
  <c r="M48" i="8"/>
  <c r="L48" i="8"/>
  <c r="K48" i="8"/>
  <c r="J48" i="8"/>
  <c r="N45" i="8"/>
  <c r="M45" i="8"/>
  <c r="L45" i="8"/>
  <c r="K45" i="8"/>
  <c r="J45" i="8"/>
  <c r="I45" i="8"/>
  <c r="H45" i="8"/>
  <c r="G45" i="8"/>
  <c r="F45" i="8"/>
  <c r="E45" i="8"/>
  <c r="N43" i="8"/>
  <c r="M43" i="8"/>
  <c r="L43" i="8"/>
  <c r="K43" i="8"/>
  <c r="J43" i="8"/>
  <c r="I43" i="8"/>
  <c r="H43" i="8"/>
  <c r="G43" i="8"/>
  <c r="N40" i="8"/>
  <c r="M40" i="8"/>
  <c r="L40" i="8"/>
  <c r="K40" i="8"/>
  <c r="J40" i="8"/>
  <c r="N37" i="8"/>
  <c r="M37" i="8"/>
  <c r="L37" i="8"/>
  <c r="K37" i="8"/>
  <c r="J37" i="8"/>
  <c r="I37" i="8"/>
  <c r="H37" i="8"/>
  <c r="G37" i="8"/>
  <c r="F37" i="8"/>
  <c r="E37" i="8"/>
  <c r="D37" i="8"/>
  <c r="N35" i="8"/>
  <c r="M35" i="8"/>
  <c r="L35" i="8"/>
  <c r="K35" i="8"/>
  <c r="J35" i="8"/>
  <c r="I35" i="8"/>
  <c r="H35" i="8"/>
  <c r="G35" i="8"/>
  <c r="N32" i="8"/>
  <c r="M32" i="8"/>
  <c r="L32" i="8"/>
  <c r="K32" i="8"/>
  <c r="J32" i="8"/>
  <c r="Q30" i="8" a="1"/>
  <c r="Q30" i="8" s="1"/>
  <c r="N29" i="8"/>
  <c r="M29" i="8"/>
  <c r="L29" i="8"/>
  <c r="K29" i="8"/>
  <c r="J29" i="8"/>
  <c r="I29" i="8"/>
  <c r="H29" i="8"/>
  <c r="G29" i="8"/>
  <c r="F29" i="8"/>
  <c r="E29" i="8"/>
  <c r="Q26" i="8" a="1"/>
  <c r="Q26" i="8" s="1"/>
  <c r="Q18" i="8" a="1"/>
  <c r="Q18" i="8" s="1"/>
  <c r="B4" i="8"/>
  <c r="B3" i="8" s="1"/>
  <c r="D6" i="11" a="1"/>
  <c r="D14" i="11" a="1"/>
  <c r="D22" i="11" a="1"/>
  <c r="D6" i="10" a="1"/>
  <c r="D14" i="10" a="1"/>
  <c r="D22" i="10" a="1"/>
  <c r="D6" i="9" a="1"/>
  <c r="D14" i="9" a="1"/>
  <c r="D22" i="9" a="1"/>
  <c r="D22" i="8" a="1"/>
  <c r="D14" i="8" a="1"/>
  <c r="D6" i="8" a="1"/>
  <c r="D22" i="9" l="1"/>
  <c r="D14" i="9"/>
  <c r="D6" i="9"/>
  <c r="D5" i="9" s="1"/>
  <c r="D22" i="10"/>
  <c r="D14" i="10"/>
  <c r="D13" i="10" s="1"/>
  <c r="D6" i="10"/>
  <c r="D22" i="11"/>
  <c r="D21" i="11" s="1"/>
  <c r="D14" i="11"/>
  <c r="D13" i="11" s="1"/>
  <c r="D6" i="11"/>
  <c r="D5" i="11" s="1"/>
  <c r="D6" i="8"/>
  <c r="D14" i="8"/>
  <c r="D13" i="8" s="1"/>
  <c r="D22" i="8"/>
  <c r="D21" i="8" s="1"/>
  <c r="D5" i="10"/>
  <c r="D21" i="10"/>
  <c r="D5" i="8"/>
  <c r="Q10" i="12" a="1"/>
  <c r="Q10" i="12" s="1"/>
  <c r="M10" i="12"/>
  <c r="M9" i="12"/>
  <c r="O10" i="12"/>
  <c r="O9" i="12"/>
  <c r="Q6" i="12" a="1"/>
  <c r="Q6" i="12" s="1"/>
  <c r="L10" i="12"/>
  <c r="L9" i="12"/>
  <c r="N10" i="12"/>
  <c r="N9" i="12"/>
  <c r="D21" i="9"/>
  <c r="D13" i="9"/>
  <c r="M41" i="1"/>
  <c r="L42" i="1"/>
  <c r="N42" i="1"/>
  <c r="O42" i="1"/>
  <c r="L41" i="1"/>
  <c r="N41" i="1"/>
  <c r="O41" i="1"/>
  <c r="M42" i="1"/>
  <c r="N34" i="1"/>
  <c r="M34" i="1"/>
  <c r="M33" i="1"/>
  <c r="L34" i="1"/>
  <c r="O34" i="1"/>
  <c r="N33" i="1"/>
  <c r="O19" i="11"/>
  <c r="N19" i="11"/>
  <c r="M19" i="11"/>
  <c r="L19" i="11"/>
  <c r="O27" i="11"/>
  <c r="N27" i="11"/>
  <c r="M27" i="11"/>
  <c r="L27" i="11"/>
  <c r="O27" i="10"/>
  <c r="N27" i="10"/>
  <c r="M27" i="10"/>
  <c r="L27" i="10"/>
  <c r="O19" i="10"/>
  <c r="N19" i="10"/>
  <c r="M19" i="10"/>
  <c r="L19" i="10"/>
  <c r="O27" i="8"/>
  <c r="N27" i="8"/>
  <c r="M27" i="8"/>
  <c r="L27" i="8"/>
  <c r="O19" i="8"/>
  <c r="N19" i="8"/>
  <c r="M19" i="8"/>
  <c r="L19" i="8"/>
  <c r="O27" i="9"/>
  <c r="N27" i="9"/>
  <c r="M27" i="9"/>
  <c r="L27" i="9"/>
  <c r="M19" i="9"/>
  <c r="N19" i="9"/>
  <c r="O19" i="9"/>
  <c r="L19" i="9"/>
  <c r="G13" i="11"/>
  <c r="F13" i="11"/>
  <c r="E13" i="11"/>
  <c r="N13" i="11"/>
  <c r="N16" i="11"/>
  <c r="L16" i="11"/>
  <c r="K16" i="11"/>
  <c r="I16" i="11"/>
  <c r="L13" i="11"/>
  <c r="J13" i="11"/>
  <c r="J16" i="11"/>
  <c r="O13" i="11"/>
  <c r="K13" i="11"/>
  <c r="I13" i="11"/>
  <c r="O16" i="11"/>
  <c r="M16" i="11"/>
  <c r="H16" i="11"/>
  <c r="M13" i="11"/>
  <c r="H13" i="11"/>
  <c r="E21" i="11"/>
  <c r="O24" i="11"/>
  <c r="N24" i="11"/>
  <c r="L24" i="11"/>
  <c r="H24" i="11"/>
  <c r="G21" i="11"/>
  <c r="F21" i="11"/>
  <c r="K24" i="11"/>
  <c r="I21" i="11"/>
  <c r="J21" i="11"/>
  <c r="H21" i="11"/>
  <c r="M24" i="11"/>
  <c r="J24" i="11"/>
  <c r="I24" i="11"/>
  <c r="O21" i="11"/>
  <c r="M21" i="11"/>
  <c r="K21" i="11"/>
  <c r="L21" i="11"/>
  <c r="N21" i="11"/>
  <c r="L5" i="11"/>
  <c r="O5" i="11"/>
  <c r="M5" i="11"/>
  <c r="K5" i="11"/>
  <c r="L11" i="11"/>
  <c r="H5" i="11"/>
  <c r="H8" i="11"/>
  <c r="N5" i="11"/>
  <c r="N11" i="11"/>
  <c r="E5" i="11"/>
  <c r="O11" i="11"/>
  <c r="M11" i="11"/>
  <c r="J5" i="11"/>
  <c r="O8" i="11"/>
  <c r="N8" i="11"/>
  <c r="M8" i="11"/>
  <c r="I5" i="11"/>
  <c r="G5" i="11"/>
  <c r="F5" i="11"/>
  <c r="L8" i="11"/>
  <c r="K8" i="11"/>
  <c r="J8" i="11"/>
  <c r="I8" i="11"/>
  <c r="E13" i="10"/>
  <c r="J16" i="10"/>
  <c r="I16" i="10"/>
  <c r="G13" i="10"/>
  <c r="F13" i="10"/>
  <c r="M16" i="10"/>
  <c r="K16" i="10"/>
  <c r="O16" i="10"/>
  <c r="N16" i="10"/>
  <c r="L16" i="10"/>
  <c r="O13" i="10"/>
  <c r="N13" i="10"/>
  <c r="M13" i="10"/>
  <c r="L13" i="10"/>
  <c r="J13" i="10"/>
  <c r="I13" i="10"/>
  <c r="H16" i="10"/>
  <c r="K13" i="10"/>
  <c r="H13" i="10"/>
  <c r="M24" i="10"/>
  <c r="L24" i="10"/>
  <c r="I24" i="10"/>
  <c r="K24" i="10"/>
  <c r="H24" i="10"/>
  <c r="O21" i="10"/>
  <c r="N21" i="10"/>
  <c r="M21" i="10"/>
  <c r="L21" i="10"/>
  <c r="K21" i="10"/>
  <c r="I21" i="10"/>
  <c r="G21" i="10"/>
  <c r="E21" i="10"/>
  <c r="O24" i="10"/>
  <c r="N24" i="10"/>
  <c r="J24" i="10"/>
  <c r="H21" i="10"/>
  <c r="J21" i="10"/>
  <c r="F21" i="10"/>
  <c r="O5" i="10"/>
  <c r="N11" i="10"/>
  <c r="L5" i="10"/>
  <c r="J5" i="10"/>
  <c r="N5" i="10"/>
  <c r="H5" i="10"/>
  <c r="G5" i="10"/>
  <c r="F5" i="10"/>
  <c r="E5" i="10"/>
  <c r="O11" i="10"/>
  <c r="M5" i="10"/>
  <c r="I5" i="10"/>
  <c r="N8" i="10"/>
  <c r="M8" i="10"/>
  <c r="L8" i="10"/>
  <c r="K8" i="10"/>
  <c r="I8" i="10"/>
  <c r="H8" i="10"/>
  <c r="M11" i="10"/>
  <c r="K5" i="10"/>
  <c r="L11" i="10"/>
  <c r="O8" i="10"/>
  <c r="J8" i="10"/>
  <c r="N41" i="9"/>
  <c r="M42" i="9"/>
  <c r="Q18" i="9" a="1"/>
  <c r="Q18" i="9" s="1"/>
  <c r="L41" i="9"/>
  <c r="O41" i="9"/>
  <c r="N5" i="9"/>
  <c r="M5" i="9"/>
  <c r="N11" i="9"/>
  <c r="L5" i="9"/>
  <c r="M11" i="9"/>
  <c r="K5" i="9"/>
  <c r="O11" i="9"/>
  <c r="O5" i="9"/>
  <c r="L11" i="9"/>
  <c r="J5" i="9"/>
  <c r="I5" i="9"/>
  <c r="H5" i="9"/>
  <c r="G5" i="9"/>
  <c r="M8" i="9"/>
  <c r="L8" i="9"/>
  <c r="K8" i="9"/>
  <c r="I8" i="9"/>
  <c r="H8" i="9"/>
  <c r="F5" i="9"/>
  <c r="E5" i="9"/>
  <c r="O8" i="9"/>
  <c r="N8" i="9"/>
  <c r="J8" i="9"/>
  <c r="N13" i="9"/>
  <c r="O16" i="9"/>
  <c r="N16" i="9"/>
  <c r="M16" i="9"/>
  <c r="I16" i="9"/>
  <c r="M13" i="9"/>
  <c r="K13" i="9"/>
  <c r="J13" i="9"/>
  <c r="E13" i="9"/>
  <c r="L16" i="9"/>
  <c r="K16" i="9"/>
  <c r="J16" i="9"/>
  <c r="H16" i="9"/>
  <c r="L13" i="9"/>
  <c r="I13" i="9"/>
  <c r="O13" i="9"/>
  <c r="H13" i="9"/>
  <c r="G13" i="9"/>
  <c r="F13" i="9"/>
  <c r="O24" i="9"/>
  <c r="N24" i="9"/>
  <c r="M24" i="9"/>
  <c r="L24" i="9"/>
  <c r="K24" i="9"/>
  <c r="N21" i="9"/>
  <c r="M21" i="9"/>
  <c r="K21" i="9"/>
  <c r="I21" i="9"/>
  <c r="H21" i="9"/>
  <c r="G21" i="9"/>
  <c r="E21" i="9"/>
  <c r="J24" i="9"/>
  <c r="I24" i="9"/>
  <c r="H24" i="9"/>
  <c r="O21" i="9"/>
  <c r="J21" i="9"/>
  <c r="L21" i="9"/>
  <c r="F21" i="9"/>
  <c r="O8" i="8"/>
  <c r="O11" i="8"/>
  <c r="O16" i="8"/>
  <c r="O24" i="8"/>
  <c r="Q14" i="8" a="1"/>
  <c r="Q14" i="8" s="1"/>
  <c r="O21" i="8"/>
  <c r="O13" i="8"/>
  <c r="O5" i="8"/>
  <c r="E21" i="8"/>
  <c r="N24" i="8"/>
  <c r="M24" i="8"/>
  <c r="N21" i="8"/>
  <c r="L21" i="8"/>
  <c r="K21" i="8"/>
  <c r="J21" i="8"/>
  <c r="I21" i="8"/>
  <c r="H21" i="8"/>
  <c r="G21" i="8"/>
  <c r="F21" i="8"/>
  <c r="L24" i="8"/>
  <c r="J24" i="8"/>
  <c r="K24" i="8"/>
  <c r="I24" i="8"/>
  <c r="H24" i="8"/>
  <c r="M21" i="8"/>
  <c r="N16" i="8"/>
  <c r="M16" i="8"/>
  <c r="L16" i="8"/>
  <c r="M13" i="8"/>
  <c r="K13" i="8"/>
  <c r="J13" i="8"/>
  <c r="I13" i="8"/>
  <c r="H13" i="8"/>
  <c r="G13" i="8"/>
  <c r="F13" i="8"/>
  <c r="E13" i="8"/>
  <c r="I16" i="8"/>
  <c r="N13" i="8"/>
  <c r="K16" i="8"/>
  <c r="J16" i="8"/>
  <c r="H16" i="8"/>
  <c r="L13" i="8"/>
  <c r="I5" i="8"/>
  <c r="H5" i="8"/>
  <c r="M11" i="8"/>
  <c r="G5" i="8"/>
  <c r="L11" i="8"/>
  <c r="F5" i="8"/>
  <c r="M8" i="8"/>
  <c r="N5" i="8"/>
  <c r="M5" i="8"/>
  <c r="L5" i="8"/>
  <c r="K5" i="8"/>
  <c r="J5" i="8"/>
  <c r="N11" i="8"/>
  <c r="E5" i="8"/>
  <c r="L8" i="8"/>
  <c r="J8" i="8"/>
  <c r="H8" i="8"/>
  <c r="N8" i="8"/>
  <c r="K8" i="8"/>
  <c r="I8" i="8"/>
  <c r="J29" i="1"/>
  <c r="I29" i="1"/>
  <c r="H29" i="1"/>
  <c r="G29" i="1"/>
  <c r="L29" i="1"/>
  <c r="K29" i="1"/>
  <c r="N29" i="1"/>
  <c r="M29" i="1"/>
  <c r="Q2" i="12" l="1" a="1"/>
  <c r="Q2" i="12" s="1"/>
  <c r="Q10" i="11" a="1"/>
  <c r="Q10" i="11" s="1"/>
  <c r="L10" i="11"/>
  <c r="L9" i="11"/>
  <c r="M10" i="11"/>
  <c r="M9" i="11"/>
  <c r="O9" i="11"/>
  <c r="O10" i="11"/>
  <c r="Q6" i="11" a="1"/>
  <c r="Q6" i="11" s="1"/>
  <c r="N10" i="11"/>
  <c r="N9" i="11"/>
  <c r="Q6" i="10" a="1"/>
  <c r="Q6" i="10" s="1"/>
  <c r="Q10" i="10" a="1"/>
  <c r="Q10" i="10" s="1"/>
  <c r="O9" i="10"/>
  <c r="O10" i="10"/>
  <c r="M10" i="10"/>
  <c r="M9" i="10"/>
  <c r="L9" i="10"/>
  <c r="L10" i="10"/>
  <c r="N10" i="10"/>
  <c r="N9" i="10"/>
  <c r="Q6" i="9" a="1"/>
  <c r="Q6" i="9" s="1"/>
  <c r="M9" i="9"/>
  <c r="M10" i="9"/>
  <c r="O9" i="9"/>
  <c r="O10" i="9"/>
  <c r="Q10" i="9" a="1"/>
  <c r="Q10" i="9" s="1"/>
  <c r="N10" i="9"/>
  <c r="N9" i="9"/>
  <c r="L9" i="9"/>
  <c r="L10" i="9"/>
  <c r="O9" i="8"/>
  <c r="O10" i="8"/>
  <c r="M10" i="8"/>
  <c r="M9" i="8"/>
  <c r="Q10" i="8" a="1"/>
  <c r="Q10" i="8" s="1"/>
  <c r="N9" i="8"/>
  <c r="N10" i="8"/>
  <c r="Q6" i="8" a="1"/>
  <c r="Q6" i="8" s="1"/>
  <c r="L10" i="8"/>
  <c r="L9" i="8"/>
  <c r="Q26" i="1" a="1"/>
  <c r="Q26" i="1" s="1"/>
  <c r="Q30" i="1" a="1"/>
  <c r="Q30" i="1" s="1"/>
  <c r="Q22" i="1" a="1"/>
  <c r="Q22" i="1" s="1"/>
  <c r="Q18" i="1" a="1"/>
  <c r="Q18" i="1" s="1"/>
  <c r="Q2" i="11" l="1" a="1"/>
  <c r="Q2" i="11" s="1"/>
  <c r="Q2" i="10" a="1"/>
  <c r="Q2" i="10" s="1"/>
  <c r="Q2" i="8" a="1"/>
  <c r="Q2" i="8" s="1"/>
  <c r="Q2" i="9" a="1"/>
  <c r="Q2" i="9" s="1"/>
  <c r="Q14" i="1" a="1"/>
  <c r="Q14" i="1" s="1"/>
  <c r="B4" i="1" l="1"/>
  <c r="B3" i="1" s="1"/>
  <c r="D6" i="1" a="1"/>
  <c r="D14" i="1" a="1"/>
  <c r="D22" i="1" a="1"/>
  <c r="D22" i="1" l="1"/>
  <c r="D14" i="1"/>
  <c r="D13" i="1" s="1"/>
  <c r="D6" i="1"/>
  <c r="N27" i="1"/>
  <c r="M27" i="1"/>
  <c r="L27" i="1"/>
  <c r="O27" i="1"/>
  <c r="O19" i="1"/>
  <c r="L19" i="1"/>
  <c r="N19" i="1"/>
  <c r="M19" i="1"/>
  <c r="D21" i="1"/>
  <c r="O24" i="1"/>
  <c r="O21" i="1"/>
  <c r="O16" i="1"/>
  <c r="O13" i="1"/>
  <c r="O8" i="1"/>
  <c r="O11" i="1"/>
  <c r="O5" i="1"/>
  <c r="G21" i="1"/>
  <c r="H21" i="1"/>
  <c r="I21" i="1"/>
  <c r="J21" i="1"/>
  <c r="K21" i="1"/>
  <c r="K24" i="1"/>
  <c r="J24" i="1"/>
  <c r="I24" i="1"/>
  <c r="H24" i="1"/>
  <c r="M24" i="1"/>
  <c r="N24" i="1"/>
  <c r="L24" i="1"/>
  <c r="J16" i="1"/>
  <c r="I16" i="1"/>
  <c r="H16" i="1"/>
  <c r="K16" i="1"/>
  <c r="N16" i="1"/>
  <c r="M16" i="1"/>
  <c r="L16" i="1"/>
  <c r="G13" i="1"/>
  <c r="H13" i="1"/>
  <c r="I13" i="1"/>
  <c r="J13" i="1"/>
  <c r="K13" i="1"/>
  <c r="N11" i="1"/>
  <c r="M11" i="1"/>
  <c r="L11" i="1"/>
  <c r="N8" i="1"/>
  <c r="M8" i="1"/>
  <c r="L8" i="1"/>
  <c r="K8" i="1"/>
  <c r="J8" i="1"/>
  <c r="I8" i="1"/>
  <c r="H8" i="1"/>
  <c r="G5" i="1"/>
  <c r="H5" i="1"/>
  <c r="I5" i="1"/>
  <c r="J5" i="1"/>
  <c r="K5" i="1"/>
  <c r="M21" i="1"/>
  <c r="F21" i="1"/>
  <c r="E21" i="1"/>
  <c r="N21" i="1"/>
  <c r="L21" i="1"/>
  <c r="N13" i="1"/>
  <c r="M13" i="1"/>
  <c r="L13" i="1"/>
  <c r="F13" i="1"/>
  <c r="E13" i="1"/>
  <c r="L5" i="1"/>
  <c r="M5" i="1"/>
  <c r="N5" i="1"/>
  <c r="F5" i="1"/>
  <c r="E5" i="1"/>
  <c r="O10" i="1" l="1"/>
  <c r="O9" i="1"/>
  <c r="N10" i="1"/>
  <c r="M10" i="1"/>
  <c r="L10" i="1"/>
  <c r="L9" i="1"/>
  <c r="D5" i="1"/>
  <c r="M9" i="1"/>
  <c r="N9" i="1"/>
  <c r="Q2" i="1" l="1" a="1"/>
  <c r="Q2" i="1" s="1"/>
  <c r="Q6" i="1" a="1"/>
  <c r="Q6" i="1" s="1"/>
  <c r="Q10" i="1" a="1"/>
  <c r="Q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<sst xmlns="http://schemas.openxmlformats.org/spreadsheetml/2006/main" count="416" uniqueCount="55">
  <si>
    <t>IS_COMP_SALES</t>
  </si>
  <si>
    <t>Stock:</t>
  </si>
  <si>
    <t>End Day</t>
  </si>
  <si>
    <t>Beg. Day</t>
  </si>
  <si>
    <t>Y/Y</t>
  </si>
  <si>
    <t>Q/Q</t>
  </si>
  <si>
    <t>GROSS_MARGIN</t>
  </si>
  <si>
    <t>OPER_MARGIN</t>
  </si>
  <si>
    <t>revenue</t>
  </si>
  <si>
    <t>canonical</t>
  </si>
  <si>
    <t>value</t>
  </si>
  <si>
    <t>calendar_quarter</t>
  </si>
  <si>
    <t>Calendar Quarter</t>
  </si>
  <si>
    <t>company</t>
  </si>
  <si>
    <t>gross_margin_gaap</t>
  </si>
  <si>
    <t>operating_margin_gaap</t>
  </si>
  <si>
    <t>yoy</t>
  </si>
  <si>
    <t>kpi</t>
  </si>
  <si>
    <t>type</t>
  </si>
  <si>
    <t>Y/Y vs last Q</t>
  </si>
  <si>
    <t>yoy_vs_last_q</t>
  </si>
  <si>
    <t>custom</t>
  </si>
  <si>
    <t>ignore</t>
  </si>
  <si>
    <t>Y/Y vs last Y</t>
  </si>
  <si>
    <t>yoy_vs_last_y</t>
  </si>
  <si>
    <t>Qoq</t>
  </si>
  <si>
    <t>CASY US EQUITY</t>
  </si>
  <si>
    <t>MUSA US EQUITY</t>
  </si>
  <si>
    <t>ORLY US EQUITY</t>
  </si>
  <si>
    <t>VVV US EQUITY</t>
  </si>
  <si>
    <t>Same Store Sales Growth</t>
  </si>
  <si>
    <t>sss_growth</t>
  </si>
  <si>
    <t>prepared_foods_sss_growth</t>
  </si>
  <si>
    <t>Prepared Foods Same Store Sales</t>
  </si>
  <si>
    <t>grocery_sss_growth</t>
  </si>
  <si>
    <t>fuel_sss_growth</t>
  </si>
  <si>
    <t>Fuel Same Store Sales</t>
  </si>
  <si>
    <t>Grocery and General Merch Same Store Sales</t>
  </si>
  <si>
    <t>petroleum_sss_growth</t>
  </si>
  <si>
    <t>Petroleum SSS</t>
  </si>
  <si>
    <t>Merchandise SSS</t>
  </si>
  <si>
    <t>merchandise_sss</t>
  </si>
  <si>
    <t>ADPT US EQUITY</t>
  </si>
  <si>
    <t>mrd_sales</t>
  </si>
  <si>
    <t>MRD Sales</t>
  </si>
  <si>
    <t>clonoSEQ test volumes</t>
  </si>
  <si>
    <t>GH US EQUITY</t>
  </si>
  <si>
    <t>oncology_revenue</t>
  </si>
  <si>
    <t>Oncology Revenue</t>
  </si>
  <si>
    <t>oncology_tests_volume</t>
  </si>
  <si>
    <t>Oncology Tests</t>
  </si>
  <si>
    <t>screening_revenue</t>
  </si>
  <si>
    <t>Screening Revenue</t>
  </si>
  <si>
    <t>screening_tests_volume</t>
  </si>
  <si>
    <t>Screening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</si>
</sst>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(&quot;$&quot;* #,##0_);_(&quot;$&quot;* \(#,##0\);_(&quot;$&quot;* &quot;-&quot;_);_(@_)"/>
    <numFmt numFmtId="41" formatCode="_(* #,##0_);_(* \(#,##0\);_(* &quot;-&quot;_);_(@_)"/>
    <numFmt numFmtId="164" formatCode="0&quot; bps&quot;"/>
    <numFmt numFmtId="165" formatCode="0.0%"/>
    <numFmt numFmtId="166" formatCode="_(&quot;$&quot;* #,##0.0_);_(&quot;$&quot;* \(#,##0.0\);_(&quot;$&quot;* &quot;-&quot;?_);_(@_)"/>
    <numFmt numFmtId="167" formatCode="0.0"/>
    <numFmt numFmtId="168" formatCode="0.0_);\(0.0\)"/>
  </numFmts>
  <fonts count="10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5" fillId="3" borderId="2" applyNumberFormat="0" applyAlignment="0" applyProtection="0"/>
    <xf numFmtId="0" fontId="6" fillId="3" borderId="1" applyNumberFormat="0" applyAlignment="0" applyProtection="0"/>
    <xf numFmtId="0" fontId="7" fillId="0" borderId="0" applyNumberFormat="0" applyFill="0" applyBorder="0" applyAlignment="0" applyProtection="0"/>
    <xf numFmtId="0" fontId="4" fillId="4" borderId="3" applyNumberFormat="0" applyFont="0" applyAlignment="0" applyProtection="0"/>
  </cellStyleXfs>
  <cellXfs count="35">
    <xf numFmtId="0" fontId="0" fillId="0" borderId="0" xfId="0"/>
    <xf numFmtId="14" fontId="0" fillId="0" borderId="0" xfId="0" applyNumberFormat="1"/>
    <xf numFmtId="14" fontId="1" fillId="2" borderId="1" xfId="1" applyNumberFormat="1"/>
    <xf numFmtId="4" fontId="0" fillId="0" borderId="0" xfId="0" applyNumberFormat="1"/>
    <xf numFmtId="0" fontId="2" fillId="0" borderId="0" xfId="0" applyFont="1"/>
    <xf numFmtId="1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10" fontId="3" fillId="2" borderId="1" xfId="1" applyNumberFormat="1" applyFont="1"/>
    <xf numFmtId="14" fontId="3" fillId="2" borderId="1" xfId="1" applyNumberFormat="1" applyFont="1"/>
    <xf numFmtId="42" fontId="1" fillId="2" borderId="1" xfId="1" applyNumberFormat="1"/>
    <xf numFmtId="166" fontId="0" fillId="0" borderId="0" xfId="0" applyNumberFormat="1"/>
    <xf numFmtId="165" fontId="2" fillId="0" borderId="0" xfId="0" applyNumberFormat="1" applyFont="1"/>
    <xf numFmtId="14" fontId="5" fillId="3" borderId="2" xfId="2" applyNumberFormat="1"/>
    <xf numFmtId="14" fontId="8" fillId="0" borderId="0" xfId="0" applyNumberFormat="1" applyFont="1"/>
    <xf numFmtId="14" fontId="6" fillId="3" borderId="1" xfId="3" applyNumberFormat="1"/>
    <xf numFmtId="0" fontId="8" fillId="4" borderId="3" xfId="5" applyFont="1"/>
    <xf numFmtId="0" fontId="0" fillId="0" borderId="4" xfId="0" applyBorder="1"/>
    <xf numFmtId="0" fontId="0" fillId="0" borderId="5" xfId="0" applyBorder="1"/>
    <xf numFmtId="14" fontId="0" fillId="0" borderId="6" xfId="0" applyNumberFormat="1" applyBorder="1"/>
    <xf numFmtId="0" fontId="0" fillId="0" borderId="7" xfId="0" applyBorder="1"/>
    <xf numFmtId="14" fontId="1" fillId="2" borderId="8" xfId="1" applyNumberFormat="1" applyBorder="1"/>
    <xf numFmtId="0" fontId="7" fillId="0" borderId="0" xfId="0" applyFont="1"/>
    <xf numFmtId="0" fontId="7" fillId="0" borderId="0" xfId="4"/>
    <xf numFmtId="14" fontId="7" fillId="0" borderId="0" xfId="4" applyNumberFormat="1"/>
    <xf numFmtId="49" fontId="7" fillId="0" borderId="0" xfId="4" applyNumberFormat="1"/>
    <xf numFmtId="166" fontId="7" fillId="0" borderId="0" xfId="4" applyNumberFormat="1"/>
    <xf numFmtId="166" fontId="7" fillId="0" borderId="0" xfId="0" applyNumberFormat="1" applyFont="1"/>
    <xf numFmtId="165" fontId="9" fillId="0" borderId="0" xfId="0" applyNumberFormat="1" applyFont="1"/>
    <xf numFmtId="10" fontId="7" fillId="0" borderId="0" xfId="4" applyNumberFormat="1"/>
    <xf numFmtId="167" fontId="7" fillId="0" borderId="0" xfId="4" applyNumberFormat="1"/>
    <xf numFmtId="0" fontId="1" fillId="2" borderId="1" xfId="1"/>
    <xf numFmtId="168" fontId="1" fillId="2" borderId="1" xfId="1" applyNumberFormat="1"/>
    <xf numFmtId="166" fontId="3" fillId="2" borderId="1" xfId="1" applyNumberFormat="1" applyFont="1"/>
    <xf numFmtId="41" fontId="1" fillId="2" borderId="1" xfId="1" applyNumberFormat="1" applyFont="1"/>
  </cellXfs>
  <cellStyles count="6">
    <cellStyle name="Calculation" xfId="3" builtinId="22"/>
    <cellStyle name="Input" xfId="1" builtinId="20"/>
    <cellStyle name="Normal" xfId="0" builtinId="0"/>
    <cellStyle name="Note" xfId="5" builtinId="10"/>
    <cellStyle name="Output" xfId="2" builtinId="21"/>
    <cellStyle name="Warning Text" xfId="4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BDH|13212677992407988543</stp>
        <tr r="D6" s="1"/>
      </tp>
      <tp t="s">
        <v>#N/A N/A</v>
        <stp/>
        <stp>BDH|15088554296421099586</stp>
        <tr r="D14" s="1"/>
      </tp>
      <tp t="s">
        <v>#N/A N/A</v>
        <stp/>
        <stp>BDH|12122671138637057227</stp>
        <tr r="D6" s="9"/>
      </tp>
      <tp t="s">
        <v>#N/A N/A</v>
        <stp/>
        <stp>BDH|13113401018391534401</stp>
        <tr r="D14" s="8"/>
      </tp>
      <tp t="s">
        <v>#N/A N/A</v>
        <stp/>
        <stp>BDH|13145656451937966688</stp>
        <tr r="D6" s="11"/>
      </tp>
      <tp t="s">
        <v>#N/A N/A</v>
        <stp/>
        <stp>BDH|16695669040055884597</stp>
        <tr r="D22" s="11"/>
      </tp>
      <tp t="s">
        <v>#N/A N/A</v>
        <stp/>
        <stp>BDH|11977054421480665793</stp>
        <tr r="D22" s="8"/>
      </tp>
      <tp t="s">
        <v>#N/A N/A</v>
        <stp/>
        <stp>BDH|16801359130476484587</stp>
        <tr r="D6" s="8"/>
      </tp>
      <tp t="s">
        <v>#N/A N/A</v>
        <stp/>
        <stp>BDH|10293368172275029421</stp>
        <tr r="D6" s="12"/>
      </tp>
      <tp t="s">
        <v>#N/A N/A</v>
        <stp/>
        <stp>BDH|16157417208876132119</stp>
        <tr r="D14" s="12"/>
      </tp>
    </main>
    <main first="bofaddin.rtdserver">
      <tp t="s">
        <v>#N/A N/A</v>
        <stp/>
        <stp>BDH|1007889173582636024</stp>
        <tr r="D6" s="10"/>
      </tp>
    </main>
    <main first="bofaddin.rtdserver">
      <tp t="s">
        <v>#N/A N/A</v>
        <stp/>
        <stp>BDH|1673643412050621999</stp>
        <tr r="D22" s="12"/>
      </tp>
      <tp t="s">
        <v>#N/A N/A</v>
        <stp/>
        <stp>BDH|9989491909967833195</stp>
        <tr r="D22" s="9"/>
      </tp>
      <tp t="s">
        <v>#N/A N/A</v>
        <stp/>
        <stp>BDH|2608946681060203721</stp>
        <tr r="D22" s="10"/>
      </tp>
      <tp t="s">
        <v>#N/A N/A</v>
        <stp/>
        <stp>BDH|7142102852134502153</stp>
        <tr r="D14" s="11"/>
      </tp>
      <tp t="s">
        <v>#N/A N/A</v>
        <stp/>
        <stp>BDH|3302893594423785032</stp>
        <tr r="D22" s="1"/>
      </tp>
      <tp t="s">
        <v>#N/A N/A</v>
        <stp/>
        <stp>BDH|564037782508774300</stp>
        <tr r="D14" s="10"/>
      </tp>
      <tp t="s">
        <v>#N/A N/A</v>
        <stp/>
        <stp>BDH|625317849357989882</stp>
        <tr r="D14" s="9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57270-31E4-4E68-AE45-8CC1C1FAF7FB}">
  <dimension ref="A1:Y67"/>
  <sheetViews>
    <sheetView topLeftCell="B4" zoomScale="85" zoomScaleNormal="85" workbookViewId="0">
      <selection activeCell="O39" sqref="L39:O39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3" width="10.59765625" bestFit="1" customWidth="1"/>
    <col min="14" max="14" width="11.265625" bestFit="1" customWidth="1"/>
    <col min="15" max="15" width="10.5976562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22</v>
      </c>
      <c r="B1" s="22" t="s">
        <v>22</v>
      </c>
      <c r="C1" s="22" t="s">
        <v>22</v>
      </c>
      <c r="D1" s="22" t="s">
        <v>22</v>
      </c>
      <c r="E1" s="22" t="s">
        <v>22</v>
      </c>
      <c r="F1" s="22" t="s">
        <v>22</v>
      </c>
      <c r="G1" s="22" t="s">
        <v>22</v>
      </c>
      <c r="H1" s="22" t="s">
        <v>22</v>
      </c>
      <c r="I1" s="22" t="s">
        <v>22</v>
      </c>
      <c r="J1" s="22" t="s">
        <v>22</v>
      </c>
      <c r="K1" s="22" t="s">
        <v>22</v>
      </c>
      <c r="L1" s="22" t="s">
        <v>22</v>
      </c>
      <c r="M1" s="22" t="s">
        <v>22</v>
      </c>
      <c r="N1" s="22" t="s">
        <v>22</v>
      </c>
      <c r="O1" s="22" t="s">
        <v>22</v>
      </c>
      <c r="Q1" s="23" t="s">
        <v>13</v>
      </c>
      <c r="R1" s="23" t="s">
        <v>11</v>
      </c>
      <c r="S1" s="23" t="s">
        <v>18</v>
      </c>
      <c r="T1" s="23" t="s">
        <v>17</v>
      </c>
      <c r="U1" s="23" t="s">
        <v>10</v>
      </c>
      <c r="V1" s="23" t="s">
        <v>16</v>
      </c>
      <c r="W1" s="23" t="s">
        <v>20</v>
      </c>
      <c r="X1" s="23" t="s">
        <v>24</v>
      </c>
      <c r="Y1" s="23" t="s">
        <v>25</v>
      </c>
    </row>
    <row r="2" spans="1:25" x14ac:dyDescent="0.45">
      <c r="A2" s="17" t="s">
        <v>1</v>
      </c>
      <c r="B2" s="31" t="s">
        <v>42</v>
      </c>
      <c r="Q2" s="24" t="str" cm="1">
        <f t="array" ref="Q2:Y5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ADPT US EQUITY</v>
      </c>
      <c r="R2" s="24">
        <v>91</v>
      </c>
      <c r="S2" s="25" t="str">
        <v>canonical</v>
      </c>
      <c r="T2" s="26" t="str">
        <v>revenue</v>
      </c>
      <c r="U2" s="27" t="str">
        <v/>
      </c>
      <c r="V2" s="28" t="e">
        <v>#DIV/0!</v>
      </c>
      <c r="W2" s="29" t="e">
        <v>#DIV/0!</v>
      </c>
      <c r="X2" s="28" t="e">
        <v>#DIV/0!</v>
      </c>
      <c r="Y2" s="29" t="e">
        <v>#DIV/0!</v>
      </c>
    </row>
    <row r="3" spans="1:25" x14ac:dyDescent="0.45">
      <c r="A3" s="18" t="s">
        <v>3</v>
      </c>
      <c r="B3" s="19">
        <f ca="1">+B4-365*3</f>
        <v>44992</v>
      </c>
      <c r="Q3" s="24" t="str">
        <v>ADPT US EQUITY</v>
      </c>
      <c r="R3" s="24">
        <v>91</v>
      </c>
      <c r="S3" s="25" t="str">
        <v>canonical</v>
      </c>
      <c r="T3" s="26" t="str">
        <v>revenue</v>
      </c>
      <c r="U3" s="27" t="str">
        <v/>
      </c>
      <c r="V3" s="28" t="e">
        <v>#DIV/0!</v>
      </c>
      <c r="W3" s="29" t="e">
        <v>#DIV/0!</v>
      </c>
      <c r="X3" s="29" t="e">
        <v>#DIV/0!</v>
      </c>
      <c r="Y3" s="29" t="e">
        <v>#DIV/0!</v>
      </c>
    </row>
    <row r="4" spans="1:25" x14ac:dyDescent="0.45">
      <c r="A4" s="20" t="s">
        <v>2</v>
      </c>
      <c r="B4" s="21">
        <f ca="1">TODAY()</f>
        <v>46087</v>
      </c>
      <c r="Q4" s="24" t="str">
        <v>ADPT US EQUITY</v>
      </c>
      <c r="R4" s="24">
        <v>91</v>
      </c>
      <c r="S4" s="25" t="str">
        <v>canonical</v>
      </c>
      <c r="T4" s="26" t="str">
        <v>revenue</v>
      </c>
      <c r="U4" s="27" t="str">
        <v/>
      </c>
      <c r="V4" s="28" t="e">
        <v>#DIV/0!</v>
      </c>
      <c r="W4" s="29" t="e">
        <v>#DIV/0!</v>
      </c>
      <c r="X4" s="29" t="e">
        <v>#DIV/0!</v>
      </c>
      <c r="Y4" s="29" t="e">
        <v>#DIV/0!</v>
      </c>
    </row>
    <row r="5" spans="1:25" x14ac:dyDescent="0.45">
      <c r="C5" s="13" t="s">
        <v>12</v>
      </c>
      <c r="D5" s="14" t="e">
        <f ca="1">EOMONTH(DATE(YEAR(D6),ROUNDUP(MONTH(D6)/3,0)*3,1),0)</f>
        <v>#VALUE!</v>
      </c>
      <c r="E5" s="14">
        <f>EOMONTH(DATE(YEAR(E6),ROUNDUP(MONTH(E6)/3,0)*3,1),0)</f>
        <v>91</v>
      </c>
      <c r="F5" s="14">
        <f>EOMONTH(DATE(YEAR(F6),ROUNDUP(MONTH(F6)/3,0)*3,1),0)</f>
        <v>91</v>
      </c>
      <c r="G5" s="14">
        <f t="shared" ref="G5:K5" si="0">EOMONTH(DATE(YEAR(G6),ROUNDUP(MONTH(G6)/3,0)*3,1),0)</f>
        <v>91</v>
      </c>
      <c r="H5" s="14">
        <f t="shared" si="0"/>
        <v>91</v>
      </c>
      <c r="I5" s="14">
        <f t="shared" si="0"/>
        <v>91</v>
      </c>
      <c r="J5" s="14">
        <f t="shared" si="0"/>
        <v>91</v>
      </c>
      <c r="K5" s="14">
        <f t="shared" si="0"/>
        <v>91</v>
      </c>
      <c r="L5" s="14">
        <f>EOMONTH(DATE(YEAR(L6),ROUNDUP(MONTH(L6)/3,0)*3,1),0)</f>
        <v>91</v>
      </c>
      <c r="M5" s="14">
        <f>EOMONTH(DATE(YEAR(M6),ROUNDUP(MONTH(M6)/3,0)*3,1),0)</f>
        <v>91</v>
      </c>
      <c r="N5" s="14">
        <f>EOMONTH(DATE(YEAR(N6),ROUNDUP(MONTH(N6)/3,0)*3,1),0)</f>
        <v>91</v>
      </c>
      <c r="O5" s="14">
        <f>EOMONTH(DATE(YEAR(O6),ROUNDUP(MONTH(O6)/3,0)*3,1),0)</f>
        <v>91</v>
      </c>
      <c r="Q5" s="24" t="str">
        <v>ADPT US EQUITY</v>
      </c>
      <c r="R5" s="24">
        <v>91</v>
      </c>
      <c r="S5" s="25" t="str">
        <v>canonical</v>
      </c>
      <c r="T5" s="26" t="str">
        <v>revenue</v>
      </c>
      <c r="U5" s="27" t="str">
        <v/>
      </c>
      <c r="V5" s="28" t="e">
        <v>#DIV/0!</v>
      </c>
      <c r="W5" s="29" t="e">
        <v>#DIV/0!</v>
      </c>
      <c r="X5" s="29" t="e">
        <v>#DIV/0!</v>
      </c>
      <c r="Y5" s="29" t="e">
        <v>#DIV/0!</v>
      </c>
    </row>
    <row r="6" spans="1:25" x14ac:dyDescent="0.45">
      <c r="D6" s="15" t="str" cm="1">
        <f t="array" aca="1" ref="D6" ca="1">+_xll.BDH($B$2,C7,$B$3,$B$4,"DIR=H")</f>
        <v>#N/A Requesting Data...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24" t="str" cm="1">
        <f t="array" ref="Q6:Y9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ADPT US EQUITY</v>
      </c>
      <c r="R6" s="24">
        <v>91</v>
      </c>
      <c r="S6" s="25" t="str">
        <v>canonical</v>
      </c>
      <c r="T6" s="26" t="str">
        <v>gross_margin_gaap</v>
      </c>
      <c r="U6" s="30" t="str">
        <v/>
      </c>
      <c r="V6" s="29" t="str">
        <v>0</v>
      </c>
      <c r="W6" s="29" t="str">
        <v/>
      </c>
      <c r="X6" s="29" t="str">
        <v/>
      </c>
      <c r="Y6" s="29" t="str">
        <v>0</v>
      </c>
    </row>
    <row r="7" spans="1:25" x14ac:dyDescent="0.45">
      <c r="A7" s="16" t="s">
        <v>9</v>
      </c>
      <c r="B7" s="16" t="s">
        <v>8</v>
      </c>
      <c r="C7" s="9" t="s">
        <v>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3"/>
      <c r="P7" s="1"/>
      <c r="Q7" s="24" t="str">
        <v>ADPT US EQUITY</v>
      </c>
      <c r="R7" s="24">
        <v>91</v>
      </c>
      <c r="S7" s="25" t="str">
        <v>canonical</v>
      </c>
      <c r="T7" s="26" t="str">
        <v>gross_margin_gaap</v>
      </c>
      <c r="U7" s="30" t="str">
        <v/>
      </c>
      <c r="V7" s="29" t="str">
        <v>0</v>
      </c>
      <c r="W7" s="29" t="str">
        <v/>
      </c>
      <c r="X7" s="29" t="str">
        <v/>
      </c>
      <c r="Y7" s="29" t="str">
        <v>0</v>
      </c>
    </row>
    <row r="8" spans="1:25" x14ac:dyDescent="0.45">
      <c r="C8" s="4" t="s">
        <v>4</v>
      </c>
      <c r="D8" s="5"/>
      <c r="E8" s="4"/>
      <c r="F8" s="4"/>
      <c r="G8" s="12"/>
      <c r="H8" s="12" t="e">
        <f t="shared" ref="H8:O8" si="1">+H7/D7-1</f>
        <v>#DIV/0!</v>
      </c>
      <c r="I8" s="12" t="e">
        <f t="shared" si="1"/>
        <v>#DIV/0!</v>
      </c>
      <c r="J8" s="12" t="e">
        <f t="shared" si="1"/>
        <v>#DIV/0!</v>
      </c>
      <c r="K8" s="12" t="e">
        <f t="shared" si="1"/>
        <v>#DIV/0!</v>
      </c>
      <c r="L8" s="12" t="e">
        <f t="shared" si="1"/>
        <v>#DIV/0!</v>
      </c>
      <c r="M8" s="12" t="e">
        <f t="shared" si="1"/>
        <v>#DIV/0!</v>
      </c>
      <c r="N8" s="12" t="e">
        <f t="shared" si="1"/>
        <v>#DIV/0!</v>
      </c>
      <c r="O8" s="12" t="e">
        <f t="shared" si="1"/>
        <v>#DIV/0!</v>
      </c>
      <c r="P8" s="3"/>
      <c r="Q8" s="24" t="str">
        <v>ADPT US EQUITY</v>
      </c>
      <c r="R8" s="24">
        <v>91</v>
      </c>
      <c r="S8" s="25" t="str">
        <v>canonical</v>
      </c>
      <c r="T8" s="26" t="str">
        <v>gross_margin_gaap</v>
      </c>
      <c r="U8" s="30" t="str">
        <v/>
      </c>
      <c r="V8" s="29" t="str">
        <v>0</v>
      </c>
      <c r="W8" s="29" t="str">
        <v/>
      </c>
      <c r="X8" s="29" t="str">
        <v/>
      </c>
      <c r="Y8" s="29" t="str">
        <v>0</v>
      </c>
    </row>
    <row r="9" spans="1:25" x14ac:dyDescent="0.45">
      <c r="C9" s="4" t="s">
        <v>19</v>
      </c>
      <c r="D9" s="1"/>
      <c r="L9" s="7" t="e">
        <f>(L8-K8)*10000</f>
        <v>#DIV/0!</v>
      </c>
      <c r="M9" s="7" t="e">
        <f>(M8-L8)*10000</f>
        <v>#DIV/0!</v>
      </c>
      <c r="N9" s="7" t="e">
        <f>(N8-M8)*10000</f>
        <v>#DIV/0!</v>
      </c>
      <c r="O9" s="7" t="e">
        <f>(O8-N8)*10000</f>
        <v>#DIV/0!</v>
      </c>
      <c r="Q9" s="22" t="str">
        <v>ADPT US EQUITY</v>
      </c>
      <c r="R9" s="24">
        <v>91</v>
      </c>
      <c r="S9" s="25" t="str">
        <v>canonical</v>
      </c>
      <c r="T9" s="26" t="str">
        <v>gross_margin_gaap</v>
      </c>
      <c r="U9" s="30" t="str">
        <v/>
      </c>
      <c r="V9" s="29" t="str">
        <v>0</v>
      </c>
      <c r="W9" s="29" t="str">
        <v/>
      </c>
      <c r="X9" s="29" t="str">
        <v/>
      </c>
      <c r="Y9" s="29" t="str">
        <v>0</v>
      </c>
    </row>
    <row r="10" spans="1:25" x14ac:dyDescent="0.45">
      <c r="C10" s="4" t="s">
        <v>23</v>
      </c>
      <c r="D10" s="1"/>
      <c r="E10" s="6"/>
      <c r="F10" s="6"/>
      <c r="G10" s="6"/>
      <c r="H10" s="6"/>
      <c r="I10" s="6"/>
      <c r="J10" s="6"/>
      <c r="K10" s="6"/>
      <c r="L10" s="7" t="e">
        <f>(L8-H8)*10000</f>
        <v>#DIV/0!</v>
      </c>
      <c r="M10" s="7" t="e">
        <f>(M8-I8)*10000</f>
        <v>#DIV/0!</v>
      </c>
      <c r="N10" s="7" t="e">
        <f>(N8-J8)*10000</f>
        <v>#DIV/0!</v>
      </c>
      <c r="O10" s="7" t="e">
        <f>(O8-K8)*10000</f>
        <v>#DIV/0!</v>
      </c>
      <c r="Q10" s="24" t="str" cm="1">
        <f t="array" ref="Q10:Y13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ADPT US EQUITY</v>
      </c>
      <c r="R10" s="24">
        <v>91</v>
      </c>
      <c r="S10" s="25" t="str">
        <v>canonical</v>
      </c>
      <c r="T10" s="26" t="str">
        <v>operating_margin_gaap</v>
      </c>
      <c r="U10" s="30" t="str">
        <v/>
      </c>
      <c r="V10" s="29" t="str">
        <v>0</v>
      </c>
      <c r="W10" s="29" t="str">
        <v/>
      </c>
      <c r="X10" s="29" t="str">
        <v/>
      </c>
      <c r="Y10" s="29" t="str">
        <v>0</v>
      </c>
    </row>
    <row r="11" spans="1:25" x14ac:dyDescent="0.45">
      <c r="C11" s="4" t="s">
        <v>5</v>
      </c>
      <c r="D11" s="1"/>
      <c r="L11" s="12" t="e">
        <f t="shared" ref="L11:O11" si="2">L7/K7-1</f>
        <v>#DIV/0!</v>
      </c>
      <c r="M11" s="12" t="e">
        <f t="shared" si="2"/>
        <v>#DIV/0!</v>
      </c>
      <c r="N11" s="12" t="e">
        <f t="shared" si="2"/>
        <v>#DIV/0!</v>
      </c>
      <c r="O11" s="12" t="e">
        <f t="shared" si="2"/>
        <v>#DIV/0!</v>
      </c>
      <c r="Q11" s="24" t="str">
        <v>ADPT US EQUITY</v>
      </c>
      <c r="R11" s="24">
        <v>91</v>
      </c>
      <c r="S11" s="25" t="str">
        <v>canonical</v>
      </c>
      <c r="T11" s="26" t="str">
        <v>operating_margin_gaap</v>
      </c>
      <c r="U11" s="30" t="str">
        <v/>
      </c>
      <c r="V11" s="29" t="str">
        <v>0</v>
      </c>
      <c r="W11" s="29" t="str">
        <v/>
      </c>
      <c r="X11" s="29" t="str">
        <v/>
      </c>
      <c r="Y11" s="29" t="str">
        <v>0</v>
      </c>
    </row>
    <row r="12" spans="1:25" x14ac:dyDescent="0.45">
      <c r="Q12" s="24" t="str">
        <v>ADPT US EQUITY</v>
      </c>
      <c r="R12" s="24">
        <v>91</v>
      </c>
      <c r="S12" s="25" t="str">
        <v>canonical</v>
      </c>
      <c r="T12" s="26" t="str">
        <v>operating_margin_gaap</v>
      </c>
      <c r="U12" s="30" t="str">
        <v/>
      </c>
      <c r="V12" s="29" t="str">
        <v>0</v>
      </c>
      <c r="W12" s="29" t="str">
        <v/>
      </c>
      <c r="X12" s="29" t="str">
        <v/>
      </c>
      <c r="Y12" s="29" t="str">
        <v>0</v>
      </c>
    </row>
    <row r="13" spans="1:25" x14ac:dyDescent="0.45">
      <c r="C13" s="13" t="s">
        <v>12</v>
      </c>
      <c r="D13" s="14" t="e">
        <f ca="1">EOMONTH(DATE(YEAR(D14),ROUNDUP(MONTH(D14)/3,0)*3,1),0)</f>
        <v>#VALUE!</v>
      </c>
      <c r="E13" s="14">
        <f>EOMONTH(DATE(YEAR(E14),ROUNDUP(MONTH(E14)/3,0)*3,1),0)</f>
        <v>91</v>
      </c>
      <c r="F13" s="14">
        <f>EOMONTH(DATE(YEAR(F14),ROUNDUP(MONTH(F14)/3,0)*3,1),0)</f>
        <v>91</v>
      </c>
      <c r="G13" s="14">
        <f t="shared" ref="G13:K13" si="3">EOMONTH(DATE(YEAR(G14),ROUNDUP(MONTH(G14)/3,0)*3,1),0)</f>
        <v>91</v>
      </c>
      <c r="H13" s="14">
        <f t="shared" si="3"/>
        <v>91</v>
      </c>
      <c r="I13" s="14">
        <f t="shared" si="3"/>
        <v>91</v>
      </c>
      <c r="J13" s="14">
        <f t="shared" si="3"/>
        <v>91</v>
      </c>
      <c r="K13" s="14">
        <f t="shared" si="3"/>
        <v>91</v>
      </c>
      <c r="L13" s="14">
        <f>EOMONTH(DATE(YEAR(L14),ROUNDUP(MONTH(L14)/3,0)*3,1),0)</f>
        <v>91</v>
      </c>
      <c r="M13" s="14">
        <f>EOMONTH(DATE(YEAR(M14),ROUNDUP(MONTH(M14)/3,0)*3,1),0)</f>
        <v>91</v>
      </c>
      <c r="N13" s="14">
        <f>EOMONTH(DATE(YEAR(N14),ROUNDUP(MONTH(N14)/3,0)*3,1),0)</f>
        <v>91</v>
      </c>
      <c r="O13" s="14">
        <f>EOMONTH(DATE(YEAR(O14),ROUNDUP(MONTH(O14)/3,0)*3,1),0)</f>
        <v>91</v>
      </c>
      <c r="Q13" s="24" t="str">
        <v>ADPT US EQUITY</v>
      </c>
      <c r="R13" s="24">
        <v>91</v>
      </c>
      <c r="S13" s="25" t="str">
        <v>canonical</v>
      </c>
      <c r="T13" s="26" t="str">
        <v>operating_margin_gaap</v>
      </c>
      <c r="U13" s="30" t="str">
        <v/>
      </c>
      <c r="V13" s="29" t="str">
        <v>0</v>
      </c>
      <c r="W13" s="29" t="str">
        <v/>
      </c>
      <c r="X13" s="29" t="str">
        <v/>
      </c>
      <c r="Y13" s="29" t="str">
        <v>0</v>
      </c>
    </row>
    <row r="14" spans="1:25" x14ac:dyDescent="0.45">
      <c r="D14" s="1" t="str" cm="1">
        <f t="array" aca="1" ref="D14" ca="1">+_xll.BDH($B$2,C15,$B$3,$B$4,"DIR=H")</f>
        <v>#N/A Requesting Data...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ADPT US EQUITY</v>
      </c>
      <c r="R14" s="24">
        <v>45747</v>
      </c>
      <c r="S14" s="25" t="str">
        <v>custom</v>
      </c>
      <c r="T14" s="26" t="str">
        <v>mrd_sales</v>
      </c>
      <c r="U14" s="30" t="str">
        <v>43.7</v>
      </c>
      <c r="V14" s="29" t="str">
        <v>0.340490797546012</v>
      </c>
      <c r="W14" s="29" t="str">
        <v>385.427455979603</v>
      </c>
      <c r="X14" s="29" t="str">
        <v>-1828.73688435296</v>
      </c>
      <c r="Y14" s="29" t="str">
        <v>0.0897755610972568</v>
      </c>
    </row>
    <row r="15" spans="1:25" x14ac:dyDescent="0.45">
      <c r="A15" s="16" t="s">
        <v>9</v>
      </c>
      <c r="B15" s="16" t="s">
        <v>14</v>
      </c>
      <c r="C15" s="9" t="s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24" t="str">
        <v>ADPT US EQUITY</v>
      </c>
      <c r="R15" s="24">
        <v>45838</v>
      </c>
      <c r="S15" s="25" t="str">
        <v>custom</v>
      </c>
      <c r="T15" s="26" t="str">
        <v>mrd_sales</v>
      </c>
      <c r="U15" s="30" t="str">
        <v>49.9</v>
      </c>
      <c r="V15" s="29" t="str">
        <v>0.405633802816901</v>
      </c>
      <c r="W15" s="29" t="str">
        <v>651.43005270889</v>
      </c>
      <c r="X15" s="29" t="str">
        <v>349.774321605305</v>
      </c>
      <c r="Y15" s="29" t="str">
        <v>0.14187643020595</v>
      </c>
    </row>
    <row r="16" spans="1:25" x14ac:dyDescent="0.45">
      <c r="C16" s="4" t="s">
        <v>4</v>
      </c>
      <c r="D16" s="5"/>
      <c r="E16" s="4"/>
      <c r="F16" s="4"/>
      <c r="G16" s="4"/>
      <c r="H16" s="7">
        <f t="shared" ref="H16" si="4">(H15-D15)*100</f>
        <v>0</v>
      </c>
      <c r="I16" s="7">
        <f t="shared" ref="I16" si="5">(I15-E15)*100</f>
        <v>0</v>
      </c>
      <c r="J16" s="7">
        <f t="shared" ref="J16" si="6">(J15-F15)*100</f>
        <v>0</v>
      </c>
      <c r="K16" s="7">
        <f t="shared" ref="K16:O16" si="7">(K15-G15)*100</f>
        <v>0</v>
      </c>
      <c r="L16" s="7">
        <f t="shared" si="7"/>
        <v>0</v>
      </c>
      <c r="M16" s="7">
        <f t="shared" si="7"/>
        <v>0</v>
      </c>
      <c r="N16" s="7">
        <f t="shared" si="7"/>
        <v>0</v>
      </c>
      <c r="O16" s="7">
        <f t="shared" si="7"/>
        <v>0</v>
      </c>
      <c r="Q16" s="24" t="str">
        <v>ADPT US EQUITY</v>
      </c>
      <c r="R16" s="24">
        <v>45930</v>
      </c>
      <c r="S16" s="25" t="str">
        <v>custom</v>
      </c>
      <c r="T16" s="26" t="str">
        <v>mrd_sales</v>
      </c>
      <c r="U16" s="30" t="str">
        <v>56.8</v>
      </c>
      <c r="V16" s="29" t="str">
        <v>0.514666666666667</v>
      </c>
      <c r="W16" s="29" t="str">
        <v>1090.32863849765</v>
      </c>
      <c r="X16" s="29" t="str">
        <v>-35.5195681511478</v>
      </c>
      <c r="Y16" s="29" t="str">
        <v>0.138276553106212</v>
      </c>
    </row>
    <row r="17" spans="1:25" x14ac:dyDescent="0.45">
      <c r="C17" s="4" t="s">
        <v>19</v>
      </c>
      <c r="D17" s="1"/>
      <c r="K17" s="7"/>
      <c r="L17" s="7"/>
      <c r="M17" s="7"/>
      <c r="N17" s="7"/>
      <c r="O17" s="7"/>
      <c r="Q17" s="24" t="str">
        <v>ADPT US EQUITY</v>
      </c>
      <c r="R17" s="24">
        <v>46022</v>
      </c>
      <c r="S17" s="25" t="str">
        <v>custom</v>
      </c>
      <c r="T17" s="26" t="str">
        <v>mrd_sales</v>
      </c>
      <c r="U17" s="30" t="str">
        <v>61.9</v>
      </c>
      <c r="V17" s="29" t="str">
        <v>0.543640897755611</v>
      </c>
      <c r="W17" s="29" t="str">
        <v>289.742310889443</v>
      </c>
      <c r="X17" s="29" t="str">
        <v>2416.92845807559</v>
      </c>
      <c r="Y17" s="29" t="str">
        <v>0.0897887323943662</v>
      </c>
    </row>
    <row r="18" spans="1:25" x14ac:dyDescent="0.45">
      <c r="C18" s="4" t="s">
        <v>23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ADPT US EQUITY</v>
      </c>
      <c r="R18" s="24">
        <v>45747</v>
      </c>
      <c r="S18" s="25" t="str">
        <v>custom</v>
      </c>
      <c r="T18" s="26" t="str">
        <v>clonoSEQ test volumes</v>
      </c>
      <c r="U18" s="30" t="str">
        <v>23117</v>
      </c>
      <c r="V18" s="29" t="str">
        <v>0.356631455399061</v>
      </c>
      <c r="W18" s="29" t="str">
        <v>208.533941745712</v>
      </c>
      <c r="X18" s="29" t="str">
        <v>-540.813519525409</v>
      </c>
      <c r="Y18" s="29" t="str">
        <v>0.103700167104321</v>
      </c>
    </row>
    <row r="19" spans="1:25" x14ac:dyDescent="0.45">
      <c r="C19" s="4" t="s">
        <v>5</v>
      </c>
      <c r="D19" s="1"/>
      <c r="K19" s="7"/>
      <c r="L19" s="7">
        <f>(L15-K15)*100</f>
        <v>0</v>
      </c>
      <c r="M19" s="7">
        <f t="shared" ref="M19:O19" si="8">(M15-L15)*100</f>
        <v>0</v>
      </c>
      <c r="N19" s="7">
        <f t="shared" si="8"/>
        <v>0</v>
      </c>
      <c r="O19" s="7">
        <f t="shared" si="8"/>
        <v>0</v>
      </c>
      <c r="Q19" s="24" t="str">
        <v>ADPT US EQUITY</v>
      </c>
      <c r="R19" s="24">
        <v>45838</v>
      </c>
      <c r="S19" s="25" t="str">
        <v>custom</v>
      </c>
      <c r="T19" s="26" t="str">
        <v>clonoSEQ test volumes</v>
      </c>
      <c r="U19" s="30" t="str">
        <v>25321</v>
      </c>
      <c r="V19" s="29" t="str">
        <v>0.367224622030238</v>
      </c>
      <c r="W19" s="29" t="str">
        <v>105.931666311765</v>
      </c>
      <c r="X19" s="29" t="str">
        <v>119.373918802193</v>
      </c>
      <c r="Y19" s="29" t="str">
        <v>0.095341090972012</v>
      </c>
    </row>
    <row r="20" spans="1:25" x14ac:dyDescent="0.45">
      <c r="Q20" s="24" t="str">
        <v>ADPT US EQUITY</v>
      </c>
      <c r="R20" s="24">
        <v>45930</v>
      </c>
      <c r="S20" s="25" t="str">
        <v>custom</v>
      </c>
      <c r="T20" s="26" t="str">
        <v>clonoSEQ test volumes</v>
      </c>
      <c r="U20" s="30" t="str">
        <v>27111</v>
      </c>
      <c r="V20" s="29" t="str">
        <v>0.383214285714286</v>
      </c>
      <c r="W20" s="29" t="str">
        <v>159.896636840482</v>
      </c>
      <c r="X20" s="29" t="str">
        <v>827.896572641795</v>
      </c>
      <c r="Y20" s="29" t="str">
        <v>0.070692310730224</v>
      </c>
    </row>
    <row r="21" spans="1:25" x14ac:dyDescent="0.45">
      <c r="C21" s="13" t="s">
        <v>12</v>
      </c>
      <c r="D21" s="14" t="e">
        <f ca="1">EOMONTH(DATE(YEAR(D22),ROUNDUP(MONTH(D22)/3,0)*3,1),0)</f>
        <v>#VALUE!</v>
      </c>
      <c r="E21" s="14">
        <f>EOMONTH(DATE(YEAR(E22),ROUNDUP(MONTH(E22)/3,0)*3,1),0)</f>
        <v>91</v>
      </c>
      <c r="F21" s="14">
        <f>EOMONTH(DATE(YEAR(F22),ROUNDUP(MONTH(F22)/3,0)*3,1),0)</f>
        <v>91</v>
      </c>
      <c r="G21" s="14">
        <f t="shared" ref="G21:K21" si="9">EOMONTH(DATE(YEAR(G22),ROUNDUP(MONTH(G22)/3,0)*3,1),0)</f>
        <v>91</v>
      </c>
      <c r="H21" s="14">
        <f t="shared" si="9"/>
        <v>91</v>
      </c>
      <c r="I21" s="14">
        <f t="shared" si="9"/>
        <v>91</v>
      </c>
      <c r="J21" s="14">
        <f t="shared" si="9"/>
        <v>91</v>
      </c>
      <c r="K21" s="14">
        <f t="shared" si="9"/>
        <v>91</v>
      </c>
      <c r="L21" s="14">
        <f>EOMONTH(DATE(YEAR(L22),ROUNDUP(MONTH(L22)/3,0)*3,1),0)</f>
        <v>91</v>
      </c>
      <c r="M21" s="14">
        <f>EOMONTH(DATE(YEAR(M22),ROUNDUP(MONTH(M22)/3,0)*3,1),0)</f>
        <v>91</v>
      </c>
      <c r="N21" s="14">
        <f>EOMONTH(DATE(YEAR(N22),ROUNDUP(MONTH(N22)/3,0)*3,1),0)</f>
        <v>91</v>
      </c>
      <c r="O21" s="14">
        <f>EOMONTH(DATE(YEAR(O22),ROUNDUP(MONTH(O22)/3,0)*3,1),0)</f>
        <v>91</v>
      </c>
      <c r="Q21" s="24" t="str">
        <v>ADPT US EQUITY</v>
      </c>
      <c r="R21" s="24">
        <v>46022</v>
      </c>
      <c r="S21" s="25" t="str">
        <v>custom</v>
      </c>
      <c r="T21" s="26" t="str">
        <v>clonoSEQ test volumes</v>
      </c>
      <c r="U21" s="30" t="str">
        <v>30038</v>
      </c>
      <c r="V21" s="29" t="str">
        <v>0.434137025543089</v>
      </c>
      <c r="W21" s="29" t="str">
        <v>509.227398288032</v>
      </c>
      <c r="X21" s="29" t="str">
        <v>983.589643185991</v>
      </c>
      <c r="Y21" s="29" t="str">
        <v>0.107963557227694</v>
      </c>
    </row>
    <row r="22" spans="1:25" x14ac:dyDescent="0.45">
      <c r="D22" s="1" t="str" cm="1">
        <f t="array" aca="1" ref="D22" ca="1">+_xll.BDH($B$2,C23,$B$3,$B$4,"DIR=H")</f>
        <v>#N/A Requesting Data...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ADPT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9</v>
      </c>
      <c r="B23" s="16" t="s">
        <v>15</v>
      </c>
      <c r="C23" s="9" t="s">
        <v>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ADPT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4</v>
      </c>
      <c r="D24" s="5"/>
      <c r="E24" s="4"/>
      <c r="F24" s="4"/>
      <c r="G24" s="4"/>
      <c r="H24" s="7">
        <f t="shared" ref="H24" si="10">(H23-D23)*100</f>
        <v>0</v>
      </c>
      <c r="I24" s="7">
        <f t="shared" ref="I24" si="11">(I23-E23)*100</f>
        <v>0</v>
      </c>
      <c r="J24" s="7">
        <f t="shared" ref="J24" si="12">(J23-F23)*100</f>
        <v>0</v>
      </c>
      <c r="K24" s="7">
        <f t="shared" ref="K24" si="13">(K23-G23)*100</f>
        <v>0</v>
      </c>
      <c r="L24" s="7">
        <f t="shared" ref="L24" si="14">(L23-H23)*100</f>
        <v>0</v>
      </c>
      <c r="M24" s="7">
        <f t="shared" ref="M24" si="15">(M23-I23)*100</f>
        <v>0</v>
      </c>
      <c r="N24" s="7">
        <f t="shared" ref="N24:O24" si="16">(N23-J23)*100</f>
        <v>0</v>
      </c>
      <c r="O24" s="7">
        <f t="shared" si="16"/>
        <v>0</v>
      </c>
      <c r="Q24" s="24" t="str">
        <v>ADPT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19</v>
      </c>
      <c r="D25" s="1"/>
      <c r="K25" s="7"/>
      <c r="L25" s="7"/>
      <c r="M25" s="7"/>
      <c r="N25" s="7"/>
      <c r="O25" s="7"/>
      <c r="Q25" s="24" t="str">
        <v>ADPT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23</v>
      </c>
      <c r="D26" s="1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ADPT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5</v>
      </c>
      <c r="D27" s="1"/>
      <c r="K27" s="7"/>
      <c r="L27" s="7">
        <f>(L23-K23)*100</f>
        <v>0</v>
      </c>
      <c r="M27" s="7">
        <f t="shared" ref="M27:O27" si="17">(M23-L23)*100</f>
        <v>0</v>
      </c>
      <c r="N27" s="7">
        <f t="shared" si="17"/>
        <v>0</v>
      </c>
      <c r="O27" s="7">
        <f t="shared" si="17"/>
        <v>0</v>
      </c>
      <c r="Q27" s="24" t="str">
        <v>ADPT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ADPT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 t="s">
        <v>12</v>
      </c>
      <c r="D29" s="14">
        <f t="shared" ref="D29:F29" si="18">EOMONTH(DATE(YEAR(D30),ROUNDUP(MONTH(D30)/3,0)*3,1),0)</f>
        <v>45016</v>
      </c>
      <c r="E29" s="14">
        <f t="shared" si="18"/>
        <v>45107</v>
      </c>
      <c r="F29" s="14">
        <f t="shared" si="18"/>
        <v>45199</v>
      </c>
      <c r="G29" s="14">
        <f t="shared" ref="G29" si="19">EOMONTH(DATE(YEAR(G30),ROUNDUP(MONTH(G30)/3,0)*3,1),0)</f>
        <v>45291</v>
      </c>
      <c r="H29" s="14">
        <f t="shared" ref="H29" si="20">EOMONTH(DATE(YEAR(H30),ROUNDUP(MONTH(H30)/3,0)*3,1),0)</f>
        <v>45382</v>
      </c>
      <c r="I29" s="14">
        <f t="shared" ref="I29:J29" si="21">EOMONTH(DATE(YEAR(I30),ROUNDUP(MONTH(I30)/3,0)*3,1),0)</f>
        <v>45473</v>
      </c>
      <c r="J29" s="14">
        <f t="shared" si="21"/>
        <v>45565</v>
      </c>
      <c r="K29" s="14">
        <f t="shared" ref="K29:L29" si="22">EOMONTH(DATE(YEAR(K30),ROUNDUP(MONTH(K30)/3,0)*3,1),0)</f>
        <v>45657</v>
      </c>
      <c r="L29" s="14">
        <f t="shared" si="22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ADPT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>
        <v>45016</v>
      </c>
      <c r="E30" s="2">
        <v>45107</v>
      </c>
      <c r="F30" s="2">
        <v>45199</v>
      </c>
      <c r="G30" s="2">
        <v>45291</v>
      </c>
      <c r="H30" s="2">
        <v>45382</v>
      </c>
      <c r="I30" s="2">
        <v>45473</v>
      </c>
      <c r="J30" s="2">
        <v>45565</v>
      </c>
      <c r="K30" s="2">
        <v>45657</v>
      </c>
      <c r="L30" s="2">
        <v>45747</v>
      </c>
      <c r="M30" s="2">
        <v>45838</v>
      </c>
      <c r="N30" s="2">
        <v>45930</v>
      </c>
      <c r="O30" s="2">
        <v>46022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ADPT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21</v>
      </c>
      <c r="B31" s="16" t="s">
        <v>43</v>
      </c>
      <c r="C31" s="2" t="s">
        <v>44</v>
      </c>
      <c r="D31" s="10">
        <v>21.4</v>
      </c>
      <c r="E31" s="10">
        <v>25.9</v>
      </c>
      <c r="F31" s="10">
        <v>24.7</v>
      </c>
      <c r="G31" s="33">
        <v>30.8</v>
      </c>
      <c r="H31" s="33">
        <v>32.6</v>
      </c>
      <c r="I31" s="33">
        <v>35.5</v>
      </c>
      <c r="J31" s="33">
        <v>37.5</v>
      </c>
      <c r="K31" s="33">
        <v>40.1</v>
      </c>
      <c r="L31" s="33">
        <v>43.7</v>
      </c>
      <c r="M31" s="33">
        <v>49.9</v>
      </c>
      <c r="N31" s="33">
        <v>56.8</v>
      </c>
      <c r="O31" s="33">
        <v>61.9</v>
      </c>
      <c r="Q31" s="24" t="str">
        <v>ADPT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4</v>
      </c>
      <c r="D32" s="5"/>
      <c r="E32" s="4"/>
      <c r="F32" s="4"/>
      <c r="G32" s="4"/>
      <c r="H32" s="12">
        <f t="shared" ref="H32" si="23">+H31/D31-1</f>
        <v>0.52336448598130847</v>
      </c>
      <c r="I32" s="12">
        <f t="shared" ref="I32" si="24">+I31/E31-1</f>
        <v>0.3706563706563708</v>
      </c>
      <c r="J32" s="12">
        <f t="shared" ref="J32" si="25">+J31/F31-1</f>
        <v>0.51821862348178138</v>
      </c>
      <c r="K32" s="12">
        <f t="shared" ref="K32" si="26">+K31/G31-1</f>
        <v>0.30194805194805197</v>
      </c>
      <c r="L32" s="12">
        <f t="shared" ref="L32" si="27">+L31/H31-1</f>
        <v>0.3404907975460123</v>
      </c>
      <c r="M32" s="12">
        <f t="shared" ref="M32" si="28">+M31/I31-1</f>
        <v>0.40563380281690131</v>
      </c>
      <c r="N32" s="12">
        <f t="shared" ref="N32" si="29">+N31/J31-1</f>
        <v>0.51466666666666661</v>
      </c>
      <c r="O32" s="12">
        <f t="shared" ref="O32" si="30">+O31/K31-1</f>
        <v>0.54364089775561086</v>
      </c>
      <c r="Q32" s="24" t="str">
        <v>ADPT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19</v>
      </c>
      <c r="D33" s="1"/>
      <c r="L33" s="7">
        <f>(L32-K32)*10000</f>
        <v>385.42745597960339</v>
      </c>
      <c r="M33" s="7">
        <f>(M32-L32)*10000</f>
        <v>651.43005270889012</v>
      </c>
      <c r="N33" s="7">
        <f>(N32-M32)*10000</f>
        <v>1090.3286384976529</v>
      </c>
      <c r="O33" s="7">
        <f>(O32-N32)*10000</f>
        <v>289.74231088944259</v>
      </c>
      <c r="Q33" s="24" t="str">
        <v>ADPT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23</v>
      </c>
      <c r="D34" s="1"/>
      <c r="E34" s="7"/>
      <c r="F34" s="7"/>
      <c r="G34" s="7"/>
      <c r="H34" s="6"/>
      <c r="I34" s="6"/>
      <c r="J34" s="6"/>
      <c r="K34" s="6"/>
      <c r="L34" s="7">
        <f>(L32-H32)*10000</f>
        <v>-1828.7368843529616</v>
      </c>
      <c r="M34" s="7">
        <f>(M32-I32)*10000</f>
        <v>349.77432160530509</v>
      </c>
      <c r="N34" s="7">
        <f>(N32-J32)*10000</f>
        <v>-35.519568151147766</v>
      </c>
      <c r="O34" s="7">
        <f>(O32-K32)*10000</f>
        <v>2416.9284580755889</v>
      </c>
    </row>
    <row r="35" spans="1:25" x14ac:dyDescent="0.45">
      <c r="C35" s="4" t="s">
        <v>5</v>
      </c>
      <c r="D35" s="1"/>
      <c r="G35" s="7"/>
      <c r="L35" s="12">
        <f t="shared" ref="L35" si="31">L31/K31-1</f>
        <v>8.9775561097256817E-2</v>
      </c>
      <c r="M35" s="12">
        <f t="shared" ref="M35" si="32">M31/L31-1</f>
        <v>0.14187643020594964</v>
      </c>
      <c r="N35" s="12">
        <f t="shared" ref="N35" si="33">N31/M31-1</f>
        <v>0.13827655310621245</v>
      </c>
      <c r="O35" s="12">
        <f t="shared" ref="O35" si="34">O31/N31-1</f>
        <v>8.9788732394366244E-2</v>
      </c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 t="s">
        <v>12</v>
      </c>
      <c r="D37" s="14">
        <f t="shared" ref="D37:L37" si="35">EOMONTH(DATE(YEAR(D38),ROUNDUP(MONTH(D38)/3,0)*3,1),0)</f>
        <v>45016</v>
      </c>
      <c r="E37" s="14">
        <f t="shared" si="35"/>
        <v>45107</v>
      </c>
      <c r="F37" s="14">
        <f t="shared" si="35"/>
        <v>45199</v>
      </c>
      <c r="G37" s="14">
        <f t="shared" si="35"/>
        <v>45291</v>
      </c>
      <c r="H37" s="14">
        <f t="shared" si="35"/>
        <v>45382</v>
      </c>
      <c r="I37" s="14">
        <f t="shared" si="35"/>
        <v>45473</v>
      </c>
      <c r="J37" s="14">
        <f t="shared" si="35"/>
        <v>45565</v>
      </c>
      <c r="K37" s="14">
        <f t="shared" si="35"/>
        <v>45657</v>
      </c>
      <c r="L37" s="14">
        <f t="shared" si="35"/>
        <v>45747</v>
      </c>
      <c r="M37" s="14">
        <f>EOMONTH(DATE(YEAR(M38),ROUNDUP(MONTH(M38)/3,0)*3,1),0)</f>
        <v>45838</v>
      </c>
      <c r="N37" s="14">
        <f>EOMONTH(DATE(YEAR(N38),ROUNDUP(MONTH(N38)/3,0)*3,1),0)</f>
        <v>45930</v>
      </c>
      <c r="O37" s="14">
        <f>EOMONTH(DATE(YEAR(O38),ROUNDUP(MONTH(O38)/3,0)*3,1),0)</f>
        <v>46022</v>
      </c>
    </row>
    <row r="38" spans="1:25" x14ac:dyDescent="0.45">
      <c r="D38" s="2">
        <v>45016</v>
      </c>
      <c r="E38" s="2">
        <v>45107</v>
      </c>
      <c r="F38" s="2">
        <v>45199</v>
      </c>
      <c r="G38" s="2">
        <v>45291</v>
      </c>
      <c r="H38" s="2">
        <v>45382</v>
      </c>
      <c r="I38" s="2">
        <v>45473</v>
      </c>
      <c r="J38" s="2">
        <v>45565</v>
      </c>
      <c r="K38" s="2">
        <v>45657</v>
      </c>
      <c r="L38" s="2">
        <v>45747</v>
      </c>
      <c r="M38" s="2">
        <v>45838</v>
      </c>
      <c r="N38" s="2">
        <v>45930</v>
      </c>
      <c r="O38" s="2">
        <v>46022</v>
      </c>
    </row>
    <row r="39" spans="1:25" x14ac:dyDescent="0.45">
      <c r="A39" s="16" t="s">
        <v>21</v>
      </c>
      <c r="B39" s="16" t="s">
        <v>45</v>
      </c>
      <c r="C39" s="2" t="s">
        <v>45</v>
      </c>
      <c r="D39" s="34">
        <v>12079</v>
      </c>
      <c r="E39" s="34">
        <v>13665</v>
      </c>
      <c r="F39" s="34">
        <v>15072</v>
      </c>
      <c r="G39" s="34">
        <v>15680</v>
      </c>
      <c r="H39" s="34">
        <v>17040</v>
      </c>
      <c r="I39" s="34">
        <v>18520</v>
      </c>
      <c r="J39" s="34">
        <v>19600</v>
      </c>
      <c r="K39" s="34">
        <v>20945</v>
      </c>
      <c r="L39" s="34">
        <v>23117</v>
      </c>
      <c r="M39" s="34">
        <v>25321</v>
      </c>
      <c r="N39" s="34">
        <v>27111</v>
      </c>
      <c r="O39" s="34">
        <v>30038</v>
      </c>
    </row>
    <row r="40" spans="1:25" x14ac:dyDescent="0.45">
      <c r="C40" s="4" t="s">
        <v>4</v>
      </c>
      <c r="D40" s="5"/>
      <c r="E40" s="4"/>
      <c r="F40" s="4"/>
      <c r="G40" s="4"/>
      <c r="H40" s="12">
        <f t="shared" ref="H40" si="36">+H39/D39-1</f>
        <v>0.41071280735160198</v>
      </c>
      <c r="I40" s="12">
        <f t="shared" ref="I40" si="37">+I39/E39-1</f>
        <v>0.35528723015001829</v>
      </c>
      <c r="J40" s="12">
        <f t="shared" ref="J40" si="38">+J39/F39-1</f>
        <v>0.3004246284501062</v>
      </c>
      <c r="K40" s="12">
        <f t="shared" ref="K40" si="39">+K39/G39-1</f>
        <v>0.33577806122448983</v>
      </c>
      <c r="L40" s="12">
        <f t="shared" ref="L40" si="40">+L39/H39-1</f>
        <v>0.35663145539906105</v>
      </c>
      <c r="M40" s="12">
        <f t="shared" ref="M40" si="41">+M39/I39-1</f>
        <v>0.36722462203023754</v>
      </c>
      <c r="N40" s="12">
        <f t="shared" ref="N40" si="42">+N39/J39-1</f>
        <v>0.38321428571428573</v>
      </c>
      <c r="O40" s="12">
        <f t="shared" ref="O40" si="43">+O39/K39-1</f>
        <v>0.43413702554308897</v>
      </c>
    </row>
    <row r="41" spans="1:25" x14ac:dyDescent="0.45">
      <c r="C41" s="4" t="s">
        <v>19</v>
      </c>
      <c r="D41" s="1"/>
      <c r="L41" s="7">
        <f>(L40-K40)*10000</f>
        <v>208.53394174571216</v>
      </c>
      <c r="M41" s="7">
        <f>(M40-L40)*10000</f>
        <v>105.93166631176487</v>
      </c>
      <c r="N41" s="7">
        <f>(N40-M40)*10000</f>
        <v>159.89663684048193</v>
      </c>
      <c r="O41" s="7">
        <f>(O40-N40)*10000</f>
        <v>509.22739828803242</v>
      </c>
    </row>
    <row r="42" spans="1:25" x14ac:dyDescent="0.45">
      <c r="C42" s="4" t="s">
        <v>23</v>
      </c>
      <c r="D42" s="1"/>
      <c r="E42" s="7"/>
      <c r="F42" s="7"/>
      <c r="G42" s="7"/>
      <c r="H42" s="6"/>
      <c r="I42" s="6"/>
      <c r="J42" s="6"/>
      <c r="K42" s="6"/>
      <c r="L42" s="7">
        <f>(L40-H40)*10000</f>
        <v>-540.81351952540933</v>
      </c>
      <c r="M42" s="7">
        <f>(M40-I40)*10000</f>
        <v>119.37391880219251</v>
      </c>
      <c r="N42" s="7">
        <f>(N40-J40)*10000</f>
        <v>827.89657264179527</v>
      </c>
      <c r="O42" s="7">
        <f>(O40-K40)*10000</f>
        <v>983.58964318599135</v>
      </c>
    </row>
    <row r="43" spans="1:25" x14ac:dyDescent="0.45">
      <c r="C43" s="4" t="s">
        <v>5</v>
      </c>
      <c r="D43" s="1"/>
      <c r="G43" s="7"/>
      <c r="L43" s="12">
        <f t="shared" ref="L43" si="44">L39/K39-1</f>
        <v>0.10370016710432095</v>
      </c>
      <c r="M43" s="12">
        <f t="shared" ref="M43" si="45">M39/L39-1</f>
        <v>9.5341090972012044E-2</v>
      </c>
      <c r="N43" s="12">
        <f t="shared" ref="N43" si="46">N39/M39-1</f>
        <v>7.0692310730223973E-2</v>
      </c>
      <c r="O43" s="12">
        <f t="shared" ref="O43" si="47">O39/N39-1</f>
        <v>0.10796355722769357</v>
      </c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AFFD-5D57-43C6-8F2C-BE090D343888}">
  <dimension ref="A1:Y67"/>
  <sheetViews>
    <sheetView tabSelected="1" zoomScale="85" zoomScaleNormal="85" workbookViewId="0">
      <selection activeCell="C16" sqref="C16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3" width="10.59765625" bestFit="1" customWidth="1"/>
    <col min="14" max="14" width="11.265625" bestFit="1" customWidth="1"/>
    <col min="15" max="15" width="10.5976562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22</v>
      </c>
      <c r="B1" s="22" t="s">
        <v>22</v>
      </c>
      <c r="C1" s="22" t="s">
        <v>22</v>
      </c>
      <c r="D1" s="22" t="s">
        <v>22</v>
      </c>
      <c r="E1" s="22" t="s">
        <v>22</v>
      </c>
      <c r="F1" s="22" t="s">
        <v>22</v>
      </c>
      <c r="G1" s="22" t="s">
        <v>22</v>
      </c>
      <c r="H1" s="22" t="s">
        <v>22</v>
      </c>
      <c r="I1" s="22" t="s">
        <v>22</v>
      </c>
      <c r="J1" s="22" t="s">
        <v>22</v>
      </c>
      <c r="K1" s="22" t="s">
        <v>22</v>
      </c>
      <c r="L1" s="22" t="s">
        <v>22</v>
      </c>
      <c r="M1" s="22" t="s">
        <v>22</v>
      </c>
      <c r="N1" s="22" t="s">
        <v>22</v>
      </c>
      <c r="O1" s="22" t="s">
        <v>22</v>
      </c>
      <c r="Q1" s="23" t="s">
        <v>13</v>
      </c>
      <c r="R1" s="23" t="s">
        <v>11</v>
      </c>
      <c r="S1" s="23" t="s">
        <v>18</v>
      </c>
      <c r="T1" s="23" t="s">
        <v>17</v>
      </c>
      <c r="U1" s="23" t="s">
        <v>10</v>
      </c>
      <c r="V1" s="23" t="s">
        <v>16</v>
      </c>
      <c r="W1" s="23" t="s">
        <v>20</v>
      </c>
      <c r="X1" s="23" t="s">
        <v>24</v>
      </c>
      <c r="Y1" s="23" t="s">
        <v>25</v>
      </c>
    </row>
    <row r="2" spans="1:25" x14ac:dyDescent="0.45">
      <c r="A2" s="17" t="s">
        <v>1</v>
      </c>
      <c r="B2" s="31" t="s">
        <v>46</v>
      </c>
      <c r="Q2" s="24" t="str" cm="1">
        <f t="array" ref="Q2:Y5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GH US EQUITY</v>
      </c>
      <c r="R2" s="24">
        <v>91</v>
      </c>
      <c r="S2" s="25" t="str">
        <v>canonical</v>
      </c>
      <c r="T2" s="26" t="str">
        <v>revenue</v>
      </c>
      <c r="U2" s="27" t="str">
        <v/>
      </c>
      <c r="V2" s="28" t="e">
        <v>#DIV/0!</v>
      </c>
      <c r="W2" s="29" t="e">
        <v>#DIV/0!</v>
      </c>
      <c r="X2" s="28" t="e">
        <v>#DIV/0!</v>
      </c>
      <c r="Y2" s="29" t="e">
        <v>#DIV/0!</v>
      </c>
    </row>
    <row r="3" spans="1:25" x14ac:dyDescent="0.45">
      <c r="A3" s="18" t="s">
        <v>3</v>
      </c>
      <c r="B3" s="19">
        <f ca="1">+B4-365*3</f>
        <v>44992</v>
      </c>
      <c r="Q3" s="24" t="str">
        <v>GH US EQUITY</v>
      </c>
      <c r="R3" s="24">
        <v>91</v>
      </c>
      <c r="S3" s="25" t="str">
        <v>canonical</v>
      </c>
      <c r="T3" s="26" t="str">
        <v>revenue</v>
      </c>
      <c r="U3" s="27" t="str">
        <v/>
      </c>
      <c r="V3" s="28" t="e">
        <v>#DIV/0!</v>
      </c>
      <c r="W3" s="29" t="e">
        <v>#DIV/0!</v>
      </c>
      <c r="X3" s="29" t="e">
        <v>#DIV/0!</v>
      </c>
      <c r="Y3" s="29" t="e">
        <v>#DIV/0!</v>
      </c>
    </row>
    <row r="4" spans="1:25" x14ac:dyDescent="0.45">
      <c r="A4" s="20" t="s">
        <v>2</v>
      </c>
      <c r="B4" s="21">
        <f ca="1">TODAY()</f>
        <v>46087</v>
      </c>
      <c r="Q4" s="24" t="str">
        <v>GH US EQUITY</v>
      </c>
      <c r="R4" s="24">
        <v>91</v>
      </c>
      <c r="S4" s="25" t="str">
        <v>canonical</v>
      </c>
      <c r="T4" s="26" t="str">
        <v>revenue</v>
      </c>
      <c r="U4" s="27" t="str">
        <v/>
      </c>
      <c r="V4" s="28" t="e">
        <v>#DIV/0!</v>
      </c>
      <c r="W4" s="29" t="e">
        <v>#DIV/0!</v>
      </c>
      <c r="X4" s="29" t="e">
        <v>#DIV/0!</v>
      </c>
      <c r="Y4" s="29" t="e">
        <v>#DIV/0!</v>
      </c>
    </row>
    <row r="5" spans="1:25" x14ac:dyDescent="0.45">
      <c r="C5" s="13" t="s">
        <v>12</v>
      </c>
      <c r="D5" s="14" t="e">
        <f ca="1">EOMONTH(DATE(YEAR(D6),ROUNDUP(MONTH(D6)/3,0)*3,1),0)</f>
        <v>#VALUE!</v>
      </c>
      <c r="E5" s="14">
        <f>EOMONTH(DATE(YEAR(E6),ROUNDUP(MONTH(E6)/3,0)*3,1),0)</f>
        <v>91</v>
      </c>
      <c r="F5" s="14">
        <f>EOMONTH(DATE(YEAR(F6),ROUNDUP(MONTH(F6)/3,0)*3,1),0)</f>
        <v>91</v>
      </c>
      <c r="G5" s="14">
        <f t="shared" ref="G5:K5" si="0">EOMONTH(DATE(YEAR(G6),ROUNDUP(MONTH(G6)/3,0)*3,1),0)</f>
        <v>91</v>
      </c>
      <c r="H5" s="14">
        <f t="shared" si="0"/>
        <v>91</v>
      </c>
      <c r="I5" s="14">
        <f t="shared" si="0"/>
        <v>91</v>
      </c>
      <c r="J5" s="14">
        <f t="shared" si="0"/>
        <v>91</v>
      </c>
      <c r="K5" s="14">
        <f t="shared" si="0"/>
        <v>91</v>
      </c>
      <c r="L5" s="14">
        <f>EOMONTH(DATE(YEAR(L6),ROUNDUP(MONTH(L6)/3,0)*3,1),0)</f>
        <v>91</v>
      </c>
      <c r="M5" s="14">
        <f>EOMONTH(DATE(YEAR(M6),ROUNDUP(MONTH(M6)/3,0)*3,1),0)</f>
        <v>91</v>
      </c>
      <c r="N5" s="14">
        <f>EOMONTH(DATE(YEAR(N6),ROUNDUP(MONTH(N6)/3,0)*3,1),0)</f>
        <v>91</v>
      </c>
      <c r="O5" s="14">
        <f>EOMONTH(DATE(YEAR(O6),ROUNDUP(MONTH(O6)/3,0)*3,1),0)</f>
        <v>91</v>
      </c>
      <c r="Q5" s="24" t="str">
        <v>GH US EQUITY</v>
      </c>
      <c r="R5" s="24">
        <v>91</v>
      </c>
      <c r="S5" s="25" t="str">
        <v>canonical</v>
      </c>
      <c r="T5" s="26" t="str">
        <v>revenue</v>
      </c>
      <c r="U5" s="27" t="str">
        <v/>
      </c>
      <c r="V5" s="28" t="e">
        <v>#DIV/0!</v>
      </c>
      <c r="W5" s="29" t="e">
        <v>#DIV/0!</v>
      </c>
      <c r="X5" s="29" t="e">
        <v>#DIV/0!</v>
      </c>
      <c r="Y5" s="29" t="e">
        <v>#DIV/0!</v>
      </c>
    </row>
    <row r="6" spans="1:25" x14ac:dyDescent="0.45">
      <c r="D6" s="15" t="str" cm="1">
        <f t="array" aca="1" ref="D6" ca="1">+_xll.BDH($B$2,C7,$B$3,$B$4,"DIR=H")</f>
        <v>#N/A Requesting Data...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24" t="str" cm="1">
        <f t="array" ref="Q6:Y9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GH US EQUITY</v>
      </c>
      <c r="R6" s="24">
        <v>91</v>
      </c>
      <c r="S6" s="25" t="str">
        <v>canonical</v>
      </c>
      <c r="T6" s="26" t="str">
        <v>gross_margin_gaap</v>
      </c>
      <c r="U6" s="30" t="str">
        <v/>
      </c>
      <c r="V6" s="29" t="str">
        <v>0</v>
      </c>
      <c r="W6" s="29" t="str">
        <v/>
      </c>
      <c r="X6" s="29" t="str">
        <v/>
      </c>
      <c r="Y6" s="29" t="str">
        <v>0</v>
      </c>
    </row>
    <row r="7" spans="1:25" x14ac:dyDescent="0.45">
      <c r="A7" s="16" t="s">
        <v>9</v>
      </c>
      <c r="B7" s="16" t="s">
        <v>8</v>
      </c>
      <c r="C7" s="9" t="s">
        <v>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3"/>
      <c r="P7" s="1"/>
      <c r="Q7" s="24" t="str">
        <v>GH US EQUITY</v>
      </c>
      <c r="R7" s="24">
        <v>91</v>
      </c>
      <c r="S7" s="25" t="str">
        <v>canonical</v>
      </c>
      <c r="T7" s="26" t="str">
        <v>gross_margin_gaap</v>
      </c>
      <c r="U7" s="30" t="str">
        <v/>
      </c>
      <c r="V7" s="29" t="str">
        <v>0</v>
      </c>
      <c r="W7" s="29" t="str">
        <v/>
      </c>
      <c r="X7" s="29" t="str">
        <v/>
      </c>
      <c r="Y7" s="29" t="str">
        <v>0</v>
      </c>
    </row>
    <row r="8" spans="1:25" x14ac:dyDescent="0.45">
      <c r="C8" s="4" t="s">
        <v>4</v>
      </c>
      <c r="D8" s="5"/>
      <c r="E8" s="4"/>
      <c r="F8" s="4"/>
      <c r="G8" s="12"/>
      <c r="H8" s="12" t="e">
        <f t="shared" ref="H8:O8" si="1">+H7/D7-1</f>
        <v>#DIV/0!</v>
      </c>
      <c r="I8" s="12" t="e">
        <f t="shared" si="1"/>
        <v>#DIV/0!</v>
      </c>
      <c r="J8" s="12" t="e">
        <f t="shared" si="1"/>
        <v>#DIV/0!</v>
      </c>
      <c r="K8" s="12" t="e">
        <f t="shared" si="1"/>
        <v>#DIV/0!</v>
      </c>
      <c r="L8" s="12" t="e">
        <f t="shared" si="1"/>
        <v>#DIV/0!</v>
      </c>
      <c r="M8" s="12" t="e">
        <f t="shared" si="1"/>
        <v>#DIV/0!</v>
      </c>
      <c r="N8" s="12" t="e">
        <f t="shared" si="1"/>
        <v>#DIV/0!</v>
      </c>
      <c r="O8" s="12" t="e">
        <f t="shared" si="1"/>
        <v>#DIV/0!</v>
      </c>
      <c r="P8" s="3"/>
      <c r="Q8" s="24" t="str">
        <v>GH US EQUITY</v>
      </c>
      <c r="R8" s="24">
        <v>91</v>
      </c>
      <c r="S8" s="25" t="str">
        <v>canonical</v>
      </c>
      <c r="T8" s="26" t="str">
        <v>gross_margin_gaap</v>
      </c>
      <c r="U8" s="30" t="str">
        <v/>
      </c>
      <c r="V8" s="29" t="str">
        <v>0</v>
      </c>
      <c r="W8" s="29" t="str">
        <v/>
      </c>
      <c r="X8" s="29" t="str">
        <v/>
      </c>
      <c r="Y8" s="29" t="str">
        <v>0</v>
      </c>
    </row>
    <row r="9" spans="1:25" x14ac:dyDescent="0.45">
      <c r="C9" s="4" t="s">
        <v>19</v>
      </c>
      <c r="D9" s="1"/>
      <c r="L9" s="7" t="e">
        <f>(L8-K8)*10000</f>
        <v>#DIV/0!</v>
      </c>
      <c r="M9" s="7" t="e">
        <f>(M8-L8)*10000</f>
        <v>#DIV/0!</v>
      </c>
      <c r="N9" s="7" t="e">
        <f>(N8-M8)*10000</f>
        <v>#DIV/0!</v>
      </c>
      <c r="O9" s="7" t="e">
        <f>(O8-N8)*10000</f>
        <v>#DIV/0!</v>
      </c>
      <c r="Q9" s="22" t="str">
        <v>GH US EQUITY</v>
      </c>
      <c r="R9" s="24">
        <v>91</v>
      </c>
      <c r="S9" s="25" t="str">
        <v>canonical</v>
      </c>
      <c r="T9" s="26" t="str">
        <v>gross_margin_gaap</v>
      </c>
      <c r="U9" s="30" t="str">
        <v/>
      </c>
      <c r="V9" s="29" t="str">
        <v>0</v>
      </c>
      <c r="W9" s="29" t="str">
        <v/>
      </c>
      <c r="X9" s="29" t="str">
        <v/>
      </c>
      <c r="Y9" s="29" t="str">
        <v>0</v>
      </c>
    </row>
    <row r="10" spans="1:25" x14ac:dyDescent="0.45">
      <c r="C10" s="4" t="s">
        <v>23</v>
      </c>
      <c r="D10" s="1"/>
      <c r="E10" s="6"/>
      <c r="F10" s="6"/>
      <c r="G10" s="6"/>
      <c r="H10" s="6"/>
      <c r="I10" s="6"/>
      <c r="J10" s="6"/>
      <c r="K10" s="6"/>
      <c r="L10" s="7" t="e">
        <f>(L8-H8)*10000</f>
        <v>#DIV/0!</v>
      </c>
      <c r="M10" s="7" t="e">
        <f>(M8-I8)*10000</f>
        <v>#DIV/0!</v>
      </c>
      <c r="N10" s="7" t="e">
        <f>(N8-J8)*10000</f>
        <v>#DIV/0!</v>
      </c>
      <c r="O10" s="7" t="e">
        <f>(O8-K8)*10000</f>
        <v>#DIV/0!</v>
      </c>
      <c r="Q10" s="24" t="str" cm="1">
        <f t="array" ref="Q10:Y13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GH US EQUITY</v>
      </c>
      <c r="R10" s="24">
        <v>91</v>
      </c>
      <c r="S10" s="25" t="str">
        <v>canonical</v>
      </c>
      <c r="T10" s="26" t="str">
        <v>operating_margin_gaap</v>
      </c>
      <c r="U10" s="30" t="str">
        <v/>
      </c>
      <c r="V10" s="29" t="str">
        <v>0</v>
      </c>
      <c r="W10" s="29" t="str">
        <v/>
      </c>
      <c r="X10" s="29" t="str">
        <v/>
      </c>
      <c r="Y10" s="29" t="str">
        <v>0</v>
      </c>
    </row>
    <row r="11" spans="1:25" x14ac:dyDescent="0.45">
      <c r="C11" s="4" t="s">
        <v>5</v>
      </c>
      <c r="D11" s="1"/>
      <c r="L11" s="12" t="e">
        <f t="shared" ref="L11:O11" si="2">L7/K7-1</f>
        <v>#DIV/0!</v>
      </c>
      <c r="M11" s="12" t="e">
        <f t="shared" si="2"/>
        <v>#DIV/0!</v>
      </c>
      <c r="N11" s="12" t="e">
        <f t="shared" si="2"/>
        <v>#DIV/0!</v>
      </c>
      <c r="O11" s="12" t="e">
        <f t="shared" si="2"/>
        <v>#DIV/0!</v>
      </c>
      <c r="Q11" s="24" t="str">
        <v>GH US EQUITY</v>
      </c>
      <c r="R11" s="24">
        <v>91</v>
      </c>
      <c r="S11" s="25" t="str">
        <v>canonical</v>
      </c>
      <c r="T11" s="26" t="str">
        <v>operating_margin_gaap</v>
      </c>
      <c r="U11" s="30" t="str">
        <v/>
      </c>
      <c r="V11" s="29" t="str">
        <v>0</v>
      </c>
      <c r="W11" s="29" t="str">
        <v/>
      </c>
      <c r="X11" s="29" t="str">
        <v/>
      </c>
      <c r="Y11" s="29" t="str">
        <v>0</v>
      </c>
    </row>
    <row r="12" spans="1:25" x14ac:dyDescent="0.45">
      <c r="Q12" s="24" t="str">
        <v>GH US EQUITY</v>
      </c>
      <c r="R12" s="24">
        <v>91</v>
      </c>
      <c r="S12" s="25" t="str">
        <v>canonical</v>
      </c>
      <c r="T12" s="26" t="str">
        <v>operating_margin_gaap</v>
      </c>
      <c r="U12" s="30" t="str">
        <v/>
      </c>
      <c r="V12" s="29" t="str">
        <v>0</v>
      </c>
      <c r="W12" s="29" t="str">
        <v/>
      </c>
      <c r="X12" s="29" t="str">
        <v/>
      </c>
      <c r="Y12" s="29" t="str">
        <v>0</v>
      </c>
    </row>
    <row r="13" spans="1:25" x14ac:dyDescent="0.45">
      <c r="C13" s="13" t="s">
        <v>12</v>
      </c>
      <c r="D13" s="14" t="e">
        <f ca="1">EOMONTH(DATE(YEAR(D14),ROUNDUP(MONTH(D14)/3,0)*3,1),0)</f>
        <v>#VALUE!</v>
      </c>
      <c r="E13" s="14">
        <f>EOMONTH(DATE(YEAR(E14),ROUNDUP(MONTH(E14)/3,0)*3,1),0)</f>
        <v>91</v>
      </c>
      <c r="F13" s="14">
        <f>EOMONTH(DATE(YEAR(F14),ROUNDUP(MONTH(F14)/3,0)*3,1),0)</f>
        <v>91</v>
      </c>
      <c r="G13" s="14">
        <f t="shared" ref="G13:K13" si="3">EOMONTH(DATE(YEAR(G14),ROUNDUP(MONTH(G14)/3,0)*3,1),0)</f>
        <v>91</v>
      </c>
      <c r="H13" s="14">
        <f t="shared" si="3"/>
        <v>91</v>
      </c>
      <c r="I13" s="14">
        <f t="shared" si="3"/>
        <v>91</v>
      </c>
      <c r="J13" s="14">
        <f t="shared" si="3"/>
        <v>91</v>
      </c>
      <c r="K13" s="14">
        <f t="shared" si="3"/>
        <v>91</v>
      </c>
      <c r="L13" s="14">
        <f>EOMONTH(DATE(YEAR(L14),ROUNDUP(MONTH(L14)/3,0)*3,1),0)</f>
        <v>91</v>
      </c>
      <c r="M13" s="14">
        <f>EOMONTH(DATE(YEAR(M14),ROUNDUP(MONTH(M14)/3,0)*3,1),0)</f>
        <v>91</v>
      </c>
      <c r="N13" s="14">
        <f>EOMONTH(DATE(YEAR(N14),ROUNDUP(MONTH(N14)/3,0)*3,1),0)</f>
        <v>91</v>
      </c>
      <c r="O13" s="14">
        <f>EOMONTH(DATE(YEAR(O14),ROUNDUP(MONTH(O14)/3,0)*3,1),0)</f>
        <v>91</v>
      </c>
      <c r="Q13" s="24" t="str">
        <v>GH US EQUITY</v>
      </c>
      <c r="R13" s="24">
        <v>91</v>
      </c>
      <c r="S13" s="25" t="str">
        <v>canonical</v>
      </c>
      <c r="T13" s="26" t="str">
        <v>operating_margin_gaap</v>
      </c>
      <c r="U13" s="30" t="str">
        <v/>
      </c>
      <c r="V13" s="29" t="str">
        <v>0</v>
      </c>
      <c r="W13" s="29" t="str">
        <v/>
      </c>
      <c r="X13" s="29" t="str">
        <v/>
      </c>
      <c r="Y13" s="29" t="str">
        <v>0</v>
      </c>
    </row>
    <row r="14" spans="1:25" x14ac:dyDescent="0.45">
      <c r="D14" s="1" t="str" cm="1">
        <f t="array" aca="1" ref="D14" ca="1">+_xll.BDH($B$2,C15,$B$3,$B$4,"DIR=H")</f>
        <v>#N/A Requesting Data...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GH US EQUITY</v>
      </c>
      <c r="R14" s="24">
        <v>45747</v>
      </c>
      <c r="S14" s="25" t="str">
        <v>custom</v>
      </c>
      <c r="T14" s="26" t="str">
        <v>oncology_revenue</v>
      </c>
      <c r="U14" s="30" t="str">
        <v>150.6</v>
      </c>
      <c r="V14" s="29" t="str">
        <v>0.198090692124105</v>
      </c>
      <c r="W14" s="29" t="str">
        <v/>
      </c>
      <c r="X14" s="29" t="str">
        <v/>
      </c>
      <c r="Y14" s="29" t="str">
        <v>0.0342483157410396</v>
      </c>
    </row>
    <row r="15" spans="1:25" x14ac:dyDescent="0.45">
      <c r="A15" s="16" t="s">
        <v>9</v>
      </c>
      <c r="B15" s="16" t="s">
        <v>14</v>
      </c>
      <c r="C15" s="9" t="s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24" t="str">
        <v>GH US EQUITY</v>
      </c>
      <c r="R15" s="24">
        <v>45838</v>
      </c>
      <c r="S15" s="25" t="str">
        <v>custom</v>
      </c>
      <c r="T15" s="26" t="str">
        <v>oncology_revenue</v>
      </c>
      <c r="U15" s="30" t="str">
        <v>158.7</v>
      </c>
      <c r="V15" s="29" t="str">
        <v>0.218248393708403</v>
      </c>
      <c r="W15" s="29" t="str">
        <v>201.577015842982</v>
      </c>
      <c r="X15" s="29" t="str">
        <v/>
      </c>
      <c r="Y15" s="29" t="str">
        <v>0.0537848605577689</v>
      </c>
    </row>
    <row r="16" spans="1:25" x14ac:dyDescent="0.45">
      <c r="C16" s="4" t="s">
        <v>4</v>
      </c>
      <c r="D16" s="5"/>
      <c r="E16" s="4"/>
      <c r="F16" s="4"/>
      <c r="G16" s="4"/>
      <c r="H16" s="7">
        <f t="shared" ref="H16:O16" si="4">(H15-D15)*100</f>
        <v>0</v>
      </c>
      <c r="I16" s="7">
        <f t="shared" si="4"/>
        <v>0</v>
      </c>
      <c r="J16" s="7">
        <f t="shared" si="4"/>
        <v>0</v>
      </c>
      <c r="K16" s="7">
        <f t="shared" si="4"/>
        <v>0</v>
      </c>
      <c r="L16" s="7">
        <f t="shared" si="4"/>
        <v>0</v>
      </c>
      <c r="M16" s="7">
        <f t="shared" si="4"/>
        <v>0</v>
      </c>
      <c r="N16" s="7">
        <f t="shared" si="4"/>
        <v>0</v>
      </c>
      <c r="O16" s="7">
        <f t="shared" si="4"/>
        <v>0</v>
      </c>
      <c r="Q16" s="24" t="str">
        <v>GH US EQUITY</v>
      </c>
      <c r="R16" s="24">
        <v>45930</v>
      </c>
      <c r="S16" s="25" t="str">
        <v>custom</v>
      </c>
      <c r="T16" s="26" t="str">
        <v>oncology_revenue</v>
      </c>
      <c r="U16" s="30" t="str">
        <v>184.4</v>
      </c>
      <c r="V16" s="29" t="str">
        <v>0.305976755880083</v>
      </c>
      <c r="W16" s="29" t="str">
        <v>877.283621716793</v>
      </c>
      <c r="X16" s="29" t="str">
        <v/>
      </c>
      <c r="Y16" s="29" t="str">
        <v>0.161940768746062</v>
      </c>
    </row>
    <row r="17" spans="1:25" x14ac:dyDescent="0.45">
      <c r="C17" s="4" t="s">
        <v>19</v>
      </c>
      <c r="D17" s="1"/>
      <c r="K17" s="7"/>
      <c r="L17" s="7"/>
      <c r="M17" s="7"/>
      <c r="N17" s="7"/>
      <c r="O17" s="7"/>
      <c r="Q17" s="24" t="str">
        <v>GH US EQUITY</v>
      </c>
      <c r="R17" s="24">
        <v>46022</v>
      </c>
      <c r="S17" s="25" t="str">
        <v>custom</v>
      </c>
      <c r="T17" s="26" t="str">
        <v>oncology_revenue</v>
      </c>
      <c r="U17" s="30" t="str">
        <v>189.949</v>
      </c>
      <c r="V17" s="29" t="str">
        <v>0.304478308942196</v>
      </c>
      <c r="W17" s="29" t="str">
        <v>-14.9844693788648</v>
      </c>
      <c r="X17" s="29" t="str">
        <v/>
      </c>
      <c r="Y17" s="29" t="str">
        <v>0.030092190889371</v>
      </c>
    </row>
    <row r="18" spans="1:25" x14ac:dyDescent="0.45">
      <c r="C18" s="4" t="s">
        <v>23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GH US EQUITY</v>
      </c>
      <c r="R18" s="24">
        <v>45747</v>
      </c>
      <c r="S18" s="25" t="str">
        <v>custom</v>
      </c>
      <c r="T18" s="26" t="str">
        <v>oncology_tests_volume</v>
      </c>
      <c r="U18" s="30" t="str">
        <v>59000</v>
      </c>
      <c r="V18" s="29" t="str">
        <v>0.257995735607676</v>
      </c>
      <c r="W18" s="29" t="str">
        <v/>
      </c>
      <c r="X18" s="29" t="str">
        <v/>
      </c>
      <c r="Y18" s="29" t="str">
        <v>0.0296684118673647</v>
      </c>
    </row>
    <row r="19" spans="1:25" x14ac:dyDescent="0.45">
      <c r="C19" s="4" t="s">
        <v>5</v>
      </c>
      <c r="D19" s="1"/>
      <c r="K19" s="7"/>
      <c r="L19" s="7">
        <f>(L15-K15)*100</f>
        <v>0</v>
      </c>
      <c r="M19" s="7">
        <f t="shared" ref="M19:O19" si="5">(M15-L15)*100</f>
        <v>0</v>
      </c>
      <c r="N19" s="7">
        <f t="shared" si="5"/>
        <v>0</v>
      </c>
      <c r="O19" s="7">
        <f t="shared" si="5"/>
        <v>0</v>
      </c>
      <c r="Q19" s="24" t="str">
        <v>GH US EQUITY</v>
      </c>
      <c r="R19" s="24">
        <v>45838</v>
      </c>
      <c r="S19" s="25" t="str">
        <v>custom</v>
      </c>
      <c r="T19" s="26" t="str">
        <v>oncology_tests_volume</v>
      </c>
      <c r="U19" s="30" t="str">
        <v>64000</v>
      </c>
      <c r="V19" s="29" t="str">
        <v>0.295546558704453</v>
      </c>
      <c r="W19" s="29" t="str">
        <v>375.508230967776</v>
      </c>
      <c r="X19" s="29" t="str">
        <v/>
      </c>
      <c r="Y19" s="29" t="str">
        <v>0.0847457627118644</v>
      </c>
    </row>
    <row r="20" spans="1:25" x14ac:dyDescent="0.45">
      <c r="Q20" s="24" t="str">
        <v>GH US EQUITY</v>
      </c>
      <c r="R20" s="24">
        <v>45930</v>
      </c>
      <c r="S20" s="25" t="str">
        <v>custom</v>
      </c>
      <c r="T20" s="26" t="str">
        <v>oncology_tests_volume</v>
      </c>
      <c r="U20" s="30" t="str">
        <v>74000</v>
      </c>
      <c r="V20" s="29" t="str">
        <v>0.393596986817326</v>
      </c>
      <c r="W20" s="29" t="str">
        <v>980.504281128725</v>
      </c>
      <c r="X20" s="29" t="str">
        <v/>
      </c>
      <c r="Y20" s="29" t="str">
        <v>0.15625</v>
      </c>
    </row>
    <row r="21" spans="1:25" x14ac:dyDescent="0.45">
      <c r="C21" s="13" t="s">
        <v>12</v>
      </c>
      <c r="D21" s="14" t="e">
        <f ca="1">EOMONTH(DATE(YEAR(D22),ROUNDUP(MONTH(D22)/3,0)*3,1),0)</f>
        <v>#VALUE!</v>
      </c>
      <c r="E21" s="14">
        <f>EOMONTH(DATE(YEAR(E22),ROUNDUP(MONTH(E22)/3,0)*3,1),0)</f>
        <v>91</v>
      </c>
      <c r="F21" s="14">
        <f>EOMONTH(DATE(YEAR(F22),ROUNDUP(MONTH(F22)/3,0)*3,1),0)</f>
        <v>91</v>
      </c>
      <c r="G21" s="14">
        <f t="shared" ref="G21:K21" si="6">EOMONTH(DATE(YEAR(G22),ROUNDUP(MONTH(G22)/3,0)*3,1),0)</f>
        <v>91</v>
      </c>
      <c r="H21" s="14">
        <f t="shared" si="6"/>
        <v>91</v>
      </c>
      <c r="I21" s="14">
        <f t="shared" si="6"/>
        <v>91</v>
      </c>
      <c r="J21" s="14">
        <f t="shared" si="6"/>
        <v>91</v>
      </c>
      <c r="K21" s="14">
        <f t="shared" si="6"/>
        <v>91</v>
      </c>
      <c r="L21" s="14">
        <f>EOMONTH(DATE(YEAR(L22),ROUNDUP(MONTH(L22)/3,0)*3,1),0)</f>
        <v>91</v>
      </c>
      <c r="M21" s="14">
        <f>EOMONTH(DATE(YEAR(M22),ROUNDUP(MONTH(M22)/3,0)*3,1),0)</f>
        <v>91</v>
      </c>
      <c r="N21" s="14">
        <f>EOMONTH(DATE(YEAR(N22),ROUNDUP(MONTH(N22)/3,0)*3,1),0)</f>
        <v>91</v>
      </c>
      <c r="O21" s="14">
        <f>EOMONTH(DATE(YEAR(O22),ROUNDUP(MONTH(O22)/3,0)*3,1),0)</f>
        <v>91</v>
      </c>
      <c r="Q21" s="24" t="str">
        <v>GH US EQUITY</v>
      </c>
      <c r="R21" s="24">
        <v>46022</v>
      </c>
      <c r="S21" s="25" t="str">
        <v>custom</v>
      </c>
      <c r="T21" s="26" t="str">
        <v>oncology_tests_volume</v>
      </c>
      <c r="U21" s="30" t="str">
        <v>79000</v>
      </c>
      <c r="V21" s="29" t="str">
        <v>0.378708551483421</v>
      </c>
      <c r="W21" s="29" t="str">
        <v>-148.884353339054</v>
      </c>
      <c r="X21" s="29" t="str">
        <v/>
      </c>
      <c r="Y21" s="29" t="str">
        <v>0.0675675675675675</v>
      </c>
    </row>
    <row r="22" spans="1:25" x14ac:dyDescent="0.45">
      <c r="D22" s="1" t="str" cm="1">
        <f t="array" aca="1" ref="D22" ca="1">+_xll.BDH($B$2,C23,$B$3,$B$4,"DIR=H")</f>
        <v>#N/A Requesting Data...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GH US EQUITY</v>
      </c>
      <c r="R22" s="24">
        <v>45747</v>
      </c>
      <c r="S22" s="25" t="str">
        <v>custom</v>
      </c>
      <c r="T22" s="26" t="str">
        <v>screening_revenue</v>
      </c>
      <c r="U22" s="27" t="str">
        <v>5.7</v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9</v>
      </c>
      <c r="B23" s="16" t="s">
        <v>15</v>
      </c>
      <c r="C23" s="9" t="s">
        <v>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GH US EQUITY</v>
      </c>
      <c r="R23" s="24">
        <v>45838</v>
      </c>
      <c r="S23" s="25" t="str">
        <v>custom</v>
      </c>
      <c r="T23" s="26" t="str">
        <v>screening_revenue</v>
      </c>
      <c r="U23" s="27" t="str">
        <v>14.8</v>
      </c>
      <c r="V23" s="28" t="str">
        <v/>
      </c>
      <c r="W23" s="29" t="str">
        <v/>
      </c>
      <c r="X23" s="28" t="str">
        <v/>
      </c>
      <c r="Y23" s="29" t="str">
        <v>1.59649122807018</v>
      </c>
    </row>
    <row r="24" spans="1:25" x14ac:dyDescent="0.45">
      <c r="C24" s="4" t="s">
        <v>4</v>
      </c>
      <c r="D24" s="5"/>
      <c r="E24" s="4"/>
      <c r="F24" s="4"/>
      <c r="G24" s="4"/>
      <c r="H24" s="7">
        <f t="shared" ref="H24:O24" si="7">(H23-D23)*100</f>
        <v>0</v>
      </c>
      <c r="I24" s="7">
        <f t="shared" si="7"/>
        <v>0</v>
      </c>
      <c r="J24" s="7">
        <f t="shared" si="7"/>
        <v>0</v>
      </c>
      <c r="K24" s="7">
        <f t="shared" si="7"/>
        <v>0</v>
      </c>
      <c r="L24" s="7">
        <f t="shared" si="7"/>
        <v>0</v>
      </c>
      <c r="M24" s="7">
        <f t="shared" si="7"/>
        <v>0</v>
      </c>
      <c r="N24" s="7">
        <f t="shared" si="7"/>
        <v>0</v>
      </c>
      <c r="O24" s="7">
        <f t="shared" si="7"/>
        <v>0</v>
      </c>
      <c r="Q24" s="24" t="str">
        <v>GH US EQUITY</v>
      </c>
      <c r="R24" s="24">
        <v>45930</v>
      </c>
      <c r="S24" s="25" t="str">
        <v>custom</v>
      </c>
      <c r="T24" s="26" t="str">
        <v>screening_revenue</v>
      </c>
      <c r="U24" s="27" t="str">
        <v>24.112</v>
      </c>
      <c r="V24" s="28" t="str">
        <v/>
      </c>
      <c r="W24" s="29" t="str">
        <v/>
      </c>
      <c r="X24" s="28" t="str">
        <v/>
      </c>
      <c r="Y24" s="29" t="str">
        <v>0.629189189189189</v>
      </c>
    </row>
    <row r="25" spans="1:25" x14ac:dyDescent="0.45">
      <c r="C25" s="4" t="s">
        <v>19</v>
      </c>
      <c r="D25" s="1"/>
      <c r="K25" s="7"/>
      <c r="L25" s="7"/>
      <c r="M25" s="7"/>
      <c r="N25" s="7"/>
      <c r="O25" s="7"/>
      <c r="Q25" s="24" t="str">
        <v>GH US EQUITY</v>
      </c>
      <c r="R25" s="24">
        <v>46022</v>
      </c>
      <c r="S25" s="25" t="str">
        <v>custom</v>
      </c>
      <c r="T25" s="26" t="str">
        <v>screening_revenue</v>
      </c>
      <c r="U25" s="27" t="str">
        <v>35.129</v>
      </c>
      <c r="V25" s="28" t="str">
        <v/>
      </c>
      <c r="W25" s="29" t="str">
        <v/>
      </c>
      <c r="X25" s="28" t="str">
        <v/>
      </c>
      <c r="Y25" s="29" t="str">
        <v>0.456909422694094</v>
      </c>
    </row>
    <row r="26" spans="1:25" x14ac:dyDescent="0.45">
      <c r="C26" s="4" t="s">
        <v>23</v>
      </c>
      <c r="D26" s="1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GH US EQUITY</v>
      </c>
      <c r="R26" s="24">
        <v>45747</v>
      </c>
      <c r="S26" s="25" t="str">
        <v>custom</v>
      </c>
      <c r="T26" s="26" t="str">
        <v>screening_tests_volume</v>
      </c>
      <c r="U26" s="27" t="str">
        <v>9000</v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5</v>
      </c>
      <c r="D27" s="1"/>
      <c r="K27" s="7"/>
      <c r="L27" s="7">
        <f>(L23-K23)*100</f>
        <v>0</v>
      </c>
      <c r="M27" s="7">
        <f t="shared" ref="M27:O27" si="8">(M23-L23)*100</f>
        <v>0</v>
      </c>
      <c r="N27" s="7">
        <f t="shared" si="8"/>
        <v>0</v>
      </c>
      <c r="O27" s="7">
        <f t="shared" si="8"/>
        <v>0</v>
      </c>
      <c r="Q27" s="24" t="str">
        <v>GH US EQUITY</v>
      </c>
      <c r="R27" s="24">
        <v>45838</v>
      </c>
      <c r="S27" s="25" t="str">
        <v>custom</v>
      </c>
      <c r="T27" s="26" t="str">
        <v>screening_tests_volume</v>
      </c>
      <c r="U27" s="27" t="str">
        <v>16000</v>
      </c>
      <c r="V27" s="28" t="str">
        <v/>
      </c>
      <c r="W27" s="29" t="str">
        <v/>
      </c>
      <c r="X27" s="28" t="str">
        <v/>
      </c>
      <c r="Y27" s="29" t="str">
        <v>0.777777777777778</v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GH US EQUITY</v>
      </c>
      <c r="R28" s="24">
        <v>45930</v>
      </c>
      <c r="S28" s="25" t="str">
        <v>custom</v>
      </c>
      <c r="T28" s="26" t="str">
        <v>screening_tests_volume</v>
      </c>
      <c r="U28" s="27" t="str">
        <v>24000</v>
      </c>
      <c r="V28" s="28" t="str">
        <v/>
      </c>
      <c r="W28" s="29" t="str">
        <v/>
      </c>
      <c r="X28" s="28" t="str">
        <v/>
      </c>
      <c r="Y28" s="29" t="str">
        <v>0.5</v>
      </c>
    </row>
    <row r="29" spans="1:25" x14ac:dyDescent="0.45">
      <c r="C29" s="13" t="s">
        <v>12</v>
      </c>
      <c r="D29" s="14"/>
      <c r="E29" s="14"/>
      <c r="F29" s="14"/>
      <c r="G29" s="14"/>
      <c r="H29" s="14">
        <f t="shared" ref="D29:L29" si="9">EOMONTH(DATE(YEAR(H30),ROUNDUP(MONTH(H30)/3,0)*3,1),0)</f>
        <v>45382</v>
      </c>
      <c r="I29" s="14">
        <f t="shared" si="9"/>
        <v>45473</v>
      </c>
      <c r="J29" s="14">
        <f t="shared" si="9"/>
        <v>45565</v>
      </c>
      <c r="K29" s="14">
        <f t="shared" si="9"/>
        <v>45657</v>
      </c>
      <c r="L29" s="14">
        <f t="shared" si="9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GH US EQUITY</v>
      </c>
      <c r="R29" s="24">
        <v>46022</v>
      </c>
      <c r="S29" s="25" t="str">
        <v>custom</v>
      </c>
      <c r="T29" s="26" t="str">
        <v>screening_tests_volume</v>
      </c>
      <c r="U29" s="27" t="str">
        <v>38000</v>
      </c>
      <c r="V29" s="28" t="str">
        <v/>
      </c>
      <c r="W29" s="29" t="str">
        <v/>
      </c>
      <c r="X29" s="28" t="str">
        <v/>
      </c>
      <c r="Y29" s="29" t="str">
        <v>0.583333333333333</v>
      </c>
    </row>
    <row r="30" spans="1:25" x14ac:dyDescent="0.45">
      <c r="D30" s="2"/>
      <c r="E30" s="2"/>
      <c r="F30" s="2"/>
      <c r="G30" s="2"/>
      <c r="H30" s="2">
        <v>45382</v>
      </c>
      <c r="I30" s="2">
        <v>45473</v>
      </c>
      <c r="J30" s="2">
        <v>45565</v>
      </c>
      <c r="K30" s="2">
        <v>45657</v>
      </c>
      <c r="L30" s="2">
        <v>45747</v>
      </c>
      <c r="M30" s="2">
        <v>45838</v>
      </c>
      <c r="N30" s="2">
        <v>45930</v>
      </c>
      <c r="O30" s="2">
        <v>46022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GH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21</v>
      </c>
      <c r="B31" s="16" t="s">
        <v>47</v>
      </c>
      <c r="C31" s="2" t="s">
        <v>48</v>
      </c>
      <c r="D31" s="10"/>
      <c r="E31" s="10"/>
      <c r="F31" s="10"/>
      <c r="G31" s="10"/>
      <c r="H31" s="10">
        <v>125.7</v>
      </c>
      <c r="I31" s="10">
        <v>130.26900000000001</v>
      </c>
      <c r="J31" s="10">
        <v>141.197</v>
      </c>
      <c r="K31" s="10">
        <v>145.613</v>
      </c>
      <c r="L31" s="10">
        <v>150.6</v>
      </c>
      <c r="M31" s="10">
        <v>158.69999999999999</v>
      </c>
      <c r="N31" s="10">
        <v>184.4</v>
      </c>
      <c r="O31" s="10">
        <v>189.94900000000001</v>
      </c>
      <c r="Q31" s="24" t="str">
        <v>GH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4</v>
      </c>
      <c r="D32" s="5"/>
      <c r="E32" s="4"/>
      <c r="F32" s="4"/>
      <c r="G32" s="4"/>
      <c r="H32" s="12"/>
      <c r="I32" s="12"/>
      <c r="J32" s="12"/>
      <c r="K32" s="12"/>
      <c r="L32" s="12">
        <f t="shared" ref="H32:O32" si="10">+L31/H31-1</f>
        <v>0.19809069212410502</v>
      </c>
      <c r="M32" s="12">
        <f t="shared" si="10"/>
        <v>0.21824839370840321</v>
      </c>
      <c r="N32" s="12">
        <f t="shared" si="10"/>
        <v>0.30597675588008255</v>
      </c>
      <c r="O32" s="12">
        <f t="shared" si="10"/>
        <v>0.30447830894219607</v>
      </c>
      <c r="Q32" s="24" t="str">
        <v>GH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19</v>
      </c>
      <c r="D33" s="1"/>
      <c r="L33" s="7"/>
      <c r="M33" s="7">
        <f>(M32-L32)*10000</f>
        <v>201.57701584298192</v>
      </c>
      <c r="N33" s="7">
        <f>(N32-M32)*10000</f>
        <v>877.28362171679339</v>
      </c>
      <c r="O33" s="7">
        <f>(O32-N32)*10000</f>
        <v>-14.984469378864773</v>
      </c>
      <c r="Q33" s="24" t="str">
        <v>GH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23</v>
      </c>
      <c r="D34" s="1"/>
      <c r="E34" s="7"/>
      <c r="F34" s="7"/>
      <c r="G34" s="7"/>
      <c r="H34" s="6"/>
      <c r="I34" s="6"/>
      <c r="J34" s="6"/>
      <c r="K34" s="6"/>
      <c r="L34" s="7"/>
      <c r="M34" s="7"/>
      <c r="N34" s="7"/>
      <c r="O34" s="7"/>
    </row>
    <row r="35" spans="1:25" x14ac:dyDescent="0.45">
      <c r="C35" s="4" t="s">
        <v>5</v>
      </c>
      <c r="D35" s="1"/>
      <c r="G35" s="7"/>
      <c r="L35" s="12">
        <f t="shared" ref="L35:O35" si="11">L31/K31-1</f>
        <v>3.4248315741039592E-2</v>
      </c>
      <c r="M35" s="12">
        <f t="shared" si="11"/>
        <v>5.3784860557768877E-2</v>
      </c>
      <c r="N35" s="12">
        <f t="shared" si="11"/>
        <v>0.16194076874606189</v>
      </c>
      <c r="O35" s="12">
        <f t="shared" si="11"/>
        <v>3.0092190889370984E-2</v>
      </c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 t="s">
        <v>12</v>
      </c>
      <c r="D37" s="14"/>
      <c r="E37" s="14"/>
      <c r="F37" s="14"/>
      <c r="G37" s="14"/>
      <c r="H37" s="14">
        <f t="shared" ref="D37:L37" si="12">EOMONTH(DATE(YEAR(H38),ROUNDUP(MONTH(H38)/3,0)*3,1),0)</f>
        <v>45382</v>
      </c>
      <c r="I37" s="14">
        <f t="shared" si="12"/>
        <v>45473</v>
      </c>
      <c r="J37" s="14">
        <f t="shared" si="12"/>
        <v>45565</v>
      </c>
      <c r="K37" s="14">
        <f t="shared" si="12"/>
        <v>45657</v>
      </c>
      <c r="L37" s="14">
        <f t="shared" si="12"/>
        <v>45747</v>
      </c>
      <c r="M37" s="14">
        <f>EOMONTH(DATE(YEAR(M38),ROUNDUP(MONTH(M38)/3,0)*3,1),0)</f>
        <v>45838</v>
      </c>
      <c r="N37" s="14">
        <f>EOMONTH(DATE(YEAR(N38),ROUNDUP(MONTH(N38)/3,0)*3,1),0)</f>
        <v>45930</v>
      </c>
      <c r="O37" s="14">
        <f>EOMONTH(DATE(YEAR(O38),ROUNDUP(MONTH(O38)/3,0)*3,1),0)</f>
        <v>46022</v>
      </c>
    </row>
    <row r="38" spans="1:25" x14ac:dyDescent="0.45">
      <c r="D38" s="2"/>
      <c r="E38" s="2"/>
      <c r="F38" s="2"/>
      <c r="G38" s="2"/>
      <c r="H38" s="2">
        <v>45382</v>
      </c>
      <c r="I38" s="2">
        <v>45473</v>
      </c>
      <c r="J38" s="2">
        <v>45565</v>
      </c>
      <c r="K38" s="2">
        <v>45657</v>
      </c>
      <c r="L38" s="2">
        <v>45747</v>
      </c>
      <c r="M38" s="2">
        <v>45838</v>
      </c>
      <c r="N38" s="2">
        <v>45930</v>
      </c>
      <c r="O38" s="2">
        <v>46022</v>
      </c>
    </row>
    <row r="39" spans="1:25" x14ac:dyDescent="0.45">
      <c r="A39" s="16" t="s">
        <v>21</v>
      </c>
      <c r="B39" s="16" t="s">
        <v>49</v>
      </c>
      <c r="C39" s="2" t="s">
        <v>50</v>
      </c>
      <c r="D39" s="34"/>
      <c r="E39" s="34"/>
      <c r="F39" s="34"/>
      <c r="G39" s="34"/>
      <c r="H39" s="34">
        <v>46900</v>
      </c>
      <c r="I39" s="34">
        <v>49400</v>
      </c>
      <c r="J39" s="34">
        <v>53100</v>
      </c>
      <c r="K39" s="34">
        <v>57300</v>
      </c>
      <c r="L39" s="34">
        <v>59000</v>
      </c>
      <c r="M39" s="34">
        <v>64000</v>
      </c>
      <c r="N39" s="34">
        <v>74000</v>
      </c>
      <c r="O39" s="34">
        <v>79000</v>
      </c>
    </row>
    <row r="40" spans="1:25" x14ac:dyDescent="0.45">
      <c r="C40" s="4" t="s">
        <v>4</v>
      </c>
      <c r="D40" s="5"/>
      <c r="E40" s="4"/>
      <c r="F40" s="4"/>
      <c r="G40" s="4"/>
      <c r="H40" s="12"/>
      <c r="I40" s="12"/>
      <c r="J40" s="12"/>
      <c r="K40" s="12"/>
      <c r="L40" s="12">
        <f t="shared" ref="L40" si="13">+L39/H39-1</f>
        <v>0.25799573560767586</v>
      </c>
      <c r="M40" s="12">
        <f t="shared" ref="M40" si="14">+M39/I39-1</f>
        <v>0.29554655870445345</v>
      </c>
      <c r="N40" s="12">
        <f t="shared" ref="N40" si="15">+N39/J39-1</f>
        <v>0.39359698681732591</v>
      </c>
      <c r="O40" s="12">
        <f t="shared" ref="O40" si="16">+O39/K39-1</f>
        <v>0.37870855148342053</v>
      </c>
    </row>
    <row r="41" spans="1:25" x14ac:dyDescent="0.45">
      <c r="C41" s="4" t="s">
        <v>19</v>
      </c>
      <c r="D41" s="1"/>
      <c r="L41" s="7"/>
      <c r="M41" s="7">
        <f>(M40-L40)*10000</f>
        <v>375.50823096777594</v>
      </c>
      <c r="N41" s="7">
        <f>(N40-M40)*10000</f>
        <v>980.50428112872453</v>
      </c>
      <c r="O41" s="7">
        <f>(O40-N40)*10000</f>
        <v>-148.8843533390538</v>
      </c>
    </row>
    <row r="42" spans="1:25" x14ac:dyDescent="0.45">
      <c r="C42" s="4" t="s">
        <v>23</v>
      </c>
      <c r="D42" s="1"/>
      <c r="E42" s="7"/>
      <c r="F42" s="7"/>
      <c r="G42" s="7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 t="s">
        <v>5</v>
      </c>
      <c r="D43" s="1"/>
      <c r="G43" s="7"/>
      <c r="L43" s="12">
        <f t="shared" ref="L43" si="17">L39/K39-1</f>
        <v>2.9668411867364686E-2</v>
      </c>
      <c r="M43" s="12">
        <f t="shared" ref="M43" si="18">M39/L39-1</f>
        <v>8.4745762711864403E-2</v>
      </c>
      <c r="N43" s="12">
        <f t="shared" ref="N43" si="19">N39/M39-1</f>
        <v>0.15625</v>
      </c>
      <c r="O43" s="12">
        <f t="shared" ref="O43" si="20">O39/N39-1</f>
        <v>6.7567567567567544E-2</v>
      </c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 t="s">
        <v>12</v>
      </c>
      <c r="D45" s="14"/>
      <c r="E45" s="14"/>
      <c r="F45" s="14"/>
      <c r="G45" s="14"/>
      <c r="H45" s="14"/>
      <c r="I45" s="14"/>
      <c r="J45" s="14"/>
      <c r="K45" s="14"/>
      <c r="L45" s="14">
        <f t="shared" ref="D45:L45" si="21">EOMONTH(DATE(YEAR(L46),ROUNDUP(MONTH(L46)/3,0)*3,1),0)</f>
        <v>45747</v>
      </c>
      <c r="M45" s="14">
        <f>EOMONTH(DATE(YEAR(M46),ROUNDUP(MONTH(M46)/3,0)*3,1),0)</f>
        <v>45838</v>
      </c>
      <c r="N45" s="14">
        <f>EOMONTH(DATE(YEAR(N46),ROUNDUP(MONTH(N46)/3,0)*3,1),0)</f>
        <v>45930</v>
      </c>
      <c r="O45" s="14">
        <f>EOMONTH(DATE(YEAR(O46),ROUNDUP(MONTH(O46)/3,0)*3,1),0)</f>
        <v>46022</v>
      </c>
      <c r="Q45" s="1"/>
      <c r="T45" s="11"/>
      <c r="U45" s="12"/>
      <c r="V45" s="7"/>
      <c r="W45" s="12"/>
      <c r="X45" s="7"/>
    </row>
    <row r="46" spans="1:25" x14ac:dyDescent="0.45">
      <c r="D46" s="2"/>
      <c r="E46" s="2"/>
      <c r="F46" s="2"/>
      <c r="G46" s="2"/>
      <c r="H46" s="2"/>
      <c r="I46" s="2"/>
      <c r="J46" s="2"/>
      <c r="K46" s="2"/>
      <c r="L46" s="2">
        <v>45747</v>
      </c>
      <c r="M46" s="2">
        <v>45838</v>
      </c>
      <c r="N46" s="2">
        <v>45930</v>
      </c>
      <c r="O46" s="2">
        <v>46022</v>
      </c>
      <c r="Q46" s="1"/>
      <c r="T46" s="11"/>
      <c r="U46" s="12"/>
      <c r="V46" s="7"/>
      <c r="W46" s="12"/>
      <c r="X46" s="7"/>
    </row>
    <row r="47" spans="1:25" x14ac:dyDescent="0.45">
      <c r="A47" s="16" t="s">
        <v>21</v>
      </c>
      <c r="B47" s="16" t="s">
        <v>51</v>
      </c>
      <c r="C47" s="2" t="s">
        <v>52</v>
      </c>
      <c r="D47" s="10"/>
      <c r="E47" s="10"/>
      <c r="F47" s="10"/>
      <c r="G47" s="33"/>
      <c r="H47" s="33"/>
      <c r="I47" s="33"/>
      <c r="J47" s="33"/>
      <c r="K47" s="33"/>
      <c r="L47" s="33">
        <v>5.7</v>
      </c>
      <c r="M47" s="33">
        <v>14.8</v>
      </c>
      <c r="N47" s="33">
        <v>24.111999999999998</v>
      </c>
      <c r="O47" s="33">
        <v>35.128999999999998</v>
      </c>
      <c r="Q47" s="1"/>
      <c r="T47" s="11"/>
      <c r="U47" s="12"/>
      <c r="V47" s="7"/>
      <c r="W47" s="12"/>
      <c r="X47" s="7"/>
    </row>
    <row r="48" spans="1:25" x14ac:dyDescent="0.45">
      <c r="C48" s="4" t="s">
        <v>4</v>
      </c>
      <c r="D48" s="5"/>
      <c r="E48" s="4"/>
      <c r="F48" s="4"/>
      <c r="G48" s="4"/>
      <c r="H48" s="12"/>
      <c r="I48" s="12"/>
      <c r="J48" s="12"/>
      <c r="K48" s="12"/>
      <c r="L48" s="12"/>
      <c r="M48" s="12"/>
      <c r="N48" s="12"/>
      <c r="O48" s="12"/>
    </row>
    <row r="49" spans="1:15" x14ac:dyDescent="0.45">
      <c r="C49" s="4" t="s">
        <v>19</v>
      </c>
      <c r="D49" s="1"/>
      <c r="L49" s="7"/>
      <c r="M49" s="7"/>
      <c r="N49" s="7"/>
      <c r="O49" s="7"/>
    </row>
    <row r="50" spans="1:15" x14ac:dyDescent="0.45">
      <c r="C50" s="4" t="s">
        <v>23</v>
      </c>
      <c r="D50" s="1"/>
      <c r="E50" s="7"/>
      <c r="F50" s="7"/>
      <c r="G50" s="7"/>
      <c r="H50" s="6"/>
      <c r="I50" s="6"/>
      <c r="J50" s="6"/>
      <c r="K50" s="6"/>
      <c r="L50" s="7"/>
      <c r="M50" s="7"/>
      <c r="N50" s="7"/>
      <c r="O50" s="7"/>
    </row>
    <row r="51" spans="1:15" x14ac:dyDescent="0.45">
      <c r="C51" s="4" t="s">
        <v>5</v>
      </c>
      <c r="D51" s="1"/>
      <c r="G51" s="7"/>
      <c r="L51" s="12"/>
      <c r="M51" s="12">
        <f t="shared" ref="M51" si="22">M47/L47-1</f>
        <v>1.5964912280701755</v>
      </c>
      <c r="N51" s="12">
        <f t="shared" ref="N51" si="23">N47/M47-1</f>
        <v>0.62918918918918898</v>
      </c>
      <c r="O51" s="12">
        <f t="shared" ref="O51" si="24">O47/N47-1</f>
        <v>0.45690942269409418</v>
      </c>
    </row>
    <row r="52" spans="1:15" x14ac:dyDescent="0.45">
      <c r="C52" s="4"/>
      <c r="D52" s="1"/>
      <c r="K52" s="7"/>
      <c r="L52" s="7"/>
      <c r="M52" s="7"/>
      <c r="N52" s="7"/>
      <c r="O52" s="7"/>
    </row>
    <row r="53" spans="1:15" x14ac:dyDescent="0.45">
      <c r="C53" s="13" t="s">
        <v>12</v>
      </c>
      <c r="D53" s="14"/>
      <c r="E53" s="14"/>
      <c r="F53" s="14"/>
      <c r="G53" s="14"/>
      <c r="H53" s="14"/>
      <c r="I53" s="14"/>
      <c r="J53" s="14"/>
      <c r="K53" s="14"/>
      <c r="L53" s="14">
        <f t="shared" ref="D53:L53" si="25">EOMONTH(DATE(YEAR(L54),ROUNDUP(MONTH(L54)/3,0)*3,1),0)</f>
        <v>45747</v>
      </c>
      <c r="M53" s="14">
        <f>EOMONTH(DATE(YEAR(M54),ROUNDUP(MONTH(M54)/3,0)*3,1),0)</f>
        <v>45838</v>
      </c>
      <c r="N53" s="14">
        <f>EOMONTH(DATE(YEAR(N54),ROUNDUP(MONTH(N54)/3,0)*3,1),0)</f>
        <v>45930</v>
      </c>
      <c r="O53" s="14">
        <f>EOMONTH(DATE(YEAR(O54),ROUNDUP(MONTH(O54)/3,0)*3,1),0)</f>
        <v>46022</v>
      </c>
    </row>
    <row r="54" spans="1:15" x14ac:dyDescent="0.45">
      <c r="D54" s="2"/>
      <c r="E54" s="2"/>
      <c r="F54" s="2"/>
      <c r="G54" s="2"/>
      <c r="H54" s="2"/>
      <c r="I54" s="2"/>
      <c r="J54" s="2"/>
      <c r="K54" s="2"/>
      <c r="L54" s="2">
        <v>45747</v>
      </c>
      <c r="M54" s="2">
        <v>45838</v>
      </c>
      <c r="N54" s="2">
        <v>45930</v>
      </c>
      <c r="O54" s="2">
        <v>46022</v>
      </c>
    </row>
    <row r="55" spans="1:15" x14ac:dyDescent="0.45">
      <c r="A55" s="16" t="s">
        <v>21</v>
      </c>
      <c r="B55" s="16" t="s">
        <v>53</v>
      </c>
      <c r="C55" s="2" t="s">
        <v>54</v>
      </c>
      <c r="D55" s="34"/>
      <c r="E55" s="34"/>
      <c r="F55" s="34"/>
      <c r="G55" s="34"/>
      <c r="H55" s="34"/>
      <c r="I55" s="34"/>
      <c r="J55" s="34"/>
      <c r="K55" s="34"/>
      <c r="L55" s="34">
        <v>9000</v>
      </c>
      <c r="M55" s="34">
        <v>16000</v>
      </c>
      <c r="N55" s="34">
        <v>24000</v>
      </c>
      <c r="O55" s="34">
        <v>38000</v>
      </c>
    </row>
    <row r="56" spans="1:15" x14ac:dyDescent="0.45">
      <c r="C56" s="4" t="s">
        <v>4</v>
      </c>
      <c r="D56" s="5"/>
      <c r="E56" s="4"/>
      <c r="F56" s="4"/>
      <c r="G56" s="4"/>
      <c r="H56" s="12"/>
      <c r="I56" s="12"/>
      <c r="J56" s="12"/>
      <c r="K56" s="12"/>
      <c r="L56" s="12"/>
      <c r="M56" s="12"/>
      <c r="N56" s="12"/>
      <c r="O56" s="12"/>
    </row>
    <row r="57" spans="1:15" x14ac:dyDescent="0.45">
      <c r="C57" s="4" t="s">
        <v>19</v>
      </c>
      <c r="D57" s="1"/>
      <c r="L57" s="7"/>
      <c r="M57" s="7"/>
      <c r="N57" s="7"/>
      <c r="O57" s="7"/>
    </row>
    <row r="58" spans="1:15" x14ac:dyDescent="0.45">
      <c r="C58" s="4" t="s">
        <v>23</v>
      </c>
      <c r="D58" s="1"/>
      <c r="E58" s="7"/>
      <c r="F58" s="7"/>
      <c r="G58" s="7"/>
      <c r="H58" s="6"/>
      <c r="I58" s="6"/>
      <c r="J58" s="6"/>
      <c r="K58" s="6"/>
      <c r="L58" s="7"/>
      <c r="M58" s="7"/>
      <c r="N58" s="7"/>
      <c r="O58" s="7"/>
    </row>
    <row r="59" spans="1:15" x14ac:dyDescent="0.45">
      <c r="C59" s="4" t="s">
        <v>5</v>
      </c>
      <c r="D59" s="1"/>
      <c r="G59" s="7"/>
      <c r="L59" s="12"/>
      <c r="M59" s="12">
        <f t="shared" ref="M59" si="26">M55/L55-1</f>
        <v>0.77777777777777768</v>
      </c>
      <c r="N59" s="12">
        <f t="shared" ref="N59" si="27">N55/M55-1</f>
        <v>0.5</v>
      </c>
      <c r="O59" s="12">
        <f t="shared" ref="O59" si="28">O55/N55-1</f>
        <v>0.58333333333333326</v>
      </c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A7023-C680-4D8A-BD09-27D32E3E49A7}">
  <dimension ref="A1:Y67"/>
  <sheetViews>
    <sheetView topLeftCell="A8" zoomScale="85" zoomScaleNormal="85" workbookViewId="0">
      <selection activeCell="L27" sqref="L27:O27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22</v>
      </c>
      <c r="B1" s="22" t="s">
        <v>22</v>
      </c>
      <c r="C1" s="22" t="s">
        <v>22</v>
      </c>
      <c r="D1" s="22" t="s">
        <v>22</v>
      </c>
      <c r="E1" s="22" t="s">
        <v>22</v>
      </c>
      <c r="F1" s="22" t="s">
        <v>22</v>
      </c>
      <c r="G1" s="22" t="s">
        <v>22</v>
      </c>
      <c r="H1" s="22" t="s">
        <v>22</v>
      </c>
      <c r="I1" s="22" t="s">
        <v>22</v>
      </c>
      <c r="J1" s="22" t="s">
        <v>22</v>
      </c>
      <c r="K1" s="22" t="s">
        <v>22</v>
      </c>
      <c r="L1" s="22" t="s">
        <v>22</v>
      </c>
      <c r="M1" s="22" t="s">
        <v>22</v>
      </c>
      <c r="N1" s="22" t="s">
        <v>22</v>
      </c>
      <c r="O1" s="22" t="s">
        <v>22</v>
      </c>
      <c r="Q1" s="23" t="s">
        <v>13</v>
      </c>
      <c r="R1" s="23" t="s">
        <v>11</v>
      </c>
      <c r="S1" s="23" t="s">
        <v>18</v>
      </c>
      <c r="T1" s="23" t="s">
        <v>17</v>
      </c>
      <c r="U1" s="23" t="s">
        <v>10</v>
      </c>
      <c r="V1" s="23" t="s">
        <v>16</v>
      </c>
      <c r="W1" s="23" t="s">
        <v>20</v>
      </c>
      <c r="X1" s="23" t="s">
        <v>24</v>
      </c>
      <c r="Y1" s="23" t="s">
        <v>25</v>
      </c>
    </row>
    <row r="2" spans="1:25" x14ac:dyDescent="0.45">
      <c r="A2" s="17" t="s">
        <v>1</v>
      </c>
      <c r="B2" s="31" t="s">
        <v>26</v>
      </c>
      <c r="Q2" s="24" t="str" cm="1">
        <f t="array" ref="Q2:Y5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CASY US EQUITY</v>
      </c>
      <c r="R2" s="24">
        <v>91</v>
      </c>
      <c r="S2" s="25" t="str">
        <v>canonical</v>
      </c>
      <c r="T2" s="26" t="str">
        <v>revenue</v>
      </c>
      <c r="U2" s="27" t="str">
        <v/>
      </c>
      <c r="V2" s="28" t="e">
        <v>#DIV/0!</v>
      </c>
      <c r="W2" s="29" t="e">
        <v>#DIV/0!</v>
      </c>
      <c r="X2" s="28" t="e">
        <v>#DIV/0!</v>
      </c>
      <c r="Y2" s="29" t="e">
        <v>#DIV/0!</v>
      </c>
    </row>
    <row r="3" spans="1:25" x14ac:dyDescent="0.45">
      <c r="A3" s="18" t="s">
        <v>3</v>
      </c>
      <c r="B3" s="19">
        <f ca="1">+B4-365*3.25</f>
        <v>44900.75</v>
      </c>
      <c r="Q3" s="24" t="str">
        <v>CASY US EQUITY</v>
      </c>
      <c r="R3" s="24">
        <v>91</v>
      </c>
      <c r="S3" s="25" t="str">
        <v>canonical</v>
      </c>
      <c r="T3" s="26" t="str">
        <v>revenue</v>
      </c>
      <c r="U3" s="27" t="str">
        <v/>
      </c>
      <c r="V3" s="28" t="e">
        <v>#DIV/0!</v>
      </c>
      <c r="W3" s="29" t="e">
        <v>#DIV/0!</v>
      </c>
      <c r="X3" s="29" t="e">
        <v>#DIV/0!</v>
      </c>
      <c r="Y3" s="29" t="e">
        <v>#DIV/0!</v>
      </c>
    </row>
    <row r="4" spans="1:25" x14ac:dyDescent="0.45">
      <c r="A4" s="20" t="s">
        <v>2</v>
      </c>
      <c r="B4" s="21">
        <f ca="1">TODAY()</f>
        <v>46087</v>
      </c>
      <c r="Q4" s="24" t="str">
        <v>CASY US EQUITY</v>
      </c>
      <c r="R4" s="24">
        <v>91</v>
      </c>
      <c r="S4" s="25" t="str">
        <v>canonical</v>
      </c>
      <c r="T4" s="26" t="str">
        <v>revenue</v>
      </c>
      <c r="U4" s="27" t="str">
        <v/>
      </c>
      <c r="V4" s="28" t="e">
        <v>#DIV/0!</v>
      </c>
      <c r="W4" s="29" t="e">
        <v>#DIV/0!</v>
      </c>
      <c r="X4" s="29" t="e">
        <v>#DIV/0!</v>
      </c>
      <c r="Y4" s="29" t="e">
        <v>#DIV/0!</v>
      </c>
    </row>
    <row r="5" spans="1:25" x14ac:dyDescent="0.45">
      <c r="C5" s="13" t="s">
        <v>12</v>
      </c>
      <c r="D5" s="14" t="e">
        <f ca="1">EOMONTH(DATE(YEAR(D6),ROUNDUP(MONTH(D6)/3,0)*3,1),0)</f>
        <v>#VALUE!</v>
      </c>
      <c r="E5" s="14">
        <f>EOMONTH(DATE(YEAR(E6),ROUNDUP(MONTH(E6)/3,0)*3,1),0)</f>
        <v>91</v>
      </c>
      <c r="F5" s="14">
        <f>EOMONTH(DATE(YEAR(F6),ROUNDUP(MONTH(F6)/3,0)*3,1),0)</f>
        <v>91</v>
      </c>
      <c r="G5" s="14">
        <f t="shared" ref="G5:K5" si="0">EOMONTH(DATE(YEAR(G6),ROUNDUP(MONTH(G6)/3,0)*3,1),0)</f>
        <v>91</v>
      </c>
      <c r="H5" s="14">
        <f t="shared" si="0"/>
        <v>91</v>
      </c>
      <c r="I5" s="14">
        <f t="shared" si="0"/>
        <v>91</v>
      </c>
      <c r="J5" s="14">
        <f t="shared" si="0"/>
        <v>91</v>
      </c>
      <c r="K5" s="14">
        <f t="shared" si="0"/>
        <v>91</v>
      </c>
      <c r="L5" s="14">
        <f>EOMONTH(DATE(YEAR(L6),ROUNDUP(MONTH(L6)/3,0)*3,1),0)</f>
        <v>91</v>
      </c>
      <c r="M5" s="14">
        <f>EOMONTH(DATE(YEAR(M6),ROUNDUP(MONTH(M6)/3,0)*3,1),0)</f>
        <v>91</v>
      </c>
      <c r="N5" s="14">
        <f>EOMONTH(DATE(YEAR(N6),ROUNDUP(MONTH(N6)/3,0)*3,1),0)</f>
        <v>91</v>
      </c>
      <c r="O5" s="14">
        <f>EOMONTH(DATE(YEAR(O6),ROUNDUP(MONTH(O6)/3,0)*3,1),0)</f>
        <v>91</v>
      </c>
      <c r="Q5" s="24" t="str">
        <v>CASY US EQUITY</v>
      </c>
      <c r="R5" s="24">
        <v>91</v>
      </c>
      <c r="S5" s="25" t="str">
        <v>canonical</v>
      </c>
      <c r="T5" s="26" t="str">
        <v>revenue</v>
      </c>
      <c r="U5" s="27" t="str">
        <v/>
      </c>
      <c r="V5" s="28" t="e">
        <v>#DIV/0!</v>
      </c>
      <c r="W5" s="29" t="e">
        <v>#DIV/0!</v>
      </c>
      <c r="X5" s="29" t="e">
        <v>#DIV/0!</v>
      </c>
      <c r="Y5" s="29" t="e">
        <v>#DIV/0!</v>
      </c>
    </row>
    <row r="6" spans="1:25" x14ac:dyDescent="0.45">
      <c r="D6" s="15" t="str" cm="1">
        <f t="array" aca="1" ref="D6" ca="1">+_xll.BDH($B$2,C7,$B$3,$B$4,"DIR=H")</f>
        <v>#N/A Requesting Data...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Q6" s="24" t="str" cm="1">
        <f t="array" ref="Q6:Y9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CASY US EQUITY</v>
      </c>
      <c r="R6" s="24">
        <v>91</v>
      </c>
      <c r="S6" s="25" t="str">
        <v>canonical</v>
      </c>
      <c r="T6" s="26" t="str">
        <v>gross_margin_gaap</v>
      </c>
      <c r="U6" s="30" t="str">
        <v/>
      </c>
      <c r="V6" s="29" t="str">
        <v>0</v>
      </c>
      <c r="W6" s="29" t="str">
        <v/>
      </c>
      <c r="X6" s="29" t="str">
        <v/>
      </c>
      <c r="Y6" s="29" t="str">
        <v>0</v>
      </c>
    </row>
    <row r="7" spans="1:25" x14ac:dyDescent="0.45">
      <c r="A7" s="16" t="s">
        <v>9</v>
      </c>
      <c r="B7" s="16" t="s">
        <v>8</v>
      </c>
      <c r="C7" s="9" t="s">
        <v>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3"/>
      <c r="P7" s="1"/>
      <c r="Q7" s="24" t="str">
        <v>CASY US EQUITY</v>
      </c>
      <c r="R7" s="24">
        <v>91</v>
      </c>
      <c r="S7" s="25" t="str">
        <v>canonical</v>
      </c>
      <c r="T7" s="26" t="str">
        <v>gross_margin_gaap</v>
      </c>
      <c r="U7" s="30" t="str">
        <v/>
      </c>
      <c r="V7" s="29" t="str">
        <v>0</v>
      </c>
      <c r="W7" s="29" t="str">
        <v/>
      </c>
      <c r="X7" s="29" t="str">
        <v/>
      </c>
      <c r="Y7" s="29" t="str">
        <v>0</v>
      </c>
    </row>
    <row r="8" spans="1:25" x14ac:dyDescent="0.45">
      <c r="C8" s="4" t="s">
        <v>4</v>
      </c>
      <c r="D8" s="5"/>
      <c r="E8" s="4"/>
      <c r="F8" s="4"/>
      <c r="G8" s="12"/>
      <c r="H8" s="12" t="e">
        <f t="shared" ref="H8:O8" si="1">+H7/D7-1</f>
        <v>#DIV/0!</v>
      </c>
      <c r="I8" s="12" t="e">
        <f t="shared" si="1"/>
        <v>#DIV/0!</v>
      </c>
      <c r="J8" s="12" t="e">
        <f t="shared" si="1"/>
        <v>#DIV/0!</v>
      </c>
      <c r="K8" s="12" t="e">
        <f t="shared" si="1"/>
        <v>#DIV/0!</v>
      </c>
      <c r="L8" s="12" t="e">
        <f t="shared" si="1"/>
        <v>#DIV/0!</v>
      </c>
      <c r="M8" s="12" t="e">
        <f t="shared" si="1"/>
        <v>#DIV/0!</v>
      </c>
      <c r="N8" s="12" t="e">
        <f t="shared" si="1"/>
        <v>#DIV/0!</v>
      </c>
      <c r="O8" s="12" t="e">
        <f t="shared" si="1"/>
        <v>#DIV/0!</v>
      </c>
      <c r="P8" s="3"/>
      <c r="Q8" s="24" t="str">
        <v>CASY US EQUITY</v>
      </c>
      <c r="R8" s="24">
        <v>91</v>
      </c>
      <c r="S8" s="25" t="str">
        <v>canonical</v>
      </c>
      <c r="T8" s="26" t="str">
        <v>gross_margin_gaap</v>
      </c>
      <c r="U8" s="30" t="str">
        <v/>
      </c>
      <c r="V8" s="29" t="str">
        <v>0</v>
      </c>
      <c r="W8" s="29" t="str">
        <v/>
      </c>
      <c r="X8" s="29" t="str">
        <v/>
      </c>
      <c r="Y8" s="29" t="str">
        <v>0</v>
      </c>
    </row>
    <row r="9" spans="1:25" x14ac:dyDescent="0.45">
      <c r="C9" s="4" t="s">
        <v>19</v>
      </c>
      <c r="D9" s="1"/>
      <c r="L9" s="7" t="e">
        <f>(L8-K8)*10000</f>
        <v>#DIV/0!</v>
      </c>
      <c r="M9" s="7" t="e">
        <f>(M8-L8)*10000</f>
        <v>#DIV/0!</v>
      </c>
      <c r="N9" s="7" t="e">
        <f>(N8-M8)*10000</f>
        <v>#DIV/0!</v>
      </c>
      <c r="O9" s="7" t="e">
        <f>(O8-N8)*10000</f>
        <v>#DIV/0!</v>
      </c>
      <c r="Q9" s="22" t="str">
        <v>CASY US EQUITY</v>
      </c>
      <c r="R9" s="24">
        <v>91</v>
      </c>
      <c r="S9" s="25" t="str">
        <v>canonical</v>
      </c>
      <c r="T9" s="26" t="str">
        <v>gross_margin_gaap</v>
      </c>
      <c r="U9" s="30" t="str">
        <v/>
      </c>
      <c r="V9" s="29" t="str">
        <v>0</v>
      </c>
      <c r="W9" s="29" t="str">
        <v/>
      </c>
      <c r="X9" s="29" t="str">
        <v/>
      </c>
      <c r="Y9" s="29" t="str">
        <v>0</v>
      </c>
    </row>
    <row r="10" spans="1:25" x14ac:dyDescent="0.45">
      <c r="C10" s="4" t="s">
        <v>23</v>
      </c>
      <c r="D10" s="1"/>
      <c r="E10" s="6"/>
      <c r="F10" s="6"/>
      <c r="G10" s="6"/>
      <c r="H10" s="6"/>
      <c r="I10" s="6"/>
      <c r="J10" s="6"/>
      <c r="K10" s="6"/>
      <c r="L10" s="7" t="e">
        <f>(L8-H8)*10000</f>
        <v>#DIV/0!</v>
      </c>
      <c r="M10" s="7" t="e">
        <f>(M8-I8)*10000</f>
        <v>#DIV/0!</v>
      </c>
      <c r="N10" s="7" t="e">
        <f>(N8-J8)*10000</f>
        <v>#DIV/0!</v>
      </c>
      <c r="O10" s="7" t="e">
        <f>(O8-K8)*10000</f>
        <v>#DIV/0!</v>
      </c>
      <c r="Q10" s="24" t="str" cm="1">
        <f t="array" ref="Q10:Y13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CASY US EQUITY</v>
      </c>
      <c r="R10" s="24">
        <v>91</v>
      </c>
      <c r="S10" s="25" t="str">
        <v>canonical</v>
      </c>
      <c r="T10" s="26" t="str">
        <v>operating_margin_gaap</v>
      </c>
      <c r="U10" s="30" t="str">
        <v/>
      </c>
      <c r="V10" s="29" t="str">
        <v>0</v>
      </c>
      <c r="W10" s="29" t="str">
        <v/>
      </c>
      <c r="X10" s="29" t="str">
        <v/>
      </c>
      <c r="Y10" s="29" t="str">
        <v>0</v>
      </c>
    </row>
    <row r="11" spans="1:25" x14ac:dyDescent="0.45">
      <c r="C11" s="4" t="s">
        <v>5</v>
      </c>
      <c r="D11" s="1"/>
      <c r="L11" s="12" t="e">
        <f t="shared" ref="L11:O11" si="2">L7/K7-1</f>
        <v>#DIV/0!</v>
      </c>
      <c r="M11" s="12" t="e">
        <f t="shared" si="2"/>
        <v>#DIV/0!</v>
      </c>
      <c r="N11" s="12" t="e">
        <f t="shared" si="2"/>
        <v>#DIV/0!</v>
      </c>
      <c r="O11" s="12" t="e">
        <f t="shared" si="2"/>
        <v>#DIV/0!</v>
      </c>
      <c r="Q11" s="24" t="str">
        <v>CASY US EQUITY</v>
      </c>
      <c r="R11" s="24">
        <v>91</v>
      </c>
      <c r="S11" s="25" t="str">
        <v>canonical</v>
      </c>
      <c r="T11" s="26" t="str">
        <v>operating_margin_gaap</v>
      </c>
      <c r="U11" s="30" t="str">
        <v/>
      </c>
      <c r="V11" s="29" t="str">
        <v>0</v>
      </c>
      <c r="W11" s="29" t="str">
        <v/>
      </c>
      <c r="X11" s="29" t="str">
        <v/>
      </c>
      <c r="Y11" s="29" t="str">
        <v>0</v>
      </c>
    </row>
    <row r="12" spans="1:25" x14ac:dyDescent="0.45">
      <c r="Q12" s="24" t="str">
        <v>CASY US EQUITY</v>
      </c>
      <c r="R12" s="24">
        <v>91</v>
      </c>
      <c r="S12" s="25" t="str">
        <v>canonical</v>
      </c>
      <c r="T12" s="26" t="str">
        <v>operating_margin_gaap</v>
      </c>
      <c r="U12" s="30" t="str">
        <v/>
      </c>
      <c r="V12" s="29" t="str">
        <v>0</v>
      </c>
      <c r="W12" s="29" t="str">
        <v/>
      </c>
      <c r="X12" s="29" t="str">
        <v/>
      </c>
      <c r="Y12" s="29" t="str">
        <v>0</v>
      </c>
    </row>
    <row r="13" spans="1:25" x14ac:dyDescent="0.45">
      <c r="C13" s="13" t="s">
        <v>12</v>
      </c>
      <c r="D13" s="14" t="e">
        <f ca="1">EOMONTH(DATE(YEAR(D14),ROUNDUP(MONTH(D14)/3,0)*3,1),0)</f>
        <v>#VALUE!</v>
      </c>
      <c r="E13" s="14">
        <f>EOMONTH(DATE(YEAR(E14),ROUNDUP(MONTH(E14)/3,0)*3,1),0)</f>
        <v>91</v>
      </c>
      <c r="F13" s="14">
        <f>EOMONTH(DATE(YEAR(F14),ROUNDUP(MONTH(F14)/3,0)*3,1),0)</f>
        <v>91</v>
      </c>
      <c r="G13" s="14">
        <f t="shared" ref="G13:K13" si="3">EOMONTH(DATE(YEAR(G14),ROUNDUP(MONTH(G14)/3,0)*3,1),0)</f>
        <v>91</v>
      </c>
      <c r="H13" s="14">
        <f t="shared" si="3"/>
        <v>91</v>
      </c>
      <c r="I13" s="14">
        <f t="shared" si="3"/>
        <v>91</v>
      </c>
      <c r="J13" s="14">
        <f t="shared" si="3"/>
        <v>91</v>
      </c>
      <c r="K13" s="14">
        <f t="shared" si="3"/>
        <v>91</v>
      </c>
      <c r="L13" s="14">
        <f>EOMONTH(DATE(YEAR(L14),ROUNDUP(MONTH(L14)/3,0)*3,1),0)</f>
        <v>91</v>
      </c>
      <c r="M13" s="14">
        <f>EOMONTH(DATE(YEAR(M14),ROUNDUP(MONTH(M14)/3,0)*3,1),0)</f>
        <v>91</v>
      </c>
      <c r="N13" s="14">
        <f>EOMONTH(DATE(YEAR(N14),ROUNDUP(MONTH(N14)/3,0)*3,1),0)</f>
        <v>91</v>
      </c>
      <c r="O13" s="14">
        <f>EOMONTH(DATE(YEAR(O14),ROUNDUP(MONTH(O14)/3,0)*3,1),0)</f>
        <v>91</v>
      </c>
      <c r="Q13" s="24" t="str">
        <v>CASY US EQUITY</v>
      </c>
      <c r="R13" s="24">
        <v>91</v>
      </c>
      <c r="S13" s="25" t="str">
        <v>canonical</v>
      </c>
      <c r="T13" s="26" t="str">
        <v>operating_margin_gaap</v>
      </c>
      <c r="U13" s="30" t="str">
        <v/>
      </c>
      <c r="V13" s="29" t="str">
        <v>0</v>
      </c>
      <c r="W13" s="29" t="str">
        <v/>
      </c>
      <c r="X13" s="29" t="str">
        <v/>
      </c>
      <c r="Y13" s="29" t="str">
        <v>0</v>
      </c>
    </row>
    <row r="14" spans="1:25" x14ac:dyDescent="0.45">
      <c r="D14" s="1" t="str" cm="1">
        <f t="array" aca="1" ref="D14" ca="1">+_xll.BDH($B$2,C15,$B$3,$B$4,"DIR=H")</f>
        <v>#N/A Requesting Data...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CASY US EQUITY</v>
      </c>
      <c r="R14" s="24">
        <v>45747</v>
      </c>
      <c r="S14" s="25" t="str">
        <v>custom</v>
      </c>
      <c r="T14" s="26" t="str">
        <v>prepared_foods_sss_growth</v>
      </c>
      <c r="U14" s="30" t="str">
        <v>0.047</v>
      </c>
      <c r="V14" s="29" t="str">
        <v>-280</v>
      </c>
      <c r="W14" s="29" t="str">
        <v/>
      </c>
      <c r="X14" s="29" t="str">
        <v/>
      </c>
      <c r="Y14" s="29" t="str">
        <v>-50</v>
      </c>
    </row>
    <row r="15" spans="1:25" x14ac:dyDescent="0.45">
      <c r="A15" s="16" t="s">
        <v>9</v>
      </c>
      <c r="B15" s="16" t="s">
        <v>14</v>
      </c>
      <c r="C15" s="9" t="s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24" t="str">
        <v>CASY US EQUITY</v>
      </c>
      <c r="R15" s="24">
        <v>45838</v>
      </c>
      <c r="S15" s="25" t="str">
        <v>custom</v>
      </c>
      <c r="T15" s="26" t="str">
        <v>prepared_foods_sss_growth</v>
      </c>
      <c r="U15" s="30" t="str">
        <v>0.015</v>
      </c>
      <c r="V15" s="29" t="str">
        <v>-730</v>
      </c>
      <c r="W15" s="29" t="str">
        <v/>
      </c>
      <c r="X15" s="29" t="str">
        <v/>
      </c>
      <c r="Y15" s="29" t="str">
        <v>-320</v>
      </c>
    </row>
    <row r="16" spans="1:25" x14ac:dyDescent="0.45">
      <c r="C16" s="4" t="s">
        <v>4</v>
      </c>
      <c r="D16" s="5"/>
      <c r="E16" s="4"/>
      <c r="F16" s="4"/>
      <c r="G16" s="4"/>
      <c r="H16" s="7">
        <f t="shared" ref="H16:O16" si="4">(H15-D15)*100</f>
        <v>0</v>
      </c>
      <c r="I16" s="7">
        <f t="shared" si="4"/>
        <v>0</v>
      </c>
      <c r="J16" s="7">
        <f t="shared" si="4"/>
        <v>0</v>
      </c>
      <c r="K16" s="7">
        <f t="shared" si="4"/>
        <v>0</v>
      </c>
      <c r="L16" s="7">
        <f t="shared" si="4"/>
        <v>0</v>
      </c>
      <c r="M16" s="7">
        <f t="shared" si="4"/>
        <v>0</v>
      </c>
      <c r="N16" s="7">
        <f t="shared" si="4"/>
        <v>0</v>
      </c>
      <c r="O16" s="7">
        <f t="shared" si="4"/>
        <v>0</v>
      </c>
      <c r="Q16" s="24" t="str">
        <v>CASY US EQUITY</v>
      </c>
      <c r="R16" s="24">
        <v>45930</v>
      </c>
      <c r="S16" s="25" t="str">
        <v>custom</v>
      </c>
      <c r="T16" s="26" t="str">
        <v>prepared_foods_sss_growth</v>
      </c>
      <c r="U16" s="30" t="str">
        <v>0.056</v>
      </c>
      <c r="V16" s="29" t="str">
        <v>120</v>
      </c>
      <c r="W16" s="29" t="str">
        <v/>
      </c>
      <c r="X16" s="29" t="str">
        <v/>
      </c>
      <c r="Y16" s="29" t="str">
        <v>410</v>
      </c>
    </row>
    <row r="17" spans="1:25" x14ac:dyDescent="0.45">
      <c r="C17" s="4" t="s">
        <v>19</v>
      </c>
      <c r="D17" s="1"/>
      <c r="K17" s="7"/>
      <c r="L17" s="7"/>
      <c r="M17" s="7"/>
      <c r="N17" s="7"/>
      <c r="O17" s="7"/>
      <c r="Q17" s="24" t="str">
        <v>CASY US EQUITY</v>
      </c>
      <c r="R17" s="24">
        <v>46022</v>
      </c>
      <c r="S17" s="25" t="str">
        <v>custom</v>
      </c>
      <c r="T17" s="26" t="str">
        <v>prepared_foods_sss_growth</v>
      </c>
      <c r="U17" s="30" t="str">
        <v>0.048</v>
      </c>
      <c r="V17" s="29" t="str">
        <v>-40</v>
      </c>
      <c r="W17" s="29" t="str">
        <v/>
      </c>
      <c r="X17" s="29" t="str">
        <v/>
      </c>
      <c r="Y17" s="29" t="str">
        <v>-80</v>
      </c>
    </row>
    <row r="18" spans="1:25" x14ac:dyDescent="0.45">
      <c r="C18" s="4" t="s">
        <v>23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CASY US EQUITY</v>
      </c>
      <c r="R18" s="24">
        <v>45747</v>
      </c>
      <c r="S18" s="25" t="str">
        <v>custom</v>
      </c>
      <c r="T18" s="26" t="str">
        <v>grocery_sss_growth</v>
      </c>
      <c r="U18" s="30" t="str">
        <v>0.033</v>
      </c>
      <c r="V18" s="29" t="str">
        <v>50</v>
      </c>
      <c r="W18" s="29" t="str">
        <v/>
      </c>
      <c r="X18" s="29" t="str">
        <v/>
      </c>
      <c r="Y18" s="29" t="str">
        <v>-30</v>
      </c>
    </row>
    <row r="19" spans="1:25" x14ac:dyDescent="0.45">
      <c r="C19" s="4" t="s">
        <v>5</v>
      </c>
      <c r="D19" s="1"/>
      <c r="K19" s="7"/>
      <c r="L19" s="7">
        <f>(L15-K15)*100</f>
        <v>0</v>
      </c>
      <c r="M19" s="7">
        <f t="shared" ref="M19:O19" si="5">(M15-L15)*100</f>
        <v>0</v>
      </c>
      <c r="N19" s="7">
        <f t="shared" si="5"/>
        <v>0</v>
      </c>
      <c r="O19" s="7">
        <f t="shared" si="5"/>
        <v>0</v>
      </c>
      <c r="Q19" s="24" t="str">
        <v>CASY US EQUITY</v>
      </c>
      <c r="R19" s="24">
        <v>45838</v>
      </c>
      <c r="S19" s="25" t="str">
        <v>custom</v>
      </c>
      <c r="T19" s="26" t="str">
        <v>grocery_sss_growth</v>
      </c>
      <c r="U19" s="30" t="str">
        <v>0.018</v>
      </c>
      <c r="V19" s="29" t="str">
        <v>-250</v>
      </c>
      <c r="W19" s="29" t="str">
        <v/>
      </c>
      <c r="X19" s="29" t="str">
        <v/>
      </c>
      <c r="Y19" s="29" t="str">
        <v>-150</v>
      </c>
    </row>
    <row r="20" spans="1:25" x14ac:dyDescent="0.45">
      <c r="Q20" s="24" t="str">
        <v>CASY US EQUITY</v>
      </c>
      <c r="R20" s="24">
        <v>45930</v>
      </c>
      <c r="S20" s="25" t="str">
        <v>custom</v>
      </c>
      <c r="T20" s="26" t="str">
        <v>grocery_sss_growth</v>
      </c>
      <c r="U20" s="30" t="str">
        <v>0.038</v>
      </c>
      <c r="V20" s="29" t="str">
        <v>220</v>
      </c>
      <c r="W20" s="29" t="str">
        <v/>
      </c>
      <c r="X20" s="29" t="str">
        <v/>
      </c>
      <c r="Y20" s="29" t="str">
        <v>200</v>
      </c>
    </row>
    <row r="21" spans="1:25" x14ac:dyDescent="0.45">
      <c r="C21" s="13" t="s">
        <v>12</v>
      </c>
      <c r="D21" s="14" t="e">
        <f ca="1">EOMONTH(DATE(YEAR(D22),ROUNDUP(MONTH(D22)/3,0)*3,1),0)</f>
        <v>#VALUE!</v>
      </c>
      <c r="E21" s="14">
        <f>EOMONTH(DATE(YEAR(E22),ROUNDUP(MONTH(E22)/3,0)*3,1),0)</f>
        <v>91</v>
      </c>
      <c r="F21" s="14">
        <f>EOMONTH(DATE(YEAR(F22),ROUNDUP(MONTH(F22)/3,0)*3,1),0)</f>
        <v>91</v>
      </c>
      <c r="G21" s="14">
        <f t="shared" ref="G21:K21" si="6">EOMONTH(DATE(YEAR(G22),ROUNDUP(MONTH(G22)/3,0)*3,1),0)</f>
        <v>91</v>
      </c>
      <c r="H21" s="14">
        <f t="shared" si="6"/>
        <v>91</v>
      </c>
      <c r="I21" s="14">
        <f t="shared" si="6"/>
        <v>91</v>
      </c>
      <c r="J21" s="14">
        <f t="shared" si="6"/>
        <v>91</v>
      </c>
      <c r="K21" s="14">
        <f t="shared" si="6"/>
        <v>91</v>
      </c>
      <c r="L21" s="14">
        <f>EOMONTH(DATE(YEAR(L22),ROUNDUP(MONTH(L22)/3,0)*3,1),0)</f>
        <v>91</v>
      </c>
      <c r="M21" s="14">
        <f>EOMONTH(DATE(YEAR(M22),ROUNDUP(MONTH(M22)/3,0)*3,1),0)</f>
        <v>91</v>
      </c>
      <c r="N21" s="14">
        <f>EOMONTH(DATE(YEAR(N22),ROUNDUP(MONTH(N22)/3,0)*3,1),0)</f>
        <v>91</v>
      </c>
      <c r="O21" s="14">
        <f>EOMONTH(DATE(YEAR(O22),ROUNDUP(MONTH(O22)/3,0)*3,1),0)</f>
        <v>91</v>
      </c>
      <c r="Q21" s="24" t="str">
        <v>CASY US EQUITY</v>
      </c>
      <c r="R21" s="24">
        <v>46022</v>
      </c>
      <c r="S21" s="25" t="str">
        <v>custom</v>
      </c>
      <c r="T21" s="26" t="str">
        <v>grocery_sss_growth</v>
      </c>
      <c r="U21" s="30" t="str">
        <v>0.027</v>
      </c>
      <c r="V21" s="29" t="str">
        <v>-90</v>
      </c>
      <c r="W21" s="29" t="str">
        <v/>
      </c>
      <c r="X21" s="29" t="str">
        <v/>
      </c>
      <c r="Y21" s="29" t="str">
        <v>-110</v>
      </c>
    </row>
    <row r="22" spans="1:25" x14ac:dyDescent="0.45">
      <c r="D22" s="1" t="str" cm="1">
        <f t="array" aca="1" ref="D22" ca="1">+_xll.BDH($B$2,C23,$B$3,$B$4,"DIR=H")</f>
        <v>#N/A Requesting Data...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CASY US EQUITY</v>
      </c>
      <c r="R22" s="24">
        <v>45747</v>
      </c>
      <c r="S22" s="25" t="str">
        <v>custom</v>
      </c>
      <c r="T22" s="26" t="str">
        <v>fuel_sss_growth</v>
      </c>
      <c r="U22" s="27" t="str">
        <v>0.018</v>
      </c>
      <c r="V22" s="28" t="str">
        <v>220</v>
      </c>
      <c r="W22" s="29" t="str">
        <v/>
      </c>
      <c r="X22" s="28" t="str">
        <v/>
      </c>
      <c r="Y22" s="29" t="str">
        <v>240</v>
      </c>
    </row>
    <row r="23" spans="1:25" x14ac:dyDescent="0.45">
      <c r="A23" s="16" t="s">
        <v>9</v>
      </c>
      <c r="B23" s="16" t="s">
        <v>15</v>
      </c>
      <c r="C23" s="9" t="s">
        <v>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CASY US EQUITY</v>
      </c>
      <c r="R23" s="24">
        <v>45838</v>
      </c>
      <c r="S23" s="25" t="str">
        <v>custom</v>
      </c>
      <c r="T23" s="26" t="str">
        <v>fuel_sss_growth</v>
      </c>
      <c r="U23" s="27" t="str">
        <v>0.001</v>
      </c>
      <c r="V23" s="28" t="str">
        <v>-80</v>
      </c>
      <c r="W23" s="29" t="str">
        <v/>
      </c>
      <c r="X23" s="28" t="str">
        <v/>
      </c>
      <c r="Y23" s="29" t="str">
        <v>-170</v>
      </c>
    </row>
    <row r="24" spans="1:25" x14ac:dyDescent="0.45">
      <c r="C24" s="4" t="s">
        <v>4</v>
      </c>
      <c r="D24" s="5"/>
      <c r="E24" s="4"/>
      <c r="F24" s="4"/>
      <c r="G24" s="4"/>
      <c r="H24" s="7">
        <f t="shared" ref="H24:O24" si="7">(H23-D23)*100</f>
        <v>0</v>
      </c>
      <c r="I24" s="7">
        <f t="shared" si="7"/>
        <v>0</v>
      </c>
      <c r="J24" s="7">
        <f t="shared" si="7"/>
        <v>0</v>
      </c>
      <c r="K24" s="7">
        <f t="shared" si="7"/>
        <v>0</v>
      </c>
      <c r="L24" s="7">
        <f t="shared" si="7"/>
        <v>0</v>
      </c>
      <c r="M24" s="7">
        <f t="shared" si="7"/>
        <v>0</v>
      </c>
      <c r="N24" s="7">
        <f t="shared" si="7"/>
        <v>0</v>
      </c>
      <c r="O24" s="7">
        <f t="shared" si="7"/>
        <v>0</v>
      </c>
      <c r="Q24" s="24" t="str">
        <v>CASY US EQUITY</v>
      </c>
      <c r="R24" s="24">
        <v>45930</v>
      </c>
      <c r="S24" s="25" t="str">
        <v>custom</v>
      </c>
      <c r="T24" s="26" t="str">
        <v>fuel_sss_growth</v>
      </c>
      <c r="U24" s="27" t="str">
        <v>0.017</v>
      </c>
      <c r="V24" s="28" t="str">
        <v>100</v>
      </c>
      <c r="W24" s="29" t="str">
        <v/>
      </c>
      <c r="X24" s="28" t="str">
        <v/>
      </c>
      <c r="Y24" s="29" t="str">
        <v>160</v>
      </c>
    </row>
    <row r="25" spans="1:25" x14ac:dyDescent="0.45">
      <c r="C25" s="4" t="s">
        <v>19</v>
      </c>
      <c r="D25" s="1"/>
      <c r="K25" s="7"/>
      <c r="L25" s="7"/>
      <c r="M25" s="7"/>
      <c r="N25" s="7"/>
      <c r="O25" s="7"/>
      <c r="Q25" s="24" t="str">
        <v>CASY US EQUITY</v>
      </c>
      <c r="R25" s="24">
        <v>46022</v>
      </c>
      <c r="S25" s="25" t="str">
        <v>custom</v>
      </c>
      <c r="T25" s="26" t="str">
        <v>fuel_sss_growth</v>
      </c>
      <c r="U25" s="27" t="str">
        <v>0.008</v>
      </c>
      <c r="V25" s="28" t="str">
        <v>140</v>
      </c>
      <c r="W25" s="29" t="str">
        <v/>
      </c>
      <c r="X25" s="28" t="str">
        <v/>
      </c>
      <c r="Y25" s="29" t="str">
        <v>-90</v>
      </c>
    </row>
    <row r="26" spans="1:25" x14ac:dyDescent="0.45">
      <c r="C26" s="4" t="s">
        <v>23</v>
      </c>
      <c r="D26" s="1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CASY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5</v>
      </c>
      <c r="D27" s="1"/>
      <c r="K27" s="7"/>
      <c r="L27" s="7">
        <f>(L23-K23)*100</f>
        <v>0</v>
      </c>
      <c r="M27" s="7">
        <f t="shared" ref="M27:O27" si="8">(M23-L23)*100</f>
        <v>0</v>
      </c>
      <c r="N27" s="7">
        <f t="shared" si="8"/>
        <v>0</v>
      </c>
      <c r="O27" s="7">
        <f t="shared" si="8"/>
        <v>0</v>
      </c>
      <c r="Q27" s="24" t="str">
        <v>CASY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CASY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 t="s">
        <v>12</v>
      </c>
      <c r="D29" s="14"/>
      <c r="E29" s="14">
        <f t="shared" ref="E29:L29" si="9">EOMONTH(DATE(YEAR(E30),ROUNDUP(MONTH(E30)/3,0)*3,1),0)</f>
        <v>45107</v>
      </c>
      <c r="F29" s="14">
        <f t="shared" si="9"/>
        <v>45199</v>
      </c>
      <c r="G29" s="14">
        <f t="shared" si="9"/>
        <v>45291</v>
      </c>
      <c r="H29" s="14">
        <f t="shared" si="9"/>
        <v>45382</v>
      </c>
      <c r="I29" s="14">
        <f t="shared" si="9"/>
        <v>45473</v>
      </c>
      <c r="J29" s="14">
        <f t="shared" si="9"/>
        <v>45565</v>
      </c>
      <c r="K29" s="14">
        <f t="shared" si="9"/>
        <v>45657</v>
      </c>
      <c r="L29" s="14">
        <f t="shared" si="9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CASY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/>
      <c r="E30" s="2">
        <v>45046</v>
      </c>
      <c r="F30" s="2">
        <v>45138</v>
      </c>
      <c r="G30" s="2">
        <v>45230</v>
      </c>
      <c r="H30" s="2">
        <v>45322</v>
      </c>
      <c r="I30" s="2">
        <v>45412</v>
      </c>
      <c r="J30" s="2">
        <v>45504</v>
      </c>
      <c r="K30" s="2">
        <v>45596</v>
      </c>
      <c r="L30" s="2">
        <v>45688</v>
      </c>
      <c r="M30" s="2">
        <v>45777</v>
      </c>
      <c r="N30" s="2">
        <v>45869</v>
      </c>
      <c r="O30" s="2">
        <v>45961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CASY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21</v>
      </c>
      <c r="B31" s="16" t="s">
        <v>32</v>
      </c>
      <c r="C31" s="2" t="s">
        <v>33</v>
      </c>
      <c r="D31" s="10"/>
      <c r="E31" s="10"/>
      <c r="F31" s="10"/>
      <c r="G31" s="8">
        <v>6.0999999999999999E-2</v>
      </c>
      <c r="H31" s="8">
        <v>7.4999999999999997E-2</v>
      </c>
      <c r="I31" s="8">
        <v>8.7999999999999995E-2</v>
      </c>
      <c r="J31" s="8">
        <v>4.3999999999999997E-2</v>
      </c>
      <c r="K31" s="8">
        <v>5.1999999999999998E-2</v>
      </c>
      <c r="L31" s="8">
        <v>4.7E-2</v>
      </c>
      <c r="M31" s="8">
        <v>1.4999999999999999E-2</v>
      </c>
      <c r="N31" s="8">
        <v>5.6000000000000001E-2</v>
      </c>
      <c r="O31" s="8">
        <v>4.8000000000000001E-2</v>
      </c>
      <c r="Q31" s="24" t="str">
        <v>CASY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4</v>
      </c>
      <c r="D32" s="5"/>
      <c r="E32" s="4"/>
      <c r="F32" s="4"/>
      <c r="G32" s="4"/>
      <c r="H32" s="7"/>
      <c r="I32" s="7"/>
      <c r="J32" s="7">
        <f t="shared" ref="J32:O32" si="10">(J31-F31)*10000</f>
        <v>440</v>
      </c>
      <c r="K32" s="7">
        <f t="shared" si="10"/>
        <v>-90.000000000000014</v>
      </c>
      <c r="L32" s="7">
        <f t="shared" si="10"/>
        <v>-279.99999999999994</v>
      </c>
      <c r="M32" s="7">
        <f t="shared" si="10"/>
        <v>-730</v>
      </c>
      <c r="N32" s="7">
        <f t="shared" si="10"/>
        <v>120.00000000000004</v>
      </c>
      <c r="O32" s="7">
        <f t="shared" si="10"/>
        <v>-39.999999999999964</v>
      </c>
      <c r="Q32" s="24" t="str">
        <v>CASY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19</v>
      </c>
      <c r="D33" s="1"/>
      <c r="K33" s="7"/>
      <c r="L33" s="7"/>
      <c r="M33" s="7"/>
      <c r="N33" s="7"/>
      <c r="O33" s="7"/>
      <c r="Q33" s="24" t="str">
        <v>CASY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23</v>
      </c>
      <c r="D34" s="1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25" x14ac:dyDescent="0.45">
      <c r="C35" s="4" t="s">
        <v>5</v>
      </c>
      <c r="D35" s="1"/>
      <c r="G35" s="7">
        <f t="shared" ref="G35:K35" si="11">(G31-F31)*10000</f>
        <v>610</v>
      </c>
      <c r="H35" s="7">
        <f t="shared" si="11"/>
        <v>139.99999999999997</v>
      </c>
      <c r="I35" s="7">
        <f t="shared" si="11"/>
        <v>129.99999999999997</v>
      </c>
      <c r="J35" s="7">
        <f t="shared" si="11"/>
        <v>-440</v>
      </c>
      <c r="K35" s="7">
        <f t="shared" si="11"/>
        <v>80</v>
      </c>
      <c r="L35" s="7">
        <f>(L31-K31)*10000</f>
        <v>-49.999999999999972</v>
      </c>
      <c r="M35" s="7">
        <f t="shared" ref="M35:O35" si="12">(M31-L31)*10000</f>
        <v>-320</v>
      </c>
      <c r="N35" s="7">
        <f t="shared" si="12"/>
        <v>410</v>
      </c>
      <c r="O35" s="7">
        <f t="shared" si="12"/>
        <v>-80</v>
      </c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 t="s">
        <v>12</v>
      </c>
      <c r="D37" s="14">
        <f t="shared" ref="D37:L37" si="13">EOMONTH(DATE(YEAR(D38),ROUNDUP(MONTH(D38)/3,0)*3,1),0)</f>
        <v>91</v>
      </c>
      <c r="E37" s="14">
        <f t="shared" si="13"/>
        <v>45107</v>
      </c>
      <c r="F37" s="14">
        <f t="shared" si="13"/>
        <v>45199</v>
      </c>
      <c r="G37" s="14">
        <f t="shared" si="13"/>
        <v>45291</v>
      </c>
      <c r="H37" s="14">
        <f t="shared" si="13"/>
        <v>45382</v>
      </c>
      <c r="I37" s="14">
        <f t="shared" si="13"/>
        <v>45473</v>
      </c>
      <c r="J37" s="14">
        <f t="shared" si="13"/>
        <v>45565</v>
      </c>
      <c r="K37" s="14">
        <f t="shared" si="13"/>
        <v>45657</v>
      </c>
      <c r="L37" s="14">
        <f t="shared" si="13"/>
        <v>45747</v>
      </c>
      <c r="M37" s="14">
        <f>EOMONTH(DATE(YEAR(M38),ROUNDUP(MONTH(M38)/3,0)*3,1),0)</f>
        <v>45838</v>
      </c>
      <c r="N37" s="14">
        <f>EOMONTH(DATE(YEAR(N38),ROUNDUP(MONTH(N38)/3,0)*3,1),0)</f>
        <v>45930</v>
      </c>
      <c r="O37" s="14">
        <f>EOMONTH(DATE(YEAR(O38),ROUNDUP(MONTH(O38)/3,0)*3,1),0)</f>
        <v>46022</v>
      </c>
    </row>
    <row r="38" spans="1:25" x14ac:dyDescent="0.45">
      <c r="D38" s="2"/>
      <c r="E38" s="2">
        <v>45046</v>
      </c>
      <c r="F38" s="2">
        <v>45138</v>
      </c>
      <c r="G38" s="2">
        <v>45230</v>
      </c>
      <c r="H38" s="2">
        <v>45322</v>
      </c>
      <c r="I38" s="2">
        <v>45412</v>
      </c>
      <c r="J38" s="2">
        <v>45504</v>
      </c>
      <c r="K38" s="2">
        <v>45596</v>
      </c>
      <c r="L38" s="2">
        <v>45688</v>
      </c>
      <c r="M38" s="2">
        <v>45777</v>
      </c>
      <c r="N38" s="2">
        <v>45869</v>
      </c>
      <c r="O38" s="2">
        <v>45961</v>
      </c>
    </row>
    <row r="39" spans="1:25" x14ac:dyDescent="0.45">
      <c r="A39" s="16" t="s">
        <v>21</v>
      </c>
      <c r="B39" s="16" t="s">
        <v>34</v>
      </c>
      <c r="C39" s="2" t="s">
        <v>37</v>
      </c>
      <c r="D39" s="10"/>
      <c r="E39" s="10"/>
      <c r="F39" s="10"/>
      <c r="G39" s="8">
        <v>1.7000000000000001E-2</v>
      </c>
      <c r="H39" s="8">
        <v>2.8000000000000001E-2</v>
      </c>
      <c r="I39" s="8">
        <v>4.2999999999999997E-2</v>
      </c>
      <c r="J39" s="8">
        <v>1.6E-2</v>
      </c>
      <c r="K39" s="8">
        <v>3.5999999999999997E-2</v>
      </c>
      <c r="L39" s="8">
        <v>3.3000000000000002E-2</v>
      </c>
      <c r="M39" s="8">
        <v>1.7999999999999999E-2</v>
      </c>
      <c r="N39" s="8">
        <v>3.7999999999999999E-2</v>
      </c>
      <c r="O39" s="8">
        <v>2.7E-2</v>
      </c>
    </row>
    <row r="40" spans="1:25" x14ac:dyDescent="0.45">
      <c r="C40" s="4" t="s">
        <v>4</v>
      </c>
      <c r="D40" s="5"/>
      <c r="E40" s="4"/>
      <c r="F40" s="4"/>
      <c r="G40" s="4"/>
      <c r="H40" s="7"/>
      <c r="I40" s="7"/>
      <c r="J40" s="7">
        <f t="shared" ref="J40" si="14">(J39-F39)*10000</f>
        <v>160</v>
      </c>
      <c r="K40" s="7">
        <f t="shared" ref="K40" si="15">(K39-G39)*10000</f>
        <v>189.99999999999997</v>
      </c>
      <c r="L40" s="7">
        <f t="shared" ref="L40" si="16">(L39-H39)*10000</f>
        <v>50.000000000000007</v>
      </c>
      <c r="M40" s="7">
        <f t="shared" ref="M40" si="17">(M39-I39)*10000</f>
        <v>-249.99999999999997</v>
      </c>
      <c r="N40" s="7">
        <f t="shared" ref="N40:O40" si="18">(N39-J39)*10000</f>
        <v>220</v>
      </c>
      <c r="O40" s="7">
        <f t="shared" si="18"/>
        <v>-89.999999999999972</v>
      </c>
    </row>
    <row r="41" spans="1:25" x14ac:dyDescent="0.45">
      <c r="C41" s="4" t="s">
        <v>19</v>
      </c>
      <c r="D41" s="1"/>
      <c r="K41" s="7"/>
      <c r="L41" s="7"/>
      <c r="M41" s="7"/>
      <c r="N41" s="7"/>
      <c r="O41" s="7"/>
    </row>
    <row r="42" spans="1:25" x14ac:dyDescent="0.45">
      <c r="C42" s="4" t="s">
        <v>23</v>
      </c>
      <c r="D42" s="1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</row>
    <row r="43" spans="1:25" x14ac:dyDescent="0.45">
      <c r="C43" s="4" t="s">
        <v>5</v>
      </c>
      <c r="D43" s="1"/>
      <c r="G43" s="7">
        <f t="shared" ref="G43:K43" si="19">(G39-F39)*10000</f>
        <v>170</v>
      </c>
      <c r="H43" s="7">
        <f t="shared" si="19"/>
        <v>110</v>
      </c>
      <c r="I43" s="7">
        <f t="shared" si="19"/>
        <v>149.99999999999997</v>
      </c>
      <c r="J43" s="7">
        <f t="shared" si="19"/>
        <v>-269.99999999999994</v>
      </c>
      <c r="K43" s="7">
        <f t="shared" si="19"/>
        <v>199.99999999999997</v>
      </c>
      <c r="L43" s="7">
        <f>(L39-K39)*10000</f>
        <v>-29.999999999999957</v>
      </c>
      <c r="M43" s="7">
        <f t="shared" ref="M43" si="20">(M39-L39)*10000</f>
        <v>-150.00000000000003</v>
      </c>
      <c r="N43" s="7">
        <f t="shared" ref="N43:O43" si="21">(N39-M39)*10000</f>
        <v>200</v>
      </c>
      <c r="O43" s="7">
        <f t="shared" si="21"/>
        <v>-110</v>
      </c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 t="s">
        <v>12</v>
      </c>
      <c r="D45" s="14"/>
      <c r="E45" s="14">
        <f t="shared" ref="E45:L45" si="22">EOMONTH(DATE(YEAR(E46),ROUNDUP(MONTH(E46)/3,0)*3,1),0)</f>
        <v>45107</v>
      </c>
      <c r="F45" s="14">
        <f t="shared" si="22"/>
        <v>45199</v>
      </c>
      <c r="G45" s="14">
        <f t="shared" si="22"/>
        <v>45291</v>
      </c>
      <c r="H45" s="14">
        <f t="shared" si="22"/>
        <v>45382</v>
      </c>
      <c r="I45" s="14">
        <f t="shared" si="22"/>
        <v>45473</v>
      </c>
      <c r="J45" s="14">
        <f t="shared" si="22"/>
        <v>45565</v>
      </c>
      <c r="K45" s="14">
        <f t="shared" si="22"/>
        <v>45657</v>
      </c>
      <c r="L45" s="14">
        <f t="shared" si="22"/>
        <v>45747</v>
      </c>
      <c r="M45" s="14">
        <f>EOMONTH(DATE(YEAR(M46),ROUNDUP(MONTH(M46)/3,0)*3,1),0)</f>
        <v>45838</v>
      </c>
      <c r="N45" s="14">
        <f>EOMONTH(DATE(YEAR(N46),ROUNDUP(MONTH(N46)/3,0)*3,1),0)</f>
        <v>45930</v>
      </c>
      <c r="O45" s="14">
        <f>EOMONTH(DATE(YEAR(O46),ROUNDUP(MONTH(O46)/3,0)*3,1),0)</f>
        <v>46022</v>
      </c>
      <c r="Q45" s="1"/>
      <c r="T45" s="11"/>
      <c r="U45" s="12"/>
      <c r="V45" s="7"/>
      <c r="W45" s="12"/>
      <c r="X45" s="7"/>
    </row>
    <row r="46" spans="1:25" x14ac:dyDescent="0.45">
      <c r="D46" s="2"/>
      <c r="E46" s="2">
        <v>45046</v>
      </c>
      <c r="F46" s="2">
        <v>45138</v>
      </c>
      <c r="G46" s="2">
        <v>45230</v>
      </c>
      <c r="H46" s="2">
        <v>45322</v>
      </c>
      <c r="I46" s="2">
        <v>45412</v>
      </c>
      <c r="J46" s="2">
        <v>45504</v>
      </c>
      <c r="K46" s="2">
        <v>45596</v>
      </c>
      <c r="L46" s="2">
        <v>45688</v>
      </c>
      <c r="M46" s="2">
        <v>45777</v>
      </c>
      <c r="N46" s="2">
        <v>45869</v>
      </c>
      <c r="O46" s="2">
        <v>45961</v>
      </c>
      <c r="Q46" s="1"/>
      <c r="T46" s="11"/>
      <c r="U46" s="12"/>
      <c r="V46" s="7"/>
      <c r="W46" s="12"/>
      <c r="X46" s="7"/>
    </row>
    <row r="47" spans="1:25" x14ac:dyDescent="0.45">
      <c r="A47" s="16" t="s">
        <v>21</v>
      </c>
      <c r="B47" s="16" t="s">
        <v>35</v>
      </c>
      <c r="C47" s="2" t="s">
        <v>36</v>
      </c>
      <c r="D47" s="10"/>
      <c r="E47" s="10"/>
      <c r="F47" s="10"/>
      <c r="G47" s="8">
        <v>0</v>
      </c>
      <c r="H47" s="8">
        <v>-4.0000000000000001E-3</v>
      </c>
      <c r="I47" s="8">
        <v>8.9999999999999993E-3</v>
      </c>
      <c r="J47" s="8">
        <v>7.0000000000000001E-3</v>
      </c>
      <c r="K47" s="8">
        <v>-6.0000000000000001E-3</v>
      </c>
      <c r="L47" s="8">
        <v>1.7999999999999999E-2</v>
      </c>
      <c r="M47" s="8">
        <v>1E-3</v>
      </c>
      <c r="N47" s="8">
        <v>1.7000000000000001E-2</v>
      </c>
      <c r="O47" s="8">
        <v>8.0000000000000002E-3</v>
      </c>
      <c r="Q47" s="1"/>
      <c r="T47" s="11"/>
      <c r="U47" s="12"/>
      <c r="V47" s="7"/>
      <c r="W47" s="12"/>
      <c r="X47" s="7"/>
    </row>
    <row r="48" spans="1:25" x14ac:dyDescent="0.45">
      <c r="C48" s="4" t="s">
        <v>4</v>
      </c>
      <c r="D48" s="5"/>
      <c r="E48" s="4"/>
      <c r="F48" s="4"/>
      <c r="G48" s="4"/>
      <c r="H48" s="7"/>
      <c r="I48" s="7"/>
      <c r="J48" s="7">
        <f t="shared" ref="J48" si="23">(J47-F47)*10000</f>
        <v>70</v>
      </c>
      <c r="K48" s="7">
        <f t="shared" ref="K48" si="24">(K47-G47)*10000</f>
        <v>-60</v>
      </c>
      <c r="L48" s="7">
        <f t="shared" ref="L48" si="25">(L47-H47)*10000</f>
        <v>220</v>
      </c>
      <c r="M48" s="7">
        <f t="shared" ref="M48" si="26">(M47-I47)*10000</f>
        <v>-80</v>
      </c>
      <c r="N48" s="7">
        <f t="shared" ref="N48:O48" si="27">(N47-J47)*10000</f>
        <v>100.00000000000001</v>
      </c>
      <c r="O48" s="7">
        <f t="shared" si="27"/>
        <v>140</v>
      </c>
    </row>
    <row r="49" spans="1:15" x14ac:dyDescent="0.45">
      <c r="C49" s="4" t="s">
        <v>19</v>
      </c>
      <c r="D49" s="1"/>
      <c r="K49" s="7"/>
      <c r="L49" s="7"/>
      <c r="M49" s="7"/>
      <c r="N49" s="7"/>
      <c r="O49" s="7"/>
    </row>
    <row r="50" spans="1:15" x14ac:dyDescent="0.45">
      <c r="C50" s="4" t="s">
        <v>23</v>
      </c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 t="s">
        <v>5</v>
      </c>
      <c r="D51" s="1"/>
      <c r="G51" s="7">
        <f t="shared" ref="G51:K51" si="28">(G47-F47)*10000</f>
        <v>0</v>
      </c>
      <c r="H51" s="7">
        <f t="shared" si="28"/>
        <v>-40</v>
      </c>
      <c r="I51" s="7">
        <f t="shared" si="28"/>
        <v>130</v>
      </c>
      <c r="J51" s="7">
        <f t="shared" si="28"/>
        <v>-19.999999999999993</v>
      </c>
      <c r="K51" s="7">
        <f t="shared" si="28"/>
        <v>-130</v>
      </c>
      <c r="L51" s="7">
        <f>(L47-K47)*10000</f>
        <v>240</v>
      </c>
      <c r="M51" s="7">
        <f t="shared" ref="M51" si="29">(M47-L47)*10000</f>
        <v>-169.99999999999997</v>
      </c>
      <c r="N51" s="7">
        <f t="shared" ref="N51:O51" si="30">(N47-M47)*10000</f>
        <v>160</v>
      </c>
      <c r="O51" s="7">
        <f t="shared" si="30"/>
        <v>-90.000000000000014</v>
      </c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62D5-3841-4742-B946-E020C3465AE8}">
  <dimension ref="A1:Y67"/>
  <sheetViews>
    <sheetView zoomScale="85" zoomScaleNormal="85" workbookViewId="0">
      <selection activeCell="K1" sqref="K1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22</v>
      </c>
      <c r="B1" s="22" t="s">
        <v>22</v>
      </c>
      <c r="C1" s="22" t="s">
        <v>22</v>
      </c>
      <c r="D1" s="22" t="s">
        <v>22</v>
      </c>
      <c r="E1" s="22" t="s">
        <v>22</v>
      </c>
      <c r="F1" s="22" t="s">
        <v>22</v>
      </c>
      <c r="G1" s="22" t="s">
        <v>22</v>
      </c>
      <c r="H1" s="22" t="s">
        <v>22</v>
      </c>
      <c r="I1" s="22" t="s">
        <v>22</v>
      </c>
      <c r="J1" s="22" t="s">
        <v>22</v>
      </c>
      <c r="K1" s="22" t="s">
        <v>22</v>
      </c>
      <c r="L1" s="22" t="s">
        <v>22</v>
      </c>
      <c r="M1" s="22" t="s">
        <v>22</v>
      </c>
      <c r="N1" s="22" t="s">
        <v>22</v>
      </c>
      <c r="O1" s="22" t="s">
        <v>22</v>
      </c>
      <c r="Q1" s="23" t="s">
        <v>13</v>
      </c>
      <c r="R1" s="23" t="s">
        <v>11</v>
      </c>
      <c r="S1" s="23" t="s">
        <v>18</v>
      </c>
      <c r="T1" s="23" t="s">
        <v>17</v>
      </c>
      <c r="U1" s="23" t="s">
        <v>10</v>
      </c>
      <c r="V1" s="23" t="s">
        <v>16</v>
      </c>
      <c r="W1" s="23" t="s">
        <v>20</v>
      </c>
      <c r="X1" s="23" t="s">
        <v>24</v>
      </c>
      <c r="Y1" s="23" t="s">
        <v>25</v>
      </c>
    </row>
    <row r="2" spans="1:25" x14ac:dyDescent="0.45">
      <c r="A2" s="17" t="s">
        <v>1</v>
      </c>
      <c r="B2" s="31" t="s">
        <v>27</v>
      </c>
      <c r="Q2" s="24" t="str" cm="1">
        <f t="array" ref="Q2:Y5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MUSA US EQUITY</v>
      </c>
      <c r="R2" s="24">
        <v>91</v>
      </c>
      <c r="S2" s="25" t="str">
        <v>canonical</v>
      </c>
      <c r="T2" s="26" t="str">
        <v>revenue</v>
      </c>
      <c r="U2" s="27" t="str">
        <v/>
      </c>
      <c r="V2" s="28" t="e">
        <v>#DIV/0!</v>
      </c>
      <c r="W2" s="29" t="e">
        <v>#DIV/0!</v>
      </c>
      <c r="X2" s="28" t="e">
        <v>#DIV/0!</v>
      </c>
      <c r="Y2" s="29" t="e">
        <v>#DIV/0!</v>
      </c>
    </row>
    <row r="3" spans="1:25" x14ac:dyDescent="0.45">
      <c r="A3" s="18" t="s">
        <v>3</v>
      </c>
      <c r="B3" s="19">
        <f ca="1">+B4-365*3</f>
        <v>44992</v>
      </c>
      <c r="Q3" s="24" t="str">
        <v>MUSA US EQUITY</v>
      </c>
      <c r="R3" s="24">
        <v>91</v>
      </c>
      <c r="S3" s="25" t="str">
        <v>canonical</v>
      </c>
      <c r="T3" s="26" t="str">
        <v>revenue</v>
      </c>
      <c r="U3" s="27" t="str">
        <v/>
      </c>
      <c r="V3" s="28" t="e">
        <v>#DIV/0!</v>
      </c>
      <c r="W3" s="29" t="e">
        <v>#DIV/0!</v>
      </c>
      <c r="X3" s="29" t="e">
        <v>#DIV/0!</v>
      </c>
      <c r="Y3" s="29" t="e">
        <v>#DIV/0!</v>
      </c>
    </row>
    <row r="4" spans="1:25" x14ac:dyDescent="0.45">
      <c r="A4" s="20" t="s">
        <v>2</v>
      </c>
      <c r="B4" s="21">
        <f ca="1">TODAY()</f>
        <v>46087</v>
      </c>
      <c r="Q4" s="24" t="str">
        <v>MUSA US EQUITY</v>
      </c>
      <c r="R4" s="24">
        <v>91</v>
      </c>
      <c r="S4" s="25" t="str">
        <v>canonical</v>
      </c>
      <c r="T4" s="26" t="str">
        <v>revenue</v>
      </c>
      <c r="U4" s="27" t="str">
        <v/>
      </c>
      <c r="V4" s="28" t="e">
        <v>#DIV/0!</v>
      </c>
      <c r="W4" s="29" t="e">
        <v>#DIV/0!</v>
      </c>
      <c r="X4" s="29" t="e">
        <v>#DIV/0!</v>
      </c>
      <c r="Y4" s="29" t="e">
        <v>#DIV/0!</v>
      </c>
    </row>
    <row r="5" spans="1:25" x14ac:dyDescent="0.45">
      <c r="C5" s="13" t="s">
        <v>12</v>
      </c>
      <c r="D5" s="14" t="e">
        <f ca="1">EOMONTH(DATE(YEAR(D6),ROUNDUP(MONTH(D6)/3,0)*3,1),0)</f>
        <v>#VALUE!</v>
      </c>
      <c r="E5" s="14">
        <f>EOMONTH(DATE(YEAR(E6),ROUNDUP(MONTH(E6)/3,0)*3,1),0)</f>
        <v>91</v>
      </c>
      <c r="F5" s="14">
        <f>EOMONTH(DATE(YEAR(F6),ROUNDUP(MONTH(F6)/3,0)*3,1),0)</f>
        <v>91</v>
      </c>
      <c r="G5" s="14">
        <f t="shared" ref="G5:K5" si="0">EOMONTH(DATE(YEAR(G6),ROUNDUP(MONTH(G6)/3,0)*3,1),0)</f>
        <v>91</v>
      </c>
      <c r="H5" s="14">
        <f t="shared" si="0"/>
        <v>91</v>
      </c>
      <c r="I5" s="14">
        <f t="shared" si="0"/>
        <v>91</v>
      </c>
      <c r="J5" s="14">
        <f t="shared" si="0"/>
        <v>91</v>
      </c>
      <c r="K5" s="14">
        <f t="shared" si="0"/>
        <v>91</v>
      </c>
      <c r="L5" s="14">
        <f>EOMONTH(DATE(YEAR(L6),ROUNDUP(MONTH(L6)/3,0)*3,1),0)</f>
        <v>91</v>
      </c>
      <c r="M5" s="14">
        <f>EOMONTH(DATE(YEAR(M6),ROUNDUP(MONTH(M6)/3,0)*3,1),0)</f>
        <v>91</v>
      </c>
      <c r="N5" s="14">
        <f>EOMONTH(DATE(YEAR(N6),ROUNDUP(MONTH(N6)/3,0)*3,1),0)</f>
        <v>91</v>
      </c>
      <c r="O5" s="14">
        <f>EOMONTH(DATE(YEAR(O6),ROUNDUP(MONTH(O6)/3,0)*3,1),0)</f>
        <v>91</v>
      </c>
      <c r="Q5" s="24" t="str">
        <v>MUSA US EQUITY</v>
      </c>
      <c r="R5" s="24">
        <v>91</v>
      </c>
      <c r="S5" s="25" t="str">
        <v>canonical</v>
      </c>
      <c r="T5" s="26" t="str">
        <v>revenue</v>
      </c>
      <c r="U5" s="27" t="str">
        <v/>
      </c>
      <c r="V5" s="28" t="e">
        <v>#DIV/0!</v>
      </c>
      <c r="W5" s="29" t="e">
        <v>#DIV/0!</v>
      </c>
      <c r="X5" s="29" t="e">
        <v>#DIV/0!</v>
      </c>
      <c r="Y5" s="29" t="e">
        <v>#DIV/0!</v>
      </c>
    </row>
    <row r="6" spans="1:25" x14ac:dyDescent="0.45">
      <c r="D6" s="15" t="str" cm="1">
        <f t="array" aca="1" ref="D6" ca="1">+_xll.BDH($B$2,C7,$B$3,$B$4,"DIR=H")</f>
        <v>#N/A Requesting Data...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24" t="str" cm="1">
        <f t="array" ref="Q6:Y9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MUSA US EQUITY</v>
      </c>
      <c r="R6" s="24">
        <v>91</v>
      </c>
      <c r="S6" s="25" t="str">
        <v>canonical</v>
      </c>
      <c r="T6" s="26" t="str">
        <v>gross_margin_gaap</v>
      </c>
      <c r="U6" s="30" t="str">
        <v/>
      </c>
      <c r="V6" s="29" t="str">
        <v>0</v>
      </c>
      <c r="W6" s="29" t="str">
        <v/>
      </c>
      <c r="X6" s="29" t="str">
        <v/>
      </c>
      <c r="Y6" s="29" t="str">
        <v>0</v>
      </c>
    </row>
    <row r="7" spans="1:25" x14ac:dyDescent="0.45">
      <c r="A7" s="16" t="s">
        <v>9</v>
      </c>
      <c r="B7" s="16" t="s">
        <v>8</v>
      </c>
      <c r="C7" s="9" t="s">
        <v>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3"/>
      <c r="P7" s="1"/>
      <c r="Q7" s="24" t="str">
        <v>MUSA US EQUITY</v>
      </c>
      <c r="R7" s="24">
        <v>91</v>
      </c>
      <c r="S7" s="25" t="str">
        <v>canonical</v>
      </c>
      <c r="T7" s="26" t="str">
        <v>gross_margin_gaap</v>
      </c>
      <c r="U7" s="30" t="str">
        <v/>
      </c>
      <c r="V7" s="29" t="str">
        <v>0</v>
      </c>
      <c r="W7" s="29" t="str">
        <v/>
      </c>
      <c r="X7" s="29" t="str">
        <v/>
      </c>
      <c r="Y7" s="29" t="str">
        <v>0</v>
      </c>
    </row>
    <row r="8" spans="1:25" x14ac:dyDescent="0.45">
      <c r="C8" s="4" t="s">
        <v>4</v>
      </c>
      <c r="D8" s="5"/>
      <c r="E8" s="4"/>
      <c r="F8" s="4"/>
      <c r="G8" s="12"/>
      <c r="H8" s="12" t="e">
        <f t="shared" ref="H8:O8" si="1">+H7/D7-1</f>
        <v>#DIV/0!</v>
      </c>
      <c r="I8" s="12" t="e">
        <f t="shared" si="1"/>
        <v>#DIV/0!</v>
      </c>
      <c r="J8" s="12" t="e">
        <f t="shared" si="1"/>
        <v>#DIV/0!</v>
      </c>
      <c r="K8" s="12" t="e">
        <f t="shared" si="1"/>
        <v>#DIV/0!</v>
      </c>
      <c r="L8" s="12" t="e">
        <f t="shared" si="1"/>
        <v>#DIV/0!</v>
      </c>
      <c r="M8" s="12" t="e">
        <f t="shared" si="1"/>
        <v>#DIV/0!</v>
      </c>
      <c r="N8" s="12" t="e">
        <f t="shared" si="1"/>
        <v>#DIV/0!</v>
      </c>
      <c r="O8" s="12" t="e">
        <f t="shared" si="1"/>
        <v>#DIV/0!</v>
      </c>
      <c r="P8" s="3"/>
      <c r="Q8" s="24" t="str">
        <v>MUSA US EQUITY</v>
      </c>
      <c r="R8" s="24">
        <v>91</v>
      </c>
      <c r="S8" s="25" t="str">
        <v>canonical</v>
      </c>
      <c r="T8" s="26" t="str">
        <v>gross_margin_gaap</v>
      </c>
      <c r="U8" s="30" t="str">
        <v/>
      </c>
      <c r="V8" s="29" t="str">
        <v>0</v>
      </c>
      <c r="W8" s="29" t="str">
        <v/>
      </c>
      <c r="X8" s="29" t="str">
        <v/>
      </c>
      <c r="Y8" s="29" t="str">
        <v>0</v>
      </c>
    </row>
    <row r="9" spans="1:25" x14ac:dyDescent="0.45">
      <c r="C9" s="4" t="s">
        <v>19</v>
      </c>
      <c r="D9" s="1"/>
      <c r="L9" s="7" t="e">
        <f>(L8-K8)*10000</f>
        <v>#DIV/0!</v>
      </c>
      <c r="M9" s="7" t="e">
        <f>(M8-L8)*10000</f>
        <v>#DIV/0!</v>
      </c>
      <c r="N9" s="7" t="e">
        <f>(N8-M8)*10000</f>
        <v>#DIV/0!</v>
      </c>
      <c r="O9" s="7" t="e">
        <f>(O8-N8)*10000</f>
        <v>#DIV/0!</v>
      </c>
      <c r="Q9" s="22" t="str">
        <v>MUSA US EQUITY</v>
      </c>
      <c r="R9" s="24">
        <v>91</v>
      </c>
      <c r="S9" s="25" t="str">
        <v>canonical</v>
      </c>
      <c r="T9" s="26" t="str">
        <v>gross_margin_gaap</v>
      </c>
      <c r="U9" s="30" t="str">
        <v/>
      </c>
      <c r="V9" s="29" t="str">
        <v>0</v>
      </c>
      <c r="W9" s="29" t="str">
        <v/>
      </c>
      <c r="X9" s="29" t="str">
        <v/>
      </c>
      <c r="Y9" s="29" t="str">
        <v>0</v>
      </c>
    </row>
    <row r="10" spans="1:25" x14ac:dyDescent="0.45">
      <c r="C10" s="4" t="s">
        <v>23</v>
      </c>
      <c r="D10" s="1"/>
      <c r="E10" s="6"/>
      <c r="F10" s="6"/>
      <c r="G10" s="6"/>
      <c r="H10" s="6"/>
      <c r="I10" s="6"/>
      <c r="J10" s="6"/>
      <c r="K10" s="6"/>
      <c r="L10" s="7" t="e">
        <f>(L8-H8)*10000</f>
        <v>#DIV/0!</v>
      </c>
      <c r="M10" s="7" t="e">
        <f>(M8-I8)*10000</f>
        <v>#DIV/0!</v>
      </c>
      <c r="N10" s="7" t="e">
        <f>(N8-J8)*10000</f>
        <v>#DIV/0!</v>
      </c>
      <c r="O10" s="7" t="e">
        <f>(O8-K8)*10000</f>
        <v>#DIV/0!</v>
      </c>
      <c r="Q10" s="24" t="str" cm="1">
        <f t="array" ref="Q10:Y13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MUSA US EQUITY</v>
      </c>
      <c r="R10" s="24">
        <v>91</v>
      </c>
      <c r="S10" s="25" t="str">
        <v>canonical</v>
      </c>
      <c r="T10" s="26" t="str">
        <v>operating_margin_gaap</v>
      </c>
      <c r="U10" s="30" t="str">
        <v/>
      </c>
      <c r="V10" s="29" t="str">
        <v>0</v>
      </c>
      <c r="W10" s="29" t="str">
        <v/>
      </c>
      <c r="X10" s="29" t="str">
        <v/>
      </c>
      <c r="Y10" s="29" t="str">
        <v>0</v>
      </c>
    </row>
    <row r="11" spans="1:25" x14ac:dyDescent="0.45">
      <c r="C11" s="4" t="s">
        <v>5</v>
      </c>
      <c r="D11" s="1"/>
      <c r="L11" s="12" t="e">
        <f t="shared" ref="L11:O11" si="2">L7/K7-1</f>
        <v>#DIV/0!</v>
      </c>
      <c r="M11" s="12" t="e">
        <f t="shared" si="2"/>
        <v>#DIV/0!</v>
      </c>
      <c r="N11" s="12" t="e">
        <f t="shared" si="2"/>
        <v>#DIV/0!</v>
      </c>
      <c r="O11" s="12" t="e">
        <f t="shared" si="2"/>
        <v>#DIV/0!</v>
      </c>
      <c r="Q11" s="24" t="str">
        <v>MUSA US EQUITY</v>
      </c>
      <c r="R11" s="24">
        <v>91</v>
      </c>
      <c r="S11" s="25" t="str">
        <v>canonical</v>
      </c>
      <c r="T11" s="26" t="str">
        <v>operating_margin_gaap</v>
      </c>
      <c r="U11" s="30" t="str">
        <v/>
      </c>
      <c r="V11" s="29" t="str">
        <v>0</v>
      </c>
      <c r="W11" s="29" t="str">
        <v/>
      </c>
      <c r="X11" s="29" t="str">
        <v/>
      </c>
      <c r="Y11" s="29" t="str">
        <v>0</v>
      </c>
    </row>
    <row r="12" spans="1:25" x14ac:dyDescent="0.45">
      <c r="Q12" s="24" t="str">
        <v>MUSA US EQUITY</v>
      </c>
      <c r="R12" s="24">
        <v>91</v>
      </c>
      <c r="S12" s="25" t="str">
        <v>canonical</v>
      </c>
      <c r="T12" s="26" t="str">
        <v>operating_margin_gaap</v>
      </c>
      <c r="U12" s="30" t="str">
        <v/>
      </c>
      <c r="V12" s="29" t="str">
        <v>0</v>
      </c>
      <c r="W12" s="29" t="str">
        <v/>
      </c>
      <c r="X12" s="29" t="str">
        <v/>
      </c>
      <c r="Y12" s="29" t="str">
        <v>0</v>
      </c>
    </row>
    <row r="13" spans="1:25" x14ac:dyDescent="0.45">
      <c r="C13" s="13" t="s">
        <v>12</v>
      </c>
      <c r="D13" s="14" t="e">
        <f ca="1">EOMONTH(DATE(YEAR(D14),ROUNDUP(MONTH(D14)/3,0)*3,1),0)</f>
        <v>#VALUE!</v>
      </c>
      <c r="E13" s="14">
        <f>EOMONTH(DATE(YEAR(E14),ROUNDUP(MONTH(E14)/3,0)*3,1),0)</f>
        <v>91</v>
      </c>
      <c r="F13" s="14">
        <f>EOMONTH(DATE(YEAR(F14),ROUNDUP(MONTH(F14)/3,0)*3,1),0)</f>
        <v>91</v>
      </c>
      <c r="G13" s="14">
        <f t="shared" ref="G13:K13" si="3">EOMONTH(DATE(YEAR(G14),ROUNDUP(MONTH(G14)/3,0)*3,1),0)</f>
        <v>91</v>
      </c>
      <c r="H13" s="14">
        <f t="shared" si="3"/>
        <v>91</v>
      </c>
      <c r="I13" s="14">
        <f t="shared" si="3"/>
        <v>91</v>
      </c>
      <c r="J13" s="14">
        <f t="shared" si="3"/>
        <v>91</v>
      </c>
      <c r="K13" s="14">
        <f t="shared" si="3"/>
        <v>91</v>
      </c>
      <c r="L13" s="14">
        <f>EOMONTH(DATE(YEAR(L14),ROUNDUP(MONTH(L14)/3,0)*3,1),0)</f>
        <v>91</v>
      </c>
      <c r="M13" s="14">
        <f>EOMONTH(DATE(YEAR(M14),ROUNDUP(MONTH(M14)/3,0)*3,1),0)</f>
        <v>91</v>
      </c>
      <c r="N13" s="14">
        <f>EOMONTH(DATE(YEAR(N14),ROUNDUP(MONTH(N14)/3,0)*3,1),0)</f>
        <v>91</v>
      </c>
      <c r="O13" s="14">
        <f>EOMONTH(DATE(YEAR(O14),ROUNDUP(MONTH(O14)/3,0)*3,1),0)</f>
        <v>91</v>
      </c>
      <c r="Q13" s="24" t="str">
        <v>MUSA US EQUITY</v>
      </c>
      <c r="R13" s="24">
        <v>91</v>
      </c>
      <c r="S13" s="25" t="str">
        <v>canonical</v>
      </c>
      <c r="T13" s="26" t="str">
        <v>operating_margin_gaap</v>
      </c>
      <c r="U13" s="30" t="str">
        <v/>
      </c>
      <c r="V13" s="29" t="str">
        <v>0</v>
      </c>
      <c r="W13" s="29" t="str">
        <v/>
      </c>
      <c r="X13" s="29" t="str">
        <v/>
      </c>
      <c r="Y13" s="29" t="str">
        <v>0</v>
      </c>
    </row>
    <row r="14" spans="1:25" x14ac:dyDescent="0.45">
      <c r="D14" s="1" t="str" cm="1">
        <f t="array" aca="1" ref="D14" ca="1">+_xll.BDH($B$2,C15,$B$3,$B$4,"DIR=H")</f>
        <v>#N/A Requesting Data...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MUSA US EQUITY</v>
      </c>
      <c r="R14" s="24">
        <v>45747</v>
      </c>
      <c r="S14" s="25" t="str">
        <v>custom</v>
      </c>
      <c r="T14" s="26" t="str">
        <v>petroleum_sss_growth</v>
      </c>
      <c r="U14" s="30" t="str">
        <v>-0.018</v>
      </c>
      <c r="V14" s="29" t="str">
        <v>-90</v>
      </c>
      <c r="W14" s="29" t="str">
        <v/>
      </c>
      <c r="X14" s="29" t="str">
        <v/>
      </c>
      <c r="Y14" s="29" t="str">
        <v>100</v>
      </c>
    </row>
    <row r="15" spans="1:25" x14ac:dyDescent="0.45">
      <c r="A15" s="16" t="s">
        <v>9</v>
      </c>
      <c r="B15" s="16" t="s">
        <v>14</v>
      </c>
      <c r="C15" s="9" t="s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24" t="str">
        <v>MUSA US EQUITY</v>
      </c>
      <c r="R15" s="24">
        <v>45838</v>
      </c>
      <c r="S15" s="25" t="str">
        <v>custom</v>
      </c>
      <c r="T15" s="26" t="str">
        <v>petroleum_sss_growth</v>
      </c>
      <c r="U15" s="30" t="str">
        <v>-0.032</v>
      </c>
      <c r="V15" s="29" t="str">
        <v>-190</v>
      </c>
      <c r="W15" s="29" t="str">
        <v/>
      </c>
      <c r="X15" s="29" t="str">
        <v/>
      </c>
      <c r="Y15" s="29" t="str">
        <v>-140</v>
      </c>
    </row>
    <row r="16" spans="1:25" x14ac:dyDescent="0.45">
      <c r="C16" s="4" t="s">
        <v>4</v>
      </c>
      <c r="D16" s="5"/>
      <c r="E16" s="4"/>
      <c r="F16" s="4"/>
      <c r="G16" s="4"/>
      <c r="H16" s="7">
        <f t="shared" ref="H16:O16" si="4">(H15-D15)*100</f>
        <v>0</v>
      </c>
      <c r="I16" s="7">
        <f t="shared" si="4"/>
        <v>0</v>
      </c>
      <c r="J16" s="7">
        <f t="shared" si="4"/>
        <v>0</v>
      </c>
      <c r="K16" s="7">
        <f t="shared" si="4"/>
        <v>0</v>
      </c>
      <c r="L16" s="7">
        <f t="shared" si="4"/>
        <v>0</v>
      </c>
      <c r="M16" s="7">
        <f t="shared" si="4"/>
        <v>0</v>
      </c>
      <c r="N16" s="7">
        <f t="shared" si="4"/>
        <v>0</v>
      </c>
      <c r="O16" s="7">
        <f t="shared" si="4"/>
        <v>0</v>
      </c>
      <c r="Q16" s="24" t="str">
        <v>MUSA US EQUITY</v>
      </c>
      <c r="R16" s="24">
        <v>45930</v>
      </c>
      <c r="S16" s="25" t="str">
        <v>custom</v>
      </c>
      <c r="T16" s="26" t="str">
        <v>petroleum_sss_growth</v>
      </c>
      <c r="U16" s="30" t="str">
        <v>-0.026</v>
      </c>
      <c r="V16" s="29" t="str">
        <v>-310</v>
      </c>
      <c r="W16" s="29" t="str">
        <v/>
      </c>
      <c r="X16" s="29" t="str">
        <v/>
      </c>
      <c r="Y16" s="29" t="str">
        <v>60</v>
      </c>
    </row>
    <row r="17" spans="1:25" x14ac:dyDescent="0.45">
      <c r="C17" s="4" t="s">
        <v>19</v>
      </c>
      <c r="D17" s="1"/>
      <c r="K17" s="7"/>
      <c r="L17" s="7"/>
      <c r="M17" s="7"/>
      <c r="N17" s="7"/>
      <c r="O17" s="7"/>
      <c r="Q17" s="24" t="str">
        <v>MUSA US EQUITY</v>
      </c>
      <c r="R17" s="24">
        <v>46022</v>
      </c>
      <c r="S17" s="25" t="str">
        <v>custom</v>
      </c>
      <c r="T17" s="26" t="str">
        <v>petroleum_sss_growth</v>
      </c>
      <c r="U17" s="30" t="str">
        <v>-0.006</v>
      </c>
      <c r="V17" s="29" t="str">
        <v>220</v>
      </c>
      <c r="W17" s="29" t="str">
        <v/>
      </c>
      <c r="X17" s="29" t="str">
        <v/>
      </c>
      <c r="Y17" s="29" t="str">
        <v>200</v>
      </c>
    </row>
    <row r="18" spans="1:25" x14ac:dyDescent="0.45">
      <c r="C18" s="4" t="s">
        <v>23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MUSA US EQUITY</v>
      </c>
      <c r="R18" s="24">
        <v>45747</v>
      </c>
      <c r="S18" s="25" t="str">
        <v>custom</v>
      </c>
      <c r="T18" s="26" t="str">
        <v>merchandise_sss</v>
      </c>
      <c r="U18" s="30" t="str">
        <v>38.4</v>
      </c>
      <c r="V18" s="29" t="str">
        <v>0.0158730158730158</v>
      </c>
      <c r="W18" s="29" t="str">
        <v>-147.392290249433</v>
      </c>
      <c r="X18" s="29" t="str">
        <v>-57.4860574860581</v>
      </c>
      <c r="Y18" s="29" t="str">
        <v>-0.0495049504950495</v>
      </c>
    </row>
    <row r="19" spans="1:25" x14ac:dyDescent="0.45">
      <c r="C19" s="4" t="s">
        <v>5</v>
      </c>
      <c r="D19" s="1"/>
      <c r="K19" s="7"/>
      <c r="L19" s="7">
        <f>(L15-K15)*100</f>
        <v>0</v>
      </c>
      <c r="M19" s="7">
        <f t="shared" ref="M19:O19" si="5">(M15-L15)*100</f>
        <v>0</v>
      </c>
      <c r="N19" s="7">
        <f t="shared" si="5"/>
        <v>0</v>
      </c>
      <c r="O19" s="7">
        <f t="shared" si="5"/>
        <v>0</v>
      </c>
      <c r="Q19" s="24" t="str">
        <v>MUSA US EQUITY</v>
      </c>
      <c r="R19" s="24">
        <v>45838</v>
      </c>
      <c r="S19" s="25" t="str">
        <v>custom</v>
      </c>
      <c r="T19" s="26" t="str">
        <v>merchandise_sss</v>
      </c>
      <c r="U19" s="30" t="str">
        <v>42.8</v>
      </c>
      <c r="V19" s="29" t="str">
        <v>0</v>
      </c>
      <c r="W19" s="29" t="str">
        <v>-158.730158730158</v>
      </c>
      <c r="X19" s="29" t="str">
        <v>-515.970515970514</v>
      </c>
      <c r="Y19" s="29" t="str">
        <v>0.114583333333333</v>
      </c>
    </row>
    <row r="20" spans="1:25" x14ac:dyDescent="0.45">
      <c r="Q20" s="24" t="str">
        <v>MUSA US EQUITY</v>
      </c>
      <c r="R20" s="24">
        <v>45930</v>
      </c>
      <c r="S20" s="25" t="str">
        <v>custom</v>
      </c>
      <c r="T20" s="26" t="str">
        <v>merchandise_sss</v>
      </c>
      <c r="U20" s="30" t="str">
        <v>46.5</v>
      </c>
      <c r="V20" s="29" t="str">
        <v>0.0889929742388758</v>
      </c>
      <c r="W20" s="29" t="str">
        <v>889.929742388758</v>
      </c>
      <c r="X20" s="29" t="str">
        <v>698.998954799257</v>
      </c>
      <c r="Y20" s="29" t="str">
        <v>0.0864485981308412</v>
      </c>
    </row>
    <row r="21" spans="1:25" x14ac:dyDescent="0.45">
      <c r="C21" s="13" t="s">
        <v>12</v>
      </c>
      <c r="D21" s="14" t="e">
        <f ca="1">EOMONTH(DATE(YEAR(D22),ROUNDUP(MONTH(D22)/3,0)*3,1),0)</f>
        <v>#VALUE!</v>
      </c>
      <c r="E21" s="14">
        <f>EOMONTH(DATE(YEAR(E22),ROUNDUP(MONTH(E22)/3,0)*3,1),0)</f>
        <v>91</v>
      </c>
      <c r="F21" s="14">
        <f>EOMONTH(DATE(YEAR(F22),ROUNDUP(MONTH(F22)/3,0)*3,1),0)</f>
        <v>91</v>
      </c>
      <c r="G21" s="14">
        <f t="shared" ref="G21:K21" si="6">EOMONTH(DATE(YEAR(G22),ROUNDUP(MONTH(G22)/3,0)*3,1),0)</f>
        <v>91</v>
      </c>
      <c r="H21" s="14">
        <f t="shared" si="6"/>
        <v>91</v>
      </c>
      <c r="I21" s="14">
        <f t="shared" si="6"/>
        <v>91</v>
      </c>
      <c r="J21" s="14">
        <f t="shared" si="6"/>
        <v>91</v>
      </c>
      <c r="K21" s="14">
        <f t="shared" si="6"/>
        <v>91</v>
      </c>
      <c r="L21" s="14">
        <f>EOMONTH(DATE(YEAR(L22),ROUNDUP(MONTH(L22)/3,0)*3,1),0)</f>
        <v>91</v>
      </c>
      <c r="M21" s="14">
        <f>EOMONTH(DATE(YEAR(M22),ROUNDUP(MONTH(M22)/3,0)*3,1),0)</f>
        <v>91</v>
      </c>
      <c r="N21" s="14">
        <f>EOMONTH(DATE(YEAR(N22),ROUNDUP(MONTH(N22)/3,0)*3,1),0)</f>
        <v>91</v>
      </c>
      <c r="O21" s="14">
        <f>EOMONTH(DATE(YEAR(O22),ROUNDUP(MONTH(O22)/3,0)*3,1),0)</f>
        <v>91</v>
      </c>
      <c r="Q21" s="24" t="str">
        <v>MUSA US EQUITY</v>
      </c>
      <c r="R21" s="24">
        <v>46022</v>
      </c>
      <c r="S21" s="25" t="str">
        <v>custom</v>
      </c>
      <c r="T21" s="26" t="str">
        <v>merchandise_sss</v>
      </c>
      <c r="U21" s="30" t="str">
        <v>40.7</v>
      </c>
      <c r="V21" s="29" t="str">
        <v>0.00742574257425743</v>
      </c>
      <c r="W21" s="29" t="str">
        <v>-815.672316646183</v>
      </c>
      <c r="X21" s="29" t="str">
        <v>-231.865023237017</v>
      </c>
      <c r="Y21" s="29" t="str">
        <v>-0.124731182795699</v>
      </c>
    </row>
    <row r="22" spans="1:25" x14ac:dyDescent="0.45">
      <c r="D22" s="1" t="str" cm="1">
        <f t="array" aca="1" ref="D22" ca="1">+_xll.BDH($B$2,C23,$B$3,$B$4,"DIR=H")</f>
        <v>#N/A Requesting Data...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MUSA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9</v>
      </c>
      <c r="B23" s="16" t="s">
        <v>15</v>
      </c>
      <c r="C23" s="9" t="s">
        <v>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MUSA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4</v>
      </c>
      <c r="D24" s="5"/>
      <c r="E24" s="4"/>
      <c r="F24" s="4"/>
      <c r="G24" s="4"/>
      <c r="H24" s="7">
        <f t="shared" ref="H24:O24" si="7">(H23-D23)*100</f>
        <v>0</v>
      </c>
      <c r="I24" s="7">
        <f t="shared" si="7"/>
        <v>0</v>
      </c>
      <c r="J24" s="7">
        <f t="shared" si="7"/>
        <v>0</v>
      </c>
      <c r="K24" s="7">
        <f t="shared" si="7"/>
        <v>0</v>
      </c>
      <c r="L24" s="7">
        <f t="shared" si="7"/>
        <v>0</v>
      </c>
      <c r="M24" s="7">
        <f t="shared" si="7"/>
        <v>0</v>
      </c>
      <c r="N24" s="7">
        <f t="shared" si="7"/>
        <v>0</v>
      </c>
      <c r="O24" s="7">
        <f t="shared" si="7"/>
        <v>0</v>
      </c>
      <c r="Q24" s="24" t="str">
        <v>MUSA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19</v>
      </c>
      <c r="D25" s="1"/>
      <c r="K25" s="7"/>
      <c r="L25" s="7"/>
      <c r="M25" s="7"/>
      <c r="N25" s="7"/>
      <c r="O25" s="7"/>
      <c r="Q25" s="24" t="str">
        <v>MUSA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23</v>
      </c>
      <c r="D26" s="1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MUSA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5</v>
      </c>
      <c r="D27" s="1"/>
      <c r="K27" s="7"/>
      <c r="L27" s="7">
        <f>(L23-K23)*100</f>
        <v>0</v>
      </c>
      <c r="M27" s="7">
        <f t="shared" ref="M27:O27" si="8">(M23-L23)*100</f>
        <v>0</v>
      </c>
      <c r="N27" s="7">
        <f t="shared" si="8"/>
        <v>0</v>
      </c>
      <c r="O27" s="7">
        <f t="shared" si="8"/>
        <v>0</v>
      </c>
      <c r="Q27" s="24" t="str">
        <v>MUSA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MUSA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 t="s">
        <v>12</v>
      </c>
      <c r="D29" s="14"/>
      <c r="E29" s="14">
        <f t="shared" ref="E29:L29" si="9">EOMONTH(DATE(YEAR(E30),ROUNDUP(MONTH(E30)/3,0)*3,1),0)</f>
        <v>45107</v>
      </c>
      <c r="F29" s="14">
        <f t="shared" si="9"/>
        <v>45199</v>
      </c>
      <c r="G29" s="14">
        <f t="shared" si="9"/>
        <v>45291</v>
      </c>
      <c r="H29" s="14">
        <f t="shared" si="9"/>
        <v>45382</v>
      </c>
      <c r="I29" s="14">
        <f t="shared" si="9"/>
        <v>45473</v>
      </c>
      <c r="J29" s="14">
        <f t="shared" si="9"/>
        <v>45565</v>
      </c>
      <c r="K29" s="14">
        <f t="shared" si="9"/>
        <v>45657</v>
      </c>
      <c r="L29" s="14">
        <f t="shared" si="9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MUSA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/>
      <c r="E30" s="2">
        <v>45107</v>
      </c>
      <c r="F30" s="2">
        <v>45199</v>
      </c>
      <c r="G30" s="2">
        <v>45291</v>
      </c>
      <c r="H30" s="2">
        <v>45382</v>
      </c>
      <c r="I30" s="2">
        <v>45473</v>
      </c>
      <c r="J30" s="2">
        <v>45565</v>
      </c>
      <c r="K30" s="2">
        <v>45657</v>
      </c>
      <c r="L30" s="2">
        <v>45747</v>
      </c>
      <c r="M30" s="2">
        <v>45838</v>
      </c>
      <c r="N30" s="2">
        <v>45930</v>
      </c>
      <c r="O30" s="2">
        <v>46022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MUSA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21</v>
      </c>
      <c r="B31" s="16" t="s">
        <v>38</v>
      </c>
      <c r="C31" s="2" t="s">
        <v>39</v>
      </c>
      <c r="D31" s="10"/>
      <c r="E31" s="10"/>
      <c r="F31" s="10"/>
      <c r="G31" s="8">
        <v>-0.02</v>
      </c>
      <c r="H31" s="8">
        <v>-8.9999999999999993E-3</v>
      </c>
      <c r="I31" s="8">
        <v>-1.2999999999999999E-2</v>
      </c>
      <c r="J31" s="8">
        <v>5.0000000000000001E-3</v>
      </c>
      <c r="K31" s="8">
        <v>-2.8000000000000001E-2</v>
      </c>
      <c r="L31" s="8">
        <v>-1.7999999999999999E-2</v>
      </c>
      <c r="M31" s="8">
        <v>-3.2000000000000001E-2</v>
      </c>
      <c r="N31" s="8">
        <v>-2.5999999999999999E-2</v>
      </c>
      <c r="O31" s="8">
        <v>-6.0000000000000001E-3</v>
      </c>
      <c r="Q31" s="24" t="str">
        <v>MUSA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4</v>
      </c>
      <c r="D32" s="5"/>
      <c r="E32" s="4"/>
      <c r="F32" s="4"/>
      <c r="G32" s="4"/>
      <c r="H32" s="7"/>
      <c r="I32" s="7"/>
      <c r="J32" s="7">
        <f t="shared" ref="J32:O32" si="10">(J31-F31)*10000</f>
        <v>50</v>
      </c>
      <c r="K32" s="7">
        <f t="shared" si="10"/>
        <v>-80</v>
      </c>
      <c r="L32" s="7">
        <f t="shared" si="10"/>
        <v>-90</v>
      </c>
      <c r="M32" s="7">
        <f t="shared" si="10"/>
        <v>-190.00000000000003</v>
      </c>
      <c r="N32" s="7">
        <f t="shared" si="10"/>
        <v>-310</v>
      </c>
      <c r="O32" s="7">
        <f t="shared" si="10"/>
        <v>220</v>
      </c>
      <c r="Q32" s="24" t="str">
        <v>MUSA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19</v>
      </c>
      <c r="D33" s="1"/>
      <c r="K33" s="7"/>
      <c r="L33" s="7"/>
      <c r="M33" s="7"/>
      <c r="N33" s="7"/>
      <c r="O33" s="7"/>
      <c r="Q33" s="24" t="str">
        <v>MUSA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23</v>
      </c>
      <c r="D34" s="1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25" x14ac:dyDescent="0.45">
      <c r="C35" s="4" t="s">
        <v>5</v>
      </c>
      <c r="D35" s="1"/>
      <c r="G35" s="7">
        <f t="shared" ref="G35:K35" si="11">(G31-F31)*10000</f>
        <v>-200</v>
      </c>
      <c r="H35" s="7">
        <f t="shared" si="11"/>
        <v>110.00000000000001</v>
      </c>
      <c r="I35" s="7">
        <f t="shared" si="11"/>
        <v>-40</v>
      </c>
      <c r="J35" s="7">
        <f t="shared" si="11"/>
        <v>180</v>
      </c>
      <c r="K35" s="7">
        <f t="shared" si="11"/>
        <v>-330</v>
      </c>
      <c r="L35" s="7">
        <f>(L31-K31)*10000</f>
        <v>100.00000000000001</v>
      </c>
      <c r="M35" s="7">
        <f t="shared" ref="M35:O35" si="12">(M31-L31)*10000</f>
        <v>-140.00000000000003</v>
      </c>
      <c r="N35" s="7">
        <f t="shared" si="12"/>
        <v>60.000000000000021</v>
      </c>
      <c r="O35" s="7">
        <f t="shared" si="12"/>
        <v>199.99999999999997</v>
      </c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 t="s">
        <v>12</v>
      </c>
      <c r="D37" s="14">
        <f t="shared" ref="D37:L37" si="13">EOMONTH(DATE(YEAR(D38),ROUNDUP(MONTH(D38)/3,0)*3,1),0)</f>
        <v>45016</v>
      </c>
      <c r="E37" s="14">
        <f t="shared" si="13"/>
        <v>45107</v>
      </c>
      <c r="F37" s="14">
        <f t="shared" si="13"/>
        <v>45199</v>
      </c>
      <c r="G37" s="14">
        <f t="shared" si="13"/>
        <v>45291</v>
      </c>
      <c r="H37" s="14">
        <f t="shared" si="13"/>
        <v>45382</v>
      </c>
      <c r="I37" s="14">
        <f t="shared" si="13"/>
        <v>45473</v>
      </c>
      <c r="J37" s="14">
        <f t="shared" si="13"/>
        <v>45565</v>
      </c>
      <c r="K37" s="14">
        <f t="shared" si="13"/>
        <v>45657</v>
      </c>
      <c r="L37" s="14">
        <f t="shared" si="13"/>
        <v>45747</v>
      </c>
      <c r="M37" s="14">
        <f>EOMONTH(DATE(YEAR(M38),ROUNDUP(MONTH(M38)/3,0)*3,1),0)</f>
        <v>45838</v>
      </c>
      <c r="N37" s="14">
        <f>EOMONTH(DATE(YEAR(N38),ROUNDUP(MONTH(N38)/3,0)*3,1),0)</f>
        <v>45930</v>
      </c>
      <c r="O37" s="14">
        <f>EOMONTH(DATE(YEAR(O38),ROUNDUP(MONTH(O38)/3,0)*3,1),0)</f>
        <v>46022</v>
      </c>
    </row>
    <row r="38" spans="1:25" x14ac:dyDescent="0.45">
      <c r="D38" s="2">
        <v>45016</v>
      </c>
      <c r="E38" s="2">
        <v>45107</v>
      </c>
      <c r="F38" s="2">
        <v>45199</v>
      </c>
      <c r="G38" s="2">
        <v>45291</v>
      </c>
      <c r="H38" s="2">
        <v>45382</v>
      </c>
      <c r="I38" s="2">
        <v>45473</v>
      </c>
      <c r="J38" s="2">
        <v>45565</v>
      </c>
      <c r="K38" s="2">
        <v>45657</v>
      </c>
      <c r="L38" s="2">
        <v>45747</v>
      </c>
      <c r="M38" s="2">
        <v>45838</v>
      </c>
      <c r="N38" s="2">
        <v>45930</v>
      </c>
      <c r="O38" s="2">
        <v>46022</v>
      </c>
    </row>
    <row r="39" spans="1:25" x14ac:dyDescent="0.45">
      <c r="A39" s="16" t="s">
        <v>21</v>
      </c>
      <c r="B39" s="16" t="s">
        <v>41</v>
      </c>
      <c r="C39" s="2" t="s">
        <v>40</v>
      </c>
      <c r="D39" s="32">
        <v>37</v>
      </c>
      <c r="E39" s="32">
        <v>40.700000000000003</v>
      </c>
      <c r="F39" s="32">
        <v>41.9</v>
      </c>
      <c r="G39" s="32">
        <v>39.200000000000003</v>
      </c>
      <c r="H39" s="32">
        <v>37.799999999999997</v>
      </c>
      <c r="I39" s="32">
        <v>42.8</v>
      </c>
      <c r="J39" s="32">
        <v>42.7</v>
      </c>
      <c r="K39" s="32">
        <v>40.4</v>
      </c>
      <c r="L39" s="32">
        <v>38.4</v>
      </c>
      <c r="M39" s="32">
        <v>42.8</v>
      </c>
      <c r="N39" s="32">
        <v>46.5</v>
      </c>
      <c r="O39" s="32">
        <v>40.700000000000003</v>
      </c>
    </row>
    <row r="40" spans="1:25" x14ac:dyDescent="0.45">
      <c r="C40" s="4" t="s">
        <v>4</v>
      </c>
      <c r="D40" s="5"/>
      <c r="E40" s="4"/>
      <c r="F40" s="4"/>
      <c r="G40" s="12"/>
      <c r="H40" s="12">
        <f t="shared" ref="H40" si="14">+H39/D39-1</f>
        <v>2.1621621621621623E-2</v>
      </c>
      <c r="I40" s="12">
        <f t="shared" ref="I40" si="15">+I39/E39-1</f>
        <v>5.1597051597051413E-2</v>
      </c>
      <c r="J40" s="12">
        <f t="shared" ref="J40" si="16">+J39/F39-1</f>
        <v>1.9093078758950055E-2</v>
      </c>
      <c r="K40" s="12">
        <f t="shared" ref="K40" si="17">+K39/G39-1</f>
        <v>3.0612244897959107E-2</v>
      </c>
      <c r="L40" s="12">
        <f t="shared" ref="L40" si="18">+L39/H39-1</f>
        <v>1.5873015873015817E-2</v>
      </c>
      <c r="M40" s="12">
        <f t="shared" ref="M40" si="19">+M39/I39-1</f>
        <v>0</v>
      </c>
      <c r="N40" s="12">
        <f t="shared" ref="N40" si="20">+N39/J39-1</f>
        <v>8.8992974238875755E-2</v>
      </c>
      <c r="O40" s="12">
        <f t="shared" ref="O40" si="21">+O39/K39-1</f>
        <v>7.4257425742574323E-3</v>
      </c>
    </row>
    <row r="41" spans="1:25" x14ac:dyDescent="0.45">
      <c r="C41" s="4" t="s">
        <v>19</v>
      </c>
      <c r="D41" s="1"/>
      <c r="L41" s="7">
        <f>(L40-K40)*10000</f>
        <v>-147.3922902494329</v>
      </c>
      <c r="M41" s="7">
        <f>(M40-L40)*10000</f>
        <v>-158.73015873015817</v>
      </c>
      <c r="N41" s="7">
        <f>(N40-M40)*10000</f>
        <v>889.92974238875752</v>
      </c>
      <c r="O41" s="7">
        <f>(O40-N40)*10000</f>
        <v>-815.67231664618328</v>
      </c>
    </row>
    <row r="42" spans="1:25" x14ac:dyDescent="0.45">
      <c r="C42" s="4" t="s">
        <v>23</v>
      </c>
      <c r="D42" s="1"/>
      <c r="E42" s="6"/>
      <c r="F42" s="6"/>
      <c r="G42" s="6"/>
      <c r="H42" s="6"/>
      <c r="I42" s="6"/>
      <c r="J42" s="6"/>
      <c r="K42" s="6"/>
      <c r="L42" s="7">
        <f>(L40-H40)*10000</f>
        <v>-57.486057486058058</v>
      </c>
      <c r="M42" s="7">
        <f>(M40-I40)*10000</f>
        <v>-515.97051597051416</v>
      </c>
      <c r="N42" s="7">
        <f>(N40-J40)*10000</f>
        <v>698.99895479925704</v>
      </c>
      <c r="O42" s="7">
        <f>(O40-K40)*10000</f>
        <v>-231.86502323701674</v>
      </c>
    </row>
    <row r="43" spans="1:25" x14ac:dyDescent="0.45">
      <c r="C43" s="4" t="s">
        <v>5</v>
      </c>
      <c r="D43" s="1"/>
      <c r="L43" s="12">
        <f t="shared" ref="L43" si="22">L39/K39-1</f>
        <v>-4.9504950495049549E-2</v>
      </c>
      <c r="M43" s="12">
        <f t="shared" ref="M43" si="23">M39/L39-1</f>
        <v>0.11458333333333326</v>
      </c>
      <c r="N43" s="12">
        <f t="shared" ref="N43" si="24">N39/M39-1</f>
        <v>8.6448598130841159E-2</v>
      </c>
      <c r="O43" s="12">
        <f t="shared" ref="O43" si="25">O39/N39-1</f>
        <v>-0.12473118279569884</v>
      </c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2"/>
      <c r="D47" s="10"/>
      <c r="E47" s="10"/>
      <c r="F47" s="10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G51" s="7"/>
      <c r="H51" s="7"/>
      <c r="I51" s="7"/>
      <c r="J51" s="7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5E1EA-7083-45F0-96BB-C177BEA6A2E2}">
  <dimension ref="A1:Y67"/>
  <sheetViews>
    <sheetView zoomScale="85" zoomScaleNormal="85" workbookViewId="0">
      <selection activeCell="L24" sqref="L24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22</v>
      </c>
      <c r="B1" s="22" t="s">
        <v>22</v>
      </c>
      <c r="C1" s="22" t="s">
        <v>22</v>
      </c>
      <c r="D1" s="22" t="s">
        <v>22</v>
      </c>
      <c r="E1" s="22" t="s">
        <v>22</v>
      </c>
      <c r="F1" s="22" t="s">
        <v>22</v>
      </c>
      <c r="G1" s="22" t="s">
        <v>22</v>
      </c>
      <c r="H1" s="22" t="s">
        <v>22</v>
      </c>
      <c r="I1" s="22" t="s">
        <v>22</v>
      </c>
      <c r="J1" s="22" t="s">
        <v>22</v>
      </c>
      <c r="K1" s="22" t="s">
        <v>22</v>
      </c>
      <c r="L1" s="22" t="s">
        <v>22</v>
      </c>
      <c r="M1" s="22" t="s">
        <v>22</v>
      </c>
      <c r="N1" s="22" t="s">
        <v>22</v>
      </c>
      <c r="O1" s="22" t="s">
        <v>22</v>
      </c>
      <c r="Q1" s="23" t="s">
        <v>13</v>
      </c>
      <c r="R1" s="23" t="s">
        <v>11</v>
      </c>
      <c r="S1" s="23" t="s">
        <v>18</v>
      </c>
      <c r="T1" s="23" t="s">
        <v>17</v>
      </c>
      <c r="U1" s="23" t="s">
        <v>10</v>
      </c>
      <c r="V1" s="23" t="s">
        <v>16</v>
      </c>
      <c r="W1" s="23" t="s">
        <v>20</v>
      </c>
      <c r="X1" s="23" t="s">
        <v>24</v>
      </c>
      <c r="Y1" s="23" t="s">
        <v>25</v>
      </c>
    </row>
    <row r="2" spans="1:25" x14ac:dyDescent="0.45">
      <c r="A2" s="17" t="s">
        <v>1</v>
      </c>
      <c r="B2" s="31" t="s">
        <v>28</v>
      </c>
      <c r="Q2" s="24" t="str" cm="1">
        <f t="array" ref="Q2:Y5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ORLY US EQUITY</v>
      </c>
      <c r="R2" s="24">
        <v>91</v>
      </c>
      <c r="S2" s="25" t="str">
        <v>canonical</v>
      </c>
      <c r="T2" s="26" t="str">
        <v>revenue</v>
      </c>
      <c r="U2" s="27" t="str">
        <v/>
      </c>
      <c r="V2" s="28" t="e">
        <v>#DIV/0!</v>
      </c>
      <c r="W2" s="29" t="e">
        <v>#DIV/0!</v>
      </c>
      <c r="X2" s="28" t="e">
        <v>#DIV/0!</v>
      </c>
      <c r="Y2" s="29" t="e">
        <v>#DIV/0!</v>
      </c>
    </row>
    <row r="3" spans="1:25" x14ac:dyDescent="0.45">
      <c r="A3" s="18" t="s">
        <v>3</v>
      </c>
      <c r="B3" s="19">
        <f ca="1">+B4-365*3</f>
        <v>44992</v>
      </c>
      <c r="Q3" s="24" t="str">
        <v>ORLY US EQUITY</v>
      </c>
      <c r="R3" s="24">
        <v>91</v>
      </c>
      <c r="S3" s="25" t="str">
        <v>canonical</v>
      </c>
      <c r="T3" s="26" t="str">
        <v>revenue</v>
      </c>
      <c r="U3" s="27" t="str">
        <v/>
      </c>
      <c r="V3" s="28" t="e">
        <v>#DIV/0!</v>
      </c>
      <c r="W3" s="29" t="e">
        <v>#DIV/0!</v>
      </c>
      <c r="X3" s="29" t="e">
        <v>#DIV/0!</v>
      </c>
      <c r="Y3" s="29" t="e">
        <v>#DIV/0!</v>
      </c>
    </row>
    <row r="4" spans="1:25" x14ac:dyDescent="0.45">
      <c r="A4" s="20" t="s">
        <v>2</v>
      </c>
      <c r="B4" s="21">
        <f ca="1">TODAY()</f>
        <v>46087</v>
      </c>
      <c r="Q4" s="24" t="str">
        <v>ORLY US EQUITY</v>
      </c>
      <c r="R4" s="24">
        <v>91</v>
      </c>
      <c r="S4" s="25" t="str">
        <v>canonical</v>
      </c>
      <c r="T4" s="26" t="str">
        <v>revenue</v>
      </c>
      <c r="U4" s="27" t="str">
        <v/>
      </c>
      <c r="V4" s="28" t="e">
        <v>#DIV/0!</v>
      </c>
      <c r="W4" s="29" t="e">
        <v>#DIV/0!</v>
      </c>
      <c r="X4" s="29" t="e">
        <v>#DIV/0!</v>
      </c>
      <c r="Y4" s="29" t="e">
        <v>#DIV/0!</v>
      </c>
    </row>
    <row r="5" spans="1:25" x14ac:dyDescent="0.45">
      <c r="C5" s="13" t="s">
        <v>12</v>
      </c>
      <c r="D5" s="14" t="e">
        <f ca="1">EOMONTH(DATE(YEAR(D6),ROUNDUP(MONTH(D6)/3,0)*3,1),0)</f>
        <v>#VALUE!</v>
      </c>
      <c r="E5" s="14">
        <f>EOMONTH(DATE(YEAR(E6),ROUNDUP(MONTH(E6)/3,0)*3,1),0)</f>
        <v>91</v>
      </c>
      <c r="F5" s="14">
        <f>EOMONTH(DATE(YEAR(F6),ROUNDUP(MONTH(F6)/3,0)*3,1),0)</f>
        <v>91</v>
      </c>
      <c r="G5" s="14">
        <f t="shared" ref="G5:K5" si="0">EOMONTH(DATE(YEAR(G6),ROUNDUP(MONTH(G6)/3,0)*3,1),0)</f>
        <v>91</v>
      </c>
      <c r="H5" s="14">
        <f t="shared" si="0"/>
        <v>91</v>
      </c>
      <c r="I5" s="14">
        <f t="shared" si="0"/>
        <v>91</v>
      </c>
      <c r="J5" s="14">
        <f t="shared" si="0"/>
        <v>91</v>
      </c>
      <c r="K5" s="14">
        <f t="shared" si="0"/>
        <v>91</v>
      </c>
      <c r="L5" s="14">
        <f>EOMONTH(DATE(YEAR(L6),ROUNDUP(MONTH(L6)/3,0)*3,1),0)</f>
        <v>91</v>
      </c>
      <c r="M5" s="14">
        <f>EOMONTH(DATE(YEAR(M6),ROUNDUP(MONTH(M6)/3,0)*3,1),0)</f>
        <v>91</v>
      </c>
      <c r="N5" s="14">
        <f>EOMONTH(DATE(YEAR(N6),ROUNDUP(MONTH(N6)/3,0)*3,1),0)</f>
        <v>91</v>
      </c>
      <c r="O5" s="14">
        <f>EOMONTH(DATE(YEAR(O6),ROUNDUP(MONTH(O6)/3,0)*3,1),0)</f>
        <v>91</v>
      </c>
      <c r="Q5" s="24" t="str">
        <v>ORLY US EQUITY</v>
      </c>
      <c r="R5" s="24">
        <v>91</v>
      </c>
      <c r="S5" s="25" t="str">
        <v>canonical</v>
      </c>
      <c r="T5" s="26" t="str">
        <v>revenue</v>
      </c>
      <c r="U5" s="27" t="str">
        <v/>
      </c>
      <c r="V5" s="28" t="e">
        <v>#DIV/0!</v>
      </c>
      <c r="W5" s="29" t="e">
        <v>#DIV/0!</v>
      </c>
      <c r="X5" s="29" t="e">
        <v>#DIV/0!</v>
      </c>
      <c r="Y5" s="29" t="e">
        <v>#DIV/0!</v>
      </c>
    </row>
    <row r="6" spans="1:25" x14ac:dyDescent="0.45">
      <c r="D6" s="15" t="str" cm="1">
        <f t="array" aca="1" ref="D6" ca="1">+_xll.BDH($B$2,C7,$B$3,$B$4,"DIR=H")</f>
        <v>#N/A Requesting Data...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24" t="str" cm="1">
        <f t="array" ref="Q6:Y9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ORLY US EQUITY</v>
      </c>
      <c r="R6" s="24">
        <v>91</v>
      </c>
      <c r="S6" s="25" t="str">
        <v>canonical</v>
      </c>
      <c r="T6" s="26" t="str">
        <v>gross_margin_gaap</v>
      </c>
      <c r="U6" s="30" t="str">
        <v/>
      </c>
      <c r="V6" s="29" t="str">
        <v>0</v>
      </c>
      <c r="W6" s="29" t="str">
        <v/>
      </c>
      <c r="X6" s="29" t="str">
        <v/>
      </c>
      <c r="Y6" s="29" t="str">
        <v>0</v>
      </c>
    </row>
    <row r="7" spans="1:25" x14ac:dyDescent="0.45">
      <c r="A7" s="16" t="s">
        <v>9</v>
      </c>
      <c r="B7" s="16" t="s">
        <v>8</v>
      </c>
      <c r="C7" s="9" t="s">
        <v>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3"/>
      <c r="P7" s="1"/>
      <c r="Q7" s="24" t="str">
        <v>ORLY US EQUITY</v>
      </c>
      <c r="R7" s="24">
        <v>91</v>
      </c>
      <c r="S7" s="25" t="str">
        <v>canonical</v>
      </c>
      <c r="T7" s="26" t="str">
        <v>gross_margin_gaap</v>
      </c>
      <c r="U7" s="30" t="str">
        <v/>
      </c>
      <c r="V7" s="29" t="str">
        <v>0</v>
      </c>
      <c r="W7" s="29" t="str">
        <v/>
      </c>
      <c r="X7" s="29" t="str">
        <v/>
      </c>
      <c r="Y7" s="29" t="str">
        <v>0</v>
      </c>
    </row>
    <row r="8" spans="1:25" x14ac:dyDescent="0.45">
      <c r="C8" s="4" t="s">
        <v>4</v>
      </c>
      <c r="D8" s="5"/>
      <c r="E8" s="4"/>
      <c r="F8" s="4"/>
      <c r="G8" s="12"/>
      <c r="H8" s="12" t="e">
        <f t="shared" ref="H8:O8" si="1">+H7/D7-1</f>
        <v>#DIV/0!</v>
      </c>
      <c r="I8" s="12" t="e">
        <f t="shared" si="1"/>
        <v>#DIV/0!</v>
      </c>
      <c r="J8" s="12" t="e">
        <f t="shared" si="1"/>
        <v>#DIV/0!</v>
      </c>
      <c r="K8" s="12" t="e">
        <f t="shared" si="1"/>
        <v>#DIV/0!</v>
      </c>
      <c r="L8" s="12" t="e">
        <f t="shared" si="1"/>
        <v>#DIV/0!</v>
      </c>
      <c r="M8" s="12" t="e">
        <f t="shared" si="1"/>
        <v>#DIV/0!</v>
      </c>
      <c r="N8" s="12" t="e">
        <f t="shared" si="1"/>
        <v>#DIV/0!</v>
      </c>
      <c r="O8" s="12" t="e">
        <f t="shared" si="1"/>
        <v>#DIV/0!</v>
      </c>
      <c r="P8" s="3"/>
      <c r="Q8" s="24" t="str">
        <v>ORLY US EQUITY</v>
      </c>
      <c r="R8" s="24">
        <v>91</v>
      </c>
      <c r="S8" s="25" t="str">
        <v>canonical</v>
      </c>
      <c r="T8" s="26" t="str">
        <v>gross_margin_gaap</v>
      </c>
      <c r="U8" s="30" t="str">
        <v/>
      </c>
      <c r="V8" s="29" t="str">
        <v>0</v>
      </c>
      <c r="W8" s="29" t="str">
        <v/>
      </c>
      <c r="X8" s="29" t="str">
        <v/>
      </c>
      <c r="Y8" s="29" t="str">
        <v>0</v>
      </c>
    </row>
    <row r="9" spans="1:25" x14ac:dyDescent="0.45">
      <c r="C9" s="4" t="s">
        <v>19</v>
      </c>
      <c r="D9" s="1"/>
      <c r="L9" s="7" t="e">
        <f>(L8-K8)*10000</f>
        <v>#DIV/0!</v>
      </c>
      <c r="M9" s="7" t="e">
        <f>(M8-L8)*10000</f>
        <v>#DIV/0!</v>
      </c>
      <c r="N9" s="7" t="e">
        <f>(N8-M8)*10000</f>
        <v>#DIV/0!</v>
      </c>
      <c r="O9" s="7" t="e">
        <f>(O8-N8)*10000</f>
        <v>#DIV/0!</v>
      </c>
      <c r="Q9" s="22" t="str">
        <v>ORLY US EQUITY</v>
      </c>
      <c r="R9" s="24">
        <v>91</v>
      </c>
      <c r="S9" s="25" t="str">
        <v>canonical</v>
      </c>
      <c r="T9" s="26" t="str">
        <v>gross_margin_gaap</v>
      </c>
      <c r="U9" s="30" t="str">
        <v/>
      </c>
      <c r="V9" s="29" t="str">
        <v>0</v>
      </c>
      <c r="W9" s="29" t="str">
        <v/>
      </c>
      <c r="X9" s="29" t="str">
        <v/>
      </c>
      <c r="Y9" s="29" t="str">
        <v>0</v>
      </c>
    </row>
    <row r="10" spans="1:25" x14ac:dyDescent="0.45">
      <c r="C10" s="4" t="s">
        <v>23</v>
      </c>
      <c r="D10" s="1"/>
      <c r="E10" s="6"/>
      <c r="F10" s="6"/>
      <c r="G10" s="6"/>
      <c r="H10" s="6"/>
      <c r="I10" s="6"/>
      <c r="J10" s="6"/>
      <c r="K10" s="6"/>
      <c r="L10" s="7" t="e">
        <f>(L8-H8)*10000</f>
        <v>#DIV/0!</v>
      </c>
      <c r="M10" s="7" t="e">
        <f>(M8-I8)*10000</f>
        <v>#DIV/0!</v>
      </c>
      <c r="N10" s="7" t="e">
        <f>(N8-J8)*10000</f>
        <v>#DIV/0!</v>
      </c>
      <c r="O10" s="7" t="e">
        <f>(O8-K8)*10000</f>
        <v>#DIV/0!</v>
      </c>
      <c r="Q10" s="24" t="str" cm="1">
        <f t="array" ref="Q10:Y13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ORLY US EQUITY</v>
      </c>
      <c r="R10" s="24">
        <v>91</v>
      </c>
      <c r="S10" s="25" t="str">
        <v>canonical</v>
      </c>
      <c r="T10" s="26" t="str">
        <v>operating_margin_gaap</v>
      </c>
      <c r="U10" s="30" t="str">
        <v/>
      </c>
      <c r="V10" s="29" t="str">
        <v>0</v>
      </c>
      <c r="W10" s="29" t="str">
        <v/>
      </c>
      <c r="X10" s="29" t="str">
        <v/>
      </c>
      <c r="Y10" s="29" t="str">
        <v>0</v>
      </c>
    </row>
    <row r="11" spans="1:25" x14ac:dyDescent="0.45">
      <c r="C11" s="4" t="s">
        <v>5</v>
      </c>
      <c r="D11" s="1"/>
      <c r="L11" s="12" t="e">
        <f t="shared" ref="L11:O11" si="2">L7/K7-1</f>
        <v>#DIV/0!</v>
      </c>
      <c r="M11" s="12" t="e">
        <f t="shared" si="2"/>
        <v>#DIV/0!</v>
      </c>
      <c r="N11" s="12" t="e">
        <f t="shared" si="2"/>
        <v>#DIV/0!</v>
      </c>
      <c r="O11" s="12" t="e">
        <f t="shared" si="2"/>
        <v>#DIV/0!</v>
      </c>
      <c r="Q11" s="24" t="str">
        <v>ORLY US EQUITY</v>
      </c>
      <c r="R11" s="24">
        <v>91</v>
      </c>
      <c r="S11" s="25" t="str">
        <v>canonical</v>
      </c>
      <c r="T11" s="26" t="str">
        <v>operating_margin_gaap</v>
      </c>
      <c r="U11" s="30" t="str">
        <v/>
      </c>
      <c r="V11" s="29" t="str">
        <v>0</v>
      </c>
      <c r="W11" s="29" t="str">
        <v/>
      </c>
      <c r="X11" s="29" t="str">
        <v/>
      </c>
      <c r="Y11" s="29" t="str">
        <v>0</v>
      </c>
    </row>
    <row r="12" spans="1:25" x14ac:dyDescent="0.45">
      <c r="Q12" s="24" t="str">
        <v>ORLY US EQUITY</v>
      </c>
      <c r="R12" s="24">
        <v>91</v>
      </c>
      <c r="S12" s="25" t="str">
        <v>canonical</v>
      </c>
      <c r="T12" s="26" t="str">
        <v>operating_margin_gaap</v>
      </c>
      <c r="U12" s="30" t="str">
        <v/>
      </c>
      <c r="V12" s="29" t="str">
        <v>0</v>
      </c>
      <c r="W12" s="29" t="str">
        <v/>
      </c>
      <c r="X12" s="29" t="str">
        <v/>
      </c>
      <c r="Y12" s="29" t="str">
        <v>0</v>
      </c>
    </row>
    <row r="13" spans="1:25" x14ac:dyDescent="0.45">
      <c r="C13" s="13" t="s">
        <v>12</v>
      </c>
      <c r="D13" s="14" t="e">
        <f ca="1">EOMONTH(DATE(YEAR(D14),ROUNDUP(MONTH(D14)/3,0)*3,1),0)</f>
        <v>#VALUE!</v>
      </c>
      <c r="E13" s="14">
        <f>EOMONTH(DATE(YEAR(E14),ROUNDUP(MONTH(E14)/3,0)*3,1),0)</f>
        <v>91</v>
      </c>
      <c r="F13" s="14">
        <f>EOMONTH(DATE(YEAR(F14),ROUNDUP(MONTH(F14)/3,0)*3,1),0)</f>
        <v>91</v>
      </c>
      <c r="G13" s="14">
        <f t="shared" ref="G13:K13" si="3">EOMONTH(DATE(YEAR(G14),ROUNDUP(MONTH(G14)/3,0)*3,1),0)</f>
        <v>91</v>
      </c>
      <c r="H13" s="14">
        <f t="shared" si="3"/>
        <v>91</v>
      </c>
      <c r="I13" s="14">
        <f t="shared" si="3"/>
        <v>91</v>
      </c>
      <c r="J13" s="14">
        <f t="shared" si="3"/>
        <v>91</v>
      </c>
      <c r="K13" s="14">
        <f t="shared" si="3"/>
        <v>91</v>
      </c>
      <c r="L13" s="14">
        <f>EOMONTH(DATE(YEAR(L14),ROUNDUP(MONTH(L14)/3,0)*3,1),0)</f>
        <v>91</v>
      </c>
      <c r="M13" s="14">
        <f>EOMONTH(DATE(YEAR(M14),ROUNDUP(MONTH(M14)/3,0)*3,1),0)</f>
        <v>91</v>
      </c>
      <c r="N13" s="14">
        <f>EOMONTH(DATE(YEAR(N14),ROUNDUP(MONTH(N14)/3,0)*3,1),0)</f>
        <v>91</v>
      </c>
      <c r="O13" s="14">
        <f>EOMONTH(DATE(YEAR(O14),ROUNDUP(MONTH(O14)/3,0)*3,1),0)</f>
        <v>91</v>
      </c>
      <c r="Q13" s="24" t="str">
        <v>ORLY US EQUITY</v>
      </c>
      <c r="R13" s="24">
        <v>91</v>
      </c>
      <c r="S13" s="25" t="str">
        <v>canonical</v>
      </c>
      <c r="T13" s="26" t="str">
        <v>operating_margin_gaap</v>
      </c>
      <c r="U13" s="30" t="str">
        <v/>
      </c>
      <c r="V13" s="29" t="str">
        <v>0</v>
      </c>
      <c r="W13" s="29" t="str">
        <v/>
      </c>
      <c r="X13" s="29" t="str">
        <v/>
      </c>
      <c r="Y13" s="29" t="str">
        <v>0</v>
      </c>
    </row>
    <row r="14" spans="1:25" x14ac:dyDescent="0.45">
      <c r="D14" s="1" t="str" cm="1">
        <f t="array" aca="1" ref="D14" ca="1">+_xll.BDH($B$2,C15,$B$3,$B$4,"DIR=H")</f>
        <v>#N/A Requesting Data...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ORLY US EQUITY</v>
      </c>
      <c r="R14" s="24">
        <v>45747</v>
      </c>
      <c r="S14" s="25" t="str">
        <v>custom</v>
      </c>
      <c r="T14" s="26" t="str">
        <v>sss_growth</v>
      </c>
      <c r="U14" s="30" t="str">
        <v>0.036</v>
      </c>
      <c r="V14" s="29" t="str">
        <v>19.9999999999999</v>
      </c>
      <c r="W14" s="29" t="str">
        <v/>
      </c>
      <c r="X14" s="29" t="str">
        <v/>
      </c>
      <c r="Y14" s="29" t="str">
        <v>-80</v>
      </c>
    </row>
    <row r="15" spans="1:25" x14ac:dyDescent="0.45">
      <c r="A15" s="16" t="s">
        <v>9</v>
      </c>
      <c r="B15" s="16" t="s">
        <v>14</v>
      </c>
      <c r="C15" s="9" t="s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24" t="str">
        <v>ORLY US EQUITY</v>
      </c>
      <c r="R15" s="24">
        <v>45838</v>
      </c>
      <c r="S15" s="25" t="str">
        <v>custom</v>
      </c>
      <c r="T15" s="26" t="str">
        <v>sss_growth</v>
      </c>
      <c r="U15" s="30" t="str">
        <v>0.041</v>
      </c>
      <c r="V15" s="29" t="str">
        <v>180</v>
      </c>
      <c r="W15" s="29" t="str">
        <v/>
      </c>
      <c r="X15" s="29" t="str">
        <v/>
      </c>
      <c r="Y15" s="29" t="str">
        <v>50</v>
      </c>
    </row>
    <row r="16" spans="1:25" x14ac:dyDescent="0.45">
      <c r="C16" s="4" t="s">
        <v>4</v>
      </c>
      <c r="D16" s="5"/>
      <c r="E16" s="4"/>
      <c r="F16" s="4"/>
      <c r="G16" s="4"/>
      <c r="H16" s="7">
        <f t="shared" ref="H16:O16" si="4">(H15-D15)*100</f>
        <v>0</v>
      </c>
      <c r="I16" s="7">
        <f t="shared" si="4"/>
        <v>0</v>
      </c>
      <c r="J16" s="7">
        <f t="shared" si="4"/>
        <v>0</v>
      </c>
      <c r="K16" s="7">
        <f t="shared" si="4"/>
        <v>0</v>
      </c>
      <c r="L16" s="7">
        <f t="shared" si="4"/>
        <v>0</v>
      </c>
      <c r="M16" s="7">
        <f t="shared" si="4"/>
        <v>0</v>
      </c>
      <c r="N16" s="7">
        <f t="shared" si="4"/>
        <v>0</v>
      </c>
      <c r="O16" s="7">
        <f t="shared" si="4"/>
        <v>0</v>
      </c>
      <c r="Q16" s="24" t="str">
        <v>ORLY US EQUITY</v>
      </c>
      <c r="R16" s="24">
        <v>45930</v>
      </c>
      <c r="S16" s="25" t="str">
        <v>custom</v>
      </c>
      <c r="T16" s="26" t="str">
        <v>sss_growth</v>
      </c>
      <c r="U16" s="30" t="str">
        <v>0.056</v>
      </c>
      <c r="V16" s="29" t="str">
        <v>410</v>
      </c>
      <c r="W16" s="29" t="str">
        <v/>
      </c>
      <c r="X16" s="29" t="str">
        <v/>
      </c>
      <c r="Y16" s="29" t="str">
        <v>150</v>
      </c>
    </row>
    <row r="17" spans="1:25" x14ac:dyDescent="0.45">
      <c r="C17" s="4" t="s">
        <v>19</v>
      </c>
      <c r="D17" s="1"/>
      <c r="K17" s="7"/>
      <c r="L17" s="7"/>
      <c r="M17" s="7"/>
      <c r="N17" s="7"/>
      <c r="O17" s="7"/>
      <c r="Q17" s="24" t="str">
        <v>ORLY US EQUITY</v>
      </c>
      <c r="R17" s="24">
        <v>46022</v>
      </c>
      <c r="S17" s="25" t="str">
        <v>custom</v>
      </c>
      <c r="T17" s="26" t="str">
        <v>sss_growth</v>
      </c>
      <c r="U17" s="30" t="str">
        <v>0.056</v>
      </c>
      <c r="V17" s="29" t="str">
        <v>120</v>
      </c>
      <c r="W17" s="29" t="str">
        <v/>
      </c>
      <c r="X17" s="29" t="str">
        <v/>
      </c>
      <c r="Y17" s="29" t="str">
        <v>0</v>
      </c>
    </row>
    <row r="18" spans="1:25" x14ac:dyDescent="0.45">
      <c r="C18" s="4" t="s">
        <v>23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ORLY US EQUITY</v>
      </c>
      <c r="R18" s="24">
        <v>0</v>
      </c>
      <c r="S18" s="25">
        <v>0</v>
      </c>
      <c r="T18" s="26">
        <v>0</v>
      </c>
      <c r="U18" s="30" t="str">
        <v/>
      </c>
      <c r="V18" s="29" t="str">
        <v/>
      </c>
      <c r="W18" s="29" t="str">
        <v/>
      </c>
      <c r="X18" s="29" t="str">
        <v/>
      </c>
      <c r="Y18" s="29" t="str">
        <v/>
      </c>
    </row>
    <row r="19" spans="1:25" x14ac:dyDescent="0.45">
      <c r="C19" s="4" t="s">
        <v>5</v>
      </c>
      <c r="D19" s="1"/>
      <c r="K19" s="7"/>
      <c r="L19" s="7">
        <f>(L15-K15)*100</f>
        <v>0</v>
      </c>
      <c r="M19" s="7">
        <f t="shared" ref="M19:O19" si="5">(M15-L15)*100</f>
        <v>0</v>
      </c>
      <c r="N19" s="7">
        <f t="shared" si="5"/>
        <v>0</v>
      </c>
      <c r="O19" s="7">
        <f t="shared" si="5"/>
        <v>0</v>
      </c>
      <c r="Q19" s="24" t="str">
        <v>ORLY US EQUITY</v>
      </c>
      <c r="R19" s="24">
        <v>0</v>
      </c>
      <c r="S19" s="25">
        <v>0</v>
      </c>
      <c r="T19" s="26">
        <v>0</v>
      </c>
      <c r="U19" s="30" t="str">
        <v/>
      </c>
      <c r="V19" s="29" t="str">
        <v/>
      </c>
      <c r="W19" s="29" t="str">
        <v/>
      </c>
      <c r="X19" s="29" t="str">
        <v/>
      </c>
      <c r="Y19" s="29" t="str">
        <v/>
      </c>
    </row>
    <row r="20" spans="1:25" x14ac:dyDescent="0.45">
      <c r="Q20" s="24" t="str">
        <v>ORLY US EQUITY</v>
      </c>
      <c r="R20" s="24">
        <v>0</v>
      </c>
      <c r="S20" s="25">
        <v>0</v>
      </c>
      <c r="T20" s="26">
        <v>0</v>
      </c>
      <c r="U20" s="30" t="str">
        <v/>
      </c>
      <c r="V20" s="29" t="str">
        <v/>
      </c>
      <c r="W20" s="29" t="str">
        <v/>
      </c>
      <c r="X20" s="29" t="str">
        <v/>
      </c>
      <c r="Y20" s="29" t="str">
        <v/>
      </c>
    </row>
    <row r="21" spans="1:25" x14ac:dyDescent="0.45">
      <c r="C21" s="13" t="s">
        <v>12</v>
      </c>
      <c r="D21" s="14" t="e">
        <f ca="1">EOMONTH(DATE(YEAR(D22),ROUNDUP(MONTH(D22)/3,0)*3,1),0)</f>
        <v>#VALUE!</v>
      </c>
      <c r="E21" s="14">
        <f>EOMONTH(DATE(YEAR(E22),ROUNDUP(MONTH(E22)/3,0)*3,1),0)</f>
        <v>91</v>
      </c>
      <c r="F21" s="14">
        <f>EOMONTH(DATE(YEAR(F22),ROUNDUP(MONTH(F22)/3,0)*3,1),0)</f>
        <v>91</v>
      </c>
      <c r="G21" s="14">
        <f t="shared" ref="G21:K21" si="6">EOMONTH(DATE(YEAR(G22),ROUNDUP(MONTH(G22)/3,0)*3,1),0)</f>
        <v>91</v>
      </c>
      <c r="H21" s="14">
        <f t="shared" si="6"/>
        <v>91</v>
      </c>
      <c r="I21" s="14">
        <f t="shared" si="6"/>
        <v>91</v>
      </c>
      <c r="J21" s="14">
        <f t="shared" si="6"/>
        <v>91</v>
      </c>
      <c r="K21" s="14">
        <f t="shared" si="6"/>
        <v>91</v>
      </c>
      <c r="L21" s="14">
        <f>EOMONTH(DATE(YEAR(L22),ROUNDUP(MONTH(L22)/3,0)*3,1),0)</f>
        <v>91</v>
      </c>
      <c r="M21" s="14">
        <f>EOMONTH(DATE(YEAR(M22),ROUNDUP(MONTH(M22)/3,0)*3,1),0)</f>
        <v>91</v>
      </c>
      <c r="N21" s="14">
        <f>EOMONTH(DATE(YEAR(N22),ROUNDUP(MONTH(N22)/3,0)*3,1),0)</f>
        <v>91</v>
      </c>
      <c r="O21" s="14">
        <f>EOMONTH(DATE(YEAR(O22),ROUNDUP(MONTH(O22)/3,0)*3,1),0)</f>
        <v>91</v>
      </c>
      <c r="Q21" s="24" t="str">
        <v>ORLY US EQUITY</v>
      </c>
      <c r="R21" s="24">
        <v>0</v>
      </c>
      <c r="S21" s="25">
        <v>0</v>
      </c>
      <c r="T21" s="26">
        <v>0</v>
      </c>
      <c r="U21" s="30" t="str">
        <v/>
      </c>
      <c r="V21" s="29" t="str">
        <v/>
      </c>
      <c r="W21" s="29" t="str">
        <v/>
      </c>
      <c r="X21" s="29" t="str">
        <v/>
      </c>
      <c r="Y21" s="29" t="str">
        <v/>
      </c>
    </row>
    <row r="22" spans="1:25" x14ac:dyDescent="0.45">
      <c r="D22" s="1" t="str" cm="1">
        <f t="array" aca="1" ref="D22" ca="1">+_xll.BDH($B$2,C23,$B$3,$B$4,"DIR=H")</f>
        <v>#N/A Requesting Data...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ORLY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9</v>
      </c>
      <c r="B23" s="16" t="s">
        <v>15</v>
      </c>
      <c r="C23" s="9" t="s">
        <v>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ORLY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4</v>
      </c>
      <c r="D24" s="5"/>
      <c r="E24" s="4"/>
      <c r="F24" s="4"/>
      <c r="G24" s="4"/>
      <c r="H24" s="7">
        <f t="shared" ref="H24:O24" si="7">(H23-D23)*100</f>
        <v>0</v>
      </c>
      <c r="I24" s="7">
        <f t="shared" si="7"/>
        <v>0</v>
      </c>
      <c r="J24" s="7">
        <f t="shared" si="7"/>
        <v>0</v>
      </c>
      <c r="K24" s="7">
        <f t="shared" si="7"/>
        <v>0</v>
      </c>
      <c r="L24" s="7">
        <f t="shared" si="7"/>
        <v>0</v>
      </c>
      <c r="M24" s="7">
        <f t="shared" si="7"/>
        <v>0</v>
      </c>
      <c r="N24" s="7">
        <f t="shared" si="7"/>
        <v>0</v>
      </c>
      <c r="O24" s="7">
        <f t="shared" si="7"/>
        <v>0</v>
      </c>
      <c r="Q24" s="24" t="str">
        <v>ORLY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19</v>
      </c>
      <c r="D25" s="1"/>
      <c r="K25" s="7"/>
      <c r="L25" s="7"/>
      <c r="M25" s="7"/>
      <c r="N25" s="7"/>
      <c r="O25" s="7"/>
      <c r="Q25" s="24" t="str">
        <v>ORLY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23</v>
      </c>
      <c r="D26" s="1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ORLY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5</v>
      </c>
      <c r="D27" s="1"/>
      <c r="K27" s="7"/>
      <c r="L27" s="7">
        <f>(L23-K23)*100</f>
        <v>0</v>
      </c>
      <c r="M27" s="7">
        <f t="shared" ref="M27:O27" si="8">(M23-L23)*100</f>
        <v>0</v>
      </c>
      <c r="N27" s="7">
        <f t="shared" si="8"/>
        <v>0</v>
      </c>
      <c r="O27" s="7">
        <f t="shared" si="8"/>
        <v>0</v>
      </c>
      <c r="Q27" s="24" t="str">
        <v>ORLY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ORLY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 t="s">
        <v>12</v>
      </c>
      <c r="D29" s="14">
        <f t="shared" ref="D29:L29" si="9">EOMONTH(DATE(YEAR(D30),ROUNDUP(MONTH(D30)/3,0)*3,1),0)</f>
        <v>45016</v>
      </c>
      <c r="E29" s="14">
        <f t="shared" si="9"/>
        <v>45107</v>
      </c>
      <c r="F29" s="14">
        <f t="shared" si="9"/>
        <v>45199</v>
      </c>
      <c r="G29" s="14">
        <f t="shared" si="9"/>
        <v>45291</v>
      </c>
      <c r="H29" s="14">
        <f t="shared" si="9"/>
        <v>45382</v>
      </c>
      <c r="I29" s="14">
        <f t="shared" si="9"/>
        <v>45473</v>
      </c>
      <c r="J29" s="14">
        <f t="shared" si="9"/>
        <v>45565</v>
      </c>
      <c r="K29" s="14">
        <f t="shared" si="9"/>
        <v>45657</v>
      </c>
      <c r="L29" s="14">
        <f t="shared" si="9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ORLY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>
        <v>45016</v>
      </c>
      <c r="E30" s="2">
        <v>45107</v>
      </c>
      <c r="F30" s="2">
        <v>45199</v>
      </c>
      <c r="G30" s="2">
        <v>45291</v>
      </c>
      <c r="H30" s="2">
        <v>45382</v>
      </c>
      <c r="I30" s="2">
        <v>45473</v>
      </c>
      <c r="J30" s="2">
        <v>45565</v>
      </c>
      <c r="K30" s="2">
        <v>45657</v>
      </c>
      <c r="L30" s="2">
        <v>45747</v>
      </c>
      <c r="M30" s="2">
        <v>45838</v>
      </c>
      <c r="N30" s="2">
        <v>45930</v>
      </c>
      <c r="O30" s="2">
        <v>46022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ORLY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21</v>
      </c>
      <c r="B31" s="16" t="s">
        <v>31</v>
      </c>
      <c r="C31" s="2" t="s">
        <v>30</v>
      </c>
      <c r="D31" s="10"/>
      <c r="E31" s="10"/>
      <c r="F31" s="10"/>
      <c r="G31" s="8">
        <v>3.4000000000000002E-2</v>
      </c>
      <c r="H31" s="8">
        <v>3.4000000000000002E-2</v>
      </c>
      <c r="I31" s="8">
        <v>2.3E-2</v>
      </c>
      <c r="J31" s="8">
        <v>1.4999999999999999E-2</v>
      </c>
      <c r="K31" s="8">
        <v>4.3999999999999997E-2</v>
      </c>
      <c r="L31" s="8">
        <v>3.5999999999999997E-2</v>
      </c>
      <c r="M31" s="8">
        <v>4.1000000000000002E-2</v>
      </c>
      <c r="N31" s="8">
        <v>5.6000000000000001E-2</v>
      </c>
      <c r="O31" s="8">
        <v>5.6000000000000001E-2</v>
      </c>
      <c r="Q31" s="24" t="str">
        <v>ORLY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4</v>
      </c>
      <c r="D32" s="5"/>
      <c r="E32" s="4"/>
      <c r="F32" s="4"/>
      <c r="G32" s="4"/>
      <c r="H32" s="7"/>
      <c r="I32" s="7"/>
      <c r="J32" s="7"/>
      <c r="K32" s="7">
        <f t="shared" ref="K32:O32" si="10">(K31-G31)*10000</f>
        <v>99.999999999999943</v>
      </c>
      <c r="L32" s="7">
        <f t="shared" si="10"/>
        <v>19.999999999999947</v>
      </c>
      <c r="M32" s="7">
        <f t="shared" si="10"/>
        <v>180.00000000000003</v>
      </c>
      <c r="N32" s="7">
        <f t="shared" si="10"/>
        <v>410</v>
      </c>
      <c r="O32" s="7">
        <f t="shared" si="10"/>
        <v>120.00000000000004</v>
      </c>
      <c r="Q32" s="24" t="str">
        <v>ORLY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19</v>
      </c>
      <c r="D33" s="1"/>
      <c r="K33" s="7"/>
      <c r="L33" s="7"/>
      <c r="M33" s="7"/>
      <c r="N33" s="7"/>
      <c r="O33" s="7"/>
      <c r="Q33" s="24" t="str">
        <v>ORLY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23</v>
      </c>
      <c r="D34" s="1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25" x14ac:dyDescent="0.45">
      <c r="C35" s="4" t="s">
        <v>5</v>
      </c>
      <c r="D35" s="1"/>
      <c r="G35" s="7">
        <f t="shared" ref="G35:K35" si="11">(G31-F31)*10000</f>
        <v>340</v>
      </c>
      <c r="H35" s="7">
        <f t="shared" si="11"/>
        <v>0</v>
      </c>
      <c r="I35" s="7">
        <f t="shared" si="11"/>
        <v>-110.00000000000003</v>
      </c>
      <c r="J35" s="7">
        <f t="shared" si="11"/>
        <v>-80</v>
      </c>
      <c r="K35" s="7">
        <f t="shared" si="11"/>
        <v>290</v>
      </c>
      <c r="L35" s="7">
        <f>(L31-K31)*10000</f>
        <v>-80</v>
      </c>
      <c r="M35" s="7">
        <f t="shared" ref="M35:O35" si="12">(M31-L31)*10000</f>
        <v>50.000000000000043</v>
      </c>
      <c r="N35" s="7">
        <f t="shared" si="12"/>
        <v>150</v>
      </c>
      <c r="O35" s="7">
        <f t="shared" si="12"/>
        <v>0</v>
      </c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spans="1:25" x14ac:dyDescent="0.45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25" x14ac:dyDescent="0.45">
      <c r="A39" s="16"/>
      <c r="B39" s="16"/>
      <c r="C39" s="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25" x14ac:dyDescent="0.45">
      <c r="C40" s="4"/>
      <c r="D40" s="5"/>
      <c r="E40" s="4"/>
      <c r="F40" s="4"/>
      <c r="G40" s="12"/>
      <c r="H40" s="12"/>
      <c r="I40" s="12"/>
      <c r="J40" s="12"/>
      <c r="K40" s="12"/>
      <c r="L40" s="12"/>
      <c r="M40" s="12"/>
      <c r="N40" s="12"/>
      <c r="O40" s="12"/>
    </row>
    <row r="41" spans="1:25" x14ac:dyDescent="0.45">
      <c r="C41" s="4"/>
      <c r="D41" s="1"/>
      <c r="L41" s="7"/>
      <c r="M41" s="7"/>
      <c r="N41" s="7"/>
      <c r="O41" s="7"/>
    </row>
    <row r="42" spans="1:25" x14ac:dyDescent="0.45">
      <c r="C42" s="4"/>
      <c r="D42" s="1"/>
      <c r="E42" s="6"/>
      <c r="F42" s="6"/>
      <c r="G42" s="6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/>
      <c r="D43" s="1"/>
      <c r="L43" s="12"/>
      <c r="M43" s="12"/>
      <c r="N43" s="12"/>
      <c r="O43" s="12"/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3F62-2E38-4AB1-8975-1D019FF47852}">
  <dimension ref="A1:Y67"/>
  <sheetViews>
    <sheetView zoomScale="85" zoomScaleNormal="85" workbookViewId="0">
      <selection activeCell="M19" sqref="M19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22</v>
      </c>
      <c r="B1" s="22" t="s">
        <v>22</v>
      </c>
      <c r="C1" s="22" t="s">
        <v>22</v>
      </c>
      <c r="D1" s="22" t="s">
        <v>22</v>
      </c>
      <c r="E1" s="22" t="s">
        <v>22</v>
      </c>
      <c r="F1" s="22" t="s">
        <v>22</v>
      </c>
      <c r="G1" s="22" t="s">
        <v>22</v>
      </c>
      <c r="H1" s="22" t="s">
        <v>22</v>
      </c>
      <c r="I1" s="22" t="s">
        <v>22</v>
      </c>
      <c r="J1" s="22" t="s">
        <v>22</v>
      </c>
      <c r="K1" s="22" t="s">
        <v>22</v>
      </c>
      <c r="L1" s="22" t="s">
        <v>22</v>
      </c>
      <c r="M1" s="22" t="s">
        <v>22</v>
      </c>
      <c r="N1" s="22" t="s">
        <v>22</v>
      </c>
      <c r="O1" s="22" t="s">
        <v>22</v>
      </c>
      <c r="Q1" s="23" t="s">
        <v>13</v>
      </c>
      <c r="R1" s="23" t="s">
        <v>11</v>
      </c>
      <c r="S1" s="23" t="s">
        <v>18</v>
      </c>
      <c r="T1" s="23" t="s">
        <v>17</v>
      </c>
      <c r="U1" s="23" t="s">
        <v>10</v>
      </c>
      <c r="V1" s="23" t="s">
        <v>16</v>
      </c>
      <c r="W1" s="23" t="s">
        <v>20</v>
      </c>
      <c r="X1" s="23" t="s">
        <v>24</v>
      </c>
      <c r="Y1" s="23" t="s">
        <v>25</v>
      </c>
    </row>
    <row r="2" spans="1:25" x14ac:dyDescent="0.45">
      <c r="A2" s="17" t="s">
        <v>1</v>
      </c>
      <c r="B2" s="31" t="s">
        <v>29</v>
      </c>
      <c r="Q2" s="24" t="str" cm="1">
        <f t="array" ref="Q2:Y5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VVV US EQUITY</v>
      </c>
      <c r="R2" s="24">
        <v>91</v>
      </c>
      <c r="S2" s="25" t="str">
        <v>canonical</v>
      </c>
      <c r="T2" s="26" t="str">
        <v>revenue</v>
      </c>
      <c r="U2" s="27" t="str">
        <v/>
      </c>
      <c r="V2" s="28" t="e">
        <v>#DIV/0!</v>
      </c>
      <c r="W2" s="29" t="e">
        <v>#DIV/0!</v>
      </c>
      <c r="X2" s="28" t="e">
        <v>#DIV/0!</v>
      </c>
      <c r="Y2" s="29" t="e">
        <v>#DIV/0!</v>
      </c>
    </row>
    <row r="3" spans="1:25" x14ac:dyDescent="0.45">
      <c r="A3" s="18" t="s">
        <v>3</v>
      </c>
      <c r="B3" s="19">
        <f ca="1">+B4-365*3</f>
        <v>44992</v>
      </c>
      <c r="Q3" s="24" t="str">
        <v>VVV US EQUITY</v>
      </c>
      <c r="R3" s="24">
        <v>91</v>
      </c>
      <c r="S3" s="25" t="str">
        <v>canonical</v>
      </c>
      <c r="T3" s="26" t="str">
        <v>revenue</v>
      </c>
      <c r="U3" s="27" t="str">
        <v/>
      </c>
      <c r="V3" s="28" t="e">
        <v>#DIV/0!</v>
      </c>
      <c r="W3" s="29" t="e">
        <v>#DIV/0!</v>
      </c>
      <c r="X3" s="29" t="e">
        <v>#DIV/0!</v>
      </c>
      <c r="Y3" s="29" t="e">
        <v>#DIV/0!</v>
      </c>
    </row>
    <row r="4" spans="1:25" x14ac:dyDescent="0.45">
      <c r="A4" s="20" t="s">
        <v>2</v>
      </c>
      <c r="B4" s="21">
        <f ca="1">TODAY()</f>
        <v>46087</v>
      </c>
      <c r="Q4" s="24" t="str">
        <v>VVV US EQUITY</v>
      </c>
      <c r="R4" s="24">
        <v>91</v>
      </c>
      <c r="S4" s="25" t="str">
        <v>canonical</v>
      </c>
      <c r="T4" s="26" t="str">
        <v>revenue</v>
      </c>
      <c r="U4" s="27" t="str">
        <v/>
      </c>
      <c r="V4" s="28" t="e">
        <v>#DIV/0!</v>
      </c>
      <c r="W4" s="29" t="e">
        <v>#DIV/0!</v>
      </c>
      <c r="X4" s="29" t="e">
        <v>#DIV/0!</v>
      </c>
      <c r="Y4" s="29" t="e">
        <v>#DIV/0!</v>
      </c>
    </row>
    <row r="5" spans="1:25" x14ac:dyDescent="0.45">
      <c r="C5" s="13" t="s">
        <v>12</v>
      </c>
      <c r="D5" s="14" t="e">
        <f ca="1">EOMONTH(DATE(YEAR(D6),ROUNDUP(MONTH(D6)/3,0)*3,1),0)</f>
        <v>#VALUE!</v>
      </c>
      <c r="E5" s="14">
        <f>EOMONTH(DATE(YEAR(E6),ROUNDUP(MONTH(E6)/3,0)*3,1),0)</f>
        <v>91</v>
      </c>
      <c r="F5" s="14">
        <f>EOMONTH(DATE(YEAR(F6),ROUNDUP(MONTH(F6)/3,0)*3,1),0)</f>
        <v>91</v>
      </c>
      <c r="G5" s="14">
        <f t="shared" ref="G5:K5" si="0">EOMONTH(DATE(YEAR(G6),ROUNDUP(MONTH(G6)/3,0)*3,1),0)</f>
        <v>91</v>
      </c>
      <c r="H5" s="14">
        <f t="shared" si="0"/>
        <v>91</v>
      </c>
      <c r="I5" s="14">
        <f t="shared" si="0"/>
        <v>91</v>
      </c>
      <c r="J5" s="14">
        <f t="shared" si="0"/>
        <v>91</v>
      </c>
      <c r="K5" s="14">
        <f t="shared" si="0"/>
        <v>91</v>
      </c>
      <c r="L5" s="14">
        <f>EOMONTH(DATE(YEAR(L6),ROUNDUP(MONTH(L6)/3,0)*3,1),0)</f>
        <v>91</v>
      </c>
      <c r="M5" s="14">
        <f>EOMONTH(DATE(YEAR(M6),ROUNDUP(MONTH(M6)/3,0)*3,1),0)</f>
        <v>91</v>
      </c>
      <c r="N5" s="14">
        <f>EOMONTH(DATE(YEAR(N6),ROUNDUP(MONTH(N6)/3,0)*3,1),0)</f>
        <v>91</v>
      </c>
      <c r="O5" s="14">
        <f>EOMONTH(DATE(YEAR(O6),ROUNDUP(MONTH(O6)/3,0)*3,1),0)</f>
        <v>91</v>
      </c>
      <c r="Q5" s="24" t="str">
        <v>VVV US EQUITY</v>
      </c>
      <c r="R5" s="24">
        <v>91</v>
      </c>
      <c r="S5" s="25" t="str">
        <v>canonical</v>
      </c>
      <c r="T5" s="26" t="str">
        <v>revenue</v>
      </c>
      <c r="U5" s="27" t="str">
        <v/>
      </c>
      <c r="V5" s="28" t="e">
        <v>#DIV/0!</v>
      </c>
      <c r="W5" s="29" t="e">
        <v>#DIV/0!</v>
      </c>
      <c r="X5" s="29" t="e">
        <v>#DIV/0!</v>
      </c>
      <c r="Y5" s="29" t="e">
        <v>#DIV/0!</v>
      </c>
    </row>
    <row r="6" spans="1:25" x14ac:dyDescent="0.45">
      <c r="D6" s="15" t="str" cm="1">
        <f t="array" aca="1" ref="D6" ca="1">+_xll.BDH($B$2,C7,$B$3,$B$4,"DIR=H")</f>
        <v>#N/A Requesting Data...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24" t="str" cm="1">
        <f t="array" ref="Q6:Y9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VVV US EQUITY</v>
      </c>
      <c r="R6" s="24">
        <v>91</v>
      </c>
      <c r="S6" s="25" t="str">
        <v>canonical</v>
      </c>
      <c r="T6" s="26" t="str">
        <v>gross_margin_gaap</v>
      </c>
      <c r="U6" s="30" t="str">
        <v/>
      </c>
      <c r="V6" s="29" t="str">
        <v>0</v>
      </c>
      <c r="W6" s="29" t="str">
        <v/>
      </c>
      <c r="X6" s="29" t="str">
        <v/>
      </c>
      <c r="Y6" s="29" t="str">
        <v>0</v>
      </c>
    </row>
    <row r="7" spans="1:25" x14ac:dyDescent="0.45">
      <c r="A7" s="16" t="s">
        <v>9</v>
      </c>
      <c r="B7" s="16" t="s">
        <v>8</v>
      </c>
      <c r="C7" s="9" t="s">
        <v>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3"/>
      <c r="P7" s="1"/>
      <c r="Q7" s="24" t="str">
        <v>VVV US EQUITY</v>
      </c>
      <c r="R7" s="24">
        <v>91</v>
      </c>
      <c r="S7" s="25" t="str">
        <v>canonical</v>
      </c>
      <c r="T7" s="26" t="str">
        <v>gross_margin_gaap</v>
      </c>
      <c r="U7" s="30" t="str">
        <v/>
      </c>
      <c r="V7" s="29" t="str">
        <v>0</v>
      </c>
      <c r="W7" s="29" t="str">
        <v/>
      </c>
      <c r="X7" s="29" t="str">
        <v/>
      </c>
      <c r="Y7" s="29" t="str">
        <v>0</v>
      </c>
    </row>
    <row r="8" spans="1:25" x14ac:dyDescent="0.45">
      <c r="C8" s="4" t="s">
        <v>4</v>
      </c>
      <c r="D8" s="5"/>
      <c r="E8" s="4"/>
      <c r="F8" s="4"/>
      <c r="G8" s="12"/>
      <c r="H8" s="12" t="e">
        <f t="shared" ref="H8:O8" si="1">+H7/D7-1</f>
        <v>#DIV/0!</v>
      </c>
      <c r="I8" s="12" t="e">
        <f t="shared" si="1"/>
        <v>#DIV/0!</v>
      </c>
      <c r="J8" s="12" t="e">
        <f t="shared" si="1"/>
        <v>#DIV/0!</v>
      </c>
      <c r="K8" s="12" t="e">
        <f t="shared" si="1"/>
        <v>#DIV/0!</v>
      </c>
      <c r="L8" s="12" t="e">
        <f t="shared" si="1"/>
        <v>#DIV/0!</v>
      </c>
      <c r="M8" s="12" t="e">
        <f t="shared" si="1"/>
        <v>#DIV/0!</v>
      </c>
      <c r="N8" s="12" t="e">
        <f t="shared" si="1"/>
        <v>#DIV/0!</v>
      </c>
      <c r="O8" s="12" t="e">
        <f t="shared" si="1"/>
        <v>#DIV/0!</v>
      </c>
      <c r="P8" s="3"/>
      <c r="Q8" s="24" t="str">
        <v>VVV US EQUITY</v>
      </c>
      <c r="R8" s="24">
        <v>91</v>
      </c>
      <c r="S8" s="25" t="str">
        <v>canonical</v>
      </c>
      <c r="T8" s="26" t="str">
        <v>gross_margin_gaap</v>
      </c>
      <c r="U8" s="30" t="str">
        <v/>
      </c>
      <c r="V8" s="29" t="str">
        <v>0</v>
      </c>
      <c r="W8" s="29" t="str">
        <v/>
      </c>
      <c r="X8" s="29" t="str">
        <v/>
      </c>
      <c r="Y8" s="29" t="str">
        <v>0</v>
      </c>
    </row>
    <row r="9" spans="1:25" x14ac:dyDescent="0.45">
      <c r="C9" s="4" t="s">
        <v>19</v>
      </c>
      <c r="D9" s="1"/>
      <c r="L9" s="7" t="e">
        <f>(L8-K8)*10000</f>
        <v>#DIV/0!</v>
      </c>
      <c r="M9" s="7" t="e">
        <f>(M8-L8)*10000</f>
        <v>#DIV/0!</v>
      </c>
      <c r="N9" s="7" t="e">
        <f>(N8-M8)*10000</f>
        <v>#DIV/0!</v>
      </c>
      <c r="O9" s="7" t="e">
        <f>(O8-N8)*10000</f>
        <v>#DIV/0!</v>
      </c>
      <c r="Q9" s="22" t="str">
        <v>VVV US EQUITY</v>
      </c>
      <c r="R9" s="24">
        <v>91</v>
      </c>
      <c r="S9" s="25" t="str">
        <v>canonical</v>
      </c>
      <c r="T9" s="26" t="str">
        <v>gross_margin_gaap</v>
      </c>
      <c r="U9" s="30" t="str">
        <v/>
      </c>
      <c r="V9" s="29" t="str">
        <v>0</v>
      </c>
      <c r="W9" s="29" t="str">
        <v/>
      </c>
      <c r="X9" s="29" t="str">
        <v/>
      </c>
      <c r="Y9" s="29" t="str">
        <v>0</v>
      </c>
    </row>
    <row r="10" spans="1:25" x14ac:dyDescent="0.45">
      <c r="C10" s="4" t="s">
        <v>23</v>
      </c>
      <c r="D10" s="1"/>
      <c r="E10" s="6"/>
      <c r="F10" s="6"/>
      <c r="G10" s="6"/>
      <c r="H10" s="6"/>
      <c r="I10" s="6"/>
      <c r="J10" s="6"/>
      <c r="K10" s="6"/>
      <c r="L10" s="7" t="e">
        <f>(L8-H8)*10000</f>
        <v>#DIV/0!</v>
      </c>
      <c r="M10" s="7" t="e">
        <f>(M8-I8)*10000</f>
        <v>#DIV/0!</v>
      </c>
      <c r="N10" s="7" t="e">
        <f>(N8-J8)*10000</f>
        <v>#DIV/0!</v>
      </c>
      <c r="O10" s="7" t="e">
        <f>(O8-K8)*10000</f>
        <v>#DIV/0!</v>
      </c>
      <c r="Q10" s="24" t="str" cm="1">
        <f t="array" ref="Q10:Y13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VVV US EQUITY</v>
      </c>
      <c r="R10" s="24">
        <v>91</v>
      </c>
      <c r="S10" s="25" t="str">
        <v>canonical</v>
      </c>
      <c r="T10" s="26" t="str">
        <v>operating_margin_gaap</v>
      </c>
      <c r="U10" s="30" t="str">
        <v/>
      </c>
      <c r="V10" s="29" t="str">
        <v>0</v>
      </c>
      <c r="W10" s="29" t="str">
        <v/>
      </c>
      <c r="X10" s="29" t="str">
        <v/>
      </c>
      <c r="Y10" s="29" t="str">
        <v>0</v>
      </c>
    </row>
    <row r="11" spans="1:25" x14ac:dyDescent="0.45">
      <c r="C11" s="4" t="s">
        <v>5</v>
      </c>
      <c r="D11" s="1"/>
      <c r="L11" s="12" t="e">
        <f t="shared" ref="L11:O11" si="2">L7/K7-1</f>
        <v>#DIV/0!</v>
      </c>
      <c r="M11" s="12" t="e">
        <f t="shared" si="2"/>
        <v>#DIV/0!</v>
      </c>
      <c r="N11" s="12" t="e">
        <f t="shared" si="2"/>
        <v>#DIV/0!</v>
      </c>
      <c r="O11" s="12" t="e">
        <f t="shared" si="2"/>
        <v>#DIV/0!</v>
      </c>
      <c r="Q11" s="24" t="str">
        <v>VVV US EQUITY</v>
      </c>
      <c r="R11" s="24">
        <v>91</v>
      </c>
      <c r="S11" s="25" t="str">
        <v>canonical</v>
      </c>
      <c r="T11" s="26" t="str">
        <v>operating_margin_gaap</v>
      </c>
      <c r="U11" s="30" t="str">
        <v/>
      </c>
      <c r="V11" s="29" t="str">
        <v>0</v>
      </c>
      <c r="W11" s="29" t="str">
        <v/>
      </c>
      <c r="X11" s="29" t="str">
        <v/>
      </c>
      <c r="Y11" s="29" t="str">
        <v>0</v>
      </c>
    </row>
    <row r="12" spans="1:25" x14ac:dyDescent="0.45">
      <c r="Q12" s="24" t="str">
        <v>VVV US EQUITY</v>
      </c>
      <c r="R12" s="24">
        <v>91</v>
      </c>
      <c r="S12" s="25" t="str">
        <v>canonical</v>
      </c>
      <c r="T12" s="26" t="str">
        <v>operating_margin_gaap</v>
      </c>
      <c r="U12" s="30" t="str">
        <v/>
      </c>
      <c r="V12" s="29" t="str">
        <v>0</v>
      </c>
      <c r="W12" s="29" t="str">
        <v/>
      </c>
      <c r="X12" s="29" t="str">
        <v/>
      </c>
      <c r="Y12" s="29" t="str">
        <v>0</v>
      </c>
    </row>
    <row r="13" spans="1:25" x14ac:dyDescent="0.45">
      <c r="C13" s="13" t="s">
        <v>12</v>
      </c>
      <c r="D13" s="14" t="e">
        <f ca="1">EOMONTH(DATE(YEAR(D14),ROUNDUP(MONTH(D14)/3,0)*3,1),0)</f>
        <v>#VALUE!</v>
      </c>
      <c r="E13" s="14">
        <f>EOMONTH(DATE(YEAR(E14),ROUNDUP(MONTH(E14)/3,0)*3,1),0)</f>
        <v>91</v>
      </c>
      <c r="F13" s="14">
        <f>EOMONTH(DATE(YEAR(F14),ROUNDUP(MONTH(F14)/3,0)*3,1),0)</f>
        <v>91</v>
      </c>
      <c r="G13" s="14">
        <f t="shared" ref="G13:K13" si="3">EOMONTH(DATE(YEAR(G14),ROUNDUP(MONTH(G14)/3,0)*3,1),0)</f>
        <v>91</v>
      </c>
      <c r="H13" s="14">
        <f t="shared" si="3"/>
        <v>91</v>
      </c>
      <c r="I13" s="14">
        <f t="shared" si="3"/>
        <v>91</v>
      </c>
      <c r="J13" s="14">
        <f t="shared" si="3"/>
        <v>91</v>
      </c>
      <c r="K13" s="14">
        <f t="shared" si="3"/>
        <v>91</v>
      </c>
      <c r="L13" s="14">
        <f>EOMONTH(DATE(YEAR(L14),ROUNDUP(MONTH(L14)/3,0)*3,1),0)</f>
        <v>91</v>
      </c>
      <c r="M13" s="14">
        <f>EOMONTH(DATE(YEAR(M14),ROUNDUP(MONTH(M14)/3,0)*3,1),0)</f>
        <v>91</v>
      </c>
      <c r="N13" s="14">
        <f>EOMONTH(DATE(YEAR(N14),ROUNDUP(MONTH(N14)/3,0)*3,1),0)</f>
        <v>91</v>
      </c>
      <c r="O13" s="14">
        <f>EOMONTH(DATE(YEAR(O14),ROUNDUP(MONTH(O14)/3,0)*3,1),0)</f>
        <v>91</v>
      </c>
      <c r="Q13" s="24" t="str">
        <v>VVV US EQUITY</v>
      </c>
      <c r="R13" s="24">
        <v>91</v>
      </c>
      <c r="S13" s="25" t="str">
        <v>canonical</v>
      </c>
      <c r="T13" s="26" t="str">
        <v>operating_margin_gaap</v>
      </c>
      <c r="U13" s="30" t="str">
        <v/>
      </c>
      <c r="V13" s="29" t="str">
        <v>0</v>
      </c>
      <c r="W13" s="29" t="str">
        <v/>
      </c>
      <c r="X13" s="29" t="str">
        <v/>
      </c>
      <c r="Y13" s="29" t="str">
        <v>0</v>
      </c>
    </row>
    <row r="14" spans="1:25" x14ac:dyDescent="0.45">
      <c r="D14" s="1" t="str" cm="1">
        <f t="array" aca="1" ref="D14" ca="1">+_xll.BDH($B$2,C15,$B$3,$B$4,"DIR=H")</f>
        <v>#N/A Requesting Data...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VVV US EQUITY</v>
      </c>
      <c r="R14" s="24">
        <v>45747</v>
      </c>
      <c r="S14" s="25" t="str">
        <v>custom</v>
      </c>
      <c r="T14" s="26" t="str">
        <v>sss_growth</v>
      </c>
      <c r="U14" s="30" t="str">
        <v>0.058</v>
      </c>
      <c r="V14" s="29" t="str">
        <v>-190</v>
      </c>
      <c r="W14" s="29" t="str">
        <v/>
      </c>
      <c r="X14" s="29" t="str">
        <v/>
      </c>
      <c r="Y14" s="29" t="str">
        <v>-220</v>
      </c>
    </row>
    <row r="15" spans="1:25" x14ac:dyDescent="0.45">
      <c r="A15" s="16" t="s">
        <v>9</v>
      </c>
      <c r="B15" s="16" t="s">
        <v>14</v>
      </c>
      <c r="C15" s="9" t="s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24" t="str">
        <v>VVV US EQUITY</v>
      </c>
      <c r="R15" s="24">
        <v>45838</v>
      </c>
      <c r="S15" s="25" t="str">
        <v>custom</v>
      </c>
      <c r="T15" s="26" t="str">
        <v>sss_growth</v>
      </c>
      <c r="U15" s="30" t="str">
        <v>0.049</v>
      </c>
      <c r="V15" s="29" t="str">
        <v>-160</v>
      </c>
      <c r="W15" s="29" t="str">
        <v/>
      </c>
      <c r="X15" s="29" t="str">
        <v/>
      </c>
      <c r="Y15" s="29" t="str">
        <v>-90</v>
      </c>
    </row>
    <row r="16" spans="1:25" x14ac:dyDescent="0.45">
      <c r="C16" s="4" t="s">
        <v>4</v>
      </c>
      <c r="D16" s="5"/>
      <c r="E16" s="4"/>
      <c r="F16" s="4"/>
      <c r="G16" s="4"/>
      <c r="H16" s="7">
        <f t="shared" ref="H16:O16" si="4">(H15-D15)*100</f>
        <v>0</v>
      </c>
      <c r="I16" s="7">
        <f t="shared" si="4"/>
        <v>0</v>
      </c>
      <c r="J16" s="7">
        <f t="shared" si="4"/>
        <v>0</v>
      </c>
      <c r="K16" s="7">
        <f t="shared" si="4"/>
        <v>0</v>
      </c>
      <c r="L16" s="7">
        <f t="shared" si="4"/>
        <v>0</v>
      </c>
      <c r="M16" s="7">
        <f t="shared" si="4"/>
        <v>0</v>
      </c>
      <c r="N16" s="7">
        <f t="shared" si="4"/>
        <v>0</v>
      </c>
      <c r="O16" s="7">
        <f t="shared" si="4"/>
        <v>0</v>
      </c>
      <c r="Q16" s="24" t="str">
        <v>VVV US EQUITY</v>
      </c>
      <c r="R16" s="24">
        <v>45930</v>
      </c>
      <c r="S16" s="25" t="str">
        <v>custom</v>
      </c>
      <c r="T16" s="26" t="str">
        <v>sss_growth</v>
      </c>
      <c r="U16" s="30" t="str">
        <v>0.06</v>
      </c>
      <c r="V16" s="29" t="str">
        <v>60</v>
      </c>
      <c r="W16" s="29" t="str">
        <v/>
      </c>
      <c r="X16" s="29" t="str">
        <v/>
      </c>
      <c r="Y16" s="29" t="str">
        <v>110</v>
      </c>
    </row>
    <row r="17" spans="1:25" x14ac:dyDescent="0.45">
      <c r="C17" s="4" t="s">
        <v>19</v>
      </c>
      <c r="D17" s="1"/>
      <c r="K17" s="7"/>
      <c r="L17" s="7"/>
      <c r="M17" s="7"/>
      <c r="N17" s="7"/>
      <c r="O17" s="7"/>
      <c r="Q17" s="24" t="str">
        <v>VVV US EQUITY</v>
      </c>
      <c r="R17" s="24">
        <v>46022</v>
      </c>
      <c r="S17" s="25" t="str">
        <v>custom</v>
      </c>
      <c r="T17" s="26" t="str">
        <v>sss_growth</v>
      </c>
      <c r="U17" s="30" t="str">
        <v>0.058</v>
      </c>
      <c r="V17" s="29" t="str">
        <v>-220</v>
      </c>
      <c r="W17" s="29" t="str">
        <v/>
      </c>
      <c r="X17" s="29" t="str">
        <v/>
      </c>
      <c r="Y17" s="29" t="str">
        <v>-19.9999999999999</v>
      </c>
    </row>
    <row r="18" spans="1:25" x14ac:dyDescent="0.45">
      <c r="C18" s="4" t="s">
        <v>23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VVV US EQUITY</v>
      </c>
      <c r="R18" s="24">
        <v>0</v>
      </c>
      <c r="S18" s="25">
        <v>0</v>
      </c>
      <c r="T18" s="26">
        <v>0</v>
      </c>
      <c r="U18" s="30" t="str">
        <v/>
      </c>
      <c r="V18" s="29" t="str">
        <v/>
      </c>
      <c r="W18" s="29" t="str">
        <v/>
      </c>
      <c r="X18" s="29" t="str">
        <v/>
      </c>
      <c r="Y18" s="29" t="str">
        <v/>
      </c>
    </row>
    <row r="19" spans="1:25" x14ac:dyDescent="0.45">
      <c r="C19" s="4" t="s">
        <v>5</v>
      </c>
      <c r="D19" s="1"/>
      <c r="K19" s="7"/>
      <c r="L19" s="7">
        <f>(L15-K15)*100</f>
        <v>0</v>
      </c>
      <c r="M19" s="7">
        <f t="shared" ref="M19:O19" si="5">(M15-L15)*100</f>
        <v>0</v>
      </c>
      <c r="N19" s="7">
        <f t="shared" si="5"/>
        <v>0</v>
      </c>
      <c r="O19" s="7">
        <f t="shared" si="5"/>
        <v>0</v>
      </c>
      <c r="Q19" s="24" t="str">
        <v>VVV US EQUITY</v>
      </c>
      <c r="R19" s="24">
        <v>0</v>
      </c>
      <c r="S19" s="25">
        <v>0</v>
      </c>
      <c r="T19" s="26">
        <v>0</v>
      </c>
      <c r="U19" s="30" t="str">
        <v/>
      </c>
      <c r="V19" s="29" t="str">
        <v/>
      </c>
      <c r="W19" s="29" t="str">
        <v/>
      </c>
      <c r="X19" s="29" t="str">
        <v/>
      </c>
      <c r="Y19" s="29" t="str">
        <v/>
      </c>
    </row>
    <row r="20" spans="1:25" x14ac:dyDescent="0.45">
      <c r="Q20" s="24" t="str">
        <v>VVV US EQUITY</v>
      </c>
      <c r="R20" s="24">
        <v>0</v>
      </c>
      <c r="S20" s="25">
        <v>0</v>
      </c>
      <c r="T20" s="26">
        <v>0</v>
      </c>
      <c r="U20" s="30" t="str">
        <v/>
      </c>
      <c r="V20" s="29" t="str">
        <v/>
      </c>
      <c r="W20" s="29" t="str">
        <v/>
      </c>
      <c r="X20" s="29" t="str">
        <v/>
      </c>
      <c r="Y20" s="29" t="str">
        <v/>
      </c>
    </row>
    <row r="21" spans="1:25" x14ac:dyDescent="0.45">
      <c r="C21" s="13" t="s">
        <v>12</v>
      </c>
      <c r="D21" s="14" t="e">
        <f ca="1">EOMONTH(DATE(YEAR(D22),ROUNDUP(MONTH(D22)/3,0)*3,1),0)</f>
        <v>#VALUE!</v>
      </c>
      <c r="E21" s="14">
        <f>EOMONTH(DATE(YEAR(E22),ROUNDUP(MONTH(E22)/3,0)*3,1),0)</f>
        <v>91</v>
      </c>
      <c r="F21" s="14">
        <f>EOMONTH(DATE(YEAR(F22),ROUNDUP(MONTH(F22)/3,0)*3,1),0)</f>
        <v>91</v>
      </c>
      <c r="G21" s="14">
        <f t="shared" ref="G21:K21" si="6">EOMONTH(DATE(YEAR(G22),ROUNDUP(MONTH(G22)/3,0)*3,1),0)</f>
        <v>91</v>
      </c>
      <c r="H21" s="14">
        <f t="shared" si="6"/>
        <v>91</v>
      </c>
      <c r="I21" s="14">
        <f t="shared" si="6"/>
        <v>91</v>
      </c>
      <c r="J21" s="14">
        <f t="shared" si="6"/>
        <v>91</v>
      </c>
      <c r="K21" s="14">
        <f t="shared" si="6"/>
        <v>91</v>
      </c>
      <c r="L21" s="14">
        <f>EOMONTH(DATE(YEAR(L22),ROUNDUP(MONTH(L22)/3,0)*3,1),0)</f>
        <v>91</v>
      </c>
      <c r="M21" s="14">
        <f>EOMONTH(DATE(YEAR(M22),ROUNDUP(MONTH(M22)/3,0)*3,1),0)</f>
        <v>91</v>
      </c>
      <c r="N21" s="14">
        <f>EOMONTH(DATE(YEAR(N22),ROUNDUP(MONTH(N22)/3,0)*3,1),0)</f>
        <v>91</v>
      </c>
      <c r="O21" s="14">
        <f>EOMONTH(DATE(YEAR(O22),ROUNDUP(MONTH(O22)/3,0)*3,1),0)</f>
        <v>91</v>
      </c>
      <c r="Q21" s="24" t="str">
        <v>VVV US EQUITY</v>
      </c>
      <c r="R21" s="24">
        <v>0</v>
      </c>
      <c r="S21" s="25">
        <v>0</v>
      </c>
      <c r="T21" s="26">
        <v>0</v>
      </c>
      <c r="U21" s="30" t="str">
        <v/>
      </c>
      <c r="V21" s="29" t="str">
        <v/>
      </c>
      <c r="W21" s="29" t="str">
        <v/>
      </c>
      <c r="X21" s="29" t="str">
        <v/>
      </c>
      <c r="Y21" s="29" t="str">
        <v/>
      </c>
    </row>
    <row r="22" spans="1:25" x14ac:dyDescent="0.45">
      <c r="D22" s="1" t="str" cm="1">
        <f t="array" aca="1" ref="D22" ca="1">+_xll.BDH($B$2,C23,$B$3,$B$4,"DIR=H")</f>
        <v>#N/A Requesting Data...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VVV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9</v>
      </c>
      <c r="B23" s="16" t="s">
        <v>15</v>
      </c>
      <c r="C23" s="9" t="s">
        <v>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VVV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4</v>
      </c>
      <c r="D24" s="5"/>
      <c r="E24" s="4"/>
      <c r="F24" s="4"/>
      <c r="G24" s="4"/>
      <c r="H24" s="7">
        <f t="shared" ref="H24:O24" si="7">(H23-D23)*100</f>
        <v>0</v>
      </c>
      <c r="I24" s="7">
        <f t="shared" si="7"/>
        <v>0</v>
      </c>
      <c r="J24" s="7">
        <f t="shared" si="7"/>
        <v>0</v>
      </c>
      <c r="K24" s="7">
        <f t="shared" si="7"/>
        <v>0</v>
      </c>
      <c r="L24" s="7">
        <f t="shared" si="7"/>
        <v>0</v>
      </c>
      <c r="M24" s="7">
        <f t="shared" si="7"/>
        <v>0</v>
      </c>
      <c r="N24" s="7">
        <f t="shared" si="7"/>
        <v>0</v>
      </c>
      <c r="O24" s="7">
        <f t="shared" si="7"/>
        <v>0</v>
      </c>
      <c r="Q24" s="24" t="str">
        <v>VVV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19</v>
      </c>
      <c r="D25" s="1"/>
      <c r="K25" s="7"/>
      <c r="L25" s="7"/>
      <c r="M25" s="7"/>
      <c r="N25" s="7"/>
      <c r="O25" s="7"/>
      <c r="Q25" s="24" t="str">
        <v>VVV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23</v>
      </c>
      <c r="D26" s="1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VVV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5</v>
      </c>
      <c r="D27" s="1"/>
      <c r="K27" s="7"/>
      <c r="L27" s="7">
        <f>(L23-K23)*100</f>
        <v>0</v>
      </c>
      <c r="M27" s="7">
        <f t="shared" ref="M27:O27" si="8">(M23-L23)*100</f>
        <v>0</v>
      </c>
      <c r="N27" s="7">
        <f t="shared" si="8"/>
        <v>0</v>
      </c>
      <c r="O27" s="7">
        <f t="shared" si="8"/>
        <v>0</v>
      </c>
      <c r="Q27" s="24" t="str">
        <v>VVV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VVV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 t="s">
        <v>12</v>
      </c>
      <c r="D29" s="14">
        <f t="shared" ref="D29:L29" si="9">EOMONTH(DATE(YEAR(D30),ROUNDUP(MONTH(D30)/3,0)*3,1),0)</f>
        <v>45016</v>
      </c>
      <c r="E29" s="14">
        <f t="shared" si="9"/>
        <v>45107</v>
      </c>
      <c r="F29" s="14">
        <f t="shared" si="9"/>
        <v>45199</v>
      </c>
      <c r="G29" s="14">
        <f t="shared" si="9"/>
        <v>45291</v>
      </c>
      <c r="H29" s="14">
        <f t="shared" si="9"/>
        <v>45382</v>
      </c>
      <c r="I29" s="14">
        <f t="shared" si="9"/>
        <v>45473</v>
      </c>
      <c r="J29" s="14">
        <f t="shared" si="9"/>
        <v>45565</v>
      </c>
      <c r="K29" s="14">
        <f t="shared" si="9"/>
        <v>45657</v>
      </c>
      <c r="L29" s="14">
        <f t="shared" si="9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VVV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>
        <v>45016</v>
      </c>
      <c r="E30" s="2">
        <v>45107</v>
      </c>
      <c r="F30" s="2">
        <v>45199</v>
      </c>
      <c r="G30" s="2">
        <v>45291</v>
      </c>
      <c r="H30" s="2">
        <v>45382</v>
      </c>
      <c r="I30" s="2">
        <v>45473</v>
      </c>
      <c r="J30" s="2">
        <v>45565</v>
      </c>
      <c r="K30" s="2">
        <v>45657</v>
      </c>
      <c r="L30" s="2">
        <v>45747</v>
      </c>
      <c r="M30" s="2">
        <v>45838</v>
      </c>
      <c r="N30" s="2">
        <v>45930</v>
      </c>
      <c r="O30" s="2">
        <v>46022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VVV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21</v>
      </c>
      <c r="B31" s="16" t="s">
        <v>31</v>
      </c>
      <c r="C31" s="2" t="s">
        <v>30</v>
      </c>
      <c r="D31" s="10"/>
      <c r="E31" s="10"/>
      <c r="F31" s="10"/>
      <c r="G31" s="8">
        <v>7.0999999999999994E-2</v>
      </c>
      <c r="H31" s="8">
        <v>7.6999999999999999E-2</v>
      </c>
      <c r="I31" s="8">
        <v>6.5000000000000002E-2</v>
      </c>
      <c r="J31" s="8">
        <v>5.3999999999999999E-2</v>
      </c>
      <c r="K31" s="8">
        <v>0.08</v>
      </c>
      <c r="L31" s="8">
        <v>5.8000000000000003E-2</v>
      </c>
      <c r="M31" s="8">
        <v>4.9000000000000002E-2</v>
      </c>
      <c r="N31" s="8">
        <v>0.06</v>
      </c>
      <c r="O31" s="8">
        <v>5.8000000000000003E-2</v>
      </c>
      <c r="Q31" s="24" t="str">
        <v>VVV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4</v>
      </c>
      <c r="D32" s="5"/>
      <c r="E32" s="4"/>
      <c r="F32" s="4"/>
      <c r="G32" s="4"/>
      <c r="H32" s="7"/>
      <c r="I32" s="7"/>
      <c r="J32" s="7"/>
      <c r="K32" s="7">
        <f t="shared" ref="K32:O32" si="10">(K31-G31)*10000</f>
        <v>90.000000000000085</v>
      </c>
      <c r="L32" s="7">
        <f t="shared" si="10"/>
        <v>-189.99999999999997</v>
      </c>
      <c r="M32" s="7">
        <f t="shared" si="10"/>
        <v>-160</v>
      </c>
      <c r="N32" s="7">
        <f t="shared" si="10"/>
        <v>59.999999999999986</v>
      </c>
      <c r="O32" s="7">
        <f t="shared" si="10"/>
        <v>-220</v>
      </c>
      <c r="Q32" s="24" t="str">
        <v>VVV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19</v>
      </c>
      <c r="D33" s="1"/>
      <c r="K33" s="7"/>
      <c r="L33" s="7"/>
      <c r="M33" s="7"/>
      <c r="N33" s="7"/>
      <c r="O33" s="7"/>
      <c r="Q33" s="24" t="str">
        <v>VVV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23</v>
      </c>
      <c r="D34" s="1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25" x14ac:dyDescent="0.45">
      <c r="C35" s="4" t="s">
        <v>5</v>
      </c>
      <c r="D35" s="1"/>
      <c r="G35" s="7">
        <f t="shared" ref="G35:K35" si="11">(G31-F31)*10000</f>
        <v>709.99999999999989</v>
      </c>
      <c r="H35" s="7">
        <f t="shared" si="11"/>
        <v>60.000000000000057</v>
      </c>
      <c r="I35" s="7">
        <f t="shared" si="11"/>
        <v>-119.99999999999997</v>
      </c>
      <c r="J35" s="7">
        <f t="shared" si="11"/>
        <v>-110.00000000000003</v>
      </c>
      <c r="K35" s="7">
        <f t="shared" si="11"/>
        <v>260</v>
      </c>
      <c r="L35" s="7">
        <f>(L31-K31)*10000</f>
        <v>-220</v>
      </c>
      <c r="M35" s="7">
        <f t="shared" ref="M35:O35" si="12">(M31-L31)*10000</f>
        <v>-90.000000000000014</v>
      </c>
      <c r="N35" s="7">
        <f t="shared" si="12"/>
        <v>109.99999999999996</v>
      </c>
      <c r="O35" s="7">
        <f t="shared" si="12"/>
        <v>-19.999999999999947</v>
      </c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spans="1:25" x14ac:dyDescent="0.45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25" x14ac:dyDescent="0.45">
      <c r="A39" s="16"/>
      <c r="B39" s="16"/>
      <c r="C39" s="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25" x14ac:dyDescent="0.45">
      <c r="C40" s="4"/>
      <c r="D40" s="5"/>
      <c r="E40" s="4"/>
      <c r="F40" s="4"/>
      <c r="G40" s="12"/>
      <c r="H40" s="12"/>
      <c r="I40" s="12"/>
      <c r="J40" s="12"/>
      <c r="K40" s="12"/>
      <c r="L40" s="12"/>
      <c r="M40" s="12"/>
      <c r="N40" s="12"/>
      <c r="O40" s="12"/>
    </row>
    <row r="41" spans="1:25" x14ac:dyDescent="0.45">
      <c r="C41" s="4"/>
      <c r="D41" s="1"/>
      <c r="L41" s="7"/>
      <c r="M41" s="7"/>
      <c r="N41" s="7"/>
      <c r="O41" s="7"/>
    </row>
    <row r="42" spans="1:25" x14ac:dyDescent="0.45">
      <c r="C42" s="4"/>
      <c r="D42" s="1"/>
      <c r="E42" s="6"/>
      <c r="F42" s="6"/>
      <c r="G42" s="6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/>
      <c r="D43" s="1"/>
      <c r="L43" s="12"/>
      <c r="M43" s="12"/>
      <c r="N43" s="12"/>
      <c r="O43" s="12"/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ADPT</vt:lpstr>
      <vt:lpstr>GH</vt:lpstr>
      <vt:lpstr>CASY</vt:lpstr>
      <vt:lpstr>MUSA</vt:lpstr>
      <vt:lpstr>ORLY</vt:lpstr>
      <vt:lpstr>VVV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Yuuji Anderson</dc:creator>
  <cp:lastModifiedBy>Yuuji Anderson</cp:lastModifiedBy>
  <dcterms:created xsi:type="dcterms:W3CDTF">2026-02-26T16:05:26Z</dcterms:created>
  <dcterms:modified xsi:type="dcterms:W3CDTF">2026-03-06T13:05:28Z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