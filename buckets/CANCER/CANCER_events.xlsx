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xl/volatileDependencies.xml" ContentType="application/vnd.openxmlformats-officedocument.spreadsheetml.volatileDependenc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YuujiAnderson\Dropbox\Kaissa Consumer\Mosaic\buckets\CANCER\"/>
    </mc:Choice>
  </mc:AlternateContent>
  <xr:revisionPtr revIDLastSave="0" documentId="8_{16B962C8-ED38-41B4-8441-F11D622EA021}" xr6:coauthVersionLast="47" xr6:coauthVersionMax="47" xr10:uidLastSave="{00000000-0000-0000-0000-000000000000}"/>
  <bookViews>
    <workbookView xWindow="-120" yWindow="-120" windowWidth="29040" windowHeight="15720" xr2:uid="{0CC833F9-FFC8-415E-BA02-4DBBB683F22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6" i="1" l="1" a="1"/>
  <c r="G6" i="1"/>
  <c r="E6" i="1" a="1"/>
  <c r="E6" i="1"/>
  <c r="H6" i="1" a="1"/>
  <c r="H6" i="1"/>
  <c r="J6" i="1" a="1"/>
  <c r="J6" i="1"/>
  <c r="F6" i="1" a="1"/>
  <c r="F6" i="1"/>
  <c r="I6" i="1" a="1"/>
  <c r="I6" i="1"/>
  <c r="E4" i="1" a="1"/>
  <c r="E4" i="1"/>
  <c r="G4" i="1" a="1"/>
  <c r="G4" i="1"/>
  <c r="J4" i="1" a="1"/>
  <c r="J4" i="1"/>
  <c r="I4" i="1" a="1"/>
  <c r="I4" i="1"/>
  <c r="H4" i="1" a="1"/>
  <c r="H4" i="1"/>
  <c r="F4" i="1" a="1"/>
  <c r="F4" i="1"/>
  <c r="H3" i="1" a="1"/>
  <c r="H3" i="1"/>
  <c r="G3" i="1" a="1"/>
  <c r="G3" i="1"/>
  <c r="F3" i="1" a="1"/>
  <c r="F3" i="1"/>
  <c r="J3" i="1" a="1"/>
  <c r="J3" i="1"/>
  <c r="E3" i="1" a="1"/>
  <c r="E3" i="1"/>
  <c r="I3" i="1" a="1"/>
  <c r="I3" i="1"/>
  <c r="J7" i="1" a="1"/>
  <c r="J7" i="1"/>
  <c r="F7" i="1" a="1"/>
  <c r="F7" i="1"/>
  <c r="E7" i="1" a="1"/>
  <c r="E7" i="1"/>
  <c r="G7" i="1" a="1"/>
  <c r="G7" i="1"/>
  <c r="I7" i="1" a="1"/>
  <c r="I7" i="1"/>
  <c r="H7" i="1" a="1"/>
  <c r="H7" i="1"/>
  <c r="H8" i="1" a="1"/>
  <c r="H8" i="1"/>
  <c r="F8" i="1" a="1"/>
  <c r="F8" i="1"/>
  <c r="G8" i="1" a="1"/>
  <c r="G8" i="1"/>
  <c r="I8" i="1" a="1"/>
  <c r="I8" i="1"/>
  <c r="J8" i="1" a="1"/>
  <c r="J8" i="1"/>
  <c r="E8" i="1" a="1"/>
  <c r="E8" i="1"/>
  <c r="F5" i="1" a="1"/>
  <c r="F5" i="1"/>
  <c r="E5" i="1" a="1"/>
  <c r="E5" i="1"/>
  <c r="I5" i="1" a="1"/>
  <c r="I5" i="1"/>
  <c r="H5" i="1" a="1"/>
  <c r="H5" i="1"/>
  <c r="J5" i="1" a="1"/>
  <c r="J5" i="1"/>
  <c r="G5" i="1" a="1"/>
  <c r="G5" i="1"/>
  <c r="D7" i="1" a="1"/>
  <c r="D7" i="1" l="1"/>
  <c r="D8" i="1" a="1"/>
  <c r="D8" i="1"/>
  <c r="D5" i="1" a="1"/>
  <c r="D5" i="1"/>
  <c r="D6" i="1" a="1"/>
  <c r="D6" i="1"/>
  <c r="D4" i="1" a="1"/>
  <c r="D4" i="1" l="1"/>
  <c r="D1" i="1" a="1"/>
  <c r="D1" i="1" s="1"/>
  <c r="D3" i="1" a="1"/>
  <c r="C5" i="1" a="1"/>
  <c r="C6" i="1" a="1"/>
  <c r="C7" i="1" a="1"/>
  <c r="C8" i="1" a="1"/>
  <c r="C4" i="1" a="1"/>
  <c r="C3" i="1" a="1"/>
  <c r="D3" i="1" l="1"/>
  <c r="C8" i="1"/>
  <c r="C7" i="1"/>
  <c r="C6" i="1"/>
  <c r="C5" i="1"/>
  <c r="C4" i="1"/>
  <c r="C3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<sst xmlns="http://schemas.openxmlformats.org/spreadsheetml/2006/main" count="17" uniqueCount="12">
  <si>
    <t>ticker</t>
  </si>
  <si>
    <t>ADPT US Equity</t>
  </si>
  <si>
    <t>GH US Equity</t>
  </si>
  <si>
    <t>NEO US Equity</t>
  </si>
  <si>
    <t>NTRA US Equity</t>
  </si>
  <si>
    <t>TEM US Equity</t>
  </si>
  <si>
    <t>VCYT US Equity</t>
  </si>
  <si>
    <t>LATEST_ANNOUNCEMENT_DT</t>
  </si>
  <si>
    <t>.CANCER</t>
  </si>
  <si>
    <t>bucket</t>
  </si>
  <si>
    <t>INDEX</t>
  </si>
  <si>
    <t>RSP US EQUITY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</si>
</sst>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volatileDependencies.xml><?xml version="1.0" encoding="utf-8"?>
<volTypes xmlns="http://schemas.openxmlformats.org/spreadsheetml/2006/main">
  <volType type="realTimeData">
    <main first="bofaddin.rtdserver">
      <tp t="s">
        <v>#N/A N/A</v>
        <stp/>
        <stp>BDP|11611893655315643321</stp>
        <tr r="F4" s="1"/>
      </tp>
      <tp t="s">
        <v>#N/A N/A</v>
        <stp/>
        <stp>BDP|13205362902989299379</stp>
        <tr r="D5" s="1"/>
      </tp>
      <tp t="s">
        <v>#N/A N/A</v>
        <stp/>
        <stp>BDP|11955894015436007527</stp>
        <tr r="E6" s="1"/>
      </tp>
      <tp t="s">
        <v>#N/A N/A</v>
        <stp/>
        <stp>BDP|15874518790435611450</stp>
        <tr r="H7" s="1"/>
      </tp>
      <tp t="s">
        <v>#N/A N/A</v>
        <stp/>
        <stp>BDP|15423803908681149235</stp>
        <tr r="G4" s="1"/>
      </tp>
      <tp t="s">
        <v>#N/A N/A</v>
        <stp/>
        <stp>BDP|12078990021457429085</stp>
        <tr r="E3" s="1"/>
      </tp>
      <tp t="s">
        <v>#N/A N/A</v>
        <stp/>
        <stp>BDP|13599921433493482810</stp>
        <tr r="F5" s="1"/>
      </tp>
      <tp t="s">
        <v>#N/A N/A</v>
        <stp/>
        <stp>BDP|17142718476176092331</stp>
        <tr r="J4" s="1"/>
      </tp>
      <tp t="s">
        <v>#N/A N/A</v>
        <stp/>
        <stp>BDP|13175773125747394367</stp>
        <tr r="J5" s="1"/>
      </tp>
      <tp t="s">
        <v>#N/A N/A</v>
        <stp/>
        <stp>BDP|13538437565066761486</stp>
        <tr r="H8" s="1"/>
      </tp>
      <tp t="s">
        <v>#N/A N/A</v>
        <stp/>
        <stp>BDP|15846139339966745161</stp>
        <tr r="I7" s="1"/>
      </tp>
      <tp t="s">
        <v>#N/A N/A</v>
        <stp/>
        <stp>BDP|12715085743541000796</stp>
        <tr r="F8" s="1"/>
      </tp>
      <tp t="s">
        <v>#N/A N/A</v>
        <stp/>
        <stp>BDP|11971279018646069418</stp>
        <tr r="G8" s="1"/>
      </tp>
      <tp t="s">
        <v>#N/A N/A</v>
        <stp/>
        <stp>BDP|15962911050559741116</stp>
        <tr r="J3" s="1"/>
      </tp>
      <tp t="s">
        <v>#N/A N/A</v>
        <stp/>
        <stp>BDP|13820565630436181532</stp>
        <tr r="E4" s="1"/>
      </tp>
      <tp t="s">
        <v>#N/A N/A</v>
        <stp/>
        <stp>BDP|15177514340334082601</stp>
        <tr r="I5" s="1"/>
      </tp>
      <tp t="s">
        <v>#N/A N/A</v>
        <stp/>
        <stp>BDP|13556633735560763043</stp>
        <tr r="G7" s="1"/>
      </tp>
      <tp t="s">
        <v>#N/A N/A</v>
        <stp/>
        <stp>BDP|14669760359219868979</stp>
        <tr r="H4" s="1"/>
      </tp>
      <tp t="s">
        <v>#N/A N/A</v>
        <stp/>
        <stp>BDP|16916190891930923977</stp>
        <tr r="H3" s="1"/>
      </tp>
      <tp t="s">
        <v>#N/A N/A</v>
        <stp/>
        <stp>BDP|10221299169707621474</stp>
        <tr r="C6" s="1"/>
      </tp>
      <tp t="s">
        <v>#N/A N/A</v>
        <stp/>
        <stp>BDP|11706539787742036972</stp>
        <tr r="C7" s="1"/>
      </tp>
      <tp t="s">
        <v>#N/A N/A</v>
        <stp/>
        <stp>BDP|12124111176849661977</stp>
        <tr r="I4" s="1"/>
      </tp>
      <tp t="s">
        <v>#N/A N/A</v>
        <stp/>
        <stp>BDP|17526848771614312987</stp>
        <tr r="E5" s="1"/>
      </tp>
      <tp t="s">
        <v>#N/A N/A</v>
        <stp/>
        <stp>BDP|15567929986749716836</stp>
        <tr r="J7" s="1"/>
      </tp>
    </main>
    <main first="bofaddin.rtdserver">
      <tp t="s">
        <v>#N/A N/A</v>
        <stp/>
        <stp>BDP|9815180570054209787</stp>
        <tr r="D6" s="1"/>
      </tp>
      <tp t="s">
        <v>#N/A N/A</v>
        <stp/>
        <stp>BDP|6627187497781260333</stp>
        <tr r="C3" s="1"/>
      </tp>
      <tp t="s">
        <v>#N/A N/A</v>
        <stp/>
        <stp>BDP|2788746683304990570</stp>
        <tr r="F6" s="1"/>
      </tp>
      <tp t="s">
        <v>#N/A N/A</v>
        <stp/>
        <stp>BDP|7862588896370344763</stp>
        <tr r="C4" s="1"/>
      </tp>
      <tp t="s">
        <v>#N/A N/A</v>
        <stp/>
        <stp>BDP|5643479766298331266</stp>
        <tr r="C8" s="1"/>
      </tp>
      <tp t="s">
        <v>#N/A N/A</v>
        <stp/>
        <stp>BDP|9183210122197441335</stp>
        <tr r="J6" s="1"/>
      </tp>
      <tp t="s">
        <v>#N/A N/A</v>
        <stp/>
        <stp>BDP|9354828596865821297</stp>
        <tr r="I8" s="1"/>
      </tp>
      <tp t="s">
        <v>#N/A N/A</v>
        <stp/>
        <stp>BDP|1383417876129120383</stp>
        <tr r="E8" s="1"/>
      </tp>
      <tp t="s">
        <v>#N/A N/A</v>
        <stp/>
        <stp>BDP|7220869494726516834</stp>
        <tr r="H6" s="1"/>
      </tp>
    </main>
    <main first="bofaddin.rtdserver">
      <tp t="s">
        <v>#N/A N/A</v>
        <stp/>
        <stp>BDP|7185301498686092002</stp>
        <tr r="E7" s="1"/>
      </tp>
      <tp t="s">
        <v>#N/A N/A</v>
        <stp/>
        <stp>BDP|9815850536459056050</stp>
        <tr r="G6" s="1"/>
      </tp>
      <tp t="s">
        <v>#N/A N/A</v>
        <stp/>
        <stp>BDP|6904091947741372805</stp>
        <tr r="F7" s="1"/>
      </tp>
      <tp t="s">
        <v>#N/A N/A</v>
        <stp/>
        <stp>BDP|9307527517041978839</stp>
        <tr r="H5" s="1"/>
      </tp>
      <tp t="s">
        <v>#N/A N/A</v>
        <stp/>
        <stp>BDP|7450599600616532053</stp>
        <tr r="D7" s="1"/>
      </tp>
      <tp t="s">
        <v>#N/A N/A</v>
        <stp/>
        <stp>BDP|5322465625386101114</stp>
        <tr r="G3" s="1"/>
      </tp>
      <tp t="s">
        <v>#N/A N/A</v>
        <stp/>
        <stp>BDP|7386947169245627846</stp>
        <tr r="G5" s="1"/>
      </tp>
      <tp t="s">
        <v>#N/A N/A</v>
        <stp/>
        <stp>BDP|4780309437717804224</stp>
        <tr r="D3" s="1"/>
      </tp>
      <tp t="s">
        <v>#N/A N/A</v>
        <stp/>
        <stp>BDP|3220104872397142312</stp>
        <tr r="F3" s="1"/>
      </tp>
      <tp t="s">
        <v>#N/A N/A</v>
        <stp/>
        <stp>BDP|8009801416944174797</stp>
        <tr r="D8" s="1"/>
      </tp>
      <tp t="s">
        <v>#N/A N/A</v>
        <stp/>
        <stp>BDP|6987255051506180517</stp>
        <tr r="J8" s="1"/>
      </tp>
      <tp t="s">
        <v>#N/A N/A</v>
        <stp/>
        <stp>BDP|9578919335359222814</stp>
        <tr r="C5" s="1"/>
      </tp>
      <tp t="s">
        <v>#N/A N/A</v>
        <stp/>
        <stp>BDP|1216783432340119644</stp>
        <tr r="I6" s="1"/>
      </tp>
      <tp t="s">
        <v>#N/A N/A</v>
        <stp/>
        <stp>BDP|5637079894379441666</stp>
        <tr r="D4" s="1"/>
      </tp>
    </main>
    <main first="bofaddin.rtdserver">
      <tp t="s">
        <v>#N/A N/A</v>
        <stp/>
        <stp>BDP|444028939705699705</stp>
        <tr r="I3" s="1"/>
      </tp>
    </main>
  </volType>
</volTypes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volatileDependencies" Target="volatileDependenci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4BCC6D-9C36-476A-AACE-BC7F8F44048F}">
  <dimension ref="A1:J8"/>
  <sheetViews>
    <sheetView tabSelected="1" workbookViewId="0">
      <selection activeCell="A7" sqref="A7"/>
    </sheetView>
  </sheetViews>
  <sheetFormatPr defaultRowHeight="15" x14ac:dyDescent="0.25"/>
  <cols>
    <col min="2" max="2" width="14.28515625" bestFit="1" customWidth="1"/>
    <col min="3" max="3" width="26.85546875" bestFit="1" customWidth="1"/>
    <col min="4" max="4" width="13.85546875" bestFit="1" customWidth="1"/>
    <col min="5" max="5" width="14.140625" bestFit="1" customWidth="1"/>
    <col min="6" max="6" width="12" bestFit="1" customWidth="1"/>
    <col min="7" max="7" width="13.42578125" bestFit="1" customWidth="1"/>
    <col min="8" max="8" width="14.28515625" bestFit="1" customWidth="1"/>
    <col min="9" max="9" width="13.140625" bestFit="1" customWidth="1"/>
    <col min="10" max="10" width="13.85546875" bestFit="1" customWidth="1"/>
  </cols>
  <sheetData>
    <row r="1" spans="1:10" x14ac:dyDescent="0.25">
      <c r="A1" t="s">
        <v>9</v>
      </c>
      <c r="B1" t="s">
        <v>0</v>
      </c>
      <c r="C1" t="s">
        <v>7</v>
      </c>
      <c r="D1" t="str" cm="1">
        <f t="array" ref="D1:J1">+TRANSPOSE(B2:B8)</f>
        <v>RSP US EQUITY</v>
      </c>
      <c r="E1" t="str">
        <v>ADPT US Equity</v>
      </c>
      <c r="F1" t="str">
        <v>GH US Equity</v>
      </c>
      <c r="G1" t="str">
        <v>NEO US Equity</v>
      </c>
      <c r="H1" t="str">
        <v>NTRA US Equity</v>
      </c>
      <c r="I1" t="str">
        <v>TEM US Equity</v>
      </c>
      <c r="J1" t="str">
        <v>VCYT US Equity</v>
      </c>
    </row>
    <row r="2" spans="1:10" x14ac:dyDescent="0.25">
      <c r="A2" t="s">
        <v>10</v>
      </c>
      <c r="B2" t="s">
        <v>11</v>
      </c>
    </row>
    <row r="3" spans="1:10" x14ac:dyDescent="0.25">
      <c r="A3" t="s">
        <v>8</v>
      </c>
      <c r="B3" t="s">
        <v>1</v>
      </c>
      <c r="C3" t="str" cm="1">
        <f t="array" ref="C3">_xll.BDP(B3,C$1)</f>
        <v>2/5/2026</v>
      </c>
      <c r="D3" s="1" cm="1">
        <f t="array" ref="D3">+_xll.BDP(D$1,"INTERVAL_PERCENT_CHANGE","START_DATE_OVERRIDE",$C3-15,"END_DATE_OVERRIDE",$C3+15)/100</f>
        <v>2.3520561685055154E-2</v>
      </c>
      <c r="E3" s="1" cm="1">
        <f t="array" ref="E3">+_xll.BDP(E$1,"INTERVAL_PERCENT_CHANGE","START_DATE_OVERRIDE",$C3-15,"END_DATE_OVERRIDE",$C3+15)/100</f>
        <v>-0.13488901536710307</v>
      </c>
      <c r="F3" s="1" cm="1">
        <f t="array" ref="F3">+_xll.BDP(F$1,"INTERVAL_PERCENT_CHANGE","START_DATE_OVERRIDE",$C3-15,"END_DATE_OVERRIDE",$C3+15)/100</f>
        <v>-0.10928725701943849</v>
      </c>
      <c r="G3" s="1" cm="1">
        <f t="array" ref="G3">+_xll.BDP(G$1,"INTERVAL_PERCENT_CHANGE","START_DATE_OVERRIDE",$C3-15,"END_DATE_OVERRIDE",$C3+15)/100</f>
        <v>-0.22064617809298653</v>
      </c>
      <c r="H3" s="1" cm="1">
        <f t="array" ref="H3">+_xll.BDP(H$1,"INTERVAL_PERCENT_CHANGE","START_DATE_OVERRIDE",$C3-15,"END_DATE_OVERRIDE",$C3+15)/100</f>
        <v>-0.12628717357278194</v>
      </c>
      <c r="I3" s="1" cm="1">
        <f t="array" ref="I3">+_xll.BDP(I$1,"INTERVAL_PERCENT_CHANGE","START_DATE_OVERRIDE",$C3-15,"END_DATE_OVERRIDE",$C3+15)/100</f>
        <v>-0.10639926515615426</v>
      </c>
      <c r="J3" s="1" cm="1">
        <f t="array" ref="J3">+_xll.BDP(J$1,"INTERVAL_PERCENT_CHANGE","START_DATE_OVERRIDE",$C3-15,"END_DATE_OVERRIDE",$C3+15)/100</f>
        <v>-0.17713625866050797</v>
      </c>
    </row>
    <row r="4" spans="1:10" x14ac:dyDescent="0.25">
      <c r="A4" t="s">
        <v>8</v>
      </c>
      <c r="B4" t="s">
        <v>2</v>
      </c>
      <c r="C4" t="str" cm="1">
        <f t="array" ref="C4">_xll.BDP(B4,C$1)</f>
        <v>2/19/2026</v>
      </c>
      <c r="D4" s="1" cm="1">
        <f t="array" ref="D4">+_xll.BDP(D$1,"INTERVAL_PERCENT_CHANGE","START_DATE_OVERRIDE",$C4-15,"END_DATE_OVERRIDE",$C4+15)/100</f>
        <v>-1.0733899151273119E-2</v>
      </c>
      <c r="E4" s="1" cm="1">
        <f t="array" ref="E4">+_xll.BDP(E$1,"INTERVAL_PERCENT_CHANGE","START_DATE_OVERRIDE",$C4-15,"END_DATE_OVERRIDE",$C4+15)/100</f>
        <v>-0.14104046242774573</v>
      </c>
      <c r="F4" s="1" cm="1">
        <f t="array" ref="F4">+_xll.BDP(F$1,"INTERVAL_PERCENT_CHANGE","START_DATE_OVERRIDE",$C4-15,"END_DATE_OVERRIDE",$C4+15)/100</f>
        <v>-0.14083843617522376</v>
      </c>
      <c r="G4" s="1" cm="1">
        <f t="array" ref="G4">+_xll.BDP(G$1,"INTERVAL_PERCENT_CHANGE","START_DATE_OVERRIDE",$C4-15,"END_DATE_OVERRIDE",$C4+15)/100</f>
        <v>-0.25146198830409355</v>
      </c>
      <c r="H4" s="1" cm="1">
        <f t="array" ref="H4">+_xll.BDP(H$1,"INTERVAL_PERCENT_CHANGE","START_DATE_OVERRIDE",$C4-15,"END_DATE_OVERRIDE",$C4+15)/100</f>
        <v>-3.6379553523661387E-2</v>
      </c>
      <c r="I4" s="1" cm="1">
        <f t="array" ref="I4">+_xll.BDP(I$1,"INTERVAL_PERCENT_CHANGE","START_DATE_OVERRIDE",$C4-15,"END_DATE_OVERRIDE",$C4+15)/100</f>
        <v>-2.4089635854341721E-2</v>
      </c>
      <c r="J4" s="1" cm="1">
        <f t="array" ref="J4">+_xll.BDP(J$1,"INTERVAL_PERCENT_CHANGE","START_DATE_OVERRIDE",$C4-15,"END_DATE_OVERRIDE",$C4+15)/100</f>
        <v>-6.2326869806094178E-2</v>
      </c>
    </row>
    <row r="5" spans="1:10" x14ac:dyDescent="0.25">
      <c r="A5" t="s">
        <v>8</v>
      </c>
      <c r="B5" t="s">
        <v>3</v>
      </c>
      <c r="C5" t="str" cm="1">
        <f t="array" ref="C5">_xll.BDP(B5,C$1)</f>
        <v>2/17/2026</v>
      </c>
      <c r="D5" s="1" cm="1">
        <f t="array" ref="D5">+_xll.BDP(D$1,"INTERVAL_PERCENT_CHANGE","START_DATE_OVERRIDE",$C5-15,"END_DATE_OVERRIDE",$C5+15)/100</f>
        <v>1.9035660472124519E-2</v>
      </c>
      <c r="E5" s="1" cm="1">
        <f t="array" ref="E5">+_xll.BDP(E$1,"INTERVAL_PERCENT_CHANGE","START_DATE_OVERRIDE",$C5-15,"END_DATE_OVERRIDE",$C5+15)/100</f>
        <v>-0.10603588907014677</v>
      </c>
      <c r="F5" s="1" cm="1">
        <f t="array" ref="F5">+_xll.BDP(F$1,"INTERVAL_PERCENT_CHANGE","START_DATE_OVERRIDE",$C5-15,"END_DATE_OVERRIDE",$C5+15)/100</f>
        <v>-0.19042645778938211</v>
      </c>
      <c r="G5" s="1" cm="1">
        <f t="array" ref="G5">+_xll.BDP(G$1,"INTERVAL_PERCENT_CHANGE","START_DATE_OVERRIDE",$C5-15,"END_DATE_OVERRIDE",$C5+15)/100</f>
        <v>-0.26076360682372063</v>
      </c>
      <c r="H5" s="1" cm="1">
        <f t="array" ref="H5">+_xll.BDP(H$1,"INTERVAL_PERCENT_CHANGE","START_DATE_OVERRIDE",$C5-15,"END_DATE_OVERRIDE",$C5+15)/100</f>
        <v>-0.12146257031588055</v>
      </c>
      <c r="I5" s="1" cm="1">
        <f t="array" ref="I5">+_xll.BDP(I$1,"INTERVAL_PERCENT_CHANGE","START_DATE_OVERRIDE",$C5-15,"END_DATE_OVERRIDE",$C5+15)/100</f>
        <v>-0.12399658411614002</v>
      </c>
      <c r="J5" s="1" cm="1">
        <f t="array" ref="J5">+_xll.BDP(J$1,"INTERVAL_PERCENT_CHANGE","START_DATE_OVERRIDE",$C5-15,"END_DATE_OVERRIDE",$C5+15)/100</f>
        <v>-4.9528301886792289E-2</v>
      </c>
    </row>
    <row r="6" spans="1:10" x14ac:dyDescent="0.25">
      <c r="A6" t="s">
        <v>8</v>
      </c>
      <c r="B6" t="s">
        <v>4</v>
      </c>
      <c r="C6" t="str" cm="1">
        <f t="array" ref="C6">_xll.BDP(B6,C$1)</f>
        <v>2/26/2026</v>
      </c>
      <c r="D6" s="1" cm="1">
        <f t="array" ref="D6">+_xll.BDP(D$1,"INTERVAL_PERCENT_CHANGE","START_DATE_OVERRIDE",$C6-15,"END_DATE_OVERRIDE",$C6+15)/100</f>
        <v>-4.8854811756610633E-2</v>
      </c>
      <c r="E6" s="1" cm="1">
        <f t="array" ref="E6">+_xll.BDP(E$1,"INTERVAL_PERCENT_CHANGE","START_DATE_OVERRIDE",$C6-15,"END_DATE_OVERRIDE",$C6+15)/100</f>
        <v>-0.15685019206145964</v>
      </c>
      <c r="F6" s="1" cm="1">
        <f t="array" ref="F6">+_xll.BDP(F$1,"INTERVAL_PERCENT_CHANGE","START_DATE_OVERRIDE",$C6-15,"END_DATE_OVERRIDE",$C6+15)/100</f>
        <v>-0.20533556423126978</v>
      </c>
      <c r="G6" s="1" cm="1">
        <f t="array" ref="G6">+_xll.BDP(G$1,"INTERVAL_PERCENT_CHANGE","START_DATE_OVERRIDE",$C6-15,"END_DATE_OVERRIDE",$C6+15)/100</f>
        <v>-0.31179039301310041</v>
      </c>
      <c r="H6" s="1" cm="1">
        <f t="array" ref="H6">+_xll.BDP(H$1,"INTERVAL_PERCENT_CHANGE","START_DATE_OVERRIDE",$C6-15,"END_DATE_OVERRIDE",$C6+15)/100</f>
        <v>-0.11583356867175004</v>
      </c>
      <c r="I6" s="1" cm="1">
        <f t="array" ref="I6">+_xll.BDP(I$1,"INTERVAL_PERCENT_CHANGE","START_DATE_OVERRIDE",$C6-15,"END_DATE_OVERRIDE",$C6+15)/100</f>
        <v>-6.7711247901510965E-2</v>
      </c>
      <c r="J6" s="1" cm="1">
        <f t="array" ref="J6">+_xll.BDP(J$1,"INTERVAL_PERCENT_CHANGE","START_DATE_OVERRIDE",$C6-15,"END_DATE_OVERRIDE",$C6+15)/100</f>
        <v>-0.10725201444845789</v>
      </c>
    </row>
    <row r="7" spans="1:10" x14ac:dyDescent="0.25">
      <c r="A7" t="s">
        <v>8</v>
      </c>
      <c r="B7" t="s">
        <v>5</v>
      </c>
      <c r="C7" t="str" cm="1">
        <f t="array" ref="C7">_xll.BDP(B7,C$1)</f>
        <v>2/24/2026</v>
      </c>
      <c r="D7" s="1" cm="1">
        <f t="array" ref="D7">+_xll.BDP(D$1,"INTERVAL_PERCENT_CHANGE","START_DATE_OVERRIDE",$C7-15,"END_DATE_OVERRIDE",$C7+15)/100</f>
        <v>-2.8708370392331269E-2</v>
      </c>
      <c r="E7" s="1" cm="1">
        <f t="array" ref="E7">+_xll.BDP(E$1,"INTERVAL_PERCENT_CHANGE","START_DATE_OVERRIDE",$C7-15,"END_DATE_OVERRIDE",$C7+15)/100</f>
        <v>-0.10340479192938203</v>
      </c>
      <c r="F7" s="1" cm="1">
        <f t="array" ref="F7">+_xll.BDP(F$1,"INTERVAL_PERCENT_CHANGE","START_DATE_OVERRIDE",$C7-15,"END_DATE_OVERRIDE",$C7+15)/100</f>
        <v>-0.16432504271881532</v>
      </c>
      <c r="G7" s="1" cm="1">
        <f t="array" ref="G7">+_xll.BDP(G$1,"INTERVAL_PERCENT_CHANGE","START_DATE_OVERRIDE",$C7-15,"END_DATE_OVERRIDE",$C7+15)/100</f>
        <v>-0.24669603524229067</v>
      </c>
      <c r="H7" s="1" cm="1">
        <f t="array" ref="H7">+_xll.BDP(H$1,"INTERVAL_PERCENT_CHANGE","START_DATE_OVERRIDE",$C7-15,"END_DATE_OVERRIDE",$C7+15)/100</f>
        <v>-6.6340583151296414E-2</v>
      </c>
      <c r="I7" s="1" cm="1">
        <f t="array" ref="I7">+_xll.BDP(I$1,"INTERVAL_PERCENT_CHANGE","START_DATE_OVERRIDE",$C7-15,"END_DATE_OVERRIDE",$C7+15)/100</f>
        <v>-7.773109243697475E-2</v>
      </c>
      <c r="J7" s="1" cm="1">
        <f t="array" ref="J7">+_xll.BDP(J$1,"INTERVAL_PERCENT_CHANGE","START_DATE_OVERRIDE",$C7-15,"END_DATE_OVERRIDE",$C7+15)/100</f>
        <v>-0.11625374353389591</v>
      </c>
    </row>
    <row r="8" spans="1:10" x14ac:dyDescent="0.25">
      <c r="A8" t="s">
        <v>8</v>
      </c>
      <c r="B8" t="s">
        <v>6</v>
      </c>
      <c r="C8" t="str" cm="1">
        <f t="array" ref="C8">_xll.BDP(B8,C$1)</f>
        <v>2/25/2026</v>
      </c>
      <c r="D8" s="1" cm="1">
        <f t="array" ref="D8">+_xll.BDP(D$1,"INTERVAL_PERCENT_CHANGE","START_DATE_OVERRIDE",$C8-15,"END_DATE_OVERRIDE",$C8+15)/100</f>
        <v>-4.7119645494830102E-2</v>
      </c>
      <c r="E8" s="1" cm="1">
        <f t="array" ref="E8">+_xll.BDP(E$1,"INTERVAL_PERCENT_CHANGE","START_DATE_OVERRIDE",$C8-15,"END_DATE_OVERRIDE",$C8+15)/100</f>
        <v>-0.2039641943734016</v>
      </c>
      <c r="F8" s="1" cm="1">
        <f t="array" ref="F8">+_xll.BDP(F$1,"INTERVAL_PERCENT_CHANGE","START_DATE_OVERRIDE",$C8-15,"END_DATE_OVERRIDE",$C8+15)/100</f>
        <v>-0.20003808435685047</v>
      </c>
      <c r="G8" s="1" cm="1">
        <f t="array" ref="G8">+_xll.BDP(G$1,"INTERVAL_PERCENT_CHANGE","START_DATE_OVERRIDE",$C8-15,"END_DATE_OVERRIDE",$C8+15)/100</f>
        <v>-0.30608695652173912</v>
      </c>
      <c r="H8" s="1" cm="1">
        <f t="array" ref="H8">+_xll.BDP(H$1,"INTERVAL_PERCENT_CHANGE","START_DATE_OVERRIDE",$C8-15,"END_DATE_OVERRIDE",$C8+15)/100</f>
        <v>-0.10082683675879991</v>
      </c>
      <c r="I8" s="1" cm="1">
        <f t="array" ref="I8">+_xll.BDP(I$1,"INTERVAL_PERCENT_CHANGE","START_DATE_OVERRIDE",$C8-15,"END_DATE_OVERRIDE",$C8+15)/100</f>
        <v>-0.11363636363636367</v>
      </c>
      <c r="J8" s="1" cm="1">
        <f t="array" ref="J8">+_xll.BDP(J$1,"INTERVAL_PERCENT_CHANGE","START_DATE_OVERRIDE",$C8-15,"END_DATE_OVERRIDE",$C8+15)/100</f>
        <v>-0.16473129894679991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Yuuji Anderson</dc:creator>
  <cp:lastModifiedBy>Yuuji Anderson</cp:lastModifiedBy>
  <dcterms:created xsi:type="dcterms:W3CDTF">2026-03-19T17:20:11Z</dcterms:created>
  <dcterms:modified xsi:type="dcterms:W3CDTF">2026-03-19T17:27:01Z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SR_MIGRATION_STATUS">
    <vt:lpwstr>2</vt:lpwstr>
  </property>
</Properties>
</file>