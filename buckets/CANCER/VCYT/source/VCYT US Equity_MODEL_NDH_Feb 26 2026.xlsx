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CANCER\VCYT\source\"/>
    </mc:Choice>
  </mc:AlternateContent>
  <xr:revisionPtr revIDLastSave="0" documentId="13_ncr:1_{C28720D8-28D2-482F-958C-E11E509652F5}" xr6:coauthVersionLast="47" xr6:coauthVersionMax="47" xr10:uidLastSave="{00000000-0000-0000-0000-000000000000}"/>
  <bookViews>
    <workbookView xWindow="-120" yWindow="-120" windowWidth="29040" windowHeight="15720" xr2:uid="{C9972B56-FFA0-4AC7-929F-06895B9AE0F1}"/>
  </bookViews>
  <sheets>
    <sheet name="Revenue Model" sheetId="1" r:id="rId1"/>
    <sheet name="Income Statement" sheetId="2" r:id="rId2"/>
    <sheet name="Balance Sheet" sheetId="3" r:id="rId3"/>
    <sheet name="Cash Flow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57" i="4" l="1"/>
  <c r="AE51" i="4"/>
  <c r="Z51" i="4"/>
  <c r="U51" i="4"/>
  <c r="BS49" i="4"/>
  <c r="BN49" i="4"/>
  <c r="BF49" i="4"/>
  <c r="BG49" i="4" s="1"/>
  <c r="BI49" i="4" s="1"/>
  <c r="BA49" i="4"/>
  <c r="BB49" i="4" s="1"/>
  <c r="BC49" i="4" s="1"/>
  <c r="AV49" i="4"/>
  <c r="AW49" i="4" s="1"/>
  <c r="AQ49" i="4"/>
  <c r="AM49" i="4"/>
  <c r="AN49" i="4" s="1"/>
  <c r="AL49" i="4"/>
  <c r="AH49" i="4"/>
  <c r="AJ49" i="4" s="1"/>
  <c r="Y49" i="4"/>
  <c r="T49" i="4"/>
  <c r="BR48" i="4"/>
  <c r="BQ48" i="4"/>
  <c r="BP48" i="4"/>
  <c r="BO48" i="4"/>
  <c r="BM48" i="4"/>
  <c r="BL48" i="4"/>
  <c r="BK48" i="4"/>
  <c r="BJ48" i="4"/>
  <c r="BH48" i="4"/>
  <c r="BE48" i="4"/>
  <c r="AZ48" i="4"/>
  <c r="AL48" i="4"/>
  <c r="AK48" i="4"/>
  <c r="AF48" i="4"/>
  <c r="AE48" i="4"/>
  <c r="AA48" i="4"/>
  <c r="Z48" i="4"/>
  <c r="V48" i="4"/>
  <c r="U48" i="4"/>
  <c r="Q48" i="4"/>
  <c r="BS47" i="4"/>
  <c r="BN47" i="4"/>
  <c r="BI47" i="4"/>
  <c r="BC47" i="4"/>
  <c r="BD47" i="4" s="1"/>
  <c r="AY47" i="4"/>
  <c r="AT47" i="4"/>
  <c r="AO47" i="4"/>
  <c r="AJ47" i="4"/>
  <c r="AD47" i="4"/>
  <c r="Y47" i="4"/>
  <c r="BS46" i="4"/>
  <c r="BN46" i="4"/>
  <c r="BF46" i="4"/>
  <c r="BA46" i="4"/>
  <c r="BB46" i="4" s="1"/>
  <c r="AW46" i="4"/>
  <c r="AX46" i="4" s="1"/>
  <c r="AV46" i="4"/>
  <c r="AQ46" i="4"/>
  <c r="AM46" i="4"/>
  <c r="AN46" i="4" s="1"/>
  <c r="AL46" i="4"/>
  <c r="AG46" i="4"/>
  <c r="AH46" i="4" s="1"/>
  <c r="AI46" i="4" s="1"/>
  <c r="AB46" i="4"/>
  <c r="AC46" i="4" s="1"/>
  <c r="AD46" i="4" s="1"/>
  <c r="W46" i="4"/>
  <c r="X46" i="4" s="1"/>
  <c r="Y46" i="4" s="1"/>
  <c r="R46" i="4"/>
  <c r="S46" i="4" s="1"/>
  <c r="T46" i="4" s="1"/>
  <c r="BS45" i="4"/>
  <c r="BN45" i="4"/>
  <c r="BF45" i="4"/>
  <c r="BA45" i="4"/>
  <c r="BB45" i="4" s="1"/>
  <c r="BC45" i="4" s="1"/>
  <c r="BD45" i="4" s="1"/>
  <c r="AU45" i="4"/>
  <c r="AP45" i="4"/>
  <c r="AL45" i="4"/>
  <c r="AM45" i="4" s="1"/>
  <c r="AG45" i="4"/>
  <c r="AD45" i="4"/>
  <c r="BS44" i="4"/>
  <c r="BN44" i="4"/>
  <c r="BI44" i="4"/>
  <c r="BD44" i="4"/>
  <c r="AY44" i="4"/>
  <c r="AT44" i="4"/>
  <c r="AO44" i="4"/>
  <c r="AJ44" i="4"/>
  <c r="AB44" i="4"/>
  <c r="AC44" i="4" s="1"/>
  <c r="AD44" i="4" s="1"/>
  <c r="W44" i="4"/>
  <c r="X44" i="4" s="1"/>
  <c r="Y44" i="4" s="1"/>
  <c r="R44" i="4"/>
  <c r="S44" i="4" s="1"/>
  <c r="T44" i="4" s="1"/>
  <c r="BS43" i="4"/>
  <c r="BN43" i="4"/>
  <c r="BI43" i="4"/>
  <c r="BD43" i="4"/>
  <c r="AY43" i="4"/>
  <c r="AT43" i="4"/>
  <c r="AO43" i="4"/>
  <c r="AJ43" i="4"/>
  <c r="AD43" i="4"/>
  <c r="X43" i="4"/>
  <c r="Y43" i="4" s="1"/>
  <c r="W43" i="4"/>
  <c r="T43" i="4"/>
  <c r="BS42" i="4"/>
  <c r="BN42" i="4"/>
  <c r="BF42" i="4"/>
  <c r="BA42" i="4"/>
  <c r="BA48" i="4" s="1"/>
  <c r="AW42" i="4"/>
  <c r="AV42" i="4"/>
  <c r="AQ42" i="4"/>
  <c r="AN42" i="4"/>
  <c r="AO42" i="4" s="1"/>
  <c r="AH42" i="4"/>
  <c r="AB42" i="4"/>
  <c r="AC42" i="4" s="1"/>
  <c r="AD42" i="4" s="1"/>
  <c r="Y42" i="4"/>
  <c r="T42" i="4"/>
  <c r="BS41" i="4"/>
  <c r="BN41" i="4"/>
  <c r="BI41" i="4"/>
  <c r="BD41" i="4"/>
  <c r="AY41" i="4"/>
  <c r="AT41" i="4"/>
  <c r="AO41" i="4"/>
  <c r="AJ41" i="4"/>
  <c r="AD41" i="4"/>
  <c r="Y41" i="4"/>
  <c r="T41" i="4"/>
  <c r="BS40" i="4"/>
  <c r="BN40" i="4"/>
  <c r="BI40" i="4"/>
  <c r="BD40" i="4"/>
  <c r="AY40" i="4"/>
  <c r="AT40" i="4"/>
  <c r="AO40" i="4"/>
  <c r="AJ40" i="4"/>
  <c r="AD40" i="4"/>
  <c r="Y40" i="4"/>
  <c r="T40" i="4"/>
  <c r="BS39" i="4"/>
  <c r="BN39" i="4"/>
  <c r="BI39" i="4"/>
  <c r="BD39" i="4"/>
  <c r="AY39" i="4"/>
  <c r="AT39" i="4"/>
  <c r="AM39" i="4"/>
  <c r="AM48" i="4" s="1"/>
  <c r="AL39" i="4"/>
  <c r="AH39" i="4"/>
  <c r="AB39" i="4"/>
  <c r="AC39" i="4" s="1"/>
  <c r="X39" i="4"/>
  <c r="R39" i="4"/>
  <c r="S39" i="4" s="1"/>
  <c r="BE37" i="4"/>
  <c r="AZ37" i="4"/>
  <c r="AP37" i="4"/>
  <c r="AK37" i="4"/>
  <c r="AF37" i="4"/>
  <c r="AA37" i="4"/>
  <c r="Z37" i="4"/>
  <c r="V37" i="4"/>
  <c r="U37" i="4"/>
  <c r="Q37" i="4"/>
  <c r="BS36" i="4"/>
  <c r="BN36" i="4"/>
  <c r="BI36" i="4"/>
  <c r="BD36" i="4"/>
  <c r="AY36" i="4"/>
  <c r="AT36" i="4"/>
  <c r="AO36" i="4"/>
  <c r="AJ36" i="4"/>
  <c r="AE36" i="4"/>
  <c r="AE37" i="4" s="1"/>
  <c r="Y36" i="4"/>
  <c r="S36" i="4"/>
  <c r="T36" i="4" s="1"/>
  <c r="BS35" i="4"/>
  <c r="BN35" i="4"/>
  <c r="BG35" i="4"/>
  <c r="BF35" i="4"/>
  <c r="BI35" i="4" s="1"/>
  <c r="BA35" i="4"/>
  <c r="AV35" i="4"/>
  <c r="AW35" i="4" s="1"/>
  <c r="AX35" i="4" s="1"/>
  <c r="AU35" i="4"/>
  <c r="AQ35" i="4"/>
  <c r="AO35" i="4"/>
  <c r="AM35" i="4"/>
  <c r="AN35" i="4" s="1"/>
  <c r="AL35" i="4"/>
  <c r="AH35" i="4"/>
  <c r="AD35" i="4"/>
  <c r="BS34" i="4"/>
  <c r="BN34" i="4"/>
  <c r="BF34" i="4"/>
  <c r="BB34" i="4"/>
  <c r="BA34" i="4"/>
  <c r="AY34" i="4"/>
  <c r="AT34" i="4"/>
  <c r="AL34" i="4"/>
  <c r="AJ34" i="4"/>
  <c r="AD34" i="4"/>
  <c r="Y34" i="4"/>
  <c r="T34" i="4"/>
  <c r="BS33" i="4"/>
  <c r="BN33" i="4"/>
  <c r="BI33" i="4"/>
  <c r="BD33" i="4"/>
  <c r="AY33" i="4"/>
  <c r="AT33" i="4"/>
  <c r="AO33" i="4"/>
  <c r="AJ33" i="4"/>
  <c r="AB33" i="4"/>
  <c r="Y33" i="4"/>
  <c r="R33" i="4"/>
  <c r="S33" i="4" s="1"/>
  <c r="T33" i="4" s="1"/>
  <c r="BO32" i="4"/>
  <c r="BJ32" i="4"/>
  <c r="BJ37" i="4" s="1"/>
  <c r="BF32" i="4"/>
  <c r="BG32" i="4" s="1"/>
  <c r="BA32" i="4"/>
  <c r="BB32" i="4" s="1"/>
  <c r="BC32" i="4" s="1"/>
  <c r="AV32" i="4"/>
  <c r="AQ32" i="4"/>
  <c r="AR32" i="4" s="1"/>
  <c r="AL32" i="4"/>
  <c r="AG32" i="4"/>
  <c r="AC32" i="4"/>
  <c r="AD32" i="4" s="1"/>
  <c r="AB32" i="4"/>
  <c r="W32" i="4"/>
  <c r="S32" i="4"/>
  <c r="T32" i="4" s="1"/>
  <c r="R32" i="4"/>
  <c r="R37" i="4" s="1"/>
  <c r="BE30" i="4"/>
  <c r="BE57" i="4" s="1"/>
  <c r="BG29" i="4"/>
  <c r="BF29" i="4"/>
  <c r="BA29" i="4"/>
  <c r="AV29" i="4"/>
  <c r="AQ29" i="4"/>
  <c r="AO29" i="4"/>
  <c r="AN29" i="4"/>
  <c r="AL29" i="4"/>
  <c r="AM29" i="4" s="1"/>
  <c r="AG29" i="4"/>
  <c r="AB29" i="4"/>
  <c r="AC29" i="4" s="1"/>
  <c r="AD29" i="4" s="1"/>
  <c r="W29" i="4"/>
  <c r="X29" i="4" s="1"/>
  <c r="Y29" i="4" s="1"/>
  <c r="R29" i="4"/>
  <c r="S29" i="4" s="1"/>
  <c r="T29" i="4" s="1"/>
  <c r="BG28" i="4"/>
  <c r="BF28" i="4"/>
  <c r="BA28" i="4"/>
  <c r="BB28" i="4" s="1"/>
  <c r="BC28" i="4" s="1"/>
  <c r="BD28" i="4" s="1"/>
  <c r="AW28" i="4"/>
  <c r="AV28" i="4"/>
  <c r="AR28" i="4"/>
  <c r="AQ28" i="4"/>
  <c r="AL28" i="4"/>
  <c r="AM28" i="4" s="1"/>
  <c r="AG28" i="4"/>
  <c r="AH28" i="4" s="1"/>
  <c r="AB28" i="4"/>
  <c r="AC28" i="4" s="1"/>
  <c r="AD28" i="4" s="1"/>
  <c r="W28" i="4"/>
  <c r="X28" i="4" s="1"/>
  <c r="Y28" i="4" s="1"/>
  <c r="R28" i="4"/>
  <c r="S28" i="4" s="1"/>
  <c r="T28" i="4" s="1"/>
  <c r="BF27" i="4"/>
  <c r="BG27" i="4" s="1"/>
  <c r="BA27" i="4"/>
  <c r="AV27" i="4"/>
  <c r="AS27" i="4"/>
  <c r="AR27" i="4"/>
  <c r="AQ27" i="4"/>
  <c r="AL27" i="4"/>
  <c r="AH27" i="4"/>
  <c r="AI27" i="4" s="1"/>
  <c r="AG27" i="4"/>
  <c r="AA27" i="4"/>
  <c r="X27" i="4"/>
  <c r="Y27" i="4" s="1"/>
  <c r="W27" i="4"/>
  <c r="T27" i="4"/>
  <c r="R27" i="4"/>
  <c r="S27" i="4" s="1"/>
  <c r="BF26" i="4"/>
  <c r="BD26" i="4"/>
  <c r="BA26" i="4"/>
  <c r="BB26" i="4" s="1"/>
  <c r="BC26" i="4" s="1"/>
  <c r="AV26" i="4"/>
  <c r="AQ26" i="4"/>
  <c r="AR26" i="4" s="1"/>
  <c r="AS26" i="4" s="1"/>
  <c r="AL26" i="4"/>
  <c r="AG26" i="4"/>
  <c r="AB26" i="4"/>
  <c r="AC26" i="4" s="1"/>
  <c r="AD26" i="4" s="1"/>
  <c r="Y26" i="4"/>
  <c r="BF25" i="4"/>
  <c r="BG25" i="4" s="1"/>
  <c r="BA25" i="4"/>
  <c r="AV25" i="4"/>
  <c r="AQ25" i="4"/>
  <c r="AR25" i="4" s="1"/>
  <c r="AL25" i="4"/>
  <c r="AM25" i="4" s="1"/>
  <c r="AN25" i="4" s="1"/>
  <c r="AO25" i="4" s="1"/>
  <c r="AG25" i="4"/>
  <c r="AB25" i="4"/>
  <c r="AC25" i="4" s="1"/>
  <c r="AD25" i="4" s="1"/>
  <c r="W25" i="4"/>
  <c r="X25" i="4" s="1"/>
  <c r="Y25" i="4" s="1"/>
  <c r="S25" i="4"/>
  <c r="T25" i="4" s="1"/>
  <c r="R25" i="4"/>
  <c r="BG24" i="4"/>
  <c r="BF24" i="4"/>
  <c r="BC24" i="4"/>
  <c r="BD24" i="4" s="1"/>
  <c r="BA24" i="4"/>
  <c r="BB24" i="4" s="1"/>
  <c r="AW24" i="4"/>
  <c r="AX24" i="4" s="1"/>
  <c r="AV24" i="4"/>
  <c r="AQ24" i="4"/>
  <c r="AL24" i="4"/>
  <c r="AM24" i="4" s="1"/>
  <c r="AH24" i="4"/>
  <c r="AG24" i="4"/>
  <c r="AD24" i="4"/>
  <c r="AB24" i="4"/>
  <c r="AC24" i="4" s="1"/>
  <c r="W24" i="4"/>
  <c r="X24" i="4" s="1"/>
  <c r="Y24" i="4" s="1"/>
  <c r="R24" i="4"/>
  <c r="S24" i="4" s="1"/>
  <c r="T24" i="4" s="1"/>
  <c r="BF23" i="4"/>
  <c r="BA23" i="4"/>
  <c r="AV23" i="4"/>
  <c r="AQ23" i="4"/>
  <c r="AL23" i="4"/>
  <c r="AH23" i="4"/>
  <c r="AI23" i="4" s="1"/>
  <c r="AG23" i="4"/>
  <c r="AB23" i="4"/>
  <c r="AC23" i="4" s="1"/>
  <c r="AD23" i="4" s="1"/>
  <c r="W23" i="4"/>
  <c r="X23" i="4" s="1"/>
  <c r="Y23" i="4" s="1"/>
  <c r="S23" i="4"/>
  <c r="T23" i="4" s="1"/>
  <c r="R23" i="4"/>
  <c r="BE22" i="4"/>
  <c r="AF22" i="4"/>
  <c r="AF30" i="4" s="1"/>
  <c r="AF60" i="4" s="1"/>
  <c r="AA22" i="4"/>
  <c r="V22" i="4"/>
  <c r="U22" i="4"/>
  <c r="U30" i="4" s="1"/>
  <c r="Q22" i="4"/>
  <c r="Q30" i="4" s="1"/>
  <c r="Q56" i="4" s="1"/>
  <c r="BS21" i="4"/>
  <c r="BN21" i="4"/>
  <c r="BF21" i="4"/>
  <c r="BG21" i="4" s="1"/>
  <c r="BA21" i="4"/>
  <c r="BB21" i="4" s="1"/>
  <c r="BC21" i="4" s="1"/>
  <c r="BD21" i="4" s="1"/>
  <c r="AW21" i="4"/>
  <c r="AV21" i="4"/>
  <c r="AQ21" i="4"/>
  <c r="AR21" i="4" s="1"/>
  <c r="AS21" i="4" s="1"/>
  <c r="AL21" i="4"/>
  <c r="AJ21" i="4"/>
  <c r="Y21" i="4"/>
  <c r="BF20" i="4"/>
  <c r="BG20" i="4" s="1"/>
  <c r="BA20" i="4"/>
  <c r="BB20" i="4" s="1"/>
  <c r="BC20" i="4" s="1"/>
  <c r="AV20" i="4"/>
  <c r="AW20" i="4" s="1"/>
  <c r="AX20" i="4" s="1"/>
  <c r="AQ20" i="4"/>
  <c r="AR20" i="4" s="1"/>
  <c r="AS20" i="4" s="1"/>
  <c r="BS19" i="4"/>
  <c r="BN19" i="4"/>
  <c r="BG19" i="4"/>
  <c r="BF19" i="4"/>
  <c r="BI19" i="4" s="1"/>
  <c r="BA19" i="4"/>
  <c r="AV19" i="4"/>
  <c r="AR19" i="4"/>
  <c r="AO19" i="4"/>
  <c r="AJ19" i="4"/>
  <c r="AI19" i="4"/>
  <c r="AB19" i="4"/>
  <c r="AC19" i="4" s="1"/>
  <c r="AD19" i="4" s="1"/>
  <c r="Y19" i="4"/>
  <c r="T19" i="4"/>
  <c r="BS18" i="4"/>
  <c r="BN18" i="4"/>
  <c r="BI18" i="4"/>
  <c r="BD18" i="4"/>
  <c r="AY18" i="4"/>
  <c r="AT18" i="4"/>
  <c r="AO18" i="4"/>
  <c r="AH18" i="4"/>
  <c r="AI18" i="4" s="1"/>
  <c r="AG18" i="4"/>
  <c r="AD18" i="4"/>
  <c r="BS17" i="4"/>
  <c r="BN17" i="4"/>
  <c r="BG17" i="4"/>
  <c r="BI17" i="4" s="1"/>
  <c r="BF17" i="4"/>
  <c r="BA17" i="4"/>
  <c r="AV17" i="4"/>
  <c r="AS17" i="4"/>
  <c r="AR17" i="4"/>
  <c r="AQ17" i="4"/>
  <c r="AM17" i="4"/>
  <c r="AL17" i="4"/>
  <c r="AG17" i="4"/>
  <c r="AD17" i="4"/>
  <c r="BS16" i="4"/>
  <c r="BN16" i="4"/>
  <c r="BF16" i="4"/>
  <c r="BG16" i="4" s="1"/>
  <c r="BE16" i="4"/>
  <c r="BA16" i="4"/>
  <c r="BB16" i="4" s="1"/>
  <c r="BC16" i="4" s="1"/>
  <c r="AZ16" i="4"/>
  <c r="AZ22" i="4" s="1"/>
  <c r="AU16" i="4"/>
  <c r="AV16" i="4" s="1"/>
  <c r="AW16" i="4" s="1"/>
  <c r="AP16" i="4"/>
  <c r="AQ16" i="4" s="1"/>
  <c r="AK16" i="4"/>
  <c r="AL16" i="4" s="1"/>
  <c r="AM16" i="4" s="1"/>
  <c r="AN16" i="4" s="1"/>
  <c r="AG16" i="4"/>
  <c r="AH16" i="4" s="1"/>
  <c r="AI16" i="4" s="1"/>
  <c r="AD16" i="4"/>
  <c r="BS15" i="4"/>
  <c r="BN15" i="4"/>
  <c r="BG15" i="4"/>
  <c r="BF15" i="4"/>
  <c r="BD15" i="4"/>
  <c r="BB15" i="4"/>
  <c r="BC15" i="4" s="1"/>
  <c r="BA15" i="4"/>
  <c r="AX15" i="4"/>
  <c r="AV15" i="4"/>
  <c r="AW15" i="4" s="1"/>
  <c r="AR15" i="4"/>
  <c r="AS15" i="4" s="1"/>
  <c r="AQ15" i="4"/>
  <c r="AK15" i="4"/>
  <c r="AH15" i="4"/>
  <c r="AI15" i="4" s="1"/>
  <c r="AG15" i="4"/>
  <c r="AB15" i="4"/>
  <c r="AC15" i="4" s="1"/>
  <c r="W15" i="4"/>
  <c r="X15" i="4" s="1"/>
  <c r="Y15" i="4" s="1"/>
  <c r="T15" i="4"/>
  <c r="BS14" i="4"/>
  <c r="BN14" i="4"/>
  <c r="BI14" i="4"/>
  <c r="BD14" i="4"/>
  <c r="AY14" i="4"/>
  <c r="AT14" i="4"/>
  <c r="AO14" i="4"/>
  <c r="AJ14" i="4"/>
  <c r="AC14" i="4"/>
  <c r="AD14" i="4" s="1"/>
  <c r="AB14" i="4"/>
  <c r="W14" i="4"/>
  <c r="X14" i="4" s="1"/>
  <c r="Y14" i="4" s="1"/>
  <c r="S14" i="4"/>
  <c r="T14" i="4" s="1"/>
  <c r="R14" i="4"/>
  <c r="BS13" i="4"/>
  <c r="BN13" i="4"/>
  <c r="BF13" i="4"/>
  <c r="BA13" i="4"/>
  <c r="BB13" i="4" s="1"/>
  <c r="BC13" i="4" s="1"/>
  <c r="BD13" i="4" s="1"/>
  <c r="AV13" i="4"/>
  <c r="AQ13" i="4"/>
  <c r="AL13" i="4"/>
  <c r="AM13" i="4" s="1"/>
  <c r="AJ13" i="4"/>
  <c r="AD13" i="4"/>
  <c r="W13" i="4"/>
  <c r="X13" i="4" s="1"/>
  <c r="Y13" i="4" s="1"/>
  <c r="T13" i="4"/>
  <c r="BS12" i="4"/>
  <c r="BN12" i="4"/>
  <c r="BI12" i="4"/>
  <c r="BD12" i="4"/>
  <c r="AY12" i="4"/>
  <c r="AT12" i="4"/>
  <c r="AO12" i="4"/>
  <c r="AJ12" i="4"/>
  <c r="AE12" i="4"/>
  <c r="Y12" i="4"/>
  <c r="T12" i="4"/>
  <c r="BS11" i="4"/>
  <c r="BN11" i="4"/>
  <c r="BI11" i="4"/>
  <c r="BD11" i="4"/>
  <c r="AY11" i="4"/>
  <c r="AT11" i="4"/>
  <c r="AM11" i="4"/>
  <c r="AJ11" i="4"/>
  <c r="AE11" i="4"/>
  <c r="Y11" i="4"/>
  <c r="T11" i="4"/>
  <c r="BO10" i="4"/>
  <c r="BJ10" i="4"/>
  <c r="BF10" i="4"/>
  <c r="BA10" i="4"/>
  <c r="AV10" i="4"/>
  <c r="AQ10" i="4"/>
  <c r="AL10" i="4"/>
  <c r="AM10" i="4" s="1"/>
  <c r="AN10" i="4" s="1"/>
  <c r="AO10" i="4" s="1"/>
  <c r="AG10" i="4"/>
  <c r="AC10" i="4"/>
  <c r="AD10" i="4" s="1"/>
  <c r="AB10" i="4"/>
  <c r="W10" i="4"/>
  <c r="S10" i="4"/>
  <c r="T10" i="4" s="1"/>
  <c r="R10" i="4"/>
  <c r="BR9" i="4"/>
  <c r="BQ9" i="4"/>
  <c r="BP9" i="4"/>
  <c r="BO9" i="4"/>
  <c r="BM9" i="4"/>
  <c r="BL9" i="4"/>
  <c r="BK9" i="4"/>
  <c r="BJ9" i="4"/>
  <c r="BH9" i="4"/>
  <c r="BF9" i="4"/>
  <c r="BA9" i="4"/>
  <c r="AV9" i="4"/>
  <c r="AQ9" i="4"/>
  <c r="AL9" i="4"/>
  <c r="AM9" i="4" s="1"/>
  <c r="AN9" i="4" s="1"/>
  <c r="AI9" i="4"/>
  <c r="AJ9" i="4" s="1"/>
  <c r="AG9" i="4"/>
  <c r="AH9" i="4" s="1"/>
  <c r="AB9" i="4"/>
  <c r="AC9" i="4" s="1"/>
  <c r="AD9" i="4" s="1"/>
  <c r="W9" i="4"/>
  <c r="X9" i="4" s="1"/>
  <c r="Y9" i="4" s="1"/>
  <c r="R9" i="4"/>
  <c r="BF8" i="4"/>
  <c r="BA8" i="4"/>
  <c r="AW8" i="4"/>
  <c r="AV8" i="4"/>
  <c r="AQ8" i="4"/>
  <c r="AL8" i="4"/>
  <c r="AH8" i="4"/>
  <c r="AG8" i="4"/>
  <c r="AB8" i="4"/>
  <c r="AC8" i="4" s="1"/>
  <c r="AD8" i="4" s="1"/>
  <c r="AD37" i="3" s="1"/>
  <c r="AD36" i="3" s="1"/>
  <c r="W8" i="4"/>
  <c r="X8" i="4" s="1"/>
  <c r="Y8" i="4" s="1"/>
  <c r="R8" i="4"/>
  <c r="S8" i="4" s="1"/>
  <c r="T8" i="4" s="1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S5" i="4"/>
  <c r="BN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I55" i="3"/>
  <c r="AG55" i="3"/>
  <c r="AB55" i="3"/>
  <c r="T55" i="3"/>
  <c r="R55" i="3"/>
  <c r="AC50" i="3"/>
  <c r="AB50" i="3"/>
  <c r="AA50" i="3"/>
  <c r="Y50" i="3"/>
  <c r="R47" i="3"/>
  <c r="BG45" i="3"/>
  <c r="BF45" i="3"/>
  <c r="BE45" i="3"/>
  <c r="BC45" i="3"/>
  <c r="BB45" i="3"/>
  <c r="BA45" i="3"/>
  <c r="AZ45" i="3"/>
  <c r="AX45" i="3"/>
  <c r="AW45" i="3"/>
  <c r="AV45" i="3"/>
  <c r="AU45" i="3"/>
  <c r="AS45" i="3"/>
  <c r="AR45" i="3"/>
  <c r="AQ45" i="3"/>
  <c r="AP45" i="3"/>
  <c r="AK45" i="3"/>
  <c r="AF45" i="3"/>
  <c r="AA45" i="3"/>
  <c r="Y45" i="3"/>
  <c r="X45" i="3"/>
  <c r="W45" i="3"/>
  <c r="V45" i="3"/>
  <c r="BG44" i="3"/>
  <c r="BF44" i="3"/>
  <c r="BE44" i="3"/>
  <c r="BC44" i="3"/>
  <c r="BB44" i="3"/>
  <c r="BA44" i="3"/>
  <c r="AZ44" i="3"/>
  <c r="AX44" i="3"/>
  <c r="AW44" i="3"/>
  <c r="AV44" i="3"/>
  <c r="AU44" i="3"/>
  <c r="AS44" i="3"/>
  <c r="AR44" i="3"/>
  <c r="AQ44" i="3"/>
  <c r="AP44" i="3"/>
  <c r="AN44" i="3"/>
  <c r="AM44" i="3"/>
  <c r="AL44" i="3"/>
  <c r="AA44" i="3"/>
  <c r="Y44" i="3"/>
  <c r="X44" i="3"/>
  <c r="W44" i="3"/>
  <c r="V44" i="3"/>
  <c r="BN39" i="3"/>
  <c r="BN40" i="3" s="1"/>
  <c r="BI39" i="3"/>
  <c r="BI40" i="3" s="1"/>
  <c r="BD39" i="3"/>
  <c r="BD40" i="3" s="1"/>
  <c r="AY39" i="3"/>
  <c r="AY40" i="3" s="1"/>
  <c r="AT39" i="3"/>
  <c r="AT40" i="3" s="1"/>
  <c r="AC39" i="3"/>
  <c r="AB39" i="3"/>
  <c r="AM38" i="3"/>
  <c r="AI38" i="3"/>
  <c r="AI50" i="3" s="1"/>
  <c r="AH38" i="3"/>
  <c r="AG38" i="3"/>
  <c r="AG50" i="3" s="1"/>
  <c r="AC38" i="3"/>
  <c r="AC55" i="3" s="1"/>
  <c r="AB38" i="3"/>
  <c r="AB47" i="3" s="1"/>
  <c r="AA38" i="3"/>
  <c r="AA47" i="3" s="1"/>
  <c r="Y38" i="3"/>
  <c r="Y47" i="3" s="1"/>
  <c r="X38" i="3"/>
  <c r="X50" i="3" s="1"/>
  <c r="W38" i="3"/>
  <c r="W47" i="3" s="1"/>
  <c r="V38" i="3"/>
  <c r="T38" i="3"/>
  <c r="T50" i="3" s="1"/>
  <c r="S38" i="3"/>
  <c r="R38" i="3"/>
  <c r="R50" i="3" s="1"/>
  <c r="Q38" i="3"/>
  <c r="O38" i="3"/>
  <c r="BG37" i="3"/>
  <c r="BF37" i="3"/>
  <c r="BE37" i="3"/>
  <c r="BC37" i="3"/>
  <c r="BB37" i="3"/>
  <c r="BA37" i="3"/>
  <c r="AZ37" i="3"/>
  <c r="AX37" i="3"/>
  <c r="AW37" i="3"/>
  <c r="AV37" i="3"/>
  <c r="AU37" i="3"/>
  <c r="AS37" i="3"/>
  <c r="AR37" i="3"/>
  <c r="AQ37" i="3"/>
  <c r="AP37" i="3"/>
  <c r="AN37" i="3"/>
  <c r="AM37" i="3"/>
  <c r="BH35" i="3"/>
  <c r="BJ35" i="3" s="1"/>
  <c r="BK35" i="3" s="1"/>
  <c r="BL35" i="3" s="1"/>
  <c r="BM35" i="3" s="1"/>
  <c r="BO35" i="3" s="1"/>
  <c r="BP35" i="3" s="1"/>
  <c r="BQ35" i="3" s="1"/>
  <c r="BR35" i="3" s="1"/>
  <c r="AP34" i="3"/>
  <c r="AQ34" i="3" s="1"/>
  <c r="AN34" i="3"/>
  <c r="AN38" i="3" s="1"/>
  <c r="AK34" i="3"/>
  <c r="AL34" i="3" s="1"/>
  <c r="AU33" i="3"/>
  <c r="AL33" i="3"/>
  <c r="AL38" i="3" s="1"/>
  <c r="AK33" i="3"/>
  <c r="AN32" i="3"/>
  <c r="AP32" i="3" s="1"/>
  <c r="AQ32" i="3" s="1"/>
  <c r="AR32" i="3" s="1"/>
  <c r="AS32" i="3" s="1"/>
  <c r="AU32" i="3" s="1"/>
  <c r="AV32" i="3" s="1"/>
  <c r="AW32" i="3" s="1"/>
  <c r="AX32" i="3" s="1"/>
  <c r="AZ32" i="3" s="1"/>
  <c r="BA32" i="3" s="1"/>
  <c r="BB32" i="3" s="1"/>
  <c r="BC32" i="3" s="1"/>
  <c r="BE32" i="3" s="1"/>
  <c r="BF32" i="3" s="1"/>
  <c r="BG32" i="3" s="1"/>
  <c r="BH32" i="3" s="1"/>
  <c r="BJ32" i="3" s="1"/>
  <c r="BK32" i="3" s="1"/>
  <c r="BL32" i="3" s="1"/>
  <c r="BM32" i="3" s="1"/>
  <c r="BO32" i="3" s="1"/>
  <c r="BP32" i="3" s="1"/>
  <c r="BQ32" i="3" s="1"/>
  <c r="BR32" i="3" s="1"/>
  <c r="AK32" i="3"/>
  <c r="AL32" i="3" s="1"/>
  <c r="AF32" i="3"/>
  <c r="BH31" i="3"/>
  <c r="BJ31" i="3" s="1"/>
  <c r="BK31" i="3" s="1"/>
  <c r="BL31" i="3" s="1"/>
  <c r="BM31" i="3" s="1"/>
  <c r="BO31" i="3" s="1"/>
  <c r="BP31" i="3" s="1"/>
  <c r="BQ31" i="3" s="1"/>
  <c r="BR31" i="3" s="1"/>
  <c r="AK31" i="3"/>
  <c r="AL31" i="3" s="1"/>
  <c r="AH31" i="3"/>
  <c r="AD31" i="3"/>
  <c r="AF31" i="3" s="1"/>
  <c r="BH30" i="3"/>
  <c r="BJ30" i="3" s="1"/>
  <c r="BK30" i="3" s="1"/>
  <c r="BL30" i="3" s="1"/>
  <c r="BM30" i="3" s="1"/>
  <c r="BO30" i="3" s="1"/>
  <c r="BP30" i="3" s="1"/>
  <c r="BQ30" i="3" s="1"/>
  <c r="BR30" i="3" s="1"/>
  <c r="BB30" i="3"/>
  <c r="BC30" i="3" s="1"/>
  <c r="BE30" i="3" s="1"/>
  <c r="BF30" i="3" s="1"/>
  <c r="BG30" i="3" s="1"/>
  <c r="BA30" i="3"/>
  <c r="AN30" i="3"/>
  <c r="AP30" i="3" s="1"/>
  <c r="AQ30" i="3" s="1"/>
  <c r="AR30" i="3" s="1"/>
  <c r="AS30" i="3" s="1"/>
  <c r="AU30" i="3" s="1"/>
  <c r="AV30" i="3" s="1"/>
  <c r="AW30" i="3" s="1"/>
  <c r="AX30" i="3" s="1"/>
  <c r="AK30" i="3"/>
  <c r="AL30" i="3" s="1"/>
  <c r="AH30" i="3"/>
  <c r="BJ29" i="3"/>
  <c r="BK29" i="3" s="1"/>
  <c r="BL29" i="3" s="1"/>
  <c r="BM29" i="3" s="1"/>
  <c r="BO29" i="3" s="1"/>
  <c r="BP29" i="3" s="1"/>
  <c r="BQ29" i="3" s="1"/>
  <c r="BR29" i="3" s="1"/>
  <c r="BH29" i="3"/>
  <c r="AM29" i="3"/>
  <c r="BG28" i="3"/>
  <c r="BH28" i="3" s="1"/>
  <c r="BJ28" i="3" s="1"/>
  <c r="BK28" i="3" s="1"/>
  <c r="BL28" i="3" s="1"/>
  <c r="BM28" i="3" s="1"/>
  <c r="BO28" i="3" s="1"/>
  <c r="BP28" i="3" s="1"/>
  <c r="BQ28" i="3" s="1"/>
  <c r="BR28" i="3" s="1"/>
  <c r="BF28" i="3"/>
  <c r="BE28" i="3"/>
  <c r="BC28" i="3"/>
  <c r="BB28" i="3"/>
  <c r="BA28" i="3"/>
  <c r="AZ28" i="3"/>
  <c r="AX28" i="3"/>
  <c r="AW28" i="3"/>
  <c r="AV28" i="3"/>
  <c r="AU28" i="3"/>
  <c r="AS28" i="3"/>
  <c r="AR28" i="3"/>
  <c r="AQ28" i="3"/>
  <c r="AP28" i="3"/>
  <c r="AN28" i="3"/>
  <c r="AM28" i="3"/>
  <c r="AL28" i="3"/>
  <c r="AK28" i="3"/>
  <c r="AI28" i="3"/>
  <c r="AH28" i="3"/>
  <c r="AG28" i="3"/>
  <c r="AF28" i="3"/>
  <c r="AD28" i="3"/>
  <c r="AC28" i="3"/>
  <c r="AB28" i="3"/>
  <c r="AA28" i="3"/>
  <c r="AZ27" i="3"/>
  <c r="Y27" i="3"/>
  <c r="Y55" i="3" s="1"/>
  <c r="AH26" i="3"/>
  <c r="AG26" i="3"/>
  <c r="AG39" i="3" s="1"/>
  <c r="AF26" i="3"/>
  <c r="AF43" i="3" s="1"/>
  <c r="AD26" i="3"/>
  <c r="AC26" i="3"/>
  <c r="AB26" i="3"/>
  <c r="Y26" i="3"/>
  <c r="X26" i="3"/>
  <c r="X43" i="3" s="1"/>
  <c r="W26" i="3"/>
  <c r="W43" i="3" s="1"/>
  <c r="V26" i="3"/>
  <c r="V43" i="3" s="1"/>
  <c r="T26" i="3"/>
  <c r="T43" i="3" s="1"/>
  <c r="S26" i="3"/>
  <c r="S43" i="3" s="1"/>
  <c r="R26" i="3"/>
  <c r="Q26" i="3"/>
  <c r="Q39" i="3" s="1"/>
  <c r="O26" i="3"/>
  <c r="O39" i="3" s="1"/>
  <c r="BG25" i="3"/>
  <c r="BF25" i="3"/>
  <c r="BE25" i="3"/>
  <c r="BC25" i="3"/>
  <c r="BB25" i="3"/>
  <c r="BA25" i="3"/>
  <c r="AZ25" i="3"/>
  <c r="AX25" i="3"/>
  <c r="AW25" i="3"/>
  <c r="AV25" i="3"/>
  <c r="AU25" i="3"/>
  <c r="AS25" i="3"/>
  <c r="AR25" i="3"/>
  <c r="AQ25" i="3"/>
  <c r="AP25" i="3"/>
  <c r="AN25" i="3"/>
  <c r="AM25" i="3"/>
  <c r="AM26" i="3" s="1"/>
  <c r="AM43" i="3" s="1"/>
  <c r="AL25" i="3"/>
  <c r="AK25" i="3"/>
  <c r="AK26" i="3" s="1"/>
  <c r="AK43" i="3" s="1"/>
  <c r="AI25" i="3"/>
  <c r="AI26" i="3" s="1"/>
  <c r="AA25" i="3"/>
  <c r="AA26" i="3" s="1"/>
  <c r="AN24" i="3"/>
  <c r="AN26" i="3" s="1"/>
  <c r="AL24" i="3"/>
  <c r="AL26" i="3" s="1"/>
  <c r="AL43" i="3" s="1"/>
  <c r="AA20" i="3"/>
  <c r="X20" i="3"/>
  <c r="W20" i="3"/>
  <c r="V20" i="3"/>
  <c r="O20" i="3"/>
  <c r="O52" i="3" s="1"/>
  <c r="BH19" i="3"/>
  <c r="AA19" i="3"/>
  <c r="BJ18" i="3"/>
  <c r="BH18" i="3"/>
  <c r="AC18" i="3"/>
  <c r="AB18" i="3"/>
  <c r="AA18" i="3"/>
  <c r="BH17" i="3"/>
  <c r="BJ17" i="3" s="1"/>
  <c r="BK17" i="3" s="1"/>
  <c r="BL17" i="3" s="1"/>
  <c r="BM17" i="3" s="1"/>
  <c r="BO17" i="3" s="1"/>
  <c r="BP17" i="3" s="1"/>
  <c r="BQ17" i="3" s="1"/>
  <c r="BR17" i="3" s="1"/>
  <c r="R17" i="3"/>
  <c r="Q17" i="3"/>
  <c r="O17" i="3"/>
  <c r="AH16" i="3"/>
  <c r="AI16" i="3" s="1"/>
  <c r="AK16" i="3" s="1"/>
  <c r="BH15" i="3"/>
  <c r="BJ15" i="3" s="1"/>
  <c r="BK15" i="3" s="1"/>
  <c r="BL15" i="3" s="1"/>
  <c r="BM15" i="3" s="1"/>
  <c r="BO15" i="3" s="1"/>
  <c r="BP15" i="3" s="1"/>
  <c r="BQ15" i="3" s="1"/>
  <c r="BR15" i="3" s="1"/>
  <c r="BJ14" i="3"/>
  <c r="BK14" i="3" s="1"/>
  <c r="BL14" i="3" s="1"/>
  <c r="BM14" i="3" s="1"/>
  <c r="BO14" i="3" s="1"/>
  <c r="BP14" i="3" s="1"/>
  <c r="BQ14" i="3" s="1"/>
  <c r="BR14" i="3" s="1"/>
  <c r="BH14" i="3"/>
  <c r="AP12" i="3"/>
  <c r="AK12" i="3"/>
  <c r="AI12" i="3"/>
  <c r="AH12" i="3"/>
  <c r="AG12" i="3"/>
  <c r="AF12" i="3"/>
  <c r="AA12" i="3"/>
  <c r="Y12" i="3"/>
  <c r="Y20" i="3" s="1"/>
  <c r="X12" i="3"/>
  <c r="X42" i="3" s="1"/>
  <c r="W12" i="3"/>
  <c r="W42" i="3" s="1"/>
  <c r="V12" i="3"/>
  <c r="V42" i="3" s="1"/>
  <c r="T12" i="3"/>
  <c r="S12" i="3"/>
  <c r="R12" i="3"/>
  <c r="Q12" i="3"/>
  <c r="Q20" i="3" s="1"/>
  <c r="O12" i="3"/>
  <c r="AS11" i="3"/>
  <c r="AQ11" i="3"/>
  <c r="BH10" i="3"/>
  <c r="BJ10" i="3" s="1"/>
  <c r="AQ9" i="3"/>
  <c r="AR9" i="3" s="1"/>
  <c r="AL9" i="3"/>
  <c r="AL12" i="3" s="1"/>
  <c r="AG9" i="3"/>
  <c r="AG8" i="3" s="1"/>
  <c r="AG45" i="3" s="1"/>
  <c r="AI8" i="3"/>
  <c r="AN45" i="3" s="1"/>
  <c r="AH8" i="3"/>
  <c r="AD8" i="3"/>
  <c r="AF44" i="3" s="1"/>
  <c r="AC8" i="3"/>
  <c r="AC45" i="3" s="1"/>
  <c r="AB8" i="3"/>
  <c r="BG7" i="3"/>
  <c r="BF7" i="3"/>
  <c r="BE7" i="3"/>
  <c r="BC7" i="3"/>
  <c r="BR6" i="3"/>
  <c r="BQ6" i="3"/>
  <c r="BP6" i="3"/>
  <c r="BO6" i="3"/>
  <c r="BM6" i="3"/>
  <c r="BL6" i="3"/>
  <c r="BK6" i="3"/>
  <c r="BJ6" i="3"/>
  <c r="BH6" i="3"/>
  <c r="BG6" i="3"/>
  <c r="BF6" i="3"/>
  <c r="BE6" i="3"/>
  <c r="BC6" i="3"/>
  <c r="BB6" i="3"/>
  <c r="BA6" i="3"/>
  <c r="AZ6" i="3"/>
  <c r="AX6" i="3"/>
  <c r="AW6" i="3"/>
  <c r="AV6" i="3"/>
  <c r="AU6" i="3"/>
  <c r="AS6" i="3"/>
  <c r="AR6" i="3"/>
  <c r="AQ6" i="3"/>
  <c r="AP6" i="3"/>
  <c r="AN6" i="3"/>
  <c r="AM6" i="3"/>
  <c r="AL6" i="3"/>
  <c r="AK6" i="3"/>
  <c r="AI6" i="3"/>
  <c r="AH6" i="3"/>
  <c r="AG6" i="3"/>
  <c r="AF6" i="3"/>
  <c r="AD6" i="3"/>
  <c r="AC6" i="3"/>
  <c r="AB6" i="3"/>
  <c r="AA6" i="3"/>
  <c r="Y6" i="3"/>
  <c r="X6" i="3"/>
  <c r="W6" i="3"/>
  <c r="V6" i="3"/>
  <c r="T6" i="3"/>
  <c r="S6" i="3"/>
  <c r="R6" i="3"/>
  <c r="Q6" i="3"/>
  <c r="O6" i="3"/>
  <c r="N6" i="3"/>
  <c r="M6" i="3"/>
  <c r="L6" i="3"/>
  <c r="J6" i="3"/>
  <c r="I6" i="3"/>
  <c r="H6" i="3"/>
  <c r="G6" i="3"/>
  <c r="E6" i="3"/>
  <c r="D6" i="3"/>
  <c r="C6" i="3"/>
  <c r="B6" i="3"/>
  <c r="BH5" i="3"/>
  <c r="BG5" i="3"/>
  <c r="BF5" i="3"/>
  <c r="BE5" i="3"/>
  <c r="BC5" i="3"/>
  <c r="BB5" i="3"/>
  <c r="BA5" i="3"/>
  <c r="AZ5" i="3"/>
  <c r="AX5" i="3"/>
  <c r="AW5" i="3"/>
  <c r="AV5" i="3"/>
  <c r="AU5" i="3"/>
  <c r="AS5" i="3"/>
  <c r="AR5" i="3"/>
  <c r="AQ5" i="3"/>
  <c r="AP5" i="3"/>
  <c r="AN5" i="3"/>
  <c r="AM5" i="3"/>
  <c r="AL5" i="3"/>
  <c r="AK5" i="3"/>
  <c r="AI5" i="3"/>
  <c r="AH5" i="3"/>
  <c r="AG5" i="3"/>
  <c r="AF5" i="3"/>
  <c r="AD5" i="3"/>
  <c r="AC5" i="3"/>
  <c r="AB5" i="3"/>
  <c r="AA5" i="3"/>
  <c r="Y5" i="3"/>
  <c r="X5" i="3"/>
  <c r="W5" i="3"/>
  <c r="V5" i="3"/>
  <c r="T5" i="3"/>
  <c r="S5" i="3"/>
  <c r="R5" i="3"/>
  <c r="Q5" i="3"/>
  <c r="O5" i="3"/>
  <c r="N5" i="3"/>
  <c r="M5" i="3"/>
  <c r="L5" i="3"/>
  <c r="J5" i="3"/>
  <c r="I5" i="3"/>
  <c r="H5" i="3"/>
  <c r="G5" i="3"/>
  <c r="E5" i="3"/>
  <c r="D5" i="3"/>
  <c r="C5" i="3"/>
  <c r="B5" i="3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AF80" i="2"/>
  <c r="N80" i="2"/>
  <c r="BH79" i="2"/>
  <c r="BG79" i="2"/>
  <c r="BF79" i="2"/>
  <c r="BE79" i="2"/>
  <c r="BC79" i="2"/>
  <c r="BB79" i="2"/>
  <c r="BA79" i="2"/>
  <c r="AZ79" i="2"/>
  <c r="AX79" i="2"/>
  <c r="AW79" i="2"/>
  <c r="AV79" i="2"/>
  <c r="AU79" i="2"/>
  <c r="AS79" i="2"/>
  <c r="AR79" i="2"/>
  <c r="AN79" i="2"/>
  <c r="AM79" i="2"/>
  <c r="AI79" i="2"/>
  <c r="AH79" i="2"/>
  <c r="AG79" i="2"/>
  <c r="AF79" i="2"/>
  <c r="AD79" i="2"/>
  <c r="AC79" i="2"/>
  <c r="AB79" i="2"/>
  <c r="AA79" i="2"/>
  <c r="Y79" i="2"/>
  <c r="X79" i="2"/>
  <c r="W79" i="2"/>
  <c r="V79" i="2"/>
  <c r="T79" i="2"/>
  <c r="S79" i="2"/>
  <c r="R79" i="2"/>
  <c r="Q79" i="2"/>
  <c r="O79" i="2"/>
  <c r="N79" i="2"/>
  <c r="M79" i="2"/>
  <c r="L79" i="2"/>
  <c r="J79" i="2"/>
  <c r="I79" i="2"/>
  <c r="H79" i="2"/>
  <c r="G79" i="2"/>
  <c r="BH78" i="2"/>
  <c r="BG78" i="2"/>
  <c r="BF78" i="2"/>
  <c r="BE78" i="2"/>
  <c r="BC78" i="2"/>
  <c r="BB78" i="2"/>
  <c r="BA78" i="2"/>
  <c r="AZ78" i="2"/>
  <c r="AX78" i="2"/>
  <c r="AW78" i="2"/>
  <c r="AV78" i="2"/>
  <c r="AU78" i="2"/>
  <c r="AS78" i="2"/>
  <c r="AR78" i="2"/>
  <c r="AQ78" i="2"/>
  <c r="AP78" i="2"/>
  <c r="AN78" i="2"/>
  <c r="AM78" i="2"/>
  <c r="AL78" i="2"/>
  <c r="AK78" i="2"/>
  <c r="AI78" i="2"/>
  <c r="AH78" i="2"/>
  <c r="AG78" i="2"/>
  <c r="AF78" i="2"/>
  <c r="AD78" i="2"/>
  <c r="AC78" i="2"/>
  <c r="AB78" i="2"/>
  <c r="AA78" i="2"/>
  <c r="Y78" i="2"/>
  <c r="X78" i="2"/>
  <c r="W78" i="2"/>
  <c r="V78" i="2"/>
  <c r="T78" i="2"/>
  <c r="S78" i="2"/>
  <c r="R78" i="2"/>
  <c r="Q78" i="2"/>
  <c r="O78" i="2"/>
  <c r="N78" i="2"/>
  <c r="M78" i="2"/>
  <c r="L78" i="2"/>
  <c r="J78" i="2"/>
  <c r="I78" i="2"/>
  <c r="H78" i="2"/>
  <c r="G78" i="2"/>
  <c r="BH77" i="2"/>
  <c r="BG77" i="2"/>
  <c r="BF77" i="2"/>
  <c r="BE77" i="2"/>
  <c r="BC77" i="2"/>
  <c r="BB77" i="2"/>
  <c r="BA77" i="2"/>
  <c r="AZ77" i="2"/>
  <c r="AX77" i="2"/>
  <c r="AW77" i="2"/>
  <c r="AV77" i="2"/>
  <c r="AU77" i="2"/>
  <c r="AS77" i="2"/>
  <c r="AR77" i="2"/>
  <c r="AQ77" i="2"/>
  <c r="AP77" i="2"/>
  <c r="AN77" i="2"/>
  <c r="AM77" i="2"/>
  <c r="AL77" i="2"/>
  <c r="AK77" i="2"/>
  <c r="AI77" i="2"/>
  <c r="AH77" i="2"/>
  <c r="AG77" i="2"/>
  <c r="AF77" i="2"/>
  <c r="AD77" i="2"/>
  <c r="AC77" i="2"/>
  <c r="AB77" i="2"/>
  <c r="AA77" i="2"/>
  <c r="Y77" i="2"/>
  <c r="X77" i="2"/>
  <c r="W77" i="2"/>
  <c r="V77" i="2"/>
  <c r="T77" i="2"/>
  <c r="S77" i="2"/>
  <c r="R77" i="2"/>
  <c r="Q77" i="2"/>
  <c r="O77" i="2"/>
  <c r="N77" i="2"/>
  <c r="M77" i="2"/>
  <c r="L77" i="2"/>
  <c r="J77" i="2"/>
  <c r="I77" i="2"/>
  <c r="H77" i="2"/>
  <c r="G77" i="2"/>
  <c r="BF74" i="2"/>
  <c r="AQ74" i="2"/>
  <c r="V74" i="2"/>
  <c r="AX73" i="2"/>
  <c r="AV73" i="2"/>
  <c r="AU73" i="2"/>
  <c r="AR72" i="2"/>
  <c r="AK72" i="2"/>
  <c r="N72" i="2"/>
  <c r="H72" i="2"/>
  <c r="AP60" i="2"/>
  <c r="AL60" i="2"/>
  <c r="AP59" i="2"/>
  <c r="AK59" i="2"/>
  <c r="AI59" i="2"/>
  <c r="AH59" i="2"/>
  <c r="AF59" i="2"/>
  <c r="AK58" i="2"/>
  <c r="AD58" i="2"/>
  <c r="V58" i="2"/>
  <c r="N58" i="2"/>
  <c r="J58" i="2"/>
  <c r="H58" i="2"/>
  <c r="BI49" i="2"/>
  <c r="AZ49" i="2"/>
  <c r="BD49" i="2" s="1"/>
  <c r="AY49" i="2"/>
  <c r="AU49" i="2"/>
  <c r="BS48" i="2"/>
  <c r="BN48" i="2"/>
  <c r="BI48" i="2"/>
  <c r="AZ48" i="2"/>
  <c r="BD48" i="2" s="1"/>
  <c r="AU48" i="2"/>
  <c r="AY48" i="2" s="1"/>
  <c r="BS47" i="2"/>
  <c r="BN47" i="2"/>
  <c r="BI47" i="2"/>
  <c r="AZ47" i="2"/>
  <c r="BD47" i="2" s="1"/>
  <c r="AY47" i="2"/>
  <c r="AU47" i="2"/>
  <c r="BS46" i="2"/>
  <c r="BN46" i="2"/>
  <c r="BI46" i="2"/>
  <c r="AZ46" i="2"/>
  <c r="BD46" i="2" s="1"/>
  <c r="AU46" i="2"/>
  <c r="AY46" i="2" s="1"/>
  <c r="BO45" i="2"/>
  <c r="BJ45" i="2"/>
  <c r="BI45" i="2"/>
  <c r="AZ45" i="2"/>
  <c r="BD45" i="2" s="1"/>
  <c r="AU45" i="2"/>
  <c r="AY45" i="2" s="1"/>
  <c r="BS44" i="2"/>
  <c r="BN44" i="2"/>
  <c r="BI44" i="2"/>
  <c r="AZ44" i="2"/>
  <c r="BD44" i="2" s="1"/>
  <c r="AU44" i="2"/>
  <c r="AY44" i="2" s="1"/>
  <c r="BO43" i="2"/>
  <c r="BJ43" i="2"/>
  <c r="BI43" i="2"/>
  <c r="AZ43" i="2"/>
  <c r="BD43" i="2" s="1"/>
  <c r="AU43" i="2"/>
  <c r="AY43" i="2" s="1"/>
  <c r="BP40" i="2"/>
  <c r="BL40" i="2"/>
  <c r="BK40" i="2"/>
  <c r="BI40" i="2"/>
  <c r="BD40" i="2"/>
  <c r="AZ40" i="2"/>
  <c r="AY40" i="2"/>
  <c r="AU40" i="2"/>
  <c r="BP39" i="2"/>
  <c r="BQ39" i="2" s="1"/>
  <c r="BR39" i="2" s="1"/>
  <c r="BS39" i="2" s="1"/>
  <c r="BK39" i="2"/>
  <c r="BL39" i="2" s="1"/>
  <c r="BM39" i="2" s="1"/>
  <c r="BN39" i="2" s="1"/>
  <c r="BI39" i="2"/>
  <c r="AZ39" i="2"/>
  <c r="BD39" i="2" s="1"/>
  <c r="AU39" i="2"/>
  <c r="AY39" i="2" s="1"/>
  <c r="BP38" i="2"/>
  <c r="BQ38" i="2" s="1"/>
  <c r="BK38" i="2"/>
  <c r="BL38" i="2" s="1"/>
  <c r="BI38" i="2"/>
  <c r="BD38" i="2"/>
  <c r="AZ38" i="2"/>
  <c r="AU38" i="2"/>
  <c r="AY38" i="2" s="1"/>
  <c r="BQ37" i="2"/>
  <c r="BR37" i="2" s="1"/>
  <c r="BR45" i="2" s="1"/>
  <c r="BP37" i="2"/>
  <c r="BP45" i="2" s="1"/>
  <c r="BL37" i="2"/>
  <c r="BK37" i="2"/>
  <c r="BI37" i="2"/>
  <c r="BD37" i="2"/>
  <c r="AZ37" i="2"/>
  <c r="AY37" i="2"/>
  <c r="AU37" i="2"/>
  <c r="BP36" i="2"/>
  <c r="BQ36" i="2" s="1"/>
  <c r="BK36" i="2"/>
  <c r="BI36" i="2"/>
  <c r="AZ36" i="2"/>
  <c r="BD36" i="2" s="1"/>
  <c r="AU36" i="2"/>
  <c r="AY36" i="2" s="1"/>
  <c r="BI33" i="2"/>
  <c r="BD33" i="2"/>
  <c r="AY33" i="2"/>
  <c r="AS33" i="2"/>
  <c r="AR33" i="2"/>
  <c r="AQ33" i="2"/>
  <c r="AP33" i="2"/>
  <c r="AO33" i="2"/>
  <c r="AO32" i="2" s="1"/>
  <c r="AN33" i="2"/>
  <c r="AM33" i="2"/>
  <c r="AL33" i="2"/>
  <c r="AK33" i="2"/>
  <c r="AI33" i="2"/>
  <c r="BS32" i="2"/>
  <c r="BN32" i="2"/>
  <c r="BI32" i="2"/>
  <c r="BD32" i="2"/>
  <c r="AY32" i="2"/>
  <c r="AH32" i="2"/>
  <c r="AG32" i="2"/>
  <c r="AF32" i="2"/>
  <c r="AE32" i="2"/>
  <c r="Z32" i="2"/>
  <c r="X32" i="2"/>
  <c r="W32" i="2"/>
  <c r="V32" i="2"/>
  <c r="U32" i="2"/>
  <c r="T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BJ31" i="2"/>
  <c r="BI31" i="2"/>
  <c r="BD31" i="2"/>
  <c r="AY31" i="2"/>
  <c r="AT31" i="2"/>
  <c r="AT33" i="2" s="1"/>
  <c r="AT32" i="2" s="1"/>
  <c r="AO31" i="2"/>
  <c r="AJ31" i="2"/>
  <c r="BS28" i="2"/>
  <c r="BN28" i="2"/>
  <c r="BI28" i="2"/>
  <c r="BD28" i="2"/>
  <c r="AY28" i="2"/>
  <c r="AT28" i="2"/>
  <c r="AR28" i="2"/>
  <c r="AQ28" i="2"/>
  <c r="AP28" i="2"/>
  <c r="AO28" i="2"/>
  <c r="AJ28" i="2"/>
  <c r="AE28" i="2"/>
  <c r="Z28" i="2"/>
  <c r="U28" i="2"/>
  <c r="P28" i="2"/>
  <c r="K28" i="2"/>
  <c r="F28" i="2"/>
  <c r="BS27" i="2"/>
  <c r="BN27" i="2"/>
  <c r="BI27" i="2"/>
  <c r="BD27" i="2"/>
  <c r="AY27" i="2"/>
  <c r="AT27" i="2"/>
  <c r="AO27" i="2"/>
  <c r="AJ27" i="2"/>
  <c r="AE27" i="2"/>
  <c r="Z27" i="2"/>
  <c r="U27" i="2"/>
  <c r="P27" i="2"/>
  <c r="K27" i="2"/>
  <c r="F27" i="2"/>
  <c r="BH24" i="2"/>
  <c r="BG24" i="2"/>
  <c r="BI24" i="2" s="1"/>
  <c r="BF24" i="2"/>
  <c r="BC24" i="2"/>
  <c r="AY24" i="2"/>
  <c r="AP24" i="2"/>
  <c r="AK24" i="2"/>
  <c r="AJ24" i="2"/>
  <c r="AE24" i="2"/>
  <c r="Z24" i="2"/>
  <c r="U24" i="2"/>
  <c r="P24" i="2"/>
  <c r="K24" i="2"/>
  <c r="F24" i="2"/>
  <c r="BS22" i="2"/>
  <c r="BN22" i="2"/>
  <c r="BH22" i="2"/>
  <c r="BG22" i="2"/>
  <c r="BI22" i="2" s="1"/>
  <c r="BC22" i="2"/>
  <c r="BD22" i="2" s="1"/>
  <c r="AY22" i="2"/>
  <c r="AT22" i="2"/>
  <c r="AO22" i="2"/>
  <c r="AJ22" i="2"/>
  <c r="AE22" i="2"/>
  <c r="Z22" i="2"/>
  <c r="U22" i="2"/>
  <c r="P22" i="2"/>
  <c r="K22" i="2"/>
  <c r="F22" i="2"/>
  <c r="BS21" i="2"/>
  <c r="BN21" i="2"/>
  <c r="BI21" i="2"/>
  <c r="BD21" i="2"/>
  <c r="AY21" i="2"/>
  <c r="AT21" i="2"/>
  <c r="AO21" i="2"/>
  <c r="AJ21" i="2"/>
  <c r="AE21" i="2"/>
  <c r="Z21" i="2"/>
  <c r="U21" i="2"/>
  <c r="P21" i="2"/>
  <c r="K21" i="2"/>
  <c r="F21" i="2"/>
  <c r="BH19" i="2"/>
  <c r="BG19" i="2"/>
  <c r="BF19" i="2"/>
  <c r="BF80" i="2" s="1"/>
  <c r="BE19" i="2"/>
  <c r="BC19" i="2"/>
  <c r="BB19" i="2"/>
  <c r="BB80" i="2" s="1"/>
  <c r="BA19" i="2"/>
  <c r="AZ19" i="2"/>
  <c r="AX19" i="2"/>
  <c r="AX80" i="2" s="1"/>
  <c r="AW19" i="2"/>
  <c r="AW80" i="2" s="1"/>
  <c r="AV19" i="2"/>
  <c r="AU19" i="2"/>
  <c r="AS19" i="2"/>
  <c r="AR19" i="2"/>
  <c r="AQ19" i="2"/>
  <c r="AP19" i="2"/>
  <c r="AN19" i="2"/>
  <c r="AM19" i="2"/>
  <c r="AI19" i="2"/>
  <c r="AH19" i="2"/>
  <c r="AH80" i="2" s="1"/>
  <c r="AG19" i="2"/>
  <c r="AF19" i="2"/>
  <c r="AD19" i="2"/>
  <c r="AC19" i="2"/>
  <c r="AB19" i="2"/>
  <c r="AB80" i="2" s="1"/>
  <c r="AA19" i="2"/>
  <c r="Y19" i="2"/>
  <c r="X19" i="2"/>
  <c r="W19" i="2"/>
  <c r="V19" i="2"/>
  <c r="T19" i="2"/>
  <c r="S19" i="2"/>
  <c r="R19" i="2"/>
  <c r="Q19" i="2"/>
  <c r="O19" i="2"/>
  <c r="O80" i="2" s="1"/>
  <c r="N19" i="2"/>
  <c r="M19" i="2"/>
  <c r="L19" i="2"/>
  <c r="J19" i="2"/>
  <c r="J80" i="2" s="1"/>
  <c r="I19" i="2"/>
  <c r="H19" i="2"/>
  <c r="H80" i="2" s="1"/>
  <c r="G19" i="2"/>
  <c r="E19" i="2"/>
  <c r="D19" i="2"/>
  <c r="C19" i="2"/>
  <c r="B19" i="2"/>
  <c r="BI18" i="2"/>
  <c r="BD18" i="2"/>
  <c r="BD79" i="2" s="1"/>
  <c r="AY18" i="2"/>
  <c r="AT18" i="2"/>
  <c r="AL18" i="2"/>
  <c r="AQ79" i="2" s="1"/>
  <c r="AK18" i="2"/>
  <c r="AJ18" i="2"/>
  <c r="AE18" i="2"/>
  <c r="AE79" i="2" s="1"/>
  <c r="Z18" i="2"/>
  <c r="U18" i="2"/>
  <c r="P18" i="2"/>
  <c r="U79" i="2" s="1"/>
  <c r="K18" i="2"/>
  <c r="F18" i="2"/>
  <c r="BI17" i="2"/>
  <c r="BI78" i="2" s="1"/>
  <c r="BD17" i="2"/>
  <c r="BD78" i="2" s="1"/>
  <c r="AY17" i="2"/>
  <c r="AT17" i="2"/>
  <c r="AO17" i="2"/>
  <c r="AJ17" i="2"/>
  <c r="AE17" i="2"/>
  <c r="Z17" i="2"/>
  <c r="U17" i="2"/>
  <c r="P17" i="2"/>
  <c r="P78" i="2" s="1"/>
  <c r="K17" i="2"/>
  <c r="K78" i="2" s="1"/>
  <c r="F17" i="2"/>
  <c r="BI16" i="2"/>
  <c r="BD16" i="2"/>
  <c r="BD77" i="2" s="1"/>
  <c r="AY16" i="2"/>
  <c r="AY77" i="2" s="1"/>
  <c r="AT16" i="2"/>
  <c r="AO16" i="2"/>
  <c r="AO77" i="2" s="1"/>
  <c r="AJ16" i="2"/>
  <c r="AE16" i="2"/>
  <c r="Z16" i="2"/>
  <c r="U16" i="2"/>
  <c r="P16" i="2"/>
  <c r="K16" i="2"/>
  <c r="F16" i="2"/>
  <c r="BH14" i="2"/>
  <c r="BG14" i="2"/>
  <c r="BF14" i="2"/>
  <c r="BD14" i="2"/>
  <c r="AY14" i="2"/>
  <c r="AS14" i="2"/>
  <c r="AR14" i="2"/>
  <c r="AQ14" i="2"/>
  <c r="AP14" i="2"/>
  <c r="AN14" i="2"/>
  <c r="AM14" i="2"/>
  <c r="AL14" i="2"/>
  <c r="AK14" i="2"/>
  <c r="AI14" i="2"/>
  <c r="AH14" i="2"/>
  <c r="AG14" i="2"/>
  <c r="AD14" i="2"/>
  <c r="AC14" i="2"/>
  <c r="AB14" i="2"/>
  <c r="AA14" i="2"/>
  <c r="AE14" i="2" s="1"/>
  <c r="Y14" i="2"/>
  <c r="X14" i="2"/>
  <c r="W14" i="2"/>
  <c r="V14" i="2"/>
  <c r="Z14" i="2" s="1"/>
  <c r="T14" i="2"/>
  <c r="S14" i="2"/>
  <c r="R14" i="2"/>
  <c r="Q14" i="2"/>
  <c r="O14" i="2"/>
  <c r="N14" i="2"/>
  <c r="M14" i="2"/>
  <c r="L14" i="2"/>
  <c r="J14" i="2"/>
  <c r="I14" i="2"/>
  <c r="H14" i="2"/>
  <c r="G14" i="2"/>
  <c r="K14" i="2" s="1"/>
  <c r="F14" i="2"/>
  <c r="E14" i="2"/>
  <c r="D14" i="2"/>
  <c r="C14" i="2"/>
  <c r="B14" i="2"/>
  <c r="BS13" i="2"/>
  <c r="BN13" i="2"/>
  <c r="BI13" i="2"/>
  <c r="BD13" i="2"/>
  <c r="AY13" i="2"/>
  <c r="AT13" i="2"/>
  <c r="AO13" i="2"/>
  <c r="AJ13" i="2"/>
  <c r="AE13" i="2"/>
  <c r="Z13" i="2"/>
  <c r="U13" i="2"/>
  <c r="P13" i="2"/>
  <c r="K13" i="2"/>
  <c r="F13" i="2"/>
  <c r="BS12" i="2"/>
  <c r="BN12" i="2"/>
  <c r="BI12" i="2"/>
  <c r="BD12" i="2"/>
  <c r="AY12" i="2"/>
  <c r="AT12" i="2"/>
  <c r="AO12" i="2"/>
  <c r="AJ12" i="2"/>
  <c r="AE12" i="2"/>
  <c r="Z12" i="2"/>
  <c r="U12" i="2"/>
  <c r="P12" i="2"/>
  <c r="K12" i="2"/>
  <c r="F12" i="2"/>
  <c r="BS11" i="2"/>
  <c r="BN11" i="2"/>
  <c r="BI11" i="2"/>
  <c r="BD11" i="2"/>
  <c r="AY11" i="2"/>
  <c r="AT11" i="2"/>
  <c r="AO11" i="2"/>
  <c r="AF11" i="2"/>
  <c r="AF14" i="2" s="1"/>
  <c r="AE11" i="2"/>
  <c r="AD11" i="2"/>
  <c r="Z11" i="2"/>
  <c r="U11" i="2"/>
  <c r="P11" i="2"/>
  <c r="K11" i="2"/>
  <c r="F11" i="2"/>
  <c r="BI9" i="2"/>
  <c r="BH9" i="2"/>
  <c r="BG9" i="2"/>
  <c r="BF9" i="2"/>
  <c r="BE9" i="2"/>
  <c r="BC9" i="2"/>
  <c r="BH74" i="2" s="1"/>
  <c r="BB9" i="2"/>
  <c r="BA9" i="2"/>
  <c r="AZ9" i="2"/>
  <c r="AX9" i="2"/>
  <c r="BC74" i="2" s="1"/>
  <c r="AW9" i="2"/>
  <c r="AV9" i="2"/>
  <c r="AV74" i="2" s="1"/>
  <c r="AU9" i="2"/>
  <c r="AU74" i="2" s="1"/>
  <c r="AS9" i="2"/>
  <c r="AS60" i="2" s="1"/>
  <c r="AR9" i="2"/>
  <c r="AQ9" i="2"/>
  <c r="AP9" i="2"/>
  <c r="AN9" i="2"/>
  <c r="AN60" i="2" s="1"/>
  <c r="AM9" i="2"/>
  <c r="AL9" i="2"/>
  <c r="AK9" i="2"/>
  <c r="AK60" i="2" s="1"/>
  <c r="AI9" i="2"/>
  <c r="AI60" i="2" s="1"/>
  <c r="AH9" i="2"/>
  <c r="AG9" i="2"/>
  <c r="AG60" i="2" s="1"/>
  <c r="AF9" i="2"/>
  <c r="AD9" i="2"/>
  <c r="AA9" i="2"/>
  <c r="Y9" i="2"/>
  <c r="X9" i="2"/>
  <c r="W9" i="2"/>
  <c r="V9" i="2"/>
  <c r="AA74" i="2" s="1"/>
  <c r="T9" i="2"/>
  <c r="S9" i="2"/>
  <c r="R9" i="2"/>
  <c r="R10" i="2" s="1"/>
  <c r="R57" i="2" s="1"/>
  <c r="Q9" i="2"/>
  <c r="U9" i="2" s="1"/>
  <c r="O9" i="2"/>
  <c r="N9" i="2"/>
  <c r="M9" i="2"/>
  <c r="L9" i="2"/>
  <c r="J9" i="2"/>
  <c r="J74" i="2" s="1"/>
  <c r="I9" i="2"/>
  <c r="H9" i="2"/>
  <c r="H74" i="2" s="1"/>
  <c r="G9" i="2"/>
  <c r="E9" i="2"/>
  <c r="D9" i="2"/>
  <c r="C9" i="2"/>
  <c r="B9" i="2"/>
  <c r="BH8" i="2"/>
  <c r="BG8" i="2"/>
  <c r="BF8" i="2"/>
  <c r="BE8" i="2"/>
  <c r="BC8" i="2"/>
  <c r="BB8" i="2"/>
  <c r="BA8" i="2"/>
  <c r="AZ8" i="2"/>
  <c r="AX8" i="2"/>
  <c r="AW8" i="2"/>
  <c r="AV8" i="2"/>
  <c r="AU8" i="2"/>
  <c r="AS8" i="2"/>
  <c r="AS59" i="2" s="1"/>
  <c r="AR8" i="2"/>
  <c r="AQ8" i="2"/>
  <c r="AQ59" i="2" s="1"/>
  <c r="AP8" i="2"/>
  <c r="AN8" i="2"/>
  <c r="AM8" i="2"/>
  <c r="AM59" i="2" s="1"/>
  <c r="AL8" i="2"/>
  <c r="AL59" i="2" s="1"/>
  <c r="AK8" i="2"/>
  <c r="AI8" i="2"/>
  <c r="AH8" i="2"/>
  <c r="AG8" i="2"/>
  <c r="AF8" i="2"/>
  <c r="AD8" i="2"/>
  <c r="AD10" i="2" s="1"/>
  <c r="AD54" i="2" s="1"/>
  <c r="AC8" i="2"/>
  <c r="AB8" i="2"/>
  <c r="AA8" i="2"/>
  <c r="Y8" i="2"/>
  <c r="Y73" i="2" s="1"/>
  <c r="X8" i="2"/>
  <c r="AC73" i="2" s="1"/>
  <c r="W8" i="2"/>
  <c r="W73" i="2" s="1"/>
  <c r="V8" i="2"/>
  <c r="V73" i="2" s="1"/>
  <c r="U8" i="2"/>
  <c r="T8" i="2"/>
  <c r="T10" i="2" s="1"/>
  <c r="T15" i="2" s="1"/>
  <c r="T61" i="2" s="1"/>
  <c r="S8" i="2"/>
  <c r="R8" i="2"/>
  <c r="Q8" i="2"/>
  <c r="O8" i="2"/>
  <c r="N8" i="2"/>
  <c r="M8" i="2"/>
  <c r="M73" i="2" s="1"/>
  <c r="L8" i="2"/>
  <c r="L73" i="2" s="1"/>
  <c r="J8" i="2"/>
  <c r="J73" i="2" s="1"/>
  <c r="I8" i="2"/>
  <c r="H8" i="2"/>
  <c r="H73" i="2" s="1"/>
  <c r="G8" i="2"/>
  <c r="E8" i="2"/>
  <c r="D8" i="2"/>
  <c r="C8" i="2"/>
  <c r="B8" i="2"/>
  <c r="BH7" i="2"/>
  <c r="BG7" i="2"/>
  <c r="BF7" i="2"/>
  <c r="BF10" i="2" s="1"/>
  <c r="BE7" i="2"/>
  <c r="BC7" i="2"/>
  <c r="BB7" i="2"/>
  <c r="BA7" i="2"/>
  <c r="AZ7" i="2"/>
  <c r="BE72" i="2" s="1"/>
  <c r="AX7" i="2"/>
  <c r="AW7" i="2"/>
  <c r="AW72" i="2" s="1"/>
  <c r="AV7" i="2"/>
  <c r="AV10" i="2" s="1"/>
  <c r="AU7" i="2"/>
  <c r="AS7" i="2"/>
  <c r="AS10" i="2" s="1"/>
  <c r="AR7" i="2"/>
  <c r="AR58" i="2" s="1"/>
  <c r="AQ7" i="2"/>
  <c r="AV72" i="2" s="1"/>
  <c r="AP7" i="2"/>
  <c r="AN7" i="2"/>
  <c r="AM7" i="2"/>
  <c r="AM58" i="2" s="1"/>
  <c r="AL7" i="2"/>
  <c r="AK7" i="2"/>
  <c r="AK10" i="2" s="1"/>
  <c r="AI7" i="2"/>
  <c r="AI58" i="2" s="1"/>
  <c r="AH7" i="2"/>
  <c r="AH58" i="2" s="1"/>
  <c r="AG7" i="2"/>
  <c r="AF7" i="2"/>
  <c r="AJ7" i="2" s="1"/>
  <c r="AD7" i="2"/>
  <c r="AC7" i="2"/>
  <c r="AB7" i="2"/>
  <c r="AA7" i="2"/>
  <c r="Y7" i="2"/>
  <c r="X7" i="2"/>
  <c r="X72" i="2" s="1"/>
  <c r="W7" i="2"/>
  <c r="V7" i="2"/>
  <c r="T7" i="2"/>
  <c r="T58" i="2" s="1"/>
  <c r="S7" i="2"/>
  <c r="S58" i="2" s="1"/>
  <c r="R7" i="2"/>
  <c r="Q7" i="2"/>
  <c r="Q58" i="2" s="1"/>
  <c r="O7" i="2"/>
  <c r="N7" i="2"/>
  <c r="M7" i="2"/>
  <c r="L7" i="2"/>
  <c r="L10" i="2" s="1"/>
  <c r="J7" i="2"/>
  <c r="J72" i="2" s="1"/>
  <c r="I7" i="2"/>
  <c r="I72" i="2" s="1"/>
  <c r="H7" i="2"/>
  <c r="K7" i="2" s="1"/>
  <c r="G7" i="2"/>
  <c r="G58" i="2" s="1"/>
  <c r="E7" i="2"/>
  <c r="D7" i="2"/>
  <c r="C7" i="2"/>
  <c r="B7" i="2"/>
  <c r="B58" i="2" s="1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BS5" i="2"/>
  <c r="BN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BJ46" i="1"/>
  <c r="BG46" i="1"/>
  <c r="BE42" i="1"/>
  <c r="BC42" i="1"/>
  <c r="BK41" i="1"/>
  <c r="BG41" i="1"/>
  <c r="BE41" i="1"/>
  <c r="BC41" i="1"/>
  <c r="BB41" i="1"/>
  <c r="BB46" i="1" s="1"/>
  <c r="BA41" i="1"/>
  <c r="BA46" i="1" s="1"/>
  <c r="AZ41" i="1"/>
  <c r="AX41" i="1"/>
  <c r="AW41" i="1"/>
  <c r="AV41" i="1"/>
  <c r="AU41" i="1"/>
  <c r="AS41" i="1"/>
  <c r="AR41" i="1"/>
  <c r="AR46" i="1" s="1"/>
  <c r="AQ41" i="1"/>
  <c r="AP41" i="1"/>
  <c r="AN41" i="1"/>
  <c r="AN46" i="1" s="1"/>
  <c r="AM41" i="1"/>
  <c r="AL41" i="1"/>
  <c r="AL46" i="1" s="1"/>
  <c r="AK41" i="1"/>
  <c r="AI41" i="1"/>
  <c r="AI46" i="1" s="1"/>
  <c r="AH41" i="1"/>
  <c r="AG41" i="1"/>
  <c r="AF41" i="1"/>
  <c r="AD41" i="1"/>
  <c r="AC41" i="1"/>
  <c r="AC46" i="1" s="1"/>
  <c r="AB41" i="1"/>
  <c r="AA41" i="1"/>
  <c r="AA46" i="1" s="1"/>
  <c r="Y41" i="1"/>
  <c r="Y46" i="1" s="1"/>
  <c r="X41" i="1"/>
  <c r="W41" i="1"/>
  <c r="W46" i="1" s="1"/>
  <c r="V41" i="1"/>
  <c r="T41" i="1"/>
  <c r="T46" i="1" s="1"/>
  <c r="S41" i="1"/>
  <c r="R41" i="1"/>
  <c r="Q41" i="1"/>
  <c r="Q46" i="1" s="1"/>
  <c r="O41" i="1"/>
  <c r="N41" i="1"/>
  <c r="M41" i="1"/>
  <c r="L41" i="1"/>
  <c r="J41" i="1"/>
  <c r="I41" i="1"/>
  <c r="H41" i="1"/>
  <c r="G41" i="1"/>
  <c r="E41" i="1"/>
  <c r="D41" i="1"/>
  <c r="C41" i="1"/>
  <c r="B41" i="1"/>
  <c r="BL40" i="1"/>
  <c r="BK40" i="1"/>
  <c r="BC40" i="1"/>
  <c r="BC45" i="1" s="1"/>
  <c r="BB40" i="1"/>
  <c r="BA40" i="1"/>
  <c r="AZ40" i="1"/>
  <c r="AX40" i="1"/>
  <c r="AS40" i="1"/>
  <c r="AR40" i="1"/>
  <c r="AQ40" i="1"/>
  <c r="AP40" i="1"/>
  <c r="AI40" i="1"/>
  <c r="AI45" i="1" s="1"/>
  <c r="AH40" i="1"/>
  <c r="AG40" i="1"/>
  <c r="AG45" i="1" s="1"/>
  <c r="AF40" i="1"/>
  <c r="AF45" i="1" s="1"/>
  <c r="AD40" i="1"/>
  <c r="AD45" i="1" s="1"/>
  <c r="AC40" i="1"/>
  <c r="AB40" i="1"/>
  <c r="AA40" i="1"/>
  <c r="Y40" i="1"/>
  <c r="X40" i="1"/>
  <c r="W40" i="1"/>
  <c r="W45" i="1" s="1"/>
  <c r="V40" i="1"/>
  <c r="T40" i="1"/>
  <c r="T45" i="1" s="1"/>
  <c r="S40" i="1"/>
  <c r="S45" i="1" s="1"/>
  <c r="R40" i="1"/>
  <c r="Q40" i="1"/>
  <c r="O40" i="1"/>
  <c r="N40" i="1"/>
  <c r="M40" i="1"/>
  <c r="M45" i="1" s="1"/>
  <c r="L40" i="1"/>
  <c r="J40" i="1"/>
  <c r="I40" i="1"/>
  <c r="H40" i="1"/>
  <c r="G40" i="1"/>
  <c r="E40" i="1"/>
  <c r="D40" i="1"/>
  <c r="C40" i="1"/>
  <c r="B40" i="1"/>
  <c r="BC37" i="1"/>
  <c r="BG36" i="1"/>
  <c r="BE36" i="1"/>
  <c r="BD36" i="1"/>
  <c r="BC36" i="1"/>
  <c r="BB36" i="1"/>
  <c r="BA36" i="1"/>
  <c r="AZ36" i="1"/>
  <c r="AX36" i="1"/>
  <c r="AW36" i="1"/>
  <c r="AV36" i="1"/>
  <c r="AU36" i="1"/>
  <c r="AS36" i="1"/>
  <c r="AR36" i="1"/>
  <c r="AQ36" i="1"/>
  <c r="AP36" i="1"/>
  <c r="AM36" i="1"/>
  <c r="AL36" i="1"/>
  <c r="AK36" i="1"/>
  <c r="AI36" i="1"/>
  <c r="AH36" i="1"/>
  <c r="AG36" i="1"/>
  <c r="AF36" i="1"/>
  <c r="AD36" i="1"/>
  <c r="AC36" i="1"/>
  <c r="AB36" i="1"/>
  <c r="AA36" i="1"/>
  <c r="Y36" i="1"/>
  <c r="X36" i="1"/>
  <c r="W36" i="1"/>
  <c r="V36" i="1"/>
  <c r="T36" i="1"/>
  <c r="S36" i="1"/>
  <c r="R36" i="1"/>
  <c r="Q36" i="1"/>
  <c r="O36" i="1"/>
  <c r="N36" i="1"/>
  <c r="M36" i="1"/>
  <c r="L36" i="1"/>
  <c r="J36" i="1"/>
  <c r="I36" i="1"/>
  <c r="H36" i="1"/>
  <c r="G36" i="1"/>
  <c r="BC35" i="1"/>
  <c r="AX35" i="1"/>
  <c r="AW35" i="1"/>
  <c r="AV35" i="1"/>
  <c r="BH34" i="1"/>
  <c r="BG34" i="1"/>
  <c r="BF34" i="1"/>
  <c r="BE34" i="1"/>
  <c r="BC34" i="1"/>
  <c r="BB34" i="1"/>
  <c r="BA34" i="1"/>
  <c r="AZ34" i="1"/>
  <c r="AX34" i="1"/>
  <c r="AW34" i="1"/>
  <c r="AV34" i="1"/>
  <c r="AU34" i="1"/>
  <c r="AS34" i="1"/>
  <c r="AR34" i="1"/>
  <c r="AQ34" i="1"/>
  <c r="AP34" i="1"/>
  <c r="AN34" i="1"/>
  <c r="AM34" i="1"/>
  <c r="AL34" i="1"/>
  <c r="AK34" i="1"/>
  <c r="AI34" i="1"/>
  <c r="AH34" i="1"/>
  <c r="AG34" i="1"/>
  <c r="AF34" i="1"/>
  <c r="AD34" i="1"/>
  <c r="AC34" i="1"/>
  <c r="AB34" i="1"/>
  <c r="AA34" i="1"/>
  <c r="Y34" i="1"/>
  <c r="X34" i="1"/>
  <c r="W34" i="1"/>
  <c r="V34" i="1"/>
  <c r="T34" i="1"/>
  <c r="S34" i="1"/>
  <c r="R34" i="1"/>
  <c r="Q34" i="1"/>
  <c r="O34" i="1"/>
  <c r="N34" i="1"/>
  <c r="M34" i="1"/>
  <c r="L34" i="1"/>
  <c r="J34" i="1"/>
  <c r="I34" i="1"/>
  <c r="H34" i="1"/>
  <c r="G34" i="1"/>
  <c r="BH33" i="1"/>
  <c r="BG33" i="1"/>
  <c r="BE33" i="1"/>
  <c r="AP33" i="1"/>
  <c r="AM33" i="1"/>
  <c r="AL33" i="1"/>
  <c r="AK33" i="1"/>
  <c r="AI33" i="1"/>
  <c r="AH33" i="1"/>
  <c r="AG33" i="1"/>
  <c r="AF33" i="1"/>
  <c r="AD33" i="1"/>
  <c r="AC33" i="1"/>
  <c r="AB33" i="1"/>
  <c r="AA33" i="1"/>
  <c r="Y33" i="1"/>
  <c r="X33" i="1"/>
  <c r="W33" i="1"/>
  <c r="V33" i="1"/>
  <c r="T33" i="1"/>
  <c r="S33" i="1"/>
  <c r="R33" i="1"/>
  <c r="Q33" i="1"/>
  <c r="O33" i="1"/>
  <c r="N33" i="1"/>
  <c r="M33" i="1"/>
  <c r="L33" i="1"/>
  <c r="J33" i="1"/>
  <c r="I33" i="1"/>
  <c r="H33" i="1"/>
  <c r="G33" i="1"/>
  <c r="BB30" i="1"/>
  <c r="BA30" i="1"/>
  <c r="AZ30" i="1"/>
  <c r="BE37" i="1" s="1"/>
  <c r="AX30" i="1"/>
  <c r="AX42" i="1" s="1"/>
  <c r="BC47" i="1" s="1"/>
  <c r="AS30" i="1"/>
  <c r="AX37" i="1" s="1"/>
  <c r="AR30" i="1"/>
  <c r="AQ30" i="1"/>
  <c r="AQ42" i="1" s="1"/>
  <c r="AP30" i="1"/>
  <c r="AG30" i="1"/>
  <c r="S30" i="1"/>
  <c r="BL29" i="1"/>
  <c r="BJ29" i="1"/>
  <c r="BO29" i="1" s="1"/>
  <c r="BH29" i="1"/>
  <c r="BH41" i="1" s="1"/>
  <c r="BH46" i="1" s="1"/>
  <c r="BF29" i="1"/>
  <c r="BD29" i="1"/>
  <c r="AY29" i="1"/>
  <c r="AT29" i="1"/>
  <c r="AO29" i="1"/>
  <c r="AO41" i="1" s="1"/>
  <c r="AJ29" i="1"/>
  <c r="AE29" i="1"/>
  <c r="Z29" i="1"/>
  <c r="AE36" i="1" s="1"/>
  <c r="U29" i="1"/>
  <c r="P29" i="1"/>
  <c r="P36" i="1" s="1"/>
  <c r="K29" i="1"/>
  <c r="K36" i="1" s="1"/>
  <c r="F29" i="1"/>
  <c r="BH28" i="1"/>
  <c r="BH35" i="1" s="1"/>
  <c r="BG28" i="1"/>
  <c r="BG40" i="1" s="1"/>
  <c r="BG45" i="1" s="1"/>
  <c r="BE28" i="1"/>
  <c r="BD28" i="1"/>
  <c r="AW28" i="1"/>
  <c r="BB35" i="1" s="1"/>
  <c r="AV28" i="1"/>
  <c r="AV26" i="1" s="1"/>
  <c r="BA33" i="1" s="1"/>
  <c r="AU28" i="1"/>
  <c r="AY28" i="1" s="1"/>
  <c r="AY35" i="1" s="1"/>
  <c r="AT28" i="1"/>
  <c r="AP28" i="1"/>
  <c r="AP35" i="1" s="1"/>
  <c r="AN28" i="1"/>
  <c r="AN40" i="1" s="1"/>
  <c r="AN45" i="1" s="1"/>
  <c r="AM28" i="1"/>
  <c r="AM40" i="1" s="1"/>
  <c r="AR45" i="1" s="1"/>
  <c r="AL28" i="1"/>
  <c r="AK28" i="1"/>
  <c r="AI28" i="1"/>
  <c r="AI30" i="1" s="1"/>
  <c r="AH28" i="1"/>
  <c r="AH35" i="1" s="1"/>
  <c r="AG28" i="1"/>
  <c r="AF28" i="1"/>
  <c r="AF30" i="1" s="1"/>
  <c r="AF42" i="1" s="1"/>
  <c r="AD28" i="1"/>
  <c r="AD30" i="1" s="1"/>
  <c r="AC28" i="1"/>
  <c r="AC30" i="1" s="1"/>
  <c r="AC42" i="1" s="1"/>
  <c r="AB28" i="1"/>
  <c r="AB30" i="1" s="1"/>
  <c r="AB42" i="1" s="1"/>
  <c r="AA28" i="1"/>
  <c r="Y28" i="1"/>
  <c r="X28" i="1"/>
  <c r="W28" i="1"/>
  <c r="V28" i="1"/>
  <c r="T28" i="1"/>
  <c r="S28" i="1"/>
  <c r="R28" i="1"/>
  <c r="R30" i="1" s="1"/>
  <c r="Q28" i="1"/>
  <c r="Q30" i="1" s="1"/>
  <c r="O28" i="1"/>
  <c r="O30" i="1" s="1"/>
  <c r="O42" i="1" s="1"/>
  <c r="N28" i="1"/>
  <c r="M28" i="1"/>
  <c r="L28" i="1"/>
  <c r="Q35" i="1" s="1"/>
  <c r="J28" i="1"/>
  <c r="J30" i="1" s="1"/>
  <c r="O37" i="1" s="1"/>
  <c r="I28" i="1"/>
  <c r="I30" i="1" s="1"/>
  <c r="H28" i="1"/>
  <c r="H35" i="1" s="1"/>
  <c r="G28" i="1"/>
  <c r="E28" i="1"/>
  <c r="E30" i="1" s="1"/>
  <c r="E42" i="1" s="1"/>
  <c r="D28" i="1"/>
  <c r="D30" i="1" s="1"/>
  <c r="D42" i="1" s="1"/>
  <c r="C28" i="1"/>
  <c r="C30" i="1" s="1"/>
  <c r="C42" i="1" s="1"/>
  <c r="B28" i="1"/>
  <c r="BM27" i="1"/>
  <c r="BR27" i="1" s="1"/>
  <c r="BL27" i="1"/>
  <c r="BQ27" i="1" s="1"/>
  <c r="BK27" i="1"/>
  <c r="BP27" i="1" s="1"/>
  <c r="BJ27" i="1"/>
  <c r="BO27" i="1" s="1"/>
  <c r="BI27" i="1"/>
  <c r="BI34" i="1" s="1"/>
  <c r="BD27" i="1"/>
  <c r="AY27" i="1"/>
  <c r="AY34" i="1" s="1"/>
  <c r="AT27" i="1"/>
  <c r="AO27" i="1"/>
  <c r="AO34" i="1" s="1"/>
  <c r="AJ27" i="1"/>
  <c r="AE27" i="1"/>
  <c r="Z27" i="1"/>
  <c r="U27" i="1"/>
  <c r="P27" i="1"/>
  <c r="K27" i="1"/>
  <c r="F27" i="1"/>
  <c r="BM26" i="1"/>
  <c r="BR26" i="1" s="1"/>
  <c r="BL26" i="1"/>
  <c r="BJ26" i="1"/>
  <c r="BJ28" i="1" s="1"/>
  <c r="BF26" i="1"/>
  <c r="BF28" i="1" s="1"/>
  <c r="BD26" i="1"/>
  <c r="AX26" i="1"/>
  <c r="BC33" i="1" s="1"/>
  <c r="AS26" i="1"/>
  <c r="AS33" i="1" s="1"/>
  <c r="AR26" i="1"/>
  <c r="AR33" i="1" s="1"/>
  <c r="AQ26" i="1"/>
  <c r="AQ33" i="1" s="1"/>
  <c r="AP26" i="1"/>
  <c r="AO26" i="1"/>
  <c r="AJ26" i="1"/>
  <c r="AE26" i="1"/>
  <c r="AE33" i="1" s="1"/>
  <c r="Z26" i="1"/>
  <c r="U26" i="1"/>
  <c r="P26" i="1"/>
  <c r="K26" i="1"/>
  <c r="F26" i="1"/>
  <c r="BB23" i="1"/>
  <c r="BA23" i="1"/>
  <c r="AU23" i="1"/>
  <c r="AK23" i="1"/>
  <c r="AD23" i="1"/>
  <c r="R23" i="1"/>
  <c r="Q23" i="1"/>
  <c r="O23" i="1"/>
  <c r="J23" i="1"/>
  <c r="AU22" i="1"/>
  <c r="AK22" i="1"/>
  <c r="J22" i="1"/>
  <c r="BC21" i="1"/>
  <c r="AU21" i="1"/>
  <c r="AR21" i="1"/>
  <c r="AD21" i="1"/>
  <c r="B21" i="1"/>
  <c r="BC20" i="1"/>
  <c r="AP20" i="1"/>
  <c r="S20" i="1"/>
  <c r="R20" i="1"/>
  <c r="L20" i="1"/>
  <c r="J20" i="1"/>
  <c r="AZ17" i="1"/>
  <c r="AZ50" i="1" s="1"/>
  <c r="AZ52" i="1" s="1"/>
  <c r="AZ54" i="1" s="1"/>
  <c r="BH16" i="1"/>
  <c r="BG16" i="1"/>
  <c r="BF16" i="1"/>
  <c r="BE16" i="1"/>
  <c r="BC16" i="1"/>
  <c r="BB16" i="1"/>
  <c r="BA16" i="1"/>
  <c r="AZ16" i="1"/>
  <c r="AX16" i="1"/>
  <c r="AW16" i="1"/>
  <c r="AV16" i="1"/>
  <c r="AU16" i="1"/>
  <c r="AS16" i="1"/>
  <c r="AR16" i="1"/>
  <c r="AQ16" i="1"/>
  <c r="AP16" i="1"/>
  <c r="AO16" i="1"/>
  <c r="AN16" i="1"/>
  <c r="AM16" i="1"/>
  <c r="AL16" i="1"/>
  <c r="AK16" i="1"/>
  <c r="AI16" i="1"/>
  <c r="AF16" i="1"/>
  <c r="AD16" i="1"/>
  <c r="AA16" i="1"/>
  <c r="Y16" i="1"/>
  <c r="X16" i="1"/>
  <c r="W16" i="1"/>
  <c r="V16" i="1"/>
  <c r="T16" i="1"/>
  <c r="S16" i="1"/>
  <c r="R16" i="1"/>
  <c r="Q16" i="1"/>
  <c r="O16" i="1"/>
  <c r="N16" i="1"/>
  <c r="M16" i="1"/>
  <c r="L16" i="1"/>
  <c r="J16" i="1"/>
  <c r="I16" i="1"/>
  <c r="H16" i="1"/>
  <c r="G16" i="1"/>
  <c r="BH15" i="1"/>
  <c r="BG15" i="1"/>
  <c r="BF15" i="1"/>
  <c r="BE15" i="1"/>
  <c r="BC15" i="1"/>
  <c r="BB15" i="1"/>
  <c r="BA15" i="1"/>
  <c r="AZ15" i="1"/>
  <c r="AX15" i="1"/>
  <c r="AW15" i="1"/>
  <c r="AV15" i="1"/>
  <c r="AU15" i="1"/>
  <c r="AT15" i="1"/>
  <c r="AS15" i="1"/>
  <c r="AR15" i="1"/>
  <c r="AQ15" i="1"/>
  <c r="AP15" i="1"/>
  <c r="AN15" i="1"/>
  <c r="AM15" i="1"/>
  <c r="AL15" i="1"/>
  <c r="AK15" i="1"/>
  <c r="AI15" i="1"/>
  <c r="AH15" i="1"/>
  <c r="AG15" i="1"/>
  <c r="AF15" i="1"/>
  <c r="AD15" i="1"/>
  <c r="AC15" i="1"/>
  <c r="AB15" i="1"/>
  <c r="AA15" i="1"/>
  <c r="Y15" i="1"/>
  <c r="X15" i="1"/>
  <c r="W15" i="1"/>
  <c r="V15" i="1"/>
  <c r="T15" i="1"/>
  <c r="S15" i="1"/>
  <c r="R15" i="1"/>
  <c r="Q15" i="1"/>
  <c r="O15" i="1"/>
  <c r="N15" i="1"/>
  <c r="M15" i="1"/>
  <c r="L15" i="1"/>
  <c r="J15" i="1"/>
  <c r="I15" i="1"/>
  <c r="H15" i="1"/>
  <c r="G15" i="1"/>
  <c r="BH14" i="1"/>
  <c r="BG14" i="1"/>
  <c r="BF14" i="1"/>
  <c r="BE14" i="1"/>
  <c r="BC14" i="1"/>
  <c r="BB14" i="1"/>
  <c r="BA14" i="1"/>
  <c r="AZ14" i="1"/>
  <c r="AX14" i="1"/>
  <c r="AW14" i="1"/>
  <c r="AV14" i="1"/>
  <c r="AU14" i="1"/>
  <c r="AS14" i="1"/>
  <c r="AR14" i="1"/>
  <c r="AQ14" i="1"/>
  <c r="AP14" i="1"/>
  <c r="AN14" i="1"/>
  <c r="AM14" i="1"/>
  <c r="AL14" i="1"/>
  <c r="AK14" i="1"/>
  <c r="AJ14" i="1"/>
  <c r="AI14" i="1"/>
  <c r="AH14" i="1"/>
  <c r="AG14" i="1"/>
  <c r="AF14" i="1"/>
  <c r="AD14" i="1"/>
  <c r="AC14" i="1"/>
  <c r="AB14" i="1"/>
  <c r="AA14" i="1"/>
  <c r="Y14" i="1"/>
  <c r="X14" i="1"/>
  <c r="W14" i="1"/>
  <c r="V14" i="1"/>
  <c r="T14" i="1"/>
  <c r="S14" i="1"/>
  <c r="R14" i="1"/>
  <c r="Q14" i="1"/>
  <c r="O14" i="1"/>
  <c r="N14" i="1"/>
  <c r="M14" i="1"/>
  <c r="L14" i="1"/>
  <c r="J14" i="1"/>
  <c r="I14" i="1"/>
  <c r="H14" i="1"/>
  <c r="G14" i="1"/>
  <c r="BH11" i="1"/>
  <c r="BH22" i="1" s="1"/>
  <c r="BG11" i="1"/>
  <c r="BG17" i="1" s="1"/>
  <c r="BG50" i="1" s="1"/>
  <c r="BG52" i="1" s="1"/>
  <c r="BG54" i="1" s="1"/>
  <c r="BF11" i="1"/>
  <c r="BE11" i="1"/>
  <c r="BC11" i="1"/>
  <c r="BB11" i="1"/>
  <c r="BB20" i="1" s="1"/>
  <c r="BA11" i="1"/>
  <c r="BA20" i="1" s="1"/>
  <c r="AZ11" i="1"/>
  <c r="AZ23" i="1" s="1"/>
  <c r="AX11" i="1"/>
  <c r="BC17" i="1" s="1"/>
  <c r="BC50" i="1" s="1"/>
  <c r="BC52" i="1" s="1"/>
  <c r="BC54" i="1" s="1"/>
  <c r="AW11" i="1"/>
  <c r="AW17" i="1" s="1"/>
  <c r="AW50" i="1" s="1"/>
  <c r="AW52" i="1" s="1"/>
  <c r="AW54" i="1" s="1"/>
  <c r="AV11" i="1"/>
  <c r="AV22" i="1" s="1"/>
  <c r="AU11" i="1"/>
  <c r="AU20" i="1" s="1"/>
  <c r="AS11" i="1"/>
  <c r="AR11" i="1"/>
  <c r="AR23" i="1" s="1"/>
  <c r="AQ11" i="1"/>
  <c r="AQ20" i="1" s="1"/>
  <c r="AP11" i="1"/>
  <c r="AN11" i="1"/>
  <c r="AN21" i="1" s="1"/>
  <c r="AM11" i="1"/>
  <c r="AL11" i="1"/>
  <c r="AK11" i="1"/>
  <c r="AK20" i="1" s="1"/>
  <c r="AI11" i="1"/>
  <c r="AN53" i="1" s="1"/>
  <c r="AH11" i="1"/>
  <c r="AH20" i="1" s="1"/>
  <c r="AG11" i="1"/>
  <c r="AF11" i="1"/>
  <c r="AD11" i="1"/>
  <c r="AD22" i="1" s="1"/>
  <c r="AA11" i="1"/>
  <c r="AA22" i="1" s="1"/>
  <c r="Y11" i="1"/>
  <c r="Y21" i="1" s="1"/>
  <c r="X11" i="1"/>
  <c r="X17" i="1" s="1"/>
  <c r="X50" i="1" s="1"/>
  <c r="X52" i="1" s="1"/>
  <c r="X54" i="1" s="1"/>
  <c r="W11" i="1"/>
  <c r="W21" i="1" s="1"/>
  <c r="V11" i="1"/>
  <c r="T11" i="1"/>
  <c r="T21" i="1" s="1"/>
  <c r="S11" i="1"/>
  <c r="R11" i="1"/>
  <c r="R22" i="1" s="1"/>
  <c r="Q11" i="1"/>
  <c r="O11" i="1"/>
  <c r="O17" i="1" s="1"/>
  <c r="O50" i="1" s="1"/>
  <c r="O52" i="1" s="1"/>
  <c r="O54" i="1" s="1"/>
  <c r="N11" i="1"/>
  <c r="M11" i="1"/>
  <c r="M23" i="1" s="1"/>
  <c r="L11" i="1"/>
  <c r="L23" i="1" s="1"/>
  <c r="J11" i="1"/>
  <c r="J21" i="1" s="1"/>
  <c r="I11" i="1"/>
  <c r="H11" i="1"/>
  <c r="H22" i="1" s="1"/>
  <c r="G11" i="1"/>
  <c r="E11" i="1"/>
  <c r="E20" i="1" s="1"/>
  <c r="D11" i="1"/>
  <c r="D21" i="1" s="1"/>
  <c r="C11" i="1"/>
  <c r="C23" i="1" s="1"/>
  <c r="B11" i="1"/>
  <c r="BM10" i="1"/>
  <c r="BM9" i="2" s="1"/>
  <c r="BL10" i="1"/>
  <c r="BK10" i="1"/>
  <c r="BJ10" i="1"/>
  <c r="BI10" i="1"/>
  <c r="BD10" i="1"/>
  <c r="AY10" i="1"/>
  <c r="AY16" i="1" s="1"/>
  <c r="AT10" i="1"/>
  <c r="AO10" i="1"/>
  <c r="AJ10" i="1"/>
  <c r="AC10" i="1"/>
  <c r="AC11" i="1" s="1"/>
  <c r="AC17" i="1" s="1"/>
  <c r="AC50" i="1" s="1"/>
  <c r="AC52" i="1" s="1"/>
  <c r="AC54" i="1" s="1"/>
  <c r="AB10" i="1"/>
  <c r="Z10" i="1"/>
  <c r="U10" i="1"/>
  <c r="P10" i="1"/>
  <c r="K10" i="1"/>
  <c r="K16" i="1" s="1"/>
  <c r="F10" i="1"/>
  <c r="BJ9" i="1"/>
  <c r="BJ15" i="1" s="1"/>
  <c r="BI9" i="1"/>
  <c r="BD9" i="1"/>
  <c r="AY9" i="1"/>
  <c r="AT9" i="1"/>
  <c r="AT41" i="1" s="1"/>
  <c r="AT46" i="1" s="1"/>
  <c r="AO9" i="1"/>
  <c r="AO15" i="1" s="1"/>
  <c r="AJ9" i="1"/>
  <c r="AJ15" i="1" s="1"/>
  <c r="AE9" i="1"/>
  <c r="Z9" i="1"/>
  <c r="U9" i="1"/>
  <c r="P9" i="1"/>
  <c r="P41" i="1" s="1"/>
  <c r="K9" i="1"/>
  <c r="K15" i="1" s="1"/>
  <c r="F9" i="1"/>
  <c r="F41" i="1" s="1"/>
  <c r="BI8" i="1"/>
  <c r="BI14" i="1" s="1"/>
  <c r="BD8" i="1"/>
  <c r="AY8" i="1"/>
  <c r="AT8" i="1"/>
  <c r="AO8" i="1"/>
  <c r="AO14" i="1" s="1"/>
  <c r="AJ8" i="1"/>
  <c r="AE8" i="1"/>
  <c r="Z8" i="1"/>
  <c r="U8" i="1"/>
  <c r="P8" i="1"/>
  <c r="P14" i="1" s="1"/>
  <c r="K8" i="1"/>
  <c r="K14" i="1" s="1"/>
  <c r="F8" i="1"/>
  <c r="BM5" i="1"/>
  <c r="BR5" i="1" s="1"/>
  <c r="BL5" i="1"/>
  <c r="BQ5" i="1" s="1"/>
  <c r="BK5" i="1"/>
  <c r="BK5" i="2" s="1"/>
  <c r="BJ5" i="1"/>
  <c r="AA45" i="1" l="1"/>
  <c r="K34" i="1"/>
  <c r="BG30" i="1"/>
  <c r="T35" i="1"/>
  <c r="X35" i="1"/>
  <c r="Y45" i="1"/>
  <c r="AE28" i="1"/>
  <c r="K40" i="1"/>
  <c r="AJ33" i="1"/>
  <c r="H30" i="1"/>
  <c r="H42" i="1" s="1"/>
  <c r="H47" i="1" s="1"/>
  <c r="AR35" i="1"/>
  <c r="BG35" i="1"/>
  <c r="BF62" i="2"/>
  <c r="BF57" i="2"/>
  <c r="BF15" i="2"/>
  <c r="BF61" i="2" s="1"/>
  <c r="BH54" i="2"/>
  <c r="X56" i="2"/>
  <c r="AX49" i="4"/>
  <c r="AY49" i="4"/>
  <c r="AS57" i="2"/>
  <c r="AS56" i="2"/>
  <c r="AS65" i="2"/>
  <c r="AS64" i="2"/>
  <c r="BD19" i="4"/>
  <c r="BF40" i="1"/>
  <c r="BF35" i="1"/>
  <c r="AD65" i="2"/>
  <c r="BR38" i="2"/>
  <c r="BS38" i="2"/>
  <c r="BQ5" i="4"/>
  <c r="BQ5" i="2"/>
  <c r="AN28" i="4"/>
  <c r="AO28" i="4" s="1"/>
  <c r="BR36" i="2"/>
  <c r="BQ43" i="2"/>
  <c r="AS32" i="4"/>
  <c r="AE41" i="1"/>
  <c r="AV21" i="1"/>
  <c r="AJ36" i="1"/>
  <c r="BH40" i="1"/>
  <c r="AF46" i="1"/>
  <c r="K8" i="2"/>
  <c r="AO8" i="2"/>
  <c r="AO59" i="2" s="1"/>
  <c r="AJ11" i="2"/>
  <c r="BL5" i="3"/>
  <c r="BN9" i="4"/>
  <c r="AT17" i="4"/>
  <c r="Q45" i="1"/>
  <c r="BF37" i="4"/>
  <c r="W23" i="1"/>
  <c r="BN27" i="1"/>
  <c r="BN34" i="1" s="1"/>
  <c r="W20" i="1"/>
  <c r="BS27" i="1"/>
  <c r="BS34" i="1" s="1"/>
  <c r="R45" i="1"/>
  <c r="AH46" i="1"/>
  <c r="BI15" i="4"/>
  <c r="BB19" i="4"/>
  <c r="BC19" i="4" s="1"/>
  <c r="AW21" i="1"/>
  <c r="AU26" i="1"/>
  <c r="AU33" i="1" s="1"/>
  <c r="X23" i="1"/>
  <c r="X20" i="1"/>
  <c r="BG21" i="1"/>
  <c r="Y23" i="1"/>
  <c r="AW26" i="1"/>
  <c r="AW33" i="1" s="1"/>
  <c r="AY15" i="1"/>
  <c r="AI20" i="1"/>
  <c r="BH21" i="1"/>
  <c r="AA23" i="1"/>
  <c r="AG35" i="1"/>
  <c r="BH30" i="1"/>
  <c r="H46" i="1"/>
  <c r="AK46" i="1"/>
  <c r="AZ42" i="1"/>
  <c r="BE47" i="1" s="1"/>
  <c r="BP43" i="2"/>
  <c r="X58" i="2"/>
  <c r="X74" i="2"/>
  <c r="AR8" i="4"/>
  <c r="AS8" i="4" s="1"/>
  <c r="BB17" i="4"/>
  <c r="BC17" i="4" s="1"/>
  <c r="AR24" i="4"/>
  <c r="AS24" i="4" s="1"/>
  <c r="AN20" i="1"/>
  <c r="D22" i="1"/>
  <c r="BI29" i="1"/>
  <c r="BI41" i="1" s="1"/>
  <c r="BI46" i="1" s="1"/>
  <c r="AO33" i="1"/>
  <c r="J35" i="1"/>
  <c r="AL19" i="2"/>
  <c r="AP22" i="4"/>
  <c r="AP30" i="4" s="1"/>
  <c r="AP57" i="4" s="1"/>
  <c r="Q73" i="2"/>
  <c r="L72" i="2"/>
  <c r="AL74" i="2"/>
  <c r="AP24" i="3"/>
  <c r="AU22" i="4"/>
  <c r="AU30" i="4" s="1"/>
  <c r="AJ14" i="2"/>
  <c r="R48" i="4"/>
  <c r="AU46" i="1"/>
  <c r="AI39" i="3"/>
  <c r="AI23" i="1"/>
  <c r="O35" i="1"/>
  <c r="BP5" i="1"/>
  <c r="AR20" i="1"/>
  <c r="M22" i="1"/>
  <c r="BK29" i="1"/>
  <c r="BN29" i="1" s="1"/>
  <c r="AI35" i="1"/>
  <c r="W22" i="1"/>
  <c r="AV23" i="1"/>
  <c r="BK26" i="1"/>
  <c r="BK28" i="1" s="1"/>
  <c r="BK30" i="1" s="1"/>
  <c r="BF36" i="1"/>
  <c r="AH72" i="2"/>
  <c r="AQ12" i="3"/>
  <c r="Q42" i="3"/>
  <c r="AJ16" i="4"/>
  <c r="J46" i="1"/>
  <c r="BM5" i="2"/>
  <c r="BI26" i="1"/>
  <c r="AV20" i="1"/>
  <c r="X22" i="1"/>
  <c r="AW23" i="1"/>
  <c r="BM29" i="1"/>
  <c r="BR29" i="1" s="1"/>
  <c r="BF33" i="1"/>
  <c r="F40" i="1"/>
  <c r="Y22" i="1"/>
  <c r="AX23" i="1"/>
  <c r="BR28" i="1"/>
  <c r="BR30" i="1" s="1"/>
  <c r="AS35" i="1"/>
  <c r="BH36" i="1"/>
  <c r="AC45" i="1"/>
  <c r="L46" i="1"/>
  <c r="AS80" i="2"/>
  <c r="AM72" i="2"/>
  <c r="L22" i="1"/>
  <c r="G35" i="1"/>
  <c r="BO26" i="1"/>
  <c r="BO28" i="1" s="1"/>
  <c r="AU35" i="1"/>
  <c r="M46" i="1"/>
  <c r="O43" i="3"/>
  <c r="AH45" i="1"/>
  <c r="AO14" i="2"/>
  <c r="AM9" i="3"/>
  <c r="Q43" i="3"/>
  <c r="AO46" i="4"/>
  <c r="AV46" i="1"/>
  <c r="X10" i="2"/>
  <c r="T47" i="3"/>
  <c r="AW46" i="1"/>
  <c r="Z8" i="2"/>
  <c r="AS54" i="2"/>
  <c r="AA30" i="4"/>
  <c r="BS48" i="4"/>
  <c r="AR46" i="4"/>
  <c r="AS46" i="4" s="1"/>
  <c r="AX46" i="1"/>
  <c r="AF73" i="2"/>
  <c r="AY19" i="2"/>
  <c r="BH20" i="1"/>
  <c r="BG23" i="1"/>
  <c r="J17" i="1"/>
  <c r="J50" i="1" s="1"/>
  <c r="J52" i="1" s="1"/>
  <c r="J54" i="1" s="1"/>
  <c r="AN22" i="1"/>
  <c r="BH23" i="1"/>
  <c r="U34" i="1"/>
  <c r="AT16" i="1"/>
  <c r="L21" i="1"/>
  <c r="AR22" i="1"/>
  <c r="Z34" i="1"/>
  <c r="H45" i="1"/>
  <c r="AY41" i="1"/>
  <c r="AY46" i="1" s="1"/>
  <c r="BJ8" i="2"/>
  <c r="BJ73" i="2" s="1"/>
  <c r="AZ80" i="2"/>
  <c r="X55" i="2"/>
  <c r="I73" i="2"/>
  <c r="BE80" i="2"/>
  <c r="AZ46" i="1"/>
  <c r="AI43" i="3"/>
  <c r="AC47" i="3"/>
  <c r="AR9" i="4"/>
  <c r="AS9" i="4" s="1"/>
  <c r="BD16" i="4"/>
  <c r="AT21" i="4"/>
  <c r="AR23" i="4"/>
  <c r="AS23" i="4" s="1"/>
  <c r="AI22" i="1"/>
  <c r="Q17" i="1"/>
  <c r="Q50" i="1" s="1"/>
  <c r="Q52" i="1" s="1"/>
  <c r="Q54" i="1" s="1"/>
  <c r="P14" i="2"/>
  <c r="AG47" i="3"/>
  <c r="AF56" i="4"/>
  <c r="BG20" i="1"/>
  <c r="AB11" i="1"/>
  <c r="AB17" i="1" s="1"/>
  <c r="AB50" i="1" s="1"/>
  <c r="AB52" i="1" s="1"/>
  <c r="AB54" i="1" s="1"/>
  <c r="AB16" i="1"/>
  <c r="BD16" i="1"/>
  <c r="R17" i="1"/>
  <c r="R50" i="1" s="1"/>
  <c r="R52" i="1" s="1"/>
  <c r="R54" i="1" s="1"/>
  <c r="AJ34" i="1"/>
  <c r="T30" i="1"/>
  <c r="T37" i="1" s="1"/>
  <c r="AY14" i="1"/>
  <c r="X21" i="1"/>
  <c r="AW22" i="1"/>
  <c r="U33" i="1"/>
  <c r="AO40" i="1"/>
  <c r="G45" i="1"/>
  <c r="O42" i="3"/>
  <c r="AT27" i="4"/>
  <c r="Q57" i="4"/>
  <c r="M21" i="1"/>
  <c r="AD17" i="1"/>
  <c r="AD50" i="1" s="1"/>
  <c r="AD52" i="1" s="1"/>
  <c r="AD54" i="1" s="1"/>
  <c r="BG22" i="1"/>
  <c r="BH10" i="2"/>
  <c r="BI14" i="2"/>
  <c r="AJ15" i="4"/>
  <c r="AF57" i="4"/>
  <c r="AS17" i="1"/>
  <c r="AS50" i="1" s="1"/>
  <c r="AS52" i="1" s="1"/>
  <c r="AS54" i="1" s="1"/>
  <c r="AO36" i="1"/>
  <c r="X46" i="1"/>
  <c r="BF65" i="2"/>
  <c r="X73" i="2"/>
  <c r="AD45" i="3"/>
  <c r="BB9" i="4"/>
  <c r="BC9" i="4" s="1"/>
  <c r="AR29" i="4"/>
  <c r="AS29" i="4" s="1"/>
  <c r="AR35" i="4"/>
  <c r="AS35" i="4" s="1"/>
  <c r="AF50" i="4"/>
  <c r="BF41" i="1"/>
  <c r="BF46" i="1" s="1"/>
  <c r="H10" i="2"/>
  <c r="H54" i="2" s="1"/>
  <c r="U14" i="2"/>
  <c r="AS25" i="4"/>
  <c r="AT25" i="4" s="1"/>
  <c r="AI21" i="1"/>
  <c r="K41" i="1"/>
  <c r="P46" i="1" s="1"/>
  <c r="D20" i="1"/>
  <c r="AX74" i="2"/>
  <c r="AP38" i="3"/>
  <c r="AK21" i="1"/>
  <c r="AO11" i="1"/>
  <c r="AL21" i="1"/>
  <c r="U36" i="1"/>
  <c r="AB46" i="1"/>
  <c r="J10" i="2"/>
  <c r="AQ73" i="2"/>
  <c r="BG9" i="4"/>
  <c r="BI9" i="4" s="1"/>
  <c r="AF59" i="4"/>
  <c r="AT19" i="4"/>
  <c r="Q60" i="4"/>
  <c r="AD46" i="1"/>
  <c r="T39" i="3"/>
  <c r="AS19" i="4"/>
  <c r="BA37" i="4"/>
  <c r="AW27" i="4"/>
  <c r="AX27" i="4" s="1"/>
  <c r="AD42" i="1"/>
  <c r="B55" i="2"/>
  <c r="F8" i="2"/>
  <c r="K73" i="2" s="1"/>
  <c r="AG37" i="1"/>
  <c r="AG42" i="1"/>
  <c r="AG47" i="1" s="1"/>
  <c r="K19" i="2"/>
  <c r="K77" i="2"/>
  <c r="BI15" i="1"/>
  <c r="BI21" i="1"/>
  <c r="V22" i="1"/>
  <c r="V23" i="1"/>
  <c r="Z11" i="1"/>
  <c r="Z20" i="1" s="1"/>
  <c r="V17" i="1"/>
  <c r="V50" i="1" s="1"/>
  <c r="V52" i="1" s="1"/>
  <c r="V54" i="1" s="1"/>
  <c r="V20" i="1"/>
  <c r="V21" i="1"/>
  <c r="I23" i="1"/>
  <c r="I21" i="1"/>
  <c r="N17" i="1"/>
  <c r="N50" i="1" s="1"/>
  <c r="N52" i="1" s="1"/>
  <c r="N54" i="1" s="1"/>
  <c r="I20" i="1"/>
  <c r="I22" i="1"/>
  <c r="AV80" i="2"/>
  <c r="AV65" i="2"/>
  <c r="AQ24" i="3"/>
  <c r="AP26" i="3"/>
  <c r="AP39" i="3" s="1"/>
  <c r="AH30" i="1"/>
  <c r="AJ30" i="1" s="1"/>
  <c r="AJ42" i="1" s="1"/>
  <c r="AJ28" i="1"/>
  <c r="AJ35" i="1" s="1"/>
  <c r="BA72" i="2"/>
  <c r="BA10" i="2"/>
  <c r="AG80" i="2"/>
  <c r="AD15" i="4"/>
  <c r="AD22" i="4" s="1"/>
  <c r="AC22" i="4"/>
  <c r="AN17" i="4"/>
  <c r="AO17" i="4" s="1"/>
  <c r="AI42" i="1"/>
  <c r="AI37" i="1"/>
  <c r="H37" i="1"/>
  <c r="Y58" i="2"/>
  <c r="Y10" i="2"/>
  <c r="Y56" i="2" s="1"/>
  <c r="Y72" i="2"/>
  <c r="P16" i="1"/>
  <c r="BK9" i="2"/>
  <c r="BP10" i="1"/>
  <c r="BE23" i="1"/>
  <c r="BI11" i="1"/>
  <c r="BE21" i="1"/>
  <c r="BE20" i="1"/>
  <c r="BE22" i="1"/>
  <c r="BE17" i="1"/>
  <c r="BE50" i="1" s="1"/>
  <c r="BE52" i="1" s="1"/>
  <c r="BE54" i="1" s="1"/>
  <c r="AB35" i="1"/>
  <c r="W30" i="1"/>
  <c r="W35" i="1"/>
  <c r="BK45" i="1"/>
  <c r="BF45" i="1"/>
  <c r="I37" i="1"/>
  <c r="I42" i="1"/>
  <c r="I47" i="1" s="1"/>
  <c r="AE7" i="2"/>
  <c r="AA72" i="2"/>
  <c r="AA58" i="2"/>
  <c r="AA10" i="2"/>
  <c r="AA55" i="2" s="1"/>
  <c r="AN10" i="2"/>
  <c r="AS75" i="2" s="1"/>
  <c r="AN54" i="2"/>
  <c r="AN72" i="2"/>
  <c r="AN58" i="2"/>
  <c r="AO7" i="2"/>
  <c r="BG13" i="4"/>
  <c r="BI13" i="4"/>
  <c r="U16" i="1"/>
  <c r="BQ10" i="1"/>
  <c r="BL9" i="2"/>
  <c r="BF21" i="1"/>
  <c r="BF22" i="1"/>
  <c r="BF23" i="1"/>
  <c r="BF17" i="1"/>
  <c r="BF50" i="1" s="1"/>
  <c r="BF52" i="1" s="1"/>
  <c r="BF54" i="1" s="1"/>
  <c r="BF20" i="1"/>
  <c r="I35" i="1"/>
  <c r="K28" i="1"/>
  <c r="L57" i="2"/>
  <c r="L63" i="2"/>
  <c r="L55" i="2"/>
  <c r="L62" i="2"/>
  <c r="L56" i="2"/>
  <c r="L64" i="2"/>
  <c r="L15" i="2"/>
  <c r="AX42" i="4"/>
  <c r="AY42" i="4" s="1"/>
  <c r="AM32" i="4"/>
  <c r="AL37" i="4"/>
  <c r="AC21" i="1"/>
  <c r="AC23" i="1"/>
  <c r="AC20" i="1"/>
  <c r="AG23" i="1"/>
  <c r="AG20" i="1"/>
  <c r="AG21" i="1"/>
  <c r="AL53" i="1"/>
  <c r="AG22" i="1"/>
  <c r="N73" i="2"/>
  <c r="P8" i="2"/>
  <c r="AE8" i="2"/>
  <c r="AA73" i="2"/>
  <c r="BH73" i="2"/>
  <c r="BC73" i="2"/>
  <c r="H62" i="2"/>
  <c r="H64" i="2"/>
  <c r="H15" i="2"/>
  <c r="H57" i="2"/>
  <c r="H63" i="2"/>
  <c r="H56" i="2"/>
  <c r="AT78" i="2"/>
  <c r="AY78" i="2"/>
  <c r="AT19" i="2"/>
  <c r="AY80" i="2" s="1"/>
  <c r="BL45" i="2"/>
  <c r="BM37" i="2"/>
  <c r="BM45" i="2" s="1"/>
  <c r="AM53" i="1"/>
  <c r="AH21" i="1"/>
  <c r="AH23" i="1"/>
  <c r="AH22" i="1"/>
  <c r="AH17" i="1"/>
  <c r="AH50" i="1" s="1"/>
  <c r="AH52" i="1" s="1"/>
  <c r="AH54" i="1" s="1"/>
  <c r="BJ35" i="1"/>
  <c r="BJ30" i="1"/>
  <c r="BJ8" i="1"/>
  <c r="O73" i="2"/>
  <c r="T23" i="1"/>
  <c r="T22" i="1"/>
  <c r="T17" i="1"/>
  <c r="T50" i="1" s="1"/>
  <c r="T52" i="1" s="1"/>
  <c r="T54" i="1" s="1"/>
  <c r="T20" i="1"/>
  <c r="J57" i="2"/>
  <c r="J63" i="2"/>
  <c r="J62" i="2"/>
  <c r="J15" i="2"/>
  <c r="J55" i="2"/>
  <c r="J64" i="2"/>
  <c r="J56" i="2"/>
  <c r="AK15" i="2"/>
  <c r="AK63" i="2"/>
  <c r="AK62" i="2"/>
  <c r="AK57" i="2"/>
  <c r="BD41" i="1"/>
  <c r="BD15" i="1"/>
  <c r="G22" i="1"/>
  <c r="G23" i="1"/>
  <c r="K11" i="1"/>
  <c r="K20" i="1" s="1"/>
  <c r="K51" i="1"/>
  <c r="G17" i="1"/>
  <c r="G50" i="1" s="1"/>
  <c r="G52" i="1" s="1"/>
  <c r="G54" i="1" s="1"/>
  <c r="G21" i="1"/>
  <c r="G20" i="1"/>
  <c r="U11" i="1"/>
  <c r="U22" i="1" s="1"/>
  <c r="BL36" i="2"/>
  <c r="BK43" i="2"/>
  <c r="H23" i="1"/>
  <c r="H21" i="1"/>
  <c r="H20" i="1"/>
  <c r="AO23" i="1"/>
  <c r="AO20" i="1"/>
  <c r="P77" i="2"/>
  <c r="P19" i="2"/>
  <c r="AR16" i="4"/>
  <c r="AS16" i="4" s="1"/>
  <c r="Z40" i="1"/>
  <c r="AE14" i="1"/>
  <c r="Z14" i="1"/>
  <c r="BD35" i="1"/>
  <c r="R65" i="2"/>
  <c r="R80" i="2"/>
  <c r="BJ5" i="3"/>
  <c r="BJ5" i="2"/>
  <c r="BJ5" i="4"/>
  <c r="BO5" i="1"/>
  <c r="BJ9" i="2"/>
  <c r="BO10" i="1"/>
  <c r="BN10" i="1"/>
  <c r="V30" i="1"/>
  <c r="V35" i="1"/>
  <c r="Z28" i="1"/>
  <c r="AE35" i="1" s="1"/>
  <c r="K58" i="2"/>
  <c r="I80" i="2"/>
  <c r="BC46" i="4"/>
  <c r="BD46" i="4"/>
  <c r="Z16" i="1"/>
  <c r="AS23" i="1"/>
  <c r="AS21" i="1"/>
  <c r="AS22" i="1"/>
  <c r="AX17" i="1"/>
  <c r="AX50" i="1" s="1"/>
  <c r="AX52" i="1" s="1"/>
  <c r="AX54" i="1" s="1"/>
  <c r="AS20" i="1"/>
  <c r="H17" i="1"/>
  <c r="H50" i="1" s="1"/>
  <c r="H52" i="1" s="1"/>
  <c r="H54" i="1" s="1"/>
  <c r="J42" i="1"/>
  <c r="J47" i="1" s="1"/>
  <c r="J37" i="1"/>
  <c r="BA42" i="1"/>
  <c r="BD30" i="1"/>
  <c r="AF23" i="1"/>
  <c r="AJ11" i="1"/>
  <c r="AO17" i="1" s="1"/>
  <c r="AO50" i="1" s="1"/>
  <c r="AF20" i="1"/>
  <c r="AF21" i="1"/>
  <c r="AK53" i="1"/>
  <c r="AF22" i="1"/>
  <c r="AF17" i="1"/>
  <c r="AF50" i="1" s="1"/>
  <c r="AF52" i="1" s="1"/>
  <c r="AF54" i="1" s="1"/>
  <c r="AT11" i="1"/>
  <c r="AT20" i="1" s="1"/>
  <c r="I17" i="1"/>
  <c r="I50" i="1" s="1"/>
  <c r="I52" i="1" s="1"/>
  <c r="I54" i="1" s="1"/>
  <c r="AE34" i="1"/>
  <c r="AE40" i="1"/>
  <c r="K45" i="1"/>
  <c r="Z73" i="2"/>
  <c r="AN59" i="2"/>
  <c r="AN73" i="2"/>
  <c r="AN55" i="2"/>
  <c r="AS73" i="2"/>
  <c r="BB73" i="2"/>
  <c r="T20" i="2"/>
  <c r="AO78" i="2"/>
  <c r="AO19" i="2"/>
  <c r="W66" i="3"/>
  <c r="W52" i="3"/>
  <c r="BI28" i="1"/>
  <c r="BI35" i="1" s="1"/>
  <c r="BE35" i="1"/>
  <c r="M58" i="2"/>
  <c r="M10" i="2"/>
  <c r="P7" i="2"/>
  <c r="AB58" i="2"/>
  <c r="AB72" i="2"/>
  <c r="BB54" i="2"/>
  <c r="BB72" i="2"/>
  <c r="AV63" i="2"/>
  <c r="AV64" i="2"/>
  <c r="AV55" i="2"/>
  <c r="AV57" i="2"/>
  <c r="AV62" i="2"/>
  <c r="AV15" i="2"/>
  <c r="Y66" i="3"/>
  <c r="Y52" i="3"/>
  <c r="BL28" i="1"/>
  <c r="BQ26" i="1"/>
  <c r="BQ28" i="1" s="1"/>
  <c r="Y35" i="1"/>
  <c r="Y30" i="1"/>
  <c r="AD37" i="1" s="1"/>
  <c r="AO28" i="1"/>
  <c r="AK35" i="1"/>
  <c r="AK40" i="1"/>
  <c r="AK45" i="1" s="1"/>
  <c r="AK30" i="1"/>
  <c r="AP37" i="1" s="1"/>
  <c r="BE40" i="1"/>
  <c r="AC58" i="2"/>
  <c r="BH72" i="2"/>
  <c r="BC72" i="2"/>
  <c r="AL80" i="2"/>
  <c r="BS37" i="2"/>
  <c r="AA43" i="3"/>
  <c r="AA39" i="3"/>
  <c r="R39" i="3"/>
  <c r="R43" i="3"/>
  <c r="AP47" i="3"/>
  <c r="AP50" i="3"/>
  <c r="AP55" i="3"/>
  <c r="AT14" i="1"/>
  <c r="R37" i="1"/>
  <c r="R42" i="1"/>
  <c r="B54" i="2"/>
  <c r="BM74" i="2"/>
  <c r="AE19" i="2"/>
  <c r="AR80" i="2"/>
  <c r="AM80" i="2"/>
  <c r="AV56" i="2"/>
  <c r="AN43" i="3"/>
  <c r="AN39" i="3"/>
  <c r="AF36" i="3"/>
  <c r="AD38" i="3"/>
  <c r="AW32" i="4"/>
  <c r="AV37" i="4"/>
  <c r="AE10" i="1"/>
  <c r="Y17" i="1"/>
  <c r="Y50" i="1" s="1"/>
  <c r="Y52" i="1" s="1"/>
  <c r="Y54" i="1" s="1"/>
  <c r="AA35" i="1"/>
  <c r="BG42" i="1"/>
  <c r="BG37" i="1"/>
  <c r="V46" i="1"/>
  <c r="AT42" i="1"/>
  <c r="BB10" i="2"/>
  <c r="U41" i="1"/>
  <c r="U46" i="1" s="1"/>
  <c r="U15" i="1"/>
  <c r="AJ16" i="1"/>
  <c r="N20" i="1"/>
  <c r="N23" i="1"/>
  <c r="AM20" i="1"/>
  <c r="AM21" i="1"/>
  <c r="AM17" i="1"/>
  <c r="AM50" i="1" s="1"/>
  <c r="AM52" i="1" s="1"/>
  <c r="AM54" i="1" s="1"/>
  <c r="AR53" i="1"/>
  <c r="BP29" i="1"/>
  <c r="BS29" i="1" s="1"/>
  <c r="BS36" i="1" s="1"/>
  <c r="AB45" i="1"/>
  <c r="I46" i="1"/>
  <c r="AJ41" i="1"/>
  <c r="AO46" i="1" s="1"/>
  <c r="Q42" i="1"/>
  <c r="AG73" i="2"/>
  <c r="AG59" i="2"/>
  <c r="AL73" i="2"/>
  <c r="AY8" i="2"/>
  <c r="AY9" i="2"/>
  <c r="BC10" i="2"/>
  <c r="BC54" i="2" s="1"/>
  <c r="M72" i="2"/>
  <c r="AE77" i="2"/>
  <c r="AA42" i="3"/>
  <c r="BR5" i="4"/>
  <c r="BR5" i="3"/>
  <c r="BR5" i="2"/>
  <c r="BI40" i="1"/>
  <c r="BI20" i="1"/>
  <c r="Z15" i="1"/>
  <c r="AO22" i="1"/>
  <c r="B20" i="1"/>
  <c r="B22" i="1"/>
  <c r="O20" i="1"/>
  <c r="O21" i="1"/>
  <c r="AA20" i="1"/>
  <c r="AA21" i="1"/>
  <c r="BD51" i="1"/>
  <c r="AZ21" i="1"/>
  <c r="AC16" i="1"/>
  <c r="AN17" i="1"/>
  <c r="AN50" i="1" s="1"/>
  <c r="AN52" i="1" s="1"/>
  <c r="AN54" i="1" s="1"/>
  <c r="N22" i="1"/>
  <c r="AZ22" i="1"/>
  <c r="B23" i="1"/>
  <c r="AL23" i="1"/>
  <c r="P33" i="1"/>
  <c r="BQ29" i="1"/>
  <c r="AT36" i="1"/>
  <c r="AS45" i="1"/>
  <c r="BL41" i="1"/>
  <c r="AM45" i="1"/>
  <c r="E58" i="2"/>
  <c r="E10" i="2"/>
  <c r="BH23" i="3"/>
  <c r="BH62" i="2"/>
  <c r="BH64" i="2"/>
  <c r="BH65" i="2"/>
  <c r="BH63" i="2"/>
  <c r="BH56" i="2"/>
  <c r="I74" i="2"/>
  <c r="N74" i="2"/>
  <c r="AM60" i="2"/>
  <c r="BD9" i="2"/>
  <c r="BI74" i="2" s="1"/>
  <c r="AZ74" i="2"/>
  <c r="AD72" i="3"/>
  <c r="AD62" i="2"/>
  <c r="AD70" i="3"/>
  <c r="AD63" i="2"/>
  <c r="AD57" i="2"/>
  <c r="AD71" i="3"/>
  <c r="AD15" i="2"/>
  <c r="AD55" i="2"/>
  <c r="AZ73" i="2"/>
  <c r="P11" i="1"/>
  <c r="P22" i="1" s="1"/>
  <c r="P15" i="1"/>
  <c r="AM23" i="1"/>
  <c r="AR42" i="1"/>
  <c r="AC35" i="1"/>
  <c r="BL45" i="1"/>
  <c r="AI73" i="2"/>
  <c r="AW73" i="2"/>
  <c r="W74" i="2"/>
  <c r="W56" i="2"/>
  <c r="AN74" i="2"/>
  <c r="AS74" i="2"/>
  <c r="BA56" i="2"/>
  <c r="BA74" i="2"/>
  <c r="BH15" i="2"/>
  <c r="U78" i="2"/>
  <c r="K79" i="2"/>
  <c r="BK31" i="2"/>
  <c r="BQ5" i="3"/>
  <c r="BH27" i="4"/>
  <c r="BI27" i="4" s="1"/>
  <c r="BJ19" i="3"/>
  <c r="BJ27" i="4" s="1"/>
  <c r="AK42" i="3"/>
  <c r="T37" i="4"/>
  <c r="U53" i="1"/>
  <c r="Q21" i="1"/>
  <c r="U51" i="1"/>
  <c r="Q22" i="1"/>
  <c r="Q20" i="1"/>
  <c r="AP22" i="1"/>
  <c r="AP21" i="1"/>
  <c r="BB22" i="1"/>
  <c r="BB17" i="1"/>
  <c r="BB50" i="1" s="1"/>
  <c r="BB52" i="1" s="1"/>
  <c r="BB54" i="1" s="1"/>
  <c r="AE15" i="1"/>
  <c r="AP17" i="1"/>
  <c r="AP50" i="1" s="1"/>
  <c r="AP52" i="1" s="1"/>
  <c r="N21" i="1"/>
  <c r="D23" i="1"/>
  <c r="AN23" i="1"/>
  <c r="S35" i="1"/>
  <c r="AZ35" i="1"/>
  <c r="AU30" i="1"/>
  <c r="AY36" i="1"/>
  <c r="AS42" i="1"/>
  <c r="AD35" i="1"/>
  <c r="AU40" i="1"/>
  <c r="AU45" i="1" s="1"/>
  <c r="Z41" i="1"/>
  <c r="Z46" i="1" s="1"/>
  <c r="AM46" i="1"/>
  <c r="AX47" i="1"/>
  <c r="AP46" i="1"/>
  <c r="AJ72" i="2"/>
  <c r="AW10" i="2"/>
  <c r="AK55" i="2"/>
  <c r="AK73" i="2"/>
  <c r="K9" i="2"/>
  <c r="AO9" i="2"/>
  <c r="BB56" i="2"/>
  <c r="BB74" i="2"/>
  <c r="AG10" i="2"/>
  <c r="AG55" i="2" s="1"/>
  <c r="Z78" i="2"/>
  <c r="AL16" i="3"/>
  <c r="AK20" i="3"/>
  <c r="AK65" i="3" s="1"/>
  <c r="AI28" i="4"/>
  <c r="AJ28" i="4" s="1"/>
  <c r="AW29" i="4"/>
  <c r="AX29" i="4" s="1"/>
  <c r="W37" i="4"/>
  <c r="X32" i="4"/>
  <c r="AO21" i="1"/>
  <c r="AI47" i="3"/>
  <c r="AJ33" i="2"/>
  <c r="AJ32" i="2" s="1"/>
  <c r="BM38" i="2"/>
  <c r="BN38" i="2" s="1"/>
  <c r="AD64" i="2"/>
  <c r="J65" i="2"/>
  <c r="AM74" i="2"/>
  <c r="BF22" i="4"/>
  <c r="BG8" i="4"/>
  <c r="BB42" i="1"/>
  <c r="BB37" i="1"/>
  <c r="U19" i="2"/>
  <c r="U77" i="2"/>
  <c r="AF42" i="3"/>
  <c r="AF20" i="3"/>
  <c r="AX16" i="4"/>
  <c r="AY16" i="4" s="1"/>
  <c r="L35" i="1"/>
  <c r="P28" i="1"/>
  <c r="L30" i="1"/>
  <c r="Q37" i="1" s="1"/>
  <c r="AT7" i="2"/>
  <c r="AP72" i="2"/>
  <c r="AP58" i="2"/>
  <c r="AP10" i="2"/>
  <c r="AH60" i="2"/>
  <c r="AH10" i="2"/>
  <c r="AH56" i="2" s="1"/>
  <c r="T71" i="3"/>
  <c r="T70" i="3"/>
  <c r="T69" i="3"/>
  <c r="T62" i="2"/>
  <c r="T63" i="2"/>
  <c r="T57" i="2"/>
  <c r="T72" i="3"/>
  <c r="T54" i="2"/>
  <c r="T64" i="2"/>
  <c r="T44" i="3"/>
  <c r="Z77" i="2"/>
  <c r="Z19" i="2"/>
  <c r="M80" i="2"/>
  <c r="H65" i="2"/>
  <c r="V80" i="2"/>
  <c r="AA66" i="3"/>
  <c r="AA52" i="3"/>
  <c r="K46" i="1"/>
  <c r="AC9" i="2"/>
  <c r="AC10" i="2" s="1"/>
  <c r="AH16" i="1"/>
  <c r="AC22" i="1"/>
  <c r="L17" i="1"/>
  <c r="L50" i="1" s="1"/>
  <c r="L52" i="1" s="1"/>
  <c r="L54" i="1" s="1"/>
  <c r="AT34" i="1"/>
  <c r="M35" i="1"/>
  <c r="M30" i="1"/>
  <c r="R35" i="1"/>
  <c r="AQ35" i="1"/>
  <c r="AL40" i="1"/>
  <c r="AL45" i="1" s="1"/>
  <c r="AL35" i="1"/>
  <c r="AL30" i="1"/>
  <c r="BF30" i="1"/>
  <c r="O58" i="2"/>
  <c r="O72" i="2"/>
  <c r="T72" i="2"/>
  <c r="O10" i="2"/>
  <c r="O54" i="2" s="1"/>
  <c r="AY79" i="2"/>
  <c r="AT79" i="2"/>
  <c r="BP5" i="4"/>
  <c r="BP5" i="3"/>
  <c r="BP5" i="2"/>
  <c r="M17" i="1"/>
  <c r="M50" i="1" s="1"/>
  <c r="M52" i="1" s="1"/>
  <c r="M54" i="1" s="1"/>
  <c r="AL20" i="1"/>
  <c r="AL17" i="1"/>
  <c r="AL50" i="1" s="1"/>
  <c r="AL52" i="1" s="1"/>
  <c r="AL54" i="1" s="1"/>
  <c r="AX20" i="1"/>
  <c r="AX22" i="1"/>
  <c r="AT26" i="1"/>
  <c r="AT33" i="1" s="1"/>
  <c r="N35" i="1"/>
  <c r="N30" i="1"/>
  <c r="S42" i="1"/>
  <c r="X80" i="2"/>
  <c r="X65" i="2"/>
  <c r="AA80" i="2"/>
  <c r="W50" i="3"/>
  <c r="W39" i="3"/>
  <c r="W55" i="3"/>
  <c r="X10" i="4"/>
  <c r="W22" i="4"/>
  <c r="W30" i="4" s="1"/>
  <c r="BE56" i="4"/>
  <c r="BE60" i="4"/>
  <c r="BE50" i="4"/>
  <c r="BE59" i="4"/>
  <c r="BD40" i="1"/>
  <c r="BD14" i="1"/>
  <c r="BD42" i="1"/>
  <c r="AY11" i="1"/>
  <c r="K33" i="1"/>
  <c r="AZ33" i="1"/>
  <c r="AY26" i="1"/>
  <c r="AY40" i="1" s="1"/>
  <c r="BM28" i="1"/>
  <c r="AP42" i="1"/>
  <c r="BH45" i="1"/>
  <c r="Z9" i="2"/>
  <c r="V10" i="2"/>
  <c r="V65" i="2" s="1"/>
  <c r="BI79" i="2"/>
  <c r="AX8" i="4"/>
  <c r="C20" i="1"/>
  <c r="C21" i="1"/>
  <c r="C22" i="1"/>
  <c r="AB21" i="1"/>
  <c r="AB23" i="1"/>
  <c r="BA21" i="1"/>
  <c r="BA22" i="1"/>
  <c r="BA17" i="1"/>
  <c r="BA50" i="1" s="1"/>
  <c r="BA52" i="1" s="1"/>
  <c r="BA54" i="1" s="1"/>
  <c r="S17" i="1"/>
  <c r="S50" i="1" s="1"/>
  <c r="S52" i="1" s="1"/>
  <c r="S54" i="1" s="1"/>
  <c r="O22" i="1"/>
  <c r="P40" i="1"/>
  <c r="P45" i="1" s="1"/>
  <c r="P20" i="1"/>
  <c r="E21" i="1"/>
  <c r="E22" i="1"/>
  <c r="AQ22" i="1"/>
  <c r="AQ23" i="1"/>
  <c r="AQ21" i="1"/>
  <c r="BC22" i="1"/>
  <c r="BC23" i="1"/>
  <c r="BI16" i="1"/>
  <c r="AQ17" i="1"/>
  <c r="AQ50" i="1" s="1"/>
  <c r="AQ52" i="1" s="1"/>
  <c r="AD20" i="1"/>
  <c r="R21" i="1"/>
  <c r="AX21" i="1"/>
  <c r="AL22" i="1"/>
  <c r="E23" i="1"/>
  <c r="BA35" i="1"/>
  <c r="AV40" i="1"/>
  <c r="AV30" i="1"/>
  <c r="X30" i="1"/>
  <c r="AT30" i="1"/>
  <c r="AV33" i="1"/>
  <c r="AF35" i="1"/>
  <c r="AQ53" i="1"/>
  <c r="AT53" i="1" s="1"/>
  <c r="W72" i="2"/>
  <c r="Z7" i="2"/>
  <c r="W10" i="2"/>
  <c r="W54" i="2" s="1"/>
  <c r="W58" i="2"/>
  <c r="BD8" i="2"/>
  <c r="Y74" i="2"/>
  <c r="AD74" i="2"/>
  <c r="AP74" i="2"/>
  <c r="AP56" i="2"/>
  <c r="AT9" i="2"/>
  <c r="I10" i="2"/>
  <c r="AI10" i="2"/>
  <c r="AI65" i="2" s="1"/>
  <c r="BI19" i="2"/>
  <c r="BI77" i="2"/>
  <c r="AD80" i="2"/>
  <c r="AI80" i="2"/>
  <c r="BG80" i="2"/>
  <c r="U40" i="1"/>
  <c r="U14" i="1"/>
  <c r="F11" i="1"/>
  <c r="F22" i="1" s="1"/>
  <c r="S22" i="1"/>
  <c r="S23" i="1"/>
  <c r="BD11" i="1"/>
  <c r="AA17" i="1"/>
  <c r="AA50" i="1" s="1"/>
  <c r="AA52" i="1" s="1"/>
  <c r="AA54" i="1" s="1"/>
  <c r="AR17" i="1"/>
  <c r="AR50" i="1" s="1"/>
  <c r="AR52" i="1" s="1"/>
  <c r="AZ20" i="1"/>
  <c r="S21" i="1"/>
  <c r="BB21" i="1"/>
  <c r="AM22" i="1"/>
  <c r="AP23" i="1"/>
  <c r="U28" i="1"/>
  <c r="AW40" i="1"/>
  <c r="AW30" i="1"/>
  <c r="BI36" i="1"/>
  <c r="G30" i="1"/>
  <c r="BB33" i="1"/>
  <c r="AZ45" i="1"/>
  <c r="R46" i="1"/>
  <c r="J54" i="2"/>
  <c r="AL10" i="2"/>
  <c r="AL65" i="2" s="1"/>
  <c r="AL72" i="2"/>
  <c r="AL58" i="2"/>
  <c r="AY7" i="2"/>
  <c r="AM73" i="2"/>
  <c r="AM10" i="2"/>
  <c r="AM55" i="2" s="1"/>
  <c r="BA73" i="2"/>
  <c r="BF73" i="2"/>
  <c r="M74" i="2"/>
  <c r="P9" i="2"/>
  <c r="AA56" i="2"/>
  <c r="AA60" i="2"/>
  <c r="AF74" i="2"/>
  <c r="F19" i="2"/>
  <c r="AJ78" i="2"/>
  <c r="BJ33" i="2"/>
  <c r="AV54" i="2"/>
  <c r="AJ58" i="2"/>
  <c r="AC72" i="2"/>
  <c r="AB73" i="2"/>
  <c r="AE78" i="2"/>
  <c r="P79" i="2"/>
  <c r="AJ17" i="4"/>
  <c r="AH17" i="4"/>
  <c r="AI17" i="4" s="1"/>
  <c r="AM21" i="4"/>
  <c r="AN21" i="4" s="1"/>
  <c r="X66" i="3"/>
  <c r="X52" i="3"/>
  <c r="AM39" i="3"/>
  <c r="AM47" i="3"/>
  <c r="AM50" i="3"/>
  <c r="AM55" i="3"/>
  <c r="AG16" i="1"/>
  <c r="AB9" i="2"/>
  <c r="AB10" i="2" s="1"/>
  <c r="BR10" i="1"/>
  <c r="W17" i="1"/>
  <c r="W50" i="1" s="1"/>
  <c r="W52" i="1" s="1"/>
  <c r="W54" i="1" s="1"/>
  <c r="AV17" i="1"/>
  <c r="AV50" i="1" s="1"/>
  <c r="AV52" i="1" s="1"/>
  <c r="AV54" i="1" s="1"/>
  <c r="BH17" i="1"/>
  <c r="BH50" i="1" s="1"/>
  <c r="BH52" i="1" s="1"/>
  <c r="BH54" i="1" s="1"/>
  <c r="Z33" i="1"/>
  <c r="AX33" i="1"/>
  <c r="BD34" i="1"/>
  <c r="F28" i="1"/>
  <c r="B30" i="1"/>
  <c r="AN35" i="1"/>
  <c r="Z36" i="1"/>
  <c r="I45" i="1"/>
  <c r="N46" i="1"/>
  <c r="C10" i="2"/>
  <c r="H75" i="2" s="1"/>
  <c r="C58" i="2"/>
  <c r="F7" i="2"/>
  <c r="K72" i="2" s="1"/>
  <c r="AD72" i="2"/>
  <c r="E55" i="2"/>
  <c r="AI56" i="2"/>
  <c r="AI74" i="2"/>
  <c r="AW74" i="2"/>
  <c r="AS15" i="2"/>
  <c r="AS62" i="2"/>
  <c r="BM40" i="2"/>
  <c r="BN40" i="2" s="1"/>
  <c r="AL79" i="2"/>
  <c r="AG42" i="3"/>
  <c r="AG20" i="3"/>
  <c r="X39" i="3"/>
  <c r="X47" i="3"/>
  <c r="AN13" i="4"/>
  <c r="AO13" i="4"/>
  <c r="BH32" i="4"/>
  <c r="BI32" i="4" s="1"/>
  <c r="BI37" i="4" s="1"/>
  <c r="J45" i="1"/>
  <c r="O46" i="1"/>
  <c r="V45" i="1"/>
  <c r="D10" i="2"/>
  <c r="D54" i="2"/>
  <c r="D58" i="2"/>
  <c r="Q72" i="2"/>
  <c r="V72" i="2"/>
  <c r="Q10" i="2"/>
  <c r="Q54" i="2" s="1"/>
  <c r="U7" i="2"/>
  <c r="BH55" i="2"/>
  <c r="G74" i="2"/>
  <c r="L74" i="2"/>
  <c r="T74" i="2"/>
  <c r="T56" i="2"/>
  <c r="AK74" i="2"/>
  <c r="AK56" i="2"/>
  <c r="R72" i="3"/>
  <c r="R69" i="3"/>
  <c r="R71" i="3"/>
  <c r="R65" i="3"/>
  <c r="R70" i="3"/>
  <c r="R44" i="3"/>
  <c r="R75" i="2"/>
  <c r="R64" i="2"/>
  <c r="R15" i="2"/>
  <c r="R63" i="2"/>
  <c r="R62" i="2"/>
  <c r="R56" i="2"/>
  <c r="BF20" i="2"/>
  <c r="AO18" i="2"/>
  <c r="T65" i="2"/>
  <c r="Y80" i="2"/>
  <c r="T80" i="2"/>
  <c r="AT24" i="2"/>
  <c r="AS63" i="2"/>
  <c r="S74" i="2"/>
  <c r="AL50" i="3"/>
  <c r="AL39" i="3"/>
  <c r="AL47" i="3"/>
  <c r="AL55" i="3"/>
  <c r="X55" i="3"/>
  <c r="AI8" i="4"/>
  <c r="AW9" i="4"/>
  <c r="AX9" i="4" s="1"/>
  <c r="BE54" i="4"/>
  <c r="BD32" i="4"/>
  <c r="X45" i="1"/>
  <c r="AF72" i="2"/>
  <c r="BF72" i="2"/>
  <c r="N56" i="2"/>
  <c r="BF75" i="2"/>
  <c r="AJ19" i="2"/>
  <c r="L80" i="2"/>
  <c r="L65" i="2"/>
  <c r="AN80" i="2"/>
  <c r="BF56" i="2"/>
  <c r="BF63" i="2"/>
  <c r="BF64" i="2"/>
  <c r="AH73" i="2"/>
  <c r="AB45" i="3"/>
  <c r="AB43" i="3"/>
  <c r="AB12" i="3"/>
  <c r="AG69" i="3"/>
  <c r="AL45" i="3"/>
  <c r="AG44" i="3"/>
  <c r="AG43" i="3"/>
  <c r="AH44" i="3"/>
  <c r="O55" i="3"/>
  <c r="O47" i="3"/>
  <c r="O50" i="3"/>
  <c r="X48" i="4"/>
  <c r="Y39" i="4"/>
  <c r="Y48" i="4" s="1"/>
  <c r="BK5" i="3"/>
  <c r="BK5" i="4"/>
  <c r="AY51" i="1"/>
  <c r="AI17" i="1"/>
  <c r="AI50" i="1" s="1"/>
  <c r="AI52" i="1" s="1"/>
  <c r="AI54" i="1" s="1"/>
  <c r="AU17" i="1"/>
  <c r="AU50" i="1" s="1"/>
  <c r="AU52" i="1" s="1"/>
  <c r="AU54" i="1" s="1"/>
  <c r="M20" i="1"/>
  <c r="Y20" i="1"/>
  <c r="AW20" i="1"/>
  <c r="S46" i="1"/>
  <c r="AQ46" i="1"/>
  <c r="BC46" i="1"/>
  <c r="P51" i="1"/>
  <c r="AG58" i="2"/>
  <c r="AG72" i="2"/>
  <c r="AS58" i="2"/>
  <c r="AS72" i="2"/>
  <c r="BG72" i="2"/>
  <c r="R73" i="2"/>
  <c r="R55" i="2"/>
  <c r="AD73" i="2"/>
  <c r="AD59" i="2"/>
  <c r="BE73" i="2"/>
  <c r="BI8" i="2"/>
  <c r="AD56" i="2"/>
  <c r="BE74" i="2"/>
  <c r="BG10" i="2"/>
  <c r="BG54" i="2" s="1"/>
  <c r="BA80" i="2"/>
  <c r="AO16" i="4"/>
  <c r="AW19" i="4"/>
  <c r="AX19" i="4" s="1"/>
  <c r="AS28" i="4"/>
  <c r="AT28" i="4" s="1"/>
  <c r="N65" i="2"/>
  <c r="AA65" i="2"/>
  <c r="BS40" i="2"/>
  <c r="BQ45" i="2"/>
  <c r="BS45" i="2" s="1"/>
  <c r="BF54" i="2"/>
  <c r="BK10" i="3"/>
  <c r="BK24" i="4" s="1"/>
  <c r="S42" i="3"/>
  <c r="S20" i="3"/>
  <c r="Y42" i="3"/>
  <c r="Y39" i="3"/>
  <c r="Y43" i="3"/>
  <c r="AH55" i="3"/>
  <c r="AH47" i="3"/>
  <c r="AH39" i="3"/>
  <c r="AB44" i="3"/>
  <c r="U56" i="4"/>
  <c r="U60" i="4"/>
  <c r="U57" i="4"/>
  <c r="U50" i="4"/>
  <c r="U52" i="4" s="1"/>
  <c r="U59" i="4"/>
  <c r="BF48" i="4"/>
  <c r="L45" i="1"/>
  <c r="AJ40" i="1"/>
  <c r="R58" i="2"/>
  <c r="R72" i="2"/>
  <c r="R54" i="2"/>
  <c r="AP73" i="2"/>
  <c r="AT8" i="2"/>
  <c r="BL5" i="2"/>
  <c r="BL5" i="4"/>
  <c r="BI33" i="1"/>
  <c r="AA30" i="1"/>
  <c r="AF37" i="1" s="1"/>
  <c r="AM30" i="1"/>
  <c r="AM35" i="1"/>
  <c r="N45" i="1"/>
  <c r="AX45" i="1"/>
  <c r="G46" i="1"/>
  <c r="AU72" i="2"/>
  <c r="AU10" i="2"/>
  <c r="AU65" i="2" s="1"/>
  <c r="G73" i="2"/>
  <c r="S10" i="2"/>
  <c r="S56" i="2" s="1"/>
  <c r="S73" i="2"/>
  <c r="AR73" i="2"/>
  <c r="AR59" i="2"/>
  <c r="BF55" i="2"/>
  <c r="Q56" i="2"/>
  <c r="Q74" i="2"/>
  <c r="BM5" i="3"/>
  <c r="BM5" i="4"/>
  <c r="AO51" i="1"/>
  <c r="AK17" i="1"/>
  <c r="AK50" i="1" s="1"/>
  <c r="AK52" i="1" s="1"/>
  <c r="P34" i="1"/>
  <c r="AN30" i="1"/>
  <c r="AS37" i="1" s="1"/>
  <c r="O45" i="1"/>
  <c r="BM40" i="1"/>
  <c r="AG46" i="1"/>
  <c r="AS46" i="1"/>
  <c r="BE46" i="1"/>
  <c r="AP53" i="1"/>
  <c r="I58" i="2"/>
  <c r="AI72" i="2"/>
  <c r="BI7" i="2"/>
  <c r="AG56" i="2"/>
  <c r="BG74" i="2"/>
  <c r="BG56" i="2"/>
  <c r="G10" i="2"/>
  <c r="X70" i="3"/>
  <c r="X65" i="3"/>
  <c r="X72" i="3"/>
  <c r="X71" i="3"/>
  <c r="X64" i="2"/>
  <c r="X15" i="2"/>
  <c r="X69" i="3"/>
  <c r="X62" i="2"/>
  <c r="AR10" i="2"/>
  <c r="AK19" i="2"/>
  <c r="AK64" i="2"/>
  <c r="AK79" i="2"/>
  <c r="AP79" i="2"/>
  <c r="AQ80" i="2"/>
  <c r="BC80" i="2"/>
  <c r="BH80" i="2"/>
  <c r="BC65" i="2"/>
  <c r="AO24" i="2"/>
  <c r="BQ40" i="2"/>
  <c r="BR40" i="2" s="1"/>
  <c r="AD60" i="2"/>
  <c r="O74" i="2"/>
  <c r="AJ77" i="2"/>
  <c r="T42" i="3"/>
  <c r="T20" i="3"/>
  <c r="T65" i="3" s="1"/>
  <c r="V52" i="3"/>
  <c r="S55" i="3"/>
  <c r="S50" i="3"/>
  <c r="S47" i="3"/>
  <c r="S39" i="3"/>
  <c r="AH50" i="3"/>
  <c r="BK10" i="4"/>
  <c r="BG10" i="4"/>
  <c r="BL10" i="4" s="1"/>
  <c r="BQ10" i="4" s="1"/>
  <c r="BG45" i="4"/>
  <c r="BI45" i="4" s="1"/>
  <c r="L54" i="2"/>
  <c r="AK54" i="2"/>
  <c r="AX10" i="2"/>
  <c r="H55" i="2"/>
  <c r="T73" i="2"/>
  <c r="AJ8" i="2"/>
  <c r="AO73" i="2" s="1"/>
  <c r="AF55" i="2"/>
  <c r="AS55" i="2"/>
  <c r="BG73" i="2"/>
  <c r="F9" i="2"/>
  <c r="AF10" i="2"/>
  <c r="AK75" i="2" s="1"/>
  <c r="Z79" i="2"/>
  <c r="AU80" i="2"/>
  <c r="L58" i="2"/>
  <c r="AQ60" i="2"/>
  <c r="AX72" i="2"/>
  <c r="AC44" i="3"/>
  <c r="AC43" i="3"/>
  <c r="AC12" i="3"/>
  <c r="AH42" i="3"/>
  <c r="AH20" i="3"/>
  <c r="AV33" i="3"/>
  <c r="AL22" i="4"/>
  <c r="AL30" i="4" s="1"/>
  <c r="AM8" i="4"/>
  <c r="R22" i="4"/>
  <c r="R30" i="4" s="1"/>
  <c r="S9" i="4"/>
  <c r="AW17" i="4"/>
  <c r="AX17" i="4" s="1"/>
  <c r="AX21" i="4"/>
  <c r="AY21" i="4" s="1"/>
  <c r="Q52" i="3"/>
  <c r="Q66" i="3"/>
  <c r="AI42" i="3"/>
  <c r="AI20" i="3"/>
  <c r="AA72" i="3"/>
  <c r="AN11" i="4"/>
  <c r="AO11" i="4" s="1"/>
  <c r="AN45" i="4"/>
  <c r="AO45" i="4" s="1"/>
  <c r="B10" i="2"/>
  <c r="N10" i="2"/>
  <c r="N55" i="2" s="1"/>
  <c r="AZ10" i="2"/>
  <c r="AZ55" i="2" s="1"/>
  <c r="BD7" i="2"/>
  <c r="E56" i="2"/>
  <c r="AF60" i="2"/>
  <c r="AJ9" i="2"/>
  <c r="BD19" i="2"/>
  <c r="AJ79" i="2"/>
  <c r="W65" i="2"/>
  <c r="T55" i="2"/>
  <c r="AF58" i="2"/>
  <c r="AZ72" i="2"/>
  <c r="W80" i="2"/>
  <c r="BJ24" i="4"/>
  <c r="BH24" i="4"/>
  <c r="BI24" i="4" s="1"/>
  <c r="R42" i="3"/>
  <c r="R20" i="3"/>
  <c r="AN24" i="4"/>
  <c r="AO24" i="4" s="1"/>
  <c r="AP59" i="4"/>
  <c r="AP56" i="4"/>
  <c r="AP60" i="4"/>
  <c r="BO37" i="4"/>
  <c r="AK38" i="3"/>
  <c r="AQ22" i="4"/>
  <c r="AQ30" i="4" s="1"/>
  <c r="AK22" i="4"/>
  <c r="AL15" i="4"/>
  <c r="AM15" i="4" s="1"/>
  <c r="AN15" i="4" s="1"/>
  <c r="AU60" i="4"/>
  <c r="AU57" i="4"/>
  <c r="AM26" i="4"/>
  <c r="AN26" i="4" s="1"/>
  <c r="AA50" i="4"/>
  <c r="AA52" i="4" s="1"/>
  <c r="AB51" i="4" s="1"/>
  <c r="AA59" i="4"/>
  <c r="AA56" i="4"/>
  <c r="AA60" i="4"/>
  <c r="AA57" i="4"/>
  <c r="AI35" i="4"/>
  <c r="AJ35" i="4" s="1"/>
  <c r="S48" i="4"/>
  <c r="BN48" i="4"/>
  <c r="AG48" i="4"/>
  <c r="AH45" i="4"/>
  <c r="AU56" i="4"/>
  <c r="S72" i="2"/>
  <c r="AQ72" i="2"/>
  <c r="R74" i="2"/>
  <c r="AR60" i="2"/>
  <c r="AR74" i="2"/>
  <c r="AQ10" i="2"/>
  <c r="AV75" i="2" s="1"/>
  <c r="BE10" i="2"/>
  <c r="AT14" i="2"/>
  <c r="AT77" i="2"/>
  <c r="G80" i="2"/>
  <c r="S80" i="2"/>
  <c r="BK45" i="2"/>
  <c r="BN45" i="2" s="1"/>
  <c r="AQ58" i="2"/>
  <c r="G72" i="2"/>
  <c r="AH45" i="3"/>
  <c r="AR12" i="3"/>
  <c r="AS9" i="3"/>
  <c r="BK18" i="3"/>
  <c r="BK26" i="4" s="1"/>
  <c r="AN50" i="3"/>
  <c r="AN47" i="3"/>
  <c r="AN55" i="3"/>
  <c r="V55" i="3"/>
  <c r="V39" i="3"/>
  <c r="V47" i="3"/>
  <c r="V50" i="3"/>
  <c r="AR10" i="4"/>
  <c r="AJ18" i="4"/>
  <c r="AT26" i="4"/>
  <c r="AB27" i="4"/>
  <c r="AC27" i="4" s="1"/>
  <c r="AD27" i="4" s="1"/>
  <c r="AC33" i="4"/>
  <c r="AB37" i="4"/>
  <c r="T39" i="4"/>
  <c r="T48" i="4" s="1"/>
  <c r="BB42" i="4"/>
  <c r="AU59" i="4"/>
  <c r="AY8" i="4"/>
  <c r="AV22" i="4"/>
  <c r="V30" i="4"/>
  <c r="BB37" i="4"/>
  <c r="AM34" i="4"/>
  <c r="AN34" i="4" s="1"/>
  <c r="BJ26" i="4"/>
  <c r="BH26" i="4"/>
  <c r="AO9" i="4"/>
  <c r="BB10" i="4"/>
  <c r="BC10" i="4" s="1"/>
  <c r="BH10" i="4" s="1"/>
  <c r="AG22" i="4"/>
  <c r="Q80" i="2"/>
  <c r="AC80" i="2"/>
  <c r="AN65" i="2"/>
  <c r="AI45" i="3"/>
  <c r="AK44" i="3"/>
  <c r="AI44" i="3"/>
  <c r="AR34" i="3"/>
  <c r="AQ38" i="3"/>
  <c r="Q55" i="3"/>
  <c r="Q47" i="3"/>
  <c r="Q50" i="3"/>
  <c r="AW23" i="4"/>
  <c r="AX23" i="4" s="1"/>
  <c r="BG34" i="4"/>
  <c r="BG37" i="4" s="1"/>
  <c r="BI34" i="4"/>
  <c r="AJ46" i="4"/>
  <c r="AD44" i="3"/>
  <c r="AL42" i="3"/>
  <c r="AA55" i="3"/>
  <c r="AB22" i="4"/>
  <c r="AH10" i="4"/>
  <c r="AI10" i="4" s="1"/>
  <c r="AR13" i="4"/>
  <c r="AS13" i="4" s="1"/>
  <c r="AT15" i="4"/>
  <c r="BG26" i="4"/>
  <c r="BI26" i="4" s="1"/>
  <c r="AQ37" i="4"/>
  <c r="AT32" i="4"/>
  <c r="AU37" i="4"/>
  <c r="AY35" i="4"/>
  <c r="AB48" i="4"/>
  <c r="AQ45" i="4"/>
  <c r="AR45" i="4" s="1"/>
  <c r="AS45" i="4" s="1"/>
  <c r="AP48" i="4"/>
  <c r="AP50" i="4" s="1"/>
  <c r="AT45" i="4"/>
  <c r="AD69" i="3"/>
  <c r="BB8" i="4"/>
  <c r="BA22" i="4"/>
  <c r="BS9" i="4"/>
  <c r="AW13" i="4"/>
  <c r="AX13" i="4" s="1"/>
  <c r="BB29" i="4"/>
  <c r="BC29" i="4" s="1"/>
  <c r="BD29" i="4"/>
  <c r="AD39" i="4"/>
  <c r="AD48" i="4" s="1"/>
  <c r="AC48" i="4"/>
  <c r="AI42" i="4"/>
  <c r="AJ42" i="4" s="1"/>
  <c r="AH43" i="3"/>
  <c r="AD12" i="3"/>
  <c r="AD43" i="3"/>
  <c r="AM45" i="3"/>
  <c r="AZ54" i="4"/>
  <c r="AZ30" i="4"/>
  <c r="AI39" i="4"/>
  <c r="AJ39" i="4"/>
  <c r="AY46" i="4"/>
  <c r="AO49" i="4"/>
  <c r="BG23" i="4"/>
  <c r="AW25" i="4"/>
  <c r="AX25" i="4" s="1"/>
  <c r="AM27" i="4"/>
  <c r="AN27" i="4" s="1"/>
  <c r="BK32" i="4"/>
  <c r="AW10" i="4"/>
  <c r="AX10" i="4" s="1"/>
  <c r="AI24" i="4"/>
  <c r="AJ24" i="4" s="1"/>
  <c r="AH26" i="4"/>
  <c r="AI26" i="4" s="1"/>
  <c r="BL32" i="4"/>
  <c r="AU48" i="4"/>
  <c r="AV45" i="4"/>
  <c r="BB25" i="4"/>
  <c r="BC25" i="4" s="1"/>
  <c r="BD34" i="4"/>
  <c r="AY24" i="4"/>
  <c r="AU54" i="4"/>
  <c r="AN39" i="4"/>
  <c r="AR49" i="4"/>
  <c r="AS49" i="4" s="1"/>
  <c r="Q50" i="4"/>
  <c r="Q52" i="4" s="1"/>
  <c r="R51" i="4" s="1"/>
  <c r="AY15" i="4"/>
  <c r="AM23" i="4"/>
  <c r="AN23" i="4" s="1"/>
  <c r="AX28" i="4"/>
  <c r="AY28" i="4" s="1"/>
  <c r="S37" i="4"/>
  <c r="AR42" i="4"/>
  <c r="W48" i="4"/>
  <c r="BG46" i="4"/>
  <c r="BI46" i="4" s="1"/>
  <c r="Q59" i="4"/>
  <c r="BI21" i="4"/>
  <c r="AH25" i="4"/>
  <c r="AI25" i="4" s="1"/>
  <c r="AH29" i="4"/>
  <c r="AI29" i="4" s="1"/>
  <c r="BB35" i="4"/>
  <c r="BC35" i="4" s="1"/>
  <c r="BC37" i="4" s="1"/>
  <c r="BD49" i="4"/>
  <c r="AW26" i="4"/>
  <c r="AX26" i="4" s="1"/>
  <c r="BI16" i="4"/>
  <c r="AJ23" i="4"/>
  <c r="BB23" i="4"/>
  <c r="BC23" i="4" s="1"/>
  <c r="AJ27" i="4"/>
  <c r="BB27" i="4"/>
  <c r="BC27" i="4" s="1"/>
  <c r="AG37" i="4"/>
  <c r="AH32" i="4"/>
  <c r="BG42" i="4"/>
  <c r="BI42" i="4" s="1"/>
  <c r="BR35" i="1" l="1"/>
  <c r="AJ45" i="1"/>
  <c r="BK35" i="1"/>
  <c r="BP26" i="1"/>
  <c r="BP28" i="1" s="1"/>
  <c r="T42" i="1"/>
  <c r="T47" i="1" s="1"/>
  <c r="BN26" i="1"/>
  <c r="BN33" i="1" s="1"/>
  <c r="BK8" i="1"/>
  <c r="P35" i="1"/>
  <c r="U45" i="1"/>
  <c r="AB55" i="2"/>
  <c r="AB69" i="3"/>
  <c r="AB54" i="2"/>
  <c r="BI48" i="4"/>
  <c r="AN9" i="3"/>
  <c r="AN12" i="3" s="1"/>
  <c r="AN42" i="3" s="1"/>
  <c r="AM12" i="3"/>
  <c r="AM42" i="3" s="1"/>
  <c r="AT16" i="4"/>
  <c r="BG65" i="2"/>
  <c r="AD30" i="4"/>
  <c r="AD56" i="4" s="1"/>
  <c r="AL54" i="2"/>
  <c r="AQ48" i="4"/>
  <c r="BI10" i="4"/>
  <c r="AH22" i="4"/>
  <c r="AH30" i="4" s="1"/>
  <c r="BN36" i="1"/>
  <c r="AN48" i="4"/>
  <c r="O56" i="2"/>
  <c r="AI22" i="4"/>
  <c r="AI30" i="4" s="1"/>
  <c r="AI59" i="4" s="1"/>
  <c r="BK9" i="1"/>
  <c r="BC55" i="2"/>
  <c r="P10" i="2"/>
  <c r="P57" i="2" s="1"/>
  <c r="BH37" i="1"/>
  <c r="BH42" i="1"/>
  <c r="BH47" i="1" s="1"/>
  <c r="AQ45" i="1"/>
  <c r="U30" i="1"/>
  <c r="U42" i="1" s="1"/>
  <c r="AU50" i="4"/>
  <c r="V66" i="3"/>
  <c r="O55" i="2"/>
  <c r="AT29" i="4"/>
  <c r="BG22" i="4"/>
  <c r="AT24" i="4"/>
  <c r="U35" i="1"/>
  <c r="BD45" i="1"/>
  <c r="BD17" i="4"/>
  <c r="AR37" i="4"/>
  <c r="AH55" i="2"/>
  <c r="AG74" i="2"/>
  <c r="AU55" i="2"/>
  <c r="AU56" i="2"/>
  <c r="AG17" i="1"/>
  <c r="AG50" i="1" s="1"/>
  <c r="AG52" i="1" s="1"/>
  <c r="AG54" i="1" s="1"/>
  <c r="AS37" i="4"/>
  <c r="BD9" i="4"/>
  <c r="AT8" i="4"/>
  <c r="AT46" i="4"/>
  <c r="BH57" i="2"/>
  <c r="BH11" i="3"/>
  <c r="BH25" i="4" s="1"/>
  <c r="BI25" i="4" s="1"/>
  <c r="BH8" i="3"/>
  <c r="BH25" i="3"/>
  <c r="BH29" i="4" s="1"/>
  <c r="BI29" i="4" s="1"/>
  <c r="AQ65" i="2"/>
  <c r="AM54" i="2"/>
  <c r="AB20" i="1"/>
  <c r="BS36" i="2"/>
  <c r="BR43" i="2"/>
  <c r="BS43" i="2" s="1"/>
  <c r="AO52" i="1"/>
  <c r="AT23" i="4"/>
  <c r="AT37" i="4"/>
  <c r="X63" i="2"/>
  <c r="X57" i="2"/>
  <c r="X54" i="2"/>
  <c r="BK46" i="1"/>
  <c r="BD46" i="1"/>
  <c r="AT35" i="4"/>
  <c r="AE11" i="1"/>
  <c r="AE21" i="1" s="1"/>
  <c r="AM56" i="2"/>
  <c r="AJ46" i="1"/>
  <c r="AB22" i="1"/>
  <c r="AT9" i="4"/>
  <c r="AC72" i="3"/>
  <c r="AC63" i="2"/>
  <c r="AC70" i="3"/>
  <c r="AC75" i="2"/>
  <c r="AC57" i="2"/>
  <c r="AC71" i="3"/>
  <c r="AC15" i="2"/>
  <c r="AC65" i="2"/>
  <c r="AC64" i="2"/>
  <c r="AC62" i="2"/>
  <c r="AC55" i="2"/>
  <c r="AC69" i="3"/>
  <c r="AC54" i="2"/>
  <c r="AD59" i="4"/>
  <c r="AD57" i="4"/>
  <c r="AD60" i="4"/>
  <c r="T9" i="4"/>
  <c r="T22" i="4" s="1"/>
  <c r="T30" i="4" s="1"/>
  <c r="S22" i="4"/>
  <c r="S30" i="4" s="1"/>
  <c r="BF42" i="1"/>
  <c r="BF47" i="1" s="1"/>
  <c r="BF37" i="1"/>
  <c r="BI30" i="1"/>
  <c r="BH28" i="4"/>
  <c r="BI28" i="4" s="1"/>
  <c r="AX32" i="4"/>
  <c r="AX37" i="4" s="1"/>
  <c r="AW37" i="4"/>
  <c r="AE80" i="2"/>
  <c r="AK61" i="2"/>
  <c r="AK20" i="2"/>
  <c r="BP32" i="4"/>
  <c r="BK37" i="4"/>
  <c r="R59" i="4"/>
  <c r="R60" i="4"/>
  <c r="R50" i="4"/>
  <c r="R52" i="4" s="1"/>
  <c r="S51" i="4" s="1"/>
  <c r="R56" i="4"/>
  <c r="R57" i="4"/>
  <c r="BP10" i="4"/>
  <c r="G57" i="2"/>
  <c r="G75" i="2"/>
  <c r="G63" i="2"/>
  <c r="G15" i="2"/>
  <c r="L76" i="2" s="1"/>
  <c r="G62" i="2"/>
  <c r="G65" i="2"/>
  <c r="G64" i="2"/>
  <c r="G54" i="2"/>
  <c r="G56" i="2"/>
  <c r="K10" i="2"/>
  <c r="K56" i="2" s="1"/>
  <c r="R61" i="2"/>
  <c r="R20" i="2"/>
  <c r="D62" i="2"/>
  <c r="D57" i="2"/>
  <c r="D15" i="2"/>
  <c r="D56" i="2"/>
  <c r="D63" i="2"/>
  <c r="D64" i="2"/>
  <c r="I63" i="2"/>
  <c r="I15" i="2"/>
  <c r="I64" i="2"/>
  <c r="I75" i="2"/>
  <c r="I57" i="2"/>
  <c r="I65" i="2"/>
  <c r="I56" i="2"/>
  <c r="I62" i="2"/>
  <c r="W60" i="4"/>
  <c r="W50" i="4"/>
  <c r="W59" i="4"/>
  <c r="W56" i="4"/>
  <c r="W57" i="4"/>
  <c r="AL42" i="1"/>
  <c r="AQ37" i="1"/>
  <c r="AL37" i="1"/>
  <c r="AW57" i="2"/>
  <c r="AW64" i="2"/>
  <c r="AW63" i="2"/>
  <c r="AW65" i="2"/>
  <c r="AW75" i="2"/>
  <c r="AW15" i="2"/>
  <c r="AW62" i="2"/>
  <c r="BL35" i="1"/>
  <c r="BL30" i="1"/>
  <c r="BL37" i="1" s="1"/>
  <c r="BL8" i="1"/>
  <c r="H20" i="2"/>
  <c r="H61" i="2"/>
  <c r="BK74" i="2"/>
  <c r="AH37" i="4"/>
  <c r="AI32" i="4"/>
  <c r="AI37" i="4" s="1"/>
  <c r="AS42" i="4"/>
  <c r="AS48" i="4" s="1"/>
  <c r="AR48" i="4"/>
  <c r="BO40" i="1"/>
  <c r="BM45" i="1"/>
  <c r="AT74" i="2"/>
  <c r="AT60" i="2"/>
  <c r="AU37" i="1"/>
  <c r="AY30" i="1"/>
  <c r="AU42" i="1"/>
  <c r="AZ37" i="1"/>
  <c r="AD61" i="2"/>
  <c r="AD20" i="2"/>
  <c r="E63" i="2"/>
  <c r="E15" i="2"/>
  <c r="E64" i="2"/>
  <c r="E65" i="2"/>
  <c r="E62" i="2"/>
  <c r="E57" i="2"/>
  <c r="AD39" i="3"/>
  <c r="AD50" i="3"/>
  <c r="AD55" i="3"/>
  <c r="AD47" i="3"/>
  <c r="P73" i="2"/>
  <c r="BQ32" i="4"/>
  <c r="BQ37" i="4" s="1"/>
  <c r="BL37" i="4"/>
  <c r="AO27" i="4"/>
  <c r="BA54" i="4"/>
  <c r="BA30" i="4"/>
  <c r="AR22" i="4"/>
  <c r="AS10" i="4"/>
  <c r="BE15" i="2"/>
  <c r="BE62" i="2"/>
  <c r="BI10" i="2"/>
  <c r="BI55" i="2" s="1"/>
  <c r="BE57" i="2"/>
  <c r="BE64" i="2"/>
  <c r="BE63" i="2"/>
  <c r="BE56" i="2"/>
  <c r="BE55" i="2"/>
  <c r="BE75" i="2"/>
  <c r="BD72" i="2"/>
  <c r="BD54" i="2"/>
  <c r="AI52" i="3"/>
  <c r="AI66" i="3"/>
  <c r="AM42" i="1"/>
  <c r="AM37" i="1"/>
  <c r="BI73" i="2"/>
  <c r="AB20" i="3"/>
  <c r="AB42" i="3"/>
  <c r="AH57" i="4"/>
  <c r="AH59" i="4"/>
  <c r="AH50" i="4"/>
  <c r="AH60" i="4"/>
  <c r="AH56" i="4"/>
  <c r="P56" i="2"/>
  <c r="P74" i="2"/>
  <c r="U74" i="2"/>
  <c r="BD53" i="1"/>
  <c r="AY22" i="1"/>
  <c r="AY17" i="1"/>
  <c r="AY50" i="1" s="1"/>
  <c r="AY52" i="1" s="1"/>
  <c r="AY23" i="1"/>
  <c r="AH74" i="2"/>
  <c r="BF30" i="4"/>
  <c r="BF54" i="4"/>
  <c r="AO53" i="1"/>
  <c r="AO54" i="1" s="1"/>
  <c r="AM37" i="4"/>
  <c r="AN32" i="4"/>
  <c r="AN37" i="4" s="1"/>
  <c r="BQ9" i="2"/>
  <c r="AA69" i="3"/>
  <c r="AA71" i="3"/>
  <c r="AA70" i="3"/>
  <c r="AA63" i="2"/>
  <c r="AA15" i="2"/>
  <c r="AA75" i="2"/>
  <c r="AA62" i="2"/>
  <c r="AA64" i="2"/>
  <c r="AE10" i="2"/>
  <c r="AA57" i="2"/>
  <c r="AA65" i="3"/>
  <c r="Z51" i="1"/>
  <c r="AL57" i="4"/>
  <c r="AL59" i="4"/>
  <c r="AL60" i="4"/>
  <c r="AL50" i="4"/>
  <c r="AL56" i="4"/>
  <c r="AR75" i="2"/>
  <c r="AR62" i="2"/>
  <c r="AR63" i="2"/>
  <c r="AR15" i="2"/>
  <c r="AR55" i="2"/>
  <c r="AR65" i="2"/>
  <c r="AR64" i="2"/>
  <c r="AR54" i="2"/>
  <c r="AR57" i="2"/>
  <c r="AN42" i="1"/>
  <c r="AN47" i="1" s="1"/>
  <c r="AN37" i="1"/>
  <c r="K53" i="1"/>
  <c r="AY23" i="4"/>
  <c r="AV30" i="4"/>
  <c r="AV54" i="4"/>
  <c r="BM32" i="4"/>
  <c r="BH37" i="4"/>
  <c r="BH13" i="3"/>
  <c r="BJ13" i="3" s="1"/>
  <c r="BK13" i="3" s="1"/>
  <c r="BL13" i="3" s="1"/>
  <c r="BM13" i="3" s="1"/>
  <c r="BO13" i="3" s="1"/>
  <c r="BP13" i="3" s="1"/>
  <c r="F58" i="2"/>
  <c r="AT40" i="1"/>
  <c r="AT45" i="1" s="1"/>
  <c r="Z74" i="2"/>
  <c r="AP65" i="2"/>
  <c r="AP75" i="2"/>
  <c r="AP64" i="2"/>
  <c r="AP63" i="2"/>
  <c r="AP62" i="2"/>
  <c r="AP15" i="2"/>
  <c r="AT10" i="2"/>
  <c r="AT56" i="2" s="1"/>
  <c r="AP57" i="2"/>
  <c r="AP55" i="2"/>
  <c r="AG72" i="3"/>
  <c r="AG65" i="3"/>
  <c r="AG62" i="2"/>
  <c r="AG15" i="2"/>
  <c r="AG63" i="2"/>
  <c r="AG57" i="2"/>
  <c r="AG71" i="3"/>
  <c r="AG75" i="2"/>
  <c r="AG70" i="3"/>
  <c r="AG64" i="2"/>
  <c r="BJ45" i="1"/>
  <c r="BE45" i="1"/>
  <c r="AO80" i="2"/>
  <c r="P80" i="2"/>
  <c r="J75" i="2"/>
  <c r="AT13" i="4"/>
  <c r="BM10" i="4"/>
  <c r="BR10" i="4" s="1"/>
  <c r="BH36" i="3"/>
  <c r="BJ36" i="3" s="1"/>
  <c r="BK36" i="3" s="1"/>
  <c r="BL36" i="3" s="1"/>
  <c r="BM36" i="3" s="1"/>
  <c r="BO36" i="3" s="1"/>
  <c r="AR56" i="2"/>
  <c r="AX64" i="2"/>
  <c r="AX57" i="2"/>
  <c r="AX15" i="2"/>
  <c r="AX75" i="2"/>
  <c r="AX56" i="2"/>
  <c r="AX65" i="2"/>
  <c r="AX63" i="2"/>
  <c r="AX62" i="2"/>
  <c r="N64" i="2"/>
  <c r="N57" i="2"/>
  <c r="N54" i="2"/>
  <c r="N75" i="2"/>
  <c r="N62" i="2"/>
  <c r="N15" i="2"/>
  <c r="N63" i="2"/>
  <c r="AH66" i="3"/>
  <c r="AH52" i="3"/>
  <c r="AX54" i="2"/>
  <c r="AY21" i="1"/>
  <c r="BF64" i="3"/>
  <c r="BF23" i="2"/>
  <c r="BF66" i="2"/>
  <c r="BF51" i="3"/>
  <c r="AR54" i="1"/>
  <c r="BN16" i="1"/>
  <c r="AO21" i="4"/>
  <c r="AP54" i="2"/>
  <c r="E54" i="2"/>
  <c r="AO74" i="2"/>
  <c r="AO60" i="2"/>
  <c r="BE65" i="2"/>
  <c r="BC57" i="2"/>
  <c r="BC15" i="2"/>
  <c r="BH76" i="2" s="1"/>
  <c r="BC62" i="2"/>
  <c r="BC75" i="2"/>
  <c r="BC64" i="2"/>
  <c r="BC56" i="2"/>
  <c r="BC63" i="2"/>
  <c r="AM65" i="2"/>
  <c r="M63" i="2"/>
  <c r="M75" i="2"/>
  <c r="M57" i="2"/>
  <c r="M62" i="2"/>
  <c r="M65" i="2"/>
  <c r="M55" i="2"/>
  <c r="M56" i="2"/>
  <c r="M64" i="2"/>
  <c r="M15" i="2"/>
  <c r="AJ53" i="1"/>
  <c r="BS10" i="1"/>
  <c r="BO9" i="2"/>
  <c r="U23" i="1"/>
  <c r="U17" i="1"/>
  <c r="U50" i="1" s="1"/>
  <c r="U52" i="1" s="1"/>
  <c r="U54" i="1" s="1"/>
  <c r="U20" i="1"/>
  <c r="U21" i="1"/>
  <c r="BJ37" i="1"/>
  <c r="L61" i="2"/>
  <c r="L20" i="2"/>
  <c r="BI17" i="1"/>
  <c r="BI50" i="1" s="1"/>
  <c r="BI23" i="1"/>
  <c r="BI51" i="1"/>
  <c r="BI22" i="1"/>
  <c r="D55" i="2"/>
  <c r="AY27" i="4"/>
  <c r="BD23" i="4"/>
  <c r="AJ25" i="4"/>
  <c r="BD25" i="4"/>
  <c r="AB30" i="4"/>
  <c r="AE22" i="4"/>
  <c r="AQ50" i="3"/>
  <c r="AQ55" i="3"/>
  <c r="AQ39" i="3"/>
  <c r="AQ47" i="3"/>
  <c r="AJ8" i="4"/>
  <c r="AK30" i="4"/>
  <c r="BD80" i="2"/>
  <c r="AC42" i="3"/>
  <c r="AC20" i="3"/>
  <c r="AQ56" i="2"/>
  <c r="T52" i="3"/>
  <c r="T66" i="3"/>
  <c r="AU75" i="2"/>
  <c r="AU63" i="2"/>
  <c r="AU57" i="2"/>
  <c r="AU62" i="2"/>
  <c r="AU15" i="2"/>
  <c r="AU54" i="2"/>
  <c r="AU64" i="2"/>
  <c r="AY10" i="2"/>
  <c r="AY56" i="2" s="1"/>
  <c r="BL10" i="3"/>
  <c r="BL24" i="4" s="1"/>
  <c r="AW56" i="2"/>
  <c r="BR9" i="2"/>
  <c r="F65" i="2"/>
  <c r="BD23" i="1"/>
  <c r="BD22" i="1"/>
  <c r="BD17" i="1"/>
  <c r="BD50" i="1" s="1"/>
  <c r="BD52" i="1" s="1"/>
  <c r="BD20" i="1"/>
  <c r="AV37" i="1"/>
  <c r="AV42" i="1"/>
  <c r="AV47" i="1" s="1"/>
  <c r="AE46" i="1"/>
  <c r="AT58" i="2"/>
  <c r="AT72" i="2"/>
  <c r="U80" i="2"/>
  <c r="K74" i="2"/>
  <c r="AP54" i="1"/>
  <c r="BI53" i="1"/>
  <c r="AY74" i="2"/>
  <c r="AE22" i="1"/>
  <c r="AE16" i="1"/>
  <c r="AO35" i="1"/>
  <c r="AT35" i="1"/>
  <c r="T51" i="3"/>
  <c r="T59" i="3" s="1"/>
  <c r="T50" i="2"/>
  <c r="T23" i="2"/>
  <c r="T66" i="2"/>
  <c r="T64" i="3"/>
  <c r="AE45" i="1"/>
  <c r="BD37" i="1"/>
  <c r="Z22" i="1"/>
  <c r="BL46" i="1"/>
  <c r="BM41" i="1"/>
  <c r="AK42" i="1"/>
  <c r="AK47" i="1" s="1"/>
  <c r="AK37" i="1"/>
  <c r="AO30" i="1"/>
  <c r="AT37" i="1" s="1"/>
  <c r="C62" i="2"/>
  <c r="C15" i="2"/>
  <c r="C64" i="2"/>
  <c r="C57" i="2"/>
  <c r="C54" i="2"/>
  <c r="C65" i="2"/>
  <c r="C63" i="2"/>
  <c r="AR38" i="3"/>
  <c r="AS34" i="3"/>
  <c r="F56" i="2"/>
  <c r="AB60" i="2"/>
  <c r="AB74" i="2"/>
  <c r="AB56" i="2"/>
  <c r="AW37" i="1"/>
  <c r="AW42" i="1"/>
  <c r="AW47" i="1" s="1"/>
  <c r="AE23" i="1"/>
  <c r="AE20" i="1"/>
  <c r="AE53" i="1"/>
  <c r="AE17" i="1"/>
  <c r="AE50" i="1" s="1"/>
  <c r="AE51" i="1"/>
  <c r="W71" i="3"/>
  <c r="W70" i="3"/>
  <c r="W65" i="3"/>
  <c r="W72" i="3"/>
  <c r="W57" i="2"/>
  <c r="W69" i="3"/>
  <c r="W63" i="2"/>
  <c r="W62" i="2"/>
  <c r="W64" i="2"/>
  <c r="W15" i="2"/>
  <c r="W75" i="2"/>
  <c r="W55" i="2"/>
  <c r="AV45" i="1"/>
  <c r="BA45" i="1"/>
  <c r="AW22" i="4"/>
  <c r="BM30" i="1"/>
  <c r="BM37" i="1" s="1"/>
  <c r="BM35" i="1"/>
  <c r="BM8" i="1"/>
  <c r="Z80" i="2"/>
  <c r="AK66" i="3"/>
  <c r="AK52" i="3"/>
  <c r="AX55" i="2"/>
  <c r="BK7" i="2"/>
  <c r="BK42" i="1"/>
  <c r="BK47" i="1" s="1"/>
  <c r="BK11" i="1"/>
  <c r="BK21" i="1" s="1"/>
  <c r="BK14" i="1"/>
  <c r="AW55" i="2"/>
  <c r="P23" i="1"/>
  <c r="P17" i="1"/>
  <c r="P50" i="1" s="1"/>
  <c r="P52" i="1" s="1"/>
  <c r="P53" i="1"/>
  <c r="P21" i="1"/>
  <c r="Y42" i="1"/>
  <c r="Y47" i="1" s="1"/>
  <c r="Y37" i="1"/>
  <c r="M54" i="2"/>
  <c r="BA37" i="1"/>
  <c r="BJ74" i="2"/>
  <c r="BN9" i="2"/>
  <c r="Z45" i="1"/>
  <c r="BL9" i="1"/>
  <c r="AO72" i="2"/>
  <c r="AO58" i="2"/>
  <c r="BN53" i="1"/>
  <c r="AH37" i="1"/>
  <c r="AH42" i="1"/>
  <c r="AH47" i="1" s="1"/>
  <c r="AZ59" i="4"/>
  <c r="AZ60" i="4"/>
  <c r="AZ57" i="4"/>
  <c r="AZ50" i="4"/>
  <c r="AZ56" i="4"/>
  <c r="B42" i="1"/>
  <c r="F30" i="1"/>
  <c r="F42" i="1" s="1"/>
  <c r="AI65" i="3"/>
  <c r="AI63" i="2"/>
  <c r="AI64" i="2"/>
  <c r="AI57" i="2"/>
  <c r="AI15" i="2"/>
  <c r="AI75" i="2"/>
  <c r="AI54" i="2"/>
  <c r="AI62" i="2"/>
  <c r="N42" i="1"/>
  <c r="N47" i="1" s="1"/>
  <c r="N37" i="1"/>
  <c r="AC56" i="2"/>
  <c r="AC60" i="2"/>
  <c r="AC74" i="2"/>
  <c r="AI55" i="2"/>
  <c r="BQ30" i="1"/>
  <c r="BQ35" i="1"/>
  <c r="AT23" i="1"/>
  <c r="AT21" i="1"/>
  <c r="AT22" i="1"/>
  <c r="AT51" i="1"/>
  <c r="AT17" i="1"/>
  <c r="AT50" i="1" s="1"/>
  <c r="AT52" i="1" s="1"/>
  <c r="AT54" i="1" s="1"/>
  <c r="AE73" i="2"/>
  <c r="AE59" i="2"/>
  <c r="BP9" i="2"/>
  <c r="AQ26" i="3"/>
  <c r="AR24" i="3"/>
  <c r="Z17" i="1"/>
  <c r="Z50" i="1" s="1"/>
  <c r="Z52" i="1" s="1"/>
  <c r="Z21" i="1"/>
  <c r="Z23" i="1"/>
  <c r="BG48" i="4"/>
  <c r="AV48" i="4"/>
  <c r="AW45" i="4"/>
  <c r="AY13" i="4"/>
  <c r="AO34" i="4"/>
  <c r="AU9" i="3"/>
  <c r="AS12" i="3"/>
  <c r="AK55" i="3"/>
  <c r="AK39" i="3"/>
  <c r="AK47" i="3"/>
  <c r="AK50" i="3"/>
  <c r="AE9" i="2"/>
  <c r="F23" i="1"/>
  <c r="F20" i="1"/>
  <c r="F21" i="1"/>
  <c r="BH20" i="2"/>
  <c r="BH61" i="2"/>
  <c r="AY32" i="4"/>
  <c r="AY37" i="4" s="1"/>
  <c r="BK37" i="1"/>
  <c r="D65" i="2"/>
  <c r="K17" i="1"/>
  <c r="K50" i="1" s="1"/>
  <c r="K52" i="1" s="1"/>
  <c r="K22" i="1"/>
  <c r="K23" i="1"/>
  <c r="AY26" i="4"/>
  <c r="AP80" i="2"/>
  <c r="AK65" i="2"/>
  <c r="AK80" i="2"/>
  <c r="AY9" i="4"/>
  <c r="AL57" i="2"/>
  <c r="AL15" i="2"/>
  <c r="AL62" i="2"/>
  <c r="AL56" i="2"/>
  <c r="AL63" i="2"/>
  <c r="AL75" i="2"/>
  <c r="AL55" i="2"/>
  <c r="K21" i="1"/>
  <c r="Y10" i="4"/>
  <c r="Y22" i="4" s="1"/>
  <c r="Y30" i="4" s="1"/>
  <c r="X22" i="4"/>
  <c r="X30" i="4" s="1"/>
  <c r="AH72" i="3"/>
  <c r="AH65" i="3"/>
  <c r="AH71" i="3"/>
  <c r="AH70" i="3"/>
  <c r="AH75" i="2"/>
  <c r="AH64" i="2"/>
  <c r="AH54" i="2"/>
  <c r="AH57" i="2"/>
  <c r="AH65" i="2"/>
  <c r="AH69" i="3"/>
  <c r="AH63" i="2"/>
  <c r="AH62" i="2"/>
  <c r="AH15" i="2"/>
  <c r="BG54" i="4"/>
  <c r="BG30" i="4"/>
  <c r="AW54" i="2"/>
  <c r="L75" i="2"/>
  <c r="BL74" i="2"/>
  <c r="AN63" i="2"/>
  <c r="AN62" i="2"/>
  <c r="AN64" i="2"/>
  <c r="AN75" i="2"/>
  <c r="AN57" i="2"/>
  <c r="AN15" i="2"/>
  <c r="W42" i="1"/>
  <c r="AB37" i="1"/>
  <c r="W37" i="1"/>
  <c r="AC30" i="4"/>
  <c r="AO26" i="4"/>
  <c r="AM22" i="4"/>
  <c r="AM30" i="4" s="1"/>
  <c r="AN8" i="4"/>
  <c r="AJ73" i="2"/>
  <c r="AJ59" i="2"/>
  <c r="AJ80" i="2"/>
  <c r="BE54" i="2"/>
  <c r="V70" i="3"/>
  <c r="V71" i="3"/>
  <c r="V65" i="3"/>
  <c r="V63" i="2"/>
  <c r="V72" i="3"/>
  <c r="V64" i="2"/>
  <c r="Z10" i="2"/>
  <c r="Z65" i="2" s="1"/>
  <c r="V15" i="2"/>
  <c r="V69" i="3"/>
  <c r="V62" i="2"/>
  <c r="V57" i="2"/>
  <c r="V55" i="2"/>
  <c r="V54" i="2"/>
  <c r="V75" i="2"/>
  <c r="X37" i="4"/>
  <c r="Y32" i="4"/>
  <c r="Y37" i="4" s="1"/>
  <c r="AY53" i="1"/>
  <c r="BK19" i="3"/>
  <c r="BK27" i="4" s="1"/>
  <c r="AF37" i="3"/>
  <c r="AF38" i="3" s="1"/>
  <c r="AG66" i="3" s="1"/>
  <c r="AO39" i="4"/>
  <c r="AO48" i="4" s="1"/>
  <c r="AD20" i="3"/>
  <c r="AF66" i="3" s="1"/>
  <c r="AD42" i="3"/>
  <c r="BB22" i="4"/>
  <c r="BC8" i="4"/>
  <c r="BC22" i="4" s="1"/>
  <c r="BD8" i="4"/>
  <c r="V57" i="4"/>
  <c r="V60" i="4"/>
  <c r="V50" i="4"/>
  <c r="V52" i="4" s="1"/>
  <c r="W51" i="4" s="1"/>
  <c r="V56" i="4"/>
  <c r="V59" i="4"/>
  <c r="AQ57" i="2"/>
  <c r="AQ62" i="2"/>
  <c r="AQ15" i="2"/>
  <c r="AV76" i="2" s="1"/>
  <c r="AQ64" i="2"/>
  <c r="AQ63" i="2"/>
  <c r="AQ55" i="2"/>
  <c r="AQ75" i="2"/>
  <c r="AQ54" i="2"/>
  <c r="AZ57" i="2"/>
  <c r="AZ15" i="2"/>
  <c r="AZ75" i="2"/>
  <c r="AZ56" i="2"/>
  <c r="AZ64" i="2"/>
  <c r="AZ63" i="2"/>
  <c r="BD10" i="2"/>
  <c r="BD65" i="2" s="1"/>
  <c r="AZ62" i="2"/>
  <c r="AZ65" i="2"/>
  <c r="AA42" i="1"/>
  <c r="AA37" i="1"/>
  <c r="AE30" i="1"/>
  <c r="AJ37" i="1" s="1"/>
  <c r="AL64" i="2"/>
  <c r="V56" i="2"/>
  <c r="AR37" i="1"/>
  <c r="U73" i="2"/>
  <c r="BG47" i="1"/>
  <c r="R47" i="1"/>
  <c r="Z35" i="1"/>
  <c r="P62" i="2"/>
  <c r="Z53" i="1"/>
  <c r="BD35" i="4"/>
  <c r="BD37" i="4" s="1"/>
  <c r="AY25" i="4"/>
  <c r="AG30" i="4"/>
  <c r="AJ22" i="4"/>
  <c r="AZ54" i="2"/>
  <c r="G55" i="2"/>
  <c r="O72" i="3"/>
  <c r="O71" i="3"/>
  <c r="O75" i="2"/>
  <c r="O70" i="3"/>
  <c r="O57" i="2"/>
  <c r="O63" i="2"/>
  <c r="O62" i="2"/>
  <c r="O15" i="2"/>
  <c r="O64" i="2"/>
  <c r="O65" i="2"/>
  <c r="O69" i="3"/>
  <c r="AF52" i="3"/>
  <c r="AR47" i="1"/>
  <c r="Q47" i="1"/>
  <c r="AO45" i="1"/>
  <c r="Y69" i="3"/>
  <c r="Y72" i="3"/>
  <c r="Y71" i="3"/>
  <c r="Y57" i="2"/>
  <c r="Y65" i="2"/>
  <c r="Y65" i="3"/>
  <c r="Y64" i="2"/>
  <c r="Y63" i="2"/>
  <c r="Y62" i="2"/>
  <c r="Y55" i="2"/>
  <c r="Y15" i="2"/>
  <c r="Y75" i="2"/>
  <c r="Y70" i="3"/>
  <c r="AG65" i="2"/>
  <c r="BD27" i="4"/>
  <c r="AO23" i="4"/>
  <c r="AW33" i="3"/>
  <c r="BI54" i="2"/>
  <c r="BI72" i="2"/>
  <c r="AK54" i="1"/>
  <c r="S71" i="3"/>
  <c r="S65" i="3"/>
  <c r="S70" i="3"/>
  <c r="S69" i="3"/>
  <c r="S44" i="3"/>
  <c r="S57" i="2"/>
  <c r="S62" i="2"/>
  <c r="S15" i="2"/>
  <c r="S72" i="3"/>
  <c r="S65" i="2"/>
  <c r="S64" i="2"/>
  <c r="S63" i="2"/>
  <c r="S54" i="2"/>
  <c r="X75" i="2"/>
  <c r="S75" i="2"/>
  <c r="S52" i="3"/>
  <c r="S66" i="3"/>
  <c r="AY19" i="4"/>
  <c r="AO79" i="2"/>
  <c r="U58" i="2"/>
  <c r="U72" i="2"/>
  <c r="AQ54" i="1"/>
  <c r="I55" i="2"/>
  <c r="M42" i="1"/>
  <c r="M47" i="1" s="1"/>
  <c r="M37" i="1"/>
  <c r="AY29" i="4"/>
  <c r="AN56" i="2"/>
  <c r="AD75" i="2"/>
  <c r="BK8" i="2"/>
  <c r="BK15" i="1"/>
  <c r="AV20" i="2"/>
  <c r="AV61" i="2"/>
  <c r="AB70" i="3"/>
  <c r="AB72" i="3"/>
  <c r="AB75" i="2"/>
  <c r="AB15" i="2"/>
  <c r="AB57" i="2"/>
  <c r="AB71" i="3"/>
  <c r="AB65" i="2"/>
  <c r="AB63" i="2"/>
  <c r="AB64" i="2"/>
  <c r="AB62" i="2"/>
  <c r="AJ17" i="1"/>
  <c r="AJ50" i="1" s="1"/>
  <c r="AJ20" i="1"/>
  <c r="AJ23" i="1"/>
  <c r="AJ51" i="1"/>
  <c r="AJ21" i="1"/>
  <c r="Z30" i="1"/>
  <c r="V42" i="1"/>
  <c r="V47" i="1" s="1"/>
  <c r="V37" i="1"/>
  <c r="BL43" i="2"/>
  <c r="BM36" i="2"/>
  <c r="J20" i="2"/>
  <c r="J61" i="2"/>
  <c r="BN28" i="1"/>
  <c r="BN35" i="1" s="1"/>
  <c r="AT80" i="2"/>
  <c r="K35" i="1"/>
  <c r="AE58" i="2"/>
  <c r="AE72" i="2"/>
  <c r="BA63" i="2"/>
  <c r="BA64" i="2"/>
  <c r="BA15" i="2"/>
  <c r="BA75" i="2"/>
  <c r="BA57" i="2"/>
  <c r="BA55" i="2"/>
  <c r="BA62" i="2"/>
  <c r="AJ29" i="4"/>
  <c r="AJ26" i="4"/>
  <c r="BD10" i="4"/>
  <c r="X20" i="2"/>
  <c r="X61" i="2"/>
  <c r="X76" i="2"/>
  <c r="S55" i="2"/>
  <c r="AG54" i="2"/>
  <c r="AM63" i="2"/>
  <c r="AM64" i="2"/>
  <c r="AM62" i="2"/>
  <c r="AM75" i="2"/>
  <c r="AM15" i="2"/>
  <c r="AM57" i="2"/>
  <c r="BD73" i="2"/>
  <c r="BD55" i="2"/>
  <c r="BK33" i="2"/>
  <c r="BL31" i="2"/>
  <c r="BI45" i="1"/>
  <c r="AJ22" i="1"/>
  <c r="P54" i="2"/>
  <c r="P72" i="2"/>
  <c r="P58" i="2"/>
  <c r="BJ42" i="1"/>
  <c r="BJ47" i="1" s="1"/>
  <c r="BJ7" i="2"/>
  <c r="BJ11" i="1"/>
  <c r="BJ14" i="1"/>
  <c r="AA54" i="2"/>
  <c r="Y54" i="2"/>
  <c r="BA54" i="2"/>
  <c r="AJ10" i="4"/>
  <c r="BB27" i="3"/>
  <c r="BC42" i="4"/>
  <c r="BB48" i="4"/>
  <c r="BN37" i="2"/>
  <c r="B64" i="2"/>
  <c r="B63" i="2"/>
  <c r="B62" i="2"/>
  <c r="B56" i="2"/>
  <c r="F10" i="2"/>
  <c r="F54" i="2" s="1"/>
  <c r="B15" i="2"/>
  <c r="B57" i="2"/>
  <c r="B65" i="2"/>
  <c r="AF72" i="3"/>
  <c r="AF69" i="3"/>
  <c r="AF75" i="2"/>
  <c r="AF62" i="2"/>
  <c r="AF70" i="3"/>
  <c r="AF64" i="2"/>
  <c r="AF71" i="3"/>
  <c r="AF57" i="2"/>
  <c r="AF54" i="2"/>
  <c r="AF56" i="2"/>
  <c r="AJ10" i="2"/>
  <c r="AJ55" i="2" s="1"/>
  <c r="AF63" i="2"/>
  <c r="AF15" i="2"/>
  <c r="AF65" i="2"/>
  <c r="I54" i="2"/>
  <c r="AT73" i="2"/>
  <c r="AT59" i="2"/>
  <c r="BA65" i="2"/>
  <c r="Q72" i="3"/>
  <c r="Q44" i="3"/>
  <c r="Q69" i="3"/>
  <c r="Q71" i="3"/>
  <c r="Q63" i="2"/>
  <c r="Q62" i="2"/>
  <c r="Q65" i="3"/>
  <c r="Q65" i="2"/>
  <c r="Q64" i="2"/>
  <c r="U10" i="2"/>
  <c r="Q75" i="2"/>
  <c r="Q70" i="3"/>
  <c r="Q55" i="2"/>
  <c r="Q15" i="2"/>
  <c r="Q57" i="2"/>
  <c r="AS20" i="2"/>
  <c r="AS61" i="2"/>
  <c r="G37" i="1"/>
  <c r="K30" i="1"/>
  <c r="G42" i="1"/>
  <c r="G47" i="1" s="1"/>
  <c r="X42" i="1"/>
  <c r="AC37" i="1"/>
  <c r="X37" i="1"/>
  <c r="BO35" i="1"/>
  <c r="BO30" i="1"/>
  <c r="BO8" i="1"/>
  <c r="BS28" i="1"/>
  <c r="AY20" i="1"/>
  <c r="T75" i="2"/>
  <c r="BR37" i="1"/>
  <c r="AJ48" i="4"/>
  <c r="AO15" i="4"/>
  <c r="AY72" i="2"/>
  <c r="O47" i="1"/>
  <c r="AT49" i="4"/>
  <c r="AY10" i="4"/>
  <c r="AC37" i="4"/>
  <c r="AD33" i="4"/>
  <c r="AD37" i="4" s="1"/>
  <c r="AD50" i="4" s="1"/>
  <c r="BL18" i="3"/>
  <c r="BL26" i="4" s="1"/>
  <c r="AI45" i="4"/>
  <c r="AJ45" i="4" s="1"/>
  <c r="AH48" i="4"/>
  <c r="AQ56" i="4"/>
  <c r="AQ60" i="4"/>
  <c r="AQ59" i="4"/>
  <c r="AQ57" i="4"/>
  <c r="AQ50" i="4"/>
  <c r="R52" i="3"/>
  <c r="R66" i="3"/>
  <c r="AJ60" i="2"/>
  <c r="AJ74" i="2"/>
  <c r="AY17" i="4"/>
  <c r="C56" i="2"/>
  <c r="BG62" i="2"/>
  <c r="BG63" i="2"/>
  <c r="BG64" i="2"/>
  <c r="BG75" i="2"/>
  <c r="BG55" i="2"/>
  <c r="BG15" i="2"/>
  <c r="BG57" i="2"/>
  <c r="AG52" i="3"/>
  <c r="AW45" i="1"/>
  <c r="BB45" i="1"/>
  <c r="BI80" i="2"/>
  <c r="BI65" i="2"/>
  <c r="Z72" i="2"/>
  <c r="Z58" i="2"/>
  <c r="AX22" i="4"/>
  <c r="AX30" i="4" s="1"/>
  <c r="AY33" i="1"/>
  <c r="BD33" i="1"/>
  <c r="S37" i="1"/>
  <c r="AP45" i="1"/>
  <c r="T45" i="3"/>
  <c r="P30" i="1"/>
  <c r="L42" i="1"/>
  <c r="L37" i="1"/>
  <c r="C55" i="2"/>
  <c r="AL20" i="3"/>
  <c r="AL65" i="3" s="1"/>
  <c r="AM16" i="3"/>
  <c r="BD56" i="2"/>
  <c r="BD74" i="2"/>
  <c r="BH75" i="2"/>
  <c r="BP30" i="1"/>
  <c r="BP37" i="1" s="1"/>
  <c r="BP35" i="1"/>
  <c r="AY73" i="2"/>
  <c r="BS26" i="1"/>
  <c r="BS33" i="1" s="1"/>
  <c r="BB62" i="2"/>
  <c r="BB57" i="2"/>
  <c r="BB65" i="2"/>
  <c r="BB63" i="2"/>
  <c r="BB64" i="2"/>
  <c r="BB15" i="2"/>
  <c r="BB75" i="2"/>
  <c r="BB55" i="2"/>
  <c r="BO5" i="3"/>
  <c r="BO5" i="4"/>
  <c r="BO5" i="2"/>
  <c r="AO10" i="2"/>
  <c r="AI47" i="1"/>
  <c r="AP42" i="3"/>
  <c r="AP43" i="3"/>
  <c r="K80" i="2"/>
  <c r="BD21" i="1"/>
  <c r="AS47" i="1" l="1"/>
  <c r="AP47" i="1"/>
  <c r="BS35" i="1"/>
  <c r="AO32" i="4"/>
  <c r="AJ56" i="2"/>
  <c r="K65" i="2"/>
  <c r="AE52" i="1"/>
  <c r="AE54" i="1" s="1"/>
  <c r="W52" i="4"/>
  <c r="X51" i="4" s="1"/>
  <c r="BS10" i="4"/>
  <c r="BH45" i="3"/>
  <c r="BH44" i="3"/>
  <c r="AY54" i="1"/>
  <c r="AT42" i="4"/>
  <c r="AT48" i="4" s="1"/>
  <c r="AI56" i="4"/>
  <c r="Z54" i="1"/>
  <c r="AJ65" i="2"/>
  <c r="P55" i="2"/>
  <c r="AI48" i="4"/>
  <c r="AI50" i="4" s="1"/>
  <c r="P63" i="2"/>
  <c r="P15" i="2"/>
  <c r="P76" i="2" s="1"/>
  <c r="P65" i="2"/>
  <c r="BQ13" i="3"/>
  <c r="BR13" i="3" s="1"/>
  <c r="P64" i="2"/>
  <c r="AT54" i="2"/>
  <c r="AD47" i="1"/>
  <c r="BB61" i="2"/>
  <c r="BB76" i="2"/>
  <c r="BB20" i="2"/>
  <c r="U75" i="2"/>
  <c r="U15" i="2"/>
  <c r="S86" i="2" s="1"/>
  <c r="U64" i="2"/>
  <c r="U57" i="2"/>
  <c r="U63" i="2"/>
  <c r="U56" i="2"/>
  <c r="U62" i="2"/>
  <c r="U55" i="2"/>
  <c r="J23" i="2"/>
  <c r="J50" i="2"/>
  <c r="J66" i="2"/>
  <c r="BG60" i="4"/>
  <c r="BG50" i="4"/>
  <c r="BG59" i="4"/>
  <c r="BG56" i="4"/>
  <c r="BG57" i="4"/>
  <c r="AR50" i="3"/>
  <c r="AR39" i="3"/>
  <c r="AR47" i="3"/>
  <c r="AR55" i="3"/>
  <c r="BM46" i="1"/>
  <c r="BO41" i="1"/>
  <c r="BM9" i="1"/>
  <c r="BN9" i="1" s="1"/>
  <c r="N86" i="2"/>
  <c r="N76" i="2"/>
  <c r="N61" i="2"/>
  <c r="N20" i="2"/>
  <c r="AE57" i="2"/>
  <c r="AE75" i="2"/>
  <c r="AE15" i="2"/>
  <c r="AE64" i="2"/>
  <c r="AE62" i="2"/>
  <c r="AE63" i="2"/>
  <c r="K37" i="1"/>
  <c r="K42" i="1"/>
  <c r="K47" i="1" s="1"/>
  <c r="BJ23" i="1"/>
  <c r="BJ17" i="1"/>
  <c r="BJ50" i="1" s="1"/>
  <c r="BJ52" i="1" s="1"/>
  <c r="BJ54" i="1" s="1"/>
  <c r="BJ21" i="1"/>
  <c r="BJ22" i="1"/>
  <c r="AN86" i="2"/>
  <c r="AN61" i="2"/>
  <c r="AN20" i="2"/>
  <c r="AN76" i="2"/>
  <c r="AE74" i="2"/>
  <c r="AE60" i="2"/>
  <c r="AE56" i="2"/>
  <c r="BJ10" i="2"/>
  <c r="BJ72" i="2"/>
  <c r="BJ54" i="2"/>
  <c r="X51" i="3"/>
  <c r="X59" i="3" s="1"/>
  <c r="X66" i="2"/>
  <c r="X23" i="2"/>
  <c r="X50" i="2"/>
  <c r="X64" i="3"/>
  <c r="BM43" i="2"/>
  <c r="BN43" i="2" s="1"/>
  <c r="BN36" i="2"/>
  <c r="AV66" i="2"/>
  <c r="AV51" i="3"/>
  <c r="AV23" i="2"/>
  <c r="AV64" i="3"/>
  <c r="AH76" i="2"/>
  <c r="AH20" i="2"/>
  <c r="AH61" i="2"/>
  <c r="AC76" i="2"/>
  <c r="AC20" i="2"/>
  <c r="AC61" i="2"/>
  <c r="BG61" i="2"/>
  <c r="BG20" i="2"/>
  <c r="BG76" i="2"/>
  <c r="AF55" i="3"/>
  <c r="AF50" i="3"/>
  <c r="AF39" i="3"/>
  <c r="AF47" i="3"/>
  <c r="X57" i="4"/>
  <c r="X50" i="4"/>
  <c r="X52" i="4" s="1"/>
  <c r="Y51" i="4" s="1"/>
  <c r="X60" i="4"/>
  <c r="X56" i="4"/>
  <c r="X59" i="4"/>
  <c r="AX57" i="4"/>
  <c r="AX59" i="4"/>
  <c r="AX56" i="4"/>
  <c r="AX60" i="4"/>
  <c r="AF76" i="2"/>
  <c r="AF20" i="2"/>
  <c r="AK81" i="2" s="1"/>
  <c r="AF61" i="2"/>
  <c r="BC48" i="4"/>
  <c r="BD42" i="4"/>
  <c r="BD48" i="4" s="1"/>
  <c r="BJ20" i="1"/>
  <c r="AE54" i="2"/>
  <c r="AX33" i="3"/>
  <c r="BB54" i="4"/>
  <c r="BB30" i="4"/>
  <c r="V20" i="2"/>
  <c r="V61" i="2"/>
  <c r="V76" i="2"/>
  <c r="Y50" i="4"/>
  <c r="Y59" i="4"/>
  <c r="Y60" i="4"/>
  <c r="Y57" i="4"/>
  <c r="Y56" i="4"/>
  <c r="S47" i="1"/>
  <c r="AY45" i="1"/>
  <c r="BI52" i="1"/>
  <c r="BI54" i="1" s="1"/>
  <c r="AA76" i="2"/>
  <c r="AA20" i="2"/>
  <c r="AA61" i="2"/>
  <c r="AO62" i="2"/>
  <c r="AO57" i="2"/>
  <c r="AO75" i="2"/>
  <c r="AO15" i="2"/>
  <c r="AL86" i="2" s="1"/>
  <c r="AO63" i="2"/>
  <c r="AO55" i="2"/>
  <c r="AM20" i="3"/>
  <c r="AN16" i="3"/>
  <c r="AS64" i="3"/>
  <c r="AS50" i="2"/>
  <c r="AS51" i="3"/>
  <c r="AS66" i="2"/>
  <c r="AS23" i="2"/>
  <c r="BC27" i="3"/>
  <c r="S76" i="2"/>
  <c r="S61" i="2"/>
  <c r="S20" i="2"/>
  <c r="X81" i="2" s="1"/>
  <c r="AQ61" i="2"/>
  <c r="AQ20" i="2"/>
  <c r="AQ76" i="2"/>
  <c r="Z75" i="2"/>
  <c r="Z15" i="2"/>
  <c r="V86" i="2" s="1"/>
  <c r="Z57" i="2"/>
  <c r="Z63" i="2"/>
  <c r="Z62" i="2"/>
  <c r="Z64" i="2"/>
  <c r="Z55" i="2"/>
  <c r="AR26" i="3"/>
  <c r="AS24" i="3"/>
  <c r="L66" i="2"/>
  <c r="L50" i="2"/>
  <c r="L23" i="2"/>
  <c r="BF63" i="3"/>
  <c r="BF29" i="2"/>
  <c r="BF26" i="2"/>
  <c r="BF25" i="2"/>
  <c r="BF56" i="3" s="1"/>
  <c r="BF67" i="2"/>
  <c r="BR32" i="4"/>
  <c r="BR37" i="4" s="1"/>
  <c r="BM37" i="4"/>
  <c r="BA56" i="4"/>
  <c r="BA60" i="4"/>
  <c r="BA57" i="4"/>
  <c r="BA50" i="4"/>
  <c r="BA59" i="4"/>
  <c r="AS76" i="2"/>
  <c r="AJ57" i="2"/>
  <c r="AJ64" i="2"/>
  <c r="AJ15" i="2"/>
  <c r="AG86" i="2" s="1"/>
  <c r="AJ63" i="2"/>
  <c r="AJ75" i="2"/>
  <c r="AJ62" i="2"/>
  <c r="AJ54" i="2"/>
  <c r="Z37" i="1"/>
  <c r="Z42" i="1"/>
  <c r="Z47" i="1" s="1"/>
  <c r="BK73" i="2"/>
  <c r="AO64" i="2"/>
  <c r="AQ43" i="3"/>
  <c r="AQ42" i="3"/>
  <c r="AI61" i="2"/>
  <c r="AI76" i="2"/>
  <c r="AI20" i="2"/>
  <c r="BM10" i="3"/>
  <c r="BM24" i="4"/>
  <c r="BN24" i="4" s="1"/>
  <c r="AB52" i="3"/>
  <c r="AB66" i="3"/>
  <c r="D61" i="2"/>
  <c r="D20" i="2"/>
  <c r="BN32" i="4"/>
  <c r="BN37" i="4" s="1"/>
  <c r="AT65" i="2"/>
  <c r="AM50" i="4"/>
  <c r="AM57" i="4"/>
  <c r="AM56" i="4"/>
  <c r="AM59" i="4"/>
  <c r="AM60" i="4"/>
  <c r="BP74" i="2"/>
  <c r="BK23" i="1"/>
  <c r="BK17" i="1"/>
  <c r="BK50" i="1" s="1"/>
  <c r="BK52" i="1" s="1"/>
  <c r="BK54" i="1" s="1"/>
  <c r="BK22" i="1"/>
  <c r="C20" i="2"/>
  <c r="H81" i="2" s="1"/>
  <c r="C61" i="2"/>
  <c r="AY64" i="2"/>
  <c r="AY57" i="2"/>
  <c r="AY75" i="2"/>
  <c r="AY15" i="2"/>
  <c r="AY62" i="2"/>
  <c r="AY63" i="2"/>
  <c r="AY65" i="2"/>
  <c r="AC66" i="3"/>
  <c r="AC52" i="3"/>
  <c r="AB59" i="4"/>
  <c r="AB56" i="4"/>
  <c r="AB57" i="4"/>
  <c r="AB50" i="4"/>
  <c r="AB52" i="4" s="1"/>
  <c r="AC51" i="4" s="1"/>
  <c r="AB60" i="4"/>
  <c r="AE30" i="4"/>
  <c r="M76" i="2"/>
  <c r="M61" i="2"/>
  <c r="M20" i="2"/>
  <c r="R81" i="2" s="1"/>
  <c r="AY22" i="4"/>
  <c r="G20" i="2"/>
  <c r="L81" i="2" s="1"/>
  <c r="G76" i="2"/>
  <c r="G61" i="2"/>
  <c r="BI37" i="1"/>
  <c r="BI42" i="1"/>
  <c r="BI47" i="1" s="1"/>
  <c r="Q61" i="2"/>
  <c r="Q86" i="2"/>
  <c r="Q20" i="2"/>
  <c r="Q76" i="2"/>
  <c r="B61" i="2"/>
  <c r="B20" i="2"/>
  <c r="AB65" i="3"/>
  <c r="AI57" i="4"/>
  <c r="AJ32" i="4"/>
  <c r="AJ37" i="4" s="1"/>
  <c r="AV9" i="3"/>
  <c r="AU12" i="3"/>
  <c r="AW54" i="4"/>
  <c r="AW30" i="4"/>
  <c r="T26" i="2"/>
  <c r="T67" i="2"/>
  <c r="T63" i="3"/>
  <c r="T25" i="2"/>
  <c r="T56" i="3" s="1"/>
  <c r="AG76" i="2"/>
  <c r="AG61" i="2"/>
  <c r="AG20" i="2"/>
  <c r="E61" i="2"/>
  <c r="E20" i="2"/>
  <c r="H66" i="2"/>
  <c r="H50" i="2"/>
  <c r="H23" i="2"/>
  <c r="BP37" i="4"/>
  <c r="BS32" i="4"/>
  <c r="BS37" i="4" s="1"/>
  <c r="BA47" i="1"/>
  <c r="AY55" i="2"/>
  <c r="L47" i="1"/>
  <c r="AY54" i="2"/>
  <c r="F15" i="2"/>
  <c r="F63" i="2"/>
  <c r="F64" i="2"/>
  <c r="F57" i="2"/>
  <c r="F62" i="2"/>
  <c r="F55" i="2"/>
  <c r="AC56" i="4"/>
  <c r="AC59" i="4"/>
  <c r="AC57" i="4"/>
  <c r="AC50" i="4"/>
  <c r="AC60" i="4"/>
  <c r="BB47" i="1"/>
  <c r="AE55" i="2"/>
  <c r="BK20" i="1"/>
  <c r="AO37" i="1"/>
  <c r="AO42" i="1"/>
  <c r="T51" i="2"/>
  <c r="T68" i="2"/>
  <c r="AV57" i="4"/>
  <c r="AV56" i="4"/>
  <c r="AV50" i="4"/>
  <c r="AV60" i="4"/>
  <c r="AV59" i="4"/>
  <c r="AY30" i="4"/>
  <c r="BI75" i="2"/>
  <c r="BI15" i="2"/>
  <c r="BI57" i="2"/>
  <c r="BI63" i="2"/>
  <c r="BI56" i="2"/>
  <c r="BI62" i="2"/>
  <c r="BI64" i="2"/>
  <c r="H76" i="2"/>
  <c r="R64" i="3"/>
  <c r="R51" i="3"/>
  <c r="R59" i="3" s="1"/>
  <c r="R66" i="2"/>
  <c r="R23" i="2"/>
  <c r="R50" i="2"/>
  <c r="AK76" i="2"/>
  <c r="AO54" i="2"/>
  <c r="BK10" i="2"/>
  <c r="BK55" i="2" s="1"/>
  <c r="BK72" i="2"/>
  <c r="BD54" i="1"/>
  <c r="AU61" i="2"/>
  <c r="AU76" i="2"/>
  <c r="AU20" i="2"/>
  <c r="AU86" i="2"/>
  <c r="BN30" i="1"/>
  <c r="BN37" i="1" s="1"/>
  <c r="AO65" i="2"/>
  <c r="BQ74" i="2"/>
  <c r="AM47" i="1"/>
  <c r="R76" i="2"/>
  <c r="AK51" i="3"/>
  <c r="AK64" i="3"/>
  <c r="AK23" i="2"/>
  <c r="AK66" i="2"/>
  <c r="AK50" i="2"/>
  <c r="S56" i="4"/>
  <c r="S60" i="4"/>
  <c r="S57" i="4"/>
  <c r="S50" i="4"/>
  <c r="S52" i="4" s="1"/>
  <c r="T51" i="4" s="1"/>
  <c r="S59" i="4"/>
  <c r="AC65" i="3"/>
  <c r="BM18" i="3"/>
  <c r="Y61" i="2"/>
  <c r="Y20" i="2"/>
  <c r="Y76" i="2"/>
  <c r="W47" i="1"/>
  <c r="AB47" i="1"/>
  <c r="AR76" i="2"/>
  <c r="AR20" i="2"/>
  <c r="AR61" i="2"/>
  <c r="BE61" i="2"/>
  <c r="BE20" i="2"/>
  <c r="BE76" i="2"/>
  <c r="AD76" i="2"/>
  <c r="AA47" i="1"/>
  <c r="AF47" i="1"/>
  <c r="K54" i="1"/>
  <c r="BL8" i="2"/>
  <c r="BL15" i="1"/>
  <c r="W61" i="2"/>
  <c r="W20" i="2"/>
  <c r="W76" i="2"/>
  <c r="AS22" i="4"/>
  <c r="AS30" i="4" s="1"/>
  <c r="AT10" i="4"/>
  <c r="AL47" i="1"/>
  <c r="AQ47" i="1"/>
  <c r="I61" i="2"/>
  <c r="I76" i="2"/>
  <c r="I20" i="2"/>
  <c r="K15" i="2"/>
  <c r="K75" i="2"/>
  <c r="K57" i="2"/>
  <c r="K54" i="2"/>
  <c r="K64" i="2"/>
  <c r="K62" i="2"/>
  <c r="K55" i="2"/>
  <c r="K63" i="2"/>
  <c r="AE65" i="2"/>
  <c r="U54" i="2"/>
  <c r="AT75" i="2"/>
  <c r="AT15" i="2"/>
  <c r="AQ86" i="2" s="1"/>
  <c r="AT57" i="2"/>
  <c r="AT64" i="2"/>
  <c r="AT63" i="2"/>
  <c r="AT62" i="2"/>
  <c r="AR30" i="4"/>
  <c r="BC54" i="4"/>
  <c r="BC30" i="4"/>
  <c r="BN74" i="2"/>
  <c r="P54" i="1"/>
  <c r="BR74" i="2"/>
  <c r="BO74" i="2"/>
  <c r="BS9" i="2"/>
  <c r="BF59" i="3"/>
  <c r="AP20" i="2"/>
  <c r="AP61" i="2"/>
  <c r="AP76" i="2"/>
  <c r="BF57" i="4"/>
  <c r="BF59" i="4"/>
  <c r="BF50" i="4"/>
  <c r="BF56" i="4"/>
  <c r="BF60" i="4"/>
  <c r="Z22" i="4"/>
  <c r="Z30" i="4" s="1"/>
  <c r="AM76" i="2"/>
  <c r="AM20" i="2"/>
  <c r="AM61" i="2"/>
  <c r="BD75" i="2"/>
  <c r="BD64" i="2"/>
  <c r="BD57" i="2"/>
  <c r="BD15" i="2"/>
  <c r="BD62" i="2"/>
  <c r="BD63" i="2"/>
  <c r="BS16" i="1"/>
  <c r="BP36" i="3"/>
  <c r="BQ36" i="3" s="1"/>
  <c r="BR36" i="3" s="1"/>
  <c r="BD22" i="4"/>
  <c r="AU47" i="1"/>
  <c r="AZ47" i="1"/>
  <c r="AW20" i="2"/>
  <c r="AW76" i="2"/>
  <c r="AW61" i="2"/>
  <c r="BL19" i="3"/>
  <c r="BL27" i="4" s="1"/>
  <c r="BM7" i="2"/>
  <c r="BM14" i="1"/>
  <c r="AO56" i="2"/>
  <c r="AY37" i="1"/>
  <c r="AY42" i="1"/>
  <c r="AL66" i="3"/>
  <c r="AL52" i="3"/>
  <c r="BO14" i="1"/>
  <c r="BO7" i="2"/>
  <c r="AB61" i="2"/>
  <c r="AB20" i="2"/>
  <c r="AB76" i="2"/>
  <c r="AB86" i="2"/>
  <c r="AG56" i="4"/>
  <c r="AG60" i="4"/>
  <c r="AG59" i="4"/>
  <c r="AG57" i="4"/>
  <c r="AG50" i="4"/>
  <c r="AJ30" i="4"/>
  <c r="AD52" i="3"/>
  <c r="AD66" i="3"/>
  <c r="AD65" i="3"/>
  <c r="AN22" i="4"/>
  <c r="AO8" i="4"/>
  <c r="BH64" i="3"/>
  <c r="BH66" i="2"/>
  <c r="BH81" i="2"/>
  <c r="BH23" i="2"/>
  <c r="BH51" i="3"/>
  <c r="BQ37" i="1"/>
  <c r="Z54" i="2"/>
  <c r="BS30" i="1"/>
  <c r="BO37" i="1"/>
  <c r="AF65" i="3"/>
  <c r="O76" i="2"/>
  <c r="O20" i="2"/>
  <c r="O61" i="2"/>
  <c r="T76" i="2"/>
  <c r="P37" i="1"/>
  <c r="P42" i="1"/>
  <c r="U37" i="1"/>
  <c r="AI60" i="4"/>
  <c r="AZ61" i="2"/>
  <c r="AZ20" i="2"/>
  <c r="AZ76" i="2"/>
  <c r="X47" i="1"/>
  <c r="AC47" i="1"/>
  <c r="AT55" i="2"/>
  <c r="BN8" i="1"/>
  <c r="BM31" i="2"/>
  <c r="BL33" i="2"/>
  <c r="BN31" i="2"/>
  <c r="BA76" i="2"/>
  <c r="BA20" i="2"/>
  <c r="BA61" i="2"/>
  <c r="BF76" i="2"/>
  <c r="J76" i="2"/>
  <c r="AJ52" i="1"/>
  <c r="AJ54" i="1" s="1"/>
  <c r="AE37" i="1"/>
  <c r="AE42" i="1"/>
  <c r="P75" i="2"/>
  <c r="AL76" i="2"/>
  <c r="AL20" i="2"/>
  <c r="AL61" i="2"/>
  <c r="AX45" i="4"/>
  <c r="AX48" i="4" s="1"/>
  <c r="AX50" i="4" s="1"/>
  <c r="AW48" i="4"/>
  <c r="AY45" i="4"/>
  <c r="AY48" i="4" s="1"/>
  <c r="AU34" i="3"/>
  <c r="AS38" i="3"/>
  <c r="U65" i="2"/>
  <c r="AK50" i="4"/>
  <c r="AK60" i="4"/>
  <c r="AK57" i="4"/>
  <c r="AK59" i="4"/>
  <c r="AK56" i="4"/>
  <c r="BC76" i="2"/>
  <c r="BC20" i="2"/>
  <c r="BC61" i="2"/>
  <c r="AX76" i="2"/>
  <c r="AX61" i="2"/>
  <c r="AX86" i="2"/>
  <c r="AX20" i="2"/>
  <c r="Z56" i="2"/>
  <c r="AO37" i="4"/>
  <c r="AD64" i="3"/>
  <c r="AD51" i="3"/>
  <c r="AD59" i="3" s="1"/>
  <c r="AD66" i="2"/>
  <c r="AD50" i="2"/>
  <c r="AD23" i="2"/>
  <c r="BP40" i="1"/>
  <c r="BO45" i="1"/>
  <c r="BL42" i="1"/>
  <c r="BL47" i="1" s="1"/>
  <c r="BL7" i="2"/>
  <c r="BN7" i="2" s="1"/>
  <c r="BL14" i="1"/>
  <c r="BL11" i="1"/>
  <c r="BN10" i="4"/>
  <c r="T60" i="4"/>
  <c r="T57" i="4"/>
  <c r="T56" i="4"/>
  <c r="T59" i="4"/>
  <c r="T50" i="4"/>
  <c r="AC52" i="4" l="1"/>
  <c r="AD51" i="4" s="1"/>
  <c r="AD52" i="4" s="1"/>
  <c r="AF51" i="4" s="1"/>
  <c r="P61" i="2"/>
  <c r="O86" i="2"/>
  <c r="Y86" i="2"/>
  <c r="P20" i="2"/>
  <c r="BM42" i="1"/>
  <c r="BM47" i="1" s="1"/>
  <c r="AI86" i="2"/>
  <c r="AF86" i="2"/>
  <c r="L86" i="2"/>
  <c r="Y52" i="4"/>
  <c r="M86" i="2"/>
  <c r="BD54" i="4"/>
  <c r="BM11" i="1"/>
  <c r="BN11" i="1" s="1"/>
  <c r="T52" i="4"/>
  <c r="AJ51" i="4"/>
  <c r="AF52" i="4"/>
  <c r="AG51" i="4" s="1"/>
  <c r="BN41" i="1"/>
  <c r="BN46" i="1" s="1"/>
  <c r="BN15" i="1"/>
  <c r="BN14" i="1"/>
  <c r="BN42" i="1"/>
  <c r="BN47" i="1" s="1"/>
  <c r="BN40" i="1"/>
  <c r="BN45" i="1" s="1"/>
  <c r="AK68" i="2"/>
  <c r="AK51" i="2"/>
  <c r="R51" i="2"/>
  <c r="R68" i="2"/>
  <c r="D66" i="2"/>
  <c r="D23" i="2"/>
  <c r="D50" i="2"/>
  <c r="AM66" i="3"/>
  <c r="AM52" i="3"/>
  <c r="AM65" i="3"/>
  <c r="AH51" i="3"/>
  <c r="AH59" i="3" s="1"/>
  <c r="AH23" i="2"/>
  <c r="AH66" i="2"/>
  <c r="AH81" i="2"/>
  <c r="AH50" i="2"/>
  <c r="AH64" i="3"/>
  <c r="AN64" i="3"/>
  <c r="AN50" i="2"/>
  <c r="AN51" i="3"/>
  <c r="AN23" i="2"/>
  <c r="AS82" i="2" s="1"/>
  <c r="AN66" i="2"/>
  <c r="AN81" i="2"/>
  <c r="R63" i="3"/>
  <c r="R26" i="2"/>
  <c r="R25" i="2"/>
  <c r="R56" i="3" s="1"/>
  <c r="R82" i="2"/>
  <c r="R67" i="2"/>
  <c r="E50" i="2"/>
  <c r="E23" i="2"/>
  <c r="J82" i="2" s="1"/>
  <c r="E66" i="2"/>
  <c r="T62" i="3"/>
  <c r="T69" i="2"/>
  <c r="T29" i="2"/>
  <c r="J81" i="2"/>
  <c r="BD61" i="2"/>
  <c r="BD76" i="2"/>
  <c r="BD20" i="2"/>
  <c r="AU51" i="3"/>
  <c r="AU81" i="2"/>
  <c r="AU66" i="2"/>
  <c r="AU64" i="3"/>
  <c r="AU23" i="2"/>
  <c r="AY50" i="4"/>
  <c r="AY60" i="4"/>
  <c r="AY57" i="4"/>
  <c r="AY56" i="4"/>
  <c r="AY59" i="4"/>
  <c r="F61" i="2"/>
  <c r="F20" i="2"/>
  <c r="AW50" i="4"/>
  <c r="AW57" i="4"/>
  <c r="AW56" i="4"/>
  <c r="AW60" i="4"/>
  <c r="AW59" i="4"/>
  <c r="AY76" i="2"/>
  <c r="AY20" i="2"/>
  <c r="AY61" i="2"/>
  <c r="AV86" i="2"/>
  <c r="AD51" i="2"/>
  <c r="AD68" i="2"/>
  <c r="W23" i="2"/>
  <c r="W50" i="2"/>
  <c r="W64" i="3"/>
  <c r="W66" i="2"/>
  <c r="W51" i="3"/>
  <c r="W59" i="3" s="1"/>
  <c r="W81" i="2"/>
  <c r="E86" i="2"/>
  <c r="AE56" i="4"/>
  <c r="AE60" i="4"/>
  <c r="AE59" i="4"/>
  <c r="AE57" i="4"/>
  <c r="AE50" i="4"/>
  <c r="AE52" i="4" s="1"/>
  <c r="AE76" i="2"/>
  <c r="AE20" i="2"/>
  <c r="AE61" i="2"/>
  <c r="AD86" i="2"/>
  <c r="BB86" i="2"/>
  <c r="BC64" i="3"/>
  <c r="BC66" i="2"/>
  <c r="BC81" i="2"/>
  <c r="BC23" i="2"/>
  <c r="BC51" i="3"/>
  <c r="AW86" i="2"/>
  <c r="BO18" i="3"/>
  <c r="BO26" i="4" s="1"/>
  <c r="L25" i="2"/>
  <c r="L26" i="2"/>
  <c r="L67" i="2"/>
  <c r="BG64" i="3"/>
  <c r="BG56" i="3"/>
  <c r="BG81" i="2"/>
  <c r="BG23" i="2"/>
  <c r="BG66" i="2"/>
  <c r="BG51" i="3"/>
  <c r="J26" i="2"/>
  <c r="J25" i="2"/>
  <c r="J67" i="2"/>
  <c r="AZ51" i="3"/>
  <c r="AZ81" i="2"/>
  <c r="AZ64" i="3"/>
  <c r="AZ66" i="2"/>
  <c r="AZ23" i="2"/>
  <c r="AB64" i="3"/>
  <c r="AB51" i="3"/>
  <c r="AB59" i="3" s="1"/>
  <c r="AB81" i="2"/>
  <c r="AB66" i="2"/>
  <c r="AB23" i="2"/>
  <c r="AB50" i="2"/>
  <c r="AW51" i="3"/>
  <c r="AW66" i="2"/>
  <c r="AW64" i="3"/>
  <c r="AW23" i="2"/>
  <c r="K61" i="2"/>
  <c r="K20" i="2"/>
  <c r="K76" i="2"/>
  <c r="H86" i="2"/>
  <c r="J86" i="2"/>
  <c r="BM26" i="4"/>
  <c r="BN26" i="4" s="1"/>
  <c r="BO10" i="3"/>
  <c r="AS63" i="3"/>
  <c r="AS25" i="2"/>
  <c r="AS56" i="3" s="1"/>
  <c r="AS26" i="2"/>
  <c r="AS67" i="2"/>
  <c r="AZ86" i="2"/>
  <c r="N81" i="2"/>
  <c r="N50" i="2"/>
  <c r="N66" i="2"/>
  <c r="N23" i="2"/>
  <c r="BL17" i="1"/>
  <c r="BL50" i="1" s="1"/>
  <c r="BL52" i="1" s="1"/>
  <c r="BL54" i="1" s="1"/>
  <c r="BL23" i="1"/>
  <c r="BL22" i="1"/>
  <c r="AP64" i="3"/>
  <c r="AP51" i="3"/>
  <c r="AP23" i="2"/>
  <c r="AP66" i="2"/>
  <c r="AP81" i="2"/>
  <c r="AP50" i="2"/>
  <c r="BK8" i="3"/>
  <c r="BK25" i="3"/>
  <c r="BK75" i="2"/>
  <c r="BK17" i="2"/>
  <c r="BK78" i="2" s="1"/>
  <c r="BK57" i="2"/>
  <c r="BK14" i="2"/>
  <c r="BK15" i="2" s="1"/>
  <c r="BK23" i="3"/>
  <c r="BK18" i="2"/>
  <c r="BK79" i="2" s="1"/>
  <c r="BK11" i="3"/>
  <c r="BK16" i="2"/>
  <c r="BK56" i="2"/>
  <c r="AQ64" i="3"/>
  <c r="AQ51" i="3"/>
  <c r="AQ81" i="2"/>
  <c r="AQ50" i="2"/>
  <c r="AQ23" i="2"/>
  <c r="AQ66" i="2"/>
  <c r="BA86" i="2"/>
  <c r="BC56" i="4"/>
  <c r="BC60" i="4"/>
  <c r="BC50" i="4"/>
  <c r="BC59" i="4"/>
  <c r="BC57" i="4"/>
  <c r="I86" i="2"/>
  <c r="G86" i="2"/>
  <c r="AU24" i="3"/>
  <c r="AS26" i="3"/>
  <c r="AS39" i="3" s="1"/>
  <c r="AS59" i="3"/>
  <c r="AA86" i="2"/>
  <c r="BL10" i="2"/>
  <c r="BL54" i="2" s="1"/>
  <c r="BL72" i="2"/>
  <c r="AJ57" i="4"/>
  <c r="AJ60" i="4"/>
  <c r="AJ59" i="4"/>
  <c r="AJ50" i="4"/>
  <c r="AJ56" i="4"/>
  <c r="BM72" i="2"/>
  <c r="BL21" i="1"/>
  <c r="AR86" i="2"/>
  <c r="B86" i="2"/>
  <c r="G81" i="2"/>
  <c r="G66" i="2"/>
  <c r="G23" i="2"/>
  <c r="L82" i="2" s="1"/>
  <c r="G50" i="2"/>
  <c r="L83" i="2" s="1"/>
  <c r="AR43" i="3"/>
  <c r="AR42" i="3"/>
  <c r="AS51" i="2"/>
  <c r="AS68" i="2"/>
  <c r="AA51" i="3"/>
  <c r="AA59" i="3" s="1"/>
  <c r="AA64" i="3"/>
  <c r="AA81" i="2"/>
  <c r="AA66" i="2"/>
  <c r="AA23" i="2"/>
  <c r="AA50" i="2"/>
  <c r="AF66" i="2"/>
  <c r="AF50" i="2"/>
  <c r="AK83" i="2" s="1"/>
  <c r="AF64" i="3"/>
  <c r="AF23" i="2"/>
  <c r="AK82" i="2" s="1"/>
  <c r="AF51" i="3"/>
  <c r="AF59" i="3" s="1"/>
  <c r="AF81" i="2"/>
  <c r="AS56" i="4"/>
  <c r="AS60" i="4"/>
  <c r="AS59" i="4"/>
  <c r="AS57" i="4"/>
  <c r="AS50" i="4"/>
  <c r="Q64" i="3"/>
  <c r="Q51" i="3"/>
  <c r="Q59" i="3" s="1"/>
  <c r="Q81" i="2"/>
  <c r="Q66" i="2"/>
  <c r="Q50" i="2"/>
  <c r="Q23" i="2"/>
  <c r="AV34" i="3"/>
  <c r="AU38" i="3"/>
  <c r="AK67" i="2"/>
  <c r="AK63" i="3"/>
  <c r="AK26" i="2"/>
  <c r="AK25" i="2"/>
  <c r="AK56" i="3" s="1"/>
  <c r="AT61" i="2"/>
  <c r="AT20" i="2"/>
  <c r="AT76" i="2"/>
  <c r="AS86" i="2"/>
  <c r="AV12" i="3"/>
  <c r="AW9" i="3"/>
  <c r="BC86" i="2"/>
  <c r="I50" i="2"/>
  <c r="I66" i="2"/>
  <c r="I81" i="2"/>
  <c r="I23" i="2"/>
  <c r="AI64" i="3"/>
  <c r="AI50" i="2"/>
  <c r="AI23" i="2"/>
  <c r="AI81" i="2"/>
  <c r="AI51" i="3"/>
  <c r="AI59" i="3" s="1"/>
  <c r="AI66" i="2"/>
  <c r="AS81" i="2"/>
  <c r="AL64" i="3"/>
  <c r="AL51" i="3"/>
  <c r="AL81" i="2"/>
  <c r="AL50" i="2"/>
  <c r="AL23" i="2"/>
  <c r="AL66" i="2"/>
  <c r="AM51" i="3"/>
  <c r="AM64" i="3"/>
  <c r="AM66" i="2"/>
  <c r="AM23" i="2"/>
  <c r="AM50" i="2"/>
  <c r="AM81" i="2"/>
  <c r="BK54" i="2"/>
  <c r="AC64" i="3"/>
  <c r="AC51" i="3"/>
  <c r="AC59" i="3" s="1"/>
  <c r="AC23" i="2"/>
  <c r="AC81" i="2"/>
  <c r="AC66" i="2"/>
  <c r="AC50" i="2"/>
  <c r="BO72" i="2"/>
  <c r="AJ20" i="2"/>
  <c r="AJ61" i="2"/>
  <c r="AJ76" i="2"/>
  <c r="S64" i="3"/>
  <c r="S51" i="3"/>
  <c r="S59" i="3" s="1"/>
  <c r="S81" i="2"/>
  <c r="S66" i="2"/>
  <c r="S50" i="2"/>
  <c r="S23" i="2"/>
  <c r="X82" i="2" s="1"/>
  <c r="V51" i="3"/>
  <c r="V59" i="3" s="1"/>
  <c r="V23" i="2"/>
  <c r="V50" i="2"/>
  <c r="V66" i="2"/>
  <c r="V81" i="2"/>
  <c r="V64" i="3"/>
  <c r="X68" i="2"/>
  <c r="X51" i="2"/>
  <c r="BM15" i="1"/>
  <c r="BM8" i="2"/>
  <c r="BM10" i="2" s="1"/>
  <c r="P81" i="2"/>
  <c r="P66" i="2"/>
  <c r="P23" i="2"/>
  <c r="AE47" i="1"/>
  <c r="AJ47" i="1"/>
  <c r="BS74" i="2"/>
  <c r="BI76" i="2"/>
  <c r="BI20" i="2"/>
  <c r="BI61" i="2"/>
  <c r="BF86" i="2"/>
  <c r="BH86" i="2"/>
  <c r="BF69" i="2"/>
  <c r="BF62" i="3"/>
  <c r="X63" i="3"/>
  <c r="X67" i="2"/>
  <c r="X25" i="2"/>
  <c r="X56" i="3" s="1"/>
  <c r="X26" i="2"/>
  <c r="BQ40" i="1"/>
  <c r="BP45" i="1"/>
  <c r="BP8" i="1"/>
  <c r="Y50" i="2"/>
  <c r="AD83" i="2" s="1"/>
  <c r="Y64" i="3"/>
  <c r="Y51" i="3"/>
  <c r="Y59" i="3" s="1"/>
  <c r="Y81" i="2"/>
  <c r="Y23" i="2"/>
  <c r="Y66" i="2"/>
  <c r="BF41" i="2"/>
  <c r="BF35" i="2"/>
  <c r="BB51" i="3"/>
  <c r="BB64" i="3"/>
  <c r="BB56" i="3"/>
  <c r="BB81" i="2"/>
  <c r="BB66" i="2"/>
  <c r="BB23" i="2"/>
  <c r="AD25" i="2"/>
  <c r="AD56" i="3" s="1"/>
  <c r="AD26" i="2"/>
  <c r="AD67" i="2"/>
  <c r="AD63" i="3"/>
  <c r="AS55" i="3"/>
  <c r="AS50" i="3"/>
  <c r="AS47" i="3"/>
  <c r="BE27" i="3"/>
  <c r="AZ33" i="3"/>
  <c r="BG86" i="2"/>
  <c r="O64" i="3"/>
  <c r="O81" i="2"/>
  <c r="O23" i="2"/>
  <c r="O51" i="3"/>
  <c r="O59" i="3" s="1"/>
  <c r="O66" i="2"/>
  <c r="O50" i="2"/>
  <c r="T81" i="2"/>
  <c r="AY47" i="1"/>
  <c r="BD47" i="1"/>
  <c r="BE86" i="2"/>
  <c r="AO61" i="2"/>
  <c r="AO20" i="2"/>
  <c r="AO76" i="2"/>
  <c r="AK86" i="2"/>
  <c r="AV26" i="2"/>
  <c r="AV63" i="3"/>
  <c r="AV67" i="2"/>
  <c r="AV29" i="2"/>
  <c r="AV25" i="2"/>
  <c r="AV56" i="3" s="1"/>
  <c r="J68" i="2"/>
  <c r="J51" i="2"/>
  <c r="BE64" i="3"/>
  <c r="BE51" i="3"/>
  <c r="BE81" i="2"/>
  <c r="BE23" i="2"/>
  <c r="BE66" i="2"/>
  <c r="AG50" i="2"/>
  <c r="AG64" i="3"/>
  <c r="AG81" i="2"/>
  <c r="AG51" i="3"/>
  <c r="AG59" i="3" s="1"/>
  <c r="AG66" i="2"/>
  <c r="AG23" i="2"/>
  <c r="Z61" i="2"/>
  <c r="Z76" i="2"/>
  <c r="Z20" i="2"/>
  <c r="X86" i="2"/>
  <c r="AV59" i="3"/>
  <c r="AD81" i="2"/>
  <c r="AN30" i="4"/>
  <c r="AO22" i="4"/>
  <c r="W86" i="2"/>
  <c r="L68" i="2"/>
  <c r="L51" i="2"/>
  <c r="BN72" i="2"/>
  <c r="BA51" i="3"/>
  <c r="BA81" i="2"/>
  <c r="BA66" i="2"/>
  <c r="BA64" i="3"/>
  <c r="BA23" i="2"/>
  <c r="BF81" i="2"/>
  <c r="BM17" i="1"/>
  <c r="BM50" i="1" s="1"/>
  <c r="BM52" i="1" s="1"/>
  <c r="BM54" i="1" s="1"/>
  <c r="BM23" i="1"/>
  <c r="BM22" i="1"/>
  <c r="AK53" i="3"/>
  <c r="AK59" i="3"/>
  <c r="BS37" i="1"/>
  <c r="AM86" i="2"/>
  <c r="AR64" i="3"/>
  <c r="AR51" i="3"/>
  <c r="AR66" i="2"/>
  <c r="AR23" i="2"/>
  <c r="AR81" i="2"/>
  <c r="AR50" i="2"/>
  <c r="C86" i="2"/>
  <c r="AC86" i="2"/>
  <c r="BJ25" i="3"/>
  <c r="BJ29" i="4" s="1"/>
  <c r="BJ11" i="3"/>
  <c r="BJ18" i="2"/>
  <c r="BJ57" i="2"/>
  <c r="BJ23" i="3"/>
  <c r="BJ17" i="2"/>
  <c r="BJ75" i="2"/>
  <c r="BJ16" i="2"/>
  <c r="BJ8" i="3"/>
  <c r="BJ14" i="2"/>
  <c r="BJ55" i="2"/>
  <c r="BJ56" i="2"/>
  <c r="BM20" i="1"/>
  <c r="AP86" i="2"/>
  <c r="BL73" i="2"/>
  <c r="BL55" i="2"/>
  <c r="C50" i="2"/>
  <c r="C23" i="2"/>
  <c r="H82" i="2" s="1"/>
  <c r="C66" i="2"/>
  <c r="BL20" i="1"/>
  <c r="P47" i="1"/>
  <c r="U47" i="1"/>
  <c r="BH59" i="3"/>
  <c r="AG52" i="4"/>
  <c r="AH51" i="4" s="1"/>
  <c r="AH52" i="4" s="1"/>
  <c r="AI51" i="4" s="1"/>
  <c r="AI52" i="4" s="1"/>
  <c r="AK51" i="4" s="1"/>
  <c r="AO51" i="4" s="1"/>
  <c r="Z57" i="4"/>
  <c r="Z59" i="4"/>
  <c r="Z50" i="4"/>
  <c r="Z52" i="4" s="1"/>
  <c r="Z56" i="4"/>
  <c r="Z60" i="4"/>
  <c r="AT22" i="4"/>
  <c r="H67" i="2"/>
  <c r="H26" i="2"/>
  <c r="H25" i="2"/>
  <c r="B66" i="2"/>
  <c r="B23" i="2"/>
  <c r="B50" i="2"/>
  <c r="AY54" i="4"/>
  <c r="AX81" i="2"/>
  <c r="AX23" i="2"/>
  <c r="AX51" i="3"/>
  <c r="AX64" i="3"/>
  <c r="AX66" i="2"/>
  <c r="BM33" i="2"/>
  <c r="BN33" i="2" s="1"/>
  <c r="BO31" i="2"/>
  <c r="BH29" i="2"/>
  <c r="BH63" i="3"/>
  <c r="BH26" i="2"/>
  <c r="BH25" i="2"/>
  <c r="BH56" i="3" s="1"/>
  <c r="BH67" i="2"/>
  <c r="BM19" i="3"/>
  <c r="AR59" i="4"/>
  <c r="AR56" i="4"/>
  <c r="AR60" i="4"/>
  <c r="AR57" i="4"/>
  <c r="AR50" i="4"/>
  <c r="AT30" i="4"/>
  <c r="AO47" i="1"/>
  <c r="AT47" i="1"/>
  <c r="H68" i="2"/>
  <c r="H51" i="2"/>
  <c r="M81" i="2"/>
  <c r="M23" i="2"/>
  <c r="M50" i="2"/>
  <c r="R83" i="2" s="1"/>
  <c r="M66" i="2"/>
  <c r="D86" i="2"/>
  <c r="AP16" i="3"/>
  <c r="AN20" i="3"/>
  <c r="BB59" i="4"/>
  <c r="BB57" i="4"/>
  <c r="BB50" i="4"/>
  <c r="BB60" i="4"/>
  <c r="BB56" i="4"/>
  <c r="BD30" i="4"/>
  <c r="AH86" i="2"/>
  <c r="BO46" i="1"/>
  <c r="BP41" i="1"/>
  <c r="BO9" i="1"/>
  <c r="U76" i="2"/>
  <c r="U20" i="2"/>
  <c r="U61" i="2"/>
  <c r="T86" i="2"/>
  <c r="R86" i="2"/>
  <c r="BM21" i="1" l="1"/>
  <c r="BN51" i="1"/>
  <c r="BN52" i="1" s="1"/>
  <c r="BN54" i="1" s="1"/>
  <c r="BN23" i="1"/>
  <c r="BN17" i="1"/>
  <c r="BN50" i="1" s="1"/>
  <c r="BN22" i="1"/>
  <c r="BS53" i="1"/>
  <c r="BN21" i="1"/>
  <c r="BN20" i="1"/>
  <c r="BM54" i="2"/>
  <c r="BN10" i="2"/>
  <c r="BN54" i="2" s="1"/>
  <c r="AO50" i="2"/>
  <c r="AJ52" i="4"/>
  <c r="BK29" i="4"/>
  <c r="AO51" i="2"/>
  <c r="AO68" i="2"/>
  <c r="Z81" i="2"/>
  <c r="Z66" i="2"/>
  <c r="Z23" i="2"/>
  <c r="BR40" i="1"/>
  <c r="BQ45" i="1"/>
  <c r="BQ8" i="1"/>
  <c r="AM63" i="3"/>
  <c r="AM82" i="2"/>
  <c r="AM67" i="2"/>
  <c r="AM26" i="2"/>
  <c r="AM25" i="2"/>
  <c r="AM56" i="3" s="1"/>
  <c r="BK76" i="2"/>
  <c r="W82" i="2"/>
  <c r="W67" i="2"/>
  <c r="W63" i="3"/>
  <c r="W25" i="2"/>
  <c r="W56" i="3" s="1"/>
  <c r="W26" i="2"/>
  <c r="AP20" i="3"/>
  <c r="AQ16" i="3"/>
  <c r="S83" i="2"/>
  <c r="S51" i="2"/>
  <c r="S68" i="2"/>
  <c r="AW34" i="3"/>
  <c r="AV38" i="3"/>
  <c r="AS62" i="3"/>
  <c r="AS48" i="3"/>
  <c r="AS69" i="2"/>
  <c r="AS29" i="2"/>
  <c r="AZ63" i="3"/>
  <c r="AZ25" i="2"/>
  <c r="AZ56" i="3" s="1"/>
  <c r="AZ67" i="2"/>
  <c r="AZ82" i="2"/>
  <c r="AZ26" i="2"/>
  <c r="AZ29" i="2"/>
  <c r="BO8" i="2"/>
  <c r="BO15" i="1"/>
  <c r="BO11" i="1"/>
  <c r="BO42" i="1"/>
  <c r="BO47" i="1" s="1"/>
  <c r="AT57" i="4"/>
  <c r="AT56" i="4"/>
  <c r="AT60" i="4"/>
  <c r="AT59" i="4"/>
  <c r="AT50" i="4"/>
  <c r="BJ78" i="2"/>
  <c r="BE59" i="3"/>
  <c r="BF50" i="2"/>
  <c r="BF42" i="2"/>
  <c r="BI66" i="2"/>
  <c r="BI81" i="2"/>
  <c r="BI23" i="2"/>
  <c r="AQ59" i="3"/>
  <c r="F66" i="2"/>
  <c r="F23" i="2"/>
  <c r="B51" i="2"/>
  <c r="F50" i="2"/>
  <c r="B68" i="2"/>
  <c r="BA63" i="3"/>
  <c r="BA67" i="2"/>
  <c r="BA25" i="2"/>
  <c r="BA56" i="3" s="1"/>
  <c r="BA82" i="2"/>
  <c r="BA29" i="2"/>
  <c r="BA26" i="2"/>
  <c r="BF82" i="2"/>
  <c r="Q63" i="3"/>
  <c r="Q67" i="2"/>
  <c r="Q26" i="2"/>
  <c r="Q25" i="2"/>
  <c r="Q56" i="3" s="1"/>
  <c r="Q82" i="2"/>
  <c r="BC63" i="3"/>
  <c r="BC26" i="2"/>
  <c r="BC67" i="2"/>
  <c r="BC29" i="2"/>
  <c r="BC82" i="2"/>
  <c r="BC25" i="2"/>
  <c r="BC56" i="3" s="1"/>
  <c r="E51" i="2"/>
  <c r="E68" i="2"/>
  <c r="D67" i="2"/>
  <c r="D25" i="2"/>
  <c r="D26" i="2"/>
  <c r="BH8" i="4"/>
  <c r="BH35" i="2"/>
  <c r="BH41" i="2"/>
  <c r="AR59" i="3"/>
  <c r="AD62" i="3"/>
  <c r="AD69" i="2"/>
  <c r="AD29" i="2"/>
  <c r="AM54" i="3"/>
  <c r="AM53" i="3"/>
  <c r="AM59" i="3"/>
  <c r="U50" i="2"/>
  <c r="Q51" i="2"/>
  <c r="Q68" i="2"/>
  <c r="Q83" i="2"/>
  <c r="BL11" i="3"/>
  <c r="BL57" i="2"/>
  <c r="BL18" i="2"/>
  <c r="BL79" i="2" s="1"/>
  <c r="BL14" i="2"/>
  <c r="BL15" i="2" s="1"/>
  <c r="BL75" i="2"/>
  <c r="BL17" i="2"/>
  <c r="BL78" i="2" s="1"/>
  <c r="BL25" i="3"/>
  <c r="BL29" i="4" s="1"/>
  <c r="BL23" i="3"/>
  <c r="BL8" i="3"/>
  <c r="BL16" i="2"/>
  <c r="BL56" i="2"/>
  <c r="BK44" i="3"/>
  <c r="BK45" i="3"/>
  <c r="AK52" i="4"/>
  <c r="AL51" i="4" s="1"/>
  <c r="AL52" i="4" s="1"/>
  <c r="AM51" i="4" s="1"/>
  <c r="AM52" i="4" s="1"/>
  <c r="AN51" i="4" s="1"/>
  <c r="BA33" i="3"/>
  <c r="AT23" i="2"/>
  <c r="AT66" i="2"/>
  <c r="AT81" i="2"/>
  <c r="BP10" i="3"/>
  <c r="BD50" i="4"/>
  <c r="BD59" i="4"/>
  <c r="BD56" i="4"/>
  <c r="BD60" i="4"/>
  <c r="BD57" i="4"/>
  <c r="BK25" i="4"/>
  <c r="BJ25" i="4"/>
  <c r="AL63" i="3"/>
  <c r="AL82" i="2"/>
  <c r="AL26" i="2"/>
  <c r="AL25" i="2"/>
  <c r="AL56" i="3" s="1"/>
  <c r="AL67" i="2"/>
  <c r="AP83" i="2"/>
  <c r="AT50" i="2"/>
  <c r="AP51" i="2"/>
  <c r="AP68" i="2"/>
  <c r="BO24" i="4"/>
  <c r="AZ59" i="3"/>
  <c r="M67" i="2"/>
  <c r="M25" i="2"/>
  <c r="M82" i="2"/>
  <c r="M26" i="2"/>
  <c r="BB63" i="3"/>
  <c r="BB82" i="2"/>
  <c r="BB24" i="2"/>
  <c r="BD24" i="2" s="1"/>
  <c r="BB67" i="2"/>
  <c r="AV35" i="2"/>
  <c r="AV41" i="2"/>
  <c r="V83" i="2"/>
  <c r="V68" i="2"/>
  <c r="V51" i="2"/>
  <c r="Z50" i="2"/>
  <c r="BJ44" i="3"/>
  <c r="BJ45" i="3"/>
  <c r="AK54" i="3"/>
  <c r="AV60" i="3"/>
  <c r="O68" i="2"/>
  <c r="O51" i="2"/>
  <c r="O83" i="2"/>
  <c r="T83" i="2"/>
  <c r="AJ66" i="2"/>
  <c r="AJ81" i="2"/>
  <c r="AJ23" i="2"/>
  <c r="AL53" i="3"/>
  <c r="AL54" i="3"/>
  <c r="AL59" i="3"/>
  <c r="AK48" i="3"/>
  <c r="AK62" i="3"/>
  <c r="AK67" i="3" s="1"/>
  <c r="AK29" i="2"/>
  <c r="AK69" i="2"/>
  <c r="AK84" i="2"/>
  <c r="BK28" i="4"/>
  <c r="AP63" i="3"/>
  <c r="AP82" i="2"/>
  <c r="AP67" i="2"/>
  <c r="AP26" i="2"/>
  <c r="AP25" i="2"/>
  <c r="AP56" i="3" s="1"/>
  <c r="AU82" i="2"/>
  <c r="AU29" i="2"/>
  <c r="AU63" i="3"/>
  <c r="AU25" i="2"/>
  <c r="AU56" i="3" s="1"/>
  <c r="AU26" i="2"/>
  <c r="AU67" i="2"/>
  <c r="T42" i="2"/>
  <c r="T41" i="2"/>
  <c r="AH63" i="3"/>
  <c r="AH26" i="2"/>
  <c r="AH25" i="2"/>
  <c r="AH56" i="3" s="1"/>
  <c r="AH82" i="2"/>
  <c r="AH67" i="2"/>
  <c r="U66" i="2"/>
  <c r="U23" i="2"/>
  <c r="U81" i="2"/>
  <c r="O63" i="3"/>
  <c r="O26" i="2"/>
  <c r="O25" i="2"/>
  <c r="O56" i="3" s="1"/>
  <c r="O67" i="2"/>
  <c r="O82" i="2"/>
  <c r="T82" i="2"/>
  <c r="AQ51" i="2"/>
  <c r="AQ68" i="2"/>
  <c r="AQ83" i="2"/>
  <c r="AN59" i="3"/>
  <c r="AS60" i="3" s="1"/>
  <c r="AR63" i="3"/>
  <c r="AR67" i="2"/>
  <c r="AR82" i="2"/>
  <c r="AR26" i="2"/>
  <c r="AR25" i="2"/>
  <c r="AR56" i="3" s="1"/>
  <c r="AN83" i="2"/>
  <c r="AN68" i="2"/>
  <c r="AN51" i="2"/>
  <c r="AO23" i="2"/>
  <c r="AO81" i="2"/>
  <c r="AO66" i="2"/>
  <c r="BJ28" i="4"/>
  <c r="B67" i="2"/>
  <c r="B26" i="2"/>
  <c r="B25" i="2"/>
  <c r="AH68" i="2"/>
  <c r="AH83" i="2"/>
  <c r="AH51" i="2"/>
  <c r="AF63" i="3"/>
  <c r="AF26" i="2"/>
  <c r="AF67" i="2"/>
  <c r="AF25" i="2"/>
  <c r="AF56" i="3" s="1"/>
  <c r="AF82" i="2"/>
  <c r="AL83" i="2"/>
  <c r="AL68" i="2"/>
  <c r="AL51" i="2"/>
  <c r="AS83" i="2"/>
  <c r="BF27" i="3"/>
  <c r="BP7" i="2"/>
  <c r="BP14" i="1"/>
  <c r="V63" i="3"/>
  <c r="V26" i="2"/>
  <c r="V82" i="2"/>
  <c r="V25" i="2"/>
  <c r="V56" i="3" s="1"/>
  <c r="V67" i="2"/>
  <c r="AS43" i="3"/>
  <c r="AS42" i="3"/>
  <c r="AP59" i="3"/>
  <c r="J29" i="2"/>
  <c r="J84" i="2"/>
  <c r="J69" i="2"/>
  <c r="AN66" i="3"/>
  <c r="AN52" i="3"/>
  <c r="AN54" i="3" s="1"/>
  <c r="AN65" i="3"/>
  <c r="C67" i="2"/>
  <c r="C25" i="2"/>
  <c r="C26" i="2"/>
  <c r="H84" i="2" s="1"/>
  <c r="BE63" i="3"/>
  <c r="BE25" i="2"/>
  <c r="BE56" i="3" s="1"/>
  <c r="BE82" i="2"/>
  <c r="BE29" i="2"/>
  <c r="BE26" i="2"/>
  <c r="BE67" i="2"/>
  <c r="BB59" i="3"/>
  <c r="S63" i="3"/>
  <c r="S26" i="2"/>
  <c r="S25" i="2"/>
  <c r="S56" i="3" s="1"/>
  <c r="S67" i="2"/>
  <c r="S82" i="2"/>
  <c r="AU55" i="3"/>
  <c r="AU50" i="3"/>
  <c r="AU39" i="3"/>
  <c r="AU47" i="3"/>
  <c r="AA63" i="3"/>
  <c r="AA67" i="2"/>
  <c r="AA25" i="2"/>
  <c r="AA56" i="3" s="1"/>
  <c r="AA26" i="2"/>
  <c r="AA82" i="2"/>
  <c r="G26" i="2"/>
  <c r="G25" i="2"/>
  <c r="G82" i="2"/>
  <c r="G67" i="2"/>
  <c r="C68" i="2"/>
  <c r="C51" i="2"/>
  <c r="X69" i="2"/>
  <c r="X29" i="2"/>
  <c r="X62" i="3"/>
  <c r="X84" i="2"/>
  <c r="AW12" i="3"/>
  <c r="AX9" i="3"/>
  <c r="AW67" i="2"/>
  <c r="AW29" i="2"/>
  <c r="AW63" i="3"/>
  <c r="AW26" i="2"/>
  <c r="AW25" i="2"/>
  <c r="AW56" i="3" s="1"/>
  <c r="BG63" i="3"/>
  <c r="BG82" i="2"/>
  <c r="BG26" i="2"/>
  <c r="BG29" i="2"/>
  <c r="BG67" i="2"/>
  <c r="BH84" i="2"/>
  <c r="BH69" i="2"/>
  <c r="BH62" i="3"/>
  <c r="AC83" i="2"/>
  <c r="AC68" i="2"/>
  <c r="AC51" i="2"/>
  <c r="AS57" i="3"/>
  <c r="BC59" i="3"/>
  <c r="AU59" i="3"/>
  <c r="E25" i="2"/>
  <c r="E26" i="2"/>
  <c r="E67" i="2"/>
  <c r="D51" i="2"/>
  <c r="D68" i="2"/>
  <c r="BP46" i="1"/>
  <c r="BQ41" i="1"/>
  <c r="BP9" i="1"/>
  <c r="BP42" i="1" s="1"/>
  <c r="BP47" i="1" s="1"/>
  <c r="AG63" i="3"/>
  <c r="AG82" i="2"/>
  <c r="AG26" i="2"/>
  <c r="AG67" i="2"/>
  <c r="AG25" i="2"/>
  <c r="AG56" i="3" s="1"/>
  <c r="BD81" i="2"/>
  <c r="BD23" i="2"/>
  <c r="BD66" i="2"/>
  <c r="Y63" i="3"/>
  <c r="Y67" i="2"/>
  <c r="Y26" i="2"/>
  <c r="Y82" i="2"/>
  <c r="Y25" i="2"/>
  <c r="Y56" i="3" s="1"/>
  <c r="X83" i="2"/>
  <c r="N82" i="2"/>
  <c r="N67" i="2"/>
  <c r="N25" i="2"/>
  <c r="N26" i="2"/>
  <c r="AW59" i="3"/>
  <c r="BH82" i="2"/>
  <c r="BJ79" i="2"/>
  <c r="AD82" i="2"/>
  <c r="AC67" i="2"/>
  <c r="AC25" i="2"/>
  <c r="AC56" i="3" s="1"/>
  <c r="AC82" i="2"/>
  <c r="AC63" i="3"/>
  <c r="AC26" i="2"/>
  <c r="AI82" i="2"/>
  <c r="AI26" i="2"/>
  <c r="AI67" i="2"/>
  <c r="AI25" i="2"/>
  <c r="AI56" i="3" s="1"/>
  <c r="AK58" i="3" s="1"/>
  <c r="AI63" i="3"/>
  <c r="M83" i="2"/>
  <c r="M68" i="2"/>
  <c r="M51" i="2"/>
  <c r="BO33" i="2"/>
  <c r="BP31" i="2"/>
  <c r="AN59" i="4"/>
  <c r="AN50" i="4"/>
  <c r="AN56" i="4"/>
  <c r="AN57" i="4"/>
  <c r="AN60" i="4"/>
  <c r="AO30" i="4"/>
  <c r="J83" i="2"/>
  <c r="AI51" i="2"/>
  <c r="AI83" i="2"/>
  <c r="AI68" i="2"/>
  <c r="BM23" i="3"/>
  <c r="BM8" i="3"/>
  <c r="BM14" i="2"/>
  <c r="BM15" i="2" s="1"/>
  <c r="BM11" i="3"/>
  <c r="BM17" i="2"/>
  <c r="BM78" i="2" s="1"/>
  <c r="BM25" i="3"/>
  <c r="BM29" i="4" s="1"/>
  <c r="BM57" i="2"/>
  <c r="BM16" i="2"/>
  <c r="BM18" i="2"/>
  <c r="BM79" i="2" s="1"/>
  <c r="BM75" i="2"/>
  <c r="BM56" i="2"/>
  <c r="BK19" i="2"/>
  <c r="BK77" i="2"/>
  <c r="N68" i="2"/>
  <c r="N83" i="2"/>
  <c r="N51" i="2"/>
  <c r="AB51" i="2"/>
  <c r="AB68" i="2"/>
  <c r="AB83" i="2"/>
  <c r="L69" i="2"/>
  <c r="L29" i="2"/>
  <c r="H29" i="2"/>
  <c r="H69" i="2"/>
  <c r="BA59" i="3"/>
  <c r="AK57" i="3"/>
  <c r="AB82" i="2"/>
  <c r="AB63" i="3"/>
  <c r="AB26" i="2"/>
  <c r="AB25" i="2"/>
  <c r="AB56" i="3" s="1"/>
  <c r="AB67" i="2"/>
  <c r="AY23" i="2"/>
  <c r="AY66" i="2"/>
  <c r="AY81" i="2"/>
  <c r="R62" i="3"/>
  <c r="R84" i="2"/>
  <c r="R29" i="2"/>
  <c r="R69" i="2"/>
  <c r="AG51" i="2"/>
  <c r="AG68" i="2"/>
  <c r="Y51" i="2"/>
  <c r="Y68" i="2"/>
  <c r="Y83" i="2"/>
  <c r="P67" i="2"/>
  <c r="P26" i="2"/>
  <c r="P25" i="2"/>
  <c r="I82" i="2"/>
  <c r="I26" i="2"/>
  <c r="I67" i="2"/>
  <c r="I25" i="2"/>
  <c r="AF68" i="2"/>
  <c r="AJ50" i="2"/>
  <c r="AF51" i="2"/>
  <c r="BO19" i="3"/>
  <c r="AX59" i="3"/>
  <c r="BJ77" i="2"/>
  <c r="BJ19" i="2"/>
  <c r="H83" i="2"/>
  <c r="BM27" i="4"/>
  <c r="BN27" i="4" s="1"/>
  <c r="AX63" i="3"/>
  <c r="AX29" i="2"/>
  <c r="AX67" i="2"/>
  <c r="AX82" i="2"/>
  <c r="AX25" i="2"/>
  <c r="AX56" i="3" s="1"/>
  <c r="AX26" i="2"/>
  <c r="BJ15" i="2"/>
  <c r="AR83" i="2"/>
  <c r="AR51" i="2"/>
  <c r="AR68" i="2"/>
  <c r="P50" i="2"/>
  <c r="AV62" i="3"/>
  <c r="AV48" i="3"/>
  <c r="AV69" i="2"/>
  <c r="AV49" i="3"/>
  <c r="BM55" i="2"/>
  <c r="BM73" i="2"/>
  <c r="BN8" i="2"/>
  <c r="AM83" i="2"/>
  <c r="AM68" i="2"/>
  <c r="AM51" i="2"/>
  <c r="I83" i="2"/>
  <c r="I68" i="2"/>
  <c r="I51" i="2"/>
  <c r="AA68" i="2"/>
  <c r="AE50" i="2"/>
  <c r="AA51" i="2"/>
  <c r="AA83" i="2"/>
  <c r="G83" i="2"/>
  <c r="G51" i="2"/>
  <c r="K50" i="2"/>
  <c r="G68" i="2"/>
  <c r="AU26" i="3"/>
  <c r="AV24" i="3"/>
  <c r="AQ26" i="2"/>
  <c r="AQ25" i="2"/>
  <c r="AQ56" i="3" s="1"/>
  <c r="AQ63" i="3"/>
  <c r="AQ67" i="2"/>
  <c r="AQ82" i="2"/>
  <c r="K23" i="2"/>
  <c r="K81" i="2"/>
  <c r="K66" i="2"/>
  <c r="BG59" i="3"/>
  <c r="BH61" i="3" s="1"/>
  <c r="BP18" i="3"/>
  <c r="AE81" i="2"/>
  <c r="AE66" i="2"/>
  <c r="AE23" i="2"/>
  <c r="W51" i="2"/>
  <c r="W83" i="2"/>
  <c r="W68" i="2"/>
  <c r="AN63" i="3"/>
  <c r="AN82" i="2"/>
  <c r="AN67" i="2"/>
  <c r="AN25" i="2"/>
  <c r="AN56" i="3" s="1"/>
  <c r="AN26" i="2"/>
  <c r="AS84" i="2" s="1"/>
  <c r="BN29" i="4" l="1"/>
  <c r="BN56" i="2"/>
  <c r="AS58" i="3"/>
  <c r="BN57" i="2"/>
  <c r="BN75" i="2"/>
  <c r="BN18" i="2"/>
  <c r="BN64" i="2" s="1"/>
  <c r="BL76" i="2"/>
  <c r="BM76" i="2"/>
  <c r="AO56" i="4"/>
  <c r="AO50" i="4"/>
  <c r="AO52" i="4" s="1"/>
  <c r="AO59" i="4"/>
  <c r="AO60" i="4"/>
  <c r="AO57" i="4"/>
  <c r="AU61" i="3"/>
  <c r="AU60" i="3"/>
  <c r="BG27" i="3"/>
  <c r="AP58" i="3"/>
  <c r="AP57" i="3"/>
  <c r="Q62" i="3"/>
  <c r="Q69" i="2"/>
  <c r="Q84" i="2"/>
  <c r="Q29" i="2"/>
  <c r="BO23" i="1"/>
  <c r="BO17" i="1"/>
  <c r="BO50" i="1" s="1"/>
  <c r="BO52" i="1" s="1"/>
  <c r="BO54" i="1" s="1"/>
  <c r="BO22" i="1"/>
  <c r="BO20" i="1"/>
  <c r="AS42" i="2"/>
  <c r="AS41" i="2"/>
  <c r="AP52" i="3"/>
  <c r="AP66" i="3"/>
  <c r="AP65" i="3"/>
  <c r="Y62" i="3"/>
  <c r="Y29" i="2"/>
  <c r="Y69" i="2"/>
  <c r="Y84" i="2"/>
  <c r="BC60" i="3"/>
  <c r="BC61" i="3"/>
  <c r="AW35" i="2"/>
  <c r="AW41" i="2"/>
  <c r="AV61" i="3"/>
  <c r="W62" i="3"/>
  <c r="W29" i="2"/>
  <c r="W84" i="2"/>
  <c r="W69" i="2"/>
  <c r="AX61" i="3"/>
  <c r="AX60" i="3"/>
  <c r="AH62" i="3"/>
  <c r="AH29" i="2"/>
  <c r="AH84" i="2"/>
  <c r="AH69" i="2"/>
  <c r="AV50" i="2"/>
  <c r="AV42" i="2"/>
  <c r="F26" i="2"/>
  <c r="F67" i="2"/>
  <c r="F25" i="2"/>
  <c r="BO21" i="1"/>
  <c r="AE83" i="2"/>
  <c r="AE68" i="2"/>
  <c r="AE51" i="2"/>
  <c r="AX41" i="2"/>
  <c r="AX35" i="2"/>
  <c r="P69" i="2"/>
  <c r="P29" i="2"/>
  <c r="BQ46" i="1"/>
  <c r="BR41" i="1"/>
  <c r="BQ9" i="1"/>
  <c r="AX12" i="3"/>
  <c r="AZ9" i="3"/>
  <c r="V62" i="3"/>
  <c r="V84" i="2"/>
  <c r="V69" i="2"/>
  <c r="V29" i="2"/>
  <c r="B29" i="2"/>
  <c r="B69" i="2"/>
  <c r="BP19" i="3"/>
  <c r="BP27" i="4" s="1"/>
  <c r="AY67" i="2"/>
  <c r="AY29" i="2"/>
  <c r="AY26" i="2"/>
  <c r="AY69" i="2" s="1"/>
  <c r="AY25" i="2"/>
  <c r="AN52" i="4"/>
  <c r="AP51" i="4" s="1"/>
  <c r="AI62" i="3"/>
  <c r="AI29" i="2"/>
  <c r="AI69" i="2"/>
  <c r="AI84" i="2"/>
  <c r="BE35" i="2"/>
  <c r="BE41" i="2"/>
  <c r="BN14" i="2"/>
  <c r="BN15" i="2" s="1"/>
  <c r="BM86" i="2" s="1"/>
  <c r="BM25" i="4"/>
  <c r="BA62" i="3"/>
  <c r="BA84" i="2"/>
  <c r="BA69" i="2"/>
  <c r="BF84" i="2"/>
  <c r="AQ58" i="3"/>
  <c r="AQ57" i="3"/>
  <c r="BO27" i="4"/>
  <c r="BL25" i="4"/>
  <c r="AL62" i="3"/>
  <c r="AL67" i="3" s="1"/>
  <c r="AL29" i="2"/>
  <c r="AL49" i="3"/>
  <c r="AL84" i="2"/>
  <c r="AL48" i="3"/>
  <c r="AL69" i="2"/>
  <c r="BQ10" i="3"/>
  <c r="AR61" i="3"/>
  <c r="AR60" i="3"/>
  <c r="BA41" i="2"/>
  <c r="BA35" i="2"/>
  <c r="BN17" i="2"/>
  <c r="BR45" i="1"/>
  <c r="BR8" i="1"/>
  <c r="BS8" i="1" s="1"/>
  <c r="BQ18" i="3"/>
  <c r="AQ84" i="2"/>
  <c r="AQ62" i="3"/>
  <c r="AQ69" i="2"/>
  <c r="AQ48" i="3"/>
  <c r="AQ29" i="2"/>
  <c r="AQ49" i="3"/>
  <c r="P83" i="2"/>
  <c r="P68" i="2"/>
  <c r="P51" i="2"/>
  <c r="BK80" i="2"/>
  <c r="BK65" i="2"/>
  <c r="BM28" i="4"/>
  <c r="BQ31" i="2"/>
  <c r="BP33" i="2"/>
  <c r="AC62" i="3"/>
  <c r="AC84" i="2"/>
  <c r="AC69" i="2"/>
  <c r="AC29" i="2"/>
  <c r="N29" i="2"/>
  <c r="N84" i="2"/>
  <c r="N69" i="2"/>
  <c r="BG41" i="2"/>
  <c r="BG35" i="2"/>
  <c r="AP61" i="3"/>
  <c r="AP60" i="3"/>
  <c r="BP11" i="1"/>
  <c r="O62" i="3"/>
  <c r="O84" i="2"/>
  <c r="O69" i="2"/>
  <c r="O29" i="2"/>
  <c r="T84" i="2"/>
  <c r="BP24" i="4"/>
  <c r="BL77" i="2"/>
  <c r="BL19" i="2"/>
  <c r="BC41" i="2"/>
  <c r="BC35" i="2"/>
  <c r="BH85" i="2" s="1"/>
  <c r="AQ61" i="3"/>
  <c r="AQ60" i="3"/>
  <c r="AZ41" i="2"/>
  <c r="AZ35" i="2"/>
  <c r="AV50" i="3"/>
  <c r="AV55" i="3"/>
  <c r="AV47" i="3"/>
  <c r="Z82" i="2"/>
  <c r="Z25" i="2"/>
  <c r="Z67" i="2"/>
  <c r="Z26" i="2"/>
  <c r="AN69" i="2"/>
  <c r="AN62" i="3"/>
  <c r="AN67" i="3" s="1"/>
  <c r="AN49" i="3"/>
  <c r="AN29" i="2"/>
  <c r="AN84" i="2"/>
  <c r="AN48" i="3"/>
  <c r="BP26" i="4"/>
  <c r="AV26" i="3"/>
  <c r="AV39" i="3" s="1"/>
  <c r="AW24" i="3"/>
  <c r="AJ83" i="2"/>
  <c r="AJ68" i="2"/>
  <c r="AJ51" i="2"/>
  <c r="AB62" i="3"/>
  <c r="AB69" i="2"/>
  <c r="AB84" i="2"/>
  <c r="AB29" i="2"/>
  <c r="H42" i="2"/>
  <c r="H41" i="2"/>
  <c r="BG62" i="3"/>
  <c r="BG69" i="2"/>
  <c r="X41" i="2"/>
  <c r="X42" i="2"/>
  <c r="AU49" i="3"/>
  <c r="AU62" i="3"/>
  <c r="AU48" i="3"/>
  <c r="AU84" i="2"/>
  <c r="AU69" i="2"/>
  <c r="BD25" i="2"/>
  <c r="BL44" i="3"/>
  <c r="BL45" i="3"/>
  <c r="BI67" i="2"/>
  <c r="BI26" i="2"/>
  <c r="BI82" i="2"/>
  <c r="BI29" i="2"/>
  <c r="BI25" i="2"/>
  <c r="AZ62" i="3"/>
  <c r="AZ69" i="2"/>
  <c r="AZ84" i="2"/>
  <c r="AX34" i="3"/>
  <c r="AW38" i="3"/>
  <c r="AN58" i="3"/>
  <c r="AN57" i="3"/>
  <c r="AU43" i="3"/>
  <c r="AU42" i="3"/>
  <c r="L42" i="2"/>
  <c r="L41" i="2"/>
  <c r="E69" i="2"/>
  <c r="E29" i="2"/>
  <c r="G84" i="2"/>
  <c r="G29" i="2"/>
  <c r="G69" i="2"/>
  <c r="C69" i="2"/>
  <c r="C29" i="2"/>
  <c r="AU58" i="3"/>
  <c r="AU57" i="3"/>
  <c r="BB29" i="2"/>
  <c r="BN25" i="4"/>
  <c r="BL28" i="4"/>
  <c r="BN28" i="4" s="1"/>
  <c r="BH50" i="2"/>
  <c r="BH42" i="2"/>
  <c r="BC84" i="2"/>
  <c r="BC69" i="2"/>
  <c r="BC62" i="3"/>
  <c r="BK20" i="2"/>
  <c r="L84" i="2"/>
  <c r="S84" i="2"/>
  <c r="S62" i="3"/>
  <c r="S69" i="2"/>
  <c r="S29" i="2"/>
  <c r="AF84" i="2"/>
  <c r="AF69" i="2"/>
  <c r="AF29" i="2"/>
  <c r="AF62" i="3"/>
  <c r="AO26" i="2"/>
  <c r="AO67" i="2"/>
  <c r="AO82" i="2"/>
  <c r="AO25" i="2"/>
  <c r="AN53" i="3"/>
  <c r="U82" i="2"/>
  <c r="U26" i="2"/>
  <c r="U67" i="2"/>
  <c r="U25" i="2"/>
  <c r="BB26" i="2"/>
  <c r="BG84" i="2" s="1"/>
  <c r="AZ61" i="3"/>
  <c r="AZ60" i="3"/>
  <c r="AT26" i="2"/>
  <c r="AT82" i="2"/>
  <c r="AT67" i="2"/>
  <c r="AT25" i="2"/>
  <c r="U83" i="2"/>
  <c r="U51" i="2"/>
  <c r="U68" i="2"/>
  <c r="BH22" i="4"/>
  <c r="BH37" i="3"/>
  <c r="BI8" i="4"/>
  <c r="AM58" i="3"/>
  <c r="AM57" i="3"/>
  <c r="AO83" i="2"/>
  <c r="K82" i="2"/>
  <c r="K67" i="2"/>
  <c r="K25" i="2"/>
  <c r="K26" i="2"/>
  <c r="P84" i="2" s="1"/>
  <c r="AP49" i="3"/>
  <c r="AP48" i="3"/>
  <c r="AP84" i="2"/>
  <c r="AP62" i="3"/>
  <c r="AP29" i="2"/>
  <c r="AP69" i="2"/>
  <c r="AT51" i="2"/>
  <c r="AT83" i="2"/>
  <c r="AT68" i="2"/>
  <c r="AD41" i="2"/>
  <c r="AD42" i="2"/>
  <c r="P82" i="2"/>
  <c r="BA61" i="3"/>
  <c r="BA60" i="3"/>
  <c r="BF60" i="3"/>
  <c r="BP8" i="2"/>
  <c r="BP10" i="2" s="1"/>
  <c r="BP15" i="1"/>
  <c r="AS49" i="3"/>
  <c r="AE26" i="2"/>
  <c r="AE82" i="2"/>
  <c r="AE67" i="2"/>
  <c r="AE25" i="2"/>
  <c r="BE84" i="2"/>
  <c r="BE69" i="2"/>
  <c r="BE62" i="3"/>
  <c r="AR58" i="3"/>
  <c r="AR57" i="3"/>
  <c r="M84" i="2"/>
  <c r="M29" i="2"/>
  <c r="M69" i="2"/>
  <c r="AD84" i="2"/>
  <c r="BE60" i="3"/>
  <c r="BE61" i="3"/>
  <c r="BO73" i="2"/>
  <c r="BO10" i="2"/>
  <c r="BQ11" i="1"/>
  <c r="BQ20" i="1" s="1"/>
  <c r="BQ42" i="1"/>
  <c r="BQ47" i="1" s="1"/>
  <c r="BQ14" i="1"/>
  <c r="BQ7" i="2"/>
  <c r="J42" i="2"/>
  <c r="J41" i="2"/>
  <c r="AR49" i="3"/>
  <c r="AR62" i="3"/>
  <c r="AR48" i="3"/>
  <c r="AR84" i="2"/>
  <c r="AR29" i="2"/>
  <c r="AR69" i="2"/>
  <c r="AL57" i="3"/>
  <c r="AL58" i="3"/>
  <c r="BM45" i="3"/>
  <c r="BM44" i="3"/>
  <c r="AW61" i="3"/>
  <c r="AW60" i="3"/>
  <c r="BD67" i="2"/>
  <c r="BD26" i="2"/>
  <c r="BD29" i="2"/>
  <c r="BD82" i="2"/>
  <c r="AJ26" i="2"/>
  <c r="AJ25" i="2"/>
  <c r="AJ82" i="2"/>
  <c r="AJ67" i="2"/>
  <c r="BG61" i="3"/>
  <c r="BG60" i="3"/>
  <c r="K51" i="2"/>
  <c r="K68" i="2"/>
  <c r="K83" i="2"/>
  <c r="BJ20" i="2"/>
  <c r="BJ86" i="2"/>
  <c r="BJ76" i="2"/>
  <c r="BJ65" i="2"/>
  <c r="BJ80" i="2"/>
  <c r="BM19" i="2"/>
  <c r="BM77" i="2"/>
  <c r="AA84" i="2"/>
  <c r="AA69" i="2"/>
  <c r="AA29" i="2"/>
  <c r="AA62" i="3"/>
  <c r="BP72" i="2"/>
  <c r="AU35" i="2"/>
  <c r="AU41" i="2"/>
  <c r="AK42" i="2"/>
  <c r="AK41" i="2"/>
  <c r="Z83" i="2"/>
  <c r="Z51" i="2"/>
  <c r="Z68" i="2"/>
  <c r="BN73" i="2"/>
  <c r="BN55" i="2"/>
  <c r="AX62" i="3"/>
  <c r="AX84" i="2"/>
  <c r="AX69" i="2"/>
  <c r="BN16" i="2"/>
  <c r="I84" i="2"/>
  <c r="I69" i="2"/>
  <c r="I29" i="2"/>
  <c r="R41" i="2"/>
  <c r="R42" i="2"/>
  <c r="AS61" i="3"/>
  <c r="AG84" i="2"/>
  <c r="AG69" i="2"/>
  <c r="AG29" i="2"/>
  <c r="AG62" i="3"/>
  <c r="AW48" i="3"/>
  <c r="AW62" i="3"/>
  <c r="AW69" i="2"/>
  <c r="BB60" i="3"/>
  <c r="BB61" i="3"/>
  <c r="BF61" i="3"/>
  <c r="AK49" i="3"/>
  <c r="BH60" i="3"/>
  <c r="BB33" i="3"/>
  <c r="D69" i="2"/>
  <c r="D29" i="2"/>
  <c r="F51" i="2"/>
  <c r="F68" i="2"/>
  <c r="BF51" i="2"/>
  <c r="BF68" i="2"/>
  <c r="AR16" i="3"/>
  <c r="AQ20" i="3"/>
  <c r="AM49" i="3"/>
  <c r="AM48" i="3"/>
  <c r="AM69" i="2"/>
  <c r="AM29" i="2"/>
  <c r="AM84" i="2"/>
  <c r="AM62" i="3"/>
  <c r="AM67" i="3" s="1"/>
  <c r="BN79" i="2" l="1"/>
  <c r="BP23" i="3"/>
  <c r="BP25" i="3"/>
  <c r="BP75" i="2"/>
  <c r="BP11" i="3"/>
  <c r="BP57" i="2"/>
  <c r="BP18" i="2"/>
  <c r="BP79" i="2" s="1"/>
  <c r="BP16" i="2"/>
  <c r="BP8" i="3"/>
  <c r="BP17" i="2"/>
  <c r="BP78" i="2" s="1"/>
  <c r="BP14" i="2"/>
  <c r="BP15" i="2" s="1"/>
  <c r="BP56" i="2"/>
  <c r="BP54" i="2"/>
  <c r="BL65" i="2"/>
  <c r="BL80" i="2"/>
  <c r="BR10" i="3"/>
  <c r="BR24" i="4" s="1"/>
  <c r="Q42" i="2"/>
  <c r="Q41" i="2"/>
  <c r="AU42" i="2"/>
  <c r="AU50" i="2"/>
  <c r="AT84" i="2"/>
  <c r="AT69" i="2"/>
  <c r="AT29" i="2"/>
  <c r="C41" i="2"/>
  <c r="C42" i="2"/>
  <c r="P41" i="2"/>
  <c r="P42" i="2"/>
  <c r="L87" i="2" s="1"/>
  <c r="AG42" i="2"/>
  <c r="AG41" i="2"/>
  <c r="BM80" i="2"/>
  <c r="BM65" i="2"/>
  <c r="BR18" i="3"/>
  <c r="BR26" i="4" s="1"/>
  <c r="V42" i="2"/>
  <c r="V41" i="2"/>
  <c r="BG50" i="2"/>
  <c r="BG42" i="2"/>
  <c r="BQ26" i="4"/>
  <c r="BS26" i="4" s="1"/>
  <c r="BQ72" i="2"/>
  <c r="K84" i="2"/>
  <c r="K29" i="2"/>
  <c r="K69" i="2"/>
  <c r="AZ85" i="2"/>
  <c r="AX42" i="2"/>
  <c r="AX50" i="2"/>
  <c r="AS16" i="3"/>
  <c r="AR20" i="3"/>
  <c r="AZ50" i="2"/>
  <c r="AZ42" i="2"/>
  <c r="AL42" i="2"/>
  <c r="AL41" i="2"/>
  <c r="BH27" i="3"/>
  <c r="BJ56" i="3"/>
  <c r="BJ81" i="2"/>
  <c r="BJ23" i="2"/>
  <c r="BJ66" i="2"/>
  <c r="BJ51" i="3"/>
  <c r="BJ64" i="3"/>
  <c r="U84" i="2"/>
  <c r="U29" i="2"/>
  <c r="U69" i="2"/>
  <c r="N41" i="2"/>
  <c r="N42" i="2"/>
  <c r="BN78" i="2"/>
  <c r="BN63" i="2"/>
  <c r="BM20" i="2"/>
  <c r="I41" i="2"/>
  <c r="I42" i="2"/>
  <c r="AA41" i="2"/>
  <c r="AA42" i="2"/>
  <c r="BD69" i="2"/>
  <c r="BD84" i="2"/>
  <c r="BQ23" i="1"/>
  <c r="BQ17" i="1"/>
  <c r="BQ50" i="1" s="1"/>
  <c r="BQ52" i="1" s="1"/>
  <c r="BQ54" i="1" s="1"/>
  <c r="BQ22" i="1"/>
  <c r="AC41" i="2"/>
  <c r="AC42" i="2"/>
  <c r="BA85" i="2"/>
  <c r="BF85" i="2"/>
  <c r="AZ12" i="3"/>
  <c r="BA9" i="3"/>
  <c r="AX24" i="3"/>
  <c r="AW26" i="3"/>
  <c r="AV43" i="3"/>
  <c r="AV42" i="3"/>
  <c r="AP67" i="3"/>
  <c r="AW42" i="2"/>
  <c r="AW50" i="2"/>
  <c r="AW55" i="3"/>
  <c r="AW50" i="3"/>
  <c r="AW47" i="3"/>
  <c r="AQ52" i="3"/>
  <c r="AQ66" i="3"/>
  <c r="AQ65" i="3"/>
  <c r="Z29" i="2"/>
  <c r="Z84" i="2"/>
  <c r="Z69" i="2"/>
  <c r="BP23" i="1"/>
  <c r="BP17" i="1"/>
  <c r="BP50" i="1" s="1"/>
  <c r="BP52" i="1" s="1"/>
  <c r="BP54" i="1" s="1"/>
  <c r="BP22" i="1"/>
  <c r="BP20" i="1"/>
  <c r="BA50" i="2"/>
  <c r="BA42" i="2"/>
  <c r="BN76" i="2"/>
  <c r="BN61" i="2"/>
  <c r="BK86" i="2"/>
  <c r="AY41" i="2"/>
  <c r="AY42" i="2" s="1"/>
  <c r="AY35" i="2"/>
  <c r="AV87" i="2" s="1"/>
  <c r="Y42" i="2"/>
  <c r="Y41" i="2"/>
  <c r="BI84" i="2"/>
  <c r="BI69" i="2"/>
  <c r="AP54" i="3"/>
  <c r="AJ29" i="2"/>
  <c r="AJ84" i="2"/>
  <c r="AJ69" i="2"/>
  <c r="BB84" i="2"/>
  <c r="BB62" i="3"/>
  <c r="BB69" i="2"/>
  <c r="M42" i="2"/>
  <c r="M41" i="2"/>
  <c r="S42" i="2"/>
  <c r="S41" i="2"/>
  <c r="AW49" i="3"/>
  <c r="AE84" i="2"/>
  <c r="AE69" i="2"/>
  <c r="AE29" i="2"/>
  <c r="BC85" i="2"/>
  <c r="BC87" i="2"/>
  <c r="AQ41" i="2"/>
  <c r="AQ42" i="2"/>
  <c r="BE50" i="2"/>
  <c r="BE42" i="2"/>
  <c r="BQ21" i="1"/>
  <c r="BQ15" i="1"/>
  <c r="BQ8" i="2"/>
  <c r="BL20" i="2"/>
  <c r="D41" i="2"/>
  <c r="D42" i="2"/>
  <c r="AP41" i="2"/>
  <c r="AP42" i="2"/>
  <c r="BI41" i="2"/>
  <c r="BI42" i="2" s="1"/>
  <c r="BI35" i="2"/>
  <c r="F69" i="2"/>
  <c r="F29" i="2"/>
  <c r="AM41" i="2"/>
  <c r="AM42" i="2"/>
  <c r="BP55" i="2"/>
  <c r="BP73" i="2"/>
  <c r="AO84" i="2"/>
  <c r="AO29" i="2"/>
  <c r="AO69" i="2"/>
  <c r="BR31" i="2"/>
  <c r="BQ33" i="2"/>
  <c r="BQ24" i="4"/>
  <c r="B42" i="2"/>
  <c r="B41" i="2"/>
  <c r="AV83" i="2"/>
  <c r="AV68" i="2"/>
  <c r="AV51" i="2"/>
  <c r="BC33" i="3"/>
  <c r="AF42" i="2"/>
  <c r="AF41" i="2"/>
  <c r="AV57" i="3"/>
  <c r="AV58" i="3"/>
  <c r="BG87" i="2"/>
  <c r="BG85" i="2"/>
  <c r="BH54" i="4"/>
  <c r="BI22" i="4"/>
  <c r="BI54" i="4" s="1"/>
  <c r="G41" i="2"/>
  <c r="G42" i="2"/>
  <c r="AB42" i="2"/>
  <c r="AB41" i="2"/>
  <c r="O41" i="2"/>
  <c r="O42" i="2"/>
  <c r="AI41" i="2"/>
  <c r="AI42" i="2"/>
  <c r="BS40" i="1"/>
  <c r="BS45" i="1" s="1"/>
  <c r="BS14" i="1"/>
  <c r="AZ34" i="3"/>
  <c r="AX38" i="3"/>
  <c r="AP53" i="3"/>
  <c r="AN41" i="2"/>
  <c r="AN42" i="2"/>
  <c r="BR7" i="2"/>
  <c r="BR14" i="1"/>
  <c r="AH42" i="2"/>
  <c r="AH41" i="2"/>
  <c r="BH83" i="2"/>
  <c r="BH68" i="2"/>
  <c r="BH51" i="2"/>
  <c r="E42" i="2"/>
  <c r="E41" i="2"/>
  <c r="AT51" i="4"/>
  <c r="AT52" i="4" s="1"/>
  <c r="AP52" i="4"/>
  <c r="AQ51" i="4" s="1"/>
  <c r="AQ52" i="4" s="1"/>
  <c r="AR51" i="4" s="1"/>
  <c r="AR52" i="4" s="1"/>
  <c r="AS51" i="4" s="1"/>
  <c r="AS52" i="4" s="1"/>
  <c r="AU51" i="4" s="1"/>
  <c r="BD41" i="2"/>
  <c r="BD42" i="2" s="1"/>
  <c r="BD35" i="2"/>
  <c r="AR42" i="2"/>
  <c r="AR41" i="2"/>
  <c r="BO11" i="3"/>
  <c r="BO57" i="2"/>
  <c r="BO14" i="2"/>
  <c r="BO15" i="2"/>
  <c r="BO25" i="3"/>
  <c r="BO29" i="4" s="1"/>
  <c r="BO23" i="3"/>
  <c r="BO18" i="2"/>
  <c r="BO8" i="3"/>
  <c r="BO17" i="2"/>
  <c r="BO16" i="2"/>
  <c r="BO75" i="2"/>
  <c r="BO56" i="2"/>
  <c r="BO54" i="2"/>
  <c r="BB41" i="2"/>
  <c r="BB35" i="2"/>
  <c r="BN62" i="2"/>
  <c r="BN19" i="2"/>
  <c r="BN20" i="2" s="1"/>
  <c r="BN77" i="2"/>
  <c r="BO55" i="2"/>
  <c r="BP21" i="1"/>
  <c r="BK56" i="3"/>
  <c r="BK23" i="2"/>
  <c r="BK81" i="2"/>
  <c r="BK51" i="3"/>
  <c r="BK66" i="2"/>
  <c r="BK64" i="3"/>
  <c r="BC50" i="2"/>
  <c r="BC42" i="2"/>
  <c r="BE87" i="2"/>
  <c r="BE85" i="2"/>
  <c r="BQ19" i="3"/>
  <c r="BR46" i="1"/>
  <c r="BR9" i="1"/>
  <c r="BR42" i="1" s="1"/>
  <c r="BR47" i="1" s="1"/>
  <c r="W42" i="2"/>
  <c r="W41" i="2"/>
  <c r="BL86" i="2"/>
  <c r="AU87" i="2" l="1"/>
  <c r="AW87" i="2"/>
  <c r="M87" i="2"/>
  <c r="BD85" i="2"/>
  <c r="BS24" i="4"/>
  <c r="AX87" i="2"/>
  <c r="BP76" i="2"/>
  <c r="BO28" i="4"/>
  <c r="BM56" i="3"/>
  <c r="BM64" i="3"/>
  <c r="BM81" i="2"/>
  <c r="BM51" i="3"/>
  <c r="BM23" i="2"/>
  <c r="BM66" i="2"/>
  <c r="BC83" i="2"/>
  <c r="BC68" i="2"/>
  <c r="BC51" i="2"/>
  <c r="AW51" i="2"/>
  <c r="AW68" i="2"/>
  <c r="AW83" i="2"/>
  <c r="AC87" i="2"/>
  <c r="BP29" i="4"/>
  <c r="BR72" i="2"/>
  <c r="BS7" i="2"/>
  <c r="F41" i="2"/>
  <c r="F42" i="2"/>
  <c r="E87" i="2" s="1"/>
  <c r="AT42" i="2"/>
  <c r="AS87" i="2" s="1"/>
  <c r="AT41" i="2"/>
  <c r="BP28" i="4"/>
  <c r="BR33" i="2"/>
  <c r="BS33" i="2" s="1"/>
  <c r="BS31" i="2"/>
  <c r="U41" i="2"/>
  <c r="U42" i="2"/>
  <c r="BP77" i="2"/>
  <c r="BP19" i="2"/>
  <c r="BA83" i="2"/>
  <c r="BA68" i="2"/>
  <c r="BA51" i="2"/>
  <c r="BF83" i="2"/>
  <c r="AX83" i="2"/>
  <c r="AX68" i="2"/>
  <c r="AX51" i="2"/>
  <c r="BJ82" i="2"/>
  <c r="BJ67" i="2"/>
  <c r="BJ24" i="2"/>
  <c r="BJ29" i="2" s="1"/>
  <c r="BJ63" i="3"/>
  <c r="BN65" i="2"/>
  <c r="BN80" i="2"/>
  <c r="N87" i="2"/>
  <c r="BJ27" i="3"/>
  <c r="K42" i="2"/>
  <c r="G87" i="2" s="1"/>
  <c r="K41" i="2"/>
  <c r="AJ42" i="2"/>
  <c r="AG87" i="2" s="1"/>
  <c r="AJ41" i="2"/>
  <c r="AW43" i="3"/>
  <c r="AW42" i="3"/>
  <c r="AQ67" i="3"/>
  <c r="BR19" i="3"/>
  <c r="BR27" i="4" s="1"/>
  <c r="AQ54" i="3"/>
  <c r="Q87" i="2"/>
  <c r="BO78" i="2"/>
  <c r="AU16" i="3"/>
  <c r="AS20" i="3"/>
  <c r="BO45" i="3"/>
  <c r="BO44" i="3"/>
  <c r="BR11" i="1"/>
  <c r="BR8" i="2"/>
  <c r="BR10" i="2" s="1"/>
  <c r="BR15" i="1"/>
  <c r="BS9" i="1"/>
  <c r="AX50" i="3"/>
  <c r="AX55" i="3"/>
  <c r="AX47" i="3"/>
  <c r="AZ48" i="3"/>
  <c r="AX48" i="3"/>
  <c r="AX49" i="3"/>
  <c r="BP45" i="3"/>
  <c r="BP44" i="3"/>
  <c r="BK24" i="2"/>
  <c r="BK49" i="2" s="1"/>
  <c r="BK67" i="2"/>
  <c r="BK63" i="3"/>
  <c r="BK82" i="2"/>
  <c r="BP25" i="4"/>
  <c r="BO25" i="4"/>
  <c r="BA34" i="3"/>
  <c r="AZ38" i="3"/>
  <c r="BN81" i="2"/>
  <c r="BN23" i="2"/>
  <c r="BN66" i="2"/>
  <c r="AZ24" i="3"/>
  <c r="AX26" i="3"/>
  <c r="AZ68" i="2"/>
  <c r="AZ83" i="2"/>
  <c r="AZ51" i="2"/>
  <c r="BO19" i="2"/>
  <c r="BO77" i="2"/>
  <c r="BE33" i="3"/>
  <c r="AO41" i="2"/>
  <c r="AO42" i="2"/>
  <c r="AK87" i="2" s="1"/>
  <c r="AQ53" i="3"/>
  <c r="BA12" i="3"/>
  <c r="BB9" i="3"/>
  <c r="AR66" i="3"/>
  <c r="AR52" i="3"/>
  <c r="AR53" i="3" s="1"/>
  <c r="AR65" i="3"/>
  <c r="BQ27" i="4"/>
  <c r="D87" i="2"/>
  <c r="BJ59" i="3"/>
  <c r="BG51" i="2"/>
  <c r="BG83" i="2"/>
  <c r="BG68" i="2"/>
  <c r="BO79" i="2"/>
  <c r="BL56" i="3"/>
  <c r="BL81" i="2"/>
  <c r="BL64" i="3"/>
  <c r="BL66" i="2"/>
  <c r="BL23" i="2"/>
  <c r="BL51" i="3"/>
  <c r="AE42" i="2"/>
  <c r="AD87" i="2" s="1"/>
  <c r="AE41" i="2"/>
  <c r="AW39" i="3"/>
  <c r="BA87" i="2"/>
  <c r="AY51" i="4"/>
  <c r="AY52" i="4" s="1"/>
  <c r="AU52" i="4"/>
  <c r="AV51" i="4" s="1"/>
  <c r="AV52" i="4" s="1"/>
  <c r="AW51" i="4" s="1"/>
  <c r="AW52" i="4" s="1"/>
  <c r="AX51" i="4" s="1"/>
  <c r="AX52" i="4" s="1"/>
  <c r="AZ51" i="4" s="1"/>
  <c r="AW58" i="3"/>
  <c r="AW57" i="3"/>
  <c r="AZ87" i="2"/>
  <c r="BQ73" i="2"/>
  <c r="BS8" i="2"/>
  <c r="BB87" i="2"/>
  <c r="BB85" i="2"/>
  <c r="BO76" i="2"/>
  <c r="O87" i="2"/>
  <c r="BB50" i="2"/>
  <c r="BB42" i="2"/>
  <c r="BI85" i="2"/>
  <c r="BF87" i="2"/>
  <c r="BH87" i="2"/>
  <c r="BK59" i="3"/>
  <c r="BI50" i="2"/>
  <c r="BE51" i="2"/>
  <c r="BE83" i="2"/>
  <c r="BE68" i="2"/>
  <c r="S87" i="2"/>
  <c r="Z41" i="2"/>
  <c r="Z42" i="2"/>
  <c r="X87" i="2" s="1"/>
  <c r="BQ10" i="2"/>
  <c r="AU51" i="2"/>
  <c r="AU68" i="2"/>
  <c r="AU83" i="2"/>
  <c r="AY50" i="2"/>
  <c r="AF87" i="2" l="1"/>
  <c r="W87" i="2"/>
  <c r="AI87" i="2"/>
  <c r="AH87" i="2"/>
  <c r="I87" i="2"/>
  <c r="BK26" i="2"/>
  <c r="BR25" i="3"/>
  <c r="BR29" i="4" s="1"/>
  <c r="BR23" i="3"/>
  <c r="BR18" i="2"/>
  <c r="BR79" i="2" s="1"/>
  <c r="BR16" i="2"/>
  <c r="BR75" i="2"/>
  <c r="BR14" i="2"/>
  <c r="BR15" i="2" s="1"/>
  <c r="BR11" i="3"/>
  <c r="BR8" i="3"/>
  <c r="BR57" i="2"/>
  <c r="BR17" i="2"/>
  <c r="BR78" i="2" s="1"/>
  <c r="BR56" i="2"/>
  <c r="BR54" i="2"/>
  <c r="BJ8" i="4"/>
  <c r="BJ35" i="2"/>
  <c r="BJ85" i="2" s="1"/>
  <c r="BJ41" i="2"/>
  <c r="BK84" i="2"/>
  <c r="BK69" i="2"/>
  <c r="BK62" i="3"/>
  <c r="BR23" i="1"/>
  <c r="BR17" i="1"/>
  <c r="BR50" i="1" s="1"/>
  <c r="BR52" i="1" s="1"/>
  <c r="BR54" i="1" s="1"/>
  <c r="BR22" i="1"/>
  <c r="BS11" i="1"/>
  <c r="BS21" i="1" s="1"/>
  <c r="BR20" i="1"/>
  <c r="BD51" i="4"/>
  <c r="BD52" i="4" s="1"/>
  <c r="AZ52" i="4"/>
  <c r="BA51" i="4" s="1"/>
  <c r="BA52" i="4" s="1"/>
  <c r="BB51" i="4" s="1"/>
  <c r="BB52" i="4" s="1"/>
  <c r="BC51" i="4" s="1"/>
  <c r="BC52" i="4" s="1"/>
  <c r="BE51" i="4" s="1"/>
  <c r="BK27" i="3"/>
  <c r="BM59" i="3"/>
  <c r="AL87" i="2"/>
  <c r="BA24" i="3"/>
  <c r="AZ26" i="3"/>
  <c r="BK29" i="2"/>
  <c r="BL59" i="3"/>
  <c r="AR54" i="3"/>
  <c r="AV16" i="3"/>
  <c r="AU20" i="3"/>
  <c r="BL24" i="2"/>
  <c r="BL49" i="2" s="1"/>
  <c r="BL67" i="2"/>
  <c r="BL26" i="2"/>
  <c r="BL63" i="3"/>
  <c r="BL82" i="2"/>
  <c r="AR67" i="3"/>
  <c r="AZ55" i="3"/>
  <c r="AZ39" i="3"/>
  <c r="AZ47" i="3"/>
  <c r="AZ50" i="3"/>
  <c r="AZ49" i="3"/>
  <c r="BJ26" i="2"/>
  <c r="T87" i="2"/>
  <c r="R87" i="2"/>
  <c r="BS72" i="2"/>
  <c r="BQ11" i="3"/>
  <c r="BQ16" i="2"/>
  <c r="BQ25" i="3"/>
  <c r="BQ29" i="4" s="1"/>
  <c r="BQ57" i="2"/>
  <c r="BQ23" i="3"/>
  <c r="BQ18" i="2"/>
  <c r="BQ75" i="2"/>
  <c r="BQ14" i="2"/>
  <c r="BQ15" i="2" s="1"/>
  <c r="BQ17" i="2"/>
  <c r="BQ8" i="3"/>
  <c r="BQ56" i="2"/>
  <c r="BQ54" i="2"/>
  <c r="BS10" i="2"/>
  <c r="BS54" i="2" s="1"/>
  <c r="AX43" i="3"/>
  <c r="AX42" i="3"/>
  <c r="BS27" i="4"/>
  <c r="BQ55" i="2"/>
  <c r="BS41" i="1"/>
  <c r="BS46" i="1" s="1"/>
  <c r="BS15" i="1"/>
  <c r="BS42" i="1"/>
  <c r="BS47" i="1" s="1"/>
  <c r="BR21" i="1"/>
  <c r="AP87" i="2"/>
  <c r="BS73" i="2"/>
  <c r="AX58" i="3"/>
  <c r="V87" i="2"/>
  <c r="BP80" i="2"/>
  <c r="BP65" i="2"/>
  <c r="BO80" i="2"/>
  <c r="BO65" i="2"/>
  <c r="C87" i="2"/>
  <c r="BP20" i="2"/>
  <c r="BM24" i="2"/>
  <c r="BM49" i="2" s="1"/>
  <c r="BM63" i="3"/>
  <c r="BM82" i="2"/>
  <c r="BM67" i="2"/>
  <c r="AR87" i="2"/>
  <c r="BF33" i="3"/>
  <c r="BN67" i="2"/>
  <c r="BN82" i="2"/>
  <c r="AX39" i="3"/>
  <c r="Y87" i="2"/>
  <c r="AS66" i="3"/>
  <c r="AS52" i="3"/>
  <c r="AS53" i="3" s="1"/>
  <c r="AS65" i="3"/>
  <c r="BJ49" i="2"/>
  <c r="AM87" i="2"/>
  <c r="BB51" i="2"/>
  <c r="BB83" i="2"/>
  <c r="BB68" i="2"/>
  <c r="AQ87" i="2"/>
  <c r="B87" i="2"/>
  <c r="AY68" i="2"/>
  <c r="AY83" i="2"/>
  <c r="AY51" i="2"/>
  <c r="BI68" i="2"/>
  <c r="BI51" i="2"/>
  <c r="AN87" i="2"/>
  <c r="AA87" i="2"/>
  <c r="BB34" i="3"/>
  <c r="BA38" i="3"/>
  <c r="BB12" i="3"/>
  <c r="BC9" i="3"/>
  <c r="BR73" i="2"/>
  <c r="BR55" i="2"/>
  <c r="BK61" i="3"/>
  <c r="BK60" i="3"/>
  <c r="BO20" i="2"/>
  <c r="AX57" i="3"/>
  <c r="BJ61" i="3"/>
  <c r="BJ60" i="3"/>
  <c r="BD50" i="2"/>
  <c r="AB87" i="2"/>
  <c r="H87" i="2"/>
  <c r="J87" i="2"/>
  <c r="BL29" i="2" l="1"/>
  <c r="BS29" i="4"/>
  <c r="BR76" i="2"/>
  <c r="BD51" i="2"/>
  <c r="BD68" i="2"/>
  <c r="BD83" i="2"/>
  <c r="BQ76" i="2"/>
  <c r="BS55" i="2"/>
  <c r="BR25" i="4"/>
  <c r="BQ25" i="4"/>
  <c r="BS25" i="4" s="1"/>
  <c r="BQ44" i="3"/>
  <c r="BQ45" i="3"/>
  <c r="BQ78" i="2"/>
  <c r="BS17" i="2"/>
  <c r="BL61" i="3"/>
  <c r="BL60" i="3"/>
  <c r="BS14" i="2"/>
  <c r="BS15" i="2" s="1"/>
  <c r="BK8" i="4"/>
  <c r="BK22" i="4" s="1"/>
  <c r="BK35" i="2"/>
  <c r="BK85" i="2" s="1"/>
  <c r="BK41" i="2"/>
  <c r="BR77" i="2"/>
  <c r="BR19" i="2"/>
  <c r="BL69" i="2"/>
  <c r="BL62" i="3"/>
  <c r="BL84" i="2"/>
  <c r="BJ42" i="2"/>
  <c r="BJ50" i="2"/>
  <c r="BI83" i="2"/>
  <c r="BQ28" i="4"/>
  <c r="BJ62" i="3"/>
  <c r="BJ69" i="2"/>
  <c r="BJ84" i="2"/>
  <c r="AZ43" i="3"/>
  <c r="AZ42" i="3"/>
  <c r="BJ22" i="4"/>
  <c r="BJ37" i="3"/>
  <c r="BE9" i="3"/>
  <c r="BC12" i="3"/>
  <c r="BL8" i="4"/>
  <c r="BL22" i="4" s="1"/>
  <c r="BL35" i="2"/>
  <c r="BL85" i="2" s="1"/>
  <c r="BL41" i="2"/>
  <c r="BR28" i="4"/>
  <c r="BM61" i="3"/>
  <c r="BM60" i="3"/>
  <c r="BA55" i="3"/>
  <c r="BA57" i="3" s="1"/>
  <c r="BA39" i="3"/>
  <c r="BA47" i="3"/>
  <c r="BA50" i="3"/>
  <c r="BA49" i="3"/>
  <c r="AZ58" i="3"/>
  <c r="BC34" i="3"/>
  <c r="BB38" i="3"/>
  <c r="BL27" i="3"/>
  <c r="BN24" i="2"/>
  <c r="BS17" i="1"/>
  <c r="BS50" i="1" s="1"/>
  <c r="BS52" i="1" s="1"/>
  <c r="BS54" i="1" s="1"/>
  <c r="BS23" i="1"/>
  <c r="BS22" i="1"/>
  <c r="BS51" i="1"/>
  <c r="BS20" i="1"/>
  <c r="BS75" i="2"/>
  <c r="BS57" i="2"/>
  <c r="BS56" i="2"/>
  <c r="BR44" i="3"/>
  <c r="BR45" i="3"/>
  <c r="BP56" i="3"/>
  <c r="BP64" i="3"/>
  <c r="BP51" i="3"/>
  <c r="BP66" i="2"/>
  <c r="BP23" i="2"/>
  <c r="BP81" i="2"/>
  <c r="BI51" i="4"/>
  <c r="BE52" i="4"/>
  <c r="BF51" i="4" s="1"/>
  <c r="BF52" i="4" s="1"/>
  <c r="BG51" i="4" s="1"/>
  <c r="BG52" i="4" s="1"/>
  <c r="BH51" i="4" s="1"/>
  <c r="BG33" i="3"/>
  <c r="BO51" i="3"/>
  <c r="BO56" i="3"/>
  <c r="BO64" i="3"/>
  <c r="BO23" i="2"/>
  <c r="BO66" i="2"/>
  <c r="BO81" i="2"/>
  <c r="BN49" i="2"/>
  <c r="BQ79" i="2"/>
  <c r="BS18" i="2"/>
  <c r="AU53" i="3"/>
  <c r="AS54" i="3"/>
  <c r="BM26" i="2"/>
  <c r="BA48" i="3"/>
  <c r="BB24" i="3"/>
  <c r="BA26" i="3"/>
  <c r="AS67" i="3"/>
  <c r="AZ57" i="3"/>
  <c r="AU66" i="3"/>
  <c r="AU52" i="3"/>
  <c r="AU65" i="3"/>
  <c r="AU40" i="3"/>
  <c r="BM29" i="2"/>
  <c r="BQ77" i="2"/>
  <c r="BQ19" i="2"/>
  <c r="BS16" i="2"/>
  <c r="AW16" i="3"/>
  <c r="AV20" i="3"/>
  <c r="BK37" i="3" l="1"/>
  <c r="BL37" i="3" s="1"/>
  <c r="BS28" i="4"/>
  <c r="BS76" i="2"/>
  <c r="BS61" i="2"/>
  <c r="BP86" i="2"/>
  <c r="BO86" i="2"/>
  <c r="BR86" i="2"/>
  <c r="BQ86" i="2"/>
  <c r="BS19" i="2"/>
  <c r="BS20" i="2" s="1"/>
  <c r="BS62" i="2"/>
  <c r="BS77" i="2"/>
  <c r="BF9" i="3"/>
  <c r="BE12" i="3"/>
  <c r="BK54" i="4"/>
  <c r="BS64" i="2"/>
  <c r="BS79" i="2"/>
  <c r="BS63" i="2"/>
  <c r="BS78" i="2"/>
  <c r="AV53" i="3"/>
  <c r="AU54" i="3"/>
  <c r="AU67" i="3"/>
  <c r="BL42" i="2"/>
  <c r="BL50" i="2"/>
  <c r="BP59" i="3"/>
  <c r="BJ83" i="2"/>
  <c r="BJ51" i="2"/>
  <c r="BJ68" i="2"/>
  <c r="BO63" i="3"/>
  <c r="BO67" i="2"/>
  <c r="BO24" i="2"/>
  <c r="BO29" i="2"/>
  <c r="BO82" i="2"/>
  <c r="BL54" i="4"/>
  <c r="BR80" i="2"/>
  <c r="BR65" i="2"/>
  <c r="BR20" i="2"/>
  <c r="BA58" i="3"/>
  <c r="BM8" i="4"/>
  <c r="BM22" i="4" s="1"/>
  <c r="BM35" i="2"/>
  <c r="BM85" i="2" s="1"/>
  <c r="BM41" i="2"/>
  <c r="BJ54" i="4"/>
  <c r="BB47" i="3"/>
  <c r="BB55" i="3"/>
  <c r="BB57" i="3" s="1"/>
  <c r="BB50" i="3"/>
  <c r="BC48" i="3"/>
  <c r="BB49" i="3"/>
  <c r="BO59" i="3"/>
  <c r="BQ80" i="2"/>
  <c r="BQ65" i="2"/>
  <c r="BM62" i="3"/>
  <c r="BM69" i="2"/>
  <c r="BM84" i="2"/>
  <c r="BM37" i="3"/>
  <c r="BH33" i="3"/>
  <c r="BN25" i="2"/>
  <c r="BN26" i="2"/>
  <c r="BN29" i="2"/>
  <c r="BM27" i="3"/>
  <c r="BQ20" i="2"/>
  <c r="BP63" i="3"/>
  <c r="BP67" i="2"/>
  <c r="BP24" i="2"/>
  <c r="BP49" i="2" s="1"/>
  <c r="BP26" i="2"/>
  <c r="BP29" i="2"/>
  <c r="BP82" i="2"/>
  <c r="BE34" i="3"/>
  <c r="BC38" i="3"/>
  <c r="BB48" i="3"/>
  <c r="AV66" i="3"/>
  <c r="AV52" i="3"/>
  <c r="AV65" i="3"/>
  <c r="AV40" i="3"/>
  <c r="BA43" i="3"/>
  <c r="BA42" i="3"/>
  <c r="AX16" i="3"/>
  <c r="AW20" i="3"/>
  <c r="BB26" i="3"/>
  <c r="BB39" i="3" s="1"/>
  <c r="BC24" i="3"/>
  <c r="BK50" i="2"/>
  <c r="BK42" i="2"/>
  <c r="BS66" i="2" l="1"/>
  <c r="BS81" i="2"/>
  <c r="BS23" i="2"/>
  <c r="AW66" i="3"/>
  <c r="AW52" i="3"/>
  <c r="AW65" i="3"/>
  <c r="AW40" i="3"/>
  <c r="BJ33" i="3"/>
  <c r="AZ16" i="3"/>
  <c r="AX20" i="3"/>
  <c r="BL68" i="2"/>
  <c r="BL51" i="2"/>
  <c r="BL83" i="2"/>
  <c r="AV54" i="3"/>
  <c r="AW53" i="3"/>
  <c r="AV67" i="3"/>
  <c r="BN8" i="4"/>
  <c r="BM42" i="2"/>
  <c r="BM87" i="2" s="1"/>
  <c r="BM50" i="2"/>
  <c r="BN50" i="2" s="1"/>
  <c r="BO49" i="2"/>
  <c r="BO26" i="2"/>
  <c r="BQ51" i="3"/>
  <c r="BQ56" i="3"/>
  <c r="BQ81" i="2"/>
  <c r="BQ66" i="2"/>
  <c r="BQ64" i="3"/>
  <c r="BQ23" i="2"/>
  <c r="BR56" i="3"/>
  <c r="BR23" i="2"/>
  <c r="BR51" i="3"/>
  <c r="BR64" i="3"/>
  <c r="BR81" i="2"/>
  <c r="BR66" i="2"/>
  <c r="BP8" i="4"/>
  <c r="BP22" i="4" s="1"/>
  <c r="BP35" i="2"/>
  <c r="BP85" i="2" s="1"/>
  <c r="BP41" i="2"/>
  <c r="BO8" i="4"/>
  <c r="BO41" i="2"/>
  <c r="BO35" i="2"/>
  <c r="BO85" i="2" s="1"/>
  <c r="BK68" i="2"/>
  <c r="BK83" i="2"/>
  <c r="BK51" i="2"/>
  <c r="BO27" i="3"/>
  <c r="BF34" i="3"/>
  <c r="BE38" i="3"/>
  <c r="BE48" i="3" s="1"/>
  <c r="BO61" i="3"/>
  <c r="BO60" i="3"/>
  <c r="BP62" i="3"/>
  <c r="BP84" i="2"/>
  <c r="BP69" i="2"/>
  <c r="BG9" i="3"/>
  <c r="BF12" i="3"/>
  <c r="BM54" i="4"/>
  <c r="BS65" i="2"/>
  <c r="BS80" i="2"/>
  <c r="BB58" i="3"/>
  <c r="BC47" i="3"/>
  <c r="BC55" i="3"/>
  <c r="BC50" i="3"/>
  <c r="BC49" i="3"/>
  <c r="BN41" i="2"/>
  <c r="BN42" i="2" s="1"/>
  <c r="BJ87" i="2" s="1"/>
  <c r="BN35" i="2"/>
  <c r="BN85" i="2" s="1"/>
  <c r="BC26" i="3"/>
  <c r="BC39" i="3" s="1"/>
  <c r="BE24" i="3"/>
  <c r="BN84" i="2"/>
  <c r="BN69" i="2"/>
  <c r="BN22" i="4"/>
  <c r="BN54" i="4" s="1"/>
  <c r="BB43" i="3"/>
  <c r="BB42" i="3"/>
  <c r="BP61" i="3"/>
  <c r="BP60" i="3"/>
  <c r="BO62" i="3" l="1"/>
  <c r="BO69" i="2"/>
  <c r="BO84" i="2"/>
  <c r="BC58" i="3"/>
  <c r="BP27" i="3"/>
  <c r="AX52" i="3"/>
  <c r="AX53" i="3" s="1"/>
  <c r="AX66" i="3"/>
  <c r="AX65" i="3"/>
  <c r="AX40" i="3"/>
  <c r="BN51" i="2"/>
  <c r="BN68" i="2"/>
  <c r="BN83" i="2"/>
  <c r="BR59" i="3"/>
  <c r="BA16" i="3"/>
  <c r="AZ20" i="3"/>
  <c r="BC57" i="3"/>
  <c r="BK33" i="3"/>
  <c r="BC43" i="3"/>
  <c r="BC42" i="3"/>
  <c r="BQ63" i="3"/>
  <c r="BQ24" i="2"/>
  <c r="BQ29" i="2" s="1"/>
  <c r="BQ67" i="2"/>
  <c r="BQ82" i="2"/>
  <c r="BO42" i="2"/>
  <c r="BO50" i="2"/>
  <c r="BO22" i="4"/>
  <c r="AW54" i="3"/>
  <c r="BK87" i="2"/>
  <c r="BP42" i="2"/>
  <c r="BP50" i="2"/>
  <c r="BL87" i="2"/>
  <c r="AW67" i="3"/>
  <c r="BH9" i="3"/>
  <c r="BG12" i="3"/>
  <c r="BF24" i="3"/>
  <c r="BE26" i="3"/>
  <c r="BO37" i="3"/>
  <c r="BP37" i="3" s="1"/>
  <c r="BS82" i="2"/>
  <c r="BS67" i="2"/>
  <c r="BM83" i="2"/>
  <c r="BM68" i="2"/>
  <c r="BM51" i="2"/>
  <c r="BR63" i="3"/>
  <c r="BR67" i="2"/>
  <c r="BR82" i="2"/>
  <c r="BR24" i="2"/>
  <c r="BR49" i="2" s="1"/>
  <c r="BE47" i="3"/>
  <c r="BE55" i="3"/>
  <c r="BE57" i="3" s="1"/>
  <c r="BE50" i="3"/>
  <c r="BE49" i="3"/>
  <c r="BP54" i="4"/>
  <c r="BQ59" i="3"/>
  <c r="BG34" i="3"/>
  <c r="BF38" i="3"/>
  <c r="BQ35" i="2" l="1"/>
  <c r="BQ85" i="2" s="1"/>
  <c r="BQ8" i="4"/>
  <c r="BQ41" i="2"/>
  <c r="BF47" i="3"/>
  <c r="BF55" i="3"/>
  <c r="BF50" i="3"/>
  <c r="BF49" i="3"/>
  <c r="BJ9" i="3"/>
  <c r="BJ23" i="4"/>
  <c r="BB16" i="3"/>
  <c r="BA20" i="3"/>
  <c r="BH34" i="3"/>
  <c r="BG38" i="3"/>
  <c r="BG48" i="3" s="1"/>
  <c r="BQ49" i="2"/>
  <c r="BS49" i="2" s="1"/>
  <c r="BS24" i="2"/>
  <c r="BP83" i="2"/>
  <c r="BP51" i="2"/>
  <c r="BP68" i="2"/>
  <c r="BQ61" i="3"/>
  <c r="BQ60" i="3"/>
  <c r="BR26" i="2"/>
  <c r="BQ26" i="2"/>
  <c r="BR29" i="2"/>
  <c r="BE43" i="3"/>
  <c r="BE42" i="3"/>
  <c r="BO54" i="4"/>
  <c r="BL33" i="3"/>
  <c r="BR61" i="3"/>
  <c r="BR60" i="3"/>
  <c r="BQ27" i="3"/>
  <c r="BF48" i="3"/>
  <c r="BF26" i="3"/>
  <c r="BF39" i="3" s="1"/>
  <c r="BG24" i="3"/>
  <c r="BF57" i="3"/>
  <c r="BE58" i="3"/>
  <c r="BH23" i="4"/>
  <c r="BO83" i="2"/>
  <c r="BO51" i="2"/>
  <c r="BO68" i="2"/>
  <c r="AX67" i="3"/>
  <c r="BE39" i="3"/>
  <c r="AZ52" i="3"/>
  <c r="AZ66" i="3"/>
  <c r="AZ65" i="3"/>
  <c r="AZ40" i="3"/>
  <c r="AX54" i="3"/>
  <c r="AZ53" i="3"/>
  <c r="BQ62" i="3" l="1"/>
  <c r="BQ69" i="2"/>
  <c r="BQ84" i="2"/>
  <c r="BK9" i="3"/>
  <c r="BK23" i="4"/>
  <c r="BK30" i="4" s="1"/>
  <c r="AZ67" i="3"/>
  <c r="BC16" i="3"/>
  <c r="BB20" i="3"/>
  <c r="BR62" i="3"/>
  <c r="BR84" i="2"/>
  <c r="BR69" i="2"/>
  <c r="BM33" i="3"/>
  <c r="BR27" i="3"/>
  <c r="BJ30" i="4"/>
  <c r="BI23" i="4"/>
  <c r="BH30" i="4"/>
  <c r="BA53" i="3"/>
  <c r="AZ54" i="3"/>
  <c r="BF58" i="3"/>
  <c r="BG26" i="3"/>
  <c r="BH24" i="3"/>
  <c r="BS25" i="2"/>
  <c r="BS26" i="2"/>
  <c r="BS29" i="2"/>
  <c r="BF43" i="3"/>
  <c r="BF42" i="3"/>
  <c r="BG47" i="3"/>
  <c r="BG55" i="3"/>
  <c r="BG49" i="3"/>
  <c r="BG50" i="3"/>
  <c r="BQ50" i="2"/>
  <c r="BQ42" i="2"/>
  <c r="BR8" i="4"/>
  <c r="BR22" i="4" s="1"/>
  <c r="BR41" i="2"/>
  <c r="BR35" i="2"/>
  <c r="BR85" i="2" s="1"/>
  <c r="BJ34" i="3"/>
  <c r="BH38" i="3"/>
  <c r="BH48" i="3" s="1"/>
  <c r="BQ22" i="4"/>
  <c r="BQ37" i="3"/>
  <c r="BA66" i="3"/>
  <c r="BA52" i="3"/>
  <c r="BA65" i="3"/>
  <c r="BA40" i="3"/>
  <c r="BH57" i="4" l="1"/>
  <c r="BH59" i="4"/>
  <c r="BH56" i="4"/>
  <c r="BH50" i="4"/>
  <c r="BH52" i="4" s="1"/>
  <c r="BH60" i="4"/>
  <c r="BI30" i="4"/>
  <c r="BR50" i="2"/>
  <c r="BR42" i="2"/>
  <c r="BR54" i="4"/>
  <c r="BE16" i="3"/>
  <c r="BC20" i="3"/>
  <c r="BS69" i="2"/>
  <c r="BS84" i="2"/>
  <c r="BA54" i="3"/>
  <c r="BL9" i="3"/>
  <c r="BL23" i="4" s="1"/>
  <c r="BL30" i="4" s="1"/>
  <c r="BO33" i="3"/>
  <c r="BS35" i="2"/>
  <c r="BS85" i="2" s="1"/>
  <c r="BS41" i="2"/>
  <c r="BS42" i="2" s="1"/>
  <c r="BA67" i="3"/>
  <c r="BK34" i="3"/>
  <c r="BJ38" i="3"/>
  <c r="BJ48" i="3" s="1"/>
  <c r="BK50" i="4"/>
  <c r="BK56" i="4"/>
  <c r="BK60" i="4"/>
  <c r="BK59" i="4"/>
  <c r="BK57" i="4"/>
  <c r="BB66" i="3"/>
  <c r="BB52" i="3"/>
  <c r="BB65" i="3"/>
  <c r="BB40" i="3"/>
  <c r="BJ57" i="4"/>
  <c r="BJ59" i="4"/>
  <c r="BJ50" i="4"/>
  <c r="BJ56" i="4"/>
  <c r="BJ60" i="4"/>
  <c r="BQ51" i="2"/>
  <c r="BQ68" i="2"/>
  <c r="BQ83" i="2"/>
  <c r="BS50" i="2"/>
  <c r="BJ24" i="3"/>
  <c r="BH26" i="3"/>
  <c r="BH43" i="3" s="1"/>
  <c r="BR37" i="3"/>
  <c r="BG43" i="3"/>
  <c r="BG42" i="3"/>
  <c r="BS8" i="4"/>
  <c r="BQ54" i="4"/>
  <c r="BS22" i="4"/>
  <c r="BS54" i="4" s="1"/>
  <c r="BG58" i="3"/>
  <c r="BG57" i="3"/>
  <c r="BH47" i="3"/>
  <c r="BH39" i="3"/>
  <c r="BH55" i="3"/>
  <c r="BH57" i="3" s="1"/>
  <c r="BH49" i="3"/>
  <c r="BH50" i="3"/>
  <c r="BG39" i="3"/>
  <c r="BK24" i="3" l="1"/>
  <c r="BJ26" i="3"/>
  <c r="BJ43" i="3" s="1"/>
  <c r="BC66" i="3"/>
  <c r="BC52" i="3"/>
  <c r="BC65" i="3"/>
  <c r="BC40" i="3"/>
  <c r="BF16" i="3"/>
  <c r="BE20" i="3"/>
  <c r="BS51" i="2"/>
  <c r="BS68" i="2"/>
  <c r="BS83" i="2"/>
  <c r="BB54" i="3"/>
  <c r="BC53" i="3"/>
  <c r="BB67" i="3"/>
  <c r="BR87" i="2"/>
  <c r="BL59" i="4"/>
  <c r="BL56" i="4"/>
  <c r="BL60" i="4"/>
  <c r="BL57" i="4"/>
  <c r="BL50" i="4"/>
  <c r="BR68" i="2"/>
  <c r="BR83" i="2"/>
  <c r="BR51" i="2"/>
  <c r="BM9" i="3"/>
  <c r="BI50" i="4"/>
  <c r="BI52" i="4" s="1"/>
  <c r="BI56" i="4"/>
  <c r="BI60" i="4"/>
  <c r="BI59" i="4"/>
  <c r="BI57" i="4"/>
  <c r="BB53" i="3"/>
  <c r="BH7" i="3"/>
  <c r="BH12" i="3" s="1"/>
  <c r="BJ51" i="4"/>
  <c r="BN51" i="4" s="1"/>
  <c r="BP87" i="2"/>
  <c r="BO87" i="2"/>
  <c r="BP33" i="3"/>
  <c r="BH58" i="3"/>
  <c r="BJ47" i="3"/>
  <c r="BJ55" i="3"/>
  <c r="BJ50" i="3"/>
  <c r="BJ49" i="3"/>
  <c r="BL34" i="3"/>
  <c r="BK38" i="3"/>
  <c r="BK48" i="3" s="1"/>
  <c r="BQ87" i="2"/>
  <c r="BJ58" i="3" l="1"/>
  <c r="BJ39" i="3"/>
  <c r="BJ52" i="4"/>
  <c r="BO9" i="3"/>
  <c r="BO23" i="4"/>
  <c r="BL24" i="3"/>
  <c r="BK26" i="3"/>
  <c r="BK43" i="3" s="1"/>
  <c r="BH42" i="3"/>
  <c r="BE66" i="3"/>
  <c r="BE52" i="3"/>
  <c r="BE65" i="3"/>
  <c r="BE40" i="3"/>
  <c r="BJ57" i="3"/>
  <c r="BG16" i="3"/>
  <c r="BF20" i="3"/>
  <c r="BK47" i="3"/>
  <c r="BK55" i="3"/>
  <c r="BK57" i="3" s="1"/>
  <c r="BK49" i="3"/>
  <c r="BK50" i="3"/>
  <c r="BM34" i="3"/>
  <c r="BL38" i="3"/>
  <c r="BQ33" i="3"/>
  <c r="BC54" i="3"/>
  <c r="BM23" i="4"/>
  <c r="BC67" i="3"/>
  <c r="BL55" i="3" l="1"/>
  <c r="BL47" i="3"/>
  <c r="BL49" i="3"/>
  <c r="BL50" i="3"/>
  <c r="BE54" i="3"/>
  <c r="BO30" i="4"/>
  <c r="BP9" i="3"/>
  <c r="BP23" i="4"/>
  <c r="BP30" i="4" s="1"/>
  <c r="BE53" i="3"/>
  <c r="BH16" i="3"/>
  <c r="BG20" i="3"/>
  <c r="BK51" i="4"/>
  <c r="BK52" i="4" s="1"/>
  <c r="BJ7" i="3"/>
  <c r="BJ12" i="3" s="1"/>
  <c r="BO34" i="3"/>
  <c r="BM38" i="3"/>
  <c r="BL48" i="3"/>
  <c r="BM24" i="3"/>
  <c r="BL26" i="3"/>
  <c r="BL43" i="3" s="1"/>
  <c r="BE67" i="3"/>
  <c r="BK58" i="3"/>
  <c r="BL57" i="3"/>
  <c r="BM30" i="4"/>
  <c r="BN23" i="4"/>
  <c r="BK39" i="3"/>
  <c r="BF52" i="3"/>
  <c r="BF53" i="3" s="1"/>
  <c r="BF66" i="3"/>
  <c r="BF65" i="3"/>
  <c r="BF40" i="3"/>
  <c r="BR33" i="3"/>
  <c r="BM55" i="3" l="1"/>
  <c r="BM47" i="3"/>
  <c r="BM49" i="3"/>
  <c r="BM50" i="3"/>
  <c r="BM48" i="3"/>
  <c r="BP60" i="4"/>
  <c r="BP57" i="4"/>
  <c r="BP59" i="4"/>
  <c r="BP50" i="4"/>
  <c r="BP56" i="4"/>
  <c r="BQ9" i="3"/>
  <c r="BQ23" i="4"/>
  <c r="BQ30" i="4" s="1"/>
  <c r="BO24" i="3"/>
  <c r="BM26" i="3"/>
  <c r="BM43" i="3" s="1"/>
  <c r="BF67" i="3"/>
  <c r="BP34" i="3"/>
  <c r="BO38" i="3"/>
  <c r="BJ20" i="3"/>
  <c r="BJ42" i="3"/>
  <c r="BL51" i="4"/>
  <c r="BL52" i="4" s="1"/>
  <c r="BK7" i="3"/>
  <c r="BK12" i="3" s="1"/>
  <c r="BG52" i="3"/>
  <c r="BG53" i="3" s="1"/>
  <c r="BG66" i="3"/>
  <c r="BG65" i="3"/>
  <c r="BG40" i="3"/>
  <c r="BM56" i="4"/>
  <c r="BM60" i="4"/>
  <c r="BM59" i="4"/>
  <c r="BM57" i="4"/>
  <c r="BM50" i="4"/>
  <c r="BN30" i="4"/>
  <c r="BJ16" i="3"/>
  <c r="BK16" i="3" s="1"/>
  <c r="BL16" i="3" s="1"/>
  <c r="BM16" i="3" s="1"/>
  <c r="BO16" i="3" s="1"/>
  <c r="BP16" i="3" s="1"/>
  <c r="BQ16" i="3" s="1"/>
  <c r="BR16" i="3" s="1"/>
  <c r="BH20" i="3"/>
  <c r="BM57" i="3"/>
  <c r="BL58" i="3"/>
  <c r="BO56" i="4"/>
  <c r="BO60" i="4"/>
  <c r="BO57" i="4"/>
  <c r="BO50" i="4"/>
  <c r="BO59" i="4"/>
  <c r="BF54" i="3"/>
  <c r="BL39" i="3"/>
  <c r="BN59" i="4" l="1"/>
  <c r="BN60" i="4"/>
  <c r="BN56" i="4"/>
  <c r="BN57" i="4"/>
  <c r="BN50" i="4"/>
  <c r="BN52" i="4" s="1"/>
  <c r="BQ34" i="3"/>
  <c r="BP38" i="3"/>
  <c r="BH52" i="3"/>
  <c r="BH53" i="3" s="1"/>
  <c r="BH66" i="3"/>
  <c r="BH65" i="3"/>
  <c r="BH40" i="3"/>
  <c r="BJ52" i="3"/>
  <c r="BJ66" i="3"/>
  <c r="BJ65" i="3"/>
  <c r="BJ40" i="3"/>
  <c r="BO55" i="3"/>
  <c r="BO57" i="3" s="1"/>
  <c r="BO47" i="3"/>
  <c r="BP48" i="3"/>
  <c r="BO49" i="3"/>
  <c r="BO50" i="3"/>
  <c r="BO48" i="3"/>
  <c r="BP24" i="3"/>
  <c r="BO26" i="3"/>
  <c r="BO43" i="3" s="1"/>
  <c r="BG67" i="3"/>
  <c r="BQ56" i="4"/>
  <c r="BQ60" i="4"/>
  <c r="BQ57" i="4"/>
  <c r="BQ50" i="4"/>
  <c r="BQ59" i="4"/>
  <c r="BM58" i="3"/>
  <c r="BG54" i="3"/>
  <c r="BR9" i="3"/>
  <c r="BR23" i="4"/>
  <c r="BR30" i="4" s="1"/>
  <c r="BM39" i="3"/>
  <c r="BK42" i="3"/>
  <c r="BK20" i="3"/>
  <c r="BS23" i="4"/>
  <c r="BM51" i="4"/>
  <c r="BM52" i="4" s="1"/>
  <c r="BL7" i="3"/>
  <c r="BL12" i="3" s="1"/>
  <c r="BO39" i="3" l="1"/>
  <c r="BO51" i="4"/>
  <c r="BM7" i="3"/>
  <c r="BM12" i="3" s="1"/>
  <c r="BH67" i="3"/>
  <c r="BL20" i="3"/>
  <c r="BL42" i="3"/>
  <c r="BJ67" i="3"/>
  <c r="BH54" i="3"/>
  <c r="BJ53" i="3"/>
  <c r="BP39" i="3"/>
  <c r="BP55" i="3"/>
  <c r="BP47" i="3"/>
  <c r="BP49" i="3"/>
  <c r="BP50" i="3"/>
  <c r="BP57" i="3"/>
  <c r="BO58" i="3"/>
  <c r="BR34" i="3"/>
  <c r="BR38" i="3" s="1"/>
  <c r="BQ38" i="3"/>
  <c r="BK66" i="3"/>
  <c r="BK52" i="3"/>
  <c r="BK53" i="3" s="1"/>
  <c r="BK65" i="3"/>
  <c r="BK40" i="3"/>
  <c r="BR57" i="4"/>
  <c r="BR60" i="4"/>
  <c r="BR50" i="4"/>
  <c r="BR56" i="4"/>
  <c r="BR59" i="4"/>
  <c r="BS30" i="4"/>
  <c r="BQ24" i="3"/>
  <c r="BP26" i="3"/>
  <c r="BP43" i="3" s="1"/>
  <c r="BJ54" i="3"/>
  <c r="BK54" i="3" l="1"/>
  <c r="BK67" i="3"/>
  <c r="BQ47" i="3"/>
  <c r="BQ55" i="3"/>
  <c r="BR48" i="3"/>
  <c r="BQ49" i="3"/>
  <c r="BQ50" i="3"/>
  <c r="BR24" i="3"/>
  <c r="BR26" i="3" s="1"/>
  <c r="BR43" i="3" s="1"/>
  <c r="BQ26" i="3"/>
  <c r="BQ43" i="3" s="1"/>
  <c r="BR55" i="3"/>
  <c r="BR58" i="3" s="1"/>
  <c r="BR47" i="3"/>
  <c r="BR49" i="3"/>
  <c r="BR50" i="3"/>
  <c r="BS60" i="4"/>
  <c r="BS50" i="4"/>
  <c r="BS57" i="4"/>
  <c r="BS59" i="4"/>
  <c r="BS56" i="4"/>
  <c r="BL66" i="3"/>
  <c r="BL52" i="3"/>
  <c r="BL65" i="3"/>
  <c r="BL40" i="3"/>
  <c r="BQ48" i="3"/>
  <c r="BM42" i="3"/>
  <c r="BM20" i="3"/>
  <c r="BP58" i="3"/>
  <c r="BQ57" i="3"/>
  <c r="BS51" i="4"/>
  <c r="BO52" i="4"/>
  <c r="BL67" i="3" l="1"/>
  <c r="BP51" i="4"/>
  <c r="BP52" i="4" s="1"/>
  <c r="BO7" i="3"/>
  <c r="BO12" i="3" s="1"/>
  <c r="BQ39" i="3"/>
  <c r="BL54" i="3"/>
  <c r="BS52" i="4"/>
  <c r="BM66" i="3"/>
  <c r="BM52" i="3"/>
  <c r="BM65" i="3"/>
  <c r="BM40" i="3"/>
  <c r="BQ58" i="3"/>
  <c r="BR57" i="3"/>
  <c r="BL53" i="3"/>
  <c r="BR39" i="3"/>
  <c r="BM54" i="3" l="1"/>
  <c r="BM67" i="3"/>
  <c r="BM53" i="3"/>
  <c r="BO20" i="3"/>
  <c r="BO42" i="3"/>
  <c r="BQ51" i="4"/>
  <c r="BQ52" i="4" s="1"/>
  <c r="BP7" i="3"/>
  <c r="BP12" i="3" s="1"/>
  <c r="BP42" i="3" l="1"/>
  <c r="BP20" i="3"/>
  <c r="BR51" i="4"/>
  <c r="BR52" i="4" s="1"/>
  <c r="BR7" i="3" s="1"/>
  <c r="BR12" i="3" s="1"/>
  <c r="BQ7" i="3"/>
  <c r="BQ12" i="3" s="1"/>
  <c r="BO66" i="3"/>
  <c r="BO52" i="3"/>
  <c r="BO65" i="3"/>
  <c r="BO40" i="3"/>
  <c r="BO54" i="3" l="1"/>
  <c r="BO53" i="3"/>
  <c r="BO67" i="3"/>
  <c r="BQ20" i="3"/>
  <c r="BQ42" i="3"/>
  <c r="BR42" i="3"/>
  <c r="BR20" i="3"/>
  <c r="BP66" i="3"/>
  <c r="BP52" i="3"/>
  <c r="BP65" i="3"/>
  <c r="BP40" i="3"/>
  <c r="BP54" i="3" l="1"/>
  <c r="BP67" i="3"/>
  <c r="BR66" i="3"/>
  <c r="BR52" i="3"/>
  <c r="BR54" i="3" s="1"/>
  <c r="BR65" i="3"/>
  <c r="BR40" i="3"/>
  <c r="BQ66" i="3"/>
  <c r="BQ52" i="3"/>
  <c r="BQ65" i="3"/>
  <c r="BQ40" i="3"/>
  <c r="BP53" i="3"/>
  <c r="BR53" i="3" l="1"/>
  <c r="BQ54" i="3"/>
  <c r="BQ67" i="3"/>
  <c r="BR67" i="3"/>
  <c r="BQ53" i="3"/>
</calcChain>
</file>

<file path=xl/sharedStrings.xml><?xml version="1.0" encoding="utf-8"?>
<sst xmlns="http://schemas.openxmlformats.org/spreadsheetml/2006/main" count="759" uniqueCount="256">
  <si>
    <t>Veracyte Inc.</t>
  </si>
  <si>
    <t>Needham &amp; Company, LLC</t>
  </si>
  <si>
    <t>Quarterly Revenue Model</t>
  </si>
  <si>
    <t>Michael Matson ● (617) 457-0949</t>
  </si>
  <si>
    <t>($ In Millions)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</si>
  <si>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</si>
  <si>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</si>
  <si>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</si>
  <si>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</si>
  <si>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</si>
  <si>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</si>
  <si>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</si>
  <si>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</si>
  <si>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</si>
  <si>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</si>
  <si>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</si>
  <si>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</si>
  <si>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2026E</t>
  </si>
  <si>
    <t>2027E</t>
  </si>
  <si>
    <t>Q114A</t>
  </si>
  <si>
    <t>Q214A</t>
  </si>
  <si>
    <t>Q314A</t>
  </si>
  <si>
    <t>Q414A</t>
  </si>
  <si>
    <t>Annual</t>
  </si>
  <si>
    <t>Q115A</t>
  </si>
  <si>
    <t>Q215A</t>
  </si>
  <si>
    <t>Q315A</t>
  </si>
  <si>
    <t>Q415A</t>
  </si>
  <si>
    <t>Q116A</t>
  </si>
  <si>
    <t>Q216A</t>
  </si>
  <si>
    <t>Q316A</t>
  </si>
  <si>
    <t>Q416A</t>
  </si>
  <si>
    <t>Q117A</t>
  </si>
  <si>
    <t>Q217A</t>
  </si>
  <si>
    <t>Q317A</t>
  </si>
  <si>
    <t>Q417A</t>
  </si>
  <si>
    <t>Q118A</t>
  </si>
  <si>
    <t>Q218A</t>
  </si>
  <si>
    <t>Q318A</t>
  </si>
  <si>
    <t>Q418A</t>
  </si>
  <si>
    <t>Q119A</t>
  </si>
  <si>
    <t>Q219A</t>
  </si>
  <si>
    <t>Q319A</t>
  </si>
  <si>
    <t>Q419A</t>
  </si>
  <si>
    <t>Q120A</t>
  </si>
  <si>
    <t>Q220A</t>
  </si>
  <si>
    <t>Q320A</t>
  </si>
  <si>
    <t>Q420A</t>
  </si>
  <si>
    <t>Q121A</t>
  </si>
  <si>
    <t>Q221A</t>
  </si>
  <si>
    <t>Q321A</t>
  </si>
  <si>
    <t>Q421A</t>
  </si>
  <si>
    <t>Q122A</t>
  </si>
  <si>
    <t>Q222A</t>
  </si>
  <si>
    <t>Q322A</t>
  </si>
  <si>
    <t>Q422A</t>
  </si>
  <si>
    <t>Q123A</t>
  </si>
  <si>
    <t>Q223A</t>
  </si>
  <si>
    <t>Q323A</t>
  </si>
  <si>
    <t>Q423A</t>
  </si>
  <si>
    <t>Q124A</t>
  </si>
  <si>
    <t>Q224A</t>
  </si>
  <si>
    <t>Q324A</t>
  </si>
  <si>
    <t>Q424A</t>
  </si>
  <si>
    <t>Q125A</t>
  </si>
  <si>
    <t>Q225A</t>
  </si>
  <si>
    <t>Q325A</t>
  </si>
  <si>
    <t>Q425A</t>
  </si>
  <si>
    <t>Q126E</t>
  </si>
  <si>
    <t>Q226E</t>
  </si>
  <si>
    <t>Q326E</t>
  </si>
  <si>
    <t>Q426E</t>
  </si>
  <si>
    <t>Q127E</t>
  </si>
  <si>
    <t>Q227E</t>
  </si>
  <si>
    <t>Q327E</t>
  </si>
  <si>
    <t>Q427E</t>
  </si>
  <si>
    <t>Revenue</t>
  </si>
  <si>
    <t>Testing Revenue</t>
  </si>
  <si>
    <t>Product Revenue</t>
  </si>
  <si>
    <t>Biopharma and Other Revenue</t>
  </si>
  <si>
    <t>Total Revenue</t>
  </si>
  <si>
    <t>Year/Year Changes</t>
  </si>
  <si>
    <t>NA</t>
  </si>
  <si>
    <t>% of Revenue</t>
  </si>
  <si>
    <t>Test Volume</t>
  </si>
  <si>
    <t>Afirma</t>
  </si>
  <si>
    <t>Decipher</t>
  </si>
  <si>
    <t>Total Testing Volume</t>
  </si>
  <si>
    <t>Total Product Volume</t>
  </si>
  <si>
    <t>Total Volume</t>
  </si>
  <si>
    <t>Revenue Per Test</t>
  </si>
  <si>
    <t>Testing</t>
  </si>
  <si>
    <t>Products</t>
  </si>
  <si>
    <t>Average Revenue Per Test</t>
  </si>
  <si>
    <t>Organic Growth Calculations</t>
  </si>
  <si>
    <t>Total Reported Revenue</t>
  </si>
  <si>
    <t>Currency Impact</t>
  </si>
  <si>
    <t>Constant Currency Revenue</t>
  </si>
  <si>
    <t>Acquisition Impact</t>
  </si>
  <si>
    <t>Constant Currency, Organic Revenue</t>
  </si>
  <si>
    <t>Source: Company reports and Needham &amp; Company estimates</t>
  </si>
  <si>
    <t>Quarterly Income Statement</t>
  </si>
  <si>
    <t>($ In Millions Except Per Share Data)</t>
  </si>
  <si>
    <t>NG EPS</t>
  </si>
  <si>
    <t>Cost of Testing Revenue</t>
  </si>
  <si>
    <t>Cost of Product Revenue</t>
  </si>
  <si>
    <t>Cost of Biopharma Revenue</t>
  </si>
  <si>
    <t>Total Cost of Sales</t>
  </si>
  <si>
    <t>Gross Profit</t>
  </si>
  <si>
    <t>Research &amp; Development</t>
  </si>
  <si>
    <t>Selling &amp; Marketing</t>
  </si>
  <si>
    <t>General &amp; Administrative</t>
  </si>
  <si>
    <t>Total Operating Expenses</t>
  </si>
  <si>
    <t>Operating Income</t>
  </si>
  <si>
    <t>Interest Expense</t>
  </si>
  <si>
    <t>Other Income (Expense)</t>
  </si>
  <si>
    <t xml:space="preserve">Pretax Income </t>
  </si>
  <si>
    <t>Provision for Income Taxes</t>
  </si>
  <si>
    <t>Tax Rate</t>
  </si>
  <si>
    <t>Income Before Non-Recurring</t>
  </si>
  <si>
    <t>Intangible Asset Amortization</t>
  </si>
  <si>
    <t>Net Other Items</t>
  </si>
  <si>
    <t>Non-GAAP Net Income</t>
  </si>
  <si>
    <t>Weighted Average Shares (Basic)</t>
  </si>
  <si>
    <t>Effect of Dilutive Securities</t>
  </si>
  <si>
    <t>Weighted Average Shares (Diluted)</t>
  </si>
  <si>
    <t>Non-GAAP EPS</t>
  </si>
  <si>
    <t>Amortization of Intangible Assets</t>
  </si>
  <si>
    <t>Stock-Based Comp Expense</t>
  </si>
  <si>
    <t>Acquisition-Related Expenses</t>
  </si>
  <si>
    <t>Other Adjustments</t>
  </si>
  <si>
    <t>Tax</t>
  </si>
  <si>
    <t>GAAP Net Income</t>
  </si>
  <si>
    <t>GAAP EPS</t>
  </si>
  <si>
    <t>Depreciation Expense</t>
  </si>
  <si>
    <t>Other Expense (Income)</t>
  </si>
  <si>
    <t>Adjusted EBITDA</t>
  </si>
  <si>
    <t>Adjusted EBITDA per Share</t>
  </si>
  <si>
    <t>Biopharma Revenue</t>
  </si>
  <si>
    <t>Gross Profit - Testing Revenue</t>
  </si>
  <si>
    <t>Gross Profit - Product Revenue</t>
  </si>
  <si>
    <t>Gross Profit - Biopharma Revenue</t>
  </si>
  <si>
    <t>Net Income</t>
  </si>
  <si>
    <t>Yr/Yr Changes</t>
  </si>
  <si>
    <t>NM</t>
  </si>
  <si>
    <t>Adjusted EPS</t>
  </si>
  <si>
    <t>Revenue Seasonality</t>
  </si>
  <si>
    <t>Earnings Seasonality</t>
  </si>
  <si>
    <t>Quarterly Balance Sheet</t>
  </si>
  <si>
    <t>Assets</t>
  </si>
  <si>
    <t xml:space="preserve">Cash &amp; Equivalents    </t>
  </si>
  <si>
    <t>Accounts Receivable</t>
  </si>
  <si>
    <t>J&amp;J &amp; Acerto Receivable</t>
  </si>
  <si>
    <t>Supplies Inventory</t>
  </si>
  <si>
    <t>Prepaid Expenses &amp; Other Current Assets</t>
  </si>
  <si>
    <t>Current Assets</t>
  </si>
  <si>
    <t>Property, Plant &amp; Equipment</t>
  </si>
  <si>
    <t>Intangible Assets</t>
  </si>
  <si>
    <t>Goodwill</t>
  </si>
  <si>
    <t>Deferred Tax Asset</t>
  </si>
  <si>
    <t>Restricted Cash</t>
  </si>
  <si>
    <t>Lease Assets</t>
  </si>
  <si>
    <t>Other Assets</t>
  </si>
  <si>
    <t>Total Assets</t>
  </si>
  <si>
    <t>Liabilities and Equity</t>
  </si>
  <si>
    <t>Accounts Payable</t>
  </si>
  <si>
    <t>J&amp;J Deferred Revenue</t>
  </si>
  <si>
    <t>Accrued Expenses</t>
  </si>
  <si>
    <t>Current Liabilities</t>
  </si>
  <si>
    <t>Long-Term Debt</t>
  </si>
  <si>
    <t>Lease Liability</t>
  </si>
  <si>
    <t>Contingent Consideration</t>
  </si>
  <si>
    <t>Deferred Rent</t>
  </si>
  <si>
    <t>Deferred Tax Liability</t>
  </si>
  <si>
    <t>Deferred Genzyme Co-Promotion Fee</t>
  </si>
  <si>
    <t>Deferred revenue, net</t>
  </si>
  <si>
    <t>Preferred Stock</t>
  </si>
  <si>
    <t>Common Stock</t>
  </si>
  <si>
    <t>APIC</t>
  </si>
  <si>
    <t>Accumulated Deficit</t>
  </si>
  <si>
    <t xml:space="preserve">Shareholders Equity </t>
  </si>
  <si>
    <t>Total Liabilities &amp; Stockholders Equity</t>
  </si>
  <si>
    <t>Balance Sheet Analysis</t>
  </si>
  <si>
    <t>Current Ratio</t>
  </si>
  <si>
    <t>Working Capital</t>
  </si>
  <si>
    <t>Days Sales Outstanding</t>
  </si>
  <si>
    <t>Days Sales Out (Rolling 4 Qtr)</t>
  </si>
  <si>
    <t>Book Value/Share</t>
  </si>
  <si>
    <t>Return on Equity</t>
  </si>
  <si>
    <t>Return on Equity (Rolling 4 Qtr)</t>
  </si>
  <si>
    <t>Long-Term Debt/Total Capital</t>
  </si>
  <si>
    <t>EBIT</t>
  </si>
  <si>
    <t>Total Operating Assets</t>
  </si>
  <si>
    <t>Return on Assets</t>
  </si>
  <si>
    <t>Return on Assets (Rolling 4 Qtr)</t>
  </si>
  <si>
    <t>Capital Employed</t>
  </si>
  <si>
    <t>NOPAT</t>
  </si>
  <si>
    <t>Return on Contributed Capital</t>
  </si>
  <si>
    <t>ROIC (Rolling 4 Qtr)</t>
  </si>
  <si>
    <t>EBIT w/o FAS Stock Compensation Expense</t>
  </si>
  <si>
    <t>EBIT Growth</t>
  </si>
  <si>
    <t>LTM EBIT Growth</t>
  </si>
  <si>
    <t>Taxes</t>
  </si>
  <si>
    <t>Financing</t>
  </si>
  <si>
    <t>Operations</t>
  </si>
  <si>
    <t>Turnover</t>
  </si>
  <si>
    <t>Leverage</t>
  </si>
  <si>
    <t>ROE</t>
  </si>
  <si>
    <t>Receivables as % of Revenue</t>
  </si>
  <si>
    <t>Other Current Assets as a % of Revenue</t>
  </si>
  <si>
    <t>A/P as % of Revenue</t>
  </si>
  <si>
    <t>Accrued Expenses as % of Revenue</t>
  </si>
  <si>
    <t xml:space="preserve">Quarterly Cash Flow </t>
  </si>
  <si>
    <t>Depreciation &amp; Amortization</t>
  </si>
  <si>
    <t>Stock Compensation</t>
  </si>
  <si>
    <t>Bad Debt Expense</t>
  </si>
  <si>
    <t>Genzyme Co-Promotion Fee Amortization</t>
  </si>
  <si>
    <t>Other Income</t>
  </si>
  <si>
    <t>Amortization of Debt Issuance Costs</t>
  </si>
  <si>
    <t>Interest on End-of-Term Obligation</t>
  </si>
  <si>
    <t>Revaluation of Contingent Consideration</t>
  </si>
  <si>
    <t>Noncash Lease Expense</t>
  </si>
  <si>
    <t>Write-Down of Excess Supplies</t>
  </si>
  <si>
    <t>Loss on PP&amp;E Disposal</t>
  </si>
  <si>
    <t>Impairment of Intangible Assets</t>
  </si>
  <si>
    <t>Effect of Foreign Currency and other</t>
  </si>
  <si>
    <t>Adjusted Net Income</t>
  </si>
  <si>
    <t xml:space="preserve">Accounts Receivable </t>
  </si>
  <si>
    <t>Prepaid Expenses and Other Current Assets</t>
  </si>
  <si>
    <t>Accrued Expenses &amp; Deferred Rent</t>
  </si>
  <si>
    <t>Operating Cash Flow</t>
  </si>
  <si>
    <t>Investments</t>
  </si>
  <si>
    <t>Additions to Equipment</t>
  </si>
  <si>
    <t>Proceeds from Sale of PP&amp;E</t>
  </si>
  <si>
    <t>Acquisitions</t>
  </si>
  <si>
    <t>Equity and Short-Term Investments</t>
  </si>
  <si>
    <t>Total Investments</t>
  </si>
  <si>
    <t>Common Stock Issuance</t>
  </si>
  <si>
    <t>Stock Offering Costs</t>
  </si>
  <si>
    <t>Long-Term Debt Proceeds</t>
  </si>
  <si>
    <t>Long-Term Debt Payments</t>
  </si>
  <si>
    <t>Legal Settlement Proceeds</t>
  </si>
  <si>
    <t>Capital Lease</t>
  </si>
  <si>
    <t>Restricted Stock Tax Payments</t>
  </si>
  <si>
    <t>Stock Options &amp; Employee Stock</t>
  </si>
  <si>
    <t>Other</t>
  </si>
  <si>
    <t>Total Financing</t>
  </si>
  <si>
    <t>Effect of Foreign Currency</t>
  </si>
  <si>
    <t>Net Increase (Decrease) in Cash</t>
  </si>
  <si>
    <t>Cash Beginning of Period</t>
  </si>
  <si>
    <t>End of Period Cash</t>
  </si>
  <si>
    <t>Short Term Investments</t>
  </si>
  <si>
    <t>Adjusted Net Income Growth</t>
  </si>
  <si>
    <t>Free Cash Flow</t>
  </si>
  <si>
    <t>Operating Cash Flow / Share</t>
  </si>
  <si>
    <t>Free Cash Flow /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</si>
</sst>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0.0"/>
    <numFmt numFmtId="166" formatCode="m/yy"/>
    <numFmt numFmtId="167" formatCode="_(* #,##0.0_);_(* \(#,##0.0\);_(* &quot;-&quot;??_);_(@_)"/>
    <numFmt numFmtId="168" formatCode="0.0%"/>
    <numFmt numFmtId="169" formatCode="0.0%;\(0.0%\)"/>
    <numFmt numFmtId="170" formatCode="\+0%;\(0%\)"/>
    <numFmt numFmtId="171" formatCode="0.0_);\(0.0\)"/>
    <numFmt numFmtId="172" formatCode="_(* #,##0_);_(* \(#,##0\);_(* &quot;-&quot;??_);_(@_)"/>
    <numFmt numFmtId="173" formatCode="&quot;$&quot;#,##0"/>
    <numFmt numFmtId="174" formatCode="&quot;$&quot;#,##0.0_);[Red]\(&quot;$&quot;#,##0.0\)"/>
    <numFmt numFmtId="175" formatCode="_(* #,##0.000_);_(* \(#,##0.000\);_(* &quot;-&quot;??_);_(@_)"/>
    <numFmt numFmtId="176" formatCode="_(* #,##0.00000_);_(* \(#,##0.00000\);_(* &quot;-&quot;??_);_(@_)"/>
    <numFmt numFmtId="177" formatCode="#,##0.0_);[Red]\(#,##0.0\)"/>
    <numFmt numFmtId="178" formatCode="&quot;$&quot;#,##0.0"/>
    <numFmt numFmtId="179" formatCode="&quot;$&quot;#,##0.00"/>
    <numFmt numFmtId="180" formatCode="&quot;$&quot;#,##0.000_);[Red]\(&quot;$&quot;#,##0.000\)"/>
  </numFmts>
  <fonts count="27">
    <font>
      <sz val="10"/>
      <name val="Arial"/>
    </font>
    <font>
      <b/>
      <sz val="18"/>
      <color rgb="FF003366"/>
      <name val="Kepler Std"/>
      <family val="1"/>
    </font>
    <font>
      <sz val="10"/>
      <name val="Arial Narrow"/>
      <family val="2"/>
    </font>
    <font>
      <sz val="10"/>
      <name val="Kepler Std"/>
      <family val="1"/>
    </font>
    <font>
      <b/>
      <sz val="12"/>
      <name val="Kepler Std"/>
      <family val="1"/>
    </font>
    <font>
      <sz val="10"/>
      <name val="Arial"/>
      <family val="2"/>
    </font>
    <font>
      <sz val="10"/>
      <name val="GillSans"/>
      <family val="2"/>
    </font>
    <font>
      <sz val="12"/>
      <name val="Kepler Std"/>
      <family val="1"/>
    </font>
    <font>
      <b/>
      <sz val="10"/>
      <name val="Kepler Std"/>
      <family val="1"/>
    </font>
    <font>
      <sz val="10"/>
      <color rgb="FFFF0000"/>
      <name val="Kepler Std"/>
      <family val="1"/>
    </font>
    <font>
      <b/>
      <sz val="10"/>
      <color rgb="FFFF0000"/>
      <name val="Kepler Std"/>
      <family val="1"/>
    </font>
    <font>
      <b/>
      <sz val="10"/>
      <color rgb="FF003366"/>
      <name val="Kepler Std"/>
      <family val="1"/>
    </font>
    <font>
      <b/>
      <sz val="10"/>
      <color indexed="9"/>
      <name val="Kepler Std"/>
      <family val="1"/>
    </font>
    <font>
      <b/>
      <sz val="10"/>
      <color theme="9" tint="-0.249977111117893"/>
      <name val="Kepler Std"/>
      <family val="1"/>
    </font>
    <font>
      <b/>
      <u/>
      <sz val="10"/>
      <color theme="9" tint="-0.249977111117893"/>
      <name val="Kepler Std"/>
      <family val="1"/>
    </font>
    <font>
      <sz val="10"/>
      <color rgb="FF0000FF"/>
      <name val="Kepler Std"/>
      <family val="1"/>
    </font>
    <font>
      <b/>
      <sz val="10"/>
      <color indexed="8"/>
      <name val="Kepler Std"/>
      <family val="1"/>
    </font>
    <font>
      <b/>
      <sz val="10"/>
      <color rgb="FF0000FF"/>
      <name val="Kepler Std"/>
      <family val="1"/>
    </font>
    <font>
      <b/>
      <sz val="10"/>
      <color theme="1"/>
      <name val="Kepler Std"/>
      <family val="1"/>
    </font>
    <font>
      <sz val="10"/>
      <color indexed="8"/>
      <name val="Kepler Std"/>
      <family val="1"/>
    </font>
    <font>
      <sz val="10"/>
      <color rgb="FF000000"/>
      <name val="Kepler Std"/>
      <family val="1"/>
    </font>
    <font>
      <b/>
      <sz val="10"/>
      <color theme="0"/>
      <name val="Kepler Std"/>
      <family val="1"/>
    </font>
    <font>
      <sz val="10"/>
      <color theme="0"/>
      <name val="Kepler Std"/>
      <family val="1"/>
    </font>
    <font>
      <sz val="10"/>
      <color rgb="FF008000"/>
      <name val="Kepler Std"/>
      <family val="1"/>
    </font>
    <font>
      <sz val="10"/>
      <color theme="1"/>
      <name val="Kepler Std"/>
      <family val="1"/>
    </font>
    <font>
      <sz val="10"/>
      <color theme="9" tint="-0.249977111117893"/>
      <name val="Kepler Std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/>
      <right/>
      <top/>
      <bottom style="thin">
        <color rgb="FF003366"/>
      </bottom>
      <diagonal/>
    </border>
    <border>
      <left style="medium">
        <color rgb="FF003366"/>
      </left>
      <right style="medium">
        <color rgb="FF003366"/>
      </right>
      <top/>
      <bottom style="thin">
        <color rgb="FF003366"/>
      </bottom>
      <diagonal/>
    </border>
    <border>
      <left style="medium">
        <color rgb="FF003366"/>
      </left>
      <right style="medium">
        <color rgb="FF003366"/>
      </right>
      <top style="thin">
        <color rgb="FF003366"/>
      </top>
      <bottom/>
      <diagonal/>
    </border>
    <border>
      <left style="medium">
        <color rgb="FF003366"/>
      </left>
      <right style="medium">
        <color rgb="FF003366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3366"/>
      </left>
      <right style="medium">
        <color rgb="FF003366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003366"/>
      </left>
      <right style="medium">
        <color rgb="FF003366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rgb="FF003366"/>
      </left>
      <right style="medium">
        <color rgb="FF003366"/>
      </right>
      <top/>
      <bottom style="hair">
        <color auto="1"/>
      </bottom>
      <diagonal/>
    </border>
    <border>
      <left style="medium">
        <color rgb="FF003366"/>
      </left>
      <right style="medium">
        <color rgb="FF003366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3366"/>
      </left>
      <right style="medium">
        <color rgb="FF003366"/>
      </right>
      <top style="thin">
        <color auto="1"/>
      </top>
      <bottom style="thin">
        <color auto="1"/>
      </bottom>
      <diagonal/>
    </border>
    <border>
      <left style="medium">
        <color rgb="FF003366"/>
      </left>
      <right/>
      <top/>
      <bottom/>
      <diagonal/>
    </border>
    <border>
      <left/>
      <right style="medium">
        <color rgb="FF003366"/>
      </right>
      <top/>
      <bottom/>
      <diagonal/>
    </border>
    <border>
      <left/>
      <right style="medium">
        <color rgb="FF003366"/>
      </right>
      <top/>
      <bottom style="thin">
        <color indexed="64"/>
      </bottom>
      <diagonal/>
    </border>
    <border>
      <left style="medium">
        <color rgb="FF003366"/>
      </left>
      <right/>
      <top/>
      <bottom style="thin">
        <color indexed="64"/>
      </bottom>
      <diagonal/>
    </border>
    <border>
      <left style="medium">
        <color rgb="FF003366"/>
      </left>
      <right style="medium">
        <color rgb="FF003366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rgb="FF003366"/>
      </bottom>
      <diagonal/>
    </border>
    <border>
      <left/>
      <right style="medium">
        <color rgb="FF003366"/>
      </right>
      <top/>
      <bottom style="medium">
        <color rgb="FF003366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rgb="FF003366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003366"/>
      </right>
      <top style="medium">
        <color auto="1"/>
      </top>
      <bottom/>
      <diagonal/>
    </border>
    <border>
      <left style="thin">
        <color auto="1"/>
      </left>
      <right style="medium">
        <color rgb="FF003366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3366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rgb="FF003366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428">
    <xf numFmtId="0" fontId="0" fillId="0" borderId="0" xfId="0"/>
    <xf numFmtId="164" fontId="1" fillId="0" borderId="0" xfId="0" applyNumberFormat="1" applyFont="1" applyAlignment="1" applyProtection="1">
      <alignment horizontal="left"/>
      <protection locked="0"/>
    </xf>
    <xf numFmtId="0" fontId="3" fillId="0" borderId="0" xfId="4" applyFont="1" applyAlignment="1">
      <alignment horizontal="right"/>
    </xf>
    <xf numFmtId="0" fontId="1" fillId="0" borderId="0" xfId="0" applyFont="1" applyAlignment="1">
      <alignment horizontal="right" vertical="top"/>
    </xf>
    <xf numFmtId="0" fontId="3" fillId="0" borderId="0" xfId="4" applyFont="1"/>
    <xf numFmtId="164" fontId="4" fillId="0" borderId="0" xfId="0" applyNumberFormat="1" applyFont="1" applyAlignment="1">
      <alignment horizontal="left"/>
    </xf>
    <xf numFmtId="9" fontId="3" fillId="0" borderId="0" xfId="3" applyFont="1" applyAlignment="1">
      <alignment horizontal="right"/>
    </xf>
    <xf numFmtId="9" fontId="7" fillId="0" borderId="0" xfId="5" applyFont="1" applyFill="1" applyBorder="1" applyAlignment="1" applyProtection="1">
      <alignment horizontal="right" vertical="top"/>
    </xf>
    <xf numFmtId="164" fontId="7" fillId="0" borderId="0" xfId="0" applyNumberFormat="1" applyFont="1" applyAlignment="1">
      <alignment horizontal="left"/>
    </xf>
    <xf numFmtId="8" fontId="8" fillId="0" borderId="0" xfId="4" applyNumberFormat="1" applyFont="1" applyAlignment="1">
      <alignment horizontal="left" vertical="center"/>
    </xf>
    <xf numFmtId="0" fontId="9" fillId="0" borderId="0" xfId="4" applyFont="1" applyAlignment="1">
      <alignment horizontal="right"/>
    </xf>
    <xf numFmtId="165" fontId="10" fillId="0" borderId="0" xfId="4" applyNumberFormat="1" applyFont="1" applyAlignment="1">
      <alignment horizontal="right"/>
    </xf>
    <xf numFmtId="17" fontId="11" fillId="0" borderId="0" xfId="0" quotePrefix="1" applyNumberFormat="1" applyFont="1" applyAlignment="1">
      <alignment horizontal="right"/>
    </xf>
    <xf numFmtId="17" fontId="12" fillId="2" borderId="1" xfId="0" quotePrefix="1" applyNumberFormat="1" applyFont="1" applyFill="1" applyBorder="1" applyAlignment="1">
      <alignment horizontal="right"/>
    </xf>
    <xf numFmtId="166" fontId="11" fillId="0" borderId="2" xfId="0" applyNumberFormat="1" applyFont="1" applyBorder="1" applyAlignment="1">
      <alignment horizontal="right"/>
    </xf>
    <xf numFmtId="166" fontId="12" fillId="2" borderId="3" xfId="0" applyNumberFormat="1" applyFont="1" applyFill="1" applyBorder="1" applyAlignment="1">
      <alignment horizontal="right"/>
    </xf>
    <xf numFmtId="0" fontId="13" fillId="0" borderId="0" xfId="4" applyFont="1" applyAlignment="1">
      <alignment horizontal="left"/>
    </xf>
    <xf numFmtId="166" fontId="11" fillId="0" borderId="0" xfId="0" applyNumberFormat="1" applyFont="1" applyAlignment="1">
      <alignment horizontal="right"/>
    </xf>
    <xf numFmtId="166" fontId="12" fillId="0" borderId="4" xfId="0" applyNumberFormat="1" applyFont="1" applyBorder="1" applyAlignment="1">
      <alignment horizontal="right"/>
    </xf>
    <xf numFmtId="0" fontId="14" fillId="0" borderId="0" xfId="4" applyFont="1"/>
    <xf numFmtId="0" fontId="3" fillId="0" borderId="0" xfId="4" applyFont="1" applyAlignment="1">
      <alignment horizontal="left" indent="1"/>
    </xf>
    <xf numFmtId="167" fontId="15" fillId="0" borderId="0" xfId="1" applyNumberFormat="1" applyFont="1" applyFill="1" applyBorder="1" applyAlignment="1">
      <alignment horizontal="center"/>
    </xf>
    <xf numFmtId="167" fontId="3" fillId="0" borderId="5" xfId="4" applyNumberFormat="1" applyFont="1" applyBorder="1" applyAlignment="1">
      <alignment horizontal="right"/>
    </xf>
    <xf numFmtId="167" fontId="15" fillId="0" borderId="0" xfId="4" applyNumberFormat="1" applyFont="1" applyAlignment="1">
      <alignment horizontal="right"/>
    </xf>
    <xf numFmtId="167" fontId="3" fillId="0" borderId="0" xfId="4" applyNumberFormat="1" applyFont="1" applyAlignment="1">
      <alignment horizontal="right"/>
    </xf>
    <xf numFmtId="0" fontId="13" fillId="0" borderId="0" xfId="4" applyFont="1"/>
    <xf numFmtId="16" fontId="3" fillId="0" borderId="0" xfId="4" quotePrefix="1" applyNumberFormat="1" applyFont="1"/>
    <xf numFmtId="0" fontId="3" fillId="0" borderId="6" xfId="4" applyFont="1" applyBorder="1" applyAlignment="1">
      <alignment horizontal="left" indent="1"/>
    </xf>
    <xf numFmtId="167" fontId="15" fillId="0" borderId="6" xfId="1" applyNumberFormat="1" applyFont="1" applyFill="1" applyBorder="1" applyAlignment="1">
      <alignment horizontal="center"/>
    </xf>
    <xf numFmtId="167" fontId="15" fillId="0" borderId="6" xfId="4" applyNumberFormat="1" applyFont="1" applyBorder="1" applyAlignment="1">
      <alignment horizontal="right"/>
    </xf>
    <xf numFmtId="167" fontId="3" fillId="0" borderId="7" xfId="4" applyNumberFormat="1" applyFont="1" applyBorder="1" applyAlignment="1">
      <alignment horizontal="right"/>
    </xf>
    <xf numFmtId="167" fontId="3" fillId="0" borderId="6" xfId="4" applyNumberFormat="1" applyFont="1" applyBorder="1" applyAlignment="1">
      <alignment horizontal="right"/>
    </xf>
    <xf numFmtId="9" fontId="13" fillId="0" borderId="0" xfId="3" applyFont="1" applyFill="1" applyBorder="1" applyAlignment="1">
      <alignment horizontal="left"/>
    </xf>
    <xf numFmtId="8" fontId="8" fillId="0" borderId="8" xfId="4" applyNumberFormat="1" applyFont="1" applyBorder="1" applyAlignment="1">
      <alignment horizontal="left"/>
    </xf>
    <xf numFmtId="167" fontId="8" fillId="0" borderId="8" xfId="1" applyNumberFormat="1" applyFont="1" applyFill="1" applyBorder="1" applyAlignment="1">
      <alignment horizontal="center"/>
    </xf>
    <xf numFmtId="167" fontId="8" fillId="0" borderId="9" xfId="4" applyNumberFormat="1" applyFont="1" applyBorder="1" applyAlignment="1">
      <alignment horizontal="right"/>
    </xf>
    <xf numFmtId="9" fontId="9" fillId="0" borderId="0" xfId="3" applyFont="1" applyBorder="1" applyAlignment="1">
      <alignment horizontal="right"/>
    </xf>
    <xf numFmtId="0" fontId="3" fillId="0" borderId="0" xfId="6" applyFont="1"/>
    <xf numFmtId="165" fontId="10" fillId="0" borderId="5" xfId="4" applyNumberFormat="1" applyFont="1" applyBorder="1" applyAlignment="1">
      <alignment horizontal="right"/>
    </xf>
    <xf numFmtId="9" fontId="10" fillId="0" borderId="0" xfId="3" applyFont="1" applyAlignment="1">
      <alignment horizontal="right"/>
    </xf>
    <xf numFmtId="0" fontId="16" fillId="0" borderId="0" xfId="0" applyFont="1"/>
    <xf numFmtId="168" fontId="10" fillId="0" borderId="0" xfId="3" applyNumberFormat="1" applyFont="1" applyAlignment="1">
      <alignment horizontal="right"/>
    </xf>
    <xf numFmtId="168" fontId="10" fillId="0" borderId="10" xfId="3" applyNumberFormat="1" applyFont="1" applyBorder="1" applyAlignment="1">
      <alignment horizontal="right"/>
    </xf>
    <xf numFmtId="169" fontId="3" fillId="0" borderId="0" xfId="3" applyNumberFormat="1" applyFont="1" applyAlignment="1">
      <alignment horizontal="right"/>
    </xf>
    <xf numFmtId="169" fontId="3" fillId="0" borderId="5" xfId="3" applyNumberFormat="1" applyFont="1" applyBorder="1" applyAlignment="1">
      <alignment horizontal="right"/>
    </xf>
    <xf numFmtId="43" fontId="3" fillId="0" borderId="0" xfId="4" applyNumberFormat="1" applyFont="1"/>
    <xf numFmtId="169" fontId="3" fillId="0" borderId="0" xfId="3" applyNumberFormat="1" applyFont="1" applyFill="1" applyAlignment="1">
      <alignment horizontal="right"/>
    </xf>
    <xf numFmtId="169" fontId="3" fillId="0" borderId="5" xfId="3" applyNumberFormat="1" applyFont="1" applyFill="1" applyBorder="1" applyAlignment="1">
      <alignment horizontal="right"/>
    </xf>
    <xf numFmtId="168" fontId="8" fillId="0" borderId="0" xfId="3" applyNumberFormat="1" applyFont="1" applyBorder="1" applyAlignment="1">
      <alignment horizontal="right"/>
    </xf>
    <xf numFmtId="169" fontId="15" fillId="0" borderId="0" xfId="3" applyNumberFormat="1" applyFont="1" applyFill="1" applyAlignment="1">
      <alignment horizontal="right"/>
    </xf>
    <xf numFmtId="170" fontId="13" fillId="0" borderId="0" xfId="4" applyNumberFormat="1" applyFont="1" applyAlignment="1">
      <alignment horizontal="left"/>
    </xf>
    <xf numFmtId="169" fontId="8" fillId="0" borderId="8" xfId="3" applyNumberFormat="1" applyFont="1" applyBorder="1" applyAlignment="1">
      <alignment horizontal="right"/>
    </xf>
    <xf numFmtId="169" fontId="8" fillId="0" borderId="9" xfId="3" applyNumberFormat="1" applyFont="1" applyBorder="1" applyAlignment="1">
      <alignment horizontal="right"/>
    </xf>
    <xf numFmtId="0" fontId="8" fillId="0" borderId="0" xfId="4" applyFont="1" applyAlignment="1">
      <alignment horizontal="right"/>
    </xf>
    <xf numFmtId="171" fontId="3" fillId="0" borderId="0" xfId="4" applyNumberFormat="1" applyFont="1"/>
    <xf numFmtId="0" fontId="3" fillId="0" borderId="5" xfId="4" applyFont="1" applyBorder="1" applyAlignment="1">
      <alignment horizontal="right"/>
    </xf>
    <xf numFmtId="9" fontId="8" fillId="0" borderId="0" xfId="3" quotePrefix="1" applyFont="1" applyBorder="1" applyAlignment="1">
      <alignment horizontal="right" vertical="center"/>
    </xf>
    <xf numFmtId="14" fontId="8" fillId="0" borderId="0" xfId="4" quotePrefix="1" applyNumberFormat="1" applyFont="1" applyAlignment="1">
      <alignment horizontal="right" vertical="center"/>
    </xf>
    <xf numFmtId="0" fontId="8" fillId="0" borderId="5" xfId="4" quotePrefix="1" applyFont="1" applyBorder="1" applyAlignment="1">
      <alignment horizontal="right" vertical="center"/>
    </xf>
    <xf numFmtId="9" fontId="17" fillId="0" borderId="0" xfId="3" quotePrefix="1" applyFont="1" applyBorder="1" applyAlignment="1">
      <alignment horizontal="right" vertical="center"/>
    </xf>
    <xf numFmtId="172" fontId="15" fillId="0" borderId="0" xfId="0" applyNumberFormat="1" applyFont="1" applyAlignment="1">
      <alignment horizontal="right"/>
    </xf>
    <xf numFmtId="172" fontId="3" fillId="0" borderId="5" xfId="0" applyNumberFormat="1" applyFont="1" applyBorder="1" applyAlignment="1">
      <alignment horizontal="right"/>
    </xf>
    <xf numFmtId="172" fontId="15" fillId="0" borderId="0" xfId="4" applyNumberFormat="1" applyFont="1" applyAlignment="1">
      <alignment horizontal="right"/>
    </xf>
    <xf numFmtId="172" fontId="3" fillId="0" borderId="0" xfId="4" applyNumberFormat="1" applyFont="1" applyAlignment="1">
      <alignment horizontal="right"/>
    </xf>
    <xf numFmtId="172" fontId="15" fillId="0" borderId="11" xfId="0" applyNumberFormat="1" applyFont="1" applyBorder="1" applyAlignment="1">
      <alignment horizontal="right"/>
    </xf>
    <xf numFmtId="172" fontId="3" fillId="0" borderId="12" xfId="0" applyNumberFormat="1" applyFont="1" applyBorder="1" applyAlignment="1">
      <alignment horizontal="right"/>
    </xf>
    <xf numFmtId="172" fontId="15" fillId="0" borderId="11" xfId="4" applyNumberFormat="1" applyFont="1" applyBorder="1" applyAlignment="1">
      <alignment horizontal="right"/>
    </xf>
    <xf numFmtId="172" fontId="3" fillId="0" borderId="11" xfId="4" applyNumberFormat="1" applyFont="1" applyBorder="1" applyAlignment="1">
      <alignment horizontal="right"/>
    </xf>
    <xf numFmtId="172" fontId="3" fillId="0" borderId="0" xfId="0" applyNumberFormat="1" applyFont="1" applyAlignment="1">
      <alignment horizontal="right"/>
    </xf>
    <xf numFmtId="0" fontId="8" fillId="0" borderId="8" xfId="4" applyFont="1" applyBorder="1" applyAlignment="1">
      <alignment horizontal="left"/>
    </xf>
    <xf numFmtId="172" fontId="8" fillId="0" borderId="8" xfId="4" applyNumberFormat="1" applyFont="1" applyBorder="1" applyAlignment="1">
      <alignment horizontal="right"/>
    </xf>
    <xf numFmtId="172" fontId="8" fillId="0" borderId="9" xfId="0" applyNumberFormat="1" applyFont="1" applyBorder="1" applyAlignment="1">
      <alignment horizontal="right"/>
    </xf>
    <xf numFmtId="172" fontId="17" fillId="0" borderId="8" xfId="4" applyNumberFormat="1" applyFont="1" applyBorder="1" applyAlignment="1">
      <alignment horizontal="right"/>
    </xf>
    <xf numFmtId="172" fontId="18" fillId="0" borderId="8" xfId="4" applyNumberFormat="1" applyFont="1" applyBorder="1" applyAlignment="1">
      <alignment horizontal="right"/>
    </xf>
    <xf numFmtId="0" fontId="8" fillId="0" borderId="0" xfId="4" applyFont="1"/>
    <xf numFmtId="43" fontId="8" fillId="0" borderId="0" xfId="4" applyNumberFormat="1" applyFont="1"/>
    <xf numFmtId="3" fontId="3" fillId="0" borderId="0" xfId="4" applyNumberFormat="1" applyFont="1" applyAlignment="1">
      <alignment horizontal="right"/>
    </xf>
    <xf numFmtId="10" fontId="3" fillId="0" borderId="0" xfId="3" applyNumberFormat="1" applyFont="1" applyAlignment="1">
      <alignment horizontal="right"/>
    </xf>
    <xf numFmtId="9" fontId="3" fillId="0" borderId="0" xfId="3" applyFont="1"/>
    <xf numFmtId="169" fontId="15" fillId="0" borderId="0" xfId="3" applyNumberFormat="1" applyFont="1" applyAlignment="1">
      <alignment horizontal="right"/>
    </xf>
    <xf numFmtId="167" fontId="3" fillId="0" borderId="0" xfId="4" applyNumberFormat="1" applyFont="1"/>
    <xf numFmtId="169" fontId="3" fillId="0" borderId="11" xfId="3" applyNumberFormat="1" applyFont="1" applyBorder="1" applyAlignment="1">
      <alignment horizontal="right"/>
    </xf>
    <xf numFmtId="169" fontId="3" fillId="0" borderId="12" xfId="3" applyNumberFormat="1" applyFont="1" applyBorder="1" applyAlignment="1">
      <alignment horizontal="right"/>
    </xf>
    <xf numFmtId="169" fontId="15" fillId="0" borderId="11" xfId="3" applyNumberFormat="1" applyFont="1" applyBorder="1" applyAlignment="1">
      <alignment horizontal="right"/>
    </xf>
    <xf numFmtId="9" fontId="13" fillId="0" borderId="0" xfId="4" applyNumberFormat="1" applyFont="1" applyAlignment="1">
      <alignment horizontal="left"/>
    </xf>
    <xf numFmtId="0" fontId="3" fillId="0" borderId="13" xfId="4" applyFont="1" applyBorder="1" applyAlignment="1">
      <alignment horizontal="right"/>
    </xf>
    <xf numFmtId="173" fontId="3" fillId="0" borderId="0" xfId="4" applyNumberFormat="1" applyFont="1" applyAlignment="1">
      <alignment horizontal="right"/>
    </xf>
    <xf numFmtId="173" fontId="3" fillId="0" borderId="5" xfId="4" applyNumberFormat="1" applyFont="1" applyBorder="1" applyAlignment="1">
      <alignment horizontal="right"/>
    </xf>
    <xf numFmtId="173" fontId="15" fillId="0" borderId="0" xfId="4" applyNumberFormat="1" applyFont="1" applyAlignment="1">
      <alignment horizontal="right"/>
    </xf>
    <xf numFmtId="0" fontId="8" fillId="0" borderId="8" xfId="4" applyFont="1" applyBorder="1"/>
    <xf numFmtId="173" fontId="8" fillId="0" borderId="8" xfId="4" applyNumberFormat="1" applyFont="1" applyBorder="1" applyAlignment="1">
      <alignment horizontal="right"/>
    </xf>
    <xf numFmtId="173" fontId="8" fillId="0" borderId="9" xfId="4" applyNumberFormat="1" applyFont="1" applyBorder="1" applyAlignment="1">
      <alignment horizontal="right"/>
    </xf>
    <xf numFmtId="0" fontId="8" fillId="0" borderId="0" xfId="0" applyFont="1"/>
    <xf numFmtId="9" fontId="3" fillId="0" borderId="0" xfId="3" applyFont="1" applyBorder="1" applyAlignment="1">
      <alignment horizontal="right"/>
    </xf>
    <xf numFmtId="173" fontId="3" fillId="0" borderId="0" xfId="4" applyNumberFormat="1" applyFont="1" applyAlignment="1">
      <alignment horizontal="center"/>
    </xf>
    <xf numFmtId="0" fontId="3" fillId="0" borderId="0" xfId="0" applyFont="1"/>
    <xf numFmtId="169" fontId="3" fillId="0" borderId="0" xfId="4" applyNumberFormat="1" applyFont="1" applyAlignment="1">
      <alignment horizontal="right"/>
    </xf>
    <xf numFmtId="169" fontId="3" fillId="0" borderId="5" xfId="4" applyNumberFormat="1" applyFont="1" applyBorder="1" applyAlignment="1">
      <alignment horizontal="right"/>
    </xf>
    <xf numFmtId="169" fontId="19" fillId="0" borderId="5" xfId="1" applyNumberFormat="1" applyFont="1" applyBorder="1"/>
    <xf numFmtId="0" fontId="8" fillId="3" borderId="14" xfId="0" applyFont="1" applyFill="1" applyBorder="1" applyAlignment="1">
      <alignment horizontal="right"/>
    </xf>
    <xf numFmtId="169" fontId="16" fillId="4" borderId="14" xfId="1" applyNumberFormat="1" applyFont="1" applyFill="1" applyBorder="1" applyAlignment="1">
      <alignment horizontal="right"/>
    </xf>
    <xf numFmtId="169" fontId="16" fillId="4" borderId="15" xfId="1" applyNumberFormat="1" applyFont="1" applyFill="1" applyBorder="1" applyAlignment="1">
      <alignment horizontal="right"/>
    </xf>
    <xf numFmtId="169" fontId="16" fillId="4" borderId="14" xfId="1" applyNumberFormat="1" applyFont="1" applyFill="1" applyBorder="1"/>
    <xf numFmtId="169" fontId="16" fillId="4" borderId="15" xfId="1" applyNumberFormat="1" applyFont="1" applyFill="1" applyBorder="1"/>
    <xf numFmtId="0" fontId="20" fillId="0" borderId="0" xfId="7" applyFont="1"/>
    <xf numFmtId="165" fontId="15" fillId="0" borderId="0" xfId="4" applyNumberFormat="1" applyFont="1" applyAlignment="1">
      <alignment horizontal="right"/>
    </xf>
    <xf numFmtId="165" fontId="3" fillId="0" borderId="0" xfId="4" applyNumberFormat="1" applyFont="1" applyAlignment="1">
      <alignment horizontal="right"/>
    </xf>
    <xf numFmtId="43" fontId="3" fillId="0" borderId="0" xfId="4" applyNumberFormat="1" applyFont="1" applyAlignment="1">
      <alignment horizontal="right"/>
    </xf>
    <xf numFmtId="0" fontId="21" fillId="0" borderId="0" xfId="4" applyFont="1"/>
    <xf numFmtId="7" fontId="21" fillId="0" borderId="0" xfId="4" applyNumberFormat="1" applyFont="1"/>
    <xf numFmtId="0" fontId="22" fillId="0" borderId="0" xfId="4" applyFont="1" applyAlignment="1">
      <alignment horizontal="right"/>
    </xf>
    <xf numFmtId="8" fontId="3" fillId="0" borderId="0" xfId="4" applyNumberFormat="1" applyFont="1" applyAlignment="1">
      <alignment horizontal="right"/>
    </xf>
    <xf numFmtId="174" fontId="3" fillId="0" borderId="0" xfId="4" applyNumberFormat="1" applyFont="1" applyAlignment="1">
      <alignment horizontal="right"/>
    </xf>
    <xf numFmtId="168" fontId="3" fillId="0" borderId="0" xfId="3" applyNumberFormat="1" applyFont="1" applyBorder="1" applyAlignment="1">
      <alignment horizontal="right"/>
    </xf>
    <xf numFmtId="171" fontId="10" fillId="0" borderId="0" xfId="4" applyNumberFormat="1" applyFont="1" applyAlignment="1">
      <alignment horizontal="right"/>
    </xf>
    <xf numFmtId="171" fontId="21" fillId="0" borderId="0" xfId="4" applyNumberFormat="1" applyFont="1" applyAlignment="1">
      <alignment horizontal="right"/>
    </xf>
    <xf numFmtId="8" fontId="22" fillId="0" borderId="0" xfId="4" applyNumberFormat="1" applyFont="1" applyAlignment="1">
      <alignment horizontal="right"/>
    </xf>
    <xf numFmtId="174" fontId="22" fillId="0" borderId="0" xfId="4" applyNumberFormat="1" applyFont="1" applyAlignment="1">
      <alignment horizontal="right"/>
    </xf>
    <xf numFmtId="8" fontId="8" fillId="0" borderId="0" xfId="4" applyNumberFormat="1" applyFont="1" applyAlignment="1">
      <alignment vertical="center"/>
    </xf>
    <xf numFmtId="0" fontId="3" fillId="0" borderId="0" xfId="4" applyFont="1" applyAlignment="1">
      <alignment vertical="center"/>
    </xf>
    <xf numFmtId="8" fontId="3" fillId="0" borderId="0" xfId="4" applyNumberFormat="1" applyFont="1" applyAlignment="1">
      <alignment horizontal="left" vertical="center" indent="1"/>
    </xf>
    <xf numFmtId="167" fontId="23" fillId="0" borderId="0" xfId="1" applyNumberFormat="1" applyFont="1" applyFill="1" applyBorder="1" applyAlignment="1">
      <alignment horizontal="right"/>
    </xf>
    <xf numFmtId="167" fontId="3" fillId="0" borderId="4" xfId="1" applyNumberFormat="1" applyFont="1" applyFill="1" applyBorder="1" applyAlignment="1">
      <alignment horizontal="right"/>
    </xf>
    <xf numFmtId="167" fontId="3" fillId="0" borderId="5" xfId="1" applyNumberFormat="1" applyFont="1" applyFill="1" applyBorder="1" applyAlignment="1">
      <alignment horizontal="right"/>
    </xf>
    <xf numFmtId="167" fontId="23" fillId="0" borderId="6" xfId="1" applyNumberFormat="1" applyFont="1" applyFill="1" applyBorder="1" applyAlignment="1">
      <alignment horizontal="right"/>
    </xf>
    <xf numFmtId="167" fontId="3" fillId="0" borderId="7" xfId="1" applyNumberFormat="1" applyFont="1" applyFill="1" applyBorder="1" applyAlignment="1">
      <alignment horizontal="right"/>
    </xf>
    <xf numFmtId="167" fontId="8" fillId="0" borderId="0" xfId="1" applyNumberFormat="1" applyFont="1" applyFill="1" applyBorder="1" applyAlignment="1">
      <alignment horizontal="right"/>
    </xf>
    <xf numFmtId="167" fontId="8" fillId="0" borderId="5" xfId="1" applyNumberFormat="1" applyFont="1" applyFill="1" applyBorder="1" applyAlignment="1">
      <alignment horizontal="right"/>
    </xf>
    <xf numFmtId="167" fontId="15" fillId="0" borderId="0" xfId="4" applyNumberFormat="1" applyFont="1" applyAlignment="1">
      <alignment horizontal="right" vertical="center"/>
    </xf>
    <xf numFmtId="167" fontId="3" fillId="0" borderId="5" xfId="4" applyNumberFormat="1" applyFont="1" applyBorder="1" applyAlignment="1">
      <alignment horizontal="right" vertical="center"/>
    </xf>
    <xf numFmtId="167" fontId="15" fillId="0" borderId="16" xfId="4" applyNumberFormat="1" applyFont="1" applyBorder="1" applyAlignment="1">
      <alignment horizontal="right" vertical="center"/>
    </xf>
    <xf numFmtId="167" fontId="15" fillId="0" borderId="17" xfId="4" applyNumberFormat="1" applyFont="1" applyBorder="1" applyAlignment="1">
      <alignment horizontal="right" vertical="center"/>
    </xf>
    <xf numFmtId="167" fontId="3" fillId="0" borderId="16" xfId="4" applyNumberFormat="1" applyFont="1" applyBorder="1" applyAlignment="1">
      <alignment horizontal="right" vertical="center"/>
    </xf>
    <xf numFmtId="167" fontId="3" fillId="0" borderId="0" xfId="4" applyNumberFormat="1" applyFont="1" applyAlignment="1">
      <alignment horizontal="right" vertical="center"/>
    </xf>
    <xf numFmtId="167" fontId="3" fillId="0" borderId="17" xfId="4" applyNumberFormat="1" applyFont="1" applyBorder="1" applyAlignment="1">
      <alignment horizontal="right" vertical="center"/>
    </xf>
    <xf numFmtId="167" fontId="15" fillId="0" borderId="6" xfId="4" applyNumberFormat="1" applyFont="1" applyBorder="1" applyAlignment="1">
      <alignment horizontal="right" vertical="center"/>
    </xf>
    <xf numFmtId="167" fontId="3" fillId="0" borderId="7" xfId="4" applyNumberFormat="1" applyFont="1" applyBorder="1" applyAlignment="1">
      <alignment horizontal="right" vertical="center"/>
    </xf>
    <xf numFmtId="167" fontId="15" fillId="0" borderId="18" xfId="4" applyNumberFormat="1" applyFont="1" applyBorder="1" applyAlignment="1">
      <alignment horizontal="right" vertical="center"/>
    </xf>
    <xf numFmtId="167" fontId="15" fillId="0" borderId="19" xfId="4" applyNumberFormat="1" applyFont="1" applyBorder="1" applyAlignment="1">
      <alignment horizontal="right" vertical="center"/>
    </xf>
    <xf numFmtId="167" fontId="3" fillId="0" borderId="19" xfId="4" applyNumberFormat="1" applyFont="1" applyBorder="1" applyAlignment="1">
      <alignment horizontal="right" vertical="center"/>
    </xf>
    <xf numFmtId="167" fontId="3" fillId="0" borderId="6" xfId="4" applyNumberFormat="1" applyFont="1" applyBorder="1" applyAlignment="1">
      <alignment horizontal="right" vertical="center"/>
    </xf>
    <xf numFmtId="167" fontId="3" fillId="0" borderId="18" xfId="4" applyNumberFormat="1" applyFont="1" applyBorder="1" applyAlignment="1">
      <alignment horizontal="right" vertical="center"/>
    </xf>
    <xf numFmtId="167" fontId="8" fillId="0" borderId="6" xfId="4" applyNumberFormat="1" applyFont="1" applyBorder="1" applyAlignment="1">
      <alignment horizontal="right" vertical="center"/>
    </xf>
    <xf numFmtId="167" fontId="8" fillId="0" borderId="7" xfId="4" applyNumberFormat="1" applyFont="1" applyBorder="1" applyAlignment="1">
      <alignment horizontal="right" vertical="center"/>
    </xf>
    <xf numFmtId="167" fontId="17" fillId="0" borderId="6" xfId="4" applyNumberFormat="1" applyFont="1" applyBorder="1" applyAlignment="1">
      <alignment horizontal="right" vertical="center"/>
    </xf>
    <xf numFmtId="8" fontId="8" fillId="0" borderId="0" xfId="4" quotePrefix="1" applyNumberFormat="1" applyFont="1" applyAlignment="1">
      <alignment horizontal="left" vertical="center"/>
    </xf>
    <xf numFmtId="167" fontId="8" fillId="0" borderId="0" xfId="4" applyNumberFormat="1" applyFont="1" applyAlignment="1">
      <alignment horizontal="right" vertical="center"/>
    </xf>
    <xf numFmtId="167" fontId="8" fillId="0" borderId="20" xfId="4" applyNumberFormat="1" applyFont="1" applyBorder="1" applyAlignment="1">
      <alignment horizontal="right" vertical="center"/>
    </xf>
    <xf numFmtId="168" fontId="13" fillId="0" borderId="0" xfId="3" applyNumberFormat="1" applyFont="1"/>
    <xf numFmtId="8" fontId="3" fillId="0" borderId="0" xfId="4" quotePrefix="1" applyNumberFormat="1" applyFont="1" applyAlignment="1">
      <alignment horizontal="left" vertical="center" indent="1"/>
    </xf>
    <xf numFmtId="0" fontId="13" fillId="0" borderId="0" xfId="4" applyFont="1" applyAlignment="1">
      <alignment horizontal="right"/>
    </xf>
    <xf numFmtId="165" fontId="13" fillId="0" borderId="0" xfId="4" applyNumberFormat="1" applyFont="1"/>
    <xf numFmtId="167" fontId="8" fillId="0" borderId="5" xfId="4" applyNumberFormat="1" applyFont="1" applyBorder="1" applyAlignment="1">
      <alignment horizontal="right" vertical="center"/>
    </xf>
    <xf numFmtId="8" fontId="3" fillId="0" borderId="0" xfId="4" quotePrefix="1" applyNumberFormat="1" applyFont="1" applyAlignment="1">
      <alignment horizontal="left" vertical="center"/>
    </xf>
    <xf numFmtId="167" fontId="8" fillId="0" borderId="21" xfId="4" applyNumberFormat="1" applyFont="1" applyBorder="1" applyAlignment="1">
      <alignment horizontal="right" vertical="center"/>
    </xf>
    <xf numFmtId="8" fontId="3" fillId="0" borderId="0" xfId="4" applyNumberFormat="1" applyFont="1" applyAlignment="1">
      <alignment vertical="center"/>
    </xf>
    <xf numFmtId="169" fontId="3" fillId="0" borderId="0" xfId="3" applyNumberFormat="1" applyFont="1" applyBorder="1" applyAlignment="1">
      <alignment horizontal="right" vertical="center"/>
    </xf>
    <xf numFmtId="169" fontId="3" fillId="0" borderId="5" xfId="3" applyNumberFormat="1" applyFont="1" applyBorder="1" applyAlignment="1">
      <alignment horizontal="right" vertical="center"/>
    </xf>
    <xf numFmtId="169" fontId="3" fillId="0" borderId="5" xfId="3" applyNumberFormat="1" applyFont="1" applyFill="1" applyBorder="1" applyAlignment="1">
      <alignment horizontal="right" vertical="center"/>
    </xf>
    <xf numFmtId="169" fontId="15" fillId="0" borderId="0" xfId="3" applyNumberFormat="1" applyFont="1" applyBorder="1" applyAlignment="1">
      <alignment horizontal="right" vertical="center"/>
    </xf>
    <xf numFmtId="175" fontId="3" fillId="0" borderId="0" xfId="4" applyNumberFormat="1" applyFont="1"/>
    <xf numFmtId="167" fontId="15" fillId="0" borderId="0" xfId="1" applyNumberFormat="1" applyFont="1" applyBorder="1" applyAlignment="1">
      <alignment horizontal="right" vertical="center"/>
    </xf>
    <xf numFmtId="167" fontId="3" fillId="0" borderId="0" xfId="1" applyNumberFormat="1" applyFont="1" applyBorder="1" applyAlignment="1">
      <alignment horizontal="right" vertical="center"/>
    </xf>
    <xf numFmtId="167" fontId="15" fillId="0" borderId="5" xfId="1" applyNumberFormat="1" applyFont="1" applyBorder="1" applyAlignment="1">
      <alignment horizontal="right" vertical="center"/>
    </xf>
    <xf numFmtId="8" fontId="3" fillId="0" borderId="0" xfId="4" applyNumberFormat="1" applyFont="1" applyAlignment="1">
      <alignment horizontal="right" vertical="center"/>
    </xf>
    <xf numFmtId="9" fontId="3" fillId="0" borderId="0" xfId="3" applyFont="1" applyBorder="1" applyAlignment="1">
      <alignment horizontal="right" vertical="center"/>
    </xf>
    <xf numFmtId="9" fontId="3" fillId="0" borderId="5" xfId="3" applyFont="1" applyBorder="1" applyAlignment="1">
      <alignment horizontal="right" vertical="center"/>
    </xf>
    <xf numFmtId="7" fontId="8" fillId="0" borderId="14" xfId="4" applyNumberFormat="1" applyFont="1" applyBorder="1" applyAlignment="1">
      <alignment horizontal="right" vertical="center"/>
    </xf>
    <xf numFmtId="7" fontId="8" fillId="0" borderId="15" xfId="4" applyNumberFormat="1" applyFont="1" applyBorder="1" applyAlignment="1">
      <alignment horizontal="right" vertical="center"/>
    </xf>
    <xf numFmtId="7" fontId="8" fillId="0" borderId="22" xfId="4" applyNumberFormat="1" applyFont="1" applyBorder="1" applyAlignment="1">
      <alignment horizontal="right" vertical="center"/>
    </xf>
    <xf numFmtId="167" fontId="8" fillId="0" borderId="17" xfId="4" applyNumberFormat="1" applyFont="1" applyBorder="1" applyAlignment="1">
      <alignment horizontal="right" vertical="center"/>
    </xf>
    <xf numFmtId="167" fontId="15" fillId="0" borderId="5" xfId="4" applyNumberFormat="1" applyFont="1" applyBorder="1" applyAlignment="1">
      <alignment horizontal="right" vertical="center"/>
    </xf>
    <xf numFmtId="167" fontId="3" fillId="0" borderId="23" xfId="4" applyNumberFormat="1" applyFont="1" applyBorder="1" applyAlignment="1">
      <alignment horizontal="right" vertical="center"/>
    </xf>
    <xf numFmtId="167" fontId="15" fillId="0" borderId="7" xfId="4" applyNumberFormat="1" applyFont="1" applyBorder="1" applyAlignment="1">
      <alignment horizontal="right" vertical="center"/>
    </xf>
    <xf numFmtId="8" fontId="3" fillId="0" borderId="0" xfId="4" applyNumberFormat="1" applyFont="1" applyAlignment="1">
      <alignment horizontal="left" vertical="center"/>
    </xf>
    <xf numFmtId="167" fontId="3" fillId="0" borderId="14" xfId="4" applyNumberFormat="1" applyFont="1" applyBorder="1" applyAlignment="1">
      <alignment horizontal="right" vertical="center"/>
    </xf>
    <xf numFmtId="167" fontId="3" fillId="0" borderId="15" xfId="4" applyNumberFormat="1" applyFont="1" applyBorder="1" applyAlignment="1">
      <alignment horizontal="right" vertical="center"/>
    </xf>
    <xf numFmtId="167" fontId="3" fillId="0" borderId="22" xfId="4" applyNumberFormat="1" applyFont="1" applyBorder="1" applyAlignment="1">
      <alignment horizontal="right" vertical="center"/>
    </xf>
    <xf numFmtId="168" fontId="3" fillId="0" borderId="0" xfId="3" applyNumberFormat="1" applyFont="1"/>
    <xf numFmtId="7" fontId="3" fillId="0" borderId="14" xfId="4" applyNumberFormat="1" applyFont="1" applyBorder="1" applyAlignment="1">
      <alignment horizontal="right" vertical="center"/>
    </xf>
    <xf numFmtId="7" fontId="3" fillId="0" borderId="15" xfId="4" applyNumberFormat="1" applyFont="1" applyBorder="1" applyAlignment="1">
      <alignment horizontal="right" vertical="center"/>
    </xf>
    <xf numFmtId="7" fontId="3" fillId="0" borderId="22" xfId="4" applyNumberFormat="1" applyFont="1" applyBorder="1" applyAlignment="1">
      <alignment horizontal="right" vertical="center"/>
    </xf>
    <xf numFmtId="7" fontId="3" fillId="0" borderId="0" xfId="4" applyNumberFormat="1" applyFont="1" applyAlignment="1">
      <alignment horizontal="right" vertical="center"/>
    </xf>
    <xf numFmtId="7" fontId="3" fillId="0" borderId="5" xfId="4" applyNumberFormat="1" applyFont="1" applyBorder="1" applyAlignment="1">
      <alignment horizontal="right" vertical="center"/>
    </xf>
    <xf numFmtId="167" fontId="8" fillId="0" borderId="14" xfId="4" applyNumberFormat="1" applyFont="1" applyBorder="1" applyAlignment="1">
      <alignment horizontal="right" vertical="center"/>
    </xf>
    <xf numFmtId="167" fontId="8" fillId="0" borderId="15" xfId="4" applyNumberFormat="1" applyFont="1" applyBorder="1" applyAlignment="1">
      <alignment horizontal="right" vertical="center"/>
    </xf>
    <xf numFmtId="7" fontId="3" fillId="5" borderId="0" xfId="2" applyNumberFormat="1" applyFont="1" applyFill="1" applyBorder="1"/>
    <xf numFmtId="7" fontId="3" fillId="5" borderId="23" xfId="2" applyNumberFormat="1" applyFont="1" applyFill="1" applyBorder="1"/>
    <xf numFmtId="7" fontId="3" fillId="0" borderId="0" xfId="2" applyNumberFormat="1" applyFont="1" applyFill="1" applyBorder="1"/>
    <xf numFmtId="7" fontId="3" fillId="0" borderId="23" xfId="2" applyNumberFormat="1" applyFont="1" applyFill="1" applyBorder="1"/>
    <xf numFmtId="7" fontId="3" fillId="0" borderId="5" xfId="2" applyNumberFormat="1" applyFont="1" applyFill="1" applyBorder="1"/>
    <xf numFmtId="0" fontId="13" fillId="0" borderId="0" xfId="0" applyFont="1" applyAlignment="1">
      <alignment horizontal="left"/>
    </xf>
    <xf numFmtId="7" fontId="3" fillId="0" borderId="0" xfId="0" applyNumberFormat="1" applyFont="1" applyAlignment="1">
      <alignment horizontal="left"/>
    </xf>
    <xf numFmtId="8" fontId="8" fillId="0" borderId="0" xfId="0" applyNumberFormat="1" applyFont="1" applyAlignment="1">
      <alignment horizontal="left" vertical="center"/>
    </xf>
    <xf numFmtId="7" fontId="3" fillId="0" borderId="0" xfId="2" applyNumberFormat="1" applyFont="1" applyBorder="1" applyAlignment="1">
      <alignment horizontal="right" vertical="center"/>
    </xf>
    <xf numFmtId="7" fontId="3" fillId="0" borderId="5" xfId="2" applyNumberFormat="1" applyFont="1" applyBorder="1" applyAlignment="1">
      <alignment horizontal="right" vertical="center"/>
    </xf>
    <xf numFmtId="8" fontId="8" fillId="0" borderId="0" xfId="0" applyNumberFormat="1" applyFont="1" applyAlignment="1">
      <alignment horizontal="right" vertical="center"/>
    </xf>
    <xf numFmtId="8" fontId="8" fillId="0" borderId="5" xfId="0" applyNumberFormat="1" applyFont="1" applyBorder="1" applyAlignment="1">
      <alignment horizontal="right" vertical="center"/>
    </xf>
    <xf numFmtId="169" fontId="3" fillId="0" borderId="6" xfId="3" applyNumberFormat="1" applyFont="1" applyBorder="1" applyAlignment="1">
      <alignment horizontal="right" vertical="center"/>
    </xf>
    <xf numFmtId="169" fontId="3" fillId="0" borderId="7" xfId="3" applyNumberFormat="1" applyFont="1" applyBorder="1" applyAlignment="1">
      <alignment horizontal="right" vertical="center"/>
    </xf>
    <xf numFmtId="168" fontId="24" fillId="0" borderId="0" xfId="3" applyNumberFormat="1" applyFont="1" applyBorder="1" applyAlignment="1">
      <alignment horizontal="right" vertical="center"/>
    </xf>
    <xf numFmtId="168" fontId="24" fillId="0" borderId="5" xfId="3" applyNumberFormat="1" applyFont="1" applyBorder="1" applyAlignment="1">
      <alignment horizontal="right" vertical="center"/>
    </xf>
    <xf numFmtId="169" fontId="24" fillId="0" borderId="0" xfId="3" applyNumberFormat="1" applyFont="1" applyBorder="1" applyAlignment="1">
      <alignment horizontal="right" vertical="center"/>
    </xf>
    <xf numFmtId="169" fontId="24" fillId="0" borderId="5" xfId="3" applyNumberFormat="1" applyFont="1" applyBorder="1" applyAlignment="1">
      <alignment horizontal="right" vertical="center"/>
    </xf>
    <xf numFmtId="168" fontId="24" fillId="0" borderId="24" xfId="3" applyNumberFormat="1" applyFont="1" applyBorder="1" applyAlignment="1">
      <alignment horizontal="right" vertical="center"/>
    </xf>
    <xf numFmtId="168" fontId="24" fillId="0" borderId="6" xfId="3" applyNumberFormat="1" applyFont="1" applyBorder="1" applyAlignment="1">
      <alignment horizontal="right" vertical="center"/>
    </xf>
    <xf numFmtId="168" fontId="24" fillId="0" borderId="7" xfId="3" applyNumberFormat="1" applyFont="1" applyBorder="1" applyAlignment="1">
      <alignment horizontal="right" vertical="center"/>
    </xf>
    <xf numFmtId="169" fontId="24" fillId="0" borderId="6" xfId="3" applyNumberFormat="1" applyFont="1" applyBorder="1" applyAlignment="1">
      <alignment horizontal="right" vertical="center"/>
    </xf>
    <xf numFmtId="169" fontId="24" fillId="0" borderId="7" xfId="3" applyNumberFormat="1" applyFont="1" applyBorder="1" applyAlignment="1">
      <alignment horizontal="right" vertical="center"/>
    </xf>
    <xf numFmtId="169" fontId="15" fillId="0" borderId="6" xfId="3" applyNumberFormat="1" applyFont="1" applyBorder="1" applyAlignment="1">
      <alignment horizontal="right" vertical="center"/>
    </xf>
    <xf numFmtId="169" fontId="3" fillId="0" borderId="0" xfId="4" applyNumberFormat="1" applyFont="1"/>
    <xf numFmtId="0" fontId="25" fillId="0" borderId="0" xfId="4" applyFont="1"/>
    <xf numFmtId="8" fontId="3" fillId="0" borderId="0" xfId="0" applyNumberFormat="1" applyFont="1" applyAlignment="1">
      <alignment horizontal="left" vertical="center"/>
    </xf>
    <xf numFmtId="10" fontId="13" fillId="0" borderId="0" xfId="4" applyNumberFormat="1" applyFont="1"/>
    <xf numFmtId="169" fontId="3" fillId="0" borderId="0" xfId="2" applyNumberFormat="1" applyFont="1" applyBorder="1" applyAlignment="1">
      <alignment horizontal="right" vertical="center"/>
    </xf>
    <xf numFmtId="169" fontId="8" fillId="0" borderId="5" xfId="0" applyNumberFormat="1" applyFont="1" applyBorder="1" applyAlignment="1">
      <alignment horizontal="right" vertical="center"/>
    </xf>
    <xf numFmtId="169" fontId="24" fillId="0" borderId="5" xfId="3" applyNumberFormat="1" applyFont="1" applyFill="1" applyBorder="1" applyAlignment="1">
      <alignment horizontal="right" vertical="center"/>
    </xf>
    <xf numFmtId="169" fontId="24" fillId="0" borderId="0" xfId="3" applyNumberFormat="1" applyFont="1" applyFill="1" applyBorder="1" applyAlignment="1">
      <alignment horizontal="right" vertical="center"/>
    </xf>
    <xf numFmtId="169" fontId="24" fillId="0" borderId="7" xfId="3" applyNumberFormat="1" applyFont="1" applyFill="1" applyBorder="1" applyAlignment="1">
      <alignment horizontal="right" vertical="center"/>
    </xf>
    <xf numFmtId="169" fontId="24" fillId="0" borderId="6" xfId="3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169" fontId="3" fillId="0" borderId="0" xfId="3" applyNumberFormat="1" applyFont="1" applyFill="1" applyBorder="1"/>
    <xf numFmtId="0" fontId="3" fillId="0" borderId="6" xfId="0" applyFont="1" applyBorder="1" applyAlignment="1">
      <alignment horizontal="left"/>
    </xf>
    <xf numFmtId="169" fontId="3" fillId="0" borderId="6" xfId="3" applyNumberFormat="1" applyFont="1" applyFill="1" applyBorder="1"/>
    <xf numFmtId="0" fontId="3" fillId="0" borderId="7" xfId="4" applyFont="1" applyBorder="1" applyAlignment="1">
      <alignment horizontal="right"/>
    </xf>
    <xf numFmtId="0" fontId="20" fillId="0" borderId="21" xfId="7" applyFont="1" applyBorder="1"/>
    <xf numFmtId="0" fontId="3" fillId="0" borderId="21" xfId="4" applyFont="1" applyBorder="1" applyAlignment="1">
      <alignment horizontal="right"/>
    </xf>
    <xf numFmtId="9" fontId="7" fillId="0" borderId="0" xfId="3" applyFont="1" applyFill="1" applyBorder="1" applyAlignment="1" applyProtection="1">
      <alignment horizontal="right" vertical="top"/>
    </xf>
    <xf numFmtId="17" fontId="11" fillId="0" borderId="17" xfId="0" quotePrefix="1" applyNumberFormat="1" applyFont="1" applyBorder="1" applyAlignment="1">
      <alignment horizontal="right"/>
    </xf>
    <xf numFmtId="166" fontId="11" fillId="0" borderId="25" xfId="0" applyNumberFormat="1" applyFont="1" applyBorder="1" applyAlignment="1">
      <alignment horizontal="right"/>
    </xf>
    <xf numFmtId="166" fontId="11" fillId="0" borderId="26" xfId="0" applyNumberFormat="1" applyFont="1" applyBorder="1" applyAlignment="1">
      <alignment horizontal="right"/>
    </xf>
    <xf numFmtId="0" fontId="3" fillId="0" borderId="25" xfId="4" applyFont="1" applyBorder="1"/>
    <xf numFmtId="174" fontId="3" fillId="0" borderId="0" xfId="4" applyNumberFormat="1" applyFont="1" applyAlignment="1">
      <alignment horizontal="left" indent="1"/>
    </xf>
    <xf numFmtId="174" fontId="3" fillId="0" borderId="0" xfId="4" applyNumberFormat="1" applyFont="1" applyAlignment="1">
      <alignment horizontal="center" vertical="center"/>
    </xf>
    <xf numFmtId="174" fontId="3" fillId="0" borderId="17" xfId="4" applyNumberFormat="1" applyFont="1" applyBorder="1" applyAlignment="1">
      <alignment horizontal="center" vertical="center"/>
    </xf>
    <xf numFmtId="174" fontId="3" fillId="0" borderId="0" xfId="4" applyNumberFormat="1" applyFont="1" applyAlignment="1">
      <alignment horizontal="center"/>
    </xf>
    <xf numFmtId="167" fontId="15" fillId="0" borderId="10" xfId="4" applyNumberFormat="1" applyFont="1" applyBorder="1" applyAlignment="1">
      <alignment horizontal="right" vertical="center"/>
    </xf>
    <xf numFmtId="167" fontId="8" fillId="0" borderId="0" xfId="4" applyNumberFormat="1" applyFont="1" applyAlignment="1">
      <alignment horizontal="right"/>
    </xf>
    <xf numFmtId="174" fontId="8" fillId="0" borderId="6" xfId="4" applyNumberFormat="1" applyFont="1" applyBorder="1" applyAlignment="1">
      <alignment horizontal="center" vertical="center"/>
    </xf>
    <xf numFmtId="174" fontId="8" fillId="0" borderId="18" xfId="4" applyNumberFormat="1" applyFont="1" applyBorder="1" applyAlignment="1">
      <alignment horizontal="center" vertical="center"/>
    </xf>
    <xf numFmtId="167" fontId="8" fillId="0" borderId="27" xfId="4" applyNumberFormat="1" applyFont="1" applyBorder="1" applyAlignment="1">
      <alignment horizontal="right" vertical="center"/>
    </xf>
    <xf numFmtId="167" fontId="8" fillId="0" borderId="18" xfId="4" applyNumberFormat="1" applyFont="1" applyBorder="1" applyAlignment="1">
      <alignment horizontal="right" vertical="center"/>
    </xf>
    <xf numFmtId="174" fontId="3" fillId="0" borderId="0" xfId="4" quotePrefix="1" applyNumberFormat="1" applyFont="1" applyAlignment="1">
      <alignment horizontal="center" vertical="center"/>
    </xf>
    <xf numFmtId="174" fontId="3" fillId="0" borderId="17" xfId="4" quotePrefix="1" applyNumberFormat="1" applyFont="1" applyBorder="1" applyAlignment="1">
      <alignment horizontal="center" vertical="center"/>
    </xf>
    <xf numFmtId="167" fontId="15" fillId="0" borderId="10" xfId="4" quotePrefix="1" applyNumberFormat="1" applyFont="1" applyBorder="1" applyAlignment="1">
      <alignment horizontal="right" vertical="center"/>
    </xf>
    <xf numFmtId="167" fontId="15" fillId="0" borderId="0" xfId="4" quotePrefix="1" applyNumberFormat="1" applyFont="1" applyAlignment="1">
      <alignment horizontal="right" vertical="center"/>
    </xf>
    <xf numFmtId="167" fontId="15" fillId="0" borderId="17" xfId="4" quotePrefix="1" applyNumberFormat="1" applyFont="1" applyBorder="1" applyAlignment="1">
      <alignment horizontal="right" vertical="center"/>
    </xf>
    <xf numFmtId="167" fontId="3" fillId="0" borderId="17" xfId="4" quotePrefix="1" applyNumberFormat="1" applyFont="1" applyBorder="1" applyAlignment="1">
      <alignment horizontal="right" vertical="center"/>
    </xf>
    <xf numFmtId="167" fontId="3" fillId="0" borderId="0" xfId="4" quotePrefix="1" applyNumberFormat="1" applyFont="1" applyAlignment="1">
      <alignment horizontal="right" vertical="center"/>
    </xf>
    <xf numFmtId="174" fontId="8" fillId="0" borderId="8" xfId="4" quotePrefix="1" applyNumberFormat="1" applyFont="1" applyBorder="1" applyAlignment="1">
      <alignment horizontal="center" vertical="center"/>
    </xf>
    <xf numFmtId="174" fontId="8" fillId="0" borderId="28" xfId="4" quotePrefix="1" applyNumberFormat="1" applyFont="1" applyBorder="1" applyAlignment="1">
      <alignment horizontal="center" vertical="center"/>
    </xf>
    <xf numFmtId="167" fontId="8" fillId="0" borderId="29" xfId="4" quotePrefix="1" applyNumberFormat="1" applyFont="1" applyBorder="1" applyAlignment="1">
      <alignment horizontal="right" vertical="center"/>
    </xf>
    <xf numFmtId="167" fontId="8" fillId="0" borderId="8" xfId="4" quotePrefix="1" applyNumberFormat="1" applyFont="1" applyBorder="1" applyAlignment="1">
      <alignment horizontal="right" vertical="center"/>
    </xf>
    <xf numFmtId="167" fontId="8" fillId="0" borderId="28" xfId="4" quotePrefix="1" applyNumberFormat="1" applyFont="1" applyBorder="1" applyAlignment="1">
      <alignment horizontal="right" vertical="center"/>
    </xf>
    <xf numFmtId="174" fontId="8" fillId="0" borderId="0" xfId="4" quotePrefix="1" applyNumberFormat="1" applyFont="1" applyAlignment="1">
      <alignment horizontal="center" vertical="center"/>
    </xf>
    <xf numFmtId="174" fontId="8" fillId="0" borderId="17" xfId="4" quotePrefix="1" applyNumberFormat="1" applyFont="1" applyBorder="1" applyAlignment="1">
      <alignment horizontal="center" vertical="center"/>
    </xf>
    <xf numFmtId="167" fontId="8" fillId="0" borderId="10" xfId="4" quotePrefix="1" applyNumberFormat="1" applyFont="1" applyBorder="1" applyAlignment="1">
      <alignment horizontal="right" vertical="center"/>
    </xf>
    <xf numFmtId="167" fontId="8" fillId="0" borderId="0" xfId="4" quotePrefix="1" applyNumberFormat="1" applyFont="1" applyAlignment="1">
      <alignment horizontal="right" vertical="center"/>
    </xf>
    <xf numFmtId="167" fontId="8" fillId="0" borderId="17" xfId="4" quotePrefix="1" applyNumberFormat="1" applyFont="1" applyBorder="1" applyAlignment="1">
      <alignment horizontal="right" vertical="center"/>
    </xf>
    <xf numFmtId="17" fontId="8" fillId="0" borderId="0" xfId="1" applyNumberFormat="1" applyFont="1" applyBorder="1" applyAlignment="1">
      <alignment horizontal="center" vertical="center"/>
    </xf>
    <xf numFmtId="17" fontId="8" fillId="0" borderId="17" xfId="1" applyNumberFormat="1" applyFont="1" applyBorder="1" applyAlignment="1">
      <alignment horizontal="center" vertical="center"/>
    </xf>
    <xf numFmtId="167" fontId="8" fillId="0" borderId="10" xfId="1" applyNumberFormat="1" applyFont="1" applyBorder="1" applyAlignment="1">
      <alignment horizontal="right" vertical="center"/>
    </xf>
    <xf numFmtId="167" fontId="8" fillId="0" borderId="0" xfId="1" applyNumberFormat="1" applyFont="1" applyBorder="1" applyAlignment="1">
      <alignment horizontal="right" vertical="center"/>
    </xf>
    <xf numFmtId="167" fontId="8" fillId="0" borderId="17" xfId="1" applyNumberFormat="1" applyFont="1" applyBorder="1" applyAlignment="1">
      <alignment horizontal="right" vertical="center"/>
    </xf>
    <xf numFmtId="167" fontId="17" fillId="0" borderId="0" xfId="1" applyNumberFormat="1" applyFont="1" applyBorder="1" applyAlignment="1">
      <alignment horizontal="right" vertical="center"/>
    </xf>
    <xf numFmtId="174" fontId="3" fillId="0" borderId="0" xfId="4" applyNumberFormat="1" applyFont="1" applyAlignment="1">
      <alignment horizontal="left"/>
    </xf>
    <xf numFmtId="174" fontId="8" fillId="0" borderId="6" xfId="4" quotePrefix="1" applyNumberFormat="1" applyFont="1" applyBorder="1" applyAlignment="1">
      <alignment horizontal="center" vertical="center"/>
    </xf>
    <xf numFmtId="174" fontId="8" fillId="0" borderId="18" xfId="4" quotePrefix="1" applyNumberFormat="1" applyFont="1" applyBorder="1" applyAlignment="1">
      <alignment horizontal="center" vertical="center"/>
    </xf>
    <xf numFmtId="174" fontId="3" fillId="0" borderId="6" xfId="4" applyNumberFormat="1" applyFont="1" applyBorder="1"/>
    <xf numFmtId="167" fontId="8" fillId="0" borderId="27" xfId="4" quotePrefix="1" applyNumberFormat="1" applyFont="1" applyBorder="1" applyAlignment="1">
      <alignment horizontal="right" vertical="center"/>
    </xf>
    <xf numFmtId="167" fontId="8" fillId="0" borderId="6" xfId="4" quotePrefix="1" applyNumberFormat="1" applyFont="1" applyBorder="1" applyAlignment="1">
      <alignment horizontal="right" vertical="center"/>
    </xf>
    <xf numFmtId="167" fontId="8" fillId="0" borderId="18" xfId="4" quotePrefix="1" applyNumberFormat="1" applyFont="1" applyBorder="1" applyAlignment="1">
      <alignment horizontal="right" vertical="center"/>
    </xf>
    <xf numFmtId="174" fontId="3" fillId="0" borderId="0" xfId="4" applyNumberFormat="1" applyFont="1"/>
    <xf numFmtId="167" fontId="15" fillId="0" borderId="30" xfId="4" quotePrefix="1" applyNumberFormat="1" applyFont="1" applyBorder="1" applyAlignment="1">
      <alignment horizontal="right" vertical="center"/>
    </xf>
    <xf numFmtId="167" fontId="3" fillId="0" borderId="31" xfId="4" quotePrefix="1" applyNumberFormat="1" applyFont="1" applyBorder="1" applyAlignment="1">
      <alignment horizontal="right" vertical="center"/>
    </xf>
    <xf numFmtId="0" fontId="15" fillId="0" borderId="0" xfId="4" applyFont="1"/>
    <xf numFmtId="167" fontId="3" fillId="0" borderId="31" xfId="4" applyNumberFormat="1" applyFont="1" applyBorder="1" applyAlignment="1">
      <alignment horizontal="right"/>
    </xf>
    <xf numFmtId="174" fontId="3" fillId="0" borderId="17" xfId="4" applyNumberFormat="1" applyFont="1" applyBorder="1" applyAlignment="1">
      <alignment horizontal="center"/>
    </xf>
    <xf numFmtId="167" fontId="15" fillId="0" borderId="17" xfId="4" applyNumberFormat="1" applyFont="1" applyBorder="1" applyAlignment="1">
      <alignment horizontal="right"/>
    </xf>
    <xf numFmtId="167" fontId="3" fillId="0" borderId="17" xfId="4" applyNumberFormat="1" applyFont="1" applyBorder="1" applyAlignment="1">
      <alignment horizontal="right"/>
    </xf>
    <xf numFmtId="167" fontId="15" fillId="0" borderId="10" xfId="4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167" fontId="3" fillId="0" borderId="32" xfId="4" applyNumberFormat="1" applyFont="1" applyBorder="1" applyAlignment="1">
      <alignment horizontal="right"/>
    </xf>
    <xf numFmtId="174" fontId="3" fillId="0" borderId="8" xfId="4" applyNumberFormat="1" applyFont="1" applyBorder="1"/>
    <xf numFmtId="167" fontId="3" fillId="0" borderId="8" xfId="4" applyNumberFormat="1" applyFont="1" applyBorder="1" applyAlignment="1">
      <alignment horizontal="right"/>
    </xf>
    <xf numFmtId="167" fontId="3" fillId="0" borderId="33" xfId="4" quotePrefix="1" applyNumberFormat="1" applyFont="1" applyBorder="1" applyAlignment="1">
      <alignment horizontal="right" vertical="center"/>
    </xf>
    <xf numFmtId="167" fontId="3" fillId="0" borderId="34" xfId="4" quotePrefix="1" applyNumberFormat="1" applyFont="1" applyBorder="1" applyAlignment="1">
      <alignment horizontal="right" vertical="center"/>
    </xf>
    <xf numFmtId="175" fontId="3" fillId="0" borderId="34" xfId="4" quotePrefix="1" applyNumberFormat="1" applyFont="1" applyBorder="1" applyAlignment="1">
      <alignment horizontal="right" vertical="center"/>
    </xf>
    <xf numFmtId="175" fontId="3" fillId="0" borderId="33" xfId="4" quotePrefix="1" applyNumberFormat="1" applyFont="1" applyBorder="1" applyAlignment="1">
      <alignment horizontal="right" vertical="center"/>
    </xf>
    <xf numFmtId="43" fontId="3" fillId="0" borderId="33" xfId="4" quotePrefix="1" applyNumberFormat="1" applyFont="1" applyBorder="1" applyAlignment="1">
      <alignment horizontal="right" vertical="center"/>
    </xf>
    <xf numFmtId="176" fontId="3" fillId="0" borderId="33" xfId="4" quotePrefix="1" applyNumberFormat="1" applyFont="1" applyBorder="1" applyAlignment="1">
      <alignment horizontal="right" vertical="center"/>
    </xf>
    <xf numFmtId="17" fontId="8" fillId="0" borderId="6" xfId="4" quotePrefix="1" applyNumberFormat="1" applyFont="1" applyBorder="1" applyAlignment="1">
      <alignment horizontal="center" vertical="center"/>
    </xf>
    <xf numFmtId="17" fontId="8" fillId="0" borderId="18" xfId="4" quotePrefix="1" applyNumberFormat="1" applyFont="1" applyBorder="1" applyAlignment="1">
      <alignment horizontal="center" vertical="center"/>
    </xf>
    <xf numFmtId="0" fontId="8" fillId="0" borderId="6" xfId="4" applyFont="1" applyBorder="1"/>
    <xf numFmtId="167" fontId="8" fillId="0" borderId="6" xfId="4" applyNumberFormat="1" applyFont="1" applyBorder="1" applyAlignment="1">
      <alignment horizontal="right"/>
    </xf>
    <xf numFmtId="177" fontId="3" fillId="0" borderId="0" xfId="1" applyNumberFormat="1" applyFont="1" applyBorder="1" applyAlignment="1">
      <alignment horizontal="center"/>
    </xf>
    <xf numFmtId="177" fontId="3" fillId="0" borderId="17" xfId="1" applyNumberFormat="1" applyFont="1" applyBorder="1" applyAlignment="1">
      <alignment horizontal="center"/>
    </xf>
    <xf numFmtId="167" fontId="3" fillId="0" borderId="1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right"/>
    </xf>
    <xf numFmtId="167" fontId="3" fillId="0" borderId="17" xfId="1" applyNumberFormat="1" applyFont="1" applyBorder="1" applyAlignment="1">
      <alignment horizontal="right"/>
    </xf>
    <xf numFmtId="174" fontId="8" fillId="0" borderId="6" xfId="4" applyNumberFormat="1" applyFont="1" applyBorder="1" applyAlignment="1">
      <alignment horizontal="center"/>
    </xf>
    <xf numFmtId="174" fontId="8" fillId="0" borderId="18" xfId="4" applyNumberFormat="1" applyFont="1" applyBorder="1" applyAlignment="1">
      <alignment horizontal="center"/>
    </xf>
    <xf numFmtId="167" fontId="8" fillId="0" borderId="27" xfId="4" applyNumberFormat="1" applyFont="1" applyBorder="1" applyAlignment="1">
      <alignment horizontal="right"/>
    </xf>
    <xf numFmtId="167" fontId="8" fillId="0" borderId="18" xfId="4" applyNumberFormat="1" applyFont="1" applyBorder="1" applyAlignment="1">
      <alignment horizontal="right"/>
    </xf>
    <xf numFmtId="177" fontId="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right"/>
    </xf>
    <xf numFmtId="177" fontId="8" fillId="0" borderId="6" xfId="1" applyNumberFormat="1" applyFont="1" applyBorder="1" applyAlignment="1">
      <alignment horizontal="center"/>
    </xf>
    <xf numFmtId="177" fontId="8" fillId="0" borderId="18" xfId="1" applyNumberFormat="1" applyFont="1" applyBorder="1" applyAlignment="1">
      <alignment horizontal="center"/>
    </xf>
    <xf numFmtId="167" fontId="8" fillId="0" borderId="27" xfId="1" applyNumberFormat="1" applyFont="1" applyBorder="1" applyAlignment="1">
      <alignment horizontal="right"/>
    </xf>
    <xf numFmtId="167" fontId="8" fillId="0" borderId="6" xfId="1" applyNumberFormat="1" applyFont="1" applyBorder="1" applyAlignment="1">
      <alignment horizontal="right"/>
    </xf>
    <xf numFmtId="167" fontId="8" fillId="0" borderId="18" xfId="1" applyNumberFormat="1" applyFont="1" applyBorder="1" applyAlignment="1">
      <alignment horizontal="right"/>
    </xf>
    <xf numFmtId="178" fontId="3" fillId="0" borderId="0" xfId="1" applyNumberFormat="1" applyFont="1" applyBorder="1" applyAlignment="1">
      <alignment horizontal="center"/>
    </xf>
    <xf numFmtId="178" fontId="3" fillId="0" borderId="17" xfId="1" applyNumberFormat="1" applyFont="1" applyBorder="1" applyAlignment="1">
      <alignment horizontal="center"/>
    </xf>
    <xf numFmtId="179" fontId="3" fillId="0" borderId="0" xfId="2" applyNumberFormat="1" applyFont="1" applyBorder="1" applyAlignment="1">
      <alignment horizontal="center"/>
    </xf>
    <xf numFmtId="179" fontId="3" fillId="0" borderId="17" xfId="2" applyNumberFormat="1" applyFont="1" applyBorder="1" applyAlignment="1">
      <alignment horizontal="center"/>
    </xf>
    <xf numFmtId="179" fontId="3" fillId="0" borderId="0" xfId="4" applyNumberFormat="1" applyFont="1"/>
    <xf numFmtId="167" fontId="3" fillId="0" borderId="10" xfId="2" applyNumberFormat="1" applyFont="1" applyBorder="1" applyAlignment="1">
      <alignment horizontal="right"/>
    </xf>
    <xf numFmtId="167" fontId="3" fillId="0" borderId="0" xfId="2" applyNumberFormat="1" applyFont="1" applyBorder="1" applyAlignment="1">
      <alignment horizontal="right"/>
    </xf>
    <xf numFmtId="167" fontId="3" fillId="0" borderId="17" xfId="2" applyNumberFormat="1" applyFont="1" applyBorder="1" applyAlignment="1">
      <alignment horizontal="right"/>
    </xf>
    <xf numFmtId="168" fontId="3" fillId="0" borderId="0" xfId="3" applyNumberFormat="1" applyFont="1" applyBorder="1" applyAlignment="1">
      <alignment horizontal="center" vertical="center"/>
    </xf>
    <xf numFmtId="168" fontId="3" fillId="0" borderId="17" xfId="3" applyNumberFormat="1" applyFont="1" applyBorder="1" applyAlignment="1">
      <alignment horizontal="center" vertical="center"/>
    </xf>
    <xf numFmtId="167" fontId="3" fillId="0" borderId="10" xfId="3" applyNumberFormat="1" applyFont="1" applyBorder="1" applyAlignment="1">
      <alignment horizontal="right" vertical="center"/>
    </xf>
    <xf numFmtId="167" fontId="3" fillId="0" borderId="0" xfId="3" applyNumberFormat="1" applyFont="1" applyBorder="1" applyAlignment="1">
      <alignment horizontal="right" vertical="center"/>
    </xf>
    <xf numFmtId="167" fontId="3" fillId="0" borderId="17" xfId="3" applyNumberFormat="1" applyFont="1" applyBorder="1" applyAlignment="1">
      <alignment horizontal="right" vertical="center"/>
    </xf>
    <xf numFmtId="168" fontId="8" fillId="0" borderId="6" xfId="3" applyNumberFormat="1" applyFont="1" applyBorder="1" applyAlignment="1">
      <alignment horizontal="center" vertical="center"/>
    </xf>
    <xf numFmtId="168" fontId="8" fillId="0" borderId="18" xfId="3" applyNumberFormat="1" applyFont="1" applyBorder="1" applyAlignment="1">
      <alignment horizontal="center" vertical="center"/>
    </xf>
    <xf numFmtId="167" fontId="8" fillId="0" borderId="27" xfId="3" applyNumberFormat="1" applyFont="1" applyBorder="1" applyAlignment="1">
      <alignment horizontal="right" vertical="center"/>
    </xf>
    <xf numFmtId="167" fontId="8" fillId="0" borderId="6" xfId="3" applyNumberFormat="1" applyFont="1" applyBorder="1" applyAlignment="1">
      <alignment horizontal="right" vertical="center"/>
    </xf>
    <xf numFmtId="167" fontId="8" fillId="0" borderId="18" xfId="3" applyNumberFormat="1" applyFont="1" applyBorder="1" applyAlignment="1">
      <alignment horizontal="right" vertical="center"/>
    </xf>
    <xf numFmtId="168" fontId="3" fillId="0" borderId="0" xfId="3" applyNumberFormat="1" applyFont="1" applyAlignment="1">
      <alignment horizontal="center" vertical="center"/>
    </xf>
    <xf numFmtId="167" fontId="3" fillId="0" borderId="0" xfId="3" applyNumberFormat="1" applyFont="1" applyAlignment="1">
      <alignment horizontal="right" vertical="center"/>
    </xf>
    <xf numFmtId="167" fontId="3" fillId="0" borderId="10" xfId="4" applyNumberFormat="1" applyFont="1" applyBorder="1" applyAlignment="1">
      <alignment horizontal="right"/>
    </xf>
    <xf numFmtId="6" fontId="3" fillId="0" borderId="0" xfId="4" applyNumberFormat="1" applyFont="1" applyAlignment="1">
      <alignment horizontal="center"/>
    </xf>
    <xf numFmtId="6" fontId="3" fillId="0" borderId="17" xfId="4" applyNumberFormat="1" applyFont="1" applyBorder="1" applyAlignment="1">
      <alignment horizontal="center"/>
    </xf>
    <xf numFmtId="0" fontId="3" fillId="0" borderId="0" xfId="8" applyFont="1"/>
    <xf numFmtId="6" fontId="3" fillId="0" borderId="0" xfId="9" applyNumberFormat="1" applyFont="1" applyAlignment="1">
      <alignment horizontal="center" vertical="center"/>
    </xf>
    <xf numFmtId="6" fontId="3" fillId="0" borderId="17" xfId="9" applyNumberFormat="1" applyFont="1" applyBorder="1" applyAlignment="1">
      <alignment horizontal="center" vertical="center"/>
    </xf>
    <xf numFmtId="0" fontId="3" fillId="0" borderId="0" xfId="9" applyFont="1"/>
    <xf numFmtId="167" fontId="3" fillId="0" borderId="10" xfId="9" applyNumberFormat="1" applyFont="1" applyBorder="1" applyAlignment="1">
      <alignment horizontal="right" vertical="center"/>
    </xf>
    <xf numFmtId="167" fontId="3" fillId="0" borderId="0" xfId="9" applyNumberFormat="1" applyFont="1" applyAlignment="1">
      <alignment horizontal="right"/>
    </xf>
    <xf numFmtId="167" fontId="3" fillId="0" borderId="0" xfId="9" applyNumberFormat="1" applyFont="1" applyAlignment="1">
      <alignment horizontal="right" vertical="center"/>
    </xf>
    <xf numFmtId="167" fontId="3" fillId="0" borderId="17" xfId="9" applyNumberFormat="1" applyFont="1" applyBorder="1" applyAlignment="1">
      <alignment horizontal="right" vertical="center"/>
    </xf>
    <xf numFmtId="0" fontId="3" fillId="0" borderId="0" xfId="10" applyFont="1"/>
    <xf numFmtId="0" fontId="3" fillId="0" borderId="0" xfId="11" applyFont="1"/>
    <xf numFmtId="167" fontId="3" fillId="0" borderId="0" xfId="11" applyNumberFormat="1" applyFont="1" applyAlignment="1">
      <alignment horizontal="right"/>
    </xf>
    <xf numFmtId="0" fontId="8" fillId="0" borderId="0" xfId="8" applyFont="1"/>
    <xf numFmtId="0" fontId="8" fillId="0" borderId="6" xfId="11" applyFont="1" applyBorder="1"/>
    <xf numFmtId="167" fontId="8" fillId="0" borderId="6" xfId="11" applyNumberFormat="1" applyFont="1" applyBorder="1" applyAlignment="1">
      <alignment horizontal="right"/>
    </xf>
    <xf numFmtId="8" fontId="3" fillId="0" borderId="0" xfId="11" applyNumberFormat="1" applyFont="1" applyAlignment="1">
      <alignment vertical="center"/>
    </xf>
    <xf numFmtId="6" fontId="3" fillId="0" borderId="0" xfId="11" applyNumberFormat="1" applyFont="1" applyAlignment="1">
      <alignment horizontal="center"/>
    </xf>
    <xf numFmtId="6" fontId="3" fillId="0" borderId="17" xfId="11" applyNumberFormat="1" applyFont="1" applyBorder="1" applyAlignment="1">
      <alignment horizontal="center"/>
    </xf>
    <xf numFmtId="167" fontId="3" fillId="0" borderId="10" xfId="11" applyNumberFormat="1" applyFont="1" applyBorder="1" applyAlignment="1">
      <alignment horizontal="right"/>
    </xf>
    <xf numFmtId="167" fontId="3" fillId="0" borderId="17" xfId="11" applyNumberFormat="1" applyFont="1" applyBorder="1" applyAlignment="1">
      <alignment horizontal="right"/>
    </xf>
    <xf numFmtId="9" fontId="3" fillId="0" borderId="0" xfId="3" applyFont="1" applyBorder="1" applyAlignment="1">
      <alignment horizontal="center"/>
    </xf>
    <xf numFmtId="9" fontId="3" fillId="0" borderId="17" xfId="3" applyFont="1" applyBorder="1" applyAlignment="1">
      <alignment horizontal="center"/>
    </xf>
    <xf numFmtId="167" fontId="3" fillId="0" borderId="10" xfId="3" applyNumberFormat="1" applyFont="1" applyBorder="1" applyAlignment="1">
      <alignment horizontal="right"/>
    </xf>
    <xf numFmtId="167" fontId="3" fillId="0" borderId="0" xfId="3" applyNumberFormat="1" applyFont="1" applyBorder="1" applyAlignment="1">
      <alignment horizontal="right"/>
    </xf>
    <xf numFmtId="167" fontId="3" fillId="0" borderId="17" xfId="3" applyNumberFormat="1" applyFont="1" applyBorder="1" applyAlignment="1">
      <alignment horizontal="right"/>
    </xf>
    <xf numFmtId="0" fontId="8" fillId="0" borderId="0" xfId="11" applyFont="1"/>
    <xf numFmtId="9" fontId="8" fillId="0" borderId="6" xfId="3" applyFont="1" applyBorder="1" applyAlignment="1">
      <alignment horizontal="center"/>
    </xf>
    <xf numFmtId="9" fontId="8" fillId="0" borderId="18" xfId="3" applyFont="1" applyBorder="1" applyAlignment="1">
      <alignment horizontal="center"/>
    </xf>
    <xf numFmtId="167" fontId="8" fillId="0" borderId="27" xfId="3" applyNumberFormat="1" applyFont="1" applyBorder="1" applyAlignment="1">
      <alignment horizontal="right"/>
    </xf>
    <xf numFmtId="167" fontId="8" fillId="0" borderId="6" xfId="3" applyNumberFormat="1" applyFont="1" applyBorder="1" applyAlignment="1">
      <alignment horizontal="right"/>
    </xf>
    <xf numFmtId="167" fontId="8" fillId="0" borderId="18" xfId="3" applyNumberFormat="1" applyFont="1" applyBorder="1" applyAlignment="1">
      <alignment horizontal="right"/>
    </xf>
    <xf numFmtId="39" fontId="3" fillId="0" borderId="0" xfId="1" applyNumberFormat="1" applyFont="1" applyBorder="1" applyAlignment="1">
      <alignment horizontal="center"/>
    </xf>
    <xf numFmtId="39" fontId="3" fillId="0" borderId="17" xfId="1" applyNumberFormat="1" applyFont="1" applyBorder="1" applyAlignment="1">
      <alignment horizontal="center"/>
    </xf>
    <xf numFmtId="39" fontId="3" fillId="0" borderId="10" xfId="1" applyNumberFormat="1" applyFont="1" applyBorder="1" applyAlignment="1">
      <alignment horizontal="center"/>
    </xf>
    <xf numFmtId="168" fontId="3" fillId="0" borderId="0" xfId="3" applyNumberFormat="1" applyFont="1" applyBorder="1" applyAlignment="1">
      <alignment horizontal="center"/>
    </xf>
    <xf numFmtId="168" fontId="3" fillId="0" borderId="17" xfId="3" applyNumberFormat="1" applyFont="1" applyBorder="1" applyAlignment="1">
      <alignment horizontal="center"/>
    </xf>
    <xf numFmtId="168" fontId="3" fillId="0" borderId="10" xfId="3" applyNumberFormat="1" applyFont="1" applyBorder="1" applyAlignment="1">
      <alignment horizontal="center"/>
    </xf>
    <xf numFmtId="39" fontId="3" fillId="0" borderId="0" xfId="1" applyNumberFormat="1" applyFont="1" applyAlignment="1">
      <alignment horizontal="center"/>
    </xf>
    <xf numFmtId="0" fontId="3" fillId="0" borderId="0" xfId="12" applyFont="1"/>
    <xf numFmtId="168" fontId="8" fillId="0" borderId="6" xfId="3" applyNumberFormat="1" applyFont="1" applyBorder="1" applyAlignment="1">
      <alignment horizontal="center"/>
    </xf>
    <xf numFmtId="168" fontId="8" fillId="0" borderId="18" xfId="3" applyNumberFormat="1" applyFont="1" applyBorder="1" applyAlignment="1">
      <alignment horizontal="center"/>
    </xf>
    <xf numFmtId="0" fontId="8" fillId="0" borderId="6" xfId="12" applyFont="1" applyBorder="1"/>
    <xf numFmtId="168" fontId="8" fillId="0" borderId="27" xfId="3" applyNumberFormat="1" applyFont="1" applyBorder="1" applyAlignment="1">
      <alignment horizontal="center"/>
    </xf>
    <xf numFmtId="14" fontId="8" fillId="0" borderId="6" xfId="4" quotePrefix="1" applyNumberFormat="1" applyFont="1" applyBorder="1" applyAlignment="1">
      <alignment horizontal="center" vertical="center"/>
    </xf>
    <xf numFmtId="14" fontId="8" fillId="0" borderId="18" xfId="4" quotePrefix="1" applyNumberFormat="1" applyFont="1" applyBorder="1" applyAlignment="1">
      <alignment horizontal="center" vertical="center"/>
    </xf>
    <xf numFmtId="0" fontId="3" fillId="0" borderId="6" xfId="4" applyFont="1" applyBorder="1"/>
    <xf numFmtId="14" fontId="8" fillId="0" borderId="27" xfId="4" quotePrefix="1" applyNumberFormat="1" applyFont="1" applyBorder="1" applyAlignment="1">
      <alignment horizontal="center" vertical="center"/>
    </xf>
    <xf numFmtId="9" fontId="3" fillId="0" borderId="0" xfId="3" applyFont="1" applyAlignment="1">
      <alignment horizontal="center"/>
    </xf>
    <xf numFmtId="0" fontId="3" fillId="0" borderId="21" xfId="4" applyFont="1" applyBorder="1"/>
    <xf numFmtId="9" fontId="3" fillId="0" borderId="10" xfId="3" applyFont="1" applyBorder="1" applyAlignment="1">
      <alignment horizontal="center"/>
    </xf>
    <xf numFmtId="9" fontId="8" fillId="4" borderId="35" xfId="3" applyFont="1" applyFill="1" applyBorder="1" applyAlignment="1">
      <alignment horizontal="center"/>
    </xf>
    <xf numFmtId="9" fontId="8" fillId="4" borderId="36" xfId="3" applyFont="1" applyFill="1" applyBorder="1" applyAlignment="1">
      <alignment horizontal="center"/>
    </xf>
    <xf numFmtId="9" fontId="3" fillId="0" borderId="0" xfId="3" applyFont="1" applyFill="1" applyBorder="1" applyAlignment="1">
      <alignment horizontal="center"/>
    </xf>
    <xf numFmtId="9" fontId="3" fillId="0" borderId="17" xfId="3" applyFont="1" applyFill="1" applyBorder="1" applyAlignment="1">
      <alignment horizontal="center"/>
    </xf>
    <xf numFmtId="9" fontId="3" fillId="0" borderId="0" xfId="3" applyFont="1" applyBorder="1"/>
    <xf numFmtId="9" fontId="3" fillId="0" borderId="10" xfId="3" applyFont="1" applyFill="1" applyBorder="1" applyAlignment="1">
      <alignment horizontal="center"/>
    </xf>
    <xf numFmtId="9" fontId="8" fillId="4" borderId="37" xfId="3" applyFont="1" applyFill="1" applyBorder="1" applyAlignment="1">
      <alignment horizontal="center"/>
    </xf>
    <xf numFmtId="9" fontId="8" fillId="4" borderId="38" xfId="3" applyFont="1" applyFill="1" applyBorder="1" applyAlignment="1">
      <alignment horizontal="center"/>
    </xf>
    <xf numFmtId="9" fontId="3" fillId="0" borderId="6" xfId="3" applyFont="1" applyBorder="1" applyAlignment="1">
      <alignment horizontal="center"/>
    </xf>
    <xf numFmtId="9" fontId="3" fillId="0" borderId="18" xfId="3" applyFont="1" applyBorder="1" applyAlignment="1">
      <alignment horizontal="center"/>
    </xf>
    <xf numFmtId="9" fontId="3" fillId="0" borderId="27" xfId="3" applyFont="1" applyBorder="1" applyAlignment="1">
      <alignment horizontal="center"/>
    </xf>
    <xf numFmtId="9" fontId="3" fillId="0" borderId="6" xfId="3" applyFont="1" applyBorder="1"/>
    <xf numFmtId="9" fontId="8" fillId="4" borderId="39" xfId="3" applyFont="1" applyFill="1" applyBorder="1" applyAlignment="1">
      <alignment horizontal="center"/>
    </xf>
    <xf numFmtId="9" fontId="8" fillId="4" borderId="40" xfId="3" applyFont="1" applyFill="1" applyBorder="1" applyAlignment="1">
      <alignment horizontal="center"/>
    </xf>
    <xf numFmtId="168" fontId="3" fillId="0" borderId="0" xfId="3" applyNumberFormat="1" applyFont="1" applyAlignment="1">
      <alignment horizontal="center"/>
    </xf>
    <xf numFmtId="9" fontId="3" fillId="0" borderId="0" xfId="4" applyNumberFormat="1" applyFont="1"/>
    <xf numFmtId="166" fontId="12" fillId="0" borderId="5" xfId="0" applyNumberFormat="1" applyFont="1" applyBorder="1" applyAlignment="1">
      <alignment horizontal="right"/>
    </xf>
    <xf numFmtId="174" fontId="3" fillId="0" borderId="0" xfId="4" applyNumberFormat="1" applyFont="1" applyAlignment="1">
      <alignment horizontal="right" vertical="center"/>
    </xf>
    <xf numFmtId="174" fontId="3" fillId="0" borderId="5" xfId="4" applyNumberFormat="1" applyFont="1" applyBorder="1" applyAlignment="1">
      <alignment horizontal="right" vertical="center"/>
    </xf>
    <xf numFmtId="174" fontId="8" fillId="0" borderId="6" xfId="4" applyNumberFormat="1" applyFont="1" applyBorder="1" applyAlignment="1">
      <alignment horizontal="right" vertical="center"/>
    </xf>
    <xf numFmtId="174" fontId="8" fillId="0" borderId="7" xfId="4" applyNumberFormat="1" applyFont="1" applyBorder="1" applyAlignment="1">
      <alignment horizontal="right" vertical="center"/>
    </xf>
    <xf numFmtId="8" fontId="8" fillId="0" borderId="6" xfId="4" applyNumberFormat="1" applyFont="1" applyBorder="1" applyAlignment="1">
      <alignment vertical="center"/>
    </xf>
    <xf numFmtId="172" fontId="3" fillId="0" borderId="0" xfId="4" applyNumberFormat="1" applyFont="1"/>
    <xf numFmtId="174" fontId="8" fillId="0" borderId="0" xfId="4" applyNumberFormat="1" applyFont="1" applyAlignment="1">
      <alignment horizontal="right" vertical="center"/>
    </xf>
    <xf numFmtId="174" fontId="8" fillId="0" borderId="5" xfId="4" applyNumberFormat="1" applyFont="1" applyBorder="1" applyAlignment="1">
      <alignment horizontal="right" vertical="center"/>
    </xf>
    <xf numFmtId="167" fontId="17" fillId="0" borderId="0" xfId="4" applyNumberFormat="1" applyFont="1" applyAlignment="1">
      <alignment horizontal="right" vertical="center"/>
    </xf>
    <xf numFmtId="8" fontId="8" fillId="0" borderId="6" xfId="4" quotePrefix="1" applyNumberFormat="1" applyFont="1" applyBorder="1" applyAlignment="1">
      <alignment horizontal="left" vertical="center"/>
    </xf>
    <xf numFmtId="8" fontId="3" fillId="0" borderId="0" xfId="4" applyNumberFormat="1" applyFont="1" applyAlignment="1">
      <alignment horizontal="left" indent="1"/>
    </xf>
    <xf numFmtId="180" fontId="3" fillId="0" borderId="0" xfId="4" applyNumberFormat="1" applyFont="1" applyAlignment="1">
      <alignment horizontal="right"/>
    </xf>
    <xf numFmtId="174" fontId="3" fillId="0" borderId="5" xfId="4" applyNumberFormat="1" applyFont="1" applyBorder="1" applyAlignment="1">
      <alignment horizontal="right"/>
    </xf>
    <xf numFmtId="2" fontId="3" fillId="0" borderId="0" xfId="4" applyNumberFormat="1" applyFont="1" applyAlignment="1">
      <alignment horizontal="right"/>
    </xf>
    <xf numFmtId="9" fontId="3" fillId="0" borderId="5" xfId="3" applyFont="1" applyBorder="1" applyAlignment="1">
      <alignment horizontal="right"/>
    </xf>
    <xf numFmtId="174" fontId="3" fillId="0" borderId="0" xfId="4" quotePrefix="1" applyNumberFormat="1" applyFont="1" applyAlignment="1">
      <alignment horizontal="right" vertical="center"/>
    </xf>
    <xf numFmtId="174" fontId="3" fillId="0" borderId="5" xfId="2" quotePrefix="1" applyNumberFormat="1" applyFont="1" applyBorder="1" applyAlignment="1">
      <alignment horizontal="right"/>
    </xf>
    <xf numFmtId="167" fontId="3" fillId="0" borderId="5" xfId="2" quotePrefix="1" applyNumberFormat="1" applyFont="1" applyBorder="1" applyAlignment="1">
      <alignment horizontal="right"/>
    </xf>
    <xf numFmtId="174" fontId="8" fillId="0" borderId="0" xfId="4" applyNumberFormat="1" applyFont="1"/>
    <xf numFmtId="8" fontId="8" fillId="0" borderId="0" xfId="4" applyNumberFormat="1" applyFont="1" applyAlignment="1">
      <alignment horizontal="right" vertical="center"/>
    </xf>
    <xf numFmtId="8" fontId="8" fillId="0" borderId="5" xfId="4" applyNumberFormat="1" applyFont="1" applyBorder="1" applyAlignment="1">
      <alignment horizontal="right" vertical="center"/>
    </xf>
    <xf numFmtId="7" fontId="8" fillId="0" borderId="0" xfId="4" applyNumberFormat="1" applyFont="1" applyAlignment="1">
      <alignment horizontal="right" vertical="center"/>
    </xf>
    <xf numFmtId="7" fontId="8" fillId="0" borderId="5" xfId="4" applyNumberFormat="1" applyFont="1" applyBorder="1" applyAlignment="1">
      <alignment horizontal="right" vertical="center"/>
    </xf>
    <xf numFmtId="174" fontId="8" fillId="0" borderId="6" xfId="4" applyNumberFormat="1" applyFont="1" applyBorder="1"/>
    <xf numFmtId="8" fontId="8" fillId="0" borderId="6" xfId="4" applyNumberFormat="1" applyFont="1" applyBorder="1" applyAlignment="1">
      <alignment horizontal="right" vertical="center"/>
    </xf>
    <xf numFmtId="8" fontId="8" fillId="0" borderId="7" xfId="4" applyNumberFormat="1" applyFont="1" applyBorder="1" applyAlignment="1">
      <alignment horizontal="right" vertical="center"/>
    </xf>
    <xf numFmtId="7" fontId="8" fillId="0" borderId="6" xfId="4" applyNumberFormat="1" applyFont="1" applyBorder="1" applyAlignment="1">
      <alignment horizontal="right" vertical="center"/>
    </xf>
    <xf numFmtId="7" fontId="8" fillId="0" borderId="7" xfId="4" applyNumberFormat="1" applyFont="1" applyBorder="1" applyAlignment="1">
      <alignment horizontal="right" vertical="center"/>
    </xf>
  </cellXfs>
  <cellStyles count="13">
    <cellStyle name="Comma" xfId="1" builtinId="3"/>
    <cellStyle name="Currency" xfId="2" builtinId="4"/>
    <cellStyle name="Normal" xfId="0" builtinId="0"/>
    <cellStyle name="Normal 3" xfId="7" xr:uid="{36F16E70-5465-48B3-8889-C2DB0A8131A8}"/>
    <cellStyle name="Normal_BRKR" xfId="4" xr:uid="{6486D9CC-B26E-4029-A2D6-6054F8990AED}"/>
    <cellStyle name="Normal_CVD" xfId="11" xr:uid="{ADD4E615-9C8A-4240-8DEB-008779D4816C}"/>
    <cellStyle name="Normal_ICLR" xfId="8" xr:uid="{54EB1BFD-3C3D-4216-B202-CF82D36E4DB2}"/>
    <cellStyle name="Normal_IVGN" xfId="9" xr:uid="{01C92FB3-3AFF-484C-9C1D-04E09DC56665}"/>
    <cellStyle name="Normal_PPDI" xfId="12" xr:uid="{6EDAE9D9-1252-4900-A879-0ED4D8A45A67}"/>
    <cellStyle name="Normal_TECH" xfId="6" xr:uid="{07E86390-5D5B-40DE-8EBC-42B0BA490078}"/>
    <cellStyle name="Normal_WAT" xfId="10" xr:uid="{B3311E40-074E-4B46-8B11-25A2DDCF3AC5}"/>
    <cellStyle name="Percent" xfId="3" builtinId="5"/>
    <cellStyle name="Percent 4" xfId="5" xr:uid="{91C573F4-5809-4916-9A0B-D024EED47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atson\Medical%20Devices\Companies%20-%20Coverage\VCYT\VCY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BM Upload"/>
      <sheetName val="Valuation"/>
      <sheetName val="Revenue Model"/>
      <sheetName val="Income Statement"/>
      <sheetName val="Balance Sheet"/>
      <sheetName val="Cash Flow"/>
      <sheetName val="Quarterly P&amp;L Comp"/>
      <sheetName val="Prostate Cancer"/>
      <sheetName val="Quarterly Expenses"/>
      <sheetName val="Old Revenue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1">
          <cell r="BH71">
            <v>1.1000000000000001</v>
          </cell>
          <cell r="BJ71">
            <v>1.1000000000000001</v>
          </cell>
          <cell r="BK71">
            <v>1.1000000000000001</v>
          </cell>
          <cell r="BL71">
            <v>1.1000000000000001</v>
          </cell>
          <cell r="BM71">
            <v>1.1000000000000001</v>
          </cell>
        </row>
      </sheetData>
      <sheetData sheetId="10">
        <row r="44"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2</v>
          </cell>
          <cell r="AC44">
            <v>2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D63B-495E-42F4-9697-075B78C467FD}">
  <sheetPr>
    <pageSetUpPr fitToPage="1"/>
  </sheetPr>
  <dimension ref="A1:BX63"/>
  <sheetViews>
    <sheetView showGridLines="0" tabSelected="1" zoomScaleNormal="100" workbookViewId="0">
      <pane xSplit="1" ySplit="6" topLeftCell="AO24" activePane="bottomRight" state="frozen"/>
      <selection activeCell="BF82" activeCellId="1" sqref="BU68 BF82"/>
      <selection pane="topRight" activeCell="BF82" activeCellId="1" sqref="BU68 BF82"/>
      <selection pane="bottomLeft" activeCell="BF82" activeCellId="1" sqref="BU68 BF82"/>
      <selection pane="bottomRight" activeCell="BG34" sqref="BG34"/>
    </sheetView>
  </sheetViews>
  <sheetFormatPr defaultColWidth="9.140625" defaultRowHeight="12.75" outlineLevelRow="1" outlineLevelCol="1"/>
  <cols>
    <col min="1" max="1" width="30.7109375" style="4" customWidth="1"/>
    <col min="2" max="40" width="8.7109375" style="2" hidden="1" customWidth="1" outlineLevel="1"/>
    <col min="41" max="41" width="8.7109375" style="2" customWidth="1" collapsed="1"/>
    <col min="42" max="45" width="8.7109375" style="2" hidden="1" customWidth="1" outlineLevel="1"/>
    <col min="46" max="46" width="8.7109375" style="2" customWidth="1" collapsed="1"/>
    <col min="47" max="50" width="8.7109375" style="2" customWidth="1" outlineLevel="1"/>
    <col min="51" max="51" width="8.7109375" style="2" customWidth="1"/>
    <col min="52" max="55" width="8.7109375" style="2" customWidth="1" outlineLevel="1"/>
    <col min="56" max="56" width="8.7109375" style="2" customWidth="1"/>
    <col min="57" max="60" width="8.7109375" style="2" customWidth="1" outlineLevel="1"/>
    <col min="61" max="61" width="8.7109375" style="2" customWidth="1"/>
    <col min="62" max="65" width="8.7109375" style="2" customWidth="1" outlineLevel="1"/>
    <col min="66" max="66" width="8.7109375" style="2" customWidth="1"/>
    <col min="67" max="70" width="8.7109375" style="2" hidden="1" customWidth="1" outlineLevel="1"/>
    <col min="71" max="71" width="8.7109375" style="2" customWidth="1" collapsed="1"/>
    <col min="72" max="72" width="9.140625" style="4" customWidth="1"/>
    <col min="73" max="73" width="9.140625" style="4"/>
    <col min="74" max="74" width="9.140625" style="4" customWidth="1"/>
    <col min="75" max="16384" width="9.140625" style="4"/>
  </cols>
  <sheetData>
    <row r="1" spans="1:76" ht="22.5">
      <c r="A1" s="1" t="s">
        <v>0</v>
      </c>
      <c r="AY1" s="3"/>
      <c r="BD1" s="3"/>
      <c r="BI1" s="3"/>
      <c r="BN1" s="3"/>
      <c r="BS1" s="3" t="s">
        <v>1</v>
      </c>
    </row>
    <row r="2" spans="1:76" ht="15.75">
      <c r="A2" s="5" t="s">
        <v>2</v>
      </c>
      <c r="AP2" s="6"/>
      <c r="AY2" s="7"/>
      <c r="BD2" s="7"/>
      <c r="BI2" s="7"/>
      <c r="BN2" s="7"/>
      <c r="BS2" s="7" t="s">
        <v>3</v>
      </c>
    </row>
    <row r="3" spans="1:76" ht="15.75">
      <c r="A3" s="8" t="s">
        <v>4</v>
      </c>
    </row>
    <row r="4" spans="1:76" ht="13.5" thickBot="1">
      <c r="A4" s="9"/>
      <c r="AE4" s="10"/>
      <c r="AF4" s="10"/>
      <c r="AG4" s="10"/>
      <c r="AH4" s="10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0"/>
      <c r="AV4" s="10"/>
      <c r="AW4" s="10"/>
      <c r="AX4" s="10"/>
      <c r="AY4" s="11"/>
      <c r="AZ4" s="10"/>
      <c r="BA4" s="10"/>
      <c r="BB4" s="10"/>
      <c r="BC4" s="10"/>
      <c r="BD4" s="11"/>
      <c r="BE4" s="10"/>
      <c r="BF4" s="10"/>
      <c r="BG4" s="10"/>
      <c r="BH4" s="10"/>
      <c r="BI4" s="11"/>
      <c r="BJ4" s="10"/>
      <c r="BK4" s="10"/>
      <c r="BL4" s="10"/>
      <c r="BM4" s="10"/>
      <c r="BN4" s="11"/>
      <c r="BO4" s="10"/>
      <c r="BP4" s="10"/>
      <c r="BQ4" s="10"/>
      <c r="BR4" s="10"/>
      <c r="BS4" s="11"/>
    </row>
    <row r="5" spans="1:76">
      <c r="A5" s="9"/>
      <c r="B5" s="12">
        <v>41699</v>
      </c>
      <c r="C5" s="12">
        <v>41791</v>
      </c>
      <c r="D5" s="12">
        <v>41883</v>
      </c>
      <c r="E5" s="12">
        <v>41974</v>
      </c>
      <c r="F5" s="13" t="s">
        <v>5</v>
      </c>
      <c r="G5" s="12">
        <v>42064</v>
      </c>
      <c r="H5" s="12">
        <v>42156</v>
      </c>
      <c r="I5" s="12">
        <v>42248</v>
      </c>
      <c r="J5" s="12">
        <v>42339</v>
      </c>
      <c r="K5" s="13" t="s">
        <v>6</v>
      </c>
      <c r="L5" s="12">
        <v>42430</v>
      </c>
      <c r="M5" s="12">
        <v>42522</v>
      </c>
      <c r="N5" s="12">
        <v>42614</v>
      </c>
      <c r="O5" s="12">
        <v>42705</v>
      </c>
      <c r="P5" s="13" t="s">
        <v>7</v>
      </c>
      <c r="Q5" s="12">
        <v>42795</v>
      </c>
      <c r="R5" s="12">
        <v>42887</v>
      </c>
      <c r="S5" s="12">
        <v>42979</v>
      </c>
      <c r="T5" s="12">
        <v>43070</v>
      </c>
      <c r="U5" s="13" t="s">
        <v>8</v>
      </c>
      <c r="V5" s="12">
        <v>43160</v>
      </c>
      <c r="W5" s="12">
        <v>43252</v>
      </c>
      <c r="X5" s="12">
        <v>43344</v>
      </c>
      <c r="Y5" s="12">
        <v>43435</v>
      </c>
      <c r="Z5" s="13" t="s">
        <v>9</v>
      </c>
      <c r="AA5" s="12">
        <v>43525</v>
      </c>
      <c r="AB5" s="12">
        <v>43617</v>
      </c>
      <c r="AC5" s="12">
        <v>43709</v>
      </c>
      <c r="AD5" s="12">
        <v>43800</v>
      </c>
      <c r="AE5" s="13" t="s">
        <v>10</v>
      </c>
      <c r="AF5" s="12">
        <v>43891</v>
      </c>
      <c r="AG5" s="12">
        <v>43983</v>
      </c>
      <c r="AH5" s="12">
        <v>44075</v>
      </c>
      <c r="AI5" s="12">
        <v>44166</v>
      </c>
      <c r="AJ5" s="13" t="s">
        <v>11</v>
      </c>
      <c r="AK5" s="12">
        <v>44256</v>
      </c>
      <c r="AL5" s="12">
        <v>44348</v>
      </c>
      <c r="AM5" s="12">
        <v>44440</v>
      </c>
      <c r="AN5" s="12">
        <v>44531</v>
      </c>
      <c r="AO5" s="13" t="s">
        <v>12</v>
      </c>
      <c r="AP5" s="12">
        <v>44621</v>
      </c>
      <c r="AQ5" s="12">
        <v>44713</v>
      </c>
      <c r="AR5" s="12">
        <v>44805</v>
      </c>
      <c r="AS5" s="12">
        <v>44896</v>
      </c>
      <c r="AT5" s="13" t="s">
        <v>13</v>
      </c>
      <c r="AU5" s="12">
        <v>44986</v>
      </c>
      <c r="AV5" s="12">
        <v>45078</v>
      </c>
      <c r="AW5" s="12">
        <v>45170</v>
      </c>
      <c r="AX5" s="12">
        <v>45261</v>
      </c>
      <c r="AY5" s="13" t="s">
        <v>14</v>
      </c>
      <c r="AZ5" s="12">
        <v>45352</v>
      </c>
      <c r="BA5" s="12">
        <v>45444</v>
      </c>
      <c r="BB5" s="12">
        <v>45536</v>
      </c>
      <c r="BC5" s="12">
        <v>45627</v>
      </c>
      <c r="BD5" s="13" t="s">
        <v>15</v>
      </c>
      <c r="BE5" s="12">
        <v>45717</v>
      </c>
      <c r="BF5" s="12">
        <v>45809</v>
      </c>
      <c r="BG5" s="12">
        <v>45901</v>
      </c>
      <c r="BH5" s="12">
        <v>45992</v>
      </c>
      <c r="BI5" s="13" t="s">
        <v>16</v>
      </c>
      <c r="BJ5" s="12">
        <f>DATE(YEAR(BE5)+1,MONTH(BE5),DAY(BE5))</f>
        <v>46082</v>
      </c>
      <c r="BK5" s="12">
        <f>DATE(YEAR(BF5)+1,MONTH(BF5),DAY(BF5))</f>
        <v>46174</v>
      </c>
      <c r="BL5" s="12">
        <f>DATE(YEAR(BG5)+1,MONTH(BG5),DAY(BG5))</f>
        <v>46266</v>
      </c>
      <c r="BM5" s="12">
        <f>DATE(YEAR(BH5)+1,MONTH(BH5),DAY(BH5))</f>
        <v>46357</v>
      </c>
      <c r="BN5" s="13" t="s">
        <v>17</v>
      </c>
      <c r="BO5" s="12">
        <f>DATE(YEAR(BJ5)+1,MONTH(BJ5),DAY(BJ5))</f>
        <v>46447</v>
      </c>
      <c r="BP5" s="12">
        <f>DATE(YEAR(BK5)+1,MONTH(BK5),DAY(BK5))</f>
        <v>46539</v>
      </c>
      <c r="BQ5" s="12">
        <f>DATE(YEAR(BL5)+1,MONTH(BL5),DAY(BL5))</f>
        <v>46631</v>
      </c>
      <c r="BR5" s="12">
        <f>DATE(YEAR(BM5)+1,MONTH(BM5),DAY(BM5))</f>
        <v>46722</v>
      </c>
      <c r="BS5" s="13" t="s">
        <v>18</v>
      </c>
    </row>
    <row r="6" spans="1:76">
      <c r="B6" s="14" t="s">
        <v>19</v>
      </c>
      <c r="C6" s="14" t="s">
        <v>20</v>
      </c>
      <c r="D6" s="14" t="s">
        <v>21</v>
      </c>
      <c r="E6" s="14" t="s">
        <v>22</v>
      </c>
      <c r="F6" s="15" t="s">
        <v>23</v>
      </c>
      <c r="G6" s="14" t="s">
        <v>24</v>
      </c>
      <c r="H6" s="14" t="s">
        <v>25</v>
      </c>
      <c r="I6" s="14" t="s">
        <v>26</v>
      </c>
      <c r="J6" s="14" t="s">
        <v>27</v>
      </c>
      <c r="K6" s="15" t="s">
        <v>23</v>
      </c>
      <c r="L6" s="14" t="s">
        <v>28</v>
      </c>
      <c r="M6" s="14" t="s">
        <v>29</v>
      </c>
      <c r="N6" s="14" t="s">
        <v>30</v>
      </c>
      <c r="O6" s="14" t="s">
        <v>31</v>
      </c>
      <c r="P6" s="15" t="s">
        <v>23</v>
      </c>
      <c r="Q6" s="14" t="s">
        <v>32</v>
      </c>
      <c r="R6" s="14" t="s">
        <v>33</v>
      </c>
      <c r="S6" s="14" t="s">
        <v>34</v>
      </c>
      <c r="T6" s="14" t="s">
        <v>35</v>
      </c>
      <c r="U6" s="15" t="s">
        <v>23</v>
      </c>
      <c r="V6" s="14" t="s">
        <v>36</v>
      </c>
      <c r="W6" s="14" t="s">
        <v>37</v>
      </c>
      <c r="X6" s="14" t="s">
        <v>38</v>
      </c>
      <c r="Y6" s="14" t="s">
        <v>39</v>
      </c>
      <c r="Z6" s="15" t="s">
        <v>23</v>
      </c>
      <c r="AA6" s="14" t="s">
        <v>40</v>
      </c>
      <c r="AB6" s="14" t="s">
        <v>41</v>
      </c>
      <c r="AC6" s="14" t="s">
        <v>42</v>
      </c>
      <c r="AD6" s="14" t="s">
        <v>43</v>
      </c>
      <c r="AE6" s="15" t="s">
        <v>23</v>
      </c>
      <c r="AF6" s="14" t="s">
        <v>44</v>
      </c>
      <c r="AG6" s="14" t="s">
        <v>45</v>
      </c>
      <c r="AH6" s="14" t="s">
        <v>46</v>
      </c>
      <c r="AI6" s="14" t="s">
        <v>47</v>
      </c>
      <c r="AJ6" s="15" t="s">
        <v>23</v>
      </c>
      <c r="AK6" s="14" t="s">
        <v>48</v>
      </c>
      <c r="AL6" s="14" t="s">
        <v>49</v>
      </c>
      <c r="AM6" s="14" t="s">
        <v>50</v>
      </c>
      <c r="AN6" s="14" t="s">
        <v>51</v>
      </c>
      <c r="AO6" s="15" t="s">
        <v>23</v>
      </c>
      <c r="AP6" s="14" t="s">
        <v>52</v>
      </c>
      <c r="AQ6" s="14" t="s">
        <v>53</v>
      </c>
      <c r="AR6" s="14" t="s">
        <v>54</v>
      </c>
      <c r="AS6" s="14" t="s">
        <v>55</v>
      </c>
      <c r="AT6" s="15" t="s">
        <v>23</v>
      </c>
      <c r="AU6" s="14" t="s">
        <v>56</v>
      </c>
      <c r="AV6" s="14" t="s">
        <v>57</v>
      </c>
      <c r="AW6" s="14" t="s">
        <v>58</v>
      </c>
      <c r="AX6" s="14" t="s">
        <v>59</v>
      </c>
      <c r="AY6" s="15" t="s">
        <v>23</v>
      </c>
      <c r="AZ6" s="14" t="s">
        <v>60</v>
      </c>
      <c r="BA6" s="14" t="s">
        <v>61</v>
      </c>
      <c r="BB6" s="14" t="s">
        <v>62</v>
      </c>
      <c r="BC6" s="14" t="s">
        <v>63</v>
      </c>
      <c r="BD6" s="15" t="s">
        <v>23</v>
      </c>
      <c r="BE6" s="14" t="s">
        <v>64</v>
      </c>
      <c r="BF6" s="14" t="s">
        <v>65</v>
      </c>
      <c r="BG6" s="14" t="s">
        <v>66</v>
      </c>
      <c r="BH6" s="14" t="s">
        <v>67</v>
      </c>
      <c r="BI6" s="15" t="s">
        <v>23</v>
      </c>
      <c r="BJ6" s="14" t="s">
        <v>68</v>
      </c>
      <c r="BK6" s="14" t="s">
        <v>69</v>
      </c>
      <c r="BL6" s="14" t="s">
        <v>70</v>
      </c>
      <c r="BM6" s="14" t="s">
        <v>71</v>
      </c>
      <c r="BN6" s="15" t="s">
        <v>23</v>
      </c>
      <c r="BO6" s="14" t="s">
        <v>72</v>
      </c>
      <c r="BP6" s="14" t="s">
        <v>73</v>
      </c>
      <c r="BQ6" s="14" t="s">
        <v>74</v>
      </c>
      <c r="BR6" s="14" t="s">
        <v>75</v>
      </c>
      <c r="BS6" s="15" t="s">
        <v>23</v>
      </c>
      <c r="BT6" s="16"/>
    </row>
    <row r="7" spans="1:76">
      <c r="A7" s="9" t="s">
        <v>76</v>
      </c>
      <c r="B7" s="17"/>
      <c r="C7" s="17"/>
      <c r="D7" s="17"/>
      <c r="E7" s="17"/>
      <c r="F7" s="18"/>
      <c r="G7" s="17"/>
      <c r="H7" s="17"/>
      <c r="I7" s="17"/>
      <c r="J7" s="17"/>
      <c r="K7" s="18"/>
      <c r="L7" s="17"/>
      <c r="M7" s="17"/>
      <c r="N7" s="17"/>
      <c r="O7" s="17"/>
      <c r="P7" s="18"/>
      <c r="Q7" s="17"/>
      <c r="R7" s="17"/>
      <c r="S7" s="17"/>
      <c r="T7" s="17"/>
      <c r="U7" s="18"/>
      <c r="V7" s="17"/>
      <c r="W7" s="17"/>
      <c r="X7" s="17"/>
      <c r="Y7" s="17"/>
      <c r="Z7" s="18"/>
      <c r="AA7" s="17"/>
      <c r="AB7" s="17"/>
      <c r="AC7" s="17"/>
      <c r="AD7" s="17"/>
      <c r="AE7" s="18"/>
      <c r="AF7" s="17"/>
      <c r="AG7" s="17"/>
      <c r="AH7" s="17"/>
      <c r="AI7" s="17"/>
      <c r="AJ7" s="18"/>
      <c r="AK7" s="17"/>
      <c r="AL7" s="17"/>
      <c r="AM7" s="17"/>
      <c r="AN7" s="17"/>
      <c r="AO7" s="18"/>
      <c r="AP7" s="17"/>
      <c r="AQ7" s="17"/>
      <c r="AR7" s="17"/>
      <c r="AS7" s="17"/>
      <c r="AT7" s="18"/>
      <c r="AU7" s="17"/>
      <c r="AV7" s="17"/>
      <c r="AW7" s="17"/>
      <c r="AX7" s="17"/>
      <c r="AY7" s="18"/>
      <c r="AZ7" s="17"/>
      <c r="BA7" s="17"/>
      <c r="BB7" s="17"/>
      <c r="BC7" s="17"/>
      <c r="BD7" s="18"/>
      <c r="BE7" s="17"/>
      <c r="BF7" s="17"/>
      <c r="BG7" s="17"/>
      <c r="BH7" s="17"/>
      <c r="BI7" s="18"/>
      <c r="BJ7" s="17"/>
      <c r="BK7" s="17"/>
      <c r="BL7" s="17"/>
      <c r="BM7" s="17"/>
      <c r="BN7" s="18"/>
      <c r="BO7" s="17"/>
      <c r="BP7" s="17"/>
      <c r="BQ7" s="17"/>
      <c r="BR7" s="17"/>
      <c r="BS7" s="18"/>
      <c r="BU7" s="19"/>
    </row>
    <row r="8" spans="1:76">
      <c r="A8" s="20" t="s">
        <v>77</v>
      </c>
      <c r="B8" s="21">
        <v>7.476</v>
      </c>
      <c r="C8" s="21">
        <v>8.6769999999999996</v>
      </c>
      <c r="D8" s="21">
        <v>9.8379999999999992</v>
      </c>
      <c r="E8" s="21">
        <v>12.199</v>
      </c>
      <c r="F8" s="22">
        <f>SUM(B8:E8)</f>
        <v>38.19</v>
      </c>
      <c r="G8" s="21">
        <v>11.218</v>
      </c>
      <c r="H8" s="21">
        <v>11.907999999999999</v>
      </c>
      <c r="I8" s="21">
        <v>12.335000000000001</v>
      </c>
      <c r="J8" s="21">
        <v>14.042</v>
      </c>
      <c r="K8" s="22">
        <f>SUM(G8:J8)</f>
        <v>49.503</v>
      </c>
      <c r="L8" s="21">
        <v>13.55</v>
      </c>
      <c r="M8" s="21">
        <v>14.675000000000001</v>
      </c>
      <c r="N8" s="21">
        <v>18.603000000000002</v>
      </c>
      <c r="O8" s="21">
        <v>18.257000000000001</v>
      </c>
      <c r="P8" s="22">
        <f>SUM(L8:O8)</f>
        <v>65.085000000000008</v>
      </c>
      <c r="Q8" s="21">
        <v>16.431999999999999</v>
      </c>
      <c r="R8" s="21">
        <v>18.405999999999999</v>
      </c>
      <c r="S8" s="21">
        <v>17.518999999999998</v>
      </c>
      <c r="T8" s="21">
        <v>19.596</v>
      </c>
      <c r="U8" s="22">
        <f>SUM(Q8:T8)</f>
        <v>71.952999999999989</v>
      </c>
      <c r="V8" s="21">
        <v>20.041</v>
      </c>
      <c r="W8" s="21">
        <v>22.300999999999998</v>
      </c>
      <c r="X8" s="21">
        <v>23.216000000000001</v>
      </c>
      <c r="Y8" s="21">
        <v>25.5</v>
      </c>
      <c r="Z8" s="22">
        <f>SUM(V8:Y8)</f>
        <v>91.057999999999993</v>
      </c>
      <c r="AA8" s="21">
        <v>25.388999999999999</v>
      </c>
      <c r="AB8" s="21">
        <v>26.686</v>
      </c>
      <c r="AC8" s="21">
        <v>26.722999999999999</v>
      </c>
      <c r="AD8" s="21">
        <v>28.556999999999999</v>
      </c>
      <c r="AE8" s="22">
        <f>SUM(AA8:AD8)</f>
        <v>107.355</v>
      </c>
      <c r="AF8" s="21">
        <v>26.991</v>
      </c>
      <c r="AG8" s="21">
        <v>15.212</v>
      </c>
      <c r="AH8" s="21">
        <v>28.27</v>
      </c>
      <c r="AI8" s="21">
        <v>31.497</v>
      </c>
      <c r="AJ8" s="22">
        <f>SUM(AF8:AI8)</f>
        <v>101.97</v>
      </c>
      <c r="AK8" s="21">
        <v>33.078000000000003</v>
      </c>
      <c r="AL8" s="23">
        <v>50.792999999999999</v>
      </c>
      <c r="AM8" s="23">
        <v>50.896999999999998</v>
      </c>
      <c r="AN8" s="23">
        <v>53.414000000000001</v>
      </c>
      <c r="AO8" s="22">
        <f>SUM(AK8:AN8)</f>
        <v>188.18200000000002</v>
      </c>
      <c r="AP8" s="23">
        <v>55.98</v>
      </c>
      <c r="AQ8" s="23">
        <v>59.718000000000004</v>
      </c>
      <c r="AR8" s="23">
        <v>64.576999999999998</v>
      </c>
      <c r="AS8" s="23">
        <v>70.269000000000005</v>
      </c>
      <c r="AT8" s="22">
        <f>SUM(AP8:AS8)</f>
        <v>250.54400000000001</v>
      </c>
      <c r="AU8" s="23">
        <v>72.396000000000001</v>
      </c>
      <c r="AV8" s="23">
        <v>81.748999999999995</v>
      </c>
      <c r="AW8" s="23">
        <v>82.012</v>
      </c>
      <c r="AX8" s="23">
        <v>90.385000000000005</v>
      </c>
      <c r="AY8" s="22">
        <f>SUM(AU8:AX8)</f>
        <v>326.54199999999997</v>
      </c>
      <c r="AZ8" s="23">
        <v>90.302999999999997</v>
      </c>
      <c r="BA8" s="23">
        <v>106.97</v>
      </c>
      <c r="BB8" s="23">
        <v>109.536</v>
      </c>
      <c r="BC8" s="23">
        <v>112.152</v>
      </c>
      <c r="BD8" s="22">
        <f>SUM(AZ8:BC8)</f>
        <v>418.96099999999996</v>
      </c>
      <c r="BE8" s="23">
        <v>107.309</v>
      </c>
      <c r="BF8" s="23">
        <v>122.26300000000001</v>
      </c>
      <c r="BG8" s="23">
        <v>127.756</v>
      </c>
      <c r="BH8" s="23">
        <v>135.82599999999999</v>
      </c>
      <c r="BI8" s="22">
        <f>SUM(BE8:BH8)</f>
        <v>493.154</v>
      </c>
      <c r="BJ8" s="24">
        <f t="shared" ref="BJ8:BM9" si="0">BJ28*BJ40/1000000</f>
        <v>126.5009</v>
      </c>
      <c r="BK8" s="24">
        <f t="shared" si="0"/>
        <v>143.52642299999999</v>
      </c>
      <c r="BL8" s="24">
        <f t="shared" si="0"/>
        <v>142.92070000000001</v>
      </c>
      <c r="BM8" s="24">
        <f t="shared" si="0"/>
        <v>149.69800000000001</v>
      </c>
      <c r="BN8" s="22">
        <f>SUM(BJ8:BM8)</f>
        <v>562.64602300000001</v>
      </c>
      <c r="BO8" s="24">
        <f t="shared" ref="BO8:BR9" si="1">BO28*BO40/1000000</f>
        <v>140.28430999999998</v>
      </c>
      <c r="BP8" s="24">
        <f t="shared" si="1"/>
        <v>159.27291492000001</v>
      </c>
      <c r="BQ8" s="24">
        <f t="shared" si="1"/>
        <v>158.77311499999999</v>
      </c>
      <c r="BR8" s="24">
        <f t="shared" si="1"/>
        <v>166.09808000000001</v>
      </c>
      <c r="BS8" s="22">
        <f>SUM(BO8:BR8)</f>
        <v>624.4284199199999</v>
      </c>
      <c r="BT8" s="25"/>
      <c r="BU8" s="25"/>
    </row>
    <row r="9" spans="1:76">
      <c r="A9" s="20" t="s">
        <v>78</v>
      </c>
      <c r="B9" s="21">
        <v>0</v>
      </c>
      <c r="C9" s="23">
        <v>0</v>
      </c>
      <c r="D9" s="23">
        <v>0</v>
      </c>
      <c r="E9" s="23">
        <v>0</v>
      </c>
      <c r="F9" s="22">
        <f>SUM(B9:E9)</f>
        <v>0</v>
      </c>
      <c r="G9" s="23">
        <v>0</v>
      </c>
      <c r="H9" s="23">
        <v>0</v>
      </c>
      <c r="I9" s="23">
        <v>0</v>
      </c>
      <c r="J9" s="23">
        <v>0</v>
      </c>
      <c r="K9" s="22">
        <f>SUM(G9:J9)</f>
        <v>0</v>
      </c>
      <c r="L9" s="23">
        <v>0</v>
      </c>
      <c r="M9" s="23">
        <v>0</v>
      </c>
      <c r="N9" s="23">
        <v>0</v>
      </c>
      <c r="O9" s="23">
        <v>0</v>
      </c>
      <c r="P9" s="22">
        <f>SUM(L9:O9)</f>
        <v>0</v>
      </c>
      <c r="Q9" s="23">
        <v>0</v>
      </c>
      <c r="R9" s="23">
        <v>0</v>
      </c>
      <c r="S9" s="23">
        <v>0</v>
      </c>
      <c r="T9" s="23">
        <v>0</v>
      </c>
      <c r="U9" s="22">
        <f>SUM(Q9:T9)</f>
        <v>0</v>
      </c>
      <c r="V9" s="23">
        <v>0</v>
      </c>
      <c r="W9" s="23">
        <v>0</v>
      </c>
      <c r="X9" s="23">
        <v>0</v>
      </c>
      <c r="Y9" s="23">
        <v>0</v>
      </c>
      <c r="Z9" s="22">
        <f>SUM(V9:Y9)</f>
        <v>0</v>
      </c>
      <c r="AA9" s="23">
        <v>0</v>
      </c>
      <c r="AB9" s="23">
        <v>0</v>
      </c>
      <c r="AC9" s="23">
        <v>0</v>
      </c>
      <c r="AD9" s="23">
        <v>0.92300000000000004</v>
      </c>
      <c r="AE9" s="22">
        <f>SUM(AA9:AD9)</f>
        <v>0.92300000000000004</v>
      </c>
      <c r="AF9" s="23">
        <v>3.4089999999999998</v>
      </c>
      <c r="AG9" s="23">
        <v>1.7130000000000001</v>
      </c>
      <c r="AH9" s="23">
        <v>2.0270000000000001</v>
      </c>
      <c r="AI9" s="23">
        <v>2.6960000000000002</v>
      </c>
      <c r="AJ9" s="22">
        <f>SUM(AF9:AI9)</f>
        <v>9.8450000000000006</v>
      </c>
      <c r="AK9" s="23">
        <v>3.0590000000000002</v>
      </c>
      <c r="AL9" s="23">
        <v>2.6880000000000002</v>
      </c>
      <c r="AM9" s="23">
        <v>2.9590000000000001</v>
      </c>
      <c r="AN9" s="23">
        <v>2.758</v>
      </c>
      <c r="AO9" s="22">
        <f>SUM(AK9:AN9)</f>
        <v>11.463999999999999</v>
      </c>
      <c r="AP9" s="23">
        <v>2.9790000000000001</v>
      </c>
      <c r="AQ9" s="23">
        <v>3.1080000000000001</v>
      </c>
      <c r="AR9" s="23">
        <v>3.3140000000000001</v>
      </c>
      <c r="AS9" s="23">
        <v>3.2309999999999999</v>
      </c>
      <c r="AT9" s="22">
        <f>SUM(AP9:AS9)</f>
        <v>12.632</v>
      </c>
      <c r="AU9" s="23">
        <v>3.8919999999999999</v>
      </c>
      <c r="AV9" s="23">
        <v>4.0110000000000001</v>
      </c>
      <c r="AW9" s="23">
        <v>4.0199999999999996</v>
      </c>
      <c r="AX9" s="23">
        <v>3.665</v>
      </c>
      <c r="AY9" s="22">
        <f>SUM(AU9:AX9)</f>
        <v>15.588000000000001</v>
      </c>
      <c r="AZ9" s="23">
        <v>3.5369999999999999</v>
      </c>
      <c r="BA9" s="23">
        <v>3.9060000000000001</v>
      </c>
      <c r="BB9" s="23">
        <v>3.1880000000000002</v>
      </c>
      <c r="BC9" s="23">
        <v>3.0190000000000001</v>
      </c>
      <c r="BD9" s="22">
        <f>SUM(AZ9:BC9)</f>
        <v>13.65</v>
      </c>
      <c r="BE9" s="23">
        <v>3.58</v>
      </c>
      <c r="BF9" s="23">
        <v>3.5979999999999999</v>
      </c>
      <c r="BG9" s="23">
        <v>3.3010000000000002</v>
      </c>
      <c r="BH9" s="23">
        <v>3.8479999999999999</v>
      </c>
      <c r="BI9" s="22">
        <f>SUM(BE9:BH9)</f>
        <v>14.326999999999998</v>
      </c>
      <c r="BJ9" s="24">
        <f t="shared" si="0"/>
        <v>3.7637649999999994</v>
      </c>
      <c r="BK9" s="24">
        <f t="shared" si="0"/>
        <v>3.6978624999999998</v>
      </c>
      <c r="BL9" s="24">
        <f t="shared" si="0"/>
        <v>3.204326</v>
      </c>
      <c r="BM9" s="24">
        <f t="shared" si="0"/>
        <v>3.6656435000000003</v>
      </c>
      <c r="BN9" s="22">
        <f>SUM(BJ9:BM9)</f>
        <v>14.331596999999999</v>
      </c>
      <c r="BO9" s="24">
        <f t="shared" si="1"/>
        <v>3.8390403000000002</v>
      </c>
      <c r="BP9" s="24">
        <f t="shared" si="1"/>
        <v>3.7718197500000001</v>
      </c>
      <c r="BQ9" s="24">
        <f t="shared" si="1"/>
        <v>3.26841252</v>
      </c>
      <c r="BR9" s="24">
        <f t="shared" si="1"/>
        <v>3.7389563700000004</v>
      </c>
      <c r="BS9" s="22">
        <f>SUM(BO9:BR9)</f>
        <v>14.618228940000002</v>
      </c>
      <c r="BT9" s="26"/>
      <c r="BU9" s="25"/>
    </row>
    <row r="10" spans="1:76">
      <c r="A10" s="27" t="s">
        <v>79</v>
      </c>
      <c r="B10" s="28">
        <v>0</v>
      </c>
      <c r="C10" s="29">
        <v>0</v>
      </c>
      <c r="D10" s="29">
        <v>0</v>
      </c>
      <c r="E10" s="29">
        <v>0</v>
      </c>
      <c r="F10" s="30">
        <f>SUM(B10:E10)</f>
        <v>0</v>
      </c>
      <c r="G10" s="29">
        <v>0</v>
      </c>
      <c r="H10" s="29">
        <v>0</v>
      </c>
      <c r="I10" s="29">
        <v>0</v>
      </c>
      <c r="J10" s="29">
        <v>0</v>
      </c>
      <c r="K10" s="30">
        <f>SUM(G10:J10)</f>
        <v>0</v>
      </c>
      <c r="L10" s="29">
        <v>0</v>
      </c>
      <c r="M10" s="29">
        <v>0</v>
      </c>
      <c r="N10" s="29">
        <v>0</v>
      </c>
      <c r="O10" s="29">
        <v>0</v>
      </c>
      <c r="P10" s="30">
        <f>SUM(L10:O10)</f>
        <v>0</v>
      </c>
      <c r="Q10" s="29">
        <v>0</v>
      </c>
      <c r="R10" s="29">
        <v>0</v>
      </c>
      <c r="S10" s="29">
        <v>0</v>
      </c>
      <c r="T10" s="29">
        <v>0</v>
      </c>
      <c r="U10" s="30">
        <f>SUM(Q10:T10)</f>
        <v>0</v>
      </c>
      <c r="V10" s="29">
        <v>0</v>
      </c>
      <c r="W10" s="29">
        <v>0.45</v>
      </c>
      <c r="X10" s="29">
        <v>0.25</v>
      </c>
      <c r="Y10" s="29">
        <v>0.25</v>
      </c>
      <c r="Z10" s="30">
        <f>SUM(V10:Y10)</f>
        <v>0.95</v>
      </c>
      <c r="AA10" s="29">
        <v>4.1399999999999997</v>
      </c>
      <c r="AB10" s="29">
        <f>1.45+2</f>
        <v>3.45</v>
      </c>
      <c r="AC10" s="29">
        <f>2.25+2</f>
        <v>4.25</v>
      </c>
      <c r="AD10" s="29">
        <v>0.25</v>
      </c>
      <c r="AE10" s="30">
        <f>SUM(AA10:AD10)</f>
        <v>12.09</v>
      </c>
      <c r="AF10" s="29">
        <v>0.72199999999999998</v>
      </c>
      <c r="AG10" s="29">
        <v>3.7789999999999999</v>
      </c>
      <c r="AH10" s="29">
        <v>0.82399999999999995</v>
      </c>
      <c r="AI10" s="29">
        <v>0.34300000000000003</v>
      </c>
      <c r="AJ10" s="30">
        <f>SUM(AF10:AI10)</f>
        <v>5.6679999999999993</v>
      </c>
      <c r="AK10" s="29">
        <v>0.56599999999999995</v>
      </c>
      <c r="AL10" s="29">
        <v>1.6240000000000001</v>
      </c>
      <c r="AM10" s="29">
        <v>6.5140000000000002</v>
      </c>
      <c r="AN10" s="23">
        <v>11.164</v>
      </c>
      <c r="AO10" s="30">
        <f>SUM(AK10:AN10)</f>
        <v>19.868000000000002</v>
      </c>
      <c r="AP10" s="29">
        <v>8.8239999999999998</v>
      </c>
      <c r="AQ10" s="29">
        <v>10.038</v>
      </c>
      <c r="AR10" s="29">
        <v>7.7009999999999996</v>
      </c>
      <c r="AS10" s="29">
        <v>6.7969999999999997</v>
      </c>
      <c r="AT10" s="30">
        <f>SUM(AP10:AS10)</f>
        <v>33.36</v>
      </c>
      <c r="AU10" s="29">
        <v>6.1340000000000003</v>
      </c>
      <c r="AV10" s="29">
        <v>4.5620000000000003</v>
      </c>
      <c r="AW10" s="29">
        <v>4.0759999999999996</v>
      </c>
      <c r="AX10" s="29">
        <v>4.149</v>
      </c>
      <c r="AY10" s="30">
        <f>SUM(AU10:AX10)</f>
        <v>18.921000000000003</v>
      </c>
      <c r="AZ10" s="29">
        <v>3.004</v>
      </c>
      <c r="BA10" s="29">
        <v>3.552</v>
      </c>
      <c r="BB10" s="29">
        <v>3.1360000000000001</v>
      </c>
      <c r="BC10" s="29">
        <v>3.4609999999999999</v>
      </c>
      <c r="BD10" s="30">
        <f>SUM(AZ10:BC10)</f>
        <v>13.153</v>
      </c>
      <c r="BE10" s="29">
        <v>3.5840000000000001</v>
      </c>
      <c r="BF10" s="29">
        <v>4.3029999999999999</v>
      </c>
      <c r="BG10" s="29">
        <v>0.81499999999999995</v>
      </c>
      <c r="BH10" s="29">
        <v>0.96199999999999997</v>
      </c>
      <c r="BI10" s="30">
        <f>SUM(BE10:BH10)</f>
        <v>9.6639999999999997</v>
      </c>
      <c r="BJ10" s="31">
        <f t="shared" ref="BJ10:BM10" si="2">BE10*(1+BJ16)</f>
        <v>0</v>
      </c>
      <c r="BK10" s="31">
        <f t="shared" si="2"/>
        <v>0</v>
      </c>
      <c r="BL10" s="31">
        <f t="shared" si="2"/>
        <v>0</v>
      </c>
      <c r="BM10" s="31">
        <f t="shared" si="2"/>
        <v>0</v>
      </c>
      <c r="BN10" s="30">
        <f>SUM(BJ10:BM10)</f>
        <v>0</v>
      </c>
      <c r="BO10" s="31">
        <f t="shared" ref="BO10:BR10" si="3">BJ10*(1+BO16)</f>
        <v>0</v>
      </c>
      <c r="BP10" s="31">
        <f t="shared" si="3"/>
        <v>0</v>
      </c>
      <c r="BQ10" s="31">
        <f t="shared" si="3"/>
        <v>0</v>
      </c>
      <c r="BR10" s="31">
        <f t="shared" si="3"/>
        <v>0</v>
      </c>
      <c r="BS10" s="30">
        <f>SUM(BO10:BR10)</f>
        <v>0</v>
      </c>
      <c r="BT10" s="16"/>
      <c r="BU10" s="32"/>
    </row>
    <row r="11" spans="1:76" ht="13.5" thickBot="1">
      <c r="A11" s="33" t="s">
        <v>80</v>
      </c>
      <c r="B11" s="34">
        <f>SUM(B8:B10)</f>
        <v>7.476</v>
      </c>
      <c r="C11" s="34">
        <f t="shared" ref="C11:E11" si="4">SUM(C8:C10)</f>
        <v>8.6769999999999996</v>
      </c>
      <c r="D11" s="34">
        <f t="shared" si="4"/>
        <v>9.8379999999999992</v>
      </c>
      <c r="E11" s="34">
        <f t="shared" si="4"/>
        <v>12.199</v>
      </c>
      <c r="F11" s="35">
        <f>SUM(B11:E11)</f>
        <v>38.19</v>
      </c>
      <c r="G11" s="34">
        <f>SUM(G8:G10)</f>
        <v>11.218</v>
      </c>
      <c r="H11" s="34">
        <f t="shared" ref="H11:J11" si="5">SUM(H8:H10)</f>
        <v>11.907999999999999</v>
      </c>
      <c r="I11" s="34">
        <f t="shared" si="5"/>
        <v>12.335000000000001</v>
      </c>
      <c r="J11" s="34">
        <f t="shared" si="5"/>
        <v>14.042</v>
      </c>
      <c r="K11" s="35">
        <f>SUM(G11:J11)</f>
        <v>49.503</v>
      </c>
      <c r="L11" s="34">
        <f>SUM(L8:L10)</f>
        <v>13.55</v>
      </c>
      <c r="M11" s="34">
        <f t="shared" ref="M11:O11" si="6">SUM(M8:M10)</f>
        <v>14.675000000000001</v>
      </c>
      <c r="N11" s="34">
        <f t="shared" si="6"/>
        <v>18.603000000000002</v>
      </c>
      <c r="O11" s="34">
        <f t="shared" si="6"/>
        <v>18.257000000000001</v>
      </c>
      <c r="P11" s="35">
        <f>SUM(L11:O11)</f>
        <v>65.085000000000008</v>
      </c>
      <c r="Q11" s="34">
        <f>SUM(Q8:Q10)</f>
        <v>16.431999999999999</v>
      </c>
      <c r="R11" s="34">
        <f t="shared" ref="R11:T11" si="7">SUM(R8:R10)</f>
        <v>18.405999999999999</v>
      </c>
      <c r="S11" s="34">
        <f t="shared" si="7"/>
        <v>17.518999999999998</v>
      </c>
      <c r="T11" s="34">
        <f t="shared" si="7"/>
        <v>19.596</v>
      </c>
      <c r="U11" s="35">
        <f>SUM(Q11:T11)</f>
        <v>71.952999999999989</v>
      </c>
      <c r="V11" s="34">
        <f>SUM(V8:V10)</f>
        <v>20.041</v>
      </c>
      <c r="W11" s="34">
        <f t="shared" ref="W11:Y11" si="8">SUM(W8:W10)</f>
        <v>22.750999999999998</v>
      </c>
      <c r="X11" s="34">
        <f t="shared" si="8"/>
        <v>23.466000000000001</v>
      </c>
      <c r="Y11" s="34">
        <f t="shared" si="8"/>
        <v>25.75</v>
      </c>
      <c r="Z11" s="35">
        <f>SUM(V11:Y11)</f>
        <v>92.00800000000001</v>
      </c>
      <c r="AA11" s="34">
        <f>SUM(AA8:AA10)</f>
        <v>29.529</v>
      </c>
      <c r="AB11" s="34">
        <f t="shared" ref="AB11:AD11" si="9">SUM(AB8:AB10)</f>
        <v>30.135999999999999</v>
      </c>
      <c r="AC11" s="34">
        <f t="shared" si="9"/>
        <v>30.972999999999999</v>
      </c>
      <c r="AD11" s="34">
        <f t="shared" si="9"/>
        <v>29.729999999999997</v>
      </c>
      <c r="AE11" s="35">
        <f>SUM(AA11:AD11)</f>
        <v>120.36799999999999</v>
      </c>
      <c r="AF11" s="34">
        <f>SUM(AF8:AF10)</f>
        <v>31.122</v>
      </c>
      <c r="AG11" s="34">
        <f t="shared" ref="AG11:AI11" si="10">SUM(AG8:AG10)</f>
        <v>20.704000000000001</v>
      </c>
      <c r="AH11" s="34">
        <f t="shared" si="10"/>
        <v>31.121000000000002</v>
      </c>
      <c r="AI11" s="34">
        <f t="shared" si="10"/>
        <v>34.536000000000001</v>
      </c>
      <c r="AJ11" s="35">
        <f>SUM(AF11:AI11)</f>
        <v>117.483</v>
      </c>
      <c r="AK11" s="34">
        <f>SUM(AK8:AK10)</f>
        <v>36.703000000000003</v>
      </c>
      <c r="AL11" s="34">
        <f t="shared" ref="AL11:AN11" si="11">SUM(AL8:AL10)</f>
        <v>55.105000000000004</v>
      </c>
      <c r="AM11" s="34">
        <f t="shared" si="11"/>
        <v>60.370000000000005</v>
      </c>
      <c r="AN11" s="34">
        <f t="shared" si="11"/>
        <v>67.335999999999999</v>
      </c>
      <c r="AO11" s="35">
        <f>SUM(AK11:AN11)</f>
        <v>219.51400000000001</v>
      </c>
      <c r="AP11" s="34">
        <f>SUM(AP8:AP10)</f>
        <v>67.783000000000001</v>
      </c>
      <c r="AQ11" s="34">
        <f t="shared" ref="AQ11:AS11" si="12">SUM(AQ8:AQ10)</f>
        <v>72.864000000000004</v>
      </c>
      <c r="AR11" s="34">
        <f t="shared" si="12"/>
        <v>75.591999999999985</v>
      </c>
      <c r="AS11" s="34">
        <f t="shared" si="12"/>
        <v>80.296999999999997</v>
      </c>
      <c r="AT11" s="35">
        <f>SUM(AP11:AS11)</f>
        <v>296.53599999999994</v>
      </c>
      <c r="AU11" s="34">
        <f>SUM(AU8:AU10)</f>
        <v>82.421999999999997</v>
      </c>
      <c r="AV11" s="34">
        <f t="shared" ref="AV11:AX11" si="13">SUM(AV8:AV10)</f>
        <v>90.321999999999989</v>
      </c>
      <c r="AW11" s="34">
        <f t="shared" si="13"/>
        <v>90.10799999999999</v>
      </c>
      <c r="AX11" s="34">
        <f t="shared" si="13"/>
        <v>98.199000000000012</v>
      </c>
      <c r="AY11" s="35">
        <f>SUM(AU11:AX11)</f>
        <v>361.05099999999999</v>
      </c>
      <c r="AZ11" s="34">
        <f>SUM(AZ8:AZ10)</f>
        <v>96.844000000000008</v>
      </c>
      <c r="BA11" s="34">
        <f t="shared" ref="BA11:BC11" si="14">SUM(BA8:BA10)</f>
        <v>114.42800000000001</v>
      </c>
      <c r="BB11" s="34">
        <f t="shared" si="14"/>
        <v>115.86</v>
      </c>
      <c r="BC11" s="34">
        <f t="shared" si="14"/>
        <v>118.63200000000001</v>
      </c>
      <c r="BD11" s="35">
        <f>SUM(AZ11:BC11)</f>
        <v>445.76400000000001</v>
      </c>
      <c r="BE11" s="34">
        <f>SUM(BE8:BE10)</f>
        <v>114.473</v>
      </c>
      <c r="BF11" s="34">
        <f t="shared" ref="BF11:BH11" si="15">SUM(BF8:BF10)</f>
        <v>130.16400000000002</v>
      </c>
      <c r="BG11" s="34">
        <f t="shared" si="15"/>
        <v>131.87199999999999</v>
      </c>
      <c r="BH11" s="34">
        <f t="shared" si="15"/>
        <v>140.636</v>
      </c>
      <c r="BI11" s="35">
        <f>SUM(BE11:BH11)</f>
        <v>517.14499999999998</v>
      </c>
      <c r="BJ11" s="34">
        <f>SUM(BJ8:BJ10)</f>
        <v>130.26466500000001</v>
      </c>
      <c r="BK11" s="34">
        <f t="shared" ref="BK11:BM11" si="16">SUM(BK8:BK10)</f>
        <v>147.22428550000001</v>
      </c>
      <c r="BL11" s="34">
        <f t="shared" si="16"/>
        <v>146.12502600000002</v>
      </c>
      <c r="BM11" s="34">
        <f t="shared" si="16"/>
        <v>153.36364349999999</v>
      </c>
      <c r="BN11" s="35">
        <f>SUM(BJ11:BM11)</f>
        <v>576.97762</v>
      </c>
      <c r="BO11" s="34">
        <f>SUM(BO8:BO10)</f>
        <v>144.12335029999997</v>
      </c>
      <c r="BP11" s="34">
        <f t="shared" ref="BP11:BR11" si="17">SUM(BP8:BP10)</f>
        <v>163.04473467</v>
      </c>
      <c r="BQ11" s="34">
        <f t="shared" si="17"/>
        <v>162.04152751999999</v>
      </c>
      <c r="BR11" s="34">
        <f t="shared" si="17"/>
        <v>169.83703637000002</v>
      </c>
      <c r="BS11" s="35">
        <f>SUM(BO11:BR11)</f>
        <v>639.04664886</v>
      </c>
      <c r="BT11" s="16"/>
      <c r="BU11" s="25"/>
      <c r="BW11" s="36"/>
      <c r="BX11" s="36"/>
    </row>
    <row r="12" spans="1:76">
      <c r="A12" s="37"/>
      <c r="B12" s="11"/>
      <c r="C12" s="11"/>
      <c r="D12" s="11"/>
      <c r="E12" s="11"/>
      <c r="F12" s="38"/>
      <c r="G12" s="11"/>
      <c r="H12" s="11"/>
      <c r="I12" s="11"/>
      <c r="J12" s="11"/>
      <c r="K12" s="38"/>
      <c r="L12" s="11"/>
      <c r="M12" s="11"/>
      <c r="N12" s="11"/>
      <c r="O12" s="11"/>
      <c r="P12" s="38"/>
      <c r="Q12" s="11"/>
      <c r="R12" s="11"/>
      <c r="S12" s="11"/>
      <c r="T12" s="11"/>
      <c r="U12" s="38"/>
      <c r="V12" s="11"/>
      <c r="W12" s="11"/>
      <c r="X12" s="11"/>
      <c r="Y12" s="11"/>
      <c r="Z12" s="38"/>
      <c r="AA12" s="11"/>
      <c r="AB12" s="11"/>
      <c r="AC12" s="11"/>
      <c r="AD12" s="11"/>
      <c r="AE12" s="38"/>
      <c r="AF12" s="11"/>
      <c r="AG12" s="11"/>
      <c r="AH12" s="11"/>
      <c r="AI12" s="11"/>
      <c r="AJ12" s="38"/>
      <c r="AK12" s="11"/>
      <c r="AL12" s="11"/>
      <c r="AM12" s="11"/>
      <c r="AN12" s="11"/>
      <c r="AO12" s="38"/>
      <c r="AP12" s="11"/>
      <c r="AQ12" s="11"/>
      <c r="AR12" s="11"/>
      <c r="AS12" s="11"/>
      <c r="AT12" s="38"/>
      <c r="AU12" s="39"/>
      <c r="AV12" s="11"/>
      <c r="AW12" s="11"/>
      <c r="AX12" s="11"/>
      <c r="AY12" s="38"/>
      <c r="AZ12" s="11"/>
      <c r="BA12" s="11"/>
      <c r="BB12" s="11"/>
      <c r="BC12" s="11"/>
      <c r="BD12" s="38"/>
      <c r="BE12" s="11"/>
      <c r="BF12" s="11"/>
      <c r="BG12" s="11"/>
      <c r="BH12" s="11"/>
      <c r="BI12" s="38"/>
      <c r="BJ12" s="11"/>
      <c r="BK12" s="11"/>
      <c r="BL12" s="11"/>
      <c r="BM12" s="11"/>
      <c r="BN12" s="38"/>
      <c r="BO12" s="11"/>
      <c r="BP12" s="11"/>
      <c r="BQ12" s="11"/>
      <c r="BR12" s="11"/>
      <c r="BS12" s="38"/>
      <c r="BU12" s="25"/>
    </row>
    <row r="13" spans="1:76">
      <c r="A13" s="40" t="s">
        <v>81</v>
      </c>
      <c r="B13" s="11"/>
      <c r="C13" s="11"/>
      <c r="D13" s="11"/>
      <c r="E13" s="11"/>
      <c r="F13" s="38"/>
      <c r="G13" s="11"/>
      <c r="H13" s="11"/>
      <c r="I13" s="11"/>
      <c r="J13" s="11"/>
      <c r="K13" s="38"/>
      <c r="L13" s="11"/>
      <c r="M13" s="11"/>
      <c r="N13" s="11"/>
      <c r="O13" s="11"/>
      <c r="P13" s="38"/>
      <c r="Q13" s="11"/>
      <c r="R13" s="11"/>
      <c r="S13" s="11"/>
      <c r="T13" s="11"/>
      <c r="U13" s="38"/>
      <c r="V13" s="11"/>
      <c r="W13" s="11"/>
      <c r="X13" s="11"/>
      <c r="Y13" s="11"/>
      <c r="Z13" s="38"/>
      <c r="AA13" s="11"/>
      <c r="AB13" s="11"/>
      <c r="AC13" s="11"/>
      <c r="AD13" s="11"/>
      <c r="AE13" s="38"/>
      <c r="AF13" s="11"/>
      <c r="AG13" s="11"/>
      <c r="AH13" s="11"/>
      <c r="AI13" s="11"/>
      <c r="AJ13" s="38"/>
      <c r="AK13" s="11"/>
      <c r="AL13" s="11"/>
      <c r="AM13" s="11"/>
      <c r="AN13" s="11"/>
      <c r="AO13" s="38"/>
      <c r="AP13" s="11"/>
      <c r="AQ13" s="11"/>
      <c r="AR13" s="11"/>
      <c r="AS13" s="11"/>
      <c r="AT13" s="38"/>
      <c r="AU13" s="11"/>
      <c r="AV13" s="11"/>
      <c r="AW13" s="11"/>
      <c r="AX13" s="11"/>
      <c r="AY13" s="38"/>
      <c r="AZ13" s="41"/>
      <c r="BA13" s="41"/>
      <c r="BB13" s="41"/>
      <c r="BC13" s="42"/>
      <c r="BD13" s="38"/>
      <c r="BE13" s="11"/>
      <c r="BF13" s="11"/>
      <c r="BG13" s="11"/>
      <c r="BH13" s="11"/>
      <c r="BI13" s="38"/>
      <c r="BJ13" s="11"/>
      <c r="BK13" s="11"/>
      <c r="BL13" s="11"/>
      <c r="BM13" s="11"/>
      <c r="BN13" s="38"/>
      <c r="BO13" s="11"/>
      <c r="BP13" s="11"/>
      <c r="BQ13" s="11"/>
      <c r="BR13" s="11"/>
      <c r="BS13" s="38"/>
    </row>
    <row r="14" spans="1:76">
      <c r="A14" s="20" t="s">
        <v>77</v>
      </c>
      <c r="B14" s="43" t="s">
        <v>82</v>
      </c>
      <c r="C14" s="43" t="s">
        <v>82</v>
      </c>
      <c r="D14" s="43" t="s">
        <v>82</v>
      </c>
      <c r="E14" s="43" t="s">
        <v>82</v>
      </c>
      <c r="F14" s="44" t="s">
        <v>82</v>
      </c>
      <c r="G14" s="43">
        <f>IFERROR(G8/B8-1,"NA")</f>
        <v>0.50053504547886574</v>
      </c>
      <c r="H14" s="43">
        <f t="shared" ref="H14:L17" si="18">IFERROR(H8/C8-1,"NA")</f>
        <v>0.37236372017978558</v>
      </c>
      <c r="I14" s="43">
        <f t="shared" si="18"/>
        <v>0.25381175035576353</v>
      </c>
      <c r="J14" s="43">
        <f t="shared" si="18"/>
        <v>0.15107795720960726</v>
      </c>
      <c r="K14" s="44">
        <f>IFERROR(K8/F8-1,"NA")</f>
        <v>0.29622937941869609</v>
      </c>
      <c r="L14" s="43">
        <f>IFERROR(L8/G8-1,"NA")</f>
        <v>0.20788019254769119</v>
      </c>
      <c r="M14" s="43">
        <f t="shared" ref="M14:Q17" si="19">IFERROR(M8/H8-1,"NA")</f>
        <v>0.23236479677527733</v>
      </c>
      <c r="N14" s="43">
        <f t="shared" si="19"/>
        <v>0.50814754762869874</v>
      </c>
      <c r="O14" s="43">
        <f t="shared" si="19"/>
        <v>0.30017091582395672</v>
      </c>
      <c r="P14" s="44">
        <f>IFERROR(P8/K8-1,"NA")</f>
        <v>0.31476880189079459</v>
      </c>
      <c r="Q14" s="43">
        <f>IFERROR(Q8/L8-1,"NA")</f>
        <v>0.21269372693726929</v>
      </c>
      <c r="R14" s="43">
        <f t="shared" ref="R14:V17" si="20">IFERROR(R8/M8-1,"NA")</f>
        <v>0.25424190800681412</v>
      </c>
      <c r="S14" s="43">
        <f t="shared" si="20"/>
        <v>-5.8270171477718846E-2</v>
      </c>
      <c r="T14" s="43">
        <f t="shared" si="20"/>
        <v>7.3341731938434407E-2</v>
      </c>
      <c r="U14" s="44">
        <f>IFERROR(U8/P8-1,"NA")</f>
        <v>0.10552354613198101</v>
      </c>
      <c r="V14" s="43">
        <f>IFERROR(V8/Q8-1,"NA")</f>
        <v>0.21963242453748788</v>
      </c>
      <c r="W14" s="43">
        <f t="shared" ref="W14:AA17" si="21">IFERROR(W8/R8-1,"NA")</f>
        <v>0.2116157774638705</v>
      </c>
      <c r="X14" s="43">
        <f t="shared" si="21"/>
        <v>0.3251897939380104</v>
      </c>
      <c r="Y14" s="43">
        <f t="shared" si="21"/>
        <v>0.30128597672994495</v>
      </c>
      <c r="Z14" s="44">
        <f>IFERROR(Z8/U8-1,"NA")</f>
        <v>0.26552054813558867</v>
      </c>
      <c r="AA14" s="43">
        <f>IFERROR(AA8/V8-1,"NA")</f>
        <v>0.26685295144952836</v>
      </c>
      <c r="AB14" s="43">
        <f t="shared" ref="AB14:AF17" si="22">IFERROR(AB8/W8-1,"NA")</f>
        <v>0.19662795390341259</v>
      </c>
      <c r="AC14" s="43">
        <f t="shared" si="22"/>
        <v>0.15105961405926926</v>
      </c>
      <c r="AD14" s="43">
        <f t="shared" si="22"/>
        <v>0.11988235294117633</v>
      </c>
      <c r="AE14" s="44">
        <f>IFERROR(AE8/Z8-1,"NA")</f>
        <v>0.17897384084869006</v>
      </c>
      <c r="AF14" s="43">
        <f>IFERROR(AF8/AA8-1,"NA")</f>
        <v>6.3098192130450315E-2</v>
      </c>
      <c r="AG14" s="43">
        <f t="shared" ref="AG14:AK17" si="23">IFERROR(AG8/AB8-1,"NA")</f>
        <v>-0.42996327662444733</v>
      </c>
      <c r="AH14" s="43">
        <f t="shared" si="23"/>
        <v>5.7890206937843747E-2</v>
      </c>
      <c r="AI14" s="43">
        <f t="shared" si="23"/>
        <v>0.10295199075533157</v>
      </c>
      <c r="AJ14" s="44">
        <f>IFERROR(AJ8/AE8-1,"NA")</f>
        <v>-5.0160681849937161E-2</v>
      </c>
      <c r="AK14" s="43">
        <f>IFERROR(AK8/AF8-1,"NA")</f>
        <v>0.22551961765032802</v>
      </c>
      <c r="AL14" s="43">
        <f t="shared" ref="AL14:BA17" si="24">IFERROR(AL8/AG8-1,"NA")</f>
        <v>2.339008677359979</v>
      </c>
      <c r="AM14" s="43">
        <f t="shared" si="24"/>
        <v>0.8003891050583658</v>
      </c>
      <c r="AN14" s="43">
        <f t="shared" si="24"/>
        <v>0.69584404863955296</v>
      </c>
      <c r="AO14" s="44">
        <f>IFERROR(AO8/AJ8-1,"NA")</f>
        <v>0.84546435226046901</v>
      </c>
      <c r="AP14" s="43">
        <f t="shared" si="24"/>
        <v>0.69236350444404104</v>
      </c>
      <c r="AQ14" s="43">
        <f t="shared" si="24"/>
        <v>0.1757131888252319</v>
      </c>
      <c r="AR14" s="43">
        <f t="shared" si="24"/>
        <v>0.26877812051790873</v>
      </c>
      <c r="AS14" s="43">
        <f t="shared" si="24"/>
        <v>0.31555397461339729</v>
      </c>
      <c r="AT14" s="44">
        <f>IFERROR(AT8/AO8-1,"NA")</f>
        <v>0.33139195034594171</v>
      </c>
      <c r="AU14" s="43">
        <f t="shared" ref="AU14:AY17" si="25">IFERROR(AU8/AP8-1,"NA")</f>
        <v>0.29324758842443743</v>
      </c>
      <c r="AV14" s="43">
        <f t="shared" si="25"/>
        <v>0.36891724438192819</v>
      </c>
      <c r="AW14" s="43">
        <f t="shared" si="25"/>
        <v>0.26998776654226742</v>
      </c>
      <c r="AX14" s="43">
        <f t="shared" si="25"/>
        <v>0.28627132875094286</v>
      </c>
      <c r="AY14" s="44">
        <f>IFERROR(AY8/AT8-1,"NA")</f>
        <v>0.30333194967750154</v>
      </c>
      <c r="AZ14" s="43">
        <f t="shared" ref="AZ14:BH17" si="26">IFERROR(AZ8/AU8-1,"NA")</f>
        <v>0.24734791977457316</v>
      </c>
      <c r="BA14" s="43">
        <f t="shared" si="26"/>
        <v>0.30851753538269588</v>
      </c>
      <c r="BB14" s="43">
        <f t="shared" si="26"/>
        <v>0.33560942301126673</v>
      </c>
      <c r="BC14" s="43">
        <f t="shared" si="26"/>
        <v>0.24082535818996509</v>
      </c>
      <c r="BD14" s="44">
        <f>IFERROR(BD8/AY8-1,"NA")</f>
        <v>0.28302331706181749</v>
      </c>
      <c r="BE14" s="43">
        <f>IFERROR(BE8/AZ8-1,"NA")</f>
        <v>0.1883215397052147</v>
      </c>
      <c r="BF14" s="43">
        <f>IFERROR(BF8/BA8-1,"NA")</f>
        <v>0.14296531737870444</v>
      </c>
      <c r="BG14" s="43">
        <f t="shared" ref="BG14:BM17" si="27">IFERROR(BG8/BB8-1,"NA")</f>
        <v>0.16633800759567618</v>
      </c>
      <c r="BH14" s="43">
        <f t="shared" si="27"/>
        <v>0.21108852271916678</v>
      </c>
      <c r="BI14" s="44">
        <f>IFERROR(BI8/BD8-1,"NA")</f>
        <v>0.17708808218426064</v>
      </c>
      <c r="BJ14" s="43">
        <f>IFERROR(BJ8/BE8-1,"NA")</f>
        <v>0.17884706781351056</v>
      </c>
      <c r="BK14" s="43">
        <f t="shared" ref="BK14:BR17" si="28">IFERROR(BK8/BF8-1,"NA")</f>
        <v>0.17391543639531171</v>
      </c>
      <c r="BL14" s="43">
        <f t="shared" si="28"/>
        <v>0.11870049156204021</v>
      </c>
      <c r="BM14" s="43">
        <f t="shared" si="28"/>
        <v>0.10213066717712382</v>
      </c>
      <c r="BN14" s="44">
        <f>IFERROR(BN8/BI8-1,"NA")</f>
        <v>0.14091343272081347</v>
      </c>
      <c r="BO14" s="43">
        <f>IFERROR(BO8/BJ8-1,"NA")</f>
        <v>0.10895898764356593</v>
      </c>
      <c r="BP14" s="43">
        <f t="shared" ref="BP14:BS17" si="29">IFERROR(BP8/BK8-1,"NA")</f>
        <v>0.10971144957747625</v>
      </c>
      <c r="BQ14" s="43">
        <f t="shared" si="29"/>
        <v>0.11091755777854417</v>
      </c>
      <c r="BR14" s="43">
        <f t="shared" si="29"/>
        <v>0.1095544362650136</v>
      </c>
      <c r="BS14" s="44">
        <f>IFERROR(BS8/BN8-1,"NA")</f>
        <v>0.10980686683001739</v>
      </c>
      <c r="BT14" s="25"/>
      <c r="BU14" s="45"/>
    </row>
    <row r="15" spans="1:76">
      <c r="A15" s="20" t="s">
        <v>78</v>
      </c>
      <c r="B15" s="43" t="s">
        <v>82</v>
      </c>
      <c r="C15" s="43" t="s">
        <v>82</v>
      </c>
      <c r="D15" s="43" t="s">
        <v>82</v>
      </c>
      <c r="E15" s="43" t="s">
        <v>82</v>
      </c>
      <c r="F15" s="44" t="s">
        <v>82</v>
      </c>
      <c r="G15" s="43" t="str">
        <f t="shared" ref="G15:G17" si="30">IFERROR(G9/B9-1,"NA")</f>
        <v>NA</v>
      </c>
      <c r="H15" s="43" t="str">
        <f t="shared" si="18"/>
        <v>NA</v>
      </c>
      <c r="I15" s="43" t="str">
        <f t="shared" si="18"/>
        <v>NA</v>
      </c>
      <c r="J15" s="43" t="str">
        <f t="shared" si="18"/>
        <v>NA</v>
      </c>
      <c r="K15" s="44" t="str">
        <f t="shared" si="18"/>
        <v>NA</v>
      </c>
      <c r="L15" s="43" t="str">
        <f t="shared" si="18"/>
        <v>NA</v>
      </c>
      <c r="M15" s="43" t="str">
        <f t="shared" si="19"/>
        <v>NA</v>
      </c>
      <c r="N15" s="43" t="str">
        <f t="shared" si="19"/>
        <v>NA</v>
      </c>
      <c r="O15" s="43" t="str">
        <f t="shared" si="19"/>
        <v>NA</v>
      </c>
      <c r="P15" s="44" t="str">
        <f t="shared" si="19"/>
        <v>NA</v>
      </c>
      <c r="Q15" s="43" t="str">
        <f t="shared" si="19"/>
        <v>NA</v>
      </c>
      <c r="R15" s="43" t="str">
        <f t="shared" si="20"/>
        <v>NA</v>
      </c>
      <c r="S15" s="43" t="str">
        <f t="shared" si="20"/>
        <v>NA</v>
      </c>
      <c r="T15" s="43" t="str">
        <f t="shared" si="20"/>
        <v>NA</v>
      </c>
      <c r="U15" s="44" t="str">
        <f t="shared" si="20"/>
        <v>NA</v>
      </c>
      <c r="V15" s="43" t="str">
        <f t="shared" si="20"/>
        <v>NA</v>
      </c>
      <c r="W15" s="43" t="str">
        <f t="shared" si="21"/>
        <v>NA</v>
      </c>
      <c r="X15" s="43" t="str">
        <f t="shared" si="21"/>
        <v>NA</v>
      </c>
      <c r="Y15" s="43" t="str">
        <f t="shared" si="21"/>
        <v>NA</v>
      </c>
      <c r="Z15" s="44" t="str">
        <f t="shared" si="21"/>
        <v>NA</v>
      </c>
      <c r="AA15" s="43" t="str">
        <f t="shared" si="21"/>
        <v>NA</v>
      </c>
      <c r="AB15" s="43" t="str">
        <f t="shared" si="22"/>
        <v>NA</v>
      </c>
      <c r="AC15" s="43" t="str">
        <f t="shared" si="22"/>
        <v>NA</v>
      </c>
      <c r="AD15" s="43" t="str">
        <f t="shared" si="22"/>
        <v>NA</v>
      </c>
      <c r="AE15" s="44" t="str">
        <f t="shared" si="22"/>
        <v>NA</v>
      </c>
      <c r="AF15" s="43" t="str">
        <f t="shared" si="22"/>
        <v>NA</v>
      </c>
      <c r="AG15" s="43" t="str">
        <f t="shared" si="23"/>
        <v>NA</v>
      </c>
      <c r="AH15" s="43" t="str">
        <f t="shared" si="23"/>
        <v>NA</v>
      </c>
      <c r="AI15" s="43">
        <f t="shared" si="23"/>
        <v>1.9209100758396533</v>
      </c>
      <c r="AJ15" s="44">
        <f t="shared" si="23"/>
        <v>9.6663055254604551</v>
      </c>
      <c r="AK15" s="43">
        <f t="shared" si="23"/>
        <v>-0.10266940451745366</v>
      </c>
      <c r="AL15" s="43">
        <f t="shared" si="24"/>
        <v>0.56917688266199651</v>
      </c>
      <c r="AM15" s="43">
        <f t="shared" si="24"/>
        <v>0.45979279723729638</v>
      </c>
      <c r="AN15" s="43">
        <f t="shared" si="24"/>
        <v>2.2997032640949433E-2</v>
      </c>
      <c r="AO15" s="44">
        <f t="shared" si="24"/>
        <v>0.16444895886236655</v>
      </c>
      <c r="AP15" s="43">
        <f t="shared" si="24"/>
        <v>-2.615233736515199E-2</v>
      </c>
      <c r="AQ15" s="43">
        <f t="shared" si="24"/>
        <v>0.15625</v>
      </c>
      <c r="AR15" s="43">
        <f t="shared" si="24"/>
        <v>0.11997296383913492</v>
      </c>
      <c r="AS15" s="43">
        <f t="shared" si="24"/>
        <v>0.17150108774474249</v>
      </c>
      <c r="AT15" s="44">
        <f t="shared" si="24"/>
        <v>0.10188415910676918</v>
      </c>
      <c r="AU15" s="43">
        <f t="shared" si="25"/>
        <v>0.30647868412218848</v>
      </c>
      <c r="AV15" s="43">
        <f t="shared" si="25"/>
        <v>0.29054054054054057</v>
      </c>
      <c r="AW15" s="43">
        <f t="shared" si="25"/>
        <v>0.21303560651780318</v>
      </c>
      <c r="AX15" s="43">
        <f t="shared" si="25"/>
        <v>0.13432373878056336</v>
      </c>
      <c r="AY15" s="44">
        <f t="shared" si="25"/>
        <v>0.23400886637112106</v>
      </c>
      <c r="AZ15" s="43">
        <f t="shared" si="26"/>
        <v>-9.1212744090441888E-2</v>
      </c>
      <c r="BA15" s="43">
        <f t="shared" si="26"/>
        <v>-2.6178010471204161E-2</v>
      </c>
      <c r="BB15" s="43">
        <f t="shared" si="26"/>
        <v>-0.20696517412935311</v>
      </c>
      <c r="BC15" s="43">
        <f t="shared" si="26"/>
        <v>-0.17626193724420192</v>
      </c>
      <c r="BD15" s="44">
        <f t="shared" si="26"/>
        <v>-0.12432640492686686</v>
      </c>
      <c r="BE15" s="46">
        <f t="shared" si="26"/>
        <v>1.2157195363302176E-2</v>
      </c>
      <c r="BF15" s="46">
        <f t="shared" si="26"/>
        <v>-7.8853046594982157E-2</v>
      </c>
      <c r="BG15" s="46">
        <f t="shared" si="27"/>
        <v>3.5445420326223331E-2</v>
      </c>
      <c r="BH15" s="43">
        <f t="shared" si="27"/>
        <v>0.27459423650215298</v>
      </c>
      <c r="BI15" s="47">
        <f t="shared" si="27"/>
        <v>4.9597069597069332E-2</v>
      </c>
      <c r="BJ15" s="46">
        <f t="shared" si="27"/>
        <v>5.1331005586591871E-2</v>
      </c>
      <c r="BK15" s="46">
        <f t="shared" si="28"/>
        <v>2.7755002779321858E-2</v>
      </c>
      <c r="BL15" s="46">
        <f t="shared" si="28"/>
        <v>-2.9286276885792217E-2</v>
      </c>
      <c r="BM15" s="46">
        <f t="shared" si="28"/>
        <v>-4.7389942827442688E-2</v>
      </c>
      <c r="BN15" s="47">
        <f t="shared" si="28"/>
        <v>3.2086270677744722E-4</v>
      </c>
      <c r="BO15" s="46">
        <f t="shared" si="28"/>
        <v>2.000000000000024E-2</v>
      </c>
      <c r="BP15" s="46">
        <f t="shared" si="29"/>
        <v>2.0000000000000018E-2</v>
      </c>
      <c r="BQ15" s="46">
        <f t="shared" si="29"/>
        <v>2.0000000000000018E-2</v>
      </c>
      <c r="BR15" s="46">
        <f t="shared" si="29"/>
        <v>2.0000000000000018E-2</v>
      </c>
      <c r="BS15" s="47">
        <f t="shared" si="29"/>
        <v>2.000000000000024E-2</v>
      </c>
      <c r="BT15" s="25"/>
      <c r="BU15" s="48"/>
    </row>
    <row r="16" spans="1:76">
      <c r="A16" s="20" t="s">
        <v>79</v>
      </c>
      <c r="B16" s="43" t="s">
        <v>82</v>
      </c>
      <c r="C16" s="43" t="s">
        <v>82</v>
      </c>
      <c r="D16" s="43" t="s">
        <v>82</v>
      </c>
      <c r="E16" s="43" t="s">
        <v>82</v>
      </c>
      <c r="F16" s="44" t="s">
        <v>82</v>
      </c>
      <c r="G16" s="43" t="str">
        <f t="shared" si="30"/>
        <v>NA</v>
      </c>
      <c r="H16" s="43" t="str">
        <f t="shared" si="18"/>
        <v>NA</v>
      </c>
      <c r="I16" s="43" t="str">
        <f t="shared" si="18"/>
        <v>NA</v>
      </c>
      <c r="J16" s="43" t="str">
        <f t="shared" si="18"/>
        <v>NA</v>
      </c>
      <c r="K16" s="44" t="str">
        <f t="shared" si="18"/>
        <v>NA</v>
      </c>
      <c r="L16" s="43" t="str">
        <f t="shared" si="18"/>
        <v>NA</v>
      </c>
      <c r="M16" s="43" t="str">
        <f t="shared" si="19"/>
        <v>NA</v>
      </c>
      <c r="N16" s="43" t="str">
        <f t="shared" si="19"/>
        <v>NA</v>
      </c>
      <c r="O16" s="43" t="str">
        <f t="shared" si="19"/>
        <v>NA</v>
      </c>
      <c r="P16" s="44" t="str">
        <f t="shared" si="19"/>
        <v>NA</v>
      </c>
      <c r="Q16" s="43" t="str">
        <f t="shared" si="19"/>
        <v>NA</v>
      </c>
      <c r="R16" s="43" t="str">
        <f t="shared" si="20"/>
        <v>NA</v>
      </c>
      <c r="S16" s="43" t="str">
        <f t="shared" si="20"/>
        <v>NA</v>
      </c>
      <c r="T16" s="43" t="str">
        <f t="shared" si="20"/>
        <v>NA</v>
      </c>
      <c r="U16" s="44" t="str">
        <f t="shared" si="20"/>
        <v>NA</v>
      </c>
      <c r="V16" s="43" t="str">
        <f t="shared" si="20"/>
        <v>NA</v>
      </c>
      <c r="W16" s="43" t="str">
        <f t="shared" si="21"/>
        <v>NA</v>
      </c>
      <c r="X16" s="43" t="str">
        <f t="shared" si="21"/>
        <v>NA</v>
      </c>
      <c r="Y16" s="43" t="str">
        <f t="shared" si="21"/>
        <v>NA</v>
      </c>
      <c r="Z16" s="44" t="str">
        <f t="shared" si="21"/>
        <v>NA</v>
      </c>
      <c r="AA16" s="43" t="str">
        <f t="shared" si="21"/>
        <v>NA</v>
      </c>
      <c r="AB16" s="43">
        <f t="shared" si="22"/>
        <v>6.666666666666667</v>
      </c>
      <c r="AC16" s="43">
        <f t="shared" si="22"/>
        <v>16</v>
      </c>
      <c r="AD16" s="43">
        <f t="shared" si="22"/>
        <v>0</v>
      </c>
      <c r="AE16" s="44">
        <f t="shared" si="22"/>
        <v>11.726315789473684</v>
      </c>
      <c r="AF16" s="43">
        <f t="shared" si="22"/>
        <v>-0.82560386473429948</v>
      </c>
      <c r="AG16" s="43">
        <f t="shared" si="23"/>
        <v>9.5362318840579663E-2</v>
      </c>
      <c r="AH16" s="43">
        <f t="shared" si="23"/>
        <v>-0.80611764705882361</v>
      </c>
      <c r="AI16" s="43">
        <f t="shared" si="23"/>
        <v>0.37200000000000011</v>
      </c>
      <c r="AJ16" s="44">
        <f t="shared" si="23"/>
        <v>-0.53118279569892479</v>
      </c>
      <c r="AK16" s="43">
        <f t="shared" si="23"/>
        <v>-0.21606648199445988</v>
      </c>
      <c r="AL16" s="43">
        <f t="shared" si="24"/>
        <v>-0.57025668166181531</v>
      </c>
      <c r="AM16" s="43">
        <f t="shared" si="24"/>
        <v>6.9053398058252435</v>
      </c>
      <c r="AN16" s="43">
        <f t="shared" si="24"/>
        <v>31.548104956268219</v>
      </c>
      <c r="AO16" s="44">
        <f t="shared" si="24"/>
        <v>2.50529287226535</v>
      </c>
      <c r="AP16" s="43">
        <f t="shared" si="24"/>
        <v>14.590106007067138</v>
      </c>
      <c r="AQ16" s="43">
        <f t="shared" si="24"/>
        <v>5.1810344827586201</v>
      </c>
      <c r="AR16" s="43">
        <f t="shared" si="24"/>
        <v>0.18222290451335565</v>
      </c>
      <c r="AS16" s="43">
        <f t="shared" si="24"/>
        <v>-0.39116804012898598</v>
      </c>
      <c r="AT16" s="44">
        <f t="shared" si="24"/>
        <v>0.67908194080934137</v>
      </c>
      <c r="AU16" s="43">
        <f t="shared" si="24"/>
        <v>-0.30485040797824114</v>
      </c>
      <c r="AV16" s="43">
        <f t="shared" si="24"/>
        <v>-0.54552699740984256</v>
      </c>
      <c r="AW16" s="43">
        <f t="shared" si="24"/>
        <v>-0.47071808855992725</v>
      </c>
      <c r="AX16" s="43">
        <f t="shared" si="24"/>
        <v>-0.38958363984110633</v>
      </c>
      <c r="AY16" s="44">
        <f t="shared" si="25"/>
        <v>-0.43282374100719412</v>
      </c>
      <c r="AZ16" s="43">
        <f t="shared" si="24"/>
        <v>-0.51027062275839585</v>
      </c>
      <c r="BA16" s="43">
        <f t="shared" si="24"/>
        <v>-0.2213941253836037</v>
      </c>
      <c r="BB16" s="43">
        <f t="shared" si="26"/>
        <v>-0.23061825318940132</v>
      </c>
      <c r="BC16" s="43">
        <f t="shared" si="26"/>
        <v>-0.165823089901181</v>
      </c>
      <c r="BD16" s="44">
        <f t="shared" si="26"/>
        <v>-0.30484646688864236</v>
      </c>
      <c r="BE16" s="43">
        <f t="shared" si="26"/>
        <v>0.19307589880159792</v>
      </c>
      <c r="BF16" s="43">
        <f t="shared" si="26"/>
        <v>0.21143018018018012</v>
      </c>
      <c r="BG16" s="43">
        <f t="shared" si="26"/>
        <v>-0.74011479591836737</v>
      </c>
      <c r="BH16" s="43">
        <f t="shared" si="26"/>
        <v>-0.72204565154579603</v>
      </c>
      <c r="BI16" s="47">
        <f t="shared" si="27"/>
        <v>-0.26526267771611045</v>
      </c>
      <c r="BJ16" s="49">
        <v>-1</v>
      </c>
      <c r="BK16" s="49">
        <v>-1</v>
      </c>
      <c r="BL16" s="49">
        <v>-1</v>
      </c>
      <c r="BM16" s="49">
        <v>-1</v>
      </c>
      <c r="BN16" s="47">
        <f t="shared" si="28"/>
        <v>-1</v>
      </c>
      <c r="BO16" s="49">
        <v>-0.1</v>
      </c>
      <c r="BP16" s="49">
        <v>-0.1</v>
      </c>
      <c r="BQ16" s="49">
        <v>-0.1</v>
      </c>
      <c r="BR16" s="49">
        <v>-0.1</v>
      </c>
      <c r="BS16" s="47" t="str">
        <f t="shared" si="29"/>
        <v>NA</v>
      </c>
      <c r="BT16" s="50"/>
    </row>
    <row r="17" spans="1:76" ht="13.5" thickBot="1">
      <c r="A17" s="33" t="s">
        <v>80</v>
      </c>
      <c r="B17" s="51" t="s">
        <v>82</v>
      </c>
      <c r="C17" s="51" t="s">
        <v>82</v>
      </c>
      <c r="D17" s="51" t="s">
        <v>82</v>
      </c>
      <c r="E17" s="51" t="s">
        <v>82</v>
      </c>
      <c r="F17" s="52" t="s">
        <v>82</v>
      </c>
      <c r="G17" s="51">
        <f t="shared" si="30"/>
        <v>0.50053504547886574</v>
      </c>
      <c r="H17" s="51">
        <f t="shared" si="18"/>
        <v>0.37236372017978558</v>
      </c>
      <c r="I17" s="51">
        <f t="shared" si="18"/>
        <v>0.25381175035576353</v>
      </c>
      <c r="J17" s="51">
        <f t="shared" si="18"/>
        <v>0.15107795720960726</v>
      </c>
      <c r="K17" s="52">
        <f t="shared" si="18"/>
        <v>0.29622937941869609</v>
      </c>
      <c r="L17" s="51">
        <f t="shared" si="18"/>
        <v>0.20788019254769119</v>
      </c>
      <c r="M17" s="51">
        <f t="shared" si="19"/>
        <v>0.23236479677527733</v>
      </c>
      <c r="N17" s="51">
        <f t="shared" si="19"/>
        <v>0.50814754762869874</v>
      </c>
      <c r="O17" s="51">
        <f t="shared" si="19"/>
        <v>0.30017091582395672</v>
      </c>
      <c r="P17" s="52">
        <f t="shared" si="19"/>
        <v>0.31476880189079459</v>
      </c>
      <c r="Q17" s="51">
        <f t="shared" si="19"/>
        <v>0.21269372693726929</v>
      </c>
      <c r="R17" s="51">
        <f t="shared" si="20"/>
        <v>0.25424190800681412</v>
      </c>
      <c r="S17" s="51">
        <f t="shared" si="20"/>
        <v>-5.8270171477718846E-2</v>
      </c>
      <c r="T17" s="51">
        <f t="shared" si="20"/>
        <v>7.3341731938434407E-2</v>
      </c>
      <c r="U17" s="52">
        <f t="shared" si="20"/>
        <v>0.10552354613198101</v>
      </c>
      <c r="V17" s="51">
        <f t="shared" si="20"/>
        <v>0.21963242453748788</v>
      </c>
      <c r="W17" s="51">
        <f t="shared" si="21"/>
        <v>0.23606432684994028</v>
      </c>
      <c r="X17" s="51">
        <f t="shared" si="21"/>
        <v>0.33946001484102983</v>
      </c>
      <c r="Y17" s="51">
        <f t="shared" si="21"/>
        <v>0.31404368238415992</v>
      </c>
      <c r="Z17" s="52">
        <f t="shared" si="21"/>
        <v>0.27872361124623057</v>
      </c>
      <c r="AA17" s="51">
        <f t="shared" si="21"/>
        <v>0.473429469587346</v>
      </c>
      <c r="AB17" s="51">
        <f t="shared" si="22"/>
        <v>0.32460111643444245</v>
      </c>
      <c r="AC17" s="51">
        <f t="shared" si="22"/>
        <v>0.3199096565243329</v>
      </c>
      <c r="AD17" s="51">
        <f t="shared" si="22"/>
        <v>0.1545631067961164</v>
      </c>
      <c r="AE17" s="52">
        <f t="shared" si="22"/>
        <v>0.30823406660290398</v>
      </c>
      <c r="AF17" s="51">
        <f t="shared" si="22"/>
        <v>5.394696738799154E-2</v>
      </c>
      <c r="AG17" s="51">
        <f t="shared" si="23"/>
        <v>-0.31298115211043265</v>
      </c>
      <c r="AH17" s="51">
        <f t="shared" si="23"/>
        <v>4.7783553417493074E-3</v>
      </c>
      <c r="AI17" s="51">
        <f t="shared" si="23"/>
        <v>0.16165489404641797</v>
      </c>
      <c r="AJ17" s="52">
        <f t="shared" si="23"/>
        <v>-2.3968164296158334E-2</v>
      </c>
      <c r="AK17" s="51">
        <f t="shared" si="23"/>
        <v>0.17932652143178474</v>
      </c>
      <c r="AL17" s="51">
        <f t="shared" si="24"/>
        <v>1.6615629829984546</v>
      </c>
      <c r="AM17" s="51">
        <f t="shared" si="24"/>
        <v>0.9398476912695608</v>
      </c>
      <c r="AN17" s="51">
        <f t="shared" si="24"/>
        <v>0.94973361130414635</v>
      </c>
      <c r="AO17" s="52">
        <f t="shared" si="24"/>
        <v>0.86847458781270492</v>
      </c>
      <c r="AP17" s="51">
        <f t="shared" si="24"/>
        <v>0.8467972645287849</v>
      </c>
      <c r="AQ17" s="51">
        <f t="shared" si="24"/>
        <v>0.3222756555666455</v>
      </c>
      <c r="AR17" s="51">
        <f t="shared" si="24"/>
        <v>0.25214510518469413</v>
      </c>
      <c r="AS17" s="51">
        <f t="shared" si="24"/>
        <v>0.19248247594154688</v>
      </c>
      <c r="AT17" s="52">
        <f t="shared" si="24"/>
        <v>0.35087511502683166</v>
      </c>
      <c r="AU17" s="51">
        <f t="shared" si="24"/>
        <v>0.2159686056975938</v>
      </c>
      <c r="AV17" s="51">
        <f t="shared" si="24"/>
        <v>0.23959705753184002</v>
      </c>
      <c r="AW17" s="51">
        <f t="shared" si="24"/>
        <v>0.19203090274103096</v>
      </c>
      <c r="AX17" s="51">
        <f t="shared" si="24"/>
        <v>0.22294730811860997</v>
      </c>
      <c r="AY17" s="52">
        <f t="shared" si="25"/>
        <v>0.21756211724714714</v>
      </c>
      <c r="AZ17" s="51">
        <f t="shared" si="24"/>
        <v>0.17497755453641028</v>
      </c>
      <c r="BA17" s="51">
        <f t="shared" si="24"/>
        <v>0.26688957286154014</v>
      </c>
      <c r="BB17" s="51">
        <f t="shared" si="26"/>
        <v>0.28579038487148778</v>
      </c>
      <c r="BC17" s="51">
        <f t="shared" si="26"/>
        <v>0.20807747533070597</v>
      </c>
      <c r="BD17" s="52">
        <f t="shared" si="26"/>
        <v>0.23462890284198079</v>
      </c>
      <c r="BE17" s="51">
        <f t="shared" si="26"/>
        <v>0.18203502540167671</v>
      </c>
      <c r="BF17" s="51">
        <f t="shared" si="26"/>
        <v>0.1375187891075611</v>
      </c>
      <c r="BG17" s="51">
        <f t="shared" si="26"/>
        <v>0.13820127740376309</v>
      </c>
      <c r="BH17" s="51">
        <f t="shared" si="26"/>
        <v>0.18548115179715419</v>
      </c>
      <c r="BI17" s="52">
        <f t="shared" si="27"/>
        <v>0.16013181863048609</v>
      </c>
      <c r="BJ17" s="51">
        <f t="shared" si="27"/>
        <v>0.1379510015462162</v>
      </c>
      <c r="BK17" s="51">
        <f t="shared" si="27"/>
        <v>0.13106761854276128</v>
      </c>
      <c r="BL17" s="51">
        <f t="shared" si="27"/>
        <v>0.10808227675321547</v>
      </c>
      <c r="BM17" s="51">
        <f t="shared" si="27"/>
        <v>9.0500607952444634E-2</v>
      </c>
      <c r="BN17" s="52">
        <f t="shared" si="28"/>
        <v>0.11569795705266417</v>
      </c>
      <c r="BO17" s="51">
        <f t="shared" si="28"/>
        <v>0.10638867646878736</v>
      </c>
      <c r="BP17" s="51">
        <f t="shared" si="28"/>
        <v>0.10745814874408066</v>
      </c>
      <c r="BQ17" s="51">
        <f t="shared" si="28"/>
        <v>0.10892385757385581</v>
      </c>
      <c r="BR17" s="51">
        <f t="shared" si="28"/>
        <v>0.10741393784114184</v>
      </c>
      <c r="BS17" s="52">
        <f t="shared" si="29"/>
        <v>0.10757614629836065</v>
      </c>
      <c r="BV17" s="53"/>
      <c r="BW17" s="53"/>
      <c r="BX17" s="53"/>
    </row>
    <row r="18" spans="1:76">
      <c r="A18" s="37"/>
      <c r="B18" s="11"/>
      <c r="C18" s="11"/>
      <c r="D18" s="11"/>
      <c r="E18" s="11"/>
      <c r="F18" s="38"/>
      <c r="G18" s="11"/>
      <c r="H18" s="11"/>
      <c r="I18" s="11"/>
      <c r="J18" s="11"/>
      <c r="K18" s="38"/>
      <c r="L18" s="11"/>
      <c r="M18" s="11"/>
      <c r="N18" s="11"/>
      <c r="O18" s="11"/>
      <c r="P18" s="38"/>
      <c r="Q18" s="11"/>
      <c r="R18" s="11"/>
      <c r="S18" s="11"/>
      <c r="T18" s="11"/>
      <c r="U18" s="38"/>
      <c r="V18" s="11"/>
      <c r="W18" s="11"/>
      <c r="X18" s="11"/>
      <c r="Y18" s="11"/>
      <c r="Z18" s="38"/>
      <c r="AA18" s="11"/>
      <c r="AB18" s="11"/>
      <c r="AC18" s="11"/>
      <c r="AD18" s="11"/>
      <c r="AE18" s="38"/>
      <c r="AF18" s="11"/>
      <c r="AG18" s="11"/>
      <c r="AH18" s="11"/>
      <c r="AI18" s="11"/>
      <c r="AJ18" s="38"/>
      <c r="AK18" s="11"/>
      <c r="AL18" s="11"/>
      <c r="AM18" s="11"/>
      <c r="AN18" s="11"/>
      <c r="AO18" s="38"/>
      <c r="AP18" s="11"/>
      <c r="AQ18" s="11"/>
      <c r="AR18" s="11"/>
      <c r="AS18" s="11"/>
      <c r="AT18" s="38"/>
      <c r="AU18" s="11"/>
      <c r="AV18" s="11"/>
      <c r="AW18" s="11"/>
      <c r="AX18" s="11"/>
      <c r="AY18" s="38"/>
      <c r="AZ18" s="11"/>
      <c r="BA18" s="11"/>
      <c r="BB18" s="11"/>
      <c r="BC18" s="11"/>
      <c r="BD18" s="38"/>
      <c r="BE18" s="11"/>
      <c r="BF18" s="11"/>
      <c r="BG18" s="11"/>
      <c r="BH18" s="11"/>
      <c r="BI18" s="38"/>
      <c r="BJ18" s="11"/>
      <c r="BK18" s="11"/>
      <c r="BL18" s="11"/>
      <c r="BM18" s="11"/>
      <c r="BN18" s="38"/>
      <c r="BO18" s="11"/>
      <c r="BP18" s="11"/>
      <c r="BQ18" s="11"/>
      <c r="BR18" s="11"/>
      <c r="BS18" s="38"/>
      <c r="BV18" s="54"/>
      <c r="BW18" s="54"/>
      <c r="BX18" s="54"/>
    </row>
    <row r="19" spans="1:76">
      <c r="A19" s="40" t="s">
        <v>83</v>
      </c>
      <c r="B19" s="11"/>
      <c r="C19" s="11"/>
      <c r="D19" s="11"/>
      <c r="E19" s="11"/>
      <c r="F19" s="38"/>
      <c r="G19" s="11"/>
      <c r="H19" s="11"/>
      <c r="I19" s="11"/>
      <c r="J19" s="11"/>
      <c r="K19" s="38"/>
      <c r="L19" s="11"/>
      <c r="M19" s="11"/>
      <c r="N19" s="11"/>
      <c r="O19" s="11"/>
      <c r="P19" s="38"/>
      <c r="Q19" s="11"/>
      <c r="R19" s="11"/>
      <c r="S19" s="11"/>
      <c r="T19" s="11"/>
      <c r="U19" s="38"/>
      <c r="V19" s="11"/>
      <c r="W19" s="11"/>
      <c r="X19" s="11"/>
      <c r="Y19" s="11"/>
      <c r="Z19" s="38"/>
      <c r="AA19" s="11"/>
      <c r="AB19" s="11"/>
      <c r="AC19" s="11"/>
      <c r="AD19" s="11"/>
      <c r="AE19" s="38"/>
      <c r="AF19" s="11"/>
      <c r="AG19" s="11"/>
      <c r="AH19" s="11"/>
      <c r="AI19" s="11"/>
      <c r="AJ19" s="38"/>
      <c r="AK19" s="11"/>
      <c r="AL19" s="11"/>
      <c r="AM19" s="11"/>
      <c r="AN19" s="11"/>
      <c r="AO19" s="38"/>
      <c r="AP19" s="11"/>
      <c r="AQ19" s="11"/>
      <c r="AR19" s="11"/>
      <c r="AS19" s="11"/>
      <c r="AT19" s="38"/>
      <c r="AU19" s="11"/>
      <c r="AV19" s="11"/>
      <c r="AW19" s="11"/>
      <c r="AX19" s="11"/>
      <c r="AY19" s="38"/>
      <c r="AZ19" s="11"/>
      <c r="BA19" s="11"/>
      <c r="BB19" s="11"/>
      <c r="BC19" s="11"/>
      <c r="BD19" s="38"/>
      <c r="BE19" s="11"/>
      <c r="BF19" s="11"/>
      <c r="BG19" s="11"/>
      <c r="BH19" s="11"/>
      <c r="BI19" s="38"/>
      <c r="BJ19" s="11"/>
      <c r="BK19" s="11"/>
      <c r="BL19" s="11"/>
      <c r="BM19" s="11"/>
      <c r="BN19" s="38"/>
      <c r="BO19" s="11"/>
      <c r="BP19" s="11"/>
      <c r="BQ19" s="11"/>
      <c r="BR19" s="11"/>
      <c r="BS19" s="38"/>
      <c r="BV19" s="54"/>
      <c r="BW19" s="54"/>
      <c r="BX19" s="54"/>
    </row>
    <row r="20" spans="1:76">
      <c r="A20" s="20" t="s">
        <v>77</v>
      </c>
      <c r="B20" s="43">
        <f>B8/B$11</f>
        <v>1</v>
      </c>
      <c r="C20" s="43">
        <f t="shared" ref="C20:BN23" si="31">C8/C$11</f>
        <v>1</v>
      </c>
      <c r="D20" s="43">
        <f t="shared" si="31"/>
        <v>1</v>
      </c>
      <c r="E20" s="43">
        <f t="shared" si="31"/>
        <v>1</v>
      </c>
      <c r="F20" s="44">
        <f t="shared" si="31"/>
        <v>1</v>
      </c>
      <c r="G20" s="43">
        <f t="shared" si="31"/>
        <v>1</v>
      </c>
      <c r="H20" s="43">
        <f t="shared" si="31"/>
        <v>1</v>
      </c>
      <c r="I20" s="43">
        <f t="shared" si="31"/>
        <v>1</v>
      </c>
      <c r="J20" s="43">
        <f t="shared" si="31"/>
        <v>1</v>
      </c>
      <c r="K20" s="44">
        <f t="shared" si="31"/>
        <v>1</v>
      </c>
      <c r="L20" s="43">
        <f t="shared" si="31"/>
        <v>1</v>
      </c>
      <c r="M20" s="43">
        <f t="shared" si="31"/>
        <v>1</v>
      </c>
      <c r="N20" s="43">
        <f t="shared" si="31"/>
        <v>1</v>
      </c>
      <c r="O20" s="43">
        <f t="shared" si="31"/>
        <v>1</v>
      </c>
      <c r="P20" s="44">
        <f t="shared" si="31"/>
        <v>1</v>
      </c>
      <c r="Q20" s="43">
        <f t="shared" si="31"/>
        <v>1</v>
      </c>
      <c r="R20" s="43">
        <f t="shared" si="31"/>
        <v>1</v>
      </c>
      <c r="S20" s="43">
        <f t="shared" si="31"/>
        <v>1</v>
      </c>
      <c r="T20" s="43">
        <f t="shared" si="31"/>
        <v>1</v>
      </c>
      <c r="U20" s="44">
        <f t="shared" si="31"/>
        <v>1</v>
      </c>
      <c r="V20" s="43">
        <f t="shared" si="31"/>
        <v>1</v>
      </c>
      <c r="W20" s="43">
        <f t="shared" si="31"/>
        <v>0.98022064964177402</v>
      </c>
      <c r="X20" s="43">
        <f t="shared" si="31"/>
        <v>0.98934628824682525</v>
      </c>
      <c r="Y20" s="43">
        <f t="shared" si="31"/>
        <v>0.99029126213592233</v>
      </c>
      <c r="Z20" s="44">
        <f t="shared" si="31"/>
        <v>0.98967481088600973</v>
      </c>
      <c r="AA20" s="43">
        <f t="shared" si="31"/>
        <v>0.85979884181651933</v>
      </c>
      <c r="AB20" s="43">
        <f t="shared" si="31"/>
        <v>0.88551898062118395</v>
      </c>
      <c r="AC20" s="43">
        <f t="shared" si="31"/>
        <v>0.86278371484841632</v>
      </c>
      <c r="AD20" s="43">
        <f t="shared" si="31"/>
        <v>0.96054490413723514</v>
      </c>
      <c r="AE20" s="44">
        <f t="shared" si="31"/>
        <v>0.8918898710620764</v>
      </c>
      <c r="AF20" s="43">
        <f t="shared" si="31"/>
        <v>0.86726431463273568</v>
      </c>
      <c r="AG20" s="43">
        <f t="shared" si="31"/>
        <v>0.73473724884080371</v>
      </c>
      <c r="AH20" s="43">
        <f t="shared" si="31"/>
        <v>0.90838983323157985</v>
      </c>
      <c r="AI20" s="43">
        <f t="shared" si="31"/>
        <v>0.91200486448922857</v>
      </c>
      <c r="AJ20" s="44">
        <f t="shared" si="31"/>
        <v>0.86795536375475602</v>
      </c>
      <c r="AK20" s="43">
        <f t="shared" si="31"/>
        <v>0.90123423153420701</v>
      </c>
      <c r="AL20" s="43">
        <f t="shared" si="31"/>
        <v>0.92174938753289171</v>
      </c>
      <c r="AM20" s="43">
        <f t="shared" si="31"/>
        <v>0.84308431340069567</v>
      </c>
      <c r="AN20" s="43">
        <f t="shared" si="31"/>
        <v>0.79324581204704769</v>
      </c>
      <c r="AO20" s="44">
        <f t="shared" si="31"/>
        <v>0.85726650691983208</v>
      </c>
      <c r="AP20" s="43">
        <f t="shared" si="31"/>
        <v>0.82587079356180748</v>
      </c>
      <c r="AQ20" s="43">
        <f t="shared" si="31"/>
        <v>0.81958168642951257</v>
      </c>
      <c r="AR20" s="43">
        <f t="shared" si="31"/>
        <v>0.85428352206582725</v>
      </c>
      <c r="AS20" s="43">
        <f t="shared" si="31"/>
        <v>0.87511364060923835</v>
      </c>
      <c r="AT20" s="44">
        <f t="shared" si="31"/>
        <v>0.84490247389861617</v>
      </c>
      <c r="AU20" s="43">
        <f t="shared" si="31"/>
        <v>0.8783577200262066</v>
      </c>
      <c r="AV20" s="43">
        <f t="shared" si="31"/>
        <v>0.90508403268306736</v>
      </c>
      <c r="AW20" s="43">
        <f t="shared" si="31"/>
        <v>0.91015226173036812</v>
      </c>
      <c r="AX20" s="43">
        <f t="shared" si="31"/>
        <v>0.92042688825751784</v>
      </c>
      <c r="AY20" s="44">
        <f t="shared" si="31"/>
        <v>0.90442070510814254</v>
      </c>
      <c r="AZ20" s="43">
        <f t="shared" si="31"/>
        <v>0.9324583866837387</v>
      </c>
      <c r="BA20" s="43">
        <f t="shared" si="31"/>
        <v>0.93482364456251954</v>
      </c>
      <c r="BB20" s="43">
        <f t="shared" si="31"/>
        <v>0.94541688244432942</v>
      </c>
      <c r="BC20" s="43">
        <f t="shared" si="31"/>
        <v>0.94537730123406838</v>
      </c>
      <c r="BD20" s="44">
        <f t="shared" si="31"/>
        <v>0.93987177071275374</v>
      </c>
      <c r="BE20" s="43">
        <f t="shared" si="31"/>
        <v>0.93741755697850149</v>
      </c>
      <c r="BF20" s="43">
        <f t="shared" si="31"/>
        <v>0.93929965274576677</v>
      </c>
      <c r="BG20" s="43">
        <f t="shared" si="31"/>
        <v>0.96878791555447719</v>
      </c>
      <c r="BH20" s="43">
        <f t="shared" si="31"/>
        <v>0.9657982308939389</v>
      </c>
      <c r="BI20" s="44">
        <f t="shared" si="31"/>
        <v>0.95360875576482418</v>
      </c>
      <c r="BJ20" s="43">
        <f t="shared" si="31"/>
        <v>0.97110678479079493</v>
      </c>
      <c r="BK20" s="43">
        <f t="shared" si="31"/>
        <v>0.97488279540674005</v>
      </c>
      <c r="BL20" s="43">
        <f t="shared" si="31"/>
        <v>0.97807134008653651</v>
      </c>
      <c r="BM20" s="43">
        <f t="shared" si="31"/>
        <v>0.97609835410567836</v>
      </c>
      <c r="BN20" s="44">
        <f t="shared" si="31"/>
        <v>0.97516091352035461</v>
      </c>
      <c r="BO20" s="43">
        <f t="shared" ref="BO20:BS23" si="32">BO8/BO$11</f>
        <v>0.97336281531057367</v>
      </c>
      <c r="BP20" s="43">
        <f t="shared" si="32"/>
        <v>0.97686635046734815</v>
      </c>
      <c r="BQ20" s="43">
        <f t="shared" si="32"/>
        <v>0.97982978456188274</v>
      </c>
      <c r="BR20" s="43">
        <f t="shared" si="32"/>
        <v>0.97798503524369984</v>
      </c>
      <c r="BS20" s="44">
        <f t="shared" si="32"/>
        <v>0.9771249423401599</v>
      </c>
      <c r="BV20" s="54"/>
      <c r="BW20" s="54"/>
      <c r="BX20" s="54"/>
    </row>
    <row r="21" spans="1:76">
      <c r="A21" s="20" t="s">
        <v>78</v>
      </c>
      <c r="B21" s="43">
        <f t="shared" ref="B21:Q23" si="33">B9/B$11</f>
        <v>0</v>
      </c>
      <c r="C21" s="43">
        <f t="shared" si="33"/>
        <v>0</v>
      </c>
      <c r="D21" s="43">
        <f t="shared" si="33"/>
        <v>0</v>
      </c>
      <c r="E21" s="43">
        <f t="shared" si="33"/>
        <v>0</v>
      </c>
      <c r="F21" s="44">
        <f t="shared" si="33"/>
        <v>0</v>
      </c>
      <c r="G21" s="43">
        <f t="shared" si="33"/>
        <v>0</v>
      </c>
      <c r="H21" s="43">
        <f t="shared" si="33"/>
        <v>0</v>
      </c>
      <c r="I21" s="43">
        <f t="shared" si="33"/>
        <v>0</v>
      </c>
      <c r="J21" s="43">
        <f t="shared" si="33"/>
        <v>0</v>
      </c>
      <c r="K21" s="44">
        <f t="shared" si="33"/>
        <v>0</v>
      </c>
      <c r="L21" s="43">
        <f t="shared" si="33"/>
        <v>0</v>
      </c>
      <c r="M21" s="43">
        <f t="shared" si="33"/>
        <v>0</v>
      </c>
      <c r="N21" s="43">
        <f t="shared" si="33"/>
        <v>0</v>
      </c>
      <c r="O21" s="43">
        <f t="shared" si="33"/>
        <v>0</v>
      </c>
      <c r="P21" s="44">
        <f t="shared" si="33"/>
        <v>0</v>
      </c>
      <c r="Q21" s="43">
        <f t="shared" si="33"/>
        <v>0</v>
      </c>
      <c r="R21" s="43">
        <f t="shared" si="31"/>
        <v>0</v>
      </c>
      <c r="S21" s="43">
        <f t="shared" si="31"/>
        <v>0</v>
      </c>
      <c r="T21" s="43">
        <f t="shared" si="31"/>
        <v>0</v>
      </c>
      <c r="U21" s="44">
        <f t="shared" si="31"/>
        <v>0</v>
      </c>
      <c r="V21" s="43">
        <f t="shared" si="31"/>
        <v>0</v>
      </c>
      <c r="W21" s="43">
        <f t="shared" si="31"/>
        <v>0</v>
      </c>
      <c r="X21" s="43">
        <f t="shared" si="31"/>
        <v>0</v>
      </c>
      <c r="Y21" s="43">
        <f t="shared" si="31"/>
        <v>0</v>
      </c>
      <c r="Z21" s="44">
        <f t="shared" si="31"/>
        <v>0</v>
      </c>
      <c r="AA21" s="43">
        <f t="shared" si="31"/>
        <v>0</v>
      </c>
      <c r="AB21" s="43">
        <f t="shared" si="31"/>
        <v>0</v>
      </c>
      <c r="AC21" s="43">
        <f t="shared" si="31"/>
        <v>0</v>
      </c>
      <c r="AD21" s="43">
        <f t="shared" si="31"/>
        <v>3.104608139926001E-2</v>
      </c>
      <c r="AE21" s="44">
        <f t="shared" si="31"/>
        <v>7.6681510035889943E-3</v>
      </c>
      <c r="AF21" s="43">
        <f t="shared" si="31"/>
        <v>0.10953666216824111</v>
      </c>
      <c r="AG21" s="43">
        <f t="shared" si="31"/>
        <v>8.2737635239567231E-2</v>
      </c>
      <c r="AH21" s="43">
        <f t="shared" si="31"/>
        <v>6.5132868481089942E-2</v>
      </c>
      <c r="AI21" s="43">
        <f t="shared" si="31"/>
        <v>7.8063470002316421E-2</v>
      </c>
      <c r="AJ21" s="44">
        <f t="shared" si="31"/>
        <v>8.3799358205016897E-2</v>
      </c>
      <c r="AK21" s="43">
        <f t="shared" si="31"/>
        <v>8.3344685720513303E-2</v>
      </c>
      <c r="AL21" s="43">
        <f t="shared" si="31"/>
        <v>4.8779602576898645E-2</v>
      </c>
      <c r="AM21" s="43">
        <f t="shared" si="31"/>
        <v>4.9014411131356635E-2</v>
      </c>
      <c r="AN21" s="43">
        <f t="shared" si="31"/>
        <v>4.0958773909944159E-2</v>
      </c>
      <c r="AO21" s="44">
        <f t="shared" si="31"/>
        <v>5.2224459487777534E-2</v>
      </c>
      <c r="AP21" s="43">
        <f t="shared" si="31"/>
        <v>4.3949072776359857E-2</v>
      </c>
      <c r="AQ21" s="43">
        <f t="shared" si="31"/>
        <v>4.2654808959156784E-2</v>
      </c>
      <c r="AR21" s="43">
        <f t="shared" si="31"/>
        <v>4.3840618054820625E-2</v>
      </c>
      <c r="AS21" s="43">
        <f t="shared" si="31"/>
        <v>4.0238115994370896E-2</v>
      </c>
      <c r="AT21" s="44">
        <f t="shared" si="31"/>
        <v>4.2598537782933613E-2</v>
      </c>
      <c r="AU21" s="43">
        <f t="shared" si="31"/>
        <v>4.7220402319768998E-2</v>
      </c>
      <c r="AV21" s="43">
        <f t="shared" si="31"/>
        <v>4.440778547862094E-2</v>
      </c>
      <c r="AW21" s="43">
        <f t="shared" si="31"/>
        <v>4.461313090957518E-2</v>
      </c>
      <c r="AX21" s="43">
        <f t="shared" si="31"/>
        <v>3.7322172323547079E-2</v>
      </c>
      <c r="AY21" s="44">
        <f t="shared" si="31"/>
        <v>4.3173956033912109E-2</v>
      </c>
      <c r="AZ21" s="43">
        <f t="shared" si="31"/>
        <v>3.6522654991532767E-2</v>
      </c>
      <c r="BA21" s="43">
        <f t="shared" si="31"/>
        <v>3.4135001922606351E-2</v>
      </c>
      <c r="BB21" s="43">
        <f t="shared" si="31"/>
        <v>2.7515967547039531E-2</v>
      </c>
      <c r="BC21" s="43">
        <f t="shared" si="31"/>
        <v>2.5448445613325241E-2</v>
      </c>
      <c r="BD21" s="44">
        <f t="shared" si="31"/>
        <v>3.0621584515573261E-2</v>
      </c>
      <c r="BE21" s="43">
        <f t="shared" si="31"/>
        <v>3.1273750141954874E-2</v>
      </c>
      <c r="BF21" s="43">
        <f t="shared" si="31"/>
        <v>2.7642051565717092E-2</v>
      </c>
      <c r="BG21" s="43">
        <f t="shared" si="31"/>
        <v>2.5031849065760742E-2</v>
      </c>
      <c r="BH21" s="43">
        <f t="shared" si="31"/>
        <v>2.7361415284848829E-2</v>
      </c>
      <c r="BI21" s="44">
        <f t="shared" si="31"/>
        <v>2.7704028850709179E-2</v>
      </c>
      <c r="BJ21" s="43">
        <f t="shared" si="31"/>
        <v>2.8893215209205039E-2</v>
      </c>
      <c r="BK21" s="43">
        <f t="shared" si="31"/>
        <v>2.5117204593259852E-2</v>
      </c>
      <c r="BL21" s="43">
        <f t="shared" si="31"/>
        <v>2.1928659913463416E-2</v>
      </c>
      <c r="BM21" s="43">
        <f t="shared" si="31"/>
        <v>2.3901645894321755E-2</v>
      </c>
      <c r="BN21" s="44">
        <f t="shared" si="31"/>
        <v>2.4839086479645431E-2</v>
      </c>
      <c r="BO21" s="43">
        <f t="shared" si="32"/>
        <v>2.6637184689426423E-2</v>
      </c>
      <c r="BP21" s="43">
        <f t="shared" si="32"/>
        <v>2.3133649532651911E-2</v>
      </c>
      <c r="BQ21" s="43">
        <f t="shared" si="32"/>
        <v>2.0170215438117218E-2</v>
      </c>
      <c r="BR21" s="43">
        <f t="shared" si="32"/>
        <v>2.2014964756300052E-2</v>
      </c>
      <c r="BS21" s="44">
        <f t="shared" si="32"/>
        <v>2.2875057659839961E-2</v>
      </c>
    </row>
    <row r="22" spans="1:76">
      <c r="A22" s="27" t="s">
        <v>79</v>
      </c>
      <c r="B22" s="43">
        <f t="shared" si="33"/>
        <v>0</v>
      </c>
      <c r="C22" s="43">
        <f t="shared" si="31"/>
        <v>0</v>
      </c>
      <c r="D22" s="43">
        <f t="shared" si="31"/>
        <v>0</v>
      </c>
      <c r="E22" s="43">
        <f t="shared" si="31"/>
        <v>0</v>
      </c>
      <c r="F22" s="44">
        <f t="shared" si="31"/>
        <v>0</v>
      </c>
      <c r="G22" s="43">
        <f t="shared" si="31"/>
        <v>0</v>
      </c>
      <c r="H22" s="43">
        <f t="shared" si="31"/>
        <v>0</v>
      </c>
      <c r="I22" s="43">
        <f t="shared" si="31"/>
        <v>0</v>
      </c>
      <c r="J22" s="43">
        <f t="shared" si="31"/>
        <v>0</v>
      </c>
      <c r="K22" s="44">
        <f t="shared" si="31"/>
        <v>0</v>
      </c>
      <c r="L22" s="43">
        <f t="shared" si="31"/>
        <v>0</v>
      </c>
      <c r="M22" s="43">
        <f t="shared" si="31"/>
        <v>0</v>
      </c>
      <c r="N22" s="43">
        <f t="shared" si="31"/>
        <v>0</v>
      </c>
      <c r="O22" s="43">
        <f t="shared" si="31"/>
        <v>0</v>
      </c>
      <c r="P22" s="44">
        <f t="shared" si="31"/>
        <v>0</v>
      </c>
      <c r="Q22" s="43">
        <f t="shared" si="31"/>
        <v>0</v>
      </c>
      <c r="R22" s="43">
        <f t="shared" si="31"/>
        <v>0</v>
      </c>
      <c r="S22" s="43">
        <f t="shared" si="31"/>
        <v>0</v>
      </c>
      <c r="T22" s="43">
        <f t="shared" si="31"/>
        <v>0</v>
      </c>
      <c r="U22" s="44">
        <f t="shared" si="31"/>
        <v>0</v>
      </c>
      <c r="V22" s="43">
        <f t="shared" si="31"/>
        <v>0</v>
      </c>
      <c r="W22" s="43">
        <f t="shared" si="31"/>
        <v>1.9779350358226016E-2</v>
      </c>
      <c r="X22" s="43">
        <f t="shared" si="31"/>
        <v>1.0653711753174805E-2</v>
      </c>
      <c r="Y22" s="43">
        <f t="shared" si="31"/>
        <v>9.7087378640776691E-3</v>
      </c>
      <c r="Z22" s="44">
        <f t="shared" si="31"/>
        <v>1.0325189113990087E-2</v>
      </c>
      <c r="AA22" s="43">
        <f t="shared" si="31"/>
        <v>0.14020115818348064</v>
      </c>
      <c r="AB22" s="43">
        <f t="shared" si="31"/>
        <v>0.11448101937881604</v>
      </c>
      <c r="AC22" s="43">
        <f t="shared" si="31"/>
        <v>0.13721628515158366</v>
      </c>
      <c r="AD22" s="43">
        <f t="shared" si="31"/>
        <v>8.409014463504878E-3</v>
      </c>
      <c r="AE22" s="44">
        <f t="shared" si="31"/>
        <v>0.10044197793433471</v>
      </c>
      <c r="AF22" s="43">
        <f t="shared" si="31"/>
        <v>2.31990231990232E-2</v>
      </c>
      <c r="AG22" s="43">
        <f t="shared" si="31"/>
        <v>0.18252511591962906</v>
      </c>
      <c r="AH22" s="43">
        <f t="shared" si="31"/>
        <v>2.6477298287330097E-2</v>
      </c>
      <c r="AI22" s="43">
        <f t="shared" si="31"/>
        <v>9.9316655084549458E-3</v>
      </c>
      <c r="AJ22" s="44">
        <f t="shared" si="31"/>
        <v>4.8245278040227088E-2</v>
      </c>
      <c r="AK22" s="43">
        <f t="shared" si="31"/>
        <v>1.5421082745279674E-2</v>
      </c>
      <c r="AL22" s="43">
        <f t="shared" si="31"/>
        <v>2.94710098902096E-2</v>
      </c>
      <c r="AM22" s="43">
        <f t="shared" si="31"/>
        <v>0.10790127546794766</v>
      </c>
      <c r="AN22" s="43">
        <f t="shared" si="31"/>
        <v>0.16579541404300821</v>
      </c>
      <c r="AO22" s="44">
        <f t="shared" si="31"/>
        <v>9.0509033592390473E-2</v>
      </c>
      <c r="AP22" s="43">
        <f t="shared" si="31"/>
        <v>0.13018013366183262</v>
      </c>
      <c r="AQ22" s="43">
        <f t="shared" si="31"/>
        <v>0.13776350461133069</v>
      </c>
      <c r="AR22" s="43">
        <f t="shared" si="31"/>
        <v>0.10187585987935233</v>
      </c>
      <c r="AS22" s="43">
        <f t="shared" si="31"/>
        <v>8.4648243396390904E-2</v>
      </c>
      <c r="AT22" s="44">
        <f t="shared" si="31"/>
        <v>0.1124989883184504</v>
      </c>
      <c r="AU22" s="43">
        <f t="shared" si="31"/>
        <v>7.4421877654024415E-2</v>
      </c>
      <c r="AV22" s="43">
        <f t="shared" si="31"/>
        <v>5.0508181838311829E-2</v>
      </c>
      <c r="AW22" s="43">
        <f t="shared" si="31"/>
        <v>4.5234607360056821E-2</v>
      </c>
      <c r="AX22" s="43">
        <f t="shared" si="31"/>
        <v>4.2250939418935013E-2</v>
      </c>
      <c r="AY22" s="44">
        <f t="shared" si="31"/>
        <v>5.2405338857945287E-2</v>
      </c>
      <c r="AZ22" s="43">
        <f t="shared" si="31"/>
        <v>3.1018958324728427E-2</v>
      </c>
      <c r="BA22" s="43">
        <f t="shared" si="31"/>
        <v>3.1041353514873977E-2</v>
      </c>
      <c r="BB22" s="43">
        <f t="shared" si="31"/>
        <v>2.7067150008631108E-2</v>
      </c>
      <c r="BC22" s="43">
        <f t="shared" si="31"/>
        <v>2.9174253152606376E-2</v>
      </c>
      <c r="BD22" s="44">
        <f t="shared" si="31"/>
        <v>2.9506644771672905E-2</v>
      </c>
      <c r="BE22" s="43">
        <f t="shared" si="31"/>
        <v>3.1308692879543645E-2</v>
      </c>
      <c r="BF22" s="43">
        <f t="shared" si="31"/>
        <v>3.3058295688516023E-2</v>
      </c>
      <c r="BG22" s="43">
        <f t="shared" si="31"/>
        <v>6.180235379762194E-3</v>
      </c>
      <c r="BH22" s="43">
        <f t="shared" si="31"/>
        <v>6.8403538212122071E-3</v>
      </c>
      <c r="BI22" s="44">
        <f t="shared" si="31"/>
        <v>1.8687215384466639E-2</v>
      </c>
      <c r="BJ22" s="43">
        <f t="shared" si="31"/>
        <v>0</v>
      </c>
      <c r="BK22" s="43">
        <f t="shared" si="31"/>
        <v>0</v>
      </c>
      <c r="BL22" s="43">
        <f t="shared" si="31"/>
        <v>0</v>
      </c>
      <c r="BM22" s="43">
        <f t="shared" si="31"/>
        <v>0</v>
      </c>
      <c r="BN22" s="44">
        <f t="shared" si="31"/>
        <v>0</v>
      </c>
      <c r="BO22" s="43">
        <f t="shared" si="32"/>
        <v>0</v>
      </c>
      <c r="BP22" s="43">
        <f t="shared" si="32"/>
        <v>0</v>
      </c>
      <c r="BQ22" s="43">
        <f t="shared" si="32"/>
        <v>0</v>
      </c>
      <c r="BR22" s="43">
        <f t="shared" si="32"/>
        <v>0</v>
      </c>
      <c r="BS22" s="44">
        <f t="shared" si="32"/>
        <v>0</v>
      </c>
    </row>
    <row r="23" spans="1:76" ht="13.5" thickBot="1">
      <c r="A23" s="33" t="s">
        <v>80</v>
      </c>
      <c r="B23" s="51">
        <f t="shared" si="33"/>
        <v>1</v>
      </c>
      <c r="C23" s="51">
        <f t="shared" si="31"/>
        <v>1</v>
      </c>
      <c r="D23" s="51">
        <f t="shared" si="31"/>
        <v>1</v>
      </c>
      <c r="E23" s="51">
        <f t="shared" si="31"/>
        <v>1</v>
      </c>
      <c r="F23" s="52">
        <f t="shared" si="31"/>
        <v>1</v>
      </c>
      <c r="G23" s="51">
        <f t="shared" si="31"/>
        <v>1</v>
      </c>
      <c r="H23" s="51">
        <f t="shared" si="31"/>
        <v>1</v>
      </c>
      <c r="I23" s="51">
        <f t="shared" si="31"/>
        <v>1</v>
      </c>
      <c r="J23" s="51">
        <f t="shared" si="31"/>
        <v>1</v>
      </c>
      <c r="K23" s="52">
        <f t="shared" si="31"/>
        <v>1</v>
      </c>
      <c r="L23" s="51">
        <f t="shared" si="31"/>
        <v>1</v>
      </c>
      <c r="M23" s="51">
        <f t="shared" si="31"/>
        <v>1</v>
      </c>
      <c r="N23" s="51">
        <f t="shared" si="31"/>
        <v>1</v>
      </c>
      <c r="O23" s="51">
        <f t="shared" si="31"/>
        <v>1</v>
      </c>
      <c r="P23" s="52">
        <f t="shared" si="31"/>
        <v>1</v>
      </c>
      <c r="Q23" s="51">
        <f t="shared" si="31"/>
        <v>1</v>
      </c>
      <c r="R23" s="51">
        <f t="shared" si="31"/>
        <v>1</v>
      </c>
      <c r="S23" s="51">
        <f t="shared" si="31"/>
        <v>1</v>
      </c>
      <c r="T23" s="51">
        <f t="shared" si="31"/>
        <v>1</v>
      </c>
      <c r="U23" s="52">
        <f t="shared" si="31"/>
        <v>1</v>
      </c>
      <c r="V23" s="51">
        <f t="shared" si="31"/>
        <v>1</v>
      </c>
      <c r="W23" s="51">
        <f t="shared" si="31"/>
        <v>1</v>
      </c>
      <c r="X23" s="51">
        <f t="shared" si="31"/>
        <v>1</v>
      </c>
      <c r="Y23" s="51">
        <f t="shared" si="31"/>
        <v>1</v>
      </c>
      <c r="Z23" s="52">
        <f t="shared" si="31"/>
        <v>1</v>
      </c>
      <c r="AA23" s="51">
        <f t="shared" si="31"/>
        <v>1</v>
      </c>
      <c r="AB23" s="51">
        <f t="shared" si="31"/>
        <v>1</v>
      </c>
      <c r="AC23" s="51">
        <f t="shared" si="31"/>
        <v>1</v>
      </c>
      <c r="AD23" s="51">
        <f t="shared" si="31"/>
        <v>1</v>
      </c>
      <c r="AE23" s="52">
        <f t="shared" si="31"/>
        <v>1</v>
      </c>
      <c r="AF23" s="51">
        <f t="shared" si="31"/>
        <v>1</v>
      </c>
      <c r="AG23" s="51">
        <f t="shared" si="31"/>
        <v>1</v>
      </c>
      <c r="AH23" s="51">
        <f t="shared" si="31"/>
        <v>1</v>
      </c>
      <c r="AI23" s="51">
        <f t="shared" si="31"/>
        <v>1</v>
      </c>
      <c r="AJ23" s="52">
        <f t="shared" si="31"/>
        <v>1</v>
      </c>
      <c r="AK23" s="51">
        <f t="shared" si="31"/>
        <v>1</v>
      </c>
      <c r="AL23" s="51">
        <f t="shared" si="31"/>
        <v>1</v>
      </c>
      <c r="AM23" s="51">
        <f t="shared" si="31"/>
        <v>1</v>
      </c>
      <c r="AN23" s="51">
        <f t="shared" si="31"/>
        <v>1</v>
      </c>
      <c r="AO23" s="52">
        <f t="shared" si="31"/>
        <v>1</v>
      </c>
      <c r="AP23" s="51">
        <f t="shared" si="31"/>
        <v>1</v>
      </c>
      <c r="AQ23" s="51">
        <f t="shared" si="31"/>
        <v>1</v>
      </c>
      <c r="AR23" s="51">
        <f t="shared" si="31"/>
        <v>1</v>
      </c>
      <c r="AS23" s="51">
        <f t="shared" si="31"/>
        <v>1</v>
      </c>
      <c r="AT23" s="52">
        <f t="shared" si="31"/>
        <v>1</v>
      </c>
      <c r="AU23" s="51">
        <f t="shared" si="31"/>
        <v>1</v>
      </c>
      <c r="AV23" s="51">
        <f t="shared" si="31"/>
        <v>1</v>
      </c>
      <c r="AW23" s="51">
        <f t="shared" si="31"/>
        <v>1</v>
      </c>
      <c r="AX23" s="51">
        <f t="shared" si="31"/>
        <v>1</v>
      </c>
      <c r="AY23" s="52">
        <f t="shared" si="31"/>
        <v>1</v>
      </c>
      <c r="AZ23" s="51">
        <f t="shared" si="31"/>
        <v>1</v>
      </c>
      <c r="BA23" s="51">
        <f t="shared" si="31"/>
        <v>1</v>
      </c>
      <c r="BB23" s="51">
        <f t="shared" si="31"/>
        <v>1</v>
      </c>
      <c r="BC23" s="51">
        <f t="shared" si="31"/>
        <v>1</v>
      </c>
      <c r="BD23" s="52">
        <f t="shared" si="31"/>
        <v>1</v>
      </c>
      <c r="BE23" s="51">
        <f t="shared" si="31"/>
        <v>1</v>
      </c>
      <c r="BF23" s="51">
        <f t="shared" si="31"/>
        <v>1</v>
      </c>
      <c r="BG23" s="51">
        <f t="shared" si="31"/>
        <v>1</v>
      </c>
      <c r="BH23" s="51">
        <f t="shared" si="31"/>
        <v>1</v>
      </c>
      <c r="BI23" s="52">
        <f t="shared" si="31"/>
        <v>1</v>
      </c>
      <c r="BJ23" s="51">
        <f t="shared" si="31"/>
        <v>1</v>
      </c>
      <c r="BK23" s="51">
        <f t="shared" si="31"/>
        <v>1</v>
      </c>
      <c r="BL23" s="51">
        <f t="shared" si="31"/>
        <v>1</v>
      </c>
      <c r="BM23" s="51">
        <f t="shared" si="31"/>
        <v>1</v>
      </c>
      <c r="BN23" s="52">
        <f t="shared" si="31"/>
        <v>1</v>
      </c>
      <c r="BO23" s="51">
        <f t="shared" si="32"/>
        <v>1</v>
      </c>
      <c r="BP23" s="51">
        <f t="shared" si="32"/>
        <v>1</v>
      </c>
      <c r="BQ23" s="51">
        <f t="shared" si="32"/>
        <v>1</v>
      </c>
      <c r="BR23" s="51">
        <f t="shared" si="32"/>
        <v>1</v>
      </c>
      <c r="BS23" s="52">
        <f t="shared" si="32"/>
        <v>1</v>
      </c>
    </row>
    <row r="24" spans="1:76">
      <c r="A24" s="37"/>
      <c r="F24" s="55"/>
      <c r="K24" s="55"/>
      <c r="P24" s="55"/>
      <c r="U24" s="55"/>
      <c r="Z24" s="55"/>
      <c r="AE24" s="55"/>
      <c r="AJ24" s="55"/>
      <c r="AO24" s="55"/>
      <c r="AT24" s="55"/>
      <c r="AY24" s="55"/>
      <c r="BD24" s="55"/>
      <c r="BG24" s="56"/>
      <c r="BI24" s="55"/>
      <c r="BL24" s="56"/>
      <c r="BN24" s="55"/>
      <c r="BQ24" s="56"/>
      <c r="BS24" s="55"/>
    </row>
    <row r="25" spans="1:76">
      <c r="A25" s="9" t="s">
        <v>84</v>
      </c>
      <c r="B25" s="57"/>
      <c r="C25" s="57"/>
      <c r="D25" s="57"/>
      <c r="E25" s="57"/>
      <c r="F25" s="58"/>
      <c r="G25" s="57"/>
      <c r="H25" s="57"/>
      <c r="I25" s="57"/>
      <c r="J25" s="57"/>
      <c r="K25" s="58"/>
      <c r="L25" s="57"/>
      <c r="M25" s="57"/>
      <c r="N25" s="57"/>
      <c r="O25" s="57"/>
      <c r="P25" s="58"/>
      <c r="Q25" s="57"/>
      <c r="R25" s="57"/>
      <c r="S25" s="57"/>
      <c r="T25" s="57"/>
      <c r="U25" s="58"/>
      <c r="V25" s="57"/>
      <c r="W25" s="57"/>
      <c r="X25" s="57"/>
      <c r="Y25" s="57"/>
      <c r="Z25" s="58"/>
      <c r="AA25" s="57"/>
      <c r="AB25" s="57"/>
      <c r="AC25" s="57"/>
      <c r="AD25" s="57"/>
      <c r="AE25" s="58"/>
      <c r="AF25" s="57"/>
      <c r="AG25" s="57"/>
      <c r="AH25" s="57"/>
      <c r="AI25" s="57"/>
      <c r="AJ25" s="58"/>
      <c r="AK25" s="56"/>
      <c r="AL25" s="56"/>
      <c r="AM25" s="56"/>
      <c r="AN25" s="56"/>
      <c r="AO25" s="58"/>
      <c r="AP25" s="56"/>
      <c r="AQ25" s="56"/>
      <c r="AR25" s="56"/>
      <c r="AS25" s="56"/>
      <c r="AT25" s="58"/>
      <c r="AU25" s="59"/>
      <c r="AV25" s="56"/>
      <c r="AW25" s="56"/>
      <c r="AX25" s="56"/>
      <c r="AY25" s="58"/>
      <c r="AZ25" s="56"/>
      <c r="BA25" s="56"/>
      <c r="BB25" s="56"/>
      <c r="BC25" s="56"/>
      <c r="BD25" s="58"/>
      <c r="BE25" s="56"/>
      <c r="BF25" s="56"/>
      <c r="BG25" s="56"/>
      <c r="BH25" s="56"/>
      <c r="BI25" s="58"/>
      <c r="BJ25" s="56"/>
      <c r="BK25" s="56"/>
      <c r="BL25" s="56"/>
      <c r="BM25" s="56"/>
      <c r="BN25" s="58"/>
      <c r="BO25" s="56"/>
      <c r="BP25" s="56"/>
      <c r="BR25" s="56"/>
      <c r="BS25" s="58"/>
    </row>
    <row r="26" spans="1:76" outlineLevel="1">
      <c r="A26" s="20" t="s">
        <v>85</v>
      </c>
      <c r="B26" s="60">
        <v>3098</v>
      </c>
      <c r="C26" s="60">
        <v>3451</v>
      </c>
      <c r="D26" s="60">
        <v>3441</v>
      </c>
      <c r="E26" s="60">
        <v>4071</v>
      </c>
      <c r="F26" s="61">
        <f>SUM(B26:E26)</f>
        <v>14061</v>
      </c>
      <c r="G26" s="60">
        <v>4020</v>
      </c>
      <c r="H26" s="60">
        <v>4758</v>
      </c>
      <c r="I26" s="60">
        <v>5034</v>
      </c>
      <c r="J26" s="60">
        <v>5609</v>
      </c>
      <c r="K26" s="61">
        <f>SUM(G26:J26)</f>
        <v>19421</v>
      </c>
      <c r="L26" s="60">
        <v>5352</v>
      </c>
      <c r="M26" s="60">
        <v>5832</v>
      </c>
      <c r="N26" s="60">
        <v>5740</v>
      </c>
      <c r="O26" s="60">
        <v>6313</v>
      </c>
      <c r="P26" s="61">
        <f>SUM(L26:O26)</f>
        <v>23237</v>
      </c>
      <c r="Q26" s="60">
        <v>5834</v>
      </c>
      <c r="R26" s="60">
        <v>6506</v>
      </c>
      <c r="S26" s="60">
        <v>6533</v>
      </c>
      <c r="T26" s="60">
        <v>7153</v>
      </c>
      <c r="U26" s="61">
        <f>SUM(Q26:T26)</f>
        <v>26026</v>
      </c>
      <c r="V26" s="60">
        <v>6864</v>
      </c>
      <c r="W26" s="60">
        <v>7686</v>
      </c>
      <c r="X26" s="60">
        <v>8006</v>
      </c>
      <c r="Y26" s="60">
        <v>9154</v>
      </c>
      <c r="Z26" s="61">
        <f>SUM(V26:Y26)</f>
        <v>31710</v>
      </c>
      <c r="AA26" s="60">
        <v>9162</v>
      </c>
      <c r="AB26" s="60">
        <v>9663</v>
      </c>
      <c r="AC26" s="60">
        <v>9941</v>
      </c>
      <c r="AD26" s="60">
        <v>10846</v>
      </c>
      <c r="AE26" s="61">
        <f>SUM(AA26:AD26)</f>
        <v>39612</v>
      </c>
      <c r="AF26" s="60">
        <v>10559</v>
      </c>
      <c r="AG26" s="60">
        <v>5379</v>
      </c>
      <c r="AH26" s="60">
        <v>10242</v>
      </c>
      <c r="AI26" s="62">
        <v>11221</v>
      </c>
      <c r="AJ26" s="61">
        <f>SUM(AF26:AI26)</f>
        <v>37401</v>
      </c>
      <c r="AK26" s="62">
        <v>10743</v>
      </c>
      <c r="AL26" s="62">
        <v>12013</v>
      </c>
      <c r="AM26" s="62">
        <v>11342</v>
      </c>
      <c r="AN26" s="62">
        <v>12622</v>
      </c>
      <c r="AO26" s="61">
        <f>SUM(AK26:AN26)</f>
        <v>46720</v>
      </c>
      <c r="AP26" s="63">
        <f>AP28-AP27</f>
        <v>12239</v>
      </c>
      <c r="AQ26" s="63">
        <f>AQ28-AQ27</f>
        <v>12604</v>
      </c>
      <c r="AR26" s="63">
        <f>AR28-AR27</f>
        <v>12974</v>
      </c>
      <c r="AS26" s="63">
        <f>AS28-AS27</f>
        <v>13701</v>
      </c>
      <c r="AT26" s="61">
        <f>SUM(AP26:AS26)</f>
        <v>51518</v>
      </c>
      <c r="AU26" s="63">
        <f>AU28-AU27</f>
        <v>13388</v>
      </c>
      <c r="AV26" s="63">
        <f>AV28-AV27</f>
        <v>14009</v>
      </c>
      <c r="AW26" s="63">
        <f>AW28-AW27</f>
        <v>14194</v>
      </c>
      <c r="AX26" s="63">
        <f>AX28-AX27</f>
        <v>15736</v>
      </c>
      <c r="AY26" s="61">
        <f>SUM(AU26:AX26)</f>
        <v>57327</v>
      </c>
      <c r="AZ26" s="62">
        <v>14000</v>
      </c>
      <c r="BA26" s="62">
        <v>15700</v>
      </c>
      <c r="BB26" s="62">
        <v>15100</v>
      </c>
      <c r="BC26" s="62">
        <v>16300</v>
      </c>
      <c r="BD26" s="61">
        <f>SUM(AZ26:BC26)</f>
        <v>61100</v>
      </c>
      <c r="BE26" s="62">
        <v>15500</v>
      </c>
      <c r="BF26" s="62">
        <f>42441-BF27</f>
        <v>16941</v>
      </c>
      <c r="BG26" s="62">
        <v>17000</v>
      </c>
      <c r="BH26" s="62">
        <v>18250</v>
      </c>
      <c r="BI26" s="61">
        <f>SUM(BE26:BH26)</f>
        <v>67691</v>
      </c>
      <c r="BJ26" s="63">
        <f t="shared" ref="BJ26:BM26" si="34">BE26*(1+BJ33)</f>
        <v>16275</v>
      </c>
      <c r="BK26" s="63">
        <f t="shared" si="34"/>
        <v>18126.870000000003</v>
      </c>
      <c r="BL26" s="63">
        <f t="shared" si="34"/>
        <v>17510</v>
      </c>
      <c r="BM26" s="63">
        <f t="shared" si="34"/>
        <v>18980</v>
      </c>
      <c r="BN26" s="61">
        <f>SUM(BJ26:BM26)</f>
        <v>70891.87</v>
      </c>
      <c r="BO26" s="63">
        <f t="shared" ref="BO26:BR26" si="35">BJ26*(1+BO33)</f>
        <v>16926</v>
      </c>
      <c r="BP26" s="63">
        <f t="shared" si="35"/>
        <v>18851.944800000005</v>
      </c>
      <c r="BQ26" s="63">
        <f t="shared" si="35"/>
        <v>18210.400000000001</v>
      </c>
      <c r="BR26" s="63">
        <f t="shared" si="35"/>
        <v>19739.2</v>
      </c>
      <c r="BS26" s="61">
        <f>SUM(BO26:BR26)</f>
        <v>73727.544800000003</v>
      </c>
    </row>
    <row r="27" spans="1:76" outlineLevel="1">
      <c r="A27" s="20" t="s">
        <v>86</v>
      </c>
      <c r="B27" s="64">
        <v>0</v>
      </c>
      <c r="C27" s="64">
        <v>0</v>
      </c>
      <c r="D27" s="64">
        <v>0</v>
      </c>
      <c r="E27" s="64">
        <v>0</v>
      </c>
      <c r="F27" s="65">
        <f>SUM(B27:E27)</f>
        <v>0</v>
      </c>
      <c r="G27" s="64">
        <v>0</v>
      </c>
      <c r="H27" s="64">
        <v>0</v>
      </c>
      <c r="I27" s="64">
        <v>0</v>
      </c>
      <c r="J27" s="64">
        <v>0</v>
      </c>
      <c r="K27" s="65">
        <f>SUM(G27:J27)</f>
        <v>0</v>
      </c>
      <c r="L27" s="64">
        <v>0</v>
      </c>
      <c r="M27" s="64">
        <v>0</v>
      </c>
      <c r="N27" s="64">
        <v>0</v>
      </c>
      <c r="O27" s="64">
        <v>0</v>
      </c>
      <c r="P27" s="65">
        <f>SUM(L27:O27)</f>
        <v>0</v>
      </c>
      <c r="Q27" s="64">
        <v>0</v>
      </c>
      <c r="R27" s="64">
        <v>0</v>
      </c>
      <c r="S27" s="64">
        <v>0</v>
      </c>
      <c r="T27" s="64">
        <v>0</v>
      </c>
      <c r="U27" s="65">
        <f>SUM(Q27:T27)</f>
        <v>0</v>
      </c>
      <c r="V27" s="64">
        <v>0</v>
      </c>
      <c r="W27" s="64">
        <v>0</v>
      </c>
      <c r="X27" s="64">
        <v>0</v>
      </c>
      <c r="Y27" s="64">
        <v>0</v>
      </c>
      <c r="Z27" s="65">
        <f>SUM(V27:Y27)</f>
        <v>0</v>
      </c>
      <c r="AA27" s="64">
        <v>0</v>
      </c>
      <c r="AB27" s="64">
        <v>0</v>
      </c>
      <c r="AC27" s="64">
        <v>0</v>
      </c>
      <c r="AD27" s="64">
        <v>0</v>
      </c>
      <c r="AE27" s="65">
        <f>SUM(AA27:AD27)</f>
        <v>0</v>
      </c>
      <c r="AF27" s="64">
        <v>0</v>
      </c>
      <c r="AG27" s="64">
        <v>0</v>
      </c>
      <c r="AH27" s="64">
        <v>0</v>
      </c>
      <c r="AI27" s="64">
        <v>0</v>
      </c>
      <c r="AJ27" s="65">
        <f>SUM(AF27:AI27)</f>
        <v>0</v>
      </c>
      <c r="AK27" s="66">
        <v>1560</v>
      </c>
      <c r="AL27" s="66">
        <v>6967</v>
      </c>
      <c r="AM27" s="66">
        <v>7500</v>
      </c>
      <c r="AN27" s="66">
        <v>7700</v>
      </c>
      <c r="AO27" s="65">
        <f t="shared" ref="AO27:AO29" si="36">SUM(AK27:AN27)</f>
        <v>23727</v>
      </c>
      <c r="AP27" s="66">
        <v>8800</v>
      </c>
      <c r="AQ27" s="66">
        <v>10000</v>
      </c>
      <c r="AR27" s="66">
        <v>11000</v>
      </c>
      <c r="AS27" s="66">
        <v>12000</v>
      </c>
      <c r="AT27" s="65">
        <f t="shared" ref="AT27:AT29" si="37">SUM(AP27:AS27)</f>
        <v>41800</v>
      </c>
      <c r="AU27" s="66">
        <v>12500</v>
      </c>
      <c r="AV27" s="66">
        <v>15050</v>
      </c>
      <c r="AW27" s="66">
        <v>15500</v>
      </c>
      <c r="AX27" s="66">
        <v>15500</v>
      </c>
      <c r="AY27" s="65">
        <f>SUM(AU27:AX27)</f>
        <v>58550</v>
      </c>
      <c r="AZ27" s="66">
        <v>16500</v>
      </c>
      <c r="BA27" s="66">
        <v>19900</v>
      </c>
      <c r="BB27" s="66">
        <v>21250</v>
      </c>
      <c r="BC27" s="66">
        <v>22400</v>
      </c>
      <c r="BD27" s="65">
        <f>SUM(AZ27:BC27)</f>
        <v>80050</v>
      </c>
      <c r="BE27" s="66">
        <v>22600</v>
      </c>
      <c r="BF27" s="66">
        <v>25500</v>
      </c>
      <c r="BG27" s="66">
        <v>26700</v>
      </c>
      <c r="BH27" s="66">
        <v>27200</v>
      </c>
      <c r="BI27" s="65">
        <f>SUM(BE27:BH27)</f>
        <v>102000</v>
      </c>
      <c r="BJ27" s="67">
        <f>BE27*(1+BJ34)</f>
        <v>27346</v>
      </c>
      <c r="BK27" s="67">
        <f>BF27*(1+BK34)</f>
        <v>31365</v>
      </c>
      <c r="BL27" s="67">
        <f>BG27*(1+BL34)</f>
        <v>31773</v>
      </c>
      <c r="BM27" s="67">
        <f>BH27*(1+BM34)</f>
        <v>32640</v>
      </c>
      <c r="BN27" s="65">
        <f>SUM(BJ27:BM27)</f>
        <v>123124</v>
      </c>
      <c r="BO27" s="67">
        <f>BJ27*(1+BO34)</f>
        <v>31447.899999999998</v>
      </c>
      <c r="BP27" s="67">
        <f>BK27*(1+BP34)</f>
        <v>36069.75</v>
      </c>
      <c r="BQ27" s="67">
        <f>BL27*(1+BQ34)</f>
        <v>36538.949999999997</v>
      </c>
      <c r="BR27" s="67">
        <f>BM27*(1+BR34)</f>
        <v>37536</v>
      </c>
      <c r="BS27" s="65">
        <f>SUM(BO27:BR27)</f>
        <v>141592.59999999998</v>
      </c>
    </row>
    <row r="28" spans="1:76">
      <c r="A28" s="20" t="s">
        <v>87</v>
      </c>
      <c r="B28" s="68">
        <f>SUM(B26:B27)</f>
        <v>3098</v>
      </c>
      <c r="C28" s="68">
        <f t="shared" ref="C28:E28" si="38">SUM(C26:C27)</f>
        <v>3451</v>
      </c>
      <c r="D28" s="68">
        <f t="shared" si="38"/>
        <v>3441</v>
      </c>
      <c r="E28" s="68">
        <f t="shared" si="38"/>
        <v>4071</v>
      </c>
      <c r="F28" s="61">
        <f>SUM(B28:E28)</f>
        <v>14061</v>
      </c>
      <c r="G28" s="68">
        <f>SUM(G26:G27)</f>
        <v>4020</v>
      </c>
      <c r="H28" s="68">
        <f t="shared" ref="H28:J28" si="39">SUM(H26:H27)</f>
        <v>4758</v>
      </c>
      <c r="I28" s="68">
        <f t="shared" si="39"/>
        <v>5034</v>
      </c>
      <c r="J28" s="68">
        <f t="shared" si="39"/>
        <v>5609</v>
      </c>
      <c r="K28" s="61">
        <f>SUM(G28:J28)</f>
        <v>19421</v>
      </c>
      <c r="L28" s="68">
        <f>SUM(L26:L27)</f>
        <v>5352</v>
      </c>
      <c r="M28" s="68">
        <f t="shared" ref="M28:O28" si="40">SUM(M26:M27)</f>
        <v>5832</v>
      </c>
      <c r="N28" s="68">
        <f t="shared" si="40"/>
        <v>5740</v>
      </c>
      <c r="O28" s="68">
        <f t="shared" si="40"/>
        <v>6313</v>
      </c>
      <c r="P28" s="61">
        <f>SUM(L28:O28)</f>
        <v>23237</v>
      </c>
      <c r="Q28" s="68">
        <f>SUM(Q26:Q27)</f>
        <v>5834</v>
      </c>
      <c r="R28" s="68">
        <f t="shared" ref="R28:T28" si="41">SUM(R26:R27)</f>
        <v>6506</v>
      </c>
      <c r="S28" s="68">
        <f t="shared" si="41"/>
        <v>6533</v>
      </c>
      <c r="T28" s="68">
        <f t="shared" si="41"/>
        <v>7153</v>
      </c>
      <c r="U28" s="61">
        <f>SUM(Q28:T28)</f>
        <v>26026</v>
      </c>
      <c r="V28" s="68">
        <f>SUM(V26:V27)</f>
        <v>6864</v>
      </c>
      <c r="W28" s="68">
        <f t="shared" ref="W28:Y28" si="42">SUM(W26:W27)</f>
        <v>7686</v>
      </c>
      <c r="X28" s="68">
        <f t="shared" si="42"/>
        <v>8006</v>
      </c>
      <c r="Y28" s="68">
        <f t="shared" si="42"/>
        <v>9154</v>
      </c>
      <c r="Z28" s="61">
        <f>SUM(V28:Y28)</f>
        <v>31710</v>
      </c>
      <c r="AA28" s="68">
        <f>SUM(AA26:AA27)</f>
        <v>9162</v>
      </c>
      <c r="AB28" s="68">
        <f t="shared" ref="AB28:AD28" si="43">SUM(AB26:AB27)</f>
        <v>9663</v>
      </c>
      <c r="AC28" s="68">
        <f t="shared" si="43"/>
        <v>9941</v>
      </c>
      <c r="AD28" s="68">
        <f t="shared" si="43"/>
        <v>10846</v>
      </c>
      <c r="AE28" s="61">
        <f>SUM(AA28:AD28)</f>
        <v>39612</v>
      </c>
      <c r="AF28" s="68">
        <f>SUM(AF26:AF27)</f>
        <v>10559</v>
      </c>
      <c r="AG28" s="68">
        <f t="shared" ref="AG28:AI28" si="44">SUM(AG26:AG27)</f>
        <v>5379</v>
      </c>
      <c r="AH28" s="68">
        <f t="shared" si="44"/>
        <v>10242</v>
      </c>
      <c r="AI28" s="68">
        <f t="shared" si="44"/>
        <v>11221</v>
      </c>
      <c r="AJ28" s="61">
        <f>SUM(AF28:AI28)</f>
        <v>37401</v>
      </c>
      <c r="AK28" s="68">
        <f>SUM(AK26:AK27)</f>
        <v>12303</v>
      </c>
      <c r="AL28" s="68">
        <f t="shared" ref="AL28:AM28" si="45">SUM(AL26:AL27)</f>
        <v>18980</v>
      </c>
      <c r="AM28" s="68">
        <f t="shared" si="45"/>
        <v>18842</v>
      </c>
      <c r="AN28" s="68">
        <f>SUM(AN26:AN27)</f>
        <v>20322</v>
      </c>
      <c r="AO28" s="61">
        <f>SUM(AK28:AN28)</f>
        <v>70447</v>
      </c>
      <c r="AP28" s="60">
        <f>21039</f>
        <v>21039</v>
      </c>
      <c r="AQ28" s="60">
        <v>22604</v>
      </c>
      <c r="AR28" s="60">
        <v>23974</v>
      </c>
      <c r="AS28" s="60">
        <v>25701</v>
      </c>
      <c r="AT28" s="61">
        <f>SUM(AP28:AS28)</f>
        <v>93318</v>
      </c>
      <c r="AU28" s="60">
        <f>28788-AU29</f>
        <v>25888</v>
      </c>
      <c r="AV28" s="60">
        <f>31809-AV29</f>
        <v>29059</v>
      </c>
      <c r="AW28" s="60">
        <f>32544-AW29</f>
        <v>29694</v>
      </c>
      <c r="AX28" s="60">
        <v>31236</v>
      </c>
      <c r="AY28" s="61">
        <f>SUM(AU28:AX28)</f>
        <v>115877</v>
      </c>
      <c r="AZ28" s="60">
        <v>30924</v>
      </c>
      <c r="BA28" s="60">
        <v>36000</v>
      </c>
      <c r="BB28" s="60">
        <v>36792</v>
      </c>
      <c r="BC28" s="60">
        <v>39107</v>
      </c>
      <c r="BD28" s="61">
        <f>SUM(AZ28:BC28)</f>
        <v>142823</v>
      </c>
      <c r="BE28" s="68">
        <f>SUM(BE26:BE27)</f>
        <v>38100</v>
      </c>
      <c r="BF28" s="68">
        <f t="shared" ref="BF28:BH28" si="46">SUM(BF26:BF27)</f>
        <v>42441</v>
      </c>
      <c r="BG28" s="68">
        <f t="shared" si="46"/>
        <v>43700</v>
      </c>
      <c r="BH28" s="68">
        <f t="shared" si="46"/>
        <v>45450</v>
      </c>
      <c r="BI28" s="61">
        <f>SUM(BE28:BH28)</f>
        <v>169691</v>
      </c>
      <c r="BJ28" s="68">
        <f>SUM(BJ26:BJ27)</f>
        <v>43621</v>
      </c>
      <c r="BK28" s="68">
        <f t="shared" ref="BK28:BM28" si="47">SUM(BK26:BK27)</f>
        <v>49491.87</v>
      </c>
      <c r="BL28" s="68">
        <f t="shared" si="47"/>
        <v>49283</v>
      </c>
      <c r="BM28" s="68">
        <f t="shared" si="47"/>
        <v>51620</v>
      </c>
      <c r="BN28" s="61">
        <f>SUM(BJ28:BM28)</f>
        <v>194015.87</v>
      </c>
      <c r="BO28" s="68">
        <f>SUM(BO26:BO27)</f>
        <v>48373.899999999994</v>
      </c>
      <c r="BP28" s="68">
        <f t="shared" ref="BP28:BR28" si="48">SUM(BP26:BP27)</f>
        <v>54921.694800000005</v>
      </c>
      <c r="BQ28" s="68">
        <f t="shared" si="48"/>
        <v>54749.35</v>
      </c>
      <c r="BR28" s="68">
        <f t="shared" si="48"/>
        <v>57275.199999999997</v>
      </c>
      <c r="BS28" s="61">
        <f>SUM(BO28:BR28)</f>
        <v>215320.14480000001</v>
      </c>
    </row>
    <row r="29" spans="1:76">
      <c r="A29" s="20" t="s">
        <v>88</v>
      </c>
      <c r="B29" s="60">
        <v>0</v>
      </c>
      <c r="C29" s="60">
        <v>0</v>
      </c>
      <c r="D29" s="60">
        <v>0</v>
      </c>
      <c r="E29" s="60">
        <v>0</v>
      </c>
      <c r="F29" s="61">
        <f t="shared" ref="F29" si="49">SUM(B29:E29)</f>
        <v>0</v>
      </c>
      <c r="G29" s="60">
        <v>0</v>
      </c>
      <c r="H29" s="60">
        <v>0</v>
      </c>
      <c r="I29" s="60">
        <v>0</v>
      </c>
      <c r="J29" s="60">
        <v>0</v>
      </c>
      <c r="K29" s="61">
        <f t="shared" ref="K29" si="50">SUM(G29:J29)</f>
        <v>0</v>
      </c>
      <c r="L29" s="60">
        <v>0</v>
      </c>
      <c r="M29" s="60">
        <v>0</v>
      </c>
      <c r="N29" s="60">
        <v>0</v>
      </c>
      <c r="O29" s="60">
        <v>0</v>
      </c>
      <c r="P29" s="61">
        <f t="shared" ref="P29" si="51">SUM(L29:O29)</f>
        <v>0</v>
      </c>
      <c r="Q29" s="60">
        <v>0</v>
      </c>
      <c r="R29" s="60">
        <v>0</v>
      </c>
      <c r="S29" s="60">
        <v>0</v>
      </c>
      <c r="T29" s="60">
        <v>0</v>
      </c>
      <c r="U29" s="61">
        <f t="shared" ref="U29" si="52">SUM(Q29:T29)</f>
        <v>0</v>
      </c>
      <c r="V29" s="60">
        <v>0</v>
      </c>
      <c r="W29" s="60">
        <v>0</v>
      </c>
      <c r="X29" s="60">
        <v>0</v>
      </c>
      <c r="Y29" s="60">
        <v>0</v>
      </c>
      <c r="Z29" s="61">
        <f t="shared" ref="Z29" si="53">SUM(V29:Y29)</f>
        <v>0</v>
      </c>
      <c r="AA29" s="60">
        <v>0</v>
      </c>
      <c r="AB29" s="60">
        <v>0</v>
      </c>
      <c r="AC29" s="60">
        <v>0</v>
      </c>
      <c r="AD29" s="60">
        <v>680</v>
      </c>
      <c r="AE29" s="61">
        <f>SUM(AA29:AD29)</f>
        <v>680</v>
      </c>
      <c r="AF29" s="60">
        <v>2482</v>
      </c>
      <c r="AG29" s="60">
        <v>1249</v>
      </c>
      <c r="AH29" s="60">
        <v>1448</v>
      </c>
      <c r="AI29" s="62">
        <v>1909</v>
      </c>
      <c r="AJ29" s="61">
        <f>SUM(AF29:AI29)</f>
        <v>7088</v>
      </c>
      <c r="AK29" s="62">
        <v>2134</v>
      </c>
      <c r="AL29" s="62">
        <v>1876</v>
      </c>
      <c r="AM29" s="62">
        <v>2130</v>
      </c>
      <c r="AN29" s="62">
        <v>1978</v>
      </c>
      <c r="AO29" s="61">
        <f t="shared" si="36"/>
        <v>8118</v>
      </c>
      <c r="AP29" s="62">
        <v>2206</v>
      </c>
      <c r="AQ29" s="62">
        <v>2300</v>
      </c>
      <c r="AR29" s="62">
        <v>2400</v>
      </c>
      <c r="AS29" s="62">
        <v>2300</v>
      </c>
      <c r="AT29" s="61">
        <f t="shared" si="37"/>
        <v>9206</v>
      </c>
      <c r="AU29" s="62">
        <v>2900</v>
      </c>
      <c r="AV29" s="62">
        <v>2750</v>
      </c>
      <c r="AW29" s="62">
        <v>2850</v>
      </c>
      <c r="AX29" s="62">
        <v>2600</v>
      </c>
      <c r="AY29" s="61">
        <f t="shared" ref="AY29" si="54">SUM(AU29:AX29)</f>
        <v>11100</v>
      </c>
      <c r="AZ29" s="62">
        <v>2500</v>
      </c>
      <c r="BA29" s="62">
        <v>3023</v>
      </c>
      <c r="BB29" s="62">
        <v>2240</v>
      </c>
      <c r="BC29" s="62">
        <v>2200</v>
      </c>
      <c r="BD29" s="61">
        <f t="shared" ref="BD29" si="55">SUM(AZ29:BC29)</f>
        <v>9963</v>
      </c>
      <c r="BE29" s="62">
        <v>2570</v>
      </c>
      <c r="BF29" s="62">
        <f>44966-42441</f>
        <v>2525</v>
      </c>
      <c r="BG29" s="62">
        <v>2188</v>
      </c>
      <c r="BH29" s="62">
        <f>48019-45516</f>
        <v>2503</v>
      </c>
      <c r="BI29" s="61">
        <f t="shared" ref="BI29" si="56">SUM(BE29:BH29)</f>
        <v>9786</v>
      </c>
      <c r="BJ29" s="63">
        <f t="shared" ref="BJ29:BM29" si="57">BE29*(1+BJ36)</f>
        <v>2595.6999999999998</v>
      </c>
      <c r="BK29" s="63">
        <f t="shared" si="57"/>
        <v>2550.25</v>
      </c>
      <c r="BL29" s="63">
        <f t="shared" si="57"/>
        <v>2209.88</v>
      </c>
      <c r="BM29" s="63">
        <f t="shared" si="57"/>
        <v>2528.0300000000002</v>
      </c>
      <c r="BN29" s="61">
        <f t="shared" ref="BN29" si="58">SUM(BJ29:BM29)</f>
        <v>9883.86</v>
      </c>
      <c r="BO29" s="63">
        <f t="shared" ref="BO29:BR29" si="59">BJ29*(1+BO36)</f>
        <v>2647.614</v>
      </c>
      <c r="BP29" s="63">
        <f t="shared" si="59"/>
        <v>2601.2550000000001</v>
      </c>
      <c r="BQ29" s="63">
        <f t="shared" si="59"/>
        <v>2254.0776000000001</v>
      </c>
      <c r="BR29" s="63">
        <f t="shared" si="59"/>
        <v>2578.5906000000004</v>
      </c>
      <c r="BS29" s="61">
        <f t="shared" ref="BS29" si="60">SUM(BO29:BR29)</f>
        <v>10081.537200000002</v>
      </c>
      <c r="BU29" s="45"/>
    </row>
    <row r="30" spans="1:76" s="74" customFormat="1" ht="13.5" thickBot="1">
      <c r="A30" s="69" t="s">
        <v>89</v>
      </c>
      <c r="B30" s="70">
        <f>SUM(B28:B29)</f>
        <v>3098</v>
      </c>
      <c r="C30" s="70">
        <f t="shared" ref="C30:E30" si="61">SUM(C28:C29)</f>
        <v>3451</v>
      </c>
      <c r="D30" s="70">
        <f t="shared" si="61"/>
        <v>3441</v>
      </c>
      <c r="E30" s="70">
        <f t="shared" si="61"/>
        <v>4071</v>
      </c>
      <c r="F30" s="71">
        <f>SUM(B30:E30)</f>
        <v>14061</v>
      </c>
      <c r="G30" s="70">
        <f>SUM(G28:G29)</f>
        <v>4020</v>
      </c>
      <c r="H30" s="70">
        <f t="shared" ref="H30:J30" si="62">SUM(H28:H29)</f>
        <v>4758</v>
      </c>
      <c r="I30" s="70">
        <f t="shared" si="62"/>
        <v>5034</v>
      </c>
      <c r="J30" s="70">
        <f t="shared" si="62"/>
        <v>5609</v>
      </c>
      <c r="K30" s="71">
        <f>SUM(G30:J30)</f>
        <v>19421</v>
      </c>
      <c r="L30" s="70">
        <f>SUM(L28:L29)</f>
        <v>5352</v>
      </c>
      <c r="M30" s="70">
        <f t="shared" ref="M30:O30" si="63">SUM(M28:M29)</f>
        <v>5832</v>
      </c>
      <c r="N30" s="70">
        <f t="shared" si="63"/>
        <v>5740</v>
      </c>
      <c r="O30" s="70">
        <f t="shared" si="63"/>
        <v>6313</v>
      </c>
      <c r="P30" s="71">
        <f>SUM(L30:O30)</f>
        <v>23237</v>
      </c>
      <c r="Q30" s="70">
        <f>SUM(Q28:Q29)</f>
        <v>5834</v>
      </c>
      <c r="R30" s="70">
        <f t="shared" ref="R30:T30" si="64">SUM(R28:R29)</f>
        <v>6506</v>
      </c>
      <c r="S30" s="70">
        <f t="shared" si="64"/>
        <v>6533</v>
      </c>
      <c r="T30" s="70">
        <f t="shared" si="64"/>
        <v>7153</v>
      </c>
      <c r="U30" s="71">
        <f>SUM(Q30:T30)</f>
        <v>26026</v>
      </c>
      <c r="V30" s="70">
        <f>SUM(V28:V29)</f>
        <v>6864</v>
      </c>
      <c r="W30" s="70">
        <f t="shared" ref="W30:Y30" si="65">SUM(W28:W29)</f>
        <v>7686</v>
      </c>
      <c r="X30" s="70">
        <f t="shared" si="65"/>
        <v>8006</v>
      </c>
      <c r="Y30" s="70">
        <f t="shared" si="65"/>
        <v>9154</v>
      </c>
      <c r="Z30" s="71">
        <f>SUM(V30:Y30)</f>
        <v>31710</v>
      </c>
      <c r="AA30" s="70">
        <f>SUM(AA28:AA29)</f>
        <v>9162</v>
      </c>
      <c r="AB30" s="70">
        <f t="shared" ref="AB30:AD30" si="66">SUM(AB28:AB29)</f>
        <v>9663</v>
      </c>
      <c r="AC30" s="70">
        <f t="shared" si="66"/>
        <v>9941</v>
      </c>
      <c r="AD30" s="70">
        <f t="shared" si="66"/>
        <v>11526</v>
      </c>
      <c r="AE30" s="71">
        <f>SUM(AA30:AD30)</f>
        <v>40292</v>
      </c>
      <c r="AF30" s="70">
        <f>SUM(AF28:AF29)</f>
        <v>13041</v>
      </c>
      <c r="AG30" s="70">
        <f t="shared" ref="AG30:AI30" si="67">SUM(AG28:AG29)</f>
        <v>6628</v>
      </c>
      <c r="AH30" s="70">
        <f t="shared" si="67"/>
        <v>11690</v>
      </c>
      <c r="AI30" s="70">
        <f t="shared" si="67"/>
        <v>13130</v>
      </c>
      <c r="AJ30" s="71">
        <f>SUM(AF30:AI30)</f>
        <v>44489</v>
      </c>
      <c r="AK30" s="70">
        <f>SUM(AK28:AK29)</f>
        <v>14437</v>
      </c>
      <c r="AL30" s="70">
        <f t="shared" ref="AL30:AN30" si="68">SUM(AL28:AL29)</f>
        <v>20856</v>
      </c>
      <c r="AM30" s="70">
        <f t="shared" si="68"/>
        <v>20972</v>
      </c>
      <c r="AN30" s="70">
        <f t="shared" si="68"/>
        <v>22300</v>
      </c>
      <c r="AO30" s="71">
        <f>SUM(AK30:AN30)</f>
        <v>78565</v>
      </c>
      <c r="AP30" s="70">
        <f>SUM(AP28:AP29)</f>
        <v>23245</v>
      </c>
      <c r="AQ30" s="70">
        <f>SUM(AQ28:AQ29)</f>
        <v>24904</v>
      </c>
      <c r="AR30" s="70">
        <f t="shared" ref="AR30:AS30" si="69">SUM(AR28:AR29)</f>
        <v>26374</v>
      </c>
      <c r="AS30" s="70">
        <f t="shared" si="69"/>
        <v>28001</v>
      </c>
      <c r="AT30" s="71">
        <f>SUM(AP30:AS30)</f>
        <v>102524</v>
      </c>
      <c r="AU30" s="70">
        <f>SUM(AU28:AU29)</f>
        <v>28788</v>
      </c>
      <c r="AV30" s="70">
        <f t="shared" ref="AV30:BB30" si="70">SUM(AV28:AV29)</f>
        <v>31809</v>
      </c>
      <c r="AW30" s="70">
        <f t="shared" si="70"/>
        <v>32544</v>
      </c>
      <c r="AX30" s="70">
        <f t="shared" si="70"/>
        <v>33836</v>
      </c>
      <c r="AY30" s="71">
        <f>SUM(AU30:AX30)</f>
        <v>126977</v>
      </c>
      <c r="AZ30" s="70">
        <f t="shared" si="70"/>
        <v>33424</v>
      </c>
      <c r="BA30" s="70">
        <f t="shared" si="70"/>
        <v>39023</v>
      </c>
      <c r="BB30" s="70">
        <f t="shared" si="70"/>
        <v>39032</v>
      </c>
      <c r="BC30" s="72">
        <v>41271</v>
      </c>
      <c r="BD30" s="71">
        <f>SUM(AZ30:BC30)</f>
        <v>152750</v>
      </c>
      <c r="BE30" s="73">
        <v>40655</v>
      </c>
      <c r="BF30" s="70">
        <f t="shared" ref="BF30:BH30" si="71">SUM(BF28:BF29)</f>
        <v>44966</v>
      </c>
      <c r="BG30" s="70">
        <f t="shared" si="71"/>
        <v>45888</v>
      </c>
      <c r="BH30" s="70">
        <f t="shared" si="71"/>
        <v>47953</v>
      </c>
      <c r="BI30" s="71">
        <f>SUM(BE30:BH30)</f>
        <v>179462</v>
      </c>
      <c r="BJ30" s="70">
        <f>SUM(BJ28:BJ29)</f>
        <v>46216.7</v>
      </c>
      <c r="BK30" s="70">
        <f t="shared" ref="BK30:BM30" si="72">SUM(BK28:BK29)</f>
        <v>52042.12</v>
      </c>
      <c r="BL30" s="70">
        <f t="shared" si="72"/>
        <v>51492.88</v>
      </c>
      <c r="BM30" s="70">
        <f t="shared" si="72"/>
        <v>54148.03</v>
      </c>
      <c r="BN30" s="71">
        <f>SUM(BJ30:BM30)</f>
        <v>203899.73</v>
      </c>
      <c r="BO30" s="70">
        <f>SUM(BO28:BO29)</f>
        <v>51021.513999999996</v>
      </c>
      <c r="BP30" s="70">
        <f t="shared" ref="BP30:BR30" si="73">SUM(BP28:BP29)</f>
        <v>57522.949800000002</v>
      </c>
      <c r="BQ30" s="70">
        <f t="shared" si="73"/>
        <v>57003.427599999995</v>
      </c>
      <c r="BR30" s="70">
        <f t="shared" si="73"/>
        <v>59853.7906</v>
      </c>
      <c r="BS30" s="71">
        <f>SUM(BO30:BR30)</f>
        <v>225401.682</v>
      </c>
      <c r="BU30" s="75"/>
    </row>
    <row r="31" spans="1:76">
      <c r="F31" s="55"/>
      <c r="K31" s="55"/>
      <c r="P31" s="55"/>
      <c r="Q31" s="76"/>
      <c r="R31" s="76"/>
      <c r="S31" s="76"/>
      <c r="T31" s="76"/>
      <c r="U31" s="55"/>
      <c r="V31" s="6"/>
      <c r="W31" s="6"/>
      <c r="X31" s="6"/>
      <c r="Y31" s="6"/>
      <c r="Z31" s="55"/>
      <c r="AA31" s="76"/>
      <c r="AE31" s="55"/>
      <c r="AF31" s="76"/>
      <c r="AJ31" s="55"/>
      <c r="AK31" s="76"/>
      <c r="AN31" s="63"/>
      <c r="AO31" s="55"/>
      <c r="AP31" s="76"/>
      <c r="AQ31" s="77"/>
      <c r="AT31" s="55"/>
      <c r="AU31" s="76"/>
      <c r="AY31" s="55"/>
      <c r="AZ31" s="76"/>
      <c r="BD31" s="55"/>
      <c r="BE31" s="76"/>
      <c r="BG31" s="63"/>
      <c r="BI31" s="55"/>
      <c r="BJ31" s="76"/>
      <c r="BN31" s="55"/>
      <c r="BO31" s="76"/>
      <c r="BS31" s="55"/>
      <c r="BV31" s="75"/>
    </row>
    <row r="32" spans="1:76">
      <c r="A32" s="40" t="s">
        <v>81</v>
      </c>
      <c r="F32" s="55"/>
      <c r="K32" s="55"/>
      <c r="P32" s="55"/>
      <c r="U32" s="55"/>
      <c r="Z32" s="55"/>
      <c r="AE32" s="55"/>
      <c r="AJ32" s="55"/>
      <c r="AO32" s="55"/>
      <c r="AT32" s="55"/>
      <c r="AY32" s="55"/>
      <c r="BD32" s="55"/>
      <c r="BI32" s="55"/>
      <c r="BN32" s="55"/>
      <c r="BS32" s="55"/>
      <c r="BV32" s="75"/>
      <c r="BW32" s="78"/>
    </row>
    <row r="33" spans="1:76" outlineLevel="1">
      <c r="A33" s="20" t="s">
        <v>85</v>
      </c>
      <c r="B33" s="43" t="s">
        <v>82</v>
      </c>
      <c r="C33" s="43" t="s">
        <v>82</v>
      </c>
      <c r="D33" s="43" t="s">
        <v>82</v>
      </c>
      <c r="E33" s="43" t="s">
        <v>82</v>
      </c>
      <c r="F33" s="44" t="s">
        <v>82</v>
      </c>
      <c r="G33" s="43">
        <f>IFERROR(G26/B26-1,"NA")</f>
        <v>0.29761136216914141</v>
      </c>
      <c r="H33" s="43">
        <f t="shared" ref="H33:AM37" si="74">IFERROR(H26/C26-1,"NA")</f>
        <v>0.37873080266589398</v>
      </c>
      <c r="I33" s="43">
        <f t="shared" si="74"/>
        <v>0.46294681778552738</v>
      </c>
      <c r="J33" s="43">
        <f t="shared" si="74"/>
        <v>0.37779415377057224</v>
      </c>
      <c r="K33" s="44">
        <f t="shared" si="74"/>
        <v>0.38119621648531399</v>
      </c>
      <c r="L33" s="43">
        <f t="shared" si="74"/>
        <v>0.33134328358208953</v>
      </c>
      <c r="M33" s="43">
        <f t="shared" si="74"/>
        <v>0.22572509457755352</v>
      </c>
      <c r="N33" s="43">
        <f t="shared" si="74"/>
        <v>0.14024632499006762</v>
      </c>
      <c r="O33" s="43">
        <f t="shared" si="74"/>
        <v>0.12551256908539843</v>
      </c>
      <c r="P33" s="44">
        <f t="shared" si="74"/>
        <v>0.19648833736676785</v>
      </c>
      <c r="Q33" s="43">
        <f t="shared" si="74"/>
        <v>9.0059790732436529E-2</v>
      </c>
      <c r="R33" s="43">
        <f t="shared" si="74"/>
        <v>0.1155692729766804</v>
      </c>
      <c r="S33" s="43">
        <f t="shared" si="74"/>
        <v>0.13815331010452958</v>
      </c>
      <c r="T33" s="43">
        <f t="shared" si="74"/>
        <v>0.13305876762236646</v>
      </c>
      <c r="U33" s="44">
        <f t="shared" si="74"/>
        <v>0.12002409949649273</v>
      </c>
      <c r="V33" s="43">
        <f t="shared" si="74"/>
        <v>0.17655125128556737</v>
      </c>
      <c r="W33" s="43">
        <f t="shared" si="74"/>
        <v>0.18137104211497079</v>
      </c>
      <c r="X33" s="43">
        <f t="shared" si="74"/>
        <v>0.22547068727996322</v>
      </c>
      <c r="Y33" s="43">
        <f t="shared" si="74"/>
        <v>0.27974276527331199</v>
      </c>
      <c r="Z33" s="44">
        <f t="shared" si="74"/>
        <v>0.21839698762775694</v>
      </c>
      <c r="AA33" s="43">
        <f t="shared" si="74"/>
        <v>0.33479020979020979</v>
      </c>
      <c r="AB33" s="43">
        <f t="shared" si="74"/>
        <v>0.25722092115534734</v>
      </c>
      <c r="AC33" s="43">
        <f t="shared" si="74"/>
        <v>0.24169372970272285</v>
      </c>
      <c r="AD33" s="43">
        <f t="shared" si="74"/>
        <v>0.18483722962639293</v>
      </c>
      <c r="AE33" s="44">
        <f t="shared" si="74"/>
        <v>0.24919583727530736</v>
      </c>
      <c r="AF33" s="43">
        <f t="shared" si="74"/>
        <v>0.15247762497271333</v>
      </c>
      <c r="AG33" s="43">
        <f t="shared" si="74"/>
        <v>-0.443340577460416</v>
      </c>
      <c r="AH33" s="43">
        <f t="shared" si="74"/>
        <v>3.0278643999597676E-2</v>
      </c>
      <c r="AI33" s="43">
        <f t="shared" si="74"/>
        <v>3.457495851004988E-2</v>
      </c>
      <c r="AJ33" s="44">
        <f t="shared" si="74"/>
        <v>-5.581641926688885E-2</v>
      </c>
      <c r="AK33" s="43">
        <f t="shared" si="74"/>
        <v>1.7425892603466275E-2</v>
      </c>
      <c r="AL33" s="43">
        <f t="shared" si="74"/>
        <v>1.2333147425171966</v>
      </c>
      <c r="AM33" s="43">
        <f t="shared" si="74"/>
        <v>0.10740089826205823</v>
      </c>
      <c r="AN33" s="43">
        <v>0.11469120399251409</v>
      </c>
      <c r="AO33" s="44">
        <f>IFERROR(AO26/AJ26-1,"NA")</f>
        <v>0.24916446084329302</v>
      </c>
      <c r="AP33" s="43">
        <f t="shared" ref="AP33:BH37" si="75">IFERROR(AP26/AK26-1,"NA")</f>
        <v>0.13925346737410416</v>
      </c>
      <c r="AQ33" s="43">
        <f t="shared" si="75"/>
        <v>4.9196703571131373E-2</v>
      </c>
      <c r="AR33" s="43">
        <f t="shared" si="75"/>
        <v>0.14388996649620878</v>
      </c>
      <c r="AS33" s="43">
        <f t="shared" si="75"/>
        <v>8.5485659958802085E-2</v>
      </c>
      <c r="AT33" s="44">
        <f>IFERROR(AT26/AO26-1,"NA")</f>
        <v>0.1026969178082191</v>
      </c>
      <c r="AU33" s="43">
        <f t="shared" si="75"/>
        <v>9.3880218972138163E-2</v>
      </c>
      <c r="AV33" s="43">
        <f t="shared" si="75"/>
        <v>0.11147254839733423</v>
      </c>
      <c r="AW33" s="43">
        <f t="shared" si="75"/>
        <v>9.4034222290735325E-2</v>
      </c>
      <c r="AX33" s="43">
        <f t="shared" si="75"/>
        <v>0.14852930443033352</v>
      </c>
      <c r="AY33" s="44">
        <f>IFERROR(AY26/AT26-1,"NA")</f>
        <v>0.11275670639388169</v>
      </c>
      <c r="AZ33" s="43">
        <f t="shared" si="75"/>
        <v>4.571257842844334E-2</v>
      </c>
      <c r="BA33" s="43">
        <f t="shared" si="75"/>
        <v>0.1207081162110073</v>
      </c>
      <c r="BB33" s="43">
        <f t="shared" si="75"/>
        <v>6.3829787234042534E-2</v>
      </c>
      <c r="BC33" s="43">
        <f t="shared" si="75"/>
        <v>3.5841382816471867E-2</v>
      </c>
      <c r="BD33" s="44">
        <f>IFERROR(BD26/AY26-1,"NA")</f>
        <v>6.5815409841784911E-2</v>
      </c>
      <c r="BE33" s="43">
        <f t="shared" si="75"/>
        <v>0.10714285714285721</v>
      </c>
      <c r="BF33" s="43">
        <f t="shared" si="75"/>
        <v>7.9044585987261051E-2</v>
      </c>
      <c r="BG33" s="43">
        <f t="shared" si="75"/>
        <v>0.1258278145695364</v>
      </c>
      <c r="BH33" s="43">
        <f t="shared" si="75"/>
        <v>0.11963190184049077</v>
      </c>
      <c r="BI33" s="44">
        <f>IFERROR(BI26/BD26-1,"NA")</f>
        <v>0.10787234042553195</v>
      </c>
      <c r="BJ33" s="79">
        <v>0.05</v>
      </c>
      <c r="BK33" s="79">
        <v>7.0000000000000007E-2</v>
      </c>
      <c r="BL33" s="79">
        <v>0.03</v>
      </c>
      <c r="BM33" s="79">
        <v>0.04</v>
      </c>
      <c r="BN33" s="44">
        <f>IFERROR(BN26/BI26-1,"NA")</f>
        <v>4.7286493034524479E-2</v>
      </c>
      <c r="BO33" s="79">
        <v>0.04</v>
      </c>
      <c r="BP33" s="79">
        <v>0.04</v>
      </c>
      <c r="BQ33" s="79">
        <v>0.04</v>
      </c>
      <c r="BR33" s="79">
        <v>0.04</v>
      </c>
      <c r="BS33" s="44">
        <f>IFERROR(BS26/BN26-1,"NA")</f>
        <v>4.0000000000000036E-2</v>
      </c>
      <c r="BT33" s="25"/>
      <c r="BU33" s="45"/>
      <c r="BX33" s="80"/>
    </row>
    <row r="34" spans="1:76" outlineLevel="1">
      <c r="A34" s="20" t="s">
        <v>86</v>
      </c>
      <c r="B34" s="81" t="s">
        <v>82</v>
      </c>
      <c r="C34" s="81" t="s">
        <v>82</v>
      </c>
      <c r="D34" s="81" t="s">
        <v>82</v>
      </c>
      <c r="E34" s="81" t="s">
        <v>82</v>
      </c>
      <c r="F34" s="82" t="s">
        <v>82</v>
      </c>
      <c r="G34" s="81" t="str">
        <f>IFERROR(G27/B27-1,"NA")</f>
        <v>NA</v>
      </c>
      <c r="H34" s="81" t="str">
        <f>IFERROR(H27/C27-1,"NA")</f>
        <v>NA</v>
      </c>
      <c r="I34" s="81" t="str">
        <f>IFERROR(I27/D27-1,"NA")</f>
        <v>NA</v>
      </c>
      <c r="J34" s="81" t="str">
        <f>IFERROR(J27/E27-1,"NA")</f>
        <v>NA</v>
      </c>
      <c r="K34" s="82" t="str">
        <f t="shared" si="74"/>
        <v>NA</v>
      </c>
      <c r="L34" s="81" t="str">
        <f t="shared" si="74"/>
        <v>NA</v>
      </c>
      <c r="M34" s="81" t="str">
        <f t="shared" si="74"/>
        <v>NA</v>
      </c>
      <c r="N34" s="81" t="str">
        <f t="shared" si="74"/>
        <v>NA</v>
      </c>
      <c r="O34" s="81" t="str">
        <f t="shared" si="74"/>
        <v>NA</v>
      </c>
      <c r="P34" s="82" t="str">
        <f t="shared" si="74"/>
        <v>NA</v>
      </c>
      <c r="Q34" s="81" t="str">
        <f t="shared" si="74"/>
        <v>NA</v>
      </c>
      <c r="R34" s="81" t="str">
        <f t="shared" si="74"/>
        <v>NA</v>
      </c>
      <c r="S34" s="81" t="str">
        <f t="shared" si="74"/>
        <v>NA</v>
      </c>
      <c r="T34" s="81" t="str">
        <f t="shared" si="74"/>
        <v>NA</v>
      </c>
      <c r="U34" s="82" t="str">
        <f t="shared" si="74"/>
        <v>NA</v>
      </c>
      <c r="V34" s="81" t="str">
        <f t="shared" si="74"/>
        <v>NA</v>
      </c>
      <c r="W34" s="81" t="str">
        <f t="shared" si="74"/>
        <v>NA</v>
      </c>
      <c r="X34" s="81" t="str">
        <f t="shared" si="74"/>
        <v>NA</v>
      </c>
      <c r="Y34" s="81" t="str">
        <f t="shared" si="74"/>
        <v>NA</v>
      </c>
      <c r="Z34" s="82" t="str">
        <f t="shared" si="74"/>
        <v>NA</v>
      </c>
      <c r="AA34" s="81" t="str">
        <f t="shared" si="74"/>
        <v>NA</v>
      </c>
      <c r="AB34" s="81" t="str">
        <f t="shared" si="74"/>
        <v>NA</v>
      </c>
      <c r="AC34" s="81" t="str">
        <f t="shared" si="74"/>
        <v>NA</v>
      </c>
      <c r="AD34" s="81" t="str">
        <f t="shared" si="74"/>
        <v>NA</v>
      </c>
      <c r="AE34" s="82" t="str">
        <f t="shared" si="74"/>
        <v>NA</v>
      </c>
      <c r="AF34" s="81" t="str">
        <f t="shared" si="74"/>
        <v>NA</v>
      </c>
      <c r="AG34" s="81" t="str">
        <f t="shared" si="74"/>
        <v>NA</v>
      </c>
      <c r="AH34" s="81" t="str">
        <f t="shared" si="74"/>
        <v>NA</v>
      </c>
      <c r="AI34" s="81" t="str">
        <f t="shared" si="74"/>
        <v>NA</v>
      </c>
      <c r="AJ34" s="82" t="str">
        <f t="shared" si="74"/>
        <v>NA</v>
      </c>
      <c r="AK34" s="81" t="str">
        <f t="shared" si="74"/>
        <v>NA</v>
      </c>
      <c r="AL34" s="81" t="str">
        <f t="shared" si="74"/>
        <v>NA</v>
      </c>
      <c r="AM34" s="81" t="str">
        <f t="shared" si="74"/>
        <v>NA</v>
      </c>
      <c r="AN34" s="81" t="str">
        <f>IFERROR(AN27/AI27-1,"NA")</f>
        <v>NA</v>
      </c>
      <c r="AO34" s="82" t="str">
        <f>IFERROR(AO27/AJ27-1,"NA")</f>
        <v>NA</v>
      </c>
      <c r="AP34" s="81">
        <f t="shared" si="75"/>
        <v>4.6410256410256414</v>
      </c>
      <c r="AQ34" s="81">
        <f t="shared" si="75"/>
        <v>0.43533802210420558</v>
      </c>
      <c r="AR34" s="81">
        <f t="shared" si="75"/>
        <v>0.46666666666666656</v>
      </c>
      <c r="AS34" s="81">
        <f t="shared" si="75"/>
        <v>0.55844155844155852</v>
      </c>
      <c r="AT34" s="82">
        <f>IFERROR(AT27/AO27-1,"NA")</f>
        <v>0.76170607324988415</v>
      </c>
      <c r="AU34" s="81">
        <f t="shared" si="75"/>
        <v>0.42045454545454541</v>
      </c>
      <c r="AV34" s="81">
        <f t="shared" si="75"/>
        <v>0.50499999999999989</v>
      </c>
      <c r="AW34" s="81">
        <f t="shared" si="75"/>
        <v>0.40909090909090917</v>
      </c>
      <c r="AX34" s="81">
        <f t="shared" si="75"/>
        <v>0.29166666666666674</v>
      </c>
      <c r="AY34" s="82">
        <f>IFERROR(AY27/AT27-1,"NA")</f>
        <v>0.40071770334928236</v>
      </c>
      <c r="AZ34" s="81">
        <f t="shared" si="75"/>
        <v>0.32000000000000006</v>
      </c>
      <c r="BA34" s="81">
        <f t="shared" si="75"/>
        <v>0.32225913621262459</v>
      </c>
      <c r="BB34" s="81">
        <f t="shared" si="75"/>
        <v>0.37096774193548376</v>
      </c>
      <c r="BC34" s="81">
        <f t="shared" si="75"/>
        <v>0.44516129032258056</v>
      </c>
      <c r="BD34" s="82">
        <f>IFERROR(BD27/AY27-1,"NA")</f>
        <v>0.367207514944492</v>
      </c>
      <c r="BE34" s="81">
        <f t="shared" si="75"/>
        <v>0.36969696969696964</v>
      </c>
      <c r="BF34" s="81">
        <f t="shared" si="75"/>
        <v>0.28140703517587951</v>
      </c>
      <c r="BG34" s="81">
        <f t="shared" si="75"/>
        <v>0.25647058823529423</v>
      </c>
      <c r="BH34" s="81">
        <f t="shared" si="75"/>
        <v>0.21428571428571419</v>
      </c>
      <c r="BI34" s="82">
        <f>IFERROR(BI27/BD27-1,"NA")</f>
        <v>0.27420362273579002</v>
      </c>
      <c r="BJ34" s="83">
        <v>0.21</v>
      </c>
      <c r="BK34" s="83">
        <v>0.23</v>
      </c>
      <c r="BL34" s="83">
        <v>0.19</v>
      </c>
      <c r="BM34" s="83">
        <v>0.2</v>
      </c>
      <c r="BN34" s="82">
        <f>IFERROR(BN27/BI27-1,"NA")</f>
        <v>0.20709803921568626</v>
      </c>
      <c r="BO34" s="83">
        <v>0.15</v>
      </c>
      <c r="BP34" s="83">
        <v>0.15</v>
      </c>
      <c r="BQ34" s="83">
        <v>0.15</v>
      </c>
      <c r="BR34" s="83">
        <v>0.15</v>
      </c>
      <c r="BS34" s="82">
        <f>IFERROR(BS27/BN27-1,"NA")</f>
        <v>0.14999999999999991</v>
      </c>
      <c r="BT34" s="84"/>
    </row>
    <row r="35" spans="1:76">
      <c r="A35" s="20" t="s">
        <v>87</v>
      </c>
      <c r="B35" s="43" t="s">
        <v>82</v>
      </c>
      <c r="C35" s="43" t="s">
        <v>82</v>
      </c>
      <c r="D35" s="43" t="s">
        <v>82</v>
      </c>
      <c r="E35" s="43" t="s">
        <v>82</v>
      </c>
      <c r="F35" s="44" t="s">
        <v>82</v>
      </c>
      <c r="G35" s="43">
        <f>IFERROR(G28/B28-1,"NA")</f>
        <v>0.29761136216914141</v>
      </c>
      <c r="H35" s="43">
        <f t="shared" ref="H35:J37" si="76">IFERROR(H28/C28-1,"NA")</f>
        <v>0.37873080266589398</v>
      </c>
      <c r="I35" s="43">
        <f t="shared" si="76"/>
        <v>0.46294681778552738</v>
      </c>
      <c r="J35" s="43">
        <f t="shared" si="76"/>
        <v>0.37779415377057224</v>
      </c>
      <c r="K35" s="44">
        <f t="shared" si="74"/>
        <v>0.38119621648531399</v>
      </c>
      <c r="L35" s="43">
        <f t="shared" si="74"/>
        <v>0.33134328358208953</v>
      </c>
      <c r="M35" s="43">
        <f t="shared" si="74"/>
        <v>0.22572509457755352</v>
      </c>
      <c r="N35" s="43">
        <f t="shared" si="74"/>
        <v>0.14024632499006762</v>
      </c>
      <c r="O35" s="43">
        <f t="shared" si="74"/>
        <v>0.12551256908539843</v>
      </c>
      <c r="P35" s="44">
        <f t="shared" si="74"/>
        <v>0.19648833736676785</v>
      </c>
      <c r="Q35" s="43">
        <f t="shared" si="74"/>
        <v>9.0059790732436529E-2</v>
      </c>
      <c r="R35" s="43">
        <f t="shared" si="74"/>
        <v>0.1155692729766804</v>
      </c>
      <c r="S35" s="43">
        <f t="shared" si="74"/>
        <v>0.13815331010452958</v>
      </c>
      <c r="T35" s="43">
        <f t="shared" si="74"/>
        <v>0.13305876762236646</v>
      </c>
      <c r="U35" s="44">
        <f t="shared" si="74"/>
        <v>0.12002409949649273</v>
      </c>
      <c r="V35" s="43">
        <f t="shared" si="74"/>
        <v>0.17655125128556737</v>
      </c>
      <c r="W35" s="43">
        <f t="shared" si="74"/>
        <v>0.18137104211497079</v>
      </c>
      <c r="X35" s="43">
        <f t="shared" si="74"/>
        <v>0.22547068727996322</v>
      </c>
      <c r="Y35" s="43">
        <f t="shared" si="74"/>
        <v>0.27974276527331199</v>
      </c>
      <c r="Z35" s="44">
        <f t="shared" si="74"/>
        <v>0.21839698762775694</v>
      </c>
      <c r="AA35" s="43">
        <f t="shared" si="74"/>
        <v>0.33479020979020979</v>
      </c>
      <c r="AB35" s="43">
        <f t="shared" si="74"/>
        <v>0.25722092115534734</v>
      </c>
      <c r="AC35" s="43">
        <f t="shared" si="74"/>
        <v>0.24169372970272285</v>
      </c>
      <c r="AD35" s="43">
        <f t="shared" si="74"/>
        <v>0.18483722962639293</v>
      </c>
      <c r="AE35" s="44">
        <f t="shared" si="74"/>
        <v>0.24919583727530736</v>
      </c>
      <c r="AF35" s="43">
        <f t="shared" si="74"/>
        <v>0.15247762497271333</v>
      </c>
      <c r="AG35" s="43">
        <f t="shared" si="74"/>
        <v>-0.443340577460416</v>
      </c>
      <c r="AH35" s="43">
        <f t="shared" si="74"/>
        <v>3.0278643999597676E-2</v>
      </c>
      <c r="AI35" s="43">
        <f t="shared" si="74"/>
        <v>3.457495851004988E-2</v>
      </c>
      <c r="AJ35" s="44">
        <f t="shared" si="74"/>
        <v>-5.581641926688885E-2</v>
      </c>
      <c r="AK35" s="43">
        <f t="shared" si="74"/>
        <v>0.16516715598067999</v>
      </c>
      <c r="AL35" s="43">
        <f t="shared" si="74"/>
        <v>2.5285369027700315</v>
      </c>
      <c r="AM35" s="43">
        <f t="shared" si="74"/>
        <v>0.83967975004881867</v>
      </c>
      <c r="AN35" s="43">
        <f>IFERROR(AN28/AI28-1,"NA")</f>
        <v>0.81106853221637998</v>
      </c>
      <c r="AO35" s="44">
        <f>IFERROR(AO28/AJ28-1,"NA")</f>
        <v>0.88355926312130695</v>
      </c>
      <c r="AP35" s="43">
        <f t="shared" si="75"/>
        <v>0.7100707144598879</v>
      </c>
      <c r="AQ35" s="43">
        <f t="shared" si="75"/>
        <v>0.19093782929399361</v>
      </c>
      <c r="AR35" s="43">
        <f t="shared" si="75"/>
        <v>0.27237023670523297</v>
      </c>
      <c r="AS35" s="43">
        <f t="shared" si="75"/>
        <v>0.26468851490994982</v>
      </c>
      <c r="AT35" s="44">
        <f>IFERROR(AT28/AO28-1,"NA")</f>
        <v>0.32465541470893022</v>
      </c>
      <c r="AU35" s="43">
        <f t="shared" si="75"/>
        <v>0.23047673368506105</v>
      </c>
      <c r="AV35" s="43">
        <f t="shared" si="75"/>
        <v>0.2855689258538312</v>
      </c>
      <c r="AW35" s="43">
        <f>IFERROR(AW28/AR28-1,"NA")</f>
        <v>0.23859180779177436</v>
      </c>
      <c r="AX35" s="43">
        <f>IFERROR(AX28/AS28-1,"NA")</f>
        <v>0.21536126998949467</v>
      </c>
      <c r="AY35" s="44">
        <f>IFERROR(AY28/AT28-1,"NA")</f>
        <v>0.241743286397051</v>
      </c>
      <c r="AZ35" s="43">
        <f t="shared" si="75"/>
        <v>0.19453028430160701</v>
      </c>
      <c r="BA35" s="43">
        <f t="shared" si="75"/>
        <v>0.2388588733266801</v>
      </c>
      <c r="BB35" s="43">
        <f t="shared" si="75"/>
        <v>0.23903818953323897</v>
      </c>
      <c r="BC35" s="43">
        <f>IFERROR(BC28/AX28-1,"NA")</f>
        <v>0.2519848892303751</v>
      </c>
      <c r="BD35" s="44">
        <f>IFERROR(BD28/AY28-1,"NA")</f>
        <v>0.23253967569060308</v>
      </c>
      <c r="BE35" s="43">
        <f t="shared" si="75"/>
        <v>0.23205277454404349</v>
      </c>
      <c r="BF35" s="43">
        <f t="shared" si="75"/>
        <v>0.17891666666666661</v>
      </c>
      <c r="BG35" s="43">
        <f t="shared" si="75"/>
        <v>0.18775820830615353</v>
      </c>
      <c r="BH35" s="43">
        <f>IFERROR(BH28/BC28-1,"NA")</f>
        <v>0.16219602628685403</v>
      </c>
      <c r="BI35" s="44">
        <f>IFERROR(BI28/BD28-1,"NA")</f>
        <v>0.18812096090965746</v>
      </c>
      <c r="BJ35" s="43">
        <f>IFERROR(BJ28/BE28-1,"NA")</f>
        <v>0.14490813648293965</v>
      </c>
      <c r="BK35" s="43">
        <f>IFERROR(BK28/BF28-1,"NA")</f>
        <v>0.16613345585636541</v>
      </c>
      <c r="BL35" s="43">
        <f>IFERROR(BL28/BG28-1,"NA")</f>
        <v>0.12775743707093823</v>
      </c>
      <c r="BM35" s="43">
        <f>IFERROR(BM28/BH28-1,"NA")</f>
        <v>0.13575357535753585</v>
      </c>
      <c r="BN35" s="44">
        <f>IFERROR(BN28/BI28-1,"NA")</f>
        <v>0.14334802670736813</v>
      </c>
      <c r="BO35" s="43">
        <f>IFERROR(BO28/BJ28-1,"NA")</f>
        <v>0.10895898764356593</v>
      </c>
      <c r="BP35" s="43">
        <f>IFERROR(BP28/BK28-1,"NA")</f>
        <v>0.10971144957747603</v>
      </c>
      <c r="BQ35" s="43">
        <f>IFERROR(BQ28/BL28-1,"NA")</f>
        <v>0.1109175577785444</v>
      </c>
      <c r="BR35" s="43">
        <f>IFERROR(BR28/BM28-1,"NA")</f>
        <v>0.1095544362650136</v>
      </c>
      <c r="BS35" s="44">
        <f>IFERROR(BS28/BN28-1,"NA")</f>
        <v>0.10980686683001761</v>
      </c>
      <c r="BT35" s="25"/>
    </row>
    <row r="36" spans="1:76">
      <c r="A36" s="20" t="s">
        <v>88</v>
      </c>
      <c r="B36" s="43" t="s">
        <v>82</v>
      </c>
      <c r="C36" s="43" t="s">
        <v>82</v>
      </c>
      <c r="D36" s="43" t="s">
        <v>82</v>
      </c>
      <c r="E36" s="43" t="s">
        <v>82</v>
      </c>
      <c r="F36" s="44" t="s">
        <v>82</v>
      </c>
      <c r="G36" s="43" t="str">
        <f t="shared" ref="G36" si="77">IFERROR(G29/B29-1,"NA")</f>
        <v>NA</v>
      </c>
      <c r="H36" s="43" t="str">
        <f t="shared" si="76"/>
        <v>NA</v>
      </c>
      <c r="I36" s="43" t="str">
        <f t="shared" si="76"/>
        <v>NA</v>
      </c>
      <c r="J36" s="43" t="str">
        <f t="shared" si="76"/>
        <v>NA</v>
      </c>
      <c r="K36" s="44" t="str">
        <f t="shared" si="74"/>
        <v>NA</v>
      </c>
      <c r="L36" s="43" t="str">
        <f t="shared" si="74"/>
        <v>NA</v>
      </c>
      <c r="M36" s="43" t="str">
        <f t="shared" si="74"/>
        <v>NA</v>
      </c>
      <c r="N36" s="43" t="str">
        <f t="shared" si="74"/>
        <v>NA</v>
      </c>
      <c r="O36" s="43" t="str">
        <f t="shared" si="74"/>
        <v>NA</v>
      </c>
      <c r="P36" s="44" t="str">
        <f t="shared" si="74"/>
        <v>NA</v>
      </c>
      <c r="Q36" s="43" t="str">
        <f t="shared" si="74"/>
        <v>NA</v>
      </c>
      <c r="R36" s="43" t="str">
        <f t="shared" si="74"/>
        <v>NA</v>
      </c>
      <c r="S36" s="43" t="str">
        <f t="shared" si="74"/>
        <v>NA</v>
      </c>
      <c r="T36" s="43" t="str">
        <f t="shared" si="74"/>
        <v>NA</v>
      </c>
      <c r="U36" s="44" t="str">
        <f t="shared" si="74"/>
        <v>NA</v>
      </c>
      <c r="V36" s="43" t="str">
        <f t="shared" si="74"/>
        <v>NA</v>
      </c>
      <c r="W36" s="43" t="str">
        <f t="shared" si="74"/>
        <v>NA</v>
      </c>
      <c r="X36" s="43" t="str">
        <f t="shared" si="74"/>
        <v>NA</v>
      </c>
      <c r="Y36" s="43" t="str">
        <f t="shared" si="74"/>
        <v>NA</v>
      </c>
      <c r="Z36" s="44" t="str">
        <f t="shared" si="74"/>
        <v>NA</v>
      </c>
      <c r="AA36" s="43" t="str">
        <f t="shared" si="74"/>
        <v>NA</v>
      </c>
      <c r="AB36" s="43" t="str">
        <f t="shared" si="74"/>
        <v>NA</v>
      </c>
      <c r="AC36" s="43" t="str">
        <f t="shared" si="74"/>
        <v>NA</v>
      </c>
      <c r="AD36" s="43" t="str">
        <f t="shared" si="74"/>
        <v>NA</v>
      </c>
      <c r="AE36" s="44" t="str">
        <f t="shared" si="74"/>
        <v>NA</v>
      </c>
      <c r="AF36" s="43" t="str">
        <f t="shared" si="74"/>
        <v>NA</v>
      </c>
      <c r="AG36" s="43" t="str">
        <f t="shared" si="74"/>
        <v>NA</v>
      </c>
      <c r="AH36" s="43" t="str">
        <f t="shared" si="74"/>
        <v>NA</v>
      </c>
      <c r="AI36" s="43">
        <f t="shared" si="74"/>
        <v>1.8073529411764704</v>
      </c>
      <c r="AJ36" s="44">
        <f t="shared" si="74"/>
        <v>9.4235294117647062</v>
      </c>
      <c r="AK36" s="43">
        <f t="shared" si="74"/>
        <v>-0.14020950846091862</v>
      </c>
      <c r="AL36" s="43">
        <f>IFERROR(AL29/AG29-1,"NA")</f>
        <v>0.50200160128102489</v>
      </c>
      <c r="AM36" s="43">
        <f>IFERROR(AM29/AH29-1,"NA")</f>
        <v>0.47099447513812165</v>
      </c>
      <c r="AN36" s="43">
        <v>0.30000000000000004</v>
      </c>
      <c r="AO36" s="44">
        <f t="shared" ref="AO36" si="78">IFERROR(AO29/AJ29-1,"NA")</f>
        <v>0.14531602708803604</v>
      </c>
      <c r="AP36" s="43">
        <f t="shared" si="75"/>
        <v>3.3739456419868752E-2</v>
      </c>
      <c r="AQ36" s="43">
        <f t="shared" si="75"/>
        <v>0.2260127931769722</v>
      </c>
      <c r="AR36" s="43">
        <f t="shared" si="75"/>
        <v>0.12676056338028174</v>
      </c>
      <c r="AS36" s="43">
        <f t="shared" si="75"/>
        <v>0.16279069767441867</v>
      </c>
      <c r="AT36" s="44">
        <f t="shared" si="75"/>
        <v>0.1340231584134024</v>
      </c>
      <c r="AU36" s="43">
        <f t="shared" si="75"/>
        <v>0.31459655485040794</v>
      </c>
      <c r="AV36" s="43">
        <f t="shared" si="75"/>
        <v>0.19565217391304346</v>
      </c>
      <c r="AW36" s="43">
        <f t="shared" si="75"/>
        <v>0.1875</v>
      </c>
      <c r="AX36" s="43">
        <f t="shared" si="75"/>
        <v>0.13043478260869557</v>
      </c>
      <c r="AY36" s="44">
        <f t="shared" si="75"/>
        <v>0.20573538996306762</v>
      </c>
      <c r="AZ36" s="43">
        <f t="shared" si="75"/>
        <v>-0.13793103448275867</v>
      </c>
      <c r="BA36" s="43">
        <f t="shared" si="75"/>
        <v>9.9272727272727179E-2</v>
      </c>
      <c r="BB36" s="43">
        <f t="shared" si="75"/>
        <v>-0.21403508771929824</v>
      </c>
      <c r="BC36" s="43">
        <f t="shared" si="75"/>
        <v>-0.15384615384615385</v>
      </c>
      <c r="BD36" s="44">
        <f t="shared" si="75"/>
        <v>-0.10243243243243239</v>
      </c>
      <c r="BE36" s="43">
        <f t="shared" si="75"/>
        <v>2.8000000000000025E-2</v>
      </c>
      <c r="BF36" s="43">
        <f t="shared" si="75"/>
        <v>-0.16473701620906389</v>
      </c>
      <c r="BG36" s="43">
        <f t="shared" si="75"/>
        <v>-2.3214285714285743E-2</v>
      </c>
      <c r="BH36" s="43">
        <f t="shared" si="75"/>
        <v>0.1377272727272727</v>
      </c>
      <c r="BI36" s="44">
        <f t="shared" ref="BI36:BM37" si="79">IFERROR(BI29/BD29-1,"NA")</f>
        <v>-1.7765733212887658E-2</v>
      </c>
      <c r="BJ36" s="79">
        <v>0.01</v>
      </c>
      <c r="BK36" s="79">
        <v>0.01</v>
      </c>
      <c r="BL36" s="79">
        <v>0.01</v>
      </c>
      <c r="BM36" s="79">
        <v>0.01</v>
      </c>
      <c r="BN36" s="44">
        <f t="shared" ref="BN36:BR37" si="80">IFERROR(BN29/BI29-1,"NA")</f>
        <v>1.0000000000000009E-2</v>
      </c>
      <c r="BO36" s="79">
        <v>0.02</v>
      </c>
      <c r="BP36" s="79">
        <v>0.02</v>
      </c>
      <c r="BQ36" s="79">
        <v>0.02</v>
      </c>
      <c r="BR36" s="79">
        <v>0.02</v>
      </c>
      <c r="BS36" s="44">
        <f t="shared" ref="BS36:BS37" si="81">IFERROR(BS29/BN29-1,"NA")</f>
        <v>2.000000000000024E-2</v>
      </c>
    </row>
    <row r="37" spans="1:76" ht="13.5" thickBot="1">
      <c r="A37" s="69" t="s">
        <v>89</v>
      </c>
      <c r="B37" s="51" t="s">
        <v>82</v>
      </c>
      <c r="C37" s="51" t="s">
        <v>82</v>
      </c>
      <c r="D37" s="51" t="s">
        <v>82</v>
      </c>
      <c r="E37" s="51" t="s">
        <v>82</v>
      </c>
      <c r="F37" s="52" t="s">
        <v>82</v>
      </c>
      <c r="G37" s="51">
        <f>IFERROR(G30/B30-1,"NA")</f>
        <v>0.29761136216914141</v>
      </c>
      <c r="H37" s="51">
        <f t="shared" si="76"/>
        <v>0.37873080266589398</v>
      </c>
      <c r="I37" s="51">
        <f t="shared" si="76"/>
        <v>0.46294681778552738</v>
      </c>
      <c r="J37" s="51">
        <f t="shared" si="76"/>
        <v>0.37779415377057224</v>
      </c>
      <c r="K37" s="52">
        <f>IFERROR(K30/F30-1,"NA")</f>
        <v>0.38119621648531399</v>
      </c>
      <c r="L37" s="51">
        <f>IFERROR(L30/G30-1,"NA")</f>
        <v>0.33134328358208953</v>
      </c>
      <c r="M37" s="51">
        <f t="shared" si="74"/>
        <v>0.22572509457755352</v>
      </c>
      <c r="N37" s="51">
        <f t="shared" si="74"/>
        <v>0.14024632499006762</v>
      </c>
      <c r="O37" s="51">
        <f t="shared" si="74"/>
        <v>0.12551256908539843</v>
      </c>
      <c r="P37" s="52">
        <f>IFERROR(P30/K30-1,"NA")</f>
        <v>0.19648833736676785</v>
      </c>
      <c r="Q37" s="51">
        <f>IFERROR(Q30/L30-1,"NA")</f>
        <v>9.0059790732436529E-2</v>
      </c>
      <c r="R37" s="51">
        <f t="shared" si="74"/>
        <v>0.1155692729766804</v>
      </c>
      <c r="S37" s="51">
        <f t="shared" si="74"/>
        <v>0.13815331010452958</v>
      </c>
      <c r="T37" s="51">
        <f t="shared" si="74"/>
        <v>0.13305876762236646</v>
      </c>
      <c r="U37" s="52">
        <f>IFERROR(U30/P30-1,"NA")</f>
        <v>0.12002409949649273</v>
      </c>
      <c r="V37" s="51">
        <f>IFERROR(V30/Q30-1,"NA")</f>
        <v>0.17655125128556737</v>
      </c>
      <c r="W37" s="51">
        <f t="shared" si="74"/>
        <v>0.18137104211497079</v>
      </c>
      <c r="X37" s="51">
        <f t="shared" si="74"/>
        <v>0.22547068727996322</v>
      </c>
      <c r="Y37" s="51">
        <f t="shared" si="74"/>
        <v>0.27974276527331199</v>
      </c>
      <c r="Z37" s="52">
        <f>IFERROR(Z30/U30-1,"NA")</f>
        <v>0.21839698762775694</v>
      </c>
      <c r="AA37" s="51">
        <f>IFERROR(AA30/V30-1,"NA")</f>
        <v>0.33479020979020979</v>
      </c>
      <c r="AB37" s="51">
        <f t="shared" si="74"/>
        <v>0.25722092115534734</v>
      </c>
      <c r="AC37" s="51">
        <f t="shared" si="74"/>
        <v>0.24169372970272285</v>
      </c>
      <c r="AD37" s="51">
        <f t="shared" si="74"/>
        <v>0.25912169543369012</v>
      </c>
      <c r="AE37" s="52">
        <f>IFERROR(AE30/Z30-1,"NA")</f>
        <v>0.2706401766004416</v>
      </c>
      <c r="AF37" s="51">
        <f>IFERROR(AF30/AA30-1,"NA")</f>
        <v>0.42337917485265231</v>
      </c>
      <c r="AG37" s="51">
        <f t="shared" si="74"/>
        <v>-0.31408465279933773</v>
      </c>
      <c r="AH37" s="51">
        <f t="shared" si="74"/>
        <v>0.17593803440297751</v>
      </c>
      <c r="AI37" s="51">
        <f t="shared" si="74"/>
        <v>0.13916363005379151</v>
      </c>
      <c r="AJ37" s="52">
        <f>IFERROR(AJ30/AE30-1,"NA")</f>
        <v>0.10416459843145032</v>
      </c>
      <c r="AK37" s="51">
        <f>IFERROR(AK30/AF30-1,"NA")</f>
        <v>0.10704700559773017</v>
      </c>
      <c r="AL37" s="51">
        <f>IFERROR(AL30/AG30-1,"NA")</f>
        <v>2.1466505733252865</v>
      </c>
      <c r="AM37" s="51">
        <f>IFERROR(AM30/AH30-1,"NA")</f>
        <v>0.7940119760479043</v>
      </c>
      <c r="AN37" s="51">
        <f t="shared" ref="AN37:BB37" si="82">IFERROR(AN30/AI30-1,"NA")</f>
        <v>0.69840060929169834</v>
      </c>
      <c r="AO37" s="52">
        <f t="shared" si="82"/>
        <v>0.76594214300164087</v>
      </c>
      <c r="AP37" s="51">
        <f>IFERROR(AP30/AK30-1,"NA")</f>
        <v>0.61009905104938689</v>
      </c>
      <c r="AQ37" s="51">
        <f>IFERROR(AQ30/AL30-1,"NA")</f>
        <v>0.19409282700421948</v>
      </c>
      <c r="AR37" s="51">
        <f>IFERROR(AR30/AM30-1,"NA")</f>
        <v>0.2575815372878123</v>
      </c>
      <c r="AS37" s="51">
        <f>IFERROR(AS30/AN30-1,"NA")</f>
        <v>0.25565022421524675</v>
      </c>
      <c r="AT37" s="52">
        <f t="shared" si="82"/>
        <v>0.30495767835550192</v>
      </c>
      <c r="AU37" s="51">
        <f t="shared" si="82"/>
        <v>0.23845988384598837</v>
      </c>
      <c r="AV37" s="51">
        <f t="shared" si="82"/>
        <v>0.27726469643430773</v>
      </c>
      <c r="AW37" s="51">
        <f t="shared" si="82"/>
        <v>0.23394251914764541</v>
      </c>
      <c r="AX37" s="51">
        <f t="shared" si="82"/>
        <v>0.20838541480661399</v>
      </c>
      <c r="AY37" s="52">
        <f t="shared" si="82"/>
        <v>0.23851000741289852</v>
      </c>
      <c r="AZ37" s="51">
        <f t="shared" si="82"/>
        <v>0.16103932193969706</v>
      </c>
      <c r="BA37" s="51">
        <f t="shared" si="82"/>
        <v>0.22679115973466635</v>
      </c>
      <c r="BB37" s="51">
        <f t="shared" si="82"/>
        <v>0.19936086529006891</v>
      </c>
      <c r="BC37" s="51">
        <f t="shared" si="75"/>
        <v>0.21973637545809188</v>
      </c>
      <c r="BD37" s="52">
        <f t="shared" si="75"/>
        <v>0.20297376690266744</v>
      </c>
      <c r="BE37" s="51">
        <f t="shared" si="75"/>
        <v>0.21634155098133068</v>
      </c>
      <c r="BF37" s="51">
        <f t="shared" si="75"/>
        <v>0.15229480050226796</v>
      </c>
      <c r="BG37" s="51">
        <f t="shared" si="75"/>
        <v>0.17565074810411963</v>
      </c>
      <c r="BH37" s="51">
        <f t="shared" si="75"/>
        <v>0.16190545419301694</v>
      </c>
      <c r="BI37" s="52">
        <f t="shared" si="79"/>
        <v>0.17487397708674313</v>
      </c>
      <c r="BJ37" s="51">
        <f t="shared" si="79"/>
        <v>0.13680236133316925</v>
      </c>
      <c r="BK37" s="51">
        <f t="shared" si="79"/>
        <v>0.15736600987412719</v>
      </c>
      <c r="BL37" s="51">
        <f t="shared" si="79"/>
        <v>0.1221426080892607</v>
      </c>
      <c r="BM37" s="51">
        <f t="shared" si="79"/>
        <v>0.12918962317268989</v>
      </c>
      <c r="BN37" s="52">
        <f t="shared" si="80"/>
        <v>0.13617217015301297</v>
      </c>
      <c r="BO37" s="51">
        <f t="shared" si="80"/>
        <v>0.10396272343114066</v>
      </c>
      <c r="BP37" s="51">
        <f t="shared" si="80"/>
        <v>0.10531526771007793</v>
      </c>
      <c r="BQ37" s="51">
        <f t="shared" si="80"/>
        <v>0.10701571945480626</v>
      </c>
      <c r="BR37" s="51">
        <f t="shared" si="80"/>
        <v>0.105373373694297</v>
      </c>
      <c r="BS37" s="52">
        <f t="shared" si="81"/>
        <v>0.10545355798166089</v>
      </c>
    </row>
    <row r="38" spans="1:76">
      <c r="A38" s="20"/>
      <c r="F38" s="85"/>
      <c r="K38" s="85"/>
      <c r="P38" s="85"/>
      <c r="U38" s="85"/>
      <c r="Z38" s="85"/>
      <c r="AE38" s="85"/>
      <c r="AJ38" s="85"/>
      <c r="AO38" s="85"/>
      <c r="AT38" s="85"/>
      <c r="AY38" s="85"/>
      <c r="BD38" s="85"/>
      <c r="BI38" s="85"/>
      <c r="BN38" s="85"/>
      <c r="BS38" s="85"/>
    </row>
    <row r="39" spans="1:76">
      <c r="A39" s="74" t="s">
        <v>90</v>
      </c>
      <c r="F39" s="55"/>
      <c r="K39" s="55"/>
      <c r="P39" s="55"/>
      <c r="U39" s="55"/>
      <c r="Z39" s="55"/>
      <c r="AE39" s="55"/>
      <c r="AJ39" s="55"/>
      <c r="AO39" s="55"/>
      <c r="AT39" s="55"/>
      <c r="AY39" s="55"/>
      <c r="BD39" s="55"/>
      <c r="BI39" s="55"/>
      <c r="BN39" s="55"/>
      <c r="BS39" s="55"/>
    </row>
    <row r="40" spans="1:76">
      <c r="A40" s="20" t="s">
        <v>91</v>
      </c>
      <c r="B40" s="86">
        <f t="shared" ref="B40:AO40" si="83">IFERROR(B8/(B26+B27)*1000000,"NA")</f>
        <v>2413.1697869593286</v>
      </c>
      <c r="C40" s="86">
        <f t="shared" si="83"/>
        <v>2514.3436685018833</v>
      </c>
      <c r="D40" s="86">
        <f t="shared" si="83"/>
        <v>2859.0526009880846</v>
      </c>
      <c r="E40" s="86">
        <f t="shared" si="83"/>
        <v>2996.5610415131418</v>
      </c>
      <c r="F40" s="87">
        <f t="shared" si="83"/>
        <v>2716.0230424578622</v>
      </c>
      <c r="G40" s="86">
        <f t="shared" si="83"/>
        <v>2790.5472636815921</v>
      </c>
      <c r="H40" s="86">
        <f t="shared" si="83"/>
        <v>2502.732240437158</v>
      </c>
      <c r="I40" s="86">
        <f t="shared" si="83"/>
        <v>2450.3377036154152</v>
      </c>
      <c r="J40" s="86">
        <f t="shared" si="83"/>
        <v>2503.4765555357462</v>
      </c>
      <c r="K40" s="87">
        <f t="shared" si="83"/>
        <v>2548.9418670511304</v>
      </c>
      <c r="L40" s="86">
        <f t="shared" si="83"/>
        <v>2531.7638266068761</v>
      </c>
      <c r="M40" s="86">
        <f t="shared" si="83"/>
        <v>2516.2894375857336</v>
      </c>
      <c r="N40" s="86">
        <f t="shared" si="83"/>
        <v>3240.9407665505232</v>
      </c>
      <c r="O40" s="86">
        <f t="shared" si="83"/>
        <v>2891.9689529542215</v>
      </c>
      <c r="P40" s="87">
        <f t="shared" si="83"/>
        <v>2800.9209450445414</v>
      </c>
      <c r="Q40" s="86">
        <f t="shared" si="83"/>
        <v>2816.5923894412063</v>
      </c>
      <c r="R40" s="86">
        <f t="shared" si="83"/>
        <v>2829.080848447587</v>
      </c>
      <c r="S40" s="86">
        <f t="shared" si="83"/>
        <v>2681.616409000459</v>
      </c>
      <c r="T40" s="86">
        <f t="shared" si="83"/>
        <v>2739.5498392282957</v>
      </c>
      <c r="U40" s="87">
        <f t="shared" si="83"/>
        <v>2764.6584185045717</v>
      </c>
      <c r="V40" s="86">
        <f t="shared" si="83"/>
        <v>2919.7261072261076</v>
      </c>
      <c r="W40" s="86">
        <f t="shared" si="83"/>
        <v>2901.5092375748109</v>
      </c>
      <c r="X40" s="86">
        <f t="shared" si="83"/>
        <v>2899.8251311516365</v>
      </c>
      <c r="Y40" s="86">
        <f t="shared" si="83"/>
        <v>2785.667467773651</v>
      </c>
      <c r="Z40" s="87">
        <f t="shared" si="83"/>
        <v>2871.5862503941971</v>
      </c>
      <c r="AA40" s="86">
        <f t="shared" si="83"/>
        <v>2771.1198428290763</v>
      </c>
      <c r="AB40" s="86">
        <f t="shared" si="83"/>
        <v>2761.6682189796129</v>
      </c>
      <c r="AC40" s="86">
        <f t="shared" si="83"/>
        <v>2688.1601448546426</v>
      </c>
      <c r="AD40" s="86">
        <f t="shared" si="83"/>
        <v>2632.9522404573113</v>
      </c>
      <c r="AE40" s="87">
        <f t="shared" si="83"/>
        <v>2710.1635867918812</v>
      </c>
      <c r="AF40" s="86">
        <f t="shared" si="83"/>
        <v>2556.2079742399847</v>
      </c>
      <c r="AG40" s="86">
        <f t="shared" si="83"/>
        <v>2828.0349507343371</v>
      </c>
      <c r="AH40" s="86">
        <f t="shared" si="83"/>
        <v>2760.2030853348956</v>
      </c>
      <c r="AI40" s="86">
        <f t="shared" si="83"/>
        <v>2806.9690758399433</v>
      </c>
      <c r="AJ40" s="87">
        <f t="shared" si="83"/>
        <v>2726.3976899013392</v>
      </c>
      <c r="AK40" s="86">
        <f>IFERROR(AK8/(AK28)*1000000,"NA")</f>
        <v>2688.6125335284082</v>
      </c>
      <c r="AL40" s="86">
        <f t="shared" ref="AL40:AN40" si="84">IFERROR(AL8/(AL28)*1000000,"NA")</f>
        <v>2676.1327713382507</v>
      </c>
      <c r="AM40" s="86">
        <f t="shared" si="84"/>
        <v>2701.2525209638043</v>
      </c>
      <c r="AN40" s="86">
        <f t="shared" si="84"/>
        <v>2628.383033166027</v>
      </c>
      <c r="AO40" s="87">
        <f t="shared" si="83"/>
        <v>2671.2564055247208</v>
      </c>
      <c r="AP40" s="86">
        <f>IFERROR(AP8/(AP28)*1000000,"NA")</f>
        <v>2660.772850420647</v>
      </c>
      <c r="AQ40" s="86">
        <f>IFERROR(AQ8/(AQ28)*1000000,"NA")</f>
        <v>2641.9217837550877</v>
      </c>
      <c r="AR40" s="86">
        <f>IFERROR(AR8/(AR28)*1000000,"NA")</f>
        <v>2693.6264286310166</v>
      </c>
      <c r="AS40" s="86">
        <f>IFERROR(AS8/(AS28)*1000000,"NA")</f>
        <v>2734.0959495739467</v>
      </c>
      <c r="AT40" s="87">
        <f t="shared" ref="AT40" si="85">IFERROR(AT8/(AT26+AT27)*1000000,"NA")</f>
        <v>2684.8410810347418</v>
      </c>
      <c r="AU40" s="86">
        <f>IFERROR(AU8/(AU28)*1000000,"NA")</f>
        <v>2796.5080346106306</v>
      </c>
      <c r="AV40" s="86">
        <f>IFERROR(AV8/(AV28)*1000000,"NA")</f>
        <v>2813.2076120995216</v>
      </c>
      <c r="AW40" s="86">
        <f>IFERROR(AW8/(AW28)*1000000,"NA")</f>
        <v>2761.9047619047619</v>
      </c>
      <c r="AX40" s="86">
        <f>IFERROR(AX8/(AX28)*1000000,"NA")</f>
        <v>2893.6163401203739</v>
      </c>
      <c r="AY40" s="87">
        <f t="shared" ref="AY40" si="86">IFERROR(AY8/(AY26+AY27)*1000000,"NA")</f>
        <v>2818.0052987219206</v>
      </c>
      <c r="AZ40" s="86">
        <f>IFERROR(AZ8/(AZ28)*1000000,"NA")</f>
        <v>2920.1590997283661</v>
      </c>
      <c r="BA40" s="86">
        <f>IFERROR(BA8/(BA28)*1000000,"NA")</f>
        <v>2971.3888888888887</v>
      </c>
      <c r="BB40" s="86">
        <f>IFERROR(BB8/(BB28)*1000000,"NA")</f>
        <v>2977.1689497716893</v>
      </c>
      <c r="BC40" s="86">
        <f>IFERROR(BC8/(BC28)*1000000,"NA")</f>
        <v>2867.8241747001816</v>
      </c>
      <c r="BD40" s="87">
        <f t="shared" ref="BD40" si="87">IFERROR(BD8/(BD26+BD27)*1000000,"NA")</f>
        <v>2968.1969535954654</v>
      </c>
      <c r="BE40" s="86">
        <f>IFERROR(BE8/(BE28)*1000000,"NA")</f>
        <v>2816.5091863517059</v>
      </c>
      <c r="BF40" s="86">
        <f>IFERROR(BF8/(BF28)*1000000,"NA")</f>
        <v>2880.7756650408805</v>
      </c>
      <c r="BG40" s="86">
        <f>IFERROR(BG8/(BG28)*1000000,"NA")</f>
        <v>2923.4782608695655</v>
      </c>
      <c r="BH40" s="86">
        <f>IFERROR(BH8/(BH28)*1000000,"NA")</f>
        <v>2988.4708470847086</v>
      </c>
      <c r="BI40" s="87">
        <f t="shared" ref="BI40" si="88">IFERROR(BI8/(BI26+BI27)*1000000,"NA")</f>
        <v>2906.1883069815135</v>
      </c>
      <c r="BJ40" s="88">
        <v>2900</v>
      </c>
      <c r="BK40" s="88">
        <f t="shared" ref="BK40:BM41" si="89">BJ40</f>
        <v>2900</v>
      </c>
      <c r="BL40" s="88">
        <f t="shared" si="89"/>
        <v>2900</v>
      </c>
      <c r="BM40" s="88">
        <f t="shared" si="89"/>
        <v>2900</v>
      </c>
      <c r="BN40" s="87">
        <f t="shared" ref="BN40" si="90">IFERROR(BN8/(BN26+BN27)*1000000,"NA")</f>
        <v>2900.0000000000005</v>
      </c>
      <c r="BO40" s="88">
        <f>BM40</f>
        <v>2900</v>
      </c>
      <c r="BP40" s="88">
        <f t="shared" ref="BP40:BR41" si="91">BO40</f>
        <v>2900</v>
      </c>
      <c r="BQ40" s="88">
        <f t="shared" si="91"/>
        <v>2900</v>
      </c>
      <c r="BR40" s="88">
        <f t="shared" si="91"/>
        <v>2900</v>
      </c>
      <c r="BS40" s="87">
        <f t="shared" ref="BS40" si="92">IFERROR(BS8/(BS26+BS27)*1000000,"NA")</f>
        <v>2900</v>
      </c>
    </row>
    <row r="41" spans="1:76">
      <c r="A41" s="20" t="s">
        <v>92</v>
      </c>
      <c r="B41" s="86" t="str">
        <f t="shared" ref="B41:AY41" si="93">IFERROR(B9/B29*1000000,"NA")</f>
        <v>NA</v>
      </c>
      <c r="C41" s="86" t="str">
        <f t="shared" si="93"/>
        <v>NA</v>
      </c>
      <c r="D41" s="86" t="str">
        <f t="shared" si="93"/>
        <v>NA</v>
      </c>
      <c r="E41" s="86" t="str">
        <f t="shared" si="93"/>
        <v>NA</v>
      </c>
      <c r="F41" s="87" t="str">
        <f t="shared" si="93"/>
        <v>NA</v>
      </c>
      <c r="G41" s="86" t="str">
        <f t="shared" si="93"/>
        <v>NA</v>
      </c>
      <c r="H41" s="86" t="str">
        <f t="shared" si="93"/>
        <v>NA</v>
      </c>
      <c r="I41" s="86" t="str">
        <f t="shared" si="93"/>
        <v>NA</v>
      </c>
      <c r="J41" s="86" t="str">
        <f t="shared" si="93"/>
        <v>NA</v>
      </c>
      <c r="K41" s="87" t="str">
        <f t="shared" si="93"/>
        <v>NA</v>
      </c>
      <c r="L41" s="86" t="str">
        <f t="shared" si="93"/>
        <v>NA</v>
      </c>
      <c r="M41" s="86" t="str">
        <f t="shared" si="93"/>
        <v>NA</v>
      </c>
      <c r="N41" s="86" t="str">
        <f t="shared" si="93"/>
        <v>NA</v>
      </c>
      <c r="O41" s="86" t="str">
        <f t="shared" si="93"/>
        <v>NA</v>
      </c>
      <c r="P41" s="87" t="str">
        <f t="shared" si="93"/>
        <v>NA</v>
      </c>
      <c r="Q41" s="86" t="str">
        <f t="shared" si="93"/>
        <v>NA</v>
      </c>
      <c r="R41" s="86" t="str">
        <f t="shared" si="93"/>
        <v>NA</v>
      </c>
      <c r="S41" s="86" t="str">
        <f t="shared" si="93"/>
        <v>NA</v>
      </c>
      <c r="T41" s="86" t="str">
        <f t="shared" si="93"/>
        <v>NA</v>
      </c>
      <c r="U41" s="87" t="str">
        <f t="shared" si="93"/>
        <v>NA</v>
      </c>
      <c r="V41" s="86" t="str">
        <f t="shared" si="93"/>
        <v>NA</v>
      </c>
      <c r="W41" s="86" t="str">
        <f t="shared" si="93"/>
        <v>NA</v>
      </c>
      <c r="X41" s="86" t="str">
        <f t="shared" si="93"/>
        <v>NA</v>
      </c>
      <c r="Y41" s="86" t="str">
        <f t="shared" si="93"/>
        <v>NA</v>
      </c>
      <c r="Z41" s="87" t="str">
        <f t="shared" si="93"/>
        <v>NA</v>
      </c>
      <c r="AA41" s="86" t="str">
        <f t="shared" si="93"/>
        <v>NA</v>
      </c>
      <c r="AB41" s="86" t="str">
        <f t="shared" si="93"/>
        <v>NA</v>
      </c>
      <c r="AC41" s="86" t="str">
        <f t="shared" si="93"/>
        <v>NA</v>
      </c>
      <c r="AD41" s="86">
        <f t="shared" si="93"/>
        <v>1357.3529411764705</v>
      </c>
      <c r="AE41" s="87">
        <f t="shared" si="93"/>
        <v>1357.3529411764705</v>
      </c>
      <c r="AF41" s="86">
        <f t="shared" si="93"/>
        <v>1373.4891216760675</v>
      </c>
      <c r="AG41" s="86">
        <f t="shared" si="93"/>
        <v>1371.4971977582068</v>
      </c>
      <c r="AH41" s="86">
        <f t="shared" si="93"/>
        <v>1399.8618784530386</v>
      </c>
      <c r="AI41" s="86">
        <f t="shared" si="93"/>
        <v>1412.2577265584077</v>
      </c>
      <c r="AJ41" s="87">
        <f t="shared" si="93"/>
        <v>1388.9672686230249</v>
      </c>
      <c r="AK41" s="86">
        <f t="shared" si="93"/>
        <v>1433.4582942830366</v>
      </c>
      <c r="AL41" s="86">
        <f t="shared" si="93"/>
        <v>1432.8358208955226</v>
      </c>
      <c r="AM41" s="86">
        <f t="shared" si="93"/>
        <v>1389.2018779342725</v>
      </c>
      <c r="AN41" s="86">
        <f t="shared" si="93"/>
        <v>1394.3377148634986</v>
      </c>
      <c r="AO41" s="87">
        <f t="shared" si="93"/>
        <v>1412.1704853412168</v>
      </c>
      <c r="AP41" s="86">
        <f t="shared" si="93"/>
        <v>1350.4079782411604</v>
      </c>
      <c r="AQ41" s="86">
        <f t="shared" si="93"/>
        <v>1351.304347826087</v>
      </c>
      <c r="AR41" s="86">
        <f t="shared" si="93"/>
        <v>1380.8333333333333</v>
      </c>
      <c r="AS41" s="86">
        <f t="shared" si="93"/>
        <v>1404.782608695652</v>
      </c>
      <c r="AT41" s="87">
        <f t="shared" si="93"/>
        <v>1372.1485987399524</v>
      </c>
      <c r="AU41" s="86">
        <f t="shared" si="93"/>
        <v>1342.0689655172414</v>
      </c>
      <c r="AV41" s="86">
        <f t="shared" si="93"/>
        <v>1458.5454545454545</v>
      </c>
      <c r="AW41" s="86">
        <f t="shared" si="93"/>
        <v>1410.5263157894735</v>
      </c>
      <c r="AX41" s="86">
        <f t="shared" si="93"/>
        <v>1409.6153846153845</v>
      </c>
      <c r="AY41" s="87">
        <f t="shared" si="93"/>
        <v>1404.3243243243244</v>
      </c>
      <c r="AZ41" s="86">
        <f>IFERROR(AZ9/AZ29*1000000,"NA")</f>
        <v>1414.8</v>
      </c>
      <c r="BA41" s="86">
        <f>IFERROR(BA9/BA29*1000000,"NA")</f>
        <v>1292.0939464108501</v>
      </c>
      <c r="BB41" s="86">
        <f>IFERROR(BB9/BB29*1000000,"NA")</f>
        <v>1423.2142857142858</v>
      </c>
      <c r="BC41" s="86">
        <f>IFERROR(BC9/BC29*1000000,"NA")</f>
        <v>1372.2727272727275</v>
      </c>
      <c r="BD41" s="87">
        <f t="shared" ref="BD41" si="94">IFERROR(BD9/BD29*1000000,"NA")</f>
        <v>1370.0692562481181</v>
      </c>
      <c r="BE41" s="86">
        <f>IFERROR(BE9/BE29*1000000,"NA")</f>
        <v>1392.9961089494163</v>
      </c>
      <c r="BF41" s="86">
        <f>IFERROR(BF9/BF29*1000000,"NA")</f>
        <v>1424.950495049505</v>
      </c>
      <c r="BG41" s="86">
        <f>IFERROR(BG9/BG29*1000000,"NA")</f>
        <v>1508.6837294332724</v>
      </c>
      <c r="BH41" s="86">
        <f>IFERROR(BH9/BH29*1000000,"NA")</f>
        <v>1537.3551737914502</v>
      </c>
      <c r="BI41" s="87">
        <f t="shared" ref="BI41" si="95">IFERROR(BI9/BI29*1000000,"NA")</f>
        <v>1464.0302472920498</v>
      </c>
      <c r="BJ41" s="88">
        <v>1450</v>
      </c>
      <c r="BK41" s="88">
        <f t="shared" si="89"/>
        <v>1450</v>
      </c>
      <c r="BL41" s="88">
        <f t="shared" si="89"/>
        <v>1450</v>
      </c>
      <c r="BM41" s="88">
        <f t="shared" si="89"/>
        <v>1450</v>
      </c>
      <c r="BN41" s="87">
        <f t="shared" ref="BN41" si="96">IFERROR(BN9/BN29*1000000,"NA")</f>
        <v>1449.9999999999998</v>
      </c>
      <c r="BO41" s="88">
        <f>BM41</f>
        <v>1450</v>
      </c>
      <c r="BP41" s="88">
        <f t="shared" si="91"/>
        <v>1450</v>
      </c>
      <c r="BQ41" s="88">
        <f t="shared" si="91"/>
        <v>1450</v>
      </c>
      <c r="BR41" s="88">
        <f t="shared" si="91"/>
        <v>1450</v>
      </c>
      <c r="BS41" s="87">
        <f t="shared" ref="BS41" si="97">IFERROR(BS9/BS29*1000000,"NA")</f>
        <v>1450</v>
      </c>
    </row>
    <row r="42" spans="1:76" ht="13.5" thickBot="1">
      <c r="A42" s="89" t="s">
        <v>93</v>
      </c>
      <c r="B42" s="90">
        <f t="shared" ref="B42:BM42" si="98">IFERROR((B8+B9)/B30*1000000,"NA")</f>
        <v>2413.1697869593286</v>
      </c>
      <c r="C42" s="90">
        <f t="shared" si="98"/>
        <v>2514.3436685018833</v>
      </c>
      <c r="D42" s="90">
        <f t="shared" si="98"/>
        <v>2859.0526009880846</v>
      </c>
      <c r="E42" s="90">
        <f t="shared" si="98"/>
        <v>2996.5610415131418</v>
      </c>
      <c r="F42" s="91">
        <f t="shared" si="98"/>
        <v>2716.0230424578622</v>
      </c>
      <c r="G42" s="90">
        <f t="shared" si="98"/>
        <v>2790.5472636815921</v>
      </c>
      <c r="H42" s="90">
        <f t="shared" si="98"/>
        <v>2502.732240437158</v>
      </c>
      <c r="I42" s="90">
        <f t="shared" si="98"/>
        <v>2450.3377036154152</v>
      </c>
      <c r="J42" s="90">
        <f t="shared" si="98"/>
        <v>2503.4765555357462</v>
      </c>
      <c r="K42" s="91">
        <f t="shared" si="98"/>
        <v>2548.9418670511304</v>
      </c>
      <c r="L42" s="90">
        <f t="shared" si="98"/>
        <v>2531.7638266068761</v>
      </c>
      <c r="M42" s="90">
        <f t="shared" si="98"/>
        <v>2516.2894375857336</v>
      </c>
      <c r="N42" s="90">
        <f t="shared" si="98"/>
        <v>3240.9407665505232</v>
      </c>
      <c r="O42" s="90">
        <f t="shared" si="98"/>
        <v>2891.9689529542215</v>
      </c>
      <c r="P42" s="91">
        <f t="shared" si="98"/>
        <v>2800.9209450445414</v>
      </c>
      <c r="Q42" s="90">
        <f t="shared" si="98"/>
        <v>2816.5923894412063</v>
      </c>
      <c r="R42" s="90">
        <f t="shared" si="98"/>
        <v>2829.080848447587</v>
      </c>
      <c r="S42" s="90">
        <f t="shared" si="98"/>
        <v>2681.616409000459</v>
      </c>
      <c r="T42" s="90">
        <f t="shared" si="98"/>
        <v>2739.5498392282957</v>
      </c>
      <c r="U42" s="91">
        <f t="shared" si="98"/>
        <v>2764.6584185045717</v>
      </c>
      <c r="V42" s="90">
        <f t="shared" si="98"/>
        <v>2919.7261072261076</v>
      </c>
      <c r="W42" s="90">
        <f t="shared" si="98"/>
        <v>2901.5092375748109</v>
      </c>
      <c r="X42" s="90">
        <f t="shared" si="98"/>
        <v>2899.8251311516365</v>
      </c>
      <c r="Y42" s="90">
        <f t="shared" si="98"/>
        <v>2785.667467773651</v>
      </c>
      <c r="Z42" s="91">
        <f t="shared" si="98"/>
        <v>2871.5862503941971</v>
      </c>
      <c r="AA42" s="90">
        <f t="shared" si="98"/>
        <v>2771.1198428290763</v>
      </c>
      <c r="AB42" s="90">
        <f t="shared" si="98"/>
        <v>2761.6682189796129</v>
      </c>
      <c r="AC42" s="90">
        <f t="shared" si="98"/>
        <v>2688.1601448546426</v>
      </c>
      <c r="AD42" s="90">
        <f t="shared" si="98"/>
        <v>2557.695644629533</v>
      </c>
      <c r="AE42" s="91">
        <f t="shared" si="98"/>
        <v>2687.3324729474834</v>
      </c>
      <c r="AF42" s="90">
        <f t="shared" si="98"/>
        <v>2331.1095774863888</v>
      </c>
      <c r="AG42" s="90">
        <f t="shared" si="98"/>
        <v>2553.5606517803262</v>
      </c>
      <c r="AH42" s="90">
        <f t="shared" si="98"/>
        <v>2591.7023096663816</v>
      </c>
      <c r="AI42" s="90">
        <f t="shared" si="98"/>
        <v>2604.1888804265041</v>
      </c>
      <c r="AJ42" s="91">
        <f t="shared" si="98"/>
        <v>2513.3178988064465</v>
      </c>
      <c r="AK42" s="90">
        <f t="shared" si="98"/>
        <v>2503.0823578305744</v>
      </c>
      <c r="AL42" s="90">
        <f t="shared" si="98"/>
        <v>2564.2980437284236</v>
      </c>
      <c r="AM42" s="90">
        <f t="shared" si="98"/>
        <v>2567.9954224680528</v>
      </c>
      <c r="AN42" s="90">
        <f t="shared" si="98"/>
        <v>2518.9237668161436</v>
      </c>
      <c r="AO42" s="91">
        <f t="shared" si="98"/>
        <v>2541.1570037548527</v>
      </c>
      <c r="AP42" s="90">
        <f t="shared" si="98"/>
        <v>2536.4164336416429</v>
      </c>
      <c r="AQ42" s="90">
        <f t="shared" si="98"/>
        <v>2522.727272727273</v>
      </c>
      <c r="AR42" s="90">
        <f t="shared" si="98"/>
        <v>2574.1639493440507</v>
      </c>
      <c r="AS42" s="90">
        <f t="shared" si="98"/>
        <v>2624.9062533480947</v>
      </c>
      <c r="AT42" s="91">
        <f t="shared" si="98"/>
        <v>2566.9696851468925</v>
      </c>
      <c r="AU42" s="90">
        <f t="shared" si="98"/>
        <v>2649.9930526608309</v>
      </c>
      <c r="AV42" s="90">
        <f t="shared" si="98"/>
        <v>2696.0923009211228</v>
      </c>
      <c r="AW42" s="90">
        <f t="shared" si="98"/>
        <v>2643.5594886922318</v>
      </c>
      <c r="AX42" s="90">
        <f t="shared" si="98"/>
        <v>2779.5838751625492</v>
      </c>
      <c r="AY42" s="91">
        <f t="shared" si="98"/>
        <v>2694.4249746016994</v>
      </c>
      <c r="AZ42" s="90">
        <f t="shared" si="98"/>
        <v>2807.5634274772619</v>
      </c>
      <c r="BA42" s="90">
        <f t="shared" si="98"/>
        <v>2841.2987212669454</v>
      </c>
      <c r="BB42" s="90">
        <f t="shared" si="98"/>
        <v>2887.9893420782951</v>
      </c>
      <c r="BC42" s="90">
        <f t="shared" si="98"/>
        <v>2790.6035715151079</v>
      </c>
      <c r="BD42" s="91">
        <f t="shared" si="98"/>
        <v>2832.1505728314237</v>
      </c>
      <c r="BE42" s="90">
        <f t="shared" si="98"/>
        <v>2727.5611855860288</v>
      </c>
      <c r="BF42" s="90">
        <f t="shared" si="98"/>
        <v>2799.0259307031984</v>
      </c>
      <c r="BG42" s="90">
        <f t="shared" si="98"/>
        <v>2856.0190027894</v>
      </c>
      <c r="BH42" s="90">
        <f t="shared" si="98"/>
        <v>2912.7270452317898</v>
      </c>
      <c r="BI42" s="91">
        <f t="shared" si="98"/>
        <v>2827.7908415151956</v>
      </c>
      <c r="BJ42" s="90">
        <f t="shared" si="98"/>
        <v>2818.562662414236</v>
      </c>
      <c r="BK42" s="90">
        <f t="shared" si="98"/>
        <v>2828.9448143157888</v>
      </c>
      <c r="BL42" s="90">
        <f t="shared" si="98"/>
        <v>2837.7714744252025</v>
      </c>
      <c r="BM42" s="90">
        <f t="shared" si="98"/>
        <v>2832.303289704168</v>
      </c>
      <c r="BN42" s="91">
        <f t="shared" ref="BN42:BS42" si="99">IFERROR((BN8+BN9)/BN30*1000000,"NA")</f>
        <v>2829.7125258576848</v>
      </c>
      <c r="BO42" s="90">
        <f t="shared" si="99"/>
        <v>2824.7564409789952</v>
      </c>
      <c r="BP42" s="90">
        <f t="shared" si="99"/>
        <v>2834.4293058142157</v>
      </c>
      <c r="BQ42" s="90">
        <f t="shared" si="99"/>
        <v>2842.6628773459934</v>
      </c>
      <c r="BR42" s="90">
        <f t="shared" si="99"/>
        <v>2837.5318366218903</v>
      </c>
      <c r="BS42" s="91">
        <f t="shared" si="99"/>
        <v>2835.1458746434723</v>
      </c>
    </row>
    <row r="43" spans="1:76">
      <c r="F43" s="55"/>
      <c r="K43" s="55"/>
      <c r="P43" s="55"/>
      <c r="U43" s="55"/>
      <c r="Z43" s="55"/>
      <c r="AE43" s="55"/>
      <c r="AJ43" s="55"/>
      <c r="AO43" s="55"/>
      <c r="AT43" s="55"/>
      <c r="AY43" s="55"/>
      <c r="BD43" s="55"/>
      <c r="BI43" s="55"/>
      <c r="BN43" s="55"/>
      <c r="BS43" s="55"/>
    </row>
    <row r="44" spans="1:76">
      <c r="A44" s="40" t="s">
        <v>81</v>
      </c>
      <c r="F44" s="55"/>
      <c r="K44" s="55"/>
      <c r="P44" s="55"/>
      <c r="U44" s="55"/>
      <c r="Z44" s="55"/>
      <c r="AE44" s="55"/>
      <c r="AJ44" s="55"/>
      <c r="AO44" s="55"/>
      <c r="AT44" s="55"/>
      <c r="AY44" s="55"/>
      <c r="BD44" s="55"/>
      <c r="BI44" s="55"/>
      <c r="BN44" s="55"/>
      <c r="BS44" s="55"/>
    </row>
    <row r="45" spans="1:76">
      <c r="A45" s="20" t="s">
        <v>91</v>
      </c>
      <c r="B45" s="43" t="s">
        <v>82</v>
      </c>
      <c r="C45" s="43" t="s">
        <v>82</v>
      </c>
      <c r="D45" s="43" t="s">
        <v>82</v>
      </c>
      <c r="E45" s="43" t="s">
        <v>82</v>
      </c>
      <c r="F45" s="44" t="s">
        <v>82</v>
      </c>
      <c r="G45" s="43">
        <f t="shared" ref="G45:BR47" si="100">IFERROR(G40/B40-1,"NA")</f>
        <v>0.1563824803217726</v>
      </c>
      <c r="H45" s="43">
        <f t="shared" si="100"/>
        <v>-4.6180751701471179E-3</v>
      </c>
      <c r="I45" s="43">
        <f t="shared" si="100"/>
        <v>-0.1429546617055657</v>
      </c>
      <c r="J45" s="43">
        <f t="shared" si="100"/>
        <v>-0.16455012233904232</v>
      </c>
      <c r="K45" s="44">
        <f t="shared" si="100"/>
        <v>-6.1516847535848518E-2</v>
      </c>
      <c r="L45" s="43">
        <f t="shared" si="100"/>
        <v>-9.2735729812832735E-2</v>
      </c>
      <c r="M45" s="43">
        <f t="shared" si="100"/>
        <v>5.4169586860028929E-3</v>
      </c>
      <c r="N45" s="43">
        <f t="shared" si="100"/>
        <v>0.32265065413987304</v>
      </c>
      <c r="O45" s="43">
        <f t="shared" si="100"/>
        <v>0.15518116059822162</v>
      </c>
      <c r="P45" s="44">
        <f t="shared" si="100"/>
        <v>9.8856345548957281E-2</v>
      </c>
      <c r="Q45" s="43">
        <f t="shared" si="100"/>
        <v>0.11250202718002478</v>
      </c>
      <c r="R45" s="43">
        <f t="shared" si="100"/>
        <v>0.12430661043586566</v>
      </c>
      <c r="S45" s="43">
        <f t="shared" si="100"/>
        <v>-0.17258086396481043</v>
      </c>
      <c r="T45" s="43">
        <f t="shared" si="100"/>
        <v>-5.2704270414184684E-2</v>
      </c>
      <c r="U45" s="44">
        <f t="shared" si="100"/>
        <v>-1.29466440686683E-2</v>
      </c>
      <c r="V45" s="43">
        <f t="shared" si="100"/>
        <v>3.6616486706250839E-2</v>
      </c>
      <c r="W45" s="43">
        <f t="shared" si="100"/>
        <v>2.5601385399419696E-2</v>
      </c>
      <c r="X45" s="43">
        <f t="shared" si="100"/>
        <v>8.137208640982041E-2</v>
      </c>
      <c r="Y45" s="43">
        <f t="shared" si="100"/>
        <v>1.683401699249476E-2</v>
      </c>
      <c r="Z45" s="44">
        <f t="shared" si="100"/>
        <v>3.8676688293182826E-2</v>
      </c>
      <c r="AA45" s="43">
        <f t="shared" si="100"/>
        <v>-5.0897330413713027E-2</v>
      </c>
      <c r="AB45" s="43">
        <f t="shared" si="100"/>
        <v>-4.8195958428890684E-2</v>
      </c>
      <c r="AC45" s="43">
        <f t="shared" si="100"/>
        <v>-7.2992327717683159E-2</v>
      </c>
      <c r="AD45" s="43">
        <f t="shared" si="100"/>
        <v>-5.4821772190344009E-2</v>
      </c>
      <c r="AE45" s="44">
        <f t="shared" si="100"/>
        <v>-5.6213761150359476E-2</v>
      </c>
      <c r="AF45" s="43">
        <f t="shared" si="100"/>
        <v>-7.7554158888229474E-2</v>
      </c>
      <c r="AG45" s="43">
        <f t="shared" si="100"/>
        <v>2.4031392076216074E-2</v>
      </c>
      <c r="AH45" s="43">
        <f t="shared" si="100"/>
        <v>2.6800092478920678E-2</v>
      </c>
      <c r="AI45" s="43">
        <f t="shared" si="100"/>
        <v>6.6091907292783914E-2</v>
      </c>
      <c r="AJ45" s="44">
        <f t="shared" si="100"/>
        <v>5.99008236571974E-3</v>
      </c>
      <c r="AK45" s="43">
        <f t="shared" si="100"/>
        <v>5.1797256178965689E-2</v>
      </c>
      <c r="AL45" s="43">
        <f t="shared" si="100"/>
        <v>-5.3712978107517073E-2</v>
      </c>
      <c r="AM45" s="43">
        <f t="shared" si="100"/>
        <v>-2.1357328627121253E-2</v>
      </c>
      <c r="AN45" s="43">
        <f t="shared" si="100"/>
        <v>-6.3622376253103963E-2</v>
      </c>
      <c r="AO45" s="44">
        <f t="shared" si="100"/>
        <v>-2.0224960056584362E-2</v>
      </c>
      <c r="AP45" s="43">
        <f t="shared" si="100"/>
        <v>-1.035466537501617E-2</v>
      </c>
      <c r="AQ45" s="43">
        <f t="shared" si="100"/>
        <v>-1.278374075814448E-2</v>
      </c>
      <c r="AR45" s="43">
        <f t="shared" si="100"/>
        <v>-2.8231689831303974E-3</v>
      </c>
      <c r="AS45" s="43">
        <f t="shared" si="100"/>
        <v>4.0219753009355985E-2</v>
      </c>
      <c r="AT45" s="44">
        <f t="shared" si="100"/>
        <v>5.0855003967140711E-3</v>
      </c>
      <c r="AU45" s="43">
        <f t="shared" si="100"/>
        <v>5.1013443018454119E-2</v>
      </c>
      <c r="AV45" s="43">
        <f t="shared" si="100"/>
        <v>6.4833799924605362E-2</v>
      </c>
      <c r="AW45" s="43">
        <f t="shared" si="100"/>
        <v>2.5348107869748837E-2</v>
      </c>
      <c r="AX45" s="43">
        <f t="shared" si="100"/>
        <v>5.834483993558659E-2</v>
      </c>
      <c r="AY45" s="44">
        <f t="shared" si="100"/>
        <v>4.9598547425331097E-2</v>
      </c>
      <c r="AZ45" s="43">
        <f t="shared" si="100"/>
        <v>4.4216238103872207E-2</v>
      </c>
      <c r="BA45" s="43">
        <f t="shared" si="100"/>
        <v>5.6228085019048857E-2</v>
      </c>
      <c r="BB45" s="43">
        <f t="shared" si="100"/>
        <v>7.7940481813887574E-2</v>
      </c>
      <c r="BC45" s="43">
        <f t="shared" si="100"/>
        <v>-8.9134710302055664E-3</v>
      </c>
      <c r="BD45" s="44">
        <f t="shared" si="100"/>
        <v>5.3297151336678672E-2</v>
      </c>
      <c r="BE45" s="43">
        <f t="shared" si="100"/>
        <v>-3.5494611710129687E-2</v>
      </c>
      <c r="BF45" s="43">
        <f t="shared" si="100"/>
        <v>-3.0495242203686046E-2</v>
      </c>
      <c r="BG45" s="43">
        <f t="shared" si="100"/>
        <v>-1.8034142437983292E-2</v>
      </c>
      <c r="BH45" s="43">
        <f t="shared" si="100"/>
        <v>4.2069061781704331E-2</v>
      </c>
      <c r="BI45" s="44">
        <f t="shared" si="100"/>
        <v>-2.0891014842811861E-2</v>
      </c>
      <c r="BJ45" s="43">
        <f t="shared" si="100"/>
        <v>2.9643366353241607E-2</v>
      </c>
      <c r="BK45" s="43">
        <f t="shared" si="100"/>
        <v>6.6733189926633241E-3</v>
      </c>
      <c r="BL45" s="43">
        <f t="shared" si="100"/>
        <v>-8.0309339678763525E-3</v>
      </c>
      <c r="BM45" s="43">
        <f t="shared" si="100"/>
        <v>-2.9604052243311307E-2</v>
      </c>
      <c r="BN45" s="44">
        <f t="shared" si="100"/>
        <v>-2.1293551304458758E-3</v>
      </c>
      <c r="BO45" s="43">
        <f t="shared" si="100"/>
        <v>0</v>
      </c>
      <c r="BP45" s="43">
        <f t="shared" si="100"/>
        <v>0</v>
      </c>
      <c r="BQ45" s="43">
        <f t="shared" si="100"/>
        <v>0</v>
      </c>
      <c r="BR45" s="43">
        <f t="shared" si="100"/>
        <v>0</v>
      </c>
      <c r="BS45" s="44">
        <f t="shared" ref="BS45:BS47" si="101">IFERROR(BS40/BN40-1,"NA")</f>
        <v>-1.1102230246251565E-16</v>
      </c>
    </row>
    <row r="46" spans="1:76">
      <c r="A46" s="20" t="s">
        <v>92</v>
      </c>
      <c r="B46" s="43" t="s">
        <v>82</v>
      </c>
      <c r="C46" s="43" t="s">
        <v>82</v>
      </c>
      <c r="D46" s="43" t="s">
        <v>82</v>
      </c>
      <c r="E46" s="43" t="s">
        <v>82</v>
      </c>
      <c r="F46" s="44" t="s">
        <v>82</v>
      </c>
      <c r="G46" s="43" t="str">
        <f t="shared" si="100"/>
        <v>NA</v>
      </c>
      <c r="H46" s="43" t="str">
        <f t="shared" si="100"/>
        <v>NA</v>
      </c>
      <c r="I46" s="43" t="str">
        <f t="shared" si="100"/>
        <v>NA</v>
      </c>
      <c r="J46" s="43" t="str">
        <f t="shared" si="100"/>
        <v>NA</v>
      </c>
      <c r="K46" s="44" t="str">
        <f t="shared" si="100"/>
        <v>NA</v>
      </c>
      <c r="L46" s="43" t="str">
        <f t="shared" si="100"/>
        <v>NA</v>
      </c>
      <c r="M46" s="43" t="str">
        <f t="shared" si="100"/>
        <v>NA</v>
      </c>
      <c r="N46" s="43" t="str">
        <f t="shared" si="100"/>
        <v>NA</v>
      </c>
      <c r="O46" s="43" t="str">
        <f t="shared" si="100"/>
        <v>NA</v>
      </c>
      <c r="P46" s="44" t="str">
        <f t="shared" si="100"/>
        <v>NA</v>
      </c>
      <c r="Q46" s="43" t="str">
        <f t="shared" si="100"/>
        <v>NA</v>
      </c>
      <c r="R46" s="43" t="str">
        <f t="shared" si="100"/>
        <v>NA</v>
      </c>
      <c r="S46" s="43" t="str">
        <f t="shared" si="100"/>
        <v>NA</v>
      </c>
      <c r="T46" s="43" t="str">
        <f t="shared" si="100"/>
        <v>NA</v>
      </c>
      <c r="U46" s="44" t="str">
        <f t="shared" si="100"/>
        <v>NA</v>
      </c>
      <c r="V46" s="43" t="str">
        <f t="shared" si="100"/>
        <v>NA</v>
      </c>
      <c r="W46" s="43" t="str">
        <f t="shared" si="100"/>
        <v>NA</v>
      </c>
      <c r="X46" s="43" t="str">
        <f t="shared" si="100"/>
        <v>NA</v>
      </c>
      <c r="Y46" s="43" t="str">
        <f t="shared" si="100"/>
        <v>NA</v>
      </c>
      <c r="Z46" s="44" t="str">
        <f t="shared" si="100"/>
        <v>NA</v>
      </c>
      <c r="AA46" s="43" t="str">
        <f t="shared" si="100"/>
        <v>NA</v>
      </c>
      <c r="AB46" s="43" t="str">
        <f t="shared" si="100"/>
        <v>NA</v>
      </c>
      <c r="AC46" s="43" t="str">
        <f t="shared" si="100"/>
        <v>NA</v>
      </c>
      <c r="AD46" s="43" t="str">
        <f t="shared" si="100"/>
        <v>NA</v>
      </c>
      <c r="AE46" s="44" t="str">
        <f t="shared" si="100"/>
        <v>NA</v>
      </c>
      <c r="AF46" s="43" t="str">
        <f t="shared" si="100"/>
        <v>NA</v>
      </c>
      <c r="AG46" s="43" t="str">
        <f t="shared" si="100"/>
        <v>NA</v>
      </c>
      <c r="AH46" s="43" t="str">
        <f t="shared" si="100"/>
        <v>NA</v>
      </c>
      <c r="AI46" s="43">
        <f t="shared" si="100"/>
        <v>4.0449896056031776E-2</v>
      </c>
      <c r="AJ46" s="44">
        <f t="shared" si="100"/>
        <v>2.3291162149140732E-2</v>
      </c>
      <c r="AK46" s="43">
        <f t="shared" si="100"/>
        <v>4.3661920331621307E-2</v>
      </c>
      <c r="AL46" s="43">
        <f t="shared" si="100"/>
        <v>4.4723841388504049E-2</v>
      </c>
      <c r="AM46" s="43">
        <f t="shared" si="100"/>
        <v>-7.6150373710770491E-3</v>
      </c>
      <c r="AN46" s="43">
        <f t="shared" si="100"/>
        <v>-1.2688910358153338E-2</v>
      </c>
      <c r="AO46" s="44">
        <f t="shared" si="100"/>
        <v>1.6705373295941461E-2</v>
      </c>
      <c r="AP46" s="43">
        <f t="shared" si="100"/>
        <v>-5.7937029889952196E-2</v>
      </c>
      <c r="AQ46" s="43">
        <f t="shared" si="100"/>
        <v>-5.6902173913043641E-2</v>
      </c>
      <c r="AR46" s="43">
        <f t="shared" si="100"/>
        <v>-6.0239945927680338E-3</v>
      </c>
      <c r="AS46" s="43">
        <f t="shared" si="100"/>
        <v>7.4909354604784095E-3</v>
      </c>
      <c r="AT46" s="44">
        <f t="shared" si="100"/>
        <v>-2.8340690459618401E-2</v>
      </c>
      <c r="AU46" s="43">
        <f t="shared" si="100"/>
        <v>-6.1751802849833171E-3</v>
      </c>
      <c r="AV46" s="43">
        <f t="shared" si="100"/>
        <v>7.9361179361179257E-2</v>
      </c>
      <c r="AW46" s="43">
        <f t="shared" si="100"/>
        <v>2.150366864657105E-2</v>
      </c>
      <c r="AX46" s="43">
        <f t="shared" si="100"/>
        <v>3.4402304597291877E-3</v>
      </c>
      <c r="AY46" s="44">
        <f t="shared" si="100"/>
        <v>2.3449155298426838E-2</v>
      </c>
      <c r="AZ46" s="43">
        <f t="shared" si="100"/>
        <v>5.4193216855087378E-2</v>
      </c>
      <c r="BA46" s="43">
        <f t="shared" si="100"/>
        <v>-0.11412157750440344</v>
      </c>
      <c r="BB46" s="43">
        <f t="shared" si="100"/>
        <v>8.9952025586355067E-3</v>
      </c>
      <c r="BC46" s="43">
        <f t="shared" si="100"/>
        <v>-2.6491380379511154E-2</v>
      </c>
      <c r="BD46" s="44">
        <f t="shared" si="100"/>
        <v>-2.4392561948029856E-2</v>
      </c>
      <c r="BE46" s="43">
        <f t="shared" si="100"/>
        <v>-1.5411288557098946E-2</v>
      </c>
      <c r="BF46" s="43">
        <f t="shared" si="100"/>
        <v>0.10282266936371065</v>
      </c>
      <c r="BG46" s="43">
        <f t="shared" si="100"/>
        <v>6.0053812399789797E-2</v>
      </c>
      <c r="BH46" s="43">
        <f t="shared" si="100"/>
        <v>0.12029856983808873</v>
      </c>
      <c r="BI46" s="44">
        <f t="shared" si="100"/>
        <v>6.8581198078438987E-2</v>
      </c>
      <c r="BJ46" s="43">
        <f t="shared" si="100"/>
        <v>4.092178770949717E-2</v>
      </c>
      <c r="BK46" s="43">
        <f t="shared" si="100"/>
        <v>1.7579210672595824E-2</v>
      </c>
      <c r="BL46" s="43">
        <f t="shared" si="100"/>
        <v>-3.8897303847319042E-2</v>
      </c>
      <c r="BM46" s="43">
        <f t="shared" si="100"/>
        <v>-5.682172557172549E-2</v>
      </c>
      <c r="BN46" s="44">
        <f t="shared" si="100"/>
        <v>-9.5833042507155186E-3</v>
      </c>
      <c r="BO46" s="43">
        <f t="shared" si="100"/>
        <v>0</v>
      </c>
      <c r="BP46" s="43">
        <f t="shared" si="100"/>
        <v>0</v>
      </c>
      <c r="BQ46" s="43">
        <f t="shared" si="100"/>
        <v>0</v>
      </c>
      <c r="BR46" s="43">
        <f t="shared" si="100"/>
        <v>0</v>
      </c>
      <c r="BS46" s="44">
        <f t="shared" si="101"/>
        <v>2.2204460492503131E-16</v>
      </c>
    </row>
    <row r="47" spans="1:76" ht="13.5" thickBot="1">
      <c r="A47" s="89" t="s">
        <v>93</v>
      </c>
      <c r="B47" s="51" t="s">
        <v>82</v>
      </c>
      <c r="C47" s="51" t="s">
        <v>82</v>
      </c>
      <c r="D47" s="51" t="s">
        <v>82</v>
      </c>
      <c r="E47" s="51" t="s">
        <v>82</v>
      </c>
      <c r="F47" s="52" t="s">
        <v>82</v>
      </c>
      <c r="G47" s="51">
        <f t="shared" si="100"/>
        <v>0.1563824803217726</v>
      </c>
      <c r="H47" s="51">
        <f t="shared" si="100"/>
        <v>-4.6180751701471179E-3</v>
      </c>
      <c r="I47" s="51">
        <f t="shared" si="100"/>
        <v>-0.1429546617055657</v>
      </c>
      <c r="J47" s="51">
        <f t="shared" si="100"/>
        <v>-0.16455012233904232</v>
      </c>
      <c r="K47" s="52">
        <f t="shared" si="100"/>
        <v>-6.1516847535848518E-2</v>
      </c>
      <c r="L47" s="51">
        <f t="shared" si="100"/>
        <v>-9.2735729812832735E-2</v>
      </c>
      <c r="M47" s="51">
        <f t="shared" si="100"/>
        <v>5.4169586860028929E-3</v>
      </c>
      <c r="N47" s="51">
        <f t="shared" si="100"/>
        <v>0.32265065413987304</v>
      </c>
      <c r="O47" s="51">
        <f t="shared" si="100"/>
        <v>0.15518116059822162</v>
      </c>
      <c r="P47" s="52">
        <f t="shared" si="100"/>
        <v>9.8856345548957281E-2</v>
      </c>
      <c r="Q47" s="51">
        <f t="shared" si="100"/>
        <v>0.11250202718002478</v>
      </c>
      <c r="R47" s="51">
        <f t="shared" si="100"/>
        <v>0.12430661043586566</v>
      </c>
      <c r="S47" s="51">
        <f t="shared" si="100"/>
        <v>-0.17258086396481043</v>
      </c>
      <c r="T47" s="51">
        <f t="shared" si="100"/>
        <v>-5.2704270414184684E-2</v>
      </c>
      <c r="U47" s="52">
        <f t="shared" si="100"/>
        <v>-1.29466440686683E-2</v>
      </c>
      <c r="V47" s="51">
        <f t="shared" si="100"/>
        <v>3.6616486706250839E-2</v>
      </c>
      <c r="W47" s="51">
        <f t="shared" si="100"/>
        <v>2.5601385399419696E-2</v>
      </c>
      <c r="X47" s="51">
        <f t="shared" si="100"/>
        <v>8.137208640982041E-2</v>
      </c>
      <c r="Y47" s="51">
        <f t="shared" si="100"/>
        <v>1.683401699249476E-2</v>
      </c>
      <c r="Z47" s="52">
        <f t="shared" si="100"/>
        <v>3.8676688293182826E-2</v>
      </c>
      <c r="AA47" s="51">
        <f t="shared" si="100"/>
        <v>-5.0897330413713027E-2</v>
      </c>
      <c r="AB47" s="51">
        <f t="shared" si="100"/>
        <v>-4.8195958428890684E-2</v>
      </c>
      <c r="AC47" s="51">
        <f t="shared" si="100"/>
        <v>-7.2992327717683159E-2</v>
      </c>
      <c r="AD47" s="51">
        <f t="shared" si="100"/>
        <v>-8.1837414472990422E-2</v>
      </c>
      <c r="AE47" s="52">
        <f t="shared" si="100"/>
        <v>-6.4164458727792084E-2</v>
      </c>
      <c r="AF47" s="51">
        <f t="shared" si="100"/>
        <v>-0.15878427866673372</v>
      </c>
      <c r="AG47" s="51">
        <f t="shared" si="100"/>
        <v>-7.5355745403833718E-2</v>
      </c>
      <c r="AH47" s="51">
        <f t="shared" si="100"/>
        <v>-3.5882473509954105E-2</v>
      </c>
      <c r="AI47" s="51">
        <f t="shared" si="100"/>
        <v>1.8177782761054528E-2</v>
      </c>
      <c r="AJ47" s="52">
        <f t="shared" si="100"/>
        <v>-6.4753645443124785E-2</v>
      </c>
      <c r="AK47" s="51">
        <f t="shared" si="100"/>
        <v>7.3772928568043517E-2</v>
      </c>
      <c r="AL47" s="51">
        <f t="shared" si="100"/>
        <v>4.2048705366020123E-3</v>
      </c>
      <c r="AM47" s="51">
        <f t="shared" si="100"/>
        <v>-9.1472261725076276E-3</v>
      </c>
      <c r="AN47" s="51">
        <f t="shared" si="100"/>
        <v>-3.2741524338432804E-2</v>
      </c>
      <c r="AO47" s="52">
        <f t="shared" si="100"/>
        <v>1.1076634977861932E-2</v>
      </c>
      <c r="AP47" s="51">
        <f t="shared" si="100"/>
        <v>1.3317210960632986E-2</v>
      </c>
      <c r="AQ47" s="51">
        <f t="shared" si="100"/>
        <v>-1.6211364783754956E-2</v>
      </c>
      <c r="AR47" s="51">
        <f t="shared" si="100"/>
        <v>2.4020786104319569E-3</v>
      </c>
      <c r="AS47" s="51">
        <f t="shared" si="100"/>
        <v>4.2074511316358754E-2</v>
      </c>
      <c r="AT47" s="52">
        <f t="shared" si="100"/>
        <v>1.0157845955168776E-2</v>
      </c>
      <c r="AU47" s="51">
        <f t="shared" si="100"/>
        <v>4.4778380045472632E-2</v>
      </c>
      <c r="AV47" s="51">
        <f t="shared" si="100"/>
        <v>6.8721272437201719E-2</v>
      </c>
      <c r="AW47" s="51">
        <f t="shared" si="100"/>
        <v>2.6958476893386818E-2</v>
      </c>
      <c r="AX47" s="51">
        <f t="shared" si="100"/>
        <v>5.8926912767708117E-2</v>
      </c>
      <c r="AY47" s="52">
        <f t="shared" si="100"/>
        <v>4.9652043104480015E-2</v>
      </c>
      <c r="AZ47" s="51">
        <f t="shared" si="100"/>
        <v>5.9460674682983106E-2</v>
      </c>
      <c r="BA47" s="51">
        <f t="shared" si="100"/>
        <v>5.385810430014315E-2</v>
      </c>
      <c r="BB47" s="51">
        <f t="shared" si="100"/>
        <v>9.2462399439697363E-2</v>
      </c>
      <c r="BC47" s="51">
        <f t="shared" si="100"/>
        <v>3.9645129801719747E-3</v>
      </c>
      <c r="BD47" s="52">
        <f t="shared" si="100"/>
        <v>5.1115024366222395E-2</v>
      </c>
      <c r="BE47" s="51">
        <f t="shared" si="100"/>
        <v>-2.8495257171489485E-2</v>
      </c>
      <c r="BF47" s="51">
        <f t="shared" si="100"/>
        <v>-1.4877981764936488E-2</v>
      </c>
      <c r="BG47" s="51">
        <f t="shared" si="100"/>
        <v>-1.1070102933928405E-2</v>
      </c>
      <c r="BH47" s="51">
        <f t="shared" si="100"/>
        <v>4.3762387091899724E-2</v>
      </c>
      <c r="BI47" s="52">
        <f t="shared" si="100"/>
        <v>-1.5393713025185773E-3</v>
      </c>
      <c r="BJ47" s="51">
        <f t="shared" si="100"/>
        <v>3.3363679359095677E-2</v>
      </c>
      <c r="BK47" s="51">
        <f t="shared" si="100"/>
        <v>1.0689034097327577E-2</v>
      </c>
      <c r="BL47" s="51">
        <f t="shared" si="100"/>
        <v>-6.3891480926336897E-3</v>
      </c>
      <c r="BM47" s="51">
        <f t="shared" si="100"/>
        <v>-2.7611154179131736E-2</v>
      </c>
      <c r="BN47" s="52">
        <f t="shared" si="100"/>
        <v>6.7957089126835513E-4</v>
      </c>
      <c r="BO47" s="51">
        <f t="shared" si="100"/>
        <v>2.1974954282031334E-3</v>
      </c>
      <c r="BP47" s="51">
        <f t="shared" si="100"/>
        <v>1.9387057218906989E-3</v>
      </c>
      <c r="BQ47" s="51">
        <f t="shared" si="100"/>
        <v>1.7236775282554184E-3</v>
      </c>
      <c r="BR47" s="51">
        <f t="shared" si="100"/>
        <v>1.8460406188591794E-3</v>
      </c>
      <c r="BS47" s="52">
        <f t="shared" si="101"/>
        <v>1.9201062779834466E-3</v>
      </c>
    </row>
    <row r="48" spans="1:76">
      <c r="F48" s="85"/>
      <c r="K48" s="85"/>
      <c r="P48" s="85"/>
      <c r="U48" s="85"/>
      <c r="Z48" s="85"/>
      <c r="AE48" s="85"/>
      <c r="AJ48" s="85"/>
      <c r="AO48" s="85"/>
      <c r="AT48" s="85"/>
      <c r="AY48" s="85"/>
      <c r="BD48" s="85"/>
      <c r="BI48" s="85"/>
      <c r="BN48" s="85"/>
      <c r="BS48" s="85"/>
    </row>
    <row r="49" spans="1:76">
      <c r="A49" s="92" t="s">
        <v>94</v>
      </c>
      <c r="B49" s="86"/>
      <c r="C49" s="86"/>
      <c r="D49" s="86"/>
      <c r="E49" s="86"/>
      <c r="F49" s="87"/>
      <c r="G49" s="86"/>
      <c r="H49" s="86"/>
      <c r="I49" s="86"/>
      <c r="J49" s="86"/>
      <c r="K49" s="87"/>
      <c r="L49" s="86"/>
      <c r="M49" s="86"/>
      <c r="N49" s="86"/>
      <c r="O49" s="86"/>
      <c r="P49" s="87"/>
      <c r="Q49" s="86"/>
      <c r="R49" s="86"/>
      <c r="S49" s="86"/>
      <c r="T49" s="86"/>
      <c r="U49" s="87"/>
      <c r="V49" s="86"/>
      <c r="W49" s="86"/>
      <c r="X49" s="86"/>
      <c r="Y49" s="86"/>
      <c r="Z49" s="87"/>
      <c r="AA49" s="86"/>
      <c r="AB49" s="86"/>
      <c r="AC49" s="86"/>
      <c r="AD49" s="86"/>
      <c r="AE49" s="87"/>
      <c r="AF49" s="86"/>
      <c r="AG49" s="86"/>
      <c r="AH49" s="86"/>
      <c r="AI49" s="86"/>
      <c r="AJ49" s="87"/>
      <c r="AK49" s="93"/>
      <c r="AL49" s="93"/>
      <c r="AM49" s="86"/>
      <c r="AN49" s="86"/>
      <c r="AO49" s="87"/>
      <c r="AP49" s="86"/>
      <c r="AQ49" s="86"/>
      <c r="AR49" s="86"/>
      <c r="AS49" s="86"/>
      <c r="AT49" s="87"/>
      <c r="AU49" s="86"/>
      <c r="AV49" s="86"/>
      <c r="AW49" s="86"/>
      <c r="AX49" s="86"/>
      <c r="AY49" s="87"/>
      <c r="AZ49" s="86"/>
      <c r="BA49" s="86"/>
      <c r="BB49" s="86"/>
      <c r="BC49" s="86"/>
      <c r="BD49" s="87"/>
      <c r="BE49" s="86"/>
      <c r="BF49" s="86"/>
      <c r="BG49" s="86"/>
      <c r="BH49" s="86"/>
      <c r="BI49" s="87"/>
      <c r="BJ49" s="86"/>
      <c r="BK49" s="86"/>
      <c r="BL49" s="86"/>
      <c r="BM49" s="86"/>
      <c r="BN49" s="87"/>
      <c r="BO49" s="86"/>
      <c r="BP49" s="86"/>
      <c r="BQ49" s="86"/>
      <c r="BR49" s="86"/>
      <c r="BS49" s="87"/>
      <c r="BT49" s="94"/>
      <c r="BU49" s="94"/>
      <c r="BV49" s="94"/>
      <c r="BW49" s="94"/>
      <c r="BX49" s="94"/>
    </row>
    <row r="50" spans="1:76">
      <c r="A50" s="95" t="s">
        <v>95</v>
      </c>
      <c r="B50" s="96" t="s">
        <v>82</v>
      </c>
      <c r="C50" s="96" t="s">
        <v>82</v>
      </c>
      <c r="D50" s="96" t="s">
        <v>82</v>
      </c>
      <c r="E50" s="96" t="s">
        <v>82</v>
      </c>
      <c r="F50" s="97" t="s">
        <v>82</v>
      </c>
      <c r="G50" s="96">
        <f t="shared" ref="G50:BR50" si="102">G17</f>
        <v>0.50053504547886574</v>
      </c>
      <c r="H50" s="96">
        <f t="shared" si="102"/>
        <v>0.37236372017978558</v>
      </c>
      <c r="I50" s="96">
        <f t="shared" si="102"/>
        <v>0.25381175035576353</v>
      </c>
      <c r="J50" s="96">
        <f t="shared" si="102"/>
        <v>0.15107795720960726</v>
      </c>
      <c r="K50" s="97">
        <f t="shared" si="102"/>
        <v>0.29622937941869609</v>
      </c>
      <c r="L50" s="96">
        <f t="shared" si="102"/>
        <v>0.20788019254769119</v>
      </c>
      <c r="M50" s="96">
        <f t="shared" si="102"/>
        <v>0.23236479677527733</v>
      </c>
      <c r="N50" s="96">
        <f t="shared" si="102"/>
        <v>0.50814754762869874</v>
      </c>
      <c r="O50" s="96">
        <f t="shared" si="102"/>
        <v>0.30017091582395672</v>
      </c>
      <c r="P50" s="97">
        <f t="shared" si="102"/>
        <v>0.31476880189079459</v>
      </c>
      <c r="Q50" s="96">
        <f t="shared" si="102"/>
        <v>0.21269372693726929</v>
      </c>
      <c r="R50" s="96">
        <f t="shared" si="102"/>
        <v>0.25424190800681412</v>
      </c>
      <c r="S50" s="96">
        <f t="shared" si="102"/>
        <v>-5.8270171477718846E-2</v>
      </c>
      <c r="T50" s="96">
        <f t="shared" si="102"/>
        <v>7.3341731938434407E-2</v>
      </c>
      <c r="U50" s="97">
        <f t="shared" si="102"/>
        <v>0.10552354613198101</v>
      </c>
      <c r="V50" s="96">
        <f t="shared" si="102"/>
        <v>0.21963242453748788</v>
      </c>
      <c r="W50" s="96">
        <f t="shared" si="102"/>
        <v>0.23606432684994028</v>
      </c>
      <c r="X50" s="96">
        <f t="shared" si="102"/>
        <v>0.33946001484102983</v>
      </c>
      <c r="Y50" s="96">
        <f t="shared" si="102"/>
        <v>0.31404368238415992</v>
      </c>
      <c r="Z50" s="97">
        <f t="shared" si="102"/>
        <v>0.27872361124623057</v>
      </c>
      <c r="AA50" s="96">
        <f t="shared" si="102"/>
        <v>0.473429469587346</v>
      </c>
      <c r="AB50" s="96">
        <f t="shared" si="102"/>
        <v>0.32460111643444245</v>
      </c>
      <c r="AC50" s="96">
        <f t="shared" si="102"/>
        <v>0.3199096565243329</v>
      </c>
      <c r="AD50" s="96">
        <f t="shared" si="102"/>
        <v>0.1545631067961164</v>
      </c>
      <c r="AE50" s="97">
        <f t="shared" si="102"/>
        <v>0.30823406660290398</v>
      </c>
      <c r="AF50" s="96">
        <f t="shared" si="102"/>
        <v>5.394696738799154E-2</v>
      </c>
      <c r="AG50" s="96">
        <f t="shared" si="102"/>
        <v>-0.31298115211043265</v>
      </c>
      <c r="AH50" s="96">
        <f t="shared" si="102"/>
        <v>4.7783553417493074E-3</v>
      </c>
      <c r="AI50" s="96">
        <f t="shared" si="102"/>
        <v>0.16165489404641797</v>
      </c>
      <c r="AJ50" s="97">
        <f t="shared" si="102"/>
        <v>-2.3968164296158334E-2</v>
      </c>
      <c r="AK50" s="96">
        <f t="shared" si="102"/>
        <v>0.17932652143178474</v>
      </c>
      <c r="AL50" s="96">
        <f t="shared" si="102"/>
        <v>1.6615629829984546</v>
      </c>
      <c r="AM50" s="96">
        <f t="shared" si="102"/>
        <v>0.9398476912695608</v>
      </c>
      <c r="AN50" s="96">
        <f t="shared" si="102"/>
        <v>0.94973361130414635</v>
      </c>
      <c r="AO50" s="97">
        <f t="shared" si="102"/>
        <v>0.86847458781270492</v>
      </c>
      <c r="AP50" s="96">
        <f t="shared" si="102"/>
        <v>0.8467972645287849</v>
      </c>
      <c r="AQ50" s="96">
        <f t="shared" si="102"/>
        <v>0.3222756555666455</v>
      </c>
      <c r="AR50" s="96">
        <f t="shared" si="102"/>
        <v>0.25214510518469413</v>
      </c>
      <c r="AS50" s="96">
        <f t="shared" si="102"/>
        <v>0.19248247594154688</v>
      </c>
      <c r="AT50" s="97">
        <f t="shared" si="102"/>
        <v>0.35087511502683166</v>
      </c>
      <c r="AU50" s="96">
        <f t="shared" si="102"/>
        <v>0.2159686056975938</v>
      </c>
      <c r="AV50" s="96">
        <f t="shared" si="102"/>
        <v>0.23959705753184002</v>
      </c>
      <c r="AW50" s="96">
        <f t="shared" si="102"/>
        <v>0.19203090274103096</v>
      </c>
      <c r="AX50" s="96">
        <f t="shared" si="102"/>
        <v>0.22294730811860997</v>
      </c>
      <c r="AY50" s="97">
        <f t="shared" si="102"/>
        <v>0.21756211724714714</v>
      </c>
      <c r="AZ50" s="96">
        <f t="shared" si="102"/>
        <v>0.17497755453641028</v>
      </c>
      <c r="BA50" s="96">
        <f t="shared" si="102"/>
        <v>0.26688957286154014</v>
      </c>
      <c r="BB50" s="96">
        <f t="shared" si="102"/>
        <v>0.28579038487148778</v>
      </c>
      <c r="BC50" s="96">
        <f t="shared" si="102"/>
        <v>0.20807747533070597</v>
      </c>
      <c r="BD50" s="97">
        <f t="shared" si="102"/>
        <v>0.23462890284198079</v>
      </c>
      <c r="BE50" s="96">
        <f t="shared" si="102"/>
        <v>0.18203502540167671</v>
      </c>
      <c r="BF50" s="96">
        <f t="shared" si="102"/>
        <v>0.1375187891075611</v>
      </c>
      <c r="BG50" s="96">
        <f t="shared" si="102"/>
        <v>0.13820127740376309</v>
      </c>
      <c r="BH50" s="96">
        <f t="shared" si="102"/>
        <v>0.18548115179715419</v>
      </c>
      <c r="BI50" s="97">
        <f t="shared" si="102"/>
        <v>0.16013181863048609</v>
      </c>
      <c r="BJ50" s="96">
        <f t="shared" si="102"/>
        <v>0.1379510015462162</v>
      </c>
      <c r="BK50" s="96">
        <f t="shared" si="102"/>
        <v>0.13106761854276128</v>
      </c>
      <c r="BL50" s="96">
        <f t="shared" si="102"/>
        <v>0.10808227675321547</v>
      </c>
      <c r="BM50" s="96">
        <f t="shared" si="102"/>
        <v>9.0500607952444634E-2</v>
      </c>
      <c r="BN50" s="97">
        <f t="shared" si="102"/>
        <v>0.11569795705266417</v>
      </c>
      <c r="BO50" s="96">
        <f t="shared" si="102"/>
        <v>0.10638867646878736</v>
      </c>
      <c r="BP50" s="96">
        <f t="shared" si="102"/>
        <v>0.10745814874408066</v>
      </c>
      <c r="BQ50" s="96">
        <f t="shared" si="102"/>
        <v>0.10892385757385581</v>
      </c>
      <c r="BR50" s="96">
        <f t="shared" si="102"/>
        <v>0.10741393784114184</v>
      </c>
      <c r="BS50" s="97">
        <f t="shared" ref="BS50" si="103">BS17</f>
        <v>0.10757614629836065</v>
      </c>
    </row>
    <row r="51" spans="1:76">
      <c r="A51" s="95" t="s">
        <v>96</v>
      </c>
      <c r="B51" s="96" t="s">
        <v>82</v>
      </c>
      <c r="C51" s="96" t="s">
        <v>82</v>
      </c>
      <c r="D51" s="96" t="s">
        <v>82</v>
      </c>
      <c r="E51" s="96" t="s">
        <v>82</v>
      </c>
      <c r="F51" s="97" t="s">
        <v>82</v>
      </c>
      <c r="G51" s="79">
        <v>0</v>
      </c>
      <c r="H51" s="79">
        <v>0</v>
      </c>
      <c r="I51" s="79">
        <v>0</v>
      </c>
      <c r="J51" s="79">
        <v>0</v>
      </c>
      <c r="K51" s="98">
        <f>SUMPRODUCT(G51:J51,G11:J11)/K11</f>
        <v>0</v>
      </c>
      <c r="L51" s="79">
        <v>0</v>
      </c>
      <c r="M51" s="79">
        <v>0</v>
      </c>
      <c r="N51" s="79">
        <v>0</v>
      </c>
      <c r="O51" s="79">
        <v>0</v>
      </c>
      <c r="P51" s="98">
        <f>SUMPRODUCT(L51:O51,L11:O11)/P11</f>
        <v>0</v>
      </c>
      <c r="Q51" s="79">
        <v>0</v>
      </c>
      <c r="R51" s="79">
        <v>0</v>
      </c>
      <c r="S51" s="79">
        <v>0</v>
      </c>
      <c r="T51" s="79">
        <v>0</v>
      </c>
      <c r="U51" s="98">
        <f>SUMPRODUCT(Q51:T51,Q11:T11)/U11</f>
        <v>0</v>
      </c>
      <c r="V51" s="79">
        <v>0</v>
      </c>
      <c r="W51" s="79">
        <v>0</v>
      </c>
      <c r="X51" s="79">
        <v>0</v>
      </c>
      <c r="Y51" s="79">
        <v>0</v>
      </c>
      <c r="Z51" s="98">
        <f>SUMPRODUCT(V51:Y51,V11:Y11)/Z11</f>
        <v>0</v>
      </c>
      <c r="AA51" s="79">
        <v>0</v>
      </c>
      <c r="AB51" s="79">
        <v>0</v>
      </c>
      <c r="AC51" s="79">
        <v>0</v>
      </c>
      <c r="AD51" s="79">
        <v>0</v>
      </c>
      <c r="AE51" s="98">
        <f>SUMPRODUCT(AA51:AD51,AA11:AD11)/AE11</f>
        <v>0</v>
      </c>
      <c r="AF51" s="79">
        <v>0</v>
      </c>
      <c r="AG51" s="79">
        <v>0</v>
      </c>
      <c r="AH51" s="79">
        <v>0</v>
      </c>
      <c r="AI51" s="79">
        <v>0</v>
      </c>
      <c r="AJ51" s="98">
        <f>SUMPRODUCT(AF51:AI51,AF11:AI11)/AJ11</f>
        <v>0</v>
      </c>
      <c r="AK51" s="79">
        <v>0</v>
      </c>
      <c r="AL51" s="79">
        <v>0</v>
      </c>
      <c r="AM51" s="79">
        <v>0</v>
      </c>
      <c r="AN51" s="79">
        <v>0</v>
      </c>
      <c r="AO51" s="98">
        <f>SUMPRODUCT(AK51:AN51,AK11:AN11)/AO11</f>
        <v>0</v>
      </c>
      <c r="AP51" s="79">
        <v>0</v>
      </c>
      <c r="AQ51" s="79">
        <v>0</v>
      </c>
      <c r="AR51" s="79">
        <v>0</v>
      </c>
      <c r="AS51" s="79">
        <v>0</v>
      </c>
      <c r="AT51" s="98">
        <f>SUMPRODUCT(AP51:AS51,AP11:AS11)/AT11</f>
        <v>0</v>
      </c>
      <c r="AU51" s="79">
        <v>0</v>
      </c>
      <c r="AV51" s="79">
        <v>0</v>
      </c>
      <c r="AW51" s="79">
        <v>0</v>
      </c>
      <c r="AX51" s="79">
        <v>0</v>
      </c>
      <c r="AY51" s="98">
        <f>SUMPRODUCT(AU51:AX51,AU11:AX11)/AY11</f>
        <v>0</v>
      </c>
      <c r="AZ51" s="79">
        <v>0</v>
      </c>
      <c r="BA51" s="79">
        <v>0</v>
      </c>
      <c r="BB51" s="79">
        <v>0</v>
      </c>
      <c r="BC51" s="79">
        <v>0</v>
      </c>
      <c r="BD51" s="98">
        <f>SUMPRODUCT(AZ51:BC51,AZ11:BC11)/BD11</f>
        <v>0</v>
      </c>
      <c r="BE51" s="79">
        <v>0</v>
      </c>
      <c r="BF51" s="79">
        <v>0</v>
      </c>
      <c r="BG51" s="79">
        <v>0</v>
      </c>
      <c r="BH51" s="79">
        <v>0</v>
      </c>
      <c r="BI51" s="98">
        <f>SUMPRODUCT(BE51:BH51,BE11:BH11)/BI11</f>
        <v>0</v>
      </c>
      <c r="BJ51" s="79">
        <v>0</v>
      </c>
      <c r="BK51" s="79">
        <v>0</v>
      </c>
      <c r="BL51" s="79">
        <v>0</v>
      </c>
      <c r="BM51" s="79">
        <v>0</v>
      </c>
      <c r="BN51" s="98">
        <f>SUMPRODUCT(BJ51:BM51,BJ11:BM11)/BN11</f>
        <v>0</v>
      </c>
      <c r="BO51" s="79">
        <v>0</v>
      </c>
      <c r="BP51" s="79">
        <v>0</v>
      </c>
      <c r="BQ51" s="79">
        <v>0</v>
      </c>
      <c r="BR51" s="79">
        <v>0</v>
      </c>
      <c r="BS51" s="98">
        <f>SUMPRODUCT(BO51:BR51,BO11:BR11)/BS11</f>
        <v>0</v>
      </c>
    </row>
    <row r="52" spans="1:76">
      <c r="A52" s="95" t="s">
        <v>97</v>
      </c>
      <c r="B52" s="96" t="s">
        <v>82</v>
      </c>
      <c r="C52" s="96" t="s">
        <v>82</v>
      </c>
      <c r="D52" s="96" t="s">
        <v>82</v>
      </c>
      <c r="E52" s="96" t="s">
        <v>82</v>
      </c>
      <c r="F52" s="97" t="s">
        <v>82</v>
      </c>
      <c r="G52" s="96">
        <f>G50-G51</f>
        <v>0.50053504547886574</v>
      </c>
      <c r="H52" s="96">
        <f t="shared" ref="H52:K52" si="104">H50-H51</f>
        <v>0.37236372017978558</v>
      </c>
      <c r="I52" s="96">
        <f t="shared" si="104"/>
        <v>0.25381175035576353</v>
      </c>
      <c r="J52" s="96">
        <f t="shared" si="104"/>
        <v>0.15107795720960726</v>
      </c>
      <c r="K52" s="97">
        <f t="shared" si="104"/>
        <v>0.29622937941869609</v>
      </c>
      <c r="L52" s="96">
        <f>L50-L51</f>
        <v>0.20788019254769119</v>
      </c>
      <c r="M52" s="96">
        <f t="shared" ref="M52:P52" si="105">M50-M51</f>
        <v>0.23236479677527733</v>
      </c>
      <c r="N52" s="96">
        <f t="shared" si="105"/>
        <v>0.50814754762869874</v>
      </c>
      <c r="O52" s="96">
        <f t="shared" si="105"/>
        <v>0.30017091582395672</v>
      </c>
      <c r="P52" s="97">
        <f t="shared" si="105"/>
        <v>0.31476880189079459</v>
      </c>
      <c r="Q52" s="96">
        <f>Q50-Q51</f>
        <v>0.21269372693726929</v>
      </c>
      <c r="R52" s="96">
        <f t="shared" ref="R52:U52" si="106">R50-R51</f>
        <v>0.25424190800681412</v>
      </c>
      <c r="S52" s="96">
        <f t="shared" si="106"/>
        <v>-5.8270171477718846E-2</v>
      </c>
      <c r="T52" s="96">
        <f t="shared" si="106"/>
        <v>7.3341731938434407E-2</v>
      </c>
      <c r="U52" s="97">
        <f t="shared" si="106"/>
        <v>0.10552354613198101</v>
      </c>
      <c r="V52" s="96">
        <f>V50-V51</f>
        <v>0.21963242453748788</v>
      </c>
      <c r="W52" s="96">
        <f t="shared" ref="W52:Z52" si="107">W50-W51</f>
        <v>0.23606432684994028</v>
      </c>
      <c r="X52" s="96">
        <f t="shared" si="107"/>
        <v>0.33946001484102983</v>
      </c>
      <c r="Y52" s="96">
        <f t="shared" si="107"/>
        <v>0.31404368238415992</v>
      </c>
      <c r="Z52" s="97">
        <f t="shared" si="107"/>
        <v>0.27872361124623057</v>
      </c>
      <c r="AA52" s="96">
        <f>AA50-AA51</f>
        <v>0.473429469587346</v>
      </c>
      <c r="AB52" s="96">
        <f t="shared" ref="AB52:AE52" si="108">AB50-AB51</f>
        <v>0.32460111643444245</v>
      </c>
      <c r="AC52" s="96">
        <f t="shared" si="108"/>
        <v>0.3199096565243329</v>
      </c>
      <c r="AD52" s="96">
        <f t="shared" si="108"/>
        <v>0.1545631067961164</v>
      </c>
      <c r="AE52" s="97">
        <f t="shared" si="108"/>
        <v>0.30823406660290398</v>
      </c>
      <c r="AF52" s="96">
        <f>AF50-AF51</f>
        <v>5.394696738799154E-2</v>
      </c>
      <c r="AG52" s="96">
        <f t="shared" ref="AG52:AJ52" si="109">AG50-AG51</f>
        <v>-0.31298115211043265</v>
      </c>
      <c r="AH52" s="96">
        <f t="shared" si="109"/>
        <v>4.7783553417493074E-3</v>
      </c>
      <c r="AI52" s="96">
        <f t="shared" si="109"/>
        <v>0.16165489404641797</v>
      </c>
      <c r="AJ52" s="97">
        <f t="shared" si="109"/>
        <v>-2.3968164296158334E-2</v>
      </c>
      <c r="AK52" s="96">
        <f>AK50-AK51</f>
        <v>0.17932652143178474</v>
      </c>
      <c r="AL52" s="96">
        <f t="shared" ref="AL52:AO52" si="110">AL50-AL51</f>
        <v>1.6615629829984546</v>
      </c>
      <c r="AM52" s="96">
        <f t="shared" si="110"/>
        <v>0.9398476912695608</v>
      </c>
      <c r="AN52" s="96">
        <f t="shared" si="110"/>
        <v>0.94973361130414635</v>
      </c>
      <c r="AO52" s="97">
        <f t="shared" si="110"/>
        <v>0.86847458781270492</v>
      </c>
      <c r="AP52" s="96">
        <f>AP50-AP51</f>
        <v>0.8467972645287849</v>
      </c>
      <c r="AQ52" s="96">
        <f t="shared" ref="AQ52:AT52" si="111">AQ50-AQ51</f>
        <v>0.3222756555666455</v>
      </c>
      <c r="AR52" s="96">
        <f t="shared" si="111"/>
        <v>0.25214510518469413</v>
      </c>
      <c r="AS52" s="96">
        <f t="shared" si="111"/>
        <v>0.19248247594154688</v>
      </c>
      <c r="AT52" s="97">
        <f t="shared" si="111"/>
        <v>0.35087511502683166</v>
      </c>
      <c r="AU52" s="96">
        <f>AU50-AU51</f>
        <v>0.2159686056975938</v>
      </c>
      <c r="AV52" s="96">
        <f t="shared" ref="AV52:AY52" si="112">AV50-AV51</f>
        <v>0.23959705753184002</v>
      </c>
      <c r="AW52" s="96">
        <f t="shared" si="112"/>
        <v>0.19203090274103096</v>
      </c>
      <c r="AX52" s="96">
        <f t="shared" si="112"/>
        <v>0.22294730811860997</v>
      </c>
      <c r="AY52" s="97">
        <f t="shared" si="112"/>
        <v>0.21756211724714714</v>
      </c>
      <c r="AZ52" s="96">
        <f>AZ50-AZ51</f>
        <v>0.17497755453641028</v>
      </c>
      <c r="BA52" s="96">
        <f t="shared" ref="BA52:BD52" si="113">BA50-BA51</f>
        <v>0.26688957286154014</v>
      </c>
      <c r="BB52" s="96">
        <f t="shared" si="113"/>
        <v>0.28579038487148778</v>
      </c>
      <c r="BC52" s="96">
        <f t="shared" si="113"/>
        <v>0.20807747533070597</v>
      </c>
      <c r="BD52" s="97">
        <f t="shared" si="113"/>
        <v>0.23462890284198079</v>
      </c>
      <c r="BE52" s="96">
        <f>BE50-BE51</f>
        <v>0.18203502540167671</v>
      </c>
      <c r="BF52" s="96">
        <f t="shared" ref="BF52:BI52" si="114">BF50-BF51</f>
        <v>0.1375187891075611</v>
      </c>
      <c r="BG52" s="96">
        <f t="shared" si="114"/>
        <v>0.13820127740376309</v>
      </c>
      <c r="BH52" s="96">
        <f t="shared" si="114"/>
        <v>0.18548115179715419</v>
      </c>
      <c r="BI52" s="97">
        <f t="shared" si="114"/>
        <v>0.16013181863048609</v>
      </c>
      <c r="BJ52" s="96">
        <f>BJ50-BJ51</f>
        <v>0.1379510015462162</v>
      </c>
      <c r="BK52" s="96">
        <f t="shared" ref="BK52:BN52" si="115">BK50-BK51</f>
        <v>0.13106761854276128</v>
      </c>
      <c r="BL52" s="96">
        <f t="shared" si="115"/>
        <v>0.10808227675321547</v>
      </c>
      <c r="BM52" s="96">
        <f t="shared" si="115"/>
        <v>9.0500607952444634E-2</v>
      </c>
      <c r="BN52" s="97">
        <f t="shared" si="115"/>
        <v>0.11569795705266417</v>
      </c>
      <c r="BO52" s="96">
        <f>BO50-BO51</f>
        <v>0.10638867646878736</v>
      </c>
      <c r="BP52" s="96">
        <f t="shared" ref="BP52:BS52" si="116">BP50-BP51</f>
        <v>0.10745814874408066</v>
      </c>
      <c r="BQ52" s="96">
        <f t="shared" si="116"/>
        <v>0.10892385757385581</v>
      </c>
      <c r="BR52" s="96">
        <f t="shared" si="116"/>
        <v>0.10741393784114184</v>
      </c>
      <c r="BS52" s="97">
        <f t="shared" si="116"/>
        <v>0.10757614629836065</v>
      </c>
    </row>
    <row r="53" spans="1:76">
      <c r="A53" s="95" t="s">
        <v>98</v>
      </c>
      <c r="B53" s="96" t="s">
        <v>82</v>
      </c>
      <c r="C53" s="96" t="s">
        <v>82</v>
      </c>
      <c r="D53" s="96" t="s">
        <v>82</v>
      </c>
      <c r="E53" s="96" t="s">
        <v>82</v>
      </c>
      <c r="F53" s="97" t="s">
        <v>82</v>
      </c>
      <c r="G53" s="79">
        <v>0</v>
      </c>
      <c r="H53" s="79">
        <v>0</v>
      </c>
      <c r="I53" s="79">
        <v>0</v>
      </c>
      <c r="J53" s="79">
        <v>0</v>
      </c>
      <c r="K53" s="98">
        <f>SUMPRODUCT(G53:J53,G11:J11)/K11</f>
        <v>0</v>
      </c>
      <c r="L53" s="79">
        <v>0</v>
      </c>
      <c r="M53" s="79">
        <v>0</v>
      </c>
      <c r="N53" s="79">
        <v>0</v>
      </c>
      <c r="O53" s="79">
        <v>0</v>
      </c>
      <c r="P53" s="98">
        <f>SUMPRODUCT(L53:O53,L11:O11)/P11</f>
        <v>0</v>
      </c>
      <c r="Q53" s="79">
        <v>0</v>
      </c>
      <c r="R53" s="79">
        <v>0</v>
      </c>
      <c r="S53" s="79">
        <v>0</v>
      </c>
      <c r="T53" s="79">
        <v>0</v>
      </c>
      <c r="U53" s="98">
        <f>SUMPRODUCT(Q53:T53,Q11:T11)/U11</f>
        <v>0</v>
      </c>
      <c r="V53" s="79">
        <v>0</v>
      </c>
      <c r="W53" s="79">
        <v>0</v>
      </c>
      <c r="X53" s="79">
        <v>0</v>
      </c>
      <c r="Y53" s="79">
        <v>0</v>
      </c>
      <c r="Z53" s="98">
        <f>SUMPRODUCT(V53:Y53,V11:Y11)/Z11</f>
        <v>0</v>
      </c>
      <c r="AA53" s="79">
        <v>0</v>
      </c>
      <c r="AB53" s="79">
        <v>0</v>
      </c>
      <c r="AC53" s="79">
        <v>0</v>
      </c>
      <c r="AD53" s="79">
        <v>0</v>
      </c>
      <c r="AE53" s="98">
        <f>SUMPRODUCT(AA53:AD53,AA11:AD11)/AE11</f>
        <v>0</v>
      </c>
      <c r="AF53" s="79">
        <v>0</v>
      </c>
      <c r="AG53" s="79">
        <v>0</v>
      </c>
      <c r="AH53" s="79">
        <v>0</v>
      </c>
      <c r="AI53" s="79">
        <v>0</v>
      </c>
      <c r="AJ53" s="98">
        <f>SUMPRODUCT(AF53:AI53,AF11:AI11)/AJ11</f>
        <v>0</v>
      </c>
      <c r="AK53" s="79">
        <f>3.8/AF11</f>
        <v>0.1221001221001221</v>
      </c>
      <c r="AL53" s="79">
        <f>18.5/AG11</f>
        <v>0.89354714064914986</v>
      </c>
      <c r="AM53" s="79">
        <f>(20.3+4.7)/AH11</f>
        <v>0.80331608881462668</v>
      </c>
      <c r="AN53" s="79">
        <f>(20.2+7+4)/AI11</f>
        <v>0.90340514246004167</v>
      </c>
      <c r="AO53" s="98">
        <f>SUMPRODUCT(AK53:AN53,AF11:AI11)/AJ11</f>
        <v>0.66818177949150093</v>
      </c>
      <c r="AP53" s="79">
        <f>(20+7.6)/AK11</f>
        <v>0.7519821268016238</v>
      </c>
      <c r="AQ53" s="79">
        <f>8.4/AL11</f>
        <v>0.15243625805280828</v>
      </c>
      <c r="AR53" s="49">
        <f>2.6/AM11</f>
        <v>4.3067748881894977E-2</v>
      </c>
      <c r="AS53" s="79">
        <v>0</v>
      </c>
      <c r="AT53" s="98">
        <f>SUMPRODUCT(AP53:AS53,AK11:AN11)/AO11</f>
        <v>0.17584299862423353</v>
      </c>
      <c r="AU53" s="79">
        <v>0</v>
      </c>
      <c r="AV53" s="79">
        <v>0</v>
      </c>
      <c r="AW53" s="79">
        <v>0</v>
      </c>
      <c r="AX53" s="79">
        <v>0</v>
      </c>
      <c r="AY53" s="98">
        <f>SUMPRODUCT(AU53:AX53,AP11:AS11)/AT11</f>
        <v>0</v>
      </c>
      <c r="AZ53" s="79">
        <v>0</v>
      </c>
      <c r="BA53" s="79">
        <v>0</v>
      </c>
      <c r="BB53" s="79">
        <v>0</v>
      </c>
      <c r="BC53" s="79">
        <v>0</v>
      </c>
      <c r="BD53" s="98">
        <f>SUMPRODUCT(AZ53:BC53,AU11:AX11)/AY11</f>
        <v>0</v>
      </c>
      <c r="BE53" s="79">
        <v>0</v>
      </c>
      <c r="BF53" s="79">
        <v>0</v>
      </c>
      <c r="BG53" s="79">
        <v>0</v>
      </c>
      <c r="BH53" s="79">
        <v>0</v>
      </c>
      <c r="BI53" s="98">
        <f>SUMPRODUCT(BE53:BH53,AZ11:BC11)/BD11</f>
        <v>0</v>
      </c>
      <c r="BJ53" s="79">
        <v>0</v>
      </c>
      <c r="BK53" s="79">
        <v>0</v>
      </c>
      <c r="BL53" s="79">
        <v>0</v>
      </c>
      <c r="BM53" s="79">
        <v>0</v>
      </c>
      <c r="BN53" s="98">
        <f>SUMPRODUCT(BJ53:BM53,BE11:BH11)/BI11</f>
        <v>0</v>
      </c>
      <c r="BO53" s="79">
        <v>0</v>
      </c>
      <c r="BP53" s="79">
        <v>0</v>
      </c>
      <c r="BQ53" s="79">
        <v>0</v>
      </c>
      <c r="BR53" s="79">
        <v>0</v>
      </c>
      <c r="BS53" s="98">
        <f>SUMPRODUCT(BO53:BR53,BJ11:BM11)/BN11</f>
        <v>0</v>
      </c>
    </row>
    <row r="54" spans="1:76">
      <c r="A54" s="99" t="s">
        <v>99</v>
      </c>
      <c r="B54" s="100" t="s">
        <v>82</v>
      </c>
      <c r="C54" s="100" t="s">
        <v>82</v>
      </c>
      <c r="D54" s="100" t="s">
        <v>82</v>
      </c>
      <c r="E54" s="100" t="s">
        <v>82</v>
      </c>
      <c r="F54" s="101" t="s">
        <v>82</v>
      </c>
      <c r="G54" s="102">
        <f t="shared" ref="G54:BR54" si="117">G52-G53</f>
        <v>0.50053504547886574</v>
      </c>
      <c r="H54" s="102">
        <f t="shared" si="117"/>
        <v>0.37236372017978558</v>
      </c>
      <c r="I54" s="102">
        <f t="shared" si="117"/>
        <v>0.25381175035576353</v>
      </c>
      <c r="J54" s="102">
        <f t="shared" si="117"/>
        <v>0.15107795720960726</v>
      </c>
      <c r="K54" s="103">
        <f t="shared" si="117"/>
        <v>0.29622937941869609</v>
      </c>
      <c r="L54" s="102">
        <f t="shared" si="117"/>
        <v>0.20788019254769119</v>
      </c>
      <c r="M54" s="102">
        <f t="shared" si="117"/>
        <v>0.23236479677527733</v>
      </c>
      <c r="N54" s="102">
        <f t="shared" si="117"/>
        <v>0.50814754762869874</v>
      </c>
      <c r="O54" s="102">
        <f t="shared" si="117"/>
        <v>0.30017091582395672</v>
      </c>
      <c r="P54" s="103">
        <f t="shared" si="117"/>
        <v>0.31476880189079459</v>
      </c>
      <c r="Q54" s="102">
        <f t="shared" si="117"/>
        <v>0.21269372693726929</v>
      </c>
      <c r="R54" s="102">
        <f t="shared" si="117"/>
        <v>0.25424190800681412</v>
      </c>
      <c r="S54" s="102">
        <f t="shared" si="117"/>
        <v>-5.8270171477718846E-2</v>
      </c>
      <c r="T54" s="102">
        <f t="shared" si="117"/>
        <v>7.3341731938434407E-2</v>
      </c>
      <c r="U54" s="103">
        <f t="shared" si="117"/>
        <v>0.10552354613198101</v>
      </c>
      <c r="V54" s="102">
        <f t="shared" si="117"/>
        <v>0.21963242453748788</v>
      </c>
      <c r="W54" s="102">
        <f t="shared" si="117"/>
        <v>0.23606432684994028</v>
      </c>
      <c r="X54" s="102">
        <f t="shared" si="117"/>
        <v>0.33946001484102983</v>
      </c>
      <c r="Y54" s="102">
        <f t="shared" si="117"/>
        <v>0.31404368238415992</v>
      </c>
      <c r="Z54" s="103">
        <f t="shared" si="117"/>
        <v>0.27872361124623057</v>
      </c>
      <c r="AA54" s="102">
        <f t="shared" si="117"/>
        <v>0.473429469587346</v>
      </c>
      <c r="AB54" s="102">
        <f t="shared" si="117"/>
        <v>0.32460111643444245</v>
      </c>
      <c r="AC54" s="102">
        <f t="shared" si="117"/>
        <v>0.3199096565243329</v>
      </c>
      <c r="AD54" s="102">
        <f t="shared" si="117"/>
        <v>0.1545631067961164</v>
      </c>
      <c r="AE54" s="103">
        <f t="shared" si="117"/>
        <v>0.30823406660290398</v>
      </c>
      <c r="AF54" s="102">
        <f t="shared" si="117"/>
        <v>5.394696738799154E-2</v>
      </c>
      <c r="AG54" s="102">
        <f t="shared" si="117"/>
        <v>-0.31298115211043265</v>
      </c>
      <c r="AH54" s="102">
        <f t="shared" si="117"/>
        <v>4.7783553417493074E-3</v>
      </c>
      <c r="AI54" s="102">
        <f t="shared" si="117"/>
        <v>0.16165489404641797</v>
      </c>
      <c r="AJ54" s="103">
        <f t="shared" si="117"/>
        <v>-2.3968164296158334E-2</v>
      </c>
      <c r="AK54" s="102">
        <f t="shared" si="117"/>
        <v>5.7226399331662639E-2</v>
      </c>
      <c r="AL54" s="102">
        <f t="shared" si="117"/>
        <v>0.76801584234930476</v>
      </c>
      <c r="AM54" s="102">
        <f t="shared" si="117"/>
        <v>0.13653160245493412</v>
      </c>
      <c r="AN54" s="102">
        <f t="shared" si="117"/>
        <v>4.6328468844104687E-2</v>
      </c>
      <c r="AO54" s="103">
        <f t="shared" si="117"/>
        <v>0.200292808321204</v>
      </c>
      <c r="AP54" s="102">
        <f t="shared" si="117"/>
        <v>9.4815137727161103E-2</v>
      </c>
      <c r="AQ54" s="102">
        <f t="shared" si="117"/>
        <v>0.16983939751383723</v>
      </c>
      <c r="AR54" s="102">
        <f t="shared" si="117"/>
        <v>0.20907735630279917</v>
      </c>
      <c r="AS54" s="102">
        <f t="shared" si="117"/>
        <v>0.19248247594154688</v>
      </c>
      <c r="AT54" s="103">
        <f t="shared" si="117"/>
        <v>0.17503211640259814</v>
      </c>
      <c r="AU54" s="102">
        <f t="shared" si="117"/>
        <v>0.2159686056975938</v>
      </c>
      <c r="AV54" s="102">
        <f t="shared" si="117"/>
        <v>0.23959705753184002</v>
      </c>
      <c r="AW54" s="102">
        <f t="shared" si="117"/>
        <v>0.19203090274103096</v>
      </c>
      <c r="AX54" s="102">
        <f t="shared" si="117"/>
        <v>0.22294730811860997</v>
      </c>
      <c r="AY54" s="103">
        <f t="shared" si="117"/>
        <v>0.21756211724714714</v>
      </c>
      <c r="AZ54" s="102">
        <f t="shared" si="117"/>
        <v>0.17497755453641028</v>
      </c>
      <c r="BA54" s="102">
        <f t="shared" si="117"/>
        <v>0.26688957286154014</v>
      </c>
      <c r="BB54" s="102">
        <f t="shared" si="117"/>
        <v>0.28579038487148778</v>
      </c>
      <c r="BC54" s="102">
        <f t="shared" si="117"/>
        <v>0.20807747533070597</v>
      </c>
      <c r="BD54" s="103">
        <f t="shared" si="117"/>
        <v>0.23462890284198079</v>
      </c>
      <c r="BE54" s="102">
        <f t="shared" si="117"/>
        <v>0.18203502540167671</v>
      </c>
      <c r="BF54" s="102">
        <f t="shared" si="117"/>
        <v>0.1375187891075611</v>
      </c>
      <c r="BG54" s="102">
        <f t="shared" si="117"/>
        <v>0.13820127740376309</v>
      </c>
      <c r="BH54" s="102">
        <f t="shared" si="117"/>
        <v>0.18548115179715419</v>
      </c>
      <c r="BI54" s="103">
        <f t="shared" si="117"/>
        <v>0.16013181863048609</v>
      </c>
      <c r="BJ54" s="102">
        <f t="shared" si="117"/>
        <v>0.1379510015462162</v>
      </c>
      <c r="BK54" s="102">
        <f t="shared" si="117"/>
        <v>0.13106761854276128</v>
      </c>
      <c r="BL54" s="102">
        <f t="shared" si="117"/>
        <v>0.10808227675321547</v>
      </c>
      <c r="BM54" s="102">
        <f t="shared" si="117"/>
        <v>9.0500607952444634E-2</v>
      </c>
      <c r="BN54" s="103">
        <f t="shared" si="117"/>
        <v>0.11569795705266417</v>
      </c>
      <c r="BO54" s="102">
        <f t="shared" si="117"/>
        <v>0.10638867646878736</v>
      </c>
      <c r="BP54" s="102">
        <f t="shared" si="117"/>
        <v>0.10745814874408066</v>
      </c>
      <c r="BQ54" s="102">
        <f t="shared" si="117"/>
        <v>0.10892385757385581</v>
      </c>
      <c r="BR54" s="102">
        <f t="shared" si="117"/>
        <v>0.10741393784114184</v>
      </c>
      <c r="BS54" s="103">
        <f t="shared" ref="BS54" si="118">BS52-BS53</f>
        <v>0.10757614629836065</v>
      </c>
    </row>
    <row r="55" spans="1:76">
      <c r="A55" s="104" t="s">
        <v>100</v>
      </c>
    </row>
    <row r="56" spans="1:76">
      <c r="AK56" s="105"/>
      <c r="AL56" s="105"/>
      <c r="AM56" s="106"/>
      <c r="AN56" s="106"/>
      <c r="AP56" s="106"/>
      <c r="AR56" s="24"/>
      <c r="AT56" s="24"/>
    </row>
    <row r="57" spans="1:76"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6"/>
      <c r="AZ57" s="6"/>
      <c r="BE57" s="6"/>
      <c r="BJ57" s="6"/>
      <c r="BO57" s="6"/>
    </row>
    <row r="58" spans="1:76">
      <c r="AM58" s="106"/>
      <c r="AN58" s="106"/>
      <c r="AP58" s="106"/>
      <c r="AQ58" s="24"/>
      <c r="AR58" s="106"/>
    </row>
    <row r="59" spans="1:76">
      <c r="AK59" s="106"/>
      <c r="AL59" s="106"/>
      <c r="AM59" s="106"/>
      <c r="AN59" s="106"/>
      <c r="AO59" s="106"/>
      <c r="AT59" s="106"/>
      <c r="AU59" s="6"/>
      <c r="AZ59" s="6"/>
      <c r="BE59" s="6"/>
      <c r="BJ59" s="6"/>
      <c r="BO59" s="6"/>
    </row>
    <row r="60" spans="1:76"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</row>
    <row r="61" spans="1:76">
      <c r="AT61" s="107"/>
    </row>
    <row r="63" spans="1:76">
      <c r="AO63" s="24"/>
      <c r="AT63" s="24"/>
    </row>
  </sheetData>
  <pageMargins left="0.7" right="0.7" top="0.75" bottom="0.75" header="0.3" footer="0.3"/>
  <pageSetup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8A87-DE1C-4123-A900-906C4D8A90F5}">
  <sheetPr>
    <pageSetUpPr fitToPage="1"/>
  </sheetPr>
  <dimension ref="A1:BZ88"/>
  <sheetViews>
    <sheetView showGridLines="0" zoomScaleNormal="100" workbookViewId="0">
      <pane xSplit="1" ySplit="6" topLeftCell="B25" activePane="bottomRight" state="frozen"/>
      <selection activeCell="BF82" activeCellId="1" sqref="BU68 BF82"/>
      <selection pane="topRight" activeCell="BF82" activeCellId="1" sqref="BU68 BF82"/>
      <selection pane="bottomLeft" activeCell="BF82" activeCellId="1" sqref="BU68 BF82"/>
      <selection pane="bottomRight" activeCell="BJ66" sqref="BJ66"/>
    </sheetView>
  </sheetViews>
  <sheetFormatPr defaultColWidth="9.140625" defaultRowHeight="12.75" outlineLevelRow="1" outlineLevelCol="1"/>
  <cols>
    <col min="1" max="1" width="30.7109375" style="4" customWidth="1"/>
    <col min="2" max="40" width="8.7109375" style="2" hidden="1" customWidth="1" outlineLevel="1"/>
    <col min="41" max="41" width="8.7109375" style="2" customWidth="1" collapsed="1"/>
    <col min="42" max="45" width="8.7109375" style="2" hidden="1" customWidth="1" outlineLevel="1"/>
    <col min="46" max="46" width="8.7109375" style="2" customWidth="1" collapsed="1"/>
    <col min="47" max="50" width="8.7109375" style="2" hidden="1" customWidth="1" outlineLevel="1"/>
    <col min="51" max="51" width="8.7109375" style="2" customWidth="1" collapsed="1"/>
    <col min="52" max="55" width="8.7109375" style="2" hidden="1" customWidth="1" outlineLevel="1"/>
    <col min="56" max="56" width="8.7109375" style="2" customWidth="1" collapsed="1"/>
    <col min="57" max="60" width="8.7109375" style="2" customWidth="1" outlineLevel="1"/>
    <col min="61" max="61" width="8.7109375" style="2" customWidth="1"/>
    <col min="62" max="65" width="8.7109375" style="2" customWidth="1" outlineLevel="1"/>
    <col min="66" max="66" width="8.7109375" style="2" customWidth="1"/>
    <col min="67" max="70" width="8.7109375" style="2" hidden="1" customWidth="1" outlineLevel="1"/>
    <col min="71" max="71" width="8.7109375" style="2" customWidth="1" collapsed="1"/>
    <col min="72" max="72" width="9.140625" style="4" customWidth="1"/>
    <col min="73" max="16384" width="9.140625" style="4"/>
  </cols>
  <sheetData>
    <row r="1" spans="1:75" ht="22.5">
      <c r="A1" s="1" t="s">
        <v>0</v>
      </c>
      <c r="AY1" s="3"/>
      <c r="BD1" s="3"/>
      <c r="BI1" s="3"/>
      <c r="BN1" s="3"/>
      <c r="BS1" s="3" t="s">
        <v>1</v>
      </c>
    </row>
    <row r="2" spans="1:75" ht="15.75">
      <c r="A2" s="5" t="s">
        <v>101</v>
      </c>
      <c r="AY2" s="7"/>
      <c r="BD2" s="7"/>
      <c r="BI2" s="7"/>
      <c r="BN2" s="7"/>
      <c r="BS2" s="7" t="s">
        <v>3</v>
      </c>
    </row>
    <row r="3" spans="1:75" ht="15.75">
      <c r="A3" s="8" t="s">
        <v>102</v>
      </c>
      <c r="AH3" s="108" t="s">
        <v>103</v>
      </c>
      <c r="AI3" s="109">
        <v>-0.11</v>
      </c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10"/>
      <c r="AV3" s="110"/>
      <c r="AW3" s="110"/>
      <c r="AX3" s="110"/>
      <c r="AY3" s="109"/>
      <c r="AZ3" s="110"/>
      <c r="BA3" s="110"/>
      <c r="BB3" s="110"/>
      <c r="BC3" s="110"/>
      <c r="BD3" s="109"/>
      <c r="BE3" s="110"/>
      <c r="BF3" s="110"/>
      <c r="BG3" s="110"/>
      <c r="BH3" s="110"/>
      <c r="BI3" s="109"/>
      <c r="BJ3" s="110"/>
      <c r="BK3" s="110"/>
      <c r="BL3" s="110"/>
      <c r="BM3" s="110"/>
      <c r="BN3" s="109"/>
      <c r="BO3" s="110"/>
      <c r="BP3" s="110"/>
      <c r="BQ3" s="110"/>
      <c r="BR3" s="110"/>
      <c r="BS3" s="109"/>
    </row>
    <row r="4" spans="1:75" ht="13.5" thickBot="1">
      <c r="A4" s="9"/>
      <c r="B4" s="111"/>
      <c r="C4" s="112"/>
      <c r="G4" s="111"/>
      <c r="H4" s="112"/>
      <c r="I4" s="111"/>
      <c r="L4" s="111"/>
      <c r="M4" s="112"/>
      <c r="Q4" s="112"/>
      <c r="R4" s="112"/>
      <c r="V4" s="111"/>
      <c r="W4" s="112"/>
      <c r="AA4" s="111"/>
      <c r="AB4" s="113"/>
      <c r="AF4" s="111"/>
      <c r="AG4" s="112"/>
      <c r="AH4" s="4"/>
      <c r="AI4" s="114"/>
      <c r="AJ4" s="114"/>
      <c r="AK4" s="108"/>
      <c r="AL4" s="115"/>
      <c r="AM4" s="115"/>
      <c r="AN4" s="115"/>
      <c r="AO4" s="115"/>
      <c r="AP4" s="115"/>
      <c r="AQ4" s="115"/>
      <c r="AR4" s="115"/>
      <c r="AS4" s="115"/>
      <c r="AT4" s="115"/>
      <c r="AU4" s="116"/>
      <c r="AV4" s="117"/>
      <c r="AW4" s="110"/>
      <c r="AX4" s="110"/>
      <c r="AY4" s="115"/>
      <c r="AZ4" s="116"/>
      <c r="BA4" s="117"/>
      <c r="BB4" s="110"/>
      <c r="BC4" s="110"/>
      <c r="BD4" s="115"/>
      <c r="BE4" s="116"/>
      <c r="BF4" s="117"/>
      <c r="BG4" s="110"/>
      <c r="BH4" s="110"/>
      <c r="BI4" s="115"/>
      <c r="BJ4" s="116"/>
      <c r="BK4" s="117"/>
      <c r="BL4" s="110"/>
      <c r="BM4" s="110"/>
      <c r="BN4" s="115"/>
      <c r="BO4" s="116"/>
      <c r="BP4" s="117"/>
      <c r="BQ4" s="110"/>
      <c r="BR4" s="110"/>
      <c r="BS4" s="115"/>
    </row>
    <row r="5" spans="1:75">
      <c r="A5" s="118"/>
      <c r="B5" s="12">
        <f>'Revenue Model'!B5</f>
        <v>41699</v>
      </c>
      <c r="C5" s="12">
        <f>'Revenue Model'!C5</f>
        <v>41791</v>
      </c>
      <c r="D5" s="12">
        <f>'Revenue Model'!D5</f>
        <v>41883</v>
      </c>
      <c r="E5" s="12">
        <f>'Revenue Model'!E5</f>
        <v>41974</v>
      </c>
      <c r="F5" s="13" t="str">
        <f>'Revenue Model'!F5</f>
        <v>2014</v>
      </c>
      <c r="G5" s="12">
        <f>'Revenue Model'!G5</f>
        <v>42064</v>
      </c>
      <c r="H5" s="12">
        <f>'Revenue Model'!H5</f>
        <v>42156</v>
      </c>
      <c r="I5" s="12">
        <f>'Revenue Model'!I5</f>
        <v>42248</v>
      </c>
      <c r="J5" s="12">
        <f>'Revenue Model'!J5</f>
        <v>42339</v>
      </c>
      <c r="K5" s="13" t="str">
        <f>'Revenue Model'!K5</f>
        <v>2015</v>
      </c>
      <c r="L5" s="12">
        <f>'Revenue Model'!L5</f>
        <v>42430</v>
      </c>
      <c r="M5" s="12">
        <f>'Revenue Model'!M5</f>
        <v>42522</v>
      </c>
      <c r="N5" s="12">
        <f>'Revenue Model'!N5</f>
        <v>42614</v>
      </c>
      <c r="O5" s="12">
        <f>'Revenue Model'!O5</f>
        <v>42705</v>
      </c>
      <c r="P5" s="13" t="str">
        <f>'Revenue Model'!P5</f>
        <v>2016</v>
      </c>
      <c r="Q5" s="12">
        <f>'Revenue Model'!Q5</f>
        <v>42795</v>
      </c>
      <c r="R5" s="12">
        <f>'Revenue Model'!R5</f>
        <v>42887</v>
      </c>
      <c r="S5" s="12">
        <f>'Revenue Model'!S5</f>
        <v>42979</v>
      </c>
      <c r="T5" s="12">
        <f>'Revenue Model'!T5</f>
        <v>43070</v>
      </c>
      <c r="U5" s="13" t="str">
        <f>'Revenue Model'!U5</f>
        <v>2017</v>
      </c>
      <c r="V5" s="12">
        <f>'Revenue Model'!V5</f>
        <v>43160</v>
      </c>
      <c r="W5" s="12">
        <f>'Revenue Model'!W5</f>
        <v>43252</v>
      </c>
      <c r="X5" s="12">
        <f>'Revenue Model'!X5</f>
        <v>43344</v>
      </c>
      <c r="Y5" s="12">
        <f>'Revenue Model'!Y5</f>
        <v>43435</v>
      </c>
      <c r="Z5" s="13" t="str">
        <f>'Revenue Model'!Z5</f>
        <v>2018</v>
      </c>
      <c r="AA5" s="12">
        <f>'Revenue Model'!AA5</f>
        <v>43525</v>
      </c>
      <c r="AB5" s="12">
        <f>'Revenue Model'!AB5</f>
        <v>43617</v>
      </c>
      <c r="AC5" s="12">
        <f>'Revenue Model'!AC5</f>
        <v>43709</v>
      </c>
      <c r="AD5" s="12">
        <f>'Revenue Model'!AD5</f>
        <v>43800</v>
      </c>
      <c r="AE5" s="13" t="str">
        <f>'Revenue Model'!AE5</f>
        <v>2019</v>
      </c>
      <c r="AF5" s="12">
        <f>'Revenue Model'!AF5</f>
        <v>43891</v>
      </c>
      <c r="AG5" s="12">
        <f>'Revenue Model'!AG5</f>
        <v>43983</v>
      </c>
      <c r="AH5" s="12">
        <f>'Revenue Model'!AH5</f>
        <v>44075</v>
      </c>
      <c r="AI5" s="12">
        <f>'Revenue Model'!AI5</f>
        <v>44166</v>
      </c>
      <c r="AJ5" s="13" t="str">
        <f>'Revenue Model'!AJ5</f>
        <v>2020</v>
      </c>
      <c r="AK5" s="12">
        <f>'Revenue Model'!AK5</f>
        <v>44256</v>
      </c>
      <c r="AL5" s="12">
        <f>'Revenue Model'!AL5</f>
        <v>44348</v>
      </c>
      <c r="AM5" s="12">
        <f>'Revenue Model'!AM5</f>
        <v>44440</v>
      </c>
      <c r="AN5" s="12">
        <f>'Revenue Model'!AN5</f>
        <v>44531</v>
      </c>
      <c r="AO5" s="13" t="str">
        <f>'Revenue Model'!AO5</f>
        <v>2021</v>
      </c>
      <c r="AP5" s="12">
        <f>'Revenue Model'!AP5</f>
        <v>44621</v>
      </c>
      <c r="AQ5" s="12">
        <f>'Revenue Model'!AQ5</f>
        <v>44713</v>
      </c>
      <c r="AR5" s="12">
        <f>'Revenue Model'!AR5</f>
        <v>44805</v>
      </c>
      <c r="AS5" s="12">
        <f>'Revenue Model'!AS5</f>
        <v>44896</v>
      </c>
      <c r="AT5" s="13" t="str">
        <f>'Revenue Model'!AT5</f>
        <v>2022</v>
      </c>
      <c r="AU5" s="12">
        <f>'Revenue Model'!AU5</f>
        <v>44986</v>
      </c>
      <c r="AV5" s="12">
        <f>'Revenue Model'!AV5</f>
        <v>45078</v>
      </c>
      <c r="AW5" s="12">
        <f>'Revenue Model'!AW5</f>
        <v>45170</v>
      </c>
      <c r="AX5" s="12">
        <f>'Revenue Model'!AX5</f>
        <v>45261</v>
      </c>
      <c r="AY5" s="13" t="str">
        <f>'Revenue Model'!AY5</f>
        <v>2023</v>
      </c>
      <c r="AZ5" s="12">
        <f>'Revenue Model'!AZ5</f>
        <v>45352</v>
      </c>
      <c r="BA5" s="12">
        <f>'Revenue Model'!BA5</f>
        <v>45444</v>
      </c>
      <c r="BB5" s="12">
        <f>'Revenue Model'!BB5</f>
        <v>45536</v>
      </c>
      <c r="BC5" s="12">
        <f>'Revenue Model'!BC5</f>
        <v>45627</v>
      </c>
      <c r="BD5" s="13" t="str">
        <f>'Revenue Model'!BD5</f>
        <v>2024</v>
      </c>
      <c r="BE5" s="12">
        <f>'Revenue Model'!BE5</f>
        <v>45717</v>
      </c>
      <c r="BF5" s="12">
        <f>'Revenue Model'!BF5</f>
        <v>45809</v>
      </c>
      <c r="BG5" s="12">
        <f>'Revenue Model'!BG5</f>
        <v>45901</v>
      </c>
      <c r="BH5" s="12">
        <f>'Revenue Model'!BH5</f>
        <v>45992</v>
      </c>
      <c r="BI5" s="13" t="str">
        <f>'Revenue Model'!BI5</f>
        <v>2025</v>
      </c>
      <c r="BJ5" s="12">
        <f>'Revenue Model'!BJ5</f>
        <v>46082</v>
      </c>
      <c r="BK5" s="12">
        <f>'Revenue Model'!BK5</f>
        <v>46174</v>
      </c>
      <c r="BL5" s="12">
        <f>'Revenue Model'!BL5</f>
        <v>46266</v>
      </c>
      <c r="BM5" s="12">
        <f>'Revenue Model'!BM5</f>
        <v>46357</v>
      </c>
      <c r="BN5" s="13" t="str">
        <f>'Revenue Model'!BN5</f>
        <v>2026E</v>
      </c>
      <c r="BO5" s="12">
        <f>'Revenue Model'!BO5</f>
        <v>46447</v>
      </c>
      <c r="BP5" s="12">
        <f>'Revenue Model'!BP5</f>
        <v>46539</v>
      </c>
      <c r="BQ5" s="12">
        <f>'Revenue Model'!BQ5</f>
        <v>46631</v>
      </c>
      <c r="BR5" s="12">
        <f>'Revenue Model'!BR5</f>
        <v>46722</v>
      </c>
      <c r="BS5" s="13" t="str">
        <f>'Revenue Model'!BS5</f>
        <v>2027E</v>
      </c>
    </row>
    <row r="6" spans="1:75">
      <c r="A6" s="119"/>
      <c r="B6" s="14" t="str">
        <f>'Revenue Model'!B6</f>
        <v>Q114A</v>
      </c>
      <c r="C6" s="14" t="str">
        <f>'Revenue Model'!C6</f>
        <v>Q214A</v>
      </c>
      <c r="D6" s="14" t="str">
        <f>'Revenue Model'!D6</f>
        <v>Q314A</v>
      </c>
      <c r="E6" s="14" t="str">
        <f>'Revenue Model'!E6</f>
        <v>Q414A</v>
      </c>
      <c r="F6" s="15" t="str">
        <f>'Revenue Model'!F6</f>
        <v>Annual</v>
      </c>
      <c r="G6" s="14" t="str">
        <f>'Revenue Model'!G6</f>
        <v>Q115A</v>
      </c>
      <c r="H6" s="14" t="str">
        <f>'Revenue Model'!H6</f>
        <v>Q215A</v>
      </c>
      <c r="I6" s="14" t="str">
        <f>'Revenue Model'!I6</f>
        <v>Q315A</v>
      </c>
      <c r="J6" s="14" t="str">
        <f>'Revenue Model'!J6</f>
        <v>Q415A</v>
      </c>
      <c r="K6" s="15" t="str">
        <f>'Revenue Model'!K6</f>
        <v>Annual</v>
      </c>
      <c r="L6" s="14" t="str">
        <f>'Revenue Model'!L6</f>
        <v>Q116A</v>
      </c>
      <c r="M6" s="14" t="str">
        <f>'Revenue Model'!M6</f>
        <v>Q216A</v>
      </c>
      <c r="N6" s="14" t="str">
        <f>'Revenue Model'!N6</f>
        <v>Q316A</v>
      </c>
      <c r="O6" s="14" t="str">
        <f>'Revenue Model'!O6</f>
        <v>Q416A</v>
      </c>
      <c r="P6" s="15" t="str">
        <f>'Revenue Model'!P6</f>
        <v>Annual</v>
      </c>
      <c r="Q6" s="14" t="str">
        <f>'Revenue Model'!Q6</f>
        <v>Q117A</v>
      </c>
      <c r="R6" s="14" t="str">
        <f>'Revenue Model'!R6</f>
        <v>Q217A</v>
      </c>
      <c r="S6" s="14" t="str">
        <f>'Revenue Model'!S6</f>
        <v>Q317A</v>
      </c>
      <c r="T6" s="14" t="str">
        <f>'Revenue Model'!T6</f>
        <v>Q417A</v>
      </c>
      <c r="U6" s="15" t="str">
        <f>'Revenue Model'!U6</f>
        <v>Annual</v>
      </c>
      <c r="V6" s="14" t="str">
        <f>'Revenue Model'!V6</f>
        <v>Q118A</v>
      </c>
      <c r="W6" s="14" t="str">
        <f>'Revenue Model'!W6</f>
        <v>Q218A</v>
      </c>
      <c r="X6" s="14" t="str">
        <f>'Revenue Model'!X6</f>
        <v>Q318A</v>
      </c>
      <c r="Y6" s="14" t="str">
        <f>'Revenue Model'!Y6</f>
        <v>Q418A</v>
      </c>
      <c r="Z6" s="15" t="str">
        <f>'Revenue Model'!Z6</f>
        <v>Annual</v>
      </c>
      <c r="AA6" s="14" t="str">
        <f>'Revenue Model'!AA6</f>
        <v>Q119A</v>
      </c>
      <c r="AB6" s="14" t="str">
        <f>'Revenue Model'!AB6</f>
        <v>Q219A</v>
      </c>
      <c r="AC6" s="14" t="str">
        <f>'Revenue Model'!AC6</f>
        <v>Q319A</v>
      </c>
      <c r="AD6" s="14" t="str">
        <f>'Revenue Model'!AD6</f>
        <v>Q419A</v>
      </c>
      <c r="AE6" s="15" t="str">
        <f>'Revenue Model'!AE6</f>
        <v>Annual</v>
      </c>
      <c r="AF6" s="14" t="str">
        <f>'Revenue Model'!AF6</f>
        <v>Q120A</v>
      </c>
      <c r="AG6" s="14" t="str">
        <f>'Revenue Model'!AG6</f>
        <v>Q220A</v>
      </c>
      <c r="AH6" s="14" t="str">
        <f>'Revenue Model'!AH6</f>
        <v>Q320A</v>
      </c>
      <c r="AI6" s="14" t="str">
        <f>'Revenue Model'!AI6</f>
        <v>Q420A</v>
      </c>
      <c r="AJ6" s="15" t="str">
        <f>'Revenue Model'!AJ6</f>
        <v>Annual</v>
      </c>
      <c r="AK6" s="14" t="str">
        <f>'Revenue Model'!AK6</f>
        <v>Q121A</v>
      </c>
      <c r="AL6" s="14" t="str">
        <f>'Revenue Model'!AL6</f>
        <v>Q221A</v>
      </c>
      <c r="AM6" s="14" t="str">
        <f>'Revenue Model'!AM6</f>
        <v>Q321A</v>
      </c>
      <c r="AN6" s="14" t="str">
        <f>'Revenue Model'!AN6</f>
        <v>Q421A</v>
      </c>
      <c r="AO6" s="15" t="str">
        <f>'Revenue Model'!AO6</f>
        <v>Annual</v>
      </c>
      <c r="AP6" s="14" t="str">
        <f>'Revenue Model'!AP6</f>
        <v>Q122A</v>
      </c>
      <c r="AQ6" s="14" t="str">
        <f>'Revenue Model'!AQ6</f>
        <v>Q222A</v>
      </c>
      <c r="AR6" s="14" t="str">
        <f>'Revenue Model'!AR6</f>
        <v>Q322A</v>
      </c>
      <c r="AS6" s="14" t="str">
        <f>'Revenue Model'!AS6</f>
        <v>Q422A</v>
      </c>
      <c r="AT6" s="15" t="str">
        <f>'Revenue Model'!AT6</f>
        <v>Annual</v>
      </c>
      <c r="AU6" s="14" t="str">
        <f>'Revenue Model'!AU6</f>
        <v>Q123A</v>
      </c>
      <c r="AV6" s="14" t="str">
        <f>'Revenue Model'!AV6</f>
        <v>Q223A</v>
      </c>
      <c r="AW6" s="14" t="str">
        <f>'Revenue Model'!AW6</f>
        <v>Q323A</v>
      </c>
      <c r="AX6" s="14" t="str">
        <f>'Revenue Model'!AX6</f>
        <v>Q423A</v>
      </c>
      <c r="AY6" s="15" t="str">
        <f>'Revenue Model'!AY6</f>
        <v>Annual</v>
      </c>
      <c r="AZ6" s="14" t="str">
        <f>'Revenue Model'!AZ6</f>
        <v>Q124A</v>
      </c>
      <c r="BA6" s="14" t="str">
        <f>'Revenue Model'!BA6</f>
        <v>Q224A</v>
      </c>
      <c r="BB6" s="14" t="str">
        <f>'Revenue Model'!BB6</f>
        <v>Q324A</v>
      </c>
      <c r="BC6" s="14" t="str">
        <f>'Revenue Model'!BC6</f>
        <v>Q424A</v>
      </c>
      <c r="BD6" s="15" t="str">
        <f>'Revenue Model'!BD6</f>
        <v>Annual</v>
      </c>
      <c r="BE6" s="14" t="str">
        <f>'Revenue Model'!BE6</f>
        <v>Q125A</v>
      </c>
      <c r="BF6" s="14" t="str">
        <f>'Revenue Model'!BF6</f>
        <v>Q225A</v>
      </c>
      <c r="BG6" s="14" t="str">
        <f>'Revenue Model'!BG6</f>
        <v>Q325A</v>
      </c>
      <c r="BH6" s="14" t="str">
        <f>'Revenue Model'!BH6</f>
        <v>Q425A</v>
      </c>
      <c r="BI6" s="15" t="str">
        <f>'Revenue Model'!BI6</f>
        <v>Annual</v>
      </c>
      <c r="BJ6" s="14" t="str">
        <f>'Revenue Model'!BJ6</f>
        <v>Q126E</v>
      </c>
      <c r="BK6" s="14" t="str">
        <f>'Revenue Model'!BK6</f>
        <v>Q226E</v>
      </c>
      <c r="BL6" s="14" t="str">
        <f>'Revenue Model'!BL6</f>
        <v>Q326E</v>
      </c>
      <c r="BM6" s="14" t="str">
        <f>'Revenue Model'!BM6</f>
        <v>Q426E</v>
      </c>
      <c r="BN6" s="15" t="str">
        <f>'Revenue Model'!BN6</f>
        <v>Annual</v>
      </c>
      <c r="BO6" s="14" t="str">
        <f>'Revenue Model'!BO6</f>
        <v>Q127E</v>
      </c>
      <c r="BP6" s="14" t="str">
        <f>'Revenue Model'!BP6</f>
        <v>Q227E</v>
      </c>
      <c r="BQ6" s="14" t="str">
        <f>'Revenue Model'!BQ6</f>
        <v>Q327E</v>
      </c>
      <c r="BR6" s="14" t="str">
        <f>'Revenue Model'!BR6</f>
        <v>Q427E</v>
      </c>
      <c r="BS6" s="15" t="str">
        <f>'Revenue Model'!BS6</f>
        <v>Annual</v>
      </c>
      <c r="BU6" s="16"/>
    </row>
    <row r="7" spans="1:75">
      <c r="A7" s="120" t="s">
        <v>77</v>
      </c>
      <c r="B7" s="121">
        <f>'Revenue Model'!B8</f>
        <v>7.476</v>
      </c>
      <c r="C7" s="121">
        <f>'Revenue Model'!C8</f>
        <v>8.6769999999999996</v>
      </c>
      <c r="D7" s="121">
        <f>'Revenue Model'!D8</f>
        <v>9.8379999999999992</v>
      </c>
      <c r="E7" s="121">
        <f>'Revenue Model'!E8</f>
        <v>12.199</v>
      </c>
      <c r="F7" s="122">
        <f>SUM(B7:E7)</f>
        <v>38.19</v>
      </c>
      <c r="G7" s="121">
        <f>'Revenue Model'!G8</f>
        <v>11.218</v>
      </c>
      <c r="H7" s="121">
        <f>'Revenue Model'!H8</f>
        <v>11.907999999999999</v>
      </c>
      <c r="I7" s="121">
        <f>'Revenue Model'!I8</f>
        <v>12.335000000000001</v>
      </c>
      <c r="J7" s="121">
        <f>'Revenue Model'!J8</f>
        <v>14.042</v>
      </c>
      <c r="K7" s="123">
        <f>SUM(G7:J7)</f>
        <v>49.503</v>
      </c>
      <c r="L7" s="121">
        <f>'Revenue Model'!L8</f>
        <v>13.55</v>
      </c>
      <c r="M7" s="121">
        <f>'Revenue Model'!M8</f>
        <v>14.675000000000001</v>
      </c>
      <c r="N7" s="121">
        <f>'Revenue Model'!N8</f>
        <v>18.603000000000002</v>
      </c>
      <c r="O7" s="121">
        <f>'Revenue Model'!O8</f>
        <v>18.257000000000001</v>
      </c>
      <c r="P7" s="123">
        <f>SUM(L7:O7)</f>
        <v>65.085000000000008</v>
      </c>
      <c r="Q7" s="121">
        <f>'Revenue Model'!Q8</f>
        <v>16.431999999999999</v>
      </c>
      <c r="R7" s="121">
        <f>'Revenue Model'!R8</f>
        <v>18.405999999999999</v>
      </c>
      <c r="S7" s="121">
        <f>'Revenue Model'!S8</f>
        <v>17.518999999999998</v>
      </c>
      <c r="T7" s="121">
        <f>'Revenue Model'!T8</f>
        <v>19.596</v>
      </c>
      <c r="U7" s="123">
        <f>SUM(Q7:T7)</f>
        <v>71.952999999999989</v>
      </c>
      <c r="V7" s="121">
        <f>'Revenue Model'!V8</f>
        <v>20.041</v>
      </c>
      <c r="W7" s="121">
        <f>'Revenue Model'!W8</f>
        <v>22.300999999999998</v>
      </c>
      <c r="X7" s="121">
        <f>'Revenue Model'!X8</f>
        <v>23.216000000000001</v>
      </c>
      <c r="Y7" s="121">
        <f>'Revenue Model'!Y8</f>
        <v>25.5</v>
      </c>
      <c r="Z7" s="123">
        <f>SUM(V7:Y7)</f>
        <v>91.057999999999993</v>
      </c>
      <c r="AA7" s="121">
        <f>'Revenue Model'!AA8</f>
        <v>25.388999999999999</v>
      </c>
      <c r="AB7" s="121">
        <f>'Revenue Model'!AB8</f>
        <v>26.686</v>
      </c>
      <c r="AC7" s="121">
        <f>'Revenue Model'!AC8</f>
        <v>26.722999999999999</v>
      </c>
      <c r="AD7" s="121">
        <f>'Revenue Model'!AD8</f>
        <v>28.556999999999999</v>
      </c>
      <c r="AE7" s="123">
        <f>SUM(AA7:AD7)</f>
        <v>107.355</v>
      </c>
      <c r="AF7" s="121">
        <f>'Revenue Model'!AF8</f>
        <v>26.991</v>
      </c>
      <c r="AG7" s="121">
        <f>'Revenue Model'!AG8</f>
        <v>15.212</v>
      </c>
      <c r="AH7" s="121">
        <f>'Revenue Model'!AH8</f>
        <v>28.27</v>
      </c>
      <c r="AI7" s="121">
        <f>'Revenue Model'!AI8</f>
        <v>31.497</v>
      </c>
      <c r="AJ7" s="123">
        <f>SUM(AF7:AI7)</f>
        <v>101.97</v>
      </c>
      <c r="AK7" s="121">
        <f>'Revenue Model'!AK8</f>
        <v>33.078000000000003</v>
      </c>
      <c r="AL7" s="121">
        <f>'Revenue Model'!AL8</f>
        <v>50.792999999999999</v>
      </c>
      <c r="AM7" s="121">
        <f>'Revenue Model'!AM8</f>
        <v>50.896999999999998</v>
      </c>
      <c r="AN7" s="121">
        <f>'Revenue Model'!AN8</f>
        <v>53.414000000000001</v>
      </c>
      <c r="AO7" s="123">
        <f>SUM(AK7:AN7)</f>
        <v>188.18200000000002</v>
      </c>
      <c r="AP7" s="121">
        <f>'Revenue Model'!AP8</f>
        <v>55.98</v>
      </c>
      <c r="AQ7" s="121">
        <f>'Revenue Model'!AQ8</f>
        <v>59.718000000000004</v>
      </c>
      <c r="AR7" s="121">
        <f>'Revenue Model'!AR8</f>
        <v>64.576999999999998</v>
      </c>
      <c r="AS7" s="121">
        <f>'Revenue Model'!AS8</f>
        <v>70.269000000000005</v>
      </c>
      <c r="AT7" s="123">
        <f>SUM(AP7:AS7)</f>
        <v>250.54400000000001</v>
      </c>
      <c r="AU7" s="121">
        <f>'Revenue Model'!AU8</f>
        <v>72.396000000000001</v>
      </c>
      <c r="AV7" s="121">
        <f>'Revenue Model'!AV8</f>
        <v>81.748999999999995</v>
      </c>
      <c r="AW7" s="121">
        <f>'Revenue Model'!AW8</f>
        <v>82.012</v>
      </c>
      <c r="AX7" s="121">
        <f>'Revenue Model'!AX8</f>
        <v>90.385000000000005</v>
      </c>
      <c r="AY7" s="123">
        <f>SUM(AU7:AX7)</f>
        <v>326.54199999999997</v>
      </c>
      <c r="AZ7" s="121">
        <f>'Revenue Model'!AZ8</f>
        <v>90.302999999999997</v>
      </c>
      <c r="BA7" s="121">
        <f>'Revenue Model'!BA8</f>
        <v>106.97</v>
      </c>
      <c r="BB7" s="121">
        <f>'Revenue Model'!BB8</f>
        <v>109.536</v>
      </c>
      <c r="BC7" s="121">
        <f>'Revenue Model'!BC8</f>
        <v>112.152</v>
      </c>
      <c r="BD7" s="123">
        <f>SUM(AZ7:BC7)</f>
        <v>418.96099999999996</v>
      </c>
      <c r="BE7" s="121">
        <f>'Revenue Model'!BE8</f>
        <v>107.309</v>
      </c>
      <c r="BF7" s="121">
        <f>'Revenue Model'!BF8</f>
        <v>122.26300000000001</v>
      </c>
      <c r="BG7" s="121">
        <f>'Revenue Model'!BG8</f>
        <v>127.756</v>
      </c>
      <c r="BH7" s="121">
        <f>'Revenue Model'!BH8</f>
        <v>135.82599999999999</v>
      </c>
      <c r="BI7" s="123">
        <f>SUM(BE7:BH7)</f>
        <v>493.154</v>
      </c>
      <c r="BJ7" s="121">
        <f>'Revenue Model'!BJ8</f>
        <v>126.5009</v>
      </c>
      <c r="BK7" s="121">
        <f>'Revenue Model'!BK8</f>
        <v>143.52642299999999</v>
      </c>
      <c r="BL7" s="121">
        <f>'Revenue Model'!BL8</f>
        <v>142.92070000000001</v>
      </c>
      <c r="BM7" s="121">
        <f>'Revenue Model'!BM8</f>
        <v>149.69800000000001</v>
      </c>
      <c r="BN7" s="123">
        <f>SUM(BJ7:BM7)</f>
        <v>562.64602300000001</v>
      </c>
      <c r="BO7" s="121">
        <f>'Revenue Model'!BO8</f>
        <v>140.28430999999998</v>
      </c>
      <c r="BP7" s="121">
        <f>'Revenue Model'!BP8</f>
        <v>159.27291492000001</v>
      </c>
      <c r="BQ7" s="121">
        <f>'Revenue Model'!BQ8</f>
        <v>158.77311499999999</v>
      </c>
      <c r="BR7" s="121">
        <f>'Revenue Model'!BR8</f>
        <v>166.09808000000001</v>
      </c>
      <c r="BS7" s="123">
        <f>SUM(BO7:BR7)</f>
        <v>624.4284199199999</v>
      </c>
    </row>
    <row r="8" spans="1:75">
      <c r="A8" s="120" t="s">
        <v>78</v>
      </c>
      <c r="B8" s="121">
        <f>'Revenue Model'!B9</f>
        <v>0</v>
      </c>
      <c r="C8" s="121">
        <f>'Revenue Model'!C9</f>
        <v>0</v>
      </c>
      <c r="D8" s="121">
        <f>'Revenue Model'!D9</f>
        <v>0</v>
      </c>
      <c r="E8" s="121">
        <f>'Revenue Model'!E9</f>
        <v>0</v>
      </c>
      <c r="F8" s="123">
        <f>SUM(B8:E8)</f>
        <v>0</v>
      </c>
      <c r="G8" s="121">
        <f>'Revenue Model'!G9</f>
        <v>0</v>
      </c>
      <c r="H8" s="121">
        <f>'Revenue Model'!H9</f>
        <v>0</v>
      </c>
      <c r="I8" s="121">
        <f>'Revenue Model'!I9</f>
        <v>0</v>
      </c>
      <c r="J8" s="121">
        <f>'Revenue Model'!J9</f>
        <v>0</v>
      </c>
      <c r="K8" s="123">
        <f>SUM(G8:J8)</f>
        <v>0</v>
      </c>
      <c r="L8" s="121">
        <f>'Revenue Model'!L9</f>
        <v>0</v>
      </c>
      <c r="M8" s="121">
        <f>'Revenue Model'!M9</f>
        <v>0</v>
      </c>
      <c r="N8" s="121">
        <f>'Revenue Model'!N9</f>
        <v>0</v>
      </c>
      <c r="O8" s="121">
        <f>'Revenue Model'!O9</f>
        <v>0</v>
      </c>
      <c r="P8" s="123">
        <f>SUM(L8:O8)</f>
        <v>0</v>
      </c>
      <c r="Q8" s="121">
        <f>'Revenue Model'!Q9</f>
        <v>0</v>
      </c>
      <c r="R8" s="121">
        <f>'Revenue Model'!R9</f>
        <v>0</v>
      </c>
      <c r="S8" s="121">
        <f>'Revenue Model'!S9</f>
        <v>0</v>
      </c>
      <c r="T8" s="121">
        <f>'Revenue Model'!T9</f>
        <v>0</v>
      </c>
      <c r="U8" s="123">
        <f>SUM(Q8:T8)</f>
        <v>0</v>
      </c>
      <c r="V8" s="121">
        <f>'Revenue Model'!V9</f>
        <v>0</v>
      </c>
      <c r="W8" s="121">
        <f>'Revenue Model'!W9</f>
        <v>0</v>
      </c>
      <c r="X8" s="121">
        <f>'Revenue Model'!X9</f>
        <v>0</v>
      </c>
      <c r="Y8" s="121">
        <f>'Revenue Model'!Y9</f>
        <v>0</v>
      </c>
      <c r="Z8" s="123">
        <f>SUM(V8:Y8)</f>
        <v>0</v>
      </c>
      <c r="AA8" s="121">
        <f>'Revenue Model'!AA9</f>
        <v>0</v>
      </c>
      <c r="AB8" s="121">
        <f>'Revenue Model'!AB9</f>
        <v>0</v>
      </c>
      <c r="AC8" s="121">
        <f>'Revenue Model'!AC9</f>
        <v>0</v>
      </c>
      <c r="AD8" s="121">
        <f>'Revenue Model'!AD9</f>
        <v>0.92300000000000004</v>
      </c>
      <c r="AE8" s="123">
        <f>SUM(AA8:AD8)</f>
        <v>0.92300000000000004</v>
      </c>
      <c r="AF8" s="121">
        <f>'Revenue Model'!AF9</f>
        <v>3.4089999999999998</v>
      </c>
      <c r="AG8" s="121">
        <f>'Revenue Model'!AG9</f>
        <v>1.7130000000000001</v>
      </c>
      <c r="AH8" s="121">
        <f>'Revenue Model'!AH9</f>
        <v>2.0270000000000001</v>
      </c>
      <c r="AI8" s="121">
        <f>'Revenue Model'!AI9</f>
        <v>2.6960000000000002</v>
      </c>
      <c r="AJ8" s="123">
        <f>SUM(AF8:AI8)</f>
        <v>9.8450000000000006</v>
      </c>
      <c r="AK8" s="121">
        <f>'Revenue Model'!AK9</f>
        <v>3.0590000000000002</v>
      </c>
      <c r="AL8" s="121">
        <f>'Revenue Model'!AL9</f>
        <v>2.6880000000000002</v>
      </c>
      <c r="AM8" s="121">
        <f>'Revenue Model'!AM9</f>
        <v>2.9590000000000001</v>
      </c>
      <c r="AN8" s="121">
        <f>'Revenue Model'!AN9</f>
        <v>2.758</v>
      </c>
      <c r="AO8" s="123">
        <f>SUM(AK8:AN8)</f>
        <v>11.463999999999999</v>
      </c>
      <c r="AP8" s="121">
        <f>'Revenue Model'!AP9</f>
        <v>2.9790000000000001</v>
      </c>
      <c r="AQ8" s="121">
        <f>'Revenue Model'!AQ9</f>
        <v>3.1080000000000001</v>
      </c>
      <c r="AR8" s="121">
        <f>'Revenue Model'!AR9</f>
        <v>3.3140000000000001</v>
      </c>
      <c r="AS8" s="121">
        <f>'Revenue Model'!AS9</f>
        <v>3.2309999999999999</v>
      </c>
      <c r="AT8" s="123">
        <f>SUM(AP8:AS8)</f>
        <v>12.632</v>
      </c>
      <c r="AU8" s="121">
        <f>'Revenue Model'!AU9</f>
        <v>3.8919999999999999</v>
      </c>
      <c r="AV8" s="121">
        <f>'Revenue Model'!AV9</f>
        <v>4.0110000000000001</v>
      </c>
      <c r="AW8" s="121">
        <f>'Revenue Model'!AW9</f>
        <v>4.0199999999999996</v>
      </c>
      <c r="AX8" s="121">
        <f>'Revenue Model'!AX9</f>
        <v>3.665</v>
      </c>
      <c r="AY8" s="123">
        <f>SUM(AU8:AX8)</f>
        <v>15.588000000000001</v>
      </c>
      <c r="AZ8" s="121">
        <f>'Revenue Model'!AZ9</f>
        <v>3.5369999999999999</v>
      </c>
      <c r="BA8" s="121">
        <f>'Revenue Model'!BA9</f>
        <v>3.9060000000000001</v>
      </c>
      <c r="BB8" s="121">
        <f>'Revenue Model'!BB9</f>
        <v>3.1880000000000002</v>
      </c>
      <c r="BC8" s="121">
        <f>'Revenue Model'!BC9</f>
        <v>3.0190000000000001</v>
      </c>
      <c r="BD8" s="123">
        <f>SUM(AZ8:BC8)</f>
        <v>13.65</v>
      </c>
      <c r="BE8" s="121">
        <f>'Revenue Model'!BE9</f>
        <v>3.58</v>
      </c>
      <c r="BF8" s="121">
        <f>'Revenue Model'!BF9</f>
        <v>3.5979999999999999</v>
      </c>
      <c r="BG8" s="121">
        <f>'Revenue Model'!BG9</f>
        <v>3.3010000000000002</v>
      </c>
      <c r="BH8" s="121">
        <f>'Revenue Model'!BH9</f>
        <v>3.8479999999999999</v>
      </c>
      <c r="BI8" s="123">
        <f>SUM(BE8:BH8)</f>
        <v>14.326999999999998</v>
      </c>
      <c r="BJ8" s="121">
        <f>'Revenue Model'!BJ9</f>
        <v>3.7637649999999994</v>
      </c>
      <c r="BK8" s="121">
        <f>'Revenue Model'!BK9</f>
        <v>3.6978624999999998</v>
      </c>
      <c r="BL8" s="121">
        <f>'Revenue Model'!BL9</f>
        <v>3.204326</v>
      </c>
      <c r="BM8" s="121">
        <f>'Revenue Model'!BM9</f>
        <v>3.6656435000000003</v>
      </c>
      <c r="BN8" s="123">
        <f>SUM(BJ8:BM8)</f>
        <v>14.331596999999999</v>
      </c>
      <c r="BO8" s="121">
        <f>'Revenue Model'!BO9</f>
        <v>3.8390403000000002</v>
      </c>
      <c r="BP8" s="121">
        <f>'Revenue Model'!BP9</f>
        <v>3.7718197500000001</v>
      </c>
      <c r="BQ8" s="121">
        <f>'Revenue Model'!BQ9</f>
        <v>3.26841252</v>
      </c>
      <c r="BR8" s="121">
        <f>'Revenue Model'!BR9</f>
        <v>3.7389563700000004</v>
      </c>
      <c r="BS8" s="123">
        <f>SUM(BO8:BR8)</f>
        <v>14.618228940000002</v>
      </c>
    </row>
    <row r="9" spans="1:75">
      <c r="A9" s="120" t="s">
        <v>79</v>
      </c>
      <c r="B9" s="124">
        <f>'Revenue Model'!B10</f>
        <v>0</v>
      </c>
      <c r="C9" s="124">
        <f>'Revenue Model'!C10</f>
        <v>0</v>
      </c>
      <c r="D9" s="124">
        <f>'Revenue Model'!D10</f>
        <v>0</v>
      </c>
      <c r="E9" s="124">
        <f>'Revenue Model'!E10</f>
        <v>0</v>
      </c>
      <c r="F9" s="125">
        <f>SUM(B9:E9)</f>
        <v>0</v>
      </c>
      <c r="G9" s="124">
        <f>'Revenue Model'!G10</f>
        <v>0</v>
      </c>
      <c r="H9" s="124">
        <f>'Revenue Model'!H10</f>
        <v>0</v>
      </c>
      <c r="I9" s="124">
        <f>'Revenue Model'!I10</f>
        <v>0</v>
      </c>
      <c r="J9" s="124">
        <f>'Revenue Model'!J10</f>
        <v>0</v>
      </c>
      <c r="K9" s="125">
        <f>SUM(G9:J9)</f>
        <v>0</v>
      </c>
      <c r="L9" s="124">
        <f>'Revenue Model'!L10</f>
        <v>0</v>
      </c>
      <c r="M9" s="124">
        <f>'Revenue Model'!M10</f>
        <v>0</v>
      </c>
      <c r="N9" s="124">
        <f>'Revenue Model'!N10</f>
        <v>0</v>
      </c>
      <c r="O9" s="124">
        <f>'Revenue Model'!O10</f>
        <v>0</v>
      </c>
      <c r="P9" s="125">
        <f>SUM(L9:O9)</f>
        <v>0</v>
      </c>
      <c r="Q9" s="124">
        <f>'Revenue Model'!Q10</f>
        <v>0</v>
      </c>
      <c r="R9" s="124">
        <f>'Revenue Model'!R10</f>
        <v>0</v>
      </c>
      <c r="S9" s="124">
        <f>'Revenue Model'!S10</f>
        <v>0</v>
      </c>
      <c r="T9" s="124">
        <f>'Revenue Model'!T10</f>
        <v>0</v>
      </c>
      <c r="U9" s="125">
        <f>SUM(Q9:T9)</f>
        <v>0</v>
      </c>
      <c r="V9" s="124">
        <f>'Revenue Model'!V10</f>
        <v>0</v>
      </c>
      <c r="W9" s="124">
        <f>'Revenue Model'!W10</f>
        <v>0.45</v>
      </c>
      <c r="X9" s="124">
        <f>'Revenue Model'!X10</f>
        <v>0.25</v>
      </c>
      <c r="Y9" s="124">
        <f>'Revenue Model'!Y10</f>
        <v>0.25</v>
      </c>
      <c r="Z9" s="125">
        <f>SUM(V9:Y9)</f>
        <v>0.95</v>
      </c>
      <c r="AA9" s="124">
        <f>'Revenue Model'!AA10</f>
        <v>4.1399999999999997</v>
      </c>
      <c r="AB9" s="124">
        <f>'Revenue Model'!AB10</f>
        <v>3.45</v>
      </c>
      <c r="AC9" s="124">
        <f>'Revenue Model'!AC10</f>
        <v>4.25</v>
      </c>
      <c r="AD9" s="124">
        <f>'Revenue Model'!AD10</f>
        <v>0.25</v>
      </c>
      <c r="AE9" s="125">
        <f>SUM(AA9:AD9)</f>
        <v>12.09</v>
      </c>
      <c r="AF9" s="124">
        <f>'Revenue Model'!AF10</f>
        <v>0.72199999999999998</v>
      </c>
      <c r="AG9" s="124">
        <f>'Revenue Model'!AG10</f>
        <v>3.7789999999999999</v>
      </c>
      <c r="AH9" s="124">
        <f>'Revenue Model'!AH10</f>
        <v>0.82399999999999995</v>
      </c>
      <c r="AI9" s="124">
        <f>'Revenue Model'!AI10</f>
        <v>0.34300000000000003</v>
      </c>
      <c r="AJ9" s="125">
        <f>SUM(AF9:AI9)</f>
        <v>5.6679999999999993</v>
      </c>
      <c r="AK9" s="124">
        <f>'Revenue Model'!AK10</f>
        <v>0.56599999999999995</v>
      </c>
      <c r="AL9" s="124">
        <f>'Revenue Model'!AL10</f>
        <v>1.6240000000000001</v>
      </c>
      <c r="AM9" s="124">
        <f>'Revenue Model'!AM10</f>
        <v>6.5140000000000002</v>
      </c>
      <c r="AN9" s="124">
        <f>'Revenue Model'!AN10</f>
        <v>11.164</v>
      </c>
      <c r="AO9" s="125">
        <f>SUM(AK9:AN9)</f>
        <v>19.868000000000002</v>
      </c>
      <c r="AP9" s="124">
        <f>'Revenue Model'!AP10</f>
        <v>8.8239999999999998</v>
      </c>
      <c r="AQ9" s="124">
        <f>'Revenue Model'!AQ10</f>
        <v>10.038</v>
      </c>
      <c r="AR9" s="124">
        <f>'Revenue Model'!AR10</f>
        <v>7.7009999999999996</v>
      </c>
      <c r="AS9" s="124">
        <f>'Revenue Model'!AS10</f>
        <v>6.7969999999999997</v>
      </c>
      <c r="AT9" s="125">
        <f>SUM(AP9:AS9)</f>
        <v>33.36</v>
      </c>
      <c r="AU9" s="124">
        <f>'Revenue Model'!AU10</f>
        <v>6.1340000000000003</v>
      </c>
      <c r="AV9" s="124">
        <f>'Revenue Model'!AV10</f>
        <v>4.5620000000000003</v>
      </c>
      <c r="AW9" s="124">
        <f>'Revenue Model'!AW10</f>
        <v>4.0759999999999996</v>
      </c>
      <c r="AX9" s="124">
        <f>'Revenue Model'!AX10</f>
        <v>4.149</v>
      </c>
      <c r="AY9" s="125">
        <f>SUM(AU9:AX9)</f>
        <v>18.921000000000003</v>
      </c>
      <c r="AZ9" s="124">
        <f>'Revenue Model'!AZ10</f>
        <v>3.004</v>
      </c>
      <c r="BA9" s="124">
        <f>'Revenue Model'!BA10</f>
        <v>3.552</v>
      </c>
      <c r="BB9" s="124">
        <f>'Revenue Model'!BB10</f>
        <v>3.1360000000000001</v>
      </c>
      <c r="BC9" s="124">
        <f>'Revenue Model'!BC10</f>
        <v>3.4609999999999999</v>
      </c>
      <c r="BD9" s="125">
        <f>SUM(AZ9:BC9)</f>
        <v>13.153</v>
      </c>
      <c r="BE9" s="124">
        <f>'Revenue Model'!BE10</f>
        <v>3.5840000000000001</v>
      </c>
      <c r="BF9" s="124">
        <f>'Revenue Model'!BF10</f>
        <v>4.3029999999999999</v>
      </c>
      <c r="BG9" s="124">
        <f>'Revenue Model'!BG10</f>
        <v>0.81499999999999995</v>
      </c>
      <c r="BH9" s="124">
        <f>'Revenue Model'!BH10</f>
        <v>0.96199999999999997</v>
      </c>
      <c r="BI9" s="125">
        <f>SUM(BE9:BH9)</f>
        <v>9.6639999999999997</v>
      </c>
      <c r="BJ9" s="124">
        <f>'Revenue Model'!BJ10</f>
        <v>0</v>
      </c>
      <c r="BK9" s="124">
        <f>'Revenue Model'!BK10</f>
        <v>0</v>
      </c>
      <c r="BL9" s="124">
        <f>'Revenue Model'!BL10</f>
        <v>0</v>
      </c>
      <c r="BM9" s="124">
        <f>'Revenue Model'!BM10</f>
        <v>0</v>
      </c>
      <c r="BN9" s="125">
        <f>SUM(BJ9:BM9)</f>
        <v>0</v>
      </c>
      <c r="BO9" s="124">
        <f>'Revenue Model'!BO10</f>
        <v>0</v>
      </c>
      <c r="BP9" s="124">
        <f>'Revenue Model'!BP10</f>
        <v>0</v>
      </c>
      <c r="BQ9" s="124">
        <f>'Revenue Model'!BQ10</f>
        <v>0</v>
      </c>
      <c r="BR9" s="124">
        <f>'Revenue Model'!BR10</f>
        <v>0</v>
      </c>
      <c r="BS9" s="125">
        <f>SUM(BO9:BR9)</f>
        <v>0</v>
      </c>
      <c r="BT9" s="16"/>
    </row>
    <row r="10" spans="1:75">
      <c r="A10" s="9" t="s">
        <v>80</v>
      </c>
      <c r="B10" s="126">
        <f>SUM(B7:B9)</f>
        <v>7.476</v>
      </c>
      <c r="C10" s="126">
        <f>SUM(C7:C9)</f>
        <v>8.6769999999999996</v>
      </c>
      <c r="D10" s="126">
        <f>SUM(D7:D9)</f>
        <v>9.8379999999999992</v>
      </c>
      <c r="E10" s="126">
        <f>SUM(E7:E9)</f>
        <v>12.199</v>
      </c>
      <c r="F10" s="127">
        <f>SUM(B10:E10)</f>
        <v>38.19</v>
      </c>
      <c r="G10" s="126">
        <f>SUM(G7:G9)</f>
        <v>11.218</v>
      </c>
      <c r="H10" s="126">
        <f>SUM(H7:H9)</f>
        <v>11.907999999999999</v>
      </c>
      <c r="I10" s="126">
        <f>SUM(I7:I9)</f>
        <v>12.335000000000001</v>
      </c>
      <c r="J10" s="126">
        <f>SUM(J7:J9)</f>
        <v>14.042</v>
      </c>
      <c r="K10" s="127">
        <f>SUM(G10:J10)</f>
        <v>49.503</v>
      </c>
      <c r="L10" s="126">
        <f>SUM(L7:L9)</f>
        <v>13.55</v>
      </c>
      <c r="M10" s="126">
        <f>SUM(M7:M9)</f>
        <v>14.675000000000001</v>
      </c>
      <c r="N10" s="126">
        <f>SUM(N7:N9)</f>
        <v>18.603000000000002</v>
      </c>
      <c r="O10" s="126">
        <f>SUM(O7:O9)</f>
        <v>18.257000000000001</v>
      </c>
      <c r="P10" s="127">
        <f>SUM(L10:O10)</f>
        <v>65.085000000000008</v>
      </c>
      <c r="Q10" s="126">
        <f>SUM(Q7:Q9)</f>
        <v>16.431999999999999</v>
      </c>
      <c r="R10" s="126">
        <f>SUM(R7:R9)</f>
        <v>18.405999999999999</v>
      </c>
      <c r="S10" s="126">
        <f>SUM(S7:S9)</f>
        <v>17.518999999999998</v>
      </c>
      <c r="T10" s="126">
        <f>SUM(T7:T9)</f>
        <v>19.596</v>
      </c>
      <c r="U10" s="127">
        <f>SUM(Q10:T10)</f>
        <v>71.952999999999989</v>
      </c>
      <c r="V10" s="126">
        <f>SUM(V7:V9)</f>
        <v>20.041</v>
      </c>
      <c r="W10" s="126">
        <f>SUM(W7:W9)</f>
        <v>22.750999999999998</v>
      </c>
      <c r="X10" s="126">
        <f>SUM(X7:X9)</f>
        <v>23.466000000000001</v>
      </c>
      <c r="Y10" s="126">
        <f>SUM(Y7:Y9)</f>
        <v>25.75</v>
      </c>
      <c r="Z10" s="127">
        <f>SUM(V10:Y10)</f>
        <v>92.00800000000001</v>
      </c>
      <c r="AA10" s="126">
        <f>SUM(AA7:AA9)</f>
        <v>29.529</v>
      </c>
      <c r="AB10" s="126">
        <f>SUM(AB7:AB9)</f>
        <v>30.135999999999999</v>
      </c>
      <c r="AC10" s="126">
        <f>SUM(AC7:AC9)</f>
        <v>30.972999999999999</v>
      </c>
      <c r="AD10" s="126">
        <f>SUM(AD7:AD9)</f>
        <v>29.729999999999997</v>
      </c>
      <c r="AE10" s="127">
        <f>SUM(AA10:AD10)</f>
        <v>120.36799999999999</v>
      </c>
      <c r="AF10" s="126">
        <f>SUM(AF7:AF9)</f>
        <v>31.122</v>
      </c>
      <c r="AG10" s="126">
        <f>SUM(AG7:AG9)</f>
        <v>20.704000000000001</v>
      </c>
      <c r="AH10" s="126">
        <f>SUM(AH7:AH9)</f>
        <v>31.121000000000002</v>
      </c>
      <c r="AI10" s="126">
        <f>SUM(AI7:AI9)</f>
        <v>34.536000000000001</v>
      </c>
      <c r="AJ10" s="127">
        <f>SUM(AF10:AI10)</f>
        <v>117.483</v>
      </c>
      <c r="AK10" s="126">
        <f>SUM(AK7:AK9)</f>
        <v>36.703000000000003</v>
      </c>
      <c r="AL10" s="126">
        <f>SUM(AL7:AL9)</f>
        <v>55.105000000000004</v>
      </c>
      <c r="AM10" s="126">
        <f>SUM(AM7:AM9)</f>
        <v>60.370000000000005</v>
      </c>
      <c r="AN10" s="126">
        <f>SUM(AN7:AN9)</f>
        <v>67.335999999999999</v>
      </c>
      <c r="AO10" s="127">
        <f>SUM(AK10:AN10)</f>
        <v>219.51400000000001</v>
      </c>
      <c r="AP10" s="126">
        <f>SUM(AP7:AP9)</f>
        <v>67.783000000000001</v>
      </c>
      <c r="AQ10" s="126">
        <f>SUM(AQ7:AQ9)</f>
        <v>72.864000000000004</v>
      </c>
      <c r="AR10" s="126">
        <f>SUM(AR7:AR9)</f>
        <v>75.591999999999985</v>
      </c>
      <c r="AS10" s="126">
        <f>SUM(AS7:AS9)</f>
        <v>80.296999999999997</v>
      </c>
      <c r="AT10" s="127">
        <f>SUM(AP10:AS10)</f>
        <v>296.53599999999994</v>
      </c>
      <c r="AU10" s="126">
        <f>SUM(AU7:AU9)</f>
        <v>82.421999999999997</v>
      </c>
      <c r="AV10" s="126">
        <f>SUM(AV7:AV9)</f>
        <v>90.321999999999989</v>
      </c>
      <c r="AW10" s="126">
        <f>SUM(AW7:AW9)</f>
        <v>90.10799999999999</v>
      </c>
      <c r="AX10" s="126">
        <f>SUM(AX7:AX9)</f>
        <v>98.199000000000012</v>
      </c>
      <c r="AY10" s="127">
        <f>SUM(AU10:AX10)</f>
        <v>361.05099999999999</v>
      </c>
      <c r="AZ10" s="126">
        <f>SUM(AZ7:AZ9)</f>
        <v>96.844000000000008</v>
      </c>
      <c r="BA10" s="126">
        <f>SUM(BA7:BA9)</f>
        <v>114.42800000000001</v>
      </c>
      <c r="BB10" s="126">
        <f>SUM(BB7:BB9)</f>
        <v>115.86</v>
      </c>
      <c r="BC10" s="126">
        <f>SUM(BC7:BC9)</f>
        <v>118.63200000000001</v>
      </c>
      <c r="BD10" s="127">
        <f>SUM(AZ10:BC10)</f>
        <v>445.76400000000001</v>
      </c>
      <c r="BE10" s="126">
        <f>SUM(BE7:BE9)</f>
        <v>114.473</v>
      </c>
      <c r="BF10" s="126">
        <f>SUM(BF7:BF9)</f>
        <v>130.16400000000002</v>
      </c>
      <c r="BG10" s="126">
        <f>SUM(BG7:BG9)</f>
        <v>131.87199999999999</v>
      </c>
      <c r="BH10" s="126">
        <f>SUM(BH7:BH9)</f>
        <v>140.636</v>
      </c>
      <c r="BI10" s="127">
        <f>SUM(BE10:BH10)</f>
        <v>517.14499999999998</v>
      </c>
      <c r="BJ10" s="126">
        <f>SUM(BJ7:BJ9)</f>
        <v>130.26466500000001</v>
      </c>
      <c r="BK10" s="126">
        <f>SUM(BK7:BK9)</f>
        <v>147.22428550000001</v>
      </c>
      <c r="BL10" s="126">
        <f>SUM(BL7:BL9)</f>
        <v>146.12502600000002</v>
      </c>
      <c r="BM10" s="126">
        <f>SUM(BM7:BM9)</f>
        <v>153.36364349999999</v>
      </c>
      <c r="BN10" s="127">
        <f>SUM(BJ10:BM10)</f>
        <v>576.97762</v>
      </c>
      <c r="BO10" s="126">
        <f>SUM(BO7:BO9)</f>
        <v>144.12335029999997</v>
      </c>
      <c r="BP10" s="126">
        <f>SUM(BP7:BP9)</f>
        <v>163.04473467</v>
      </c>
      <c r="BQ10" s="126">
        <f>SUM(BQ7:BQ9)</f>
        <v>162.04152751999999</v>
      </c>
      <c r="BR10" s="126">
        <f>SUM(BR7:BR9)</f>
        <v>169.83703637000002</v>
      </c>
      <c r="BS10" s="127">
        <f>SUM(BO10:BR10)</f>
        <v>639.04664886</v>
      </c>
      <c r="BT10" s="25"/>
    </row>
    <row r="11" spans="1:75" hidden="1" outlineLevel="1">
      <c r="A11" s="120" t="s">
        <v>104</v>
      </c>
      <c r="B11" s="128">
        <v>3.6070000000000002</v>
      </c>
      <c r="C11" s="128">
        <v>3.9660000000000002</v>
      </c>
      <c r="D11" s="128">
        <v>4.1680000000000001</v>
      </c>
      <c r="E11" s="128">
        <v>4.8650000000000002</v>
      </c>
      <c r="F11" s="129">
        <f>+B11+C11+D11+E11</f>
        <v>16.606000000000002</v>
      </c>
      <c r="G11" s="128">
        <v>4.5659999999999998</v>
      </c>
      <c r="H11" s="128">
        <v>5.1390000000000002</v>
      </c>
      <c r="I11" s="128">
        <v>5.6180000000000003</v>
      </c>
      <c r="J11" s="128">
        <v>6.1749999999999998</v>
      </c>
      <c r="K11" s="129">
        <f>+G11+H11+I11+J11</f>
        <v>21.498000000000001</v>
      </c>
      <c r="L11" s="128">
        <v>6.2789999999999999</v>
      </c>
      <c r="M11" s="128">
        <v>6.3010000000000002</v>
      </c>
      <c r="N11" s="128">
        <v>6.367</v>
      </c>
      <c r="O11" s="128">
        <v>6.5149999999999997</v>
      </c>
      <c r="P11" s="129">
        <f>+L11+M11+N11+O11</f>
        <v>25.462</v>
      </c>
      <c r="Q11" s="128">
        <v>6.2969999999999997</v>
      </c>
      <c r="R11" s="128">
        <v>6.96</v>
      </c>
      <c r="S11" s="128">
        <v>7.1689999999999996</v>
      </c>
      <c r="T11" s="128">
        <v>7.7690000000000001</v>
      </c>
      <c r="U11" s="129">
        <f>+Q11+R11+S11+T11</f>
        <v>28.195</v>
      </c>
      <c r="V11" s="128">
        <v>7.867</v>
      </c>
      <c r="W11" s="128">
        <v>8.2460000000000004</v>
      </c>
      <c r="X11" s="128">
        <v>8.2609999999999992</v>
      </c>
      <c r="Y11" s="128">
        <v>8.7040000000000006</v>
      </c>
      <c r="Z11" s="129">
        <f>+V11+W11+X11+Y11</f>
        <v>33.078000000000003</v>
      </c>
      <c r="AA11" s="128">
        <v>8.5129999999999999</v>
      </c>
      <c r="AB11" s="128">
        <v>8.7769999999999992</v>
      </c>
      <c r="AC11" s="128">
        <v>9.1140000000000008</v>
      </c>
      <c r="AD11" s="128">
        <f>9.673</f>
        <v>9.673</v>
      </c>
      <c r="AE11" s="129">
        <f>+AA11+AB11+AC11+AD11</f>
        <v>36.076999999999998</v>
      </c>
      <c r="AF11" s="128">
        <f>10.568-1.088</f>
        <v>9.48</v>
      </c>
      <c r="AG11" s="128">
        <v>6.4710000000000001</v>
      </c>
      <c r="AH11" s="128">
        <v>9.1180000000000003</v>
      </c>
      <c r="AI11" s="128">
        <v>9.7560000000000002</v>
      </c>
      <c r="AJ11" s="129">
        <f>+AF11+AG11+AH11+AI11</f>
        <v>34.825000000000003</v>
      </c>
      <c r="AK11" s="130">
        <v>10.832000000000001</v>
      </c>
      <c r="AL11" s="128">
        <v>15.589</v>
      </c>
      <c r="AM11" s="128">
        <v>16.073</v>
      </c>
      <c r="AN11" s="131">
        <v>16.366</v>
      </c>
      <c r="AO11" s="129">
        <f>+AK11+AL11+AM11+AN11</f>
        <v>58.86</v>
      </c>
      <c r="AP11" s="130">
        <v>17.47</v>
      </c>
      <c r="AQ11" s="128">
        <v>18.533000000000001</v>
      </c>
      <c r="AR11" s="128">
        <v>19.748999999999999</v>
      </c>
      <c r="AS11" s="131">
        <v>19.393999999999998</v>
      </c>
      <c r="AT11" s="129">
        <f>+AP11+AQ11+AR11+AS11</f>
        <v>75.145999999999987</v>
      </c>
      <c r="AU11" s="130"/>
      <c r="AV11" s="128"/>
      <c r="AW11" s="128"/>
      <c r="AX11" s="131"/>
      <c r="AY11" s="129">
        <f>+AU11+AV11+AW11+AX11</f>
        <v>0</v>
      </c>
      <c r="AZ11" s="130"/>
      <c r="BA11" s="128"/>
      <c r="BB11" s="128"/>
      <c r="BC11" s="131"/>
      <c r="BD11" s="129">
        <f>+AZ11+BA11+BB11+BC11</f>
        <v>0</v>
      </c>
      <c r="BE11" s="132"/>
      <c r="BF11" s="133"/>
      <c r="BG11" s="133"/>
      <c r="BH11" s="131"/>
      <c r="BI11" s="129">
        <f>+BE11+BF11+BG11+BH11</f>
        <v>0</v>
      </c>
      <c r="BJ11" s="132"/>
      <c r="BK11" s="133"/>
      <c r="BL11" s="133"/>
      <c r="BM11" s="134"/>
      <c r="BN11" s="129">
        <f>+BJ11+BK11+BL11+BM11</f>
        <v>0</v>
      </c>
      <c r="BO11" s="132"/>
      <c r="BP11" s="133"/>
      <c r="BQ11" s="133"/>
      <c r="BR11" s="134"/>
      <c r="BS11" s="129">
        <f>+BO11+BP11+BQ11+BR11</f>
        <v>0</v>
      </c>
    </row>
    <row r="12" spans="1:75" hidden="1" outlineLevel="1">
      <c r="A12" s="120" t="s">
        <v>105</v>
      </c>
      <c r="B12" s="128">
        <v>0</v>
      </c>
      <c r="C12" s="128">
        <v>0</v>
      </c>
      <c r="D12" s="128">
        <v>0</v>
      </c>
      <c r="E12" s="128">
        <v>0</v>
      </c>
      <c r="F12" s="129">
        <f>+B12+C12+D12+E12</f>
        <v>0</v>
      </c>
      <c r="G12" s="128">
        <v>0</v>
      </c>
      <c r="H12" s="128">
        <v>0</v>
      </c>
      <c r="I12" s="128">
        <v>0</v>
      </c>
      <c r="J12" s="128">
        <v>0</v>
      </c>
      <c r="K12" s="129">
        <f>+G12+H12+I12+J12</f>
        <v>0</v>
      </c>
      <c r="L12" s="128">
        <v>0</v>
      </c>
      <c r="M12" s="128">
        <v>0</v>
      </c>
      <c r="N12" s="128">
        <v>0</v>
      </c>
      <c r="O12" s="128">
        <v>0</v>
      </c>
      <c r="P12" s="129">
        <f>+L12+M12+N12+O12</f>
        <v>0</v>
      </c>
      <c r="Q12" s="128">
        <v>0</v>
      </c>
      <c r="R12" s="128">
        <v>0</v>
      </c>
      <c r="S12" s="128">
        <v>0</v>
      </c>
      <c r="T12" s="128">
        <v>0</v>
      </c>
      <c r="U12" s="129">
        <f>+Q12+R12+S12+T12</f>
        <v>0</v>
      </c>
      <c r="V12" s="128">
        <v>0</v>
      </c>
      <c r="W12" s="128">
        <v>0</v>
      </c>
      <c r="X12" s="128">
        <v>0</v>
      </c>
      <c r="Y12" s="128">
        <v>0</v>
      </c>
      <c r="Z12" s="129">
        <f>+V12+W12+X12+Y12</f>
        <v>0</v>
      </c>
      <c r="AA12" s="128">
        <v>0</v>
      </c>
      <c r="AB12" s="128">
        <v>0</v>
      </c>
      <c r="AC12" s="128">
        <v>0</v>
      </c>
      <c r="AD12" s="128">
        <v>0.46600000000000003</v>
      </c>
      <c r="AE12" s="129">
        <f>+AA12+AB12+AC12+AD12</f>
        <v>0.46600000000000003</v>
      </c>
      <c r="AF12" s="128">
        <v>1.5589999999999999</v>
      </c>
      <c r="AG12" s="128">
        <v>0.93200000000000005</v>
      </c>
      <c r="AH12" s="128">
        <v>1.048</v>
      </c>
      <c r="AI12" s="128">
        <v>1.3819999999999999</v>
      </c>
      <c r="AJ12" s="129">
        <f>+AF12+AG12+AH12+AI12</f>
        <v>4.9210000000000003</v>
      </c>
      <c r="AK12" s="130">
        <v>1.49</v>
      </c>
      <c r="AL12" s="128">
        <v>1.323</v>
      </c>
      <c r="AM12" s="128">
        <v>1.4910000000000001</v>
      </c>
      <c r="AN12" s="131">
        <v>1.583</v>
      </c>
      <c r="AO12" s="129">
        <f>+AK12+AL12+AM12+AN12</f>
        <v>5.8870000000000005</v>
      </c>
      <c r="AP12" s="130">
        <v>1.575</v>
      </c>
      <c r="AQ12" s="128">
        <v>1.6459999999999999</v>
      </c>
      <c r="AR12" s="128">
        <v>1.978</v>
      </c>
      <c r="AS12" s="131">
        <v>2.6179999999999999</v>
      </c>
      <c r="AT12" s="129">
        <f>+AP12+AQ12+AR12+AS12</f>
        <v>7.8170000000000002</v>
      </c>
      <c r="AU12" s="130"/>
      <c r="AV12" s="128"/>
      <c r="AW12" s="128"/>
      <c r="AX12" s="131"/>
      <c r="AY12" s="129">
        <f>+AU12+AV12+AW12+AX12</f>
        <v>0</v>
      </c>
      <c r="AZ12" s="130"/>
      <c r="BA12" s="128"/>
      <c r="BB12" s="128"/>
      <c r="BC12" s="131"/>
      <c r="BD12" s="129">
        <f>+AZ12+BA12+BB12+BC12</f>
        <v>0</v>
      </c>
      <c r="BE12" s="132"/>
      <c r="BF12" s="133"/>
      <c r="BG12" s="133"/>
      <c r="BH12" s="131"/>
      <c r="BI12" s="129">
        <f>+BE12+BF12+BG12+BH12</f>
        <v>0</v>
      </c>
      <c r="BJ12" s="132"/>
      <c r="BK12" s="133"/>
      <c r="BL12" s="133"/>
      <c r="BM12" s="134"/>
      <c r="BN12" s="129">
        <f>+BJ12+BK12+BL12+BM12</f>
        <v>0</v>
      </c>
      <c r="BO12" s="132"/>
      <c r="BP12" s="133"/>
      <c r="BQ12" s="133"/>
      <c r="BR12" s="134"/>
      <c r="BS12" s="129">
        <f>+BO12+BP12+BQ12+BR12</f>
        <v>0</v>
      </c>
    </row>
    <row r="13" spans="1:75" hidden="1" outlineLevel="1">
      <c r="A13" s="120" t="s">
        <v>106</v>
      </c>
      <c r="B13" s="135">
        <v>0</v>
      </c>
      <c r="C13" s="135">
        <v>0</v>
      </c>
      <c r="D13" s="135">
        <v>0</v>
      </c>
      <c r="E13" s="135">
        <v>0</v>
      </c>
      <c r="F13" s="136">
        <f>SUM(B13:E13)</f>
        <v>0</v>
      </c>
      <c r="G13" s="135">
        <v>0</v>
      </c>
      <c r="H13" s="135">
        <v>0</v>
      </c>
      <c r="I13" s="135">
        <v>0</v>
      </c>
      <c r="J13" s="135">
        <v>0</v>
      </c>
      <c r="K13" s="136">
        <f>SUM(G13:J13)</f>
        <v>0</v>
      </c>
      <c r="L13" s="135">
        <v>0</v>
      </c>
      <c r="M13" s="135">
        <v>0</v>
      </c>
      <c r="N13" s="135">
        <v>0</v>
      </c>
      <c r="O13" s="135">
        <v>0</v>
      </c>
      <c r="P13" s="136">
        <f>SUM(L13:O13)</f>
        <v>0</v>
      </c>
      <c r="Q13" s="135">
        <v>0</v>
      </c>
      <c r="R13" s="135">
        <v>0</v>
      </c>
      <c r="S13" s="135">
        <v>0</v>
      </c>
      <c r="T13" s="135">
        <v>0</v>
      </c>
      <c r="U13" s="136">
        <f>SUM(Q13:T13)</f>
        <v>0</v>
      </c>
      <c r="V13" s="135">
        <v>0</v>
      </c>
      <c r="W13" s="135">
        <v>0</v>
      </c>
      <c r="X13" s="135">
        <v>0</v>
      </c>
      <c r="Y13" s="135">
        <v>0</v>
      </c>
      <c r="Z13" s="136">
        <f>SUM(V13:Y13)</f>
        <v>0</v>
      </c>
      <c r="AA13" s="135">
        <v>0</v>
      </c>
      <c r="AB13" s="135">
        <v>0</v>
      </c>
      <c r="AC13" s="135">
        <v>0</v>
      </c>
      <c r="AD13" s="135">
        <v>0</v>
      </c>
      <c r="AE13" s="136">
        <f>+AA13+AB13+AC13+AD13</f>
        <v>0</v>
      </c>
      <c r="AF13" s="135">
        <v>0.11600000000000001</v>
      </c>
      <c r="AG13" s="135">
        <v>0.252</v>
      </c>
      <c r="AH13" s="135">
        <v>0.20399999999999999</v>
      </c>
      <c r="AI13" s="137">
        <v>4.9000000000000002E-2</v>
      </c>
      <c r="AJ13" s="136">
        <f>+AF13+AG13+AH13+AI13</f>
        <v>0.621</v>
      </c>
      <c r="AK13" s="138">
        <v>8.1000000000000003E-2</v>
      </c>
      <c r="AL13" s="135">
        <v>0.56000000000000005</v>
      </c>
      <c r="AM13" s="135">
        <v>4.0789999999999997</v>
      </c>
      <c r="AN13" s="137">
        <v>4.9329999999999998</v>
      </c>
      <c r="AO13" s="136">
        <f>+AK13+AL13+AM13+AN13</f>
        <v>9.6529999999999987</v>
      </c>
      <c r="AP13" s="138">
        <v>4.4820000000000002</v>
      </c>
      <c r="AQ13" s="135">
        <v>4.7350000000000003</v>
      </c>
      <c r="AR13" s="135">
        <v>4.149</v>
      </c>
      <c r="AS13" s="137">
        <v>4.7549999999999999</v>
      </c>
      <c r="AT13" s="136">
        <f>+AP13+AQ13+AR13+AS13</f>
        <v>18.120999999999999</v>
      </c>
      <c r="AU13" s="138"/>
      <c r="AV13" s="135"/>
      <c r="AW13" s="135"/>
      <c r="AX13" s="137"/>
      <c r="AY13" s="136">
        <f>+AU13+AV13+AW13+AX13</f>
        <v>0</v>
      </c>
      <c r="AZ13" s="138"/>
      <c r="BA13" s="135"/>
      <c r="BB13" s="135"/>
      <c r="BC13" s="137"/>
      <c r="BD13" s="136">
        <f>+AZ13+BA13+BB13+BC13</f>
        <v>0</v>
      </c>
      <c r="BE13" s="139"/>
      <c r="BF13" s="140"/>
      <c r="BG13" s="140"/>
      <c r="BH13" s="137"/>
      <c r="BI13" s="136">
        <f>+BE13+BF13+BG13+BH13</f>
        <v>0</v>
      </c>
      <c r="BJ13" s="139"/>
      <c r="BK13" s="140"/>
      <c r="BL13" s="140"/>
      <c r="BM13" s="141"/>
      <c r="BN13" s="136">
        <f>+BJ13+BK13+BL13+BM13</f>
        <v>0</v>
      </c>
      <c r="BO13" s="139"/>
      <c r="BP13" s="140"/>
      <c r="BQ13" s="140"/>
      <c r="BR13" s="141"/>
      <c r="BS13" s="136">
        <f>+BO13+BP13+BQ13+BR13</f>
        <v>0</v>
      </c>
    </row>
    <row r="14" spans="1:75" collapsed="1">
      <c r="A14" s="9" t="s">
        <v>107</v>
      </c>
      <c r="B14" s="142">
        <f>SUM(B11:B13)</f>
        <v>3.6070000000000002</v>
      </c>
      <c r="C14" s="142">
        <f>SUM(C11:C13)</f>
        <v>3.9660000000000002</v>
      </c>
      <c r="D14" s="142">
        <f>SUM(D11:D13)</f>
        <v>4.1680000000000001</v>
      </c>
      <c r="E14" s="142">
        <f>SUM(E11:E13)</f>
        <v>4.8650000000000002</v>
      </c>
      <c r="F14" s="143">
        <f>+B14+C14+D14+E14</f>
        <v>16.606000000000002</v>
      </c>
      <c r="G14" s="142">
        <f>SUM(G11:G13)</f>
        <v>4.5659999999999998</v>
      </c>
      <c r="H14" s="142">
        <f>SUM(H11:H13)</f>
        <v>5.1390000000000002</v>
      </c>
      <c r="I14" s="142">
        <f>SUM(I11:I13)</f>
        <v>5.6180000000000003</v>
      </c>
      <c r="J14" s="142">
        <f>SUM(J11:J13)</f>
        <v>6.1749999999999998</v>
      </c>
      <c r="K14" s="143">
        <f>+G14+H14+I14+J14</f>
        <v>21.498000000000001</v>
      </c>
      <c r="L14" s="142">
        <f>SUM(L11:L13)</f>
        <v>6.2789999999999999</v>
      </c>
      <c r="M14" s="142">
        <f>SUM(M11:M13)</f>
        <v>6.3010000000000002</v>
      </c>
      <c r="N14" s="142">
        <f>SUM(N11:N13)</f>
        <v>6.367</v>
      </c>
      <c r="O14" s="142">
        <f>SUM(O11:O13)</f>
        <v>6.5149999999999997</v>
      </c>
      <c r="P14" s="143">
        <f>+L14+M14+N14+O14</f>
        <v>25.462</v>
      </c>
      <c r="Q14" s="142">
        <f>SUM(Q11:Q13)</f>
        <v>6.2969999999999997</v>
      </c>
      <c r="R14" s="142">
        <f>SUM(R11:R13)</f>
        <v>6.96</v>
      </c>
      <c r="S14" s="142">
        <f>SUM(S11:S13)</f>
        <v>7.1689999999999996</v>
      </c>
      <c r="T14" s="142">
        <f>SUM(T11:T13)</f>
        <v>7.7690000000000001</v>
      </c>
      <c r="U14" s="143">
        <f>+Q14+R14+S14+T14</f>
        <v>28.195</v>
      </c>
      <c r="V14" s="142">
        <f>SUM(V11:V13)</f>
        <v>7.867</v>
      </c>
      <c r="W14" s="142">
        <f>SUM(W11:W13)</f>
        <v>8.2460000000000004</v>
      </c>
      <c r="X14" s="142">
        <f>SUM(X11:X13)</f>
        <v>8.2609999999999992</v>
      </c>
      <c r="Y14" s="142">
        <f>SUM(Y11:Y13)</f>
        <v>8.7040000000000006</v>
      </c>
      <c r="Z14" s="143">
        <f>+V14+W14+X14+Y14</f>
        <v>33.078000000000003</v>
      </c>
      <c r="AA14" s="142">
        <f>SUM(AA11:AA13)</f>
        <v>8.5129999999999999</v>
      </c>
      <c r="AB14" s="142">
        <f>SUM(AB11:AB13)</f>
        <v>8.7769999999999992</v>
      </c>
      <c r="AC14" s="142">
        <f>SUM(AC11:AC13)</f>
        <v>9.1140000000000008</v>
      </c>
      <c r="AD14" s="142">
        <f>SUM(AD11:AD13)</f>
        <v>10.138999999999999</v>
      </c>
      <c r="AE14" s="143">
        <f>+AA14+AB14+AC14+AD14</f>
        <v>36.542999999999999</v>
      </c>
      <c r="AF14" s="142">
        <f>SUM(AF11:AF13)</f>
        <v>11.154999999999999</v>
      </c>
      <c r="AG14" s="142">
        <f>SUM(AG11:AG13)</f>
        <v>7.6550000000000002</v>
      </c>
      <c r="AH14" s="142">
        <f>SUM(AH11:AH13)</f>
        <v>10.370000000000001</v>
      </c>
      <c r="AI14" s="142">
        <f>SUM(AI11:AI13)</f>
        <v>11.186999999999999</v>
      </c>
      <c r="AJ14" s="143">
        <f>+AF14+AG14+AH14+AI14</f>
        <v>40.366999999999997</v>
      </c>
      <c r="AK14" s="142">
        <f>SUM(AK11:AK13)</f>
        <v>12.403</v>
      </c>
      <c r="AL14" s="142">
        <f>SUM(AL11:AL13)</f>
        <v>17.471999999999998</v>
      </c>
      <c r="AM14" s="142">
        <f>SUM(AM11:AM13)</f>
        <v>21.643000000000001</v>
      </c>
      <c r="AN14" s="142">
        <f>SUM(AN11:AN13)</f>
        <v>22.881999999999998</v>
      </c>
      <c r="AO14" s="143">
        <f>+AK14+AL14+AM14+AN14</f>
        <v>74.400000000000006</v>
      </c>
      <c r="AP14" s="142">
        <f>SUM(AP11:AP13)</f>
        <v>23.526999999999997</v>
      </c>
      <c r="AQ14" s="142">
        <f>SUM(AQ11:AQ13)</f>
        <v>24.914000000000001</v>
      </c>
      <c r="AR14" s="142">
        <f>SUM(AR11:AR13)</f>
        <v>25.876000000000001</v>
      </c>
      <c r="AS14" s="142">
        <f>SUM(AS11:AS13)</f>
        <v>26.766999999999996</v>
      </c>
      <c r="AT14" s="143">
        <f>+AP14+AQ14+AR14+AS14</f>
        <v>101.084</v>
      </c>
      <c r="AU14" s="144">
        <v>25.768000000000001</v>
      </c>
      <c r="AV14" s="144">
        <v>29.190999999999999</v>
      </c>
      <c r="AW14" s="144">
        <v>27.108000000000001</v>
      </c>
      <c r="AX14" s="144">
        <v>28.904</v>
      </c>
      <c r="AY14" s="143">
        <f>+AU14+AV14+AW14+AX14</f>
        <v>110.971</v>
      </c>
      <c r="AZ14" s="144">
        <v>30.908000000000001</v>
      </c>
      <c r="BA14" s="144">
        <v>33.002000000000002</v>
      </c>
      <c r="BB14" s="144">
        <v>33.345999999999997</v>
      </c>
      <c r="BC14" s="144">
        <v>36.425999999999995</v>
      </c>
      <c r="BD14" s="143">
        <f>+AZ14+BA14+BB14+BC14</f>
        <v>133.68199999999999</v>
      </c>
      <c r="BE14" s="144">
        <v>31.86</v>
      </c>
      <c r="BF14" s="144">
        <f>31.865+1.716+3.507</f>
        <v>37.087999999999994</v>
      </c>
      <c r="BG14" s="144">
        <f>33.222+1.597+1.106</f>
        <v>35.925000000000004</v>
      </c>
      <c r="BH14" s="144">
        <f>32.502+2.34+0.215</f>
        <v>35.057000000000002</v>
      </c>
      <c r="BI14" s="143">
        <f>+BE14+BF14+BG14+BH14</f>
        <v>139.93</v>
      </c>
      <c r="BJ14" s="142">
        <f>(1-BJ61)*BJ10</f>
        <v>35.822782875000009</v>
      </c>
      <c r="BK14" s="142">
        <f>(1-BK61)*BK10</f>
        <v>40.486678512500006</v>
      </c>
      <c r="BL14" s="142">
        <f>(1-BL61)*BL10</f>
        <v>39.453757020000005</v>
      </c>
      <c r="BM14" s="142">
        <f>(1-BM61)*BM10</f>
        <v>40.6413655275</v>
      </c>
      <c r="BN14" s="143">
        <f>+BJ14+BK14+BL14+BM14</f>
        <v>156.40458393500003</v>
      </c>
      <c r="BO14" s="142">
        <f>(1-BO61)*BO10</f>
        <v>39.633921332499995</v>
      </c>
      <c r="BP14" s="142">
        <f>(1-BP61)*BP10</f>
        <v>44.837302034250001</v>
      </c>
      <c r="BQ14" s="142">
        <f>(1-BQ61)*BQ10</f>
        <v>43.751212430400003</v>
      </c>
      <c r="BR14" s="142">
        <f>(1-BR61)*BR10</f>
        <v>45.00681463805001</v>
      </c>
      <c r="BS14" s="143">
        <f>+BO14+BP14+BQ14+BR14</f>
        <v>173.22925043520002</v>
      </c>
      <c r="BT14" s="25"/>
    </row>
    <row r="15" spans="1:75">
      <c r="A15" s="145" t="s">
        <v>108</v>
      </c>
      <c r="B15" s="146">
        <f t="shared" ref="B15:BM15" si="0">+B10-B14</f>
        <v>3.8689999999999998</v>
      </c>
      <c r="C15" s="146">
        <f t="shared" si="0"/>
        <v>4.7109999999999994</v>
      </c>
      <c r="D15" s="146">
        <f t="shared" si="0"/>
        <v>5.669999999999999</v>
      </c>
      <c r="E15" s="146">
        <f t="shared" si="0"/>
        <v>7.3339999999999996</v>
      </c>
      <c r="F15" s="147">
        <f t="shared" si="0"/>
        <v>21.583999999999996</v>
      </c>
      <c r="G15" s="146">
        <f t="shared" si="0"/>
        <v>6.6520000000000001</v>
      </c>
      <c r="H15" s="146">
        <f t="shared" si="0"/>
        <v>6.7689999999999992</v>
      </c>
      <c r="I15" s="146">
        <f t="shared" si="0"/>
        <v>6.7170000000000005</v>
      </c>
      <c r="J15" s="146">
        <f t="shared" si="0"/>
        <v>7.867</v>
      </c>
      <c r="K15" s="147">
        <f t="shared" si="0"/>
        <v>28.004999999999999</v>
      </c>
      <c r="L15" s="146">
        <f t="shared" si="0"/>
        <v>7.2710000000000008</v>
      </c>
      <c r="M15" s="146">
        <f t="shared" si="0"/>
        <v>8.3740000000000006</v>
      </c>
      <c r="N15" s="146">
        <f t="shared" si="0"/>
        <v>12.236000000000001</v>
      </c>
      <c r="O15" s="146">
        <f t="shared" si="0"/>
        <v>11.742000000000001</v>
      </c>
      <c r="P15" s="147">
        <f t="shared" si="0"/>
        <v>39.623000000000005</v>
      </c>
      <c r="Q15" s="146">
        <f t="shared" si="0"/>
        <v>10.134999999999998</v>
      </c>
      <c r="R15" s="146">
        <f t="shared" si="0"/>
        <v>11.445999999999998</v>
      </c>
      <c r="S15" s="146">
        <f t="shared" si="0"/>
        <v>10.349999999999998</v>
      </c>
      <c r="T15" s="146">
        <f t="shared" si="0"/>
        <v>11.827</v>
      </c>
      <c r="U15" s="147">
        <f t="shared" si="0"/>
        <v>43.757999999999988</v>
      </c>
      <c r="V15" s="146">
        <f t="shared" si="0"/>
        <v>12.173999999999999</v>
      </c>
      <c r="W15" s="146">
        <f t="shared" si="0"/>
        <v>14.504999999999997</v>
      </c>
      <c r="X15" s="146">
        <f t="shared" si="0"/>
        <v>15.205000000000002</v>
      </c>
      <c r="Y15" s="146">
        <f t="shared" si="0"/>
        <v>17.045999999999999</v>
      </c>
      <c r="Z15" s="147">
        <f t="shared" si="0"/>
        <v>58.930000000000007</v>
      </c>
      <c r="AA15" s="146">
        <f t="shared" si="0"/>
        <v>21.015999999999998</v>
      </c>
      <c r="AB15" s="146">
        <f t="shared" si="0"/>
        <v>21.359000000000002</v>
      </c>
      <c r="AC15" s="146">
        <f t="shared" si="0"/>
        <v>21.858999999999998</v>
      </c>
      <c r="AD15" s="146">
        <f t="shared" si="0"/>
        <v>19.590999999999998</v>
      </c>
      <c r="AE15" s="147">
        <f t="shared" si="0"/>
        <v>83.824999999999989</v>
      </c>
      <c r="AF15" s="146">
        <f t="shared" si="0"/>
        <v>19.966999999999999</v>
      </c>
      <c r="AG15" s="146">
        <f t="shared" si="0"/>
        <v>13.048999999999999</v>
      </c>
      <c r="AH15" s="146">
        <f t="shared" si="0"/>
        <v>20.751000000000001</v>
      </c>
      <c r="AI15" s="146">
        <f t="shared" si="0"/>
        <v>23.349000000000004</v>
      </c>
      <c r="AJ15" s="147">
        <f t="shared" si="0"/>
        <v>77.116000000000014</v>
      </c>
      <c r="AK15" s="146">
        <f t="shared" si="0"/>
        <v>24.300000000000004</v>
      </c>
      <c r="AL15" s="146">
        <f t="shared" si="0"/>
        <v>37.63300000000001</v>
      </c>
      <c r="AM15" s="146">
        <f t="shared" si="0"/>
        <v>38.727000000000004</v>
      </c>
      <c r="AN15" s="146">
        <f t="shared" si="0"/>
        <v>44.454000000000001</v>
      </c>
      <c r="AO15" s="147">
        <f t="shared" si="0"/>
        <v>145.114</v>
      </c>
      <c r="AP15" s="146">
        <f t="shared" si="0"/>
        <v>44.256</v>
      </c>
      <c r="AQ15" s="146">
        <f t="shared" si="0"/>
        <v>47.95</v>
      </c>
      <c r="AR15" s="146">
        <f t="shared" si="0"/>
        <v>49.71599999999998</v>
      </c>
      <c r="AS15" s="146">
        <f t="shared" si="0"/>
        <v>53.53</v>
      </c>
      <c r="AT15" s="147">
        <f t="shared" si="0"/>
        <v>195.45199999999994</v>
      </c>
      <c r="AU15" s="146">
        <f t="shared" si="0"/>
        <v>56.653999999999996</v>
      </c>
      <c r="AV15" s="146">
        <f t="shared" si="0"/>
        <v>61.130999999999986</v>
      </c>
      <c r="AW15" s="146">
        <f t="shared" si="0"/>
        <v>62.999999999999986</v>
      </c>
      <c r="AX15" s="146">
        <f t="shared" si="0"/>
        <v>69.295000000000016</v>
      </c>
      <c r="AY15" s="147">
        <f t="shared" si="0"/>
        <v>250.07999999999998</v>
      </c>
      <c r="AZ15" s="146">
        <f t="shared" si="0"/>
        <v>65.936000000000007</v>
      </c>
      <c r="BA15" s="146">
        <f t="shared" si="0"/>
        <v>81.426000000000016</v>
      </c>
      <c r="BB15" s="146">
        <f t="shared" si="0"/>
        <v>82.51400000000001</v>
      </c>
      <c r="BC15" s="146">
        <f t="shared" si="0"/>
        <v>82.206000000000017</v>
      </c>
      <c r="BD15" s="147">
        <f t="shared" si="0"/>
        <v>312.08199999999999</v>
      </c>
      <c r="BE15" s="146">
        <f t="shared" si="0"/>
        <v>82.613</v>
      </c>
      <c r="BF15" s="146">
        <f t="shared" si="0"/>
        <v>93.076000000000022</v>
      </c>
      <c r="BG15" s="146">
        <f t="shared" si="0"/>
        <v>95.946999999999974</v>
      </c>
      <c r="BH15" s="146">
        <f t="shared" si="0"/>
        <v>105.57899999999999</v>
      </c>
      <c r="BI15" s="147">
        <f t="shared" si="0"/>
        <v>377.21499999999997</v>
      </c>
      <c r="BJ15" s="146">
        <f t="shared" si="0"/>
        <v>94.441882125000006</v>
      </c>
      <c r="BK15" s="146">
        <f t="shared" si="0"/>
        <v>106.7376069875</v>
      </c>
      <c r="BL15" s="146">
        <f t="shared" si="0"/>
        <v>106.67126898000001</v>
      </c>
      <c r="BM15" s="146">
        <f t="shared" si="0"/>
        <v>112.7222779725</v>
      </c>
      <c r="BN15" s="147">
        <f t="shared" ref="BN15:BS15" si="1">+BN10-BN14</f>
        <v>420.573036065</v>
      </c>
      <c r="BO15" s="146">
        <f t="shared" si="1"/>
        <v>104.48942896749998</v>
      </c>
      <c r="BP15" s="146">
        <f t="shared" si="1"/>
        <v>118.20743263575</v>
      </c>
      <c r="BQ15" s="146">
        <f t="shared" si="1"/>
        <v>118.29031508959999</v>
      </c>
      <c r="BR15" s="146">
        <f t="shared" si="1"/>
        <v>124.83022173195002</v>
      </c>
      <c r="BS15" s="147">
        <f t="shared" si="1"/>
        <v>465.81739842479999</v>
      </c>
      <c r="BT15" s="25"/>
      <c r="BU15" s="148"/>
      <c r="BV15" s="148"/>
      <c r="BW15" s="16"/>
    </row>
    <row r="16" spans="1:75">
      <c r="A16" s="149" t="s">
        <v>109</v>
      </c>
      <c r="B16" s="128">
        <v>2.1259999999999999</v>
      </c>
      <c r="C16" s="128">
        <v>2.2429999999999999</v>
      </c>
      <c r="D16" s="128">
        <v>2.2330000000000001</v>
      </c>
      <c r="E16" s="128">
        <v>3.202</v>
      </c>
      <c r="F16" s="129">
        <f>SUM(B16:E16)</f>
        <v>9.8040000000000003</v>
      </c>
      <c r="G16" s="128">
        <v>2.7869999999999999</v>
      </c>
      <c r="H16" s="128">
        <v>3.1030000000000002</v>
      </c>
      <c r="I16" s="128">
        <v>3.5630000000000002</v>
      </c>
      <c r="J16" s="128">
        <v>3.343</v>
      </c>
      <c r="K16" s="129">
        <f>SUM(G16:J16)</f>
        <v>12.796000000000001</v>
      </c>
      <c r="L16" s="128">
        <v>3.4609999999999999</v>
      </c>
      <c r="M16" s="128">
        <v>4.2670000000000003</v>
      </c>
      <c r="N16" s="128">
        <v>4.0060000000000002</v>
      </c>
      <c r="O16" s="128">
        <v>3.59</v>
      </c>
      <c r="P16" s="129">
        <f>SUM(L16:O16)</f>
        <v>15.324</v>
      </c>
      <c r="Q16" s="128">
        <v>4.03</v>
      </c>
      <c r="R16" s="128">
        <v>3.6030000000000002</v>
      </c>
      <c r="S16" s="128">
        <v>3.0459999999999998</v>
      </c>
      <c r="T16" s="128">
        <v>3.202</v>
      </c>
      <c r="U16" s="129">
        <f>SUM(Q16:T16)</f>
        <v>13.881</v>
      </c>
      <c r="V16" s="128">
        <v>3.6749999999999998</v>
      </c>
      <c r="W16" s="128">
        <v>4.601</v>
      </c>
      <c r="X16" s="128">
        <v>3.419</v>
      </c>
      <c r="Y16" s="128">
        <v>3.125</v>
      </c>
      <c r="Z16" s="129">
        <f>SUM(V16:Y16)</f>
        <v>14.82</v>
      </c>
      <c r="AA16" s="128">
        <v>3.4350000000000001</v>
      </c>
      <c r="AB16" s="128">
        <v>3.33</v>
      </c>
      <c r="AC16" s="128">
        <v>3.6429999999999998</v>
      </c>
      <c r="AD16" s="128">
        <v>4.4429999999999996</v>
      </c>
      <c r="AE16" s="129">
        <f>SUM(AA16:AD16)</f>
        <v>14.851000000000001</v>
      </c>
      <c r="AF16" s="128">
        <v>4.407</v>
      </c>
      <c r="AG16" s="128">
        <v>4.1689999999999996</v>
      </c>
      <c r="AH16" s="128">
        <v>4.0419999999999998</v>
      </c>
      <c r="AI16" s="128">
        <v>4.5860000000000003</v>
      </c>
      <c r="AJ16" s="129">
        <f>SUM(AF16:AI16)</f>
        <v>17.204000000000001</v>
      </c>
      <c r="AK16" s="128">
        <v>5.3360000000000003</v>
      </c>
      <c r="AL16" s="128">
        <v>6.2489999999999997</v>
      </c>
      <c r="AM16" s="128">
        <v>8.0060000000000002</v>
      </c>
      <c r="AN16" s="128">
        <v>10.252000000000001</v>
      </c>
      <c r="AO16" s="129">
        <f>SUM(AK16:AN16)</f>
        <v>29.843000000000004</v>
      </c>
      <c r="AP16" s="128">
        <v>8.5239999999999991</v>
      </c>
      <c r="AQ16" s="128">
        <v>9.0839999999999996</v>
      </c>
      <c r="AR16" s="128">
        <v>10.522</v>
      </c>
      <c r="AS16" s="128">
        <v>11.055</v>
      </c>
      <c r="AT16" s="129">
        <f>SUM(AP16:AS16)</f>
        <v>39.184999999999995</v>
      </c>
      <c r="AU16" s="128">
        <v>11.513</v>
      </c>
      <c r="AV16" s="128">
        <v>11.102</v>
      </c>
      <c r="AW16" s="128">
        <v>12.186999999999999</v>
      </c>
      <c r="AX16" s="128">
        <v>17.178000000000001</v>
      </c>
      <c r="AY16" s="129">
        <f>SUM(AU16:AX16)</f>
        <v>51.980000000000004</v>
      </c>
      <c r="AZ16" s="128">
        <v>13.504</v>
      </c>
      <c r="BA16" s="128">
        <v>14.595000000000001</v>
      </c>
      <c r="BB16" s="128">
        <v>16.081</v>
      </c>
      <c r="BC16" s="128">
        <v>17.393999999999998</v>
      </c>
      <c r="BD16" s="129">
        <f>SUM(AZ16:BC16)</f>
        <v>61.573999999999998</v>
      </c>
      <c r="BE16" s="128">
        <v>15.654</v>
      </c>
      <c r="BF16" s="128">
        <v>14.256</v>
      </c>
      <c r="BG16" s="128">
        <v>14.032</v>
      </c>
      <c r="BH16" s="128">
        <v>18.954000000000001</v>
      </c>
      <c r="BI16" s="129">
        <f>SUM(BE16:BH16)</f>
        <v>62.896000000000001</v>
      </c>
      <c r="BJ16" s="133">
        <f t="shared" ref="BJ16:BM18" si="2">BJ62*BJ$10</f>
        <v>17.194935780000002</v>
      </c>
      <c r="BK16" s="133">
        <f t="shared" si="2"/>
        <v>19.580829971500002</v>
      </c>
      <c r="BL16" s="133">
        <f t="shared" si="2"/>
        <v>19.288503432000002</v>
      </c>
      <c r="BM16" s="133">
        <f t="shared" si="2"/>
        <v>18.863728150499998</v>
      </c>
      <c r="BN16" s="129">
        <f>SUM(BJ16:BM16)</f>
        <v>74.927997333999997</v>
      </c>
      <c r="BO16" s="133">
        <f t="shared" ref="BO16:BR18" si="3">BO62*BO$10</f>
        <v>18.880158889299995</v>
      </c>
      <c r="BP16" s="133">
        <f t="shared" si="3"/>
        <v>21.521904976440002</v>
      </c>
      <c r="BQ16" s="133">
        <f t="shared" si="3"/>
        <v>21.227440105119999</v>
      </c>
      <c r="BR16" s="133">
        <f t="shared" si="3"/>
        <v>20.720118437140002</v>
      </c>
      <c r="BS16" s="129">
        <f>SUM(BO16:BR16)</f>
        <v>82.349622408000002</v>
      </c>
      <c r="BT16" s="25"/>
      <c r="BU16" s="16"/>
      <c r="BV16" s="150"/>
      <c r="BW16" s="25"/>
    </row>
    <row r="17" spans="1:75">
      <c r="A17" s="149" t="s">
        <v>110</v>
      </c>
      <c r="B17" s="128">
        <v>4.3360000000000003</v>
      </c>
      <c r="C17" s="128">
        <v>5.101</v>
      </c>
      <c r="D17" s="128">
        <v>5.5330000000000004</v>
      </c>
      <c r="E17" s="128">
        <v>6.9619999999999997</v>
      </c>
      <c r="F17" s="129">
        <f>SUM(B17:E17)</f>
        <v>21.932000000000002</v>
      </c>
      <c r="G17" s="128">
        <v>5.62</v>
      </c>
      <c r="H17" s="128">
        <v>6.9370000000000003</v>
      </c>
      <c r="I17" s="128">
        <v>6.048</v>
      </c>
      <c r="J17" s="128">
        <v>6.6870000000000003</v>
      </c>
      <c r="K17" s="129">
        <f>SUM(G17:J17)</f>
        <v>25.292000000000002</v>
      </c>
      <c r="L17" s="128">
        <v>7.0659999999999998</v>
      </c>
      <c r="M17" s="128">
        <v>8.2629999999999999</v>
      </c>
      <c r="N17" s="128">
        <v>7.0869999999999997</v>
      </c>
      <c r="O17" s="128">
        <v>5.8319999999999999</v>
      </c>
      <c r="P17" s="129">
        <f>SUM(L17:O17)</f>
        <v>28.248000000000001</v>
      </c>
      <c r="Q17" s="128">
        <v>7.3360000000000003</v>
      </c>
      <c r="R17" s="128">
        <v>7.9939999999999998</v>
      </c>
      <c r="S17" s="128">
        <v>7.8849999999999998</v>
      </c>
      <c r="T17" s="128">
        <v>9.0449999999999999</v>
      </c>
      <c r="U17" s="129">
        <f>SUM(Q17:T17)</f>
        <v>32.26</v>
      </c>
      <c r="V17" s="128">
        <v>11.542999999999999</v>
      </c>
      <c r="W17" s="128">
        <v>9.6229999999999993</v>
      </c>
      <c r="X17" s="128">
        <v>10.081</v>
      </c>
      <c r="Y17" s="128">
        <v>10.066000000000001</v>
      </c>
      <c r="Z17" s="129">
        <f>SUM(V17:Y17)</f>
        <v>41.312999999999995</v>
      </c>
      <c r="AA17" s="128">
        <v>12.477</v>
      </c>
      <c r="AB17" s="128">
        <v>13.943</v>
      </c>
      <c r="AC17" s="128">
        <v>13.087999999999999</v>
      </c>
      <c r="AD17" s="128">
        <v>14.183</v>
      </c>
      <c r="AE17" s="129">
        <f>SUM(AA17:AD17)</f>
        <v>53.691000000000003</v>
      </c>
      <c r="AF17" s="128">
        <v>17.584</v>
      </c>
      <c r="AG17" s="128">
        <v>10.701000000000001</v>
      </c>
      <c r="AH17" s="128">
        <v>10.955</v>
      </c>
      <c r="AI17" s="128">
        <v>13.148999999999999</v>
      </c>
      <c r="AJ17" s="129">
        <f>SUM(AF17:AI17)</f>
        <v>52.389000000000003</v>
      </c>
      <c r="AK17" s="128">
        <v>16.295999999999999</v>
      </c>
      <c r="AL17" s="128">
        <v>19.661999999999999</v>
      </c>
      <c r="AM17" s="128">
        <v>21.67</v>
      </c>
      <c r="AN17" s="128">
        <v>22.212</v>
      </c>
      <c r="AO17" s="129">
        <f>SUM(AK17:AN17)</f>
        <v>79.84</v>
      </c>
      <c r="AP17" s="128">
        <v>22.538</v>
      </c>
      <c r="AQ17" s="128">
        <v>23.143000000000001</v>
      </c>
      <c r="AR17" s="128">
        <v>24.262</v>
      </c>
      <c r="AS17" s="128">
        <v>23.21</v>
      </c>
      <c r="AT17" s="129">
        <f>SUM(AP17:AS17)</f>
        <v>93.152999999999992</v>
      </c>
      <c r="AU17" s="128">
        <v>23.428000000000001</v>
      </c>
      <c r="AV17" s="128">
        <v>22.695</v>
      </c>
      <c r="AW17" s="128">
        <v>21.614000000000001</v>
      </c>
      <c r="AX17" s="128">
        <v>22.762</v>
      </c>
      <c r="AY17" s="129">
        <f>SUM(AU17:AX17)</f>
        <v>90.499000000000009</v>
      </c>
      <c r="AZ17" s="128">
        <v>21.664999999999999</v>
      </c>
      <c r="BA17" s="128">
        <v>21.88</v>
      </c>
      <c r="BB17" s="128">
        <v>20.829000000000001</v>
      </c>
      <c r="BC17" s="128">
        <v>22.952000000000002</v>
      </c>
      <c r="BD17" s="129">
        <f>SUM(AZ17:BC17)</f>
        <v>87.325999999999993</v>
      </c>
      <c r="BE17" s="128">
        <v>22.495999999999999</v>
      </c>
      <c r="BF17" s="128">
        <v>23.117999999999999</v>
      </c>
      <c r="BG17" s="128">
        <v>22.353000000000002</v>
      </c>
      <c r="BH17" s="128">
        <v>23.88</v>
      </c>
      <c r="BI17" s="129">
        <f>SUM(BE17:BH17)</f>
        <v>91.846999999999994</v>
      </c>
      <c r="BJ17" s="133">
        <f t="shared" si="2"/>
        <v>24.098963025</v>
      </c>
      <c r="BK17" s="133">
        <f t="shared" si="2"/>
        <v>26.6475956755</v>
      </c>
      <c r="BL17" s="133">
        <f t="shared" si="2"/>
        <v>27.179254836000002</v>
      </c>
      <c r="BM17" s="133">
        <f t="shared" si="2"/>
        <v>29.139092264999999</v>
      </c>
      <c r="BN17" s="129">
        <f>SUM(BJ17:BM17)</f>
        <v>107.0649058015</v>
      </c>
      <c r="BO17" s="133">
        <f t="shared" si="3"/>
        <v>26.374573104899994</v>
      </c>
      <c r="BP17" s="133">
        <f t="shared" si="3"/>
        <v>29.185007505929999</v>
      </c>
      <c r="BQ17" s="133">
        <f t="shared" si="3"/>
        <v>29.815641063679998</v>
      </c>
      <c r="BR17" s="133">
        <f t="shared" si="3"/>
        <v>31.929362837560003</v>
      </c>
      <c r="BS17" s="129">
        <f>SUM(BO17:BR17)</f>
        <v>117.30458451206999</v>
      </c>
      <c r="BT17" s="151"/>
      <c r="BU17" s="16"/>
      <c r="BV17" s="150"/>
      <c r="BW17" s="25"/>
    </row>
    <row r="18" spans="1:75">
      <c r="A18" s="149" t="s">
        <v>111</v>
      </c>
      <c r="B18" s="128">
        <v>3.9820000000000002</v>
      </c>
      <c r="C18" s="128">
        <v>3.9279999999999999</v>
      </c>
      <c r="D18" s="128">
        <v>5.7149999999999999</v>
      </c>
      <c r="E18" s="128">
        <v>5.2290000000000001</v>
      </c>
      <c r="F18" s="129">
        <f>SUM(B18:E18)</f>
        <v>18.853999999999999</v>
      </c>
      <c r="G18" s="128">
        <v>5.798</v>
      </c>
      <c r="H18" s="128">
        <v>5.5359999999999996</v>
      </c>
      <c r="I18" s="128">
        <v>5.7279999999999998</v>
      </c>
      <c r="J18" s="128">
        <v>5.5209999999999999</v>
      </c>
      <c r="K18" s="129">
        <f>SUM(G18:J18)</f>
        <v>22.582999999999998</v>
      </c>
      <c r="L18" s="128">
        <v>6.2279999999999998</v>
      </c>
      <c r="M18" s="128">
        <v>6.0709999999999997</v>
      </c>
      <c r="N18" s="128">
        <v>5.7629999999999999</v>
      </c>
      <c r="O18" s="128">
        <v>5.7249999999999996</v>
      </c>
      <c r="P18" s="129">
        <f>SUM(L18:O18)</f>
        <v>23.786999999999999</v>
      </c>
      <c r="Q18" s="128">
        <v>6.0190000000000001</v>
      </c>
      <c r="R18" s="128">
        <v>6.1920000000000002</v>
      </c>
      <c r="S18" s="128">
        <v>5.52</v>
      </c>
      <c r="T18" s="128">
        <v>5.3570000000000002</v>
      </c>
      <c r="U18" s="129">
        <f>SUM(Q18:T18)</f>
        <v>23.088000000000001</v>
      </c>
      <c r="V18" s="128">
        <v>5.6440000000000001</v>
      </c>
      <c r="W18" s="128">
        <v>5.9320000000000004</v>
      </c>
      <c r="X18" s="128">
        <v>5.742</v>
      </c>
      <c r="Y18" s="128">
        <v>6.6449999999999996</v>
      </c>
      <c r="Z18" s="129">
        <f>SUM(V18:Y18)</f>
        <v>23.963000000000001</v>
      </c>
      <c r="AA18" s="128">
        <v>6.9039999999999999</v>
      </c>
      <c r="AB18" s="128">
        <v>6.92</v>
      </c>
      <c r="AC18" s="128">
        <v>6.6239999999999997</v>
      </c>
      <c r="AD18" s="128">
        <v>8.5809999999999995</v>
      </c>
      <c r="AE18" s="129">
        <f>SUM(AA18:AD18)</f>
        <v>29.029</v>
      </c>
      <c r="AF18" s="128">
        <v>7.8129999999999997</v>
      </c>
      <c r="AG18" s="128">
        <v>7.9569999999999999</v>
      </c>
      <c r="AH18" s="128">
        <v>8.5459999999999994</v>
      </c>
      <c r="AI18" s="128">
        <v>12.413</v>
      </c>
      <c r="AJ18" s="129">
        <f>SUM(AF18:AI18)</f>
        <v>36.728999999999999</v>
      </c>
      <c r="AK18" s="128">
        <f>46.282-35.1</f>
        <v>11.181999999999995</v>
      </c>
      <c r="AL18" s="128">
        <f>15.473</f>
        <v>15.473000000000001</v>
      </c>
      <c r="AM18" s="128">
        <v>20.748999999999999</v>
      </c>
      <c r="AN18" s="128">
        <v>18.849</v>
      </c>
      <c r="AO18" s="129">
        <f>SUM(AK18:AN18)</f>
        <v>66.253</v>
      </c>
      <c r="AP18" s="128">
        <v>18.021999999999998</v>
      </c>
      <c r="AQ18" s="128">
        <v>16.765000000000001</v>
      </c>
      <c r="AR18" s="128">
        <v>16.327999999999999</v>
      </c>
      <c r="AS18" s="128">
        <v>16.84</v>
      </c>
      <c r="AT18" s="129">
        <f>SUM(AP18:AS18)</f>
        <v>67.954999999999998</v>
      </c>
      <c r="AU18" s="128">
        <v>16.280999999999999</v>
      </c>
      <c r="AV18" s="128">
        <v>17.893999999999998</v>
      </c>
      <c r="AW18" s="128">
        <v>17.95</v>
      </c>
      <c r="AX18" s="128">
        <v>17.934999999999999</v>
      </c>
      <c r="AY18" s="129">
        <f>SUM(AU18:AX18)</f>
        <v>70.06</v>
      </c>
      <c r="AZ18" s="128">
        <v>17.798999999999999</v>
      </c>
      <c r="BA18" s="128">
        <v>22.562000000000001</v>
      </c>
      <c r="BB18" s="128">
        <v>20.731999999999999</v>
      </c>
      <c r="BC18" s="128">
        <v>17.568999999999999</v>
      </c>
      <c r="BD18" s="129">
        <f>SUM(AZ18:BC18)</f>
        <v>78.662000000000006</v>
      </c>
      <c r="BE18" s="128">
        <v>22.347999999999999</v>
      </c>
      <c r="BF18" s="128">
        <v>22.940999999999999</v>
      </c>
      <c r="BG18" s="128">
        <v>22.254000000000001</v>
      </c>
      <c r="BH18" s="128">
        <v>22.294</v>
      </c>
      <c r="BI18" s="129">
        <f>SUM(BE18:BH18)</f>
        <v>89.837000000000003</v>
      </c>
      <c r="BJ18" s="133">
        <f t="shared" si="2"/>
        <v>23.4476397</v>
      </c>
      <c r="BK18" s="133">
        <f t="shared" si="2"/>
        <v>25.911474248000001</v>
      </c>
      <c r="BL18" s="133">
        <f t="shared" si="2"/>
        <v>25.718004576000002</v>
      </c>
      <c r="BM18" s="133">
        <f t="shared" si="2"/>
        <v>26.838637612499998</v>
      </c>
      <c r="BN18" s="129">
        <f>SUM(BJ18:BM18)</f>
        <v>101.91575613649999</v>
      </c>
      <c r="BO18" s="133">
        <f t="shared" si="3"/>
        <v>25.653956353399995</v>
      </c>
      <c r="BP18" s="133">
        <f t="shared" si="3"/>
        <v>28.369783832579998</v>
      </c>
      <c r="BQ18" s="133">
        <f t="shared" si="3"/>
        <v>28.195225788479995</v>
      </c>
      <c r="BR18" s="133">
        <f t="shared" si="3"/>
        <v>29.381807292010002</v>
      </c>
      <c r="BS18" s="129">
        <f>SUM(BO18:BR18)</f>
        <v>111.60077326646999</v>
      </c>
      <c r="BT18" s="25"/>
      <c r="BU18" s="16"/>
      <c r="BV18" s="150"/>
      <c r="BW18" s="25"/>
    </row>
    <row r="19" spans="1:75">
      <c r="A19" s="145" t="s">
        <v>112</v>
      </c>
      <c r="B19" s="142">
        <f t="shared" ref="B19:BM19" si="4">SUM(B16:B18)</f>
        <v>10.443999999999999</v>
      </c>
      <c r="C19" s="142">
        <f t="shared" si="4"/>
        <v>11.271999999999998</v>
      </c>
      <c r="D19" s="142">
        <f t="shared" si="4"/>
        <v>13.481</v>
      </c>
      <c r="E19" s="142">
        <f t="shared" si="4"/>
        <v>15.393000000000001</v>
      </c>
      <c r="F19" s="143">
        <f t="shared" si="4"/>
        <v>50.59</v>
      </c>
      <c r="G19" s="142">
        <f t="shared" si="4"/>
        <v>14.205</v>
      </c>
      <c r="H19" s="142">
        <f t="shared" si="4"/>
        <v>15.576000000000001</v>
      </c>
      <c r="I19" s="142">
        <f t="shared" si="4"/>
        <v>15.339</v>
      </c>
      <c r="J19" s="142">
        <f t="shared" si="4"/>
        <v>15.551000000000002</v>
      </c>
      <c r="K19" s="143">
        <f t="shared" si="4"/>
        <v>60.670999999999999</v>
      </c>
      <c r="L19" s="142">
        <f t="shared" si="4"/>
        <v>16.754999999999999</v>
      </c>
      <c r="M19" s="142">
        <f t="shared" si="4"/>
        <v>18.600999999999999</v>
      </c>
      <c r="N19" s="142">
        <f t="shared" si="4"/>
        <v>16.856000000000002</v>
      </c>
      <c r="O19" s="142">
        <f t="shared" si="4"/>
        <v>15.147</v>
      </c>
      <c r="P19" s="143">
        <f t="shared" si="4"/>
        <v>67.359000000000009</v>
      </c>
      <c r="Q19" s="142">
        <f t="shared" si="4"/>
        <v>17.384999999999998</v>
      </c>
      <c r="R19" s="142">
        <f t="shared" si="4"/>
        <v>17.789000000000001</v>
      </c>
      <c r="S19" s="142">
        <f t="shared" si="4"/>
        <v>16.451000000000001</v>
      </c>
      <c r="T19" s="142">
        <f t="shared" si="4"/>
        <v>17.603999999999999</v>
      </c>
      <c r="U19" s="143">
        <f t="shared" si="4"/>
        <v>69.228999999999999</v>
      </c>
      <c r="V19" s="142">
        <f t="shared" si="4"/>
        <v>20.862000000000002</v>
      </c>
      <c r="W19" s="142">
        <f t="shared" si="4"/>
        <v>20.155999999999999</v>
      </c>
      <c r="X19" s="142">
        <f t="shared" si="4"/>
        <v>19.242000000000001</v>
      </c>
      <c r="Y19" s="142">
        <f t="shared" si="4"/>
        <v>19.835999999999999</v>
      </c>
      <c r="Z19" s="143">
        <f t="shared" si="4"/>
        <v>80.096000000000004</v>
      </c>
      <c r="AA19" s="142">
        <f t="shared" si="4"/>
        <v>22.816000000000003</v>
      </c>
      <c r="AB19" s="142">
        <f t="shared" si="4"/>
        <v>24.192999999999998</v>
      </c>
      <c r="AC19" s="142">
        <f t="shared" si="4"/>
        <v>23.354999999999997</v>
      </c>
      <c r="AD19" s="142">
        <f t="shared" si="4"/>
        <v>27.206999999999997</v>
      </c>
      <c r="AE19" s="143">
        <f t="shared" si="4"/>
        <v>97.570999999999998</v>
      </c>
      <c r="AF19" s="142">
        <f t="shared" si="4"/>
        <v>29.803999999999998</v>
      </c>
      <c r="AG19" s="142">
        <f t="shared" si="4"/>
        <v>22.827000000000002</v>
      </c>
      <c r="AH19" s="142">
        <f t="shared" si="4"/>
        <v>23.542999999999999</v>
      </c>
      <c r="AI19" s="142">
        <f t="shared" si="4"/>
        <v>30.148</v>
      </c>
      <c r="AJ19" s="143">
        <f t="shared" si="4"/>
        <v>106.322</v>
      </c>
      <c r="AK19" s="142">
        <f t="shared" si="4"/>
        <v>32.813999999999993</v>
      </c>
      <c r="AL19" s="142">
        <f t="shared" si="4"/>
        <v>41.384</v>
      </c>
      <c r="AM19" s="142">
        <f t="shared" si="4"/>
        <v>50.424999999999997</v>
      </c>
      <c r="AN19" s="142">
        <f t="shared" si="4"/>
        <v>51.313000000000002</v>
      </c>
      <c r="AO19" s="143">
        <f t="shared" si="4"/>
        <v>175.93600000000001</v>
      </c>
      <c r="AP19" s="142">
        <f t="shared" si="4"/>
        <v>49.083999999999996</v>
      </c>
      <c r="AQ19" s="142">
        <f t="shared" si="4"/>
        <v>48.992000000000004</v>
      </c>
      <c r="AR19" s="142">
        <f t="shared" si="4"/>
        <v>51.111999999999995</v>
      </c>
      <c r="AS19" s="142">
        <f t="shared" si="4"/>
        <v>51.105000000000004</v>
      </c>
      <c r="AT19" s="143">
        <f t="shared" si="4"/>
        <v>200.29300000000001</v>
      </c>
      <c r="AU19" s="142">
        <f t="shared" si="4"/>
        <v>51.222000000000001</v>
      </c>
      <c r="AV19" s="142">
        <f t="shared" si="4"/>
        <v>51.690999999999995</v>
      </c>
      <c r="AW19" s="142">
        <f t="shared" si="4"/>
        <v>51.751000000000005</v>
      </c>
      <c r="AX19" s="142">
        <f t="shared" si="4"/>
        <v>57.875</v>
      </c>
      <c r="AY19" s="143">
        <f t="shared" si="4"/>
        <v>212.53900000000002</v>
      </c>
      <c r="AZ19" s="142">
        <f t="shared" si="4"/>
        <v>52.967999999999996</v>
      </c>
      <c r="BA19" s="142">
        <f t="shared" si="4"/>
        <v>59.037000000000006</v>
      </c>
      <c r="BB19" s="142">
        <f t="shared" si="4"/>
        <v>57.641999999999996</v>
      </c>
      <c r="BC19" s="142">
        <f t="shared" si="4"/>
        <v>57.915000000000006</v>
      </c>
      <c r="BD19" s="143">
        <f t="shared" si="4"/>
        <v>227.56199999999998</v>
      </c>
      <c r="BE19" s="142">
        <f t="shared" si="4"/>
        <v>60.497999999999998</v>
      </c>
      <c r="BF19" s="142">
        <f t="shared" si="4"/>
        <v>60.314999999999998</v>
      </c>
      <c r="BG19" s="142">
        <f t="shared" si="4"/>
        <v>58.63900000000001</v>
      </c>
      <c r="BH19" s="142">
        <f t="shared" si="4"/>
        <v>65.128</v>
      </c>
      <c r="BI19" s="143">
        <f t="shared" si="4"/>
        <v>244.57999999999998</v>
      </c>
      <c r="BJ19" s="142">
        <f t="shared" si="4"/>
        <v>64.741538504999994</v>
      </c>
      <c r="BK19" s="142">
        <f t="shared" si="4"/>
        <v>72.139899894999999</v>
      </c>
      <c r="BL19" s="142">
        <f t="shared" si="4"/>
        <v>72.18576284400001</v>
      </c>
      <c r="BM19" s="142">
        <f t="shared" si="4"/>
        <v>74.841458027999991</v>
      </c>
      <c r="BN19" s="143">
        <f t="shared" ref="BN19:BS19" si="5">SUM(BN16:BN18)</f>
        <v>283.90865927200002</v>
      </c>
      <c r="BO19" s="142">
        <f t="shared" si="5"/>
        <v>70.908688347599977</v>
      </c>
      <c r="BP19" s="142">
        <f t="shared" si="5"/>
        <v>79.076696314949999</v>
      </c>
      <c r="BQ19" s="142">
        <f t="shared" si="5"/>
        <v>79.238306957280003</v>
      </c>
      <c r="BR19" s="142">
        <f t="shared" si="5"/>
        <v>82.031288566710003</v>
      </c>
      <c r="BS19" s="143">
        <f t="shared" si="5"/>
        <v>311.25498018654002</v>
      </c>
    </row>
    <row r="20" spans="1:75">
      <c r="A20" s="9" t="s">
        <v>113</v>
      </c>
      <c r="B20" s="146">
        <f t="shared" ref="B20:BM20" si="6">+B15-B19</f>
        <v>-6.5749999999999993</v>
      </c>
      <c r="C20" s="146">
        <f t="shared" si="6"/>
        <v>-6.5609999999999991</v>
      </c>
      <c r="D20" s="146">
        <f t="shared" si="6"/>
        <v>-7.8110000000000008</v>
      </c>
      <c r="E20" s="146">
        <f t="shared" si="6"/>
        <v>-8.0590000000000011</v>
      </c>
      <c r="F20" s="152">
        <f t="shared" si="6"/>
        <v>-29.006000000000007</v>
      </c>
      <c r="G20" s="146">
        <f t="shared" si="6"/>
        <v>-7.5529999999999999</v>
      </c>
      <c r="H20" s="146">
        <f t="shared" si="6"/>
        <v>-8.8070000000000022</v>
      </c>
      <c r="I20" s="146">
        <f t="shared" si="6"/>
        <v>-8.6219999999999999</v>
      </c>
      <c r="J20" s="146">
        <f t="shared" si="6"/>
        <v>-7.6840000000000019</v>
      </c>
      <c r="K20" s="152">
        <f t="shared" si="6"/>
        <v>-32.665999999999997</v>
      </c>
      <c r="L20" s="146">
        <f t="shared" si="6"/>
        <v>-9.4839999999999982</v>
      </c>
      <c r="M20" s="146">
        <f t="shared" si="6"/>
        <v>-10.226999999999999</v>
      </c>
      <c r="N20" s="146">
        <f t="shared" si="6"/>
        <v>-4.620000000000001</v>
      </c>
      <c r="O20" s="146">
        <f t="shared" si="6"/>
        <v>-3.4049999999999994</v>
      </c>
      <c r="P20" s="152">
        <f t="shared" si="6"/>
        <v>-27.736000000000004</v>
      </c>
      <c r="Q20" s="146">
        <f t="shared" si="6"/>
        <v>-7.25</v>
      </c>
      <c r="R20" s="146">
        <f t="shared" si="6"/>
        <v>-6.3430000000000035</v>
      </c>
      <c r="S20" s="146">
        <f t="shared" si="6"/>
        <v>-6.1010000000000026</v>
      </c>
      <c r="T20" s="146">
        <f t="shared" si="6"/>
        <v>-5.7769999999999992</v>
      </c>
      <c r="U20" s="152">
        <f t="shared" si="6"/>
        <v>-25.471000000000011</v>
      </c>
      <c r="V20" s="146">
        <f t="shared" si="6"/>
        <v>-8.6880000000000024</v>
      </c>
      <c r="W20" s="146">
        <f t="shared" si="6"/>
        <v>-5.6510000000000016</v>
      </c>
      <c r="X20" s="146">
        <f t="shared" si="6"/>
        <v>-4.036999999999999</v>
      </c>
      <c r="Y20" s="146">
        <f t="shared" si="6"/>
        <v>-2.7899999999999991</v>
      </c>
      <c r="Z20" s="152">
        <f t="shared" si="6"/>
        <v>-21.165999999999997</v>
      </c>
      <c r="AA20" s="146">
        <f t="shared" si="6"/>
        <v>-1.8000000000000043</v>
      </c>
      <c r="AB20" s="146">
        <f t="shared" si="6"/>
        <v>-2.8339999999999961</v>
      </c>
      <c r="AC20" s="146">
        <f t="shared" si="6"/>
        <v>-1.4959999999999987</v>
      </c>
      <c r="AD20" s="146">
        <f t="shared" si="6"/>
        <v>-7.6159999999999997</v>
      </c>
      <c r="AE20" s="152">
        <f t="shared" si="6"/>
        <v>-13.746000000000009</v>
      </c>
      <c r="AF20" s="146">
        <f t="shared" si="6"/>
        <v>-9.8369999999999997</v>
      </c>
      <c r="AG20" s="146">
        <f t="shared" si="6"/>
        <v>-9.7780000000000022</v>
      </c>
      <c r="AH20" s="146">
        <f t="shared" si="6"/>
        <v>-2.791999999999998</v>
      </c>
      <c r="AI20" s="146">
        <f t="shared" si="6"/>
        <v>-6.7989999999999959</v>
      </c>
      <c r="AJ20" s="152">
        <f t="shared" si="6"/>
        <v>-29.205999999999989</v>
      </c>
      <c r="AK20" s="146">
        <f t="shared" si="6"/>
        <v>-8.5139999999999887</v>
      </c>
      <c r="AL20" s="146">
        <f t="shared" si="6"/>
        <v>-3.7509999999999906</v>
      </c>
      <c r="AM20" s="146">
        <f t="shared" si="6"/>
        <v>-11.697999999999993</v>
      </c>
      <c r="AN20" s="146">
        <f t="shared" si="6"/>
        <v>-6.8590000000000018</v>
      </c>
      <c r="AO20" s="152">
        <f t="shared" si="6"/>
        <v>-30.822000000000003</v>
      </c>
      <c r="AP20" s="146">
        <f t="shared" si="6"/>
        <v>-4.8279999999999959</v>
      </c>
      <c r="AQ20" s="146">
        <f t="shared" si="6"/>
        <v>-1.0420000000000016</v>
      </c>
      <c r="AR20" s="146">
        <f t="shared" si="6"/>
        <v>-1.396000000000015</v>
      </c>
      <c r="AS20" s="146">
        <f t="shared" si="6"/>
        <v>2.4249999999999972</v>
      </c>
      <c r="AT20" s="152">
        <f t="shared" si="6"/>
        <v>-4.841000000000065</v>
      </c>
      <c r="AU20" s="146">
        <f t="shared" si="6"/>
        <v>5.4319999999999951</v>
      </c>
      <c r="AV20" s="146">
        <f t="shared" si="6"/>
        <v>9.4399999999999906</v>
      </c>
      <c r="AW20" s="146">
        <f t="shared" si="6"/>
        <v>11.248999999999981</v>
      </c>
      <c r="AX20" s="146">
        <f t="shared" si="6"/>
        <v>11.420000000000016</v>
      </c>
      <c r="AY20" s="152">
        <f t="shared" si="6"/>
        <v>37.540999999999968</v>
      </c>
      <c r="AZ20" s="146">
        <f t="shared" si="6"/>
        <v>12.968000000000011</v>
      </c>
      <c r="BA20" s="146">
        <f t="shared" si="6"/>
        <v>22.38900000000001</v>
      </c>
      <c r="BB20" s="146">
        <f t="shared" si="6"/>
        <v>24.872000000000014</v>
      </c>
      <c r="BC20" s="146">
        <f t="shared" si="6"/>
        <v>24.291000000000011</v>
      </c>
      <c r="BD20" s="152">
        <f t="shared" si="6"/>
        <v>84.52000000000001</v>
      </c>
      <c r="BE20" s="146">
        <f t="shared" si="6"/>
        <v>22.115000000000002</v>
      </c>
      <c r="BF20" s="146">
        <f t="shared" si="6"/>
        <v>32.761000000000024</v>
      </c>
      <c r="BG20" s="146">
        <f t="shared" si="6"/>
        <v>37.307999999999964</v>
      </c>
      <c r="BH20" s="146">
        <f t="shared" si="6"/>
        <v>40.450999999999993</v>
      </c>
      <c r="BI20" s="152">
        <f t="shared" si="6"/>
        <v>132.63499999999999</v>
      </c>
      <c r="BJ20" s="146">
        <f t="shared" si="6"/>
        <v>29.700343620000012</v>
      </c>
      <c r="BK20" s="146">
        <f t="shared" si="6"/>
        <v>34.597707092500002</v>
      </c>
      <c r="BL20" s="146">
        <f t="shared" si="6"/>
        <v>34.485506135999998</v>
      </c>
      <c r="BM20" s="146">
        <f t="shared" si="6"/>
        <v>37.880819944500004</v>
      </c>
      <c r="BN20" s="152">
        <f t="shared" ref="BN20:BS20" si="7">+BN15-BN19</f>
        <v>136.66437679299997</v>
      </c>
      <c r="BO20" s="146">
        <f t="shared" si="7"/>
        <v>33.580740619899998</v>
      </c>
      <c r="BP20" s="146">
        <f t="shared" si="7"/>
        <v>39.130736320799997</v>
      </c>
      <c r="BQ20" s="146">
        <f t="shared" si="7"/>
        <v>39.052008132319983</v>
      </c>
      <c r="BR20" s="146">
        <f t="shared" si="7"/>
        <v>42.798933165240015</v>
      </c>
      <c r="BS20" s="152">
        <f t="shared" si="7"/>
        <v>154.56241823825997</v>
      </c>
      <c r="BU20" s="148"/>
      <c r="BV20" s="148"/>
    </row>
    <row r="21" spans="1:75" ht="12.75" customHeight="1">
      <c r="A21" s="153" t="s">
        <v>114</v>
      </c>
      <c r="B21" s="128">
        <v>-0.111</v>
      </c>
      <c r="C21" s="128">
        <v>-0.113</v>
      </c>
      <c r="D21" s="128">
        <v>-0.114</v>
      </c>
      <c r="E21" s="128">
        <v>-0.10100000000000001</v>
      </c>
      <c r="F21" s="129">
        <f>SUM(B21:E21)</f>
        <v>-0.43900000000000006</v>
      </c>
      <c r="G21" s="128">
        <v>-8.8999999999999996E-2</v>
      </c>
      <c r="H21" s="128">
        <v>-0.09</v>
      </c>
      <c r="I21" s="128">
        <v>-9.1999999999999998E-2</v>
      </c>
      <c r="J21" s="128">
        <v>-9.6000000000000002E-2</v>
      </c>
      <c r="K21" s="129">
        <f>SUM(G21:J21)</f>
        <v>-0.36699999999999999</v>
      </c>
      <c r="L21" s="128">
        <v>-0.36699999999999999</v>
      </c>
      <c r="M21" s="128">
        <v>-0.78500000000000003</v>
      </c>
      <c r="N21" s="128">
        <v>-0.79900000000000004</v>
      </c>
      <c r="O21" s="128">
        <v>-0.80600000000000005</v>
      </c>
      <c r="P21" s="129">
        <f>SUM(L21:O21)</f>
        <v>-2.7570000000000001</v>
      </c>
      <c r="Q21" s="128">
        <v>-0.8</v>
      </c>
      <c r="R21" s="128">
        <v>-0.80800000000000005</v>
      </c>
      <c r="S21" s="128">
        <v>-0.81499999999999995</v>
      </c>
      <c r="T21" s="128">
        <v>-2.5179999999999998</v>
      </c>
      <c r="U21" s="129">
        <f>SUM(Q21:T21)</f>
        <v>-4.9409999999999998</v>
      </c>
      <c r="V21" s="128">
        <v>-0.44800000000000001</v>
      </c>
      <c r="W21" s="128">
        <v>-0.48099999999999998</v>
      </c>
      <c r="X21" s="128">
        <v>-0.498</v>
      </c>
      <c r="Y21" s="128">
        <v>-0.53600000000000003</v>
      </c>
      <c r="Z21" s="129">
        <f>SUM(V21:Y21)</f>
        <v>-1.9630000000000001</v>
      </c>
      <c r="AA21" s="128">
        <v>-0.30299999999999999</v>
      </c>
      <c r="AB21" s="128">
        <v>-0.23499999999999999</v>
      </c>
      <c r="AC21" s="128">
        <v>-5.8000000000000003E-2</v>
      </c>
      <c r="AD21" s="128">
        <v>-8.1000000000000003E-2</v>
      </c>
      <c r="AE21" s="129">
        <f>SUM(AA21:AD21)</f>
        <v>-0.67700000000000005</v>
      </c>
      <c r="AF21" s="128">
        <v>-5.5E-2</v>
      </c>
      <c r="AG21" s="128">
        <v>-6.5000000000000002E-2</v>
      </c>
      <c r="AH21" s="128">
        <v>-5.5E-2</v>
      </c>
      <c r="AI21" s="128">
        <v>-5.3999999999999999E-2</v>
      </c>
      <c r="AJ21" s="129">
        <f>SUM(AF21:AI21)</f>
        <v>-0.22899999999999998</v>
      </c>
      <c r="AK21" s="128">
        <v>-5.2999999999999999E-2</v>
      </c>
      <c r="AL21" s="128">
        <v>-6.3E-2</v>
      </c>
      <c r="AM21" s="128">
        <v>1.202</v>
      </c>
      <c r="AN21" s="128">
        <v>1.016</v>
      </c>
      <c r="AO21" s="129">
        <f>SUM(AK21:AN21)</f>
        <v>2.1019999999999999</v>
      </c>
      <c r="AP21" s="128">
        <v>0</v>
      </c>
      <c r="AQ21" s="128">
        <v>0</v>
      </c>
      <c r="AR21" s="128">
        <v>0</v>
      </c>
      <c r="AS21" s="128">
        <v>0</v>
      </c>
      <c r="AT21" s="129">
        <f>SUM(AP21:AS21)</f>
        <v>0</v>
      </c>
      <c r="AU21" s="128">
        <v>0</v>
      </c>
      <c r="AV21" s="128"/>
      <c r="AW21" s="128">
        <v>0</v>
      </c>
      <c r="AX21" s="128">
        <v>0</v>
      </c>
      <c r="AY21" s="129">
        <f>SUM(AU21:AX21)</f>
        <v>0</v>
      </c>
      <c r="AZ21" s="128">
        <v>0</v>
      </c>
      <c r="BA21" s="128"/>
      <c r="BB21" s="128">
        <v>0</v>
      </c>
      <c r="BC21" s="128">
        <v>0</v>
      </c>
      <c r="BD21" s="129">
        <f>SUM(AZ21:BC21)</f>
        <v>0</v>
      </c>
      <c r="BE21" s="128">
        <v>0</v>
      </c>
      <c r="BF21" s="128"/>
      <c r="BG21" s="128">
        <v>0</v>
      </c>
      <c r="BH21" s="128">
        <v>0</v>
      </c>
      <c r="BI21" s="129">
        <f>SUM(BE21:BH21)</f>
        <v>0</v>
      </c>
      <c r="BJ21" s="133">
        <v>0</v>
      </c>
      <c r="BK21" s="133">
        <v>0</v>
      </c>
      <c r="BL21" s="133">
        <v>0</v>
      </c>
      <c r="BM21" s="133">
        <v>0</v>
      </c>
      <c r="BN21" s="129">
        <f>SUM(BJ21:BM21)</f>
        <v>0</v>
      </c>
      <c r="BO21" s="133">
        <v>0</v>
      </c>
      <c r="BP21" s="133">
        <v>0</v>
      </c>
      <c r="BQ21" s="133">
        <v>0</v>
      </c>
      <c r="BR21" s="133">
        <v>0</v>
      </c>
      <c r="BS21" s="129">
        <f>SUM(BO21:BR21)</f>
        <v>0</v>
      </c>
    </row>
    <row r="22" spans="1:75">
      <c r="A22" s="153" t="s">
        <v>115</v>
      </c>
      <c r="B22" s="135">
        <v>1.2E-2</v>
      </c>
      <c r="C22" s="135">
        <v>1.9E-2</v>
      </c>
      <c r="D22" s="135">
        <v>2.3E-2</v>
      </c>
      <c r="E22" s="135">
        <v>1.7999999999999999E-2</v>
      </c>
      <c r="F22" s="136">
        <f>SUM(B22:E22)</f>
        <v>7.1999999999999995E-2</v>
      </c>
      <c r="G22" s="135">
        <v>3.2000000000000001E-2</v>
      </c>
      <c r="H22" s="135">
        <v>2.8000000000000001E-2</v>
      </c>
      <c r="I22" s="135">
        <v>3.5000000000000003E-2</v>
      </c>
      <c r="J22" s="135">
        <v>3.4000000000000002E-2</v>
      </c>
      <c r="K22" s="136">
        <f>SUM(G22:J22)</f>
        <v>0.129</v>
      </c>
      <c r="L22" s="135">
        <v>4.2999999999999997E-2</v>
      </c>
      <c r="M22" s="135">
        <v>3.5999999999999997E-2</v>
      </c>
      <c r="N22" s="135">
        <v>4.8000000000000001E-2</v>
      </c>
      <c r="O22" s="135">
        <v>7.4999999999999997E-2</v>
      </c>
      <c r="P22" s="136">
        <f>SUM(L22:O22)</f>
        <v>0.20200000000000001</v>
      </c>
      <c r="Q22" s="135">
        <v>0.1</v>
      </c>
      <c r="R22" s="135">
        <v>0.11899999999999999</v>
      </c>
      <c r="S22" s="135">
        <v>0.13400000000000001</v>
      </c>
      <c r="T22" s="135">
        <v>0.123</v>
      </c>
      <c r="U22" s="136">
        <f>SUM(Q22:T22)</f>
        <v>0.47599999999999998</v>
      </c>
      <c r="V22" s="135">
        <v>0.22600000000000001</v>
      </c>
      <c r="W22" s="135">
        <v>0.15</v>
      </c>
      <c r="X22" s="135">
        <v>0.33300000000000002</v>
      </c>
      <c r="Y22" s="135">
        <v>0.48799999999999999</v>
      </c>
      <c r="Z22" s="136">
        <f>SUM(V22:Y22)</f>
        <v>1.1970000000000001</v>
      </c>
      <c r="AA22" s="135">
        <v>0.45300000000000001</v>
      </c>
      <c r="AB22" s="135">
        <v>0.84099999999999997</v>
      </c>
      <c r="AC22" s="135">
        <v>1.091</v>
      </c>
      <c r="AD22" s="135">
        <v>0.82</v>
      </c>
      <c r="AE22" s="136">
        <f>SUM(AA22:AD22)</f>
        <v>3.2049999999999996</v>
      </c>
      <c r="AF22" s="135">
        <v>0.53900000000000003</v>
      </c>
      <c r="AG22" s="135">
        <v>9.0999999999999998E-2</v>
      </c>
      <c r="AH22" s="135">
        <v>-3.0000000000000001E-3</v>
      </c>
      <c r="AI22" s="135">
        <v>8.2000000000000003E-2</v>
      </c>
      <c r="AJ22" s="136">
        <f>SUM(AF22:AI22)</f>
        <v>0.70899999999999996</v>
      </c>
      <c r="AK22" s="135">
        <v>-0.19500000000000001</v>
      </c>
      <c r="AL22" s="135">
        <v>-1.653</v>
      </c>
      <c r="AM22" s="135">
        <v>0</v>
      </c>
      <c r="AN22" s="135">
        <v>0</v>
      </c>
      <c r="AO22" s="136">
        <f>SUM(AK22:AN22)</f>
        <v>-1.8480000000000001</v>
      </c>
      <c r="AP22" s="128">
        <v>0.78400000000000003</v>
      </c>
      <c r="AQ22" s="135">
        <v>1.0860000000000001</v>
      </c>
      <c r="AR22" s="128">
        <v>0.80500000000000005</v>
      </c>
      <c r="AS22" s="128">
        <v>1.9790000000000001</v>
      </c>
      <c r="AT22" s="136">
        <f>SUM(AP22:AS22)</f>
        <v>4.6539999999999999</v>
      </c>
      <c r="AU22" s="128">
        <v>2.407</v>
      </c>
      <c r="AV22" s="135">
        <v>-0.22600000000000001</v>
      </c>
      <c r="AW22" s="128">
        <v>1.9670000000000001</v>
      </c>
      <c r="AX22" s="128">
        <v>5.0350000000000001</v>
      </c>
      <c r="AY22" s="136">
        <f>SUM(AU22:AX22)</f>
        <v>9.1829999999999998</v>
      </c>
      <c r="AZ22" s="128">
        <v>2.7480000000000002</v>
      </c>
      <c r="BA22" s="135">
        <v>2.7549999999999999</v>
      </c>
      <c r="BB22" s="128">
        <v>3.0419999999999998</v>
      </c>
      <c r="BC22" s="128">
        <f>-0.732+1.89</f>
        <v>1.1579999999999999</v>
      </c>
      <c r="BD22" s="136">
        <f>SUM(AZ22:BC22)</f>
        <v>9.7029999999999994</v>
      </c>
      <c r="BE22" s="128">
        <v>3.4209999999999998</v>
      </c>
      <c r="BF22" s="135">
        <v>3.9839999999999733</v>
      </c>
      <c r="BG22" s="128">
        <f>-4.057+8.138-1.308</f>
        <v>2.7729999999999997</v>
      </c>
      <c r="BH22" s="128">
        <f>3.439</f>
        <v>3.4390000000000001</v>
      </c>
      <c r="BI22" s="136">
        <f>SUM(BE22:BH22)</f>
        <v>13.616999999999972</v>
      </c>
      <c r="BJ22" s="140">
        <v>0.1</v>
      </c>
      <c r="BK22" s="140">
        <v>0.1</v>
      </c>
      <c r="BL22" s="140">
        <v>0.1</v>
      </c>
      <c r="BM22" s="140">
        <v>0.1</v>
      </c>
      <c r="BN22" s="136">
        <f>SUM(BJ22:BM22)</f>
        <v>0.4</v>
      </c>
      <c r="BO22" s="140">
        <v>0.1</v>
      </c>
      <c r="BP22" s="140">
        <v>0.1</v>
      </c>
      <c r="BQ22" s="140">
        <v>0.1</v>
      </c>
      <c r="BR22" s="140">
        <v>0.1</v>
      </c>
      <c r="BS22" s="136">
        <f>SUM(BO22:BR22)</f>
        <v>0.4</v>
      </c>
    </row>
    <row r="23" spans="1:75">
      <c r="A23" s="145" t="s">
        <v>116</v>
      </c>
      <c r="B23" s="154">
        <f t="shared" ref="B23:AY23" si="8">B20+B22+B21</f>
        <v>-6.6739999999999995</v>
      </c>
      <c r="C23" s="154">
        <f t="shared" si="8"/>
        <v>-6.6549999999999994</v>
      </c>
      <c r="D23" s="154">
        <f t="shared" si="8"/>
        <v>-7.902000000000001</v>
      </c>
      <c r="E23" s="154">
        <f t="shared" si="8"/>
        <v>-8.1420000000000012</v>
      </c>
      <c r="F23" s="147">
        <f t="shared" si="8"/>
        <v>-29.373000000000008</v>
      </c>
      <c r="G23" s="154">
        <f t="shared" si="8"/>
        <v>-7.61</v>
      </c>
      <c r="H23" s="154">
        <f t="shared" si="8"/>
        <v>-8.8690000000000015</v>
      </c>
      <c r="I23" s="154">
        <f t="shared" si="8"/>
        <v>-8.6790000000000003</v>
      </c>
      <c r="J23" s="154">
        <f t="shared" si="8"/>
        <v>-7.7460000000000022</v>
      </c>
      <c r="K23" s="147">
        <f t="shared" si="8"/>
        <v>-32.903999999999996</v>
      </c>
      <c r="L23" s="154">
        <f t="shared" si="8"/>
        <v>-9.8079999999999998</v>
      </c>
      <c r="M23" s="154">
        <f t="shared" si="8"/>
        <v>-10.975999999999999</v>
      </c>
      <c r="N23" s="154">
        <f t="shared" si="8"/>
        <v>-5.3710000000000013</v>
      </c>
      <c r="O23" s="154">
        <f t="shared" si="8"/>
        <v>-4.1359999999999992</v>
      </c>
      <c r="P23" s="147">
        <f t="shared" si="8"/>
        <v>-30.291000000000004</v>
      </c>
      <c r="Q23" s="154">
        <f t="shared" si="8"/>
        <v>-7.95</v>
      </c>
      <c r="R23" s="154">
        <f t="shared" si="8"/>
        <v>-7.0320000000000036</v>
      </c>
      <c r="S23" s="154">
        <f t="shared" si="8"/>
        <v>-6.7820000000000018</v>
      </c>
      <c r="T23" s="154">
        <f t="shared" si="8"/>
        <v>-8.1719999999999988</v>
      </c>
      <c r="U23" s="147">
        <f t="shared" si="8"/>
        <v>-29.936000000000011</v>
      </c>
      <c r="V23" s="154">
        <f t="shared" si="8"/>
        <v>-8.9100000000000019</v>
      </c>
      <c r="W23" s="154">
        <f t="shared" si="8"/>
        <v>-5.9820000000000011</v>
      </c>
      <c r="X23" s="154">
        <f t="shared" si="8"/>
        <v>-4.2019999999999991</v>
      </c>
      <c r="Y23" s="154">
        <f t="shared" si="8"/>
        <v>-2.8379999999999992</v>
      </c>
      <c r="Z23" s="147">
        <f t="shared" si="8"/>
        <v>-21.931999999999999</v>
      </c>
      <c r="AA23" s="154">
        <f t="shared" si="8"/>
        <v>-1.6500000000000041</v>
      </c>
      <c r="AB23" s="154">
        <f t="shared" si="8"/>
        <v>-2.2279999999999962</v>
      </c>
      <c r="AC23" s="154">
        <f t="shared" si="8"/>
        <v>-0.46299999999999869</v>
      </c>
      <c r="AD23" s="154">
        <f t="shared" si="8"/>
        <v>-6.8769999999999998</v>
      </c>
      <c r="AE23" s="147">
        <f t="shared" si="8"/>
        <v>-11.218000000000009</v>
      </c>
      <c r="AF23" s="154">
        <f t="shared" si="8"/>
        <v>-9.3529999999999998</v>
      </c>
      <c r="AG23" s="154">
        <f t="shared" si="8"/>
        <v>-9.7520000000000024</v>
      </c>
      <c r="AH23" s="154">
        <f t="shared" si="8"/>
        <v>-2.8499999999999983</v>
      </c>
      <c r="AI23" s="154">
        <f t="shared" si="8"/>
        <v>-6.7709999999999964</v>
      </c>
      <c r="AJ23" s="147">
        <f t="shared" si="8"/>
        <v>-28.725999999999988</v>
      </c>
      <c r="AK23" s="154">
        <f t="shared" si="8"/>
        <v>-8.7619999999999898</v>
      </c>
      <c r="AL23" s="154">
        <f t="shared" si="8"/>
        <v>-5.4669999999999908</v>
      </c>
      <c r="AM23" s="154">
        <f t="shared" si="8"/>
        <v>-10.495999999999993</v>
      </c>
      <c r="AN23" s="154">
        <f t="shared" si="8"/>
        <v>-5.8430000000000017</v>
      </c>
      <c r="AO23" s="147">
        <f t="shared" si="8"/>
        <v>-30.568000000000001</v>
      </c>
      <c r="AP23" s="154">
        <f t="shared" si="8"/>
        <v>-4.043999999999996</v>
      </c>
      <c r="AQ23" s="154">
        <f t="shared" si="8"/>
        <v>4.3999999999998485E-2</v>
      </c>
      <c r="AR23" s="154">
        <f t="shared" si="8"/>
        <v>-0.59100000000001496</v>
      </c>
      <c r="AS23" s="154">
        <f t="shared" si="8"/>
        <v>4.4039999999999973</v>
      </c>
      <c r="AT23" s="147">
        <f t="shared" si="8"/>
        <v>-0.18700000000006511</v>
      </c>
      <c r="AU23" s="154">
        <f>AU20+AU22+AU21</f>
        <v>7.8389999999999951</v>
      </c>
      <c r="AV23" s="154">
        <f t="shared" ref="AV23:AX23" si="9">AV20+AV22+AV21</f>
        <v>9.2139999999999898</v>
      </c>
      <c r="AW23" s="154">
        <f t="shared" si="9"/>
        <v>13.215999999999982</v>
      </c>
      <c r="AX23" s="154">
        <f t="shared" si="9"/>
        <v>16.455000000000016</v>
      </c>
      <c r="AY23" s="147">
        <f t="shared" si="8"/>
        <v>46.723999999999968</v>
      </c>
      <c r="AZ23" s="154">
        <f>AZ20+AZ22+AZ21</f>
        <v>15.716000000000012</v>
      </c>
      <c r="BA23" s="154">
        <f t="shared" ref="BA23:BD23" si="10">BA20+BA22+BA21</f>
        <v>25.144000000000009</v>
      </c>
      <c r="BB23" s="154">
        <f t="shared" si="10"/>
        <v>27.914000000000016</v>
      </c>
      <c r="BC23" s="154">
        <f t="shared" si="10"/>
        <v>25.449000000000012</v>
      </c>
      <c r="BD23" s="147">
        <f t="shared" si="10"/>
        <v>94.223000000000013</v>
      </c>
      <c r="BE23" s="154">
        <f>BE20+BE22+BE21</f>
        <v>25.536000000000001</v>
      </c>
      <c r="BF23" s="154">
        <f t="shared" ref="BF23:BS23" si="11">BF20+BF22+BF21</f>
        <v>36.744999999999997</v>
      </c>
      <c r="BG23" s="154">
        <f t="shared" si="11"/>
        <v>40.08099999999996</v>
      </c>
      <c r="BH23" s="154">
        <f t="shared" si="11"/>
        <v>43.889999999999993</v>
      </c>
      <c r="BI23" s="147">
        <f t="shared" si="11"/>
        <v>146.25199999999995</v>
      </c>
      <c r="BJ23" s="154">
        <f t="shared" si="11"/>
        <v>29.800343620000014</v>
      </c>
      <c r="BK23" s="154">
        <f t="shared" si="11"/>
        <v>34.697707092500004</v>
      </c>
      <c r="BL23" s="154">
        <f t="shared" si="11"/>
        <v>34.585506135999999</v>
      </c>
      <c r="BM23" s="154">
        <f t="shared" si="11"/>
        <v>37.980819944500006</v>
      </c>
      <c r="BN23" s="147">
        <f t="shared" si="11"/>
        <v>137.06437679299998</v>
      </c>
      <c r="BO23" s="154">
        <f t="shared" si="11"/>
        <v>33.6807406199</v>
      </c>
      <c r="BP23" s="154">
        <f t="shared" si="11"/>
        <v>39.230736320799998</v>
      </c>
      <c r="BQ23" s="154">
        <f t="shared" si="11"/>
        <v>39.152008132319985</v>
      </c>
      <c r="BR23" s="154">
        <f t="shared" si="11"/>
        <v>42.898933165240017</v>
      </c>
      <c r="BS23" s="147">
        <f t="shared" si="11"/>
        <v>154.96241823825997</v>
      </c>
    </row>
    <row r="24" spans="1:75">
      <c r="A24" s="155" t="s">
        <v>117</v>
      </c>
      <c r="B24" s="128">
        <v>0</v>
      </c>
      <c r="C24" s="128">
        <v>0</v>
      </c>
      <c r="D24" s="128">
        <v>0</v>
      </c>
      <c r="E24" s="128">
        <v>0</v>
      </c>
      <c r="F24" s="129">
        <f>SUM(B24:E24)</f>
        <v>0</v>
      </c>
      <c r="G24" s="128">
        <v>0</v>
      </c>
      <c r="H24" s="128">
        <v>0</v>
      </c>
      <c r="I24" s="128">
        <v>0</v>
      </c>
      <c r="J24" s="128">
        <v>0</v>
      </c>
      <c r="K24" s="129">
        <f>SUM(G24:J24)</f>
        <v>0</v>
      </c>
      <c r="L24" s="128">
        <v>0</v>
      </c>
      <c r="M24" s="128">
        <v>0</v>
      </c>
      <c r="N24" s="128">
        <v>0</v>
      </c>
      <c r="O24" s="128">
        <v>0</v>
      </c>
      <c r="P24" s="129">
        <f>SUM(L24:O24)</f>
        <v>0</v>
      </c>
      <c r="Q24" s="128">
        <v>0</v>
      </c>
      <c r="R24" s="128">
        <v>0</v>
      </c>
      <c r="S24" s="128">
        <v>0</v>
      </c>
      <c r="T24" s="128">
        <v>0</v>
      </c>
      <c r="U24" s="129">
        <f>SUM(Q24:T24)</f>
        <v>0</v>
      </c>
      <c r="V24" s="128">
        <v>0</v>
      </c>
      <c r="W24" s="128">
        <v>0</v>
      </c>
      <c r="X24" s="128">
        <v>0</v>
      </c>
      <c r="Y24" s="128">
        <v>0</v>
      </c>
      <c r="Z24" s="129">
        <f>SUM(V24:Y24)</f>
        <v>0</v>
      </c>
      <c r="AA24" s="128">
        <v>0</v>
      </c>
      <c r="AB24" s="128">
        <v>0</v>
      </c>
      <c r="AC24" s="128">
        <v>0</v>
      </c>
      <c r="AD24" s="128">
        <v>0</v>
      </c>
      <c r="AE24" s="129">
        <f>SUM(AA24:AD24)</f>
        <v>0</v>
      </c>
      <c r="AF24" s="128">
        <v>0</v>
      </c>
      <c r="AG24" s="128">
        <v>0</v>
      </c>
      <c r="AH24" s="128">
        <v>0</v>
      </c>
      <c r="AI24" s="133">
        <v>0</v>
      </c>
      <c r="AJ24" s="129">
        <f>SUM(AF24:AI24)</f>
        <v>0</v>
      </c>
      <c r="AK24" s="128">
        <f>-3.795+0.27</f>
        <v>-3.5249999999999999</v>
      </c>
      <c r="AL24" s="128">
        <v>-0.152</v>
      </c>
      <c r="AM24" s="128">
        <v>-1.35</v>
      </c>
      <c r="AN24" s="128">
        <v>-0.78900000000000003</v>
      </c>
      <c r="AO24" s="129">
        <f>SUM(AK24:AN24)</f>
        <v>-5.8159999999999998</v>
      </c>
      <c r="AP24" s="128">
        <f>-0.003</f>
        <v>-3.0000000000000001E-3</v>
      </c>
      <c r="AQ24" s="128">
        <v>-0.115</v>
      </c>
      <c r="AR24" s="128">
        <v>-0.152</v>
      </c>
      <c r="AS24" s="128">
        <v>0.40300000000000002</v>
      </c>
      <c r="AT24" s="129">
        <f>SUM(AP24:AS24)</f>
        <v>0.13300000000000001</v>
      </c>
      <c r="AU24" s="128">
        <v>0.57599999999999996</v>
      </c>
      <c r="AV24" s="128">
        <v>0.67600000000000005</v>
      </c>
      <c r="AW24" s="128">
        <v>0.97</v>
      </c>
      <c r="AX24" s="128">
        <v>1.208</v>
      </c>
      <c r="AY24" s="129">
        <f>SUM(AU24:AX24)</f>
        <v>3.4299999999999997</v>
      </c>
      <c r="AZ24" s="128">
        <v>1.0880000000000001</v>
      </c>
      <c r="BA24" s="128">
        <v>1.7410000000000001</v>
      </c>
      <c r="BB24" s="128">
        <f>BB25*BB23</f>
        <v>1.9260660000000012</v>
      </c>
      <c r="BC24" s="128">
        <f>-1.67-1.83</f>
        <v>-3.5</v>
      </c>
      <c r="BD24" s="129">
        <f>SUM(AZ24:BC24)</f>
        <v>1.2550660000000011</v>
      </c>
      <c r="BE24" s="128">
        <v>1.06</v>
      </c>
      <c r="BF24" s="128">
        <f>2.23-0.437</f>
        <v>1.7929999999999999</v>
      </c>
      <c r="BG24" s="128">
        <f>-0.248-0.565</f>
        <v>-0.81299999999999994</v>
      </c>
      <c r="BH24" s="128">
        <f>-0.515+1.59</f>
        <v>1.0750000000000002</v>
      </c>
      <c r="BI24" s="129">
        <f>SUM(BE24:BH24)</f>
        <v>3.1150000000000002</v>
      </c>
      <c r="BJ24" s="133">
        <f>BJ25*BJ23</f>
        <v>1.4900171810000007</v>
      </c>
      <c r="BK24" s="133">
        <f t="shared" ref="BK24:BM24" si="12">BK25*BK23</f>
        <v>1.7348853546250003</v>
      </c>
      <c r="BL24" s="133">
        <f t="shared" si="12"/>
        <v>1.7292753068</v>
      </c>
      <c r="BM24" s="133">
        <f t="shared" si="12"/>
        <v>1.8990409972250004</v>
      </c>
      <c r="BN24" s="129">
        <f>SUM(BJ24:BM24)</f>
        <v>6.8532188396500011</v>
      </c>
      <c r="BO24" s="133">
        <f>BO25*BO23</f>
        <v>1.6840370309950001</v>
      </c>
      <c r="BP24" s="133">
        <f t="shared" ref="BP24:BR24" si="13">BP25*BP23</f>
        <v>1.96153681604</v>
      </c>
      <c r="BQ24" s="133">
        <f t="shared" si="13"/>
        <v>1.9576004066159993</v>
      </c>
      <c r="BR24" s="133">
        <f t="shared" si="13"/>
        <v>2.1449466582620009</v>
      </c>
      <c r="BS24" s="129">
        <f>SUM(BO24:BR24)</f>
        <v>7.7481209119130003</v>
      </c>
      <c r="BV24" s="45"/>
      <c r="BW24" s="45"/>
    </row>
    <row r="25" spans="1:75">
      <c r="A25" s="155" t="s">
        <v>118</v>
      </c>
      <c r="B25" s="156">
        <f t="shared" ref="B25:BA25" si="14">B24/B23</f>
        <v>0</v>
      </c>
      <c r="C25" s="156">
        <f t="shared" si="14"/>
        <v>0</v>
      </c>
      <c r="D25" s="156">
        <f t="shared" si="14"/>
        <v>0</v>
      </c>
      <c r="E25" s="156">
        <f t="shared" si="14"/>
        <v>0</v>
      </c>
      <c r="F25" s="157">
        <f t="shared" si="14"/>
        <v>0</v>
      </c>
      <c r="G25" s="156">
        <f t="shared" si="14"/>
        <v>0</v>
      </c>
      <c r="H25" s="156">
        <f t="shared" si="14"/>
        <v>0</v>
      </c>
      <c r="I25" s="156">
        <f t="shared" si="14"/>
        <v>0</v>
      </c>
      <c r="J25" s="156">
        <f t="shared" si="14"/>
        <v>0</v>
      </c>
      <c r="K25" s="157">
        <f t="shared" si="14"/>
        <v>0</v>
      </c>
      <c r="L25" s="156">
        <f t="shared" si="14"/>
        <v>0</v>
      </c>
      <c r="M25" s="156">
        <f t="shared" si="14"/>
        <v>0</v>
      </c>
      <c r="N25" s="156">
        <f t="shared" si="14"/>
        <v>0</v>
      </c>
      <c r="O25" s="156">
        <f t="shared" si="14"/>
        <v>0</v>
      </c>
      <c r="P25" s="157">
        <f t="shared" si="14"/>
        <v>0</v>
      </c>
      <c r="Q25" s="156">
        <f t="shared" si="14"/>
        <v>0</v>
      </c>
      <c r="R25" s="156">
        <f t="shared" si="14"/>
        <v>0</v>
      </c>
      <c r="S25" s="156">
        <f t="shared" si="14"/>
        <v>0</v>
      </c>
      <c r="T25" s="156">
        <f t="shared" si="14"/>
        <v>0</v>
      </c>
      <c r="U25" s="157">
        <f t="shared" si="14"/>
        <v>0</v>
      </c>
      <c r="V25" s="156">
        <f t="shared" si="14"/>
        <v>0</v>
      </c>
      <c r="W25" s="156">
        <f t="shared" si="14"/>
        <v>0</v>
      </c>
      <c r="X25" s="156">
        <f t="shared" si="14"/>
        <v>0</v>
      </c>
      <c r="Y25" s="156">
        <f t="shared" si="14"/>
        <v>0</v>
      </c>
      <c r="Z25" s="157">
        <f t="shared" si="14"/>
        <v>0</v>
      </c>
      <c r="AA25" s="156">
        <f t="shared" si="14"/>
        <v>0</v>
      </c>
      <c r="AB25" s="156">
        <f t="shared" si="14"/>
        <v>0</v>
      </c>
      <c r="AC25" s="156">
        <f t="shared" si="14"/>
        <v>0</v>
      </c>
      <c r="AD25" s="156">
        <f t="shared" si="14"/>
        <v>0</v>
      </c>
      <c r="AE25" s="157">
        <f t="shared" si="14"/>
        <v>0</v>
      </c>
      <c r="AF25" s="156">
        <f t="shared" si="14"/>
        <v>0</v>
      </c>
      <c r="AG25" s="156">
        <f t="shared" si="14"/>
        <v>0</v>
      </c>
      <c r="AH25" s="156">
        <f t="shared" si="14"/>
        <v>0</v>
      </c>
      <c r="AI25" s="156">
        <f t="shared" si="14"/>
        <v>0</v>
      </c>
      <c r="AJ25" s="157">
        <f t="shared" si="14"/>
        <v>0</v>
      </c>
      <c r="AK25" s="156">
        <f t="shared" si="14"/>
        <v>0.40230540972380779</v>
      </c>
      <c r="AL25" s="156">
        <f t="shared" si="14"/>
        <v>2.7803182732760244E-2</v>
      </c>
      <c r="AM25" s="156">
        <f t="shared" si="14"/>
        <v>0.12862042682926839</v>
      </c>
      <c r="AN25" s="156">
        <f t="shared" si="14"/>
        <v>0.13503337326715725</v>
      </c>
      <c r="AO25" s="157">
        <f t="shared" si="14"/>
        <v>0.19026432870976182</v>
      </c>
      <c r="AP25" s="156">
        <f t="shared" si="14"/>
        <v>7.4183976261127675E-4</v>
      </c>
      <c r="AQ25" s="156">
        <f t="shared" si="14"/>
        <v>-2.6136363636364539</v>
      </c>
      <c r="AR25" s="156">
        <f t="shared" si="14"/>
        <v>0.25719120135363138</v>
      </c>
      <c r="AS25" s="156">
        <f t="shared" si="14"/>
        <v>9.150772025431432E-2</v>
      </c>
      <c r="AT25" s="157">
        <f t="shared" si="14"/>
        <v>-0.71122994652381655</v>
      </c>
      <c r="AU25" s="156">
        <f t="shared" si="14"/>
        <v>7.3478760045924268E-2</v>
      </c>
      <c r="AV25" s="156">
        <f t="shared" si="14"/>
        <v>7.3366616019101452E-2</v>
      </c>
      <c r="AW25" s="156">
        <f t="shared" si="14"/>
        <v>7.3395883777239809E-2</v>
      </c>
      <c r="AX25" s="156">
        <f t="shared" si="14"/>
        <v>7.3412336675782369E-2</v>
      </c>
      <c r="AY25" s="158">
        <f t="shared" si="14"/>
        <v>7.3409810803869574E-2</v>
      </c>
      <c r="AZ25" s="156">
        <f t="shared" si="14"/>
        <v>6.9228811402392426E-2</v>
      </c>
      <c r="BA25" s="156">
        <f t="shared" si="14"/>
        <v>6.9241170855870171E-2</v>
      </c>
      <c r="BB25" s="156">
        <v>6.9000000000000006E-2</v>
      </c>
      <c r="BC25" s="156">
        <f t="shared" ref="BC25:BF25" si="15">BC24/BC23</f>
        <v>-0.13752996188455335</v>
      </c>
      <c r="BD25" s="157">
        <f t="shared" si="15"/>
        <v>1.3320165989195854E-2</v>
      </c>
      <c r="BE25" s="156">
        <f t="shared" si="15"/>
        <v>4.1510025062656643E-2</v>
      </c>
      <c r="BF25" s="156">
        <f t="shared" si="15"/>
        <v>4.879575452442509E-2</v>
      </c>
      <c r="BG25" s="156">
        <v>6.9000000000000006E-2</v>
      </c>
      <c r="BH25" s="156">
        <f t="shared" ref="BH25:BI25" si="16">BH24/BH23</f>
        <v>2.4493050808840289E-2</v>
      </c>
      <c r="BI25" s="157">
        <f t="shared" si="16"/>
        <v>2.1298854032765373E-2</v>
      </c>
      <c r="BJ25" s="159">
        <v>0.05</v>
      </c>
      <c r="BK25" s="159">
        <v>0.05</v>
      </c>
      <c r="BL25" s="159">
        <v>0.05</v>
      </c>
      <c r="BM25" s="159">
        <v>0.05</v>
      </c>
      <c r="BN25" s="157">
        <f t="shared" ref="BN25" si="17">BN24/BN23</f>
        <v>5.0000000000000017E-2</v>
      </c>
      <c r="BO25" s="159">
        <v>0.05</v>
      </c>
      <c r="BP25" s="159">
        <v>0.05</v>
      </c>
      <c r="BQ25" s="159">
        <v>0.05</v>
      </c>
      <c r="BR25" s="159">
        <v>0.05</v>
      </c>
      <c r="BS25" s="157">
        <f t="shared" ref="BS25" si="18">BS24/BS23</f>
        <v>5.000000000000001E-2</v>
      </c>
      <c r="BU25" s="25"/>
    </row>
    <row r="26" spans="1:75">
      <c r="A26" s="145" t="s">
        <v>119</v>
      </c>
      <c r="B26" s="142">
        <f t="shared" ref="B26:BM26" si="19">+B23-B24</f>
        <v>-6.6739999999999995</v>
      </c>
      <c r="C26" s="142">
        <f t="shared" si="19"/>
        <v>-6.6549999999999994</v>
      </c>
      <c r="D26" s="142">
        <f t="shared" si="19"/>
        <v>-7.902000000000001</v>
      </c>
      <c r="E26" s="142">
        <f t="shared" si="19"/>
        <v>-8.1420000000000012</v>
      </c>
      <c r="F26" s="143">
        <f t="shared" si="19"/>
        <v>-29.373000000000008</v>
      </c>
      <c r="G26" s="142">
        <f t="shared" si="19"/>
        <v>-7.61</v>
      </c>
      <c r="H26" s="142">
        <f t="shared" si="19"/>
        <v>-8.8690000000000015</v>
      </c>
      <c r="I26" s="142">
        <f t="shared" si="19"/>
        <v>-8.6790000000000003</v>
      </c>
      <c r="J26" s="142">
        <f t="shared" si="19"/>
        <v>-7.7460000000000022</v>
      </c>
      <c r="K26" s="143">
        <f t="shared" si="19"/>
        <v>-32.903999999999996</v>
      </c>
      <c r="L26" s="142">
        <f t="shared" si="19"/>
        <v>-9.8079999999999998</v>
      </c>
      <c r="M26" s="142">
        <f t="shared" si="19"/>
        <v>-10.975999999999999</v>
      </c>
      <c r="N26" s="142">
        <f t="shared" si="19"/>
        <v>-5.3710000000000013</v>
      </c>
      <c r="O26" s="142">
        <f t="shared" si="19"/>
        <v>-4.1359999999999992</v>
      </c>
      <c r="P26" s="143">
        <f t="shared" si="19"/>
        <v>-30.291000000000004</v>
      </c>
      <c r="Q26" s="142">
        <f t="shared" si="19"/>
        <v>-7.95</v>
      </c>
      <c r="R26" s="142">
        <f t="shared" si="19"/>
        <v>-7.0320000000000036</v>
      </c>
      <c r="S26" s="142">
        <f t="shared" si="19"/>
        <v>-6.7820000000000018</v>
      </c>
      <c r="T26" s="142">
        <f t="shared" si="19"/>
        <v>-8.1719999999999988</v>
      </c>
      <c r="U26" s="143">
        <f t="shared" si="19"/>
        <v>-29.936000000000011</v>
      </c>
      <c r="V26" s="142">
        <f t="shared" si="19"/>
        <v>-8.9100000000000019</v>
      </c>
      <c r="W26" s="142">
        <f t="shared" si="19"/>
        <v>-5.9820000000000011</v>
      </c>
      <c r="X26" s="142">
        <f t="shared" si="19"/>
        <v>-4.2019999999999991</v>
      </c>
      <c r="Y26" s="142">
        <f t="shared" si="19"/>
        <v>-2.8379999999999992</v>
      </c>
      <c r="Z26" s="143">
        <f t="shared" si="19"/>
        <v>-21.931999999999999</v>
      </c>
      <c r="AA26" s="142">
        <f t="shared" si="19"/>
        <v>-1.6500000000000041</v>
      </c>
      <c r="AB26" s="142">
        <f t="shared" si="19"/>
        <v>-2.2279999999999962</v>
      </c>
      <c r="AC26" s="142">
        <f t="shared" si="19"/>
        <v>-0.46299999999999869</v>
      </c>
      <c r="AD26" s="142">
        <f t="shared" si="19"/>
        <v>-6.8769999999999998</v>
      </c>
      <c r="AE26" s="143">
        <f t="shared" si="19"/>
        <v>-11.218000000000009</v>
      </c>
      <c r="AF26" s="142">
        <f t="shared" si="19"/>
        <v>-9.3529999999999998</v>
      </c>
      <c r="AG26" s="142">
        <f t="shared" si="19"/>
        <v>-9.7520000000000024</v>
      </c>
      <c r="AH26" s="142">
        <f t="shared" si="19"/>
        <v>-2.8499999999999983</v>
      </c>
      <c r="AI26" s="142">
        <f t="shared" si="19"/>
        <v>-6.7709999999999964</v>
      </c>
      <c r="AJ26" s="143">
        <f t="shared" si="19"/>
        <v>-28.725999999999988</v>
      </c>
      <c r="AK26" s="142">
        <f t="shared" si="19"/>
        <v>-5.2369999999999894</v>
      </c>
      <c r="AL26" s="142">
        <f t="shared" si="19"/>
        <v>-5.3149999999999906</v>
      </c>
      <c r="AM26" s="142">
        <f t="shared" si="19"/>
        <v>-9.1459999999999937</v>
      </c>
      <c r="AN26" s="142">
        <f t="shared" si="19"/>
        <v>-5.054000000000002</v>
      </c>
      <c r="AO26" s="143">
        <f t="shared" si="19"/>
        <v>-24.752000000000002</v>
      </c>
      <c r="AP26" s="142">
        <f t="shared" si="19"/>
        <v>-4.0409999999999959</v>
      </c>
      <c r="AQ26" s="142">
        <f t="shared" si="19"/>
        <v>0.15899999999999848</v>
      </c>
      <c r="AR26" s="142">
        <f t="shared" si="19"/>
        <v>-0.43900000000001493</v>
      </c>
      <c r="AS26" s="142">
        <f t="shared" si="19"/>
        <v>4.0009999999999977</v>
      </c>
      <c r="AT26" s="143">
        <f t="shared" si="19"/>
        <v>-0.32000000000006512</v>
      </c>
      <c r="AU26" s="142">
        <f t="shared" si="19"/>
        <v>7.2629999999999955</v>
      </c>
      <c r="AV26" s="142">
        <f t="shared" si="19"/>
        <v>8.5379999999999896</v>
      </c>
      <c r="AW26" s="142">
        <f t="shared" si="19"/>
        <v>12.245999999999981</v>
      </c>
      <c r="AX26" s="142">
        <f t="shared" si="19"/>
        <v>15.247000000000016</v>
      </c>
      <c r="AY26" s="143">
        <f t="shared" si="19"/>
        <v>43.293999999999969</v>
      </c>
      <c r="AZ26" s="142">
        <f t="shared" si="19"/>
        <v>14.628000000000011</v>
      </c>
      <c r="BA26" s="142">
        <f t="shared" si="19"/>
        <v>23.403000000000009</v>
      </c>
      <c r="BB26" s="142">
        <f t="shared" si="19"/>
        <v>25.987934000000013</v>
      </c>
      <c r="BC26" s="142">
        <f t="shared" si="19"/>
        <v>28.949000000000012</v>
      </c>
      <c r="BD26" s="143">
        <f t="shared" si="19"/>
        <v>92.967934000000014</v>
      </c>
      <c r="BE26" s="142">
        <f t="shared" si="19"/>
        <v>24.476000000000003</v>
      </c>
      <c r="BF26" s="142">
        <f t="shared" si="19"/>
        <v>34.951999999999998</v>
      </c>
      <c r="BG26" s="142">
        <f t="shared" si="19"/>
        <v>40.893999999999963</v>
      </c>
      <c r="BH26" s="142">
        <f t="shared" si="19"/>
        <v>42.814999999999991</v>
      </c>
      <c r="BI26" s="143">
        <f t="shared" si="19"/>
        <v>143.13699999999994</v>
      </c>
      <c r="BJ26" s="142">
        <f t="shared" si="19"/>
        <v>28.310326439000015</v>
      </c>
      <c r="BK26" s="142">
        <f t="shared" si="19"/>
        <v>32.962821737875004</v>
      </c>
      <c r="BL26" s="142">
        <f t="shared" si="19"/>
        <v>32.856230829200001</v>
      </c>
      <c r="BM26" s="142">
        <f t="shared" si="19"/>
        <v>36.081778947275005</v>
      </c>
      <c r="BN26" s="143">
        <f t="shared" ref="BN26:BS26" si="20">+BN23-BN24</f>
        <v>130.21115795334998</v>
      </c>
      <c r="BO26" s="142">
        <f t="shared" si="20"/>
        <v>31.996703588905</v>
      </c>
      <c r="BP26" s="142">
        <f t="shared" si="20"/>
        <v>37.269199504759996</v>
      </c>
      <c r="BQ26" s="142">
        <f t="shared" si="20"/>
        <v>37.194407725703982</v>
      </c>
      <c r="BR26" s="142">
        <f t="shared" si="20"/>
        <v>40.753986506978016</v>
      </c>
      <c r="BS26" s="143">
        <f t="shared" si="20"/>
        <v>147.21429732634698</v>
      </c>
      <c r="BU26" s="45"/>
    </row>
    <row r="27" spans="1:75">
      <c r="A27" s="153" t="s">
        <v>120</v>
      </c>
      <c r="B27" s="128">
        <v>0</v>
      </c>
      <c r="C27" s="128">
        <v>0</v>
      </c>
      <c r="D27" s="128">
        <v>0</v>
      </c>
      <c r="E27" s="128">
        <v>0</v>
      </c>
      <c r="F27" s="129">
        <f>SUM(B27:E27)</f>
        <v>0</v>
      </c>
      <c r="G27" s="128">
        <v>0</v>
      </c>
      <c r="H27" s="128">
        <v>-0.26700000000000002</v>
      </c>
      <c r="I27" s="128">
        <v>-0.26600000000000001</v>
      </c>
      <c r="J27" s="128">
        <v>-0.26700000000000002</v>
      </c>
      <c r="K27" s="129">
        <f>SUM(G27:J27)</f>
        <v>-0.8</v>
      </c>
      <c r="L27" s="128">
        <v>-0.26700000000000002</v>
      </c>
      <c r="M27" s="128">
        <v>-0.26700000000000002</v>
      </c>
      <c r="N27" s="128">
        <v>-0.26600000000000001</v>
      </c>
      <c r="O27" s="128">
        <v>-0.26700000000000002</v>
      </c>
      <c r="P27" s="129">
        <f>SUM(L27:O27)</f>
        <v>-1.0670000000000002</v>
      </c>
      <c r="Q27" s="128">
        <v>-0.26700000000000002</v>
      </c>
      <c r="R27" s="128">
        <v>-0.26600000000000001</v>
      </c>
      <c r="S27" s="128">
        <v>-0.26700000000000002</v>
      </c>
      <c r="T27" s="128">
        <v>-0.26700000000000002</v>
      </c>
      <c r="U27" s="129">
        <f>SUM(Q27:T27)</f>
        <v>-1.0670000000000002</v>
      </c>
      <c r="V27" s="128">
        <v>-0.26700000000000002</v>
      </c>
      <c r="W27" s="128">
        <v>-0.26600000000000001</v>
      </c>
      <c r="X27" s="128">
        <v>-0.26700000000000002</v>
      </c>
      <c r="Y27" s="128">
        <v>-0.26700000000000002</v>
      </c>
      <c r="Z27" s="129">
        <f>SUM(V27:Y27)</f>
        <v>-1.0670000000000002</v>
      </c>
      <c r="AA27" s="128">
        <v>-0.26700000000000002</v>
      </c>
      <c r="AB27" s="128">
        <v>-0.26600000000000001</v>
      </c>
      <c r="AC27" s="128">
        <v>-0.26700000000000002</v>
      </c>
      <c r="AD27" s="128">
        <v>-0.60099999999999998</v>
      </c>
      <c r="AE27" s="129">
        <f>SUM(AA27:AD27)</f>
        <v>-1.401</v>
      </c>
      <c r="AF27" s="128">
        <v>-1.2749999999999999</v>
      </c>
      <c r="AG27" s="128">
        <v>-1.2729999999999999</v>
      </c>
      <c r="AH27" s="128">
        <v>-1.274</v>
      </c>
      <c r="AI27" s="128">
        <v>-1.2729999999999999</v>
      </c>
      <c r="AJ27" s="129">
        <f>SUM(AF27:AI27)</f>
        <v>-5.0949999999999998</v>
      </c>
      <c r="AK27" s="128">
        <v>-1.8009999999999999</v>
      </c>
      <c r="AL27" s="128">
        <v>-3.7229999999999999</v>
      </c>
      <c r="AM27" s="128">
        <v>-4.9829999999999997</v>
      </c>
      <c r="AN27" s="128">
        <v>-5.4740000000000002</v>
      </c>
      <c r="AO27" s="129">
        <f>SUM(AK27:AN27)</f>
        <v>-15.981</v>
      </c>
      <c r="AP27" s="128">
        <v>-5.4859999999999998</v>
      </c>
      <c r="AQ27" s="128">
        <v>-5.391</v>
      </c>
      <c r="AR27" s="128">
        <v>-5.2130000000000001</v>
      </c>
      <c r="AS27" s="128">
        <v>-5.2640000000000002</v>
      </c>
      <c r="AT27" s="129">
        <f>SUM(AP27:AS27)</f>
        <v>-21.353999999999999</v>
      </c>
      <c r="AU27" s="128"/>
      <c r="AV27" s="128"/>
      <c r="AW27" s="128"/>
      <c r="AX27" s="128"/>
      <c r="AY27" s="129">
        <f>SUM(AU27:AX27)</f>
        <v>0</v>
      </c>
      <c r="AZ27" s="128"/>
      <c r="BA27" s="128"/>
      <c r="BB27" s="128"/>
      <c r="BC27" s="128"/>
      <c r="BD27" s="129">
        <f>SUM(AZ27:BC27)</f>
        <v>0</v>
      </c>
      <c r="BE27" s="128"/>
      <c r="BF27" s="128"/>
      <c r="BG27" s="128"/>
      <c r="BH27" s="128"/>
      <c r="BI27" s="129">
        <f>SUM(BE27:BH27)</f>
        <v>0</v>
      </c>
      <c r="BJ27" s="133"/>
      <c r="BK27" s="133"/>
      <c r="BL27" s="133"/>
      <c r="BM27" s="133"/>
      <c r="BN27" s="129">
        <f>SUM(BJ27:BM27)</f>
        <v>0</v>
      </c>
      <c r="BO27" s="133"/>
      <c r="BP27" s="133"/>
      <c r="BQ27" s="133"/>
      <c r="BR27" s="133"/>
      <c r="BS27" s="129">
        <f>SUM(BO27:BR27)</f>
        <v>0</v>
      </c>
    </row>
    <row r="28" spans="1:75" ht="12.75" customHeight="1">
      <c r="A28" s="155" t="s">
        <v>121</v>
      </c>
      <c r="B28" s="128">
        <v>0</v>
      </c>
      <c r="C28" s="128">
        <v>0</v>
      </c>
      <c r="D28" s="128">
        <v>0</v>
      </c>
      <c r="E28" s="128">
        <v>0</v>
      </c>
      <c r="F28" s="129">
        <f>SUM(B28:E28)</f>
        <v>0</v>
      </c>
      <c r="G28" s="128">
        <v>0</v>
      </c>
      <c r="H28" s="128">
        <v>0</v>
      </c>
      <c r="I28" s="128">
        <v>0</v>
      </c>
      <c r="J28" s="128">
        <v>0</v>
      </c>
      <c r="K28" s="129">
        <f>SUM(G28:J28)</f>
        <v>0</v>
      </c>
      <c r="L28" s="128">
        <v>0</v>
      </c>
      <c r="M28" s="128">
        <v>0</v>
      </c>
      <c r="N28" s="128">
        <v>0</v>
      </c>
      <c r="O28" s="128">
        <v>0</v>
      </c>
      <c r="P28" s="129">
        <f>SUM(L28:O28)</f>
        <v>0</v>
      </c>
      <c r="Q28" s="128">
        <v>0</v>
      </c>
      <c r="R28" s="128">
        <v>0</v>
      </c>
      <c r="S28" s="128">
        <v>0</v>
      </c>
      <c r="T28" s="128">
        <v>0</v>
      </c>
      <c r="U28" s="129">
        <f>SUM(Q28:T28)</f>
        <v>0</v>
      </c>
      <c r="V28" s="128">
        <v>0</v>
      </c>
      <c r="W28" s="128">
        <v>0</v>
      </c>
      <c r="X28" s="128">
        <v>0</v>
      </c>
      <c r="Y28" s="128">
        <v>0</v>
      </c>
      <c r="Z28" s="129">
        <f>SUM(V28:Y28)</f>
        <v>0</v>
      </c>
      <c r="AA28" s="128">
        <v>0</v>
      </c>
      <c r="AB28" s="128">
        <v>0</v>
      </c>
      <c r="AC28" s="128">
        <v>0</v>
      </c>
      <c r="AD28" s="128">
        <v>0</v>
      </c>
      <c r="AE28" s="129">
        <f>SUM(AA28:AD28)</f>
        <v>0</v>
      </c>
      <c r="AF28" s="128">
        <v>-1.0880000000000001</v>
      </c>
      <c r="AG28" s="128">
        <v>0</v>
      </c>
      <c r="AH28" s="128">
        <v>0</v>
      </c>
      <c r="AI28" s="133">
        <v>0</v>
      </c>
      <c r="AJ28" s="129">
        <f>SUM(AF28:AI28)</f>
        <v>-1.0880000000000001</v>
      </c>
      <c r="AK28" s="128">
        <v>-34.83</v>
      </c>
      <c r="AL28" s="133">
        <v>0</v>
      </c>
      <c r="AM28" s="133">
        <v>0</v>
      </c>
      <c r="AN28" s="128">
        <v>0</v>
      </c>
      <c r="AO28" s="129">
        <f>SUM(AK28:AN28)</f>
        <v>-34.83</v>
      </c>
      <c r="AP28" s="128">
        <f>-4.934</f>
        <v>-4.9340000000000002</v>
      </c>
      <c r="AQ28" s="128">
        <f>-0.982-3.318</f>
        <v>-4.3</v>
      </c>
      <c r="AR28" s="128">
        <f>-2.557-0.514</f>
        <v>-3.0709999999999997</v>
      </c>
      <c r="AS28" s="128">
        <v>-2.6309999999999998</v>
      </c>
      <c r="AT28" s="129">
        <f>SUM(AP28:AS28)</f>
        <v>-14.936</v>
      </c>
      <c r="AU28" s="128"/>
      <c r="AV28" s="128"/>
      <c r="AW28" s="128"/>
      <c r="AX28" s="128"/>
      <c r="AY28" s="129">
        <f>SUM(AU28:AX28)</f>
        <v>0</v>
      </c>
      <c r="AZ28" s="128"/>
      <c r="BA28" s="128"/>
      <c r="BB28" s="128"/>
      <c r="BC28" s="128"/>
      <c r="BD28" s="129">
        <f>SUM(AZ28:BC28)</f>
        <v>0</v>
      </c>
      <c r="BE28" s="128"/>
      <c r="BF28" s="128"/>
      <c r="BG28" s="128"/>
      <c r="BH28" s="128"/>
      <c r="BI28" s="129">
        <f>SUM(BE28:BH28)</f>
        <v>0</v>
      </c>
      <c r="BJ28" s="133"/>
      <c r="BK28" s="133"/>
      <c r="BL28" s="133"/>
      <c r="BM28" s="133"/>
      <c r="BN28" s="129">
        <f>SUM(BJ28:BM28)</f>
        <v>0</v>
      </c>
      <c r="BO28" s="133"/>
      <c r="BP28" s="133"/>
      <c r="BQ28" s="133"/>
      <c r="BR28" s="133"/>
      <c r="BS28" s="129">
        <f>SUM(BO28:BR28)</f>
        <v>0</v>
      </c>
      <c r="BT28" s="45"/>
    </row>
    <row r="29" spans="1:75">
      <c r="A29" s="145" t="s">
        <v>122</v>
      </c>
      <c r="B29" s="142">
        <f t="shared" ref="B29:AT29" si="21">SUM(B26:B28)</f>
        <v>-6.6739999999999995</v>
      </c>
      <c r="C29" s="142">
        <f t="shared" si="21"/>
        <v>-6.6549999999999994</v>
      </c>
      <c r="D29" s="142">
        <f t="shared" si="21"/>
        <v>-7.902000000000001</v>
      </c>
      <c r="E29" s="142">
        <f t="shared" si="21"/>
        <v>-8.1420000000000012</v>
      </c>
      <c r="F29" s="143">
        <f t="shared" si="21"/>
        <v>-29.373000000000008</v>
      </c>
      <c r="G29" s="142">
        <f t="shared" si="21"/>
        <v>-7.61</v>
      </c>
      <c r="H29" s="142">
        <f t="shared" si="21"/>
        <v>-9.136000000000001</v>
      </c>
      <c r="I29" s="142">
        <f t="shared" si="21"/>
        <v>-8.9450000000000003</v>
      </c>
      <c r="J29" s="142">
        <f t="shared" si="21"/>
        <v>-8.0130000000000017</v>
      </c>
      <c r="K29" s="143">
        <f t="shared" si="21"/>
        <v>-33.703999999999994</v>
      </c>
      <c r="L29" s="142">
        <f t="shared" si="21"/>
        <v>-10.074999999999999</v>
      </c>
      <c r="M29" s="142">
        <f t="shared" si="21"/>
        <v>-11.242999999999999</v>
      </c>
      <c r="N29" s="142">
        <f t="shared" si="21"/>
        <v>-5.6370000000000013</v>
      </c>
      <c r="O29" s="142">
        <f t="shared" si="21"/>
        <v>-4.4029999999999996</v>
      </c>
      <c r="P29" s="143">
        <f t="shared" si="21"/>
        <v>-31.358000000000004</v>
      </c>
      <c r="Q29" s="142">
        <f t="shared" si="21"/>
        <v>-8.2170000000000005</v>
      </c>
      <c r="R29" s="142">
        <f t="shared" si="21"/>
        <v>-7.2980000000000036</v>
      </c>
      <c r="S29" s="142">
        <f t="shared" si="21"/>
        <v>-7.0490000000000022</v>
      </c>
      <c r="T29" s="142">
        <f t="shared" si="21"/>
        <v>-8.4389999999999983</v>
      </c>
      <c r="U29" s="143">
        <f t="shared" si="21"/>
        <v>-31.003000000000011</v>
      </c>
      <c r="V29" s="142">
        <f t="shared" si="21"/>
        <v>-9.1770000000000014</v>
      </c>
      <c r="W29" s="142">
        <f t="shared" si="21"/>
        <v>-6.2480000000000011</v>
      </c>
      <c r="X29" s="142">
        <f t="shared" si="21"/>
        <v>-4.4689999999999994</v>
      </c>
      <c r="Y29" s="142">
        <f t="shared" si="21"/>
        <v>-3.1049999999999991</v>
      </c>
      <c r="Z29" s="143">
        <f t="shared" si="21"/>
        <v>-22.998999999999999</v>
      </c>
      <c r="AA29" s="142">
        <f t="shared" si="21"/>
        <v>-1.9170000000000043</v>
      </c>
      <c r="AB29" s="142">
        <f t="shared" si="21"/>
        <v>-2.4939999999999962</v>
      </c>
      <c r="AC29" s="142">
        <f t="shared" si="21"/>
        <v>-0.72999999999999865</v>
      </c>
      <c r="AD29" s="142">
        <f t="shared" si="21"/>
        <v>-7.4779999999999998</v>
      </c>
      <c r="AE29" s="143">
        <f t="shared" si="21"/>
        <v>-12.619000000000009</v>
      </c>
      <c r="AF29" s="142">
        <f t="shared" si="21"/>
        <v>-11.716000000000001</v>
      </c>
      <c r="AG29" s="142">
        <f t="shared" si="21"/>
        <v>-11.025000000000002</v>
      </c>
      <c r="AH29" s="142">
        <f t="shared" si="21"/>
        <v>-4.1239999999999988</v>
      </c>
      <c r="AI29" s="142">
        <f t="shared" si="21"/>
        <v>-8.0439999999999969</v>
      </c>
      <c r="AJ29" s="143">
        <f t="shared" si="21"/>
        <v>-34.908999999999992</v>
      </c>
      <c r="AK29" s="142">
        <f t="shared" si="21"/>
        <v>-41.867999999999988</v>
      </c>
      <c r="AL29" s="142">
        <f t="shared" si="21"/>
        <v>-9.0379999999999896</v>
      </c>
      <c r="AM29" s="142">
        <f t="shared" si="21"/>
        <v>-14.128999999999994</v>
      </c>
      <c r="AN29" s="142">
        <f t="shared" si="21"/>
        <v>-10.528000000000002</v>
      </c>
      <c r="AO29" s="143">
        <f t="shared" si="21"/>
        <v>-75.563000000000002</v>
      </c>
      <c r="AP29" s="142">
        <f t="shared" si="21"/>
        <v>-14.460999999999995</v>
      </c>
      <c r="AQ29" s="142">
        <f t="shared" si="21"/>
        <v>-9.532</v>
      </c>
      <c r="AR29" s="142">
        <f t="shared" si="21"/>
        <v>-8.723000000000015</v>
      </c>
      <c r="AS29" s="142">
        <f t="shared" si="21"/>
        <v>-3.8940000000000023</v>
      </c>
      <c r="AT29" s="143">
        <f t="shared" si="21"/>
        <v>-36.610000000000063</v>
      </c>
      <c r="AU29" s="142">
        <f>+AU23-AU24</f>
        <v>7.2629999999999955</v>
      </c>
      <c r="AV29" s="142">
        <f t="shared" ref="AV29:BS29" si="22">+AV23-AV24</f>
        <v>8.5379999999999896</v>
      </c>
      <c r="AW29" s="142">
        <f t="shared" si="22"/>
        <v>12.245999999999981</v>
      </c>
      <c r="AX29" s="142">
        <f t="shared" si="22"/>
        <v>15.247000000000016</v>
      </c>
      <c r="AY29" s="143">
        <f t="shared" si="22"/>
        <v>43.293999999999969</v>
      </c>
      <c r="AZ29" s="142">
        <f t="shared" si="22"/>
        <v>14.628000000000011</v>
      </c>
      <c r="BA29" s="142">
        <f t="shared" si="22"/>
        <v>23.403000000000009</v>
      </c>
      <c r="BB29" s="142">
        <f t="shared" si="22"/>
        <v>25.987934000000013</v>
      </c>
      <c r="BC29" s="142">
        <f t="shared" si="22"/>
        <v>28.949000000000012</v>
      </c>
      <c r="BD29" s="143">
        <f t="shared" si="22"/>
        <v>92.967934000000014</v>
      </c>
      <c r="BE29" s="142">
        <f t="shared" si="22"/>
        <v>24.476000000000003</v>
      </c>
      <c r="BF29" s="142">
        <f t="shared" si="22"/>
        <v>34.951999999999998</v>
      </c>
      <c r="BG29" s="142">
        <f t="shared" si="22"/>
        <v>40.893999999999963</v>
      </c>
      <c r="BH29" s="142">
        <f t="shared" si="22"/>
        <v>42.814999999999991</v>
      </c>
      <c r="BI29" s="143">
        <f t="shared" si="22"/>
        <v>143.13699999999994</v>
      </c>
      <c r="BJ29" s="142">
        <f t="shared" si="22"/>
        <v>28.310326439000015</v>
      </c>
      <c r="BK29" s="142">
        <f t="shared" si="22"/>
        <v>32.962821737875004</v>
      </c>
      <c r="BL29" s="142">
        <f t="shared" si="22"/>
        <v>32.856230829200001</v>
      </c>
      <c r="BM29" s="142">
        <f t="shared" si="22"/>
        <v>36.081778947275005</v>
      </c>
      <c r="BN29" s="143">
        <f t="shared" si="22"/>
        <v>130.21115795334998</v>
      </c>
      <c r="BO29" s="142">
        <f t="shared" si="22"/>
        <v>31.996703588905</v>
      </c>
      <c r="BP29" s="142">
        <f t="shared" si="22"/>
        <v>37.269199504759996</v>
      </c>
      <c r="BQ29" s="142">
        <f t="shared" si="22"/>
        <v>37.194407725703982</v>
      </c>
      <c r="BR29" s="142">
        <f t="shared" si="22"/>
        <v>40.753986506978016</v>
      </c>
      <c r="BS29" s="143">
        <f t="shared" si="22"/>
        <v>147.21429732634698</v>
      </c>
      <c r="BT29" s="160"/>
      <c r="BU29" s="160"/>
    </row>
    <row r="30" spans="1:75" ht="3.75" customHeight="1">
      <c r="A30" s="145"/>
      <c r="B30" s="146"/>
      <c r="C30" s="146"/>
      <c r="D30" s="146"/>
      <c r="E30" s="146"/>
      <c r="F30" s="152"/>
      <c r="G30" s="146"/>
      <c r="H30" s="146"/>
      <c r="I30" s="146"/>
      <c r="J30" s="146"/>
      <c r="K30" s="152"/>
      <c r="L30" s="146"/>
      <c r="M30" s="146"/>
      <c r="N30" s="146"/>
      <c r="O30" s="146"/>
      <c r="P30" s="152"/>
      <c r="Q30" s="146"/>
      <c r="R30" s="146"/>
      <c r="S30" s="146"/>
      <c r="T30" s="146"/>
      <c r="U30" s="152"/>
      <c r="V30" s="146"/>
      <c r="W30" s="146"/>
      <c r="X30" s="146"/>
      <c r="Y30" s="146"/>
      <c r="Z30" s="152"/>
      <c r="AA30" s="146"/>
      <c r="AB30" s="146"/>
      <c r="AC30" s="146"/>
      <c r="AD30" s="146"/>
      <c r="AE30" s="152"/>
      <c r="AF30" s="146"/>
      <c r="AG30" s="146"/>
      <c r="AH30" s="146"/>
      <c r="AI30" s="146"/>
      <c r="AJ30" s="152"/>
      <c r="AK30" s="146"/>
      <c r="AL30" s="146"/>
      <c r="AM30" s="146"/>
      <c r="AN30" s="146"/>
      <c r="AO30" s="152"/>
      <c r="AP30" s="146"/>
      <c r="AQ30" s="146"/>
      <c r="AR30" s="146"/>
      <c r="AS30" s="146"/>
      <c r="AT30" s="152"/>
      <c r="AU30" s="146"/>
      <c r="AV30" s="146"/>
      <c r="AW30" s="146"/>
      <c r="AX30" s="146"/>
      <c r="AY30" s="152"/>
      <c r="AZ30" s="146"/>
      <c r="BA30" s="146"/>
      <c r="BB30" s="146"/>
      <c r="BC30" s="146"/>
      <c r="BD30" s="152"/>
      <c r="BE30" s="146"/>
      <c r="BF30" s="146"/>
      <c r="BG30" s="146"/>
      <c r="BH30" s="146"/>
      <c r="BI30" s="152"/>
      <c r="BJ30" s="146"/>
      <c r="BK30" s="146"/>
      <c r="BL30" s="146"/>
      <c r="BM30" s="146"/>
      <c r="BN30" s="152"/>
      <c r="BO30" s="146"/>
      <c r="BP30" s="146"/>
      <c r="BQ30" s="146"/>
      <c r="BR30" s="146"/>
      <c r="BS30" s="152"/>
    </row>
    <row r="31" spans="1:75">
      <c r="A31" s="155" t="s">
        <v>123</v>
      </c>
      <c r="B31" s="161">
        <v>21.148342</v>
      </c>
      <c r="C31" s="161">
        <v>21.237196000000001</v>
      </c>
      <c r="D31" s="161">
        <v>21.64866</v>
      </c>
      <c r="E31" s="161">
        <v>22.50825</v>
      </c>
      <c r="F31" s="129">
        <v>21.639374</v>
      </c>
      <c r="G31" s="161">
        <v>22.539722999999999</v>
      </c>
      <c r="H31" s="161">
        <v>26.048933999999999</v>
      </c>
      <c r="I31" s="161">
        <v>27.640806000000001</v>
      </c>
      <c r="J31" s="161">
        <v>27.672806000000001</v>
      </c>
      <c r="K31" s="129">
        <v>25.944192999999999</v>
      </c>
      <c r="L31" s="161">
        <v>27.817993000000001</v>
      </c>
      <c r="M31" s="161">
        <v>27.859918</v>
      </c>
      <c r="N31" s="161">
        <v>27.916819</v>
      </c>
      <c r="O31" s="161">
        <v>31.705603</v>
      </c>
      <c r="P31" s="129">
        <v>28.830472</v>
      </c>
      <c r="Q31" s="161">
        <v>33.823889000000001</v>
      </c>
      <c r="R31" s="161">
        <v>33.873128000000001</v>
      </c>
      <c r="S31" s="161">
        <v>33.946747999999999</v>
      </c>
      <c r="T31" s="161">
        <v>34.055523999999998</v>
      </c>
      <c r="U31" s="129">
        <v>33.925617000000003</v>
      </c>
      <c r="V31" s="161">
        <v>34.271253999999999</v>
      </c>
      <c r="W31" s="161">
        <v>34.314233999999999</v>
      </c>
      <c r="X31" s="161">
        <v>38.620035999999999</v>
      </c>
      <c r="Y31" s="161">
        <v>40.731333999999997</v>
      </c>
      <c r="Z31" s="129">
        <v>37.020246</v>
      </c>
      <c r="AA31" s="161">
        <v>41.168593000000001</v>
      </c>
      <c r="AB31" s="161">
        <v>45.586081</v>
      </c>
      <c r="AC31" s="161">
        <v>48.588296</v>
      </c>
      <c r="AD31" s="161">
        <v>49.095703</v>
      </c>
      <c r="AE31" s="129">
        <v>46.138176999999999</v>
      </c>
      <c r="AF31" s="161">
        <v>49.792631</v>
      </c>
      <c r="AG31" s="161">
        <v>50.212122999999998</v>
      </c>
      <c r="AH31" s="161">
        <v>54.858052000000001</v>
      </c>
      <c r="AI31" s="161">
        <v>58.023752999999999</v>
      </c>
      <c r="AJ31" s="129">
        <f>AVERAGE(AF31:AI31)</f>
        <v>53.221639749999994</v>
      </c>
      <c r="AK31" s="161">
        <v>63.331702</v>
      </c>
      <c r="AL31" s="161">
        <v>67.316064999999995</v>
      </c>
      <c r="AM31" s="161">
        <v>69.743733000000006</v>
      </c>
      <c r="AN31" s="161">
        <v>71.064466999999993</v>
      </c>
      <c r="AO31" s="129">
        <f>AVERAGE(AK31:AN31)</f>
        <v>67.863991749999997</v>
      </c>
      <c r="AP31" s="161">
        <v>71.229671999999994</v>
      </c>
      <c r="AQ31" s="161">
        <v>71.476966000000004</v>
      </c>
      <c r="AR31" s="161">
        <v>71.656694000000002</v>
      </c>
      <c r="AS31" s="161">
        <v>71.825754000000003</v>
      </c>
      <c r="AT31" s="129">
        <f>AVERAGE(AP31:AS31)</f>
        <v>71.547271500000008</v>
      </c>
      <c r="AU31" s="161">
        <v>72.175456999999994</v>
      </c>
      <c r="AV31" s="161">
        <v>72.478662</v>
      </c>
      <c r="AW31" s="161">
        <v>72.804770000000005</v>
      </c>
      <c r="AX31" s="161">
        <v>73.107059000000007</v>
      </c>
      <c r="AY31" s="129">
        <f>AVERAGE(AU31:AX31)</f>
        <v>72.641486999999998</v>
      </c>
      <c r="AZ31" s="161">
        <v>74.759788999999998</v>
      </c>
      <c r="BA31" s="161">
        <v>77.163149000000004</v>
      </c>
      <c r="BB31" s="161">
        <v>78.464653999999996</v>
      </c>
      <c r="BC31" s="161">
        <v>77.608924000000002</v>
      </c>
      <c r="BD31" s="129">
        <f>AVERAGE(AZ31:BC31)</f>
        <v>76.999128999999996</v>
      </c>
      <c r="BE31" s="161">
        <v>80.056023999999994</v>
      </c>
      <c r="BF31" s="161">
        <v>78.391502000000003</v>
      </c>
      <c r="BG31" s="161">
        <v>78.725138999999999</v>
      </c>
      <c r="BH31" s="161">
        <v>79.178087000000005</v>
      </c>
      <c r="BI31" s="129">
        <f>AVERAGE(BE31:BH31)</f>
        <v>79.087688</v>
      </c>
      <c r="BJ31" s="162">
        <f>+BH31+0.4</f>
        <v>79.578087000000011</v>
      </c>
      <c r="BK31" s="162">
        <f>+BJ31+0.4</f>
        <v>79.978087000000016</v>
      </c>
      <c r="BL31" s="162">
        <f>+BK31+0.4</f>
        <v>80.378087000000022</v>
      </c>
      <c r="BM31" s="162">
        <f>+BL31+0.4</f>
        <v>80.778087000000028</v>
      </c>
      <c r="BN31" s="129">
        <f>AVERAGE(BJ31:BM31)</f>
        <v>80.178087000000019</v>
      </c>
      <c r="BO31" s="162">
        <f>+BM31+0.4</f>
        <v>81.178087000000033</v>
      </c>
      <c r="BP31" s="162">
        <f>+BO31+0.4</f>
        <v>81.578087000000039</v>
      </c>
      <c r="BQ31" s="162">
        <f>+BP31+0.4</f>
        <v>81.978087000000045</v>
      </c>
      <c r="BR31" s="162">
        <f>+BQ31+0.4</f>
        <v>82.37808700000005</v>
      </c>
      <c r="BS31" s="129">
        <f>AVERAGE(BO31:BR31)</f>
        <v>81.778087000000042</v>
      </c>
    </row>
    <row r="32" spans="1:75">
      <c r="A32" s="155" t="s">
        <v>124</v>
      </c>
      <c r="B32" s="161">
        <f>+B33-B31</f>
        <v>0</v>
      </c>
      <c r="C32" s="161">
        <f>+C33-C31</f>
        <v>0</v>
      </c>
      <c r="D32" s="161">
        <f>+D33-D31</f>
        <v>0</v>
      </c>
      <c r="E32" s="161">
        <f>+E33-E31</f>
        <v>0</v>
      </c>
      <c r="F32" s="163">
        <f t="shared" ref="F32:R32" si="23">+F33-F31</f>
        <v>0</v>
      </c>
      <c r="G32" s="161">
        <f>+G33-G31</f>
        <v>0</v>
      </c>
      <c r="H32" s="161">
        <f>+H33-H31</f>
        <v>0</v>
      </c>
      <c r="I32" s="161">
        <f>+I33-I31</f>
        <v>0</v>
      </c>
      <c r="J32" s="161">
        <f>+J33-J31</f>
        <v>0</v>
      </c>
      <c r="K32" s="163">
        <f>+K33-K31</f>
        <v>0</v>
      </c>
      <c r="L32" s="161">
        <f t="shared" si="23"/>
        <v>0</v>
      </c>
      <c r="M32" s="161">
        <f t="shared" si="23"/>
        <v>0</v>
      </c>
      <c r="N32" s="161">
        <f t="shared" si="23"/>
        <v>0</v>
      </c>
      <c r="O32" s="161">
        <f>+O33-O31</f>
        <v>0</v>
      </c>
      <c r="P32" s="163">
        <f t="shared" si="23"/>
        <v>0</v>
      </c>
      <c r="Q32" s="161">
        <f t="shared" si="23"/>
        <v>0</v>
      </c>
      <c r="R32" s="161">
        <f t="shared" si="23"/>
        <v>0</v>
      </c>
      <c r="S32" s="161">
        <v>0.9</v>
      </c>
      <c r="T32" s="161">
        <f>+T33-T31</f>
        <v>0</v>
      </c>
      <c r="U32" s="163">
        <f>+U33-U31</f>
        <v>0</v>
      </c>
      <c r="V32" s="161">
        <f>+V33-V31</f>
        <v>0</v>
      </c>
      <c r="W32" s="161">
        <f>+W33-W31</f>
        <v>0</v>
      </c>
      <c r="X32" s="161">
        <f>+X33-X31</f>
        <v>0</v>
      </c>
      <c r="Y32" s="161">
        <v>0</v>
      </c>
      <c r="Z32" s="163">
        <f>+Z33-Z31</f>
        <v>0</v>
      </c>
      <c r="AA32" s="161">
        <v>0</v>
      </c>
      <c r="AB32" s="161">
        <v>0</v>
      </c>
      <c r="AC32" s="161">
        <v>0</v>
      </c>
      <c r="AD32" s="161">
        <v>0</v>
      </c>
      <c r="AE32" s="163">
        <f>+AE33-AE31</f>
        <v>0</v>
      </c>
      <c r="AF32" s="161">
        <f>+AF33-AF31</f>
        <v>0</v>
      </c>
      <c r="AG32" s="161">
        <f>+AG33-AG31</f>
        <v>0</v>
      </c>
      <c r="AH32" s="161">
        <f>+AH33-AH31</f>
        <v>0</v>
      </c>
      <c r="AI32" s="161">
        <v>0</v>
      </c>
      <c r="AJ32" s="163">
        <f>+AJ33-AJ31</f>
        <v>0</v>
      </c>
      <c r="AK32" s="161">
        <v>0</v>
      </c>
      <c r="AL32" s="161">
        <v>0</v>
      </c>
      <c r="AM32" s="161">
        <v>0</v>
      </c>
      <c r="AN32" s="161">
        <v>0</v>
      </c>
      <c r="AO32" s="163">
        <f>+AO33-AO31</f>
        <v>0</v>
      </c>
      <c r="AP32" s="161">
        <v>0</v>
      </c>
      <c r="AQ32" s="161">
        <v>0</v>
      </c>
      <c r="AR32" s="161">
        <v>0</v>
      </c>
      <c r="AS32" s="161">
        <v>0</v>
      </c>
      <c r="AT32" s="163">
        <f>+AT33-AT31</f>
        <v>0</v>
      </c>
      <c r="AU32" s="161">
        <v>0</v>
      </c>
      <c r="AV32" s="161">
        <v>0</v>
      </c>
      <c r="AW32" s="161">
        <v>0</v>
      </c>
      <c r="AX32" s="161">
        <v>0</v>
      </c>
      <c r="AY32" s="163">
        <f>+AX32</f>
        <v>0</v>
      </c>
      <c r="AZ32" s="161">
        <v>0</v>
      </c>
      <c r="BA32" s="161">
        <v>0</v>
      </c>
      <c r="BB32" s="161">
        <v>0</v>
      </c>
      <c r="BC32" s="161">
        <v>0</v>
      </c>
      <c r="BD32" s="163">
        <f>+BC32</f>
        <v>0</v>
      </c>
      <c r="BE32" s="161">
        <v>0</v>
      </c>
      <c r="BF32" s="161">
        <v>0</v>
      </c>
      <c r="BG32" s="161">
        <v>0</v>
      </c>
      <c r="BH32" s="161">
        <v>0</v>
      </c>
      <c r="BI32" s="163">
        <f>+BH32</f>
        <v>0</v>
      </c>
      <c r="BJ32" s="161">
        <v>0</v>
      </c>
      <c r="BK32" s="161">
        <v>0</v>
      </c>
      <c r="BL32" s="161">
        <v>0</v>
      </c>
      <c r="BM32" s="161">
        <v>0</v>
      </c>
      <c r="BN32" s="163">
        <f>+BM32</f>
        <v>0</v>
      </c>
      <c r="BO32" s="161">
        <v>0</v>
      </c>
      <c r="BP32" s="161">
        <v>0</v>
      </c>
      <c r="BQ32" s="161">
        <v>0</v>
      </c>
      <c r="BR32" s="161">
        <v>0</v>
      </c>
      <c r="BS32" s="163">
        <f>+BR32</f>
        <v>0</v>
      </c>
    </row>
    <row r="33" spans="1:74">
      <c r="A33" s="155" t="s">
        <v>125</v>
      </c>
      <c r="B33" s="162">
        <v>21.148342</v>
      </c>
      <c r="C33" s="162">
        <v>21.237196000000001</v>
      </c>
      <c r="D33" s="162">
        <v>21.64866</v>
      </c>
      <c r="E33" s="162">
        <v>22.50825</v>
      </c>
      <c r="F33" s="129">
        <v>21.639374</v>
      </c>
      <c r="G33" s="162">
        <v>22.539722999999999</v>
      </c>
      <c r="H33" s="162">
        <v>26.048933999999999</v>
      </c>
      <c r="I33" s="162">
        <v>27.640806000000001</v>
      </c>
      <c r="J33" s="162">
        <v>27.672806000000001</v>
      </c>
      <c r="K33" s="129">
        <v>25.944192999999999</v>
      </c>
      <c r="L33" s="162">
        <v>27.817993000000001</v>
      </c>
      <c r="M33" s="162">
        <v>27.859918</v>
      </c>
      <c r="N33" s="162">
        <v>27.916819</v>
      </c>
      <c r="O33" s="162">
        <v>31.705603</v>
      </c>
      <c r="P33" s="129">
        <v>28.830472</v>
      </c>
      <c r="Q33" s="162">
        <v>33.823889000000001</v>
      </c>
      <c r="R33" s="162">
        <v>33.873128000000001</v>
      </c>
      <c r="S33" s="162">
        <v>33.946747999999999</v>
      </c>
      <c r="T33" s="162">
        <v>34.055523999999998</v>
      </c>
      <c r="U33" s="129">
        <v>33.925617000000003</v>
      </c>
      <c r="V33" s="162">
        <v>34.271253999999999</v>
      </c>
      <c r="W33" s="162">
        <v>34.314233999999999</v>
      </c>
      <c r="X33" s="162">
        <v>38.620035999999999</v>
      </c>
      <c r="Y33" s="162">
        <v>40.731333999999997</v>
      </c>
      <c r="Z33" s="129">
        <v>37.020246</v>
      </c>
      <c r="AA33" s="162">
        <v>41.168593000000001</v>
      </c>
      <c r="AB33" s="162">
        <v>45.586081</v>
      </c>
      <c r="AC33" s="162">
        <v>48.588296</v>
      </c>
      <c r="AD33" s="162">
        <v>49.095703</v>
      </c>
      <c r="AE33" s="129">
        <v>46.138176999999999</v>
      </c>
      <c r="AF33" s="162">
        <v>49.792631</v>
      </c>
      <c r="AG33" s="162">
        <v>50.212122999999998</v>
      </c>
      <c r="AH33" s="162">
        <v>54.858052000000001</v>
      </c>
      <c r="AI33" s="162">
        <f>+AI32+AI31</f>
        <v>58.023752999999999</v>
      </c>
      <c r="AJ33" s="129">
        <f>AVERAGE(AF33:AI33)</f>
        <v>53.221639749999994</v>
      </c>
      <c r="AK33" s="162">
        <f>+AK32+AK31</f>
        <v>63.331702</v>
      </c>
      <c r="AL33" s="162">
        <f>+AL32+AL31</f>
        <v>67.316064999999995</v>
      </c>
      <c r="AM33" s="162">
        <f>+AM32+AM31</f>
        <v>69.743733000000006</v>
      </c>
      <c r="AN33" s="162">
        <f>+AN32+AN31</f>
        <v>71.064466999999993</v>
      </c>
      <c r="AO33" s="129">
        <f>+AO31</f>
        <v>67.863991749999997</v>
      </c>
      <c r="AP33" s="162">
        <f>+AP32+AP31</f>
        <v>71.229671999999994</v>
      </c>
      <c r="AQ33" s="162">
        <f>+AQ32+AQ31</f>
        <v>71.476966000000004</v>
      </c>
      <c r="AR33" s="162">
        <f>+AR32+AR31</f>
        <v>71.656694000000002</v>
      </c>
      <c r="AS33" s="162">
        <f>+AS32+AS31</f>
        <v>71.825754000000003</v>
      </c>
      <c r="AT33" s="129">
        <f>+AT31</f>
        <v>71.547271500000008</v>
      </c>
      <c r="AU33" s="161">
        <v>73.512772999999996</v>
      </c>
      <c r="AV33" s="161">
        <v>73.700383000000002</v>
      </c>
      <c r="AW33" s="161">
        <v>74.130913000000007</v>
      </c>
      <c r="AX33" s="161">
        <v>74.224254000000002</v>
      </c>
      <c r="AY33" s="129">
        <f>AVERAGE(AU33:AX33)</f>
        <v>73.892080749999991</v>
      </c>
      <c r="AZ33" s="161">
        <v>75.877075000000005</v>
      </c>
      <c r="BA33" s="161">
        <v>77.163149000000004</v>
      </c>
      <c r="BB33" s="161">
        <v>78.464653999999996</v>
      </c>
      <c r="BC33" s="161">
        <v>79.905411999999998</v>
      </c>
      <c r="BD33" s="129">
        <f>AVERAGE(AZ33:BC33)</f>
        <v>77.852572500000008</v>
      </c>
      <c r="BE33" s="161">
        <v>80.056023999999994</v>
      </c>
      <c r="BF33" s="161">
        <v>79.449213</v>
      </c>
      <c r="BG33" s="161">
        <v>79.691703000000004</v>
      </c>
      <c r="BH33" s="161">
        <v>81.387089000000003</v>
      </c>
      <c r="BI33" s="129">
        <f>AVERAGE(BE33:BH33)</f>
        <v>80.146007249999997</v>
      </c>
      <c r="BJ33" s="162">
        <f>+BJ32+BJ31</f>
        <v>79.578087000000011</v>
      </c>
      <c r="BK33" s="162">
        <f>+BK32+BK31</f>
        <v>79.978087000000016</v>
      </c>
      <c r="BL33" s="162">
        <f>+BL32+BL31</f>
        <v>80.378087000000022</v>
      </c>
      <c r="BM33" s="162">
        <f>+BM32+BM31</f>
        <v>80.778087000000028</v>
      </c>
      <c r="BN33" s="129">
        <f>AVERAGE(BJ33:BM33)</f>
        <v>80.178087000000019</v>
      </c>
      <c r="BO33" s="162">
        <f>+BO32+BO31</f>
        <v>81.178087000000033</v>
      </c>
      <c r="BP33" s="162">
        <f>+BP32+BP31</f>
        <v>81.578087000000039</v>
      </c>
      <c r="BQ33" s="162">
        <f>+BQ32+BQ31</f>
        <v>81.978087000000045</v>
      </c>
      <c r="BR33" s="162">
        <f>+BR32+BR31</f>
        <v>82.37808700000005</v>
      </c>
      <c r="BS33" s="129">
        <f>AVERAGE(BO33:BR33)</f>
        <v>81.778087000000042</v>
      </c>
    </row>
    <row r="34" spans="1:74" ht="3.75" customHeight="1">
      <c r="A34" s="155"/>
      <c r="B34" s="164"/>
      <c r="C34" s="165"/>
      <c r="D34" s="164"/>
      <c r="E34" s="165"/>
      <c r="F34" s="166"/>
      <c r="G34" s="164"/>
      <c r="H34" s="165"/>
      <c r="I34" s="164"/>
      <c r="J34" s="165"/>
      <c r="K34" s="166"/>
      <c r="L34" s="164"/>
      <c r="M34" s="165"/>
      <c r="N34" s="164"/>
      <c r="O34" s="165"/>
      <c r="P34" s="166"/>
      <c r="Q34" s="164"/>
      <c r="R34" s="165"/>
      <c r="S34" s="164"/>
      <c r="T34" s="165"/>
      <c r="U34" s="166"/>
      <c r="V34" s="164"/>
      <c r="W34" s="165"/>
      <c r="X34" s="164"/>
      <c r="Y34" s="165"/>
      <c r="Z34" s="166"/>
      <c r="AA34" s="164"/>
      <c r="AB34" s="165"/>
      <c r="AC34" s="164"/>
      <c r="AD34" s="165"/>
      <c r="AE34" s="166"/>
      <c r="AF34" s="164"/>
      <c r="AG34" s="165"/>
      <c r="AH34" s="164"/>
      <c r="AI34" s="165"/>
      <c r="AJ34" s="166"/>
      <c r="AK34" s="164"/>
      <c r="AL34" s="165"/>
      <c r="AM34" s="164"/>
      <c r="AN34" s="165"/>
      <c r="AO34" s="166"/>
      <c r="AP34" s="164"/>
      <c r="AQ34" s="165"/>
      <c r="AR34" s="165"/>
      <c r="AS34" s="165"/>
      <c r="AT34" s="166"/>
      <c r="AU34" s="164"/>
      <c r="AV34" s="165"/>
      <c r="AW34" s="164"/>
      <c r="AX34" s="165"/>
      <c r="AY34" s="166"/>
      <c r="AZ34" s="164"/>
      <c r="BA34" s="165"/>
      <c r="BB34" s="164"/>
      <c r="BC34" s="165"/>
      <c r="BD34" s="166"/>
      <c r="BE34" s="164"/>
      <c r="BF34" s="165"/>
      <c r="BG34" s="164"/>
      <c r="BH34" s="165"/>
      <c r="BI34" s="166"/>
      <c r="BJ34" s="164"/>
      <c r="BK34" s="165"/>
      <c r="BL34" s="164"/>
      <c r="BM34" s="165"/>
      <c r="BN34" s="166"/>
      <c r="BO34" s="164"/>
      <c r="BP34" s="165"/>
      <c r="BQ34" s="164"/>
      <c r="BR34" s="165"/>
      <c r="BS34" s="166"/>
    </row>
    <row r="35" spans="1:74" s="74" customFormat="1">
      <c r="A35" s="145" t="s">
        <v>126</v>
      </c>
      <c r="B35" s="167"/>
      <c r="C35" s="167"/>
      <c r="D35" s="167"/>
      <c r="E35" s="167"/>
      <c r="F35" s="168"/>
      <c r="G35" s="167"/>
      <c r="H35" s="167"/>
      <c r="I35" s="167"/>
      <c r="J35" s="167"/>
      <c r="K35" s="168"/>
      <c r="L35" s="167"/>
      <c r="M35" s="167"/>
      <c r="N35" s="167"/>
      <c r="O35" s="167"/>
      <c r="P35" s="168"/>
      <c r="Q35" s="167"/>
      <c r="R35" s="167"/>
      <c r="S35" s="167"/>
      <c r="T35" s="167"/>
      <c r="U35" s="168"/>
      <c r="V35" s="167"/>
      <c r="W35" s="167"/>
      <c r="X35" s="167"/>
      <c r="Y35" s="167"/>
      <c r="Z35" s="168"/>
      <c r="AA35" s="167"/>
      <c r="AB35" s="167"/>
      <c r="AC35" s="167"/>
      <c r="AD35" s="167"/>
      <c r="AE35" s="168"/>
      <c r="AF35" s="167"/>
      <c r="AG35" s="167"/>
      <c r="AH35" s="167"/>
      <c r="AI35" s="167"/>
      <c r="AJ35" s="168"/>
      <c r="AK35" s="167"/>
      <c r="AL35" s="167"/>
      <c r="AM35" s="167"/>
      <c r="AN35" s="167"/>
      <c r="AO35" s="168"/>
      <c r="AP35" s="167"/>
      <c r="AQ35" s="167"/>
      <c r="AR35" s="167"/>
      <c r="AS35" s="167"/>
      <c r="AT35" s="168"/>
      <c r="AU35" s="167">
        <f>AU29/AU33</f>
        <v>9.8799156984596348E-2</v>
      </c>
      <c r="AV35" s="167">
        <f>AV29/AV33</f>
        <v>0.11584743053506234</v>
      </c>
      <c r="AW35" s="167">
        <f>AW29/AW33</f>
        <v>0.16519424224547161</v>
      </c>
      <c r="AX35" s="167">
        <f>AX29/AX33</f>
        <v>0.20541802952980862</v>
      </c>
      <c r="AY35" s="169">
        <f>+AY29/AY33</f>
        <v>0.58590852443954189</v>
      </c>
      <c r="AZ35" s="167">
        <f>AZ29/AZ33</f>
        <v>0.19278550207687908</v>
      </c>
      <c r="BA35" s="167">
        <f>BA29/BA33</f>
        <v>0.30329244339159883</v>
      </c>
      <c r="BB35" s="167">
        <f>BB29/BB33</f>
        <v>0.33120561520605207</v>
      </c>
      <c r="BC35" s="167">
        <f>BC29/BC33</f>
        <v>0.36229085459192695</v>
      </c>
      <c r="BD35" s="169">
        <f>+BD29/BD33</f>
        <v>1.1941536549739573</v>
      </c>
      <c r="BE35" s="167">
        <f>BE29/BE33</f>
        <v>0.30573589315402427</v>
      </c>
      <c r="BF35" s="167">
        <f>BF29/BF33</f>
        <v>0.4399288385650843</v>
      </c>
      <c r="BG35" s="167">
        <f>BG29/BG33</f>
        <v>0.51315254236692576</v>
      </c>
      <c r="BH35" s="167">
        <f>BH29/BH33</f>
        <v>0.52606624129289092</v>
      </c>
      <c r="BI35" s="169">
        <f>+BI29/BI33</f>
        <v>1.7859529739705149</v>
      </c>
      <c r="BJ35" s="167">
        <f>BJ29/BJ33</f>
        <v>0.35575530282601553</v>
      </c>
      <c r="BK35" s="167">
        <f>BK29/BK33</f>
        <v>0.41214816425747963</v>
      </c>
      <c r="BL35" s="167">
        <f>BL29/BL33</f>
        <v>0.40877099786164345</v>
      </c>
      <c r="BM35" s="167">
        <f>BM29/BM33</f>
        <v>0.44667780938257418</v>
      </c>
      <c r="BN35" s="169">
        <f>+BN29/BN33</f>
        <v>1.6240242543246255</v>
      </c>
      <c r="BO35" s="167">
        <f>BO29/BO33</f>
        <v>0.39415444205903727</v>
      </c>
      <c r="BP35" s="167">
        <f>BP29/BP33</f>
        <v>0.45685307017263077</v>
      </c>
      <c r="BQ35" s="167">
        <f>BQ29/BQ33</f>
        <v>0.45371158423962688</v>
      </c>
      <c r="BR35" s="167">
        <f>BR29/BR33</f>
        <v>0.49471877766447758</v>
      </c>
      <c r="BS35" s="169">
        <f>+BS29/BS33</f>
        <v>1.8001680245509644</v>
      </c>
    </row>
    <row r="36" spans="1:74" hidden="1" outlineLevel="1">
      <c r="A36" s="120" t="s">
        <v>127</v>
      </c>
      <c r="B36" s="146"/>
      <c r="C36" s="146"/>
      <c r="D36" s="146"/>
      <c r="E36" s="146"/>
      <c r="F36" s="152"/>
      <c r="G36" s="146"/>
      <c r="H36" s="146"/>
      <c r="I36" s="146"/>
      <c r="J36" s="146"/>
      <c r="K36" s="152"/>
      <c r="L36" s="146"/>
      <c r="M36" s="146"/>
      <c r="N36" s="146"/>
      <c r="O36" s="146"/>
      <c r="P36" s="152"/>
      <c r="Q36" s="146"/>
      <c r="R36" s="146"/>
      <c r="S36" s="146"/>
      <c r="T36" s="146"/>
      <c r="U36" s="152"/>
      <c r="V36" s="146"/>
      <c r="W36" s="146"/>
      <c r="X36" s="146"/>
      <c r="Y36" s="146"/>
      <c r="Z36" s="152"/>
      <c r="AA36" s="146"/>
      <c r="AB36" s="146"/>
      <c r="AC36" s="146"/>
      <c r="AD36" s="146"/>
      <c r="AE36" s="152"/>
      <c r="AF36" s="146"/>
      <c r="AG36" s="146"/>
      <c r="AH36" s="146"/>
      <c r="AI36" s="170"/>
      <c r="AJ36" s="171"/>
      <c r="AK36" s="128"/>
      <c r="AL36" s="128"/>
      <c r="AM36" s="128"/>
      <c r="AN36" s="128"/>
      <c r="AO36" s="171"/>
      <c r="AP36" s="128"/>
      <c r="AQ36" s="128"/>
      <c r="AR36" s="128"/>
      <c r="AS36" s="128"/>
      <c r="AT36" s="171"/>
      <c r="AU36" s="128">
        <f>10.67-AV36</f>
        <v>5.3289999999999997</v>
      </c>
      <c r="AV36" s="128">
        <v>5.3410000000000002</v>
      </c>
      <c r="AW36" s="128">
        <v>5.3369999999999997</v>
      </c>
      <c r="AX36" s="128">
        <v>4.5629999999999997</v>
      </c>
      <c r="AY36" s="172">
        <f t="shared" ref="AY36:AY40" si="24">SUM(AU36:AX36)</f>
        <v>20.569999999999997</v>
      </c>
      <c r="AZ36" s="128">
        <f>7.443-BA36</f>
        <v>3.6529999999999996</v>
      </c>
      <c r="BA36" s="128">
        <v>3.79</v>
      </c>
      <c r="BB36" s="128">
        <v>3.7970000000000002</v>
      </c>
      <c r="BC36" s="128">
        <v>3.609</v>
      </c>
      <c r="BD36" s="172">
        <f t="shared" ref="BD36:BD40" si="25">SUM(AZ36:BC36)</f>
        <v>14.849</v>
      </c>
      <c r="BE36" s="128">
        <v>3.2069999999999999</v>
      </c>
      <c r="BF36" s="128">
        <v>3.2879999999999998</v>
      </c>
      <c r="BG36" s="128">
        <v>3.3290000000000002</v>
      </c>
      <c r="BH36" s="128">
        <v>3.3290000000000002</v>
      </c>
      <c r="BI36" s="172">
        <f t="shared" ref="BI36:BI40" si="26">SUM(BE36:BH36)</f>
        <v>13.153</v>
      </c>
      <c r="BJ36" s="128">
        <v>3.8</v>
      </c>
      <c r="BK36" s="128">
        <f>BJ36</f>
        <v>3.8</v>
      </c>
      <c r="BL36" s="128">
        <f t="shared" ref="BL36:BM36" si="27">BK36</f>
        <v>3.8</v>
      </c>
      <c r="BM36" s="128">
        <f t="shared" si="27"/>
        <v>3.8</v>
      </c>
      <c r="BN36" s="172">
        <f t="shared" ref="BN36:BN40" si="28">SUM(BJ36:BM36)</f>
        <v>15.2</v>
      </c>
      <c r="BO36" s="128">
        <v>3.8</v>
      </c>
      <c r="BP36" s="128">
        <f>BO36</f>
        <v>3.8</v>
      </c>
      <c r="BQ36" s="128">
        <f t="shared" ref="BQ36:BR40" si="29">BP36</f>
        <v>3.8</v>
      </c>
      <c r="BR36" s="128">
        <f t="shared" si="29"/>
        <v>3.8</v>
      </c>
      <c r="BS36" s="172">
        <f t="shared" ref="BS36:BS40" si="30">SUM(BO36:BR36)</f>
        <v>15.2</v>
      </c>
    </row>
    <row r="37" spans="1:74" hidden="1" outlineLevel="1">
      <c r="A37" s="149" t="s">
        <v>128</v>
      </c>
      <c r="B37" s="146"/>
      <c r="C37" s="146"/>
      <c r="D37" s="146"/>
      <c r="E37" s="146"/>
      <c r="F37" s="152"/>
      <c r="G37" s="146"/>
      <c r="H37" s="146"/>
      <c r="I37" s="146"/>
      <c r="J37" s="146"/>
      <c r="K37" s="152"/>
      <c r="L37" s="146"/>
      <c r="M37" s="146"/>
      <c r="N37" s="146"/>
      <c r="O37" s="146"/>
      <c r="P37" s="152"/>
      <c r="Q37" s="146"/>
      <c r="R37" s="146"/>
      <c r="S37" s="146"/>
      <c r="T37" s="146"/>
      <c r="U37" s="152"/>
      <c r="V37" s="146"/>
      <c r="W37" s="146"/>
      <c r="X37" s="146"/>
      <c r="Y37" s="146"/>
      <c r="Z37" s="152"/>
      <c r="AA37" s="146"/>
      <c r="AB37" s="146"/>
      <c r="AC37" s="146"/>
      <c r="AD37" s="146"/>
      <c r="AE37" s="152"/>
      <c r="AF37" s="146"/>
      <c r="AG37" s="146"/>
      <c r="AH37" s="146"/>
      <c r="AI37" s="170"/>
      <c r="AJ37" s="171"/>
      <c r="AK37" s="128"/>
      <c r="AL37" s="128"/>
      <c r="AM37" s="128"/>
      <c r="AN37" s="128"/>
      <c r="AO37" s="171"/>
      <c r="AP37" s="128"/>
      <c r="AQ37" s="128"/>
      <c r="AR37" s="128"/>
      <c r="AS37" s="128"/>
      <c r="AT37" s="171"/>
      <c r="AU37" s="128">
        <f>18.55-AV37</f>
        <v>8.1010000000000009</v>
      </c>
      <c r="AV37" s="128">
        <v>10.449</v>
      </c>
      <c r="AW37" s="128">
        <v>7.3319999999999999</v>
      </c>
      <c r="AX37" s="128">
        <v>7.6070000000000002</v>
      </c>
      <c r="AY37" s="172">
        <f t="shared" si="24"/>
        <v>33.489000000000004</v>
      </c>
      <c r="AZ37" s="128">
        <f>17.873-BA37</f>
        <v>8.0190000000000019</v>
      </c>
      <c r="BA37" s="128">
        <v>9.8539999999999992</v>
      </c>
      <c r="BB37" s="128">
        <v>8.7469999999999999</v>
      </c>
      <c r="BC37" s="128">
        <v>9.6289999999999996</v>
      </c>
      <c r="BD37" s="172">
        <f t="shared" si="25"/>
        <v>36.249000000000002</v>
      </c>
      <c r="BE37" s="128">
        <v>10.958</v>
      </c>
      <c r="BF37" s="128">
        <v>10.984999999999999</v>
      </c>
      <c r="BG37" s="128">
        <v>10.757</v>
      </c>
      <c r="BH37" s="128">
        <v>10.901</v>
      </c>
      <c r="BI37" s="172">
        <f t="shared" si="26"/>
        <v>43.600999999999999</v>
      </c>
      <c r="BJ37" s="128">
        <v>9.9</v>
      </c>
      <c r="BK37" s="128">
        <f t="shared" ref="BK37:BM40" si="31">BJ37</f>
        <v>9.9</v>
      </c>
      <c r="BL37" s="128">
        <f t="shared" si="31"/>
        <v>9.9</v>
      </c>
      <c r="BM37" s="128">
        <f t="shared" si="31"/>
        <v>9.9</v>
      </c>
      <c r="BN37" s="172">
        <f t="shared" si="28"/>
        <v>39.6</v>
      </c>
      <c r="BO37" s="128">
        <v>9.9</v>
      </c>
      <c r="BP37" s="128">
        <f t="shared" ref="BP37:BP40" si="32">BO37</f>
        <v>9.9</v>
      </c>
      <c r="BQ37" s="128">
        <f t="shared" si="29"/>
        <v>9.9</v>
      </c>
      <c r="BR37" s="128">
        <f t="shared" si="29"/>
        <v>9.9</v>
      </c>
      <c r="BS37" s="172">
        <f t="shared" si="30"/>
        <v>39.6</v>
      </c>
    </row>
    <row r="38" spans="1:74" hidden="1" outlineLevel="1">
      <c r="A38" s="149" t="s">
        <v>129</v>
      </c>
      <c r="B38" s="146"/>
      <c r="C38" s="146"/>
      <c r="D38" s="146"/>
      <c r="E38" s="146"/>
      <c r="F38" s="152"/>
      <c r="G38" s="146"/>
      <c r="H38" s="146"/>
      <c r="I38" s="146"/>
      <c r="J38" s="146"/>
      <c r="K38" s="152"/>
      <c r="L38" s="146"/>
      <c r="M38" s="146"/>
      <c r="N38" s="146"/>
      <c r="O38" s="146"/>
      <c r="P38" s="152"/>
      <c r="Q38" s="146"/>
      <c r="R38" s="146"/>
      <c r="S38" s="146"/>
      <c r="T38" s="146"/>
      <c r="U38" s="152"/>
      <c r="V38" s="146"/>
      <c r="W38" s="146"/>
      <c r="X38" s="146"/>
      <c r="Y38" s="146"/>
      <c r="Z38" s="152"/>
      <c r="AA38" s="146"/>
      <c r="AB38" s="146"/>
      <c r="AC38" s="146"/>
      <c r="AD38" s="146"/>
      <c r="AE38" s="152"/>
      <c r="AF38" s="146"/>
      <c r="AG38" s="146"/>
      <c r="AH38" s="146"/>
      <c r="AI38" s="170"/>
      <c r="AJ38" s="171"/>
      <c r="AK38" s="128"/>
      <c r="AL38" s="128"/>
      <c r="AM38" s="128"/>
      <c r="AN38" s="128"/>
      <c r="AO38" s="171"/>
      <c r="AP38" s="128"/>
      <c r="AQ38" s="128"/>
      <c r="AR38" s="128"/>
      <c r="AS38" s="128"/>
      <c r="AT38" s="171"/>
      <c r="AU38" s="128">
        <f>2.856-AV38</f>
        <v>1.1549999999999998</v>
      </c>
      <c r="AV38" s="128">
        <v>1.7010000000000001</v>
      </c>
      <c r="AW38" s="128">
        <v>-4.5810000000000004</v>
      </c>
      <c r="AX38" s="128">
        <v>2.718</v>
      </c>
      <c r="AY38" s="172">
        <f t="shared" si="24"/>
        <v>0.99299999999999944</v>
      </c>
      <c r="AZ38" s="128">
        <f>5.596-BA38</f>
        <v>4.5030000000000001</v>
      </c>
      <c r="BA38" s="128">
        <v>1.093</v>
      </c>
      <c r="BB38" s="128">
        <v>7.4999999999999997E-2</v>
      </c>
      <c r="BC38" s="128">
        <v>0.96099999999999997</v>
      </c>
      <c r="BD38" s="172">
        <f t="shared" si="25"/>
        <v>6.6320000000000006</v>
      </c>
      <c r="BE38" s="128">
        <v>1.3520000000000001</v>
      </c>
      <c r="BF38" s="128">
        <v>-0.92500000000000004</v>
      </c>
      <c r="BG38" s="128">
        <v>0.16600000000000001</v>
      </c>
      <c r="BH38" s="128">
        <v>-12.564</v>
      </c>
      <c r="BI38" s="172">
        <f t="shared" si="26"/>
        <v>-11.971</v>
      </c>
      <c r="BJ38" s="128">
        <v>1</v>
      </c>
      <c r="BK38" s="128">
        <f t="shared" si="31"/>
        <v>1</v>
      </c>
      <c r="BL38" s="128">
        <f t="shared" si="31"/>
        <v>1</v>
      </c>
      <c r="BM38" s="128">
        <f t="shared" si="31"/>
        <v>1</v>
      </c>
      <c r="BN38" s="172">
        <f t="shared" si="28"/>
        <v>4</v>
      </c>
      <c r="BO38" s="128">
        <v>1</v>
      </c>
      <c r="BP38" s="128">
        <f t="shared" si="32"/>
        <v>1</v>
      </c>
      <c r="BQ38" s="128">
        <f t="shared" si="29"/>
        <v>1</v>
      </c>
      <c r="BR38" s="128">
        <f t="shared" si="29"/>
        <v>1</v>
      </c>
      <c r="BS38" s="172">
        <f t="shared" si="30"/>
        <v>4</v>
      </c>
    </row>
    <row r="39" spans="1:74" hidden="1" outlineLevel="1">
      <c r="A39" s="149" t="s">
        <v>130</v>
      </c>
      <c r="B39" s="146"/>
      <c r="C39" s="146"/>
      <c r="D39" s="146"/>
      <c r="E39" s="146"/>
      <c r="F39" s="152"/>
      <c r="G39" s="146"/>
      <c r="H39" s="146"/>
      <c r="I39" s="146"/>
      <c r="J39" s="146"/>
      <c r="K39" s="152"/>
      <c r="L39" s="146"/>
      <c r="M39" s="146"/>
      <c r="N39" s="146"/>
      <c r="O39" s="146"/>
      <c r="P39" s="152"/>
      <c r="Q39" s="146"/>
      <c r="R39" s="146"/>
      <c r="S39" s="146"/>
      <c r="T39" s="146"/>
      <c r="U39" s="152"/>
      <c r="V39" s="146"/>
      <c r="W39" s="146"/>
      <c r="X39" s="146"/>
      <c r="Y39" s="146"/>
      <c r="Z39" s="152"/>
      <c r="AA39" s="146"/>
      <c r="AB39" s="146"/>
      <c r="AC39" s="146"/>
      <c r="AD39" s="146"/>
      <c r="AE39" s="152"/>
      <c r="AF39" s="146"/>
      <c r="AG39" s="146"/>
      <c r="AH39" s="146"/>
      <c r="AI39" s="170"/>
      <c r="AJ39" s="171"/>
      <c r="AK39" s="128"/>
      <c r="AL39" s="128"/>
      <c r="AM39" s="128"/>
      <c r="AN39" s="128"/>
      <c r="AO39" s="171"/>
      <c r="AP39" s="128"/>
      <c r="AQ39" s="128"/>
      <c r="AR39" s="128"/>
      <c r="AS39" s="128"/>
      <c r="AT39" s="171"/>
      <c r="AU39" s="128">
        <f>1.344-AV39</f>
        <v>1.3440000000000001</v>
      </c>
      <c r="AV39" s="128">
        <v>0</v>
      </c>
      <c r="AW39" s="128">
        <v>34.9</v>
      </c>
      <c r="AX39" s="128">
        <v>32.039000000000001</v>
      </c>
      <c r="AY39" s="172">
        <f t="shared" si="24"/>
        <v>68.283000000000001</v>
      </c>
      <c r="AZ39" s="128">
        <f>4.496-BA39</f>
        <v>1.4500000000000006</v>
      </c>
      <c r="BA39" s="128">
        <v>3.0459999999999998</v>
      </c>
      <c r="BB39" s="128">
        <v>-0.85299999999999998</v>
      </c>
      <c r="BC39" s="128">
        <v>7.8070000000000004</v>
      </c>
      <c r="BD39" s="172">
        <f t="shared" si="25"/>
        <v>11.450000000000001</v>
      </c>
      <c r="BE39" s="128">
        <v>2.5910000000000002</v>
      </c>
      <c r="BF39" s="128">
        <v>22.146999999999998</v>
      </c>
      <c r="BG39" s="128">
        <v>8.1379999999999999</v>
      </c>
      <c r="BH39" s="128">
        <v>1.59</v>
      </c>
      <c r="BI39" s="172">
        <f t="shared" si="26"/>
        <v>34.466000000000001</v>
      </c>
      <c r="BJ39" s="128">
        <v>1</v>
      </c>
      <c r="BK39" s="128">
        <f t="shared" si="31"/>
        <v>1</v>
      </c>
      <c r="BL39" s="128">
        <f t="shared" si="31"/>
        <v>1</v>
      </c>
      <c r="BM39" s="128">
        <f t="shared" si="31"/>
        <v>1</v>
      </c>
      <c r="BN39" s="172">
        <f t="shared" si="28"/>
        <v>4</v>
      </c>
      <c r="BO39" s="128">
        <v>1</v>
      </c>
      <c r="BP39" s="128">
        <f t="shared" si="32"/>
        <v>1</v>
      </c>
      <c r="BQ39" s="128">
        <f t="shared" si="29"/>
        <v>1</v>
      </c>
      <c r="BR39" s="128">
        <f t="shared" si="29"/>
        <v>1</v>
      </c>
      <c r="BS39" s="172">
        <f t="shared" si="30"/>
        <v>4</v>
      </c>
    </row>
    <row r="40" spans="1:74" hidden="1" outlineLevel="1">
      <c r="A40" s="149" t="s">
        <v>131</v>
      </c>
      <c r="B40" s="142"/>
      <c r="C40" s="142"/>
      <c r="D40" s="142"/>
      <c r="E40" s="142"/>
      <c r="F40" s="143"/>
      <c r="G40" s="142"/>
      <c r="H40" s="142"/>
      <c r="I40" s="142"/>
      <c r="J40" s="142"/>
      <c r="K40" s="143"/>
      <c r="L40" s="142"/>
      <c r="M40" s="142"/>
      <c r="N40" s="142"/>
      <c r="O40" s="142"/>
      <c r="P40" s="143"/>
      <c r="Q40" s="142"/>
      <c r="R40" s="142"/>
      <c r="S40" s="142"/>
      <c r="T40" s="142"/>
      <c r="U40" s="143"/>
      <c r="V40" s="142"/>
      <c r="W40" s="142"/>
      <c r="X40" s="142"/>
      <c r="Y40" s="142"/>
      <c r="Z40" s="143"/>
      <c r="AA40" s="142"/>
      <c r="AB40" s="142"/>
      <c r="AC40" s="142"/>
      <c r="AD40" s="142"/>
      <c r="AE40" s="143"/>
      <c r="AF40" s="142"/>
      <c r="AG40" s="142"/>
      <c r="AH40" s="142"/>
      <c r="AI40" s="142"/>
      <c r="AJ40" s="173"/>
      <c r="AK40" s="135"/>
      <c r="AL40" s="135"/>
      <c r="AM40" s="135"/>
      <c r="AN40" s="135"/>
      <c r="AO40" s="173"/>
      <c r="AP40" s="135"/>
      <c r="AQ40" s="135"/>
      <c r="AR40" s="135"/>
      <c r="AS40" s="135"/>
      <c r="AT40" s="173"/>
      <c r="AU40" s="135">
        <f>-1.126-AV40</f>
        <v>-0.57499999999999984</v>
      </c>
      <c r="AV40" s="135">
        <v>-0.55100000000000005</v>
      </c>
      <c r="AW40" s="135">
        <v>-1.1240000000000001</v>
      </c>
      <c r="AX40" s="135">
        <v>-3.387</v>
      </c>
      <c r="AY40" s="172">
        <f t="shared" si="24"/>
        <v>-5.6370000000000005</v>
      </c>
      <c r="AZ40" s="135">
        <f>-1.247-BA40</f>
        <v>-1.133</v>
      </c>
      <c r="BA40" s="135">
        <v>-0.114</v>
      </c>
      <c r="BB40" s="135">
        <v>-0.93300000000000005</v>
      </c>
      <c r="BC40" s="135">
        <v>1.83</v>
      </c>
      <c r="BD40" s="172">
        <f t="shared" si="25"/>
        <v>-0.35000000000000009</v>
      </c>
      <c r="BE40" s="135">
        <v>-0.67900000000000005</v>
      </c>
      <c r="BF40" s="135">
        <v>0.437</v>
      </c>
      <c r="BG40" s="135">
        <v>-0.56499999999999995</v>
      </c>
      <c r="BH40" s="135">
        <v>-1.59</v>
      </c>
      <c r="BI40" s="172">
        <f t="shared" si="26"/>
        <v>-2.3970000000000002</v>
      </c>
      <c r="BJ40" s="128">
        <v>0</v>
      </c>
      <c r="BK40" s="128">
        <f t="shared" si="31"/>
        <v>0</v>
      </c>
      <c r="BL40" s="128">
        <f t="shared" si="31"/>
        <v>0</v>
      </c>
      <c r="BM40" s="128">
        <f t="shared" si="31"/>
        <v>0</v>
      </c>
      <c r="BN40" s="172">
        <f t="shared" si="28"/>
        <v>0</v>
      </c>
      <c r="BO40" s="128">
        <v>0</v>
      </c>
      <c r="BP40" s="128">
        <f t="shared" si="32"/>
        <v>0</v>
      </c>
      <c r="BQ40" s="128">
        <f t="shared" si="29"/>
        <v>0</v>
      </c>
      <c r="BR40" s="128">
        <f t="shared" si="29"/>
        <v>0</v>
      </c>
      <c r="BS40" s="172">
        <f t="shared" si="30"/>
        <v>0</v>
      </c>
    </row>
    <row r="41" spans="1:74" collapsed="1">
      <c r="A41" s="174" t="s">
        <v>132</v>
      </c>
      <c r="B41" s="175">
        <f t="shared" ref="B41:AT41" si="33">B29</f>
        <v>-6.6739999999999995</v>
      </c>
      <c r="C41" s="175">
        <f t="shared" si="33"/>
        <v>-6.6549999999999994</v>
      </c>
      <c r="D41" s="175">
        <f t="shared" si="33"/>
        <v>-7.902000000000001</v>
      </c>
      <c r="E41" s="175">
        <f t="shared" si="33"/>
        <v>-8.1420000000000012</v>
      </c>
      <c r="F41" s="176">
        <f t="shared" si="33"/>
        <v>-29.373000000000008</v>
      </c>
      <c r="G41" s="175">
        <f t="shared" si="33"/>
        <v>-7.61</v>
      </c>
      <c r="H41" s="175">
        <f t="shared" si="33"/>
        <v>-9.136000000000001</v>
      </c>
      <c r="I41" s="175">
        <f t="shared" si="33"/>
        <v>-8.9450000000000003</v>
      </c>
      <c r="J41" s="175">
        <f t="shared" si="33"/>
        <v>-8.0130000000000017</v>
      </c>
      <c r="K41" s="176">
        <f t="shared" si="33"/>
        <v>-33.703999999999994</v>
      </c>
      <c r="L41" s="175">
        <f t="shared" si="33"/>
        <v>-10.074999999999999</v>
      </c>
      <c r="M41" s="175">
        <f t="shared" si="33"/>
        <v>-11.242999999999999</v>
      </c>
      <c r="N41" s="175">
        <f t="shared" si="33"/>
        <v>-5.6370000000000013</v>
      </c>
      <c r="O41" s="175">
        <f t="shared" si="33"/>
        <v>-4.4029999999999996</v>
      </c>
      <c r="P41" s="176">
        <f t="shared" si="33"/>
        <v>-31.358000000000004</v>
      </c>
      <c r="Q41" s="175">
        <f t="shared" si="33"/>
        <v>-8.2170000000000005</v>
      </c>
      <c r="R41" s="175">
        <f t="shared" si="33"/>
        <v>-7.2980000000000036</v>
      </c>
      <c r="S41" s="175">
        <f t="shared" si="33"/>
        <v>-7.0490000000000022</v>
      </c>
      <c r="T41" s="175">
        <f t="shared" si="33"/>
        <v>-8.4389999999999983</v>
      </c>
      <c r="U41" s="176">
        <f t="shared" si="33"/>
        <v>-31.003000000000011</v>
      </c>
      <c r="V41" s="175">
        <f t="shared" si="33"/>
        <v>-9.1770000000000014</v>
      </c>
      <c r="W41" s="175">
        <f t="shared" si="33"/>
        <v>-6.2480000000000011</v>
      </c>
      <c r="X41" s="175">
        <f t="shared" si="33"/>
        <v>-4.4689999999999994</v>
      </c>
      <c r="Y41" s="175">
        <f t="shared" si="33"/>
        <v>-3.1049999999999991</v>
      </c>
      <c r="Z41" s="176">
        <f t="shared" si="33"/>
        <v>-22.998999999999999</v>
      </c>
      <c r="AA41" s="175">
        <f t="shared" si="33"/>
        <v>-1.9170000000000043</v>
      </c>
      <c r="AB41" s="175">
        <f t="shared" si="33"/>
        <v>-2.4939999999999962</v>
      </c>
      <c r="AC41" s="175">
        <f t="shared" si="33"/>
        <v>-0.72999999999999865</v>
      </c>
      <c r="AD41" s="175">
        <f t="shared" si="33"/>
        <v>-7.4779999999999998</v>
      </c>
      <c r="AE41" s="176">
        <f t="shared" si="33"/>
        <v>-12.619000000000009</v>
      </c>
      <c r="AF41" s="175">
        <f t="shared" si="33"/>
        <v>-11.716000000000001</v>
      </c>
      <c r="AG41" s="175">
        <f t="shared" si="33"/>
        <v>-11.025000000000002</v>
      </c>
      <c r="AH41" s="175">
        <f t="shared" si="33"/>
        <v>-4.1239999999999988</v>
      </c>
      <c r="AI41" s="175">
        <f t="shared" si="33"/>
        <v>-8.0439999999999969</v>
      </c>
      <c r="AJ41" s="176">
        <f t="shared" si="33"/>
        <v>-34.908999999999992</v>
      </c>
      <c r="AK41" s="175">
        <f t="shared" si="33"/>
        <v>-41.867999999999988</v>
      </c>
      <c r="AL41" s="175">
        <f t="shared" si="33"/>
        <v>-9.0379999999999896</v>
      </c>
      <c r="AM41" s="175">
        <f t="shared" si="33"/>
        <v>-14.128999999999994</v>
      </c>
      <c r="AN41" s="175">
        <f t="shared" si="33"/>
        <v>-10.528000000000002</v>
      </c>
      <c r="AO41" s="176">
        <f t="shared" si="33"/>
        <v>-75.563000000000002</v>
      </c>
      <c r="AP41" s="175">
        <f t="shared" si="33"/>
        <v>-14.460999999999995</v>
      </c>
      <c r="AQ41" s="175">
        <f t="shared" si="33"/>
        <v>-9.532</v>
      </c>
      <c r="AR41" s="175">
        <f t="shared" si="33"/>
        <v>-8.723000000000015</v>
      </c>
      <c r="AS41" s="175">
        <f t="shared" si="33"/>
        <v>-3.8940000000000023</v>
      </c>
      <c r="AT41" s="176">
        <f t="shared" si="33"/>
        <v>-36.610000000000063</v>
      </c>
      <c r="AU41" s="175">
        <f t="shared" ref="AU41:BN41" si="34">(AU29-SUM(AU36:AU40))</f>
        <v>-8.0910000000000046</v>
      </c>
      <c r="AV41" s="175">
        <f t="shared" si="34"/>
        <v>-8.4020000000000117</v>
      </c>
      <c r="AW41" s="175">
        <f t="shared" si="34"/>
        <v>-29.618000000000016</v>
      </c>
      <c r="AX41" s="175">
        <f t="shared" si="34"/>
        <v>-28.292999999999985</v>
      </c>
      <c r="AY41" s="177">
        <f t="shared" si="34"/>
        <v>-74.404000000000039</v>
      </c>
      <c r="AZ41" s="175">
        <f t="shared" si="34"/>
        <v>-1.8639999999999901</v>
      </c>
      <c r="BA41" s="175">
        <f t="shared" si="34"/>
        <v>5.7340000000000124</v>
      </c>
      <c r="BB41" s="175">
        <f t="shared" ref="BB41" si="35">(BB29-SUM(BB36:BB40))</f>
        <v>15.154934000000013</v>
      </c>
      <c r="BC41" s="175">
        <f t="shared" ref="BC41" si="36">(BC29-SUM(BC36:BC40))</f>
        <v>5.1130000000000138</v>
      </c>
      <c r="BD41" s="177">
        <f t="shared" si="34"/>
        <v>24.137934000000016</v>
      </c>
      <c r="BE41" s="175">
        <f t="shared" ref="BE41:BH41" si="37">(BE29-SUM(BE36:BE40))</f>
        <v>7.0470000000000006</v>
      </c>
      <c r="BF41" s="175">
        <f t="shared" si="37"/>
        <v>-0.97999999999999687</v>
      </c>
      <c r="BG41" s="175">
        <f t="shared" si="37"/>
        <v>19.068999999999964</v>
      </c>
      <c r="BH41" s="175">
        <f t="shared" si="37"/>
        <v>41.148999999999994</v>
      </c>
      <c r="BI41" s="177">
        <f t="shared" si="34"/>
        <v>66.284999999999954</v>
      </c>
      <c r="BJ41" s="175">
        <f t="shared" si="34"/>
        <v>12.610326439000016</v>
      </c>
      <c r="BK41" s="175">
        <f t="shared" si="34"/>
        <v>17.262821737875004</v>
      </c>
      <c r="BL41" s="175">
        <f t="shared" si="34"/>
        <v>17.156230829200002</v>
      </c>
      <c r="BM41" s="175">
        <f t="shared" si="34"/>
        <v>20.381778947275006</v>
      </c>
      <c r="BN41" s="177">
        <f t="shared" si="34"/>
        <v>67.411157953349985</v>
      </c>
      <c r="BO41" s="175">
        <f t="shared" ref="BO41:BS41" si="38">(BO29-SUM(BO36:BO40))</f>
        <v>16.296703588905</v>
      </c>
      <c r="BP41" s="175">
        <f t="shared" si="38"/>
        <v>21.569199504759997</v>
      </c>
      <c r="BQ41" s="175">
        <f t="shared" si="38"/>
        <v>21.494407725703983</v>
      </c>
      <c r="BR41" s="175">
        <f t="shared" si="38"/>
        <v>25.053986506978017</v>
      </c>
      <c r="BS41" s="177">
        <f t="shared" si="38"/>
        <v>84.414297326346983</v>
      </c>
      <c r="BT41" s="178"/>
      <c r="BU41" s="178"/>
      <c r="BV41" s="178"/>
    </row>
    <row r="42" spans="1:74">
      <c r="A42" s="174" t="s">
        <v>133</v>
      </c>
      <c r="B42" s="179">
        <f>B29/B33</f>
        <v>-0.31558029466328846</v>
      </c>
      <c r="C42" s="179">
        <f>C29/C33</f>
        <v>-0.31336528607637276</v>
      </c>
      <c r="D42" s="179">
        <f>D29/D33</f>
        <v>-0.36501104456349731</v>
      </c>
      <c r="E42" s="179">
        <f>E29/E33</f>
        <v>-0.36173403085535311</v>
      </c>
      <c r="F42" s="180">
        <f>+F29/F33</f>
        <v>-1.3573867709851499</v>
      </c>
      <c r="G42" s="179">
        <f>G29/G33</f>
        <v>-0.33762615450065647</v>
      </c>
      <c r="H42" s="179">
        <f>H29/H33</f>
        <v>-0.35072452485003808</v>
      </c>
      <c r="I42" s="179">
        <f>I29/I33</f>
        <v>-0.32361574405608867</v>
      </c>
      <c r="J42" s="179">
        <f>J29/J33</f>
        <v>-0.28956225111396372</v>
      </c>
      <c r="K42" s="180">
        <f>+K29/K33</f>
        <v>-1.2990961021605103</v>
      </c>
      <c r="L42" s="179">
        <f>L29/L33</f>
        <v>-0.36217566091126702</v>
      </c>
      <c r="M42" s="179">
        <f>M29/M33</f>
        <v>-0.40355466947174784</v>
      </c>
      <c r="N42" s="179">
        <f>N29/N33</f>
        <v>-0.20192128623250383</v>
      </c>
      <c r="O42" s="179">
        <f>O29/O33</f>
        <v>-0.13887135343238857</v>
      </c>
      <c r="P42" s="180">
        <f>+P29/P33</f>
        <v>-1.0876686306072272</v>
      </c>
      <c r="Q42" s="179">
        <f>Q29/Q33</f>
        <v>-0.24293480859046102</v>
      </c>
      <c r="R42" s="179">
        <f>R29/R33</f>
        <v>-0.21545102064385679</v>
      </c>
      <c r="S42" s="179">
        <f>S29/S31</f>
        <v>-0.20764875622254014</v>
      </c>
      <c r="T42" s="179">
        <f>T29/T33</f>
        <v>-0.24780120840307723</v>
      </c>
      <c r="U42" s="180">
        <f>+U29/U33</f>
        <v>-0.91385220790531263</v>
      </c>
      <c r="V42" s="179">
        <f>V29/V31</f>
        <v>-0.26777543652181507</v>
      </c>
      <c r="W42" s="179">
        <f>W29/W33</f>
        <v>-0.18208187307925922</v>
      </c>
      <c r="X42" s="179">
        <f>X29/X33</f>
        <v>-0.1157171370839737</v>
      </c>
      <c r="Y42" s="179">
        <f>Y29/Y33</f>
        <v>-7.6231237601989646E-2</v>
      </c>
      <c r="Z42" s="180">
        <f>+Z29/Z33</f>
        <v>-0.62125465076596187</v>
      </c>
      <c r="AA42" s="179">
        <f>AA29/AA33</f>
        <v>-4.6564622696724275E-2</v>
      </c>
      <c r="AB42" s="179">
        <f>AB29/AB33</f>
        <v>-5.4709682106693844E-2</v>
      </c>
      <c r="AC42" s="179">
        <f>AC29/AC33</f>
        <v>-1.5024194303912174E-2</v>
      </c>
      <c r="AD42" s="179">
        <f>AD29/AD33</f>
        <v>-0.15231475552962342</v>
      </c>
      <c r="AE42" s="180">
        <f>+AE29/AE33</f>
        <v>-0.27350452099570405</v>
      </c>
      <c r="AF42" s="179">
        <f>AF29/AF33</f>
        <v>-0.23529586134944347</v>
      </c>
      <c r="AG42" s="179">
        <f>AG29/AG33</f>
        <v>-0.21956848946617935</v>
      </c>
      <c r="AH42" s="179">
        <f>AH29/AH33</f>
        <v>-7.51758374504439E-2</v>
      </c>
      <c r="AI42" s="179">
        <f>AI29/AI33</f>
        <v>-0.13863288022751644</v>
      </c>
      <c r="AJ42" s="180">
        <f>+AJ29/AJ33</f>
        <v>-0.65591740810653987</v>
      </c>
      <c r="AK42" s="179">
        <f>AK29/AK33</f>
        <v>-0.66109071251551066</v>
      </c>
      <c r="AL42" s="179">
        <f>AL29/AL33</f>
        <v>-0.13426215569790051</v>
      </c>
      <c r="AM42" s="179">
        <f>AM29/AM33</f>
        <v>-0.20258451035306632</v>
      </c>
      <c r="AN42" s="179">
        <f>AN29/AN33</f>
        <v>-0.1481471745928947</v>
      </c>
      <c r="AO42" s="180">
        <f>+AO29/AO33</f>
        <v>-1.1134476185598088</v>
      </c>
      <c r="AP42" s="179">
        <f>AP29/AP33</f>
        <v>-0.20301932599099987</v>
      </c>
      <c r="AQ42" s="179">
        <f>AQ29/AQ33</f>
        <v>-0.13335764699357833</v>
      </c>
      <c r="AR42" s="179">
        <f>AR29/AR33</f>
        <v>-0.12173321867179659</v>
      </c>
      <c r="AS42" s="179">
        <f>AS29/AS33</f>
        <v>-5.421453703082605E-2</v>
      </c>
      <c r="AT42" s="180">
        <f>+AT29/AT33</f>
        <v>-0.5116896735887414</v>
      </c>
      <c r="AU42" s="179">
        <f t="shared" ref="AU42:BS42" si="39">AU41/AU31</f>
        <v>-0.11210181876645416</v>
      </c>
      <c r="AV42" s="179">
        <f t="shared" si="39"/>
        <v>-0.11592377353765183</v>
      </c>
      <c r="AW42" s="179">
        <f t="shared" si="39"/>
        <v>-0.40681400408242502</v>
      </c>
      <c r="AX42" s="179">
        <f t="shared" si="39"/>
        <v>-0.38700777171189421</v>
      </c>
      <c r="AY42" s="181">
        <f t="shared" si="39"/>
        <v>-1.0242631734672507</v>
      </c>
      <c r="AZ42" s="179">
        <f t="shared" si="39"/>
        <v>-2.4933189685701095E-2</v>
      </c>
      <c r="BA42" s="179">
        <f t="shared" si="39"/>
        <v>7.4310082912764641E-2</v>
      </c>
      <c r="BB42" s="179">
        <f t="shared" si="39"/>
        <v>0.19314345029801588</v>
      </c>
      <c r="BC42" s="179">
        <f t="shared" si="39"/>
        <v>6.5881598873861635E-2</v>
      </c>
      <c r="BD42" s="181">
        <f t="shared" si="39"/>
        <v>0.31348320836200649</v>
      </c>
      <c r="BE42" s="179">
        <f t="shared" si="39"/>
        <v>8.8025855493397989E-2</v>
      </c>
      <c r="BF42" s="179">
        <f t="shared" si="39"/>
        <v>-1.2501355057592809E-2</v>
      </c>
      <c r="BG42" s="179">
        <f t="shared" si="39"/>
        <v>0.24222250023591529</v>
      </c>
      <c r="BH42" s="179">
        <f t="shared" si="39"/>
        <v>0.51970187155443637</v>
      </c>
      <c r="BI42" s="181">
        <f t="shared" si="39"/>
        <v>0.83812034055161599</v>
      </c>
      <c r="BJ42" s="179">
        <f t="shared" si="39"/>
        <v>0.15846481002992713</v>
      </c>
      <c r="BK42" s="179">
        <f t="shared" si="39"/>
        <v>0.2158443942010641</v>
      </c>
      <c r="BL42" s="179">
        <f t="shared" si="39"/>
        <v>0.2134441297315274</v>
      </c>
      <c r="BM42" s="179">
        <f t="shared" si="39"/>
        <v>0.25231816825861447</v>
      </c>
      <c r="BN42" s="181">
        <f t="shared" si="39"/>
        <v>0.8407678516119993</v>
      </c>
      <c r="BO42" s="179">
        <f t="shared" si="39"/>
        <v>0.20075249603880163</v>
      </c>
      <c r="BP42" s="179">
        <f t="shared" si="39"/>
        <v>0.26439942756637558</v>
      </c>
      <c r="BQ42" s="179">
        <f t="shared" si="39"/>
        <v>0.26219699083370868</v>
      </c>
      <c r="BR42" s="179">
        <f t="shared" si="39"/>
        <v>0.30413411405120394</v>
      </c>
      <c r="BS42" s="181">
        <f t="shared" si="39"/>
        <v>1.0322361456846862</v>
      </c>
      <c r="BT42" s="178"/>
      <c r="BU42" s="178"/>
      <c r="BV42" s="178"/>
    </row>
    <row r="43" spans="1:74" hidden="1" outlineLevel="1">
      <c r="A43" s="120" t="s">
        <v>127</v>
      </c>
      <c r="B43" s="182"/>
      <c r="C43" s="182"/>
      <c r="D43" s="182"/>
      <c r="E43" s="182"/>
      <c r="F43" s="183"/>
      <c r="G43" s="182"/>
      <c r="H43" s="182"/>
      <c r="I43" s="182"/>
      <c r="J43" s="182"/>
      <c r="K43" s="183"/>
      <c r="L43" s="182"/>
      <c r="M43" s="182"/>
      <c r="N43" s="182"/>
      <c r="O43" s="182"/>
      <c r="P43" s="183"/>
      <c r="Q43" s="182"/>
      <c r="R43" s="182"/>
      <c r="S43" s="182"/>
      <c r="T43" s="182"/>
      <c r="U43" s="183"/>
      <c r="V43" s="182"/>
      <c r="W43" s="182"/>
      <c r="X43" s="182"/>
      <c r="Y43" s="182"/>
      <c r="Z43" s="183"/>
      <c r="AA43" s="182"/>
      <c r="AB43" s="182"/>
      <c r="AC43" s="182"/>
      <c r="AD43" s="182"/>
      <c r="AE43" s="183"/>
      <c r="AF43" s="182"/>
      <c r="AG43" s="182"/>
      <c r="AH43" s="182"/>
      <c r="AI43" s="182"/>
      <c r="AJ43" s="183"/>
      <c r="AK43" s="182"/>
      <c r="AL43" s="182"/>
      <c r="AM43" s="182"/>
      <c r="AN43" s="182"/>
      <c r="AO43" s="183"/>
      <c r="AP43" s="182"/>
      <c r="AQ43" s="182"/>
      <c r="AR43" s="182"/>
      <c r="AS43" s="182"/>
      <c r="AT43" s="183"/>
      <c r="AU43" s="128">
        <f>10.67-AV43</f>
        <v>5.3289999999999997</v>
      </c>
      <c r="AV43" s="128">
        <v>5.3410000000000002</v>
      </c>
      <c r="AW43" s="128">
        <v>5.3369999999999997</v>
      </c>
      <c r="AX43" s="128">
        <v>4.5629999999999997</v>
      </c>
      <c r="AY43" s="172">
        <f t="shared" ref="AY43:AY49" si="40">SUM(AU43:AX43)</f>
        <v>20.569999999999997</v>
      </c>
      <c r="AZ43" s="128">
        <f>7.443-BA43</f>
        <v>3.6529999999999996</v>
      </c>
      <c r="BA43" s="128">
        <v>3.79</v>
      </c>
      <c r="BB43" s="128">
        <v>3.7970000000000002</v>
      </c>
      <c r="BC43" s="128">
        <v>3.609</v>
      </c>
      <c r="BD43" s="172">
        <f t="shared" ref="BD43:BD50" si="41">SUM(AZ43:BC43)</f>
        <v>14.849</v>
      </c>
      <c r="BE43" s="128">
        <v>3.2069999999999999</v>
      </c>
      <c r="BF43" s="128">
        <v>3.2879999999999998</v>
      </c>
      <c r="BG43" s="128">
        <v>3.3290000000000002</v>
      </c>
      <c r="BH43" s="128">
        <v>3.3290000000000002</v>
      </c>
      <c r="BI43" s="172">
        <f t="shared" ref="BI43:BI50" si="42">SUM(BE43:BH43)</f>
        <v>13.153</v>
      </c>
      <c r="BJ43" s="128">
        <f t="shared" ref="BJ43:BM43" si="43">BJ36</f>
        <v>3.8</v>
      </c>
      <c r="BK43" s="128">
        <f t="shared" si="43"/>
        <v>3.8</v>
      </c>
      <c r="BL43" s="128">
        <f t="shared" si="43"/>
        <v>3.8</v>
      </c>
      <c r="BM43" s="128">
        <f t="shared" si="43"/>
        <v>3.8</v>
      </c>
      <c r="BN43" s="172">
        <f t="shared" ref="BN43:BN50" si="44">SUM(BJ43:BM43)</f>
        <v>15.2</v>
      </c>
      <c r="BO43" s="128">
        <f t="shared" ref="BO43:BR43" si="45">BO36</f>
        <v>3.8</v>
      </c>
      <c r="BP43" s="128">
        <f t="shared" si="45"/>
        <v>3.8</v>
      </c>
      <c r="BQ43" s="128">
        <f t="shared" si="45"/>
        <v>3.8</v>
      </c>
      <c r="BR43" s="128">
        <f t="shared" si="45"/>
        <v>3.8</v>
      </c>
      <c r="BS43" s="172">
        <f t="shared" ref="BS43:BS50" si="46">SUM(BO43:BR43)</f>
        <v>15.2</v>
      </c>
      <c r="BT43" s="178"/>
      <c r="BU43" s="178"/>
      <c r="BV43" s="178"/>
    </row>
    <row r="44" spans="1:74" hidden="1" outlineLevel="1">
      <c r="A44" s="120" t="s">
        <v>134</v>
      </c>
      <c r="B44" s="182"/>
      <c r="C44" s="182"/>
      <c r="D44" s="182"/>
      <c r="E44" s="182"/>
      <c r="F44" s="183"/>
      <c r="G44" s="182"/>
      <c r="H44" s="182"/>
      <c r="I44" s="182"/>
      <c r="J44" s="182"/>
      <c r="K44" s="183"/>
      <c r="L44" s="182"/>
      <c r="M44" s="182"/>
      <c r="N44" s="182"/>
      <c r="O44" s="182"/>
      <c r="P44" s="183"/>
      <c r="Q44" s="182"/>
      <c r="R44" s="182"/>
      <c r="S44" s="182"/>
      <c r="T44" s="182"/>
      <c r="U44" s="183"/>
      <c r="V44" s="182"/>
      <c r="W44" s="182"/>
      <c r="X44" s="182"/>
      <c r="Y44" s="182"/>
      <c r="Z44" s="183"/>
      <c r="AA44" s="182"/>
      <c r="AB44" s="182"/>
      <c r="AC44" s="182"/>
      <c r="AD44" s="182"/>
      <c r="AE44" s="183"/>
      <c r="AF44" s="182"/>
      <c r="AG44" s="182"/>
      <c r="AH44" s="182"/>
      <c r="AI44" s="182"/>
      <c r="AJ44" s="183"/>
      <c r="AK44" s="182"/>
      <c r="AL44" s="182"/>
      <c r="AM44" s="182"/>
      <c r="AN44" s="182"/>
      <c r="AO44" s="183"/>
      <c r="AP44" s="182"/>
      <c r="AQ44" s="182"/>
      <c r="AR44" s="182"/>
      <c r="AS44" s="182"/>
      <c r="AT44" s="183"/>
      <c r="AU44" s="128">
        <f>2.859-AV44</f>
        <v>1.341</v>
      </c>
      <c r="AV44" s="128">
        <v>1.518</v>
      </c>
      <c r="AW44" s="128">
        <v>1.9850000000000001</v>
      </c>
      <c r="AX44" s="128">
        <v>1.7729999999999999</v>
      </c>
      <c r="AY44" s="172">
        <f t="shared" si="40"/>
        <v>6.617</v>
      </c>
      <c r="AZ44" s="128">
        <f>3.885-BA44</f>
        <v>1.9369999999999998</v>
      </c>
      <c r="BA44" s="128">
        <v>1.948</v>
      </c>
      <c r="BB44" s="128">
        <v>2.081</v>
      </c>
      <c r="BC44" s="128">
        <v>2.6429999999999998</v>
      </c>
      <c r="BD44" s="172">
        <f t="shared" si="41"/>
        <v>8.6089999999999982</v>
      </c>
      <c r="BE44" s="128">
        <v>2.1549999999999998</v>
      </c>
      <c r="BF44" s="128">
        <v>2.2010000000000001</v>
      </c>
      <c r="BG44" s="128">
        <v>1.9379999999999999</v>
      </c>
      <c r="BH44" s="128">
        <v>1.968</v>
      </c>
      <c r="BI44" s="172">
        <f t="shared" si="42"/>
        <v>8.2620000000000005</v>
      </c>
      <c r="BJ44" s="128">
        <v>1.9</v>
      </c>
      <c r="BK44" s="128">
        <v>1.9</v>
      </c>
      <c r="BL44" s="128">
        <v>1.9</v>
      </c>
      <c r="BM44" s="128">
        <v>1.9</v>
      </c>
      <c r="BN44" s="172">
        <f t="shared" si="44"/>
        <v>7.6</v>
      </c>
      <c r="BO44" s="128">
        <v>1.9</v>
      </c>
      <c r="BP44" s="128">
        <v>1.9</v>
      </c>
      <c r="BQ44" s="128">
        <v>1.9</v>
      </c>
      <c r="BR44" s="128">
        <v>1.9</v>
      </c>
      <c r="BS44" s="172">
        <f t="shared" si="46"/>
        <v>7.6</v>
      </c>
      <c r="BT44" s="178"/>
      <c r="BU44" s="178"/>
      <c r="BV44" s="178"/>
    </row>
    <row r="45" spans="1:74" hidden="1" outlineLevel="1">
      <c r="A45" s="149" t="s">
        <v>128</v>
      </c>
      <c r="B45" s="146"/>
      <c r="C45" s="146"/>
      <c r="D45" s="146"/>
      <c r="E45" s="146"/>
      <c r="F45" s="152"/>
      <c r="G45" s="146"/>
      <c r="H45" s="146"/>
      <c r="I45" s="146"/>
      <c r="J45" s="146"/>
      <c r="K45" s="152"/>
      <c r="L45" s="146"/>
      <c r="M45" s="146"/>
      <c r="N45" s="146"/>
      <c r="O45" s="146"/>
      <c r="P45" s="152"/>
      <c r="Q45" s="146"/>
      <c r="R45" s="146"/>
      <c r="S45" s="146"/>
      <c r="T45" s="146"/>
      <c r="U45" s="152"/>
      <c r="V45" s="146"/>
      <c r="W45" s="146"/>
      <c r="X45" s="146"/>
      <c r="Y45" s="146"/>
      <c r="Z45" s="152"/>
      <c r="AA45" s="146"/>
      <c r="AB45" s="146"/>
      <c r="AC45" s="146"/>
      <c r="AD45" s="146"/>
      <c r="AE45" s="152"/>
      <c r="AF45" s="146"/>
      <c r="AG45" s="146"/>
      <c r="AH45" s="146"/>
      <c r="AI45" s="170"/>
      <c r="AJ45" s="171"/>
      <c r="AK45" s="128"/>
      <c r="AL45" s="128"/>
      <c r="AM45" s="128"/>
      <c r="AN45" s="128"/>
      <c r="AO45" s="171"/>
      <c r="AP45" s="128"/>
      <c r="AQ45" s="128"/>
      <c r="AR45" s="128"/>
      <c r="AS45" s="128"/>
      <c r="AT45" s="171"/>
      <c r="AU45" s="128">
        <f>18.55-AV45</f>
        <v>8.1010000000000009</v>
      </c>
      <c r="AV45" s="128">
        <v>10.449</v>
      </c>
      <c r="AW45" s="128">
        <v>7.3319999999999999</v>
      </c>
      <c r="AX45" s="128">
        <v>7.6070000000000002</v>
      </c>
      <c r="AY45" s="172">
        <f t="shared" si="40"/>
        <v>33.489000000000004</v>
      </c>
      <c r="AZ45" s="128">
        <f>17.873-BA45</f>
        <v>8.0190000000000019</v>
      </c>
      <c r="BA45" s="128">
        <v>9.8539999999999992</v>
      </c>
      <c r="BB45" s="128">
        <v>8.7469999999999999</v>
      </c>
      <c r="BC45" s="128">
        <v>9.6289999999999996</v>
      </c>
      <c r="BD45" s="172">
        <f t="shared" si="41"/>
        <v>36.249000000000002</v>
      </c>
      <c r="BE45" s="128">
        <v>10.958</v>
      </c>
      <c r="BF45" s="128">
        <v>10.958</v>
      </c>
      <c r="BG45" s="128">
        <v>10.757</v>
      </c>
      <c r="BH45" s="128">
        <v>10.901</v>
      </c>
      <c r="BI45" s="172">
        <f t="shared" si="42"/>
        <v>43.573999999999998</v>
      </c>
      <c r="BJ45" s="128">
        <f t="shared" ref="BJ45:BM45" si="47">BJ37</f>
        <v>9.9</v>
      </c>
      <c r="BK45" s="128">
        <f t="shared" si="47"/>
        <v>9.9</v>
      </c>
      <c r="BL45" s="128">
        <f t="shared" si="47"/>
        <v>9.9</v>
      </c>
      <c r="BM45" s="128">
        <f t="shared" si="47"/>
        <v>9.9</v>
      </c>
      <c r="BN45" s="172">
        <f t="shared" si="44"/>
        <v>39.6</v>
      </c>
      <c r="BO45" s="128">
        <f t="shared" ref="BO45:BR45" si="48">BO37</f>
        <v>9.9</v>
      </c>
      <c r="BP45" s="128">
        <f t="shared" si="48"/>
        <v>9.9</v>
      </c>
      <c r="BQ45" s="128">
        <f t="shared" si="48"/>
        <v>9.9</v>
      </c>
      <c r="BR45" s="128">
        <f t="shared" si="48"/>
        <v>9.9</v>
      </c>
      <c r="BS45" s="172">
        <f t="shared" si="46"/>
        <v>39.6</v>
      </c>
    </row>
    <row r="46" spans="1:74" hidden="1" outlineLevel="1">
      <c r="A46" s="149" t="s">
        <v>129</v>
      </c>
      <c r="B46" s="146"/>
      <c r="C46" s="146"/>
      <c r="D46" s="146"/>
      <c r="E46" s="146"/>
      <c r="F46" s="152"/>
      <c r="G46" s="146"/>
      <c r="H46" s="146"/>
      <c r="I46" s="146"/>
      <c r="J46" s="146"/>
      <c r="K46" s="152"/>
      <c r="L46" s="146"/>
      <c r="M46" s="146"/>
      <c r="N46" s="146"/>
      <c r="O46" s="146"/>
      <c r="P46" s="152"/>
      <c r="Q46" s="146"/>
      <c r="R46" s="146"/>
      <c r="S46" s="146"/>
      <c r="T46" s="146"/>
      <c r="U46" s="152"/>
      <c r="V46" s="146"/>
      <c r="W46" s="146"/>
      <c r="X46" s="146"/>
      <c r="Y46" s="146"/>
      <c r="Z46" s="152"/>
      <c r="AA46" s="146"/>
      <c r="AB46" s="146"/>
      <c r="AC46" s="146"/>
      <c r="AD46" s="146"/>
      <c r="AE46" s="152"/>
      <c r="AF46" s="146"/>
      <c r="AG46" s="146"/>
      <c r="AH46" s="146"/>
      <c r="AI46" s="170"/>
      <c r="AJ46" s="171"/>
      <c r="AK46" s="128"/>
      <c r="AL46" s="128"/>
      <c r="AM46" s="128"/>
      <c r="AN46" s="128"/>
      <c r="AO46" s="171"/>
      <c r="AP46" s="128"/>
      <c r="AQ46" s="128"/>
      <c r="AR46" s="128"/>
      <c r="AS46" s="128"/>
      <c r="AT46" s="171"/>
      <c r="AU46" s="128">
        <f>2.856-AV46</f>
        <v>1.1549999999999998</v>
      </c>
      <c r="AV46" s="128">
        <v>1.7010000000000001</v>
      </c>
      <c r="AW46" s="128">
        <v>-4.5810000000000004</v>
      </c>
      <c r="AX46" s="128">
        <v>2.718</v>
      </c>
      <c r="AY46" s="172">
        <f t="shared" si="40"/>
        <v>0.99299999999999944</v>
      </c>
      <c r="AZ46" s="128">
        <f>5.596-BA46</f>
        <v>4.5030000000000001</v>
      </c>
      <c r="BA46" s="128">
        <v>1.093</v>
      </c>
      <c r="BB46" s="128">
        <v>7.4999999999999997E-2</v>
      </c>
      <c r="BC46" s="128">
        <v>0.96099999999999997</v>
      </c>
      <c r="BD46" s="172">
        <f t="shared" si="41"/>
        <v>6.6320000000000006</v>
      </c>
      <c r="BE46" s="128">
        <v>1.3520000000000001</v>
      </c>
      <c r="BF46" s="128">
        <v>-0.92500000000000004</v>
      </c>
      <c r="BG46" s="128">
        <v>0.16600000000000001</v>
      </c>
      <c r="BH46" s="128">
        <v>-12.564</v>
      </c>
      <c r="BI46" s="172">
        <f t="shared" si="42"/>
        <v>-11.971</v>
      </c>
      <c r="BJ46" s="128">
        <v>0</v>
      </c>
      <c r="BK46" s="128">
        <v>0</v>
      </c>
      <c r="BL46" s="128">
        <v>0</v>
      </c>
      <c r="BM46" s="128">
        <v>0</v>
      </c>
      <c r="BN46" s="172">
        <f t="shared" si="44"/>
        <v>0</v>
      </c>
      <c r="BO46" s="128">
        <v>0</v>
      </c>
      <c r="BP46" s="128">
        <v>0</v>
      </c>
      <c r="BQ46" s="128">
        <v>0</v>
      </c>
      <c r="BR46" s="128">
        <v>0</v>
      </c>
      <c r="BS46" s="172">
        <f t="shared" si="46"/>
        <v>0</v>
      </c>
    </row>
    <row r="47" spans="1:74" hidden="1" outlineLevel="1">
      <c r="A47" s="149" t="s">
        <v>135</v>
      </c>
      <c r="B47" s="146"/>
      <c r="C47" s="146"/>
      <c r="D47" s="146"/>
      <c r="E47" s="146"/>
      <c r="F47" s="152"/>
      <c r="G47" s="146"/>
      <c r="H47" s="146"/>
      <c r="I47" s="146"/>
      <c r="J47" s="146"/>
      <c r="K47" s="152"/>
      <c r="L47" s="146"/>
      <c r="M47" s="146"/>
      <c r="N47" s="146"/>
      <c r="O47" s="146"/>
      <c r="P47" s="152"/>
      <c r="Q47" s="146"/>
      <c r="R47" s="146"/>
      <c r="S47" s="146"/>
      <c r="T47" s="146"/>
      <c r="U47" s="152"/>
      <c r="V47" s="146"/>
      <c r="W47" s="146"/>
      <c r="X47" s="146"/>
      <c r="Y47" s="146"/>
      <c r="Z47" s="152"/>
      <c r="AA47" s="146"/>
      <c r="AB47" s="146"/>
      <c r="AC47" s="146"/>
      <c r="AD47" s="146"/>
      <c r="AE47" s="152"/>
      <c r="AF47" s="146"/>
      <c r="AG47" s="146"/>
      <c r="AH47" s="146"/>
      <c r="AI47" s="170"/>
      <c r="AJ47" s="171"/>
      <c r="AK47" s="128"/>
      <c r="AL47" s="128"/>
      <c r="AM47" s="128"/>
      <c r="AN47" s="128"/>
      <c r="AO47" s="171"/>
      <c r="AP47" s="128"/>
      <c r="AQ47" s="128"/>
      <c r="AR47" s="128"/>
      <c r="AS47" s="128"/>
      <c r="AT47" s="171"/>
      <c r="AU47" s="128">
        <f>-1.902-AV47</f>
        <v>-2.1890000000000001</v>
      </c>
      <c r="AV47" s="128">
        <v>0.28699999999999998</v>
      </c>
      <c r="AW47" s="128">
        <v>-2.62</v>
      </c>
      <c r="AX47" s="128">
        <v>-3.399</v>
      </c>
      <c r="AY47" s="172">
        <f t="shared" si="40"/>
        <v>-7.9210000000000003</v>
      </c>
      <c r="AZ47" s="128">
        <f>-6.313-BA47</f>
        <v>-3.2609999999999997</v>
      </c>
      <c r="BA47" s="128">
        <v>-3.052</v>
      </c>
      <c r="BB47" s="128">
        <v>-3.3660000000000001</v>
      </c>
      <c r="BC47" s="128">
        <v>-1.9670000000000001</v>
      </c>
      <c r="BD47" s="172">
        <f t="shared" si="41"/>
        <v>-11.646000000000001</v>
      </c>
      <c r="BE47" s="128">
        <v>-2.976</v>
      </c>
      <c r="BF47" s="128">
        <v>-3.17</v>
      </c>
      <c r="BG47" s="128">
        <v>-3.484</v>
      </c>
      <c r="BH47" s="128">
        <v>-3.5459999999999998</v>
      </c>
      <c r="BI47" s="172">
        <f t="shared" si="42"/>
        <v>-13.175999999999998</v>
      </c>
      <c r="BJ47" s="128">
        <v>0</v>
      </c>
      <c r="BK47" s="128">
        <v>0</v>
      </c>
      <c r="BL47" s="128">
        <v>0</v>
      </c>
      <c r="BM47" s="128">
        <v>0</v>
      </c>
      <c r="BN47" s="172">
        <f t="shared" si="44"/>
        <v>0</v>
      </c>
      <c r="BO47" s="128">
        <v>0</v>
      </c>
      <c r="BP47" s="128">
        <v>0</v>
      </c>
      <c r="BQ47" s="128">
        <v>0</v>
      </c>
      <c r="BR47" s="128">
        <v>0</v>
      </c>
      <c r="BS47" s="172">
        <f t="shared" si="46"/>
        <v>0</v>
      </c>
    </row>
    <row r="48" spans="1:74" hidden="1" outlineLevel="1">
      <c r="A48" s="149" t="s">
        <v>130</v>
      </c>
      <c r="B48" s="146"/>
      <c r="C48" s="146"/>
      <c r="D48" s="146"/>
      <c r="E48" s="146"/>
      <c r="F48" s="152"/>
      <c r="G48" s="146"/>
      <c r="H48" s="146"/>
      <c r="I48" s="146"/>
      <c r="J48" s="146"/>
      <c r="K48" s="152"/>
      <c r="L48" s="146"/>
      <c r="M48" s="146"/>
      <c r="N48" s="146"/>
      <c r="O48" s="146"/>
      <c r="P48" s="152"/>
      <c r="Q48" s="146"/>
      <c r="R48" s="146"/>
      <c r="S48" s="146"/>
      <c r="T48" s="146"/>
      <c r="U48" s="152"/>
      <c r="V48" s="146"/>
      <c r="W48" s="146"/>
      <c r="X48" s="146"/>
      <c r="Y48" s="146"/>
      <c r="Z48" s="152"/>
      <c r="AA48" s="146"/>
      <c r="AB48" s="146"/>
      <c r="AC48" s="146"/>
      <c r="AD48" s="146"/>
      <c r="AE48" s="152"/>
      <c r="AF48" s="146"/>
      <c r="AG48" s="146"/>
      <c r="AH48" s="146"/>
      <c r="AI48" s="170"/>
      <c r="AJ48" s="171"/>
      <c r="AK48" s="128"/>
      <c r="AL48" s="128"/>
      <c r="AM48" s="128"/>
      <c r="AN48" s="128"/>
      <c r="AO48" s="171"/>
      <c r="AP48" s="128"/>
      <c r="AQ48" s="128"/>
      <c r="AR48" s="128"/>
      <c r="AS48" s="128"/>
      <c r="AT48" s="171"/>
      <c r="AU48" s="128">
        <f>1.344-AV48</f>
        <v>1.3440000000000001</v>
      </c>
      <c r="AV48" s="128">
        <v>0</v>
      </c>
      <c r="AW48" s="128">
        <v>34.9</v>
      </c>
      <c r="AX48" s="128">
        <v>32.039000000000001</v>
      </c>
      <c r="AY48" s="172">
        <f t="shared" si="40"/>
        <v>68.283000000000001</v>
      </c>
      <c r="AZ48" s="128">
        <f>4.496-BA48</f>
        <v>1.4500000000000006</v>
      </c>
      <c r="BA48" s="128">
        <v>3.0459999999999998</v>
      </c>
      <c r="BB48" s="128">
        <v>-0.85299999999999998</v>
      </c>
      <c r="BC48" s="128">
        <v>7.8010000000000002</v>
      </c>
      <c r="BD48" s="172">
        <f t="shared" si="41"/>
        <v>11.444000000000001</v>
      </c>
      <c r="BE48" s="128">
        <v>2.5910000000000002</v>
      </c>
      <c r="BF48" s="128">
        <v>22.146999999999998</v>
      </c>
      <c r="BG48" s="128">
        <v>8.1379999999999999</v>
      </c>
      <c r="BH48" s="128">
        <v>1.59</v>
      </c>
      <c r="BI48" s="172">
        <f t="shared" si="42"/>
        <v>34.466000000000001</v>
      </c>
      <c r="BJ48" s="128">
        <v>2</v>
      </c>
      <c r="BK48" s="128">
        <v>2</v>
      </c>
      <c r="BL48" s="128">
        <v>2</v>
      </c>
      <c r="BM48" s="128">
        <v>2</v>
      </c>
      <c r="BN48" s="172">
        <f t="shared" si="44"/>
        <v>8</v>
      </c>
      <c r="BO48" s="128">
        <v>2</v>
      </c>
      <c r="BP48" s="128">
        <v>2</v>
      </c>
      <c r="BQ48" s="128">
        <v>2</v>
      </c>
      <c r="BR48" s="128">
        <v>2</v>
      </c>
      <c r="BS48" s="172">
        <f t="shared" si="46"/>
        <v>8</v>
      </c>
    </row>
    <row r="49" spans="1:78" hidden="1" outlineLevel="1">
      <c r="A49" s="149" t="s">
        <v>131</v>
      </c>
      <c r="B49" s="146"/>
      <c r="C49" s="146"/>
      <c r="D49" s="146"/>
      <c r="E49" s="146"/>
      <c r="F49" s="152"/>
      <c r="G49" s="146"/>
      <c r="H49" s="146"/>
      <c r="I49" s="146"/>
      <c r="J49" s="146"/>
      <c r="K49" s="152"/>
      <c r="L49" s="146"/>
      <c r="M49" s="146"/>
      <c r="N49" s="146"/>
      <c r="O49" s="146"/>
      <c r="P49" s="152"/>
      <c r="Q49" s="146"/>
      <c r="R49" s="146"/>
      <c r="S49" s="146"/>
      <c r="T49" s="146"/>
      <c r="U49" s="152"/>
      <c r="V49" s="146"/>
      <c r="W49" s="146"/>
      <c r="X49" s="146"/>
      <c r="Y49" s="146"/>
      <c r="Z49" s="152"/>
      <c r="AA49" s="146"/>
      <c r="AB49" s="146"/>
      <c r="AC49" s="146"/>
      <c r="AD49" s="146"/>
      <c r="AE49" s="152"/>
      <c r="AF49" s="146"/>
      <c r="AG49" s="146"/>
      <c r="AH49" s="146"/>
      <c r="AI49" s="170"/>
      <c r="AJ49" s="171"/>
      <c r="AK49" s="128"/>
      <c r="AL49" s="128"/>
      <c r="AM49" s="128"/>
      <c r="AN49" s="128"/>
      <c r="AO49" s="171"/>
      <c r="AP49" s="128"/>
      <c r="AQ49" s="128"/>
      <c r="AR49" s="128"/>
      <c r="AS49" s="128"/>
      <c r="AT49" s="171"/>
      <c r="AU49" s="128">
        <f>0.125-AV49</f>
        <v>0</v>
      </c>
      <c r="AV49" s="128">
        <v>0.125</v>
      </c>
      <c r="AW49" s="128">
        <v>-0.154</v>
      </c>
      <c r="AX49" s="128">
        <v>-2.1789999999999998</v>
      </c>
      <c r="AY49" s="172">
        <f t="shared" si="40"/>
        <v>-2.2079999999999997</v>
      </c>
      <c r="AZ49" s="128">
        <f>1.584-BA49</f>
        <v>-4.2999999999999927E-2</v>
      </c>
      <c r="BA49" s="128">
        <v>1.627</v>
      </c>
      <c r="BB49" s="128">
        <v>1.6930000000000001</v>
      </c>
      <c r="BC49" s="128">
        <v>-1.67</v>
      </c>
      <c r="BD49" s="172">
        <f t="shared" si="41"/>
        <v>1.6070000000000002</v>
      </c>
      <c r="BE49" s="128">
        <v>0.38100000000000001</v>
      </c>
      <c r="BF49" s="128">
        <v>2.23</v>
      </c>
      <c r="BG49" s="128">
        <v>-0.248</v>
      </c>
      <c r="BH49" s="128">
        <v>-0.51500000000000001</v>
      </c>
      <c r="BI49" s="172">
        <f t="shared" si="42"/>
        <v>1.8479999999999994</v>
      </c>
      <c r="BJ49" s="133">
        <f>BJ24</f>
        <v>1.4900171810000007</v>
      </c>
      <c r="BK49" s="133">
        <f t="shared" ref="BK49:BM49" si="49">BK24</f>
        <v>1.7348853546250003</v>
      </c>
      <c r="BL49" s="133">
        <f t="shared" si="49"/>
        <v>1.7292753068</v>
      </c>
      <c r="BM49" s="133">
        <f t="shared" si="49"/>
        <v>1.8990409972250004</v>
      </c>
      <c r="BN49" s="172">
        <f t="shared" si="44"/>
        <v>6.8532188396500011</v>
      </c>
      <c r="BO49" s="133">
        <f>BO24</f>
        <v>1.6840370309950001</v>
      </c>
      <c r="BP49" s="133">
        <f t="shared" ref="BP49:BR49" si="50">BP24</f>
        <v>1.96153681604</v>
      </c>
      <c r="BQ49" s="133">
        <f t="shared" si="50"/>
        <v>1.9576004066159993</v>
      </c>
      <c r="BR49" s="133">
        <f t="shared" si="50"/>
        <v>2.1449466582620009</v>
      </c>
      <c r="BS49" s="172">
        <f t="shared" si="46"/>
        <v>7.7481209119130003</v>
      </c>
    </row>
    <row r="50" spans="1:78" collapsed="1">
      <c r="A50" s="9" t="s">
        <v>136</v>
      </c>
      <c r="B50" s="184">
        <f>+B20+'Cash Flow'!B9+'Cash Flow'!B10+B27</f>
        <v>-6.5749999999999993</v>
      </c>
      <c r="C50" s="184">
        <f>+C20+'Cash Flow'!C9+'Cash Flow'!C10+C27</f>
        <v>-6.5609999999999991</v>
      </c>
      <c r="D50" s="184">
        <f>+D20+'Cash Flow'!D9+'Cash Flow'!D10+D27</f>
        <v>-7.8110000000000008</v>
      </c>
      <c r="E50" s="184">
        <f>+E20+'Cash Flow'!E9+'Cash Flow'!E10+E27</f>
        <v>-8.0590000000000011</v>
      </c>
      <c r="F50" s="185">
        <f>SUM(B50:E50)</f>
        <v>-29.006</v>
      </c>
      <c r="G50" s="184">
        <f>+G20+'Cash Flow'!G9+'Cash Flow'!G10+G27</f>
        <v>-7.5529999999999999</v>
      </c>
      <c r="H50" s="184">
        <f>+H20+'Cash Flow'!H9+'Cash Flow'!H10+H27</f>
        <v>-9.0740000000000016</v>
      </c>
      <c r="I50" s="184">
        <f>+I20+'Cash Flow'!I9+'Cash Flow'!I10+I27</f>
        <v>-8.8879999999999999</v>
      </c>
      <c r="J50" s="184">
        <f>+J20+'Cash Flow'!J9+'Cash Flow'!J10+J27</f>
        <v>-7.9510000000000023</v>
      </c>
      <c r="K50" s="185">
        <f>SUM(G50:J50)</f>
        <v>-33.466000000000001</v>
      </c>
      <c r="L50" s="184">
        <f>+L20+'Cash Flow'!L9+'Cash Flow'!L10+L27</f>
        <v>-9.7509999999999977</v>
      </c>
      <c r="M50" s="184">
        <f>+M20+'Cash Flow'!M9+'Cash Flow'!M10+M27</f>
        <v>-10.493999999999998</v>
      </c>
      <c r="N50" s="184">
        <f>+N20+'Cash Flow'!N9+'Cash Flow'!N10+N27</f>
        <v>-4.886000000000001</v>
      </c>
      <c r="O50" s="184">
        <f>+O20+'Cash Flow'!O9+'Cash Flow'!O10+O27</f>
        <v>-3.6719999999999993</v>
      </c>
      <c r="P50" s="185">
        <f>SUM(L50:O50)</f>
        <v>-28.803000000000001</v>
      </c>
      <c r="Q50" s="184">
        <f>+Q20+'Cash Flow'!Q9+'Cash Flow'!Q10+Q27</f>
        <v>-5.0430000000000001</v>
      </c>
      <c r="R50" s="184">
        <f>+R20+'Cash Flow'!R9+'Cash Flow'!R10+R27</f>
        <v>-4.0230000000000032</v>
      </c>
      <c r="S50" s="184">
        <f>+S20+'Cash Flow'!S9+'Cash Flow'!S10+S27</f>
        <v>-3.764000000000002</v>
      </c>
      <c r="T50" s="184">
        <f>+T20+'Cash Flow'!T9+'Cash Flow'!T10+T27</f>
        <v>-3.2499999999999982</v>
      </c>
      <c r="U50" s="185">
        <f>SUM(Q50:T50)</f>
        <v>-16.080000000000005</v>
      </c>
      <c r="V50" s="184">
        <f>+V20+'Cash Flow'!V9+'Cash Flow'!V10+V27</f>
        <v>-6.8000000000000025</v>
      </c>
      <c r="W50" s="184">
        <f>+W20+'Cash Flow'!W9+'Cash Flow'!W10+W27</f>
        <v>-3.1970000000000018</v>
      </c>
      <c r="X50" s="184">
        <f>+X20+'Cash Flow'!X9+'Cash Flow'!X10+X27</f>
        <v>-1.8039999999999994</v>
      </c>
      <c r="Y50" s="184">
        <f>+Y20+'Cash Flow'!Y9+'Cash Flow'!Y10+Y27</f>
        <v>-0.55399999999999905</v>
      </c>
      <c r="Z50" s="185">
        <f>SUM(V50:Y50)</f>
        <v>-12.355</v>
      </c>
      <c r="AA50" s="184">
        <f>+AA20+'Cash Flow'!AA9+'Cash Flow'!AA10+AA27</f>
        <v>0.63699999999999557</v>
      </c>
      <c r="AB50" s="184">
        <f>+AB20+'Cash Flow'!AB9+'Cash Flow'!AB10+AB27</f>
        <v>0.39000000000000412</v>
      </c>
      <c r="AC50" s="184">
        <f>+AC20+'Cash Flow'!AC9+'Cash Flow'!AC10+AC27</f>
        <v>1.8440000000000007</v>
      </c>
      <c r="AD50" s="184">
        <f>+AD20+'Cash Flow'!AD9+'Cash Flow'!AD10+AD27</f>
        <v>-4.0939999999999976</v>
      </c>
      <c r="AE50" s="185">
        <f>SUM(AA50:AD50)</f>
        <v>-1.2229999999999972</v>
      </c>
      <c r="AF50" s="184">
        <f>+AF20+'Cash Flow'!AF9+'Cash Flow'!AF10+AF27</f>
        <v>-6.2350000000000012</v>
      </c>
      <c r="AG50" s="184">
        <f>+AG20+'Cash Flow'!AG9+'Cash Flow'!AG10+AG27</f>
        <v>-5.7340000000000018</v>
      </c>
      <c r="AH50" s="184">
        <f>+AH20+'Cash Flow'!AH9+'Cash Flow'!AH10+AH27</f>
        <v>1.0130000000000017</v>
      </c>
      <c r="AI50" s="184">
        <f>+AI20+'Cash Flow'!AI9+'Cash Flow'!AI10+AI27</f>
        <v>-2.4059999999999961</v>
      </c>
      <c r="AJ50" s="185">
        <f>SUM(AF50:AI50)</f>
        <v>-13.361999999999998</v>
      </c>
      <c r="AK50" s="184">
        <f>+AK20+'Cash Flow'!AK9+'Cash Flow'!AK10+AK27</f>
        <v>-3.9099999999999886</v>
      </c>
      <c r="AL50" s="184">
        <f>+AL20+'Cash Flow'!AL9+'Cash Flow'!AL10+AL27</f>
        <v>1.0900000000000096</v>
      </c>
      <c r="AM50" s="184">
        <f>+AM20+'Cash Flow'!AM9+'Cash Flow'!AM10+AM27</f>
        <v>-2.6739999999999924</v>
      </c>
      <c r="AN50" s="184">
        <f>+AN20+'Cash Flow'!AN9+'Cash Flow'!AN10+AN27</f>
        <v>0.80299999999999638</v>
      </c>
      <c r="AO50" s="185">
        <f>SUM(AK50:AN50)</f>
        <v>-4.690999999999975</v>
      </c>
      <c r="AP50" s="184">
        <f>+AP20+'Cash Flow'!AP9+'Cash Flow'!AP10+AP27</f>
        <v>2.8870000000000049</v>
      </c>
      <c r="AQ50" s="184">
        <f>+AQ20+'Cash Flow'!AQ9+'Cash Flow'!AQ10+AQ27</f>
        <v>5.9979999999999993</v>
      </c>
      <c r="AR50" s="184">
        <f>+AR20+'Cash Flow'!AR9+'Cash Flow'!AR10+AR27</f>
        <v>6.9979999999999842</v>
      </c>
      <c r="AS50" s="184">
        <f>+AS20+'Cash Flow'!AS9+'Cash Flow'!AS10+AS27</f>
        <v>10.584</v>
      </c>
      <c r="AT50" s="185">
        <f>SUM(AP50:AS50)</f>
        <v>26.466999999999988</v>
      </c>
      <c r="AU50" s="184">
        <f>AU41+SUM(AU43:AU49)</f>
        <v>6.9899999999999949</v>
      </c>
      <c r="AV50" s="184">
        <f>AV41+SUM(AV43:AV49)</f>
        <v>11.018999999999988</v>
      </c>
      <c r="AW50" s="184">
        <f>AW41+SUM(AW43:AW49)</f>
        <v>12.580999999999982</v>
      </c>
      <c r="AX50" s="184">
        <f>AX41+SUM(AX43:AX49)</f>
        <v>14.829000000000015</v>
      </c>
      <c r="AY50" s="185">
        <f>SUM(AU50:AX50)</f>
        <v>45.418999999999983</v>
      </c>
      <c r="AZ50" s="184">
        <f t="shared" ref="AZ50:BC50" si="51">AZ41+SUM(AZ43:AZ49)</f>
        <v>14.394000000000013</v>
      </c>
      <c r="BA50" s="184">
        <f t="shared" si="51"/>
        <v>24.04000000000001</v>
      </c>
      <c r="BB50" s="184">
        <f t="shared" si="51"/>
        <v>27.328934000000011</v>
      </c>
      <c r="BC50" s="184">
        <f t="shared" si="51"/>
        <v>26.119000000000014</v>
      </c>
      <c r="BD50" s="185">
        <f t="shared" si="41"/>
        <v>91.881934000000044</v>
      </c>
      <c r="BE50" s="184">
        <f t="shared" ref="BE50:BH50" si="52">BE41+SUM(BE43:BE49)</f>
        <v>24.715000000000003</v>
      </c>
      <c r="BF50" s="184">
        <f t="shared" si="52"/>
        <v>35.748999999999995</v>
      </c>
      <c r="BG50" s="184">
        <f t="shared" si="52"/>
        <v>39.664999999999964</v>
      </c>
      <c r="BH50" s="184">
        <f t="shared" si="52"/>
        <v>42.311999999999998</v>
      </c>
      <c r="BI50" s="185">
        <f t="shared" si="42"/>
        <v>142.44099999999997</v>
      </c>
      <c r="BJ50" s="184">
        <f t="shared" ref="BJ50:BM50" si="53">BJ41+SUM(BJ43:BJ49)</f>
        <v>31.700343620000016</v>
      </c>
      <c r="BK50" s="184">
        <f t="shared" si="53"/>
        <v>36.597707092500002</v>
      </c>
      <c r="BL50" s="184">
        <f t="shared" si="53"/>
        <v>36.485506135999998</v>
      </c>
      <c r="BM50" s="184">
        <f t="shared" si="53"/>
        <v>39.880819944500004</v>
      </c>
      <c r="BN50" s="185">
        <f t="shared" si="44"/>
        <v>144.66437679300003</v>
      </c>
      <c r="BO50" s="184">
        <f t="shared" ref="BO50:BR50" si="54">BO41+SUM(BO43:BO49)</f>
        <v>35.580740619899998</v>
      </c>
      <c r="BP50" s="184">
        <f t="shared" si="54"/>
        <v>41.130736320799997</v>
      </c>
      <c r="BQ50" s="184">
        <f t="shared" si="54"/>
        <v>41.052008132319983</v>
      </c>
      <c r="BR50" s="184">
        <f t="shared" si="54"/>
        <v>44.798933165240015</v>
      </c>
      <c r="BS50" s="185">
        <f t="shared" si="46"/>
        <v>162.56241823825999</v>
      </c>
      <c r="BT50" s="178"/>
      <c r="BU50" s="178"/>
      <c r="BV50" s="178"/>
    </row>
    <row r="51" spans="1:78" s="95" customFormat="1">
      <c r="A51" s="95" t="s">
        <v>137</v>
      </c>
      <c r="B51" s="186">
        <f t="shared" ref="B51:BM51" si="55">B50/B33</f>
        <v>-0.31089907662737815</v>
      </c>
      <c r="C51" s="186">
        <f t="shared" si="55"/>
        <v>-0.30893908969903555</v>
      </c>
      <c r="D51" s="186">
        <f t="shared" si="55"/>
        <v>-0.36080755113711432</v>
      </c>
      <c r="E51" s="186">
        <f t="shared" si="55"/>
        <v>-0.35804649406328792</v>
      </c>
      <c r="F51" s="187">
        <f t="shared" si="55"/>
        <v>-1.3404269458072124</v>
      </c>
      <c r="G51" s="186">
        <f t="shared" si="55"/>
        <v>-0.33509728580071729</v>
      </c>
      <c r="H51" s="186">
        <f t="shared" si="55"/>
        <v>-0.34834438906405929</v>
      </c>
      <c r="I51" s="186">
        <f t="shared" si="55"/>
        <v>-0.32155357553611136</v>
      </c>
      <c r="J51" s="186">
        <f t="shared" si="55"/>
        <v>-0.2873217844261981</v>
      </c>
      <c r="K51" s="187">
        <f t="shared" si="55"/>
        <v>-1.2899225657163436</v>
      </c>
      <c r="L51" s="188">
        <f t="shared" si="55"/>
        <v>-0.35052852303183762</v>
      </c>
      <c r="M51" s="188">
        <f t="shared" si="55"/>
        <v>-0.37667016823236871</v>
      </c>
      <c r="N51" s="188">
        <f t="shared" si="55"/>
        <v>-0.17501994048820538</v>
      </c>
      <c r="O51" s="188">
        <f t="shared" si="55"/>
        <v>-0.11581549166562136</v>
      </c>
      <c r="P51" s="189">
        <f t="shared" si="55"/>
        <v>-0.999047119311817</v>
      </c>
      <c r="Q51" s="188">
        <f t="shared" si="55"/>
        <v>-0.14909580622145491</v>
      </c>
      <c r="R51" s="188">
        <f t="shared" si="55"/>
        <v>-0.11876671088657662</v>
      </c>
      <c r="S51" s="188">
        <f t="shared" si="55"/>
        <v>-0.11087954581098614</v>
      </c>
      <c r="T51" s="188">
        <f t="shared" si="55"/>
        <v>-9.5432388589880401E-2</v>
      </c>
      <c r="U51" s="190">
        <f t="shared" si="55"/>
        <v>-0.47397811512167942</v>
      </c>
      <c r="V51" s="188">
        <f t="shared" si="55"/>
        <v>-0.19841701736388179</v>
      </c>
      <c r="W51" s="188">
        <f t="shared" si="55"/>
        <v>-9.3168333584249668E-2</v>
      </c>
      <c r="X51" s="188">
        <f t="shared" si="55"/>
        <v>-4.671150487793433E-2</v>
      </c>
      <c r="Y51" s="188">
        <f t="shared" si="55"/>
        <v>-1.3601322264573978E-2</v>
      </c>
      <c r="Z51" s="190">
        <f t="shared" si="55"/>
        <v>-0.33373630202241228</v>
      </c>
      <c r="AA51" s="188">
        <f t="shared" si="55"/>
        <v>1.5472960176219663E-2</v>
      </c>
      <c r="AB51" s="188">
        <f t="shared" si="55"/>
        <v>8.5552429918247224E-3</v>
      </c>
      <c r="AC51" s="188">
        <f t="shared" si="55"/>
        <v>3.7951526433443988E-2</v>
      </c>
      <c r="AD51" s="188">
        <f t="shared" si="55"/>
        <v>-8.3388153134297677E-2</v>
      </c>
      <c r="AE51" s="190">
        <f t="shared" si="55"/>
        <v>-2.6507332528547829E-2</v>
      </c>
      <c r="AF51" s="188">
        <f t="shared" si="55"/>
        <v>-0.125219332153788</v>
      </c>
      <c r="AG51" s="188">
        <f t="shared" si="55"/>
        <v>-0.11419553003166191</v>
      </c>
      <c r="AH51" s="188">
        <f t="shared" si="55"/>
        <v>1.8465839800509171E-2</v>
      </c>
      <c r="AI51" s="188">
        <f t="shared" si="55"/>
        <v>-4.1465776955172069E-2</v>
      </c>
      <c r="AJ51" s="190">
        <f t="shared" si="55"/>
        <v>-0.25106329047293213</v>
      </c>
      <c r="AK51" s="188">
        <f t="shared" si="55"/>
        <v>-6.1738432357304855E-2</v>
      </c>
      <c r="AL51" s="188">
        <f t="shared" si="55"/>
        <v>1.6192271488239988E-2</v>
      </c>
      <c r="AM51" s="188">
        <f t="shared" si="55"/>
        <v>-3.834036242367457E-2</v>
      </c>
      <c r="AN51" s="188">
        <f t="shared" si="55"/>
        <v>1.1299599277934448E-2</v>
      </c>
      <c r="AO51" s="190">
        <f t="shared" si="55"/>
        <v>-6.9123549603166023E-2</v>
      </c>
      <c r="AP51" s="188">
        <f t="shared" si="55"/>
        <v>4.0530861913838451E-2</v>
      </c>
      <c r="AQ51" s="188">
        <f t="shared" si="55"/>
        <v>8.3915145474977193E-2</v>
      </c>
      <c r="AR51" s="188">
        <f t="shared" si="55"/>
        <v>9.7660101371687402E-2</v>
      </c>
      <c r="AS51" s="188">
        <f t="shared" si="55"/>
        <v>0.14735661528871663</v>
      </c>
      <c r="AT51" s="190">
        <f t="shared" si="55"/>
        <v>0.36992326115468965</v>
      </c>
      <c r="AU51" s="188">
        <f t="shared" si="55"/>
        <v>9.5085516635319903E-2</v>
      </c>
      <c r="AV51" s="188">
        <f t="shared" si="55"/>
        <v>0.1495107562738173</v>
      </c>
      <c r="AW51" s="188">
        <f t="shared" si="55"/>
        <v>0.16971327467665184</v>
      </c>
      <c r="AX51" s="188">
        <f t="shared" si="55"/>
        <v>0.19978644716321453</v>
      </c>
      <c r="AY51" s="190">
        <f t="shared" si="55"/>
        <v>0.61466668063749152</v>
      </c>
      <c r="AZ51" s="188">
        <f t="shared" si="55"/>
        <v>0.18970156664578874</v>
      </c>
      <c r="BA51" s="188">
        <f t="shared" si="55"/>
        <v>0.31154767932034511</v>
      </c>
      <c r="BB51" s="188">
        <f t="shared" si="55"/>
        <v>0.34829611304983277</v>
      </c>
      <c r="BC51" s="188">
        <f t="shared" si="55"/>
        <v>0.32687397944960239</v>
      </c>
      <c r="BD51" s="190">
        <f>BD50/BD33</f>
        <v>1.1802042122628644</v>
      </c>
      <c r="BE51" s="188">
        <f t="shared" ref="BE51:BH51" si="56">BE50/BE33</f>
        <v>0.30872130247187901</v>
      </c>
      <c r="BF51" s="188">
        <f t="shared" si="56"/>
        <v>0.44996040426479739</v>
      </c>
      <c r="BG51" s="188">
        <f t="shared" si="56"/>
        <v>0.49773061067599422</v>
      </c>
      <c r="BH51" s="188">
        <f t="shared" si="56"/>
        <v>0.51988589983848665</v>
      </c>
      <c r="BI51" s="190">
        <f t="shared" si="55"/>
        <v>1.777268823332431</v>
      </c>
      <c r="BJ51" s="188">
        <f t="shared" si="55"/>
        <v>0.3983551856430026</v>
      </c>
      <c r="BK51" s="188">
        <f t="shared" si="55"/>
        <v>0.4575966801068897</v>
      </c>
      <c r="BL51" s="188">
        <f t="shared" si="55"/>
        <v>0.45392354431127463</v>
      </c>
      <c r="BM51" s="188">
        <f t="shared" si="55"/>
        <v>0.49370839822562262</v>
      </c>
      <c r="BN51" s="190">
        <f t="shared" ref="BN51:BS51" si="57">BN50/BN33</f>
        <v>1.8042882064896359</v>
      </c>
      <c r="BO51" s="188">
        <f t="shared" si="57"/>
        <v>0.43830474374075834</v>
      </c>
      <c r="BP51" s="188">
        <f t="shared" si="57"/>
        <v>0.50418853681626508</v>
      </c>
      <c r="BQ51" s="188">
        <f t="shared" si="57"/>
        <v>0.50076806662151019</v>
      </c>
      <c r="BR51" s="188">
        <f t="shared" si="57"/>
        <v>0.54382099411024176</v>
      </c>
      <c r="BS51" s="190">
        <f t="shared" si="57"/>
        <v>1.9878481412540245</v>
      </c>
      <c r="BT51" s="188"/>
      <c r="BU51" s="188"/>
      <c r="BV51" s="188"/>
      <c r="BW51" s="188"/>
      <c r="BX51" s="188"/>
      <c r="BY51" s="191"/>
      <c r="BZ51" s="192"/>
    </row>
    <row r="52" spans="1:78" ht="3" customHeight="1">
      <c r="A52" s="193"/>
      <c r="B52" s="194"/>
      <c r="C52" s="194"/>
      <c r="D52" s="194"/>
      <c r="E52" s="194"/>
      <c r="F52" s="195"/>
      <c r="G52" s="196"/>
      <c r="H52" s="196"/>
      <c r="I52" s="196"/>
      <c r="J52" s="196"/>
      <c r="K52" s="197"/>
      <c r="L52" s="196"/>
      <c r="M52" s="196"/>
      <c r="N52" s="196"/>
      <c r="O52" s="196"/>
      <c r="P52" s="197"/>
      <c r="Q52" s="196"/>
      <c r="R52" s="196"/>
      <c r="S52" s="194"/>
      <c r="T52" s="194"/>
      <c r="U52" s="197"/>
      <c r="V52" s="194"/>
      <c r="W52" s="194"/>
      <c r="X52" s="194"/>
      <c r="Y52" s="194"/>
      <c r="Z52" s="197"/>
      <c r="AA52" s="194"/>
      <c r="AB52" s="194"/>
      <c r="AC52" s="194"/>
      <c r="AD52" s="194"/>
      <c r="AE52" s="197"/>
      <c r="AF52" s="194"/>
      <c r="AG52" s="194"/>
      <c r="AH52" s="194"/>
      <c r="AI52" s="194"/>
      <c r="AJ52" s="197"/>
      <c r="AK52" s="194"/>
      <c r="AL52" s="194"/>
      <c r="AM52" s="194"/>
      <c r="AN52" s="194"/>
      <c r="AO52" s="197"/>
      <c r="AP52" s="194"/>
      <c r="AQ52" s="194"/>
      <c r="AR52" s="194"/>
      <c r="AS52" s="194"/>
      <c r="AT52" s="197"/>
      <c r="AU52" s="194"/>
      <c r="AV52" s="194"/>
      <c r="AW52" s="194"/>
      <c r="AX52" s="194"/>
      <c r="AY52" s="197"/>
      <c r="AZ52" s="194"/>
      <c r="BA52" s="194"/>
      <c r="BB52" s="194"/>
      <c r="BC52" s="194"/>
      <c r="BD52" s="197"/>
      <c r="BE52" s="194"/>
      <c r="BF52" s="194"/>
      <c r="BG52" s="194"/>
      <c r="BH52" s="194"/>
      <c r="BI52" s="197"/>
      <c r="BJ52" s="194"/>
      <c r="BK52" s="194"/>
      <c r="BL52" s="194"/>
      <c r="BM52" s="194"/>
      <c r="BN52" s="197"/>
      <c r="BO52" s="194"/>
      <c r="BP52" s="194"/>
      <c r="BQ52" s="194"/>
      <c r="BR52" s="194"/>
      <c r="BS52" s="197"/>
    </row>
    <row r="53" spans="1:78">
      <c r="A53" s="92" t="s">
        <v>83</v>
      </c>
      <c r="B53" s="194"/>
      <c r="C53" s="194"/>
      <c r="D53" s="194"/>
      <c r="E53" s="194"/>
      <c r="F53" s="195"/>
      <c r="G53" s="196"/>
      <c r="H53" s="196"/>
      <c r="I53" s="196"/>
      <c r="J53" s="196"/>
      <c r="K53" s="197"/>
      <c r="L53" s="196"/>
      <c r="M53" s="196"/>
      <c r="N53" s="196"/>
      <c r="O53" s="196"/>
      <c r="P53" s="197"/>
      <c r="Q53" s="196"/>
      <c r="R53" s="196"/>
      <c r="S53" s="194"/>
      <c r="T53" s="194"/>
      <c r="U53" s="197"/>
      <c r="V53" s="194"/>
      <c r="W53" s="194"/>
      <c r="X53" s="194"/>
      <c r="Y53" s="194"/>
      <c r="Z53" s="197"/>
      <c r="AA53" s="194"/>
      <c r="AB53" s="194"/>
      <c r="AC53" s="194"/>
      <c r="AD53" s="194"/>
      <c r="AE53" s="197"/>
      <c r="AF53" s="194"/>
      <c r="AG53" s="194"/>
      <c r="AH53" s="194"/>
      <c r="AI53" s="194"/>
      <c r="AJ53" s="197"/>
      <c r="AK53" s="194"/>
      <c r="AL53" s="194"/>
      <c r="AM53" s="194"/>
      <c r="AN53" s="194"/>
      <c r="AO53" s="197"/>
      <c r="AP53" s="194"/>
      <c r="AQ53" s="194"/>
      <c r="AR53" s="194"/>
      <c r="AS53" s="194"/>
      <c r="AT53" s="197"/>
      <c r="AU53" s="194"/>
      <c r="AV53" s="194"/>
      <c r="AW53" s="194"/>
      <c r="AX53" s="194"/>
      <c r="AY53" s="197"/>
      <c r="AZ53" s="194"/>
      <c r="BA53" s="194"/>
      <c r="BB53" s="194"/>
      <c r="BC53" s="194"/>
      <c r="BD53" s="197"/>
      <c r="BE53" s="194"/>
      <c r="BF53" s="194"/>
      <c r="BG53" s="194"/>
      <c r="BH53" s="194"/>
      <c r="BI53" s="197"/>
      <c r="BJ53" s="194"/>
      <c r="BK53" s="194"/>
      <c r="BL53" s="194"/>
      <c r="BM53" s="194"/>
      <c r="BN53" s="197"/>
      <c r="BO53" s="194"/>
      <c r="BP53" s="194"/>
      <c r="BQ53" s="194"/>
      <c r="BR53" s="194"/>
      <c r="BS53" s="197"/>
    </row>
    <row r="54" spans="1:78">
      <c r="A54" s="120" t="s">
        <v>77</v>
      </c>
      <c r="B54" s="156">
        <f t="shared" ref="B54:BM57" si="58">B7/B$10</f>
        <v>1</v>
      </c>
      <c r="C54" s="156">
        <f t="shared" si="58"/>
        <v>1</v>
      </c>
      <c r="D54" s="156">
        <f t="shared" si="58"/>
        <v>1</v>
      </c>
      <c r="E54" s="156">
        <f t="shared" si="58"/>
        <v>1</v>
      </c>
      <c r="F54" s="157">
        <f t="shared" si="58"/>
        <v>1</v>
      </c>
      <c r="G54" s="156">
        <f t="shared" si="58"/>
        <v>1</v>
      </c>
      <c r="H54" s="156">
        <f t="shared" si="58"/>
        <v>1</v>
      </c>
      <c r="I54" s="156">
        <f t="shared" si="58"/>
        <v>1</v>
      </c>
      <c r="J54" s="156">
        <f t="shared" si="58"/>
        <v>1</v>
      </c>
      <c r="K54" s="157">
        <f t="shared" si="58"/>
        <v>1</v>
      </c>
      <c r="L54" s="156">
        <f t="shared" si="58"/>
        <v>1</v>
      </c>
      <c r="M54" s="156">
        <f t="shared" si="58"/>
        <v>1</v>
      </c>
      <c r="N54" s="156">
        <f t="shared" si="58"/>
        <v>1</v>
      </c>
      <c r="O54" s="156">
        <f t="shared" si="58"/>
        <v>1</v>
      </c>
      <c r="P54" s="157">
        <f t="shared" si="58"/>
        <v>1</v>
      </c>
      <c r="Q54" s="156">
        <f t="shared" si="58"/>
        <v>1</v>
      </c>
      <c r="R54" s="156">
        <f t="shared" si="58"/>
        <v>1</v>
      </c>
      <c r="S54" s="156">
        <f t="shared" si="58"/>
        <v>1</v>
      </c>
      <c r="T54" s="156">
        <f t="shared" si="58"/>
        <v>1</v>
      </c>
      <c r="U54" s="157">
        <f t="shared" si="58"/>
        <v>1</v>
      </c>
      <c r="V54" s="156">
        <f t="shared" si="58"/>
        <v>1</v>
      </c>
      <c r="W54" s="156">
        <f t="shared" si="58"/>
        <v>0.98022064964177402</v>
      </c>
      <c r="X54" s="156">
        <f t="shared" si="58"/>
        <v>0.98934628824682525</v>
      </c>
      <c r="Y54" s="156">
        <f t="shared" si="58"/>
        <v>0.99029126213592233</v>
      </c>
      <c r="Z54" s="157">
        <f t="shared" si="58"/>
        <v>0.98967481088600973</v>
      </c>
      <c r="AA54" s="156">
        <f t="shared" si="58"/>
        <v>0.85979884181651933</v>
      </c>
      <c r="AB54" s="156">
        <f t="shared" si="58"/>
        <v>0.88551898062118395</v>
      </c>
      <c r="AC54" s="156">
        <f t="shared" si="58"/>
        <v>0.86278371484841632</v>
      </c>
      <c r="AD54" s="156">
        <f t="shared" si="58"/>
        <v>0.96054490413723514</v>
      </c>
      <c r="AE54" s="157">
        <f t="shared" si="58"/>
        <v>0.8918898710620764</v>
      </c>
      <c r="AF54" s="156">
        <f t="shared" si="58"/>
        <v>0.86726431463273568</v>
      </c>
      <c r="AG54" s="156">
        <f t="shared" si="58"/>
        <v>0.73473724884080371</v>
      </c>
      <c r="AH54" s="156">
        <f t="shared" si="58"/>
        <v>0.90838983323157985</v>
      </c>
      <c r="AI54" s="156">
        <f t="shared" si="58"/>
        <v>0.91200486448922857</v>
      </c>
      <c r="AJ54" s="157">
        <f t="shared" si="58"/>
        <v>0.86795536375475602</v>
      </c>
      <c r="AK54" s="156">
        <f t="shared" si="58"/>
        <v>0.90123423153420701</v>
      </c>
      <c r="AL54" s="156">
        <f t="shared" si="58"/>
        <v>0.92174938753289171</v>
      </c>
      <c r="AM54" s="156">
        <f t="shared" si="58"/>
        <v>0.84308431340069567</v>
      </c>
      <c r="AN54" s="156">
        <f t="shared" si="58"/>
        <v>0.79324581204704769</v>
      </c>
      <c r="AO54" s="157">
        <f t="shared" si="58"/>
        <v>0.85726650691983208</v>
      </c>
      <c r="AP54" s="156">
        <f t="shared" si="58"/>
        <v>0.82587079356180748</v>
      </c>
      <c r="AQ54" s="156">
        <f t="shared" si="58"/>
        <v>0.81958168642951257</v>
      </c>
      <c r="AR54" s="156">
        <f t="shared" si="58"/>
        <v>0.85428352206582725</v>
      </c>
      <c r="AS54" s="156">
        <f t="shared" si="58"/>
        <v>0.87511364060923835</v>
      </c>
      <c r="AT54" s="157">
        <f t="shared" si="58"/>
        <v>0.84490247389861617</v>
      </c>
      <c r="AU54" s="156">
        <f t="shared" si="58"/>
        <v>0.8783577200262066</v>
      </c>
      <c r="AV54" s="156">
        <f t="shared" si="58"/>
        <v>0.90508403268306736</v>
      </c>
      <c r="AW54" s="156">
        <f t="shared" si="58"/>
        <v>0.91015226173036812</v>
      </c>
      <c r="AX54" s="156">
        <f t="shared" si="58"/>
        <v>0.92042688825751784</v>
      </c>
      <c r="AY54" s="157">
        <f t="shared" si="58"/>
        <v>0.90442070510814254</v>
      </c>
      <c r="AZ54" s="156">
        <f t="shared" si="58"/>
        <v>0.9324583866837387</v>
      </c>
      <c r="BA54" s="156">
        <f t="shared" si="58"/>
        <v>0.93482364456251954</v>
      </c>
      <c r="BB54" s="156">
        <f t="shared" si="58"/>
        <v>0.94541688244432942</v>
      </c>
      <c r="BC54" s="156">
        <f t="shared" si="58"/>
        <v>0.94537730123406838</v>
      </c>
      <c r="BD54" s="157">
        <f t="shared" si="58"/>
        <v>0.93987177071275374</v>
      </c>
      <c r="BE54" s="156">
        <f t="shared" si="58"/>
        <v>0.93741755697850149</v>
      </c>
      <c r="BF54" s="156">
        <f t="shared" si="58"/>
        <v>0.93929965274576677</v>
      </c>
      <c r="BG54" s="156">
        <f t="shared" si="58"/>
        <v>0.96878791555447719</v>
      </c>
      <c r="BH54" s="156">
        <f t="shared" si="58"/>
        <v>0.9657982308939389</v>
      </c>
      <c r="BI54" s="157">
        <f t="shared" si="58"/>
        <v>0.95360875576482418</v>
      </c>
      <c r="BJ54" s="156">
        <f t="shared" si="58"/>
        <v>0.97110678479079493</v>
      </c>
      <c r="BK54" s="156">
        <f t="shared" si="58"/>
        <v>0.97488279540674005</v>
      </c>
      <c r="BL54" s="156">
        <f t="shared" si="58"/>
        <v>0.97807134008653651</v>
      </c>
      <c r="BM54" s="156">
        <f t="shared" si="58"/>
        <v>0.97609835410567836</v>
      </c>
      <c r="BN54" s="157">
        <f t="shared" ref="BN54:BS57" si="59">BN7/BN$10</f>
        <v>0.97516091352035461</v>
      </c>
      <c r="BO54" s="156">
        <f t="shared" si="59"/>
        <v>0.97336281531057367</v>
      </c>
      <c r="BP54" s="156">
        <f t="shared" si="59"/>
        <v>0.97686635046734815</v>
      </c>
      <c r="BQ54" s="156">
        <f t="shared" si="59"/>
        <v>0.97982978456188274</v>
      </c>
      <c r="BR54" s="156">
        <f t="shared" si="59"/>
        <v>0.97798503524369984</v>
      </c>
      <c r="BS54" s="157">
        <f t="shared" si="59"/>
        <v>0.9771249423401599</v>
      </c>
    </row>
    <row r="55" spans="1:78">
      <c r="A55" s="120" t="s">
        <v>78</v>
      </c>
      <c r="B55" s="156">
        <f t="shared" si="58"/>
        <v>0</v>
      </c>
      <c r="C55" s="156">
        <f t="shared" si="58"/>
        <v>0</v>
      </c>
      <c r="D55" s="156">
        <f t="shared" si="58"/>
        <v>0</v>
      </c>
      <c r="E55" s="156">
        <f t="shared" si="58"/>
        <v>0</v>
      </c>
      <c r="F55" s="157">
        <f t="shared" si="58"/>
        <v>0</v>
      </c>
      <c r="G55" s="156">
        <f t="shared" si="58"/>
        <v>0</v>
      </c>
      <c r="H55" s="156">
        <f t="shared" si="58"/>
        <v>0</v>
      </c>
      <c r="I55" s="156">
        <f t="shared" si="58"/>
        <v>0</v>
      </c>
      <c r="J55" s="156">
        <f t="shared" si="58"/>
        <v>0</v>
      </c>
      <c r="K55" s="157">
        <f t="shared" si="58"/>
        <v>0</v>
      </c>
      <c r="L55" s="156">
        <f t="shared" si="58"/>
        <v>0</v>
      </c>
      <c r="M55" s="156">
        <f t="shared" si="58"/>
        <v>0</v>
      </c>
      <c r="N55" s="156">
        <f t="shared" si="58"/>
        <v>0</v>
      </c>
      <c r="O55" s="156">
        <f t="shared" si="58"/>
        <v>0</v>
      </c>
      <c r="P55" s="157">
        <f t="shared" si="58"/>
        <v>0</v>
      </c>
      <c r="Q55" s="156">
        <f t="shared" si="58"/>
        <v>0</v>
      </c>
      <c r="R55" s="156">
        <f t="shared" si="58"/>
        <v>0</v>
      </c>
      <c r="S55" s="156">
        <f t="shared" si="58"/>
        <v>0</v>
      </c>
      <c r="T55" s="156">
        <f t="shared" si="58"/>
        <v>0</v>
      </c>
      <c r="U55" s="157">
        <f t="shared" si="58"/>
        <v>0</v>
      </c>
      <c r="V55" s="156">
        <f t="shared" si="58"/>
        <v>0</v>
      </c>
      <c r="W55" s="156">
        <f t="shared" si="58"/>
        <v>0</v>
      </c>
      <c r="X55" s="156">
        <f t="shared" si="58"/>
        <v>0</v>
      </c>
      <c r="Y55" s="156">
        <f t="shared" si="58"/>
        <v>0</v>
      </c>
      <c r="Z55" s="157">
        <f t="shared" si="58"/>
        <v>0</v>
      </c>
      <c r="AA55" s="156">
        <f t="shared" si="58"/>
        <v>0</v>
      </c>
      <c r="AB55" s="156">
        <f t="shared" si="58"/>
        <v>0</v>
      </c>
      <c r="AC55" s="156">
        <f t="shared" si="58"/>
        <v>0</v>
      </c>
      <c r="AD55" s="156">
        <f t="shared" si="58"/>
        <v>3.104608139926001E-2</v>
      </c>
      <c r="AE55" s="157">
        <f t="shared" si="58"/>
        <v>7.6681510035889943E-3</v>
      </c>
      <c r="AF55" s="156">
        <f t="shared" si="58"/>
        <v>0.10953666216824111</v>
      </c>
      <c r="AG55" s="156">
        <f t="shared" si="58"/>
        <v>8.2737635239567231E-2</v>
      </c>
      <c r="AH55" s="156">
        <f t="shared" si="58"/>
        <v>6.5132868481089942E-2</v>
      </c>
      <c r="AI55" s="156">
        <f t="shared" si="58"/>
        <v>7.8063470002316421E-2</v>
      </c>
      <c r="AJ55" s="157">
        <f t="shared" si="58"/>
        <v>8.3799358205016897E-2</v>
      </c>
      <c r="AK55" s="156">
        <f t="shared" si="58"/>
        <v>8.3344685720513303E-2</v>
      </c>
      <c r="AL55" s="156">
        <f t="shared" si="58"/>
        <v>4.8779602576898645E-2</v>
      </c>
      <c r="AM55" s="156">
        <f t="shared" si="58"/>
        <v>4.9014411131356635E-2</v>
      </c>
      <c r="AN55" s="156">
        <f t="shared" si="58"/>
        <v>4.0958773909944159E-2</v>
      </c>
      <c r="AO55" s="157">
        <f t="shared" si="58"/>
        <v>5.2224459487777534E-2</v>
      </c>
      <c r="AP55" s="156">
        <f t="shared" si="58"/>
        <v>4.3949072776359857E-2</v>
      </c>
      <c r="AQ55" s="156">
        <f t="shared" si="58"/>
        <v>4.2654808959156784E-2</v>
      </c>
      <c r="AR55" s="156">
        <f t="shared" si="58"/>
        <v>4.3840618054820625E-2</v>
      </c>
      <c r="AS55" s="156">
        <f t="shared" si="58"/>
        <v>4.0238115994370896E-2</v>
      </c>
      <c r="AT55" s="157">
        <f t="shared" si="58"/>
        <v>4.2598537782933613E-2</v>
      </c>
      <c r="AU55" s="156">
        <f t="shared" si="58"/>
        <v>4.7220402319768998E-2</v>
      </c>
      <c r="AV55" s="156">
        <f t="shared" si="58"/>
        <v>4.440778547862094E-2</v>
      </c>
      <c r="AW55" s="156">
        <f t="shared" si="58"/>
        <v>4.461313090957518E-2</v>
      </c>
      <c r="AX55" s="156">
        <f t="shared" si="58"/>
        <v>3.7322172323547079E-2</v>
      </c>
      <c r="AY55" s="157">
        <f t="shared" si="58"/>
        <v>4.3173956033912109E-2</v>
      </c>
      <c r="AZ55" s="156">
        <f t="shared" si="58"/>
        <v>3.6522654991532767E-2</v>
      </c>
      <c r="BA55" s="156">
        <f t="shared" si="58"/>
        <v>3.4135001922606351E-2</v>
      </c>
      <c r="BB55" s="156">
        <f t="shared" si="58"/>
        <v>2.7515967547039531E-2</v>
      </c>
      <c r="BC55" s="156">
        <f t="shared" si="58"/>
        <v>2.5448445613325241E-2</v>
      </c>
      <c r="BD55" s="157">
        <f t="shared" si="58"/>
        <v>3.0621584515573261E-2</v>
      </c>
      <c r="BE55" s="156">
        <f t="shared" si="58"/>
        <v>3.1273750141954874E-2</v>
      </c>
      <c r="BF55" s="156">
        <f t="shared" si="58"/>
        <v>2.7642051565717092E-2</v>
      </c>
      <c r="BG55" s="156">
        <f t="shared" si="58"/>
        <v>2.5031849065760742E-2</v>
      </c>
      <c r="BH55" s="156">
        <f t="shared" si="58"/>
        <v>2.7361415284848829E-2</v>
      </c>
      <c r="BI55" s="157">
        <f t="shared" si="58"/>
        <v>2.7704028850709179E-2</v>
      </c>
      <c r="BJ55" s="156">
        <f t="shared" si="58"/>
        <v>2.8893215209205039E-2</v>
      </c>
      <c r="BK55" s="156">
        <f t="shared" si="58"/>
        <v>2.5117204593259852E-2</v>
      </c>
      <c r="BL55" s="156">
        <f t="shared" si="58"/>
        <v>2.1928659913463416E-2</v>
      </c>
      <c r="BM55" s="156">
        <f t="shared" si="58"/>
        <v>2.3901645894321755E-2</v>
      </c>
      <c r="BN55" s="157">
        <f t="shared" si="59"/>
        <v>2.4839086479645431E-2</v>
      </c>
      <c r="BO55" s="156">
        <f t="shared" si="59"/>
        <v>2.6637184689426423E-2</v>
      </c>
      <c r="BP55" s="156">
        <f t="shared" si="59"/>
        <v>2.3133649532651911E-2</v>
      </c>
      <c r="BQ55" s="156">
        <f t="shared" si="59"/>
        <v>2.0170215438117218E-2</v>
      </c>
      <c r="BR55" s="156">
        <f t="shared" si="59"/>
        <v>2.2014964756300052E-2</v>
      </c>
      <c r="BS55" s="157">
        <f t="shared" si="59"/>
        <v>2.2875057659839961E-2</v>
      </c>
    </row>
    <row r="56" spans="1:78">
      <c r="A56" s="120" t="s">
        <v>138</v>
      </c>
      <c r="B56" s="198">
        <f t="shared" si="58"/>
        <v>0</v>
      </c>
      <c r="C56" s="198">
        <f t="shared" si="58"/>
        <v>0</v>
      </c>
      <c r="D56" s="198">
        <f t="shared" si="58"/>
        <v>0</v>
      </c>
      <c r="E56" s="198">
        <f t="shared" si="58"/>
        <v>0</v>
      </c>
      <c r="F56" s="199">
        <f t="shared" si="58"/>
        <v>0</v>
      </c>
      <c r="G56" s="198">
        <f t="shared" si="58"/>
        <v>0</v>
      </c>
      <c r="H56" s="198">
        <f t="shared" si="58"/>
        <v>0</v>
      </c>
      <c r="I56" s="198">
        <f t="shared" si="58"/>
        <v>0</v>
      </c>
      <c r="J56" s="198">
        <f t="shared" si="58"/>
        <v>0</v>
      </c>
      <c r="K56" s="199">
        <f t="shared" si="58"/>
        <v>0</v>
      </c>
      <c r="L56" s="198">
        <f t="shared" si="58"/>
        <v>0</v>
      </c>
      <c r="M56" s="198">
        <f t="shared" si="58"/>
        <v>0</v>
      </c>
      <c r="N56" s="198">
        <f t="shared" si="58"/>
        <v>0</v>
      </c>
      <c r="O56" s="198">
        <f t="shared" si="58"/>
        <v>0</v>
      </c>
      <c r="P56" s="199">
        <f t="shared" si="58"/>
        <v>0</v>
      </c>
      <c r="Q56" s="198">
        <f t="shared" si="58"/>
        <v>0</v>
      </c>
      <c r="R56" s="198">
        <f t="shared" si="58"/>
        <v>0</v>
      </c>
      <c r="S56" s="198">
        <f t="shared" si="58"/>
        <v>0</v>
      </c>
      <c r="T56" s="198">
        <f t="shared" si="58"/>
        <v>0</v>
      </c>
      <c r="U56" s="199">
        <f t="shared" si="58"/>
        <v>0</v>
      </c>
      <c r="V56" s="198">
        <f t="shared" si="58"/>
        <v>0</v>
      </c>
      <c r="W56" s="198">
        <f t="shared" si="58"/>
        <v>1.9779350358226016E-2</v>
      </c>
      <c r="X56" s="198">
        <f t="shared" si="58"/>
        <v>1.0653711753174805E-2</v>
      </c>
      <c r="Y56" s="198">
        <f t="shared" si="58"/>
        <v>9.7087378640776691E-3</v>
      </c>
      <c r="Z56" s="199">
        <f t="shared" si="58"/>
        <v>1.0325189113990087E-2</v>
      </c>
      <c r="AA56" s="198">
        <f t="shared" si="58"/>
        <v>0.14020115818348064</v>
      </c>
      <c r="AB56" s="198">
        <f t="shared" si="58"/>
        <v>0.11448101937881604</v>
      </c>
      <c r="AC56" s="198">
        <f t="shared" si="58"/>
        <v>0.13721628515158366</v>
      </c>
      <c r="AD56" s="198">
        <f t="shared" si="58"/>
        <v>8.409014463504878E-3</v>
      </c>
      <c r="AE56" s="199">
        <f t="shared" si="58"/>
        <v>0.10044197793433471</v>
      </c>
      <c r="AF56" s="198">
        <f t="shared" si="58"/>
        <v>2.31990231990232E-2</v>
      </c>
      <c r="AG56" s="198">
        <f t="shared" si="58"/>
        <v>0.18252511591962906</v>
      </c>
      <c r="AH56" s="198">
        <f t="shared" si="58"/>
        <v>2.6477298287330097E-2</v>
      </c>
      <c r="AI56" s="198">
        <f t="shared" si="58"/>
        <v>9.9316655084549458E-3</v>
      </c>
      <c r="AJ56" s="199">
        <f t="shared" si="58"/>
        <v>4.8245278040227088E-2</v>
      </c>
      <c r="AK56" s="198">
        <f t="shared" si="58"/>
        <v>1.5421082745279674E-2</v>
      </c>
      <c r="AL56" s="198">
        <f t="shared" si="58"/>
        <v>2.94710098902096E-2</v>
      </c>
      <c r="AM56" s="198">
        <f t="shared" si="58"/>
        <v>0.10790127546794766</v>
      </c>
      <c r="AN56" s="198">
        <f t="shared" si="58"/>
        <v>0.16579541404300821</v>
      </c>
      <c r="AO56" s="199">
        <f t="shared" si="58"/>
        <v>9.0509033592390473E-2</v>
      </c>
      <c r="AP56" s="198">
        <f t="shared" si="58"/>
        <v>0.13018013366183262</v>
      </c>
      <c r="AQ56" s="198">
        <f t="shared" si="58"/>
        <v>0.13776350461133069</v>
      </c>
      <c r="AR56" s="198">
        <f t="shared" si="58"/>
        <v>0.10187585987935233</v>
      </c>
      <c r="AS56" s="198">
        <f t="shared" si="58"/>
        <v>8.4648243396390904E-2</v>
      </c>
      <c r="AT56" s="199">
        <f t="shared" si="58"/>
        <v>0.1124989883184504</v>
      </c>
      <c r="AU56" s="198">
        <f t="shared" si="58"/>
        <v>7.4421877654024415E-2</v>
      </c>
      <c r="AV56" s="198">
        <f t="shared" si="58"/>
        <v>5.0508181838311829E-2</v>
      </c>
      <c r="AW56" s="198">
        <f t="shared" si="58"/>
        <v>4.5234607360056821E-2</v>
      </c>
      <c r="AX56" s="198">
        <f t="shared" si="58"/>
        <v>4.2250939418935013E-2</v>
      </c>
      <c r="AY56" s="199">
        <f t="shared" si="58"/>
        <v>5.2405338857945287E-2</v>
      </c>
      <c r="AZ56" s="198">
        <f t="shared" si="58"/>
        <v>3.1018958324728427E-2</v>
      </c>
      <c r="BA56" s="198">
        <f t="shared" si="58"/>
        <v>3.1041353514873977E-2</v>
      </c>
      <c r="BB56" s="198">
        <f t="shared" si="58"/>
        <v>2.7067150008631108E-2</v>
      </c>
      <c r="BC56" s="198">
        <f t="shared" si="58"/>
        <v>2.9174253152606376E-2</v>
      </c>
      <c r="BD56" s="199">
        <f t="shared" si="58"/>
        <v>2.9506644771672905E-2</v>
      </c>
      <c r="BE56" s="198">
        <f t="shared" si="58"/>
        <v>3.1308692879543645E-2</v>
      </c>
      <c r="BF56" s="198">
        <f t="shared" si="58"/>
        <v>3.3058295688516023E-2</v>
      </c>
      <c r="BG56" s="198">
        <f t="shared" si="58"/>
        <v>6.180235379762194E-3</v>
      </c>
      <c r="BH56" s="198">
        <f t="shared" si="58"/>
        <v>6.8403538212122071E-3</v>
      </c>
      <c r="BI56" s="199">
        <f t="shared" si="58"/>
        <v>1.8687215384466639E-2</v>
      </c>
      <c r="BJ56" s="198">
        <f t="shared" si="58"/>
        <v>0</v>
      </c>
      <c r="BK56" s="198">
        <f t="shared" si="58"/>
        <v>0</v>
      </c>
      <c r="BL56" s="198">
        <f t="shared" si="58"/>
        <v>0</v>
      </c>
      <c r="BM56" s="198">
        <f t="shared" si="58"/>
        <v>0</v>
      </c>
      <c r="BN56" s="199">
        <f t="shared" si="59"/>
        <v>0</v>
      </c>
      <c r="BO56" s="198">
        <f t="shared" si="59"/>
        <v>0</v>
      </c>
      <c r="BP56" s="198">
        <f t="shared" si="59"/>
        <v>0</v>
      </c>
      <c r="BQ56" s="198">
        <f t="shared" si="59"/>
        <v>0</v>
      </c>
      <c r="BR56" s="198">
        <f t="shared" si="59"/>
        <v>0</v>
      </c>
      <c r="BS56" s="199">
        <f t="shared" si="59"/>
        <v>0</v>
      </c>
    </row>
    <row r="57" spans="1:78">
      <c r="A57" s="9" t="s">
        <v>80</v>
      </c>
      <c r="B57" s="156">
        <f t="shared" si="58"/>
        <v>1</v>
      </c>
      <c r="C57" s="156">
        <f t="shared" si="58"/>
        <v>1</v>
      </c>
      <c r="D57" s="156">
        <f t="shared" si="58"/>
        <v>1</v>
      </c>
      <c r="E57" s="156">
        <f t="shared" si="58"/>
        <v>1</v>
      </c>
      <c r="F57" s="157">
        <f t="shared" si="58"/>
        <v>1</v>
      </c>
      <c r="G57" s="156">
        <f t="shared" si="58"/>
        <v>1</v>
      </c>
      <c r="H57" s="156">
        <f t="shared" si="58"/>
        <v>1</v>
      </c>
      <c r="I57" s="156">
        <f t="shared" si="58"/>
        <v>1</v>
      </c>
      <c r="J57" s="156">
        <f t="shared" si="58"/>
        <v>1</v>
      </c>
      <c r="K57" s="157">
        <f t="shared" si="58"/>
        <v>1</v>
      </c>
      <c r="L57" s="156">
        <f t="shared" si="58"/>
        <v>1</v>
      </c>
      <c r="M57" s="156">
        <f t="shared" si="58"/>
        <v>1</v>
      </c>
      <c r="N57" s="156">
        <f t="shared" si="58"/>
        <v>1</v>
      </c>
      <c r="O57" s="156">
        <f t="shared" si="58"/>
        <v>1</v>
      </c>
      <c r="P57" s="157">
        <f t="shared" si="58"/>
        <v>1</v>
      </c>
      <c r="Q57" s="156">
        <f t="shared" si="58"/>
        <v>1</v>
      </c>
      <c r="R57" s="156">
        <f t="shared" si="58"/>
        <v>1</v>
      </c>
      <c r="S57" s="156">
        <f t="shared" si="58"/>
        <v>1</v>
      </c>
      <c r="T57" s="156">
        <f t="shared" si="58"/>
        <v>1</v>
      </c>
      <c r="U57" s="157">
        <f t="shared" si="58"/>
        <v>1</v>
      </c>
      <c r="V57" s="156">
        <f t="shared" si="58"/>
        <v>1</v>
      </c>
      <c r="W57" s="156">
        <f t="shared" si="58"/>
        <v>1</v>
      </c>
      <c r="X57" s="156">
        <f t="shared" si="58"/>
        <v>1</v>
      </c>
      <c r="Y57" s="156">
        <f t="shared" si="58"/>
        <v>1</v>
      </c>
      <c r="Z57" s="157">
        <f t="shared" si="58"/>
        <v>1</v>
      </c>
      <c r="AA57" s="156">
        <f t="shared" si="58"/>
        <v>1</v>
      </c>
      <c r="AB57" s="156">
        <f t="shared" si="58"/>
        <v>1</v>
      </c>
      <c r="AC57" s="156">
        <f t="shared" si="58"/>
        <v>1</v>
      </c>
      <c r="AD57" s="156">
        <f t="shared" si="58"/>
        <v>1</v>
      </c>
      <c r="AE57" s="157">
        <f t="shared" si="58"/>
        <v>1</v>
      </c>
      <c r="AF57" s="156">
        <f t="shared" si="58"/>
        <v>1</v>
      </c>
      <c r="AG57" s="156">
        <f t="shared" si="58"/>
        <v>1</v>
      </c>
      <c r="AH57" s="156">
        <f t="shared" si="58"/>
        <v>1</v>
      </c>
      <c r="AI57" s="156">
        <f t="shared" si="58"/>
        <v>1</v>
      </c>
      <c r="AJ57" s="157">
        <f t="shared" si="58"/>
        <v>1</v>
      </c>
      <c r="AK57" s="156">
        <f t="shared" si="58"/>
        <v>1</v>
      </c>
      <c r="AL57" s="156">
        <f t="shared" si="58"/>
        <v>1</v>
      </c>
      <c r="AM57" s="156">
        <f t="shared" si="58"/>
        <v>1</v>
      </c>
      <c r="AN57" s="156">
        <f t="shared" si="58"/>
        <v>1</v>
      </c>
      <c r="AO57" s="157">
        <f t="shared" si="58"/>
        <v>1</v>
      </c>
      <c r="AP57" s="156">
        <f t="shared" si="58"/>
        <v>1</v>
      </c>
      <c r="AQ57" s="156">
        <f t="shared" si="58"/>
        <v>1</v>
      </c>
      <c r="AR57" s="156">
        <f t="shared" si="58"/>
        <v>1</v>
      </c>
      <c r="AS57" s="156">
        <f t="shared" si="58"/>
        <v>1</v>
      </c>
      <c r="AT57" s="157">
        <f t="shared" si="58"/>
        <v>1</v>
      </c>
      <c r="AU57" s="156">
        <f t="shared" si="58"/>
        <v>1</v>
      </c>
      <c r="AV57" s="156">
        <f t="shared" si="58"/>
        <v>1</v>
      </c>
      <c r="AW57" s="156">
        <f t="shared" si="58"/>
        <v>1</v>
      </c>
      <c r="AX57" s="156">
        <f t="shared" si="58"/>
        <v>1</v>
      </c>
      <c r="AY57" s="157">
        <f t="shared" si="58"/>
        <v>1</v>
      </c>
      <c r="AZ57" s="156">
        <f t="shared" si="58"/>
        <v>1</v>
      </c>
      <c r="BA57" s="156">
        <f t="shared" si="58"/>
        <v>1</v>
      </c>
      <c r="BB57" s="156">
        <f t="shared" si="58"/>
        <v>1</v>
      </c>
      <c r="BC57" s="156">
        <f t="shared" si="58"/>
        <v>1</v>
      </c>
      <c r="BD57" s="157">
        <f t="shared" si="58"/>
        <v>1</v>
      </c>
      <c r="BE57" s="156">
        <f t="shared" si="58"/>
        <v>1</v>
      </c>
      <c r="BF57" s="156">
        <f t="shared" si="58"/>
        <v>1</v>
      </c>
      <c r="BG57" s="156">
        <f t="shared" si="58"/>
        <v>1</v>
      </c>
      <c r="BH57" s="156">
        <f t="shared" si="58"/>
        <v>1</v>
      </c>
      <c r="BI57" s="157">
        <f t="shared" si="58"/>
        <v>1</v>
      </c>
      <c r="BJ57" s="156">
        <f t="shared" si="58"/>
        <v>1</v>
      </c>
      <c r="BK57" s="156">
        <f t="shared" si="58"/>
        <v>1</v>
      </c>
      <c r="BL57" s="156">
        <f t="shared" si="58"/>
        <v>1</v>
      </c>
      <c r="BM57" s="156">
        <f t="shared" ref="BM57:BN57" si="60">BM10/BM$10</f>
        <v>1</v>
      </c>
      <c r="BN57" s="157">
        <f t="shared" si="60"/>
        <v>1</v>
      </c>
      <c r="BO57" s="156">
        <f t="shared" si="59"/>
        <v>1</v>
      </c>
      <c r="BP57" s="156">
        <f t="shared" si="59"/>
        <v>1</v>
      </c>
      <c r="BQ57" s="156">
        <f t="shared" si="59"/>
        <v>1</v>
      </c>
      <c r="BR57" s="156">
        <f t="shared" si="59"/>
        <v>1</v>
      </c>
      <c r="BS57" s="157">
        <f t="shared" si="59"/>
        <v>1</v>
      </c>
      <c r="BV57" s="25"/>
    </row>
    <row r="58" spans="1:78" hidden="1" outlineLevel="1">
      <c r="A58" s="120" t="s">
        <v>139</v>
      </c>
      <c r="B58" s="200">
        <f t="shared" ref="B58:AT60" si="61">+(B7-B11)/B7</f>
        <v>0.51752273943285176</v>
      </c>
      <c r="C58" s="200">
        <f t="shared" si="61"/>
        <v>0.54292958395758895</v>
      </c>
      <c r="D58" s="200">
        <f t="shared" si="61"/>
        <v>0.57633665379142096</v>
      </c>
      <c r="E58" s="200">
        <f t="shared" si="61"/>
        <v>0.60119681941142711</v>
      </c>
      <c r="F58" s="201">
        <f t="shared" si="61"/>
        <v>0.56517412935323375</v>
      </c>
      <c r="G58" s="200">
        <f t="shared" si="61"/>
        <v>0.59297557496880016</v>
      </c>
      <c r="H58" s="200">
        <f t="shared" si="61"/>
        <v>0.56844138394356736</v>
      </c>
      <c r="I58" s="200">
        <f t="shared" si="61"/>
        <v>0.54454803404945273</v>
      </c>
      <c r="J58" s="200">
        <f t="shared" si="61"/>
        <v>0.56024782794473726</v>
      </c>
      <c r="K58" s="201">
        <f t="shared" si="61"/>
        <v>0.5657232894976062</v>
      </c>
      <c r="L58" s="200">
        <f t="shared" si="61"/>
        <v>0.53660516605166053</v>
      </c>
      <c r="M58" s="200">
        <f t="shared" si="61"/>
        <v>0.57063032367972744</v>
      </c>
      <c r="N58" s="200">
        <f t="shared" si="61"/>
        <v>0.65774337472450684</v>
      </c>
      <c r="O58" s="200">
        <f t="shared" si="61"/>
        <v>0.64315057238319551</v>
      </c>
      <c r="P58" s="201">
        <f t="shared" si="61"/>
        <v>0.60878850733655987</v>
      </c>
      <c r="Q58" s="200">
        <f t="shared" si="61"/>
        <v>0.61678432327166499</v>
      </c>
      <c r="R58" s="200">
        <f t="shared" si="61"/>
        <v>0.621862436162121</v>
      </c>
      <c r="S58" s="200">
        <f t="shared" si="61"/>
        <v>0.59078714538501054</v>
      </c>
      <c r="T58" s="200">
        <f t="shared" si="61"/>
        <v>0.60354153908961017</v>
      </c>
      <c r="U58" s="201">
        <f t="shared" si="61"/>
        <v>0.60814698483732432</v>
      </c>
      <c r="V58" s="200">
        <f t="shared" si="61"/>
        <v>0.60745471782845162</v>
      </c>
      <c r="W58" s="200">
        <f t="shared" si="61"/>
        <v>0.63024079637684405</v>
      </c>
      <c r="X58" s="200">
        <f t="shared" si="61"/>
        <v>0.64416781529979328</v>
      </c>
      <c r="Y58" s="200">
        <f t="shared" si="61"/>
        <v>0.65866666666666662</v>
      </c>
      <c r="Z58" s="201">
        <f t="shared" si="61"/>
        <v>0.63673702475345373</v>
      </c>
      <c r="AA58" s="200">
        <f t="shared" si="61"/>
        <v>0.66469730985860009</v>
      </c>
      <c r="AB58" s="200">
        <f t="shared" si="61"/>
        <v>0.67110095180993778</v>
      </c>
      <c r="AC58" s="200">
        <f t="shared" si="61"/>
        <v>0.65894547767840428</v>
      </c>
      <c r="AD58" s="200">
        <f t="shared" si="61"/>
        <v>0.66127394334138745</v>
      </c>
      <c r="AE58" s="201">
        <f t="shared" si="61"/>
        <v>0.66394671883004985</v>
      </c>
      <c r="AF58" s="200">
        <f t="shared" si="61"/>
        <v>0.64877181282649765</v>
      </c>
      <c r="AG58" s="200">
        <f t="shared" si="61"/>
        <v>0.57461214830397056</v>
      </c>
      <c r="AH58" s="200">
        <f t="shared" si="61"/>
        <v>0.67746727980191024</v>
      </c>
      <c r="AI58" s="200">
        <f t="shared" si="61"/>
        <v>0.69025621487760735</v>
      </c>
      <c r="AJ58" s="201">
        <f t="shared" si="61"/>
        <v>0.6584779837207021</v>
      </c>
      <c r="AK58" s="200">
        <f t="shared" si="61"/>
        <v>0.67253159199467927</v>
      </c>
      <c r="AL58" s="200">
        <f t="shared" si="61"/>
        <v>0.69308763018526176</v>
      </c>
      <c r="AM58" s="200">
        <f t="shared" si="61"/>
        <v>0.68420535591488696</v>
      </c>
      <c r="AN58" s="200">
        <f t="shared" si="61"/>
        <v>0.69360092859549938</v>
      </c>
      <c r="AO58" s="201">
        <f t="shared" si="61"/>
        <v>0.68721769350947481</v>
      </c>
      <c r="AP58" s="200">
        <f t="shared" si="61"/>
        <v>0.68792425866380846</v>
      </c>
      <c r="AQ58" s="200">
        <f t="shared" si="61"/>
        <v>0.68965805954653536</v>
      </c>
      <c r="AR58" s="200">
        <f t="shared" si="61"/>
        <v>0.69417904207380343</v>
      </c>
      <c r="AS58" s="200">
        <f t="shared" si="61"/>
        <v>0.72400347237046214</v>
      </c>
      <c r="AT58" s="201">
        <f t="shared" si="61"/>
        <v>0.70006865061625911</v>
      </c>
      <c r="AU58" s="202"/>
      <c r="AV58" s="202"/>
      <c r="AW58" s="202"/>
      <c r="AX58" s="202"/>
      <c r="AY58" s="203"/>
      <c r="AZ58" s="202"/>
      <c r="BA58" s="202"/>
      <c r="BB58" s="202"/>
      <c r="BC58" s="202"/>
      <c r="BD58" s="203"/>
      <c r="BE58" s="202"/>
      <c r="BF58" s="202"/>
      <c r="BG58" s="202"/>
      <c r="BH58" s="202"/>
      <c r="BI58" s="203"/>
      <c r="BJ58" s="159"/>
      <c r="BK58" s="159"/>
      <c r="BL58" s="159"/>
      <c r="BM58" s="159"/>
      <c r="BN58" s="203"/>
      <c r="BO58" s="159"/>
      <c r="BP58" s="159"/>
      <c r="BQ58" s="159"/>
      <c r="BR58" s="159"/>
      <c r="BS58" s="203"/>
      <c r="BV58" s="25"/>
    </row>
    <row r="59" spans="1:78" hidden="1" outlineLevel="1">
      <c r="A59" s="120" t="s">
        <v>140</v>
      </c>
      <c r="B59" s="200" t="s">
        <v>82</v>
      </c>
      <c r="C59" s="200" t="s">
        <v>82</v>
      </c>
      <c r="D59" s="200" t="s">
        <v>82</v>
      </c>
      <c r="E59" s="200" t="s">
        <v>82</v>
      </c>
      <c r="F59" s="201" t="s">
        <v>82</v>
      </c>
      <c r="G59" s="200" t="s">
        <v>82</v>
      </c>
      <c r="H59" s="200" t="s">
        <v>82</v>
      </c>
      <c r="I59" s="200" t="s">
        <v>82</v>
      </c>
      <c r="J59" s="200" t="s">
        <v>82</v>
      </c>
      <c r="K59" s="201" t="s">
        <v>82</v>
      </c>
      <c r="L59" s="200" t="s">
        <v>82</v>
      </c>
      <c r="M59" s="200" t="s">
        <v>82</v>
      </c>
      <c r="N59" s="200" t="s">
        <v>82</v>
      </c>
      <c r="O59" s="200" t="s">
        <v>82</v>
      </c>
      <c r="P59" s="201" t="s">
        <v>82</v>
      </c>
      <c r="Q59" s="200" t="s">
        <v>82</v>
      </c>
      <c r="R59" s="200" t="s">
        <v>82</v>
      </c>
      <c r="S59" s="200" t="s">
        <v>82</v>
      </c>
      <c r="T59" s="200" t="s">
        <v>82</v>
      </c>
      <c r="U59" s="201" t="s">
        <v>82</v>
      </c>
      <c r="V59" s="200" t="s">
        <v>82</v>
      </c>
      <c r="W59" s="200" t="s">
        <v>82</v>
      </c>
      <c r="X59" s="200" t="s">
        <v>82</v>
      </c>
      <c r="Y59" s="204" t="s">
        <v>82</v>
      </c>
      <c r="Z59" s="201" t="s">
        <v>82</v>
      </c>
      <c r="AA59" s="200" t="s">
        <v>82</v>
      </c>
      <c r="AB59" s="200" t="s">
        <v>82</v>
      </c>
      <c r="AC59" s="200" t="s">
        <v>82</v>
      </c>
      <c r="AD59" s="200">
        <f t="shared" si="61"/>
        <v>0.49512459371614304</v>
      </c>
      <c r="AE59" s="201">
        <f t="shared" si="61"/>
        <v>0.49512459371614304</v>
      </c>
      <c r="AF59" s="200">
        <f t="shared" si="61"/>
        <v>0.54268113816368435</v>
      </c>
      <c r="AG59" s="200">
        <f t="shared" si="61"/>
        <v>0.45592527729130178</v>
      </c>
      <c r="AH59" s="200">
        <f t="shared" si="61"/>
        <v>0.48297977306364087</v>
      </c>
      <c r="AI59" s="200">
        <f t="shared" si="61"/>
        <v>0.4873887240356084</v>
      </c>
      <c r="AJ59" s="201">
        <f t="shared" si="61"/>
        <v>0.50015236160487553</v>
      </c>
      <c r="AK59" s="200">
        <f t="shared" si="61"/>
        <v>0.5129127165740438</v>
      </c>
      <c r="AL59" s="200">
        <f t="shared" si="61"/>
        <v>0.5078125</v>
      </c>
      <c r="AM59" s="200">
        <f t="shared" si="61"/>
        <v>0.49611355187563366</v>
      </c>
      <c r="AN59" s="200">
        <f t="shared" si="61"/>
        <v>0.42603335750543875</v>
      </c>
      <c r="AO59" s="201">
        <f t="shared" si="61"/>
        <v>0.48647941381716669</v>
      </c>
      <c r="AP59" s="200">
        <f t="shared" si="61"/>
        <v>0.47129909365558914</v>
      </c>
      <c r="AQ59" s="200">
        <f t="shared" si="61"/>
        <v>0.47039897039897044</v>
      </c>
      <c r="AR59" s="200">
        <f t="shared" si="61"/>
        <v>0.4031382015691008</v>
      </c>
      <c r="AS59" s="200">
        <f t="shared" si="61"/>
        <v>0.18972454348498918</v>
      </c>
      <c r="AT59" s="201">
        <f t="shared" si="61"/>
        <v>0.38117479417352751</v>
      </c>
      <c r="AU59" s="202"/>
      <c r="AV59" s="202"/>
      <c r="AW59" s="202"/>
      <c r="AX59" s="202"/>
      <c r="AY59" s="203"/>
      <c r="AZ59" s="202"/>
      <c r="BA59" s="202"/>
      <c r="BB59" s="202"/>
      <c r="BC59" s="202"/>
      <c r="BD59" s="203"/>
      <c r="BE59" s="202"/>
      <c r="BF59" s="202"/>
      <c r="BG59" s="202"/>
      <c r="BH59" s="202"/>
      <c r="BI59" s="203"/>
      <c r="BJ59" s="159"/>
      <c r="BK59" s="159"/>
      <c r="BL59" s="159"/>
      <c r="BM59" s="159"/>
      <c r="BN59" s="203"/>
      <c r="BO59" s="159"/>
      <c r="BP59" s="159"/>
      <c r="BQ59" s="159"/>
      <c r="BR59" s="159"/>
      <c r="BS59" s="203"/>
      <c r="BV59" s="25"/>
    </row>
    <row r="60" spans="1:78" hidden="1" outlineLevel="1">
      <c r="A60" s="120" t="s">
        <v>141</v>
      </c>
      <c r="B60" s="205" t="s">
        <v>82</v>
      </c>
      <c r="C60" s="205" t="s">
        <v>82</v>
      </c>
      <c r="D60" s="205" t="s">
        <v>82</v>
      </c>
      <c r="E60" s="205" t="s">
        <v>82</v>
      </c>
      <c r="F60" s="206" t="s">
        <v>82</v>
      </c>
      <c r="G60" s="205" t="s">
        <v>82</v>
      </c>
      <c r="H60" s="205" t="s">
        <v>82</v>
      </c>
      <c r="I60" s="205" t="s">
        <v>82</v>
      </c>
      <c r="J60" s="205" t="s">
        <v>82</v>
      </c>
      <c r="K60" s="206" t="s">
        <v>82</v>
      </c>
      <c r="L60" s="205" t="s">
        <v>82</v>
      </c>
      <c r="M60" s="205" t="s">
        <v>82</v>
      </c>
      <c r="N60" s="205" t="s">
        <v>82</v>
      </c>
      <c r="O60" s="205" t="s">
        <v>82</v>
      </c>
      <c r="P60" s="206" t="s">
        <v>82</v>
      </c>
      <c r="Q60" s="205" t="s">
        <v>82</v>
      </c>
      <c r="R60" s="205" t="s">
        <v>82</v>
      </c>
      <c r="S60" s="205" t="s">
        <v>82</v>
      </c>
      <c r="T60" s="205" t="s">
        <v>82</v>
      </c>
      <c r="U60" s="206" t="s">
        <v>82</v>
      </c>
      <c r="V60" s="205" t="s">
        <v>82</v>
      </c>
      <c r="W60" s="205" t="s">
        <v>82</v>
      </c>
      <c r="X60" s="205" t="s">
        <v>82</v>
      </c>
      <c r="Y60" s="205" t="s">
        <v>82</v>
      </c>
      <c r="Z60" s="206" t="s">
        <v>82</v>
      </c>
      <c r="AA60" s="205">
        <f>+(AA9-AA13)/AA9</f>
        <v>1</v>
      </c>
      <c r="AB60" s="205">
        <f>+(AB9-AB13)/AB9</f>
        <v>1</v>
      </c>
      <c r="AC60" s="205">
        <f>+(AC9-AC13)/AC9</f>
        <v>1</v>
      </c>
      <c r="AD60" s="205">
        <f t="shared" si="61"/>
        <v>1</v>
      </c>
      <c r="AE60" s="206">
        <f t="shared" si="61"/>
        <v>1</v>
      </c>
      <c r="AF60" s="205">
        <f t="shared" si="61"/>
        <v>0.83933518005540164</v>
      </c>
      <c r="AG60" s="205">
        <f t="shared" si="61"/>
        <v>0.93331569198200592</v>
      </c>
      <c r="AH60" s="205">
        <f t="shared" si="61"/>
        <v>0.75242718446601942</v>
      </c>
      <c r="AI60" s="205">
        <f t="shared" si="61"/>
        <v>0.85714285714285721</v>
      </c>
      <c r="AJ60" s="206">
        <f t="shared" si="61"/>
        <v>0.89043754410726883</v>
      </c>
      <c r="AK60" s="205">
        <f t="shared" si="61"/>
        <v>0.85689045936395758</v>
      </c>
      <c r="AL60" s="205">
        <f t="shared" si="61"/>
        <v>0.65517241379310343</v>
      </c>
      <c r="AM60" s="205">
        <f t="shared" si="61"/>
        <v>0.37381025483573849</v>
      </c>
      <c r="AN60" s="205">
        <f t="shared" si="61"/>
        <v>0.55813328556073094</v>
      </c>
      <c r="AO60" s="206">
        <f t="shared" si="61"/>
        <v>0.51414334608415557</v>
      </c>
      <c r="AP60" s="205">
        <f t="shared" si="61"/>
        <v>0.49206708975521302</v>
      </c>
      <c r="AQ60" s="205">
        <f t="shared" si="61"/>
        <v>0.5282924885435345</v>
      </c>
      <c r="AR60" s="205">
        <f t="shared" si="61"/>
        <v>0.46123880015582391</v>
      </c>
      <c r="AS60" s="205">
        <f t="shared" si="61"/>
        <v>0.30042665882006764</v>
      </c>
      <c r="AT60" s="206">
        <f t="shared" si="61"/>
        <v>0.45680455635491612</v>
      </c>
      <c r="AU60" s="207"/>
      <c r="AV60" s="207"/>
      <c r="AW60" s="207"/>
      <c r="AX60" s="207"/>
      <c r="AY60" s="208"/>
      <c r="AZ60" s="207"/>
      <c r="BA60" s="207"/>
      <c r="BB60" s="207"/>
      <c r="BC60" s="207"/>
      <c r="BD60" s="208"/>
      <c r="BE60" s="207"/>
      <c r="BF60" s="207"/>
      <c r="BG60" s="207"/>
      <c r="BH60" s="207"/>
      <c r="BI60" s="208"/>
      <c r="BJ60" s="209"/>
      <c r="BK60" s="209"/>
      <c r="BL60" s="209"/>
      <c r="BM60" s="209"/>
      <c r="BN60" s="208"/>
      <c r="BO60" s="209"/>
      <c r="BP60" s="209"/>
      <c r="BQ60" s="209"/>
      <c r="BR60" s="209"/>
      <c r="BS60" s="208"/>
      <c r="BV60" s="25"/>
    </row>
    <row r="61" spans="1:78" collapsed="1">
      <c r="A61" s="9" t="s">
        <v>108</v>
      </c>
      <c r="B61" s="156">
        <f t="shared" ref="B61:BC61" si="62">+B15/B10</f>
        <v>0.51752273943285176</v>
      </c>
      <c r="C61" s="156">
        <f t="shared" si="62"/>
        <v>0.54292958395758895</v>
      </c>
      <c r="D61" s="156">
        <f t="shared" si="62"/>
        <v>0.57633665379142096</v>
      </c>
      <c r="E61" s="156">
        <f t="shared" si="62"/>
        <v>0.60119681941142711</v>
      </c>
      <c r="F61" s="157">
        <f t="shared" si="62"/>
        <v>0.56517412935323375</v>
      </c>
      <c r="G61" s="156">
        <f t="shared" si="62"/>
        <v>0.59297557496880016</v>
      </c>
      <c r="H61" s="156">
        <f t="shared" si="62"/>
        <v>0.56844138394356736</v>
      </c>
      <c r="I61" s="156">
        <f t="shared" si="62"/>
        <v>0.54454803404945273</v>
      </c>
      <c r="J61" s="156">
        <f t="shared" si="62"/>
        <v>0.56024782794473726</v>
      </c>
      <c r="K61" s="157">
        <f t="shared" si="62"/>
        <v>0.5657232894976062</v>
      </c>
      <c r="L61" s="156">
        <f t="shared" si="62"/>
        <v>0.53660516605166053</v>
      </c>
      <c r="M61" s="156">
        <f t="shared" si="62"/>
        <v>0.57063032367972744</v>
      </c>
      <c r="N61" s="156">
        <f t="shared" si="62"/>
        <v>0.65774337472450684</v>
      </c>
      <c r="O61" s="156">
        <f t="shared" si="62"/>
        <v>0.64315057238319551</v>
      </c>
      <c r="P61" s="157">
        <f t="shared" si="62"/>
        <v>0.60878850733655987</v>
      </c>
      <c r="Q61" s="156">
        <f t="shared" si="62"/>
        <v>0.61678432327166499</v>
      </c>
      <c r="R61" s="156">
        <f t="shared" si="62"/>
        <v>0.621862436162121</v>
      </c>
      <c r="S61" s="156">
        <f t="shared" si="62"/>
        <v>0.59078714538501054</v>
      </c>
      <c r="T61" s="156">
        <f t="shared" si="62"/>
        <v>0.60354153908961017</v>
      </c>
      <c r="U61" s="157">
        <f t="shared" si="62"/>
        <v>0.60814698483732432</v>
      </c>
      <c r="V61" s="156">
        <f t="shared" si="62"/>
        <v>0.60745471782845162</v>
      </c>
      <c r="W61" s="156">
        <f t="shared" si="62"/>
        <v>0.63755439321348506</v>
      </c>
      <c r="X61" s="156">
        <f t="shared" si="62"/>
        <v>0.64795874882809179</v>
      </c>
      <c r="Y61" s="156">
        <f t="shared" si="62"/>
        <v>0.66198058252427183</v>
      </c>
      <c r="Z61" s="157">
        <f t="shared" si="62"/>
        <v>0.64048778367098513</v>
      </c>
      <c r="AA61" s="156">
        <f t="shared" si="62"/>
        <v>0.71170713535846108</v>
      </c>
      <c r="AB61" s="156">
        <f t="shared" si="62"/>
        <v>0.70875365011945857</v>
      </c>
      <c r="AC61" s="156">
        <f t="shared" si="62"/>
        <v>0.70574371226552157</v>
      </c>
      <c r="AD61" s="156">
        <f t="shared" si="62"/>
        <v>0.65896400941809619</v>
      </c>
      <c r="AE61" s="157">
        <f t="shared" si="62"/>
        <v>0.69640602153396247</v>
      </c>
      <c r="AF61" s="156">
        <f t="shared" si="62"/>
        <v>0.64157187841398367</v>
      </c>
      <c r="AG61" s="156">
        <f t="shared" si="62"/>
        <v>0.63026468315301387</v>
      </c>
      <c r="AH61" s="156">
        <f t="shared" si="62"/>
        <v>0.66678448635969279</v>
      </c>
      <c r="AI61" s="156">
        <f t="shared" si="62"/>
        <v>0.67607713690062554</v>
      </c>
      <c r="AJ61" s="157">
        <f t="shared" si="62"/>
        <v>0.65640135168492475</v>
      </c>
      <c r="AK61" s="156">
        <f t="shared" si="62"/>
        <v>0.66207122033621235</v>
      </c>
      <c r="AL61" s="156">
        <f t="shared" si="62"/>
        <v>0.68293258325015893</v>
      </c>
      <c r="AM61" s="156">
        <f t="shared" si="62"/>
        <v>0.64149411959582581</v>
      </c>
      <c r="AN61" s="156">
        <f t="shared" si="62"/>
        <v>0.66018177497920871</v>
      </c>
      <c r="AO61" s="157">
        <f t="shared" si="62"/>
        <v>0.66106945342893841</v>
      </c>
      <c r="AP61" s="156">
        <f t="shared" si="62"/>
        <v>0.65290707109452217</v>
      </c>
      <c r="AQ61" s="156">
        <f t="shared" si="62"/>
        <v>0.65807531840140532</v>
      </c>
      <c r="AR61" s="156">
        <f t="shared" si="62"/>
        <v>0.65768864430098406</v>
      </c>
      <c r="AS61" s="156">
        <f t="shared" si="62"/>
        <v>0.66665006164613871</v>
      </c>
      <c r="AT61" s="157">
        <f t="shared" si="62"/>
        <v>0.65911727412523258</v>
      </c>
      <c r="AU61" s="156">
        <f t="shared" si="62"/>
        <v>0.68736502390138554</v>
      </c>
      <c r="AV61" s="156">
        <f t="shared" si="62"/>
        <v>0.67681185093332741</v>
      </c>
      <c r="AW61" s="156">
        <f t="shared" si="62"/>
        <v>0.69916100679184967</v>
      </c>
      <c r="AX61" s="156">
        <f t="shared" si="62"/>
        <v>0.70565891709691553</v>
      </c>
      <c r="AY61" s="157">
        <f t="shared" si="62"/>
        <v>0.69264452944320887</v>
      </c>
      <c r="AZ61" s="156">
        <f t="shared" si="62"/>
        <v>0.68084754863491803</v>
      </c>
      <c r="BA61" s="156">
        <f t="shared" si="62"/>
        <v>0.71159156849722105</v>
      </c>
      <c r="BB61" s="156">
        <f t="shared" si="62"/>
        <v>0.71218712238909032</v>
      </c>
      <c r="BC61" s="156">
        <f t="shared" si="62"/>
        <v>0.69294962573336039</v>
      </c>
      <c r="BD61" s="157">
        <f>+BD15/BD10</f>
        <v>0.70010588562557763</v>
      </c>
      <c r="BE61" s="156">
        <f t="shared" ref="BE61:BH61" si="63">+BE15/BE10</f>
        <v>0.72168109510539602</v>
      </c>
      <c r="BF61" s="156">
        <f t="shared" si="63"/>
        <v>0.71506714606189126</v>
      </c>
      <c r="BG61" s="156">
        <f t="shared" si="63"/>
        <v>0.72757674108226145</v>
      </c>
      <c r="BH61" s="156">
        <f t="shared" si="63"/>
        <v>0.75072527660058586</v>
      </c>
      <c r="BI61" s="157">
        <f>+BI15/BI10</f>
        <v>0.72941824826692703</v>
      </c>
      <c r="BJ61" s="159">
        <v>0.72499999999999998</v>
      </c>
      <c r="BK61" s="159">
        <v>0.72499999999999998</v>
      </c>
      <c r="BL61" s="159">
        <v>0.73</v>
      </c>
      <c r="BM61" s="159">
        <v>0.73499999999999999</v>
      </c>
      <c r="BN61" s="157">
        <f>+BN15/BN10</f>
        <v>0.72892434903281</v>
      </c>
      <c r="BO61" s="159">
        <v>0.72499999999999998</v>
      </c>
      <c r="BP61" s="159">
        <v>0.72499999999999998</v>
      </c>
      <c r="BQ61" s="159">
        <v>0.73</v>
      </c>
      <c r="BR61" s="159">
        <v>0.73499999999999999</v>
      </c>
      <c r="BS61" s="157">
        <f>+BS15/BS10</f>
        <v>0.72892550059651362</v>
      </c>
      <c r="BT61" s="210"/>
      <c r="BU61" s="84"/>
      <c r="BV61" s="25"/>
      <c r="BW61" s="210"/>
      <c r="BX61" s="210"/>
      <c r="BY61" s="210"/>
    </row>
    <row r="62" spans="1:78">
      <c r="A62" s="149" t="s">
        <v>109</v>
      </c>
      <c r="B62" s="202">
        <f t="shared" ref="B62:BC66" si="64">B16/B$10</f>
        <v>0.28437667201712147</v>
      </c>
      <c r="C62" s="202">
        <f t="shared" si="64"/>
        <v>0.25849948138757634</v>
      </c>
      <c r="D62" s="202">
        <f t="shared" si="64"/>
        <v>0.22697702785118928</v>
      </c>
      <c r="E62" s="202">
        <f t="shared" si="64"/>
        <v>0.26248053119108122</v>
      </c>
      <c r="F62" s="203">
        <f t="shared" si="64"/>
        <v>0.2567164179104478</v>
      </c>
      <c r="G62" s="202">
        <f t="shared" si="64"/>
        <v>0.24844000713139597</v>
      </c>
      <c r="H62" s="202">
        <f t="shared" si="64"/>
        <v>0.26058112193483374</v>
      </c>
      <c r="I62" s="202">
        <f t="shared" si="64"/>
        <v>0.28885285772192948</v>
      </c>
      <c r="J62" s="202">
        <f t="shared" si="64"/>
        <v>0.23807149978635522</v>
      </c>
      <c r="K62" s="203">
        <f t="shared" si="64"/>
        <v>0.25848938448174863</v>
      </c>
      <c r="L62" s="202">
        <f t="shared" si="64"/>
        <v>0.25542435424354243</v>
      </c>
      <c r="M62" s="202">
        <f t="shared" si="64"/>
        <v>0.29076660988074959</v>
      </c>
      <c r="N62" s="202">
        <f t="shared" si="64"/>
        <v>0.21534161156802667</v>
      </c>
      <c r="O62" s="202">
        <f t="shared" si="64"/>
        <v>0.19663690639206877</v>
      </c>
      <c r="P62" s="203">
        <f t="shared" si="64"/>
        <v>0.23544595528923712</v>
      </c>
      <c r="Q62" s="202">
        <f t="shared" si="64"/>
        <v>0.24525316455696206</v>
      </c>
      <c r="R62" s="202">
        <f t="shared" si="64"/>
        <v>0.19575138541779857</v>
      </c>
      <c r="S62" s="202">
        <f t="shared" si="64"/>
        <v>0.17386837148239057</v>
      </c>
      <c r="T62" s="202">
        <f t="shared" si="64"/>
        <v>0.16340069401918758</v>
      </c>
      <c r="U62" s="203">
        <f t="shared" si="64"/>
        <v>0.19291759898822847</v>
      </c>
      <c r="V62" s="202">
        <f t="shared" si="64"/>
        <v>0.18337408312958434</v>
      </c>
      <c r="W62" s="202">
        <f t="shared" si="64"/>
        <v>0.2022328688848842</v>
      </c>
      <c r="X62" s="202">
        <f t="shared" si="64"/>
        <v>0.14570016193641863</v>
      </c>
      <c r="Y62" s="202">
        <f t="shared" si="64"/>
        <v>0.12135922330097088</v>
      </c>
      <c r="Z62" s="203">
        <f t="shared" si="64"/>
        <v>0.16107295017824536</v>
      </c>
      <c r="AA62" s="202">
        <f t="shared" si="64"/>
        <v>0.11632632327542416</v>
      </c>
      <c r="AB62" s="202">
        <f t="shared" si="64"/>
        <v>0.11049907087868331</v>
      </c>
      <c r="AC62" s="202">
        <f t="shared" si="64"/>
        <v>0.11761857101346333</v>
      </c>
      <c r="AD62" s="202">
        <f t="shared" si="64"/>
        <v>0.14944500504540867</v>
      </c>
      <c r="AE62" s="203">
        <f t="shared" si="64"/>
        <v>0.12337996809783332</v>
      </c>
      <c r="AF62" s="202">
        <f t="shared" si="64"/>
        <v>0.14160401002506265</v>
      </c>
      <c r="AG62" s="202">
        <f t="shared" si="64"/>
        <v>0.20136205564142193</v>
      </c>
      <c r="AH62" s="202">
        <f t="shared" si="64"/>
        <v>0.12988014523954886</v>
      </c>
      <c r="AI62" s="202">
        <f t="shared" si="64"/>
        <v>0.1327889738244151</v>
      </c>
      <c r="AJ62" s="203">
        <f t="shared" si="64"/>
        <v>0.1464382080811692</v>
      </c>
      <c r="AK62" s="202">
        <f t="shared" si="64"/>
        <v>0.14538321118164726</v>
      </c>
      <c r="AL62" s="202">
        <f t="shared" si="64"/>
        <v>0.11340168768714272</v>
      </c>
      <c r="AM62" s="202">
        <f t="shared" si="64"/>
        <v>0.13261553751863508</v>
      </c>
      <c r="AN62" s="202">
        <f t="shared" si="64"/>
        <v>0.15225139598431747</v>
      </c>
      <c r="AO62" s="203">
        <f t="shared" si="64"/>
        <v>0.13595032663064771</v>
      </c>
      <c r="AP62" s="202">
        <f t="shared" si="64"/>
        <v>0.12575424516471681</v>
      </c>
      <c r="AQ62" s="202">
        <f t="shared" si="64"/>
        <v>0.12467061923583661</v>
      </c>
      <c r="AR62" s="202">
        <f t="shared" si="64"/>
        <v>0.13919462376971112</v>
      </c>
      <c r="AS62" s="202">
        <f t="shared" si="64"/>
        <v>0.1376763764524204</v>
      </c>
      <c r="AT62" s="203">
        <f t="shared" si="64"/>
        <v>0.13214247174036206</v>
      </c>
      <c r="AU62" s="202">
        <f t="shared" si="64"/>
        <v>0.13968357962679867</v>
      </c>
      <c r="AV62" s="202">
        <f t="shared" si="64"/>
        <v>0.12291579017293684</v>
      </c>
      <c r="AW62" s="202">
        <f t="shared" si="64"/>
        <v>0.13524881253606783</v>
      </c>
      <c r="AX62" s="202">
        <f t="shared" si="64"/>
        <v>0.17493049827391316</v>
      </c>
      <c r="AY62" s="203">
        <f t="shared" si="64"/>
        <v>0.14396858061603487</v>
      </c>
      <c r="AZ62" s="202">
        <f t="shared" si="64"/>
        <v>0.13944075007228118</v>
      </c>
      <c r="BA62" s="202">
        <f t="shared" si="64"/>
        <v>0.12754745342049148</v>
      </c>
      <c r="BB62" s="202">
        <f t="shared" si="64"/>
        <v>0.13879682375280511</v>
      </c>
      <c r="BC62" s="202">
        <f t="shared" si="64"/>
        <v>0.14662148492818125</v>
      </c>
      <c r="BD62" s="203">
        <f>BD16/BD$10</f>
        <v>0.1381313879092973</v>
      </c>
      <c r="BE62" s="202">
        <f t="shared" ref="BE62:BH66" si="65">BE16/BE$10</f>
        <v>0.1367484035536764</v>
      </c>
      <c r="BF62" s="202">
        <f t="shared" si="65"/>
        <v>0.10952337051719369</v>
      </c>
      <c r="BG62" s="202">
        <f t="shared" si="65"/>
        <v>0.10640621208444553</v>
      </c>
      <c r="BH62" s="202">
        <f t="shared" si="65"/>
        <v>0.13477345772064053</v>
      </c>
      <c r="BI62" s="203">
        <f>BI16/BI$10</f>
        <v>0.12162159549062643</v>
      </c>
      <c r="BJ62" s="159">
        <v>0.13200000000000001</v>
      </c>
      <c r="BK62" s="159">
        <v>0.13300000000000001</v>
      </c>
      <c r="BL62" s="159">
        <v>0.13200000000000001</v>
      </c>
      <c r="BM62" s="159">
        <v>0.123</v>
      </c>
      <c r="BN62" s="203">
        <f>BN16/BN$10</f>
        <v>0.1298629179655183</v>
      </c>
      <c r="BO62" s="159">
        <v>0.13100000000000001</v>
      </c>
      <c r="BP62" s="159">
        <v>0.13200000000000001</v>
      </c>
      <c r="BQ62" s="159">
        <v>0.13100000000000001</v>
      </c>
      <c r="BR62" s="159">
        <v>0.122</v>
      </c>
      <c r="BS62" s="203">
        <f>BS16/BS$10</f>
        <v>0.12886324113412392</v>
      </c>
      <c r="BT62" s="210"/>
      <c r="BV62" s="211"/>
      <c r="BW62" s="210"/>
      <c r="BX62" s="210"/>
      <c r="BY62" s="210"/>
    </row>
    <row r="63" spans="1:78">
      <c r="A63" s="149" t="s">
        <v>110</v>
      </c>
      <c r="B63" s="202">
        <f t="shared" si="64"/>
        <v>0.57998929909042274</v>
      </c>
      <c r="C63" s="202">
        <f t="shared" si="64"/>
        <v>0.5878759940071453</v>
      </c>
      <c r="D63" s="202">
        <f t="shared" si="64"/>
        <v>0.56241105915836564</v>
      </c>
      <c r="E63" s="202">
        <f t="shared" si="64"/>
        <v>0.57070251659972127</v>
      </c>
      <c r="F63" s="203">
        <f t="shared" si="64"/>
        <v>0.57428646242471859</v>
      </c>
      <c r="G63" s="202">
        <f t="shared" si="64"/>
        <v>0.5009805669459797</v>
      </c>
      <c r="H63" s="202">
        <f t="shared" si="64"/>
        <v>0.58254954652334567</v>
      </c>
      <c r="I63" s="202">
        <f t="shared" si="64"/>
        <v>0.49031211998378593</v>
      </c>
      <c r="J63" s="202">
        <f t="shared" si="64"/>
        <v>0.47621421449935908</v>
      </c>
      <c r="K63" s="203">
        <f t="shared" si="64"/>
        <v>0.51091853019008948</v>
      </c>
      <c r="L63" s="202">
        <f t="shared" si="64"/>
        <v>0.5214760147601476</v>
      </c>
      <c r="M63" s="202">
        <f t="shared" si="64"/>
        <v>0.56306643952299829</v>
      </c>
      <c r="N63" s="202">
        <f t="shared" si="64"/>
        <v>0.38096006020534318</v>
      </c>
      <c r="O63" s="202">
        <f t="shared" si="64"/>
        <v>0.31943911924193458</v>
      </c>
      <c r="P63" s="203">
        <f t="shared" si="64"/>
        <v>0.43401705462088036</v>
      </c>
      <c r="Q63" s="202">
        <f t="shared" si="64"/>
        <v>0.446445959104187</v>
      </c>
      <c r="R63" s="202">
        <f t="shared" si="64"/>
        <v>0.43431489731609257</v>
      </c>
      <c r="S63" s="202">
        <f t="shared" si="64"/>
        <v>0.45008276728123753</v>
      </c>
      <c r="T63" s="202">
        <f t="shared" si="64"/>
        <v>0.46157379056950398</v>
      </c>
      <c r="U63" s="203">
        <f t="shared" si="64"/>
        <v>0.44834822731505292</v>
      </c>
      <c r="V63" s="202">
        <f t="shared" si="64"/>
        <v>0.57596926301082774</v>
      </c>
      <c r="W63" s="202">
        <f t="shared" si="64"/>
        <v>0.42297041888268649</v>
      </c>
      <c r="X63" s="202">
        <f t="shared" si="64"/>
        <v>0.42960027273502083</v>
      </c>
      <c r="Y63" s="202">
        <f t="shared" si="64"/>
        <v>0.39091262135922333</v>
      </c>
      <c r="Z63" s="203">
        <f t="shared" si="64"/>
        <v>0.44901530301712883</v>
      </c>
      <c r="AA63" s="202">
        <f t="shared" si="64"/>
        <v>0.42253378035151884</v>
      </c>
      <c r="AB63" s="202">
        <f t="shared" si="64"/>
        <v>0.46266923281125566</v>
      </c>
      <c r="AC63" s="202">
        <f t="shared" si="64"/>
        <v>0.42256158589739451</v>
      </c>
      <c r="AD63" s="202">
        <f t="shared" si="64"/>
        <v>0.47706020854355874</v>
      </c>
      <c r="AE63" s="203">
        <f t="shared" si="64"/>
        <v>0.44605709158580359</v>
      </c>
      <c r="AF63" s="202">
        <f t="shared" si="64"/>
        <v>0.56500224921277553</v>
      </c>
      <c r="AG63" s="202">
        <f t="shared" si="64"/>
        <v>0.51685664605873261</v>
      </c>
      <c r="AH63" s="202">
        <f t="shared" si="64"/>
        <v>0.35201311011856945</v>
      </c>
      <c r="AI63" s="202">
        <f t="shared" si="64"/>
        <v>0.3807331480194579</v>
      </c>
      <c r="AJ63" s="203">
        <f t="shared" si="64"/>
        <v>0.44592834708000306</v>
      </c>
      <c r="AK63" s="202">
        <f t="shared" si="64"/>
        <v>0.44399640356374132</v>
      </c>
      <c r="AL63" s="202">
        <f t="shared" si="64"/>
        <v>0.35680972688503759</v>
      </c>
      <c r="AM63" s="202">
        <f t="shared" si="64"/>
        <v>0.35895312241179395</v>
      </c>
      <c r="AN63" s="202">
        <f t="shared" si="64"/>
        <v>0.32986812403469168</v>
      </c>
      <c r="AO63" s="203">
        <f t="shared" si="64"/>
        <v>0.36371256503002086</v>
      </c>
      <c r="AP63" s="202">
        <f t="shared" si="64"/>
        <v>0.33250224982665272</v>
      </c>
      <c r="AQ63" s="202">
        <f t="shared" si="64"/>
        <v>0.3176191260430391</v>
      </c>
      <c r="AR63" s="202">
        <f t="shared" si="64"/>
        <v>0.320959889935443</v>
      </c>
      <c r="AS63" s="202">
        <f t="shared" si="64"/>
        <v>0.289051894840405</v>
      </c>
      <c r="AT63" s="203">
        <f t="shared" si="64"/>
        <v>0.31413723797447868</v>
      </c>
      <c r="AU63" s="202">
        <f t="shared" si="64"/>
        <v>0.28424449782824979</v>
      </c>
      <c r="AV63" s="202">
        <f t="shared" si="64"/>
        <v>0.25126768672084326</v>
      </c>
      <c r="AW63" s="202">
        <f t="shared" si="64"/>
        <v>0.23986771429839751</v>
      </c>
      <c r="AX63" s="202">
        <f t="shared" si="64"/>
        <v>0.23179462112648802</v>
      </c>
      <c r="AY63" s="203">
        <f t="shared" si="64"/>
        <v>0.25065433969162254</v>
      </c>
      <c r="AZ63" s="202">
        <f t="shared" si="64"/>
        <v>0.22371029697245051</v>
      </c>
      <c r="BA63" s="202">
        <f t="shared" si="64"/>
        <v>0.19121194113328902</v>
      </c>
      <c r="BB63" s="202">
        <f t="shared" si="64"/>
        <v>0.17977731745209735</v>
      </c>
      <c r="BC63" s="202">
        <f t="shared" si="64"/>
        <v>0.19347225032031831</v>
      </c>
      <c r="BD63" s="203">
        <f>BD17/BD$10</f>
        <v>0.19590186735582055</v>
      </c>
      <c r="BE63" s="202">
        <f t="shared" si="65"/>
        <v>0.19651795619927842</v>
      </c>
      <c r="BF63" s="202">
        <f t="shared" si="65"/>
        <v>0.17760671153314278</v>
      </c>
      <c r="BG63" s="202">
        <f t="shared" si="65"/>
        <v>0.16950527784518324</v>
      </c>
      <c r="BH63" s="202">
        <f t="shared" si="65"/>
        <v>0.16980005119599534</v>
      </c>
      <c r="BI63" s="203">
        <f>BI17/BI$10</f>
        <v>0.17760396020458477</v>
      </c>
      <c r="BJ63" s="159">
        <v>0.185</v>
      </c>
      <c r="BK63" s="159">
        <v>0.18099999999999999</v>
      </c>
      <c r="BL63" s="159">
        <v>0.186</v>
      </c>
      <c r="BM63" s="159">
        <v>0.19</v>
      </c>
      <c r="BN63" s="203">
        <f>BN17/BN$10</f>
        <v>0.185561626812319</v>
      </c>
      <c r="BO63" s="159">
        <v>0.183</v>
      </c>
      <c r="BP63" s="159">
        <v>0.17899999999999999</v>
      </c>
      <c r="BQ63" s="159">
        <v>0.184</v>
      </c>
      <c r="BR63" s="159">
        <v>0.188</v>
      </c>
      <c r="BS63" s="203">
        <f>BS17/BS$10</f>
        <v>0.18356184907835837</v>
      </c>
      <c r="BT63" s="210"/>
      <c r="BV63" s="211"/>
      <c r="BW63" s="210"/>
      <c r="BX63" s="210"/>
      <c r="BY63" s="210"/>
    </row>
    <row r="64" spans="1:78">
      <c r="A64" s="149" t="s">
        <v>111</v>
      </c>
      <c r="B64" s="202">
        <f t="shared" si="64"/>
        <v>0.53263777421080793</v>
      </c>
      <c r="C64" s="202">
        <f t="shared" si="64"/>
        <v>0.45269102224271063</v>
      </c>
      <c r="D64" s="202">
        <f t="shared" si="64"/>
        <v>0.58091075421833704</v>
      </c>
      <c r="E64" s="202">
        <f t="shared" si="64"/>
        <v>0.42864169194196244</v>
      </c>
      <c r="F64" s="203">
        <f t="shared" si="64"/>
        <v>0.4936894474993454</v>
      </c>
      <c r="G64" s="202">
        <f t="shared" si="64"/>
        <v>0.51684792298092352</v>
      </c>
      <c r="H64" s="202">
        <f t="shared" si="64"/>
        <v>0.46489754786698018</v>
      </c>
      <c r="I64" s="202">
        <f t="shared" si="64"/>
        <v>0.46436967977300359</v>
      </c>
      <c r="J64" s="202">
        <f t="shared" si="64"/>
        <v>0.3931776100270617</v>
      </c>
      <c r="K64" s="203">
        <f t="shared" si="64"/>
        <v>0.45619457406621816</v>
      </c>
      <c r="L64" s="202">
        <f t="shared" si="64"/>
        <v>0.45963099630996307</v>
      </c>
      <c r="M64" s="202">
        <f t="shared" si="64"/>
        <v>0.41369676320272569</v>
      </c>
      <c r="N64" s="202">
        <f t="shared" si="64"/>
        <v>0.30978874375100784</v>
      </c>
      <c r="O64" s="202">
        <f t="shared" si="64"/>
        <v>0.31357835350824337</v>
      </c>
      <c r="P64" s="203">
        <f t="shared" si="64"/>
        <v>0.36547591610970265</v>
      </c>
      <c r="Q64" s="202">
        <f t="shared" si="64"/>
        <v>0.36629746835443044</v>
      </c>
      <c r="R64" s="202">
        <f t="shared" si="64"/>
        <v>0.33641203955231991</v>
      </c>
      <c r="S64" s="202">
        <f t="shared" si="64"/>
        <v>0.3150864775386723</v>
      </c>
      <c r="T64" s="202">
        <f t="shared" si="64"/>
        <v>0.27337211675852213</v>
      </c>
      <c r="U64" s="203">
        <f t="shared" si="64"/>
        <v>0.32087612747209993</v>
      </c>
      <c r="V64" s="202">
        <f t="shared" si="64"/>
        <v>0.28162267351928549</v>
      </c>
      <c r="W64" s="202">
        <f t="shared" si="64"/>
        <v>0.26073579183332607</v>
      </c>
      <c r="X64" s="202">
        <f t="shared" si="64"/>
        <v>0.24469445154691893</v>
      </c>
      <c r="Y64" s="202">
        <f t="shared" si="64"/>
        <v>0.25805825242718444</v>
      </c>
      <c r="Z64" s="203">
        <f t="shared" si="64"/>
        <v>0.26044474393530997</v>
      </c>
      <c r="AA64" s="202">
        <f t="shared" si="64"/>
        <v>0.23380405702868368</v>
      </c>
      <c r="AB64" s="202">
        <f t="shared" si="64"/>
        <v>0.22962569684098752</v>
      </c>
      <c r="AC64" s="202">
        <f t="shared" si="64"/>
        <v>0.21386368772802117</v>
      </c>
      <c r="AD64" s="202">
        <f t="shared" si="64"/>
        <v>0.2886310124453414</v>
      </c>
      <c r="AE64" s="203">
        <f t="shared" si="64"/>
        <v>0.24116874916921441</v>
      </c>
      <c r="AF64" s="202">
        <f t="shared" si="64"/>
        <v>0.25104427736006685</v>
      </c>
      <c r="AG64" s="202">
        <f t="shared" si="64"/>
        <v>0.38432187017001546</v>
      </c>
      <c r="AH64" s="202">
        <f t="shared" si="64"/>
        <v>0.27460557180039197</v>
      </c>
      <c r="AI64" s="202">
        <f t="shared" si="64"/>
        <v>0.35942205235116981</v>
      </c>
      <c r="AJ64" s="203">
        <f t="shared" si="64"/>
        <v>0.31263246597380046</v>
      </c>
      <c r="AK64" s="202">
        <f t="shared" si="64"/>
        <v>0.30466174427158527</v>
      </c>
      <c r="AL64" s="202">
        <f t="shared" si="64"/>
        <v>0.28079121676798841</v>
      </c>
      <c r="AM64" s="202">
        <f t="shared" si="64"/>
        <v>0.34369720059632264</v>
      </c>
      <c r="AN64" s="202">
        <f t="shared" si="64"/>
        <v>0.27992455744326961</v>
      </c>
      <c r="AO64" s="203">
        <f t="shared" si="64"/>
        <v>0.30181674061791047</v>
      </c>
      <c r="AP64" s="202">
        <f t="shared" si="64"/>
        <v>0.26587787498340287</v>
      </c>
      <c r="AQ64" s="202">
        <f t="shared" si="64"/>
        <v>0.23008618796662275</v>
      </c>
      <c r="AR64" s="202">
        <f t="shared" si="64"/>
        <v>0.21600169330087843</v>
      </c>
      <c r="AS64" s="202">
        <f t="shared" si="64"/>
        <v>0.20972140926809221</v>
      </c>
      <c r="AT64" s="203">
        <f t="shared" si="64"/>
        <v>0.22916273234952927</v>
      </c>
      <c r="AU64" s="202">
        <f t="shared" si="64"/>
        <v>0.19753221227342213</v>
      </c>
      <c r="AV64" s="202">
        <f t="shared" si="64"/>
        <v>0.19811341644339142</v>
      </c>
      <c r="AW64" s="202">
        <f t="shared" si="64"/>
        <v>0.19920539796688419</v>
      </c>
      <c r="AX64" s="202">
        <f t="shared" si="64"/>
        <v>0.18263933441277402</v>
      </c>
      <c r="AY64" s="203">
        <f t="shared" si="64"/>
        <v>0.19404460865639481</v>
      </c>
      <c r="AZ64" s="202">
        <f t="shared" si="64"/>
        <v>0.18379042583949443</v>
      </c>
      <c r="BA64" s="202">
        <f t="shared" si="64"/>
        <v>0.19717202083406157</v>
      </c>
      <c r="BB64" s="202">
        <f t="shared" si="64"/>
        <v>0.1789401001208355</v>
      </c>
      <c r="BC64" s="202">
        <f t="shared" si="64"/>
        <v>0.14809663497201428</v>
      </c>
      <c r="BD64" s="203">
        <f>BD18/BD$10</f>
        <v>0.17646557371165011</v>
      </c>
      <c r="BE64" s="202">
        <f t="shared" si="65"/>
        <v>0.1952250749084937</v>
      </c>
      <c r="BF64" s="202">
        <f t="shared" si="65"/>
        <v>0.17624688854061027</v>
      </c>
      <c r="BG64" s="202">
        <f t="shared" si="65"/>
        <v>0.16875454986653729</v>
      </c>
      <c r="BH64" s="202">
        <f t="shared" si="65"/>
        <v>0.15852271111237523</v>
      </c>
      <c r="BI64" s="203">
        <f>BI18/BI$10</f>
        <v>0.17371723597830396</v>
      </c>
      <c r="BJ64" s="159">
        <v>0.18</v>
      </c>
      <c r="BK64" s="159">
        <v>0.17599999999999999</v>
      </c>
      <c r="BL64" s="159">
        <v>0.17599999999999999</v>
      </c>
      <c r="BM64" s="159">
        <v>0.17499999999999999</v>
      </c>
      <c r="BN64" s="203">
        <f>BN18/BN$10</f>
        <v>0.17663727777950902</v>
      </c>
      <c r="BO64" s="159">
        <v>0.17799999999999999</v>
      </c>
      <c r="BP64" s="159">
        <v>0.17399999999999999</v>
      </c>
      <c r="BQ64" s="159">
        <v>0.17399999999999999</v>
      </c>
      <c r="BR64" s="159">
        <v>0.17299999999999999</v>
      </c>
      <c r="BS64" s="203">
        <f>BS18/BS$10</f>
        <v>0.17463634848184467</v>
      </c>
      <c r="BT64" s="210"/>
      <c r="BU64" s="210"/>
      <c r="BV64" s="211"/>
      <c r="BW64" s="210"/>
      <c r="BX64" s="210"/>
      <c r="BY64" s="210"/>
    </row>
    <row r="65" spans="1:77">
      <c r="A65" s="74" t="s">
        <v>112</v>
      </c>
      <c r="B65" s="207">
        <f t="shared" si="64"/>
        <v>1.3970037453183519</v>
      </c>
      <c r="C65" s="207">
        <f t="shared" si="64"/>
        <v>1.2990664976374322</v>
      </c>
      <c r="D65" s="207">
        <f t="shared" si="64"/>
        <v>1.370298841227892</v>
      </c>
      <c r="E65" s="207">
        <f t="shared" si="64"/>
        <v>1.2618247397327651</v>
      </c>
      <c r="F65" s="208">
        <f t="shared" si="64"/>
        <v>1.3246923278345117</v>
      </c>
      <c r="G65" s="207">
        <f t="shared" si="64"/>
        <v>1.2662684970582991</v>
      </c>
      <c r="H65" s="207">
        <f t="shared" si="64"/>
        <v>1.3080282163251598</v>
      </c>
      <c r="I65" s="207">
        <f t="shared" si="64"/>
        <v>1.2435346574787189</v>
      </c>
      <c r="J65" s="207">
        <f t="shared" si="64"/>
        <v>1.1074633243127761</v>
      </c>
      <c r="K65" s="208">
        <f t="shared" si="64"/>
        <v>1.2256024887380563</v>
      </c>
      <c r="L65" s="207">
        <f t="shared" si="64"/>
        <v>1.2365313653136529</v>
      </c>
      <c r="M65" s="207">
        <f t="shared" si="64"/>
        <v>1.2675298126064736</v>
      </c>
      <c r="N65" s="207">
        <f t="shared" si="64"/>
        <v>0.90609041552437786</v>
      </c>
      <c r="O65" s="207">
        <f t="shared" si="64"/>
        <v>0.82965437914224671</v>
      </c>
      <c r="P65" s="208">
        <f t="shared" si="64"/>
        <v>1.0349389260198203</v>
      </c>
      <c r="Q65" s="207">
        <f t="shared" si="64"/>
        <v>1.0579965920155794</v>
      </c>
      <c r="R65" s="207">
        <f t="shared" si="64"/>
        <v>0.96647832228621111</v>
      </c>
      <c r="S65" s="207">
        <f t="shared" si="64"/>
        <v>0.93903761630230043</v>
      </c>
      <c r="T65" s="207">
        <f t="shared" si="64"/>
        <v>0.89834660134721367</v>
      </c>
      <c r="U65" s="208">
        <f t="shared" si="64"/>
        <v>0.96214195377538125</v>
      </c>
      <c r="V65" s="207">
        <f t="shared" si="64"/>
        <v>1.0409660196596977</v>
      </c>
      <c r="W65" s="207">
        <f t="shared" si="64"/>
        <v>0.88593907960089668</v>
      </c>
      <c r="X65" s="207">
        <f t="shared" si="64"/>
        <v>0.81999488621835848</v>
      </c>
      <c r="Y65" s="207">
        <f t="shared" si="64"/>
        <v>0.77033009708737854</v>
      </c>
      <c r="Z65" s="208">
        <f t="shared" si="64"/>
        <v>0.87053299713068422</v>
      </c>
      <c r="AA65" s="207">
        <f t="shared" si="64"/>
        <v>0.77266416065562671</v>
      </c>
      <c r="AB65" s="207">
        <f t="shared" si="64"/>
        <v>0.80279400053092642</v>
      </c>
      <c r="AC65" s="207">
        <f t="shared" si="64"/>
        <v>0.75404384463887897</v>
      </c>
      <c r="AD65" s="207">
        <f t="shared" si="64"/>
        <v>0.91513622603430878</v>
      </c>
      <c r="AE65" s="208">
        <f t="shared" si="64"/>
        <v>0.81060580885285127</v>
      </c>
      <c r="AF65" s="207">
        <f t="shared" si="64"/>
        <v>0.957650536597905</v>
      </c>
      <c r="AG65" s="207">
        <f t="shared" si="64"/>
        <v>1.10254057187017</v>
      </c>
      <c r="AH65" s="207">
        <f t="shared" si="64"/>
        <v>0.75649882715851025</v>
      </c>
      <c r="AI65" s="207">
        <f t="shared" si="64"/>
        <v>0.87294417419504278</v>
      </c>
      <c r="AJ65" s="199">
        <f t="shared" si="64"/>
        <v>0.90499902113497266</v>
      </c>
      <c r="AK65" s="207">
        <f t="shared" si="64"/>
        <v>0.89404135901697379</v>
      </c>
      <c r="AL65" s="207">
        <f t="shared" si="64"/>
        <v>0.75100263134016876</v>
      </c>
      <c r="AM65" s="207">
        <f t="shared" si="64"/>
        <v>0.83526586052675156</v>
      </c>
      <c r="AN65" s="207">
        <f t="shared" si="64"/>
        <v>0.76204407746227876</v>
      </c>
      <c r="AO65" s="199">
        <f t="shared" si="64"/>
        <v>0.80147963227857899</v>
      </c>
      <c r="AP65" s="207">
        <f t="shared" si="64"/>
        <v>0.72413436997477232</v>
      </c>
      <c r="AQ65" s="207">
        <f t="shared" si="64"/>
        <v>0.67237593324549849</v>
      </c>
      <c r="AR65" s="207">
        <f t="shared" si="64"/>
        <v>0.67615620700603241</v>
      </c>
      <c r="AS65" s="207">
        <f t="shared" si="64"/>
        <v>0.63644968056091766</v>
      </c>
      <c r="AT65" s="199">
        <f t="shared" si="64"/>
        <v>0.6754424420643701</v>
      </c>
      <c r="AU65" s="207">
        <f t="shared" si="64"/>
        <v>0.62146028972847056</v>
      </c>
      <c r="AV65" s="207">
        <f t="shared" si="64"/>
        <v>0.57229689333717149</v>
      </c>
      <c r="AW65" s="207">
        <f t="shared" si="64"/>
        <v>0.57432192480134958</v>
      </c>
      <c r="AX65" s="207">
        <f t="shared" si="64"/>
        <v>0.58936445381317526</v>
      </c>
      <c r="AY65" s="199">
        <f t="shared" si="64"/>
        <v>0.58866752896405228</v>
      </c>
      <c r="AZ65" s="207">
        <f t="shared" si="64"/>
        <v>0.54694147288422612</v>
      </c>
      <c r="BA65" s="207">
        <f t="shared" si="64"/>
        <v>0.51593141538784215</v>
      </c>
      <c r="BB65" s="207">
        <f t="shared" si="64"/>
        <v>0.4975142413257379</v>
      </c>
      <c r="BC65" s="207">
        <f t="shared" si="64"/>
        <v>0.48819037022051387</v>
      </c>
      <c r="BD65" s="199">
        <f>BD19/BD$10</f>
        <v>0.5104988289767679</v>
      </c>
      <c r="BE65" s="207">
        <f t="shared" si="65"/>
        <v>0.52849143466144854</v>
      </c>
      <c r="BF65" s="207">
        <f t="shared" si="65"/>
        <v>0.46337697059094674</v>
      </c>
      <c r="BG65" s="207">
        <f t="shared" si="65"/>
        <v>0.44466603979616609</v>
      </c>
      <c r="BH65" s="207">
        <f t="shared" si="65"/>
        <v>0.46309622002901107</v>
      </c>
      <c r="BI65" s="199">
        <f>BI19/BI$10</f>
        <v>0.47294279167351516</v>
      </c>
      <c r="BJ65" s="207">
        <f t="shared" ref="BJ65:BM66" si="66">BJ19/BJ$10</f>
        <v>0.49699999999999994</v>
      </c>
      <c r="BK65" s="207">
        <f t="shared" si="66"/>
        <v>0.49</v>
      </c>
      <c r="BL65" s="207">
        <f t="shared" si="66"/>
        <v>0.49399999999999999</v>
      </c>
      <c r="BM65" s="207">
        <f t="shared" si="66"/>
        <v>0.48799999999999993</v>
      </c>
      <c r="BN65" s="199">
        <f>BN19/BN$10</f>
        <v>0.49206182255734637</v>
      </c>
      <c r="BO65" s="207">
        <f t="shared" ref="BO65:BR66" si="67">BO19/BO$10</f>
        <v>0.49199999999999994</v>
      </c>
      <c r="BP65" s="207">
        <f t="shared" si="67"/>
        <v>0.48499999999999999</v>
      </c>
      <c r="BQ65" s="207">
        <f t="shared" si="67"/>
        <v>0.48900000000000005</v>
      </c>
      <c r="BR65" s="207">
        <f t="shared" si="67"/>
        <v>0.48299999999999998</v>
      </c>
      <c r="BS65" s="199">
        <f>BS19/BS$10</f>
        <v>0.48706143869432705</v>
      </c>
      <c r="BT65" s="210"/>
      <c r="BV65" s="211"/>
      <c r="BW65" s="210"/>
      <c r="BX65" s="210"/>
      <c r="BY65" s="210"/>
    </row>
    <row r="66" spans="1:77">
      <c r="A66" s="118" t="s">
        <v>113</v>
      </c>
      <c r="B66" s="202">
        <f t="shared" si="64"/>
        <v>-0.87948100588550016</v>
      </c>
      <c r="C66" s="202">
        <f t="shared" si="64"/>
        <v>-0.75613691367984315</v>
      </c>
      <c r="D66" s="202">
        <f t="shared" si="64"/>
        <v>-0.79396218743647096</v>
      </c>
      <c r="E66" s="202">
        <f t="shared" si="64"/>
        <v>-0.66062792032133788</v>
      </c>
      <c r="F66" s="203">
        <f t="shared" si="64"/>
        <v>-0.75951819848127811</v>
      </c>
      <c r="G66" s="202">
        <f t="shared" si="64"/>
        <v>-0.67329292208949898</v>
      </c>
      <c r="H66" s="202">
        <f t="shared" si="64"/>
        <v>-0.7395868323815924</v>
      </c>
      <c r="I66" s="202">
        <f t="shared" si="64"/>
        <v>-0.69898662342926621</v>
      </c>
      <c r="J66" s="202">
        <f t="shared" si="64"/>
        <v>-0.5472154963680389</v>
      </c>
      <c r="K66" s="203">
        <f t="shared" si="64"/>
        <v>-0.65987919924045002</v>
      </c>
      <c r="L66" s="202">
        <f t="shared" si="64"/>
        <v>-0.6999261992619924</v>
      </c>
      <c r="M66" s="202">
        <f t="shared" si="64"/>
        <v>-0.69689948892674602</v>
      </c>
      <c r="N66" s="202">
        <f t="shared" si="64"/>
        <v>-0.24834704079987102</v>
      </c>
      <c r="O66" s="202">
        <f t="shared" si="64"/>
        <v>-0.18650380675905126</v>
      </c>
      <c r="P66" s="203">
        <f t="shared" si="64"/>
        <v>-0.42615041868326037</v>
      </c>
      <c r="Q66" s="202">
        <f t="shared" si="64"/>
        <v>-0.44121226874391434</v>
      </c>
      <c r="R66" s="202">
        <f t="shared" si="64"/>
        <v>-0.34461588612409016</v>
      </c>
      <c r="S66" s="202">
        <f t="shared" si="64"/>
        <v>-0.34825047091729</v>
      </c>
      <c r="T66" s="202">
        <f t="shared" si="64"/>
        <v>-0.29480506225760356</v>
      </c>
      <c r="U66" s="203">
        <f t="shared" si="64"/>
        <v>-0.35399496893805699</v>
      </c>
      <c r="V66" s="202">
        <f t="shared" si="64"/>
        <v>-0.43351130183124603</v>
      </c>
      <c r="W66" s="202">
        <f t="shared" si="64"/>
        <v>-0.24838468638741162</v>
      </c>
      <c r="X66" s="202">
        <f t="shared" si="64"/>
        <v>-0.17203613739026671</v>
      </c>
      <c r="Y66" s="202">
        <f t="shared" si="64"/>
        <v>-0.10834951456310676</v>
      </c>
      <c r="Z66" s="203">
        <f t="shared" si="64"/>
        <v>-0.23004521345969911</v>
      </c>
      <c r="AA66" s="202">
        <f t="shared" si="64"/>
        <v>-6.0957025297165644E-2</v>
      </c>
      <c r="AB66" s="202">
        <f t="shared" si="64"/>
        <v>-9.4040350411467882E-2</v>
      </c>
      <c r="AC66" s="202">
        <f t="shared" si="64"/>
        <v>-4.8300132373357396E-2</v>
      </c>
      <c r="AD66" s="202">
        <f t="shared" si="64"/>
        <v>-0.25617221661621259</v>
      </c>
      <c r="AE66" s="203">
        <f t="shared" si="64"/>
        <v>-0.11419978731888883</v>
      </c>
      <c r="AF66" s="202">
        <f t="shared" si="64"/>
        <v>-0.31607865818392133</v>
      </c>
      <c r="AG66" s="202">
        <f t="shared" si="64"/>
        <v>-0.4722758887171562</v>
      </c>
      <c r="AH66" s="202">
        <f t="shared" si="64"/>
        <v>-8.9714340798817446E-2</v>
      </c>
      <c r="AI66" s="202">
        <f t="shared" si="64"/>
        <v>-0.19686703729441729</v>
      </c>
      <c r="AJ66" s="203">
        <f t="shared" si="64"/>
        <v>-0.24859766945004799</v>
      </c>
      <c r="AK66" s="202">
        <f t="shared" si="64"/>
        <v>-0.23197013868076147</v>
      </c>
      <c r="AL66" s="202">
        <f t="shared" si="64"/>
        <v>-6.8070048090009799E-2</v>
      </c>
      <c r="AM66" s="202">
        <f t="shared" si="64"/>
        <v>-0.19377174093092583</v>
      </c>
      <c r="AN66" s="202">
        <f t="shared" si="64"/>
        <v>-0.10186230248307</v>
      </c>
      <c r="AO66" s="203">
        <f t="shared" ref="AO66:BC66" si="68">AO20/AO$10</f>
        <v>-0.14041017884964058</v>
      </c>
      <c r="AP66" s="202">
        <f t="shared" si="68"/>
        <v>-7.1227298880250145E-2</v>
      </c>
      <c r="AQ66" s="202">
        <f t="shared" si="68"/>
        <v>-1.4300614844093127E-2</v>
      </c>
      <c r="AR66" s="202">
        <f t="shared" si="68"/>
        <v>-1.8467562705048356E-2</v>
      </c>
      <c r="AS66" s="202">
        <f t="shared" si="68"/>
        <v>3.0200381085221082E-2</v>
      </c>
      <c r="AT66" s="203">
        <f t="shared" si="68"/>
        <v>-1.632516793913746E-2</v>
      </c>
      <c r="AU66" s="202">
        <f t="shared" si="68"/>
        <v>6.5904734172914939E-2</v>
      </c>
      <c r="AV66" s="202">
        <f t="shared" si="68"/>
        <v>0.10451495759615588</v>
      </c>
      <c r="AW66" s="202">
        <f t="shared" si="68"/>
        <v>0.12483908199050009</v>
      </c>
      <c r="AX66" s="202">
        <f t="shared" si="68"/>
        <v>0.11629446328374031</v>
      </c>
      <c r="AY66" s="203">
        <f t="shared" si="68"/>
        <v>0.1039770004791566</v>
      </c>
      <c r="AZ66" s="202">
        <f t="shared" si="68"/>
        <v>0.13390607575069194</v>
      </c>
      <c r="BA66" s="202">
        <f t="shared" si="68"/>
        <v>0.1956601531093789</v>
      </c>
      <c r="BB66" s="202">
        <f t="shared" si="68"/>
        <v>0.21467288106335244</v>
      </c>
      <c r="BC66" s="202">
        <f t="shared" si="68"/>
        <v>0.20475925551284654</v>
      </c>
      <c r="BD66" s="203">
        <f>BD20/BD$10</f>
        <v>0.1896070566488097</v>
      </c>
      <c r="BE66" s="202">
        <f t="shared" si="65"/>
        <v>0.1931896604439475</v>
      </c>
      <c r="BF66" s="202">
        <f t="shared" si="65"/>
        <v>0.25169017547094452</v>
      </c>
      <c r="BG66" s="202">
        <f t="shared" si="65"/>
        <v>0.28291070128609536</v>
      </c>
      <c r="BH66" s="202">
        <f t="shared" si="65"/>
        <v>0.28762905657157478</v>
      </c>
      <c r="BI66" s="203">
        <f>BI20/BI$10</f>
        <v>0.25647545659341192</v>
      </c>
      <c r="BJ66" s="202">
        <f t="shared" si="66"/>
        <v>0.22800000000000009</v>
      </c>
      <c r="BK66" s="202">
        <f t="shared" si="66"/>
        <v>0.23500000000000001</v>
      </c>
      <c r="BL66" s="202">
        <f t="shared" si="66"/>
        <v>0.23599999999999996</v>
      </c>
      <c r="BM66" s="202">
        <f t="shared" si="66"/>
        <v>0.24700000000000003</v>
      </c>
      <c r="BN66" s="203">
        <f>BN20/BN$10</f>
        <v>0.2368625264754636</v>
      </c>
      <c r="BO66" s="202">
        <f t="shared" si="67"/>
        <v>0.23300000000000004</v>
      </c>
      <c r="BP66" s="202">
        <f t="shared" si="67"/>
        <v>0.24</v>
      </c>
      <c r="BQ66" s="202">
        <f t="shared" si="67"/>
        <v>0.24099999999999991</v>
      </c>
      <c r="BR66" s="202">
        <f t="shared" si="67"/>
        <v>0.25200000000000006</v>
      </c>
      <c r="BS66" s="203">
        <f>BS20/BS$10</f>
        <v>0.24186406190218662</v>
      </c>
      <c r="BT66" s="210"/>
      <c r="BU66" s="45"/>
      <c r="BV66" s="211"/>
      <c r="BW66" s="210"/>
      <c r="BX66" s="210"/>
      <c r="BY66" s="210"/>
    </row>
    <row r="67" spans="1:77">
      <c r="A67" s="155" t="s">
        <v>116</v>
      </c>
      <c r="B67" s="202">
        <f t="shared" ref="B67:BM67" si="69">B23/B$10</f>
        <v>-0.89272338148742636</v>
      </c>
      <c r="C67" s="202">
        <f t="shared" si="69"/>
        <v>-0.7669701509738388</v>
      </c>
      <c r="D67" s="202">
        <f t="shared" si="69"/>
        <v>-0.80321203496645677</v>
      </c>
      <c r="E67" s="202">
        <f t="shared" si="69"/>
        <v>-0.66743175670136912</v>
      </c>
      <c r="F67" s="203">
        <f t="shared" si="69"/>
        <v>-0.76912804399057366</v>
      </c>
      <c r="G67" s="202">
        <f t="shared" si="69"/>
        <v>-0.67837404171866644</v>
      </c>
      <c r="H67" s="202">
        <f t="shared" si="69"/>
        <v>-0.74479341619079631</v>
      </c>
      <c r="I67" s="202">
        <f t="shared" si="69"/>
        <v>-0.70360762059181192</v>
      </c>
      <c r="J67" s="202">
        <f t="shared" si="69"/>
        <v>-0.55163082182025369</v>
      </c>
      <c r="K67" s="203">
        <f t="shared" si="69"/>
        <v>-0.66468698866735343</v>
      </c>
      <c r="L67" s="202">
        <f t="shared" si="69"/>
        <v>-0.72383763837638371</v>
      </c>
      <c r="M67" s="202">
        <f t="shared" si="69"/>
        <v>-0.74793867120953994</v>
      </c>
      <c r="N67" s="202">
        <f t="shared" si="69"/>
        <v>-0.28871687362253406</v>
      </c>
      <c r="O67" s="202">
        <f t="shared" si="69"/>
        <v>-0.22654324368735274</v>
      </c>
      <c r="P67" s="203">
        <f t="shared" si="69"/>
        <v>-0.46540677575478223</v>
      </c>
      <c r="Q67" s="202">
        <f t="shared" si="69"/>
        <v>-0.48381207400194748</v>
      </c>
      <c r="R67" s="202">
        <f t="shared" si="69"/>
        <v>-0.38204933173965033</v>
      </c>
      <c r="S67" s="202">
        <f t="shared" si="69"/>
        <v>-0.38712255265711526</v>
      </c>
      <c r="T67" s="202">
        <f t="shared" si="69"/>
        <v>-0.41702388242498462</v>
      </c>
      <c r="U67" s="203">
        <f t="shared" si="69"/>
        <v>-0.41604936555807287</v>
      </c>
      <c r="V67" s="202">
        <f t="shared" si="69"/>
        <v>-0.44458859338356377</v>
      </c>
      <c r="W67" s="202">
        <f t="shared" si="69"/>
        <v>-0.26293349742868455</v>
      </c>
      <c r="X67" s="202">
        <f t="shared" si="69"/>
        <v>-0.1790675871473621</v>
      </c>
      <c r="Y67" s="202">
        <f t="shared" si="69"/>
        <v>-0.11021359223300968</v>
      </c>
      <c r="Z67" s="203">
        <f t="shared" si="69"/>
        <v>-0.23837057647161111</v>
      </c>
      <c r="AA67" s="202">
        <f t="shared" si="69"/>
        <v>-5.5877273189068516E-2</v>
      </c>
      <c r="AB67" s="202">
        <f t="shared" si="69"/>
        <v>-7.3931510485797589E-2</v>
      </c>
      <c r="AC67" s="202">
        <f t="shared" si="69"/>
        <v>-1.4948503535337188E-2</v>
      </c>
      <c r="AD67" s="202">
        <f t="shared" si="69"/>
        <v>-0.23131516986209219</v>
      </c>
      <c r="AE67" s="203">
        <f t="shared" si="69"/>
        <v>-9.3197527582081691E-2</v>
      </c>
      <c r="AF67" s="202">
        <f t="shared" si="69"/>
        <v>-0.30052695842169524</v>
      </c>
      <c r="AG67" s="202">
        <f t="shared" si="69"/>
        <v>-0.47102009273570333</v>
      </c>
      <c r="AH67" s="202">
        <f t="shared" si="69"/>
        <v>-9.1578034124867397E-2</v>
      </c>
      <c r="AI67" s="202">
        <f t="shared" si="69"/>
        <v>-0.19605628908964548</v>
      </c>
      <c r="AJ67" s="203">
        <f t="shared" si="69"/>
        <v>-0.24451197194487703</v>
      </c>
      <c r="AK67" s="202">
        <f t="shared" si="69"/>
        <v>-0.23872707953028333</v>
      </c>
      <c r="AL67" s="202">
        <f t="shared" si="69"/>
        <v>-9.9210597949369206E-2</v>
      </c>
      <c r="AM67" s="202">
        <f t="shared" si="69"/>
        <v>-0.17386118933244976</v>
      </c>
      <c r="AN67" s="202">
        <f t="shared" si="69"/>
        <v>-8.6773791136984704E-2</v>
      </c>
      <c r="AO67" s="203">
        <f t="shared" si="69"/>
        <v>-0.13925307725247593</v>
      </c>
      <c r="AP67" s="202">
        <f t="shared" si="69"/>
        <v>-5.9660976941120873E-2</v>
      </c>
      <c r="AQ67" s="202">
        <f t="shared" si="69"/>
        <v>6.0386473429949606E-4</v>
      </c>
      <c r="AR67" s="202">
        <f t="shared" si="69"/>
        <v>-7.8182876494869175E-3</v>
      </c>
      <c r="AS67" s="202">
        <f t="shared" si="69"/>
        <v>5.4846382803840708E-2</v>
      </c>
      <c r="AT67" s="203">
        <f t="shared" si="69"/>
        <v>-6.3061483260064592E-4</v>
      </c>
      <c r="AU67" s="202">
        <f t="shared" si="69"/>
        <v>9.5108102205721717E-2</v>
      </c>
      <c r="AV67" s="202">
        <f t="shared" si="69"/>
        <v>0.10201279865370554</v>
      </c>
      <c r="AW67" s="202">
        <f t="shared" si="69"/>
        <v>0.14666844231366785</v>
      </c>
      <c r="AX67" s="202">
        <f t="shared" si="69"/>
        <v>0.16756789784010034</v>
      </c>
      <c r="AY67" s="203">
        <f t="shared" si="69"/>
        <v>0.12941108042908056</v>
      </c>
      <c r="AZ67" s="202">
        <f t="shared" si="69"/>
        <v>0.16228160753376575</v>
      </c>
      <c r="BA67" s="202">
        <f t="shared" si="69"/>
        <v>0.2197364281469571</v>
      </c>
      <c r="BB67" s="202">
        <f t="shared" si="69"/>
        <v>0.24092870706024527</v>
      </c>
      <c r="BC67" s="202">
        <f t="shared" si="69"/>
        <v>0.21452053408861024</v>
      </c>
      <c r="BD67" s="203">
        <f t="shared" si="69"/>
        <v>0.21137418005940364</v>
      </c>
      <c r="BE67" s="202">
        <f t="shared" si="69"/>
        <v>0.22307443676674851</v>
      </c>
      <c r="BF67" s="202">
        <f t="shared" si="69"/>
        <v>0.28229771672659104</v>
      </c>
      <c r="BG67" s="202">
        <f t="shared" si="69"/>
        <v>0.30393866779907763</v>
      </c>
      <c r="BH67" s="202">
        <f t="shared" si="69"/>
        <v>0.3120822548991723</v>
      </c>
      <c r="BI67" s="203">
        <f t="shared" si="69"/>
        <v>0.28280656295623074</v>
      </c>
      <c r="BJ67" s="202">
        <f t="shared" si="69"/>
        <v>0.22876766788599204</v>
      </c>
      <c r="BK67" s="202">
        <f t="shared" si="69"/>
        <v>0.23567923576372188</v>
      </c>
      <c r="BL67" s="202">
        <f t="shared" si="69"/>
        <v>0.23668434547275971</v>
      </c>
      <c r="BM67" s="202">
        <f t="shared" si="69"/>
        <v>0.24765204502004418</v>
      </c>
      <c r="BN67" s="203">
        <f t="shared" ref="BN67:BS67" si="70">BN23/BN$10</f>
        <v>0.23755579426633563</v>
      </c>
      <c r="BO67" s="202">
        <f t="shared" si="70"/>
        <v>0.23369385009293672</v>
      </c>
      <c r="BP67" s="202">
        <f t="shared" si="70"/>
        <v>0.2406133286070378</v>
      </c>
      <c r="BQ67" s="202">
        <f t="shared" si="70"/>
        <v>0.24161712575492506</v>
      </c>
      <c r="BR67" s="202">
        <f t="shared" si="70"/>
        <v>0.25258879972317788</v>
      </c>
      <c r="BS67" s="203">
        <f t="shared" si="70"/>
        <v>0.24248999429806661</v>
      </c>
      <c r="BT67" s="210"/>
      <c r="BV67" s="211"/>
      <c r="BW67" s="210"/>
      <c r="BX67" s="210"/>
      <c r="BY67" s="210"/>
    </row>
    <row r="68" spans="1:77">
      <c r="A68" s="212" t="s">
        <v>136</v>
      </c>
      <c r="B68" s="202">
        <f t="shared" ref="B68:BM68" si="71">B50/B$10</f>
        <v>-0.87948100588550016</v>
      </c>
      <c r="C68" s="202">
        <f t="shared" si="71"/>
        <v>-0.75613691367984315</v>
      </c>
      <c r="D68" s="202">
        <f t="shared" si="71"/>
        <v>-0.79396218743647096</v>
      </c>
      <c r="E68" s="202">
        <f t="shared" si="71"/>
        <v>-0.66062792032133788</v>
      </c>
      <c r="F68" s="203">
        <f t="shared" si="71"/>
        <v>-0.75951819848127788</v>
      </c>
      <c r="G68" s="202">
        <f t="shared" si="71"/>
        <v>-0.67329292208949898</v>
      </c>
      <c r="H68" s="202">
        <f t="shared" si="71"/>
        <v>-0.76200873362445432</v>
      </c>
      <c r="I68" s="202">
        <f t="shared" si="71"/>
        <v>-0.72055127685447906</v>
      </c>
      <c r="J68" s="202">
        <f t="shared" si="71"/>
        <v>-0.56622988178322198</v>
      </c>
      <c r="K68" s="203">
        <f t="shared" si="71"/>
        <v>-0.67603983596953721</v>
      </c>
      <c r="L68" s="202">
        <f t="shared" si="71"/>
        <v>-0.71963099630996286</v>
      </c>
      <c r="M68" s="202">
        <f t="shared" si="71"/>
        <v>-0.71509369676320256</v>
      </c>
      <c r="N68" s="202">
        <f t="shared" si="71"/>
        <v>-0.26264580981562119</v>
      </c>
      <c r="O68" s="202">
        <f t="shared" si="71"/>
        <v>-0.20112833433751431</v>
      </c>
      <c r="P68" s="203">
        <f t="shared" si="71"/>
        <v>-0.44254436506107392</v>
      </c>
      <c r="Q68" s="202">
        <f t="shared" si="71"/>
        <v>-0.30690116845180138</v>
      </c>
      <c r="R68" s="202">
        <f t="shared" si="71"/>
        <v>-0.21857003151146384</v>
      </c>
      <c r="S68" s="202">
        <f t="shared" si="71"/>
        <v>-0.21485244591586292</v>
      </c>
      <c r="T68" s="202">
        <f t="shared" si="71"/>
        <v>-0.16585017350479681</v>
      </c>
      <c r="U68" s="203">
        <f t="shared" si="71"/>
        <v>-0.22347921559907172</v>
      </c>
      <c r="V68" s="202">
        <f t="shared" si="71"/>
        <v>-0.33930442592685006</v>
      </c>
      <c r="W68" s="202">
        <f t="shared" si="71"/>
        <v>-0.14052129576721911</v>
      </c>
      <c r="X68" s="202">
        <f t="shared" si="71"/>
        <v>-7.6877184010909372E-2</v>
      </c>
      <c r="Y68" s="202">
        <f t="shared" si="71"/>
        <v>-2.1514563106796079E-2</v>
      </c>
      <c r="Z68" s="203">
        <f t="shared" si="71"/>
        <v>-0.13428180158247108</v>
      </c>
      <c r="AA68" s="202">
        <f t="shared" si="71"/>
        <v>2.157201395238564E-2</v>
      </c>
      <c r="AB68" s="202">
        <f t="shared" si="71"/>
        <v>1.2941332625431515E-2</v>
      </c>
      <c r="AC68" s="202">
        <f t="shared" si="71"/>
        <v>5.9535724663416549E-2</v>
      </c>
      <c r="AD68" s="202">
        <f t="shared" si="71"/>
        <v>-0.13770602085435579</v>
      </c>
      <c r="AE68" s="203">
        <f t="shared" si="71"/>
        <v>-1.0160507776153108E-2</v>
      </c>
      <c r="AF68" s="202">
        <f t="shared" si="71"/>
        <v>-0.20034059507743723</v>
      </c>
      <c r="AG68" s="202">
        <f t="shared" si="71"/>
        <v>-0.27695131375579607</v>
      </c>
      <c r="AH68" s="202">
        <f t="shared" si="71"/>
        <v>3.2550367918768731E-2</v>
      </c>
      <c r="AI68" s="202">
        <f t="shared" si="71"/>
        <v>-6.9666435024322335E-2</v>
      </c>
      <c r="AJ68" s="203">
        <f t="shared" si="71"/>
        <v>-0.11373560430019661</v>
      </c>
      <c r="AK68" s="202">
        <f t="shared" si="71"/>
        <v>-0.10653080129689639</v>
      </c>
      <c r="AL68" s="202">
        <f t="shared" si="71"/>
        <v>1.9780419199709819E-2</v>
      </c>
      <c r="AM68" s="202">
        <f t="shared" si="71"/>
        <v>-4.4293523273148783E-2</v>
      </c>
      <c r="AN68" s="202">
        <f t="shared" si="71"/>
        <v>1.1925270286325241E-2</v>
      </c>
      <c r="AO68" s="203">
        <f t="shared" si="71"/>
        <v>-2.136993540275324E-2</v>
      </c>
      <c r="AP68" s="202">
        <f t="shared" si="71"/>
        <v>4.2591800303911083E-2</v>
      </c>
      <c r="AQ68" s="202">
        <f t="shared" si="71"/>
        <v>8.2317742643829586E-2</v>
      </c>
      <c r="AR68" s="202">
        <f t="shared" si="71"/>
        <v>9.2575933961265552E-2</v>
      </c>
      <c r="AS68" s="202">
        <f t="shared" si="71"/>
        <v>0.1318106529509197</v>
      </c>
      <c r="AT68" s="203">
        <f t="shared" si="71"/>
        <v>8.9253918579868863E-2</v>
      </c>
      <c r="AU68" s="202">
        <f t="shared" si="71"/>
        <v>8.4807454320448367E-2</v>
      </c>
      <c r="AV68" s="202">
        <f t="shared" si="71"/>
        <v>0.1219968556940722</v>
      </c>
      <c r="AW68" s="202">
        <f t="shared" si="71"/>
        <v>0.13962134327695636</v>
      </c>
      <c r="AX68" s="202">
        <f t="shared" si="71"/>
        <v>0.15100968441633839</v>
      </c>
      <c r="AY68" s="203">
        <f t="shared" si="71"/>
        <v>0.12579663260868959</v>
      </c>
      <c r="AZ68" s="202">
        <f t="shared" si="71"/>
        <v>0.14863078765850246</v>
      </c>
      <c r="BA68" s="202">
        <f t="shared" si="71"/>
        <v>0.21008843989233411</v>
      </c>
      <c r="BB68" s="202">
        <f t="shared" si="71"/>
        <v>0.23587894010012092</v>
      </c>
      <c r="BC68" s="202">
        <f t="shared" si="71"/>
        <v>0.22016825139928528</v>
      </c>
      <c r="BD68" s="203">
        <f t="shared" si="71"/>
        <v>0.20612237417108614</v>
      </c>
      <c r="BE68" s="202">
        <f t="shared" si="71"/>
        <v>0.21590243987665217</v>
      </c>
      <c r="BF68" s="202">
        <f t="shared" si="71"/>
        <v>0.27464583141267934</v>
      </c>
      <c r="BG68" s="202">
        <f t="shared" si="71"/>
        <v>0.30078409366658554</v>
      </c>
      <c r="BH68" s="202">
        <f t="shared" si="71"/>
        <v>0.30086179925481382</v>
      </c>
      <c r="BI68" s="203">
        <f t="shared" si="71"/>
        <v>0.27543725647545653</v>
      </c>
      <c r="BJ68" s="202">
        <f>BJ50/BJ$10</f>
        <v>0.24335335771983918</v>
      </c>
      <c r="BK68" s="202">
        <f t="shared" si="71"/>
        <v>0.24858471527443751</v>
      </c>
      <c r="BL68" s="202">
        <f t="shared" si="71"/>
        <v>0.24968690945519484</v>
      </c>
      <c r="BM68" s="202">
        <f t="shared" si="71"/>
        <v>0.26004090040088285</v>
      </c>
      <c r="BN68" s="203">
        <f t="shared" ref="BN68:BS68" si="72">BN50/BN$10</f>
        <v>0.25072788229290421</v>
      </c>
      <c r="BO68" s="202">
        <f t="shared" si="72"/>
        <v>0.24687700185873354</v>
      </c>
      <c r="BP68" s="202">
        <f t="shared" si="72"/>
        <v>0.25226657214075615</v>
      </c>
      <c r="BQ68" s="202">
        <f t="shared" si="72"/>
        <v>0.25334251509850236</v>
      </c>
      <c r="BR68" s="202">
        <f t="shared" si="72"/>
        <v>0.26377599446355676</v>
      </c>
      <c r="BS68" s="203">
        <f t="shared" si="72"/>
        <v>0.25438270981978589</v>
      </c>
      <c r="BT68" s="210"/>
      <c r="BU68" s="25"/>
      <c r="BV68" s="213"/>
      <c r="BW68" s="210"/>
      <c r="BX68" s="210"/>
      <c r="BY68" s="210"/>
    </row>
    <row r="69" spans="1:77">
      <c r="A69" s="212" t="s">
        <v>142</v>
      </c>
      <c r="B69" s="202">
        <f t="shared" ref="B69:BM69" si="73">B26/B$10</f>
        <v>-0.89272338148742636</v>
      </c>
      <c r="C69" s="202">
        <f t="shared" si="73"/>
        <v>-0.7669701509738388</v>
      </c>
      <c r="D69" s="202">
        <f t="shared" si="73"/>
        <v>-0.80321203496645677</v>
      </c>
      <c r="E69" s="202">
        <f t="shared" si="73"/>
        <v>-0.66743175670136912</v>
      </c>
      <c r="F69" s="203">
        <f t="shared" si="73"/>
        <v>-0.76912804399057366</v>
      </c>
      <c r="G69" s="202">
        <f t="shared" si="73"/>
        <v>-0.67837404171866644</v>
      </c>
      <c r="H69" s="202">
        <f t="shared" si="73"/>
        <v>-0.74479341619079631</v>
      </c>
      <c r="I69" s="202">
        <f t="shared" si="73"/>
        <v>-0.70360762059181192</v>
      </c>
      <c r="J69" s="202">
        <f t="shared" si="73"/>
        <v>-0.55163082182025369</v>
      </c>
      <c r="K69" s="203">
        <f t="shared" si="73"/>
        <v>-0.66468698866735343</v>
      </c>
      <c r="L69" s="202">
        <f t="shared" si="73"/>
        <v>-0.72383763837638371</v>
      </c>
      <c r="M69" s="202">
        <f t="shared" si="73"/>
        <v>-0.74793867120953994</v>
      </c>
      <c r="N69" s="202">
        <f t="shared" si="73"/>
        <v>-0.28871687362253406</v>
      </c>
      <c r="O69" s="202">
        <f t="shared" si="73"/>
        <v>-0.22654324368735274</v>
      </c>
      <c r="P69" s="203">
        <f t="shared" si="73"/>
        <v>-0.46540677575478223</v>
      </c>
      <c r="Q69" s="202">
        <f t="shared" si="73"/>
        <v>-0.48381207400194748</v>
      </c>
      <c r="R69" s="202">
        <f t="shared" si="73"/>
        <v>-0.38204933173965033</v>
      </c>
      <c r="S69" s="202">
        <f t="shared" si="73"/>
        <v>-0.38712255265711526</v>
      </c>
      <c r="T69" s="202">
        <f t="shared" si="73"/>
        <v>-0.41702388242498462</v>
      </c>
      <c r="U69" s="203">
        <f t="shared" si="73"/>
        <v>-0.41604936555807287</v>
      </c>
      <c r="V69" s="202">
        <f t="shared" si="73"/>
        <v>-0.44458859338356377</v>
      </c>
      <c r="W69" s="202">
        <f t="shared" si="73"/>
        <v>-0.26293349742868455</v>
      </c>
      <c r="X69" s="202">
        <f t="shared" si="73"/>
        <v>-0.1790675871473621</v>
      </c>
      <c r="Y69" s="202">
        <f t="shared" si="73"/>
        <v>-0.11021359223300968</v>
      </c>
      <c r="Z69" s="203">
        <f t="shared" si="73"/>
        <v>-0.23837057647161111</v>
      </c>
      <c r="AA69" s="202">
        <f t="shared" si="73"/>
        <v>-5.5877273189068516E-2</v>
      </c>
      <c r="AB69" s="202">
        <f t="shared" si="73"/>
        <v>-7.3931510485797589E-2</v>
      </c>
      <c r="AC69" s="202">
        <f t="shared" si="73"/>
        <v>-1.4948503535337188E-2</v>
      </c>
      <c r="AD69" s="202">
        <f t="shared" si="73"/>
        <v>-0.23131516986209219</v>
      </c>
      <c r="AE69" s="203">
        <f t="shared" si="73"/>
        <v>-9.3197527582081691E-2</v>
      </c>
      <c r="AF69" s="202">
        <f t="shared" si="73"/>
        <v>-0.30052695842169524</v>
      </c>
      <c r="AG69" s="202">
        <f t="shared" si="73"/>
        <v>-0.47102009273570333</v>
      </c>
      <c r="AH69" s="202">
        <f t="shared" si="73"/>
        <v>-9.1578034124867397E-2</v>
      </c>
      <c r="AI69" s="202">
        <f t="shared" si="73"/>
        <v>-0.19605628908964548</v>
      </c>
      <c r="AJ69" s="203">
        <f t="shared" si="73"/>
        <v>-0.24451197194487703</v>
      </c>
      <c r="AK69" s="202">
        <f t="shared" si="73"/>
        <v>-0.14268588398768464</v>
      </c>
      <c r="AL69" s="202">
        <f t="shared" si="73"/>
        <v>-9.6452227565556492E-2</v>
      </c>
      <c r="AM69" s="202">
        <f t="shared" si="73"/>
        <v>-0.15149908895146585</v>
      </c>
      <c r="AN69" s="202">
        <f t="shared" si="73"/>
        <v>-7.5056433408577913E-2</v>
      </c>
      <c r="AO69" s="203">
        <f t="shared" si="73"/>
        <v>-0.112758183988265</v>
      </c>
      <c r="AP69" s="202">
        <f t="shared" si="73"/>
        <v>-5.9616718056149709E-2</v>
      </c>
      <c r="AQ69" s="202">
        <f t="shared" si="73"/>
        <v>2.1821475625823242E-3</v>
      </c>
      <c r="AR69" s="202">
        <f t="shared" si="73"/>
        <v>-5.8074928563871184E-3</v>
      </c>
      <c r="AS69" s="202">
        <f t="shared" si="73"/>
        <v>4.982751534926582E-2</v>
      </c>
      <c r="AT69" s="203">
        <f t="shared" si="73"/>
        <v>-1.0791269862683289E-3</v>
      </c>
      <c r="AU69" s="202">
        <f t="shared" si="73"/>
        <v>8.8119676785324258E-2</v>
      </c>
      <c r="AV69" s="202">
        <f t="shared" si="73"/>
        <v>9.4528464825845204E-2</v>
      </c>
      <c r="AW69" s="202">
        <f t="shared" si="73"/>
        <v>0.13590358236782507</v>
      </c>
      <c r="AX69" s="202">
        <f t="shared" si="73"/>
        <v>0.1552663469078098</v>
      </c>
      <c r="AY69" s="203">
        <f t="shared" si="73"/>
        <v>0.11991103749885743</v>
      </c>
      <c r="AZ69" s="202">
        <f t="shared" si="73"/>
        <v>0.15104704473173361</v>
      </c>
      <c r="BA69" s="202">
        <f t="shared" si="73"/>
        <v>0.204521620582375</v>
      </c>
      <c r="BB69" s="202">
        <f t="shared" si="73"/>
        <v>0.22430462627308834</v>
      </c>
      <c r="BC69" s="202">
        <f t="shared" si="73"/>
        <v>0.24402353496527085</v>
      </c>
      <c r="BD69" s="203">
        <f t="shared" si="73"/>
        <v>0.20855864089518222</v>
      </c>
      <c r="BE69" s="202">
        <f t="shared" si="73"/>
        <v>0.21381461130572277</v>
      </c>
      <c r="BF69" s="202">
        <f t="shared" si="73"/>
        <v>0.26852278663839457</v>
      </c>
      <c r="BG69" s="202">
        <f t="shared" si="73"/>
        <v>0.31010373695704901</v>
      </c>
      <c r="BH69" s="202">
        <f t="shared" si="73"/>
        <v>0.30443840837338942</v>
      </c>
      <c r="BI69" s="203">
        <f t="shared" si="73"/>
        <v>0.27678310725231792</v>
      </c>
      <c r="BJ69" s="202">
        <f t="shared" si="73"/>
        <v>0.21732928449169245</v>
      </c>
      <c r="BK69" s="202">
        <f t="shared" si="73"/>
        <v>0.2238952739755358</v>
      </c>
      <c r="BL69" s="202">
        <f t="shared" si="73"/>
        <v>0.22485012819912173</v>
      </c>
      <c r="BM69" s="202">
        <f t="shared" si="73"/>
        <v>0.23526944276904196</v>
      </c>
      <c r="BN69" s="203">
        <f t="shared" ref="BN69:BS69" si="74">BN26/BN$10</f>
        <v>0.22567800455301884</v>
      </c>
      <c r="BO69" s="202">
        <f t="shared" si="74"/>
        <v>0.22200915758828987</v>
      </c>
      <c r="BP69" s="202">
        <f t="shared" si="74"/>
        <v>0.22858266217668591</v>
      </c>
      <c r="BQ69" s="202">
        <f t="shared" si="74"/>
        <v>0.22953626946717878</v>
      </c>
      <c r="BR69" s="202">
        <f t="shared" si="74"/>
        <v>0.23995935973701901</v>
      </c>
      <c r="BS69" s="203">
        <f t="shared" si="74"/>
        <v>0.23036549458316327</v>
      </c>
      <c r="BU69" s="25"/>
    </row>
    <row r="70" spans="1:77" ht="3" customHeight="1">
      <c r="A70" s="193"/>
      <c r="B70" s="194"/>
      <c r="C70" s="194"/>
      <c r="D70" s="194"/>
      <c r="E70" s="194"/>
      <c r="F70" s="195"/>
      <c r="G70" s="196"/>
      <c r="H70" s="196"/>
      <c r="I70" s="196"/>
      <c r="J70" s="196"/>
      <c r="K70" s="197"/>
      <c r="L70" s="196"/>
      <c r="M70" s="196"/>
      <c r="N70" s="196"/>
      <c r="O70" s="196"/>
      <c r="P70" s="197"/>
      <c r="Q70" s="196"/>
      <c r="R70" s="196"/>
      <c r="S70" s="194"/>
      <c r="T70" s="194"/>
      <c r="U70" s="197"/>
      <c r="V70" s="194"/>
      <c r="W70" s="194"/>
      <c r="X70" s="194"/>
      <c r="Y70" s="194"/>
      <c r="Z70" s="197"/>
      <c r="AA70" s="194"/>
      <c r="AB70" s="194"/>
      <c r="AC70" s="194"/>
      <c r="AD70" s="194"/>
      <c r="AE70" s="197"/>
      <c r="AF70" s="194"/>
      <c r="AG70" s="194"/>
      <c r="AH70" s="194"/>
      <c r="AI70" s="194"/>
      <c r="AJ70" s="197"/>
      <c r="AK70" s="194"/>
      <c r="AL70" s="194"/>
      <c r="AM70" s="194"/>
      <c r="AN70" s="194"/>
      <c r="AO70" s="197"/>
      <c r="AP70" s="194"/>
      <c r="AQ70" s="194"/>
      <c r="AR70" s="194"/>
      <c r="AS70" s="194"/>
      <c r="AT70" s="197"/>
      <c r="AU70" s="214"/>
      <c r="AV70" s="214"/>
      <c r="AW70" s="214"/>
      <c r="AX70" s="214"/>
      <c r="AY70" s="215"/>
      <c r="AZ70" s="214"/>
      <c r="BA70" s="214"/>
      <c r="BB70" s="214"/>
      <c r="BC70" s="214"/>
      <c r="BD70" s="215"/>
      <c r="BE70" s="214"/>
      <c r="BF70" s="214"/>
      <c r="BG70" s="214"/>
      <c r="BH70" s="214"/>
      <c r="BI70" s="215"/>
      <c r="BJ70" s="214"/>
      <c r="BK70" s="214"/>
      <c r="BL70" s="214"/>
      <c r="BM70" s="214"/>
      <c r="BN70" s="215"/>
      <c r="BO70" s="214"/>
      <c r="BP70" s="214"/>
      <c r="BQ70" s="214"/>
      <c r="BR70" s="214"/>
      <c r="BS70" s="215"/>
    </row>
    <row r="71" spans="1:77">
      <c r="A71" s="92" t="s">
        <v>143</v>
      </c>
      <c r="B71" s="194"/>
      <c r="C71" s="194"/>
      <c r="D71" s="194"/>
      <c r="E71" s="194"/>
      <c r="F71" s="195"/>
      <c r="G71" s="196"/>
      <c r="H71" s="196"/>
      <c r="I71" s="196"/>
      <c r="J71" s="196"/>
      <c r="K71" s="197"/>
      <c r="L71" s="196"/>
      <c r="M71" s="196"/>
      <c r="N71" s="196"/>
      <c r="O71" s="196"/>
      <c r="P71" s="197"/>
      <c r="Q71" s="196"/>
      <c r="R71" s="196"/>
      <c r="S71" s="194"/>
      <c r="T71" s="194"/>
      <c r="U71" s="197"/>
      <c r="V71" s="194"/>
      <c r="W71" s="194"/>
      <c r="X71" s="194"/>
      <c r="Y71" s="194"/>
      <c r="Z71" s="197"/>
      <c r="AA71" s="194"/>
      <c r="AB71" s="194"/>
      <c r="AC71" s="194"/>
      <c r="AD71" s="194"/>
      <c r="AE71" s="197"/>
      <c r="AF71" s="194"/>
      <c r="AG71" s="194"/>
      <c r="AH71" s="194"/>
      <c r="AI71" s="194"/>
      <c r="AJ71" s="197"/>
      <c r="AK71" s="194"/>
      <c r="AL71" s="194"/>
      <c r="AM71" s="194"/>
      <c r="AN71" s="194"/>
      <c r="AO71" s="197"/>
      <c r="AP71" s="194"/>
      <c r="AQ71" s="194"/>
      <c r="AR71" s="194"/>
      <c r="AS71" s="194"/>
      <c r="AT71" s="197"/>
      <c r="AU71" s="214"/>
      <c r="AV71" s="214"/>
      <c r="AW71" s="214"/>
      <c r="AX71" s="214"/>
      <c r="AY71" s="215"/>
      <c r="AZ71" s="214"/>
      <c r="BA71" s="214"/>
      <c r="BB71" s="214"/>
      <c r="BC71" s="214"/>
      <c r="BD71" s="215"/>
      <c r="BE71" s="214"/>
      <c r="BF71" s="214"/>
      <c r="BG71" s="214"/>
      <c r="BH71" s="214"/>
      <c r="BI71" s="215"/>
      <c r="BJ71" s="214"/>
      <c r="BK71" s="214"/>
      <c r="BL71" s="214"/>
      <c r="BM71" s="214"/>
      <c r="BN71" s="215"/>
      <c r="BO71" s="214"/>
      <c r="BP71" s="214"/>
      <c r="BQ71" s="214"/>
      <c r="BR71" s="214"/>
      <c r="BS71" s="215"/>
    </row>
    <row r="72" spans="1:77">
      <c r="A72" s="120" t="s">
        <v>77</v>
      </c>
      <c r="B72" s="200" t="s">
        <v>82</v>
      </c>
      <c r="C72" s="200" t="s">
        <v>82</v>
      </c>
      <c r="D72" s="200" t="s">
        <v>82</v>
      </c>
      <c r="E72" s="200" t="s">
        <v>82</v>
      </c>
      <c r="F72" s="201" t="s">
        <v>82</v>
      </c>
      <c r="G72" s="202">
        <f t="shared" ref="G72:BR75" si="75">IFERROR(G7/B7-1,"NA")</f>
        <v>0.50053504547886574</v>
      </c>
      <c r="H72" s="202">
        <f t="shared" si="75"/>
        <v>0.37236372017978558</v>
      </c>
      <c r="I72" s="202">
        <f t="shared" si="75"/>
        <v>0.25381175035576353</v>
      </c>
      <c r="J72" s="202">
        <f t="shared" si="75"/>
        <v>0.15107795720960726</v>
      </c>
      <c r="K72" s="203">
        <f t="shared" si="75"/>
        <v>0.29622937941869609</v>
      </c>
      <c r="L72" s="202">
        <f t="shared" si="75"/>
        <v>0.20788019254769119</v>
      </c>
      <c r="M72" s="202">
        <f t="shared" si="75"/>
        <v>0.23236479677527733</v>
      </c>
      <c r="N72" s="202">
        <f t="shared" si="75"/>
        <v>0.50814754762869874</v>
      </c>
      <c r="O72" s="202">
        <f t="shared" si="75"/>
        <v>0.30017091582395672</v>
      </c>
      <c r="P72" s="203">
        <f t="shared" si="75"/>
        <v>0.31476880189079459</v>
      </c>
      <c r="Q72" s="202">
        <f t="shared" si="75"/>
        <v>0.21269372693726929</v>
      </c>
      <c r="R72" s="202">
        <f t="shared" si="75"/>
        <v>0.25424190800681412</v>
      </c>
      <c r="S72" s="202">
        <f t="shared" si="75"/>
        <v>-5.8270171477718846E-2</v>
      </c>
      <c r="T72" s="202">
        <f t="shared" si="75"/>
        <v>7.3341731938434407E-2</v>
      </c>
      <c r="U72" s="203">
        <f t="shared" si="75"/>
        <v>0.10552354613198101</v>
      </c>
      <c r="V72" s="202">
        <f t="shared" si="75"/>
        <v>0.21963242453748788</v>
      </c>
      <c r="W72" s="202">
        <f t="shared" si="75"/>
        <v>0.2116157774638705</v>
      </c>
      <c r="X72" s="202">
        <f t="shared" si="75"/>
        <v>0.3251897939380104</v>
      </c>
      <c r="Y72" s="202">
        <f t="shared" si="75"/>
        <v>0.30128597672994495</v>
      </c>
      <c r="Z72" s="203">
        <f t="shared" si="75"/>
        <v>0.26552054813558867</v>
      </c>
      <c r="AA72" s="202">
        <f t="shared" si="75"/>
        <v>0.26685295144952836</v>
      </c>
      <c r="AB72" s="202">
        <f t="shared" si="75"/>
        <v>0.19662795390341259</v>
      </c>
      <c r="AC72" s="202">
        <f t="shared" si="75"/>
        <v>0.15105961405926926</v>
      </c>
      <c r="AD72" s="202">
        <f t="shared" si="75"/>
        <v>0.11988235294117633</v>
      </c>
      <c r="AE72" s="203">
        <f t="shared" si="75"/>
        <v>0.17897384084869006</v>
      </c>
      <c r="AF72" s="202">
        <f t="shared" si="75"/>
        <v>6.3098192130450315E-2</v>
      </c>
      <c r="AG72" s="202">
        <f t="shared" si="75"/>
        <v>-0.42996327662444733</v>
      </c>
      <c r="AH72" s="202">
        <f t="shared" si="75"/>
        <v>5.7890206937843747E-2</v>
      </c>
      <c r="AI72" s="202">
        <f t="shared" si="75"/>
        <v>0.10295199075533157</v>
      </c>
      <c r="AJ72" s="203">
        <f t="shared" si="75"/>
        <v>-5.0160681849937161E-2</v>
      </c>
      <c r="AK72" s="202">
        <f t="shared" si="75"/>
        <v>0.22551961765032802</v>
      </c>
      <c r="AL72" s="202">
        <f t="shared" si="75"/>
        <v>2.339008677359979</v>
      </c>
      <c r="AM72" s="202">
        <f t="shared" si="75"/>
        <v>0.8003891050583658</v>
      </c>
      <c r="AN72" s="202">
        <f t="shared" si="75"/>
        <v>0.69584404863955296</v>
      </c>
      <c r="AO72" s="203">
        <f t="shared" si="75"/>
        <v>0.84546435226046901</v>
      </c>
      <c r="AP72" s="202">
        <f t="shared" si="75"/>
        <v>0.69236350444404104</v>
      </c>
      <c r="AQ72" s="202">
        <f t="shared" si="75"/>
        <v>0.1757131888252319</v>
      </c>
      <c r="AR72" s="202">
        <f t="shared" si="75"/>
        <v>0.26877812051790873</v>
      </c>
      <c r="AS72" s="202">
        <f t="shared" si="75"/>
        <v>0.31555397461339729</v>
      </c>
      <c r="AT72" s="203">
        <f t="shared" si="75"/>
        <v>0.33139195034594171</v>
      </c>
      <c r="AU72" s="202">
        <f t="shared" si="75"/>
        <v>0.29324758842443743</v>
      </c>
      <c r="AV72" s="202">
        <f t="shared" si="75"/>
        <v>0.36891724438192819</v>
      </c>
      <c r="AW72" s="202">
        <f t="shared" si="75"/>
        <v>0.26998776654226742</v>
      </c>
      <c r="AX72" s="202">
        <f t="shared" si="75"/>
        <v>0.28627132875094286</v>
      </c>
      <c r="AY72" s="203">
        <f t="shared" si="75"/>
        <v>0.30333194967750154</v>
      </c>
      <c r="AZ72" s="202">
        <f t="shared" si="75"/>
        <v>0.24734791977457316</v>
      </c>
      <c r="BA72" s="202">
        <f t="shared" si="75"/>
        <v>0.30851753538269588</v>
      </c>
      <c r="BB72" s="202">
        <f t="shared" si="75"/>
        <v>0.33560942301126673</v>
      </c>
      <c r="BC72" s="202">
        <f t="shared" si="75"/>
        <v>0.24082535818996509</v>
      </c>
      <c r="BD72" s="203">
        <f t="shared" si="75"/>
        <v>0.28302331706181749</v>
      </c>
      <c r="BE72" s="202">
        <f t="shared" si="75"/>
        <v>0.1883215397052147</v>
      </c>
      <c r="BF72" s="202">
        <f t="shared" si="75"/>
        <v>0.14296531737870444</v>
      </c>
      <c r="BG72" s="202">
        <f t="shared" si="75"/>
        <v>0.16633800759567618</v>
      </c>
      <c r="BH72" s="202">
        <f t="shared" si="75"/>
        <v>0.21108852271916678</v>
      </c>
      <c r="BI72" s="203">
        <f t="shared" si="75"/>
        <v>0.17708808218426064</v>
      </c>
      <c r="BJ72" s="202">
        <f t="shared" si="75"/>
        <v>0.17884706781351056</v>
      </c>
      <c r="BK72" s="202">
        <f t="shared" si="75"/>
        <v>0.17391543639531171</v>
      </c>
      <c r="BL72" s="202">
        <f t="shared" si="75"/>
        <v>0.11870049156204021</v>
      </c>
      <c r="BM72" s="202">
        <f t="shared" si="75"/>
        <v>0.10213066717712382</v>
      </c>
      <c r="BN72" s="203">
        <f t="shared" si="75"/>
        <v>0.14091343272081347</v>
      </c>
      <c r="BO72" s="202">
        <f t="shared" si="75"/>
        <v>0.10895898764356593</v>
      </c>
      <c r="BP72" s="202">
        <f t="shared" si="75"/>
        <v>0.10971144957747625</v>
      </c>
      <c r="BQ72" s="202">
        <f t="shared" si="75"/>
        <v>0.11091755777854417</v>
      </c>
      <c r="BR72" s="202">
        <f t="shared" si="75"/>
        <v>0.1095544362650136</v>
      </c>
      <c r="BS72" s="203">
        <f t="shared" ref="BS72:BS75" si="76">IFERROR(BS7/BN7-1,"NA")</f>
        <v>0.10980686683001739</v>
      </c>
    </row>
    <row r="73" spans="1:77">
      <c r="A73" s="120" t="s">
        <v>78</v>
      </c>
      <c r="B73" s="200" t="s">
        <v>82</v>
      </c>
      <c r="C73" s="200" t="s">
        <v>82</v>
      </c>
      <c r="D73" s="200" t="s">
        <v>82</v>
      </c>
      <c r="E73" s="200" t="s">
        <v>82</v>
      </c>
      <c r="F73" s="201" t="s">
        <v>82</v>
      </c>
      <c r="G73" s="202" t="str">
        <f t="shared" si="75"/>
        <v>NA</v>
      </c>
      <c r="H73" s="202" t="str">
        <f t="shared" si="75"/>
        <v>NA</v>
      </c>
      <c r="I73" s="202" t="str">
        <f t="shared" si="75"/>
        <v>NA</v>
      </c>
      <c r="J73" s="202" t="str">
        <f t="shared" si="75"/>
        <v>NA</v>
      </c>
      <c r="K73" s="203" t="str">
        <f t="shared" si="75"/>
        <v>NA</v>
      </c>
      <c r="L73" s="202" t="str">
        <f t="shared" si="75"/>
        <v>NA</v>
      </c>
      <c r="M73" s="202" t="str">
        <f t="shared" si="75"/>
        <v>NA</v>
      </c>
      <c r="N73" s="202" t="str">
        <f t="shared" si="75"/>
        <v>NA</v>
      </c>
      <c r="O73" s="202" t="str">
        <f t="shared" si="75"/>
        <v>NA</v>
      </c>
      <c r="P73" s="203" t="str">
        <f t="shared" si="75"/>
        <v>NA</v>
      </c>
      <c r="Q73" s="202" t="str">
        <f t="shared" si="75"/>
        <v>NA</v>
      </c>
      <c r="R73" s="202" t="str">
        <f t="shared" si="75"/>
        <v>NA</v>
      </c>
      <c r="S73" s="202" t="str">
        <f t="shared" si="75"/>
        <v>NA</v>
      </c>
      <c r="T73" s="202" t="str">
        <f t="shared" si="75"/>
        <v>NA</v>
      </c>
      <c r="U73" s="203" t="str">
        <f t="shared" si="75"/>
        <v>NA</v>
      </c>
      <c r="V73" s="202" t="str">
        <f t="shared" si="75"/>
        <v>NA</v>
      </c>
      <c r="W73" s="202" t="str">
        <f t="shared" si="75"/>
        <v>NA</v>
      </c>
      <c r="X73" s="202" t="str">
        <f t="shared" si="75"/>
        <v>NA</v>
      </c>
      <c r="Y73" s="202" t="str">
        <f t="shared" si="75"/>
        <v>NA</v>
      </c>
      <c r="Z73" s="203" t="str">
        <f t="shared" si="75"/>
        <v>NA</v>
      </c>
      <c r="AA73" s="202" t="str">
        <f t="shared" si="75"/>
        <v>NA</v>
      </c>
      <c r="AB73" s="202" t="str">
        <f t="shared" si="75"/>
        <v>NA</v>
      </c>
      <c r="AC73" s="202" t="str">
        <f t="shared" si="75"/>
        <v>NA</v>
      </c>
      <c r="AD73" s="202" t="str">
        <f t="shared" si="75"/>
        <v>NA</v>
      </c>
      <c r="AE73" s="203" t="str">
        <f t="shared" si="75"/>
        <v>NA</v>
      </c>
      <c r="AF73" s="202" t="str">
        <f t="shared" si="75"/>
        <v>NA</v>
      </c>
      <c r="AG73" s="202" t="str">
        <f t="shared" si="75"/>
        <v>NA</v>
      </c>
      <c r="AH73" s="202" t="str">
        <f t="shared" si="75"/>
        <v>NA</v>
      </c>
      <c r="AI73" s="202">
        <f t="shared" si="75"/>
        <v>1.9209100758396533</v>
      </c>
      <c r="AJ73" s="203">
        <f t="shared" si="75"/>
        <v>9.6663055254604551</v>
      </c>
      <c r="AK73" s="202">
        <f t="shared" si="75"/>
        <v>-0.10266940451745366</v>
      </c>
      <c r="AL73" s="202">
        <f t="shared" si="75"/>
        <v>0.56917688266199651</v>
      </c>
      <c r="AM73" s="202">
        <f t="shared" si="75"/>
        <v>0.45979279723729638</v>
      </c>
      <c r="AN73" s="202">
        <f t="shared" si="75"/>
        <v>2.2997032640949433E-2</v>
      </c>
      <c r="AO73" s="203">
        <f t="shared" si="75"/>
        <v>0.16444895886236655</v>
      </c>
      <c r="AP73" s="202">
        <f t="shared" si="75"/>
        <v>-2.615233736515199E-2</v>
      </c>
      <c r="AQ73" s="202">
        <f t="shared" si="75"/>
        <v>0.15625</v>
      </c>
      <c r="AR73" s="202">
        <f t="shared" si="75"/>
        <v>0.11997296383913492</v>
      </c>
      <c r="AS73" s="202">
        <f t="shared" si="75"/>
        <v>0.17150108774474249</v>
      </c>
      <c r="AT73" s="203">
        <f t="shared" si="75"/>
        <v>0.10188415910676918</v>
      </c>
      <c r="AU73" s="202">
        <f t="shared" si="75"/>
        <v>0.30647868412218848</v>
      </c>
      <c r="AV73" s="202">
        <f t="shared" si="75"/>
        <v>0.29054054054054057</v>
      </c>
      <c r="AW73" s="202">
        <f t="shared" si="75"/>
        <v>0.21303560651780318</v>
      </c>
      <c r="AX73" s="202">
        <f t="shared" si="75"/>
        <v>0.13432373878056336</v>
      </c>
      <c r="AY73" s="203">
        <f t="shared" si="75"/>
        <v>0.23400886637112106</v>
      </c>
      <c r="AZ73" s="202">
        <f t="shared" si="75"/>
        <v>-9.1212744090441888E-2</v>
      </c>
      <c r="BA73" s="202">
        <f t="shared" si="75"/>
        <v>-2.6178010471204161E-2</v>
      </c>
      <c r="BB73" s="202">
        <f t="shared" si="75"/>
        <v>-0.20696517412935311</v>
      </c>
      <c r="BC73" s="202">
        <f t="shared" si="75"/>
        <v>-0.17626193724420192</v>
      </c>
      <c r="BD73" s="203">
        <f t="shared" si="75"/>
        <v>-0.12432640492686686</v>
      </c>
      <c r="BE73" s="202">
        <f t="shared" si="75"/>
        <v>1.2157195363302176E-2</v>
      </c>
      <c r="BF73" s="202">
        <f t="shared" si="75"/>
        <v>-7.8853046594982157E-2</v>
      </c>
      <c r="BG73" s="202">
        <f t="shared" si="75"/>
        <v>3.5445420326223331E-2</v>
      </c>
      <c r="BH73" s="202">
        <f t="shared" si="75"/>
        <v>0.27459423650215298</v>
      </c>
      <c r="BI73" s="203">
        <f t="shared" si="75"/>
        <v>4.9597069597069332E-2</v>
      </c>
      <c r="BJ73" s="202">
        <f t="shared" si="75"/>
        <v>5.1331005586591871E-2</v>
      </c>
      <c r="BK73" s="202">
        <f t="shared" si="75"/>
        <v>2.7755002779321858E-2</v>
      </c>
      <c r="BL73" s="202">
        <f t="shared" si="75"/>
        <v>-2.9286276885792217E-2</v>
      </c>
      <c r="BM73" s="202">
        <f t="shared" si="75"/>
        <v>-4.7389942827442688E-2</v>
      </c>
      <c r="BN73" s="203">
        <f t="shared" si="75"/>
        <v>3.2086270677744722E-4</v>
      </c>
      <c r="BO73" s="202">
        <f t="shared" si="75"/>
        <v>2.000000000000024E-2</v>
      </c>
      <c r="BP73" s="202">
        <f t="shared" si="75"/>
        <v>2.0000000000000018E-2</v>
      </c>
      <c r="BQ73" s="202">
        <f t="shared" si="75"/>
        <v>2.0000000000000018E-2</v>
      </c>
      <c r="BR73" s="202">
        <f t="shared" si="75"/>
        <v>2.0000000000000018E-2</v>
      </c>
      <c r="BS73" s="203">
        <f t="shared" si="76"/>
        <v>2.000000000000024E-2</v>
      </c>
    </row>
    <row r="74" spans="1:77">
      <c r="A74" s="120" t="s">
        <v>138</v>
      </c>
      <c r="B74" s="200" t="s">
        <v>82</v>
      </c>
      <c r="C74" s="200" t="s">
        <v>82</v>
      </c>
      <c r="D74" s="200" t="s">
        <v>82</v>
      </c>
      <c r="E74" s="200" t="s">
        <v>82</v>
      </c>
      <c r="F74" s="201" t="s">
        <v>82</v>
      </c>
      <c r="G74" s="202" t="str">
        <f t="shared" si="75"/>
        <v>NA</v>
      </c>
      <c r="H74" s="202" t="str">
        <f t="shared" si="75"/>
        <v>NA</v>
      </c>
      <c r="I74" s="202" t="str">
        <f t="shared" si="75"/>
        <v>NA</v>
      </c>
      <c r="J74" s="202" t="str">
        <f t="shared" si="75"/>
        <v>NA</v>
      </c>
      <c r="K74" s="203" t="str">
        <f t="shared" si="75"/>
        <v>NA</v>
      </c>
      <c r="L74" s="202" t="str">
        <f t="shared" si="75"/>
        <v>NA</v>
      </c>
      <c r="M74" s="202" t="str">
        <f t="shared" si="75"/>
        <v>NA</v>
      </c>
      <c r="N74" s="202" t="str">
        <f t="shared" si="75"/>
        <v>NA</v>
      </c>
      <c r="O74" s="202" t="str">
        <f t="shared" si="75"/>
        <v>NA</v>
      </c>
      <c r="P74" s="203" t="str">
        <f t="shared" si="75"/>
        <v>NA</v>
      </c>
      <c r="Q74" s="202" t="str">
        <f t="shared" si="75"/>
        <v>NA</v>
      </c>
      <c r="R74" s="202" t="str">
        <f t="shared" si="75"/>
        <v>NA</v>
      </c>
      <c r="S74" s="202" t="str">
        <f t="shared" si="75"/>
        <v>NA</v>
      </c>
      <c r="T74" s="202" t="str">
        <f t="shared" si="75"/>
        <v>NA</v>
      </c>
      <c r="U74" s="203" t="str">
        <f t="shared" si="75"/>
        <v>NA</v>
      </c>
      <c r="V74" s="202" t="str">
        <f t="shared" si="75"/>
        <v>NA</v>
      </c>
      <c r="W74" s="202" t="str">
        <f t="shared" si="75"/>
        <v>NA</v>
      </c>
      <c r="X74" s="202" t="str">
        <f t="shared" si="75"/>
        <v>NA</v>
      </c>
      <c r="Y74" s="202" t="str">
        <f t="shared" si="75"/>
        <v>NA</v>
      </c>
      <c r="Z74" s="203" t="str">
        <f t="shared" si="75"/>
        <v>NA</v>
      </c>
      <c r="AA74" s="202" t="str">
        <f t="shared" si="75"/>
        <v>NA</v>
      </c>
      <c r="AB74" s="202">
        <f t="shared" si="75"/>
        <v>6.666666666666667</v>
      </c>
      <c r="AC74" s="202">
        <f t="shared" si="75"/>
        <v>16</v>
      </c>
      <c r="AD74" s="202">
        <f t="shared" si="75"/>
        <v>0</v>
      </c>
      <c r="AE74" s="203">
        <f t="shared" si="75"/>
        <v>11.726315789473684</v>
      </c>
      <c r="AF74" s="202">
        <f t="shared" si="75"/>
        <v>-0.82560386473429948</v>
      </c>
      <c r="AG74" s="202">
        <f t="shared" si="75"/>
        <v>9.5362318840579663E-2</v>
      </c>
      <c r="AH74" s="202">
        <f t="shared" si="75"/>
        <v>-0.80611764705882361</v>
      </c>
      <c r="AI74" s="202">
        <f t="shared" si="75"/>
        <v>0.37200000000000011</v>
      </c>
      <c r="AJ74" s="203">
        <f t="shared" si="75"/>
        <v>-0.53118279569892479</v>
      </c>
      <c r="AK74" s="202">
        <f t="shared" si="75"/>
        <v>-0.21606648199445988</v>
      </c>
      <c r="AL74" s="202">
        <f t="shared" si="75"/>
        <v>-0.57025668166181531</v>
      </c>
      <c r="AM74" s="202">
        <f t="shared" si="75"/>
        <v>6.9053398058252435</v>
      </c>
      <c r="AN74" s="202">
        <f t="shared" si="75"/>
        <v>31.548104956268219</v>
      </c>
      <c r="AO74" s="203">
        <f t="shared" si="75"/>
        <v>2.50529287226535</v>
      </c>
      <c r="AP74" s="202">
        <f t="shared" si="75"/>
        <v>14.590106007067138</v>
      </c>
      <c r="AQ74" s="202">
        <f t="shared" si="75"/>
        <v>5.1810344827586201</v>
      </c>
      <c r="AR74" s="202">
        <f t="shared" si="75"/>
        <v>0.18222290451335565</v>
      </c>
      <c r="AS74" s="202">
        <f t="shared" si="75"/>
        <v>-0.39116804012898598</v>
      </c>
      <c r="AT74" s="203">
        <f t="shared" si="75"/>
        <v>0.67908194080934137</v>
      </c>
      <c r="AU74" s="202">
        <f t="shared" si="75"/>
        <v>-0.30485040797824114</v>
      </c>
      <c r="AV74" s="202">
        <f t="shared" si="75"/>
        <v>-0.54552699740984256</v>
      </c>
      <c r="AW74" s="202">
        <f t="shared" si="75"/>
        <v>-0.47071808855992725</v>
      </c>
      <c r="AX74" s="202">
        <f t="shared" si="75"/>
        <v>-0.38958363984110633</v>
      </c>
      <c r="AY74" s="203">
        <f t="shared" si="75"/>
        <v>-0.43282374100719412</v>
      </c>
      <c r="AZ74" s="202">
        <f t="shared" si="75"/>
        <v>-0.51027062275839585</v>
      </c>
      <c r="BA74" s="202">
        <f t="shared" si="75"/>
        <v>-0.2213941253836037</v>
      </c>
      <c r="BB74" s="202">
        <f t="shared" si="75"/>
        <v>-0.23061825318940132</v>
      </c>
      <c r="BC74" s="202">
        <f t="shared" si="75"/>
        <v>-0.165823089901181</v>
      </c>
      <c r="BD74" s="203">
        <f t="shared" si="75"/>
        <v>-0.30484646688864236</v>
      </c>
      <c r="BE74" s="202">
        <f t="shared" si="75"/>
        <v>0.19307589880159792</v>
      </c>
      <c r="BF74" s="202">
        <f t="shared" si="75"/>
        <v>0.21143018018018012</v>
      </c>
      <c r="BG74" s="202">
        <f t="shared" si="75"/>
        <v>-0.74011479591836737</v>
      </c>
      <c r="BH74" s="202">
        <f t="shared" si="75"/>
        <v>-0.72204565154579603</v>
      </c>
      <c r="BI74" s="203">
        <f t="shared" si="75"/>
        <v>-0.26526267771611045</v>
      </c>
      <c r="BJ74" s="202">
        <f t="shared" si="75"/>
        <v>-1</v>
      </c>
      <c r="BK74" s="202">
        <f t="shared" si="75"/>
        <v>-1</v>
      </c>
      <c r="BL74" s="202">
        <f t="shared" si="75"/>
        <v>-1</v>
      </c>
      <c r="BM74" s="202">
        <f t="shared" si="75"/>
        <v>-1</v>
      </c>
      <c r="BN74" s="203">
        <f t="shared" si="75"/>
        <v>-1</v>
      </c>
      <c r="BO74" s="202" t="str">
        <f t="shared" si="75"/>
        <v>NA</v>
      </c>
      <c r="BP74" s="202" t="str">
        <f t="shared" si="75"/>
        <v>NA</v>
      </c>
      <c r="BQ74" s="202" t="str">
        <f t="shared" si="75"/>
        <v>NA</v>
      </c>
      <c r="BR74" s="202" t="str">
        <f t="shared" si="75"/>
        <v>NA</v>
      </c>
      <c r="BS74" s="203" t="str">
        <f t="shared" si="76"/>
        <v>NA</v>
      </c>
    </row>
    <row r="75" spans="1:77">
      <c r="A75" s="9" t="s">
        <v>80</v>
      </c>
      <c r="B75" s="200" t="s">
        <v>82</v>
      </c>
      <c r="C75" s="200" t="s">
        <v>82</v>
      </c>
      <c r="D75" s="200" t="s">
        <v>82</v>
      </c>
      <c r="E75" s="200" t="s">
        <v>82</v>
      </c>
      <c r="F75" s="201" t="s">
        <v>82</v>
      </c>
      <c r="G75" s="202">
        <f t="shared" si="75"/>
        <v>0.50053504547886574</v>
      </c>
      <c r="H75" s="202">
        <f t="shared" si="75"/>
        <v>0.37236372017978558</v>
      </c>
      <c r="I75" s="202">
        <f t="shared" si="75"/>
        <v>0.25381175035576353</v>
      </c>
      <c r="J75" s="202">
        <f t="shared" si="75"/>
        <v>0.15107795720960726</v>
      </c>
      <c r="K75" s="203">
        <f t="shared" si="75"/>
        <v>0.29622937941869609</v>
      </c>
      <c r="L75" s="202">
        <f t="shared" si="75"/>
        <v>0.20788019254769119</v>
      </c>
      <c r="M75" s="202">
        <f t="shared" si="75"/>
        <v>0.23236479677527733</v>
      </c>
      <c r="N75" s="202">
        <f t="shared" si="75"/>
        <v>0.50814754762869874</v>
      </c>
      <c r="O75" s="202">
        <f t="shared" si="75"/>
        <v>0.30017091582395672</v>
      </c>
      <c r="P75" s="203">
        <f t="shared" si="75"/>
        <v>0.31476880189079459</v>
      </c>
      <c r="Q75" s="202">
        <f t="shared" si="75"/>
        <v>0.21269372693726929</v>
      </c>
      <c r="R75" s="202">
        <f t="shared" si="75"/>
        <v>0.25424190800681412</v>
      </c>
      <c r="S75" s="202">
        <f t="shared" si="75"/>
        <v>-5.8270171477718846E-2</v>
      </c>
      <c r="T75" s="202">
        <f t="shared" si="75"/>
        <v>7.3341731938434407E-2</v>
      </c>
      <c r="U75" s="203">
        <f t="shared" si="75"/>
        <v>0.10552354613198101</v>
      </c>
      <c r="V75" s="202">
        <f t="shared" si="75"/>
        <v>0.21963242453748788</v>
      </c>
      <c r="W75" s="202">
        <f t="shared" si="75"/>
        <v>0.23606432684994028</v>
      </c>
      <c r="X75" s="202">
        <f t="shared" si="75"/>
        <v>0.33946001484102983</v>
      </c>
      <c r="Y75" s="202">
        <f t="shared" si="75"/>
        <v>0.31404368238415992</v>
      </c>
      <c r="Z75" s="203">
        <f t="shared" si="75"/>
        <v>0.27872361124623057</v>
      </c>
      <c r="AA75" s="202">
        <f t="shared" si="75"/>
        <v>0.473429469587346</v>
      </c>
      <c r="AB75" s="202">
        <f t="shared" si="75"/>
        <v>0.32460111643444245</v>
      </c>
      <c r="AC75" s="202">
        <f t="shared" si="75"/>
        <v>0.3199096565243329</v>
      </c>
      <c r="AD75" s="202">
        <f t="shared" si="75"/>
        <v>0.1545631067961164</v>
      </c>
      <c r="AE75" s="203">
        <f t="shared" si="75"/>
        <v>0.30823406660290398</v>
      </c>
      <c r="AF75" s="202">
        <f t="shared" si="75"/>
        <v>5.394696738799154E-2</v>
      </c>
      <c r="AG75" s="202">
        <f t="shared" si="75"/>
        <v>-0.31298115211043265</v>
      </c>
      <c r="AH75" s="202">
        <f t="shared" si="75"/>
        <v>4.7783553417493074E-3</v>
      </c>
      <c r="AI75" s="202">
        <f t="shared" si="75"/>
        <v>0.16165489404641797</v>
      </c>
      <c r="AJ75" s="203">
        <f t="shared" si="75"/>
        <v>-2.3968164296158334E-2</v>
      </c>
      <c r="AK75" s="202">
        <f t="shared" si="75"/>
        <v>0.17932652143178474</v>
      </c>
      <c r="AL75" s="202">
        <f t="shared" si="75"/>
        <v>1.6615629829984546</v>
      </c>
      <c r="AM75" s="202">
        <f t="shared" si="75"/>
        <v>0.9398476912695608</v>
      </c>
      <c r="AN75" s="202">
        <f t="shared" si="75"/>
        <v>0.94973361130414635</v>
      </c>
      <c r="AO75" s="203">
        <f t="shared" si="75"/>
        <v>0.86847458781270492</v>
      </c>
      <c r="AP75" s="202">
        <f t="shared" si="75"/>
        <v>0.8467972645287849</v>
      </c>
      <c r="AQ75" s="202">
        <f t="shared" si="75"/>
        <v>0.3222756555666455</v>
      </c>
      <c r="AR75" s="202">
        <f t="shared" si="75"/>
        <v>0.25214510518469413</v>
      </c>
      <c r="AS75" s="202">
        <f t="shared" si="75"/>
        <v>0.19248247594154688</v>
      </c>
      <c r="AT75" s="203">
        <f t="shared" si="75"/>
        <v>0.35087511502683166</v>
      </c>
      <c r="AU75" s="202">
        <f t="shared" si="75"/>
        <v>0.2159686056975938</v>
      </c>
      <c r="AV75" s="202">
        <f t="shared" si="75"/>
        <v>0.23959705753184002</v>
      </c>
      <c r="AW75" s="202">
        <f t="shared" si="75"/>
        <v>0.19203090274103096</v>
      </c>
      <c r="AX75" s="202">
        <f t="shared" si="75"/>
        <v>0.22294730811860997</v>
      </c>
      <c r="AY75" s="203">
        <f t="shared" si="75"/>
        <v>0.21756211724714714</v>
      </c>
      <c r="AZ75" s="202">
        <f t="shared" si="75"/>
        <v>0.17497755453641028</v>
      </c>
      <c r="BA75" s="202">
        <f t="shared" si="75"/>
        <v>0.26688957286154014</v>
      </c>
      <c r="BB75" s="202">
        <f t="shared" si="75"/>
        <v>0.28579038487148778</v>
      </c>
      <c r="BC75" s="202">
        <f t="shared" si="75"/>
        <v>0.20807747533070597</v>
      </c>
      <c r="BD75" s="203">
        <f t="shared" si="75"/>
        <v>0.23462890284198079</v>
      </c>
      <c r="BE75" s="202">
        <f t="shared" si="75"/>
        <v>0.18203502540167671</v>
      </c>
      <c r="BF75" s="202">
        <f t="shared" si="75"/>
        <v>0.1375187891075611</v>
      </c>
      <c r="BG75" s="202">
        <f t="shared" si="75"/>
        <v>0.13820127740376309</v>
      </c>
      <c r="BH75" s="202">
        <f t="shared" si="75"/>
        <v>0.18548115179715419</v>
      </c>
      <c r="BI75" s="203">
        <f t="shared" si="75"/>
        <v>0.16013181863048609</v>
      </c>
      <c r="BJ75" s="202">
        <f t="shared" si="75"/>
        <v>0.1379510015462162</v>
      </c>
      <c r="BK75" s="202">
        <f t="shared" si="75"/>
        <v>0.13106761854276128</v>
      </c>
      <c r="BL75" s="202">
        <f t="shared" si="75"/>
        <v>0.10808227675321547</v>
      </c>
      <c r="BM75" s="202">
        <f t="shared" si="75"/>
        <v>9.0500607952444634E-2</v>
      </c>
      <c r="BN75" s="203">
        <f t="shared" si="75"/>
        <v>0.11569795705266417</v>
      </c>
      <c r="BO75" s="202">
        <f t="shared" si="75"/>
        <v>0.10638867646878736</v>
      </c>
      <c r="BP75" s="202">
        <f t="shared" si="75"/>
        <v>0.10745814874408066</v>
      </c>
      <c r="BQ75" s="202">
        <f t="shared" si="75"/>
        <v>0.10892385757385581</v>
      </c>
      <c r="BR75" s="202">
        <f t="shared" ref="BR75" si="77">IFERROR(BR10/BM10-1,"NA")</f>
        <v>0.10741393784114184</v>
      </c>
      <c r="BS75" s="203">
        <f t="shared" si="76"/>
        <v>0.10757614629836065</v>
      </c>
    </row>
    <row r="76" spans="1:77">
      <c r="A76" s="9" t="s">
        <v>108</v>
      </c>
      <c r="B76" s="200" t="s">
        <v>82</v>
      </c>
      <c r="C76" s="200" t="s">
        <v>82</v>
      </c>
      <c r="D76" s="200" t="s">
        <v>82</v>
      </c>
      <c r="E76" s="200" t="s">
        <v>82</v>
      </c>
      <c r="F76" s="201" t="s">
        <v>82</v>
      </c>
      <c r="G76" s="202">
        <f t="shared" ref="G76:BR79" si="78">IFERROR(G15/B15-1,"NA")</f>
        <v>0.71930731455156383</v>
      </c>
      <c r="H76" s="202">
        <f t="shared" si="78"/>
        <v>0.43684992570579495</v>
      </c>
      <c r="I76" s="202">
        <f t="shared" si="78"/>
        <v>0.18465608465608496</v>
      </c>
      <c r="J76" s="202">
        <f t="shared" si="78"/>
        <v>7.2675211344423341E-2</v>
      </c>
      <c r="K76" s="203">
        <f t="shared" si="78"/>
        <v>0.29748888065233525</v>
      </c>
      <c r="L76" s="202">
        <f t="shared" si="78"/>
        <v>9.3054720384846856E-2</v>
      </c>
      <c r="M76" s="202">
        <f t="shared" si="78"/>
        <v>0.23711035603486508</v>
      </c>
      <c r="N76" s="202">
        <f t="shared" si="78"/>
        <v>0.82164656840851569</v>
      </c>
      <c r="O76" s="202">
        <f t="shared" si="78"/>
        <v>0.49256387441210125</v>
      </c>
      <c r="P76" s="203">
        <f t="shared" si="78"/>
        <v>0.41485449026959498</v>
      </c>
      <c r="Q76" s="202">
        <f t="shared" si="78"/>
        <v>0.39389354971805757</v>
      </c>
      <c r="R76" s="202">
        <f t="shared" si="78"/>
        <v>0.36684977310723643</v>
      </c>
      <c r="S76" s="202">
        <f t="shared" si="78"/>
        <v>-0.1541353383458649</v>
      </c>
      <c r="T76" s="202">
        <f t="shared" si="78"/>
        <v>7.2389712144438345E-3</v>
      </c>
      <c r="U76" s="203">
        <f t="shared" si="78"/>
        <v>0.10435857961285078</v>
      </c>
      <c r="V76" s="202">
        <f t="shared" si="78"/>
        <v>0.20118401578687739</v>
      </c>
      <c r="W76" s="202">
        <f t="shared" si="78"/>
        <v>0.26725493622226093</v>
      </c>
      <c r="X76" s="202">
        <f t="shared" si="78"/>
        <v>0.46908212560386531</v>
      </c>
      <c r="Y76" s="202">
        <f t="shared" si="78"/>
        <v>0.44127843070939377</v>
      </c>
      <c r="Z76" s="203">
        <f t="shared" si="78"/>
        <v>0.3467251702545826</v>
      </c>
      <c r="AA76" s="202">
        <f t="shared" si="78"/>
        <v>0.72630195498603567</v>
      </c>
      <c r="AB76" s="202">
        <f t="shared" si="78"/>
        <v>0.47252671492588805</v>
      </c>
      <c r="AC76" s="202">
        <f t="shared" si="78"/>
        <v>0.43761920420914135</v>
      </c>
      <c r="AD76" s="202">
        <f t="shared" si="78"/>
        <v>0.14930188900621832</v>
      </c>
      <c r="AE76" s="203">
        <f t="shared" si="78"/>
        <v>0.42245036483963982</v>
      </c>
      <c r="AF76" s="202">
        <f t="shared" si="78"/>
        <v>-4.991435097068897E-2</v>
      </c>
      <c r="AG76" s="202">
        <f t="shared" si="78"/>
        <v>-0.389063158387565</v>
      </c>
      <c r="AH76" s="202">
        <f t="shared" si="78"/>
        <v>-5.0688503591198031E-2</v>
      </c>
      <c r="AI76" s="202">
        <f t="shared" si="78"/>
        <v>0.191822775764382</v>
      </c>
      <c r="AJ76" s="203">
        <f t="shared" si="78"/>
        <v>-8.0035788845809419E-2</v>
      </c>
      <c r="AK76" s="202">
        <f t="shared" si="78"/>
        <v>0.21700806330445266</v>
      </c>
      <c r="AL76" s="202">
        <f t="shared" si="78"/>
        <v>1.8839757835849498</v>
      </c>
      <c r="AM76" s="202">
        <f t="shared" si="78"/>
        <v>0.86627150498771144</v>
      </c>
      <c r="AN76" s="202">
        <f t="shared" si="78"/>
        <v>0.90389310034690973</v>
      </c>
      <c r="AO76" s="203">
        <f t="shared" si="78"/>
        <v>0.88176253955080619</v>
      </c>
      <c r="AP76" s="202">
        <f t="shared" si="78"/>
        <v>0.82123456790123428</v>
      </c>
      <c r="AQ76" s="202">
        <f t="shared" si="78"/>
        <v>0.27414768952780788</v>
      </c>
      <c r="AR76" s="202">
        <f t="shared" si="78"/>
        <v>0.2837555194050656</v>
      </c>
      <c r="AS76" s="202">
        <f t="shared" si="78"/>
        <v>0.2041661042875782</v>
      </c>
      <c r="AT76" s="203">
        <f t="shared" si="78"/>
        <v>0.3468858966054269</v>
      </c>
      <c r="AU76" s="202">
        <f t="shared" si="78"/>
        <v>0.28014280549529991</v>
      </c>
      <c r="AV76" s="202">
        <f t="shared" si="78"/>
        <v>0.27489051094890482</v>
      </c>
      <c r="AW76" s="202">
        <f t="shared" si="78"/>
        <v>0.26719768283852297</v>
      </c>
      <c r="AX76" s="202">
        <f t="shared" si="78"/>
        <v>0.29450775266205897</v>
      </c>
      <c r="AY76" s="203">
        <f t="shared" si="78"/>
        <v>0.27949573296768548</v>
      </c>
      <c r="AZ76" s="202">
        <f t="shared" si="78"/>
        <v>0.16383662230380924</v>
      </c>
      <c r="BA76" s="202">
        <f t="shared" si="78"/>
        <v>0.33199195171026208</v>
      </c>
      <c r="BB76" s="202">
        <f t="shared" si="78"/>
        <v>0.3097460317460321</v>
      </c>
      <c r="BC76" s="202">
        <f t="shared" si="78"/>
        <v>0.18631935926112986</v>
      </c>
      <c r="BD76" s="203">
        <f t="shared" si="78"/>
        <v>0.24792866282789516</v>
      </c>
      <c r="BE76" s="202">
        <f t="shared" si="78"/>
        <v>0.25292708080562964</v>
      </c>
      <c r="BF76" s="202">
        <f t="shared" si="78"/>
        <v>0.14307469358681502</v>
      </c>
      <c r="BG76" s="202">
        <f t="shared" si="78"/>
        <v>0.16279661633177356</v>
      </c>
      <c r="BH76" s="202">
        <f t="shared" si="78"/>
        <v>0.28432231223998206</v>
      </c>
      <c r="BI76" s="203">
        <f t="shared" si="78"/>
        <v>0.20870476349164635</v>
      </c>
      <c r="BJ76" s="202">
        <f t="shared" si="78"/>
        <v>0.14318427033275638</v>
      </c>
      <c r="BK76" s="202">
        <f t="shared" si="78"/>
        <v>0.14677905139348457</v>
      </c>
      <c r="BL76" s="202">
        <f t="shared" si="78"/>
        <v>0.1117728431321463</v>
      </c>
      <c r="BM76" s="202">
        <f t="shared" si="78"/>
        <v>6.7658132512147251E-2</v>
      </c>
      <c r="BN76" s="203">
        <f t="shared" si="78"/>
        <v>0.11494250245880999</v>
      </c>
      <c r="BO76" s="202">
        <f t="shared" si="78"/>
        <v>0.10638867646878736</v>
      </c>
      <c r="BP76" s="202">
        <f t="shared" si="78"/>
        <v>0.10745814874408066</v>
      </c>
      <c r="BQ76" s="202">
        <f t="shared" si="78"/>
        <v>0.10892385757385581</v>
      </c>
      <c r="BR76" s="202">
        <f t="shared" si="78"/>
        <v>0.10741393784114184</v>
      </c>
      <c r="BS76" s="203">
        <f t="shared" ref="BS76:BS81" si="79">IFERROR(BS15/BN15-1,"NA")</f>
        <v>0.10757789606085777</v>
      </c>
    </row>
    <row r="77" spans="1:77">
      <c r="A77" s="149" t="s">
        <v>109</v>
      </c>
      <c r="B77" s="200" t="s">
        <v>82</v>
      </c>
      <c r="C77" s="200" t="s">
        <v>82</v>
      </c>
      <c r="D77" s="200" t="s">
        <v>82</v>
      </c>
      <c r="E77" s="200" t="s">
        <v>82</v>
      </c>
      <c r="F77" s="201" t="s">
        <v>82</v>
      </c>
      <c r="G77" s="202">
        <f t="shared" si="78"/>
        <v>0.31091251175917223</v>
      </c>
      <c r="H77" s="202">
        <f t="shared" si="78"/>
        <v>0.3834150691038789</v>
      </c>
      <c r="I77" s="202">
        <f t="shared" si="78"/>
        <v>0.59561128526645768</v>
      </c>
      <c r="J77" s="202">
        <f t="shared" si="78"/>
        <v>4.4034978138663305E-2</v>
      </c>
      <c r="K77" s="203">
        <f t="shared" si="78"/>
        <v>0.30518155854753171</v>
      </c>
      <c r="L77" s="202">
        <f t="shared" si="78"/>
        <v>0.24183710082526022</v>
      </c>
      <c r="M77" s="202">
        <f t="shared" si="78"/>
        <v>0.37512085078955848</v>
      </c>
      <c r="N77" s="202">
        <f t="shared" si="78"/>
        <v>0.1243334268874543</v>
      </c>
      <c r="O77" s="202">
        <f t="shared" si="78"/>
        <v>7.3885731379000896E-2</v>
      </c>
      <c r="P77" s="203">
        <f t="shared" si="78"/>
        <v>0.19756173804313826</v>
      </c>
      <c r="Q77" s="202">
        <f t="shared" si="78"/>
        <v>0.16440335163247632</v>
      </c>
      <c r="R77" s="202">
        <f t="shared" si="78"/>
        <v>-0.15561284274666043</v>
      </c>
      <c r="S77" s="202">
        <f t="shared" si="78"/>
        <v>-0.23964053919121331</v>
      </c>
      <c r="T77" s="202">
        <f t="shared" si="78"/>
        <v>-0.10807799442896937</v>
      </c>
      <c r="U77" s="203">
        <f t="shared" si="78"/>
        <v>-9.4166014095536377E-2</v>
      </c>
      <c r="V77" s="202">
        <f t="shared" si="78"/>
        <v>-8.8089330024814005E-2</v>
      </c>
      <c r="W77" s="202">
        <f t="shared" si="78"/>
        <v>0.27699139605883971</v>
      </c>
      <c r="X77" s="202">
        <f t="shared" si="78"/>
        <v>0.12245567957977688</v>
      </c>
      <c r="Y77" s="202">
        <f t="shared" si="78"/>
        <v>-2.4047470331043042E-2</v>
      </c>
      <c r="Z77" s="203">
        <f t="shared" si="78"/>
        <v>6.764642316835956E-2</v>
      </c>
      <c r="AA77" s="202">
        <f t="shared" si="78"/>
        <v>-6.5306122448979487E-2</v>
      </c>
      <c r="AB77" s="202">
        <f t="shared" si="78"/>
        <v>-0.2762442947185394</v>
      </c>
      <c r="AC77" s="202">
        <f t="shared" si="78"/>
        <v>6.5516232816613007E-2</v>
      </c>
      <c r="AD77" s="202">
        <f t="shared" si="78"/>
        <v>0.42175999999999991</v>
      </c>
      <c r="AE77" s="203">
        <f t="shared" si="78"/>
        <v>2.0917678812415463E-3</v>
      </c>
      <c r="AF77" s="202">
        <f t="shared" si="78"/>
        <v>0.28296943231441052</v>
      </c>
      <c r="AG77" s="202">
        <f t="shared" si="78"/>
        <v>0.25195195195195175</v>
      </c>
      <c r="AH77" s="202">
        <f t="shared" si="78"/>
        <v>0.10952511666209164</v>
      </c>
      <c r="AI77" s="202">
        <f t="shared" si="78"/>
        <v>3.2185460274589461E-2</v>
      </c>
      <c r="AJ77" s="203">
        <f t="shared" si="78"/>
        <v>0.15844050905662921</v>
      </c>
      <c r="AK77" s="202">
        <f t="shared" si="78"/>
        <v>0.21080099841161792</v>
      </c>
      <c r="AL77" s="202">
        <f t="shared" si="78"/>
        <v>0.49892060446150155</v>
      </c>
      <c r="AM77" s="202">
        <f t="shared" si="78"/>
        <v>0.98070262246412687</v>
      </c>
      <c r="AN77" s="202">
        <f t="shared" si="78"/>
        <v>1.2354993458351506</v>
      </c>
      <c r="AO77" s="203">
        <f t="shared" si="78"/>
        <v>0.73465473145780069</v>
      </c>
      <c r="AP77" s="202">
        <f t="shared" si="78"/>
        <v>0.59745127436281842</v>
      </c>
      <c r="AQ77" s="202">
        <f t="shared" si="78"/>
        <v>0.45367258761401819</v>
      </c>
      <c r="AR77" s="202">
        <f t="shared" si="78"/>
        <v>0.31426430177366971</v>
      </c>
      <c r="AS77" s="202">
        <f t="shared" si="78"/>
        <v>7.8326180257510591E-2</v>
      </c>
      <c r="AT77" s="203">
        <f t="shared" si="78"/>
        <v>0.31303823342157266</v>
      </c>
      <c r="AU77" s="202">
        <f t="shared" si="78"/>
        <v>0.3506569685593619</v>
      </c>
      <c r="AV77" s="202">
        <f t="shared" si="78"/>
        <v>0.22214883311316602</v>
      </c>
      <c r="AW77" s="202">
        <f t="shared" si="78"/>
        <v>0.15823987835012354</v>
      </c>
      <c r="AX77" s="202">
        <f t="shared" si="78"/>
        <v>0.55386702849389424</v>
      </c>
      <c r="AY77" s="216">
        <f t="shared" si="78"/>
        <v>0.32652800816639038</v>
      </c>
      <c r="AZ77" s="202">
        <f t="shared" si="78"/>
        <v>0.17293494310779112</v>
      </c>
      <c r="BA77" s="202">
        <f t="shared" si="78"/>
        <v>0.31462799495586391</v>
      </c>
      <c r="BB77" s="202">
        <f t="shared" si="78"/>
        <v>0.31952080085336831</v>
      </c>
      <c r="BC77" s="202">
        <f t="shared" si="78"/>
        <v>1.2574222843171334E-2</v>
      </c>
      <c r="BD77" s="216">
        <f t="shared" si="78"/>
        <v>0.18457098884186207</v>
      </c>
      <c r="BE77" s="202">
        <f t="shared" si="78"/>
        <v>0.15921208530805697</v>
      </c>
      <c r="BF77" s="202">
        <f t="shared" si="78"/>
        <v>-2.3227132579650589E-2</v>
      </c>
      <c r="BG77" s="202">
        <f t="shared" si="78"/>
        <v>-0.1274174491636092</v>
      </c>
      <c r="BH77" s="202">
        <f t="shared" si="78"/>
        <v>8.9686098654708557E-2</v>
      </c>
      <c r="BI77" s="216">
        <f t="shared" si="78"/>
        <v>2.1470101016662912E-2</v>
      </c>
      <c r="BJ77" s="217">
        <f t="shared" si="78"/>
        <v>9.8437190494442328E-2</v>
      </c>
      <c r="BK77" s="217">
        <f t="shared" si="78"/>
        <v>0.37351500922418635</v>
      </c>
      <c r="BL77" s="217">
        <f t="shared" si="78"/>
        <v>0.37460828335233765</v>
      </c>
      <c r="BM77" s="217">
        <f t="shared" si="78"/>
        <v>-4.7626806742641081E-3</v>
      </c>
      <c r="BN77" s="216">
        <f t="shared" si="78"/>
        <v>0.19129988129610775</v>
      </c>
      <c r="BO77" s="217">
        <f t="shared" si="78"/>
        <v>9.8006944071296509E-2</v>
      </c>
      <c r="BP77" s="217">
        <f t="shared" si="78"/>
        <v>9.9131395746004936E-2</v>
      </c>
      <c r="BQ77" s="217">
        <f t="shared" si="78"/>
        <v>0.10052291925890233</v>
      </c>
      <c r="BR77" s="217">
        <f t="shared" si="78"/>
        <v>9.8410572492839909E-2</v>
      </c>
      <c r="BS77" s="216">
        <f t="shared" si="79"/>
        <v>9.9050092596459915E-2</v>
      </c>
    </row>
    <row r="78" spans="1:77">
      <c r="A78" s="149" t="s">
        <v>110</v>
      </c>
      <c r="B78" s="200" t="s">
        <v>82</v>
      </c>
      <c r="C78" s="200" t="s">
        <v>82</v>
      </c>
      <c r="D78" s="200" t="s">
        <v>82</v>
      </c>
      <c r="E78" s="200" t="s">
        <v>82</v>
      </c>
      <c r="F78" s="201" t="s">
        <v>82</v>
      </c>
      <c r="G78" s="202">
        <f t="shared" si="78"/>
        <v>0.29612546125461248</v>
      </c>
      <c r="H78" s="202">
        <f t="shared" si="78"/>
        <v>0.35992942560282293</v>
      </c>
      <c r="I78" s="202">
        <f t="shared" si="78"/>
        <v>9.3077896258810799E-2</v>
      </c>
      <c r="J78" s="202">
        <f t="shared" si="78"/>
        <v>-3.950014363688592E-2</v>
      </c>
      <c r="K78" s="203">
        <f t="shared" si="78"/>
        <v>0.15320080248039392</v>
      </c>
      <c r="L78" s="202">
        <f t="shared" si="78"/>
        <v>0.25729537366548039</v>
      </c>
      <c r="M78" s="202">
        <f t="shared" si="78"/>
        <v>0.19114891163327075</v>
      </c>
      <c r="N78" s="202">
        <f t="shared" si="78"/>
        <v>0.17179232804232791</v>
      </c>
      <c r="O78" s="202">
        <f t="shared" si="78"/>
        <v>-0.12786002691790044</v>
      </c>
      <c r="P78" s="203">
        <f t="shared" si="78"/>
        <v>0.11687490115451515</v>
      </c>
      <c r="Q78" s="202">
        <f t="shared" si="78"/>
        <v>3.8211151995471315E-2</v>
      </c>
      <c r="R78" s="202">
        <f t="shared" si="78"/>
        <v>-3.2554762192908204E-2</v>
      </c>
      <c r="S78" s="202">
        <f t="shared" si="78"/>
        <v>0.11260053619302957</v>
      </c>
      <c r="T78" s="202">
        <f t="shared" si="78"/>
        <v>0.55092592592592604</v>
      </c>
      <c r="U78" s="203">
        <f t="shared" si="78"/>
        <v>0.14202775417728675</v>
      </c>
      <c r="V78" s="202">
        <f t="shared" si="78"/>
        <v>0.57347328244274798</v>
      </c>
      <c r="W78" s="202">
        <f t="shared" si="78"/>
        <v>0.2037778333750313</v>
      </c>
      <c r="X78" s="202">
        <f t="shared" si="78"/>
        <v>0.27850348763474941</v>
      </c>
      <c r="Y78" s="202">
        <f t="shared" si="78"/>
        <v>0.11288004422332798</v>
      </c>
      <c r="Z78" s="203">
        <f t="shared" si="78"/>
        <v>0.28062616243025418</v>
      </c>
      <c r="AA78" s="202">
        <f t="shared" si="78"/>
        <v>8.0914840162869428E-2</v>
      </c>
      <c r="AB78" s="202">
        <f t="shared" si="78"/>
        <v>0.44892445183414731</v>
      </c>
      <c r="AC78" s="202">
        <f t="shared" si="78"/>
        <v>0.29828390040670572</v>
      </c>
      <c r="AD78" s="202">
        <f t="shared" si="78"/>
        <v>0.40900059606596462</v>
      </c>
      <c r="AE78" s="203">
        <f t="shared" si="78"/>
        <v>0.29961513325103506</v>
      </c>
      <c r="AF78" s="202">
        <f t="shared" si="78"/>
        <v>0.40931313617055376</v>
      </c>
      <c r="AG78" s="202">
        <f t="shared" si="78"/>
        <v>-0.23251810944559992</v>
      </c>
      <c r="AH78" s="202">
        <f t="shared" si="78"/>
        <v>-0.162973716381418</v>
      </c>
      <c r="AI78" s="202">
        <f t="shared" si="78"/>
        <v>-7.2904181061834605E-2</v>
      </c>
      <c r="AJ78" s="203">
        <f t="shared" si="78"/>
        <v>-2.4249874280605654E-2</v>
      </c>
      <c r="AK78" s="202">
        <f t="shared" si="78"/>
        <v>-7.3248407643312086E-2</v>
      </c>
      <c r="AL78" s="202">
        <f t="shared" si="78"/>
        <v>0.83739837398373962</v>
      </c>
      <c r="AM78" s="202">
        <f t="shared" si="78"/>
        <v>0.97809219534459158</v>
      </c>
      <c r="AN78" s="202">
        <f t="shared" si="78"/>
        <v>0.68925393566050652</v>
      </c>
      <c r="AO78" s="203">
        <f t="shared" si="78"/>
        <v>0.52398404245165975</v>
      </c>
      <c r="AP78" s="202">
        <f t="shared" si="78"/>
        <v>0.38303878252331858</v>
      </c>
      <c r="AQ78" s="202">
        <f t="shared" si="78"/>
        <v>0.17704200996846708</v>
      </c>
      <c r="AR78" s="202">
        <f t="shared" si="78"/>
        <v>0.11961236732810332</v>
      </c>
      <c r="AS78" s="202">
        <f t="shared" si="78"/>
        <v>4.4930668107329375E-2</v>
      </c>
      <c r="AT78" s="203">
        <f t="shared" si="78"/>
        <v>0.16674599198396778</v>
      </c>
      <c r="AU78" s="202">
        <f t="shared" si="78"/>
        <v>3.9488863253172468E-2</v>
      </c>
      <c r="AV78" s="202">
        <f t="shared" si="78"/>
        <v>-1.9357905198116088E-2</v>
      </c>
      <c r="AW78" s="202">
        <f t="shared" si="78"/>
        <v>-0.10914186794163716</v>
      </c>
      <c r="AX78" s="202">
        <f t="shared" si="78"/>
        <v>-1.9302024989228839E-2</v>
      </c>
      <c r="AY78" s="216">
        <f t="shared" si="78"/>
        <v>-2.8490762508990408E-2</v>
      </c>
      <c r="AZ78" s="202">
        <f t="shared" si="78"/>
        <v>-7.5251835410619861E-2</v>
      </c>
      <c r="BA78" s="202">
        <f t="shared" si="78"/>
        <v>-3.5910993610927533E-2</v>
      </c>
      <c r="BB78" s="202">
        <f t="shared" si="78"/>
        <v>-3.6319052465994317E-2</v>
      </c>
      <c r="BC78" s="202">
        <f t="shared" si="78"/>
        <v>8.3472454090149917E-3</v>
      </c>
      <c r="BD78" s="216">
        <f t="shared" si="78"/>
        <v>-3.5061160896805665E-2</v>
      </c>
      <c r="BE78" s="202">
        <f t="shared" si="78"/>
        <v>3.835679667666736E-2</v>
      </c>
      <c r="BF78" s="202">
        <f t="shared" si="78"/>
        <v>5.6581352833638077E-2</v>
      </c>
      <c r="BG78" s="202">
        <f t="shared" si="78"/>
        <v>7.3167218781506671E-2</v>
      </c>
      <c r="BH78" s="202">
        <f t="shared" si="78"/>
        <v>4.0432206343673727E-2</v>
      </c>
      <c r="BI78" s="216">
        <f t="shared" si="78"/>
        <v>5.1771522799624492E-2</v>
      </c>
      <c r="BJ78" s="217">
        <f t="shared" si="78"/>
        <v>7.1255468749999995E-2</v>
      </c>
      <c r="BK78" s="217">
        <f t="shared" si="78"/>
        <v>0.15267738020157462</v>
      </c>
      <c r="BL78" s="217">
        <f t="shared" si="78"/>
        <v>0.21591083237149378</v>
      </c>
      <c r="BM78" s="217">
        <f t="shared" si="78"/>
        <v>0.22022999434673363</v>
      </c>
      <c r="BN78" s="216">
        <f t="shared" si="78"/>
        <v>0.16568756520626704</v>
      </c>
      <c r="BO78" s="217">
        <f t="shared" si="78"/>
        <v>9.4427717804259848E-2</v>
      </c>
      <c r="BP78" s="217">
        <f t="shared" si="78"/>
        <v>9.5221042128123878E-2</v>
      </c>
      <c r="BQ78" s="217">
        <f t="shared" si="78"/>
        <v>9.6999945126825082E-2</v>
      </c>
      <c r="BR78" s="217">
        <f t="shared" si="78"/>
        <v>9.5756949021761351E-2</v>
      </c>
      <c r="BS78" s="216">
        <f t="shared" si="79"/>
        <v>9.563991705699082E-2</v>
      </c>
    </row>
    <row r="79" spans="1:77">
      <c r="A79" s="149" t="s">
        <v>111</v>
      </c>
      <c r="B79" s="200" t="s">
        <v>82</v>
      </c>
      <c r="C79" s="200" t="s">
        <v>82</v>
      </c>
      <c r="D79" s="200" t="s">
        <v>82</v>
      </c>
      <c r="E79" s="200" t="s">
        <v>82</v>
      </c>
      <c r="F79" s="201" t="s">
        <v>82</v>
      </c>
      <c r="G79" s="202">
        <f t="shared" si="78"/>
        <v>0.45605223505775982</v>
      </c>
      <c r="H79" s="202">
        <f t="shared" si="78"/>
        <v>0.40936863543788182</v>
      </c>
      <c r="I79" s="202">
        <f t="shared" si="78"/>
        <v>2.2747156605424923E-3</v>
      </c>
      <c r="J79" s="202">
        <f t="shared" si="78"/>
        <v>5.5842417288200386E-2</v>
      </c>
      <c r="K79" s="203">
        <f t="shared" si="78"/>
        <v>0.19778296382730454</v>
      </c>
      <c r="L79" s="202">
        <f t="shared" si="78"/>
        <v>7.4163504656778123E-2</v>
      </c>
      <c r="M79" s="202">
        <f t="shared" si="78"/>
        <v>9.6640173410404762E-2</v>
      </c>
      <c r="N79" s="202">
        <f t="shared" si="78"/>
        <v>6.110335195530725E-3</v>
      </c>
      <c r="O79" s="202">
        <f t="shared" si="78"/>
        <v>3.69498279297229E-2</v>
      </c>
      <c r="P79" s="203">
        <f t="shared" si="78"/>
        <v>5.3314440065536095E-2</v>
      </c>
      <c r="Q79" s="202">
        <f t="shared" si="78"/>
        <v>-3.355812459858698E-2</v>
      </c>
      <c r="R79" s="202">
        <f t="shared" si="78"/>
        <v>1.9930818646022086E-2</v>
      </c>
      <c r="S79" s="202">
        <f t="shared" si="78"/>
        <v>-4.2165538781884448E-2</v>
      </c>
      <c r="T79" s="202">
        <f t="shared" si="78"/>
        <v>-6.4279475982532697E-2</v>
      </c>
      <c r="U79" s="203">
        <f t="shared" si="78"/>
        <v>-2.9385798965821608E-2</v>
      </c>
      <c r="V79" s="202">
        <f t="shared" si="78"/>
        <v>-6.2302708091044989E-2</v>
      </c>
      <c r="W79" s="202">
        <f t="shared" si="78"/>
        <v>-4.1989664082687339E-2</v>
      </c>
      <c r="X79" s="202">
        <f t="shared" si="78"/>
        <v>4.0217391304347982E-2</v>
      </c>
      <c r="Y79" s="202">
        <f t="shared" si="78"/>
        <v>0.24043307821541893</v>
      </c>
      <c r="Z79" s="203">
        <f t="shared" si="78"/>
        <v>3.7898475398475462E-2</v>
      </c>
      <c r="AA79" s="202">
        <f t="shared" si="78"/>
        <v>0.22324592487597439</v>
      </c>
      <c r="AB79" s="202">
        <f t="shared" si="78"/>
        <v>0.16655428186109233</v>
      </c>
      <c r="AC79" s="202">
        <f t="shared" si="78"/>
        <v>0.15360501567398122</v>
      </c>
      <c r="AD79" s="202">
        <f t="shared" si="78"/>
        <v>0.29134687735139209</v>
      </c>
      <c r="AE79" s="203">
        <f t="shared" si="78"/>
        <v>0.21140925593623505</v>
      </c>
      <c r="AF79" s="202">
        <f t="shared" si="78"/>
        <v>0.13166280417149467</v>
      </c>
      <c r="AG79" s="202">
        <f t="shared" si="78"/>
        <v>0.14985549132947984</v>
      </c>
      <c r="AH79" s="202">
        <f t="shared" si="78"/>
        <v>0.29015700483091789</v>
      </c>
      <c r="AI79" s="202">
        <f t="shared" si="78"/>
        <v>0.44656799906770783</v>
      </c>
      <c r="AJ79" s="203">
        <f t="shared" si="78"/>
        <v>0.26525198938992034</v>
      </c>
      <c r="AK79" s="202">
        <f t="shared" si="78"/>
        <v>0.43120440291821271</v>
      </c>
      <c r="AL79" s="202">
        <f t="shared" si="78"/>
        <v>0.94457710192283528</v>
      </c>
      <c r="AM79" s="202">
        <f t="shared" si="78"/>
        <v>1.427919494500351</v>
      </c>
      <c r="AN79" s="202">
        <f t="shared" si="78"/>
        <v>0.51848868122130032</v>
      </c>
      <c r="AO79" s="203">
        <f t="shared" si="78"/>
        <v>0.80383348307876612</v>
      </c>
      <c r="AP79" s="202">
        <f t="shared" si="78"/>
        <v>0.61169737077445951</v>
      </c>
      <c r="AQ79" s="202">
        <f t="shared" si="78"/>
        <v>8.3500290829186419E-2</v>
      </c>
      <c r="AR79" s="202">
        <f t="shared" si="78"/>
        <v>-0.21307050942214079</v>
      </c>
      <c r="AS79" s="202">
        <f t="shared" si="78"/>
        <v>-0.1065839036553663</v>
      </c>
      <c r="AT79" s="203">
        <f t="shared" si="78"/>
        <v>2.5689402744026646E-2</v>
      </c>
      <c r="AU79" s="202">
        <f t="shared" si="78"/>
        <v>-9.660415048274329E-2</v>
      </c>
      <c r="AV79" s="202">
        <f t="shared" si="78"/>
        <v>6.7342678198627937E-2</v>
      </c>
      <c r="AW79" s="202">
        <f t="shared" si="78"/>
        <v>9.9338559529642323E-2</v>
      </c>
      <c r="AX79" s="202">
        <f t="shared" si="78"/>
        <v>6.5023752969121107E-2</v>
      </c>
      <c r="AY79" s="216">
        <f t="shared" si="78"/>
        <v>3.0976381428886812E-2</v>
      </c>
      <c r="AZ79" s="202">
        <f t="shared" si="78"/>
        <v>9.3237516123088282E-2</v>
      </c>
      <c r="BA79" s="202">
        <f t="shared" si="78"/>
        <v>0.26086956521739157</v>
      </c>
      <c r="BB79" s="202">
        <f t="shared" si="78"/>
        <v>0.15498607242339824</v>
      </c>
      <c r="BC79" s="202">
        <f t="shared" si="78"/>
        <v>-2.0407025369389431E-2</v>
      </c>
      <c r="BD79" s="216">
        <f t="shared" si="78"/>
        <v>0.12278047387953195</v>
      </c>
      <c r="BE79" s="202">
        <f t="shared" si="78"/>
        <v>0.25557615596381811</v>
      </c>
      <c r="BF79" s="202">
        <f t="shared" si="78"/>
        <v>1.6798156191826896E-2</v>
      </c>
      <c r="BG79" s="202">
        <f t="shared" si="78"/>
        <v>7.3413081227088561E-2</v>
      </c>
      <c r="BH79" s="202">
        <f t="shared" si="78"/>
        <v>0.26893960953953</v>
      </c>
      <c r="BI79" s="216">
        <f t="shared" si="78"/>
        <v>0.14206351224225156</v>
      </c>
      <c r="BJ79" s="217">
        <f t="shared" si="78"/>
        <v>4.9205284589225018E-2</v>
      </c>
      <c r="BK79" s="217">
        <f t="shared" si="78"/>
        <v>0.12948320683492454</v>
      </c>
      <c r="BL79" s="217">
        <f t="shared" si="78"/>
        <v>0.1556576155297924</v>
      </c>
      <c r="BM79" s="217">
        <f t="shared" si="78"/>
        <v>0.20385025623486119</v>
      </c>
      <c r="BN79" s="216">
        <f t="shared" si="78"/>
        <v>0.13445190886271785</v>
      </c>
      <c r="BO79" s="217">
        <f t="shared" si="78"/>
        <v>9.4095468952467565E-2</v>
      </c>
      <c r="BP79" s="217">
        <f t="shared" si="78"/>
        <v>9.4873397053806929E-2</v>
      </c>
      <c r="BQ79" s="217">
        <f t="shared" si="78"/>
        <v>9.6322450101425483E-2</v>
      </c>
      <c r="BR79" s="217">
        <f t="shared" ref="BR79:BR81" si="80">IFERROR(BR18/BM18-1,"NA")</f>
        <v>9.4757778551528782E-2</v>
      </c>
      <c r="BS79" s="216">
        <f t="shared" si="79"/>
        <v>9.5029635231263399E-2</v>
      </c>
    </row>
    <row r="80" spans="1:77">
      <c r="A80" s="74" t="s">
        <v>112</v>
      </c>
      <c r="B80" s="205" t="s">
        <v>82</v>
      </c>
      <c r="C80" s="205" t="s">
        <v>82</v>
      </c>
      <c r="D80" s="205" t="s">
        <v>82</v>
      </c>
      <c r="E80" s="205" t="s">
        <v>82</v>
      </c>
      <c r="F80" s="206" t="s">
        <v>82</v>
      </c>
      <c r="G80" s="207">
        <f t="shared" ref="G80:BQ81" si="81">IFERROR(G19/B19-1,"NA")</f>
        <v>0.36011106855610886</v>
      </c>
      <c r="H80" s="207">
        <f t="shared" si="81"/>
        <v>0.38183108587650838</v>
      </c>
      <c r="I80" s="207">
        <f t="shared" si="81"/>
        <v>0.13782360359023826</v>
      </c>
      <c r="J80" s="207">
        <f t="shared" si="81"/>
        <v>1.02644058987853E-2</v>
      </c>
      <c r="K80" s="208">
        <f t="shared" si="81"/>
        <v>0.19926863016406404</v>
      </c>
      <c r="L80" s="207">
        <f t="shared" si="81"/>
        <v>0.1795142555438225</v>
      </c>
      <c r="M80" s="207">
        <f t="shared" si="81"/>
        <v>0.19420903954802249</v>
      </c>
      <c r="N80" s="207">
        <f t="shared" si="81"/>
        <v>9.8898233261620838E-2</v>
      </c>
      <c r="O80" s="207">
        <f t="shared" si="81"/>
        <v>-2.5979036717896031E-2</v>
      </c>
      <c r="P80" s="208">
        <f t="shared" si="81"/>
        <v>0.11023388439287318</v>
      </c>
      <c r="Q80" s="207">
        <f t="shared" si="81"/>
        <v>3.760071620411809E-2</v>
      </c>
      <c r="R80" s="207">
        <f t="shared" si="81"/>
        <v>-4.3653567012526096E-2</v>
      </c>
      <c r="S80" s="207">
        <f t="shared" si="81"/>
        <v>-2.4027052681537819E-2</v>
      </c>
      <c r="T80" s="207">
        <f t="shared" si="81"/>
        <v>0.16221033868092682</v>
      </c>
      <c r="U80" s="208">
        <f t="shared" si="81"/>
        <v>2.7761694799506964E-2</v>
      </c>
      <c r="V80" s="207">
        <f t="shared" si="81"/>
        <v>0.20000000000000018</v>
      </c>
      <c r="W80" s="207">
        <f t="shared" si="81"/>
        <v>0.13305975602900655</v>
      </c>
      <c r="X80" s="207">
        <f t="shared" si="81"/>
        <v>0.16965534010090577</v>
      </c>
      <c r="Y80" s="207">
        <f t="shared" si="81"/>
        <v>0.12678936605316959</v>
      </c>
      <c r="Z80" s="208">
        <f t="shared" si="81"/>
        <v>0.15697178927905941</v>
      </c>
      <c r="AA80" s="207">
        <f t="shared" si="81"/>
        <v>9.3663119547502616E-2</v>
      </c>
      <c r="AB80" s="207">
        <f t="shared" si="81"/>
        <v>0.20028775550704503</v>
      </c>
      <c r="AC80" s="207">
        <f t="shared" si="81"/>
        <v>0.21375116931711857</v>
      </c>
      <c r="AD80" s="207">
        <f t="shared" si="81"/>
        <v>0.37159709618874759</v>
      </c>
      <c r="AE80" s="208">
        <f t="shared" si="81"/>
        <v>0.21817568917299224</v>
      </c>
      <c r="AF80" s="207">
        <f t="shared" si="81"/>
        <v>0.30627629733520312</v>
      </c>
      <c r="AG80" s="207">
        <f t="shared" si="81"/>
        <v>-5.6462613152564622E-2</v>
      </c>
      <c r="AH80" s="207">
        <f t="shared" si="81"/>
        <v>8.0496681652753033E-3</v>
      </c>
      <c r="AI80" s="207">
        <f t="shared" si="81"/>
        <v>0.1080971808725697</v>
      </c>
      <c r="AJ80" s="208">
        <f t="shared" si="81"/>
        <v>8.9688534503079786E-2</v>
      </c>
      <c r="AK80" s="207">
        <f t="shared" si="81"/>
        <v>0.10099315528117003</v>
      </c>
      <c r="AL80" s="207">
        <f t="shared" si="81"/>
        <v>0.8129408157007052</v>
      </c>
      <c r="AM80" s="207">
        <f t="shared" si="81"/>
        <v>1.1418255957184726</v>
      </c>
      <c r="AN80" s="207">
        <f t="shared" si="81"/>
        <v>0.70203661934456685</v>
      </c>
      <c r="AO80" s="208">
        <f t="shared" si="81"/>
        <v>0.65474690092360954</v>
      </c>
      <c r="AP80" s="207">
        <f t="shared" si="81"/>
        <v>0.49582495276406435</v>
      </c>
      <c r="AQ80" s="207">
        <f t="shared" si="81"/>
        <v>0.18383916489464536</v>
      </c>
      <c r="AR80" s="207">
        <f t="shared" si="81"/>
        <v>1.3624194348041518E-2</v>
      </c>
      <c r="AS80" s="207">
        <f t="shared" si="81"/>
        <v>-4.0535536803538719E-3</v>
      </c>
      <c r="AT80" s="208">
        <f t="shared" si="81"/>
        <v>0.13844238814114229</v>
      </c>
      <c r="AU80" s="207">
        <f t="shared" si="81"/>
        <v>4.3557982234536885E-2</v>
      </c>
      <c r="AV80" s="207">
        <f t="shared" si="81"/>
        <v>5.5090627041149309E-2</v>
      </c>
      <c r="AW80" s="207">
        <f t="shared" si="81"/>
        <v>1.250195648771335E-2</v>
      </c>
      <c r="AX80" s="207">
        <f t="shared" si="81"/>
        <v>0.13247236082575076</v>
      </c>
      <c r="AY80" s="218">
        <f t="shared" si="81"/>
        <v>6.1140429271117958E-2</v>
      </c>
      <c r="AZ80" s="207">
        <f t="shared" si="81"/>
        <v>3.4086915778376303E-2</v>
      </c>
      <c r="BA80" s="207">
        <f t="shared" si="81"/>
        <v>0.1421137141862221</v>
      </c>
      <c r="BB80" s="207">
        <f t="shared" si="81"/>
        <v>0.11383354911016186</v>
      </c>
      <c r="BC80" s="207">
        <f t="shared" si="81"/>
        <v>6.9114470842346343E-4</v>
      </c>
      <c r="BD80" s="218">
        <f t="shared" si="81"/>
        <v>7.0683498087409591E-2</v>
      </c>
      <c r="BE80" s="207">
        <f t="shared" si="81"/>
        <v>0.14216130493883106</v>
      </c>
      <c r="BF80" s="207">
        <f t="shared" si="81"/>
        <v>2.1647441435032055E-2</v>
      </c>
      <c r="BG80" s="207">
        <f t="shared" si="81"/>
        <v>1.7296415807918075E-2</v>
      </c>
      <c r="BH80" s="207">
        <f t="shared" si="81"/>
        <v>0.12454459121125772</v>
      </c>
      <c r="BI80" s="218">
        <f t="shared" si="81"/>
        <v>7.4784014905827867E-2</v>
      </c>
      <c r="BJ80" s="219">
        <f t="shared" si="81"/>
        <v>7.0143451105821653E-2</v>
      </c>
      <c r="BK80" s="219">
        <f t="shared" si="81"/>
        <v>0.19605238986985007</v>
      </c>
      <c r="BL80" s="219">
        <f t="shared" si="81"/>
        <v>0.23101967707498416</v>
      </c>
      <c r="BM80" s="219">
        <f t="shared" si="81"/>
        <v>0.14914411663186322</v>
      </c>
      <c r="BN80" s="218">
        <f t="shared" si="81"/>
        <v>0.16080079839725259</v>
      </c>
      <c r="BO80" s="219">
        <f t="shared" si="81"/>
        <v>9.5258005679362823E-2</v>
      </c>
      <c r="BP80" s="219">
        <f t="shared" si="81"/>
        <v>9.6157555389549287E-2</v>
      </c>
      <c r="BQ80" s="219">
        <f t="shared" si="81"/>
        <v>9.7699931889909886E-2</v>
      </c>
      <c r="BR80" s="219">
        <f t="shared" si="80"/>
        <v>9.6067483559982625E-2</v>
      </c>
      <c r="BS80" s="218">
        <f t="shared" si="79"/>
        <v>9.6320841303895399E-2</v>
      </c>
    </row>
    <row r="81" spans="1:71">
      <c r="A81" s="118" t="s">
        <v>113</v>
      </c>
      <c r="B81" s="200" t="s">
        <v>82</v>
      </c>
      <c r="C81" s="200" t="s">
        <v>82</v>
      </c>
      <c r="D81" s="200" t="s">
        <v>82</v>
      </c>
      <c r="E81" s="200" t="s">
        <v>82</v>
      </c>
      <c r="F81" s="201" t="s">
        <v>82</v>
      </c>
      <c r="G81" s="202">
        <f t="shared" si="81"/>
        <v>0.14874524714828907</v>
      </c>
      <c r="H81" s="202">
        <f t="shared" si="81"/>
        <v>0.34232586495961037</v>
      </c>
      <c r="I81" s="202">
        <f t="shared" si="81"/>
        <v>0.10382793496351295</v>
      </c>
      <c r="J81" s="202">
        <f t="shared" si="81"/>
        <v>-4.6531827770194711E-2</v>
      </c>
      <c r="K81" s="203">
        <f t="shared" si="81"/>
        <v>0.12618079018134143</v>
      </c>
      <c r="L81" s="202">
        <f t="shared" si="81"/>
        <v>0.2556600026479543</v>
      </c>
      <c r="M81" s="202">
        <f t="shared" si="81"/>
        <v>0.16123538094697354</v>
      </c>
      <c r="N81" s="202">
        <f t="shared" si="81"/>
        <v>-0.464161447459986</v>
      </c>
      <c r="O81" s="202">
        <f t="shared" si="81"/>
        <v>-0.55687142113482579</v>
      </c>
      <c r="P81" s="203">
        <f t="shared" si="81"/>
        <v>-0.15092144737647684</v>
      </c>
      <c r="Q81" s="202">
        <f t="shared" si="81"/>
        <v>-0.23555461830451274</v>
      </c>
      <c r="R81" s="202">
        <f t="shared" si="81"/>
        <v>-0.37977901632932387</v>
      </c>
      <c r="S81" s="202">
        <f t="shared" si="81"/>
        <v>0.32056277056277094</v>
      </c>
      <c r="T81" s="202">
        <f t="shared" si="81"/>
        <v>0.69662261380323054</v>
      </c>
      <c r="U81" s="203">
        <f t="shared" si="81"/>
        <v>-8.1662820882607234E-2</v>
      </c>
      <c r="V81" s="202">
        <f t="shared" si="81"/>
        <v>0.1983448275862072</v>
      </c>
      <c r="W81" s="202">
        <f t="shared" si="81"/>
        <v>-0.10909664196752356</v>
      </c>
      <c r="X81" s="202">
        <f t="shared" si="81"/>
        <v>-0.33830519586953001</v>
      </c>
      <c r="Y81" s="202">
        <f t="shared" si="81"/>
        <v>-0.51705037216548388</v>
      </c>
      <c r="Z81" s="203">
        <f t="shared" si="81"/>
        <v>-0.16901574339444903</v>
      </c>
      <c r="AA81" s="202">
        <f t="shared" si="81"/>
        <v>-0.79281767955801064</v>
      </c>
      <c r="AB81" s="202">
        <f t="shared" si="81"/>
        <v>-0.49849584144399306</v>
      </c>
      <c r="AC81" s="202">
        <f t="shared" si="81"/>
        <v>-0.62942779291553164</v>
      </c>
      <c r="AD81" s="202">
        <f t="shared" si="81"/>
        <v>1.7297491039426531</v>
      </c>
      <c r="AE81" s="203">
        <f t="shared" si="81"/>
        <v>-0.35056222243220203</v>
      </c>
      <c r="AF81" s="202">
        <f t="shared" si="81"/>
        <v>4.4649999999999865</v>
      </c>
      <c r="AG81" s="202">
        <f t="shared" si="81"/>
        <v>2.4502470007057218</v>
      </c>
      <c r="AH81" s="202">
        <f t="shared" si="81"/>
        <v>0.86631016042780784</v>
      </c>
      <c r="AI81" s="202">
        <f t="shared" si="81"/>
        <v>-0.107274159663866</v>
      </c>
      <c r="AJ81" s="203">
        <f t="shared" si="81"/>
        <v>1.1246908191473861</v>
      </c>
      <c r="AK81" s="202">
        <f t="shared" si="81"/>
        <v>-0.1344922232387934</v>
      </c>
      <c r="AL81" s="202">
        <f t="shared" si="81"/>
        <v>-0.61638371855185214</v>
      </c>
      <c r="AM81" s="202">
        <f t="shared" si="81"/>
        <v>3.1898280802292271</v>
      </c>
      <c r="AN81" s="202">
        <f t="shared" si="81"/>
        <v>8.8248271804685086E-3</v>
      </c>
      <c r="AO81" s="203">
        <f t="shared" si="81"/>
        <v>5.5331096350065501E-2</v>
      </c>
      <c r="AP81" s="202">
        <f t="shared" si="81"/>
        <v>-0.4329339910735257</v>
      </c>
      <c r="AQ81" s="202">
        <f t="shared" si="81"/>
        <v>-0.72220741135697031</v>
      </c>
      <c r="AR81" s="202">
        <f t="shared" si="81"/>
        <v>-0.88066336125833344</v>
      </c>
      <c r="AS81" s="202">
        <f t="shared" si="81"/>
        <v>-1.3535500801866156</v>
      </c>
      <c r="AT81" s="203">
        <f t="shared" si="81"/>
        <v>-0.84293686327947359</v>
      </c>
      <c r="AU81" s="202">
        <f t="shared" si="81"/>
        <v>-2.1251035625517813</v>
      </c>
      <c r="AV81" s="202" t="s">
        <v>144</v>
      </c>
      <c r="AW81" s="202" t="s">
        <v>144</v>
      </c>
      <c r="AX81" s="202">
        <f t="shared" si="81"/>
        <v>3.7092783505154756</v>
      </c>
      <c r="AY81" s="203">
        <f t="shared" si="81"/>
        <v>-8.7548027267092472</v>
      </c>
      <c r="AZ81" s="202">
        <f t="shared" si="81"/>
        <v>1.3873343151693707</v>
      </c>
      <c r="BA81" s="202">
        <f t="shared" si="81"/>
        <v>1.3717161016949189</v>
      </c>
      <c r="BB81" s="202">
        <f t="shared" si="81"/>
        <v>1.2110409814205756</v>
      </c>
      <c r="BC81" s="202">
        <f t="shared" si="81"/>
        <v>1.1270577933450068</v>
      </c>
      <c r="BD81" s="203">
        <f t="shared" si="81"/>
        <v>1.2514051303907747</v>
      </c>
      <c r="BE81" s="202">
        <f t="shared" si="81"/>
        <v>0.70535163479333618</v>
      </c>
      <c r="BF81" s="202">
        <f t="shared" si="81"/>
        <v>0.4632632096118634</v>
      </c>
      <c r="BG81" s="202">
        <f t="shared" si="81"/>
        <v>0.49999999999999778</v>
      </c>
      <c r="BH81" s="202">
        <f t="shared" si="81"/>
        <v>0.66526697130624401</v>
      </c>
      <c r="BI81" s="203">
        <f t="shared" si="81"/>
        <v>0.56927354472314207</v>
      </c>
      <c r="BJ81" s="202">
        <f t="shared" si="81"/>
        <v>0.34299541578114456</v>
      </c>
      <c r="BK81" s="202">
        <f t="shared" si="81"/>
        <v>5.6063828714018937E-2</v>
      </c>
      <c r="BL81" s="202">
        <f t="shared" si="81"/>
        <v>-7.5653850755869279E-2</v>
      </c>
      <c r="BM81" s="202">
        <f t="shared" si="81"/>
        <v>-6.3538109206199844E-2</v>
      </c>
      <c r="BN81" s="203">
        <f t="shared" si="81"/>
        <v>3.0379438255362379E-2</v>
      </c>
      <c r="BO81" s="202">
        <f t="shared" si="81"/>
        <v>0.13065158604047111</v>
      </c>
      <c r="BP81" s="202">
        <f t="shared" si="81"/>
        <v>0.13102108807906099</v>
      </c>
      <c r="BQ81" s="202">
        <f t="shared" si="81"/>
        <v>0.13241800709872531</v>
      </c>
      <c r="BR81" s="202">
        <f t="shared" si="80"/>
        <v>0.12983122403225811</v>
      </c>
      <c r="BS81" s="203">
        <f t="shared" si="79"/>
        <v>0.13096347318342838</v>
      </c>
    </row>
    <row r="82" spans="1:71">
      <c r="A82" s="155" t="s">
        <v>116</v>
      </c>
      <c r="B82" s="200" t="s">
        <v>82</v>
      </c>
      <c r="C82" s="200" t="s">
        <v>82</v>
      </c>
      <c r="D82" s="200" t="s">
        <v>82</v>
      </c>
      <c r="E82" s="200" t="s">
        <v>82</v>
      </c>
      <c r="F82" s="201" t="s">
        <v>82</v>
      </c>
      <c r="G82" s="202">
        <f t="shared" ref="G82:AU82" si="82">IFERROR(G23/B23-1,"NA")</f>
        <v>0.14024572969733318</v>
      </c>
      <c r="H82" s="202">
        <f t="shared" si="82"/>
        <v>0.33268219383921904</v>
      </c>
      <c r="I82" s="202">
        <f t="shared" si="82"/>
        <v>9.832953682611989E-2</v>
      </c>
      <c r="J82" s="202">
        <f t="shared" si="82"/>
        <v>-4.8636698599852535E-2</v>
      </c>
      <c r="K82" s="203">
        <f t="shared" si="82"/>
        <v>0.12021243999591413</v>
      </c>
      <c r="L82" s="202">
        <f t="shared" si="82"/>
        <v>0.28883048620236518</v>
      </c>
      <c r="M82" s="202">
        <f t="shared" si="82"/>
        <v>0.23756906077348039</v>
      </c>
      <c r="N82" s="202">
        <f t="shared" si="82"/>
        <v>-0.38114990206244947</v>
      </c>
      <c r="O82" s="202">
        <f t="shared" si="82"/>
        <v>-0.46604699199586908</v>
      </c>
      <c r="P82" s="203">
        <f t="shared" si="82"/>
        <v>-7.9412837345003373E-2</v>
      </c>
      <c r="Q82" s="202">
        <f t="shared" si="82"/>
        <v>-0.18943719412724302</v>
      </c>
      <c r="R82" s="202">
        <f t="shared" si="82"/>
        <v>-0.35932944606413952</v>
      </c>
      <c r="S82" s="202">
        <f t="shared" si="82"/>
        <v>0.26270713088810282</v>
      </c>
      <c r="T82" s="202">
        <f t="shared" si="82"/>
        <v>0.97582205029013558</v>
      </c>
      <c r="U82" s="203">
        <f t="shared" si="82"/>
        <v>-1.1719652702122496E-2</v>
      </c>
      <c r="V82" s="202">
        <f t="shared" si="82"/>
        <v>0.12075471698113227</v>
      </c>
      <c r="W82" s="202">
        <f t="shared" si="82"/>
        <v>-0.14931740614334499</v>
      </c>
      <c r="X82" s="202">
        <f t="shared" si="82"/>
        <v>-0.38041875552934268</v>
      </c>
      <c r="Y82" s="202">
        <f t="shared" si="82"/>
        <v>-0.65271659324522768</v>
      </c>
      <c r="Z82" s="203">
        <f t="shared" si="82"/>
        <v>-0.26737039016568709</v>
      </c>
      <c r="AA82" s="202">
        <f t="shared" si="82"/>
        <v>-0.81481481481481444</v>
      </c>
      <c r="AB82" s="202">
        <f t="shared" si="82"/>
        <v>-0.6275493146104989</v>
      </c>
      <c r="AC82" s="202">
        <f t="shared" si="82"/>
        <v>-0.88981437410756814</v>
      </c>
      <c r="AD82" s="202">
        <f t="shared" si="82"/>
        <v>1.4231853417899938</v>
      </c>
      <c r="AE82" s="203">
        <f t="shared" si="82"/>
        <v>-0.48850993981397006</v>
      </c>
      <c r="AF82" s="202">
        <f t="shared" si="82"/>
        <v>4.6684848484848338</v>
      </c>
      <c r="AG82" s="202">
        <f t="shared" si="82"/>
        <v>3.3770197486535096</v>
      </c>
      <c r="AH82" s="202">
        <f t="shared" si="82"/>
        <v>5.1555075593952617</v>
      </c>
      <c r="AI82" s="202">
        <f t="shared" si="82"/>
        <v>-1.5413697833358109E-2</v>
      </c>
      <c r="AJ82" s="203">
        <f t="shared" si="82"/>
        <v>1.5607060082011022</v>
      </c>
      <c r="AK82" s="202">
        <f t="shared" si="82"/>
        <v>-6.3188281834706483E-2</v>
      </c>
      <c r="AL82" s="202">
        <f t="shared" si="82"/>
        <v>-0.43939704675964009</v>
      </c>
      <c r="AM82" s="202">
        <f t="shared" si="82"/>
        <v>2.6828070175438596</v>
      </c>
      <c r="AN82" s="202">
        <f t="shared" si="82"/>
        <v>-0.13705508787475928</v>
      </c>
      <c r="AO82" s="203">
        <f t="shared" si="82"/>
        <v>6.4123094061129704E-2</v>
      </c>
      <c r="AP82" s="202">
        <f t="shared" si="82"/>
        <v>-0.53846153846153832</v>
      </c>
      <c r="AQ82" s="202">
        <f t="shared" si="82"/>
        <v>-1.0080482897384304</v>
      </c>
      <c r="AR82" s="202">
        <f t="shared" si="82"/>
        <v>-0.94369283536585225</v>
      </c>
      <c r="AS82" s="202">
        <f t="shared" si="82"/>
        <v>-1.7537224028752347</v>
      </c>
      <c r="AT82" s="203">
        <f t="shared" si="82"/>
        <v>-0.99388249149437102</v>
      </c>
      <c r="AU82" s="202">
        <f t="shared" si="82"/>
        <v>-2.9384272997032648</v>
      </c>
      <c r="AV82" s="202" t="s">
        <v>144</v>
      </c>
      <c r="AW82" s="202" t="s">
        <v>144</v>
      </c>
      <c r="AX82" s="202">
        <f>IFERROR(AX23/AS23-1,"NA")</f>
        <v>2.736376021798371</v>
      </c>
      <c r="AY82" s="203" t="s">
        <v>144</v>
      </c>
      <c r="AZ82" s="202">
        <f t="shared" ref="AZ82:BS82" si="83">IFERROR(AZ23/AU23-1,"NA")</f>
        <v>1.0048475570863658</v>
      </c>
      <c r="BA82" s="202">
        <f t="shared" si="83"/>
        <v>1.7288908183199521</v>
      </c>
      <c r="BB82" s="202">
        <f t="shared" si="83"/>
        <v>1.1121368038740962</v>
      </c>
      <c r="BC82" s="202">
        <f>IFERROR(BC23/AX23-1,"NA")</f>
        <v>0.54658158614402841</v>
      </c>
      <c r="BD82" s="203">
        <f t="shared" si="83"/>
        <v>1.0165867648317799</v>
      </c>
      <c r="BE82" s="202">
        <f t="shared" si="83"/>
        <v>0.62484092644438682</v>
      </c>
      <c r="BF82" s="202">
        <f t="shared" si="83"/>
        <v>0.4613824371619466</v>
      </c>
      <c r="BG82" s="202">
        <f t="shared" si="83"/>
        <v>0.43587447159131387</v>
      </c>
      <c r="BH82" s="202">
        <f>IFERROR(BH23/BC23-1,"NA")</f>
        <v>0.72462572203229891</v>
      </c>
      <c r="BI82" s="203">
        <f t="shared" si="83"/>
        <v>0.55219001729938477</v>
      </c>
      <c r="BJ82" s="202">
        <f t="shared" si="83"/>
        <v>0.16699340617167957</v>
      </c>
      <c r="BK82" s="202">
        <f t="shared" si="83"/>
        <v>-5.571623098380718E-2</v>
      </c>
      <c r="BL82" s="202">
        <f t="shared" si="83"/>
        <v>-0.13710969945859552</v>
      </c>
      <c r="BM82" s="202">
        <f t="shared" si="83"/>
        <v>-0.13463613705855526</v>
      </c>
      <c r="BN82" s="203">
        <f t="shared" si="83"/>
        <v>-6.2820496177829921E-2</v>
      </c>
      <c r="BO82" s="202">
        <f t="shared" si="83"/>
        <v>0.13021316295479624</v>
      </c>
      <c r="BP82" s="202">
        <f t="shared" si="83"/>
        <v>0.13064348074111853</v>
      </c>
      <c r="BQ82" s="202">
        <f t="shared" si="83"/>
        <v>0.13203513571156678</v>
      </c>
      <c r="BR82" s="202">
        <f t="shared" si="83"/>
        <v>0.12948939037984619</v>
      </c>
      <c r="BS82" s="203">
        <f t="shared" si="83"/>
        <v>0.13058127767428829</v>
      </c>
    </row>
    <row r="83" spans="1:71">
      <c r="A83" s="212" t="s">
        <v>136</v>
      </c>
      <c r="B83" s="200" t="s">
        <v>82</v>
      </c>
      <c r="C83" s="200" t="s">
        <v>82</v>
      </c>
      <c r="D83" s="200" t="s">
        <v>82</v>
      </c>
      <c r="E83" s="200" t="s">
        <v>82</v>
      </c>
      <c r="F83" s="201" t="s">
        <v>82</v>
      </c>
      <c r="G83" s="202">
        <f t="shared" ref="G83:AE83" si="84">IFERROR(G50/B50-1,"NA")</f>
        <v>0.14874524714828907</v>
      </c>
      <c r="H83" s="202">
        <f t="shared" si="84"/>
        <v>0.38302088096326825</v>
      </c>
      <c r="I83" s="202">
        <f t="shared" si="84"/>
        <v>0.13788247343489934</v>
      </c>
      <c r="J83" s="202">
        <f t="shared" si="84"/>
        <v>-1.3401166397815967E-2</v>
      </c>
      <c r="K83" s="203">
        <f t="shared" si="84"/>
        <v>0.15376129076742751</v>
      </c>
      <c r="L83" s="202">
        <f t="shared" si="84"/>
        <v>0.29101019462465216</v>
      </c>
      <c r="M83" s="202">
        <f t="shared" si="84"/>
        <v>0.15649107339651702</v>
      </c>
      <c r="N83" s="202">
        <f t="shared" si="84"/>
        <v>-0.45027002700270014</v>
      </c>
      <c r="O83" s="202">
        <f t="shared" si="84"/>
        <v>-0.53817129920764706</v>
      </c>
      <c r="P83" s="203">
        <f t="shared" si="84"/>
        <v>-0.13933544492918182</v>
      </c>
      <c r="Q83" s="202">
        <f t="shared" si="84"/>
        <v>-0.48282227463849847</v>
      </c>
      <c r="R83" s="202">
        <f t="shared" si="84"/>
        <v>-0.61663807890222944</v>
      </c>
      <c r="S83" s="202">
        <f t="shared" si="84"/>
        <v>-0.22963569381907467</v>
      </c>
      <c r="T83" s="202">
        <f t="shared" si="84"/>
        <v>-0.11492374727668875</v>
      </c>
      <c r="U83" s="203">
        <f t="shared" si="84"/>
        <v>-0.4417248203312153</v>
      </c>
      <c r="V83" s="202">
        <f t="shared" si="84"/>
        <v>0.34840372793971897</v>
      </c>
      <c r="W83" s="202">
        <f t="shared" si="84"/>
        <v>-0.20531941337310478</v>
      </c>
      <c r="X83" s="202">
        <f t="shared" si="84"/>
        <v>-0.52072263549415565</v>
      </c>
      <c r="Y83" s="202">
        <f t="shared" si="84"/>
        <v>-0.82953846153846178</v>
      </c>
      <c r="Z83" s="203">
        <f t="shared" si="84"/>
        <v>-0.23165422885572162</v>
      </c>
      <c r="AA83" s="202">
        <f t="shared" si="84"/>
        <v>-1.0936764705882347</v>
      </c>
      <c r="AB83" s="202">
        <f t="shared" si="84"/>
        <v>-1.1219893650297166</v>
      </c>
      <c r="AC83" s="202">
        <f t="shared" si="84"/>
        <v>-2.022172949002218</v>
      </c>
      <c r="AD83" s="202">
        <f t="shared" si="84"/>
        <v>6.3898916967509107</v>
      </c>
      <c r="AE83" s="203">
        <f t="shared" si="84"/>
        <v>-0.90101173613921515</v>
      </c>
      <c r="AF83" s="202" t="s">
        <v>144</v>
      </c>
      <c r="AG83" s="202" t="s">
        <v>144</v>
      </c>
      <c r="AH83" s="202">
        <f t="shared" ref="AH83:BS83" si="85">IFERROR(AH50/AC50-1,"NA")</f>
        <v>-0.45065075921908826</v>
      </c>
      <c r="AI83" s="202">
        <f t="shared" si="85"/>
        <v>-0.41231069858329328</v>
      </c>
      <c r="AJ83" s="203">
        <f t="shared" si="85"/>
        <v>9.9255928045789279</v>
      </c>
      <c r="AK83" s="202">
        <f t="shared" si="85"/>
        <v>-0.37289494787490174</v>
      </c>
      <c r="AL83" s="202">
        <f t="shared" si="85"/>
        <v>-1.1900941750959206</v>
      </c>
      <c r="AM83" s="202">
        <f t="shared" si="85"/>
        <v>-3.639684106614006</v>
      </c>
      <c r="AN83" s="202">
        <f t="shared" si="85"/>
        <v>-1.3337489609310049</v>
      </c>
      <c r="AO83" s="203">
        <f t="shared" si="85"/>
        <v>-0.64892980092800667</v>
      </c>
      <c r="AP83" s="202">
        <f t="shared" si="85"/>
        <v>-1.7383631713555021</v>
      </c>
      <c r="AQ83" s="202">
        <f t="shared" si="85"/>
        <v>4.5027522935779327</v>
      </c>
      <c r="AR83" s="202">
        <f t="shared" si="85"/>
        <v>-3.6170531039641003</v>
      </c>
      <c r="AS83" s="202">
        <f t="shared" si="85"/>
        <v>12.180572851805788</v>
      </c>
      <c r="AT83" s="203">
        <f t="shared" si="85"/>
        <v>-6.6420805798337517</v>
      </c>
      <c r="AU83" s="202">
        <f t="shared" si="85"/>
        <v>1.4211984759265617</v>
      </c>
      <c r="AV83" s="202">
        <f t="shared" si="85"/>
        <v>0.83711237079026168</v>
      </c>
      <c r="AW83" s="202">
        <f t="shared" si="85"/>
        <v>0.79779937124892975</v>
      </c>
      <c r="AX83" s="202">
        <f t="shared" si="85"/>
        <v>0.40107709750567033</v>
      </c>
      <c r="AY83" s="203">
        <f t="shared" si="85"/>
        <v>0.71606151056032052</v>
      </c>
      <c r="AZ83" s="202">
        <f t="shared" si="85"/>
        <v>1.0592274678111622</v>
      </c>
      <c r="BA83" s="202">
        <f t="shared" si="85"/>
        <v>1.1816861784190977</v>
      </c>
      <c r="BB83" s="202">
        <f t="shared" si="85"/>
        <v>1.1722386137826923</v>
      </c>
      <c r="BC83" s="202">
        <f t="shared" si="85"/>
        <v>0.76134601119428069</v>
      </c>
      <c r="BD83" s="203">
        <f t="shared" si="85"/>
        <v>1.0229845218961247</v>
      </c>
      <c r="BE83" s="202">
        <f t="shared" si="85"/>
        <v>0.71703487564262769</v>
      </c>
      <c r="BF83" s="202">
        <f t="shared" si="85"/>
        <v>0.48706322795341017</v>
      </c>
      <c r="BG83" s="202">
        <f t="shared" si="85"/>
        <v>0.45139213992027449</v>
      </c>
      <c r="BH83" s="202">
        <f t="shared" si="85"/>
        <v>0.61997013668210776</v>
      </c>
      <c r="BI83" s="203">
        <f t="shared" si="85"/>
        <v>0.55026122980824388</v>
      </c>
      <c r="BJ83" s="202">
        <f t="shared" si="85"/>
        <v>0.28263579283835782</v>
      </c>
      <c r="BK83" s="202">
        <f t="shared" si="85"/>
        <v>2.3740722607625608E-2</v>
      </c>
      <c r="BL83" s="202">
        <f t="shared" si="85"/>
        <v>-8.0158675507373434E-2</v>
      </c>
      <c r="BM83" s="202">
        <f t="shared" si="85"/>
        <v>-5.7458405546889635E-2</v>
      </c>
      <c r="BN83" s="203">
        <f t="shared" si="85"/>
        <v>1.5609106879339807E-2</v>
      </c>
      <c r="BO83" s="202">
        <f t="shared" si="85"/>
        <v>0.12240867311772008</v>
      </c>
      <c r="BP83" s="202">
        <f t="shared" si="85"/>
        <v>0.12386101721735865</v>
      </c>
      <c r="BQ83" s="202">
        <f t="shared" si="85"/>
        <v>0.12515934352940894</v>
      </c>
      <c r="BR83" s="202">
        <f t="shared" si="85"/>
        <v>0.12332026341445057</v>
      </c>
      <c r="BS83" s="203">
        <f t="shared" si="85"/>
        <v>0.12372113883205849</v>
      </c>
    </row>
    <row r="84" spans="1:71">
      <c r="A84" s="212" t="s">
        <v>142</v>
      </c>
      <c r="B84" s="200" t="s">
        <v>82</v>
      </c>
      <c r="C84" s="200" t="s">
        <v>82</v>
      </c>
      <c r="D84" s="200" t="s">
        <v>82</v>
      </c>
      <c r="E84" s="200" t="s">
        <v>82</v>
      </c>
      <c r="F84" s="201" t="s">
        <v>82</v>
      </c>
      <c r="G84" s="202">
        <f t="shared" ref="G84:AU84" si="86">IFERROR(G26/B26-1,"NA")</f>
        <v>0.14024572969733318</v>
      </c>
      <c r="H84" s="202">
        <f t="shared" si="86"/>
        <v>0.33268219383921904</v>
      </c>
      <c r="I84" s="202">
        <f t="shared" si="86"/>
        <v>9.832953682611989E-2</v>
      </c>
      <c r="J84" s="202">
        <f t="shared" si="86"/>
        <v>-4.8636698599852535E-2</v>
      </c>
      <c r="K84" s="203">
        <f t="shared" si="86"/>
        <v>0.12021243999591413</v>
      </c>
      <c r="L84" s="202">
        <f t="shared" si="86"/>
        <v>0.28883048620236518</v>
      </c>
      <c r="M84" s="202">
        <f t="shared" si="86"/>
        <v>0.23756906077348039</v>
      </c>
      <c r="N84" s="202">
        <f t="shared" si="86"/>
        <v>-0.38114990206244947</v>
      </c>
      <c r="O84" s="202">
        <f t="shared" si="86"/>
        <v>-0.46604699199586908</v>
      </c>
      <c r="P84" s="203">
        <f t="shared" si="86"/>
        <v>-7.9412837345003373E-2</v>
      </c>
      <c r="Q84" s="202">
        <f t="shared" si="86"/>
        <v>-0.18943719412724302</v>
      </c>
      <c r="R84" s="202">
        <f t="shared" si="86"/>
        <v>-0.35932944606413952</v>
      </c>
      <c r="S84" s="202">
        <f t="shared" si="86"/>
        <v>0.26270713088810282</v>
      </c>
      <c r="T84" s="202">
        <f t="shared" si="86"/>
        <v>0.97582205029013558</v>
      </c>
      <c r="U84" s="203">
        <f t="shared" si="86"/>
        <v>-1.1719652702122496E-2</v>
      </c>
      <c r="V84" s="202">
        <f t="shared" si="86"/>
        <v>0.12075471698113227</v>
      </c>
      <c r="W84" s="202">
        <f t="shared" si="86"/>
        <v>-0.14931740614334499</v>
      </c>
      <c r="X84" s="202">
        <f t="shared" si="86"/>
        <v>-0.38041875552934268</v>
      </c>
      <c r="Y84" s="202">
        <f t="shared" si="86"/>
        <v>-0.65271659324522768</v>
      </c>
      <c r="Z84" s="203">
        <f t="shared" si="86"/>
        <v>-0.26737039016568709</v>
      </c>
      <c r="AA84" s="202">
        <f t="shared" si="86"/>
        <v>-0.81481481481481444</v>
      </c>
      <c r="AB84" s="202">
        <f t="shared" si="86"/>
        <v>-0.6275493146104989</v>
      </c>
      <c r="AC84" s="202">
        <f t="shared" si="86"/>
        <v>-0.88981437410756814</v>
      </c>
      <c r="AD84" s="202">
        <f t="shared" si="86"/>
        <v>1.4231853417899938</v>
      </c>
      <c r="AE84" s="203">
        <f t="shared" si="86"/>
        <v>-0.48850993981397006</v>
      </c>
      <c r="AF84" s="202">
        <f t="shared" si="86"/>
        <v>4.6684848484848338</v>
      </c>
      <c r="AG84" s="202">
        <f t="shared" si="86"/>
        <v>3.3770197486535096</v>
      </c>
      <c r="AH84" s="202">
        <f t="shared" si="86"/>
        <v>5.1555075593952617</v>
      </c>
      <c r="AI84" s="202">
        <f t="shared" si="86"/>
        <v>-1.5413697833358109E-2</v>
      </c>
      <c r="AJ84" s="203">
        <f t="shared" si="86"/>
        <v>1.5607060082011022</v>
      </c>
      <c r="AK84" s="202">
        <f t="shared" si="86"/>
        <v>-0.44007270394525932</v>
      </c>
      <c r="AL84" s="202">
        <f t="shared" si="86"/>
        <v>-0.45498359310910697</v>
      </c>
      <c r="AM84" s="202">
        <f t="shared" si="86"/>
        <v>2.2091228070175437</v>
      </c>
      <c r="AN84" s="202">
        <f t="shared" si="86"/>
        <v>-0.25358145030276102</v>
      </c>
      <c r="AO84" s="203">
        <f t="shared" si="86"/>
        <v>-0.13834157209496578</v>
      </c>
      <c r="AP84" s="202">
        <f t="shared" si="86"/>
        <v>-0.22837502386862629</v>
      </c>
      <c r="AQ84" s="202">
        <f t="shared" si="86"/>
        <v>-1.029915333960489</v>
      </c>
      <c r="AR84" s="202">
        <f t="shared" si="86"/>
        <v>-0.95200087469932049</v>
      </c>
      <c r="AS84" s="202">
        <f t="shared" si="86"/>
        <v>-1.79165017807677</v>
      </c>
      <c r="AT84" s="203">
        <f t="shared" si="86"/>
        <v>-0.98707175177763151</v>
      </c>
      <c r="AU84" s="202">
        <f t="shared" si="86"/>
        <v>-2.7973273942093551</v>
      </c>
      <c r="AV84" s="202" t="s">
        <v>144</v>
      </c>
      <c r="AW84" s="202" t="s">
        <v>144</v>
      </c>
      <c r="AX84" s="202">
        <f>IFERROR(AX26/AS26-1,"NA")</f>
        <v>2.8107973006748375</v>
      </c>
      <c r="AY84" s="203" t="s">
        <v>144</v>
      </c>
      <c r="AZ84" s="202">
        <f t="shared" ref="AZ84:BS84" si="87">IFERROR(AZ26/AU26-1,"NA")</f>
        <v>1.0140437835605147</v>
      </c>
      <c r="BA84" s="202">
        <f t="shared" si="87"/>
        <v>1.7410400562192594</v>
      </c>
      <c r="BB84" s="202">
        <f t="shared" si="87"/>
        <v>1.1221569492079091</v>
      </c>
      <c r="BC84" s="202">
        <f>IFERROR(BC26/AX26-1,"NA")</f>
        <v>0.89866859054240056</v>
      </c>
      <c r="BD84" s="203">
        <f t="shared" si="87"/>
        <v>1.147363006421215</v>
      </c>
      <c r="BE84" s="202">
        <f t="shared" si="87"/>
        <v>0.67322942302433586</v>
      </c>
      <c r="BF84" s="202">
        <f t="shared" si="87"/>
        <v>0.49348374140067452</v>
      </c>
      <c r="BG84" s="202">
        <f t="shared" si="87"/>
        <v>0.57357641434674811</v>
      </c>
      <c r="BH84" s="202">
        <f>IFERROR(BH26/BC26-1,"NA")</f>
        <v>0.47898027565718926</v>
      </c>
      <c r="BI84" s="203">
        <f t="shared" si="87"/>
        <v>0.53963838757565519</v>
      </c>
      <c r="BJ84" s="202">
        <f t="shared" si="87"/>
        <v>0.15665657946559941</v>
      </c>
      <c r="BK84" s="202">
        <f t="shared" si="87"/>
        <v>-5.6911714984120954E-2</v>
      </c>
      <c r="BL84" s="202">
        <f t="shared" si="87"/>
        <v>-0.19655130754633854</v>
      </c>
      <c r="BM84" s="202">
        <f t="shared" si="87"/>
        <v>-0.15726313331133923</v>
      </c>
      <c r="BN84" s="203">
        <f t="shared" si="87"/>
        <v>-9.0303988812466152E-2</v>
      </c>
      <c r="BO84" s="202">
        <f t="shared" si="87"/>
        <v>0.13021316295479624</v>
      </c>
      <c r="BP84" s="202">
        <f t="shared" si="87"/>
        <v>0.13064348074111831</v>
      </c>
      <c r="BQ84" s="202">
        <f t="shared" si="87"/>
        <v>0.13203513571156655</v>
      </c>
      <c r="BR84" s="202">
        <f t="shared" si="87"/>
        <v>0.12948939037984619</v>
      </c>
      <c r="BS84" s="203">
        <f t="shared" si="87"/>
        <v>0.13058127767428829</v>
      </c>
    </row>
    <row r="85" spans="1:71">
      <c r="A85" s="212" t="s">
        <v>145</v>
      </c>
      <c r="B85" s="200" t="s">
        <v>82</v>
      </c>
      <c r="C85" s="200" t="s">
        <v>82</v>
      </c>
      <c r="D85" s="200" t="s">
        <v>82</v>
      </c>
      <c r="E85" s="200" t="s">
        <v>82</v>
      </c>
      <c r="F85" s="201" t="s">
        <v>82</v>
      </c>
      <c r="G85" s="202" t="str">
        <f>IFERROR(#REF!/#REF!-1,"NA")</f>
        <v>NA</v>
      </c>
      <c r="H85" s="202" t="str">
        <f>IFERROR(#REF!/#REF!-1,"NA")</f>
        <v>NA</v>
      </c>
      <c r="I85" s="202" t="str">
        <f>IFERROR(#REF!/#REF!-1,"NA")</f>
        <v>NA</v>
      </c>
      <c r="J85" s="202" t="str">
        <f>IFERROR(#REF!/#REF!-1,"NA")</f>
        <v>NA</v>
      </c>
      <c r="K85" s="203" t="str">
        <f>IFERROR(#REF!/#REF!-1,"NA")</f>
        <v>NA</v>
      </c>
      <c r="L85" s="202" t="str">
        <f>IFERROR(#REF!/#REF!-1,"NA")</f>
        <v>NA</v>
      </c>
      <c r="M85" s="202" t="str">
        <f>IFERROR(#REF!/#REF!-1,"NA")</f>
        <v>NA</v>
      </c>
      <c r="N85" s="202" t="str">
        <f>IFERROR(#REF!/#REF!-1,"NA")</f>
        <v>NA</v>
      </c>
      <c r="O85" s="202" t="str">
        <f>IFERROR(#REF!/#REF!-1,"NA")</f>
        <v>NA</v>
      </c>
      <c r="P85" s="203" t="str">
        <f>IFERROR(#REF!/#REF!-1,"NA")</f>
        <v>NA</v>
      </c>
      <c r="Q85" s="202" t="str">
        <f>IFERROR(#REF!/#REF!-1,"NA")</f>
        <v>NA</v>
      </c>
      <c r="R85" s="202" t="str">
        <f>IFERROR(#REF!/#REF!-1,"NA")</f>
        <v>NA</v>
      </c>
      <c r="S85" s="202" t="str">
        <f>IFERROR(#REF!/#REF!-1,"NA")</f>
        <v>NA</v>
      </c>
      <c r="T85" s="202" t="str">
        <f>IFERROR(#REF!/#REF!-1,"NA")</f>
        <v>NA</v>
      </c>
      <c r="U85" s="203" t="str">
        <f>IFERROR(#REF!/#REF!-1,"NA")</f>
        <v>NA</v>
      </c>
      <c r="V85" s="202" t="str">
        <f>IFERROR(#REF!/#REF!-1,"NA")</f>
        <v>NA</v>
      </c>
      <c r="W85" s="202" t="str">
        <f>IFERROR(#REF!/#REF!-1,"NA")</f>
        <v>NA</v>
      </c>
      <c r="X85" s="202" t="str">
        <f>IFERROR(#REF!/#REF!-1,"NA")</f>
        <v>NA</v>
      </c>
      <c r="Y85" s="202" t="str">
        <f>IFERROR(#REF!/#REF!-1,"NA")</f>
        <v>NA</v>
      </c>
      <c r="Z85" s="203" t="str">
        <f>IFERROR(#REF!/#REF!-1,"NA")</f>
        <v>NA</v>
      </c>
      <c r="AA85" s="202" t="str">
        <f>IFERROR(#REF!/#REF!-1,"NA")</f>
        <v>NA</v>
      </c>
      <c r="AB85" s="202" t="str">
        <f>IFERROR(#REF!/#REF!-1,"NA")</f>
        <v>NA</v>
      </c>
      <c r="AC85" s="202" t="str">
        <f>IFERROR(#REF!/#REF!-1,"NA")</f>
        <v>NA</v>
      </c>
      <c r="AD85" s="202" t="str">
        <f>IFERROR(#REF!/#REF!-1,"NA")</f>
        <v>NA</v>
      </c>
      <c r="AE85" s="203" t="str">
        <f>IFERROR(#REF!/#REF!-1,"NA")</f>
        <v>NA</v>
      </c>
      <c r="AF85" s="202" t="str">
        <f>IFERROR(#REF!/#REF!-1,"NA")</f>
        <v>NA</v>
      </c>
      <c r="AG85" s="202" t="str">
        <f>IFERROR(#REF!/#REF!-1,"NA")</f>
        <v>NA</v>
      </c>
      <c r="AH85" s="202" t="str">
        <f>IFERROR(#REF!/#REF!-1,"NA")</f>
        <v>NA</v>
      </c>
      <c r="AI85" s="202" t="str">
        <f>IFERROR(#REF!/#REF!-1,"NA")</f>
        <v>NA</v>
      </c>
      <c r="AJ85" s="203" t="str">
        <f>IFERROR(#REF!/#REF!-1,"NA")</f>
        <v>NA</v>
      </c>
      <c r="AK85" s="202" t="str">
        <f>IFERROR(#REF!/#REF!-1,"NA")</f>
        <v>NA</v>
      </c>
      <c r="AL85" s="202" t="str">
        <f>IFERROR(#REF!/#REF!-1,"NA")</f>
        <v>NA</v>
      </c>
      <c r="AM85" s="202" t="str">
        <f>IFERROR(#REF!/#REF!-1,"NA")</f>
        <v>NA</v>
      </c>
      <c r="AN85" s="202" t="str">
        <f>IFERROR(#REF!/#REF!-1,"NA")</f>
        <v>NA</v>
      </c>
      <c r="AO85" s="203" t="str">
        <f>IFERROR(#REF!/#REF!-1,"NA")</f>
        <v>NA</v>
      </c>
      <c r="AP85" s="202" t="str">
        <f>IFERROR(#REF!/#REF!-1,"NA")</f>
        <v>NA</v>
      </c>
      <c r="AQ85" s="202" t="str">
        <f>IFERROR(#REF!/#REF!-1,"NA")</f>
        <v>NA</v>
      </c>
      <c r="AR85" s="202" t="str">
        <f>IFERROR(#REF!/#REF!-1,"NA")</f>
        <v>NA</v>
      </c>
      <c r="AS85" s="202" t="str">
        <f>IFERROR(#REF!/#REF!-1,"NA")</f>
        <v>NA</v>
      </c>
      <c r="AT85" s="203" t="str">
        <f>IFERROR(#REF!/#REF!-1,"NA")</f>
        <v>NA</v>
      </c>
      <c r="AU85" s="202" t="str">
        <f>IFERROR(#REF!/#REF!-1,"NA")</f>
        <v>NA</v>
      </c>
      <c r="AV85" s="202" t="str">
        <f>IFERROR(#REF!/#REF!-1,"NA")</f>
        <v>NA</v>
      </c>
      <c r="AW85" s="202" t="str">
        <f>IFERROR(#REF!/#REF!-1,"NA")</f>
        <v>NA</v>
      </c>
      <c r="AX85" s="202" t="str">
        <f>IFERROR(#REF!/#REF!-1,"NA")</f>
        <v>NA</v>
      </c>
      <c r="AY85" s="203" t="str">
        <f>IFERROR(#REF!/#REF!-1,"NA")</f>
        <v>NA</v>
      </c>
      <c r="AZ85" s="202">
        <f t="shared" ref="AZ85:BM85" si="88">IFERROR(AZ35/AU35-1,"NA")</f>
        <v>0.95128691337858307</v>
      </c>
      <c r="BA85" s="202">
        <f t="shared" si="88"/>
        <v>1.6180334081713141</v>
      </c>
      <c r="BB85" s="202">
        <f t="shared" si="88"/>
        <v>1.0049464842357803</v>
      </c>
      <c r="BC85" s="202">
        <f t="shared" si="88"/>
        <v>0.76367602893082087</v>
      </c>
      <c r="BD85" s="203">
        <f t="shared" si="88"/>
        <v>1.0381230263141159</v>
      </c>
      <c r="BE85" s="202">
        <f t="shared" si="88"/>
        <v>0.58588633408804136</v>
      </c>
      <c r="BF85" s="202">
        <f t="shared" si="88"/>
        <v>0.45051038412146038</v>
      </c>
      <c r="BG85" s="202">
        <f t="shared" si="88"/>
        <v>0.54934735042967042</v>
      </c>
      <c r="BH85" s="202">
        <f t="shared" si="88"/>
        <v>0.45205498462122495</v>
      </c>
      <c r="BI85" s="203">
        <f t="shared" si="88"/>
        <v>0.4955805448750763</v>
      </c>
      <c r="BJ85" s="202">
        <f t="shared" si="88"/>
        <v>0.16360332820586554</v>
      </c>
      <c r="BK85" s="202">
        <f t="shared" si="88"/>
        <v>-6.3148109131051511E-2</v>
      </c>
      <c r="BL85" s="202">
        <f t="shared" si="88"/>
        <v>-0.20341231093549783</v>
      </c>
      <c r="BM85" s="202">
        <f t="shared" si="88"/>
        <v>-0.1509095731275345</v>
      </c>
      <c r="BN85" s="203">
        <f>IFERROR(BN35/BI35-1,"NA")</f>
        <v>-9.0667963829915932E-2</v>
      </c>
      <c r="BO85" s="202">
        <f t="shared" ref="BO85:BR85" si="89">IFERROR(BO35/BJ35-1,"NA")</f>
        <v>0.10793694128517628</v>
      </c>
      <c r="BP85" s="202">
        <f t="shared" si="89"/>
        <v>0.10846804569830093</v>
      </c>
      <c r="BQ85" s="202">
        <f t="shared" si="89"/>
        <v>0.10994074093581974</v>
      </c>
      <c r="BR85" s="202">
        <f t="shared" si="89"/>
        <v>0.1075517235752288</v>
      </c>
      <c r="BS85" s="203">
        <f>IFERROR(BS35/BN35-1,"NA")</f>
        <v>0.10846129283924455</v>
      </c>
    </row>
    <row r="86" spans="1:71">
      <c r="A86" s="220" t="s">
        <v>146</v>
      </c>
      <c r="B86" s="221">
        <f>B15/F15</f>
        <v>0.17925315048183843</v>
      </c>
      <c r="C86" s="221">
        <f>C15/F15</f>
        <v>0.21826352853965902</v>
      </c>
      <c r="D86" s="221">
        <f>D15/F15</f>
        <v>0.26269458858413641</v>
      </c>
      <c r="E86" s="221">
        <f>E15/F15</f>
        <v>0.33978873239436624</v>
      </c>
      <c r="F86" s="55"/>
      <c r="G86" s="221">
        <f>G15/K15</f>
        <v>0.23752901267630783</v>
      </c>
      <c r="H86" s="221">
        <f>H15/K15</f>
        <v>0.24170683806463131</v>
      </c>
      <c r="I86" s="221">
        <f>I15/K15</f>
        <v>0.23985002678093201</v>
      </c>
      <c r="J86" s="221">
        <f>J15/K15</f>
        <v>0.28091412247812891</v>
      </c>
      <c r="K86" s="55"/>
      <c r="L86" s="221">
        <f>L15/P15</f>
        <v>0.18350453019710775</v>
      </c>
      <c r="M86" s="221">
        <f>M15/P15</f>
        <v>0.21134189738283318</v>
      </c>
      <c r="N86" s="221">
        <f>N15/P15</f>
        <v>0.30881053933321556</v>
      </c>
      <c r="O86" s="221">
        <f>O15/P15</f>
        <v>0.29634303308684351</v>
      </c>
      <c r="P86" s="55"/>
      <c r="Q86" s="221">
        <f>Q15/U15</f>
        <v>0.23161479043831987</v>
      </c>
      <c r="R86" s="221">
        <f>R15/U15</f>
        <v>0.26157502628090867</v>
      </c>
      <c r="S86" s="221">
        <f>S15/U15</f>
        <v>0.23652817770464832</v>
      </c>
      <c r="T86" s="221">
        <f>T15/U15</f>
        <v>0.27028200557612331</v>
      </c>
      <c r="U86" s="55"/>
      <c r="V86" s="221">
        <f>V15/Z15</f>
        <v>0.20658408281011367</v>
      </c>
      <c r="W86" s="221">
        <f>W15/Z15</f>
        <v>0.246139487527575</v>
      </c>
      <c r="X86" s="221">
        <f>X15/Z15</f>
        <v>0.25801798744272864</v>
      </c>
      <c r="Y86" s="221">
        <f>Y15/Z15</f>
        <v>0.28925844221958252</v>
      </c>
      <c r="Z86" s="55"/>
      <c r="AA86" s="221">
        <f>AA15/AE15</f>
        <v>0.25071279451237699</v>
      </c>
      <c r="AB86" s="221">
        <f>AB15/AE15</f>
        <v>0.25480465254995532</v>
      </c>
      <c r="AC86" s="221">
        <f>AC15/AE15</f>
        <v>0.26076946018490904</v>
      </c>
      <c r="AD86" s="221">
        <f>AD15/AE15</f>
        <v>0.23371309275275873</v>
      </c>
      <c r="AE86" s="55"/>
      <c r="AF86" s="221">
        <f>AF15/AJ15</f>
        <v>0.25892162456558943</v>
      </c>
      <c r="AG86" s="221">
        <f>AG15/AJ15</f>
        <v>0.16921261476217642</v>
      </c>
      <c r="AH86" s="221">
        <f>AH15/AJ15</f>
        <v>0.26908812697754031</v>
      </c>
      <c r="AI86" s="221">
        <f>AI15/AJ15</f>
        <v>0.30277763369469368</v>
      </c>
      <c r="AJ86" s="55"/>
      <c r="AK86" s="221">
        <f>AK15/AO15</f>
        <v>0.16745455297214606</v>
      </c>
      <c r="AL86" s="221">
        <f>AL15/AO15</f>
        <v>0.25933404082307709</v>
      </c>
      <c r="AM86" s="221">
        <f>AM15/AO15</f>
        <v>0.26687294127375721</v>
      </c>
      <c r="AN86" s="221">
        <f>AN15/AO15</f>
        <v>0.30633846493101974</v>
      </c>
      <c r="AO86" s="55"/>
      <c r="AP86" s="221">
        <f>AP15/AT15</f>
        <v>0.22642899535435818</v>
      </c>
      <c r="AQ86" s="221">
        <f>AQ15/AT15</f>
        <v>0.24532877637476219</v>
      </c>
      <c r="AR86" s="221">
        <f>AR15/AT15</f>
        <v>0.25436424288316312</v>
      </c>
      <c r="AS86" s="221">
        <f>AS15/AT15</f>
        <v>0.27387798538771674</v>
      </c>
      <c r="AT86" s="55"/>
      <c r="AU86" s="221">
        <f>AU15/AY15</f>
        <v>0.22654350607805501</v>
      </c>
      <c r="AV86" s="221">
        <f>AV15/AY15</f>
        <v>0.24444577735124756</v>
      </c>
      <c r="AW86" s="221">
        <f>AW15/AY15</f>
        <v>0.25191938579654505</v>
      </c>
      <c r="AX86" s="221">
        <f>AX15/AY15</f>
        <v>0.27709133077415238</v>
      </c>
      <c r="AY86" s="55"/>
      <c r="AZ86" s="221">
        <f>AZ15/BD15</f>
        <v>0.21127780519222514</v>
      </c>
      <c r="BA86" s="221">
        <f>BA15/BD15</f>
        <v>0.26091219615357508</v>
      </c>
      <c r="BB86" s="221">
        <f>BB15/BD15</f>
        <v>0.26439845937926576</v>
      </c>
      <c r="BC86" s="221">
        <f>BC15/BD15</f>
        <v>0.26341153927493421</v>
      </c>
      <c r="BD86" s="55"/>
      <c r="BE86" s="221">
        <f>BE15/BI15</f>
        <v>0.21900772768845356</v>
      </c>
      <c r="BF86" s="221">
        <f>BF15/BI15</f>
        <v>0.24674522487175757</v>
      </c>
      <c r="BG86" s="221">
        <f>BG15/BI15</f>
        <v>0.25435626897127628</v>
      </c>
      <c r="BH86" s="221">
        <f>BH15/BI15</f>
        <v>0.27989077846851268</v>
      </c>
      <c r="BI86" s="55"/>
      <c r="BJ86" s="221">
        <f>BJ15/BN15</f>
        <v>0.22455524730882631</v>
      </c>
      <c r="BK86" s="221">
        <f>BK15/BN15</f>
        <v>0.25379089440960639</v>
      </c>
      <c r="BL86" s="221">
        <f>BL15/BN15</f>
        <v>0.25363316197834862</v>
      </c>
      <c r="BM86" s="221">
        <f>BM15/BN15</f>
        <v>0.26802069630321868</v>
      </c>
      <c r="BN86" s="55"/>
      <c r="BO86" s="221">
        <f>BO15/BS15</f>
        <v>0.22431413966253647</v>
      </c>
      <c r="BP86" s="221">
        <f>BP15/BS15</f>
        <v>0.25376345545588935</v>
      </c>
      <c r="BQ86" s="221">
        <f>BQ15/BS15</f>
        <v>0.25394138452021858</v>
      </c>
      <c r="BR86" s="221">
        <f>BR15/BS15</f>
        <v>0.26798102036135557</v>
      </c>
      <c r="BS86" s="55"/>
    </row>
    <row r="87" spans="1:71">
      <c r="A87" s="222" t="s">
        <v>147</v>
      </c>
      <c r="B87" s="223">
        <f>B42/F42</f>
        <v>0.23249106401283837</v>
      </c>
      <c r="C87" s="223">
        <f>C42/F42</f>
        <v>0.23085924570263919</v>
      </c>
      <c r="D87" s="223">
        <f>D42/F42</f>
        <v>0.26890717691213639</v>
      </c>
      <c r="E87" s="223">
        <f>E42/F42</f>
        <v>0.26649296912833292</v>
      </c>
      <c r="F87" s="224"/>
      <c r="G87" s="223">
        <f>G42/K42</f>
        <v>0.25989313180076107</v>
      </c>
      <c r="H87" s="223">
        <f>H42/K42</f>
        <v>0.26997581184852493</v>
      </c>
      <c r="I87" s="223">
        <f>I42/K42</f>
        <v>0.24910839430423001</v>
      </c>
      <c r="J87" s="223">
        <f>J42/K42</f>
        <v>0.2228951735228798</v>
      </c>
      <c r="K87" s="224"/>
      <c r="L87" s="223">
        <f>L42/P42</f>
        <v>0.33298345720338596</v>
      </c>
      <c r="M87" s="223">
        <f>M42/P42</f>
        <v>0.37102722108152558</v>
      </c>
      <c r="N87" s="223">
        <f>N42/P42</f>
        <v>0.18564595921073365</v>
      </c>
      <c r="O87" s="223">
        <f>O42/P42</f>
        <v>0.12767799817381789</v>
      </c>
      <c r="P87" s="224"/>
      <c r="Q87" s="223">
        <f>Q42/U42</f>
        <v>0.26583599239455175</v>
      </c>
      <c r="R87" s="223">
        <f>R42/U42</f>
        <v>0.23576133950335701</v>
      </c>
      <c r="S87" s="223">
        <f>S42/U42</f>
        <v>0.22722356462704454</v>
      </c>
      <c r="T87" s="223">
        <f>T42/U42</f>
        <v>0.27116114209657055</v>
      </c>
      <c r="U87" s="224"/>
      <c r="V87" s="223">
        <f>V42/Z42</f>
        <v>0.43102363288816814</v>
      </c>
      <c r="W87" s="223">
        <f>W42/Z42</f>
        <v>0.29308734003804315</v>
      </c>
      <c r="X87" s="223">
        <f>X42/Z42</f>
        <v>0.18626361499475758</v>
      </c>
      <c r="Y87" s="223">
        <f>Y42/Z42</f>
        <v>0.12270529887865156</v>
      </c>
      <c r="Z87" s="224"/>
      <c r="AA87" s="223">
        <f>AA42/AE42</f>
        <v>0.17025174767570175</v>
      </c>
      <c r="AB87" s="223">
        <f>AB42/AE42</f>
        <v>0.20003209419544904</v>
      </c>
      <c r="AC87" s="223">
        <f>AC42/AE42</f>
        <v>5.4932160716086156E-2</v>
      </c>
      <c r="AD87" s="223">
        <f>AD42/AE42</f>
        <v>0.55690032097135189</v>
      </c>
      <c r="AE87" s="224"/>
      <c r="AF87" s="223">
        <f>AF42/AJ42</f>
        <v>0.35872788012850643</v>
      </c>
      <c r="AG87" s="223">
        <f>AG42/AJ42</f>
        <v>0.33475020902405306</v>
      </c>
      <c r="AH87" s="223">
        <f>AH42/AJ42</f>
        <v>0.11461174306603124</v>
      </c>
      <c r="AI87" s="223">
        <f>AI42/AJ42</f>
        <v>0.21135722045815633</v>
      </c>
      <c r="AJ87" s="224"/>
      <c r="AK87" s="223">
        <f>AK42/AO42</f>
        <v>0.59373310562251669</v>
      </c>
      <c r="AL87" s="223">
        <f>AL42/AO42</f>
        <v>0.1205823726773624</v>
      </c>
      <c r="AM87" s="223">
        <f>AM42/AO42</f>
        <v>0.1819434582967627</v>
      </c>
      <c r="AN87" s="223">
        <f>AN42/AO42</f>
        <v>0.13305266644201547</v>
      </c>
      <c r="AO87" s="224"/>
      <c r="AP87" s="223">
        <f>AP42/AT42</f>
        <v>0.3967626013773573</v>
      </c>
      <c r="AQ87" s="223">
        <f>AQ42/AT42</f>
        <v>0.26062211898526882</v>
      </c>
      <c r="AR87" s="223">
        <f>AR42/AT42</f>
        <v>0.23790438806008976</v>
      </c>
      <c r="AS87" s="223">
        <f>AS42/AT42</f>
        <v>0.10595198580145614</v>
      </c>
      <c r="AT87" s="224"/>
      <c r="AU87" s="223">
        <f>AU35/AY35</f>
        <v>0.16862556672836243</v>
      </c>
      <c r="AV87" s="223">
        <f>AV35/AY35</f>
        <v>0.19772272582290495</v>
      </c>
      <c r="AW87" s="223">
        <f>AW35/AY35</f>
        <v>0.28194544942572769</v>
      </c>
      <c r="AX87" s="223">
        <f>AX35/AY35</f>
        <v>0.35059744134343118</v>
      </c>
      <c r="AY87" s="224"/>
      <c r="AZ87" s="223">
        <f>AZ35/BD35</f>
        <v>0.16144111879897352</v>
      </c>
      <c r="BA87" s="223">
        <f>BA35/BD35</f>
        <v>0.25398108704713818</v>
      </c>
      <c r="BB87" s="223">
        <f>BB35/BD35</f>
        <v>0.27735594479529119</v>
      </c>
      <c r="BC87" s="223">
        <f>BC35/BD35</f>
        <v>0.30338713371004838</v>
      </c>
      <c r="BD87" s="224"/>
      <c r="BE87" s="223">
        <f>BE35/BI35</f>
        <v>0.17118921808692136</v>
      </c>
      <c r="BF87" s="223">
        <f>BF35/BI35</f>
        <v>0.24632722416371267</v>
      </c>
      <c r="BG87" s="223">
        <f>BG35/BI35</f>
        <v>0.28732701803793276</v>
      </c>
      <c r="BH87" s="223">
        <f>BH35/BI35</f>
        <v>0.29455772294124022</v>
      </c>
      <c r="BI87" s="224"/>
      <c r="BJ87" s="223">
        <f>BJ42/BN42</f>
        <v>0.18847629547930914</v>
      </c>
      <c r="BK87" s="223">
        <f>BK42/BN42</f>
        <v>0.25672293937883911</v>
      </c>
      <c r="BL87" s="223">
        <f>BL42/BN42</f>
        <v>0.25386809131949112</v>
      </c>
      <c r="BM87" s="223">
        <f>BM42/BN42</f>
        <v>0.30010444354508359</v>
      </c>
      <c r="BN87" s="224"/>
      <c r="BO87" s="223">
        <f>BO42/BS42</f>
        <v>0.19448311016627085</v>
      </c>
      <c r="BP87" s="223">
        <f>BP42/BS42</f>
        <v>0.25614238434849462</v>
      </c>
      <c r="BQ87" s="223">
        <f>BQ42/BS42</f>
        <v>0.25400872845795608</v>
      </c>
      <c r="BR87" s="223">
        <f>BR42/BS42</f>
        <v>0.29463617925283037</v>
      </c>
      <c r="BS87" s="224"/>
    </row>
    <row r="88" spans="1:71">
      <c r="A88" s="225" t="s">
        <v>100</v>
      </c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  <c r="AM88" s="226"/>
      <c r="AN88" s="226"/>
      <c r="AO88" s="226"/>
      <c r="AP88" s="226"/>
      <c r="AQ88" s="226"/>
      <c r="AR88" s="226"/>
      <c r="AS88" s="226"/>
      <c r="AT88" s="226"/>
      <c r="AU88" s="226"/>
      <c r="AV88" s="226"/>
      <c r="AW88" s="226"/>
      <c r="AX88" s="226"/>
      <c r="AY88" s="226"/>
      <c r="AZ88" s="226"/>
      <c r="BA88" s="226"/>
      <c r="BB88" s="226"/>
      <c r="BC88" s="226"/>
      <c r="BD88" s="226"/>
      <c r="BE88" s="226"/>
      <c r="BF88" s="226"/>
      <c r="BG88" s="226"/>
      <c r="BH88" s="226"/>
      <c r="BI88" s="226"/>
      <c r="BJ88" s="226"/>
      <c r="BK88" s="226"/>
      <c r="BL88" s="226"/>
      <c r="BM88" s="226"/>
      <c r="BN88" s="226"/>
      <c r="BO88" s="226"/>
      <c r="BP88" s="226"/>
      <c r="BQ88" s="226"/>
      <c r="BR88" s="226"/>
      <c r="BS88" s="226"/>
    </row>
  </sheetData>
  <pageMargins left="0.7" right="0.7" top="0.75" bottom="0.75" header="0.3" footer="0.3"/>
  <pageSetup scale="5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F891-9047-491A-B64C-B4201A70F8BA}">
  <sheetPr>
    <pageSetUpPr fitToPage="1"/>
  </sheetPr>
  <dimension ref="A1:BT74"/>
  <sheetViews>
    <sheetView showGridLines="0" zoomScaleNormal="100" workbookViewId="0">
      <pane xSplit="1" ySplit="6" topLeftCell="AN7" activePane="bottomRight" state="frozen"/>
      <selection activeCell="BF82" activeCellId="1" sqref="BU68 BF82"/>
      <selection pane="topRight" activeCell="BF82" activeCellId="1" sqref="BU68 BF82"/>
      <selection pane="bottomLeft" activeCell="BF82" activeCellId="1" sqref="BU68 BF82"/>
      <selection pane="bottomRight"/>
    </sheetView>
  </sheetViews>
  <sheetFormatPr defaultColWidth="9.140625" defaultRowHeight="12.75" outlineLevelCol="1"/>
  <cols>
    <col min="1" max="1" width="35.85546875" style="4" customWidth="1"/>
    <col min="2" max="5" width="8.7109375" style="4" hidden="1" customWidth="1" outlineLevel="1"/>
    <col min="6" max="6" width="2.28515625" style="4" hidden="1" customWidth="1" outlineLevel="1"/>
    <col min="7" max="10" width="8.7109375" style="4" hidden="1" customWidth="1" outlineLevel="1"/>
    <col min="11" max="11" width="2.28515625" style="4" hidden="1" customWidth="1" outlineLevel="1"/>
    <col min="12" max="15" width="8.7109375" style="4" hidden="1" customWidth="1" outlineLevel="1"/>
    <col min="16" max="16" width="2.28515625" style="4" hidden="1" customWidth="1" outlineLevel="1"/>
    <col min="17" max="20" width="8.7109375" style="4" hidden="1" customWidth="1" outlineLevel="1"/>
    <col min="21" max="21" width="2.28515625" style="4" hidden="1" customWidth="1" outlineLevel="1"/>
    <col min="22" max="25" width="8.7109375" style="4" hidden="1" customWidth="1" outlineLevel="1"/>
    <col min="26" max="26" width="2.28515625" style="4" hidden="1" customWidth="1" outlineLevel="1"/>
    <col min="27" max="30" width="8.7109375" style="4" hidden="1" customWidth="1" outlineLevel="1"/>
    <col min="31" max="31" width="2.28515625" style="4" hidden="1" customWidth="1" outlineLevel="1"/>
    <col min="32" max="35" width="8.7109375" style="4" hidden="1" customWidth="1" outlineLevel="1"/>
    <col min="36" max="36" width="2.28515625" style="4" hidden="1" customWidth="1" outlineLevel="1"/>
    <col min="37" max="39" width="8.7109375" style="4" hidden="1" customWidth="1" outlineLevel="1"/>
    <col min="40" max="40" width="8.7109375" style="4" customWidth="1" collapsed="1"/>
    <col min="41" max="41" width="2.28515625" style="4" hidden="1" customWidth="1" outlineLevel="1"/>
    <col min="42" max="44" width="8.7109375" style="4" hidden="1" customWidth="1" outlineLevel="1"/>
    <col min="45" max="45" width="8.7109375" style="4" customWidth="1" collapsed="1"/>
    <col min="46" max="46" width="2.28515625" style="4" hidden="1" customWidth="1" outlineLevel="1"/>
    <col min="47" max="49" width="8.7109375" style="4" hidden="1" customWidth="1" outlineLevel="1"/>
    <col min="50" max="50" width="8.7109375" style="4" customWidth="1" collapsed="1"/>
    <col min="51" max="51" width="2.28515625" style="4" hidden="1" customWidth="1" outlineLevel="1"/>
    <col min="52" max="54" width="8.7109375" style="4" hidden="1" customWidth="1" outlineLevel="1"/>
    <col min="55" max="55" width="8.7109375" style="4" customWidth="1" collapsed="1"/>
    <col min="56" max="56" width="2.28515625" style="4" customWidth="1" outlineLevel="1"/>
    <col min="57" max="59" width="8.7109375" style="4" customWidth="1" outlineLevel="1"/>
    <col min="60" max="60" width="8.7109375" style="4" customWidth="1"/>
    <col min="61" max="61" width="2.28515625" style="4" customWidth="1" outlineLevel="1"/>
    <col min="62" max="64" width="8.7109375" style="4" customWidth="1" outlineLevel="1"/>
    <col min="65" max="65" width="8.7109375" style="4" customWidth="1"/>
    <col min="66" max="66" width="2.28515625" style="4" hidden="1" customWidth="1" outlineLevel="1"/>
    <col min="67" max="69" width="8.7109375" style="4" hidden="1" customWidth="1" outlineLevel="1"/>
    <col min="70" max="70" width="8.7109375" style="4" customWidth="1" collapsed="1"/>
    <col min="71" max="16384" width="9.140625" style="4"/>
  </cols>
  <sheetData>
    <row r="1" spans="1:70" ht="22.5">
      <c r="A1" s="1" t="s">
        <v>0</v>
      </c>
      <c r="AX1" s="3"/>
      <c r="BC1" s="3"/>
      <c r="BH1" s="3"/>
      <c r="BM1" s="3"/>
      <c r="BR1" s="3" t="s">
        <v>1</v>
      </c>
    </row>
    <row r="2" spans="1:70" ht="15.75">
      <c r="A2" s="5" t="s">
        <v>148</v>
      </c>
      <c r="AX2" s="227"/>
      <c r="BC2" s="227"/>
      <c r="BH2" s="227"/>
      <c r="BM2" s="227"/>
      <c r="BR2" s="227" t="s">
        <v>3</v>
      </c>
    </row>
    <row r="3" spans="1:70" ht="15.75">
      <c r="A3" s="8" t="s">
        <v>4</v>
      </c>
    </row>
    <row r="5" spans="1:70">
      <c r="A5" s="118"/>
      <c r="B5" s="12">
        <f>'Revenue Model'!B5</f>
        <v>41699</v>
      </c>
      <c r="C5" s="12">
        <f>'Revenue Model'!C5</f>
        <v>41791</v>
      </c>
      <c r="D5" s="12">
        <f>'Revenue Model'!D5</f>
        <v>41883</v>
      </c>
      <c r="E5" s="228">
        <f>'Revenue Model'!E5</f>
        <v>41974</v>
      </c>
      <c r="G5" s="12">
        <f>'Revenue Model'!G5</f>
        <v>42064</v>
      </c>
      <c r="H5" s="12">
        <f>'Revenue Model'!H5</f>
        <v>42156</v>
      </c>
      <c r="I5" s="12">
        <f>'Revenue Model'!I5</f>
        <v>42248</v>
      </c>
      <c r="J5" s="228">
        <f>'Revenue Model'!J5</f>
        <v>42339</v>
      </c>
      <c r="L5" s="12">
        <f>'Revenue Model'!L5</f>
        <v>42430</v>
      </c>
      <c r="M5" s="12">
        <f>'Revenue Model'!M5</f>
        <v>42522</v>
      </c>
      <c r="N5" s="12">
        <f>'Revenue Model'!N5</f>
        <v>42614</v>
      </c>
      <c r="O5" s="228">
        <f>'Revenue Model'!O5</f>
        <v>42705</v>
      </c>
      <c r="Q5" s="12">
        <f>'Revenue Model'!Q5</f>
        <v>42795</v>
      </c>
      <c r="R5" s="12">
        <f>'Revenue Model'!R5</f>
        <v>42887</v>
      </c>
      <c r="S5" s="12">
        <f>'Revenue Model'!S5</f>
        <v>42979</v>
      </c>
      <c r="T5" s="228">
        <f>'Revenue Model'!T5</f>
        <v>43070</v>
      </c>
      <c r="V5" s="12">
        <f>'Revenue Model'!V5</f>
        <v>43160</v>
      </c>
      <c r="W5" s="12">
        <f>'Revenue Model'!W5</f>
        <v>43252</v>
      </c>
      <c r="X5" s="12">
        <f>'Revenue Model'!X5</f>
        <v>43344</v>
      </c>
      <c r="Y5" s="228">
        <f>'Revenue Model'!Y5</f>
        <v>43435</v>
      </c>
      <c r="AA5" s="12">
        <f>'Revenue Model'!AA5</f>
        <v>43525</v>
      </c>
      <c r="AB5" s="12">
        <f>'Revenue Model'!AB5</f>
        <v>43617</v>
      </c>
      <c r="AC5" s="12">
        <f>'Revenue Model'!AC5</f>
        <v>43709</v>
      </c>
      <c r="AD5" s="228">
        <f>'Revenue Model'!AD5</f>
        <v>43800</v>
      </c>
      <c r="AF5" s="12">
        <f>'Revenue Model'!AF5</f>
        <v>43891</v>
      </c>
      <c r="AG5" s="12">
        <f>'Revenue Model'!AG5</f>
        <v>43983</v>
      </c>
      <c r="AH5" s="12">
        <f>'Revenue Model'!AH5</f>
        <v>44075</v>
      </c>
      <c r="AI5" s="228">
        <f>'Revenue Model'!AI5</f>
        <v>44166</v>
      </c>
      <c r="AK5" s="12">
        <f>'Revenue Model'!AK5</f>
        <v>44256</v>
      </c>
      <c r="AL5" s="12">
        <f>'Revenue Model'!AL5</f>
        <v>44348</v>
      </c>
      <c r="AM5" s="12">
        <f>'Revenue Model'!AM5</f>
        <v>44440</v>
      </c>
      <c r="AN5" s="228">
        <f>'Revenue Model'!AN5</f>
        <v>44531</v>
      </c>
      <c r="AP5" s="12">
        <f>'Revenue Model'!AP5</f>
        <v>44621</v>
      </c>
      <c r="AQ5" s="12">
        <f>'Revenue Model'!AQ5</f>
        <v>44713</v>
      </c>
      <c r="AR5" s="12">
        <f>'Revenue Model'!AR5</f>
        <v>44805</v>
      </c>
      <c r="AS5" s="228">
        <f>'Revenue Model'!AS5</f>
        <v>44896</v>
      </c>
      <c r="AU5" s="12">
        <f>'Revenue Model'!AU5</f>
        <v>44986</v>
      </c>
      <c r="AV5" s="12">
        <f>'Revenue Model'!AV5</f>
        <v>45078</v>
      </c>
      <c r="AW5" s="12">
        <f>'Revenue Model'!AW5</f>
        <v>45170</v>
      </c>
      <c r="AX5" s="228">
        <f>'Revenue Model'!AX5</f>
        <v>45261</v>
      </c>
      <c r="AZ5" s="12">
        <f>'Revenue Model'!AZ5</f>
        <v>45352</v>
      </c>
      <c r="BA5" s="12">
        <f>'Revenue Model'!BA5</f>
        <v>45444</v>
      </c>
      <c r="BB5" s="12">
        <f>'Revenue Model'!BB5</f>
        <v>45536</v>
      </c>
      <c r="BC5" s="228">
        <f>'Revenue Model'!BC5</f>
        <v>45627</v>
      </c>
      <c r="BE5" s="12">
        <f>'Revenue Model'!BE5</f>
        <v>45717</v>
      </c>
      <c r="BF5" s="12">
        <f>'Revenue Model'!BF5</f>
        <v>45809</v>
      </c>
      <c r="BG5" s="12">
        <f>'Revenue Model'!BG5</f>
        <v>45901</v>
      </c>
      <c r="BH5" s="228">
        <f>'Revenue Model'!BH5</f>
        <v>45992</v>
      </c>
      <c r="BJ5" s="12">
        <f>'Revenue Model'!BJ5</f>
        <v>46082</v>
      </c>
      <c r="BK5" s="12">
        <f>'Revenue Model'!BK5</f>
        <v>46174</v>
      </c>
      <c r="BL5" s="12">
        <f>'Revenue Model'!BL5</f>
        <v>46266</v>
      </c>
      <c r="BM5" s="228">
        <f>'Revenue Model'!BM5</f>
        <v>46357</v>
      </c>
      <c r="BO5" s="12">
        <f>'Revenue Model'!BO5</f>
        <v>46447</v>
      </c>
      <c r="BP5" s="12">
        <f>'Revenue Model'!BP5</f>
        <v>46539</v>
      </c>
      <c r="BQ5" s="12">
        <f>'Revenue Model'!BQ5</f>
        <v>46631</v>
      </c>
      <c r="BR5" s="228">
        <f>'Revenue Model'!BR5</f>
        <v>46722</v>
      </c>
    </row>
    <row r="6" spans="1:70" ht="13.5" thickBot="1">
      <c r="A6" s="118" t="s">
        <v>149</v>
      </c>
      <c r="B6" s="229" t="str">
        <f>'Revenue Model'!B6</f>
        <v>Q114A</v>
      </c>
      <c r="C6" s="229" t="str">
        <f>'Revenue Model'!C6</f>
        <v>Q214A</v>
      </c>
      <c r="D6" s="229" t="str">
        <f>'Revenue Model'!D6</f>
        <v>Q314A</v>
      </c>
      <c r="E6" s="230" t="str">
        <f>'Revenue Model'!E6</f>
        <v>Q414A</v>
      </c>
      <c r="F6" s="231"/>
      <c r="G6" s="229" t="str">
        <f>'Revenue Model'!G6</f>
        <v>Q115A</v>
      </c>
      <c r="H6" s="229" t="str">
        <f>'Revenue Model'!H6</f>
        <v>Q215A</v>
      </c>
      <c r="I6" s="229" t="str">
        <f>'Revenue Model'!I6</f>
        <v>Q315A</v>
      </c>
      <c r="J6" s="230" t="str">
        <f>'Revenue Model'!J6</f>
        <v>Q415A</v>
      </c>
      <c r="K6" s="231"/>
      <c r="L6" s="229" t="str">
        <f>'Revenue Model'!L6</f>
        <v>Q116A</v>
      </c>
      <c r="M6" s="229" t="str">
        <f>'Revenue Model'!M6</f>
        <v>Q216A</v>
      </c>
      <c r="N6" s="229" t="str">
        <f>'Revenue Model'!N6</f>
        <v>Q316A</v>
      </c>
      <c r="O6" s="230" t="str">
        <f>'Revenue Model'!O6</f>
        <v>Q416A</v>
      </c>
      <c r="P6" s="231"/>
      <c r="Q6" s="229" t="str">
        <f>'Revenue Model'!Q6</f>
        <v>Q117A</v>
      </c>
      <c r="R6" s="229" t="str">
        <f>'Revenue Model'!R6</f>
        <v>Q217A</v>
      </c>
      <c r="S6" s="229" t="str">
        <f>'Revenue Model'!S6</f>
        <v>Q317A</v>
      </c>
      <c r="T6" s="230" t="str">
        <f>'Revenue Model'!T6</f>
        <v>Q417A</v>
      </c>
      <c r="U6" s="231"/>
      <c r="V6" s="229" t="str">
        <f>'Revenue Model'!V6</f>
        <v>Q118A</v>
      </c>
      <c r="W6" s="229" t="str">
        <f>'Revenue Model'!W6</f>
        <v>Q218A</v>
      </c>
      <c r="X6" s="229" t="str">
        <f>'Revenue Model'!X6</f>
        <v>Q318A</v>
      </c>
      <c r="Y6" s="230" t="str">
        <f>'Revenue Model'!Y6</f>
        <v>Q418A</v>
      </c>
      <c r="Z6" s="231"/>
      <c r="AA6" s="229" t="str">
        <f>'Revenue Model'!AA6</f>
        <v>Q119A</v>
      </c>
      <c r="AB6" s="229" t="str">
        <f>'Revenue Model'!AB6</f>
        <v>Q219A</v>
      </c>
      <c r="AC6" s="229" t="str">
        <f>'Revenue Model'!AC6</f>
        <v>Q319A</v>
      </c>
      <c r="AD6" s="230" t="str">
        <f>'Revenue Model'!AD6</f>
        <v>Q419A</v>
      </c>
      <c r="AE6" s="231"/>
      <c r="AF6" s="229" t="str">
        <f>'Revenue Model'!AF6</f>
        <v>Q120A</v>
      </c>
      <c r="AG6" s="229" t="str">
        <f>'Revenue Model'!AG6</f>
        <v>Q220A</v>
      </c>
      <c r="AH6" s="229" t="str">
        <f>'Revenue Model'!AH6</f>
        <v>Q320A</v>
      </c>
      <c r="AI6" s="230" t="str">
        <f>'Revenue Model'!AI6</f>
        <v>Q420A</v>
      </c>
      <c r="AJ6" s="231"/>
      <c r="AK6" s="229" t="str">
        <f>'Revenue Model'!AK6</f>
        <v>Q121A</v>
      </c>
      <c r="AL6" s="229" t="str">
        <f>'Revenue Model'!AL6</f>
        <v>Q221A</v>
      </c>
      <c r="AM6" s="229" t="str">
        <f>'Revenue Model'!AM6</f>
        <v>Q321A</v>
      </c>
      <c r="AN6" s="230" t="str">
        <f>'Revenue Model'!AN6</f>
        <v>Q421A</v>
      </c>
      <c r="AO6" s="231"/>
      <c r="AP6" s="229" t="str">
        <f>'Revenue Model'!AP6</f>
        <v>Q122A</v>
      </c>
      <c r="AQ6" s="229" t="str">
        <f>'Revenue Model'!AQ6</f>
        <v>Q222A</v>
      </c>
      <c r="AR6" s="229" t="str">
        <f>'Revenue Model'!AR6</f>
        <v>Q322A</v>
      </c>
      <c r="AS6" s="230" t="str">
        <f>'Revenue Model'!AS6</f>
        <v>Q422A</v>
      </c>
      <c r="AT6" s="231"/>
      <c r="AU6" s="229" t="str">
        <f>'Revenue Model'!AU6</f>
        <v>Q123A</v>
      </c>
      <c r="AV6" s="229" t="str">
        <f>'Revenue Model'!AV6</f>
        <v>Q223A</v>
      </c>
      <c r="AW6" s="229" t="str">
        <f>'Revenue Model'!AW6</f>
        <v>Q323A</v>
      </c>
      <c r="AX6" s="230" t="str">
        <f>'Revenue Model'!AX6</f>
        <v>Q423A</v>
      </c>
      <c r="AY6" s="231"/>
      <c r="AZ6" s="229" t="str">
        <f>'Revenue Model'!AZ6</f>
        <v>Q124A</v>
      </c>
      <c r="BA6" s="229" t="str">
        <f>'Revenue Model'!BA6</f>
        <v>Q224A</v>
      </c>
      <c r="BB6" s="229" t="str">
        <f>'Revenue Model'!BB6</f>
        <v>Q324A</v>
      </c>
      <c r="BC6" s="230" t="str">
        <f>'Revenue Model'!BC6</f>
        <v>Q424A</v>
      </c>
      <c r="BD6" s="231"/>
      <c r="BE6" s="229" t="str">
        <f>'Revenue Model'!BE6</f>
        <v>Q125A</v>
      </c>
      <c r="BF6" s="229" t="str">
        <f>'Revenue Model'!BF6</f>
        <v>Q225A</v>
      </c>
      <c r="BG6" s="229" t="str">
        <f>'Revenue Model'!BG6</f>
        <v>Q325A</v>
      </c>
      <c r="BH6" s="230" t="str">
        <f>'Revenue Model'!BH6</f>
        <v>Q425A</v>
      </c>
      <c r="BI6" s="231"/>
      <c r="BJ6" s="229" t="str">
        <f>'Revenue Model'!BJ6</f>
        <v>Q126E</v>
      </c>
      <c r="BK6" s="229" t="str">
        <f>'Revenue Model'!BK6</f>
        <v>Q226E</v>
      </c>
      <c r="BL6" s="229" t="str">
        <f>'Revenue Model'!BL6</f>
        <v>Q326E</v>
      </c>
      <c r="BM6" s="230" t="str">
        <f>'Revenue Model'!BM6</f>
        <v>Q426E</v>
      </c>
      <c r="BN6" s="231"/>
      <c r="BO6" s="229" t="str">
        <f>'Revenue Model'!BO6</f>
        <v>Q127E</v>
      </c>
      <c r="BP6" s="229" t="str">
        <f>'Revenue Model'!BP6</f>
        <v>Q227E</v>
      </c>
      <c r="BQ6" s="229" t="str">
        <f>'Revenue Model'!BQ6</f>
        <v>Q327E</v>
      </c>
      <c r="BR6" s="230" t="str">
        <f>'Revenue Model'!BR6</f>
        <v>Q427E</v>
      </c>
    </row>
    <row r="7" spans="1:70">
      <c r="A7" s="232" t="s">
        <v>150</v>
      </c>
      <c r="B7" s="233"/>
      <c r="C7" s="233"/>
      <c r="D7" s="233"/>
      <c r="E7" s="234"/>
      <c r="F7" s="235"/>
      <c r="G7" s="233"/>
      <c r="H7" s="233"/>
      <c r="I7" s="233"/>
      <c r="J7" s="234"/>
      <c r="K7" s="235"/>
      <c r="L7" s="233"/>
      <c r="M7" s="233"/>
      <c r="N7" s="233"/>
      <c r="O7" s="236">
        <v>59.219000000000001</v>
      </c>
      <c r="P7" s="23"/>
      <c r="Q7" s="128">
        <v>51.506</v>
      </c>
      <c r="R7" s="128">
        <v>46.463000000000001</v>
      </c>
      <c r="S7" s="128">
        <v>41.195</v>
      </c>
      <c r="T7" s="131">
        <v>33.890999999999998</v>
      </c>
      <c r="U7" s="23"/>
      <c r="V7" s="128">
        <v>27.152000000000001</v>
      </c>
      <c r="W7" s="128">
        <v>23.757999999999999</v>
      </c>
      <c r="X7" s="128">
        <v>77.846000000000004</v>
      </c>
      <c r="Y7" s="131">
        <v>77.995000000000005</v>
      </c>
      <c r="Z7" s="23"/>
      <c r="AA7" s="128">
        <v>67.840999999999994</v>
      </c>
      <c r="AB7" s="128">
        <v>192.64699999999999</v>
      </c>
      <c r="AC7" s="128">
        <v>195.66200000000001</v>
      </c>
      <c r="AD7" s="131">
        <v>159.31700000000001</v>
      </c>
      <c r="AE7" s="23"/>
      <c r="AF7" s="128">
        <v>153.13200000000001</v>
      </c>
      <c r="AG7" s="128">
        <v>147.44999999999999</v>
      </c>
      <c r="AH7" s="128">
        <v>345.08</v>
      </c>
      <c r="AI7" s="131">
        <v>349.36399999999998</v>
      </c>
      <c r="AJ7" s="24"/>
      <c r="AK7" s="128">
        <v>324.06200000000001</v>
      </c>
      <c r="AL7" s="128">
        <v>327.54500000000002</v>
      </c>
      <c r="AM7" s="128">
        <v>164.029</v>
      </c>
      <c r="AN7" s="131">
        <v>173.197</v>
      </c>
      <c r="AO7" s="24"/>
      <c r="AP7" s="128">
        <v>163.61500000000001</v>
      </c>
      <c r="AQ7" s="128">
        <v>153.447</v>
      </c>
      <c r="AR7" s="128">
        <v>170.11199999999999</v>
      </c>
      <c r="AS7" s="131">
        <v>154.24700000000001</v>
      </c>
      <c r="AT7" s="24"/>
      <c r="AU7" s="128">
        <v>177.89</v>
      </c>
      <c r="AV7" s="128">
        <v>191.142</v>
      </c>
      <c r="AW7" s="128">
        <v>202.46299999999999</v>
      </c>
      <c r="AX7" s="131">
        <v>216.45400000000001</v>
      </c>
      <c r="AY7" s="24"/>
      <c r="AZ7" s="128">
        <v>209.18799999999999</v>
      </c>
      <c r="BA7" s="128">
        <v>235.91499999999999</v>
      </c>
      <c r="BB7" s="128">
        <v>274.07900000000001</v>
      </c>
      <c r="BC7" s="131">
        <f>239.087+50.354</f>
        <v>289.44099999999997</v>
      </c>
      <c r="BD7" s="24"/>
      <c r="BE7" s="128">
        <f>186.12+101.235</f>
        <v>287.35500000000002</v>
      </c>
      <c r="BF7" s="128">
        <f>219.499+101.22</f>
        <v>320.71899999999999</v>
      </c>
      <c r="BG7" s="128">
        <f>315.573+50.855</f>
        <v>366.428</v>
      </c>
      <c r="BH7" s="134">
        <f>+'Cash Flow'!BH52-BH17</f>
        <v>375.45808000000005</v>
      </c>
      <c r="BI7" s="24"/>
      <c r="BJ7" s="133">
        <f>+'Cash Flow'!BJ52-BJ17</f>
        <v>403.51263363900006</v>
      </c>
      <c r="BK7" s="133">
        <f>+'Cash Flow'!BK52-BK17</f>
        <v>449.45859109187506</v>
      </c>
      <c r="BL7" s="133">
        <f>+'Cash Flow'!BL52-BL17</f>
        <v>491.92662198607508</v>
      </c>
      <c r="BM7" s="134">
        <f>+'Cash Flow'!BM52-BM17</f>
        <v>540.8101563833502</v>
      </c>
      <c r="BN7" s="24"/>
      <c r="BO7" s="133">
        <f>+'Cash Flow'!BO52-BO17</f>
        <v>570.06638944625524</v>
      </c>
      <c r="BP7" s="133">
        <f>+'Cash Flow'!BP52-BP17</f>
        <v>619.63198268611518</v>
      </c>
      <c r="BQ7" s="133">
        <f>+'Cash Flow'!BQ52-BQ17</f>
        <v>665.56225634231919</v>
      </c>
      <c r="BR7" s="134">
        <f>+'Cash Flow'!BR52-BR17</f>
        <v>718.94130727829724</v>
      </c>
    </row>
    <row r="8" spans="1:70">
      <c r="A8" s="232" t="s">
        <v>151</v>
      </c>
      <c r="B8" s="233"/>
      <c r="C8" s="233"/>
      <c r="D8" s="233"/>
      <c r="E8" s="234"/>
      <c r="F8" s="235"/>
      <c r="G8" s="233"/>
      <c r="H8" s="233"/>
      <c r="I8" s="233"/>
      <c r="J8" s="234"/>
      <c r="K8" s="235"/>
      <c r="L8" s="233"/>
      <c r="M8" s="233"/>
      <c r="N8" s="233"/>
      <c r="O8" s="236">
        <v>8.7560000000000002</v>
      </c>
      <c r="P8" s="23"/>
      <c r="Q8" s="128">
        <v>9.125</v>
      </c>
      <c r="R8" s="128">
        <v>11.026999999999999</v>
      </c>
      <c r="S8" s="128">
        <v>11.635</v>
      </c>
      <c r="T8" s="131">
        <v>12.715999999999999</v>
      </c>
      <c r="U8" s="23"/>
      <c r="V8" s="128">
        <v>13.198</v>
      </c>
      <c r="W8" s="128">
        <v>13.006</v>
      </c>
      <c r="X8" s="128">
        <v>12.262</v>
      </c>
      <c r="Y8" s="131">
        <v>13.167999999999999</v>
      </c>
      <c r="Z8" s="23"/>
      <c r="AA8" s="128">
        <v>16.614999999999998</v>
      </c>
      <c r="AB8" s="128">
        <f>19.626-AB9</f>
        <v>17.626000000000001</v>
      </c>
      <c r="AC8" s="128">
        <f>23.613-AC9</f>
        <v>17.613</v>
      </c>
      <c r="AD8" s="131">
        <f>19.329-AD9</f>
        <v>17.329000000000001</v>
      </c>
      <c r="AE8" s="23"/>
      <c r="AF8" s="128">
        <v>19.091000000000001</v>
      </c>
      <c r="AG8" s="128">
        <f>15.306-AG9</f>
        <v>13.405999999999999</v>
      </c>
      <c r="AH8" s="128">
        <f>17.629-AH9</f>
        <v>16.829000000000001</v>
      </c>
      <c r="AI8" s="131">
        <f>18.461-AI9</f>
        <v>16.460999999999999</v>
      </c>
      <c r="AJ8" s="24"/>
      <c r="AK8" s="128">
        <v>27.876999999999999</v>
      </c>
      <c r="AL8" s="128">
        <v>31.864000000000001</v>
      </c>
      <c r="AM8" s="128">
        <v>40.308999999999997</v>
      </c>
      <c r="AN8" s="131">
        <v>41.460999999999999</v>
      </c>
      <c r="AO8" s="24"/>
      <c r="AP8" s="128">
        <v>42.481000000000002</v>
      </c>
      <c r="AQ8" s="128">
        <v>40.448</v>
      </c>
      <c r="AR8" s="128">
        <v>40.067999999999998</v>
      </c>
      <c r="AS8" s="131">
        <v>44.021000000000001</v>
      </c>
      <c r="AT8" s="24"/>
      <c r="AU8" s="128">
        <v>45.488999999999997</v>
      </c>
      <c r="AV8" s="128">
        <v>42.365000000000002</v>
      </c>
      <c r="AW8" s="128">
        <v>39.296999999999997</v>
      </c>
      <c r="AX8" s="131">
        <v>40.378</v>
      </c>
      <c r="AY8" s="24"/>
      <c r="AZ8" s="128">
        <v>46.664999999999999</v>
      </c>
      <c r="BA8" s="128">
        <v>50.304000000000002</v>
      </c>
      <c r="BB8" s="128">
        <v>48.807000000000002</v>
      </c>
      <c r="BC8" s="131">
        <v>46.524999999999999</v>
      </c>
      <c r="BD8" s="24"/>
      <c r="BE8" s="128">
        <v>53.780999999999999</v>
      </c>
      <c r="BF8" s="128">
        <v>50.814</v>
      </c>
      <c r="BG8" s="128">
        <v>47.826000000000001</v>
      </c>
      <c r="BH8" s="134">
        <f>+BH69*('Income Statement'!BH10-'[1]Old Revenue Model'!BH44)</f>
        <v>84.381599999999992</v>
      </c>
      <c r="BI8" s="24"/>
      <c r="BJ8" s="133">
        <f>+BJ69*('Income Statement'!BJ10-'[1]Old Revenue Model'!BJ44)</f>
        <v>78.158799000000002</v>
      </c>
      <c r="BK8" s="133">
        <f>+BK69*('Income Statement'!BK10-'[1]Old Revenue Model'!BK44)</f>
        <v>88.334571300000007</v>
      </c>
      <c r="BL8" s="133">
        <f>+BL69*('Income Statement'!BL10-'[1]Old Revenue Model'!BL44)</f>
        <v>87.675015600000009</v>
      </c>
      <c r="BM8" s="134">
        <f>+BM69*('Income Statement'!BM10-'[1]Old Revenue Model'!BM44)</f>
        <v>92.018186099999994</v>
      </c>
      <c r="BN8" s="24"/>
      <c r="BO8" s="133">
        <f>+BO69*('Income Statement'!BO10-'[1]Old Revenue Model'!BO44)</f>
        <v>86.474010179999979</v>
      </c>
      <c r="BP8" s="133">
        <f>+BP69*('Income Statement'!BP10-'[1]Old Revenue Model'!BP44)</f>
        <v>97.826840801999992</v>
      </c>
      <c r="BQ8" s="133">
        <f>+BQ69*('Income Statement'!BQ10-'[1]Old Revenue Model'!BQ44)</f>
        <v>97.224916511999993</v>
      </c>
      <c r="BR8" s="134">
        <f>+BR69*('Income Statement'!BR10-'[1]Old Revenue Model'!BR44)</f>
        <v>101.90222182200002</v>
      </c>
    </row>
    <row r="9" spans="1:70" hidden="1">
      <c r="A9" s="232" t="s">
        <v>152</v>
      </c>
      <c r="B9" s="233"/>
      <c r="C9" s="233"/>
      <c r="D9" s="233"/>
      <c r="E9" s="234"/>
      <c r="F9" s="235"/>
      <c r="G9" s="233"/>
      <c r="H9" s="233"/>
      <c r="I9" s="233"/>
      <c r="J9" s="234"/>
      <c r="K9" s="235"/>
      <c r="L9" s="233"/>
      <c r="M9" s="233"/>
      <c r="N9" s="233"/>
      <c r="O9" s="134">
        <v>0</v>
      </c>
      <c r="P9" s="24"/>
      <c r="Q9" s="133">
        <v>0</v>
      </c>
      <c r="R9" s="133">
        <v>0</v>
      </c>
      <c r="S9" s="133">
        <v>0</v>
      </c>
      <c r="T9" s="134">
        <v>0</v>
      </c>
      <c r="U9" s="24"/>
      <c r="V9" s="133">
        <v>0</v>
      </c>
      <c r="W9" s="133">
        <v>0</v>
      </c>
      <c r="X9" s="133">
        <v>0</v>
      </c>
      <c r="Y9" s="134">
        <v>0</v>
      </c>
      <c r="Z9" s="24"/>
      <c r="AA9" s="133">
        <v>0</v>
      </c>
      <c r="AB9" s="133">
        <v>2</v>
      </c>
      <c r="AC9" s="133">
        <v>6</v>
      </c>
      <c r="AD9" s="134">
        <v>2</v>
      </c>
      <c r="AE9" s="24"/>
      <c r="AF9" s="133">
        <v>0</v>
      </c>
      <c r="AG9" s="133">
        <f>0.5+1.4</f>
        <v>1.9</v>
      </c>
      <c r="AH9" s="133">
        <v>0.8</v>
      </c>
      <c r="AI9" s="134">
        <v>2</v>
      </c>
      <c r="AJ9" s="237"/>
      <c r="AK9" s="133">
        <v>0</v>
      </c>
      <c r="AL9" s="128">
        <f t="shared" ref="AL9:AN9" si="0">+AK9</f>
        <v>0</v>
      </c>
      <c r="AM9" s="128">
        <f t="shared" si="0"/>
        <v>0</v>
      </c>
      <c r="AN9" s="131">
        <f t="shared" si="0"/>
        <v>0</v>
      </c>
      <c r="AO9" s="237"/>
      <c r="AP9" s="128">
        <v>0</v>
      </c>
      <c r="AQ9" s="128">
        <f t="shared" ref="AQ9:AS9" si="1">+AP9</f>
        <v>0</v>
      </c>
      <c r="AR9" s="128">
        <f t="shared" si="1"/>
        <v>0</v>
      </c>
      <c r="AS9" s="131">
        <f t="shared" si="1"/>
        <v>0</v>
      </c>
      <c r="AT9" s="237"/>
      <c r="AU9" s="128">
        <f>+AS9</f>
        <v>0</v>
      </c>
      <c r="AV9" s="128">
        <f t="shared" ref="AV9:AX9" si="2">+AU9</f>
        <v>0</v>
      </c>
      <c r="AW9" s="128">
        <f t="shared" si="2"/>
        <v>0</v>
      </c>
      <c r="AX9" s="131">
        <f t="shared" si="2"/>
        <v>0</v>
      </c>
      <c r="AY9" s="237"/>
      <c r="AZ9" s="128">
        <f>+AX9</f>
        <v>0</v>
      </c>
      <c r="BA9" s="128">
        <f t="shared" ref="BA9:BC9" si="3">+AZ9</f>
        <v>0</v>
      </c>
      <c r="BB9" s="128">
        <f t="shared" si="3"/>
        <v>0</v>
      </c>
      <c r="BC9" s="131">
        <f t="shared" si="3"/>
        <v>0</v>
      </c>
      <c r="BD9" s="237"/>
      <c r="BE9" s="128">
        <f>+BC9</f>
        <v>0</v>
      </c>
      <c r="BF9" s="128">
        <f t="shared" ref="BF9:BH10" si="4">+BE9</f>
        <v>0</v>
      </c>
      <c r="BG9" s="128">
        <f t="shared" si="4"/>
        <v>0</v>
      </c>
      <c r="BH9" s="134">
        <f t="shared" si="4"/>
        <v>0</v>
      </c>
      <c r="BI9" s="237"/>
      <c r="BJ9" s="133">
        <f>+BH9</f>
        <v>0</v>
      </c>
      <c r="BK9" s="133">
        <f t="shared" ref="BK9:BM10" si="5">+BJ9</f>
        <v>0</v>
      </c>
      <c r="BL9" s="133">
        <f t="shared" si="5"/>
        <v>0</v>
      </c>
      <c r="BM9" s="134">
        <f t="shared" si="5"/>
        <v>0</v>
      </c>
      <c r="BN9" s="237"/>
      <c r="BO9" s="133">
        <f>+BM9</f>
        <v>0</v>
      </c>
      <c r="BP9" s="133">
        <f t="shared" ref="BP9:BR10" si="6">+BO9</f>
        <v>0</v>
      </c>
      <c r="BQ9" s="133">
        <f t="shared" si="6"/>
        <v>0</v>
      </c>
      <c r="BR9" s="134">
        <f t="shared" si="6"/>
        <v>0</v>
      </c>
    </row>
    <row r="10" spans="1:70">
      <c r="A10" s="232" t="s">
        <v>153</v>
      </c>
      <c r="B10" s="233"/>
      <c r="C10" s="233"/>
      <c r="D10" s="233"/>
      <c r="E10" s="234"/>
      <c r="F10" s="235"/>
      <c r="G10" s="233"/>
      <c r="H10" s="233"/>
      <c r="I10" s="233"/>
      <c r="J10" s="234"/>
      <c r="K10" s="235"/>
      <c r="L10" s="233"/>
      <c r="M10" s="233"/>
      <c r="N10" s="233"/>
      <c r="O10" s="236">
        <v>3.4750000000000001</v>
      </c>
      <c r="P10" s="23"/>
      <c r="Q10" s="128">
        <v>3.4430000000000001</v>
      </c>
      <c r="R10" s="128">
        <v>3.3170000000000002</v>
      </c>
      <c r="S10" s="128">
        <v>3.76</v>
      </c>
      <c r="T10" s="131">
        <v>5.3239999999999998</v>
      </c>
      <c r="U10" s="23"/>
      <c r="V10" s="128">
        <v>4.5570000000000004</v>
      </c>
      <c r="W10" s="128">
        <v>3.0489999999999999</v>
      </c>
      <c r="X10" s="128">
        <v>3.4630000000000001</v>
      </c>
      <c r="Y10" s="131">
        <v>3.4020000000000001</v>
      </c>
      <c r="Z10" s="23"/>
      <c r="AA10" s="128">
        <v>3.7679999999999998</v>
      </c>
      <c r="AB10" s="128">
        <v>5.1040000000000001</v>
      </c>
      <c r="AC10" s="128">
        <v>6.6079999999999997</v>
      </c>
      <c r="AD10" s="131">
        <v>6.806</v>
      </c>
      <c r="AE10" s="23"/>
      <c r="AF10" s="128">
        <v>6.0940000000000003</v>
      </c>
      <c r="AG10" s="128">
        <v>7.0410000000000004</v>
      </c>
      <c r="AH10" s="128">
        <v>4.4560000000000004</v>
      </c>
      <c r="AI10" s="131">
        <v>4.657</v>
      </c>
      <c r="AJ10" s="24"/>
      <c r="AK10" s="128">
        <v>6.3079999999999998</v>
      </c>
      <c r="AL10" s="128">
        <v>6.6740000000000004</v>
      </c>
      <c r="AM10" s="128">
        <v>9.8239999999999998</v>
      </c>
      <c r="AN10" s="131">
        <v>11.225</v>
      </c>
      <c r="AO10" s="24"/>
      <c r="AP10" s="128">
        <v>12.372</v>
      </c>
      <c r="AQ10" s="128">
        <v>14.6</v>
      </c>
      <c r="AR10" s="128">
        <v>13.798</v>
      </c>
      <c r="AS10" s="131">
        <v>14.294</v>
      </c>
      <c r="AT10" s="24"/>
      <c r="AU10" s="128">
        <v>13.305999999999999</v>
      </c>
      <c r="AV10" s="128">
        <v>11.571999999999999</v>
      </c>
      <c r="AW10" s="128">
        <v>15.887</v>
      </c>
      <c r="AX10" s="131">
        <v>16.128</v>
      </c>
      <c r="AY10" s="24"/>
      <c r="AZ10" s="128">
        <v>18.327999999999999</v>
      </c>
      <c r="BA10" s="128">
        <v>19.257999999999999</v>
      </c>
      <c r="BB10" s="128">
        <v>20.364000000000001</v>
      </c>
      <c r="BC10" s="131">
        <v>21.75</v>
      </c>
      <c r="BD10" s="24"/>
      <c r="BE10" s="128">
        <v>24.254000000000001</v>
      </c>
      <c r="BF10" s="128">
        <v>25.02</v>
      </c>
      <c r="BG10" s="128">
        <v>20.327000000000002</v>
      </c>
      <c r="BH10" s="134">
        <f t="shared" si="4"/>
        <v>20.327000000000002</v>
      </c>
      <c r="BI10" s="24"/>
      <c r="BJ10" s="133">
        <f>+BH10</f>
        <v>20.327000000000002</v>
      </c>
      <c r="BK10" s="133">
        <f t="shared" si="5"/>
        <v>20.327000000000002</v>
      </c>
      <c r="BL10" s="133">
        <f t="shared" si="5"/>
        <v>20.327000000000002</v>
      </c>
      <c r="BM10" s="134">
        <f t="shared" si="5"/>
        <v>20.327000000000002</v>
      </c>
      <c r="BN10" s="24"/>
      <c r="BO10" s="133">
        <f>+BM10</f>
        <v>20.327000000000002</v>
      </c>
      <c r="BP10" s="133">
        <f t="shared" si="6"/>
        <v>20.327000000000002</v>
      </c>
      <c r="BQ10" s="133">
        <f t="shared" si="6"/>
        <v>20.327000000000002</v>
      </c>
      <c r="BR10" s="134">
        <f t="shared" si="6"/>
        <v>20.327000000000002</v>
      </c>
    </row>
    <row r="11" spans="1:70">
      <c r="A11" s="232" t="s">
        <v>154</v>
      </c>
      <c r="B11" s="233"/>
      <c r="C11" s="233"/>
      <c r="D11" s="233"/>
      <c r="E11" s="234"/>
      <c r="F11" s="235"/>
      <c r="G11" s="233"/>
      <c r="H11" s="233"/>
      <c r="I11" s="233"/>
      <c r="J11" s="234"/>
      <c r="K11" s="235"/>
      <c r="L11" s="233"/>
      <c r="M11" s="233"/>
      <c r="N11" s="233"/>
      <c r="O11" s="236">
        <v>2.0569999999999999</v>
      </c>
      <c r="P11" s="23"/>
      <c r="Q11" s="128">
        <v>2.101</v>
      </c>
      <c r="R11" s="128">
        <v>1.9330000000000001</v>
      </c>
      <c r="S11" s="128">
        <v>1.617</v>
      </c>
      <c r="T11" s="131">
        <v>1.9970000000000001</v>
      </c>
      <c r="U11" s="23"/>
      <c r="V11" s="128">
        <v>2.1419999999999999</v>
      </c>
      <c r="W11" s="128">
        <v>1.8220000000000001</v>
      </c>
      <c r="X11" s="128">
        <v>1.8029999999999999</v>
      </c>
      <c r="Y11" s="131">
        <v>2.387</v>
      </c>
      <c r="Z11" s="23"/>
      <c r="AA11" s="128">
        <v>2.3919999999999999</v>
      </c>
      <c r="AB11" s="128">
        <v>2.573</v>
      </c>
      <c r="AC11" s="128">
        <v>2.1960000000000002</v>
      </c>
      <c r="AD11" s="131">
        <v>2.2349999999999999</v>
      </c>
      <c r="AE11" s="23"/>
      <c r="AF11" s="128">
        <v>3.0449999999999999</v>
      </c>
      <c r="AG11" s="128">
        <v>2.891</v>
      </c>
      <c r="AH11" s="128">
        <v>3.15</v>
      </c>
      <c r="AI11" s="131">
        <v>3.1970000000000001</v>
      </c>
      <c r="AJ11" s="24"/>
      <c r="AK11" s="128">
        <v>3.8450000000000002</v>
      </c>
      <c r="AL11" s="128">
        <v>5.2629999999999999</v>
      </c>
      <c r="AM11" s="128">
        <v>15.146000000000001</v>
      </c>
      <c r="AN11" s="131">
        <v>17.219000000000001</v>
      </c>
      <c r="AO11" s="24"/>
      <c r="AP11" s="128">
        <v>20.015000000000001</v>
      </c>
      <c r="AQ11" s="128">
        <f>10.551+15.999</f>
        <v>26.55</v>
      </c>
      <c r="AR11" s="128">
        <v>14.538</v>
      </c>
      <c r="AS11" s="131">
        <f>24.605+11.469</f>
        <v>36.073999999999998</v>
      </c>
      <c r="AT11" s="24"/>
      <c r="AU11" s="128">
        <v>14.818</v>
      </c>
      <c r="AV11" s="128">
        <v>14.401</v>
      </c>
      <c r="AW11" s="128">
        <v>13.516</v>
      </c>
      <c r="AX11" s="131">
        <v>12.661</v>
      </c>
      <c r="AY11" s="24"/>
      <c r="AZ11" s="128">
        <v>16.236999999999998</v>
      </c>
      <c r="BA11" s="128">
        <v>15.629</v>
      </c>
      <c r="BB11" s="128">
        <v>13.603999999999999</v>
      </c>
      <c r="BC11" s="131">
        <v>14.551</v>
      </c>
      <c r="BD11" s="24"/>
      <c r="BE11" s="128">
        <v>17.762</v>
      </c>
      <c r="BF11" s="128">
        <v>18.128</v>
      </c>
      <c r="BG11" s="128">
        <v>14.643000000000001</v>
      </c>
      <c r="BH11" s="134">
        <f>BH70*'Income Statement'!BH10</f>
        <v>14.063600000000001</v>
      </c>
      <c r="BI11" s="24"/>
      <c r="BJ11" s="133">
        <f>BJ70*'Income Statement'!BJ10</f>
        <v>13.026466500000002</v>
      </c>
      <c r="BK11" s="133">
        <f>BK70*'Income Statement'!BK10</f>
        <v>14.722428550000002</v>
      </c>
      <c r="BL11" s="133">
        <f>BL70*'Income Statement'!BL10</f>
        <v>14.612502600000003</v>
      </c>
      <c r="BM11" s="134">
        <f>BM70*'Income Statement'!BM10</f>
        <v>15.33636435</v>
      </c>
      <c r="BN11" s="24"/>
      <c r="BO11" s="133">
        <f>BO70*'Income Statement'!BO10</f>
        <v>14.412335029999998</v>
      </c>
      <c r="BP11" s="133">
        <f>BP70*'Income Statement'!BP10</f>
        <v>16.304473467000001</v>
      </c>
      <c r="BQ11" s="133">
        <f>BQ70*'Income Statement'!BQ10</f>
        <v>16.204152751999999</v>
      </c>
      <c r="BR11" s="134">
        <f>BR70*'Income Statement'!BR10</f>
        <v>16.983703637000001</v>
      </c>
    </row>
    <row r="12" spans="1:70">
      <c r="A12" s="145" t="s">
        <v>155</v>
      </c>
      <c r="B12" s="238"/>
      <c r="C12" s="238"/>
      <c r="D12" s="238"/>
      <c r="E12" s="239"/>
      <c r="F12" s="238"/>
      <c r="G12" s="238"/>
      <c r="H12" s="238"/>
      <c r="I12" s="238"/>
      <c r="J12" s="239"/>
      <c r="K12" s="238"/>
      <c r="L12" s="238"/>
      <c r="M12" s="238"/>
      <c r="N12" s="238"/>
      <c r="O12" s="240">
        <f>SUM(O7:O11)</f>
        <v>73.506999999999991</v>
      </c>
      <c r="P12" s="31"/>
      <c r="Q12" s="142">
        <f>SUM(Q7:Q11)</f>
        <v>66.174999999999997</v>
      </c>
      <c r="R12" s="142">
        <f>SUM(R7:R11)</f>
        <v>62.74</v>
      </c>
      <c r="S12" s="142">
        <f>SUM(S7:S11)</f>
        <v>58.206999999999994</v>
      </c>
      <c r="T12" s="241">
        <f>SUM(T7:T11)</f>
        <v>53.927999999999997</v>
      </c>
      <c r="U12" s="31"/>
      <c r="V12" s="142">
        <f>SUM(V7:V11)</f>
        <v>47.049000000000007</v>
      </c>
      <c r="W12" s="142">
        <f>SUM(W7:W11)</f>
        <v>41.634999999999998</v>
      </c>
      <c r="X12" s="142">
        <f>SUM(X7:X11)</f>
        <v>95.373999999999995</v>
      </c>
      <c r="Y12" s="241">
        <f>SUM(Y7:Y11)</f>
        <v>96.952000000000012</v>
      </c>
      <c r="Z12" s="31"/>
      <c r="AA12" s="142">
        <f>SUM(AA7:AA11)</f>
        <v>90.615999999999985</v>
      </c>
      <c r="AB12" s="142">
        <f>SUM(AB7:AB11)</f>
        <v>219.95000000000002</v>
      </c>
      <c r="AC12" s="142">
        <f>SUM(AC7:AC11)</f>
        <v>228.07900000000001</v>
      </c>
      <c r="AD12" s="241">
        <f>SUM(AD7:AD11)</f>
        <v>187.68700000000004</v>
      </c>
      <c r="AE12" s="31"/>
      <c r="AF12" s="142">
        <f>SUM(AF7:AF11)</f>
        <v>181.36199999999999</v>
      </c>
      <c r="AG12" s="142">
        <f>SUM(AG7:AG11)</f>
        <v>172.68799999999999</v>
      </c>
      <c r="AH12" s="142">
        <f>SUM(AH7:AH11)</f>
        <v>370.315</v>
      </c>
      <c r="AI12" s="241">
        <f>SUM(AI7:AI11)</f>
        <v>375.67899999999997</v>
      </c>
      <c r="AJ12" s="31"/>
      <c r="AK12" s="142">
        <f>SUM(AK7:AK11)</f>
        <v>362.09200000000004</v>
      </c>
      <c r="AL12" s="142">
        <f>SUM(AL7:AL11)</f>
        <v>371.34599999999995</v>
      </c>
      <c r="AM12" s="142">
        <f>SUM(AM7:AM11)</f>
        <v>229.30799999999999</v>
      </c>
      <c r="AN12" s="241">
        <f>SUM(AN7:AN11)</f>
        <v>243.102</v>
      </c>
      <c r="AO12" s="31"/>
      <c r="AP12" s="142">
        <f>SUM(AP7:AP11)</f>
        <v>238.483</v>
      </c>
      <c r="AQ12" s="142">
        <f>SUM(AQ7:AQ11)</f>
        <v>235.04500000000002</v>
      </c>
      <c r="AR12" s="142">
        <f>SUM(AR7:AR11)</f>
        <v>238.51600000000002</v>
      </c>
      <c r="AS12" s="241">
        <f>SUM(AS7:AS11)</f>
        <v>248.63600000000002</v>
      </c>
      <c r="AT12" s="31"/>
      <c r="AU12" s="142">
        <f>SUM(AU7:AU11)</f>
        <v>251.50300000000001</v>
      </c>
      <c r="AV12" s="142">
        <f>SUM(AV7:AV11)</f>
        <v>259.48</v>
      </c>
      <c r="AW12" s="142">
        <f>SUM(AW7:AW11)</f>
        <v>271.16300000000001</v>
      </c>
      <c r="AX12" s="241">
        <f>SUM(AX7:AX11)</f>
        <v>285.62099999999998</v>
      </c>
      <c r="AY12" s="31"/>
      <c r="AZ12" s="142">
        <f>SUM(AZ7:AZ11)</f>
        <v>290.41800000000001</v>
      </c>
      <c r="BA12" s="142">
        <f>SUM(BA7:BA11)</f>
        <v>321.10599999999999</v>
      </c>
      <c r="BB12" s="142">
        <f>SUM(BB7:BB11)</f>
        <v>356.85399999999998</v>
      </c>
      <c r="BC12" s="241">
        <f>SUM(BC7:BC11)</f>
        <v>372.26699999999994</v>
      </c>
      <c r="BD12" s="31"/>
      <c r="BE12" s="142">
        <f>SUM(BE7:BE11)</f>
        <v>383.15200000000004</v>
      </c>
      <c r="BF12" s="142">
        <f>SUM(BF7:BF11)</f>
        <v>414.68099999999998</v>
      </c>
      <c r="BG12" s="142">
        <f>SUM(BG7:BG11)</f>
        <v>449.22400000000005</v>
      </c>
      <c r="BH12" s="241">
        <f>SUM(BH7:BH11)</f>
        <v>494.23028000000005</v>
      </c>
      <c r="BI12" s="31"/>
      <c r="BJ12" s="142">
        <f>SUM(BJ7:BJ11)</f>
        <v>515.02489913900001</v>
      </c>
      <c r="BK12" s="142">
        <f>SUM(BK7:BK11)</f>
        <v>572.84259094187507</v>
      </c>
      <c r="BL12" s="142">
        <f>SUM(BL7:BL11)</f>
        <v>614.54114018607504</v>
      </c>
      <c r="BM12" s="241">
        <f>SUM(BM7:BM11)</f>
        <v>668.49170683335024</v>
      </c>
      <c r="BN12" s="31"/>
      <c r="BO12" s="142">
        <f>SUM(BO7:BO11)</f>
        <v>691.27973465625519</v>
      </c>
      <c r="BP12" s="142">
        <f>SUM(BP7:BP11)</f>
        <v>754.09029695511515</v>
      </c>
      <c r="BQ12" s="142">
        <f>SUM(BQ7:BQ11)</f>
        <v>799.31832560631915</v>
      </c>
      <c r="BR12" s="241">
        <f>SUM(BR7:BR11)</f>
        <v>858.15423273729721</v>
      </c>
    </row>
    <row r="13" spans="1:70">
      <c r="A13" s="232" t="s">
        <v>156</v>
      </c>
      <c r="B13" s="242"/>
      <c r="C13" s="242"/>
      <c r="D13" s="242"/>
      <c r="E13" s="243"/>
      <c r="F13" s="235"/>
      <c r="G13" s="242"/>
      <c r="H13" s="242"/>
      <c r="I13" s="242"/>
      <c r="J13" s="243"/>
      <c r="K13" s="235"/>
      <c r="L13" s="242"/>
      <c r="M13" s="242"/>
      <c r="N13" s="242"/>
      <c r="O13" s="244">
        <v>11.48</v>
      </c>
      <c r="P13" s="23"/>
      <c r="Q13" s="245">
        <v>10.657</v>
      </c>
      <c r="R13" s="245">
        <v>10.093</v>
      </c>
      <c r="S13" s="245">
        <v>10.281000000000001</v>
      </c>
      <c r="T13" s="246">
        <v>9.6880000000000006</v>
      </c>
      <c r="U13" s="23"/>
      <c r="V13" s="245">
        <v>9.2149999999999999</v>
      </c>
      <c r="W13" s="245">
        <v>9.0350000000000001</v>
      </c>
      <c r="X13" s="245">
        <v>8.9390000000000001</v>
      </c>
      <c r="Y13" s="246">
        <v>8.94</v>
      </c>
      <c r="Z13" s="23"/>
      <c r="AA13" s="245">
        <v>8.1140000000000008</v>
      </c>
      <c r="AB13" s="245">
        <v>8.15</v>
      </c>
      <c r="AC13" s="245">
        <v>8.4879999999999995</v>
      </c>
      <c r="AD13" s="246">
        <v>8.9329999999999998</v>
      </c>
      <c r="AE13" s="23"/>
      <c r="AF13" s="245">
        <v>8.7880000000000003</v>
      </c>
      <c r="AG13" s="245">
        <v>8.64</v>
      </c>
      <c r="AH13" s="245">
        <v>8.9139999999999997</v>
      </c>
      <c r="AI13" s="246">
        <v>8.99</v>
      </c>
      <c r="AJ13" s="24"/>
      <c r="AK13" s="245">
        <v>10.561999999999999</v>
      </c>
      <c r="AL13" s="245">
        <v>11.813000000000001</v>
      </c>
      <c r="AM13" s="245">
        <v>14.868</v>
      </c>
      <c r="AN13" s="246">
        <v>15.098000000000001</v>
      </c>
      <c r="AO13" s="24"/>
      <c r="AP13" s="245">
        <v>16.298999999999999</v>
      </c>
      <c r="AQ13" s="245">
        <v>17.187999999999999</v>
      </c>
      <c r="AR13" s="245">
        <v>17.236999999999998</v>
      </c>
      <c r="AS13" s="246">
        <v>17.702000000000002</v>
      </c>
      <c r="AT13" s="24"/>
      <c r="AU13" s="245">
        <v>18.071999999999999</v>
      </c>
      <c r="AV13" s="245">
        <v>18.510000000000002</v>
      </c>
      <c r="AW13" s="245">
        <v>19.288</v>
      </c>
      <c r="AX13" s="246">
        <v>20.584</v>
      </c>
      <c r="AY13" s="24"/>
      <c r="AZ13" s="245">
        <v>21.565999999999999</v>
      </c>
      <c r="BA13" s="245">
        <v>22.291</v>
      </c>
      <c r="BB13" s="245">
        <v>21.193999999999999</v>
      </c>
      <c r="BC13" s="246">
        <v>22.952999999999999</v>
      </c>
      <c r="BD13" s="24"/>
      <c r="BE13" s="245">
        <v>22.529</v>
      </c>
      <c r="BF13" s="245">
        <v>18.552</v>
      </c>
      <c r="BG13" s="245">
        <v>18.899999999999999</v>
      </c>
      <c r="BH13" s="247">
        <f>+BG13-'Cash Flow'!BH32-'Cash Flow'!BH9-'Income Statement'!BH27</f>
        <v>22.190999999999999</v>
      </c>
      <c r="BI13" s="24"/>
      <c r="BJ13" s="248">
        <f>+BH13-'Cash Flow'!BJ32-'Cash Flow'!BJ9-'Income Statement'!BJ27</f>
        <v>23.159999999999997</v>
      </c>
      <c r="BK13" s="248">
        <f>+BJ13-'Cash Flow'!BK32-'Cash Flow'!BK9-'Income Statement'!BK27</f>
        <v>23.595999999999997</v>
      </c>
      <c r="BL13" s="248">
        <f>+BK13-'Cash Flow'!BL32-'Cash Flow'!BL9-'Income Statement'!BL27</f>
        <v>25.537999999999997</v>
      </c>
      <c r="BM13" s="247">
        <f>+BL13-'Cash Flow'!BM32-'Cash Flow'!BM9-'Income Statement'!BM27</f>
        <v>29.078999999999997</v>
      </c>
      <c r="BN13" s="24"/>
      <c r="BO13" s="248">
        <f>+BM13-'Cash Flow'!BO32-'Cash Flow'!BO9-'Income Statement'!BO27</f>
        <v>31.397999999999996</v>
      </c>
      <c r="BP13" s="248">
        <f>+BO13-'Cash Flow'!BP32-'Cash Flow'!BP9-'Income Statement'!BP27</f>
        <v>33.183999999999997</v>
      </c>
      <c r="BQ13" s="248">
        <f>+BP13-'Cash Flow'!BQ32-'Cash Flow'!BQ9-'Income Statement'!BQ27</f>
        <v>36.475999999999999</v>
      </c>
      <c r="BR13" s="247">
        <f>+BQ13-'Cash Flow'!BR32-'Cash Flow'!BR9-'Income Statement'!BR27</f>
        <v>41.367000000000004</v>
      </c>
    </row>
    <row r="14" spans="1:70">
      <c r="A14" s="232" t="s">
        <v>157</v>
      </c>
      <c r="B14" s="242"/>
      <c r="C14" s="242"/>
      <c r="D14" s="242"/>
      <c r="E14" s="243"/>
      <c r="F14" s="235"/>
      <c r="G14" s="242"/>
      <c r="H14" s="242"/>
      <c r="I14" s="242"/>
      <c r="J14" s="243"/>
      <c r="K14" s="235"/>
      <c r="L14" s="242"/>
      <c r="M14" s="242"/>
      <c r="N14" s="242"/>
      <c r="O14" s="244">
        <v>14.132999999999999</v>
      </c>
      <c r="P14" s="23"/>
      <c r="Q14" s="245">
        <v>13.867000000000001</v>
      </c>
      <c r="R14" s="245">
        <v>13.6</v>
      </c>
      <c r="S14" s="245">
        <v>13.333</v>
      </c>
      <c r="T14" s="246">
        <v>13.067</v>
      </c>
      <c r="U14" s="23"/>
      <c r="V14" s="245">
        <v>12.8</v>
      </c>
      <c r="W14" s="245">
        <v>12.532999999999999</v>
      </c>
      <c r="X14" s="245">
        <v>12.266999999999999</v>
      </c>
      <c r="Y14" s="246">
        <v>12</v>
      </c>
      <c r="Z14" s="23"/>
      <c r="AA14" s="245">
        <v>11.733000000000001</v>
      </c>
      <c r="AB14" s="245">
        <v>11.467000000000001</v>
      </c>
      <c r="AC14" s="245">
        <v>11.2</v>
      </c>
      <c r="AD14" s="246">
        <v>65.019000000000005</v>
      </c>
      <c r="AE14" s="23"/>
      <c r="AF14" s="245">
        <v>63.744</v>
      </c>
      <c r="AG14" s="245">
        <v>62.470999999999997</v>
      </c>
      <c r="AH14" s="245">
        <v>61.197000000000003</v>
      </c>
      <c r="AI14" s="246">
        <v>59.923999999999999</v>
      </c>
      <c r="AJ14" s="24"/>
      <c r="AK14" s="245">
        <v>159.423</v>
      </c>
      <c r="AL14" s="245">
        <v>155.69999999999999</v>
      </c>
      <c r="AM14" s="245">
        <v>209.52099999999999</v>
      </c>
      <c r="AN14" s="246">
        <v>202.73099999999999</v>
      </c>
      <c r="AO14" s="24"/>
      <c r="AP14" s="245">
        <v>196.22800000000001</v>
      </c>
      <c r="AQ14" s="245">
        <v>184.36699999999999</v>
      </c>
      <c r="AR14" s="245">
        <v>176.542</v>
      </c>
      <c r="AS14" s="246">
        <v>174.86600000000001</v>
      </c>
      <c r="AT14" s="24"/>
      <c r="AU14" s="245">
        <v>170.226</v>
      </c>
      <c r="AV14" s="245">
        <v>164.744</v>
      </c>
      <c r="AW14" s="245">
        <v>123.56699999999999</v>
      </c>
      <c r="AX14" s="246">
        <v>88.593000000000004</v>
      </c>
      <c r="AY14" s="24"/>
      <c r="AZ14" s="245">
        <v>116.348</v>
      </c>
      <c r="BA14" s="245">
        <v>112.532</v>
      </c>
      <c r="BB14" s="245">
        <v>108.873</v>
      </c>
      <c r="BC14" s="246">
        <v>102.301</v>
      </c>
      <c r="BD14" s="24"/>
      <c r="BE14" s="245">
        <v>99.093999999999994</v>
      </c>
      <c r="BF14" s="245">
        <v>95.805999999999997</v>
      </c>
      <c r="BG14" s="245">
        <v>92.477000000000004</v>
      </c>
      <c r="BH14" s="247">
        <f>+BG14+'Income Statement'!BH27</f>
        <v>92.477000000000004</v>
      </c>
      <c r="BI14" s="24"/>
      <c r="BJ14" s="248">
        <f>+BH14+'Income Statement'!BJ27</f>
        <v>92.477000000000004</v>
      </c>
      <c r="BK14" s="248">
        <f>+BJ14+'Income Statement'!BK27</f>
        <v>92.477000000000004</v>
      </c>
      <c r="BL14" s="248">
        <f>+BK14+'Income Statement'!BL27</f>
        <v>92.477000000000004</v>
      </c>
      <c r="BM14" s="247">
        <f>+BL14+'Income Statement'!BM27</f>
        <v>92.477000000000004</v>
      </c>
      <c r="BN14" s="24"/>
      <c r="BO14" s="248">
        <f>+BM14+'Income Statement'!BO27</f>
        <v>92.477000000000004</v>
      </c>
      <c r="BP14" s="248">
        <f>+BO14+'Income Statement'!BP27</f>
        <v>92.477000000000004</v>
      </c>
      <c r="BQ14" s="248">
        <f>+BP14+'Income Statement'!BQ27</f>
        <v>92.477000000000004</v>
      </c>
      <c r="BR14" s="247">
        <f>+BQ14+'Income Statement'!BR27</f>
        <v>92.477000000000004</v>
      </c>
    </row>
    <row r="15" spans="1:70">
      <c r="A15" s="232" t="s">
        <v>158</v>
      </c>
      <c r="B15" s="242"/>
      <c r="C15" s="242"/>
      <c r="D15" s="242"/>
      <c r="E15" s="243"/>
      <c r="F15" s="235"/>
      <c r="G15" s="242"/>
      <c r="H15" s="242"/>
      <c r="I15" s="242"/>
      <c r="J15" s="243"/>
      <c r="K15" s="235"/>
      <c r="L15" s="242"/>
      <c r="M15" s="242"/>
      <c r="N15" s="242"/>
      <c r="O15" s="244">
        <v>1.0569999999999999</v>
      </c>
      <c r="P15" s="23"/>
      <c r="Q15" s="245">
        <v>1.0569999999999999</v>
      </c>
      <c r="R15" s="245">
        <v>1.0569999999999999</v>
      </c>
      <c r="S15" s="245">
        <v>1.0569999999999999</v>
      </c>
      <c r="T15" s="246">
        <v>1.0569999999999999</v>
      </c>
      <c r="U15" s="23"/>
      <c r="V15" s="245">
        <v>1.0569999999999999</v>
      </c>
      <c r="W15" s="245">
        <v>1.0569999999999999</v>
      </c>
      <c r="X15" s="245">
        <v>1.0569999999999999</v>
      </c>
      <c r="Y15" s="246">
        <v>1.0569999999999999</v>
      </c>
      <c r="Z15" s="23"/>
      <c r="AA15" s="245">
        <v>1.0569999999999999</v>
      </c>
      <c r="AB15" s="245">
        <v>1.0569999999999999</v>
      </c>
      <c r="AC15" s="245">
        <v>1.0569999999999999</v>
      </c>
      <c r="AD15" s="246">
        <v>2.7250000000000001</v>
      </c>
      <c r="AE15" s="23"/>
      <c r="AF15" s="245">
        <v>2.7250000000000001</v>
      </c>
      <c r="AG15" s="245">
        <v>2.7250000000000001</v>
      </c>
      <c r="AH15" s="245">
        <v>2.7250000000000001</v>
      </c>
      <c r="AI15" s="246">
        <v>2.7250000000000001</v>
      </c>
      <c r="AJ15" s="24"/>
      <c r="AK15" s="245">
        <v>474.83800000000002</v>
      </c>
      <c r="AL15" s="245">
        <v>471.76400000000001</v>
      </c>
      <c r="AM15" s="245">
        <v>714.27300000000002</v>
      </c>
      <c r="AN15" s="246">
        <v>707.904</v>
      </c>
      <c r="AO15" s="24"/>
      <c r="AP15" s="245">
        <v>704.36800000000005</v>
      </c>
      <c r="AQ15" s="245">
        <v>690.04</v>
      </c>
      <c r="AR15" s="245">
        <v>676.88499999999999</v>
      </c>
      <c r="AS15" s="246">
        <v>695.89099999999996</v>
      </c>
      <c r="AT15" s="24"/>
      <c r="AU15" s="245">
        <v>699.71799999999996</v>
      </c>
      <c r="AV15" s="245">
        <v>698.92</v>
      </c>
      <c r="AW15" s="245">
        <v>693.17600000000004</v>
      </c>
      <c r="AX15" s="246">
        <v>702.98400000000004</v>
      </c>
      <c r="AY15" s="24"/>
      <c r="AZ15" s="245">
        <v>753.85299999999995</v>
      </c>
      <c r="BA15" s="245">
        <v>752.10699999999997</v>
      </c>
      <c r="BB15" s="245">
        <v>762.11699999999996</v>
      </c>
      <c r="BC15" s="246">
        <v>745.8</v>
      </c>
      <c r="BD15" s="24"/>
      <c r="BE15" s="245">
        <v>754.27200000000005</v>
      </c>
      <c r="BF15" s="245">
        <v>773.255</v>
      </c>
      <c r="BG15" s="245">
        <v>767.154</v>
      </c>
      <c r="BH15" s="247">
        <f t="shared" ref="BH15:BH19" si="7">+BG15</f>
        <v>767.154</v>
      </c>
      <c r="BI15" s="24"/>
      <c r="BJ15" s="248">
        <f>+BH15</f>
        <v>767.154</v>
      </c>
      <c r="BK15" s="248">
        <f t="shared" ref="BK15:BM19" si="8">+BJ15</f>
        <v>767.154</v>
      </c>
      <c r="BL15" s="248">
        <f t="shared" si="8"/>
        <v>767.154</v>
      </c>
      <c r="BM15" s="247">
        <f t="shared" si="8"/>
        <v>767.154</v>
      </c>
      <c r="BN15" s="24"/>
      <c r="BO15" s="248">
        <f>+BM15</f>
        <v>767.154</v>
      </c>
      <c r="BP15" s="248">
        <f t="shared" ref="BP15:BR19" si="9">+BO15</f>
        <v>767.154</v>
      </c>
      <c r="BQ15" s="248">
        <f t="shared" si="9"/>
        <v>767.154</v>
      </c>
      <c r="BR15" s="247">
        <f t="shared" si="9"/>
        <v>767.154</v>
      </c>
    </row>
    <row r="16" spans="1:70" hidden="1">
      <c r="A16" s="232" t="s">
        <v>159</v>
      </c>
      <c r="B16" s="242"/>
      <c r="C16" s="242"/>
      <c r="D16" s="242"/>
      <c r="E16" s="243"/>
      <c r="F16" s="235"/>
      <c r="G16" s="242"/>
      <c r="H16" s="242"/>
      <c r="I16" s="242"/>
      <c r="J16" s="243"/>
      <c r="K16" s="235"/>
      <c r="L16" s="242"/>
      <c r="M16" s="242"/>
      <c r="N16" s="242"/>
      <c r="O16" s="244"/>
      <c r="P16" s="23"/>
      <c r="Q16" s="245">
        <v>0</v>
      </c>
      <c r="R16" s="245">
        <v>0</v>
      </c>
      <c r="S16" s="245">
        <v>0</v>
      </c>
      <c r="T16" s="246">
        <v>0</v>
      </c>
      <c r="U16" s="23"/>
      <c r="V16" s="245">
        <v>0</v>
      </c>
      <c r="W16" s="245">
        <v>0</v>
      </c>
      <c r="X16" s="245">
        <v>0</v>
      </c>
      <c r="Y16" s="246">
        <v>0</v>
      </c>
      <c r="Z16" s="23"/>
      <c r="AA16" s="245">
        <v>0</v>
      </c>
      <c r="AB16" s="245">
        <v>0</v>
      </c>
      <c r="AC16" s="245">
        <v>0</v>
      </c>
      <c r="AD16" s="246">
        <v>0</v>
      </c>
      <c r="AE16" s="23"/>
      <c r="AF16" s="245">
        <v>0</v>
      </c>
      <c r="AG16" s="245">
        <v>0</v>
      </c>
      <c r="AH16" s="245">
        <f>+AG16</f>
        <v>0</v>
      </c>
      <c r="AI16" s="246">
        <f>+AH16</f>
        <v>0</v>
      </c>
      <c r="AJ16" s="24"/>
      <c r="AK16" s="245">
        <f>+AI16</f>
        <v>0</v>
      </c>
      <c r="AL16" s="245">
        <f t="shared" ref="AL16:AN16" si="10">+AK16</f>
        <v>0</v>
      </c>
      <c r="AM16" s="245">
        <f t="shared" si="10"/>
        <v>0</v>
      </c>
      <c r="AN16" s="246">
        <f t="shared" si="10"/>
        <v>0</v>
      </c>
      <c r="AO16" s="24"/>
      <c r="AP16" s="245">
        <f>+AN16</f>
        <v>0</v>
      </c>
      <c r="AQ16" s="245">
        <f t="shared" ref="AQ16:AS16" si="11">+AP16</f>
        <v>0</v>
      </c>
      <c r="AR16" s="245">
        <f t="shared" si="11"/>
        <v>0</v>
      </c>
      <c r="AS16" s="246">
        <f t="shared" si="11"/>
        <v>0</v>
      </c>
      <c r="AT16" s="24"/>
      <c r="AU16" s="245">
        <f>+AS16</f>
        <v>0</v>
      </c>
      <c r="AV16" s="245">
        <f t="shared" ref="AV16:AX16" si="12">+AU16</f>
        <v>0</v>
      </c>
      <c r="AW16" s="245">
        <f t="shared" si="12"/>
        <v>0</v>
      </c>
      <c r="AX16" s="246">
        <f t="shared" si="12"/>
        <v>0</v>
      </c>
      <c r="AY16" s="24"/>
      <c r="AZ16" s="245">
        <f>+AX16</f>
        <v>0</v>
      </c>
      <c r="BA16" s="245">
        <f t="shared" ref="BA16:BC16" si="13">+AZ16</f>
        <v>0</v>
      </c>
      <c r="BB16" s="245">
        <f t="shared" si="13"/>
        <v>0</v>
      </c>
      <c r="BC16" s="246">
        <f t="shared" si="13"/>
        <v>0</v>
      </c>
      <c r="BD16" s="24"/>
      <c r="BE16" s="245">
        <f>+BC16</f>
        <v>0</v>
      </c>
      <c r="BF16" s="245">
        <f t="shared" ref="BF16:BG16" si="14">+BE16</f>
        <v>0</v>
      </c>
      <c r="BG16" s="245">
        <f t="shared" si="14"/>
        <v>0</v>
      </c>
      <c r="BH16" s="247">
        <f t="shared" si="7"/>
        <v>0</v>
      </c>
      <c r="BI16" s="24"/>
      <c r="BJ16" s="248">
        <f>+BH16</f>
        <v>0</v>
      </c>
      <c r="BK16" s="248">
        <f t="shared" si="8"/>
        <v>0</v>
      </c>
      <c r="BL16" s="248">
        <f t="shared" si="8"/>
        <v>0</v>
      </c>
      <c r="BM16" s="247">
        <f t="shared" si="8"/>
        <v>0</v>
      </c>
      <c r="BN16" s="24"/>
      <c r="BO16" s="248">
        <f>+BM16</f>
        <v>0</v>
      </c>
      <c r="BP16" s="248">
        <f t="shared" si="9"/>
        <v>0</v>
      </c>
      <c r="BQ16" s="248">
        <f t="shared" si="9"/>
        <v>0</v>
      </c>
      <c r="BR16" s="247">
        <f t="shared" si="9"/>
        <v>0</v>
      </c>
    </row>
    <row r="17" spans="1:70">
      <c r="A17" s="232" t="s">
        <v>160</v>
      </c>
      <c r="B17" s="242"/>
      <c r="C17" s="242"/>
      <c r="D17" s="242"/>
      <c r="E17" s="243"/>
      <c r="F17" s="235"/>
      <c r="G17" s="242"/>
      <c r="H17" s="242"/>
      <c r="I17" s="242"/>
      <c r="J17" s="243"/>
      <c r="K17" s="235"/>
      <c r="L17" s="242"/>
      <c r="M17" s="242"/>
      <c r="N17" s="242"/>
      <c r="O17" s="244">
        <f>0.603+0.12</f>
        <v>0.72299999999999998</v>
      </c>
      <c r="P17" s="23"/>
      <c r="Q17" s="245">
        <f>0.603+0.12</f>
        <v>0.72299999999999998</v>
      </c>
      <c r="R17" s="245">
        <f>0.603+0.12</f>
        <v>0.72299999999999998</v>
      </c>
      <c r="S17" s="245">
        <v>0.60299999999999998</v>
      </c>
      <c r="T17" s="246">
        <v>0.60299999999999998</v>
      </c>
      <c r="U17" s="23"/>
      <c r="V17" s="245">
        <v>0.60299999999999998</v>
      </c>
      <c r="W17" s="245">
        <v>0.60299999999999998</v>
      </c>
      <c r="X17" s="245">
        <v>0.60299999999999998</v>
      </c>
      <c r="Y17" s="246">
        <v>0.60299999999999998</v>
      </c>
      <c r="Z17" s="23"/>
      <c r="AA17" s="245">
        <v>0.60299999999999998</v>
      </c>
      <c r="AB17" s="245">
        <v>0.60299999999999998</v>
      </c>
      <c r="AC17" s="245">
        <v>0.60299999999999998</v>
      </c>
      <c r="AD17" s="246">
        <v>0.60299999999999998</v>
      </c>
      <c r="AE17" s="23"/>
      <c r="AF17" s="245">
        <v>0.60299999999999998</v>
      </c>
      <c r="AG17" s="245">
        <v>0.60299999999999998</v>
      </c>
      <c r="AH17" s="245">
        <v>0.60299999999999998</v>
      </c>
      <c r="AI17" s="246">
        <v>0.60299999999999998</v>
      </c>
      <c r="AJ17" s="24"/>
      <c r="AK17" s="245">
        <v>0.749</v>
      </c>
      <c r="AL17" s="245">
        <v>0.749</v>
      </c>
      <c r="AM17" s="245">
        <v>0.749</v>
      </c>
      <c r="AN17" s="246">
        <v>0.749</v>
      </c>
      <c r="AO17" s="24"/>
      <c r="AP17" s="245">
        <v>0.749</v>
      </c>
      <c r="AQ17" s="245">
        <v>0.749</v>
      </c>
      <c r="AR17" s="245">
        <v>0.749</v>
      </c>
      <c r="AS17" s="246">
        <v>0.749</v>
      </c>
      <c r="AT17" s="24"/>
      <c r="AU17" s="245">
        <v>0.749</v>
      </c>
      <c r="AV17" s="245">
        <v>0.88900000000000001</v>
      </c>
      <c r="AW17" s="245">
        <v>0.87</v>
      </c>
      <c r="AX17" s="246">
        <v>0.876</v>
      </c>
      <c r="AY17" s="24"/>
      <c r="AZ17" s="245">
        <v>1.0820000000000001</v>
      </c>
      <c r="BA17" s="245">
        <v>1.0880000000000001</v>
      </c>
      <c r="BB17" s="245">
        <v>1.08</v>
      </c>
      <c r="BC17" s="246">
        <v>1.544</v>
      </c>
      <c r="BD17" s="24"/>
      <c r="BE17" s="245">
        <v>1.645</v>
      </c>
      <c r="BF17" s="245">
        <v>1.6539999999999999</v>
      </c>
      <c r="BG17" s="245">
        <v>1.637</v>
      </c>
      <c r="BH17" s="247">
        <f t="shared" si="7"/>
        <v>1.637</v>
      </c>
      <c r="BI17" s="24"/>
      <c r="BJ17" s="248">
        <f>+BH17</f>
        <v>1.637</v>
      </c>
      <c r="BK17" s="248">
        <f t="shared" si="8"/>
        <v>1.637</v>
      </c>
      <c r="BL17" s="248">
        <f t="shared" si="8"/>
        <v>1.637</v>
      </c>
      <c r="BM17" s="247">
        <f t="shared" si="8"/>
        <v>1.637</v>
      </c>
      <c r="BN17" s="24"/>
      <c r="BO17" s="248">
        <f>+BM17</f>
        <v>1.637</v>
      </c>
      <c r="BP17" s="248">
        <f t="shared" si="9"/>
        <v>1.637</v>
      </c>
      <c r="BQ17" s="248">
        <f t="shared" si="9"/>
        <v>1.637</v>
      </c>
      <c r="BR17" s="247">
        <f t="shared" si="9"/>
        <v>1.637</v>
      </c>
    </row>
    <row r="18" spans="1:70">
      <c r="A18" s="232" t="s">
        <v>161</v>
      </c>
      <c r="B18" s="242"/>
      <c r="C18" s="242"/>
      <c r="D18" s="242"/>
      <c r="E18" s="243"/>
      <c r="F18" s="235"/>
      <c r="G18" s="242"/>
      <c r="H18" s="242"/>
      <c r="I18" s="242"/>
      <c r="J18" s="243"/>
      <c r="K18" s="235"/>
      <c r="L18" s="242"/>
      <c r="M18" s="242"/>
      <c r="N18" s="242"/>
      <c r="O18" s="244"/>
      <c r="P18" s="23"/>
      <c r="Q18" s="245"/>
      <c r="R18" s="245"/>
      <c r="S18" s="245"/>
      <c r="T18" s="246"/>
      <c r="U18" s="23"/>
      <c r="V18" s="245">
        <v>0</v>
      </c>
      <c r="W18" s="245">
        <v>0</v>
      </c>
      <c r="X18" s="245">
        <v>0</v>
      </c>
      <c r="Y18" s="246">
        <v>0</v>
      </c>
      <c r="Z18" s="23"/>
      <c r="AA18" s="245">
        <f>0.735+9.63</f>
        <v>10.365</v>
      </c>
      <c r="AB18" s="245">
        <f>0.677+9.412</f>
        <v>10.089</v>
      </c>
      <c r="AC18" s="245">
        <f>0.619+9.033</f>
        <v>9.6519999999999992</v>
      </c>
      <c r="AD18" s="246">
        <v>8.8079999999999998</v>
      </c>
      <c r="AE18" s="23"/>
      <c r="AF18" s="245">
        <v>8.5760000000000005</v>
      </c>
      <c r="AG18" s="245">
        <v>8.3390000000000004</v>
      </c>
      <c r="AH18" s="245">
        <v>8.0939999999999994</v>
      </c>
      <c r="AI18" s="246">
        <v>7.843</v>
      </c>
      <c r="AJ18" s="24"/>
      <c r="AK18" s="245">
        <v>15.186</v>
      </c>
      <c r="AL18" s="245">
        <v>14.558999999999999</v>
      </c>
      <c r="AM18" s="245">
        <v>16.001000000000001</v>
      </c>
      <c r="AN18" s="246">
        <v>16.042999999999999</v>
      </c>
      <c r="AO18" s="24"/>
      <c r="AP18" s="245">
        <v>15.663</v>
      </c>
      <c r="AQ18" s="245">
        <v>14.816000000000001</v>
      </c>
      <c r="AR18" s="245">
        <v>13.885</v>
      </c>
      <c r="AS18" s="246">
        <v>13.16</v>
      </c>
      <c r="AT18" s="24"/>
      <c r="AU18" s="245">
        <v>11.308</v>
      </c>
      <c r="AV18" s="245">
        <v>12.455</v>
      </c>
      <c r="AW18" s="245">
        <v>11.297000000000001</v>
      </c>
      <c r="AX18" s="246">
        <v>10.276999999999999</v>
      </c>
      <c r="AY18" s="24"/>
      <c r="AZ18" s="245">
        <v>11.167</v>
      </c>
      <c r="BA18" s="245">
        <v>18.116</v>
      </c>
      <c r="BB18" s="245">
        <v>17.030999999999999</v>
      </c>
      <c r="BC18" s="246">
        <v>48.189</v>
      </c>
      <c r="BD18" s="24"/>
      <c r="BE18" s="245">
        <v>47.624000000000002</v>
      </c>
      <c r="BF18" s="245">
        <v>38.679000000000002</v>
      </c>
      <c r="BG18" s="245">
        <v>37.301000000000002</v>
      </c>
      <c r="BH18" s="247">
        <f t="shared" si="7"/>
        <v>37.301000000000002</v>
      </c>
      <c r="BI18" s="24"/>
      <c r="BJ18" s="248">
        <f>+BH18</f>
        <v>37.301000000000002</v>
      </c>
      <c r="BK18" s="248">
        <f t="shared" si="8"/>
        <v>37.301000000000002</v>
      </c>
      <c r="BL18" s="248">
        <f t="shared" si="8"/>
        <v>37.301000000000002</v>
      </c>
      <c r="BM18" s="247">
        <f t="shared" si="8"/>
        <v>37.301000000000002</v>
      </c>
      <c r="BN18" s="24"/>
      <c r="BO18" s="248">
        <f>+BM18</f>
        <v>37.301000000000002</v>
      </c>
      <c r="BP18" s="248">
        <f t="shared" si="9"/>
        <v>37.301000000000002</v>
      </c>
      <c r="BQ18" s="248">
        <f t="shared" si="9"/>
        <v>37.301000000000002</v>
      </c>
      <c r="BR18" s="247">
        <f t="shared" si="9"/>
        <v>37.301000000000002</v>
      </c>
    </row>
    <row r="19" spans="1:70">
      <c r="A19" s="232" t="s">
        <v>162</v>
      </c>
      <c r="B19" s="242"/>
      <c r="C19" s="242"/>
      <c r="D19" s="242"/>
      <c r="E19" s="243"/>
      <c r="F19" s="235"/>
      <c r="G19" s="242"/>
      <c r="H19" s="242"/>
      <c r="I19" s="242"/>
      <c r="J19" s="243"/>
      <c r="K19" s="235"/>
      <c r="L19" s="242"/>
      <c r="M19" s="242"/>
      <c r="N19" s="242"/>
      <c r="O19" s="244">
        <v>0.13400000000000001</v>
      </c>
      <c r="P19" s="23"/>
      <c r="Q19" s="245">
        <v>0.127</v>
      </c>
      <c r="R19" s="245">
        <v>0.13400000000000001</v>
      </c>
      <c r="S19" s="245">
        <v>0.17799999999999999</v>
      </c>
      <c r="T19" s="246">
        <v>0.32600000000000001</v>
      </c>
      <c r="U19" s="23"/>
      <c r="V19" s="245">
        <v>0.46600000000000003</v>
      </c>
      <c r="W19" s="245">
        <v>0.59799999999999998</v>
      </c>
      <c r="X19" s="245">
        <v>0.83699999999999997</v>
      </c>
      <c r="Y19" s="246">
        <v>1.0860000000000001</v>
      </c>
      <c r="Z19" s="23"/>
      <c r="AA19" s="245">
        <f>1.049</f>
        <v>1.0489999999999999</v>
      </c>
      <c r="AB19" s="245">
        <v>1.0609999999999999</v>
      </c>
      <c r="AC19" s="245">
        <v>1.228</v>
      </c>
      <c r="AD19" s="246">
        <v>1.4370000000000001</v>
      </c>
      <c r="AE19" s="23"/>
      <c r="AF19" s="245">
        <v>1.302</v>
      </c>
      <c r="AG19" s="245">
        <v>1.2709999999999999</v>
      </c>
      <c r="AH19" s="245">
        <v>2.3029999999999999</v>
      </c>
      <c r="AI19" s="246">
        <v>1.399</v>
      </c>
      <c r="AJ19" s="24"/>
      <c r="AK19" s="245">
        <v>2.286</v>
      </c>
      <c r="AL19" s="245">
        <v>1.504</v>
      </c>
      <c r="AM19" s="245">
        <v>1.6359999999999999</v>
      </c>
      <c r="AN19" s="246">
        <v>2.198</v>
      </c>
      <c r="AO19" s="24"/>
      <c r="AP19" s="245">
        <v>1.7989999999999999</v>
      </c>
      <c r="AQ19" s="245">
        <v>1.9930000000000001</v>
      </c>
      <c r="AR19" s="245">
        <v>2.1429999999999998</v>
      </c>
      <c r="AS19" s="246">
        <v>5.4180000000000001</v>
      </c>
      <c r="AT19" s="24"/>
      <c r="AU19" s="245">
        <v>5.5430000000000001</v>
      </c>
      <c r="AV19" s="245">
        <v>6.1159999999999997</v>
      </c>
      <c r="AW19" s="245">
        <v>5.5819999999999999</v>
      </c>
      <c r="AX19" s="246">
        <v>5.9710000000000001</v>
      </c>
      <c r="AY19" s="24"/>
      <c r="AZ19" s="245">
        <v>5.6390000000000002</v>
      </c>
      <c r="BA19" s="245">
        <v>7.0869999999999997</v>
      </c>
      <c r="BB19" s="245">
        <v>7.8719999999999999</v>
      </c>
      <c r="BC19" s="246">
        <v>6.9809999999999999</v>
      </c>
      <c r="BD19" s="24"/>
      <c r="BE19" s="245">
        <v>7.0949999999999998</v>
      </c>
      <c r="BF19" s="245">
        <v>1.4770000000000001</v>
      </c>
      <c r="BG19" s="245">
        <v>1.0940000000000001</v>
      </c>
      <c r="BH19" s="247">
        <f t="shared" si="7"/>
        <v>1.0940000000000001</v>
      </c>
      <c r="BI19" s="24"/>
      <c r="BJ19" s="248">
        <f>+BH19</f>
        <v>1.0940000000000001</v>
      </c>
      <c r="BK19" s="248">
        <f t="shared" si="8"/>
        <v>1.0940000000000001</v>
      </c>
      <c r="BL19" s="248">
        <f t="shared" si="8"/>
        <v>1.0940000000000001</v>
      </c>
      <c r="BM19" s="247">
        <f t="shared" si="8"/>
        <v>1.0940000000000001</v>
      </c>
      <c r="BN19" s="24"/>
      <c r="BO19" s="248">
        <f>+BM19</f>
        <v>1.0940000000000001</v>
      </c>
      <c r="BP19" s="248">
        <f t="shared" si="9"/>
        <v>1.0940000000000001</v>
      </c>
      <c r="BQ19" s="248">
        <f t="shared" si="9"/>
        <v>1.0940000000000001</v>
      </c>
      <c r="BR19" s="247">
        <f t="shared" si="9"/>
        <v>1.0940000000000001</v>
      </c>
    </row>
    <row r="20" spans="1:70" ht="13.5" thickBot="1">
      <c r="A20" s="145" t="s">
        <v>163</v>
      </c>
      <c r="B20" s="249"/>
      <c r="C20" s="249"/>
      <c r="D20" s="249"/>
      <c r="E20" s="250"/>
      <c r="F20" s="249"/>
      <c r="G20" s="249"/>
      <c r="H20" s="249"/>
      <c r="I20" s="249"/>
      <c r="J20" s="250"/>
      <c r="K20" s="249"/>
      <c r="L20" s="249"/>
      <c r="M20" s="249"/>
      <c r="N20" s="249"/>
      <c r="O20" s="251">
        <f>SUM(O12:O19)</f>
        <v>101.03399999999999</v>
      </c>
      <c r="P20" s="252"/>
      <c r="Q20" s="252">
        <f>SUM(Q12:Q19)</f>
        <v>92.605999999999995</v>
      </c>
      <c r="R20" s="252">
        <f>SUM(R12:R19)</f>
        <v>88.346999999999994</v>
      </c>
      <c r="S20" s="252">
        <f>SUM(S12:S19)</f>
        <v>83.658999999999992</v>
      </c>
      <c r="T20" s="253">
        <f>SUM(T12:T19)</f>
        <v>78.668999999999983</v>
      </c>
      <c r="U20" s="252"/>
      <c r="V20" s="252">
        <f>SUM(V12:V19)</f>
        <v>71.19</v>
      </c>
      <c r="W20" s="252">
        <f>SUM(W12:W19)</f>
        <v>65.460999999999999</v>
      </c>
      <c r="X20" s="252">
        <f>SUM(X12:X19)</f>
        <v>119.07699999999998</v>
      </c>
      <c r="Y20" s="253">
        <f>SUM(Y12:Y19)</f>
        <v>120.63800000000001</v>
      </c>
      <c r="Z20" s="252"/>
      <c r="AA20" s="252">
        <f>SUM(AA12:AA19)</f>
        <v>123.53699999999999</v>
      </c>
      <c r="AB20" s="252">
        <f>SUM(AB12:AB19)</f>
        <v>252.37700000000004</v>
      </c>
      <c r="AC20" s="252">
        <f>SUM(AC12:AC19)</f>
        <v>260.30700000000002</v>
      </c>
      <c r="AD20" s="253">
        <f>SUM(AD12:AD19)</f>
        <v>275.21200000000005</v>
      </c>
      <c r="AE20" s="252"/>
      <c r="AF20" s="252">
        <f>SUM(AF12:AF19)</f>
        <v>267.10000000000008</v>
      </c>
      <c r="AG20" s="252">
        <f>SUM(AG12:AG19)</f>
        <v>256.73699999999997</v>
      </c>
      <c r="AH20" s="252">
        <f>SUM(AH12:AH19)</f>
        <v>454.15100000000001</v>
      </c>
      <c r="AI20" s="253">
        <f>SUM(AI12:AI19)</f>
        <v>457.16300000000001</v>
      </c>
      <c r="AJ20" s="252"/>
      <c r="AK20" s="252">
        <f>SUM(AK12:AK19)</f>
        <v>1025.136</v>
      </c>
      <c r="AL20" s="252">
        <f>SUM(AL12:AL19)</f>
        <v>1027.4349999999999</v>
      </c>
      <c r="AM20" s="252">
        <f>SUM(AM12:AM19)</f>
        <v>1186.356</v>
      </c>
      <c r="AN20" s="253">
        <f>SUM(AN12:AN19)</f>
        <v>1187.825</v>
      </c>
      <c r="AO20" s="252"/>
      <c r="AP20" s="252">
        <f>SUM(AP12:AP19)</f>
        <v>1173.5890000000002</v>
      </c>
      <c r="AQ20" s="252">
        <f>SUM(AQ12:AQ19)</f>
        <v>1144.1979999999999</v>
      </c>
      <c r="AR20" s="252">
        <f>SUM(AR12:AR19)</f>
        <v>1125.9570000000001</v>
      </c>
      <c r="AS20" s="253">
        <f>SUM(AS12:AS19)</f>
        <v>1156.422</v>
      </c>
      <c r="AT20" s="252"/>
      <c r="AU20" s="252">
        <f>SUM(AU12:AU19)</f>
        <v>1157.1189999999999</v>
      </c>
      <c r="AV20" s="252">
        <f>SUM(AV12:AV19)</f>
        <v>1161.1139999999998</v>
      </c>
      <c r="AW20" s="252">
        <f>SUM(AW12:AW19)</f>
        <v>1124.943</v>
      </c>
      <c r="AX20" s="253">
        <f>SUM(AX12:AX19)</f>
        <v>1114.9060000000002</v>
      </c>
      <c r="AY20" s="252"/>
      <c r="AZ20" s="252">
        <f>SUM(AZ12:AZ19)</f>
        <v>1200.0729999999999</v>
      </c>
      <c r="BA20" s="252">
        <f>SUM(BA12:BA19)</f>
        <v>1234.327</v>
      </c>
      <c r="BB20" s="252">
        <f>SUM(BB12:BB19)</f>
        <v>1275.021</v>
      </c>
      <c r="BC20" s="253">
        <f>SUM(BC12:BC19)</f>
        <v>1300.0350000000001</v>
      </c>
      <c r="BD20" s="252"/>
      <c r="BE20" s="252">
        <f>SUM(BE12:BE19)</f>
        <v>1315.4110000000001</v>
      </c>
      <c r="BF20" s="252">
        <f>SUM(BF12:BF19)</f>
        <v>1344.104</v>
      </c>
      <c r="BG20" s="252">
        <f>SUM(BG12:BG19)</f>
        <v>1367.787</v>
      </c>
      <c r="BH20" s="253">
        <f>SUM(BH12:BH19)</f>
        <v>1416.0842799999998</v>
      </c>
      <c r="BI20" s="252"/>
      <c r="BJ20" s="252">
        <f>SUM(BJ12:BJ19)</f>
        <v>1437.847899139</v>
      </c>
      <c r="BK20" s="252">
        <f>SUM(BK12:BK19)</f>
        <v>1496.101590941875</v>
      </c>
      <c r="BL20" s="252">
        <f>SUM(BL12:BL19)</f>
        <v>1539.7421401860749</v>
      </c>
      <c r="BM20" s="253">
        <f>SUM(BM12:BM19)</f>
        <v>1597.2337068333502</v>
      </c>
      <c r="BN20" s="252"/>
      <c r="BO20" s="252">
        <f>SUM(BO12:BO19)</f>
        <v>1622.3407346562551</v>
      </c>
      <c r="BP20" s="252">
        <f>SUM(BP12:BP19)</f>
        <v>1686.937296955115</v>
      </c>
      <c r="BQ20" s="252">
        <f>SUM(BQ12:BQ19)</f>
        <v>1735.457325606319</v>
      </c>
      <c r="BR20" s="253">
        <f>SUM(BR12:BR19)</f>
        <v>1799.1842327372972</v>
      </c>
    </row>
    <row r="21" spans="1:70" ht="3.75" customHeight="1">
      <c r="A21" s="145"/>
      <c r="B21" s="254"/>
      <c r="C21" s="254"/>
      <c r="D21" s="254"/>
      <c r="E21" s="255"/>
      <c r="F21" s="254"/>
      <c r="G21" s="254"/>
      <c r="H21" s="254"/>
      <c r="I21" s="254"/>
      <c r="J21" s="255"/>
      <c r="K21" s="254"/>
      <c r="L21" s="254"/>
      <c r="M21" s="254"/>
      <c r="N21" s="254"/>
      <c r="O21" s="256"/>
      <c r="P21" s="257"/>
      <c r="Q21" s="257"/>
      <c r="R21" s="257"/>
      <c r="S21" s="257"/>
      <c r="T21" s="258"/>
      <c r="U21" s="257"/>
      <c r="V21" s="257"/>
      <c r="W21" s="257"/>
      <c r="X21" s="257"/>
      <c r="Y21" s="258"/>
      <c r="Z21" s="257"/>
      <c r="AA21" s="257"/>
      <c r="AB21" s="257"/>
      <c r="AC21" s="257"/>
      <c r="AD21" s="258"/>
      <c r="AE21" s="257"/>
      <c r="AF21" s="257"/>
      <c r="AG21" s="257"/>
      <c r="AH21" s="257"/>
      <c r="AI21" s="258"/>
      <c r="AJ21" s="257"/>
      <c r="AK21" s="257"/>
      <c r="AL21" s="257"/>
      <c r="AM21" s="257"/>
      <c r="AN21" s="258"/>
      <c r="AO21" s="257"/>
      <c r="AP21" s="257"/>
      <c r="AQ21" s="257"/>
      <c r="AR21" s="257"/>
      <c r="AS21" s="258"/>
      <c r="AT21" s="257"/>
      <c r="AU21" s="257"/>
      <c r="AV21" s="257"/>
      <c r="AW21" s="257"/>
      <c r="AX21" s="258"/>
      <c r="AY21" s="257"/>
      <c r="AZ21" s="257"/>
      <c r="BA21" s="257"/>
      <c r="BB21" s="257"/>
      <c r="BC21" s="258"/>
      <c r="BD21" s="257"/>
      <c r="BE21" s="257"/>
      <c r="BF21" s="257"/>
      <c r="BG21" s="257"/>
      <c r="BH21" s="258"/>
      <c r="BI21" s="257"/>
      <c r="BJ21" s="257"/>
      <c r="BK21" s="257"/>
      <c r="BL21" s="257"/>
      <c r="BM21" s="258"/>
      <c r="BN21" s="257"/>
      <c r="BO21" s="257"/>
      <c r="BP21" s="257"/>
      <c r="BQ21" s="257"/>
      <c r="BR21" s="258"/>
    </row>
    <row r="22" spans="1:70">
      <c r="A22" s="40" t="s">
        <v>164</v>
      </c>
      <c r="B22" s="259"/>
      <c r="C22" s="259"/>
      <c r="D22" s="259"/>
      <c r="E22" s="260"/>
      <c r="G22" s="259"/>
      <c r="H22" s="259"/>
      <c r="I22" s="259"/>
      <c r="J22" s="260"/>
      <c r="L22" s="259"/>
      <c r="M22" s="259"/>
      <c r="N22" s="259"/>
      <c r="O22" s="261"/>
      <c r="P22" s="24"/>
      <c r="Q22" s="262"/>
      <c r="R22" s="262"/>
      <c r="S22" s="262"/>
      <c r="T22" s="263"/>
      <c r="U22" s="24"/>
      <c r="V22" s="262"/>
      <c r="W22" s="262"/>
      <c r="X22" s="262"/>
      <c r="Y22" s="263"/>
      <c r="Z22" s="24"/>
      <c r="AA22" s="262"/>
      <c r="AB22" s="262"/>
      <c r="AC22" s="262"/>
      <c r="AD22" s="263"/>
      <c r="AE22" s="24"/>
      <c r="AF22" s="262"/>
      <c r="AG22" s="262"/>
      <c r="AH22" s="262"/>
      <c r="AI22" s="263"/>
      <c r="AJ22" s="24"/>
      <c r="AK22" s="262"/>
      <c r="AL22" s="262"/>
      <c r="AM22" s="262"/>
      <c r="AN22" s="263"/>
      <c r="AO22" s="24"/>
      <c r="AP22" s="262"/>
      <c r="AQ22" s="262"/>
      <c r="AR22" s="264"/>
      <c r="AS22" s="263"/>
      <c r="AT22" s="24"/>
      <c r="AU22" s="262"/>
      <c r="AV22" s="264"/>
      <c r="AW22" s="264"/>
      <c r="AX22" s="263"/>
      <c r="AY22" s="24"/>
      <c r="AZ22" s="262"/>
      <c r="BA22" s="262"/>
      <c r="BB22" s="262"/>
      <c r="BC22" s="263"/>
      <c r="BD22" s="24"/>
      <c r="BE22" s="262"/>
      <c r="BF22" s="262"/>
      <c r="BG22" s="262"/>
      <c r="BH22" s="263"/>
      <c r="BI22" s="24"/>
      <c r="BJ22" s="262"/>
      <c r="BK22" s="262"/>
      <c r="BL22" s="262"/>
      <c r="BM22" s="263"/>
      <c r="BN22" s="24"/>
      <c r="BO22" s="262"/>
      <c r="BP22" s="262"/>
      <c r="BQ22" s="262"/>
      <c r="BR22" s="263"/>
    </row>
    <row r="23" spans="1:70">
      <c r="A23" s="265" t="s">
        <v>165</v>
      </c>
      <c r="B23" s="233"/>
      <c r="C23" s="233"/>
      <c r="D23" s="233"/>
      <c r="E23" s="234"/>
      <c r="F23" s="235"/>
      <c r="G23" s="233"/>
      <c r="H23" s="233"/>
      <c r="I23" s="233"/>
      <c r="J23" s="234"/>
      <c r="K23" s="235"/>
      <c r="L23" s="233"/>
      <c r="M23" s="233"/>
      <c r="N23" s="233"/>
      <c r="O23" s="236">
        <v>2.4239999999999999</v>
      </c>
      <c r="P23" s="23"/>
      <c r="Q23" s="128">
        <v>2.6110000000000002</v>
      </c>
      <c r="R23" s="128">
        <v>2.3490000000000002</v>
      </c>
      <c r="S23" s="128">
        <v>3.161</v>
      </c>
      <c r="T23" s="131">
        <v>3.8530000000000002</v>
      </c>
      <c r="U23" s="23"/>
      <c r="V23" s="128">
        <v>3.3559999999999999</v>
      </c>
      <c r="W23" s="128">
        <v>1.962</v>
      </c>
      <c r="X23" s="128">
        <v>1.175</v>
      </c>
      <c r="Y23" s="131">
        <v>2.516</v>
      </c>
      <c r="Z23" s="23"/>
      <c r="AA23" s="128">
        <v>4.0640000000000001</v>
      </c>
      <c r="AB23" s="128">
        <v>4.0609999999999999</v>
      </c>
      <c r="AC23" s="128">
        <v>5.5679999999999996</v>
      </c>
      <c r="AD23" s="131">
        <v>2.3279999999999998</v>
      </c>
      <c r="AE23" s="23"/>
      <c r="AF23" s="128">
        <v>7.665</v>
      </c>
      <c r="AG23" s="128">
        <v>2.2240000000000002</v>
      </c>
      <c r="AH23" s="128">
        <v>1.9319999999999999</v>
      </c>
      <c r="AI23" s="131">
        <v>3.1160000000000001</v>
      </c>
      <c r="AJ23" s="24"/>
      <c r="AK23" s="128">
        <v>7.1369999999999996</v>
      </c>
      <c r="AL23" s="128">
        <v>8.4719999999999995</v>
      </c>
      <c r="AM23" s="128">
        <v>11.201000000000001</v>
      </c>
      <c r="AN23" s="131">
        <v>12.36</v>
      </c>
      <c r="AO23" s="24"/>
      <c r="AP23" s="128">
        <v>11.273</v>
      </c>
      <c r="AQ23" s="128">
        <v>10.327999999999999</v>
      </c>
      <c r="AR23" s="128">
        <v>11.114000000000001</v>
      </c>
      <c r="AS23" s="131">
        <v>11.911</v>
      </c>
      <c r="AT23" s="24"/>
      <c r="AU23" s="128">
        <v>15.654999999999999</v>
      </c>
      <c r="AV23" s="128">
        <v>12.895</v>
      </c>
      <c r="AW23" s="128">
        <v>12.531000000000001</v>
      </c>
      <c r="AX23" s="131">
        <v>12.943</v>
      </c>
      <c r="AY23" s="24"/>
      <c r="AZ23" s="128">
        <v>12.151999999999999</v>
      </c>
      <c r="BA23" s="128">
        <v>12.084</v>
      </c>
      <c r="BB23" s="128">
        <v>9.67</v>
      </c>
      <c r="BC23" s="131">
        <v>8.6340000000000003</v>
      </c>
      <c r="BD23" s="24"/>
      <c r="BE23" s="128">
        <v>15.709</v>
      </c>
      <c r="BF23" s="128">
        <v>11.446999999999999</v>
      </c>
      <c r="BG23" s="128">
        <v>5.5090000000000003</v>
      </c>
      <c r="BH23" s="134">
        <f>+BH71*'Income Statement'!BH10</f>
        <v>11.25088</v>
      </c>
      <c r="BI23" s="24"/>
      <c r="BJ23" s="133">
        <f>+BJ71*'Income Statement'!BJ10</f>
        <v>10.4211732</v>
      </c>
      <c r="BK23" s="133">
        <f>+BK71*'Income Statement'!BK10</f>
        <v>11.777942840000001</v>
      </c>
      <c r="BL23" s="133">
        <f>+BL71*'Income Statement'!BL10</f>
        <v>11.690002080000001</v>
      </c>
      <c r="BM23" s="134">
        <f>+BM71*'Income Statement'!BM10</f>
        <v>12.26909148</v>
      </c>
      <c r="BN23" s="24"/>
      <c r="BO23" s="133">
        <f>+BO71*'Income Statement'!BO10</f>
        <v>11.529868023999997</v>
      </c>
      <c r="BP23" s="133">
        <f>+BP71*'Income Statement'!BP10</f>
        <v>13.0435787736</v>
      </c>
      <c r="BQ23" s="133">
        <f>+BQ71*'Income Statement'!BQ10</f>
        <v>12.963322201599999</v>
      </c>
      <c r="BR23" s="134">
        <f>+BR71*'Income Statement'!BR10</f>
        <v>13.586962909600002</v>
      </c>
    </row>
    <row r="24" spans="1:70" hidden="1">
      <c r="A24" s="265" t="s">
        <v>166</v>
      </c>
      <c r="B24" s="233"/>
      <c r="C24" s="233"/>
      <c r="D24" s="233"/>
      <c r="E24" s="234"/>
      <c r="F24" s="235"/>
      <c r="G24" s="233"/>
      <c r="H24" s="233"/>
      <c r="I24" s="233"/>
      <c r="J24" s="234"/>
      <c r="K24" s="235"/>
      <c r="L24" s="233"/>
      <c r="M24" s="233"/>
      <c r="N24" s="233"/>
      <c r="O24" s="131">
        <v>0</v>
      </c>
      <c r="P24" s="23"/>
      <c r="Q24" s="128">
        <v>0</v>
      </c>
      <c r="R24" s="128">
        <v>0</v>
      </c>
      <c r="S24" s="128">
        <v>0</v>
      </c>
      <c r="T24" s="131">
        <v>0</v>
      </c>
      <c r="U24" s="23"/>
      <c r="V24" s="128">
        <v>0</v>
      </c>
      <c r="W24" s="128">
        <v>0</v>
      </c>
      <c r="X24" s="128">
        <v>0</v>
      </c>
      <c r="Y24" s="131">
        <v>0</v>
      </c>
      <c r="Z24" s="23"/>
      <c r="AA24" s="128">
        <v>1.2</v>
      </c>
      <c r="AB24" s="128">
        <v>0</v>
      </c>
      <c r="AC24" s="128">
        <v>0</v>
      </c>
      <c r="AD24" s="131">
        <v>0</v>
      </c>
      <c r="AE24" s="128"/>
      <c r="AF24" s="128">
        <v>0</v>
      </c>
      <c r="AG24" s="128">
        <v>0</v>
      </c>
      <c r="AH24" s="128">
        <v>0</v>
      </c>
      <c r="AI24" s="131">
        <v>0</v>
      </c>
      <c r="AJ24" s="24"/>
      <c r="AK24" s="128">
        <v>0</v>
      </c>
      <c r="AL24" s="128">
        <f>+AK24</f>
        <v>0</v>
      </c>
      <c r="AM24" s="128">
        <v>0</v>
      </c>
      <c r="AN24" s="131">
        <f>+AM24</f>
        <v>0</v>
      </c>
      <c r="AO24" s="24"/>
      <c r="AP24" s="128">
        <f>+AN24</f>
        <v>0</v>
      </c>
      <c r="AQ24" s="128">
        <f>+AP24</f>
        <v>0</v>
      </c>
      <c r="AR24" s="128">
        <f>+AQ24</f>
        <v>0</v>
      </c>
      <c r="AS24" s="131">
        <f>+AR24</f>
        <v>0</v>
      </c>
      <c r="AT24" s="24"/>
      <c r="AU24" s="128">
        <f>+AS24</f>
        <v>0</v>
      </c>
      <c r="AV24" s="128">
        <f>+AU24</f>
        <v>0</v>
      </c>
      <c r="AW24" s="128">
        <f>+AV24</f>
        <v>0</v>
      </c>
      <c r="AX24" s="131">
        <f>+AW24</f>
        <v>0</v>
      </c>
      <c r="AY24" s="24"/>
      <c r="AZ24" s="128">
        <f>+AX24</f>
        <v>0</v>
      </c>
      <c r="BA24" s="128">
        <f>+AZ24</f>
        <v>0</v>
      </c>
      <c r="BB24" s="128">
        <f>+BA24</f>
        <v>0</v>
      </c>
      <c r="BC24" s="131">
        <f>+BB24</f>
        <v>0</v>
      </c>
      <c r="BD24" s="24"/>
      <c r="BE24" s="128">
        <f>+BC24</f>
        <v>0</v>
      </c>
      <c r="BF24" s="128">
        <f>+BE24</f>
        <v>0</v>
      </c>
      <c r="BG24" s="128">
        <f>+BF24</f>
        <v>0</v>
      </c>
      <c r="BH24" s="134">
        <f>+BG24</f>
        <v>0</v>
      </c>
      <c r="BI24" s="24"/>
      <c r="BJ24" s="133">
        <f>+BH24</f>
        <v>0</v>
      </c>
      <c r="BK24" s="133">
        <f>+BJ24</f>
        <v>0</v>
      </c>
      <c r="BL24" s="133">
        <f>+BK24</f>
        <v>0</v>
      </c>
      <c r="BM24" s="134">
        <f>+BL24</f>
        <v>0</v>
      </c>
      <c r="BN24" s="24"/>
      <c r="BO24" s="133">
        <f>+BM24</f>
        <v>0</v>
      </c>
      <c r="BP24" s="133">
        <f>+BO24</f>
        <v>0</v>
      </c>
      <c r="BQ24" s="133">
        <f>+BP24</f>
        <v>0</v>
      </c>
      <c r="BR24" s="134">
        <f>+BQ24</f>
        <v>0</v>
      </c>
    </row>
    <row r="25" spans="1:70">
      <c r="A25" s="265" t="s">
        <v>167</v>
      </c>
      <c r="B25" s="233"/>
      <c r="C25" s="233"/>
      <c r="D25" s="233"/>
      <c r="E25" s="234"/>
      <c r="F25" s="235"/>
      <c r="G25" s="233"/>
      <c r="H25" s="233"/>
      <c r="I25" s="233"/>
      <c r="J25" s="234"/>
      <c r="K25" s="235"/>
      <c r="L25" s="233"/>
      <c r="M25" s="233"/>
      <c r="N25" s="233"/>
      <c r="O25" s="236">
        <v>9.11</v>
      </c>
      <c r="P25" s="23"/>
      <c r="Q25" s="128">
        <v>6.8</v>
      </c>
      <c r="R25" s="128">
        <v>8.4499999999999993</v>
      </c>
      <c r="S25" s="128">
        <v>8.0579999999999998</v>
      </c>
      <c r="T25" s="131">
        <v>8.1750000000000007</v>
      </c>
      <c r="U25" s="23"/>
      <c r="V25" s="128">
        <v>8.4830000000000005</v>
      </c>
      <c r="W25" s="128">
        <v>8.4290000000000003</v>
      </c>
      <c r="X25" s="128">
        <v>9.2609999999999992</v>
      </c>
      <c r="Y25" s="131">
        <v>9.1859999999999999</v>
      </c>
      <c r="Z25" s="23"/>
      <c r="AA25" s="128">
        <f>8.788-AA24</f>
        <v>7.5880000000000001</v>
      </c>
      <c r="AB25" s="128">
        <v>9.82</v>
      </c>
      <c r="AC25" s="128">
        <v>9.76</v>
      </c>
      <c r="AD25" s="131">
        <v>13.734</v>
      </c>
      <c r="AE25" s="23"/>
      <c r="AF25" s="128">
        <v>10.079000000000001</v>
      </c>
      <c r="AG25" s="128">
        <v>9.3859999999999992</v>
      </c>
      <c r="AH25" s="128">
        <v>10.445</v>
      </c>
      <c r="AI25" s="131">
        <f>11.705+0.371</f>
        <v>12.076000000000001</v>
      </c>
      <c r="AJ25" s="24"/>
      <c r="AK25" s="128">
        <f>16.254+0.454+5.986</f>
        <v>22.694000000000003</v>
      </c>
      <c r="AL25" s="128">
        <f>20.756+0.566</f>
        <v>21.321999999999999</v>
      </c>
      <c r="AM25" s="128">
        <f>29.044+3.44</f>
        <v>32.484000000000002</v>
      </c>
      <c r="AN25" s="131">
        <f>39.475+1.127+4.646+2.682</f>
        <v>47.930000000000007</v>
      </c>
      <c r="AO25" s="24"/>
      <c r="AP25" s="128">
        <f>38.543+1.079+4.878+2.703</f>
        <v>47.203000000000003</v>
      </c>
      <c r="AQ25" s="128">
        <f>33.565+1.133+4.193+5.998</f>
        <v>44.888999999999996</v>
      </c>
      <c r="AR25" s="128">
        <f>32.137+1.187+3.863+5.913</f>
        <v>43.099999999999994</v>
      </c>
      <c r="AS25" s="131">
        <f>37.774+2.613+6.06</f>
        <v>46.447000000000003</v>
      </c>
      <c r="AT25" s="24"/>
      <c r="AU25" s="128">
        <f>30.641+2.194+3.3</f>
        <v>36.134999999999998</v>
      </c>
      <c r="AV25" s="128">
        <f>34.427+2.378+3.359</f>
        <v>40.164000000000001</v>
      </c>
      <c r="AW25" s="128">
        <f>34.828+2.214+2.574</f>
        <v>39.616</v>
      </c>
      <c r="AX25" s="131">
        <f>38.427+2.008+2.657</f>
        <v>43.091999999999999</v>
      </c>
      <c r="AY25" s="24"/>
      <c r="AZ25" s="128">
        <f>30.293+2.602+6.934</f>
        <v>39.828999999999994</v>
      </c>
      <c r="BA25" s="128">
        <f>43.455+2.195+7.348+7.185+0.072</f>
        <v>60.255000000000003</v>
      </c>
      <c r="BB25" s="128">
        <f>43.872+2.033+7.391+7.294+0.053</f>
        <v>60.642999999999994</v>
      </c>
      <c r="BC25" s="131">
        <f>43.826+1.673+16.981</f>
        <v>62.480000000000004</v>
      </c>
      <c r="BD25" s="24"/>
      <c r="BE25" s="128">
        <f>35.928+1.712+14.36</f>
        <v>52</v>
      </c>
      <c r="BF25" s="128">
        <f>43.707+1.45+13.415</f>
        <v>58.572000000000003</v>
      </c>
      <c r="BG25" s="128">
        <f>48.373+0.417+13.571+4.282</f>
        <v>66.643000000000001</v>
      </c>
      <c r="BH25" s="134">
        <f>BH72*'Income Statement'!BH10</f>
        <v>56.254400000000004</v>
      </c>
      <c r="BI25" s="24"/>
      <c r="BJ25" s="133">
        <f>BJ72*'Income Statement'!BJ10</f>
        <v>39.079399500000001</v>
      </c>
      <c r="BK25" s="133">
        <f>BK72*'Income Statement'!BK10</f>
        <v>51.528499924999998</v>
      </c>
      <c r="BL25" s="133">
        <f>BL72*'Income Statement'!BL10</f>
        <v>51.143759100000004</v>
      </c>
      <c r="BM25" s="134">
        <f>BM72*'Income Statement'!BM10</f>
        <v>61.345457400000001</v>
      </c>
      <c r="BN25" s="24"/>
      <c r="BO25" s="133">
        <f>BO72*'Income Statement'!BO10</f>
        <v>43.23700508999999</v>
      </c>
      <c r="BP25" s="133">
        <f>BP72*'Income Statement'!BP10</f>
        <v>57.065657134499993</v>
      </c>
      <c r="BQ25" s="133">
        <f>BQ72*'Income Statement'!BQ10</f>
        <v>56.714534631999989</v>
      </c>
      <c r="BR25" s="134">
        <f>BR72*'Income Statement'!BR10</f>
        <v>67.934814548000006</v>
      </c>
    </row>
    <row r="26" spans="1:70">
      <c r="A26" s="145" t="s">
        <v>168</v>
      </c>
      <c r="B26" s="266"/>
      <c r="C26" s="266"/>
      <c r="D26" s="266"/>
      <c r="E26" s="267"/>
      <c r="F26" s="268"/>
      <c r="G26" s="266"/>
      <c r="H26" s="266"/>
      <c r="I26" s="266"/>
      <c r="J26" s="267"/>
      <c r="K26" s="268"/>
      <c r="L26" s="266"/>
      <c r="M26" s="266"/>
      <c r="N26" s="266"/>
      <c r="O26" s="269">
        <f>SUM(O23:O25)</f>
        <v>11.533999999999999</v>
      </c>
      <c r="P26" s="31"/>
      <c r="Q26" s="270">
        <f>SUM(Q23:Q25)</f>
        <v>9.4109999999999996</v>
      </c>
      <c r="R26" s="270">
        <f>SUM(R23:R25)</f>
        <v>10.798999999999999</v>
      </c>
      <c r="S26" s="270">
        <f>SUM(S23:S25)</f>
        <v>11.218999999999999</v>
      </c>
      <c r="T26" s="271">
        <f>SUM(T23:T25)</f>
        <v>12.028</v>
      </c>
      <c r="U26" s="31"/>
      <c r="V26" s="270">
        <f>SUM(V23:V25)</f>
        <v>11.839</v>
      </c>
      <c r="W26" s="270">
        <f>SUM(W23:W25)</f>
        <v>10.391</v>
      </c>
      <c r="X26" s="270">
        <f>SUM(X23:X25)</f>
        <v>10.436</v>
      </c>
      <c r="Y26" s="271">
        <f>SUM(Y23:Y25)</f>
        <v>11.702</v>
      </c>
      <c r="Z26" s="31"/>
      <c r="AA26" s="270">
        <f>SUM(AA23:AA25)</f>
        <v>12.852</v>
      </c>
      <c r="AB26" s="270">
        <f>SUM(AB23:AB25)</f>
        <v>13.881</v>
      </c>
      <c r="AC26" s="270">
        <f>SUM(AC23:AC25)</f>
        <v>15.327999999999999</v>
      </c>
      <c r="AD26" s="271">
        <f>SUM(AD23:AD25)</f>
        <v>16.062000000000001</v>
      </c>
      <c r="AE26" s="31"/>
      <c r="AF26" s="270">
        <f>SUM(AF23:AF25)</f>
        <v>17.744</v>
      </c>
      <c r="AG26" s="270">
        <f>SUM(AG23:AG25)</f>
        <v>11.61</v>
      </c>
      <c r="AH26" s="270">
        <f>SUM(AH23:AH25)</f>
        <v>12.377000000000001</v>
      </c>
      <c r="AI26" s="271">
        <f>SUM(AI23:AI25)</f>
        <v>15.192</v>
      </c>
      <c r="AJ26" s="31"/>
      <c r="AK26" s="270">
        <f>SUM(AK23:AK25)</f>
        <v>29.831000000000003</v>
      </c>
      <c r="AL26" s="270">
        <f>SUM(AL23:AL25)</f>
        <v>29.793999999999997</v>
      </c>
      <c r="AM26" s="270">
        <f>SUM(AM23:AM25)</f>
        <v>43.685000000000002</v>
      </c>
      <c r="AN26" s="271">
        <f>SUM(AN23:AN25)</f>
        <v>60.290000000000006</v>
      </c>
      <c r="AO26" s="31"/>
      <c r="AP26" s="270">
        <f>SUM(AP23:AP25)</f>
        <v>58.475999999999999</v>
      </c>
      <c r="AQ26" s="270">
        <f>SUM(AQ23:AQ25)</f>
        <v>55.216999999999999</v>
      </c>
      <c r="AR26" s="270">
        <f>SUM(AR23:AR25)</f>
        <v>54.213999999999999</v>
      </c>
      <c r="AS26" s="271">
        <f>SUM(AS23:AS25)</f>
        <v>58.358000000000004</v>
      </c>
      <c r="AT26" s="31"/>
      <c r="AU26" s="270">
        <f>SUM(AU23:AU25)</f>
        <v>51.79</v>
      </c>
      <c r="AV26" s="270">
        <f>SUM(AV23:AV25)</f>
        <v>53.058999999999997</v>
      </c>
      <c r="AW26" s="270">
        <f>SUM(AW23:AW25)</f>
        <v>52.146999999999998</v>
      </c>
      <c r="AX26" s="271">
        <f>SUM(AX23:AX25)</f>
        <v>56.034999999999997</v>
      </c>
      <c r="AY26" s="31"/>
      <c r="AZ26" s="270">
        <f>SUM(AZ23:AZ25)</f>
        <v>51.980999999999995</v>
      </c>
      <c r="BA26" s="270">
        <f>SUM(BA23:BA25)</f>
        <v>72.338999999999999</v>
      </c>
      <c r="BB26" s="270">
        <f>SUM(BB23:BB25)</f>
        <v>70.312999999999988</v>
      </c>
      <c r="BC26" s="271">
        <f>SUM(BC23:BC25)</f>
        <v>71.114000000000004</v>
      </c>
      <c r="BD26" s="31"/>
      <c r="BE26" s="270">
        <f>SUM(BE23:BE25)</f>
        <v>67.709000000000003</v>
      </c>
      <c r="BF26" s="270">
        <f>SUM(BF23:BF25)</f>
        <v>70.019000000000005</v>
      </c>
      <c r="BG26" s="270">
        <f>SUM(BG23:BG25)</f>
        <v>72.152000000000001</v>
      </c>
      <c r="BH26" s="271">
        <f>SUM(BH23:BH25)</f>
        <v>67.505279999999999</v>
      </c>
      <c r="BI26" s="31"/>
      <c r="BJ26" s="270">
        <f>SUM(BJ23:BJ25)</f>
        <v>49.500572699999999</v>
      </c>
      <c r="BK26" s="270">
        <f>SUM(BK23:BK25)</f>
        <v>63.306442765</v>
      </c>
      <c r="BL26" s="270">
        <f>SUM(BL23:BL25)</f>
        <v>62.833761180000003</v>
      </c>
      <c r="BM26" s="271">
        <f>SUM(BM23:BM25)</f>
        <v>73.614548880000001</v>
      </c>
      <c r="BN26" s="31"/>
      <c r="BO26" s="270">
        <f>SUM(BO23:BO25)</f>
        <v>54.766873113999985</v>
      </c>
      <c r="BP26" s="270">
        <f>SUM(BP23:BP25)</f>
        <v>70.10923590809999</v>
      </c>
      <c r="BQ26" s="270">
        <f>SUM(BQ23:BQ25)</f>
        <v>69.677856833599989</v>
      </c>
      <c r="BR26" s="271">
        <f>SUM(BR23:BR25)</f>
        <v>81.52177745760001</v>
      </c>
    </row>
    <row r="27" spans="1:70">
      <c r="A27" s="265" t="s">
        <v>169</v>
      </c>
      <c r="B27" s="242"/>
      <c r="C27" s="242"/>
      <c r="D27" s="242"/>
      <c r="E27" s="243"/>
      <c r="F27" s="272"/>
      <c r="G27" s="242"/>
      <c r="H27" s="242"/>
      <c r="I27" s="242"/>
      <c r="J27" s="243"/>
      <c r="K27" s="272"/>
      <c r="L27" s="242"/>
      <c r="M27" s="242"/>
      <c r="N27" s="242"/>
      <c r="O27" s="244">
        <v>24.917999999999999</v>
      </c>
      <c r="P27" s="23"/>
      <c r="Q27" s="245">
        <v>24.943999999999999</v>
      </c>
      <c r="R27" s="245">
        <v>24.971</v>
      </c>
      <c r="S27" s="245">
        <v>24.997</v>
      </c>
      <c r="T27" s="246">
        <v>24.937999999999999</v>
      </c>
      <c r="U27" s="23"/>
      <c r="V27" s="245">
        <v>25.015999999999998</v>
      </c>
      <c r="W27" s="245">
        <v>25.103000000000002</v>
      </c>
      <c r="X27" s="245">
        <v>25.192</v>
      </c>
      <c r="Y27" s="246">
        <f>1.357+23.925</f>
        <v>25.282</v>
      </c>
      <c r="Z27" s="23"/>
      <c r="AA27" s="245">
        <v>12.853999999999999</v>
      </c>
      <c r="AB27" s="245">
        <v>0.58499999999999996</v>
      </c>
      <c r="AC27" s="245">
        <v>0.63900000000000001</v>
      </c>
      <c r="AD27" s="246">
        <v>0.69399999999999995</v>
      </c>
      <c r="AE27" s="23"/>
      <c r="AF27" s="245">
        <v>0.748</v>
      </c>
      <c r="AG27" s="245">
        <v>0.80100000000000005</v>
      </c>
      <c r="AH27" s="245">
        <v>0.75600000000000001</v>
      </c>
      <c r="AI27" s="246">
        <v>0.81</v>
      </c>
      <c r="AJ27" s="24"/>
      <c r="AK27" s="245">
        <v>0.86299999999999999</v>
      </c>
      <c r="AL27" s="245">
        <v>0.91700000000000004</v>
      </c>
      <c r="AM27" s="245">
        <v>1.075</v>
      </c>
      <c r="AN27" s="246">
        <v>0</v>
      </c>
      <c r="AO27" s="24"/>
      <c r="AP27" s="245">
        <v>0</v>
      </c>
      <c r="AQ27" s="245">
        <v>0</v>
      </c>
      <c r="AR27" s="245">
        <v>0</v>
      </c>
      <c r="AS27" s="246">
        <v>0</v>
      </c>
      <c r="AT27" s="24"/>
      <c r="AU27" s="245">
        <v>0</v>
      </c>
      <c r="AV27" s="245">
        <v>0</v>
      </c>
      <c r="AW27" s="245">
        <v>0</v>
      </c>
      <c r="AX27" s="273">
        <v>0</v>
      </c>
      <c r="AY27" s="24"/>
      <c r="AZ27" s="248">
        <f>+AX27+'Cash Flow'!AZ42-'Income Statement'!AZ21</f>
        <v>0</v>
      </c>
      <c r="BA27" s="245">
        <v>0</v>
      </c>
      <c r="BB27" s="245">
        <f>+BA27+'Cash Flow'!BB42-'Income Statement'!BB21</f>
        <v>0</v>
      </c>
      <c r="BC27" s="247">
        <f>+BB27+'Cash Flow'!BC42-'Income Statement'!BC21</f>
        <v>0</v>
      </c>
      <c r="BD27" s="24"/>
      <c r="BE27" s="248">
        <f>+BC27+'Cash Flow'!BE42-'Income Statement'!BE21</f>
        <v>0</v>
      </c>
      <c r="BF27" s="245">
        <f>+BE27+'Cash Flow'!BF42-'Income Statement'!BF21</f>
        <v>0</v>
      </c>
      <c r="BG27" s="245">
        <f>+BF27+'Cash Flow'!BG42-'Income Statement'!BG21</f>
        <v>0</v>
      </c>
      <c r="BH27" s="247">
        <f>+BG27+'Cash Flow'!BH42-'Income Statement'!BH21</f>
        <v>0</v>
      </c>
      <c r="BI27" s="24"/>
      <c r="BJ27" s="248">
        <f>+BH27+'Cash Flow'!BJ42-'Income Statement'!BJ21</f>
        <v>0</v>
      </c>
      <c r="BK27" s="248">
        <f>+BJ27+'Cash Flow'!BK42-'Income Statement'!BK21</f>
        <v>0</v>
      </c>
      <c r="BL27" s="248">
        <f>+BK27+'Cash Flow'!BL42-'Income Statement'!BL21</f>
        <v>0</v>
      </c>
      <c r="BM27" s="247">
        <f>+BL27+'Cash Flow'!BM42-'Income Statement'!BM21</f>
        <v>0</v>
      </c>
      <c r="BN27" s="24"/>
      <c r="BO27" s="248">
        <f>+BM27+'Cash Flow'!BO42-'Income Statement'!BO21</f>
        <v>0</v>
      </c>
      <c r="BP27" s="248">
        <f>+BO27+'Cash Flow'!BP42-'Income Statement'!BP21</f>
        <v>0</v>
      </c>
      <c r="BQ27" s="248">
        <f>+BP27+'Cash Flow'!BQ42-'Income Statement'!BQ21</f>
        <v>0</v>
      </c>
      <c r="BR27" s="247">
        <f>+BQ27+'Cash Flow'!BR42-'Income Statement'!BR21</f>
        <v>0</v>
      </c>
    </row>
    <row r="28" spans="1:70">
      <c r="A28" s="265" t="s">
        <v>170</v>
      </c>
      <c r="B28" s="242"/>
      <c r="C28" s="242"/>
      <c r="D28" s="242"/>
      <c r="E28" s="243"/>
      <c r="F28" s="272"/>
      <c r="G28" s="242"/>
      <c r="H28" s="242"/>
      <c r="I28" s="242"/>
      <c r="J28" s="243"/>
      <c r="K28" s="272"/>
      <c r="L28" s="242"/>
      <c r="M28" s="242"/>
      <c r="N28" s="242"/>
      <c r="O28" s="244">
        <v>0.59899999999999998</v>
      </c>
      <c r="P28" s="23"/>
      <c r="Q28" s="245">
        <v>0.52800000000000002</v>
      </c>
      <c r="R28" s="245">
        <v>0.45600000000000002</v>
      </c>
      <c r="S28" s="245">
        <v>0.38200000000000001</v>
      </c>
      <c r="T28" s="246">
        <v>0.308</v>
      </c>
      <c r="U28" s="23"/>
      <c r="V28" s="245">
        <v>0.23300000000000001</v>
      </c>
      <c r="W28" s="245">
        <v>0.156</v>
      </c>
      <c r="X28" s="245">
        <v>7.9000000000000001E-2</v>
      </c>
      <c r="Y28" s="246">
        <v>0</v>
      </c>
      <c r="Z28" s="23"/>
      <c r="AA28" s="245">
        <f>0.233+1.244+12.582</f>
        <v>14.059000000000001</v>
      </c>
      <c r="AB28" s="245">
        <f>0.156+1.284+12.231</f>
        <v>13.670999999999999</v>
      </c>
      <c r="AC28" s="245">
        <f>0.079+1.365+11.872</f>
        <v>13.315999999999999</v>
      </c>
      <c r="AD28" s="246">
        <f>1.407+11.506</f>
        <v>12.913</v>
      </c>
      <c r="AE28" s="23"/>
      <c r="AF28" s="245">
        <f>1.45+11.132</f>
        <v>12.581999999999999</v>
      </c>
      <c r="AG28" s="245">
        <f>1.495+10.736</f>
        <v>12.231000000000002</v>
      </c>
      <c r="AH28" s="245">
        <f>1.542+10.331</f>
        <v>11.872999999999999</v>
      </c>
      <c r="AI28" s="246">
        <f>1.589+9.917</f>
        <v>11.506</v>
      </c>
      <c r="AJ28" s="24"/>
      <c r="AK28" s="245">
        <f>2.878+14.036</f>
        <v>16.914000000000001</v>
      </c>
      <c r="AL28" s="245">
        <f>3.375+2.936+13.334</f>
        <v>19.645</v>
      </c>
      <c r="AM28" s="245">
        <f>3.465+14.236+1.891+0.241</f>
        <v>19.832999999999998</v>
      </c>
      <c r="AN28" s="246">
        <f>3.63+0.231+14.096+1.407</f>
        <v>19.364000000000001</v>
      </c>
      <c r="AO28" s="24"/>
      <c r="AP28" s="245">
        <f>3.849+0.218+13.485+1.378</f>
        <v>18.93</v>
      </c>
      <c r="AQ28" s="245">
        <f>3.93+0.198+12.529+1.21</f>
        <v>17.867000000000001</v>
      </c>
      <c r="AR28" s="245">
        <f>3.958+0.18+11.527+1.148</f>
        <v>16.812999999999999</v>
      </c>
      <c r="AS28" s="246">
        <f>4.07+0.186+10.648+0.931</f>
        <v>15.835000000000001</v>
      </c>
      <c r="AT28" s="24"/>
      <c r="AU28" s="245">
        <f>4.076+0.127+9.709+0.791</f>
        <v>14.702999999999999</v>
      </c>
      <c r="AV28" s="245">
        <f>4.973+0.119+9.891+0.792</f>
        <v>15.775</v>
      </c>
      <c r="AW28" s="245">
        <f>5.007+0.106+8.72+0.776</f>
        <v>14.609</v>
      </c>
      <c r="AX28" s="246">
        <f>7.525+0.786+5.105+0.101</f>
        <v>13.517000000000001</v>
      </c>
      <c r="AY28" s="24"/>
      <c r="AZ28" s="245">
        <f>8.058+0.528+5.982+0.089</f>
        <v>14.657000000000002</v>
      </c>
      <c r="BA28" s="245">
        <f>1.483+13.553</f>
        <v>15.036000000000001</v>
      </c>
      <c r="BB28" s="245">
        <f>12.4+0.571</f>
        <v>12.971</v>
      </c>
      <c r="BC28" s="246">
        <f>7.5+0.019+43.237+0.411</f>
        <v>51.167000000000002</v>
      </c>
      <c r="BD28" s="24"/>
      <c r="BE28" s="245">
        <f>7.409+0.007+43.092+0.446</f>
        <v>50.953999999999994</v>
      </c>
      <c r="BF28" s="245">
        <f>6.414+44.232+0.508</f>
        <v>51.154000000000003</v>
      </c>
      <c r="BG28" s="245">
        <f>36.171</f>
        <v>36.170999999999999</v>
      </c>
      <c r="BH28" s="247">
        <f t="shared" ref="BH28:BH35" si="15">+BG28</f>
        <v>36.170999999999999</v>
      </c>
      <c r="BI28" s="24"/>
      <c r="BJ28" s="248">
        <f t="shared" ref="BJ28:BJ35" si="16">+BH28</f>
        <v>36.170999999999999</v>
      </c>
      <c r="BK28" s="248">
        <f t="shared" ref="BK28:BM35" si="17">+BJ28</f>
        <v>36.170999999999999</v>
      </c>
      <c r="BL28" s="248">
        <f t="shared" si="17"/>
        <v>36.170999999999999</v>
      </c>
      <c r="BM28" s="247">
        <f t="shared" si="17"/>
        <v>36.170999999999999</v>
      </c>
      <c r="BN28" s="24"/>
      <c r="BO28" s="248">
        <f t="shared" ref="BO28:BO35" si="18">+BM28</f>
        <v>36.170999999999999</v>
      </c>
      <c r="BP28" s="248">
        <f t="shared" ref="BP28:BR35" si="19">+BO28</f>
        <v>36.170999999999999</v>
      </c>
      <c r="BQ28" s="248">
        <f t="shared" si="19"/>
        <v>36.170999999999999</v>
      </c>
      <c r="BR28" s="247">
        <f t="shared" si="19"/>
        <v>36.170999999999999</v>
      </c>
    </row>
    <row r="29" spans="1:70">
      <c r="A29" s="265" t="s">
        <v>171</v>
      </c>
      <c r="B29" s="242"/>
      <c r="C29" s="242"/>
      <c r="D29" s="242"/>
      <c r="E29" s="243"/>
      <c r="F29" s="272"/>
      <c r="G29" s="242"/>
      <c r="H29" s="242"/>
      <c r="I29" s="242"/>
      <c r="J29" s="243"/>
      <c r="K29" s="272"/>
      <c r="L29" s="242"/>
      <c r="M29" s="242"/>
      <c r="N29" s="242"/>
      <c r="O29" s="246">
        <v>0</v>
      </c>
      <c r="P29" s="23"/>
      <c r="Q29" s="245">
        <v>0</v>
      </c>
      <c r="R29" s="245">
        <v>0</v>
      </c>
      <c r="S29" s="245">
        <v>0</v>
      </c>
      <c r="T29" s="246">
        <v>0</v>
      </c>
      <c r="U29" s="23"/>
      <c r="V29" s="245">
        <v>0</v>
      </c>
      <c r="W29" s="245">
        <v>0</v>
      </c>
      <c r="X29" s="245">
        <v>0</v>
      </c>
      <c r="Y29" s="246">
        <v>0</v>
      </c>
      <c r="Z29" s="23"/>
      <c r="AA29" s="245">
        <v>0</v>
      </c>
      <c r="AB29" s="245">
        <v>0</v>
      </c>
      <c r="AC29" s="245">
        <v>0</v>
      </c>
      <c r="AD29" s="246">
        <v>6.0880000000000001</v>
      </c>
      <c r="AE29" s="23"/>
      <c r="AF29" s="245">
        <v>5.6040000000000001</v>
      </c>
      <c r="AG29" s="245">
        <v>5.9480000000000004</v>
      </c>
      <c r="AH29" s="245">
        <v>6.42</v>
      </c>
      <c r="AI29" s="246">
        <v>7.5940000000000003</v>
      </c>
      <c r="AJ29" s="274"/>
      <c r="AK29" s="275">
        <v>1.8</v>
      </c>
      <c r="AL29" s="245">
        <v>4.4669999999999996</v>
      </c>
      <c r="AM29" s="245">
        <f>5.251+2.646</f>
        <v>7.8970000000000002</v>
      </c>
      <c r="AN29" s="246">
        <v>5.7220000000000004</v>
      </c>
      <c r="AO29" s="24"/>
      <c r="AP29" s="245">
        <v>5.7320000000000002</v>
      </c>
      <c r="AQ29" s="245">
        <v>2.3580000000000001</v>
      </c>
      <c r="AR29" s="245">
        <v>2.411</v>
      </c>
      <c r="AS29" s="246">
        <v>2.4980000000000002</v>
      </c>
      <c r="AT29" s="24"/>
      <c r="AU29" s="245">
        <v>4.7729999999999997</v>
      </c>
      <c r="AV29" s="245">
        <v>4.8550000000000004</v>
      </c>
      <c r="AW29" s="245">
        <v>0.48399999999999999</v>
      </c>
      <c r="AX29" s="246">
        <v>0.51800000000000002</v>
      </c>
      <c r="AY29" s="24"/>
      <c r="AZ29" s="245">
        <v>13.446</v>
      </c>
      <c r="BA29" s="245">
        <v>13.888999999999999</v>
      </c>
      <c r="BB29" s="245">
        <v>14.225</v>
      </c>
      <c r="BC29" s="246">
        <v>0.56100000000000005</v>
      </c>
      <c r="BD29" s="24"/>
      <c r="BE29" s="245">
        <v>0.56999999999999995</v>
      </c>
      <c r="BF29" s="245">
        <v>0.57299999999999995</v>
      </c>
      <c r="BG29" s="245">
        <v>0.58299999999999996</v>
      </c>
      <c r="BH29" s="247">
        <f t="shared" si="15"/>
        <v>0.58299999999999996</v>
      </c>
      <c r="BI29" s="24"/>
      <c r="BJ29" s="248">
        <f t="shared" si="16"/>
        <v>0.58299999999999996</v>
      </c>
      <c r="BK29" s="248">
        <f t="shared" si="17"/>
        <v>0.58299999999999996</v>
      </c>
      <c r="BL29" s="248">
        <f t="shared" si="17"/>
        <v>0.58299999999999996</v>
      </c>
      <c r="BM29" s="247">
        <f t="shared" si="17"/>
        <v>0.58299999999999996</v>
      </c>
      <c r="BN29" s="24"/>
      <c r="BO29" s="248">
        <f t="shared" si="18"/>
        <v>0.58299999999999996</v>
      </c>
      <c r="BP29" s="248">
        <f t="shared" si="19"/>
        <v>0.58299999999999996</v>
      </c>
      <c r="BQ29" s="248">
        <f t="shared" si="19"/>
        <v>0.58299999999999996</v>
      </c>
      <c r="BR29" s="247">
        <f t="shared" si="19"/>
        <v>0.58299999999999996</v>
      </c>
    </row>
    <row r="30" spans="1:70">
      <c r="A30" s="265" t="s">
        <v>172</v>
      </c>
      <c r="B30" s="233"/>
      <c r="C30" s="233"/>
      <c r="D30" s="233"/>
      <c r="E30" s="234"/>
      <c r="F30" s="235"/>
      <c r="G30" s="233"/>
      <c r="H30" s="233"/>
      <c r="I30" s="233"/>
      <c r="J30" s="234"/>
      <c r="K30" s="235"/>
      <c r="L30" s="233"/>
      <c r="M30" s="233"/>
      <c r="N30" s="233"/>
      <c r="O30" s="236">
        <v>4.4020000000000001</v>
      </c>
      <c r="P30" s="23"/>
      <c r="Q30" s="128">
        <v>4.3730000000000002</v>
      </c>
      <c r="R30" s="128">
        <v>4.2770000000000001</v>
      </c>
      <c r="S30" s="128">
        <v>4.2450000000000001</v>
      </c>
      <c r="T30" s="131">
        <v>4.17</v>
      </c>
      <c r="U30" s="23"/>
      <c r="V30" s="128">
        <v>4.0940000000000003</v>
      </c>
      <c r="W30" s="128">
        <v>4.0049999999999999</v>
      </c>
      <c r="X30" s="128">
        <v>3.9529999999999998</v>
      </c>
      <c r="Y30" s="131">
        <v>3.899</v>
      </c>
      <c r="Z30" s="23"/>
      <c r="AA30" s="128">
        <v>0</v>
      </c>
      <c r="AB30" s="128">
        <v>0</v>
      </c>
      <c r="AC30" s="128">
        <v>0</v>
      </c>
      <c r="AD30" s="131">
        <v>0</v>
      </c>
      <c r="AE30" s="23"/>
      <c r="AF30" s="128">
        <v>0</v>
      </c>
      <c r="AG30" s="128">
        <v>0</v>
      </c>
      <c r="AH30" s="128">
        <f>+AG30</f>
        <v>0</v>
      </c>
      <c r="AI30" s="246">
        <v>0</v>
      </c>
      <c r="AJ30" s="276"/>
      <c r="AK30" s="133">
        <f t="shared" ref="AK30:AK34" si="20">+AI30</f>
        <v>0</v>
      </c>
      <c r="AL30" s="133">
        <f t="shared" ref="AL30:AN32" si="21">+AK30</f>
        <v>0</v>
      </c>
      <c r="AM30" s="128">
        <v>0</v>
      </c>
      <c r="AN30" s="131">
        <f t="shared" si="21"/>
        <v>0</v>
      </c>
      <c r="AO30" s="24"/>
      <c r="AP30" s="128">
        <f t="shared" ref="AP30:AP34" si="22">+AN30</f>
        <v>0</v>
      </c>
      <c r="AQ30" s="128">
        <f t="shared" ref="AQ30:AS32" si="23">+AP30</f>
        <v>0</v>
      </c>
      <c r="AR30" s="128">
        <f t="shared" si="23"/>
        <v>0</v>
      </c>
      <c r="AS30" s="131">
        <f t="shared" si="23"/>
        <v>0</v>
      </c>
      <c r="AT30" s="24"/>
      <c r="AU30" s="128">
        <f t="shared" ref="AU30:AU34" si="24">+AS30</f>
        <v>0</v>
      </c>
      <c r="AV30" s="128">
        <f t="shared" ref="AV30:AX34" si="25">+AU30</f>
        <v>0</v>
      </c>
      <c r="AW30" s="128">
        <f t="shared" si="25"/>
        <v>0</v>
      </c>
      <c r="AX30" s="131">
        <f t="shared" si="25"/>
        <v>0</v>
      </c>
      <c r="AY30" s="24"/>
      <c r="AZ30" s="128">
        <v>0</v>
      </c>
      <c r="BA30" s="128">
        <f t="shared" ref="BA30:BC34" si="26">+AZ30</f>
        <v>0</v>
      </c>
      <c r="BB30" s="128">
        <f t="shared" si="26"/>
        <v>0</v>
      </c>
      <c r="BC30" s="131">
        <f t="shared" si="26"/>
        <v>0</v>
      </c>
      <c r="BD30" s="24"/>
      <c r="BE30" s="128">
        <f t="shared" ref="BE30:BE34" si="27">+BC30</f>
        <v>0</v>
      </c>
      <c r="BF30" s="128">
        <f t="shared" ref="BF30:BG34" si="28">+BE30</f>
        <v>0</v>
      </c>
      <c r="BG30" s="128">
        <f t="shared" si="28"/>
        <v>0</v>
      </c>
      <c r="BH30" s="134">
        <f t="shared" si="15"/>
        <v>0</v>
      </c>
      <c r="BI30" s="24"/>
      <c r="BJ30" s="133">
        <f t="shared" si="16"/>
        <v>0</v>
      </c>
      <c r="BK30" s="133">
        <f t="shared" si="17"/>
        <v>0</v>
      </c>
      <c r="BL30" s="133">
        <f t="shared" si="17"/>
        <v>0</v>
      </c>
      <c r="BM30" s="134">
        <f t="shared" si="17"/>
        <v>0</v>
      </c>
      <c r="BN30" s="24"/>
      <c r="BO30" s="133">
        <f t="shared" si="18"/>
        <v>0</v>
      </c>
      <c r="BP30" s="133">
        <f t="shared" si="19"/>
        <v>0</v>
      </c>
      <c r="BQ30" s="133">
        <f t="shared" si="19"/>
        <v>0</v>
      </c>
      <c r="BR30" s="134">
        <f t="shared" si="19"/>
        <v>0</v>
      </c>
    </row>
    <row r="31" spans="1:70">
      <c r="A31" s="265" t="s">
        <v>173</v>
      </c>
      <c r="B31" s="233"/>
      <c r="C31" s="233"/>
      <c r="D31" s="233"/>
      <c r="E31" s="234"/>
      <c r="F31" s="235"/>
      <c r="G31" s="233"/>
      <c r="H31" s="233"/>
      <c r="I31" s="233"/>
      <c r="J31" s="234"/>
      <c r="K31" s="235"/>
      <c r="L31" s="233"/>
      <c r="M31" s="233"/>
      <c r="N31" s="233"/>
      <c r="O31" s="236"/>
      <c r="P31" s="23"/>
      <c r="Q31" s="128">
        <v>0</v>
      </c>
      <c r="R31" s="128">
        <v>0</v>
      </c>
      <c r="S31" s="128">
        <v>0</v>
      </c>
      <c r="T31" s="131">
        <v>0</v>
      </c>
      <c r="U31" s="23"/>
      <c r="V31" s="128">
        <v>0</v>
      </c>
      <c r="W31" s="128">
        <v>0</v>
      </c>
      <c r="X31" s="128">
        <v>0</v>
      </c>
      <c r="Y31" s="131">
        <v>0</v>
      </c>
      <c r="Z31" s="23"/>
      <c r="AA31" s="128">
        <v>0</v>
      </c>
      <c r="AB31" s="128">
        <v>0</v>
      </c>
      <c r="AC31" s="128">
        <v>0</v>
      </c>
      <c r="AD31" s="131">
        <f>+AC31</f>
        <v>0</v>
      </c>
      <c r="AE31" s="23"/>
      <c r="AF31" s="128">
        <f>+AD31</f>
        <v>0</v>
      </c>
      <c r="AG31" s="128">
        <v>0</v>
      </c>
      <c r="AH31" s="128">
        <f>+AG31</f>
        <v>0</v>
      </c>
      <c r="AI31" s="246">
        <v>0</v>
      </c>
      <c r="AJ31" s="276"/>
      <c r="AK31" s="133">
        <f t="shared" si="20"/>
        <v>0</v>
      </c>
      <c r="AL31" s="133">
        <f t="shared" si="21"/>
        <v>0</v>
      </c>
      <c r="AM31" s="128">
        <v>6.234</v>
      </c>
      <c r="AN31" s="131">
        <v>5.5919999999999996</v>
      </c>
      <c r="AO31" s="24"/>
      <c r="AP31" s="128">
        <v>4.9829999999999997</v>
      </c>
      <c r="AQ31" s="128">
        <v>4.6050000000000004</v>
      </c>
      <c r="AR31" s="128">
        <v>4.3419999999999996</v>
      </c>
      <c r="AS31" s="131">
        <v>4.5309999999999997</v>
      </c>
      <c r="AT31" s="24"/>
      <c r="AU31" s="128">
        <v>4.5940000000000003</v>
      </c>
      <c r="AV31" s="128">
        <v>4.7069999999999999</v>
      </c>
      <c r="AW31" s="128">
        <v>3.6440000000000001</v>
      </c>
      <c r="AX31" s="131">
        <v>0.73399999999999999</v>
      </c>
      <c r="AY31" s="24"/>
      <c r="AZ31" s="128">
        <v>1.34</v>
      </c>
      <c r="BA31" s="128">
        <v>0.54</v>
      </c>
      <c r="BB31" s="128">
        <v>1.47</v>
      </c>
      <c r="BC31" s="131">
        <v>1.2270000000000001</v>
      </c>
      <c r="BD31" s="24"/>
      <c r="BE31" s="128">
        <v>1.242</v>
      </c>
      <c r="BF31" s="128">
        <v>1.3009999999999999</v>
      </c>
      <c r="BG31" s="128">
        <v>1.214</v>
      </c>
      <c r="BH31" s="134">
        <f t="shared" si="15"/>
        <v>1.214</v>
      </c>
      <c r="BI31" s="24"/>
      <c r="BJ31" s="133">
        <f t="shared" si="16"/>
        <v>1.214</v>
      </c>
      <c r="BK31" s="133">
        <f t="shared" si="17"/>
        <v>1.214</v>
      </c>
      <c r="BL31" s="133">
        <f t="shared" si="17"/>
        <v>1.214</v>
      </c>
      <c r="BM31" s="134">
        <f t="shared" si="17"/>
        <v>1.214</v>
      </c>
      <c r="BN31" s="24"/>
      <c r="BO31" s="133">
        <f t="shared" si="18"/>
        <v>1.214</v>
      </c>
      <c r="BP31" s="133">
        <f t="shared" si="19"/>
        <v>1.214</v>
      </c>
      <c r="BQ31" s="133">
        <f t="shared" si="19"/>
        <v>1.214</v>
      </c>
      <c r="BR31" s="134">
        <f t="shared" si="19"/>
        <v>1.214</v>
      </c>
    </row>
    <row r="32" spans="1:70">
      <c r="A32" s="265" t="s">
        <v>174</v>
      </c>
      <c r="B32" s="233"/>
      <c r="C32" s="233"/>
      <c r="D32" s="233"/>
      <c r="E32" s="234"/>
      <c r="F32" s="235"/>
      <c r="G32" s="233"/>
      <c r="H32" s="233"/>
      <c r="I32" s="233"/>
      <c r="J32" s="234"/>
      <c r="K32" s="235"/>
      <c r="L32" s="233"/>
      <c r="M32" s="233"/>
      <c r="N32" s="233"/>
      <c r="O32" s="236"/>
      <c r="P32" s="23"/>
      <c r="Q32" s="128">
        <v>0</v>
      </c>
      <c r="R32" s="128">
        <v>0</v>
      </c>
      <c r="S32" s="128">
        <v>0</v>
      </c>
      <c r="T32" s="131">
        <v>0</v>
      </c>
      <c r="U32" s="23"/>
      <c r="V32" s="128">
        <v>0</v>
      </c>
      <c r="W32" s="128">
        <v>0</v>
      </c>
      <c r="X32" s="128">
        <v>0</v>
      </c>
      <c r="Y32" s="131">
        <v>0</v>
      </c>
      <c r="Z32" s="23"/>
      <c r="AA32" s="128">
        <v>0</v>
      </c>
      <c r="AB32" s="128">
        <v>0</v>
      </c>
      <c r="AC32" s="128">
        <v>0</v>
      </c>
      <c r="AD32" s="131">
        <v>0</v>
      </c>
      <c r="AE32" s="23"/>
      <c r="AF32" s="128">
        <f>+AD32</f>
        <v>0</v>
      </c>
      <c r="AG32" s="128">
        <v>0</v>
      </c>
      <c r="AH32" s="128">
        <v>0</v>
      </c>
      <c r="AI32" s="246">
        <v>0</v>
      </c>
      <c r="AJ32" s="276"/>
      <c r="AK32" s="133">
        <f t="shared" si="20"/>
        <v>0</v>
      </c>
      <c r="AL32" s="133">
        <f t="shared" si="21"/>
        <v>0</v>
      </c>
      <c r="AM32" s="128">
        <v>0</v>
      </c>
      <c r="AN32" s="131">
        <f t="shared" si="21"/>
        <v>0</v>
      </c>
      <c r="AO32" s="24"/>
      <c r="AP32" s="128">
        <f t="shared" si="22"/>
        <v>0</v>
      </c>
      <c r="AQ32" s="128">
        <f t="shared" si="23"/>
        <v>0</v>
      </c>
      <c r="AR32" s="128">
        <f t="shared" si="23"/>
        <v>0</v>
      </c>
      <c r="AS32" s="131">
        <f t="shared" si="23"/>
        <v>0</v>
      </c>
      <c r="AT32" s="24"/>
      <c r="AU32" s="128">
        <f t="shared" si="24"/>
        <v>0</v>
      </c>
      <c r="AV32" s="128">
        <f t="shared" si="25"/>
        <v>0</v>
      </c>
      <c r="AW32" s="128">
        <f t="shared" si="25"/>
        <v>0</v>
      </c>
      <c r="AX32" s="131">
        <f t="shared" si="25"/>
        <v>0</v>
      </c>
      <c r="AY32" s="24"/>
      <c r="AZ32" s="128">
        <f t="shared" ref="AZ32:AZ34" si="29">+AX32</f>
        <v>0</v>
      </c>
      <c r="BA32" s="128">
        <f t="shared" si="26"/>
        <v>0</v>
      </c>
      <c r="BB32" s="128">
        <f t="shared" si="26"/>
        <v>0</v>
      </c>
      <c r="BC32" s="131">
        <f t="shared" si="26"/>
        <v>0</v>
      </c>
      <c r="BD32" s="24"/>
      <c r="BE32" s="128">
        <f t="shared" si="27"/>
        <v>0</v>
      </c>
      <c r="BF32" s="128">
        <f t="shared" si="28"/>
        <v>0</v>
      </c>
      <c r="BG32" s="128">
        <f t="shared" si="28"/>
        <v>0</v>
      </c>
      <c r="BH32" s="134">
        <f t="shared" si="15"/>
        <v>0</v>
      </c>
      <c r="BI32" s="24"/>
      <c r="BJ32" s="133">
        <f t="shared" si="16"/>
        <v>0</v>
      </c>
      <c r="BK32" s="133">
        <f t="shared" si="17"/>
        <v>0</v>
      </c>
      <c r="BL32" s="133">
        <f t="shared" si="17"/>
        <v>0</v>
      </c>
      <c r="BM32" s="134">
        <f t="shared" si="17"/>
        <v>0</v>
      </c>
      <c r="BN32" s="24"/>
      <c r="BO32" s="133">
        <f t="shared" si="18"/>
        <v>0</v>
      </c>
      <c r="BP32" s="133">
        <f t="shared" si="19"/>
        <v>0</v>
      </c>
      <c r="BQ32" s="133">
        <f t="shared" si="19"/>
        <v>0</v>
      </c>
      <c r="BR32" s="134">
        <f t="shared" si="19"/>
        <v>0</v>
      </c>
    </row>
    <row r="33" spans="1:72">
      <c r="A33" s="265" t="s">
        <v>175</v>
      </c>
      <c r="B33" s="233"/>
      <c r="C33" s="233"/>
      <c r="D33" s="233"/>
      <c r="E33" s="234"/>
      <c r="F33" s="235"/>
      <c r="G33" s="233"/>
      <c r="H33" s="233"/>
      <c r="I33" s="233"/>
      <c r="J33" s="234"/>
      <c r="K33" s="235"/>
      <c r="L33" s="233"/>
      <c r="M33" s="233"/>
      <c r="N33" s="233"/>
      <c r="O33" s="236"/>
      <c r="P33" s="23"/>
      <c r="Q33" s="128"/>
      <c r="R33" s="128"/>
      <c r="S33" s="128"/>
      <c r="T33" s="131"/>
      <c r="U33" s="23"/>
      <c r="V33" s="128"/>
      <c r="W33" s="128"/>
      <c r="X33" s="128"/>
      <c r="Y33" s="131"/>
      <c r="Z33" s="23"/>
      <c r="AA33" s="128"/>
      <c r="AB33" s="128"/>
      <c r="AC33" s="128"/>
      <c r="AD33" s="131"/>
      <c r="AE33" s="23"/>
      <c r="AF33" s="128"/>
      <c r="AG33" s="128"/>
      <c r="AH33" s="128"/>
      <c r="AI33" s="246">
        <v>0.82899999999999996</v>
      </c>
      <c r="AJ33" s="276"/>
      <c r="AK33" s="128">
        <f>0.747+0.75</f>
        <v>1.4969999999999999</v>
      </c>
      <c r="AL33" s="128">
        <f>0.662+0.773</f>
        <v>1.4350000000000001</v>
      </c>
      <c r="AM33" s="128">
        <v>0.55200000000000005</v>
      </c>
      <c r="AN33" s="131">
        <v>0.34300000000000003</v>
      </c>
      <c r="AO33" s="24"/>
      <c r="AP33" s="128">
        <v>0.27800000000000002</v>
      </c>
      <c r="AQ33" s="128">
        <v>0</v>
      </c>
      <c r="AR33" s="128">
        <v>0</v>
      </c>
      <c r="AS33" s="131">
        <v>0</v>
      </c>
      <c r="AT33" s="24"/>
      <c r="AU33" s="128">
        <f t="shared" si="24"/>
        <v>0</v>
      </c>
      <c r="AV33" s="128">
        <f t="shared" si="25"/>
        <v>0</v>
      </c>
      <c r="AW33" s="128">
        <f t="shared" si="25"/>
        <v>0</v>
      </c>
      <c r="AX33" s="131">
        <f t="shared" si="25"/>
        <v>0</v>
      </c>
      <c r="AY33" s="24"/>
      <c r="AZ33" s="128">
        <f t="shared" si="29"/>
        <v>0</v>
      </c>
      <c r="BA33" s="128">
        <f t="shared" si="26"/>
        <v>0</v>
      </c>
      <c r="BB33" s="128">
        <f t="shared" si="26"/>
        <v>0</v>
      </c>
      <c r="BC33" s="131">
        <f t="shared" si="26"/>
        <v>0</v>
      </c>
      <c r="BD33" s="24"/>
      <c r="BE33" s="128">
        <f t="shared" si="27"/>
        <v>0</v>
      </c>
      <c r="BF33" s="128">
        <f t="shared" si="28"/>
        <v>0</v>
      </c>
      <c r="BG33" s="128">
        <f t="shared" si="28"/>
        <v>0</v>
      </c>
      <c r="BH33" s="134">
        <f t="shared" si="15"/>
        <v>0</v>
      </c>
      <c r="BI33" s="24"/>
      <c r="BJ33" s="133">
        <f t="shared" si="16"/>
        <v>0</v>
      </c>
      <c r="BK33" s="133">
        <f t="shared" si="17"/>
        <v>0</v>
      </c>
      <c r="BL33" s="133">
        <f t="shared" si="17"/>
        <v>0</v>
      </c>
      <c r="BM33" s="134">
        <f t="shared" si="17"/>
        <v>0</v>
      </c>
      <c r="BN33" s="24"/>
      <c r="BO33" s="133">
        <f t="shared" si="18"/>
        <v>0</v>
      </c>
      <c r="BP33" s="133">
        <f t="shared" si="19"/>
        <v>0</v>
      </c>
      <c r="BQ33" s="133">
        <f t="shared" si="19"/>
        <v>0</v>
      </c>
      <c r="BR33" s="134">
        <f t="shared" si="19"/>
        <v>0</v>
      </c>
    </row>
    <row r="34" spans="1:72">
      <c r="A34" s="265" t="s">
        <v>176</v>
      </c>
      <c r="B34" s="235"/>
      <c r="C34" s="235"/>
      <c r="D34" s="235"/>
      <c r="E34" s="277"/>
      <c r="F34" s="272"/>
      <c r="G34" s="233"/>
      <c r="H34" s="233"/>
      <c r="I34" s="233"/>
      <c r="J34" s="277"/>
      <c r="K34" s="272"/>
      <c r="L34" s="233"/>
      <c r="M34" s="233"/>
      <c r="N34" s="233"/>
      <c r="O34" s="236">
        <v>0</v>
      </c>
      <c r="P34" s="23"/>
      <c r="Q34" s="128">
        <v>0</v>
      </c>
      <c r="R34" s="128">
        <v>0</v>
      </c>
      <c r="S34" s="23">
        <v>0</v>
      </c>
      <c r="T34" s="278">
        <v>0</v>
      </c>
      <c r="U34" s="23"/>
      <c r="V34" s="23">
        <v>0</v>
      </c>
      <c r="W34" s="23">
        <v>0</v>
      </c>
      <c r="X34" s="23">
        <v>0</v>
      </c>
      <c r="Y34" s="278">
        <v>0</v>
      </c>
      <c r="Z34" s="23"/>
      <c r="AA34" s="23">
        <v>0</v>
      </c>
      <c r="AB34" s="23">
        <v>0</v>
      </c>
      <c r="AC34" s="23">
        <v>0</v>
      </c>
      <c r="AD34" s="278">
        <v>0</v>
      </c>
      <c r="AE34" s="23"/>
      <c r="AF34" s="23">
        <v>0</v>
      </c>
      <c r="AG34" s="23">
        <v>0</v>
      </c>
      <c r="AH34" s="23">
        <v>0</v>
      </c>
      <c r="AI34" s="246">
        <v>0</v>
      </c>
      <c r="AJ34" s="276"/>
      <c r="AK34" s="23">
        <f t="shared" si="20"/>
        <v>0</v>
      </c>
      <c r="AL34" s="24">
        <f t="shared" ref="AL34:AN34" si="30">+AK34</f>
        <v>0</v>
      </c>
      <c r="AM34" s="23">
        <v>0</v>
      </c>
      <c r="AN34" s="278">
        <f t="shared" si="30"/>
        <v>0</v>
      </c>
      <c r="AO34" s="24"/>
      <c r="AP34" s="23">
        <f t="shared" si="22"/>
        <v>0</v>
      </c>
      <c r="AQ34" s="23">
        <f t="shared" ref="AQ34:AS34" si="31">+AP34</f>
        <v>0</v>
      </c>
      <c r="AR34" s="23">
        <f t="shared" si="31"/>
        <v>0</v>
      </c>
      <c r="AS34" s="278">
        <f t="shared" si="31"/>
        <v>0</v>
      </c>
      <c r="AT34" s="24"/>
      <c r="AU34" s="23">
        <f t="shared" si="24"/>
        <v>0</v>
      </c>
      <c r="AV34" s="23">
        <f t="shared" si="25"/>
        <v>0</v>
      </c>
      <c r="AW34" s="23">
        <f t="shared" si="25"/>
        <v>0</v>
      </c>
      <c r="AX34" s="278">
        <f t="shared" si="25"/>
        <v>0</v>
      </c>
      <c r="AY34" s="24"/>
      <c r="AZ34" s="23">
        <f t="shared" si="29"/>
        <v>0</v>
      </c>
      <c r="BA34" s="23">
        <f t="shared" si="26"/>
        <v>0</v>
      </c>
      <c r="BB34" s="23">
        <f t="shared" si="26"/>
        <v>0</v>
      </c>
      <c r="BC34" s="278">
        <f t="shared" si="26"/>
        <v>0</v>
      </c>
      <c r="BD34" s="24"/>
      <c r="BE34" s="23">
        <f t="shared" si="27"/>
        <v>0</v>
      </c>
      <c r="BF34" s="23">
        <f t="shared" si="28"/>
        <v>0</v>
      </c>
      <c r="BG34" s="23">
        <f t="shared" si="28"/>
        <v>0</v>
      </c>
      <c r="BH34" s="279">
        <f t="shared" si="15"/>
        <v>0</v>
      </c>
      <c r="BI34" s="24"/>
      <c r="BJ34" s="24">
        <f t="shared" si="16"/>
        <v>0</v>
      </c>
      <c r="BK34" s="24">
        <f t="shared" si="17"/>
        <v>0</v>
      </c>
      <c r="BL34" s="24">
        <f t="shared" si="17"/>
        <v>0</v>
      </c>
      <c r="BM34" s="279">
        <f t="shared" si="17"/>
        <v>0</v>
      </c>
      <c r="BN34" s="24"/>
      <c r="BO34" s="24">
        <f t="shared" si="18"/>
        <v>0</v>
      </c>
      <c r="BP34" s="24">
        <f t="shared" si="19"/>
        <v>0</v>
      </c>
      <c r="BQ34" s="24">
        <f t="shared" si="19"/>
        <v>0</v>
      </c>
      <c r="BR34" s="279">
        <f t="shared" si="19"/>
        <v>0</v>
      </c>
    </row>
    <row r="35" spans="1:72">
      <c r="A35" s="265" t="s">
        <v>177</v>
      </c>
      <c r="B35" s="235"/>
      <c r="C35" s="235"/>
      <c r="D35" s="235"/>
      <c r="E35" s="277"/>
      <c r="F35" s="272"/>
      <c r="G35" s="235"/>
      <c r="H35" s="235"/>
      <c r="I35" s="235"/>
      <c r="J35" s="277"/>
      <c r="K35" s="272"/>
      <c r="L35" s="235"/>
      <c r="M35" s="235"/>
      <c r="N35" s="235"/>
      <c r="O35" s="280">
        <v>3.4000000000000002E-2</v>
      </c>
      <c r="P35" s="23"/>
      <c r="Q35" s="23">
        <v>3.4000000000000002E-2</v>
      </c>
      <c r="R35" s="23">
        <v>3.4000000000000002E-2</v>
      </c>
      <c r="S35" s="23">
        <v>3.4000000000000002E-2</v>
      </c>
      <c r="T35" s="278">
        <v>3.4000000000000002E-2</v>
      </c>
      <c r="U35" s="23"/>
      <c r="V35" s="23">
        <v>3.4000000000000002E-2</v>
      </c>
      <c r="W35" s="23">
        <v>3.4000000000000002E-2</v>
      </c>
      <c r="X35" s="23">
        <v>4.1000000000000002E-2</v>
      </c>
      <c r="Y35" s="278">
        <v>4.1000000000000002E-2</v>
      </c>
      <c r="Z35" s="23"/>
      <c r="AA35" s="23">
        <v>4.2000000000000003E-2</v>
      </c>
      <c r="AB35" s="23">
        <v>4.8000000000000001E-2</v>
      </c>
      <c r="AC35" s="23">
        <v>4.9000000000000002E-2</v>
      </c>
      <c r="AD35" s="278">
        <v>0.05</v>
      </c>
      <c r="AE35" s="23"/>
      <c r="AF35" s="23">
        <v>0.05</v>
      </c>
      <c r="AG35" s="23">
        <v>0.05</v>
      </c>
      <c r="AH35" s="23">
        <v>5.8000000000000003E-2</v>
      </c>
      <c r="AI35" s="246">
        <v>5.8000000000000003E-2</v>
      </c>
      <c r="AJ35" s="276"/>
      <c r="AK35" s="23">
        <v>6.7000000000000004E-2</v>
      </c>
      <c r="AL35" s="23">
        <v>6.7000000000000004E-2</v>
      </c>
      <c r="AM35" s="23">
        <v>7.0999999999999994E-2</v>
      </c>
      <c r="AN35" s="278">
        <v>7.0999999999999994E-2</v>
      </c>
      <c r="AO35" s="24"/>
      <c r="AP35" s="23">
        <v>7.0999999999999994E-2</v>
      </c>
      <c r="AQ35" s="23">
        <v>7.1999999999999995E-2</v>
      </c>
      <c r="AR35" s="23">
        <v>7.1999999999999995E-2</v>
      </c>
      <c r="AS35" s="278">
        <v>7.1999999999999995E-2</v>
      </c>
      <c r="AT35" s="24"/>
      <c r="AU35" s="23">
        <v>7.1999999999999995E-2</v>
      </c>
      <c r="AV35" s="23">
        <v>7.2999999999999995E-2</v>
      </c>
      <c r="AW35" s="23">
        <v>7.2999999999999995E-2</v>
      </c>
      <c r="AX35" s="278">
        <v>7.2999999999999995E-2</v>
      </c>
      <c r="AY35" s="24"/>
      <c r="AZ35" s="23">
        <v>7.5999999999999998E-2</v>
      </c>
      <c r="BA35" s="23">
        <v>7.6999999999999999E-2</v>
      </c>
      <c r="BB35" s="23">
        <v>7.6999999999999999E-2</v>
      </c>
      <c r="BC35" s="278">
        <v>7.8E-2</v>
      </c>
      <c r="BD35" s="24"/>
      <c r="BE35" s="23">
        <v>7.8E-2</v>
      </c>
      <c r="BF35" s="23">
        <v>7.9000000000000001E-2</v>
      </c>
      <c r="BG35" s="23">
        <v>7.9000000000000001E-2</v>
      </c>
      <c r="BH35" s="279">
        <f t="shared" si="15"/>
        <v>7.9000000000000001E-2</v>
      </c>
      <c r="BI35" s="24"/>
      <c r="BJ35" s="24">
        <f t="shared" si="16"/>
        <v>7.9000000000000001E-2</v>
      </c>
      <c r="BK35" s="24">
        <f t="shared" si="17"/>
        <v>7.9000000000000001E-2</v>
      </c>
      <c r="BL35" s="24">
        <f t="shared" si="17"/>
        <v>7.9000000000000001E-2</v>
      </c>
      <c r="BM35" s="279">
        <f t="shared" si="17"/>
        <v>7.9000000000000001E-2</v>
      </c>
      <c r="BN35" s="24"/>
      <c r="BO35" s="24">
        <f t="shared" si="18"/>
        <v>7.9000000000000001E-2</v>
      </c>
      <c r="BP35" s="24">
        <f t="shared" si="19"/>
        <v>7.9000000000000001E-2</v>
      </c>
      <c r="BQ35" s="24">
        <f t="shared" si="19"/>
        <v>7.9000000000000001E-2</v>
      </c>
      <c r="BR35" s="279">
        <f t="shared" si="19"/>
        <v>7.9000000000000001E-2</v>
      </c>
    </row>
    <row r="36" spans="1:72">
      <c r="A36" s="265" t="s">
        <v>178</v>
      </c>
      <c r="B36" s="235"/>
      <c r="C36" s="235"/>
      <c r="D36" s="235"/>
      <c r="E36" s="277"/>
      <c r="F36" s="272"/>
      <c r="G36" s="235"/>
      <c r="H36" s="235"/>
      <c r="I36" s="235"/>
      <c r="J36" s="277"/>
      <c r="K36" s="272"/>
      <c r="L36" s="235"/>
      <c r="M36" s="235"/>
      <c r="N36" s="235"/>
      <c r="O36" s="280">
        <v>239.631</v>
      </c>
      <c r="P36" s="23"/>
      <c r="Q36" s="23">
        <v>241.61699999999999</v>
      </c>
      <c r="R36" s="23">
        <v>243.40899999999999</v>
      </c>
      <c r="S36" s="23">
        <v>245.43</v>
      </c>
      <c r="T36" s="278">
        <v>248.27799999999999</v>
      </c>
      <c r="U36" s="23"/>
      <c r="V36" s="23">
        <v>250.238</v>
      </c>
      <c r="W36" s="23">
        <v>252.28399999999999</v>
      </c>
      <c r="X36" s="23">
        <v>310.35700000000003</v>
      </c>
      <c r="Y36" s="278">
        <v>313.8</v>
      </c>
      <c r="Z36" s="23"/>
      <c r="AA36" s="23">
        <v>319.733</v>
      </c>
      <c r="AB36" s="23">
        <v>462.68900000000002</v>
      </c>
      <c r="AC36" s="23">
        <v>470.202</v>
      </c>
      <c r="AD36" s="278">
        <f>239.455-AD37-AD35</f>
        <v>486.09</v>
      </c>
      <c r="AE36" s="23"/>
      <c r="AF36" s="23">
        <f>+AD36+'Cash Flow'!AF10</f>
        <v>488.99499999999995</v>
      </c>
      <c r="AG36" s="23">
        <v>495.52300000000002</v>
      </c>
      <c r="AH36" s="23">
        <v>696.21699999999998</v>
      </c>
      <c r="AI36" s="246">
        <v>702.76800000000003</v>
      </c>
      <c r="AJ36" s="276"/>
      <c r="AK36" s="23">
        <v>1297.626</v>
      </c>
      <c r="AL36" s="23">
        <v>1303.6099999999999</v>
      </c>
      <c r="AM36" s="23">
        <v>1461.778</v>
      </c>
      <c r="AN36" s="278">
        <v>1468.683</v>
      </c>
      <c r="AO36" s="24"/>
      <c r="AP36" s="23">
        <v>1477.4179999999999</v>
      </c>
      <c r="AQ36" s="23">
        <v>1483.279</v>
      </c>
      <c r="AR36" s="23">
        <v>1492.0440000000001</v>
      </c>
      <c r="AS36" s="278">
        <v>1500.191</v>
      </c>
      <c r="AT36" s="24"/>
      <c r="AU36" s="23">
        <v>1509.8610000000001</v>
      </c>
      <c r="AV36" s="23">
        <v>1520.6379999999999</v>
      </c>
      <c r="AW36" s="23">
        <v>1528.011</v>
      </c>
      <c r="AX36" s="278">
        <v>1536.1679999999999</v>
      </c>
      <c r="AY36" s="24"/>
      <c r="AZ36" s="23">
        <v>1617.4649999999999</v>
      </c>
      <c r="BA36" s="23">
        <v>1627.307</v>
      </c>
      <c r="BB36" s="23">
        <v>1646.3430000000001</v>
      </c>
      <c r="BC36" s="278">
        <v>1655.961</v>
      </c>
      <c r="BD36" s="24"/>
      <c r="BE36" s="23">
        <v>1660.4349999999999</v>
      </c>
      <c r="BF36" s="23">
        <v>1670.8530000000001</v>
      </c>
      <c r="BG36" s="23">
        <v>1684.587</v>
      </c>
      <c r="BH36" s="279">
        <f>+BG36+'Cash Flow'!BH10</f>
        <v>1694.7159999999999</v>
      </c>
      <c r="BI36" s="24"/>
      <c r="BJ36" s="24">
        <f>+BH36+'Cash Flow'!BJ10</f>
        <v>1706.174</v>
      </c>
      <c r="BK36" s="24">
        <f>+BJ36+'Cash Flow'!BK10</f>
        <v>1717.6589999999999</v>
      </c>
      <c r="BL36" s="24">
        <f>+BK36+'Cash Flow'!BL10</f>
        <v>1728.9159999999999</v>
      </c>
      <c r="BM36" s="279">
        <f>+BL36+'Cash Flow'!BM10</f>
        <v>1739.5449999999998</v>
      </c>
      <c r="BN36" s="24"/>
      <c r="BO36" s="24">
        <f>+BM36+'Cash Flow'!BO10</f>
        <v>1751.5029999999999</v>
      </c>
      <c r="BP36" s="24">
        <f>+BO36+'Cash Flow'!BP10</f>
        <v>1763.4879999999998</v>
      </c>
      <c r="BQ36" s="24">
        <f>+BP36+'Cash Flow'!BQ10</f>
        <v>1775.2449999999999</v>
      </c>
      <c r="BR36" s="279">
        <f>+BQ36+'Cash Flow'!BR10</f>
        <v>1786.3739999999998</v>
      </c>
    </row>
    <row r="37" spans="1:72">
      <c r="A37" s="265" t="s">
        <v>179</v>
      </c>
      <c r="B37" s="235"/>
      <c r="C37" s="235"/>
      <c r="D37" s="235"/>
      <c r="E37" s="277"/>
      <c r="F37" s="272"/>
      <c r="G37" s="235"/>
      <c r="H37" s="235"/>
      <c r="I37" s="235"/>
      <c r="J37" s="277"/>
      <c r="K37" s="272"/>
      <c r="L37" s="235"/>
      <c r="M37" s="235"/>
      <c r="N37" s="235"/>
      <c r="O37" s="280">
        <v>-180.084</v>
      </c>
      <c r="P37" s="23"/>
      <c r="Q37" s="23">
        <v>-188.30099999999999</v>
      </c>
      <c r="R37" s="23">
        <v>-195.59899999999999</v>
      </c>
      <c r="S37" s="23">
        <v>-202.648</v>
      </c>
      <c r="T37" s="278">
        <v>-211.08699999999999</v>
      </c>
      <c r="U37" s="23"/>
      <c r="V37" s="23">
        <v>-220.26400000000001</v>
      </c>
      <c r="W37" s="23">
        <v>-226.512</v>
      </c>
      <c r="X37" s="23">
        <v>-230.98099999999999</v>
      </c>
      <c r="Y37" s="278">
        <v>-234.08600000000001</v>
      </c>
      <c r="Z37" s="23"/>
      <c r="AA37" s="23">
        <v>-236.00299999999999</v>
      </c>
      <c r="AB37" s="23">
        <v>-238.49700000000001</v>
      </c>
      <c r="AC37" s="23">
        <v>-239.227</v>
      </c>
      <c r="AD37" s="278">
        <f>+AC37+'Cash Flow'!AD8</f>
        <v>-246.685</v>
      </c>
      <c r="AE37" s="23"/>
      <c r="AF37" s="23">
        <f>230.422-AF36-AF35-AF34</f>
        <v>-258.62299999999999</v>
      </c>
      <c r="AG37" s="23">
        <v>-269.42599999999999</v>
      </c>
      <c r="AH37" s="23">
        <v>-273.55</v>
      </c>
      <c r="AI37" s="246">
        <v>-281.59399999999999</v>
      </c>
      <c r="AJ37" s="276"/>
      <c r="AK37" s="23">
        <v>-323.46199999999999</v>
      </c>
      <c r="AL37" s="23">
        <v>-332.5</v>
      </c>
      <c r="AM37" s="23">
        <f>-346.629-8.14</f>
        <v>-354.76900000000001</v>
      </c>
      <c r="AN37" s="278">
        <f>-357.157-15.083</f>
        <v>-372.24</v>
      </c>
      <c r="AO37" s="24"/>
      <c r="AP37" s="23">
        <f>-371.618-20.681</f>
        <v>-392.29899999999998</v>
      </c>
      <c r="AQ37" s="23">
        <f>-381.15-38.05</f>
        <v>-419.2</v>
      </c>
      <c r="AR37" s="23">
        <f>-389.873-54.066</f>
        <v>-443.93899999999996</v>
      </c>
      <c r="AS37" s="278">
        <f>-393.717-31.346</f>
        <v>-425.06299999999999</v>
      </c>
      <c r="AT37" s="24"/>
      <c r="AU37" s="23">
        <f>-401.808-26.866</f>
        <v>-428.67399999999998</v>
      </c>
      <c r="AV37" s="23">
        <f>-410.21-27.783</f>
        <v>-437.99299999999999</v>
      </c>
      <c r="AW37" s="23">
        <f>-439.828-34.197</f>
        <v>-474.02499999999998</v>
      </c>
      <c r="AX37" s="278">
        <f>-468.121-24.018</f>
        <v>-492.13900000000001</v>
      </c>
      <c r="AY37" s="24"/>
      <c r="AZ37" s="23">
        <f>-469.985-28.907</f>
        <v>-498.892</v>
      </c>
      <c r="BA37" s="23">
        <f>-464.251-30.61</f>
        <v>-494.86099999999999</v>
      </c>
      <c r="BB37" s="23">
        <f>-449.096-21.282</f>
        <v>-470.37799999999999</v>
      </c>
      <c r="BC37" s="278">
        <f>-443.983-36.09</f>
        <v>-480.07299999999998</v>
      </c>
      <c r="BD37" s="24"/>
      <c r="BE37" s="23">
        <f>-436.936-28.641</f>
        <v>-465.577</v>
      </c>
      <c r="BF37" s="23">
        <f>-437.916-11.959</f>
        <v>-449.875</v>
      </c>
      <c r="BG37" s="23">
        <f>-418.779-8.22</f>
        <v>-426.99900000000002</v>
      </c>
      <c r="BH37" s="279">
        <f>+BG37+'Cash Flow'!BH8</f>
        <v>-384.18400000000003</v>
      </c>
      <c r="BI37" s="24"/>
      <c r="BJ37" s="24">
        <f>+BH37+'Cash Flow'!BJ8</f>
        <v>-355.87367356100003</v>
      </c>
      <c r="BK37" s="24">
        <f>+BJ37+'Cash Flow'!BK8</f>
        <v>-322.91085182312503</v>
      </c>
      <c r="BL37" s="24">
        <f>+BK37+'Cash Flow'!BL8</f>
        <v>-290.05462099392503</v>
      </c>
      <c r="BM37" s="279">
        <f>+BL37+'Cash Flow'!BM8</f>
        <v>-253.97284204665002</v>
      </c>
      <c r="BN37" s="24"/>
      <c r="BO37" s="24">
        <f>+BM37+'Cash Flow'!BO8</f>
        <v>-221.97613845774501</v>
      </c>
      <c r="BP37" s="24">
        <f>+BO37+'Cash Flow'!BP8</f>
        <v>-184.70693895298501</v>
      </c>
      <c r="BQ37" s="24">
        <f>+BP37+'Cash Flow'!BQ8</f>
        <v>-147.51253122728104</v>
      </c>
      <c r="BR37" s="279">
        <f>+BQ37+'Cash Flow'!BR8</f>
        <v>-106.75854472030304</v>
      </c>
    </row>
    <row r="38" spans="1:72">
      <c r="A38" s="281" t="s">
        <v>180</v>
      </c>
      <c r="B38" s="266"/>
      <c r="C38" s="266"/>
      <c r="D38" s="266"/>
      <c r="E38" s="267"/>
      <c r="F38" s="268"/>
      <c r="G38" s="266"/>
      <c r="H38" s="266"/>
      <c r="I38" s="266"/>
      <c r="J38" s="267"/>
      <c r="K38" s="268"/>
      <c r="L38" s="266"/>
      <c r="M38" s="266"/>
      <c r="N38" s="266"/>
      <c r="O38" s="269">
        <f>SUM(O34:O37)</f>
        <v>59.580999999999989</v>
      </c>
      <c r="P38" s="31"/>
      <c r="Q38" s="270">
        <f>SUM(Q34:Q37)</f>
        <v>53.349999999999994</v>
      </c>
      <c r="R38" s="270">
        <f>SUM(R34:R37)</f>
        <v>47.843999999999994</v>
      </c>
      <c r="S38" s="270">
        <f>SUM(S34:S37)</f>
        <v>42.816000000000003</v>
      </c>
      <c r="T38" s="271">
        <f>SUM(T34:T37)</f>
        <v>37.224999999999994</v>
      </c>
      <c r="U38" s="31"/>
      <c r="V38" s="270">
        <f>SUM(V34:V37)</f>
        <v>30.007999999999981</v>
      </c>
      <c r="W38" s="270">
        <f>SUM(W34:W37)</f>
        <v>25.805999999999983</v>
      </c>
      <c r="X38" s="270">
        <f>SUM(X34:X37)</f>
        <v>79.41700000000003</v>
      </c>
      <c r="Y38" s="271">
        <f>SUM(Y34:Y37)</f>
        <v>79.754999999999995</v>
      </c>
      <c r="Z38" s="31"/>
      <c r="AA38" s="270">
        <f>SUM(AA34:AA37)</f>
        <v>83.771999999999991</v>
      </c>
      <c r="AB38" s="270">
        <f>SUM(AB34:AB37)</f>
        <v>224.24</v>
      </c>
      <c r="AC38" s="270">
        <f>SUM(AC34:AC37)</f>
        <v>231.02399999999997</v>
      </c>
      <c r="AD38" s="271">
        <f>SUM(AD34:AD37)</f>
        <v>239.45499999999998</v>
      </c>
      <c r="AE38" s="31"/>
      <c r="AF38" s="270">
        <f>SUM(AF34:AF37)</f>
        <v>230.42199999999997</v>
      </c>
      <c r="AG38" s="270">
        <f>SUM(AG34:AG37)</f>
        <v>226.14700000000005</v>
      </c>
      <c r="AH38" s="270">
        <f>SUM(AH34:AH37)</f>
        <v>422.72499999999997</v>
      </c>
      <c r="AI38" s="258">
        <f>SUM(AI33:AI37)</f>
        <v>422.06099999999998</v>
      </c>
      <c r="AJ38" s="282"/>
      <c r="AK38" s="270">
        <f>SUM(AK33:AK37)</f>
        <v>975.72800000000007</v>
      </c>
      <c r="AL38" s="270">
        <f>SUM(AL33:AL37)</f>
        <v>972.61199999999985</v>
      </c>
      <c r="AM38" s="270">
        <f>SUM(AM33:AM37)</f>
        <v>1107.6320000000001</v>
      </c>
      <c r="AN38" s="271">
        <f>SUM(AN33:AN37)</f>
        <v>1096.857</v>
      </c>
      <c r="AO38" s="31"/>
      <c r="AP38" s="270">
        <f>SUM(AP33:AP37)</f>
        <v>1085.4679999999998</v>
      </c>
      <c r="AQ38" s="270">
        <f>SUM(AQ33:AQ37)</f>
        <v>1064.1509999999998</v>
      </c>
      <c r="AR38" s="270">
        <f>SUM(AR33:AR37)</f>
        <v>1048.1770000000001</v>
      </c>
      <c r="AS38" s="271">
        <f>SUM(AS33:AS37)</f>
        <v>1075.1999999999998</v>
      </c>
      <c r="AT38" s="31"/>
      <c r="AU38" s="270">
        <f>SUM(AU33:AU37)</f>
        <v>1081.259</v>
      </c>
      <c r="AV38" s="270">
        <f>SUM(AV33:AV37)</f>
        <v>1082.7180000000001</v>
      </c>
      <c r="AW38" s="270">
        <f>SUM(AW33:AW37)</f>
        <v>1054.0590000000002</v>
      </c>
      <c r="AX38" s="271">
        <f>SUM(AX33:AX37)</f>
        <v>1044.1019999999999</v>
      </c>
      <c r="AY38" s="31"/>
      <c r="AZ38" s="270">
        <f>SUM(AZ33:AZ37)</f>
        <v>1118.6489999999999</v>
      </c>
      <c r="BA38" s="270">
        <f>SUM(BA33:BA37)</f>
        <v>1132.5230000000001</v>
      </c>
      <c r="BB38" s="270">
        <f>SUM(BB33:BB37)</f>
        <v>1176.0420000000001</v>
      </c>
      <c r="BC38" s="271">
        <f>SUM(BC33:BC37)</f>
        <v>1175.9659999999999</v>
      </c>
      <c r="BD38" s="31"/>
      <c r="BE38" s="270">
        <f>SUM(BE33:BE37)</f>
        <v>1194.9359999999999</v>
      </c>
      <c r="BF38" s="270">
        <f>SUM(BF33:BF37)</f>
        <v>1221.057</v>
      </c>
      <c r="BG38" s="270">
        <f>SUM(BG33:BG37)</f>
        <v>1257.6669999999999</v>
      </c>
      <c r="BH38" s="271">
        <f>SUM(BH33:BH37)</f>
        <v>1310.6109999999999</v>
      </c>
      <c r="BI38" s="31"/>
      <c r="BJ38" s="270">
        <f>SUM(BJ33:BJ37)</f>
        <v>1350.3793264389999</v>
      </c>
      <c r="BK38" s="270">
        <f>SUM(BK33:BK37)</f>
        <v>1394.8271481768747</v>
      </c>
      <c r="BL38" s="270">
        <f>SUM(BL33:BL37)</f>
        <v>1438.9403790060749</v>
      </c>
      <c r="BM38" s="271">
        <f>SUM(BM33:BM37)</f>
        <v>1485.6511579533499</v>
      </c>
      <c r="BN38" s="31"/>
      <c r="BO38" s="270">
        <f>SUM(BO33:BO37)</f>
        <v>1529.6058615422548</v>
      </c>
      <c r="BP38" s="270">
        <f>SUM(BP33:BP37)</f>
        <v>1578.8600610470148</v>
      </c>
      <c r="BQ38" s="270">
        <f>SUM(BQ33:BQ37)</f>
        <v>1627.8114687727189</v>
      </c>
      <c r="BR38" s="271">
        <f>SUM(BR33:BR37)</f>
        <v>1679.6944552796967</v>
      </c>
      <c r="BT38" s="45"/>
    </row>
    <row r="39" spans="1:72" ht="13.5" thickBot="1">
      <c r="A39" s="145" t="s">
        <v>181</v>
      </c>
      <c r="B39" s="249"/>
      <c r="C39" s="249"/>
      <c r="D39" s="249"/>
      <c r="E39" s="250"/>
      <c r="F39" s="283"/>
      <c r="G39" s="249"/>
      <c r="H39" s="249"/>
      <c r="I39" s="249"/>
      <c r="J39" s="250"/>
      <c r="K39" s="283"/>
      <c r="L39" s="249"/>
      <c r="M39" s="249"/>
      <c r="N39" s="249"/>
      <c r="O39" s="251">
        <f>+O38+O26+O30+O27+O28</f>
        <v>101.03399999999998</v>
      </c>
      <c r="P39" s="284"/>
      <c r="Q39" s="252">
        <f>+Q38+Q26+Q30+Q27+Q28</f>
        <v>92.606000000000009</v>
      </c>
      <c r="R39" s="252">
        <f>+R38+R26+R30+R27+R28</f>
        <v>88.346999999999994</v>
      </c>
      <c r="S39" s="252">
        <f>+S38+S26+S30+S27+S28</f>
        <v>83.659000000000006</v>
      </c>
      <c r="T39" s="253">
        <f>+T38+T26+T30+T27+T28</f>
        <v>78.668999999999997</v>
      </c>
      <c r="U39" s="284"/>
      <c r="V39" s="252">
        <f>+V38+V26+V30+V27+V28+V29</f>
        <v>71.189999999999984</v>
      </c>
      <c r="W39" s="252">
        <f>+W38+W26+W30+W27+W28+W29</f>
        <v>65.460999999999984</v>
      </c>
      <c r="X39" s="252">
        <f>+X38+X26+X30+X27+X28+X29</f>
        <v>119.07700000000004</v>
      </c>
      <c r="Y39" s="253">
        <f>+Y38+Y26+Y30+Y27+Y28+Y29</f>
        <v>120.63799999999999</v>
      </c>
      <c r="Z39" s="284"/>
      <c r="AA39" s="252">
        <f>+AA38+AA26+AA30+AA27+AA28+AA29</f>
        <v>123.53699999999999</v>
      </c>
      <c r="AB39" s="252">
        <f>+AB38+AB26+AB30+AB27+AB28+AB29</f>
        <v>252.37700000000001</v>
      </c>
      <c r="AC39" s="252">
        <f>+AC38+AC26+AC30+AC27+AC28+AC29</f>
        <v>260.30699999999996</v>
      </c>
      <c r="AD39" s="253">
        <f>+AD38+AD26+AD30+AD27+AD28+AD29</f>
        <v>275.21200000000005</v>
      </c>
      <c r="AE39" s="284"/>
      <c r="AF39" s="252">
        <f>+AF38+AF26+AF30+AF27+AF28+AF29</f>
        <v>267.09999999999997</v>
      </c>
      <c r="AG39" s="252">
        <f>+AG38+AG26+AG30+AG27+AG28+AG29</f>
        <v>256.73700000000002</v>
      </c>
      <c r="AH39" s="252">
        <f>+AH38+AH26+AH30+AH27+AH28+AH29</f>
        <v>454.15099999999995</v>
      </c>
      <c r="AI39" s="253">
        <f>+AI38+AI26+AI30+AI27+AI28+AI29</f>
        <v>457.16299999999995</v>
      </c>
      <c r="AJ39" s="284"/>
      <c r="AK39" s="252">
        <f>+AK38+AK26+AK30+AK27+AK28+AK29</f>
        <v>1025.1360000000002</v>
      </c>
      <c r="AL39" s="252">
        <f>+AL38+AL26+AL30+AL27+AL28+AL29</f>
        <v>1027.4349999999999</v>
      </c>
      <c r="AM39" s="252">
        <f>+AM38+AM26+AM30+AM27+AM28+AM29+AM31</f>
        <v>1186.356</v>
      </c>
      <c r="AN39" s="253">
        <f>+AN38+AN26+AN30+AN27+AN28+AN29+AN31</f>
        <v>1187.825</v>
      </c>
      <c r="AO39" s="284"/>
      <c r="AP39" s="252">
        <f t="shared" ref="AP39:BR39" si="32">+AP38+AP26+AP30+AP27+AP28+AP29+AP31</f>
        <v>1173.5889999999999</v>
      </c>
      <c r="AQ39" s="252">
        <f t="shared" si="32"/>
        <v>1144.1979999999999</v>
      </c>
      <c r="AR39" s="252">
        <f t="shared" si="32"/>
        <v>1125.9570000000003</v>
      </c>
      <c r="AS39" s="253">
        <f t="shared" si="32"/>
        <v>1156.4219999999998</v>
      </c>
      <c r="AT39" s="284">
        <f t="shared" si="32"/>
        <v>0</v>
      </c>
      <c r="AU39" s="252">
        <f t="shared" si="32"/>
        <v>1157.1189999999999</v>
      </c>
      <c r="AV39" s="252">
        <f t="shared" si="32"/>
        <v>1161.1140000000003</v>
      </c>
      <c r="AW39" s="252">
        <f t="shared" si="32"/>
        <v>1124.943</v>
      </c>
      <c r="AX39" s="253">
        <f t="shared" si="32"/>
        <v>1114.9059999999999</v>
      </c>
      <c r="AY39" s="284">
        <f t="shared" si="32"/>
        <v>0</v>
      </c>
      <c r="AZ39" s="252">
        <f t="shared" si="32"/>
        <v>1200.0729999999996</v>
      </c>
      <c r="BA39" s="252">
        <f t="shared" si="32"/>
        <v>1234.327</v>
      </c>
      <c r="BB39" s="252">
        <f t="shared" si="32"/>
        <v>1275.021</v>
      </c>
      <c r="BC39" s="253">
        <f t="shared" si="32"/>
        <v>1300.0349999999999</v>
      </c>
      <c r="BD39" s="284">
        <f t="shared" si="32"/>
        <v>0</v>
      </c>
      <c r="BE39" s="252">
        <f t="shared" si="32"/>
        <v>1315.4109999999998</v>
      </c>
      <c r="BF39" s="252">
        <f t="shared" si="32"/>
        <v>1344.104</v>
      </c>
      <c r="BG39" s="252">
        <f t="shared" si="32"/>
        <v>1367.787</v>
      </c>
      <c r="BH39" s="253">
        <f t="shared" si="32"/>
        <v>1416.08428</v>
      </c>
      <c r="BI39" s="284">
        <f t="shared" si="32"/>
        <v>0</v>
      </c>
      <c r="BJ39" s="252">
        <f t="shared" si="32"/>
        <v>1437.847899139</v>
      </c>
      <c r="BK39" s="252">
        <f t="shared" si="32"/>
        <v>1496.1015909418747</v>
      </c>
      <c r="BL39" s="252">
        <f t="shared" si="32"/>
        <v>1539.7421401860749</v>
      </c>
      <c r="BM39" s="253">
        <f t="shared" si="32"/>
        <v>1597.23370683335</v>
      </c>
      <c r="BN39" s="284">
        <f t="shared" si="32"/>
        <v>0</v>
      </c>
      <c r="BO39" s="252">
        <f t="shared" si="32"/>
        <v>1622.3407346562549</v>
      </c>
      <c r="BP39" s="252">
        <f t="shared" si="32"/>
        <v>1686.9372969551148</v>
      </c>
      <c r="BQ39" s="252">
        <f t="shared" si="32"/>
        <v>1735.4573256063188</v>
      </c>
      <c r="BR39" s="253">
        <f t="shared" si="32"/>
        <v>1799.1842327372967</v>
      </c>
    </row>
    <row r="40" spans="1:72">
      <c r="A40" s="145"/>
      <c r="B40" s="254"/>
      <c r="C40" s="254"/>
      <c r="D40" s="254"/>
      <c r="E40" s="255"/>
      <c r="F40" s="272"/>
      <c r="G40" s="254"/>
      <c r="H40" s="254"/>
      <c r="I40" s="254"/>
      <c r="J40" s="255"/>
      <c r="K40" s="272"/>
      <c r="L40" s="254"/>
      <c r="M40" s="254"/>
      <c r="N40" s="254"/>
      <c r="O40" s="256"/>
      <c r="P40" s="24"/>
      <c r="Q40" s="257"/>
      <c r="R40" s="257"/>
      <c r="S40" s="257"/>
      <c r="T40" s="258"/>
      <c r="U40" s="24"/>
      <c r="V40" s="257"/>
      <c r="W40" s="257"/>
      <c r="X40" s="257"/>
      <c r="Y40" s="258"/>
      <c r="Z40" s="24"/>
      <c r="AA40" s="257"/>
      <c r="AB40" s="257"/>
      <c r="AC40" s="257"/>
      <c r="AD40" s="258"/>
      <c r="AE40" s="24"/>
      <c r="AF40" s="257"/>
      <c r="AG40" s="257"/>
      <c r="AH40" s="257"/>
      <c r="AI40" s="258"/>
      <c r="AJ40" s="24"/>
      <c r="AK40" s="285"/>
      <c r="AL40" s="285"/>
      <c r="AM40" s="285"/>
      <c r="AN40" s="286"/>
      <c r="AO40" s="24"/>
      <c r="AP40" s="285"/>
      <c r="AQ40" s="285"/>
      <c r="AR40" s="285"/>
      <c r="AS40" s="287"/>
      <c r="AT40" s="24">
        <f t="shared" ref="AT40:BR40" si="33">AT39-AT20</f>
        <v>0</v>
      </c>
      <c r="AU40" s="288">
        <f t="shared" si="33"/>
        <v>0</v>
      </c>
      <c r="AV40" s="289">
        <f t="shared" si="33"/>
        <v>0</v>
      </c>
      <c r="AW40" s="290">
        <f t="shared" si="33"/>
        <v>0</v>
      </c>
      <c r="AX40" s="286">
        <f t="shared" si="33"/>
        <v>0</v>
      </c>
      <c r="AY40" s="24">
        <f t="shared" si="33"/>
        <v>0</v>
      </c>
      <c r="AZ40" s="285">
        <f t="shared" si="33"/>
        <v>0</v>
      </c>
      <c r="BA40" s="285">
        <f t="shared" si="33"/>
        <v>0</v>
      </c>
      <c r="BB40" s="285">
        <f t="shared" si="33"/>
        <v>0</v>
      </c>
      <c r="BC40" s="286">
        <f t="shared" si="33"/>
        <v>0</v>
      </c>
      <c r="BD40" s="24">
        <f t="shared" si="33"/>
        <v>0</v>
      </c>
      <c r="BE40" s="288">
        <f t="shared" si="33"/>
        <v>0</v>
      </c>
      <c r="BF40" s="288">
        <f t="shared" si="33"/>
        <v>0</v>
      </c>
      <c r="BG40" s="285">
        <f t="shared" si="33"/>
        <v>0</v>
      </c>
      <c r="BH40" s="287">
        <f t="shared" si="33"/>
        <v>0</v>
      </c>
      <c r="BI40" s="24">
        <f t="shared" si="33"/>
        <v>0</v>
      </c>
      <c r="BJ40" s="285">
        <f t="shared" si="33"/>
        <v>0</v>
      </c>
      <c r="BK40" s="285">
        <f t="shared" si="33"/>
        <v>0</v>
      </c>
      <c r="BL40" s="285">
        <f t="shared" si="33"/>
        <v>0</v>
      </c>
      <c r="BM40" s="286">
        <f t="shared" si="33"/>
        <v>0</v>
      </c>
      <c r="BN40" s="24">
        <f t="shared" si="33"/>
        <v>0</v>
      </c>
      <c r="BO40" s="285">
        <f t="shared" si="33"/>
        <v>0</v>
      </c>
      <c r="BP40" s="285">
        <f t="shared" si="33"/>
        <v>0</v>
      </c>
      <c r="BQ40" s="285">
        <f t="shared" si="33"/>
        <v>0</v>
      </c>
      <c r="BR40" s="286">
        <f t="shared" si="33"/>
        <v>0</v>
      </c>
    </row>
    <row r="41" spans="1:72">
      <c r="A41" s="74" t="s">
        <v>182</v>
      </c>
      <c r="B41" s="291"/>
      <c r="C41" s="291"/>
      <c r="D41" s="291"/>
      <c r="E41" s="292"/>
      <c r="F41" s="293"/>
      <c r="G41" s="291"/>
      <c r="H41" s="291"/>
      <c r="I41" s="291"/>
      <c r="J41" s="292"/>
      <c r="K41" s="293"/>
      <c r="L41" s="291"/>
      <c r="M41" s="291"/>
      <c r="N41" s="291"/>
      <c r="O41" s="269"/>
      <c r="P41" s="294"/>
      <c r="Q41" s="270"/>
      <c r="R41" s="270"/>
      <c r="S41" s="270"/>
      <c r="T41" s="271"/>
      <c r="U41" s="294"/>
      <c r="V41" s="270"/>
      <c r="W41" s="270"/>
      <c r="X41" s="270"/>
      <c r="Y41" s="271"/>
      <c r="Z41" s="294"/>
      <c r="AA41" s="270"/>
      <c r="AB41" s="270"/>
      <c r="AC41" s="270"/>
      <c r="AD41" s="271"/>
      <c r="AE41" s="294"/>
      <c r="AF41" s="270"/>
      <c r="AG41" s="270"/>
      <c r="AH41" s="270"/>
      <c r="AI41" s="271"/>
      <c r="AJ41" s="294"/>
      <c r="AK41" s="270"/>
      <c r="AL41" s="270"/>
      <c r="AM41" s="270"/>
      <c r="AN41" s="271"/>
      <c r="AO41" s="294"/>
      <c r="AP41" s="270"/>
      <c r="AQ41" s="270"/>
      <c r="AR41" s="270"/>
      <c r="AS41" s="271"/>
      <c r="AT41" s="294"/>
      <c r="AU41" s="270"/>
      <c r="AV41" s="270"/>
      <c r="AW41" s="270"/>
      <c r="AX41" s="271"/>
      <c r="AY41" s="294"/>
      <c r="AZ41" s="270"/>
      <c r="BA41" s="270"/>
      <c r="BB41" s="270"/>
      <c r="BC41" s="271"/>
      <c r="BD41" s="294"/>
      <c r="BE41" s="270"/>
      <c r="BF41" s="270"/>
      <c r="BG41" s="270"/>
      <c r="BH41" s="271"/>
      <c r="BI41" s="294"/>
      <c r="BJ41" s="270"/>
      <c r="BK41" s="270"/>
      <c r="BL41" s="270"/>
      <c r="BM41" s="271"/>
      <c r="BN41" s="294"/>
      <c r="BO41" s="270"/>
      <c r="BP41" s="270"/>
      <c r="BQ41" s="270"/>
      <c r="BR41" s="271"/>
    </row>
    <row r="42" spans="1:72">
      <c r="A42" s="153" t="s">
        <v>183</v>
      </c>
      <c r="B42" s="295"/>
      <c r="C42" s="295"/>
      <c r="D42" s="295"/>
      <c r="E42" s="296"/>
      <c r="G42" s="295"/>
      <c r="H42" s="295"/>
      <c r="I42" s="295"/>
      <c r="J42" s="296"/>
      <c r="L42" s="295"/>
      <c r="M42" s="295"/>
      <c r="N42" s="295"/>
      <c r="O42" s="297">
        <f>O12/O26</f>
        <v>6.3730709207560254</v>
      </c>
      <c r="P42" s="24"/>
      <c r="Q42" s="298">
        <f>Q12/Q26</f>
        <v>7.0316650727871641</v>
      </c>
      <c r="R42" s="298">
        <f>R12/R26</f>
        <v>5.8097972034447638</v>
      </c>
      <c r="S42" s="298">
        <f>S12/S26</f>
        <v>5.1882520723772165</v>
      </c>
      <c r="T42" s="299">
        <f>T12/T26</f>
        <v>4.4835384103757896</v>
      </c>
      <c r="U42" s="24"/>
      <c r="V42" s="298">
        <f>V12/V26</f>
        <v>3.9740687558070786</v>
      </c>
      <c r="W42" s="298">
        <f>W12/W26</f>
        <v>4.0068328361081704</v>
      </c>
      <c r="X42" s="298">
        <f>X12/X26</f>
        <v>9.1389421234189339</v>
      </c>
      <c r="Y42" s="299">
        <f>Y12/Y26</f>
        <v>8.2850794735942586</v>
      </c>
      <c r="Z42" s="24"/>
      <c r="AA42" s="298">
        <f>AA12/AA26</f>
        <v>7.0507314036725788</v>
      </c>
      <c r="AB42" s="298">
        <f>AB12/AB26</f>
        <v>15.845400187306391</v>
      </c>
      <c r="AC42" s="298">
        <f>AC12/AC26</f>
        <v>14.87989300626305</v>
      </c>
      <c r="AD42" s="299">
        <f>AD12/AD26</f>
        <v>11.685157514630808</v>
      </c>
      <c r="AE42" s="24"/>
      <c r="AF42" s="298">
        <f>AF12/AF26</f>
        <v>10.221032461677186</v>
      </c>
      <c r="AG42" s="298">
        <f>AG12/AG26</f>
        <v>14.874074074074073</v>
      </c>
      <c r="AH42" s="298">
        <f>AH12/AH26</f>
        <v>29.919608952088549</v>
      </c>
      <c r="AI42" s="299">
        <f>AI12/AI26</f>
        <v>24.728738809899944</v>
      </c>
      <c r="AJ42" s="24"/>
      <c r="AK42" s="298">
        <f>AK12/AK26</f>
        <v>12.13811136066508</v>
      </c>
      <c r="AL42" s="298">
        <f>AL12/AL26</f>
        <v>12.463784654628448</v>
      </c>
      <c r="AM42" s="298">
        <f>AM12/AM26</f>
        <v>5.249124413414215</v>
      </c>
      <c r="AN42" s="299">
        <f>AN12/AN26</f>
        <v>4.0322109802620663</v>
      </c>
      <c r="AO42" s="24"/>
      <c r="AP42" s="298">
        <f>AP12/AP26</f>
        <v>4.078305629660032</v>
      </c>
      <c r="AQ42" s="298">
        <f>AQ12/AQ26</f>
        <v>4.2567506383903515</v>
      </c>
      <c r="AR42" s="298">
        <f>AR12/AR26</f>
        <v>4.3995277972479441</v>
      </c>
      <c r="AS42" s="299">
        <f>AS12/AS26</f>
        <v>4.260529833099147</v>
      </c>
      <c r="AT42" s="24"/>
      <c r="AU42" s="298">
        <f>AU12/AU26</f>
        <v>4.8562077621162389</v>
      </c>
      <c r="AV42" s="298">
        <f>AV12/AV26</f>
        <v>4.8904050208258738</v>
      </c>
      <c r="AW42" s="298">
        <f>AW12/AW26</f>
        <v>5.1999731528179955</v>
      </c>
      <c r="AX42" s="299">
        <f>AX12/AX26</f>
        <v>5.0971892567145538</v>
      </c>
      <c r="AY42" s="24"/>
      <c r="AZ42" s="298">
        <f>AZ12/AZ26</f>
        <v>5.5870029433831601</v>
      </c>
      <c r="BA42" s="298">
        <f>BA12/BA26</f>
        <v>4.4389057078477725</v>
      </c>
      <c r="BB42" s="298">
        <f>BB12/BB26</f>
        <v>5.0752207984298785</v>
      </c>
      <c r="BC42" s="299">
        <f>BC12/BC26</f>
        <v>5.2347920240740207</v>
      </c>
      <c r="BD42" s="24"/>
      <c r="BE42" s="298">
        <f>BE12/BE26</f>
        <v>5.6588045902317274</v>
      </c>
      <c r="BF42" s="298">
        <f>BF12/BF26</f>
        <v>5.9224067753038456</v>
      </c>
      <c r="BG42" s="298">
        <f>BG12/BG26</f>
        <v>6.2260782791883811</v>
      </c>
      <c r="BH42" s="299">
        <f>BH12/BH26</f>
        <v>7.3213573812300323</v>
      </c>
      <c r="BI42" s="24"/>
      <c r="BJ42" s="298">
        <f>BJ12/BJ26</f>
        <v>10.404423040927767</v>
      </c>
      <c r="BK42" s="298">
        <f>BK12/BK26</f>
        <v>9.0487249942051786</v>
      </c>
      <c r="BL42" s="298">
        <f>BL12/BL26</f>
        <v>9.7804290025802807</v>
      </c>
      <c r="BM42" s="299">
        <f>BM12/BM26</f>
        <v>9.0809726746144559</v>
      </c>
      <c r="BN42" s="24"/>
      <c r="BO42" s="298">
        <f>BO12/BO26</f>
        <v>12.6222238983285</v>
      </c>
      <c r="BP42" s="298">
        <f>BP12/BP26</f>
        <v>10.755933753772265</v>
      </c>
      <c r="BQ42" s="298">
        <f>BQ12/BQ26</f>
        <v>11.471626165471735</v>
      </c>
      <c r="BR42" s="299">
        <f>BR12/BR26</f>
        <v>10.526686972491843</v>
      </c>
    </row>
    <row r="43" spans="1:72">
      <c r="A43" s="9" t="s">
        <v>184</v>
      </c>
      <c r="B43" s="300"/>
      <c r="C43" s="300"/>
      <c r="D43" s="300"/>
      <c r="E43" s="301"/>
      <c r="F43" s="293"/>
      <c r="G43" s="300"/>
      <c r="H43" s="300"/>
      <c r="I43" s="300"/>
      <c r="J43" s="301"/>
      <c r="K43" s="293"/>
      <c r="L43" s="300"/>
      <c r="M43" s="300"/>
      <c r="N43" s="300"/>
      <c r="O43" s="302">
        <f>+O8+O10+O11-O26</f>
        <v>2.7540000000000013</v>
      </c>
      <c r="P43" s="294"/>
      <c r="Q43" s="294">
        <f>+Q8+Q10+Q11-Q26</f>
        <v>5.2580000000000009</v>
      </c>
      <c r="R43" s="294">
        <f>+R8+R10+R11-R26</f>
        <v>5.4780000000000015</v>
      </c>
      <c r="S43" s="294">
        <f>+S8+S10+S11-S26</f>
        <v>5.793000000000001</v>
      </c>
      <c r="T43" s="303">
        <f>+T8+T10+T11-T26</f>
        <v>8.0089999999999986</v>
      </c>
      <c r="U43" s="294"/>
      <c r="V43" s="294">
        <f>+V8+V10+V11-V26</f>
        <v>8.0580000000000016</v>
      </c>
      <c r="W43" s="294">
        <f>+W8+W10+W11-W26</f>
        <v>7.4859999999999989</v>
      </c>
      <c r="X43" s="294">
        <f>+X8+X10+X11-X26</f>
        <v>7.0920000000000023</v>
      </c>
      <c r="Y43" s="303">
        <f>+Y8+Y10+Y11-Y26</f>
        <v>7.2550000000000008</v>
      </c>
      <c r="Z43" s="294"/>
      <c r="AA43" s="294">
        <f>+AA8+AA10+AA11-AA26</f>
        <v>9.9229999999999983</v>
      </c>
      <c r="AB43" s="294">
        <f>+AB8+AB10+AB11-AB26</f>
        <v>11.422000000000001</v>
      </c>
      <c r="AC43" s="294">
        <f>+AC8+AC10+AC11-AC26</f>
        <v>11.089000000000002</v>
      </c>
      <c r="AD43" s="303">
        <f>+AD8+AD10+AD11-AD26</f>
        <v>10.308</v>
      </c>
      <c r="AE43" s="294"/>
      <c r="AF43" s="294">
        <f>+AF8+AF10+AF11-AF26</f>
        <v>10.486000000000004</v>
      </c>
      <c r="AG43" s="294">
        <f>+AG8+AG10+AG11-AG26</f>
        <v>11.728000000000002</v>
      </c>
      <c r="AH43" s="294">
        <f>+AH8+AH10+AH11-AH26</f>
        <v>12.057999999999998</v>
      </c>
      <c r="AI43" s="303">
        <f>+AI8+AI10+AI11-AI26</f>
        <v>9.1229999999999976</v>
      </c>
      <c r="AJ43" s="294"/>
      <c r="AK43" s="294">
        <f>+AK8+AK10+AK11-AK26</f>
        <v>8.1989999999999981</v>
      </c>
      <c r="AL43" s="294">
        <f>+AL8+AL10+AL11-AL26</f>
        <v>14.007000000000005</v>
      </c>
      <c r="AM43" s="294">
        <f>+AM8+AM10+AM11-AM26</f>
        <v>21.593999999999994</v>
      </c>
      <c r="AN43" s="303">
        <f>+AN8+AN10+AN11-AN26</f>
        <v>9.6149999999999949</v>
      </c>
      <c r="AO43" s="294"/>
      <c r="AP43" s="294">
        <f>+AP8+AP10+AP11-AP26</f>
        <v>16.391999999999996</v>
      </c>
      <c r="AQ43" s="294">
        <f>+AQ8+AQ10+AQ11-AQ26</f>
        <v>26.381</v>
      </c>
      <c r="AR43" s="294">
        <f>+AR8+AR10+AR11-AR26</f>
        <v>14.189999999999998</v>
      </c>
      <c r="AS43" s="303">
        <f>+AS8+AS10+AS11-AS26</f>
        <v>36.030999999999992</v>
      </c>
      <c r="AT43" s="294"/>
      <c r="AU43" s="294">
        <f>+AU8+AU10+AU11-AU26</f>
        <v>21.823</v>
      </c>
      <c r="AV43" s="294">
        <f>+AV8+AV10+AV11-AV26</f>
        <v>15.278999999999996</v>
      </c>
      <c r="AW43" s="294">
        <f>+AW8+AW10+AW11-AW26</f>
        <v>16.553000000000004</v>
      </c>
      <c r="AX43" s="303">
        <f>+AX8+AX10+AX11-AX26</f>
        <v>13.132000000000005</v>
      </c>
      <c r="AY43" s="294"/>
      <c r="AZ43" s="294">
        <f>+AZ8+AZ10+AZ11-AZ26</f>
        <v>29.248999999999995</v>
      </c>
      <c r="BA43" s="294">
        <f>+BA8+BA10+BA11-BA26</f>
        <v>12.852000000000004</v>
      </c>
      <c r="BB43" s="294">
        <f>+BB8+BB10+BB11-BB26</f>
        <v>12.462000000000018</v>
      </c>
      <c r="BC43" s="303">
        <f>+BC8+BC10+BC11-BC26</f>
        <v>11.712000000000003</v>
      </c>
      <c r="BD43" s="294"/>
      <c r="BE43" s="294">
        <f>+BE8+BE10+BE11-BE26</f>
        <v>28.087999999999994</v>
      </c>
      <c r="BF43" s="294">
        <f>+BF8+BF10+BF11-BF26</f>
        <v>23.942999999999998</v>
      </c>
      <c r="BG43" s="294">
        <f>+BG8+BG10+BG11-BG26</f>
        <v>10.644000000000005</v>
      </c>
      <c r="BH43" s="303">
        <f>+BH8+BH10+BH11-BH26</f>
        <v>51.266919999999999</v>
      </c>
      <c r="BI43" s="294"/>
      <c r="BJ43" s="294">
        <f>+BJ8+BJ10+BJ11-BJ26</f>
        <v>62.011692799999999</v>
      </c>
      <c r="BK43" s="294">
        <f>+BK8+BK10+BK11-BK26</f>
        <v>60.077557085000009</v>
      </c>
      <c r="BL43" s="294">
        <f>+BL8+BL10+BL11-BL26</f>
        <v>59.780757020000003</v>
      </c>
      <c r="BM43" s="303">
        <f>+BM8+BM10+BM11-BM26</f>
        <v>54.067001569999988</v>
      </c>
      <c r="BN43" s="294"/>
      <c r="BO43" s="294">
        <f>+BO8+BO10+BO11-BO26</f>
        <v>66.44647209599998</v>
      </c>
      <c r="BP43" s="294">
        <f>+BP8+BP10+BP11-BP26</f>
        <v>64.349078360900009</v>
      </c>
      <c r="BQ43" s="294">
        <f>+BQ8+BQ10+BQ11-BQ26</f>
        <v>64.078212430400001</v>
      </c>
      <c r="BR43" s="303">
        <f>+BR8+BR10+BR11-BR26</f>
        <v>57.691148001400009</v>
      </c>
    </row>
    <row r="44" spans="1:72">
      <c r="A44" s="174" t="s">
        <v>185</v>
      </c>
      <c r="B44" s="304"/>
      <c r="C44" s="304"/>
      <c r="D44" s="304"/>
      <c r="E44" s="296"/>
      <c r="G44" s="304"/>
      <c r="H44" s="304"/>
      <c r="I44" s="304"/>
      <c r="J44" s="296"/>
      <c r="L44" s="304"/>
      <c r="M44" s="304"/>
      <c r="N44" s="304"/>
      <c r="O44" s="297" t="s">
        <v>82</v>
      </c>
      <c r="P44" s="24"/>
      <c r="Q44" s="305">
        <f>45*(Q8+O8)/'Income Statement'!Q10</f>
        <v>48.968171859785784</v>
      </c>
      <c r="R44" s="305">
        <f>45*(R8+Q8)/'Income Statement'!R10</f>
        <v>49.268716722807788</v>
      </c>
      <c r="S44" s="305">
        <f>45*(S8+R8)/'Income Statement'!S10</f>
        <v>58.210514298761346</v>
      </c>
      <c r="T44" s="299">
        <f>45*(T8+S8)/'Income Statement'!T10</f>
        <v>55.91932026944275</v>
      </c>
      <c r="U44" s="24"/>
      <c r="V44" s="305">
        <f>45*(V8+T8)/'Revenue Model'!V8</f>
        <v>58.187216206776114</v>
      </c>
      <c r="W44" s="305">
        <f>45*(W8+V8)/'Revenue Model'!W8</f>
        <v>52.875655800188341</v>
      </c>
      <c r="X44" s="305">
        <f>45*(X8+W8)/'Revenue Model'!X8</f>
        <v>48.977429359062711</v>
      </c>
      <c r="Y44" s="299">
        <f>45*(Y8+X8)/'Revenue Model'!Y8</f>
        <v>44.876470588235293</v>
      </c>
      <c r="Z44" s="24"/>
      <c r="AA44" s="305">
        <f>45*(AA8+Y8)/'Revenue Model'!AA8</f>
        <v>52.788018433179722</v>
      </c>
      <c r="AB44" s="305">
        <f>45*(AB8+AA8)/'Revenue Model'!AB8</f>
        <v>57.73982612605861</v>
      </c>
      <c r="AC44" s="305">
        <f>45*(AC8+AB8)/'Revenue Model'!AC8</f>
        <v>59.340455787149651</v>
      </c>
      <c r="AD44" s="299">
        <f>45*(AD8+AC8)/'Revenue Model'!AD8</f>
        <v>55.06145603529783</v>
      </c>
      <c r="AE44" s="24"/>
      <c r="AF44" s="305">
        <f>45*(AF8+AD8)/'Revenue Model'!AF8</f>
        <v>60.720240080026677</v>
      </c>
      <c r="AG44" s="305">
        <f>45*(AG8+AF8)/'Revenue Model'!AG8</f>
        <v>96.132329739679207</v>
      </c>
      <c r="AH44" s="305">
        <f>45*(AH8+AG8)/'Revenue Model'!AH8</f>
        <v>48.127874071453839</v>
      </c>
      <c r="AI44" s="299">
        <f>45*(AI8+AH8)/'Revenue Model'!AI8</f>
        <v>47.561672540241929</v>
      </c>
      <c r="AJ44" s="24"/>
      <c r="AK44" s="305">
        <f>45*(AK8+AI8)/'Revenue Model'!AK8</f>
        <v>60.31833847270088</v>
      </c>
      <c r="AL44" s="305">
        <f>45*(AL8+AK8)/'Revenue Model'!AL8</f>
        <v>52.927470320713482</v>
      </c>
      <c r="AM44" s="305">
        <f>45*(AM8+AL8)/'Revenue Model'!AM8</f>
        <v>63.810931882036272</v>
      </c>
      <c r="AN44" s="299">
        <f>45*(AN8+AM8)/'Revenue Model'!AN8</f>
        <v>68.889242520687446</v>
      </c>
      <c r="AO44" s="24"/>
      <c r="AP44" s="305">
        <f>45*(AP8+AN8)/'Revenue Model'!AP8</f>
        <v>67.477491961414799</v>
      </c>
      <c r="AQ44" s="305">
        <f>45*(AQ8+AP8)/'Revenue Model'!AQ8</f>
        <v>62.490455139154022</v>
      </c>
      <c r="AR44" s="305">
        <f>45*(AR8+AQ8)/'Revenue Model'!AR8</f>
        <v>56.1069730709076</v>
      </c>
      <c r="AS44" s="299">
        <f>45*(AS8+AR8)/'Revenue Model'!AS8</f>
        <v>53.850275370362461</v>
      </c>
      <c r="AT44" s="24"/>
      <c r="AU44" s="305">
        <f>45*(AU8+AS8)/'Revenue Model'!AU8</f>
        <v>55.6377424167081</v>
      </c>
      <c r="AV44" s="305">
        <f>45*(AV8+AU8)/'Revenue Model'!AV8</f>
        <v>48.360591566869317</v>
      </c>
      <c r="AW44" s="305">
        <f>45*(AW8+AV8)/'Revenue Model'!AW8</f>
        <v>44.807954933424384</v>
      </c>
      <c r="AX44" s="299">
        <f>45*(AX8+AW8)/'Revenue Model'!AX8</f>
        <v>39.667809924213088</v>
      </c>
      <c r="AY44" s="24"/>
      <c r="AZ44" s="305">
        <f>45*(AZ8+AX8)/'Revenue Model'!AZ8</f>
        <v>43.375469253513181</v>
      </c>
      <c r="BA44" s="305">
        <f>45*(BA8+AZ8)/'Revenue Model'!BA8</f>
        <v>40.792792371692997</v>
      </c>
      <c r="BB44" s="305">
        <f>45*(BB8+BA8)/'Revenue Model'!BB8</f>
        <v>40.717161481156879</v>
      </c>
      <c r="BC44" s="299">
        <f>45*(BC8+BB8)/'Revenue Model'!BC8</f>
        <v>38.251123475283542</v>
      </c>
      <c r="BD44" s="24"/>
      <c r="BE44" s="305">
        <f>45*(BE8+BC8)/'Revenue Model'!BE8</f>
        <v>42.063293852332976</v>
      </c>
      <c r="BF44" s="305">
        <f>45*(BF8+BE8)/'Revenue Model'!BF8</f>
        <v>38.497133229186261</v>
      </c>
      <c r="BG44" s="305">
        <f>45*(BG8+BF8)/'Revenue Model'!BG8</f>
        <v>34.744356429443627</v>
      </c>
      <c r="BH44" s="299">
        <f>45*(BH8+BG8)/'Revenue Model'!BH8</f>
        <v>43.801201537260908</v>
      </c>
      <c r="BI44" s="24"/>
      <c r="BJ44" s="305">
        <f>45*(BJ8+BH8)/'Revenue Model'!BJ8</f>
        <v>57.82028392683371</v>
      </c>
      <c r="BK44" s="305">
        <f>45*(BK8+BJ8)/'Revenue Model'!BK8</f>
        <v>52.20085268550168</v>
      </c>
      <c r="BL44" s="305">
        <f>45*(BL8+BK8)/'Revenue Model'!BL8</f>
        <v>55.418364243248178</v>
      </c>
      <c r="BM44" s="299">
        <f>45*(BM8+BL8)/'Revenue Model'!BM8</f>
        <v>54.016714161177838</v>
      </c>
      <c r="BN44" s="24"/>
      <c r="BO44" s="305">
        <f>45*(BO8+BM8)/'Revenue Model'!BO8</f>
        <v>57.256216554795046</v>
      </c>
      <c r="BP44" s="305">
        <f>45*(BP8+BO8)/'Revenue Model'!BP8</f>
        <v>52.071240727625899</v>
      </c>
      <c r="BQ44" s="305">
        <f>45*(BQ8+BP8)/'Revenue Model'!BQ8</f>
        <v>55.2822124774084</v>
      </c>
      <c r="BR44" s="299">
        <f>45*(BR8+BQ8)/'Revenue Model'!BR8</f>
        <v>53.948373304676366</v>
      </c>
    </row>
    <row r="45" spans="1:72">
      <c r="A45" s="118" t="s">
        <v>186</v>
      </c>
      <c r="B45" s="306"/>
      <c r="C45" s="306"/>
      <c r="D45" s="306"/>
      <c r="E45" s="307"/>
      <c r="F45" s="293"/>
      <c r="G45" s="306"/>
      <c r="H45" s="306"/>
      <c r="I45" s="306"/>
      <c r="J45" s="307"/>
      <c r="K45" s="293"/>
      <c r="L45" s="306"/>
      <c r="M45" s="306"/>
      <c r="N45" s="306"/>
      <c r="O45" s="308" t="s">
        <v>82</v>
      </c>
      <c r="P45" s="294"/>
      <c r="Q45" s="309" t="s">
        <v>82</v>
      </c>
      <c r="R45" s="309" t="s">
        <v>82</v>
      </c>
      <c r="S45" s="309" t="s">
        <v>82</v>
      </c>
      <c r="T45" s="310">
        <f>(+T8+O8)/('Income Statement'!T10+'Income Statement'!S10+'Income Statement'!R10+'Income Statement'!Q10)*180</f>
        <v>53.715064000111198</v>
      </c>
      <c r="U45" s="294"/>
      <c r="V45" s="309">
        <f>(+V8+Q8)/('Revenue Model'!V8+'Revenue Model'!T8+'Revenue Model'!S8+'Revenue Model'!R8)*180</f>
        <v>53.176729043699218</v>
      </c>
      <c r="W45" s="309">
        <f>(+W8+R8)/('Revenue Model'!W8+'Revenue Model'!V8+'Revenue Model'!T8+'Revenue Model'!S8)*180</f>
        <v>54.44378720565841</v>
      </c>
      <c r="X45" s="309">
        <f>(+X8+S8)/('Revenue Model'!X8+'Revenue Model'!W8+'Revenue Model'!V8+'Revenue Model'!T8)*180</f>
        <v>50.513892477159033</v>
      </c>
      <c r="Y45" s="310">
        <f>(+Y8+T8)/('Revenue Model'!Y8+'Revenue Model'!X8+'Revenue Model'!W8+'Revenue Model'!V8)*180</f>
        <v>51.166509257835671</v>
      </c>
      <c r="Z45" s="294"/>
      <c r="AA45" s="309">
        <f>(+AA8+V8)/('Revenue Model'!AA8+'Revenue Model'!Y8+'Revenue Model'!X8+'Revenue Model'!W8)*180</f>
        <v>55.663962823890628</v>
      </c>
      <c r="AB45" s="309">
        <f>(+AB8+W8)/('Revenue Model'!AB8+'Revenue Model'!AA8+'Revenue Model'!Y8+'Revenue Model'!X8)*180</f>
        <v>54.704884364675422</v>
      </c>
      <c r="AC45" s="309">
        <f>(+AC8+X8)/('Revenue Model'!AC8+'Revenue Model'!AB8+'Revenue Model'!AA8+'Revenue Model'!Y8)*180</f>
        <v>51.558994419835471</v>
      </c>
      <c r="AD45" s="310">
        <f>(+AD8+Y8)/('Revenue Model'!AD8+'Revenue Model'!AC8+'Revenue Model'!AB8+'Revenue Model'!AA8)*180</f>
        <v>51.133715243817242</v>
      </c>
      <c r="AE45" s="294"/>
      <c r="AF45" s="309">
        <f>(+AF8+AA8)/('Revenue Model'!AF8+'Revenue Model'!AD8+'Revenue Model'!AC8+'Revenue Model'!AB8)*180</f>
        <v>58.987306919243373</v>
      </c>
      <c r="AG45" s="309">
        <f>(+AG8+AB8)/('Revenue Model'!AG8+'Revenue Model'!AF8+'Revenue Model'!AD8+'Revenue Model'!AC8)*180</f>
        <v>57.299836894638041</v>
      </c>
      <c r="AH45" s="309">
        <f>(+AH8+AC8)/('Revenue Model'!AH8+'Revenue Model'!AG8+'Revenue Model'!AF8+'Revenue Model'!AD8)*180</f>
        <v>62.602847621932746</v>
      </c>
      <c r="AI45" s="310">
        <f>(+AI8+AD8)/('Revenue Model'!AI8+'Revenue Model'!AH8+'Revenue Model'!AG8+'Revenue Model'!AF8)*180</f>
        <v>59.646954986760804</v>
      </c>
      <c r="AJ45" s="294"/>
      <c r="AK45" s="309">
        <f>(+AK8+AF8)/('Revenue Model'!AK8+'Revenue Model'!AI8+'Revenue Model'!AH8+'Revenue Model'!AG8)*180</f>
        <v>78.238707348899197</v>
      </c>
      <c r="AL45" s="309">
        <f>(+AL8+AG8)/('Revenue Model'!AL8+'Revenue Model'!AK8+'Revenue Model'!AI8+'Revenue Model'!AH8)*180</f>
        <v>56.730113201242006</v>
      </c>
      <c r="AM45" s="309">
        <f>(+AM8+AH8)/('Revenue Model'!AM8+'Revenue Model'!AL8+'Revenue Model'!AK8+'Revenue Model'!AI8)*180</f>
        <v>61.858118064535539</v>
      </c>
      <c r="AN45" s="310">
        <f>(+AN8+AI8)/('Revenue Model'!AN8+'Revenue Model'!AM8+'Revenue Model'!AL8+'Revenue Model'!AK8)*180</f>
        <v>55.403598643866033</v>
      </c>
      <c r="AO45" s="294"/>
      <c r="AP45" s="309">
        <f>(+AP8+AK8)/('Revenue Model'!AP8+'Revenue Model'!AN8+'Revenue Model'!AM8+'Revenue Model'!AL8)*180</f>
        <v>59.99715752970382</v>
      </c>
      <c r="AQ45" s="309">
        <f>(+AQ8+AL8)/('Revenue Model'!AQ8+'Revenue Model'!AP8+'Revenue Model'!AN8+'Revenue Model'!AM8)*180</f>
        <v>59.161943375043741</v>
      </c>
      <c r="AR45" s="309">
        <f>(+AR8+AM8)/('Revenue Model'!AR8+'Revenue Model'!AQ8+'Revenue Model'!AP8+'Revenue Model'!AN8)*180</f>
        <v>61.910744622125975</v>
      </c>
      <c r="AS45" s="310">
        <f>(+AS8+AN8)/('Revenue Model'!AS8+'Revenue Model'!AR8+'Revenue Model'!AQ8+'Revenue Model'!AP8)*180</f>
        <v>61.413404431956053</v>
      </c>
      <c r="AT45" s="294"/>
      <c r="AU45" s="309">
        <f>(+AU8+AP8)/('Revenue Model'!AU8+'Revenue Model'!AS8+'Revenue Model'!AR8+'Revenue Model'!AQ8)*180</f>
        <v>59.314504045549889</v>
      </c>
      <c r="AV45" s="309">
        <f>(+AV8+AQ8)/('Revenue Model'!AV8+'Revenue Model'!AU8+'Revenue Model'!AS8+'Revenue Model'!AR8)*180</f>
        <v>51.580637459298046</v>
      </c>
      <c r="AW45" s="309">
        <f>(+AW8+AR8)/('Revenue Model'!AW8+'Revenue Model'!AV8+'Revenue Model'!AU8+'Revenue Model'!AS8)*180</f>
        <v>46.620391220066182</v>
      </c>
      <c r="AX45" s="310">
        <f>(+AX8+AS8)/('Revenue Model'!AX8+'Revenue Model'!AW8+'Revenue Model'!AV8+'Revenue Model'!AU8)*180</f>
        <v>46.523326248997073</v>
      </c>
      <c r="AY45" s="294"/>
      <c r="AZ45" s="309">
        <f>(+AZ8+AU8)/('Revenue Model'!AZ8+'Revenue Model'!AX8+'Revenue Model'!AW8+'Revenue Model'!AV8)*180</f>
        <v>48.157259855595463</v>
      </c>
      <c r="BA45" s="309">
        <f>(+BA8+AV8)/('Revenue Model'!BA8+'Revenue Model'!AZ8+'Revenue Model'!AX8+'Revenue Model'!AW8)*180</f>
        <v>45.122460572943446</v>
      </c>
      <c r="BB45" s="309">
        <f>(+BB8+AW8)/('Revenue Model'!BB8+'Revenue Model'!BA8+'Revenue Model'!AZ8+'Revenue Model'!AX8)*180</f>
        <v>39.926887113098388</v>
      </c>
      <c r="BC45" s="310">
        <f>(+BC8+AX8)/('Revenue Model'!BC8+'Revenue Model'!BB8+'Revenue Model'!BA8+'Revenue Model'!AZ8)*180</f>
        <v>37.336506261919361</v>
      </c>
      <c r="BD45" s="294"/>
      <c r="BE45" s="309">
        <f>(+BE8+AZ8)/('Revenue Model'!BE8+'Revenue Model'!BC8+'Revenue Model'!BB8+'Revenue Model'!BA8)*180</f>
        <v>41.471671020971769</v>
      </c>
      <c r="BF45" s="309">
        <f>(+BF8+BA8)/('Revenue Model'!BF8+'Revenue Model'!BE8+'Revenue Model'!BC8+'Revenue Model'!BB8)*180</f>
        <v>40.334264060630233</v>
      </c>
      <c r="BG45" s="309">
        <f>(+BG8+BB8)/('Revenue Model'!BG8+'Revenue Model'!BF8+'Revenue Model'!BE8+'Revenue Model'!BC8)*180</f>
        <v>37.049373775240696</v>
      </c>
      <c r="BH45" s="310">
        <f>(+BH8+BC8)/('Revenue Model'!BH8+'Revenue Model'!BG8+'Revenue Model'!BF8+'Revenue Model'!BE8)*180</f>
        <v>47.780587808270845</v>
      </c>
      <c r="BI45" s="294"/>
      <c r="BJ45" s="309">
        <f>(+BJ8+BE8)/('Revenue Model'!BJ8+'Revenue Model'!BH8+'Revenue Model'!BG8+'Revenue Model'!BF8)*180</f>
        <v>46.353769631024662</v>
      </c>
      <c r="BK45" s="309">
        <f>(+BK8+BF8)/('Revenue Model'!BK8+'Revenue Model'!BJ8+'Revenue Model'!BH8+'Revenue Model'!BG8)*180</f>
        <v>46.938353125438177</v>
      </c>
      <c r="BL45" s="309">
        <f>(+BL8+BG8)/('Revenue Model'!BL8+'Revenue Model'!BK8+'Revenue Model'!BJ8+'Revenue Model'!BH8)*180</f>
        <v>44.444856691039107</v>
      </c>
      <c r="BM45" s="310">
        <f>(+BM8+BH8)/('Revenue Model'!BM8+'Revenue Model'!BL8+'Revenue Model'!BK8+'Revenue Model'!BJ8)*180</f>
        <v>56.433281672729422</v>
      </c>
      <c r="BN45" s="294"/>
      <c r="BO45" s="309">
        <f>(+BO8+BJ8)/('Revenue Model'!BO8+'Revenue Model'!BM8+'Revenue Model'!BL8+'Revenue Model'!BK8)*180</f>
        <v>51.409424911166873</v>
      </c>
      <c r="BP45" s="309">
        <f>(+BP8+BK8)/('Revenue Model'!BP8+'Revenue Model'!BO8+'Revenue Model'!BM8+'Revenue Model'!BL8)*180</f>
        <v>56.586316275669105</v>
      </c>
      <c r="BQ45" s="309">
        <f>(+BQ8+BL8)/('Revenue Model'!BQ8+'Revenue Model'!BP8+'Revenue Model'!BO8+'Revenue Model'!BM8)*180</f>
        <v>54.737560069221452</v>
      </c>
      <c r="BR45" s="310">
        <f>(+BR8+BM8)/('Revenue Model'!BR8+'Revenue Model'!BQ8+'Revenue Model'!BP8+'Revenue Model'!BO8)*180</f>
        <v>55.900199786601668</v>
      </c>
    </row>
    <row r="46" spans="1:72" hidden="1">
      <c r="A46" s="155"/>
      <c r="B46" s="311"/>
      <c r="C46" s="311"/>
      <c r="D46" s="311"/>
      <c r="E46" s="312"/>
      <c r="G46" s="311"/>
      <c r="H46" s="311"/>
      <c r="I46" s="311"/>
      <c r="J46" s="312"/>
      <c r="L46" s="311"/>
      <c r="M46" s="311"/>
      <c r="N46" s="311"/>
      <c r="O46" s="297"/>
      <c r="P46" s="24"/>
      <c r="Q46" s="298"/>
      <c r="R46" s="298"/>
      <c r="S46" s="298"/>
      <c r="T46" s="299"/>
      <c r="U46" s="24"/>
      <c r="V46" s="298"/>
      <c r="W46" s="298"/>
      <c r="X46" s="298"/>
      <c r="Y46" s="299"/>
      <c r="Z46" s="24"/>
      <c r="AA46" s="298"/>
      <c r="AB46" s="298"/>
      <c r="AC46" s="298"/>
      <c r="AD46" s="299"/>
      <c r="AE46" s="24"/>
      <c r="AF46" s="298"/>
      <c r="AG46" s="298"/>
      <c r="AH46" s="298"/>
      <c r="AI46" s="299"/>
      <c r="AJ46" s="24"/>
      <c r="AK46" s="298"/>
      <c r="AL46" s="298"/>
      <c r="AM46" s="298"/>
      <c r="AN46" s="299"/>
      <c r="AO46" s="24"/>
      <c r="AP46" s="298"/>
      <c r="AQ46" s="298"/>
      <c r="AR46" s="298"/>
      <c r="AS46" s="299"/>
      <c r="AT46" s="24"/>
      <c r="AU46" s="298"/>
      <c r="AV46" s="298"/>
      <c r="AW46" s="298"/>
      <c r="AX46" s="299"/>
      <c r="AY46" s="24"/>
      <c r="AZ46" s="298"/>
      <c r="BA46" s="298"/>
      <c r="BB46" s="298"/>
      <c r="BC46" s="299"/>
      <c r="BD46" s="24"/>
      <c r="BE46" s="298"/>
      <c r="BF46" s="298"/>
      <c r="BG46" s="298"/>
      <c r="BH46" s="299"/>
      <c r="BI46" s="24"/>
      <c r="BJ46" s="298"/>
      <c r="BK46" s="298"/>
      <c r="BL46" s="298"/>
      <c r="BM46" s="299"/>
      <c r="BN46" s="24"/>
      <c r="BO46" s="298"/>
      <c r="BP46" s="298"/>
      <c r="BQ46" s="298"/>
      <c r="BR46" s="299"/>
    </row>
    <row r="47" spans="1:72">
      <c r="A47" s="4" t="s">
        <v>187</v>
      </c>
      <c r="B47" s="313"/>
      <c r="C47" s="313"/>
      <c r="D47" s="313"/>
      <c r="E47" s="314"/>
      <c r="F47" s="315"/>
      <c r="G47" s="313"/>
      <c r="H47" s="313"/>
      <c r="I47" s="313"/>
      <c r="J47" s="314"/>
      <c r="K47" s="315"/>
      <c r="L47" s="313"/>
      <c r="M47" s="313"/>
      <c r="N47" s="313"/>
      <c r="O47" s="316">
        <f>O38/'Income Statement'!O33</f>
        <v>1.8791946647411182</v>
      </c>
      <c r="P47" s="24"/>
      <c r="Q47" s="317">
        <f>Q38/'Income Statement'!Q33</f>
        <v>1.5772875792017882</v>
      </c>
      <c r="R47" s="317">
        <f>R38/'Income Statement'!R33</f>
        <v>1.4124470583289501</v>
      </c>
      <c r="S47" s="317">
        <f>S38/'Income Statement'!S33</f>
        <v>1.2612695625513231</v>
      </c>
      <c r="T47" s="318">
        <f>T38/'Income Statement'!T33</f>
        <v>1.0930678970025538</v>
      </c>
      <c r="U47" s="24"/>
      <c r="V47" s="317">
        <f>V38/'Income Statement'!V33</f>
        <v>0.87560262603755268</v>
      </c>
      <c r="W47" s="317">
        <f>W38/'Income Statement'!W33</f>
        <v>0.75204942648581297</v>
      </c>
      <c r="X47" s="317">
        <f>X38/'Income Statement'!X33</f>
        <v>2.0563678397399743</v>
      </c>
      <c r="Y47" s="318">
        <f>Y38/'Income Statement'!Y33</f>
        <v>1.9580748325110098</v>
      </c>
      <c r="Z47" s="24"/>
      <c r="AA47" s="317">
        <f>AA38/'Income Statement'!AA33</f>
        <v>2.0348521505216364</v>
      </c>
      <c r="AB47" s="317">
        <f>AB38/'Income Statement'!AB33</f>
        <v>4.9190453550942452</v>
      </c>
      <c r="AC47" s="317">
        <f>AC38/'Income Statement'!AC33</f>
        <v>4.7547252943383729</v>
      </c>
      <c r="AD47" s="318">
        <f>AD38/'Income Statement'!AD33</f>
        <v>4.8773107495782266</v>
      </c>
      <c r="AE47" s="24"/>
      <c r="AF47" s="317">
        <f>AF38/'Income Statement'!AF33</f>
        <v>4.6276325506880722</v>
      </c>
      <c r="AG47" s="317">
        <f>AG38/'Income Statement'!AG33</f>
        <v>4.5038326700506186</v>
      </c>
      <c r="AH47" s="317">
        <f>AH38/'Income Statement'!AH33</f>
        <v>7.7057967716389193</v>
      </c>
      <c r="AI47" s="318">
        <f>AI38/'Income Statement'!AI33</f>
        <v>7.2739348659505012</v>
      </c>
      <c r="AJ47" s="24"/>
      <c r="AK47" s="317">
        <f>AK38/'Income Statement'!AK33</f>
        <v>15.406628421260494</v>
      </c>
      <c r="AL47" s="317">
        <f>AL38/'Income Statement'!AL33</f>
        <v>14.448438125431128</v>
      </c>
      <c r="AM47" s="317">
        <f>AM38/'Income Statement'!AM33</f>
        <v>15.881455614083633</v>
      </c>
      <c r="AN47" s="318">
        <f>AN38/'Income Statement'!AN33</f>
        <v>15.434675672724037</v>
      </c>
      <c r="AO47" s="24"/>
      <c r="AP47" s="317">
        <f>AP38/'Income Statement'!AP33</f>
        <v>15.238986359504786</v>
      </c>
      <c r="AQ47" s="317">
        <f>AQ38/'Income Statement'!AQ33</f>
        <v>14.888027004391873</v>
      </c>
      <c r="AR47" s="317">
        <f>AR38/'Income Statement'!AR33</f>
        <v>14.627761085377454</v>
      </c>
      <c r="AS47" s="318">
        <f>AS38/'Income Statement'!AS33</f>
        <v>14.96956091821883</v>
      </c>
      <c r="AT47" s="24"/>
      <c r="AU47" s="317">
        <f>AU38/'Income Statement'!AU33</f>
        <v>14.708450734132965</v>
      </c>
      <c r="AV47" s="317">
        <f>AV38/'Income Statement'!AV33</f>
        <v>14.69080560951766</v>
      </c>
      <c r="AW47" s="317">
        <f>AW38/'Income Statement'!AW33</f>
        <v>14.218885986201197</v>
      </c>
      <c r="AX47" s="318">
        <f>AX38/'Income Statement'!AX33</f>
        <v>14.066857445276579</v>
      </c>
      <c r="AY47" s="24"/>
      <c r="AZ47" s="317">
        <f>AZ38/'Income Statement'!AZ33</f>
        <v>14.742911478862355</v>
      </c>
      <c r="BA47" s="317">
        <f>BA38/'Income Statement'!BA33</f>
        <v>14.676993029405786</v>
      </c>
      <c r="BB47" s="317">
        <f>BB38/'Income Statement'!BB33</f>
        <v>14.988175440116008</v>
      </c>
      <c r="BC47" s="318">
        <f>BC38/'Income Statement'!BC33</f>
        <v>14.716975616119718</v>
      </c>
      <c r="BD47" s="24"/>
      <c r="BE47" s="317">
        <f>BE38/'Income Statement'!BE33</f>
        <v>14.926247149121471</v>
      </c>
      <c r="BF47" s="317">
        <f>BF38/'Income Statement'!BF33</f>
        <v>15.369025744786169</v>
      </c>
      <c r="BG47" s="317">
        <f>BG38/'Income Statement'!BG33</f>
        <v>15.781655462928178</v>
      </c>
      <c r="BH47" s="318">
        <f>BH38/'Income Statement'!BH33</f>
        <v>16.103426429221468</v>
      </c>
      <c r="BI47" s="24"/>
      <c r="BJ47" s="317">
        <f>BJ38/'Income Statement'!BJ33</f>
        <v>16.969235845528679</v>
      </c>
      <c r="BK47" s="317">
        <f>BK38/'Income Statement'!BK33</f>
        <v>17.440116418099304</v>
      </c>
      <c r="BL47" s="317">
        <f>BL38/'Income Statement'!BL33</f>
        <v>17.902147621478903</v>
      </c>
      <c r="BM47" s="318">
        <f>BM38/'Income Statement'!BM33</f>
        <v>18.39175961115976</v>
      </c>
      <c r="BN47" s="24"/>
      <c r="BO47" s="317">
        <f>BO38/'Income Statement'!BO33</f>
        <v>18.842595558358678</v>
      </c>
      <c r="BP47" s="317">
        <f>BP38/'Income Statement'!BP33</f>
        <v>19.353972605989327</v>
      </c>
      <c r="BQ47" s="317">
        <f>BQ38/'Income Statement'!BQ33</f>
        <v>19.856665705955276</v>
      </c>
      <c r="BR47" s="318">
        <f>BR38/'Income Statement'!BR33</f>
        <v>20.390063868316044</v>
      </c>
    </row>
    <row r="48" spans="1:72">
      <c r="A48" s="4" t="s">
        <v>188</v>
      </c>
      <c r="B48" s="319"/>
      <c r="C48" s="319"/>
      <c r="D48" s="319"/>
      <c r="E48" s="320"/>
      <c r="G48" s="319"/>
      <c r="H48" s="319"/>
      <c r="I48" s="319"/>
      <c r="J48" s="320"/>
      <c r="L48" s="319"/>
      <c r="M48" s="319"/>
      <c r="N48" s="319"/>
      <c r="O48" s="321" t="s">
        <v>82</v>
      </c>
      <c r="P48" s="24"/>
      <c r="Q48" s="322" t="s">
        <v>144</v>
      </c>
      <c r="R48" s="322" t="s">
        <v>144</v>
      </c>
      <c r="S48" s="322" t="s">
        <v>144</v>
      </c>
      <c r="T48" s="323" t="s">
        <v>144</v>
      </c>
      <c r="U48" s="24"/>
      <c r="V48" s="322" t="s">
        <v>144</v>
      </c>
      <c r="W48" s="322" t="s">
        <v>144</v>
      </c>
      <c r="X48" s="322" t="s">
        <v>144</v>
      </c>
      <c r="Y48" s="323" t="s">
        <v>144</v>
      </c>
      <c r="Z48" s="24"/>
      <c r="AA48" s="322" t="s">
        <v>144</v>
      </c>
      <c r="AB48" s="322" t="s">
        <v>144</v>
      </c>
      <c r="AC48" s="322" t="s">
        <v>144</v>
      </c>
      <c r="AD48" s="323" t="s">
        <v>144</v>
      </c>
      <c r="AE48" s="24"/>
      <c r="AF48" s="322" t="s">
        <v>144</v>
      </c>
      <c r="AG48" s="322" t="s">
        <v>144</v>
      </c>
      <c r="AH48" s="322" t="s">
        <v>144</v>
      </c>
      <c r="AI48" s="323" t="s">
        <v>144</v>
      </c>
      <c r="AJ48" s="24"/>
      <c r="AK48" s="322">
        <f>4*'Income Statement'!AK26/((AI38+AK38)/2)</f>
        <v>-2.9973050295860046E-2</v>
      </c>
      <c r="AL48" s="322">
        <f>4*'Income Statement'!AL26/((AK38+AL38)/2)</f>
        <v>-2.1823706334623282E-2</v>
      </c>
      <c r="AM48" s="322">
        <f>4*'Income Statement'!AM26/((AL38+AM38)/2)</f>
        <v>-3.5172797037270609E-2</v>
      </c>
      <c r="AN48" s="323">
        <f>4*'Income Statement'!AN26/((AM38+AN38)/2)</f>
        <v>-1.8340758334471172E-2</v>
      </c>
      <c r="AO48" s="24"/>
      <c r="AP48" s="322">
        <f>4*'Income Statement'!AP26/((AN38+AP38)/2)</f>
        <v>-1.4813558933706011E-2</v>
      </c>
      <c r="AQ48" s="322">
        <f>4*'Income Statement'!AQ26/((AP38+AQ38)/2)</f>
        <v>5.9173276752763539E-4</v>
      </c>
      <c r="AR48" s="322">
        <f>4*'Income Statement'!AR26/((AQ38+AR38)/2)</f>
        <v>-1.6626205778648578E-3</v>
      </c>
      <c r="AS48" s="323">
        <f>4*'Income Statement'!AS26/((AR38+AS38)/2)</f>
        <v>1.507410130184135E-2</v>
      </c>
      <c r="AT48" s="24"/>
      <c r="AU48" s="322">
        <f>4*'Income Statement'!AU26/((AS38+AU38)/2)</f>
        <v>2.6944170976587065E-2</v>
      </c>
      <c r="AV48" s="322">
        <f>4*'Income Statement'!AV26/((AU38+AV38)/2)</f>
        <v>3.1564106272848523E-2</v>
      </c>
      <c r="AW48" s="322">
        <f>4*'Income Statement'!AW26/((AV38+AW38)/2)</f>
        <v>4.5848490506964386E-2</v>
      </c>
      <c r="AX48" s="323">
        <f>4*'Income Statement'!AX26/((AW38+AX38)/2)</f>
        <v>5.8134718927670526E-2</v>
      </c>
      <c r="AY48" s="24"/>
      <c r="AZ48" s="322">
        <f>4*'Income Statement'!AZ26/((AX38+AZ38)/2)</f>
        <v>5.41088641272158E-2</v>
      </c>
      <c r="BA48" s="322">
        <f>4*'Income Statement'!BA26/((AZ38+BA38)/2)</f>
        <v>8.3167345720362579E-2</v>
      </c>
      <c r="BB48" s="322">
        <f>4*'Income Statement'!BB26/((BA38+BB38)/2)</f>
        <v>9.0057447808487123E-2</v>
      </c>
      <c r="BC48" s="323">
        <f>4*'Income Statement'!BC26/((BB38+BC38)/2)</f>
        <v>9.8465651477375973E-2</v>
      </c>
      <c r="BD48" s="24"/>
      <c r="BE48" s="322">
        <f>4*'Income Statement'!BE26/((BC38+BE38)/2)</f>
        <v>8.2587977065268839E-2</v>
      </c>
      <c r="BF48" s="322">
        <f>4*'Income Statement'!BF26/((BE38+BF38)/2)</f>
        <v>0.11573543466392493</v>
      </c>
      <c r="BG48" s="322">
        <f>4*'Income Statement'!BG26/((BF38+BG38)/2)</f>
        <v>0.1319840369480425</v>
      </c>
      <c r="BH48" s="323">
        <f>4*'Income Statement'!BH26/((BG38+BH38)/2)</f>
        <v>0.13336562474934566</v>
      </c>
      <c r="BI48" s="24"/>
      <c r="BJ48" s="322">
        <f>4*'Income Statement'!BJ26/((BH38+BJ38)/2)</f>
        <v>8.5112151390300067E-2</v>
      </c>
      <c r="BK48" s="322">
        <f>4*'Income Statement'!BK26/((BJ38+BK38)/2)</f>
        <v>9.6059286010499012E-2</v>
      </c>
      <c r="BL48" s="322">
        <f>4*'Income Statement'!BL26/((BK38+BL38)/2)</f>
        <v>9.2756319674147464E-2</v>
      </c>
      <c r="BM48" s="323">
        <f>4*'Income Statement'!BM26/((BL38+BM38)/2)</f>
        <v>9.8698990245421322E-2</v>
      </c>
      <c r="BN48" s="24"/>
      <c r="BO48" s="322">
        <f>4*'Income Statement'!BO26/((BM38+BO38)/2)</f>
        <v>8.489280583917172E-2</v>
      </c>
      <c r="BP48" s="322">
        <f>4*'Income Statement'!BP26/((BO38+BP38)/2)</f>
        <v>9.5916636522019816E-2</v>
      </c>
      <c r="BQ48" s="322">
        <f>4*'Income Statement'!BQ26/((BP38+BQ38)/2)</f>
        <v>9.2792560459835818E-2</v>
      </c>
      <c r="BR48" s="323">
        <f>4*'Income Statement'!BR26/((BQ38+BR38)/2)</f>
        <v>9.8573335782982968E-2</v>
      </c>
    </row>
    <row r="49" spans="1:70">
      <c r="A49" s="74" t="s">
        <v>189</v>
      </c>
      <c r="B49" s="324"/>
      <c r="C49" s="324"/>
      <c r="D49" s="324"/>
      <c r="E49" s="325"/>
      <c r="F49" s="293"/>
      <c r="G49" s="324"/>
      <c r="H49" s="324"/>
      <c r="I49" s="324"/>
      <c r="J49" s="325"/>
      <c r="K49" s="293"/>
      <c r="L49" s="324"/>
      <c r="M49" s="324"/>
      <c r="N49" s="324"/>
      <c r="O49" s="326" t="s">
        <v>82</v>
      </c>
      <c r="P49" s="294"/>
      <c r="Q49" s="327" t="s">
        <v>144</v>
      </c>
      <c r="R49" s="327" t="s">
        <v>144</v>
      </c>
      <c r="S49" s="327" t="s">
        <v>144</v>
      </c>
      <c r="T49" s="328" t="s">
        <v>144</v>
      </c>
      <c r="U49" s="294"/>
      <c r="V49" s="327" t="s">
        <v>144</v>
      </c>
      <c r="W49" s="327" t="s">
        <v>144</v>
      </c>
      <c r="X49" s="327" t="s">
        <v>144</v>
      </c>
      <c r="Y49" s="328" t="s">
        <v>144</v>
      </c>
      <c r="Z49" s="294"/>
      <c r="AA49" s="327" t="s">
        <v>144</v>
      </c>
      <c r="AB49" s="327" t="s">
        <v>144</v>
      </c>
      <c r="AC49" s="327" t="s">
        <v>144</v>
      </c>
      <c r="AD49" s="328" t="s">
        <v>144</v>
      </c>
      <c r="AE49" s="294"/>
      <c r="AF49" s="327" t="s">
        <v>144</v>
      </c>
      <c r="AG49" s="327" t="s">
        <v>144</v>
      </c>
      <c r="AH49" s="327" t="s">
        <v>144</v>
      </c>
      <c r="AI49" s="328" t="s">
        <v>144</v>
      </c>
      <c r="AJ49" s="294"/>
      <c r="AK49" s="327">
        <f>(+'Income Statement'!AK26+'Income Statement'!AI26+'Income Statement'!AH26+'Income Statement'!AG26)/((AK38+AF38)/2)</f>
        <v>-4.0807528085229833E-2</v>
      </c>
      <c r="AL49" s="327">
        <f>(+'Income Statement'!AL26+'Income Statement'!AK26+'Income Statement'!AI26+'Income Statement'!AH26)/((AL38+AG38)/2)</f>
        <v>-3.3656473069232383E-2</v>
      </c>
      <c r="AM49" s="327">
        <f>(+'Income Statement'!AM26+'Income Statement'!AL26+'Income Statement'!AK26+'Income Statement'!AI26)/((AM38+AH38)/2)</f>
        <v>-3.4591928550004959E-2</v>
      </c>
      <c r="AN49" s="328">
        <f>(+'Income Statement'!AN26+'Income Statement'!AM26+'Income Statement'!AL26+'Income Statement'!AK26)/((AN38+AI38)/2)</f>
        <v>-3.2591621140838384E-2</v>
      </c>
      <c r="AO49" s="294"/>
      <c r="AP49" s="327">
        <f>(+'Income Statement'!AP26+'Income Statement'!AN26+'Income Statement'!AM26+'Income Statement'!AL26)/((AP38+AK38)/2)</f>
        <v>-2.2856632751082365E-2</v>
      </c>
      <c r="AQ49" s="327">
        <f>(+'Income Statement'!AQ26+'Income Statement'!AP26+'Income Statement'!AN26+'Income Statement'!AM26)/((AQ38+AL38)/2)</f>
        <v>-1.7755624979440412E-2</v>
      </c>
      <c r="AR49" s="327">
        <f>(+'Income Statement'!AR26+'Income Statement'!AQ26+'Income Statement'!AP26+'Income Statement'!AN26)/((AR38+AM38)/2)</f>
        <v>-8.6974309876246114E-3</v>
      </c>
      <c r="AS49" s="328">
        <f>(+'Income Statement'!AS26+'Income Statement'!AR26+'Income Statement'!AQ26+'Income Statement'!AP26)/((AS38+AN38)/2)</f>
        <v>-2.9465156761541246E-4</v>
      </c>
      <c r="AT49" s="294"/>
      <c r="AU49" s="327">
        <f>(+'Income Statement'!AU26+'Income Statement'!AS26+'Income Statement'!AR26+'Income Statement'!AQ26)/((AU38+AP38)/2)</f>
        <v>1.013879459664275E-2</v>
      </c>
      <c r="AV49" s="327">
        <f>(+'Income Statement'!AV26+'Income Statement'!AU26+'Income Statement'!AS26+'Income Statement'!AR26)/((AV38+AQ38)/2)</f>
        <v>1.8038361912161356E-2</v>
      </c>
      <c r="AW49" s="327">
        <f>(+'Income Statement'!AW26+'Income Statement'!AV26+'Income Statement'!AU26+'Income Statement'!AS26)/((AW38+AR38)/2)</f>
        <v>3.048944076687865E-2</v>
      </c>
      <c r="AX49" s="328">
        <f>(+'Income Statement'!AX26+'Income Statement'!AW26+'Income Statement'!AV26+'Income Statement'!AU26)/((AX38+AS38)/2)</f>
        <v>4.0856848150947804E-2</v>
      </c>
      <c r="AY49" s="294"/>
      <c r="AZ49" s="327">
        <f>(+'Income Statement'!AZ26+'Income Statement'!AX26+'Income Statement'!AW26+'Income Statement'!AV26)/((AZ38+AU38)/2)</f>
        <v>4.6055562323515348E-2</v>
      </c>
      <c r="BA49" s="327">
        <f>(+'Income Statement'!BA26+'Income Statement'!AZ26+'Income Statement'!AX26+'Income Statement'!AW26)/((BA38+AV38)/2)</f>
        <v>5.9157446074716041E-2</v>
      </c>
      <c r="BB49" s="327">
        <f>(+'Income Statement'!BB26+'Income Statement'!BA26+'Income Statement'!AZ26+'Income Statement'!AX26)/((BB38+AW38)/2)</f>
        <v>7.1087304117616212E-2</v>
      </c>
      <c r="BC49" s="328">
        <f>(+'Income Statement'!BC26+'Income Statement'!BB26+'Income Statement'!BA26+'Income Statement'!AZ26)/((BC38+AX38)/2)</f>
        <v>8.3752330108807518E-2</v>
      </c>
      <c r="BD49" s="294"/>
      <c r="BE49" s="327">
        <f>(+'Income Statement'!BE26+'Income Statement'!BC26+'Income Statement'!BB26+'Income Statement'!BA26)/((BE38+AZ38)/2)</f>
        <v>8.8880187241877892E-2</v>
      </c>
      <c r="BF49" s="327">
        <f>(+'Income Statement'!BF26+'Income Statement'!BE26+'Income Statement'!BC26+'Income Statement'!BB26)/((BF38+BA38)/2)</f>
        <v>9.7183808495993354E-2</v>
      </c>
      <c r="BG49" s="327">
        <f>(+'Income Statement'!BG26+'Income Statement'!BF26+'Income Statement'!BE26+'Income Statement'!BC26)/((BG38+BB38)/2)</f>
        <v>0.10623373624373331</v>
      </c>
      <c r="BH49" s="328">
        <f>(+'Income Statement'!BH26+'Income Statement'!BG26+'Income Statement'!BF26+'Income Statement'!BE26)/((BH38+BC38)/2)</f>
        <v>0.11512774388245363</v>
      </c>
      <c r="BI49" s="294"/>
      <c r="BJ49" s="327">
        <f>(+'Income Statement'!BJ26+'Income Statement'!BH26+'Income Statement'!BG26+'Income Statement'!BF26)/((BJ38+BE38)/2)</f>
        <v>0.115483786949587</v>
      </c>
      <c r="BK49" s="327">
        <f>(+'Income Statement'!BK26+'Income Statement'!BJ26+'Income Statement'!BH26+'Income Statement'!BG26)/((BK38+BF38)/2)</f>
        <v>0.11084752990908976</v>
      </c>
      <c r="BL49" s="327">
        <f>(+'Income Statement'!BL26+'Income Statement'!BK26+'Income Statement'!BJ26+'Income Statement'!BH26)/((BL38+BG38)/2)</f>
        <v>0.10156790348660284</v>
      </c>
      <c r="BM49" s="328">
        <f>(+'Income Statement'!BM26+'Income Statement'!BL26+'Income Statement'!BK26+'Income Statement'!BJ26)/((BM38+BH38)/2)</f>
        <v>9.3132296328506378E-2</v>
      </c>
      <c r="BN49" s="294"/>
      <c r="BO49" s="327">
        <f>(+'Income Statement'!BO26+'Income Statement'!BM26+'Income Statement'!BL26+'Income Statement'!BK26)/((BO38+BJ38)/2)</f>
        <v>9.2984877604256971E-2</v>
      </c>
      <c r="BP49" s="327">
        <f>(+'Income Statement'!BP26+'Income Statement'!BO26+'Income Statement'!BM26+'Income Statement'!BL26)/((BP38+BK38)/2)</f>
        <v>9.295121049816818E-2</v>
      </c>
      <c r="BQ49" s="327">
        <f>(+'Income Statement'!BQ26+'Income Statement'!BP26+'Income Statement'!BO26+'Income Statement'!BM26)/((BQ38+BL38)/2)</f>
        <v>9.2959650367463065E-2</v>
      </c>
      <c r="BR49" s="328">
        <f>(+'Income Statement'!BR26+'Income Statement'!BQ26+'Income Statement'!BP26+'Income Statement'!BO26)/((BR38+BM38)/2)</f>
        <v>9.3016254977594096E-2</v>
      </c>
    </row>
    <row r="50" spans="1:70">
      <c r="A50" s="4" t="s">
        <v>190</v>
      </c>
      <c r="B50" s="329"/>
      <c r="C50" s="329"/>
      <c r="D50" s="329"/>
      <c r="E50" s="320"/>
      <c r="G50" s="329"/>
      <c r="H50" s="329"/>
      <c r="I50" s="329"/>
      <c r="J50" s="320"/>
      <c r="L50" s="329"/>
      <c r="M50" s="329"/>
      <c r="N50" s="329"/>
      <c r="O50" s="321">
        <f>+O27/(O38+O27)</f>
        <v>0.29489106379957158</v>
      </c>
      <c r="P50" s="24"/>
      <c r="Q50" s="330">
        <f>+Q27/(Q38+Q27)</f>
        <v>0.31859401742151378</v>
      </c>
      <c r="R50" s="330">
        <f>+R27/(R38+R27)</f>
        <v>0.34293758154226467</v>
      </c>
      <c r="S50" s="330">
        <f>+S27/(S38+S27)</f>
        <v>0.36861663692802266</v>
      </c>
      <c r="T50" s="323">
        <f>+T27/(T38+T27)</f>
        <v>0.40117111465019384</v>
      </c>
      <c r="U50" s="24"/>
      <c r="V50" s="330">
        <f>+V27/(V38+V27)</f>
        <v>0.45463797615585938</v>
      </c>
      <c r="W50" s="330">
        <f>+W27/(W38+W27)</f>
        <v>0.49309552338486334</v>
      </c>
      <c r="X50" s="330">
        <f>+X27/(X38+X27)</f>
        <v>0.24082057949124827</v>
      </c>
      <c r="Y50" s="323">
        <f>+Y27/(Y38+Y27)</f>
        <v>0.24069613564743855</v>
      </c>
      <c r="Z50" s="24"/>
      <c r="AA50" s="330">
        <f>+AA27/(AA38+AA27)</f>
        <v>0.13302837745534329</v>
      </c>
      <c r="AB50" s="330">
        <f>+AB27/(AB38+AB27)</f>
        <v>2.602023796286E-3</v>
      </c>
      <c r="AC50" s="330">
        <f>+AC27/(AC38+AC27)</f>
        <v>2.7583170381113948E-3</v>
      </c>
      <c r="AD50" s="323">
        <f>+AD27/(AD38+AD27)</f>
        <v>2.8898725374663231E-3</v>
      </c>
      <c r="AE50" s="24"/>
      <c r="AF50" s="330">
        <f>+AF27/(AF38+AF27)</f>
        <v>3.2357139767270845E-3</v>
      </c>
      <c r="AG50" s="330">
        <f>+AG27/(AG38+AG27)</f>
        <v>3.5294428679697549E-3</v>
      </c>
      <c r="AH50" s="330">
        <f>+AH27/(AH38+AH27)</f>
        <v>1.7852040587417147E-3</v>
      </c>
      <c r="AI50" s="323">
        <f>+AI27/(AI38+AI27)</f>
        <v>1.9154777698163273E-3</v>
      </c>
      <c r="AJ50" s="24"/>
      <c r="AK50" s="330">
        <f>+AK27/(AK38+AK27)</f>
        <v>8.8368621050163257E-4</v>
      </c>
      <c r="AL50" s="330">
        <f>+AL27/(AL38+AL27)</f>
        <v>9.4193393314426189E-4</v>
      </c>
      <c r="AM50" s="330">
        <f>+AM27/(AM38+AM27)</f>
        <v>9.6959791901737782E-4</v>
      </c>
      <c r="AN50" s="323">
        <f>+AN27/(AN38+AN27)</f>
        <v>0</v>
      </c>
      <c r="AO50" s="24"/>
      <c r="AP50" s="330">
        <f>+AP27/(AP38+AP27)</f>
        <v>0</v>
      </c>
      <c r="AQ50" s="330">
        <f>+AQ27/(AQ38+AQ27)</f>
        <v>0</v>
      </c>
      <c r="AR50" s="330">
        <f>+AR27/(AR38+AR27)</f>
        <v>0</v>
      </c>
      <c r="AS50" s="323">
        <f>+AS27/(AS38+AS27)</f>
        <v>0</v>
      </c>
      <c r="AT50" s="24"/>
      <c r="AU50" s="330">
        <f>+AU27/(AU38+AU27)</f>
        <v>0</v>
      </c>
      <c r="AV50" s="330">
        <f>+AV27/(AV38+AV27)</f>
        <v>0</v>
      </c>
      <c r="AW50" s="330">
        <f>+AW27/(AW38+AW27)</f>
        <v>0</v>
      </c>
      <c r="AX50" s="323">
        <f>+AX27/(AX38+AX27)</f>
        <v>0</v>
      </c>
      <c r="AY50" s="24"/>
      <c r="AZ50" s="330">
        <f>+AZ27/(AZ38+AZ27)</f>
        <v>0</v>
      </c>
      <c r="BA50" s="330">
        <f>+BA27/(BA38+BA27)</f>
        <v>0</v>
      </c>
      <c r="BB50" s="330">
        <f>+BB27/(BB38+BB27)</f>
        <v>0</v>
      </c>
      <c r="BC50" s="323">
        <f>+BC27/(BC38+BC27)</f>
        <v>0</v>
      </c>
      <c r="BD50" s="24"/>
      <c r="BE50" s="330">
        <f>+BE27/(BE38+BE27)</f>
        <v>0</v>
      </c>
      <c r="BF50" s="330">
        <f>+BF27/(BF38+BF27)</f>
        <v>0</v>
      </c>
      <c r="BG50" s="330">
        <f>+BG27/(BG38+BG27)</f>
        <v>0</v>
      </c>
      <c r="BH50" s="323">
        <f>+BH27/(BH38+BH27)</f>
        <v>0</v>
      </c>
      <c r="BI50" s="24"/>
      <c r="BJ50" s="330">
        <f>+BJ27/(BJ38+BJ27)</f>
        <v>0</v>
      </c>
      <c r="BK50" s="330">
        <f>+BK27/(BK38+BK27)</f>
        <v>0</v>
      </c>
      <c r="BL50" s="330">
        <f>+BL27/(BL38+BL27)</f>
        <v>0</v>
      </c>
      <c r="BM50" s="323">
        <f>+BM27/(BM38+BM27)</f>
        <v>0</v>
      </c>
      <c r="BN50" s="24"/>
      <c r="BO50" s="330">
        <f>+BO27/(BO38+BO27)</f>
        <v>0</v>
      </c>
      <c r="BP50" s="330">
        <f>+BP27/(BP38+BP27)</f>
        <v>0</v>
      </c>
      <c r="BQ50" s="330">
        <f>+BQ27/(BQ38+BQ27)</f>
        <v>0</v>
      </c>
      <c r="BR50" s="323">
        <f>+BR27/(BR38+BR27)</f>
        <v>0</v>
      </c>
    </row>
    <row r="51" spans="1:70">
      <c r="A51" s="4" t="s">
        <v>191</v>
      </c>
      <c r="B51" s="235"/>
      <c r="C51" s="235"/>
      <c r="D51" s="235"/>
      <c r="E51" s="277"/>
      <c r="F51" s="235"/>
      <c r="G51" s="235"/>
      <c r="H51" s="235"/>
      <c r="I51" s="235"/>
      <c r="J51" s="277"/>
      <c r="K51" s="235"/>
      <c r="L51" s="235"/>
      <c r="M51" s="235"/>
      <c r="N51" s="235"/>
      <c r="O51" s="331">
        <f>+'Income Statement'!O20+'Income Statement'!O22</f>
        <v>-3.3299999999999992</v>
      </c>
      <c r="P51" s="24"/>
      <c r="Q51" s="24">
        <f>+'Income Statement'!Q20+'Income Statement'!Q22</f>
        <v>-7.15</v>
      </c>
      <c r="R51" s="24">
        <f>+'Income Statement'!R20+'Income Statement'!R22</f>
        <v>-6.2240000000000038</v>
      </c>
      <c r="S51" s="24">
        <f>+'Income Statement'!S20+'Income Statement'!S22</f>
        <v>-5.9670000000000023</v>
      </c>
      <c r="T51" s="279">
        <f>+'Income Statement'!T20+'Income Statement'!T22</f>
        <v>-5.653999999999999</v>
      </c>
      <c r="U51" s="24"/>
      <c r="V51" s="24">
        <f>+'Income Statement'!V20+'Income Statement'!V22</f>
        <v>-8.4620000000000015</v>
      </c>
      <c r="W51" s="24">
        <f>+'Income Statement'!W20+'Income Statement'!W22</f>
        <v>-5.5010000000000012</v>
      </c>
      <c r="X51" s="24">
        <f>+'Income Statement'!X20+'Income Statement'!X22</f>
        <v>-3.7039999999999988</v>
      </c>
      <c r="Y51" s="279">
        <f>+'Income Statement'!Y20+'Income Statement'!Y22</f>
        <v>-2.3019999999999992</v>
      </c>
      <c r="Z51" s="24"/>
      <c r="AA51" s="24">
        <f>+'Income Statement'!AA20+'Income Statement'!AA22</f>
        <v>-1.3470000000000042</v>
      </c>
      <c r="AB51" s="24">
        <f>+'Income Statement'!AB20+'Income Statement'!AB22</f>
        <v>-1.9929999999999961</v>
      </c>
      <c r="AC51" s="24">
        <f>+'Income Statement'!AC20+'Income Statement'!AC22</f>
        <v>-0.40499999999999869</v>
      </c>
      <c r="AD51" s="279">
        <f>+'Income Statement'!AD20+'Income Statement'!AD22</f>
        <v>-6.7959999999999994</v>
      </c>
      <c r="AE51" s="24"/>
      <c r="AF51" s="24">
        <f>+'Income Statement'!AF20+'Income Statement'!AF22</f>
        <v>-9.298</v>
      </c>
      <c r="AG51" s="24">
        <f>+'Income Statement'!AG20+'Income Statement'!AG22</f>
        <v>-9.6870000000000029</v>
      </c>
      <c r="AH51" s="24">
        <f>+'Income Statement'!AH20+'Income Statement'!AH22</f>
        <v>-2.7949999999999982</v>
      </c>
      <c r="AI51" s="279">
        <f>+'Income Statement'!AI20+'Income Statement'!AI22</f>
        <v>-6.7169999999999961</v>
      </c>
      <c r="AJ51" s="24"/>
      <c r="AK51" s="24">
        <f>+'Income Statement'!AK20+'Income Statement'!AK22</f>
        <v>-8.708999999999989</v>
      </c>
      <c r="AL51" s="24">
        <f>+'Income Statement'!AL20+'Income Statement'!AL22</f>
        <v>-5.403999999999991</v>
      </c>
      <c r="AM51" s="24">
        <f>+'Income Statement'!AM20+'Income Statement'!AM22</f>
        <v>-11.697999999999993</v>
      </c>
      <c r="AN51" s="279">
        <f>+'Income Statement'!AN20+'Income Statement'!AN22</f>
        <v>-6.8590000000000018</v>
      </c>
      <c r="AO51" s="24"/>
      <c r="AP51" s="24">
        <f>+'Income Statement'!AP20+'Income Statement'!AP22</f>
        <v>-4.043999999999996</v>
      </c>
      <c r="AQ51" s="24">
        <f>+'Income Statement'!AQ20+'Income Statement'!AQ22</f>
        <v>4.3999999999998485E-2</v>
      </c>
      <c r="AR51" s="24">
        <f>+'Income Statement'!AR20+'Income Statement'!AR22</f>
        <v>-0.59100000000001496</v>
      </c>
      <c r="AS51" s="279">
        <f>+'Income Statement'!AS20+'Income Statement'!AS22</f>
        <v>4.4039999999999973</v>
      </c>
      <c r="AT51" s="24"/>
      <c r="AU51" s="24">
        <f>+'Income Statement'!AU20+'Income Statement'!AU22</f>
        <v>7.8389999999999951</v>
      </c>
      <c r="AV51" s="24">
        <f>+'Income Statement'!AV20+'Income Statement'!AV22</f>
        <v>9.2139999999999898</v>
      </c>
      <c r="AW51" s="24">
        <f>+'Income Statement'!AW20+'Income Statement'!AW22</f>
        <v>13.215999999999982</v>
      </c>
      <c r="AX51" s="279">
        <f>+'Income Statement'!AX20+'Income Statement'!AX22</f>
        <v>16.455000000000016</v>
      </c>
      <c r="AY51" s="24"/>
      <c r="AZ51" s="24">
        <f>+'Income Statement'!AZ20+'Income Statement'!AZ22</f>
        <v>15.716000000000012</v>
      </c>
      <c r="BA51" s="24">
        <f>+'Income Statement'!BA20+'Income Statement'!BA22</f>
        <v>25.144000000000009</v>
      </c>
      <c r="BB51" s="24">
        <f>+'Income Statement'!BB20+'Income Statement'!BB22</f>
        <v>27.914000000000016</v>
      </c>
      <c r="BC51" s="279">
        <f>+'Income Statement'!BC20+'Income Statement'!BC22</f>
        <v>25.449000000000012</v>
      </c>
      <c r="BD51" s="24"/>
      <c r="BE51" s="24">
        <f>+'Income Statement'!BE20+'Income Statement'!BE22</f>
        <v>25.536000000000001</v>
      </c>
      <c r="BF51" s="24">
        <f>+'Income Statement'!BF20+'Income Statement'!BF22</f>
        <v>36.744999999999997</v>
      </c>
      <c r="BG51" s="24">
        <f>+'Income Statement'!BG20+'Income Statement'!BG22</f>
        <v>40.08099999999996</v>
      </c>
      <c r="BH51" s="279">
        <f>+'Income Statement'!BH20+'Income Statement'!BH22</f>
        <v>43.889999999999993</v>
      </c>
      <c r="BI51" s="24"/>
      <c r="BJ51" s="24">
        <f>+'Income Statement'!BJ20+'Income Statement'!BJ22</f>
        <v>29.800343620000014</v>
      </c>
      <c r="BK51" s="24">
        <f>+'Income Statement'!BK20+'Income Statement'!BK22</f>
        <v>34.697707092500004</v>
      </c>
      <c r="BL51" s="24">
        <f>+'Income Statement'!BL20+'Income Statement'!BL22</f>
        <v>34.585506135999999</v>
      </c>
      <c r="BM51" s="279">
        <f>+'Income Statement'!BM20+'Income Statement'!BM22</f>
        <v>37.980819944500006</v>
      </c>
      <c r="BN51" s="24"/>
      <c r="BO51" s="24">
        <f>+'Income Statement'!BO20+'Income Statement'!BO22</f>
        <v>33.6807406199</v>
      </c>
      <c r="BP51" s="24">
        <f>+'Income Statement'!BP20+'Income Statement'!BP22</f>
        <v>39.230736320799998</v>
      </c>
      <c r="BQ51" s="24">
        <f>+'Income Statement'!BQ20+'Income Statement'!BQ22</f>
        <v>39.152008132319985</v>
      </c>
      <c r="BR51" s="279">
        <f>+'Income Statement'!BR20+'Income Statement'!BR22</f>
        <v>42.898933165240017</v>
      </c>
    </row>
    <row r="52" spans="1:70">
      <c r="A52" s="4" t="s">
        <v>192</v>
      </c>
      <c r="B52" s="332"/>
      <c r="C52" s="332"/>
      <c r="D52" s="332"/>
      <c r="E52" s="333"/>
      <c r="F52" s="332"/>
      <c r="G52" s="332"/>
      <c r="H52" s="332"/>
      <c r="I52" s="332"/>
      <c r="J52" s="333"/>
      <c r="K52" s="332"/>
      <c r="L52" s="332"/>
      <c r="M52" s="332"/>
      <c r="N52" s="332"/>
      <c r="O52" s="331">
        <f>+O20-O7</f>
        <v>41.814999999999991</v>
      </c>
      <c r="P52" s="24"/>
      <c r="Q52" s="24">
        <f>+Q20-Q7</f>
        <v>41.099999999999994</v>
      </c>
      <c r="R52" s="24">
        <f>+R20-R7</f>
        <v>41.883999999999993</v>
      </c>
      <c r="S52" s="24">
        <f>+S20-S7</f>
        <v>42.463999999999992</v>
      </c>
      <c r="T52" s="279">
        <f>+T20-T7</f>
        <v>44.777999999999984</v>
      </c>
      <c r="U52" s="24"/>
      <c r="V52" s="24">
        <f>+V20-V7</f>
        <v>44.037999999999997</v>
      </c>
      <c r="W52" s="24">
        <f>+W20-W7</f>
        <v>41.703000000000003</v>
      </c>
      <c r="X52" s="24">
        <f>+X20-X7</f>
        <v>41.23099999999998</v>
      </c>
      <c r="Y52" s="279">
        <f>+Y20-Y7</f>
        <v>42.643000000000001</v>
      </c>
      <c r="Z52" s="24"/>
      <c r="AA52" s="24">
        <f>+AA20-AA7</f>
        <v>55.695999999999998</v>
      </c>
      <c r="AB52" s="24">
        <f>+AB20-AB7</f>
        <v>59.730000000000047</v>
      </c>
      <c r="AC52" s="24">
        <f>+AC20-AC7</f>
        <v>64.64500000000001</v>
      </c>
      <c r="AD52" s="279">
        <f>+AD20-AD7</f>
        <v>115.89500000000004</v>
      </c>
      <c r="AE52" s="24"/>
      <c r="AF52" s="24">
        <f>+AF20-AF7</f>
        <v>113.96800000000007</v>
      </c>
      <c r="AG52" s="24">
        <f>+AG20-AG7</f>
        <v>109.28699999999998</v>
      </c>
      <c r="AH52" s="24">
        <f>+AH20-AH7</f>
        <v>109.07100000000003</v>
      </c>
      <c r="AI52" s="279">
        <f>+AI20-AI7</f>
        <v>107.79900000000004</v>
      </c>
      <c r="AJ52" s="24"/>
      <c r="AK52" s="24">
        <f>+AK20-AK7</f>
        <v>701.07399999999996</v>
      </c>
      <c r="AL52" s="24">
        <f>+AL20-AL7</f>
        <v>699.88999999999987</v>
      </c>
      <c r="AM52" s="24">
        <f>+AM20-AM7</f>
        <v>1022.327</v>
      </c>
      <c r="AN52" s="279">
        <f>+AN20-AN7</f>
        <v>1014.628</v>
      </c>
      <c r="AO52" s="24"/>
      <c r="AP52" s="24">
        <f>+AP20-AP7</f>
        <v>1009.9740000000002</v>
      </c>
      <c r="AQ52" s="24">
        <f>+AQ20-AQ7</f>
        <v>990.75099999999986</v>
      </c>
      <c r="AR52" s="24">
        <f>+AR20-AR7</f>
        <v>955.84500000000014</v>
      </c>
      <c r="AS52" s="279">
        <f>+AS20-AS7</f>
        <v>1002.175</v>
      </c>
      <c r="AT52" s="24"/>
      <c r="AU52" s="24">
        <f>+AU20-AU7</f>
        <v>979.22899999999993</v>
      </c>
      <c r="AV52" s="24">
        <f>+AV20-AV7</f>
        <v>969.97199999999975</v>
      </c>
      <c r="AW52" s="24">
        <f>+AW20-AW7</f>
        <v>922.48</v>
      </c>
      <c r="AX52" s="279">
        <f>+AX20-AX7</f>
        <v>898.45200000000023</v>
      </c>
      <c r="AY52" s="24"/>
      <c r="AZ52" s="24">
        <f>+AZ20-AZ7</f>
        <v>990.88499999999988</v>
      </c>
      <c r="BA52" s="24">
        <f>+BA20-BA7</f>
        <v>998.41200000000003</v>
      </c>
      <c r="BB52" s="24">
        <f>+BB20-BB7</f>
        <v>1000.942</v>
      </c>
      <c r="BC52" s="279">
        <f>+BC20-BC7</f>
        <v>1010.5940000000001</v>
      </c>
      <c r="BD52" s="24"/>
      <c r="BE52" s="24">
        <f>+BE20-BE7</f>
        <v>1028.056</v>
      </c>
      <c r="BF52" s="24">
        <f>+BF20-BF7</f>
        <v>1023.385</v>
      </c>
      <c r="BG52" s="24">
        <f>+BG20-BG7</f>
        <v>1001.359</v>
      </c>
      <c r="BH52" s="279">
        <f>+BH20-BH7</f>
        <v>1040.6261999999997</v>
      </c>
      <c r="BI52" s="24"/>
      <c r="BJ52" s="24">
        <f>+BJ20-BJ7</f>
        <v>1034.3352654999999</v>
      </c>
      <c r="BK52" s="24">
        <f>+BK20-BK7</f>
        <v>1046.6429998499998</v>
      </c>
      <c r="BL52" s="24">
        <f>+BL20-BL7</f>
        <v>1047.8155181999998</v>
      </c>
      <c r="BM52" s="279">
        <f>+BM20-BM7</f>
        <v>1056.42355045</v>
      </c>
      <c r="BN52" s="24"/>
      <c r="BO52" s="24">
        <f>+BO20-BO7</f>
        <v>1052.2743452099999</v>
      </c>
      <c r="BP52" s="24">
        <f>+BP20-BP7</f>
        <v>1067.3053142689998</v>
      </c>
      <c r="BQ52" s="24">
        <f>+BQ20-BQ7</f>
        <v>1069.8950692639999</v>
      </c>
      <c r="BR52" s="279">
        <f>+BR20-BR7</f>
        <v>1080.2429254589999</v>
      </c>
    </row>
    <row r="53" spans="1:70">
      <c r="A53" s="4" t="s">
        <v>193</v>
      </c>
      <c r="B53" s="319"/>
      <c r="C53" s="319"/>
      <c r="D53" s="319"/>
      <c r="E53" s="320"/>
      <c r="G53" s="319"/>
      <c r="H53" s="319"/>
      <c r="I53" s="319"/>
      <c r="J53" s="320"/>
      <c r="L53" s="319"/>
      <c r="M53" s="319"/>
      <c r="N53" s="319"/>
      <c r="O53" s="321" t="s">
        <v>82</v>
      </c>
      <c r="P53" s="24"/>
      <c r="Q53" s="322" t="s">
        <v>144</v>
      </c>
      <c r="R53" s="322" t="s">
        <v>144</v>
      </c>
      <c r="S53" s="322" t="s">
        <v>144</v>
      </c>
      <c r="T53" s="323" t="s">
        <v>144</v>
      </c>
      <c r="U53" s="24"/>
      <c r="V53" s="322" t="s">
        <v>144</v>
      </c>
      <c r="W53" s="322" t="s">
        <v>144</v>
      </c>
      <c r="X53" s="322" t="s">
        <v>144</v>
      </c>
      <c r="Y53" s="323" t="s">
        <v>144</v>
      </c>
      <c r="Z53" s="24"/>
      <c r="AA53" s="322" t="s">
        <v>144</v>
      </c>
      <c r="AB53" s="322" t="s">
        <v>144</v>
      </c>
      <c r="AC53" s="322" t="s">
        <v>144</v>
      </c>
      <c r="AD53" s="323" t="s">
        <v>144</v>
      </c>
      <c r="AE53" s="24"/>
      <c r="AF53" s="322" t="s">
        <v>144</v>
      </c>
      <c r="AG53" s="322" t="s">
        <v>144</v>
      </c>
      <c r="AH53" s="322" t="s">
        <v>144</v>
      </c>
      <c r="AI53" s="323" t="s">
        <v>144</v>
      </c>
      <c r="AJ53" s="24"/>
      <c r="AK53" s="322">
        <f>4*AK51/((AI52+AK52)/2)</f>
        <v>-8.6134658963767999E-2</v>
      </c>
      <c r="AL53" s="322">
        <f>4*AL51/((AK52+AL52)/2)</f>
        <v>-3.0858751545364427E-2</v>
      </c>
      <c r="AM53" s="322">
        <f>4*AM51/((AL52+AM52)/2)</f>
        <v>-5.4339261544857562E-2</v>
      </c>
      <c r="AN53" s="323">
        <f>4*AN51/((AM52+AN52)/2)</f>
        <v>-2.6938248513099217E-2</v>
      </c>
      <c r="AO53" s="24"/>
      <c r="AP53" s="322">
        <f>4*AP51/((AN52+AP52)/2)</f>
        <v>-1.5979436946125688E-2</v>
      </c>
      <c r="AQ53" s="322">
        <f>4*AQ51/((AP52+AQ52)/2)</f>
        <v>1.7593622311911326E-4</v>
      </c>
      <c r="AR53" s="322">
        <f>4*AR51/((AQ52+AR52)/2)</f>
        <v>-2.428855294062106E-3</v>
      </c>
      <c r="AS53" s="323">
        <f>4*AS51/((AR52+AS52)/2)</f>
        <v>1.799368750063839E-2</v>
      </c>
      <c r="AT53" s="24"/>
      <c r="AU53" s="322">
        <f>4*AU51/((AS52+AU52)/2)</f>
        <v>3.1650284343828904E-2</v>
      </c>
      <c r="AV53" s="322">
        <f>4*AV51/((AU52+AV52)/2)</f>
        <v>3.7816520717976206E-2</v>
      </c>
      <c r="AW53" s="322">
        <f>4*AW51/((AV52+AW52)/2)</f>
        <v>5.5868259802626365E-2</v>
      </c>
      <c r="AX53" s="323">
        <f>4*AX51/((AW52+AX52)/2)</f>
        <v>7.2292650137402228E-2</v>
      </c>
      <c r="AY53" s="24"/>
      <c r="AZ53" s="322">
        <f>4*AZ51/((AX52+AZ52)/2)</f>
        <v>6.6546095270457364E-2</v>
      </c>
      <c r="BA53" s="322">
        <f>4*BA51/((AZ52+BA52)/2)</f>
        <v>0.10111712831216257</v>
      </c>
      <c r="BB53" s="322">
        <f>4*BB51/((BA52+BB52)/2)</f>
        <v>0.11169207654072272</v>
      </c>
      <c r="BC53" s="323">
        <f>4*BC51/((BB52+BC52)/2)</f>
        <v>0.10121220798434634</v>
      </c>
      <c r="BD53" s="24"/>
      <c r="BE53" s="322">
        <f>4*BE51/((BC52+BE52)/2)</f>
        <v>0.10020749025090134</v>
      </c>
      <c r="BF53" s="322">
        <f>4*BF51/((BE52+BF52)/2)</f>
        <v>0.14329439647545311</v>
      </c>
      <c r="BG53" s="322">
        <f>4*BG51/((BF52+BG52)/2)</f>
        <v>0.15836471178578609</v>
      </c>
      <c r="BH53" s="323">
        <f>4*BH51/((BG52+BH52)/2)</f>
        <v>0.17195031580052589</v>
      </c>
      <c r="BI53" s="24"/>
      <c r="BJ53" s="322">
        <f>4*BJ51/((BH52+BJ52)/2)</f>
        <v>0.11489502476256958</v>
      </c>
      <c r="BK53" s="322">
        <f>4*BK51/((BJ52+BK52)/2)</f>
        <v>0.13338998362547222</v>
      </c>
      <c r="BL53" s="322">
        <f>4*BL51/((BK52+BL52)/2)</f>
        <v>0.1321029023509144</v>
      </c>
      <c r="BM53" s="323">
        <f>4*BM51/((BL52+BM52)/2)</f>
        <v>0.14439735678462454</v>
      </c>
      <c r="BN53" s="24"/>
      <c r="BO53" s="322">
        <f>4*BO51/((BM52+BO52)/2)</f>
        <v>0.12777834393146503</v>
      </c>
      <c r="BP53" s="322">
        <f>4*BP51/((BO52+BP52)/2)</f>
        <v>0.14806987279899847</v>
      </c>
      <c r="BQ53" s="322">
        <f>4*BQ51/((BP52+BQ52)/2)</f>
        <v>0.14655437434499394</v>
      </c>
      <c r="BR53" s="323">
        <f>4*BR51/((BQ52+BR52)/2)</f>
        <v>0.15961369277888285</v>
      </c>
    </row>
    <row r="54" spans="1:70">
      <c r="A54" s="74" t="s">
        <v>194</v>
      </c>
      <c r="B54" s="324"/>
      <c r="C54" s="324"/>
      <c r="D54" s="324"/>
      <c r="E54" s="325"/>
      <c r="F54" s="293"/>
      <c r="G54" s="324"/>
      <c r="H54" s="324"/>
      <c r="I54" s="324"/>
      <c r="J54" s="325"/>
      <c r="K54" s="293"/>
      <c r="L54" s="324"/>
      <c r="M54" s="324"/>
      <c r="N54" s="324"/>
      <c r="O54" s="326" t="s">
        <v>82</v>
      </c>
      <c r="P54" s="294"/>
      <c r="Q54" s="327" t="s">
        <v>144</v>
      </c>
      <c r="R54" s="327" t="s">
        <v>144</v>
      </c>
      <c r="S54" s="327" t="s">
        <v>144</v>
      </c>
      <c r="T54" s="328" t="s">
        <v>144</v>
      </c>
      <c r="U54" s="294"/>
      <c r="V54" s="327" t="s">
        <v>144</v>
      </c>
      <c r="W54" s="327" t="s">
        <v>144</v>
      </c>
      <c r="X54" s="327" t="s">
        <v>144</v>
      </c>
      <c r="Y54" s="328" t="s">
        <v>144</v>
      </c>
      <c r="Z54" s="294"/>
      <c r="AA54" s="327" t="s">
        <v>144</v>
      </c>
      <c r="AB54" s="327" t="s">
        <v>144</v>
      </c>
      <c r="AC54" s="327" t="s">
        <v>144</v>
      </c>
      <c r="AD54" s="328" t="s">
        <v>144</v>
      </c>
      <c r="AE54" s="294"/>
      <c r="AF54" s="327" t="s">
        <v>144</v>
      </c>
      <c r="AG54" s="327" t="s">
        <v>144</v>
      </c>
      <c r="AH54" s="327" t="s">
        <v>144</v>
      </c>
      <c r="AI54" s="328" t="s">
        <v>144</v>
      </c>
      <c r="AJ54" s="294"/>
      <c r="AK54" s="327">
        <f>+(AK51+AI51+AH51+AG51)/((AK52+AF52)/2)</f>
        <v>-6.8482360418236077E-2</v>
      </c>
      <c r="AL54" s="327">
        <f>+(AL51+AK51+AI51+AH51)/((AL52+AG52)/2)</f>
        <v>-5.8392663162694883E-2</v>
      </c>
      <c r="AM54" s="327">
        <f>+(AM51+AL51+AK51+AI51)/((AM52+AH52)/2)</f>
        <v>-5.7500543575293515E-2</v>
      </c>
      <c r="AN54" s="328">
        <f>+(AN51+AM51+AL51+AK51)/((AN52+AI52)/2)</f>
        <v>-5.8213139919121637E-2</v>
      </c>
      <c r="AO54" s="294"/>
      <c r="AP54" s="327">
        <f>+(AP51+AN51+AM51+AL51)/((AP52+AK52)/2)</f>
        <v>-3.2734324227023409E-2</v>
      </c>
      <c r="AQ54" s="327">
        <f>+(AQ51+AP51+AN51+AM51)/((AQ52+AL52)/2)</f>
        <v>-2.6684553373542929E-2</v>
      </c>
      <c r="AR54" s="327">
        <f>+(AR51+AQ51+AP51+AN51)/((AR52+AM52)/2)</f>
        <v>-1.157634422082611E-2</v>
      </c>
      <c r="AS54" s="328">
        <f>+(AS51+AR51+AQ51+AP51)/((AS52+AN52)/2)</f>
        <v>-1.8544200896172347E-4</v>
      </c>
      <c r="AT54" s="294"/>
      <c r="AU54" s="327">
        <f>+(AU51+AS51+AR51+AQ51)/((AU52+AP52)/2)</f>
        <v>1.1759483572063762E-2</v>
      </c>
      <c r="AV54" s="327">
        <f>+(AV51+AU51+AS51+AR51)/((AV52+AQ52)/2)</f>
        <v>2.1283985550228125E-2</v>
      </c>
      <c r="AW54" s="327">
        <f>+(AW51+AV51+AU51+AS51)/((AW52+AR52)/2)</f>
        <v>3.6919063527344802E-2</v>
      </c>
      <c r="AX54" s="328">
        <f>+(AX51+AW51+AV51+AU51)/((AX52+AS52)/2)</f>
        <v>4.9166932806910549E-2</v>
      </c>
      <c r="AY54" s="294"/>
      <c r="AZ54" s="327">
        <f>+(AZ51+AX51+AW51+AV51)/((AZ52+AU52)/2)</f>
        <v>5.5429279726959969E-2</v>
      </c>
      <c r="BA54" s="327">
        <f>+(BA51+AZ51+AX51+AW51)/((BA52+AV52)/2)</f>
        <v>7.1663862335804421E-2</v>
      </c>
      <c r="BB54" s="327">
        <f>+(BB51+BA51+AZ51+AX51)/((BB52+AW52)/2)</f>
        <v>8.8622257622092332E-2</v>
      </c>
      <c r="BC54" s="328">
        <f>+(BC51+BB51+BA51+AZ51)/((BC52+AX52)/2)</f>
        <v>9.871213160919122E-2</v>
      </c>
      <c r="BD54" s="294"/>
      <c r="BE54" s="327">
        <f>+(BE51+BC51+BB51+BA51)/((BE52+AZ52)/2)</f>
        <v>0.10306690487735902</v>
      </c>
      <c r="BF54" s="327">
        <f>+(BF51+BE51+BC51+BB51)/((BF52+BA52)/2)</f>
        <v>0.11439724166174946</v>
      </c>
      <c r="BG54" s="327">
        <f>+(BG51+BF51+BE51+BC51)/((BG52+BB52)/2)</f>
        <v>0.12766412242714756</v>
      </c>
      <c r="BH54" s="328">
        <f>+(BH51+BG51+BF51+BE51)/((BH52+BC52)/2)</f>
        <v>0.14259999974649232</v>
      </c>
      <c r="BI54" s="294"/>
      <c r="BJ54" s="327">
        <f>+(BJ51+BH51+BG51+BF51)/((BJ52+BE52)/2)</f>
        <v>0.14596293742885807</v>
      </c>
      <c r="BK54" s="327">
        <f>+(BK51+BJ51+BH51+BG51)/((BK52+BF52)/2)</f>
        <v>0.14344641784870393</v>
      </c>
      <c r="BL54" s="327">
        <f>+(BL51+BK51+BJ51+BH51)/((BL52+BG52)/2)</f>
        <v>0.13954258710389231</v>
      </c>
      <c r="BM54" s="328">
        <f>+(BM51+BL51+BK51+BJ51)/((BM52+BH52)/2)</f>
        <v>0.1307211493323778</v>
      </c>
      <c r="BN54" s="294"/>
      <c r="BO54" s="327">
        <f>+(BO51+BM51+BL51+BK51)/((BO52+BJ52)/2)</f>
        <v>0.13509453140584499</v>
      </c>
      <c r="BP54" s="327">
        <f>+(BP51+BO51+BM51+BL51)/((BP52+BK52)/2)</f>
        <v>0.13763610212185226</v>
      </c>
      <c r="BQ54" s="327">
        <f>+(BQ51+BP51+BO51+BM51)/((BQ52+BL52)/2)</f>
        <v>0.14170425921815977</v>
      </c>
      <c r="BR54" s="328">
        <f>+(BR51+BQ51+BP51+BO51)/((BR52+BM52)/2)</f>
        <v>0.1450506384458852</v>
      </c>
    </row>
    <row r="55" spans="1:70" s="342" customFormat="1">
      <c r="A55" s="334" t="s">
        <v>195</v>
      </c>
      <c r="B55" s="335"/>
      <c r="C55" s="335"/>
      <c r="D55" s="335"/>
      <c r="E55" s="336"/>
      <c r="F55" s="337"/>
      <c r="G55" s="335"/>
      <c r="H55" s="335"/>
      <c r="I55" s="335"/>
      <c r="J55" s="336"/>
      <c r="K55" s="337"/>
      <c r="L55" s="335"/>
      <c r="M55" s="335"/>
      <c r="N55" s="335"/>
      <c r="O55" s="338">
        <f>+O38+O27</f>
        <v>84.498999999999995</v>
      </c>
      <c r="P55" s="339"/>
      <c r="Q55" s="340">
        <f>+Q38+Q27</f>
        <v>78.293999999999997</v>
      </c>
      <c r="R55" s="340">
        <f>+R38+R27</f>
        <v>72.814999999999998</v>
      </c>
      <c r="S55" s="340">
        <f>+S38+S27</f>
        <v>67.813000000000002</v>
      </c>
      <c r="T55" s="341">
        <f>+T38+T27</f>
        <v>62.162999999999997</v>
      </c>
      <c r="U55" s="339"/>
      <c r="V55" s="340">
        <f>+V38+V27</f>
        <v>55.02399999999998</v>
      </c>
      <c r="W55" s="340">
        <f>+W38+W27</f>
        <v>50.908999999999985</v>
      </c>
      <c r="X55" s="340">
        <f>+X38+X27</f>
        <v>104.60900000000004</v>
      </c>
      <c r="Y55" s="341">
        <f>+Y38+Y27</f>
        <v>105.03699999999999</v>
      </c>
      <c r="Z55" s="339"/>
      <c r="AA55" s="340">
        <f>+AA38+AA27</f>
        <v>96.625999999999991</v>
      </c>
      <c r="AB55" s="340">
        <f>+AB38+AB27</f>
        <v>224.82500000000002</v>
      </c>
      <c r="AC55" s="340">
        <f>+AC38+AC27</f>
        <v>231.66299999999998</v>
      </c>
      <c r="AD55" s="341">
        <f>+AD38+AD27</f>
        <v>240.14899999999997</v>
      </c>
      <c r="AE55" s="339"/>
      <c r="AF55" s="340">
        <f>+AF38+AF27</f>
        <v>231.16999999999996</v>
      </c>
      <c r="AG55" s="340">
        <f>+AG38+AG27</f>
        <v>226.94800000000004</v>
      </c>
      <c r="AH55" s="340">
        <f>+AH38+AH27</f>
        <v>423.48099999999994</v>
      </c>
      <c r="AI55" s="341">
        <f>+AI38+AI27</f>
        <v>422.87099999999998</v>
      </c>
      <c r="AJ55" s="339"/>
      <c r="AK55" s="340">
        <f>+AK38+AK27</f>
        <v>976.59100000000012</v>
      </c>
      <c r="AL55" s="340">
        <f>+AL38+AL27</f>
        <v>973.52899999999988</v>
      </c>
      <c r="AM55" s="340">
        <f>+AM38+AM27</f>
        <v>1108.7070000000001</v>
      </c>
      <c r="AN55" s="341">
        <f>+AN38+AN27</f>
        <v>1096.857</v>
      </c>
      <c r="AO55" s="339"/>
      <c r="AP55" s="340">
        <f>+AP38+AP27</f>
        <v>1085.4679999999998</v>
      </c>
      <c r="AQ55" s="340">
        <f>+AQ38+AQ27</f>
        <v>1064.1509999999998</v>
      </c>
      <c r="AR55" s="340">
        <f>+AR38+AR27</f>
        <v>1048.1770000000001</v>
      </c>
      <c r="AS55" s="341">
        <f>+AS38+AS27</f>
        <v>1075.1999999999998</v>
      </c>
      <c r="AT55" s="339"/>
      <c r="AU55" s="340">
        <f>+AU38+AU27</f>
        <v>1081.259</v>
      </c>
      <c r="AV55" s="340">
        <f>+AV38+AV27</f>
        <v>1082.7180000000001</v>
      </c>
      <c r="AW55" s="340">
        <f>+AW38+AW27</f>
        <v>1054.0590000000002</v>
      </c>
      <c r="AX55" s="341">
        <f>+AX38+AX27</f>
        <v>1044.1019999999999</v>
      </c>
      <c r="AY55" s="339"/>
      <c r="AZ55" s="340">
        <f>+AZ38+AZ27</f>
        <v>1118.6489999999999</v>
      </c>
      <c r="BA55" s="340">
        <f>+BA38+BA27</f>
        <v>1132.5230000000001</v>
      </c>
      <c r="BB55" s="340">
        <f>+BB38+BB27</f>
        <v>1176.0420000000001</v>
      </c>
      <c r="BC55" s="341">
        <f>+BC38+BC27</f>
        <v>1175.9659999999999</v>
      </c>
      <c r="BD55" s="339"/>
      <c r="BE55" s="340">
        <f>+BE38+BE27</f>
        <v>1194.9359999999999</v>
      </c>
      <c r="BF55" s="340">
        <f>+BF38+BF27</f>
        <v>1221.057</v>
      </c>
      <c r="BG55" s="340">
        <f>+BG38+BG27</f>
        <v>1257.6669999999999</v>
      </c>
      <c r="BH55" s="341">
        <f>+BH38+BH27</f>
        <v>1310.6109999999999</v>
      </c>
      <c r="BI55" s="339"/>
      <c r="BJ55" s="340">
        <f>+BJ38+BJ27</f>
        <v>1350.3793264389999</v>
      </c>
      <c r="BK55" s="340">
        <f>+BK38+BK27</f>
        <v>1394.8271481768747</v>
      </c>
      <c r="BL55" s="340">
        <f>+BL38+BL27</f>
        <v>1438.9403790060749</v>
      </c>
      <c r="BM55" s="341">
        <f>+BM38+BM27</f>
        <v>1485.6511579533499</v>
      </c>
      <c r="BN55" s="339"/>
      <c r="BO55" s="340">
        <f>+BO38+BO27</f>
        <v>1529.6058615422548</v>
      </c>
      <c r="BP55" s="340">
        <f>+BP38+BP27</f>
        <v>1578.8600610470148</v>
      </c>
      <c r="BQ55" s="340">
        <f>+BQ38+BQ27</f>
        <v>1627.8114687727189</v>
      </c>
      <c r="BR55" s="341">
        <f>+BR38+BR27</f>
        <v>1679.6944552796967</v>
      </c>
    </row>
    <row r="56" spans="1:70" s="342" customFormat="1">
      <c r="A56" s="334" t="s">
        <v>196</v>
      </c>
      <c r="B56" s="335"/>
      <c r="C56" s="335"/>
      <c r="D56" s="335"/>
      <c r="E56" s="336"/>
      <c r="F56" s="337"/>
      <c r="G56" s="335"/>
      <c r="H56" s="335"/>
      <c r="I56" s="335"/>
      <c r="J56" s="336"/>
      <c r="K56" s="337"/>
      <c r="L56" s="335"/>
      <c r="M56" s="335"/>
      <c r="N56" s="335"/>
      <c r="O56" s="338">
        <f>+('Income Statement'!O20+'Income Statement'!Y22)*(1-'Income Statement'!O25)</f>
        <v>-2.9169999999999994</v>
      </c>
      <c r="P56" s="339"/>
      <c r="Q56" s="340">
        <f>+('Income Statement'!Q20+'Income Statement'!AA22)*(1-'Income Statement'!Q25)</f>
        <v>-6.7969999999999997</v>
      </c>
      <c r="R56" s="340">
        <f>+('Income Statement'!R20+'Income Statement'!AB22)*(1-'Income Statement'!R25)</f>
        <v>-5.5020000000000033</v>
      </c>
      <c r="S56" s="340">
        <f>+('Income Statement'!S20+'Income Statement'!AC22)*(1-'Income Statement'!S25)</f>
        <v>-5.0100000000000025</v>
      </c>
      <c r="T56" s="341">
        <f>+('Income Statement'!T20+'Income Statement'!AD22)*(1-'Income Statement'!T25)</f>
        <v>-4.956999999999999</v>
      </c>
      <c r="U56" s="339"/>
      <c r="V56" s="340">
        <f>+('Income Statement'!V20+'Income Statement'!AF22)*(1-'Income Statement'!V25)</f>
        <v>-8.1490000000000027</v>
      </c>
      <c r="W56" s="340">
        <f>+('Income Statement'!W20+'Income Statement'!AG22)*(1-'Income Statement'!W25)</f>
        <v>-5.5600000000000014</v>
      </c>
      <c r="X56" s="340">
        <f>+('Income Statement'!X20+'Income Statement'!AH22)*(1-'Income Statement'!X25)</f>
        <v>-4.0399999999999991</v>
      </c>
      <c r="Y56" s="341">
        <f>+('Income Statement'!Y20+'Income Statement'!AI22)*(1-'Income Statement'!Y25)</f>
        <v>-2.7079999999999993</v>
      </c>
      <c r="Z56" s="339"/>
      <c r="AA56" s="340">
        <f>+('Income Statement'!AA20+'Income Statement'!AK22)*(1-'Income Statement'!AA25)</f>
        <v>-1.9950000000000043</v>
      </c>
      <c r="AB56" s="340">
        <f>+('Income Statement'!AB20+'Income Statement'!AL22)*(1-'Income Statement'!AB25)</f>
        <v>-4.4869999999999965</v>
      </c>
      <c r="AC56" s="340">
        <f>+('Income Statement'!AC20+'Income Statement'!AM22)*(1-'Income Statement'!AC25)</f>
        <v>-1.4959999999999987</v>
      </c>
      <c r="AD56" s="341">
        <f>+('Income Statement'!AD20+'Income Statement'!AN22)*(1-'Income Statement'!AD25)</f>
        <v>-7.6159999999999997</v>
      </c>
      <c r="AE56" s="339"/>
      <c r="AF56" s="340">
        <f>+('Income Statement'!AF20+'Income Statement'!AP22)*(1-'Income Statement'!AF25)</f>
        <v>-9.052999999999999</v>
      </c>
      <c r="AG56" s="340">
        <f>+('Income Statement'!AG20+'Income Statement'!AQ22)*(1-'Income Statement'!AG25)</f>
        <v>-8.6920000000000019</v>
      </c>
      <c r="AH56" s="340">
        <f>+('Income Statement'!AH20+'Income Statement'!AR22)*(1-'Income Statement'!AH25)</f>
        <v>-1.9869999999999979</v>
      </c>
      <c r="AI56" s="341">
        <f>+('Income Statement'!AI20+'Income Statement'!AS22)*(1-'Income Statement'!AI25)</f>
        <v>-4.8199999999999958</v>
      </c>
      <c r="AJ56" s="339"/>
      <c r="AK56" s="340">
        <f>+('Income Statement'!AK20+'Income Statement'!AU22)*(1-'Income Statement'!AK25)</f>
        <v>-3.6501208628166992</v>
      </c>
      <c r="AL56" s="340">
        <f>+('Income Statement'!AL20+'Income Statement'!AV22)*(1-'Income Statement'!AL25)</f>
        <v>-3.8664267422718033</v>
      </c>
      <c r="AM56" s="340">
        <f>+('Income Statement'!AM20+'Income Statement'!AW22)*(1-'Income Statement'!AM25)</f>
        <v>-8.4793946265243836</v>
      </c>
      <c r="AN56" s="341">
        <f>+('Income Statement'!AN20+'Income Statement'!AX22)*(1-'Income Statement'!AN25)</f>
        <v>-1.5776991271607066</v>
      </c>
      <c r="AO56" s="339"/>
      <c r="AP56" s="340">
        <f>+('Income Statement'!AP20+'Income Statement'!BT22)*(1-'Income Statement'!AP25)</f>
        <v>-4.8244183976261086</v>
      </c>
      <c r="AQ56" s="340">
        <f>+('Income Statement'!AQ20+'Income Statement'!BU22)*(1-'Income Statement'!AQ25)</f>
        <v>-3.7654090909091908</v>
      </c>
      <c r="AR56" s="340">
        <f>+('Income Statement'!AR20+'Income Statement'!BV22)*(1-'Income Statement'!AR25)</f>
        <v>-1.0369610829103417</v>
      </c>
      <c r="AS56" s="341">
        <f>+('Income Statement'!AS20+'Income Statement'!BW22)*(1-'Income Statement'!AS25)</f>
        <v>2.2030937783832854</v>
      </c>
      <c r="AT56" s="339"/>
      <c r="AU56" s="340">
        <f>+('Income Statement'!AU20+'Income Statement'!BY22)*(1-'Income Statement'!AU25)</f>
        <v>5.0328633754305345</v>
      </c>
      <c r="AV56" s="340">
        <f>+('Income Statement'!AV20+'Income Statement'!BZ22)*(1-'Income Statement'!AV25)</f>
        <v>8.7474191447796734</v>
      </c>
      <c r="AW56" s="340">
        <f>+('Income Statement'!AW20+'Income Statement'!CA22)*(1-'Income Statement'!AW25)</f>
        <v>10.423369703389811</v>
      </c>
      <c r="AX56" s="341">
        <f>+('Income Statement'!AX20+'Income Statement'!CB22)*(1-'Income Statement'!AX25)</f>
        <v>10.58163111516258</v>
      </c>
      <c r="AY56" s="339"/>
      <c r="AZ56" s="340">
        <f>+('Income Statement'!AZ20+'Income Statement'!CD22)*(1-'Income Statement'!AZ25)</f>
        <v>12.070240773733785</v>
      </c>
      <c r="BA56" s="340">
        <f>+('Income Statement'!BA20+'Income Statement'!CE22)*(1-'Income Statement'!BA25)</f>
        <v>20.838759425707931</v>
      </c>
      <c r="BB56" s="340">
        <f>+('Income Statement'!BB20+'Income Statement'!CF22)*(1-'Income Statement'!BB25)</f>
        <v>23.155832000000014</v>
      </c>
      <c r="BC56" s="341">
        <f>+('Income Statement'!BC20+'Income Statement'!CG22)*(1-'Income Statement'!BC25)</f>
        <v>27.631740304137697</v>
      </c>
      <c r="BD56" s="339"/>
      <c r="BE56" s="340">
        <f>+('Income Statement'!BE20+'Income Statement'!CI22)*(1-'Income Statement'!BE25)</f>
        <v>21.197005795739351</v>
      </c>
      <c r="BF56" s="340">
        <f>+('Income Statement'!BF20+'Income Statement'!CJ22)*(1-'Income Statement'!BF25)</f>
        <v>31.162402286025333</v>
      </c>
      <c r="BG56" s="340">
        <f>+('Income Statement'!BG20+'Income Statement'!CK22)*(1-'Income Statement'!BG25)</f>
        <v>34.73374799999997</v>
      </c>
      <c r="BH56" s="341">
        <f>+('Income Statement'!BH20+'Income Statement'!CL22)*(1-'Income Statement'!BH25)</f>
        <v>39.460231601731593</v>
      </c>
      <c r="BI56" s="339"/>
      <c r="BJ56" s="340">
        <f>+('Income Statement'!BJ20+'Income Statement'!CN22)*(1-'Income Statement'!BJ25)</f>
        <v>28.215326439000009</v>
      </c>
      <c r="BK56" s="340">
        <f>+('Income Statement'!BK20+'Income Statement'!CO22)*(1-'Income Statement'!BK25)</f>
        <v>32.867821737874998</v>
      </c>
      <c r="BL56" s="340">
        <f>+('Income Statement'!BL20+'Income Statement'!CP22)*(1-'Income Statement'!BL25)</f>
        <v>32.761230829199995</v>
      </c>
      <c r="BM56" s="341">
        <f>+('Income Statement'!BM20+'Income Statement'!CQ22)*(1-'Income Statement'!BM25)</f>
        <v>35.986778947274999</v>
      </c>
      <c r="BN56" s="339"/>
      <c r="BO56" s="340">
        <f>+('Income Statement'!BO20+'Income Statement'!CS22)*(1-'Income Statement'!BO25)</f>
        <v>31.901703588904997</v>
      </c>
      <c r="BP56" s="340">
        <f>+('Income Statement'!BP20+'Income Statement'!CT22)*(1-'Income Statement'!BP25)</f>
        <v>37.174199504759997</v>
      </c>
      <c r="BQ56" s="340">
        <f>+('Income Statement'!BQ20+'Income Statement'!CU22)*(1-'Income Statement'!BQ25)</f>
        <v>37.099407725703983</v>
      </c>
      <c r="BR56" s="341">
        <f>+('Income Statement'!BR20+'Income Statement'!CV22)*(1-'Income Statement'!BR25)</f>
        <v>40.65898650697801</v>
      </c>
    </row>
    <row r="57" spans="1:70" s="342" customFormat="1">
      <c r="A57" s="334" t="s">
        <v>197</v>
      </c>
      <c r="B57" s="319"/>
      <c r="C57" s="319"/>
      <c r="D57" s="319"/>
      <c r="E57" s="320"/>
      <c r="F57" s="343"/>
      <c r="G57" s="319"/>
      <c r="H57" s="319"/>
      <c r="I57" s="319"/>
      <c r="J57" s="320"/>
      <c r="K57" s="343"/>
      <c r="L57" s="319"/>
      <c r="M57" s="319"/>
      <c r="N57" s="319"/>
      <c r="O57" s="321" t="s">
        <v>82</v>
      </c>
      <c r="P57" s="344"/>
      <c r="Q57" s="322" t="s">
        <v>144</v>
      </c>
      <c r="R57" s="322" t="s">
        <v>144</v>
      </c>
      <c r="S57" s="322" t="s">
        <v>144</v>
      </c>
      <c r="T57" s="323" t="s">
        <v>144</v>
      </c>
      <c r="U57" s="24"/>
      <c r="V57" s="322" t="s">
        <v>144</v>
      </c>
      <c r="W57" s="322" t="s">
        <v>144</v>
      </c>
      <c r="X57" s="322" t="s">
        <v>144</v>
      </c>
      <c r="Y57" s="323" t="s">
        <v>144</v>
      </c>
      <c r="Z57" s="24"/>
      <c r="AA57" s="322" t="s">
        <v>144</v>
      </c>
      <c r="AB57" s="322" t="s">
        <v>144</v>
      </c>
      <c r="AC57" s="322" t="s">
        <v>144</v>
      </c>
      <c r="AD57" s="323" t="s">
        <v>144</v>
      </c>
      <c r="AE57" s="24"/>
      <c r="AF57" s="322" t="s">
        <v>144</v>
      </c>
      <c r="AG57" s="322" t="s">
        <v>144</v>
      </c>
      <c r="AH57" s="322" t="s">
        <v>144</v>
      </c>
      <c r="AI57" s="323" t="s">
        <v>144</v>
      </c>
      <c r="AJ57" s="24"/>
      <c r="AK57" s="322">
        <f>4*AK56/((AI55+AK55)/2)</f>
        <v>-2.0865851950630739E-2</v>
      </c>
      <c r="AL57" s="322">
        <f>4*AL56/((AK55+AL55)/2)</f>
        <v>-1.5861287478808703E-2</v>
      </c>
      <c r="AM57" s="322">
        <f>4*AM56/((AL55+AM55)/2)</f>
        <v>-3.2578034868379506E-2</v>
      </c>
      <c r="AN57" s="323">
        <f>4*AN56/((AM55+AN55)/2)</f>
        <v>-5.7226147222595447E-3</v>
      </c>
      <c r="AO57" s="24"/>
      <c r="AP57" s="322">
        <f>4*AP56/((AN55+AP55)/2)</f>
        <v>-1.7685425947559997E-2</v>
      </c>
      <c r="AQ57" s="322">
        <f>4*AQ56/((AP55+AQ55)/2)</f>
        <v>-1.4013307812814053E-2</v>
      </c>
      <c r="AR57" s="322">
        <f>4*AR56/((AQ55+AR55)/2)</f>
        <v>-3.9272729724184564E-3</v>
      </c>
      <c r="AS57" s="323">
        <f>4*AS56/((AR55+AS55)/2)</f>
        <v>8.3003396132981955E-3</v>
      </c>
      <c r="AT57" s="24"/>
      <c r="AU57" s="322">
        <f>4*AU56/((AS55+AU55)/2)</f>
        <v>1.867084280454406E-2</v>
      </c>
      <c r="AV57" s="322">
        <f>4*AV56/((AU55+AV55)/2)</f>
        <v>3.2338307273246152E-2</v>
      </c>
      <c r="AW57" s="322">
        <f>4*AW56/((AV55+AW55)/2)</f>
        <v>3.9024642078756222E-2</v>
      </c>
      <c r="AX57" s="323">
        <f>4*AX56/((AW55+AX55)/2)</f>
        <v>4.0346307514676251E-2</v>
      </c>
      <c r="AY57" s="24"/>
      <c r="AZ57" s="322">
        <f>4*AZ56/((AX55+AZ55)/2)</f>
        <v>4.4647731611207345E-2</v>
      </c>
      <c r="BA57" s="322">
        <f>4*BA56/((AZ55+BA55)/2)</f>
        <v>7.4054792528364527E-2</v>
      </c>
      <c r="BB57" s="322">
        <f>4*BB56/((BA55+BB55)/2)</f>
        <v>8.024320562773847E-2</v>
      </c>
      <c r="BC57" s="323">
        <f>4*BC56/((BB55+BC55)/2)</f>
        <v>9.3985191561041292E-2</v>
      </c>
      <c r="BD57" s="24"/>
      <c r="BE57" s="322">
        <f>4*BE56/((BC55+BE55)/2)</f>
        <v>7.1523853101441895E-2</v>
      </c>
      <c r="BF57" s="322">
        <f>4*BF56/((BE55+BF55)/2)</f>
        <v>0.10318706150564289</v>
      </c>
      <c r="BG57" s="322">
        <f>4*BG56/((BF55+BG55)/2)</f>
        <v>0.11210202668792481</v>
      </c>
      <c r="BH57" s="323">
        <f>4*BH56/((BG55+BH55)/2)</f>
        <v>0.12291576410881251</v>
      </c>
      <c r="BI57" s="24"/>
      <c r="BJ57" s="322">
        <f>4*BJ56/((BH55+BJ55)/2)</f>
        <v>8.4826543437332758E-2</v>
      </c>
      <c r="BK57" s="322">
        <f>4*BK56/((BJ55+BK55)/2)</f>
        <v>9.5782439803473229E-2</v>
      </c>
      <c r="BL57" s="322">
        <f>4*BL56/((BK55+BL55)/2)</f>
        <v>9.2488125479419162E-2</v>
      </c>
      <c r="BM57" s="323">
        <f>4*BM56/((BL55+BM55)/2)</f>
        <v>9.8439124896569849E-2</v>
      </c>
      <c r="BN57" s="24"/>
      <c r="BO57" s="322">
        <f>4*BO56/((BM55+BO55)/2)</f>
        <v>8.4640754357296011E-2</v>
      </c>
      <c r="BP57" s="322">
        <f>4*BP56/((BO55+BP55)/2)</f>
        <v>9.5672142929705661E-2</v>
      </c>
      <c r="BQ57" s="322">
        <f>4*BQ56/((BP55+BQ55)/2)</f>
        <v>9.2555554582266969E-2</v>
      </c>
      <c r="BR57" s="323">
        <f>4*BR56/((BQ55+BR55)/2)</f>
        <v>9.8343555393332491E-2</v>
      </c>
    </row>
    <row r="58" spans="1:70" s="342" customFormat="1">
      <c r="A58" s="345" t="s">
        <v>198</v>
      </c>
      <c r="B58" s="324"/>
      <c r="C58" s="324"/>
      <c r="D58" s="324"/>
      <c r="E58" s="325"/>
      <c r="F58" s="346"/>
      <c r="G58" s="324"/>
      <c r="H58" s="324"/>
      <c r="I58" s="324"/>
      <c r="J58" s="325"/>
      <c r="K58" s="346"/>
      <c r="L58" s="324"/>
      <c r="M58" s="324"/>
      <c r="N58" s="324"/>
      <c r="O58" s="326" t="s">
        <v>82</v>
      </c>
      <c r="P58" s="347"/>
      <c r="Q58" s="327" t="s">
        <v>144</v>
      </c>
      <c r="R58" s="327" t="s">
        <v>144</v>
      </c>
      <c r="S58" s="327" t="s">
        <v>144</v>
      </c>
      <c r="T58" s="328" t="s">
        <v>144</v>
      </c>
      <c r="U58" s="294"/>
      <c r="V58" s="327" t="s">
        <v>144</v>
      </c>
      <c r="W58" s="327" t="s">
        <v>144</v>
      </c>
      <c r="X58" s="327" t="s">
        <v>144</v>
      </c>
      <c r="Y58" s="328" t="s">
        <v>144</v>
      </c>
      <c r="Z58" s="294"/>
      <c r="AA58" s="327" t="s">
        <v>144</v>
      </c>
      <c r="AB58" s="327" t="s">
        <v>144</v>
      </c>
      <c r="AC58" s="327" t="s">
        <v>144</v>
      </c>
      <c r="AD58" s="328" t="s">
        <v>144</v>
      </c>
      <c r="AE58" s="294"/>
      <c r="AF58" s="327" t="s">
        <v>144</v>
      </c>
      <c r="AG58" s="327" t="s">
        <v>144</v>
      </c>
      <c r="AH58" s="327" t="s">
        <v>144</v>
      </c>
      <c r="AI58" s="328" t="s">
        <v>144</v>
      </c>
      <c r="AJ58" s="294"/>
      <c r="AK58" s="327">
        <f>+(AK56+AI56+AH56+AG56)/((AK55+AF55)/2)</f>
        <v>-3.1710116261109103E-2</v>
      </c>
      <c r="AL58" s="327">
        <f>+(AL56+AK56+AI56+AH56)/((AL55+AG55)/2)</f>
        <v>-2.3863093762043749E-2</v>
      </c>
      <c r="AM58" s="327">
        <f>+(AM56+AL56+AK56+AI56)/((AM55+AH55)/2)</f>
        <v>-2.7171524945519585E-2</v>
      </c>
      <c r="AN58" s="328">
        <f>+(AN56+AM56+AL56+AK56)/((AN55+AI55)/2)</f>
        <v>-2.3127350892756589E-2</v>
      </c>
      <c r="AO58" s="294"/>
      <c r="AP58" s="327">
        <f>+(AP56+AN56+AM56+AL56)/((AP55+AK55)/2)</f>
        <v>-1.8183707540456406E-2</v>
      </c>
      <c r="AQ58" s="327">
        <f>+(AQ56+AP56+AN56+AM56)/((AQ55+AL55)/2)</f>
        <v>-1.8302109499254433E-2</v>
      </c>
      <c r="AR58" s="327">
        <f>+(AR56+AQ56+AP56+AN56)/((AR55+AM55)/2)</f>
        <v>-1.0389513482047572E-2</v>
      </c>
      <c r="AS58" s="328">
        <f>+(AS56+AR56+AQ56+AP56)/((AS55+AN55)/2)</f>
        <v>-6.8356353383565499E-3</v>
      </c>
      <c r="AT58" s="294"/>
      <c r="AU58" s="327">
        <f>+(AU56+AS56+AR56+AQ56)/((AU55+AP55)/2)</f>
        <v>2.2463254300096758E-3</v>
      </c>
      <c r="AV58" s="327">
        <f>+(AV56+AU56+AS56+AR56)/((AV55+AQ55)/2)</f>
        <v>1.3923919173161617E-2</v>
      </c>
      <c r="AW58" s="327">
        <f>+(AW56+AV56+AU56+AS56)/((AW55+AR55)/2)</f>
        <v>2.5122532391209457E-2</v>
      </c>
      <c r="AX58" s="328">
        <f>+(AX56+AW56+AV56+AU56)/((AX55+AS55)/2)</f>
        <v>3.2827113208747601E-2</v>
      </c>
      <c r="AY58" s="294"/>
      <c r="AZ58" s="327">
        <f>+(AZ56+AX56+AW56+AV56)/((AZ55+AU55)/2)</f>
        <v>3.8022190688943219E-2</v>
      </c>
      <c r="BA58" s="327">
        <f>+(BA56+AZ56+AX56+AW56)/((BA55+AV55)/2)</f>
        <v>4.8675517488159618E-2</v>
      </c>
      <c r="BB58" s="327">
        <f>+(BB56+BA56+AZ56+AX56)/((BB55+AW55)/2)</f>
        <v>5.9769905770729041E-2</v>
      </c>
      <c r="BC58" s="328">
        <f>+(BC56+BB56+BA56+AZ56)/((BC55+AX55)/2)</f>
        <v>7.5400008020997056E-2</v>
      </c>
      <c r="BD58" s="294"/>
      <c r="BE58" s="327">
        <f>+(BE56+BC56+BB56+BA56)/((BE55+AZ55)/2)</f>
        <v>8.0241994588990687E-2</v>
      </c>
      <c r="BF58" s="327">
        <f>+(BF56+BE56+BC56+BB56)/((BF55+BA55)/2)</f>
        <v>8.7651136044580941E-2</v>
      </c>
      <c r="BG58" s="327">
        <f>+(BG56+BF56+BE56+BC56)/((BG55+BB55)/2)</f>
        <v>9.4279880121988582E-2</v>
      </c>
      <c r="BH58" s="328">
        <f>+(BH56+BG56+BF56+BE56)/((BH55+BC55)/2)</f>
        <v>0.10178923691765529</v>
      </c>
      <c r="BI58" s="294"/>
      <c r="BJ58" s="327">
        <f>+(BJ56+BH56+BG56+BF56)/((BJ55+BE55)/2)</f>
        <v>0.10495493971949571</v>
      </c>
      <c r="BK58" s="327">
        <f>+(BK56+BJ56+BH56+BG56)/((BK55+BF55)/2)</f>
        <v>0.10342746093926763</v>
      </c>
      <c r="BL58" s="327">
        <f>+(BL56+BK56+BJ56+BH56)/((BL55+BG55)/2)</f>
        <v>9.8868386733363081E-2</v>
      </c>
      <c r="BM58" s="328">
        <f>+(BM56+BL56+BK56+BJ56)/((BM55+BH55)/2)</f>
        <v>9.2860504930894233E-2</v>
      </c>
      <c r="BN58" s="294"/>
      <c r="BO58" s="327">
        <f>+(BO56+BM56+BL56+BK56)/((BO55+BJ55)/2)</f>
        <v>9.272098735816417E-2</v>
      </c>
      <c r="BP58" s="327">
        <f>+(BP56+BO56+BM56+BL56)/((BP55+BK55)/2)</f>
        <v>9.2695635534653972E-2</v>
      </c>
      <c r="BQ58" s="327">
        <f>+(BQ56+BP56+BO56+BM56)/((BQ55+BL55)/2)</f>
        <v>9.2711831164044162E-2</v>
      </c>
      <c r="BR58" s="328">
        <f>+(BR56+BQ56+BP56+BO56)/((BR55+BM55)/2)</f>
        <v>9.2776154813863865E-2</v>
      </c>
    </row>
    <row r="59" spans="1:70" s="342" customFormat="1">
      <c r="A59" s="348" t="s">
        <v>199</v>
      </c>
      <c r="B59" s="349"/>
      <c r="C59" s="349"/>
      <c r="D59" s="349"/>
      <c r="E59" s="350"/>
      <c r="F59" s="343"/>
      <c r="G59" s="349"/>
      <c r="H59" s="349"/>
      <c r="I59" s="349"/>
      <c r="J59" s="350"/>
      <c r="K59" s="343"/>
      <c r="L59" s="349"/>
      <c r="M59" s="349"/>
      <c r="N59" s="349"/>
      <c r="O59" s="351">
        <f>+O51+'Cash Flow'!O10</f>
        <v>-3.3299999999999992</v>
      </c>
      <c r="P59" s="344"/>
      <c r="Q59" s="344">
        <f>+Q51+'Cash Flow'!Q10</f>
        <v>-5.5780000000000003</v>
      </c>
      <c r="R59" s="344">
        <f>+R51+'Cash Flow'!R10</f>
        <v>-4.5820000000000043</v>
      </c>
      <c r="S59" s="344">
        <f>+S51+'Cash Flow'!S10</f>
        <v>-4.3560000000000016</v>
      </c>
      <c r="T59" s="352">
        <f>+T51+'Cash Flow'!T10</f>
        <v>-3.8619999999999988</v>
      </c>
      <c r="U59" s="344"/>
      <c r="V59" s="344">
        <f>+V51+'Cash Flow'!V10</f>
        <v>-7.2870000000000017</v>
      </c>
      <c r="W59" s="344">
        <f>+W51+'Cash Flow'!W10</f>
        <v>-3.7700000000000014</v>
      </c>
      <c r="X59" s="344">
        <f>+X51+'Cash Flow'!X10</f>
        <v>-2.1849999999999987</v>
      </c>
      <c r="Y59" s="352">
        <f>+Y51+'Cash Flow'!Y10</f>
        <v>-0.76899999999999902</v>
      </c>
      <c r="Z59" s="344"/>
      <c r="AA59" s="344">
        <f>+AA51+'Cash Flow'!AA10</f>
        <v>0.4119999999999957</v>
      </c>
      <c r="AB59" s="344">
        <f>+AB51+'Cash Flow'!AB10</f>
        <v>0.57300000000000417</v>
      </c>
      <c r="AC59" s="344">
        <f>+AC51+'Cash Flow'!AC10</f>
        <v>2.2350000000000003</v>
      </c>
      <c r="AD59" s="352">
        <f>+AD51+'Cash Flow'!AD10</f>
        <v>-3.9539999999999984</v>
      </c>
      <c r="AE59" s="344"/>
      <c r="AF59" s="344">
        <f>+AF51+'Cash Flow'!AF10</f>
        <v>-6.3930000000000007</v>
      </c>
      <c r="AG59" s="344">
        <f>+AG51+'Cash Flow'!AG10</f>
        <v>-6.3270000000000035</v>
      </c>
      <c r="AH59" s="344">
        <f>+AH51+'Cash Flow'!AH10</f>
        <v>0.29400000000000182</v>
      </c>
      <c r="AI59" s="352">
        <f>+AI51+'Cash Flow'!AI10</f>
        <v>-3.0759999999999965</v>
      </c>
      <c r="AJ59" s="344"/>
      <c r="AK59" s="344">
        <f>+AK51+'Cash Flow'!AK10</f>
        <v>-4.8539999999999885</v>
      </c>
      <c r="AL59" s="344">
        <f>+AL51+'Cash Flow'!AL10</f>
        <v>-1.339999999999991</v>
      </c>
      <c r="AM59" s="344">
        <f>+AM51+'Cash Flow'!AM10</f>
        <v>-3.829999999999993</v>
      </c>
      <c r="AN59" s="352">
        <f>+AN51+'Cash Flow'!AN10</f>
        <v>-0.12700000000000422</v>
      </c>
      <c r="AO59" s="344"/>
      <c r="AP59" s="344">
        <f>+AP51+'Cash Flow'!AP10</f>
        <v>2.6010000000000035</v>
      </c>
      <c r="AQ59" s="344">
        <f>+AQ51+'Cash Flow'!AQ10</f>
        <v>5.9829999999999988</v>
      </c>
      <c r="AR59" s="344">
        <f>+AR51+'Cash Flow'!AR10</f>
        <v>6.691999999999986</v>
      </c>
      <c r="AS59" s="352">
        <f>+AS51+'Cash Flow'!AS10</f>
        <v>11.270999999999997</v>
      </c>
      <c r="AT59" s="344"/>
      <c r="AU59" s="344">
        <f>+AU51+'Cash Flow'!AU10</f>
        <v>15.823999999999995</v>
      </c>
      <c r="AV59" s="344">
        <f>+AV51+'Cash Flow'!AV10</f>
        <v>19.594999999999992</v>
      </c>
      <c r="AW59" s="344">
        <f>+AW51+'Cash Flow'!AW10</f>
        <v>20.478999999999981</v>
      </c>
      <c r="AX59" s="352">
        <f>+AX51+'Cash Flow'!AX10</f>
        <v>23.967000000000013</v>
      </c>
      <c r="AY59" s="344"/>
      <c r="AZ59" s="344">
        <f>+AZ51+'Cash Flow'!AZ10</f>
        <v>23.735000000000014</v>
      </c>
      <c r="BA59" s="344">
        <f>+BA51+'Cash Flow'!BA10</f>
        <v>34.998000000000012</v>
      </c>
      <c r="BB59" s="344">
        <f>+BB51+'Cash Flow'!BB10</f>
        <v>36.661000000000016</v>
      </c>
      <c r="BC59" s="352">
        <f>+BC51+'Cash Flow'!BC10</f>
        <v>35.078000000000017</v>
      </c>
      <c r="BD59" s="344"/>
      <c r="BE59" s="344">
        <f>+BE51+'Cash Flow'!BT10</f>
        <v>25.536000000000001</v>
      </c>
      <c r="BF59" s="344">
        <f>+BF51+'Cash Flow'!BU10</f>
        <v>36.744999999999997</v>
      </c>
      <c r="BG59" s="344">
        <f>+BG51+'Cash Flow'!BV10</f>
        <v>40.08099999999996</v>
      </c>
      <c r="BH59" s="352">
        <f>+BH51+'Cash Flow'!BW10</f>
        <v>43.889999999999993</v>
      </c>
      <c r="BI59" s="344"/>
      <c r="BJ59" s="344">
        <f>+BJ51+'Cash Flow'!BY10</f>
        <v>29.800343620000014</v>
      </c>
      <c r="BK59" s="344">
        <f>+BK51+'Cash Flow'!BZ10</f>
        <v>34.697707092500004</v>
      </c>
      <c r="BL59" s="344">
        <f>+BL51+'Cash Flow'!CA10</f>
        <v>34.585506135999999</v>
      </c>
      <c r="BM59" s="352">
        <f>+BM51+'Cash Flow'!CB10</f>
        <v>37.980819944500006</v>
      </c>
      <c r="BN59" s="344"/>
      <c r="BO59" s="344">
        <f>+BO51+'Cash Flow'!CD10</f>
        <v>33.6807406199</v>
      </c>
      <c r="BP59" s="344">
        <f>+BP51+'Cash Flow'!CE10</f>
        <v>39.230736320799998</v>
      </c>
      <c r="BQ59" s="344">
        <f>+BQ51+'Cash Flow'!CF10</f>
        <v>39.152008132319985</v>
      </c>
      <c r="BR59" s="352">
        <f>+BR51+'Cash Flow'!CG10</f>
        <v>42.898933165240017</v>
      </c>
    </row>
    <row r="60" spans="1:70" s="342" customFormat="1">
      <c r="A60" s="343" t="s">
        <v>200</v>
      </c>
      <c r="B60" s="353"/>
      <c r="C60" s="353"/>
      <c r="D60" s="353"/>
      <c r="E60" s="354"/>
      <c r="F60" s="343"/>
      <c r="G60" s="353"/>
      <c r="H60" s="353"/>
      <c r="I60" s="353"/>
      <c r="J60" s="354"/>
      <c r="K60" s="343"/>
      <c r="L60" s="353"/>
      <c r="M60" s="353"/>
      <c r="N60" s="353"/>
      <c r="O60" s="355" t="s">
        <v>82</v>
      </c>
      <c r="P60" s="344"/>
      <c r="Q60" s="322" t="s">
        <v>144</v>
      </c>
      <c r="R60" s="322" t="s">
        <v>144</v>
      </c>
      <c r="S60" s="322" t="s">
        <v>144</v>
      </c>
      <c r="T60" s="323" t="s">
        <v>144</v>
      </c>
      <c r="U60" s="24"/>
      <c r="V60" s="322" t="s">
        <v>144</v>
      </c>
      <c r="W60" s="322" t="s">
        <v>144</v>
      </c>
      <c r="X60" s="322" t="s">
        <v>144</v>
      </c>
      <c r="Y60" s="323" t="s">
        <v>144</v>
      </c>
      <c r="Z60" s="24"/>
      <c r="AA60" s="322" t="s">
        <v>144</v>
      </c>
      <c r="AB60" s="322" t="s">
        <v>144</v>
      </c>
      <c r="AC60" s="322" t="s">
        <v>144</v>
      </c>
      <c r="AD60" s="323" t="s">
        <v>144</v>
      </c>
      <c r="AE60" s="24"/>
      <c r="AF60" s="322" t="s">
        <v>144</v>
      </c>
      <c r="AG60" s="322" t="s">
        <v>144</v>
      </c>
      <c r="AH60" s="322" t="s">
        <v>144</v>
      </c>
      <c r="AI60" s="323" t="s">
        <v>144</v>
      </c>
      <c r="AJ60" s="24"/>
      <c r="AK60" s="322" t="s">
        <v>144</v>
      </c>
      <c r="AL60" s="322" t="s">
        <v>144</v>
      </c>
      <c r="AM60" s="322" t="s">
        <v>144</v>
      </c>
      <c r="AN60" s="323" t="s">
        <v>144</v>
      </c>
      <c r="AO60" s="24"/>
      <c r="AP60" s="356">
        <f>+AP59/AK59-1</f>
        <v>-1.5358467243510527</v>
      </c>
      <c r="AQ60" s="356">
        <f>+AQ59/AL59-1</f>
        <v>-5.4649253731343572</v>
      </c>
      <c r="AR60" s="356">
        <f>+AR59/AM59-1</f>
        <v>-2.7472584856396862</v>
      </c>
      <c r="AS60" s="357">
        <f>+AS59/AN59-1</f>
        <v>-89.748031496060023</v>
      </c>
      <c r="AT60" s="24"/>
      <c r="AU60" s="356">
        <f>+AU59/AP59-1</f>
        <v>5.0838139177239423</v>
      </c>
      <c r="AV60" s="356">
        <f>+AV59/AQ59-1</f>
        <v>2.2751128196556905</v>
      </c>
      <c r="AW60" s="356">
        <f>+AW59/AR59-1</f>
        <v>2.060221159593548</v>
      </c>
      <c r="AX60" s="357">
        <f>+AX59/AS59-1</f>
        <v>1.1264306627628442</v>
      </c>
      <c r="AY60" s="24"/>
      <c r="AZ60" s="356">
        <f>+AZ59/AU59-1</f>
        <v>0.49993680485338854</v>
      </c>
      <c r="BA60" s="356">
        <f>+BA59/AV59-1</f>
        <v>0.78606787445777115</v>
      </c>
      <c r="BB60" s="356">
        <f>+BB59/AW59-1</f>
        <v>0.79017530152839743</v>
      </c>
      <c r="BC60" s="357">
        <f>+BC59/AX59-1</f>
        <v>0.46359577752743353</v>
      </c>
      <c r="BD60" s="24"/>
      <c r="BE60" s="356">
        <f>+BE59/AZ59-1</f>
        <v>7.587950284390077E-2</v>
      </c>
      <c r="BF60" s="356">
        <f>+BF59/BA59-1</f>
        <v>4.9917138122177906E-2</v>
      </c>
      <c r="BG60" s="356">
        <f>+BG59/BB59-1</f>
        <v>9.328714437685659E-2</v>
      </c>
      <c r="BH60" s="357">
        <f>+BH59/BC59-1</f>
        <v>0.25121158560921297</v>
      </c>
      <c r="BI60" s="24"/>
      <c r="BJ60" s="356">
        <f>+BJ59/BE59-1</f>
        <v>0.16699340617167957</v>
      </c>
      <c r="BK60" s="356">
        <f>+BK59/BF59-1</f>
        <v>-5.571623098380718E-2</v>
      </c>
      <c r="BL60" s="356">
        <f>+BL59/BG59-1</f>
        <v>-0.13710969945859552</v>
      </c>
      <c r="BM60" s="357">
        <f>+BM59/BH59-1</f>
        <v>-0.13463613705855526</v>
      </c>
      <c r="BN60" s="24"/>
      <c r="BO60" s="356">
        <f>+BO59/BJ59-1</f>
        <v>0.13021316295479624</v>
      </c>
      <c r="BP60" s="356">
        <f>+BP59/BK59-1</f>
        <v>0.13064348074111853</v>
      </c>
      <c r="BQ60" s="356">
        <f>+BQ59/BL59-1</f>
        <v>0.13203513571156678</v>
      </c>
      <c r="BR60" s="357">
        <f>+BR59/BM59-1</f>
        <v>0.12948939037984619</v>
      </c>
    </row>
    <row r="61" spans="1:70" s="342" customFormat="1">
      <c r="A61" s="358" t="s">
        <v>201</v>
      </c>
      <c r="B61" s="359"/>
      <c r="C61" s="359"/>
      <c r="D61" s="359"/>
      <c r="E61" s="360"/>
      <c r="F61" s="346"/>
      <c r="G61" s="359"/>
      <c r="H61" s="359"/>
      <c r="I61" s="359"/>
      <c r="J61" s="360"/>
      <c r="K61" s="346"/>
      <c r="L61" s="359"/>
      <c r="M61" s="359"/>
      <c r="N61" s="359"/>
      <c r="O61" s="361" t="s">
        <v>82</v>
      </c>
      <c r="P61" s="347"/>
      <c r="Q61" s="327" t="s">
        <v>144</v>
      </c>
      <c r="R61" s="327" t="s">
        <v>144</v>
      </c>
      <c r="S61" s="327" t="s">
        <v>144</v>
      </c>
      <c r="T61" s="328" t="s">
        <v>144</v>
      </c>
      <c r="U61" s="294"/>
      <c r="V61" s="327" t="s">
        <v>144</v>
      </c>
      <c r="W61" s="327" t="s">
        <v>144</v>
      </c>
      <c r="X61" s="327" t="s">
        <v>144</v>
      </c>
      <c r="Y61" s="328" t="s">
        <v>144</v>
      </c>
      <c r="Z61" s="294"/>
      <c r="AA61" s="327" t="s">
        <v>144</v>
      </c>
      <c r="AB61" s="327" t="s">
        <v>144</v>
      </c>
      <c r="AC61" s="327" t="s">
        <v>144</v>
      </c>
      <c r="AD61" s="328" t="s">
        <v>144</v>
      </c>
      <c r="AE61" s="294"/>
      <c r="AF61" s="327" t="s">
        <v>144</v>
      </c>
      <c r="AG61" s="327" t="s">
        <v>144</v>
      </c>
      <c r="AH61" s="327" t="s">
        <v>144</v>
      </c>
      <c r="AI61" s="328" t="s">
        <v>144</v>
      </c>
      <c r="AJ61" s="294"/>
      <c r="AK61" s="327" t="s">
        <v>144</v>
      </c>
      <c r="AL61" s="327" t="s">
        <v>144</v>
      </c>
      <c r="AM61" s="327" t="s">
        <v>144</v>
      </c>
      <c r="AN61" s="328" t="s">
        <v>144</v>
      </c>
      <c r="AO61" s="294"/>
      <c r="AP61" s="362">
        <f>(AP59+AL59+AN59+AM59)/(AK59+AG59+AI59+AH59)-1</f>
        <v>-0.80691828403638277</v>
      </c>
      <c r="AQ61" s="362">
        <f>(AQ59+AM59+AP59+AN59)/(AL59+AH59+AK59+AI59)-1</f>
        <v>-1.5154857397504475</v>
      </c>
      <c r="AR61" s="362">
        <f>(AR59+AN59+AQ59+AP59)/(AM59+AI59+AL59+AK59)-1</f>
        <v>-2.1564122137404595</v>
      </c>
      <c r="AS61" s="363">
        <f>(AS59+AR59+AQ59+AP59)/(AN59+AM59+AL59+AK59)-1</f>
        <v>-3.6152103241060041</v>
      </c>
      <c r="AT61" s="294"/>
      <c r="AU61" s="362">
        <f>(AU59+AQ59+AS59+AR59)/(AP59+AL59+AN59+AM59)-1</f>
        <v>-15.751483679525297</v>
      </c>
      <c r="AV61" s="362">
        <f>(AV59+AR59+AU59+AS59)/(AQ59+AM59+AP59+AN59)-1</f>
        <v>10.537065052950059</v>
      </c>
      <c r="AW61" s="362">
        <f>(AW59+AS59+AV59+AU59)/(AR59+AN59+AQ59+AP59)-1</f>
        <v>3.4338900257442768</v>
      </c>
      <c r="AX61" s="363">
        <f>(AX59+AW59+AV59+AU59)/(AS59+AR59+AQ59+AP59)-1</f>
        <v>2.0084378649188244</v>
      </c>
      <c r="AY61" s="294"/>
      <c r="AZ61" s="362">
        <f>(AZ59+AV59+AX59+AW59)/(AU59+AQ59+AS59+AR59)-1</f>
        <v>1.207090771938649</v>
      </c>
      <c r="BA61" s="362">
        <f>(BA59+AW59+AZ59+AX59)/(AV59+AR59+AU59+AS59)-1</f>
        <v>0.93284253119028993</v>
      </c>
      <c r="BB61" s="362">
        <f>(BB59+AX59+BA59+AZ59)/(AW59+AS59+AV59+AU59)-1</f>
        <v>0.77702511575280409</v>
      </c>
      <c r="BC61" s="363">
        <f>(BC59+BB59+BA59+AZ59)/(AX59+AW59+AV59+AU59)-1</f>
        <v>0.63365679584298595</v>
      </c>
      <c r="BD61" s="294"/>
      <c r="BE61" s="362">
        <f>(BE59+BA59+BC59+BB59)/(AZ59+AV59+AX59+AW59)-1</f>
        <v>0.50693811520233334</v>
      </c>
      <c r="BF61" s="362">
        <f>(BF59+BB59+BE59+BC59)/(BA59+AW59+AZ59+AX59)-1</f>
        <v>0.29890772347086147</v>
      </c>
      <c r="BG61" s="362">
        <f>(BG59+BC59+BF59+BE59)/(BB59+AX59+BA59+AZ59)-1</f>
        <v>0.15146488383977941</v>
      </c>
      <c r="BH61" s="363">
        <f>(BH59+BG59+BF59+BE59)/(BC59+BB59+BA59+AZ59)-1</f>
        <v>0.12094549022012302</v>
      </c>
      <c r="BI61" s="294"/>
      <c r="BJ61" s="362">
        <f>(BJ59+BF59+BH59+BG59)/(BE59+BA59+BC59+BB59)-1</f>
        <v>0.13792190106824465</v>
      </c>
      <c r="BK61" s="362">
        <f>(BK59+BG59+BJ59+BH59)/(BF59+BB59+BE59+BC59)-1</f>
        <v>0.10781264522086187</v>
      </c>
      <c r="BL61" s="362">
        <f>(BL59+BH59+BK59+BJ59)/(BG59+BC59+BF59+BE59)-1</f>
        <v>4.0261618513533382E-2</v>
      </c>
      <c r="BM61" s="363">
        <f>(BM59+BL59+BK59+BJ59)/(BH59+BG59+BF59+BE59)-1</f>
        <v>-6.2820496177829699E-2</v>
      </c>
      <c r="BN61" s="294"/>
      <c r="BO61" s="362">
        <f>(BO59+BK59+BM59+BL59)/(BJ59+BF59+BH59+BG59)-1</f>
        <v>-6.3591564855340565E-2</v>
      </c>
      <c r="BP61" s="362">
        <f>(BP59+BL59+BO59+BM59)/(BK59+BG59+BJ59+BH59)-1</f>
        <v>-2.014728104574659E-2</v>
      </c>
      <c r="BQ61" s="362">
        <f>(BQ59+BM59+BP59+BO59)/(BL59+BH59+BK59+BJ59)-1</f>
        <v>4.9454936457322685E-2</v>
      </c>
      <c r="BR61" s="363">
        <f>(BR59+BQ59+BP59+BO59)/(BM59+BL59+BK59+BJ59)-1</f>
        <v>0.13058127767428807</v>
      </c>
    </row>
    <row r="62" spans="1:70" s="342" customFormat="1" hidden="1">
      <c r="A62" s="334" t="s">
        <v>202</v>
      </c>
      <c r="B62" s="364"/>
      <c r="C62" s="364"/>
      <c r="D62" s="364"/>
      <c r="E62" s="365"/>
      <c r="F62" s="358"/>
      <c r="G62" s="364"/>
      <c r="H62" s="364"/>
      <c r="I62" s="364"/>
      <c r="J62" s="365"/>
      <c r="K62" s="358"/>
      <c r="L62" s="364"/>
      <c r="M62" s="364"/>
      <c r="N62" s="364"/>
      <c r="O62" s="366">
        <f>+'Income Statement'!O26/'Income Statement'!O23</f>
        <v>1</v>
      </c>
      <c r="P62" s="358"/>
      <c r="Q62" s="364">
        <f>+'Income Statement'!Q26/'Income Statement'!Q23</f>
        <v>1</v>
      </c>
      <c r="R62" s="364">
        <f>+'Income Statement'!R26/'Income Statement'!R23</f>
        <v>1</v>
      </c>
      <c r="S62" s="364">
        <f>+'Income Statement'!S26/'Income Statement'!S23</f>
        <v>1</v>
      </c>
      <c r="T62" s="365">
        <f>+'Income Statement'!T26/'Income Statement'!T23</f>
        <v>1</v>
      </c>
      <c r="U62" s="358"/>
      <c r="V62" s="364">
        <f>+'Income Statement'!V26/'Income Statement'!V23</f>
        <v>1</v>
      </c>
      <c r="W62" s="364">
        <f>+'Income Statement'!W26/'Income Statement'!W23</f>
        <v>1</v>
      </c>
      <c r="X62" s="364">
        <f>+'Income Statement'!X26/'Income Statement'!X23</f>
        <v>1</v>
      </c>
      <c r="Y62" s="365">
        <f>+'Income Statement'!Y26/'Income Statement'!Y23</f>
        <v>1</v>
      </c>
      <c r="Z62" s="358"/>
      <c r="AA62" s="364">
        <f>+'Income Statement'!AA26/'Income Statement'!AA23</f>
        <v>1</v>
      </c>
      <c r="AB62" s="364">
        <f>+'Income Statement'!AB26/'Income Statement'!AB23</f>
        <v>1</v>
      </c>
      <c r="AC62" s="364">
        <f>+'Income Statement'!AC26/'Income Statement'!AC23</f>
        <v>1</v>
      </c>
      <c r="AD62" s="365">
        <f>+'Income Statement'!AD26/'Income Statement'!AD23</f>
        <v>1</v>
      </c>
      <c r="AE62" s="358"/>
      <c r="AF62" s="364">
        <f>+'Income Statement'!AF26/'Income Statement'!AF23</f>
        <v>1</v>
      </c>
      <c r="AG62" s="364">
        <f>+'Income Statement'!AG26/'Income Statement'!AG23</f>
        <v>1</v>
      </c>
      <c r="AH62" s="364">
        <f>+'Income Statement'!AH26/'Income Statement'!AH23</f>
        <v>1</v>
      </c>
      <c r="AI62" s="365">
        <f>+'Income Statement'!AI26/'Income Statement'!AI23</f>
        <v>1</v>
      </c>
      <c r="AJ62" s="358"/>
      <c r="AK62" s="364">
        <f>+'Income Statement'!AK26/'Income Statement'!AK23</f>
        <v>0.59769459027619209</v>
      </c>
      <c r="AL62" s="364">
        <f>+'Income Statement'!AL26/'Income Statement'!AL23</f>
        <v>0.97219681726723972</v>
      </c>
      <c r="AM62" s="364">
        <f>+'Income Statement'!AM26/'Income Statement'!AM23</f>
        <v>0.87137957317073167</v>
      </c>
      <c r="AN62" s="365">
        <f>+'Income Statement'!AN26/'Income Statement'!AN23</f>
        <v>0.86496662673284286</v>
      </c>
      <c r="AO62" s="358"/>
      <c r="AP62" s="364">
        <f>+'Income Statement'!AP26/'Income Statement'!AP23</f>
        <v>0.99925816023738867</v>
      </c>
      <c r="AQ62" s="364">
        <f>+'Income Statement'!AQ26/'Income Statement'!AQ23</f>
        <v>3.6136363636364535</v>
      </c>
      <c r="AR62" s="364">
        <f>+'Income Statement'!AR26/'Income Statement'!AR23</f>
        <v>0.74280879864636862</v>
      </c>
      <c r="AS62" s="365">
        <f>+'Income Statement'!AS26/'Income Statement'!AS23</f>
        <v>0.9084922797456858</v>
      </c>
      <c r="AT62" s="358"/>
      <c r="AU62" s="364">
        <f>+'Income Statement'!AU26/'Income Statement'!AU23</f>
        <v>0.92652123995407576</v>
      </c>
      <c r="AV62" s="364">
        <f>+'Income Statement'!AV26/'Income Statement'!AV23</f>
        <v>0.92663338398089856</v>
      </c>
      <c r="AW62" s="364">
        <f>+'Income Statement'!AW26/'Income Statement'!AW23</f>
        <v>0.92660411622276018</v>
      </c>
      <c r="AX62" s="365">
        <f>+'Income Statement'!AX26/'Income Statement'!AX23</f>
        <v>0.9265876633242176</v>
      </c>
      <c r="AY62" s="358"/>
      <c r="AZ62" s="364">
        <f>+'Income Statement'!AZ26/'Income Statement'!AZ23</f>
        <v>0.93077118859760755</v>
      </c>
      <c r="BA62" s="364">
        <f>+'Income Statement'!BA26/'Income Statement'!BA23</f>
        <v>0.93075882914412988</v>
      </c>
      <c r="BB62" s="364">
        <f>+'Income Statement'!BB26/'Income Statement'!BB23</f>
        <v>0.93099999999999994</v>
      </c>
      <c r="BC62" s="365">
        <f>+'Income Statement'!BC26/'Income Statement'!BC23</f>
        <v>1.1375299618845534</v>
      </c>
      <c r="BD62" s="358"/>
      <c r="BE62" s="364">
        <f>+'Income Statement'!BE26/'Income Statement'!BE23</f>
        <v>0.95848997493734345</v>
      </c>
      <c r="BF62" s="364">
        <f>+'Income Statement'!BF26/'Income Statement'!BF23</f>
        <v>0.95120424547557492</v>
      </c>
      <c r="BG62" s="364">
        <f>+'Income Statement'!BG26/'Income Statement'!BG23</f>
        <v>1.0202839250517703</v>
      </c>
      <c r="BH62" s="365">
        <f>+'Income Statement'!BH26/'Income Statement'!BH23</f>
        <v>0.97550694919115966</v>
      </c>
      <c r="BI62" s="358"/>
      <c r="BJ62" s="364">
        <f>+'Income Statement'!BJ26/'Income Statement'!BJ23</f>
        <v>0.95000000000000007</v>
      </c>
      <c r="BK62" s="364">
        <f>+'Income Statement'!BK26/'Income Statement'!BK23</f>
        <v>0.95</v>
      </c>
      <c r="BL62" s="364">
        <f>+'Income Statement'!BL26/'Income Statement'!BL23</f>
        <v>0.95000000000000007</v>
      </c>
      <c r="BM62" s="365">
        <f>+'Income Statement'!BM26/'Income Statement'!BM23</f>
        <v>0.95</v>
      </c>
      <c r="BN62" s="358"/>
      <c r="BO62" s="364">
        <f>+'Income Statement'!BO26/'Income Statement'!BO23</f>
        <v>0.95</v>
      </c>
      <c r="BP62" s="364">
        <f>+'Income Statement'!BP26/'Income Statement'!BP23</f>
        <v>0.95</v>
      </c>
      <c r="BQ62" s="364">
        <f>+'Income Statement'!BQ26/'Income Statement'!BQ23</f>
        <v>0.95</v>
      </c>
      <c r="BR62" s="365">
        <f>+'Income Statement'!BR26/'Income Statement'!BR23</f>
        <v>0.95</v>
      </c>
    </row>
    <row r="63" spans="1:70" s="342" customFormat="1" hidden="1">
      <c r="A63" s="334" t="s">
        <v>203</v>
      </c>
      <c r="B63" s="364"/>
      <c r="C63" s="364"/>
      <c r="D63" s="364"/>
      <c r="E63" s="365"/>
      <c r="F63" s="358"/>
      <c r="G63" s="364"/>
      <c r="H63" s="364"/>
      <c r="I63" s="364"/>
      <c r="J63" s="365"/>
      <c r="K63" s="358"/>
      <c r="L63" s="364"/>
      <c r="M63" s="364"/>
      <c r="N63" s="364"/>
      <c r="O63" s="366">
        <f>+('Income Statement'!O23-'Income Statement'!O22)/'Income Statement'!O20</f>
        <v>1.2367107195301028</v>
      </c>
      <c r="P63" s="358"/>
      <c r="Q63" s="364">
        <f>+('Income Statement'!Q23-'Income Statement'!Q22)/'Income Statement'!Q20</f>
        <v>1.1103448275862069</v>
      </c>
      <c r="R63" s="364">
        <f>+('Income Statement'!R23-'Income Statement'!R22)/'Income Statement'!R20</f>
        <v>1.1273845183667033</v>
      </c>
      <c r="S63" s="364">
        <f>+('Income Statement'!S23-'Income Statement'!S22)/'Income Statement'!S20</f>
        <v>1.1335846582527453</v>
      </c>
      <c r="T63" s="365">
        <f>+('Income Statement'!T23-'Income Statement'!T22)/'Income Statement'!T20</f>
        <v>1.4358663666262765</v>
      </c>
      <c r="U63" s="358"/>
      <c r="V63" s="364">
        <f>+('Income Statement'!V23-'Income Statement'!V22)/'Income Statement'!V20</f>
        <v>1.0515653775322285</v>
      </c>
      <c r="W63" s="364">
        <f>+('Income Statement'!W23-'Income Statement'!W22)/'Income Statement'!W20</f>
        <v>1.0851176782870289</v>
      </c>
      <c r="X63" s="364">
        <f>+('Income Statement'!X23-'Income Statement'!X22)/'Income Statement'!X20</f>
        <v>1.1233589298984394</v>
      </c>
      <c r="Y63" s="365">
        <f>+('Income Statement'!Y23-'Income Statement'!Y22)/'Income Statement'!Y20</f>
        <v>1.192114695340502</v>
      </c>
      <c r="Z63" s="358"/>
      <c r="AA63" s="364">
        <f>+('Income Statement'!AA23-'Income Statement'!AA22)/'Income Statement'!AA20</f>
        <v>1.168333333333333</v>
      </c>
      <c r="AB63" s="364">
        <f>+('Income Statement'!AB23-'Income Statement'!AB22)/'Income Statement'!AB20</f>
        <v>1.082921665490473</v>
      </c>
      <c r="AC63" s="364">
        <f>+('Income Statement'!AC23-'Income Statement'!AC22)/'Income Statement'!AC20</f>
        <v>1.0387700534759359</v>
      </c>
      <c r="AD63" s="365">
        <f>+('Income Statement'!AD23-'Income Statement'!AD22)/'Income Statement'!AD20</f>
        <v>1.0106355042016808</v>
      </c>
      <c r="AE63" s="358"/>
      <c r="AF63" s="364">
        <f>+('Income Statement'!AF23-'Income Statement'!AF22)/'Income Statement'!AF20</f>
        <v>1.0055911355087932</v>
      </c>
      <c r="AG63" s="364">
        <f>+('Income Statement'!AG23-'Income Statement'!AG22)/'Income Statement'!AG20</f>
        <v>1.0066475761914502</v>
      </c>
      <c r="AH63" s="364">
        <f>+('Income Statement'!AH23-'Income Statement'!AH22)/'Income Statement'!AH20</f>
        <v>1.0196991404011462</v>
      </c>
      <c r="AI63" s="365">
        <f>+('Income Statement'!AI23-'Income Statement'!AI22)/'Income Statement'!AI20</f>
        <v>1.0079423444624209</v>
      </c>
      <c r="AJ63" s="358"/>
      <c r="AK63" s="364">
        <f>+('Income Statement'!AK23-'Income Statement'!AK22)/'Income Statement'!AK20</f>
        <v>1.0062250411087621</v>
      </c>
      <c r="AL63" s="364">
        <f>+('Income Statement'!AL23-'Income Statement'!AL22)/'Income Statement'!AL20</f>
        <v>1.0167955211943482</v>
      </c>
      <c r="AM63" s="364">
        <f>+('Income Statement'!AM23-'Income Statement'!AM22)/'Income Statement'!AM20</f>
        <v>0.89724739271670362</v>
      </c>
      <c r="AN63" s="365">
        <f>+('Income Statement'!AN23-'Income Statement'!AN22)/'Income Statement'!AN20</f>
        <v>0.85187345094037037</v>
      </c>
      <c r="AO63" s="358"/>
      <c r="AP63" s="364">
        <f>+('Income Statement'!AP23-'Income Statement'!AP22)/'Income Statement'!AP20</f>
        <v>1</v>
      </c>
      <c r="AQ63" s="364">
        <f>+('Income Statement'!AQ23-'Income Statement'!AQ22)/'Income Statement'!AQ20</f>
        <v>1</v>
      </c>
      <c r="AR63" s="364">
        <f>+('Income Statement'!AR23-'Income Statement'!AR22)/'Income Statement'!AR20</f>
        <v>1</v>
      </c>
      <c r="AS63" s="365">
        <f>+('Income Statement'!AS23-'Income Statement'!AS22)/'Income Statement'!AS20</f>
        <v>1</v>
      </c>
      <c r="AT63" s="358"/>
      <c r="AU63" s="364">
        <f>+('Income Statement'!AU23-'Income Statement'!AU22)/'Income Statement'!AU20</f>
        <v>1</v>
      </c>
      <c r="AV63" s="364">
        <f>+('Income Statement'!AV23-'Income Statement'!AV22)/'Income Statement'!AV20</f>
        <v>1</v>
      </c>
      <c r="AW63" s="364">
        <f>+('Income Statement'!AW23-'Income Statement'!AW22)/'Income Statement'!AW20</f>
        <v>1</v>
      </c>
      <c r="AX63" s="365">
        <f>+('Income Statement'!AX23-'Income Statement'!AX22)/'Income Statement'!AX20</f>
        <v>1</v>
      </c>
      <c r="AY63" s="358"/>
      <c r="AZ63" s="364">
        <f>+('Income Statement'!AZ23-'Income Statement'!AZ22)/'Income Statement'!AZ20</f>
        <v>1</v>
      </c>
      <c r="BA63" s="364">
        <f>+('Income Statement'!BA23-'Income Statement'!BA22)/'Income Statement'!BA20</f>
        <v>1</v>
      </c>
      <c r="BB63" s="364">
        <f>+('Income Statement'!BB23-'Income Statement'!BB22)/'Income Statement'!BB20</f>
        <v>1</v>
      </c>
      <c r="BC63" s="365">
        <f>+('Income Statement'!BC23-'Income Statement'!BC22)/'Income Statement'!BC20</f>
        <v>1</v>
      </c>
      <c r="BD63" s="358"/>
      <c r="BE63" s="364">
        <f>+('Income Statement'!BE23-'Income Statement'!BE22)/'Income Statement'!BE20</f>
        <v>1</v>
      </c>
      <c r="BF63" s="364">
        <f>+('Income Statement'!BF23-'Income Statement'!BF22)/'Income Statement'!BF20</f>
        <v>1</v>
      </c>
      <c r="BG63" s="364">
        <f>+('Income Statement'!BG23-'Income Statement'!BG22)/'Income Statement'!BG20</f>
        <v>1</v>
      </c>
      <c r="BH63" s="365">
        <f>+('Income Statement'!BH23-'Income Statement'!BH22)/'Income Statement'!BH20</f>
        <v>1</v>
      </c>
      <c r="BI63" s="358"/>
      <c r="BJ63" s="364">
        <f>+('Income Statement'!BJ23-'Income Statement'!BJ22)/'Income Statement'!BJ20</f>
        <v>1</v>
      </c>
      <c r="BK63" s="364">
        <f>+('Income Statement'!BK23-'Income Statement'!BK22)/'Income Statement'!BK20</f>
        <v>1</v>
      </c>
      <c r="BL63" s="364">
        <f>+('Income Statement'!BL23-'Income Statement'!BL22)/'Income Statement'!BL20</f>
        <v>1</v>
      </c>
      <c r="BM63" s="365">
        <f>+('Income Statement'!BM23-'Income Statement'!BM22)/'Income Statement'!BM20</f>
        <v>1</v>
      </c>
      <c r="BN63" s="358"/>
      <c r="BO63" s="364">
        <f>+('Income Statement'!BO23-'Income Statement'!BO22)/'Income Statement'!BO20</f>
        <v>1</v>
      </c>
      <c r="BP63" s="364">
        <f>+('Income Statement'!BP23-'Income Statement'!BP22)/'Income Statement'!BP20</f>
        <v>1</v>
      </c>
      <c r="BQ63" s="364">
        <f>+('Income Statement'!BQ23-'Income Statement'!BQ22)/'Income Statement'!BQ20</f>
        <v>1</v>
      </c>
      <c r="BR63" s="365">
        <f>+('Income Statement'!BR23-'Income Statement'!BR22)/'Income Statement'!BR20</f>
        <v>1</v>
      </c>
    </row>
    <row r="64" spans="1:70" s="342" customFormat="1" hidden="1">
      <c r="A64" s="334" t="s">
        <v>204</v>
      </c>
      <c r="B64" s="367"/>
      <c r="C64" s="367"/>
      <c r="D64" s="367"/>
      <c r="E64" s="368"/>
      <c r="F64" s="358"/>
      <c r="G64" s="367"/>
      <c r="H64" s="367"/>
      <c r="I64" s="367"/>
      <c r="J64" s="368"/>
      <c r="K64" s="358"/>
      <c r="L64" s="367"/>
      <c r="M64" s="367"/>
      <c r="N64" s="367"/>
      <c r="O64" s="369">
        <f>+('Income Statement'!O20+'Income Statement'!Y22)/'Income Statement'!O10</f>
        <v>-0.15977433313249709</v>
      </c>
      <c r="P64" s="358"/>
      <c r="Q64" s="367">
        <f>+('Income Statement'!Q20+'Income Statement'!AA22)/'Income Statement'!Q10</f>
        <v>-0.41364410905550147</v>
      </c>
      <c r="R64" s="367">
        <f>+('Income Statement'!R20+'Income Statement'!AB22)/'Income Statement'!R10</f>
        <v>-0.29892426382701315</v>
      </c>
      <c r="S64" s="367">
        <f>+('Income Statement'!S20+'Income Statement'!AC22)/'Income Statement'!S10</f>
        <v>-0.2859752268965125</v>
      </c>
      <c r="T64" s="368">
        <f>+('Income Statement'!T20+'Income Statement'!AD22)/'Income Statement'!T10</f>
        <v>-0.25295978771177785</v>
      </c>
      <c r="U64" s="358"/>
      <c r="V64" s="367">
        <f>+('Income Statement'!V20+'Income Statement'!V22)/'Income Statement'!V10</f>
        <v>-0.42223441944014778</v>
      </c>
      <c r="W64" s="367">
        <f>+('Income Statement'!W20+'Income Statement'!W22)/'Income Statement'!W10</f>
        <v>-0.24179156960133627</v>
      </c>
      <c r="X64" s="367">
        <f>+('Income Statement'!X20+'Income Statement'!X22)/'Income Statement'!X10</f>
        <v>-0.15784539333503786</v>
      </c>
      <c r="Y64" s="368">
        <f>+('Income Statement'!Y20+'Income Statement'!Y22)/'Income Statement'!Y10</f>
        <v>-8.9398058252427151E-2</v>
      </c>
      <c r="Z64" s="358"/>
      <c r="AA64" s="367">
        <f>+('Income Statement'!AA20+'Income Statement'!AA22)/'Income Statement'!AA10</f>
        <v>-4.5616173930712323E-2</v>
      </c>
      <c r="AB64" s="367">
        <f>+('Income Statement'!AB20+'Income Statement'!AB22)/'Income Statement'!AB10</f>
        <v>-6.6133528006370984E-2</v>
      </c>
      <c r="AC64" s="367">
        <f>+('Income Statement'!AC20+'Income Statement'!AC22)/'Income Statement'!AC10</f>
        <v>-1.307590482032734E-2</v>
      </c>
      <c r="AD64" s="368">
        <f>+('Income Statement'!AD20+'Income Statement'!AD22)/'Income Statement'!AD10</f>
        <v>-0.22859064917591659</v>
      </c>
      <c r="AE64" s="358"/>
      <c r="AF64" s="367">
        <f>+('Income Statement'!AF20+'Income Statement'!AF22)/'Income Statement'!AF10</f>
        <v>-0.29875971981235139</v>
      </c>
      <c r="AG64" s="367">
        <f>+('Income Statement'!AG20+'Income Statement'!AG22)/'Income Statement'!AG10</f>
        <v>-0.46788060278207122</v>
      </c>
      <c r="AH64" s="367">
        <f>+('Income Statement'!AH20+'Income Statement'!AH22)/'Income Statement'!AH10</f>
        <v>-8.9810738729475204E-2</v>
      </c>
      <c r="AI64" s="368">
        <f>+('Income Statement'!AI20+'Income Statement'!AI22)/'Income Statement'!AI10</f>
        <v>-0.19449270326615692</v>
      </c>
      <c r="AJ64" s="358"/>
      <c r="AK64" s="367">
        <f>+('Income Statement'!AK20+'Income Statement'!AK22)/'Income Statement'!AK10</f>
        <v>-0.23728305588099033</v>
      </c>
      <c r="AL64" s="367">
        <f>+('Income Statement'!AL20+'Income Statement'!AL22)/'Income Statement'!AL10</f>
        <v>-9.8067326013973152E-2</v>
      </c>
      <c r="AM64" s="367">
        <f>+('Income Statement'!AM20+'Income Statement'!AM22)/'Income Statement'!AM10</f>
        <v>-0.19377174093092583</v>
      </c>
      <c r="AN64" s="368">
        <f>+('Income Statement'!AN20+'Income Statement'!AN22)/'Income Statement'!AN10</f>
        <v>-0.10186230248307</v>
      </c>
      <c r="AO64" s="358"/>
      <c r="AP64" s="367">
        <f>+('Income Statement'!AP20+'Income Statement'!AP22)/'Income Statement'!AP10</f>
        <v>-5.9660976941120873E-2</v>
      </c>
      <c r="AQ64" s="367">
        <f>+('Income Statement'!AQ20+'Income Statement'!AQ22)/'Income Statement'!AQ10</f>
        <v>6.0386473429949606E-4</v>
      </c>
      <c r="AR64" s="367">
        <f>+('Income Statement'!AR20+'Income Statement'!AR22)/'Income Statement'!AR10</f>
        <v>-7.8182876494869175E-3</v>
      </c>
      <c r="AS64" s="368">
        <f>+('Income Statement'!AS20+'Income Statement'!AS22)/'Income Statement'!AS10</f>
        <v>5.4846382803840708E-2</v>
      </c>
      <c r="AT64" s="358"/>
      <c r="AU64" s="367">
        <f>+('Income Statement'!AU20+'Income Statement'!AU22)/'Income Statement'!AU10</f>
        <v>9.5108102205721717E-2</v>
      </c>
      <c r="AV64" s="367">
        <f>+('Income Statement'!AV20+'Income Statement'!AV22)/'Income Statement'!AV10</f>
        <v>0.10201279865370554</v>
      </c>
      <c r="AW64" s="367">
        <f>+('Income Statement'!AW20+'Income Statement'!AW22)/'Income Statement'!AW10</f>
        <v>0.14666844231366785</v>
      </c>
      <c r="AX64" s="368">
        <f>+('Income Statement'!AX20+'Income Statement'!AX22)/'Income Statement'!AX10</f>
        <v>0.16756789784010034</v>
      </c>
      <c r="AY64" s="358"/>
      <c r="AZ64" s="367">
        <f>+('Income Statement'!AZ20+'Income Statement'!AZ22)/'Income Statement'!AZ10</f>
        <v>0.16228160753376575</v>
      </c>
      <c r="BA64" s="367">
        <f>+('Income Statement'!BA20+'Income Statement'!BA22)/'Income Statement'!BA10</f>
        <v>0.2197364281469571</v>
      </c>
      <c r="BB64" s="367">
        <f>+('Income Statement'!BB20+'Income Statement'!BB22)/'Income Statement'!BB10</f>
        <v>0.24092870706024527</v>
      </c>
      <c r="BC64" s="368">
        <f>+('Income Statement'!BC20+'Income Statement'!BC22)/'Income Statement'!BC10</f>
        <v>0.21452053408861024</v>
      </c>
      <c r="BD64" s="358"/>
      <c r="BE64" s="367">
        <f>+('Income Statement'!BE20+'Income Statement'!BE22)/'Income Statement'!BE10</f>
        <v>0.22307443676674851</v>
      </c>
      <c r="BF64" s="367">
        <f>+('Income Statement'!BF20+'Income Statement'!BF22)/'Income Statement'!BF10</f>
        <v>0.28229771672659104</v>
      </c>
      <c r="BG64" s="367">
        <f>+('Income Statement'!BG20+'Income Statement'!BG22)/'Income Statement'!BG10</f>
        <v>0.30393866779907763</v>
      </c>
      <c r="BH64" s="368">
        <f>+('Income Statement'!BH20+'Income Statement'!BH22)/'Income Statement'!BH10</f>
        <v>0.3120822548991723</v>
      </c>
      <c r="BI64" s="358"/>
      <c r="BJ64" s="367">
        <f>+('Income Statement'!BJ20+'Income Statement'!BJ22)/'Income Statement'!BJ10</f>
        <v>0.22876766788599204</v>
      </c>
      <c r="BK64" s="367">
        <f>+('Income Statement'!BK20+'Income Statement'!BK22)/'Income Statement'!BK10</f>
        <v>0.23567923576372188</v>
      </c>
      <c r="BL64" s="367">
        <f>+('Income Statement'!BL20+'Income Statement'!BL22)/'Income Statement'!BL10</f>
        <v>0.23668434547275971</v>
      </c>
      <c r="BM64" s="368">
        <f>+('Income Statement'!BM20+'Income Statement'!BM22)/'Income Statement'!BM10</f>
        <v>0.24765204502004418</v>
      </c>
      <c r="BN64" s="358"/>
      <c r="BO64" s="367">
        <f>+('Income Statement'!BO20+'Income Statement'!BO22)/'Income Statement'!BO10</f>
        <v>0.23369385009293672</v>
      </c>
      <c r="BP64" s="367">
        <f>+('Income Statement'!BP20+'Income Statement'!BP22)/'Income Statement'!BP10</f>
        <v>0.2406133286070378</v>
      </c>
      <c r="BQ64" s="367">
        <f>+('Income Statement'!BQ20+'Income Statement'!BQ22)/'Income Statement'!BQ10</f>
        <v>0.24161712575492506</v>
      </c>
      <c r="BR64" s="368">
        <f>+('Income Statement'!BR20+'Income Statement'!BR22)/'Income Statement'!BR10</f>
        <v>0.25258879972317788</v>
      </c>
    </row>
    <row r="65" spans="1:70" s="342" customFormat="1" hidden="1">
      <c r="A65" s="334" t="s">
        <v>205</v>
      </c>
      <c r="B65" s="370"/>
      <c r="C65" s="370"/>
      <c r="D65" s="370"/>
      <c r="E65" s="365"/>
      <c r="F65" s="371"/>
      <c r="G65" s="370"/>
      <c r="H65" s="370"/>
      <c r="I65" s="370"/>
      <c r="J65" s="365"/>
      <c r="K65" s="371"/>
      <c r="L65" s="370"/>
      <c r="M65" s="370"/>
      <c r="N65" s="370"/>
      <c r="O65" s="366" t="s">
        <v>82</v>
      </c>
      <c r="P65" s="371"/>
      <c r="Q65" s="370">
        <f>+'Income Statement'!Q10*4/(('Balance Sheet'!Q20+'Balance Sheet'!O20)/2)</f>
        <v>0.67886800247882673</v>
      </c>
      <c r="R65" s="370">
        <f>+'Income Statement'!R10*4/(('Balance Sheet'!R20+'Balance Sheet'!Q20)/2)</f>
        <v>0.81373616353417744</v>
      </c>
      <c r="S65" s="370">
        <f>+'Income Statement'!S10*4/(('Balance Sheet'!S20+'Balance Sheet'!R20)/2)</f>
        <v>0.81480878574003235</v>
      </c>
      <c r="T65" s="365">
        <f>+'Income Statement'!T10*4/(('Balance Sheet'!T20+'Balance Sheet'!S20)/2)</f>
        <v>0.96574836134246722</v>
      </c>
      <c r="U65" s="371"/>
      <c r="V65" s="370">
        <f>+'Income Statement'!V10*4/(('Balance Sheet'!V20+'Balance Sheet'!T20)/2)</f>
        <v>1.06985900079408</v>
      </c>
      <c r="W65" s="370">
        <f>+'Income Statement'!W10*4/(('Balance Sheet'!W20+'Balance Sheet'!V20)/2)</f>
        <v>1.331918537003022</v>
      </c>
      <c r="X65" s="370">
        <f>+'Income Statement'!X10*4/(('Balance Sheet'!X20+'Balance Sheet'!W20)/2)</f>
        <v>1.017286412554596</v>
      </c>
      <c r="Y65" s="365">
        <f>+'Income Statement'!Y10*4/(('Balance Sheet'!Y20+'Balance Sheet'!X20)/2)</f>
        <v>0.8593538159898213</v>
      </c>
      <c r="Z65" s="371"/>
      <c r="AA65" s="370">
        <f>+'Income Statement'!AA10*4/(('Balance Sheet'!AA20+'Balance Sheet'!Y20)/2)</f>
        <v>0.96747005221664784</v>
      </c>
      <c r="AB65" s="370">
        <f>+'Income Statement'!AB10*4/(('Balance Sheet'!AB20+'Balance Sheet'!AA20)/2)</f>
        <v>0.64133817841314755</v>
      </c>
      <c r="AC65" s="370">
        <f>+'Income Statement'!AC10*4/(('Balance Sheet'!AC20+'Balance Sheet'!AB20)/2)</f>
        <v>0.48330745644490553</v>
      </c>
      <c r="AD65" s="365">
        <f>+'Income Statement'!AD10*4/(('Balance Sheet'!AD20+'Balance Sheet'!AC20)/2)</f>
        <v>0.44412990015293569</v>
      </c>
      <c r="AE65" s="371"/>
      <c r="AF65" s="370">
        <f>+'Income Statement'!AF10*4/(('Balance Sheet'!AF20+'Balance Sheet'!AD20)/2)</f>
        <v>0.45910103409107661</v>
      </c>
      <c r="AG65" s="370">
        <f>+'Income Statement'!AG10*4/(('Balance Sheet'!AG20+'Balance Sheet'!AF20)/2)</f>
        <v>0.31618995985392406</v>
      </c>
      <c r="AH65" s="370">
        <f>+'Income Statement'!AH10*4/(('Balance Sheet'!AH20+'Balance Sheet'!AG20)/2)</f>
        <v>0.35022113188012743</v>
      </c>
      <c r="AI65" s="365">
        <f>+'Income Statement'!AI10*4/(('Balance Sheet'!AI20+'Balance Sheet'!AH20)/2)</f>
        <v>0.30317541484054888</v>
      </c>
      <c r="AJ65" s="371"/>
      <c r="AK65" s="370">
        <f>+'Income Statement'!AK10*4/(('Balance Sheet'!AK20+'Balance Sheet'!AI20)/2)</f>
        <v>0.19808689070153865</v>
      </c>
      <c r="AL65" s="370">
        <f>+'Income Statement'!AL10*4/(('Balance Sheet'!AL20+'Balance Sheet'!AK20)/2)</f>
        <v>0.21477454373076499</v>
      </c>
      <c r="AM65" s="370">
        <f>+'Income Statement'!AM10*4/(('Balance Sheet'!AM20+'Balance Sheet'!AL20)/2)</f>
        <v>0.21815970884333707</v>
      </c>
      <c r="AN65" s="365">
        <f>+'Income Statement'!AN10*4/(('Balance Sheet'!AN20+'Balance Sheet'!AM20)/2)</f>
        <v>0.22689424268832073</v>
      </c>
      <c r="AO65" s="371"/>
      <c r="AP65" s="370">
        <f>+'Income Statement'!AP10*4/(('Balance Sheet'!AP20+'Balance Sheet'!AN20)/2)</f>
        <v>0.22963529478524305</v>
      </c>
      <c r="AQ65" s="370">
        <f>+'Income Statement'!AQ10*4/(('Balance Sheet'!AQ20+'Balance Sheet'!AP20)/2)</f>
        <v>0.25149506835615176</v>
      </c>
      <c r="AR65" s="370">
        <f>+'Income Statement'!AR10*4/(('Balance Sheet'!AR20+'Balance Sheet'!AQ20)/2)</f>
        <v>0.26638533492206479</v>
      </c>
      <c r="AS65" s="365">
        <f>+'Income Statement'!AS10*4/(('Balance Sheet'!AS20+'Balance Sheet'!AR20)/2)</f>
        <v>0.28145018859707349</v>
      </c>
      <c r="AT65" s="371"/>
      <c r="AU65" s="370">
        <f>+'Income Statement'!AU10*4/(('Balance Sheet'!AU20+'Balance Sheet'!AS20)/2)</f>
        <v>0.28500726807953691</v>
      </c>
      <c r="AV65" s="370">
        <f>+'Income Statement'!AV10*4/(('Balance Sheet'!AV20+'Balance Sheet'!AU20)/2)</f>
        <v>0.31169256929739159</v>
      </c>
      <c r="AW65" s="370">
        <f>+'Income Statement'!AW10*4/(('Balance Sheet'!AW20+'Balance Sheet'!AV20)/2)</f>
        <v>0.315330720100155</v>
      </c>
      <c r="AX65" s="365">
        <f>+'Income Statement'!AX10*4/(('Balance Sheet'!AX20+'Balance Sheet'!AW20)/2)</f>
        <v>0.35073435753928056</v>
      </c>
      <c r="AY65" s="371"/>
      <c r="AZ65" s="370">
        <f>+'Income Statement'!AZ10*4/(('Balance Sheet'!AZ20+'Balance Sheet'!AX20)/2)</f>
        <v>0.33466912658818937</v>
      </c>
      <c r="BA65" s="370">
        <f>+'Income Statement'!BA10*4/(('Balance Sheet'!BA20+'Balance Sheet'!AZ20)/2)</f>
        <v>0.37603680578376614</v>
      </c>
      <c r="BB65" s="370">
        <f>+'Income Statement'!BB10*4/(('Balance Sheet'!BB20+'Balance Sheet'!BA20)/2)</f>
        <v>0.36937084852320207</v>
      </c>
      <c r="BC65" s="365">
        <f>+'Income Statement'!BC10*4/(('Balance Sheet'!BC20+'Balance Sheet'!BB20)/2)</f>
        <v>0.36855742166383954</v>
      </c>
      <c r="BD65" s="371"/>
      <c r="BE65" s="370">
        <f>+'Income Statement'!BE10*4/(('Balance Sheet'!BE20+'Balance Sheet'!BC20)/2)</f>
        <v>0.35014448778525731</v>
      </c>
      <c r="BF65" s="370">
        <f>+'Income Statement'!BF10*4/(('Balance Sheet'!BF20+'Balance Sheet'!BE20)/2)</f>
        <v>0.39154206688061544</v>
      </c>
      <c r="BG65" s="370">
        <f>+'Income Statement'!BG10*4/(('Balance Sheet'!BG20+'Balance Sheet'!BF20)/2)</f>
        <v>0.38901858518649896</v>
      </c>
      <c r="BH65" s="365">
        <f>+'Income Statement'!BH10*4/(('Balance Sheet'!BH20+'Balance Sheet'!BG20)/2)</f>
        <v>0.40414512268685066</v>
      </c>
      <c r="BI65" s="371"/>
      <c r="BJ65" s="370">
        <f>+'Income Statement'!BJ10*4/(('Balance Sheet'!BJ20+'Balance Sheet'!BH20)/2)</f>
        <v>0.36515139624460013</v>
      </c>
      <c r="BK65" s="370">
        <f>+'Income Statement'!BK10*4/(('Balance Sheet'!BK20+'Balance Sheet'!BJ20)/2)</f>
        <v>0.40143645552927837</v>
      </c>
      <c r="BL65" s="370">
        <f>+'Income Statement'!BL10*4/(('Balance Sheet'!BL20+'Balance Sheet'!BK20)/2)</f>
        <v>0.38506600192021906</v>
      </c>
      <c r="BM65" s="365">
        <f>+'Income Statement'!BM10*4/(('Balance Sheet'!BM20+'Balance Sheet'!BL20)/2)</f>
        <v>0.39111207986052515</v>
      </c>
      <c r="BN65" s="371"/>
      <c r="BO65" s="370">
        <f>+'Income Statement'!BO10*4/(('Balance Sheet'!BO20+'Balance Sheet'!BM20)/2)</f>
        <v>0.35811776473990942</v>
      </c>
      <c r="BP65" s="370">
        <f>+'Income Statement'!BP10*4/(('Balance Sheet'!BP20+'Balance Sheet'!BO20)/2)</f>
        <v>0.39415179531617517</v>
      </c>
      <c r="BQ65" s="370">
        <f>+'Income Statement'!BQ10*4/(('Balance Sheet'!BQ20+'Balance Sheet'!BP20)/2)</f>
        <v>0.37877929436137953</v>
      </c>
      <c r="BR65" s="365">
        <f>+'Income Statement'!BR10*4/(('Balance Sheet'!BR20+'Balance Sheet'!BQ20)/2)</f>
        <v>0.38439436320007075</v>
      </c>
    </row>
    <row r="66" spans="1:70" s="342" customFormat="1" hidden="1">
      <c r="A66" s="334" t="s">
        <v>206</v>
      </c>
      <c r="B66" s="370"/>
      <c r="C66" s="370"/>
      <c r="D66" s="370"/>
      <c r="E66" s="365"/>
      <c r="F66" s="371"/>
      <c r="G66" s="370"/>
      <c r="H66" s="370"/>
      <c r="I66" s="370"/>
      <c r="J66" s="365"/>
      <c r="K66" s="371"/>
      <c r="L66" s="370"/>
      <c r="M66" s="370"/>
      <c r="N66" s="370"/>
      <c r="O66" s="366" t="s">
        <v>82</v>
      </c>
      <c r="P66" s="371"/>
      <c r="Q66" s="370">
        <f>+((Q20+O20)/2)/((Q38+O38)/2)</f>
        <v>1.7146753327252926</v>
      </c>
      <c r="R66" s="370">
        <f>+((R20+Q20)/2)/((R38+Q38)/2)</f>
        <v>1.7881791410557937</v>
      </c>
      <c r="S66" s="370">
        <f>+((S20+R20)/2)/((S38+R38)/2)</f>
        <v>1.8972645047429955</v>
      </c>
      <c r="T66" s="365">
        <f>+((T20+S20)/2)/((T38+S38)/2)</f>
        <v>2.0280606189327965</v>
      </c>
      <c r="U66" s="371"/>
      <c r="V66" s="370">
        <f>+((V20+T20)/2)/((V38+T38)/2)</f>
        <v>2.2289500691624653</v>
      </c>
      <c r="W66" s="370">
        <f>+((W20+V20)/2)/((W38+V38)/2)</f>
        <v>2.4483283763930213</v>
      </c>
      <c r="X66" s="370">
        <f>+((X20+W20)/2)/((X38+W38)/2)</f>
        <v>1.7537800670955965</v>
      </c>
      <c r="Y66" s="365">
        <f>+((Y20+X20)/2)/((Y38+X38)/2)</f>
        <v>1.5060123639836147</v>
      </c>
      <c r="Z66" s="371"/>
      <c r="AA66" s="370">
        <f>+((AA20+Y20)/2)/((AA38+Y38)/2)</f>
        <v>1.4931784965173949</v>
      </c>
      <c r="AB66" s="370">
        <f>+((AB20+AA20)/2)/((AB38+AA38)/2)</f>
        <v>1.2204524499045493</v>
      </c>
      <c r="AC66" s="370">
        <f>+((AC20+AB20)/2)/((AC38+AB38)/2)</f>
        <v>1.1261246221972308</v>
      </c>
      <c r="AD66" s="365">
        <f>+((AD20+AC20)/2)/((AD38+AC38)/2)</f>
        <v>1.1382420894450127</v>
      </c>
      <c r="AE66" s="371"/>
      <c r="AF66" s="370">
        <f>+((AF20+AD20)/2)/((AF38+AD38)/2)</f>
        <v>1.154157364586903</v>
      </c>
      <c r="AG66" s="370">
        <f>+((AG20+AF20)/2)/((AG38+AF38)/2)</f>
        <v>1.1473336998350741</v>
      </c>
      <c r="AH66" s="370">
        <f>+((AH20+AG20)/2)/((AH38+AG38)/2)</f>
        <v>1.0955750903105694</v>
      </c>
      <c r="AI66" s="365">
        <f>+((AI20+AH20)/2)/((AI38+AH38)/2)</f>
        <v>1.0787513050642412</v>
      </c>
      <c r="AJ66" s="371"/>
      <c r="AK66" s="370">
        <f>+((AK20+AI20)/2)/((AK38+AI38)/2)</f>
        <v>1.0604597689636992</v>
      </c>
      <c r="AL66" s="370">
        <f>+((AL20+AK20)/2)/((AL38+AK38)/2)</f>
        <v>1.0534973361938882</v>
      </c>
      <c r="AM66" s="370">
        <f>+((AM20+AL20)/2)/((AM38+AL38)/2)</f>
        <v>1.0641977575707466</v>
      </c>
      <c r="AN66" s="365">
        <f>+((AN20+AM20)/2)/((AN38+AM38)/2)</f>
        <v>1.0769756619334458</v>
      </c>
      <c r="AO66" s="371"/>
      <c r="AP66" s="370">
        <f>+((AP20+AN20)/2)/((AP38+AN38)/2)</f>
        <v>1.0820633956903762</v>
      </c>
      <c r="AQ66" s="370">
        <f>+((AQ20+AP20)/2)/((AQ38+AP38)/2)</f>
        <v>1.0782315377748339</v>
      </c>
      <c r="AR66" s="370">
        <f>+((AR20+AQ20)/2)/((AR38+AQ38)/2)</f>
        <v>1.0747170893914202</v>
      </c>
      <c r="AS66" s="365">
        <f>+((AS20+AR20)/2)/((AS38+AR38)/2)</f>
        <v>1.0748816625592157</v>
      </c>
      <c r="AT66" s="371"/>
      <c r="AU66" s="370">
        <f>+((AU20+AS20)/2)/((AU38+AS38)/2)</f>
        <v>1.0728425627382669</v>
      </c>
      <c r="AV66" s="370">
        <f>+((AV20+AU20)/2)/((AV38+AU38)/2)</f>
        <v>1.0712835672467869</v>
      </c>
      <c r="AW66" s="370">
        <f>+((AW20+AV20)/2)/((AW38+AV38)/2)</f>
        <v>1.0698622270831255</v>
      </c>
      <c r="AX66" s="365">
        <f>+((AX20+AW20)/2)/((AX38+AW38)/2)</f>
        <v>1.0675296128371465</v>
      </c>
      <c r="AY66" s="371"/>
      <c r="AZ66" s="370">
        <f>+((AZ20+AX20)/2)/((AZ38+AX38)/2)</f>
        <v>1.0703862811761504</v>
      </c>
      <c r="BA66" s="370">
        <f>+((BA20+AZ20)/2)/((BA38+AZ38)/2)</f>
        <v>1.0813922703374064</v>
      </c>
      <c r="BB66" s="370">
        <f>+((BB20+BA20)/2)/((BB38+BA38)/2)</f>
        <v>1.0869730763482941</v>
      </c>
      <c r="BC66" s="365">
        <f>+((BC20+BB20)/2)/((BC38+BB38)/2)</f>
        <v>1.0948330107720723</v>
      </c>
      <c r="BD66" s="371"/>
      <c r="BE66" s="370">
        <f>+((BE20+BC20)/2)/((BE38+BC38)/2)</f>
        <v>1.1031438667646321</v>
      </c>
      <c r="BF66" s="370">
        <f>+((BF20+BE20)/2)/((BF38+BE38)/2)</f>
        <v>1.1007958218421992</v>
      </c>
      <c r="BG66" s="370">
        <f>+((BG20+BF20)/2)/((BG38+BF38)/2)</f>
        <v>1.0940673507820959</v>
      </c>
      <c r="BH66" s="365">
        <f>+((BH20+BG20)/2)/((BH38+BG38)/2)</f>
        <v>1.083944682000936</v>
      </c>
      <c r="BI66" s="371"/>
      <c r="BJ66" s="370">
        <f>+((BJ20+BH20)/2)/((BJ38+BH38)/2)</f>
        <v>1.0725075363044252</v>
      </c>
      <c r="BK66" s="370">
        <f>+((BK20+BJ20)/2)/((BK38+BJ38)/2)</f>
        <v>1.0687536683343317</v>
      </c>
      <c r="BL66" s="370">
        <f>+((BL20+BK20)/2)/((BL38+BK38)/2)</f>
        <v>1.0713100852510244</v>
      </c>
      <c r="BM66" s="365">
        <f>+((BM20+BL20)/2)/((BM38+BL38)/2)</f>
        <v>1.0726201616109465</v>
      </c>
      <c r="BN66" s="371"/>
      <c r="BO66" s="370">
        <f>+((BO20+BM20)/2)/((BO38+BM38)/2)</f>
        <v>1.0677611960350162</v>
      </c>
      <c r="BP66" s="370">
        <f>+((BP20+BO20)/2)/((BP38+BO38)/2)</f>
        <v>1.0646016762039423</v>
      </c>
      <c r="BQ66" s="370">
        <f>+((BQ20+BP20)/2)/((BQ38+BP38)/2)</f>
        <v>1.067273211719888</v>
      </c>
      <c r="BR66" s="365">
        <f>+((BR20+BQ20)/2)/((BR38+BQ38)/2)</f>
        <v>1.0686727823038666</v>
      </c>
    </row>
    <row r="67" spans="1:70" s="342" customFormat="1" hidden="1">
      <c r="A67" s="345" t="s">
        <v>207</v>
      </c>
      <c r="B67" s="372"/>
      <c r="C67" s="372"/>
      <c r="D67" s="372"/>
      <c r="E67" s="373"/>
      <c r="F67" s="374"/>
      <c r="G67" s="372"/>
      <c r="H67" s="372"/>
      <c r="I67" s="372"/>
      <c r="J67" s="373"/>
      <c r="K67" s="374"/>
      <c r="L67" s="372"/>
      <c r="M67" s="372"/>
      <c r="N67" s="372"/>
      <c r="O67" s="375" t="s">
        <v>144</v>
      </c>
      <c r="P67" s="374"/>
      <c r="Q67" s="372" t="s">
        <v>144</v>
      </c>
      <c r="R67" s="372" t="s">
        <v>144</v>
      </c>
      <c r="S67" s="372" t="s">
        <v>144</v>
      </c>
      <c r="T67" s="373" t="s">
        <v>144</v>
      </c>
      <c r="U67" s="374"/>
      <c r="V67" s="372" t="s">
        <v>144</v>
      </c>
      <c r="W67" s="372" t="s">
        <v>144</v>
      </c>
      <c r="X67" s="372" t="s">
        <v>144</v>
      </c>
      <c r="Y67" s="373" t="s">
        <v>144</v>
      </c>
      <c r="Z67" s="374"/>
      <c r="AA67" s="372" t="s">
        <v>144</v>
      </c>
      <c r="AB67" s="372" t="s">
        <v>144</v>
      </c>
      <c r="AC67" s="372" t="s">
        <v>144</v>
      </c>
      <c r="AD67" s="373" t="s">
        <v>144</v>
      </c>
      <c r="AE67" s="374"/>
      <c r="AF67" s="372" t="s">
        <v>144</v>
      </c>
      <c r="AG67" s="372" t="s">
        <v>144</v>
      </c>
      <c r="AH67" s="372" t="s">
        <v>144</v>
      </c>
      <c r="AI67" s="373" t="s">
        <v>144</v>
      </c>
      <c r="AJ67" s="374"/>
      <c r="AK67" s="372">
        <f>+AK66*AK65*AK64*AK63*AK62</f>
        <v>-2.9977202746978293E-2</v>
      </c>
      <c r="AL67" s="372">
        <f>+AL66*AL65*AL64*AL63*AL62</f>
        <v>-2.1934533384803053E-2</v>
      </c>
      <c r="AM67" s="372">
        <f>+AM66*AM65*AM64*AM63*AM62</f>
        <v>-3.5172797037270609E-2</v>
      </c>
      <c r="AN67" s="373">
        <f>+AN66*AN65*AN64*AN63*AN62</f>
        <v>-1.8340758334471175E-2</v>
      </c>
      <c r="AO67" s="374"/>
      <c r="AP67" s="372">
        <f>+AP66*AP65*AP64*AP63*AP62</f>
        <v>-1.4813558933706009E-2</v>
      </c>
      <c r="AQ67" s="372">
        <f>+AQ66*AQ65*AQ64*AQ63*AQ62</f>
        <v>5.9173276752763539E-4</v>
      </c>
      <c r="AR67" s="372">
        <f>+AR66*AR65*AR64*AR63*AR62</f>
        <v>-1.662620577864858E-3</v>
      </c>
      <c r="AS67" s="373">
        <f>+AS66*AS65*AS64*AS63*AS62</f>
        <v>1.507410130184135E-2</v>
      </c>
      <c r="AT67" s="374"/>
      <c r="AU67" s="372">
        <f>+AU66*AU65*AU64*AU63*AU62</f>
        <v>2.6944170976587065E-2</v>
      </c>
      <c r="AV67" s="372">
        <f>+AV66*AV65*AV64*AV63*AV62</f>
        <v>3.1564106272848523E-2</v>
      </c>
      <c r="AW67" s="372">
        <f>+AW66*AW65*AW64*AW63*AW62</f>
        <v>4.58484905069644E-2</v>
      </c>
      <c r="AX67" s="373">
        <f>+AX66*AX65*AX64*AX63*AX62</f>
        <v>5.8134718927670533E-2</v>
      </c>
      <c r="AY67" s="374"/>
      <c r="AZ67" s="372">
        <f>+AZ66*AZ65*AZ64*AZ63*AZ62</f>
        <v>5.4108864127215807E-2</v>
      </c>
      <c r="BA67" s="372">
        <f>+BA66*BA65*BA64*BA63*BA62</f>
        <v>8.3167345720362593E-2</v>
      </c>
      <c r="BB67" s="372">
        <f>+BB66*BB65*BB64*BB63*BB62</f>
        <v>9.0057447808487137E-2</v>
      </c>
      <c r="BC67" s="373">
        <f>+BC66*BC65*BC64*BC63*BC62</f>
        <v>9.8465651477375973E-2</v>
      </c>
      <c r="BD67" s="374"/>
      <c r="BE67" s="372">
        <f>+BE66*BE65*BE64*BE63*BE62</f>
        <v>8.2587977065268853E-2</v>
      </c>
      <c r="BF67" s="372">
        <f>+BF66*BF65*BF64*BF63*BF62</f>
        <v>0.11573543466392494</v>
      </c>
      <c r="BG67" s="372">
        <f>+BG66*BG65*BG64*BG63*BG62</f>
        <v>0.1319840369480425</v>
      </c>
      <c r="BH67" s="373">
        <f>+BH66*BH65*BH64*BH63*BH62</f>
        <v>0.13336562474934563</v>
      </c>
      <c r="BI67" s="374"/>
      <c r="BJ67" s="372">
        <f>+BJ66*BJ65*BJ64*BJ63*BJ62</f>
        <v>8.5112151390300053E-2</v>
      </c>
      <c r="BK67" s="372">
        <f>+BK66*BK65*BK64*BK63*BK62</f>
        <v>9.6059286010498998E-2</v>
      </c>
      <c r="BL67" s="372">
        <f>+BL66*BL65*BL64*BL63*BL62</f>
        <v>9.2756319674147478E-2</v>
      </c>
      <c r="BM67" s="373">
        <f>+BM66*BM65*BM64*BM63*BM62</f>
        <v>9.8698990245421309E-2</v>
      </c>
      <c r="BN67" s="374"/>
      <c r="BO67" s="372">
        <f>+BO66*BO65*BO64*BO63*BO62</f>
        <v>8.4892805839171706E-2</v>
      </c>
      <c r="BP67" s="372">
        <f>+BP66*BP65*BP64*BP63*BP62</f>
        <v>9.5916636522019816E-2</v>
      </c>
      <c r="BQ67" s="372">
        <f>+BQ66*BQ65*BQ64*BQ63*BQ62</f>
        <v>9.2792560459835804E-2</v>
      </c>
      <c r="BR67" s="373">
        <f>+BR66*BR65*BR64*BR63*BR62</f>
        <v>9.8573335782982954E-2</v>
      </c>
    </row>
    <row r="68" spans="1:70">
      <c r="A68" s="74"/>
      <c r="B68" s="376"/>
      <c r="C68" s="376"/>
      <c r="D68" s="376"/>
      <c r="E68" s="377"/>
      <c r="F68" s="378"/>
      <c r="G68" s="376"/>
      <c r="H68" s="376"/>
      <c r="I68" s="376"/>
      <c r="J68" s="377"/>
      <c r="K68" s="378"/>
      <c r="L68" s="376"/>
      <c r="M68" s="376"/>
      <c r="N68" s="376"/>
      <c r="O68" s="379"/>
      <c r="P68" s="378"/>
      <c r="Q68" s="376"/>
      <c r="R68" s="376"/>
      <c r="S68" s="376"/>
      <c r="T68" s="377"/>
      <c r="U68" s="378"/>
      <c r="V68" s="376"/>
      <c r="W68" s="376"/>
      <c r="X68" s="376"/>
      <c r="Y68" s="377"/>
      <c r="Z68" s="378"/>
      <c r="AA68" s="376"/>
      <c r="AB68" s="376"/>
      <c r="AC68" s="376"/>
      <c r="AD68" s="377"/>
      <c r="AE68" s="378"/>
      <c r="AF68" s="376"/>
      <c r="AG68" s="376"/>
      <c r="AH68" s="376"/>
      <c r="AI68" s="377"/>
      <c r="AJ68" s="378"/>
      <c r="AK68" s="376"/>
      <c r="AL68" s="376"/>
      <c r="AM68" s="376"/>
      <c r="AN68" s="377"/>
      <c r="AO68" s="378"/>
      <c r="AP68" s="376"/>
      <c r="AQ68" s="376"/>
      <c r="AR68" s="376"/>
      <c r="AS68" s="377"/>
      <c r="AT68" s="378"/>
      <c r="AU68" s="376"/>
      <c r="AV68" s="376"/>
      <c r="AW68" s="376"/>
      <c r="AX68" s="377"/>
      <c r="AY68" s="378"/>
      <c r="AZ68" s="376"/>
      <c r="BA68" s="376"/>
      <c r="BB68" s="376"/>
      <c r="BC68" s="377"/>
      <c r="BD68" s="378"/>
      <c r="BE68" s="376"/>
      <c r="BF68" s="376"/>
      <c r="BG68" s="376"/>
      <c r="BH68" s="377"/>
      <c r="BI68" s="378"/>
      <c r="BJ68" s="376"/>
      <c r="BK68" s="376"/>
      <c r="BL68" s="376"/>
      <c r="BM68" s="377"/>
      <c r="BN68" s="378"/>
      <c r="BO68" s="376"/>
      <c r="BP68" s="376"/>
      <c r="BQ68" s="376"/>
      <c r="BR68" s="377"/>
    </row>
    <row r="69" spans="1:70">
      <c r="A69" s="4" t="s">
        <v>208</v>
      </c>
      <c r="B69" s="380"/>
      <c r="C69" s="380"/>
      <c r="D69" s="380"/>
      <c r="E69" s="354"/>
      <c r="F69" s="381"/>
      <c r="G69" s="380"/>
      <c r="H69" s="380"/>
      <c r="I69" s="380"/>
      <c r="J69" s="354"/>
      <c r="K69" s="381"/>
      <c r="L69" s="380"/>
      <c r="M69" s="380"/>
      <c r="N69" s="380"/>
      <c r="O69" s="382">
        <f>O8/'Income Statement'!O10</f>
        <v>0.47959686695514048</v>
      </c>
      <c r="P69" s="381"/>
      <c r="Q69" s="380">
        <f>Q8/'Income Statement'!Q10</f>
        <v>0.55531888997078871</v>
      </c>
      <c r="R69" s="380">
        <f>R8/'Income Statement'!R10</f>
        <v>0.59909812017820274</v>
      </c>
      <c r="S69" s="380">
        <f>S8/'Income Statement'!S10</f>
        <v>0.66413608082653119</v>
      </c>
      <c r="T69" s="354">
        <f>T8/'Income Statement'!T10</f>
        <v>0.64890794039599919</v>
      </c>
      <c r="U69" s="381"/>
      <c r="V69" s="380">
        <f>V8/('Income Statement'!V10-'[1]Old Revenue Model'!V44)</f>
        <v>0.65854997255625969</v>
      </c>
      <c r="W69" s="380">
        <f>W8/('Income Statement'!W10-'[1]Old Revenue Model'!W44)</f>
        <v>0.57166717946463896</v>
      </c>
      <c r="X69" s="380">
        <f>X8/('Income Statement'!X10-'[1]Old Revenue Model'!X44)</f>
        <v>0.52254325406971791</v>
      </c>
      <c r="Y69" s="354">
        <f>Y8/('Income Statement'!Y10-'[1]Old Revenue Model'!Y44)</f>
        <v>0.51137864077669903</v>
      </c>
      <c r="Z69" s="381"/>
      <c r="AA69" s="380">
        <f>AA8/('Income Statement'!AA10-'[1]Old Revenue Model'!AA44)</f>
        <v>0.56266720850689145</v>
      </c>
      <c r="AB69" s="380">
        <f>AB8/('Income Statement'!AB10-'[1]Old Revenue Model'!AB44)</f>
        <v>0.6264572078475974</v>
      </c>
      <c r="AC69" s="380">
        <f>AC8/('Income Statement'!AC10-'[1]Old Revenue Model'!AC44)</f>
        <v>0.60791081351603216</v>
      </c>
      <c r="AD69" s="354">
        <f>AD8/('Income Statement'!AD10-'[1]Old Revenue Model'!AD44)</f>
        <v>0.58287924655230416</v>
      </c>
      <c r="AE69" s="381"/>
      <c r="AF69" s="380">
        <f>AF8/('Income Statement'!AF10-'[1]Old Revenue Model'!AF44)</f>
        <v>0.61342458710879766</v>
      </c>
      <c r="AG69" s="380">
        <f>AG8/('Income Statement'!AG10-'[1]Old Revenue Model'!AG44)</f>
        <v>0.64750772797527045</v>
      </c>
      <c r="AH69" s="380">
        <f>AH8/('Income Statement'!AH10-'[1]Old Revenue Model'!AH44)</f>
        <v>0.54076025834645414</v>
      </c>
      <c r="AI69" s="383">
        <v>0.6</v>
      </c>
      <c r="AJ69" s="381"/>
      <c r="AK69" s="384">
        <v>0.6</v>
      </c>
      <c r="AL69" s="384">
        <v>0.6</v>
      </c>
      <c r="AM69" s="384">
        <v>0.6</v>
      </c>
      <c r="AN69" s="383">
        <v>0.6</v>
      </c>
      <c r="AO69" s="381"/>
      <c r="AP69" s="384">
        <v>0.6</v>
      </c>
      <c r="AQ69" s="384">
        <v>0.6</v>
      </c>
      <c r="AR69" s="384">
        <v>0.6</v>
      </c>
      <c r="AS69" s="383">
        <v>0.6</v>
      </c>
      <c r="AT69" s="381"/>
      <c r="AU69" s="384">
        <v>0.6</v>
      </c>
      <c r="AV69" s="384">
        <v>0.6</v>
      </c>
      <c r="AW69" s="384">
        <v>0.6</v>
      </c>
      <c r="AX69" s="383">
        <v>0.6</v>
      </c>
      <c r="AY69" s="381"/>
      <c r="AZ69" s="384">
        <v>0.6</v>
      </c>
      <c r="BA69" s="384">
        <v>0.6</v>
      </c>
      <c r="BB69" s="384">
        <v>0.6</v>
      </c>
      <c r="BC69" s="383">
        <v>0.6</v>
      </c>
      <c r="BD69" s="381"/>
      <c r="BE69" s="384">
        <v>0.6</v>
      </c>
      <c r="BF69" s="384">
        <v>0.6</v>
      </c>
      <c r="BG69" s="384">
        <v>0.6</v>
      </c>
      <c r="BH69" s="383">
        <v>0.6</v>
      </c>
      <c r="BI69" s="381"/>
      <c r="BJ69" s="384">
        <v>0.6</v>
      </c>
      <c r="BK69" s="384">
        <v>0.6</v>
      </c>
      <c r="BL69" s="384">
        <v>0.6</v>
      </c>
      <c r="BM69" s="383">
        <v>0.6</v>
      </c>
      <c r="BN69" s="381"/>
      <c r="BO69" s="384">
        <v>0.6</v>
      </c>
      <c r="BP69" s="384">
        <v>0.6</v>
      </c>
      <c r="BQ69" s="384">
        <v>0.6</v>
      </c>
      <c r="BR69" s="383">
        <v>0.6</v>
      </c>
    </row>
    <row r="70" spans="1:70">
      <c r="A70" s="4" t="s">
        <v>209</v>
      </c>
      <c r="B70" s="385"/>
      <c r="C70" s="385"/>
      <c r="D70" s="385"/>
      <c r="E70" s="386"/>
      <c r="F70" s="387"/>
      <c r="G70" s="385"/>
      <c r="H70" s="385"/>
      <c r="I70" s="385"/>
      <c r="J70" s="386"/>
      <c r="K70" s="387"/>
      <c r="L70" s="385"/>
      <c r="M70" s="385"/>
      <c r="N70" s="385"/>
      <c r="O70" s="388">
        <f>+O11/'Income Statement'!O10</f>
        <v>0.11266911321684832</v>
      </c>
      <c r="P70" s="387"/>
      <c r="Q70" s="385">
        <f>+Q11/'Income Statement'!Q10</f>
        <v>0.12786027263875366</v>
      </c>
      <c r="R70" s="385">
        <f>+R11/'Income Statement'!R10</f>
        <v>0.10502010214060634</v>
      </c>
      <c r="S70" s="385">
        <f>+S11/'Income Statement'!S10</f>
        <v>9.2299788800730642E-2</v>
      </c>
      <c r="T70" s="386">
        <f>+T11/'Income Statement'!T10</f>
        <v>0.10190855276587059</v>
      </c>
      <c r="U70" s="387"/>
      <c r="V70" s="385">
        <f>+V11/'Income Statement'!V10</f>
        <v>0.10688089416695773</v>
      </c>
      <c r="W70" s="385">
        <f>+W11/'Income Statement'!W10</f>
        <v>8.0084391894861773E-2</v>
      </c>
      <c r="X70" s="385">
        <f>+X11/'Income Statement'!X10</f>
        <v>7.6834569163896693E-2</v>
      </c>
      <c r="Y70" s="386">
        <f>+Y11/'Income Statement'!Y10</f>
        <v>9.2699029126213597E-2</v>
      </c>
      <c r="Z70" s="387"/>
      <c r="AA70" s="385">
        <f>+AA11/'Income Statement'!AA10</f>
        <v>8.1005113617122149E-2</v>
      </c>
      <c r="AB70" s="385">
        <f>+AB11/'Income Statement'!AB10</f>
        <v>8.5379612423679321E-2</v>
      </c>
      <c r="AC70" s="385">
        <f>+AC11/'Income Statement'!AC10</f>
        <v>7.090046169244181E-2</v>
      </c>
      <c r="AD70" s="386">
        <f>+AD11/'Income Statement'!AD10</f>
        <v>7.517658930373361E-2</v>
      </c>
      <c r="AE70" s="387"/>
      <c r="AF70" s="385">
        <f>+AF11/'Income Statement'!AF10</f>
        <v>9.7840755735492571E-2</v>
      </c>
      <c r="AG70" s="385">
        <f>+AG11/'Income Statement'!AG10</f>
        <v>0.13963485316846985</v>
      </c>
      <c r="AH70" s="385">
        <f>+AH11/'Income Statement'!AH10</f>
        <v>0.10121782719064297</v>
      </c>
      <c r="AI70" s="389">
        <v>0.1</v>
      </c>
      <c r="AJ70" s="387"/>
      <c r="AK70" s="390">
        <v>0.1</v>
      </c>
      <c r="AL70" s="390">
        <v>0.1</v>
      </c>
      <c r="AM70" s="390">
        <v>0.1</v>
      </c>
      <c r="AN70" s="389">
        <v>0.1</v>
      </c>
      <c r="AO70" s="387"/>
      <c r="AP70" s="390">
        <v>0.1</v>
      </c>
      <c r="AQ70" s="390">
        <v>0.1</v>
      </c>
      <c r="AR70" s="390">
        <v>0.1</v>
      </c>
      <c r="AS70" s="389">
        <v>0.1</v>
      </c>
      <c r="AT70" s="387"/>
      <c r="AU70" s="390">
        <v>0.1</v>
      </c>
      <c r="AV70" s="390">
        <v>0.1</v>
      </c>
      <c r="AW70" s="390">
        <v>0.1</v>
      </c>
      <c r="AX70" s="389">
        <v>0.1</v>
      </c>
      <c r="AY70" s="387"/>
      <c r="AZ70" s="390">
        <v>0.1</v>
      </c>
      <c r="BA70" s="390">
        <v>0.1</v>
      </c>
      <c r="BB70" s="390">
        <v>0.1</v>
      </c>
      <c r="BC70" s="389">
        <v>0.1</v>
      </c>
      <c r="BD70" s="387"/>
      <c r="BE70" s="390">
        <v>0.1</v>
      </c>
      <c r="BF70" s="390">
        <v>0.1</v>
      </c>
      <c r="BG70" s="390">
        <v>0.1</v>
      </c>
      <c r="BH70" s="389">
        <v>0.1</v>
      </c>
      <c r="BI70" s="387"/>
      <c r="BJ70" s="390">
        <v>0.1</v>
      </c>
      <c r="BK70" s="390">
        <v>0.1</v>
      </c>
      <c r="BL70" s="390">
        <v>0.1</v>
      </c>
      <c r="BM70" s="389">
        <v>0.1</v>
      </c>
      <c r="BN70" s="387"/>
      <c r="BO70" s="390">
        <v>0.1</v>
      </c>
      <c r="BP70" s="390">
        <v>0.1</v>
      </c>
      <c r="BQ70" s="390">
        <v>0.1</v>
      </c>
      <c r="BR70" s="389">
        <v>0.1</v>
      </c>
    </row>
    <row r="71" spans="1:70">
      <c r="A71" s="4" t="s">
        <v>210</v>
      </c>
      <c r="B71" s="353"/>
      <c r="C71" s="353"/>
      <c r="D71" s="353"/>
      <c r="E71" s="354"/>
      <c r="G71" s="353"/>
      <c r="H71" s="353"/>
      <c r="I71" s="353"/>
      <c r="J71" s="354"/>
      <c r="L71" s="353"/>
      <c r="M71" s="353"/>
      <c r="N71" s="353"/>
      <c r="O71" s="382">
        <f>+O23/'Income Statement'!O10</f>
        <v>0.13277099194829378</v>
      </c>
      <c r="Q71" s="353">
        <f>+Q23/'Income Statement'!Q10</f>
        <v>0.1588972736124635</v>
      </c>
      <c r="R71" s="353">
        <f>+R23/'Income Statement'!R10</f>
        <v>0.12762142779528415</v>
      </c>
      <c r="S71" s="353">
        <f>+S23/'Income Statement'!S10</f>
        <v>0.18043267309777958</v>
      </c>
      <c r="T71" s="354">
        <f>+T23/'Income Statement'!T10</f>
        <v>0.19662175954276384</v>
      </c>
      <c r="V71" s="353">
        <f>+V23/'Income Statement'!V10</f>
        <v>0.16745671373683946</v>
      </c>
      <c r="W71" s="353">
        <f>+W23/'Income Statement'!W10</f>
        <v>8.6237967561865414E-2</v>
      </c>
      <c r="X71" s="353">
        <f>+X23/'Income Statement'!X10</f>
        <v>5.007244523992159E-2</v>
      </c>
      <c r="Y71" s="354">
        <f>+Y23/'Income Statement'!Y10</f>
        <v>9.7708737864077674E-2</v>
      </c>
      <c r="AA71" s="353">
        <f>+AA23/'Income Statement'!AA10</f>
        <v>0.1376274171153781</v>
      </c>
      <c r="AB71" s="353">
        <f>+AB23/'Income Statement'!AB10</f>
        <v>0.13475577382532519</v>
      </c>
      <c r="AC71" s="353">
        <f>+AC23/'Income Statement'!AC10</f>
        <v>0.17976947664094534</v>
      </c>
      <c r="AD71" s="354">
        <f>+AD23/'Income Statement'!AD10</f>
        <v>7.8304742684157422E-2</v>
      </c>
      <c r="AE71" s="387"/>
      <c r="AF71" s="353">
        <f>+AF23/'Income Statement'!AF10</f>
        <v>0.24628879892037786</v>
      </c>
      <c r="AG71" s="353">
        <f>+AG23/'Income Statement'!AG10</f>
        <v>0.10741885625965998</v>
      </c>
      <c r="AH71" s="353">
        <f>+AH23/'Income Statement'!AH10</f>
        <v>6.2080267343594349E-2</v>
      </c>
      <c r="AI71" s="389">
        <v>0.08</v>
      </c>
      <c r="AK71" s="390">
        <v>0.08</v>
      </c>
      <c r="AL71" s="390">
        <v>0.08</v>
      </c>
      <c r="AM71" s="390">
        <v>0.08</v>
      </c>
      <c r="AN71" s="389">
        <v>0.08</v>
      </c>
      <c r="AP71" s="390">
        <v>0.08</v>
      </c>
      <c r="AQ71" s="390">
        <v>0.08</v>
      </c>
      <c r="AR71" s="390">
        <v>0.08</v>
      </c>
      <c r="AS71" s="389">
        <v>0.08</v>
      </c>
      <c r="AU71" s="390">
        <v>0.08</v>
      </c>
      <c r="AV71" s="390">
        <v>0.08</v>
      </c>
      <c r="AW71" s="390">
        <v>0.08</v>
      </c>
      <c r="AX71" s="389">
        <v>0.08</v>
      </c>
      <c r="AZ71" s="390">
        <v>0.08</v>
      </c>
      <c r="BA71" s="390">
        <v>0.08</v>
      </c>
      <c r="BB71" s="390">
        <v>0.08</v>
      </c>
      <c r="BC71" s="389">
        <v>0.08</v>
      </c>
      <c r="BE71" s="390">
        <v>0.08</v>
      </c>
      <c r="BF71" s="390">
        <v>0.08</v>
      </c>
      <c r="BG71" s="390">
        <v>0.08</v>
      </c>
      <c r="BH71" s="389">
        <v>0.08</v>
      </c>
      <c r="BJ71" s="390">
        <v>0.08</v>
      </c>
      <c r="BK71" s="390">
        <v>0.08</v>
      </c>
      <c r="BL71" s="390">
        <v>0.08</v>
      </c>
      <c r="BM71" s="389">
        <v>0.08</v>
      </c>
      <c r="BO71" s="390">
        <v>0.08</v>
      </c>
      <c r="BP71" s="390">
        <v>0.08</v>
      </c>
      <c r="BQ71" s="390">
        <v>0.08</v>
      </c>
      <c r="BR71" s="389">
        <v>0.08</v>
      </c>
    </row>
    <row r="72" spans="1:70">
      <c r="A72" s="378" t="s">
        <v>211</v>
      </c>
      <c r="B72" s="391"/>
      <c r="C72" s="391"/>
      <c r="D72" s="391"/>
      <c r="E72" s="392"/>
      <c r="F72" s="378"/>
      <c r="G72" s="391"/>
      <c r="H72" s="391"/>
      <c r="I72" s="391"/>
      <c r="J72" s="392"/>
      <c r="K72" s="378"/>
      <c r="L72" s="391"/>
      <c r="M72" s="391"/>
      <c r="N72" s="391"/>
      <c r="O72" s="393">
        <f>+O25/'Income Statement'!O10</f>
        <v>0.49898669003669816</v>
      </c>
      <c r="P72" s="378"/>
      <c r="Q72" s="391">
        <f>+Q25/'Income Statement'!Q10</f>
        <v>0.41382667964946446</v>
      </c>
      <c r="R72" s="391">
        <f>+R25/'Income Statement'!R10</f>
        <v>0.45908942736064329</v>
      </c>
      <c r="S72" s="391">
        <f>+S25/'Income Statement'!S10</f>
        <v>0.4599577601461271</v>
      </c>
      <c r="T72" s="392">
        <f>+T25/'Income Statement'!T10</f>
        <v>0.41717697489283528</v>
      </c>
      <c r="U72" s="378"/>
      <c r="V72" s="391">
        <f>+V25/'Income Statement'!V10</f>
        <v>0.42328227134374535</v>
      </c>
      <c r="W72" s="391">
        <f>+W25/'Income Statement'!W10</f>
        <v>0.37048920926552686</v>
      </c>
      <c r="X72" s="391">
        <f>+X25/'Income Statement'!X10</f>
        <v>0.39465609818460745</v>
      </c>
      <c r="Y72" s="392">
        <f>+Y25/'Income Statement'!Y10</f>
        <v>0.35673786407766989</v>
      </c>
      <c r="Z72" s="378"/>
      <c r="AA72" s="391">
        <f>+AA25/'Income Statement'!AA10</f>
        <v>0.25696772664160655</v>
      </c>
      <c r="AB72" s="391">
        <f>+AB25/'Income Statement'!AB10</f>
        <v>0.32585611892752858</v>
      </c>
      <c r="AC72" s="391">
        <f>+AC25/'Income Statement'!AC10</f>
        <v>0.31511316307751913</v>
      </c>
      <c r="AD72" s="392">
        <f>+AD25/'Income Statement'!AD10</f>
        <v>0.46195761856710399</v>
      </c>
      <c r="AE72" s="394"/>
      <c r="AF72" s="391">
        <f>+AF25/'Income Statement'!AF10</f>
        <v>0.32385450806503441</v>
      </c>
      <c r="AG72" s="391">
        <f>+AG25/'Income Statement'!AG10</f>
        <v>0.4533423493044822</v>
      </c>
      <c r="AH72" s="391">
        <f>+AH25/'Income Statement'!AH10</f>
        <v>0.33562546190675108</v>
      </c>
      <c r="AI72" s="395">
        <v>0.4</v>
      </c>
      <c r="AJ72" s="378"/>
      <c r="AK72" s="396">
        <v>0.3</v>
      </c>
      <c r="AL72" s="396">
        <v>0.35</v>
      </c>
      <c r="AM72" s="396">
        <v>0.35</v>
      </c>
      <c r="AN72" s="395">
        <v>0.4</v>
      </c>
      <c r="AO72" s="378"/>
      <c r="AP72" s="396">
        <v>0.3</v>
      </c>
      <c r="AQ72" s="396">
        <v>0.35</v>
      </c>
      <c r="AR72" s="396">
        <v>0.35</v>
      </c>
      <c r="AS72" s="395">
        <v>0.4</v>
      </c>
      <c r="AT72" s="378"/>
      <c r="AU72" s="396">
        <v>0.3</v>
      </c>
      <c r="AV72" s="396">
        <v>0.35</v>
      </c>
      <c r="AW72" s="396">
        <v>0.35</v>
      </c>
      <c r="AX72" s="395">
        <v>0.4</v>
      </c>
      <c r="AY72" s="378"/>
      <c r="AZ72" s="396">
        <v>0.3</v>
      </c>
      <c r="BA72" s="396">
        <v>0.35</v>
      </c>
      <c r="BB72" s="396">
        <v>0.35</v>
      </c>
      <c r="BC72" s="395">
        <v>0.4</v>
      </c>
      <c r="BD72" s="378"/>
      <c r="BE72" s="396">
        <v>0.3</v>
      </c>
      <c r="BF72" s="396">
        <v>0.35</v>
      </c>
      <c r="BG72" s="396">
        <v>0.35</v>
      </c>
      <c r="BH72" s="395">
        <v>0.4</v>
      </c>
      <c r="BI72" s="378"/>
      <c r="BJ72" s="396">
        <v>0.3</v>
      </c>
      <c r="BK72" s="396">
        <v>0.35</v>
      </c>
      <c r="BL72" s="396">
        <v>0.35</v>
      </c>
      <c r="BM72" s="395">
        <v>0.4</v>
      </c>
      <c r="BN72" s="378"/>
      <c r="BO72" s="396">
        <v>0.3</v>
      </c>
      <c r="BP72" s="396">
        <v>0.35</v>
      </c>
      <c r="BQ72" s="396">
        <v>0.35</v>
      </c>
      <c r="BR72" s="395">
        <v>0.4</v>
      </c>
    </row>
    <row r="73" spans="1:70">
      <c r="A73" s="104" t="s">
        <v>100</v>
      </c>
      <c r="B73" s="380"/>
      <c r="C73" s="380"/>
      <c r="D73" s="380"/>
      <c r="E73" s="380"/>
      <c r="G73" s="380"/>
      <c r="H73" s="380"/>
      <c r="I73" s="380"/>
      <c r="J73" s="380"/>
      <c r="L73" s="380"/>
      <c r="M73" s="380"/>
      <c r="N73" s="380"/>
      <c r="O73" s="380"/>
      <c r="Q73" s="397"/>
      <c r="R73" s="397"/>
      <c r="S73" s="397"/>
      <c r="T73" s="397"/>
      <c r="V73" s="397"/>
      <c r="W73" s="397"/>
      <c r="X73" s="397"/>
      <c r="Y73" s="397"/>
      <c r="AA73" s="397"/>
      <c r="AB73" s="397"/>
      <c r="AC73" s="397"/>
      <c r="AD73" s="397"/>
      <c r="AF73" s="397"/>
      <c r="AG73" s="397"/>
      <c r="AH73" s="397"/>
      <c r="AI73" s="397"/>
      <c r="AK73" s="397"/>
      <c r="AL73" s="397"/>
      <c r="AM73" s="397"/>
      <c r="AN73" s="397"/>
      <c r="AP73" s="397"/>
      <c r="AQ73" s="397"/>
      <c r="AR73" s="397"/>
      <c r="AS73" s="397"/>
      <c r="AU73" s="397"/>
      <c r="AV73" s="397"/>
      <c r="AW73" s="397"/>
      <c r="AX73" s="397"/>
      <c r="AZ73" s="397"/>
      <c r="BA73" s="397"/>
      <c r="BB73" s="397"/>
      <c r="BC73" s="397"/>
      <c r="BE73" s="397"/>
      <c r="BF73" s="397"/>
      <c r="BG73" s="397"/>
      <c r="BH73" s="397"/>
      <c r="BJ73" s="397"/>
      <c r="BK73" s="397"/>
      <c r="BL73" s="397"/>
      <c r="BM73" s="397"/>
      <c r="BO73" s="397"/>
      <c r="BP73" s="397"/>
      <c r="BQ73" s="397"/>
      <c r="BR73" s="397"/>
    </row>
    <row r="74" spans="1:70">
      <c r="AB74" s="398"/>
    </row>
  </sheetData>
  <pageMargins left="0.7" right="0.7" top="0.75" bottom="0.75" header="0.3" footer="0.3"/>
  <pageSetup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47DA-5642-4892-8B7D-129978DD4C1A}">
  <sheetPr>
    <pageSetUpPr fitToPage="1"/>
  </sheetPr>
  <dimension ref="A1:BV62"/>
  <sheetViews>
    <sheetView showGridLines="0" zoomScaleNormal="100" workbookViewId="0">
      <pane xSplit="1" ySplit="6" topLeftCell="AO36" activePane="bottomRight" state="frozen"/>
      <selection activeCell="BF82" activeCellId="1" sqref="BU68 BF82"/>
      <selection pane="topRight" activeCell="BF82" activeCellId="1" sqref="BU68 BF82"/>
      <selection pane="bottomLeft" activeCell="BF82" activeCellId="1" sqref="BU68 BF82"/>
      <selection pane="bottomRight" activeCell="BF82" activeCellId="1" sqref="BU68 BF82"/>
    </sheetView>
  </sheetViews>
  <sheetFormatPr defaultColWidth="9.140625" defaultRowHeight="12.75" outlineLevelCol="1"/>
  <cols>
    <col min="1" max="1" width="35.85546875" style="4" bestFit="1" customWidth="1"/>
    <col min="2" max="40" width="7.7109375" style="2" hidden="1" customWidth="1" outlineLevel="1"/>
    <col min="41" max="41" width="7.7109375" style="2" customWidth="1" collapsed="1"/>
    <col min="42" max="45" width="7.7109375" style="2" hidden="1" customWidth="1" outlineLevel="1"/>
    <col min="46" max="46" width="7.7109375" style="2" customWidth="1" collapsed="1"/>
    <col min="47" max="50" width="7.7109375" style="2" hidden="1" customWidth="1" outlineLevel="1"/>
    <col min="51" max="51" width="7.7109375" style="2" customWidth="1" collapsed="1"/>
    <col min="52" max="55" width="7.7109375" style="2" hidden="1" customWidth="1" outlineLevel="1"/>
    <col min="56" max="56" width="7.7109375" style="2" customWidth="1" collapsed="1"/>
    <col min="57" max="60" width="7.7109375" style="2" customWidth="1" outlineLevel="1"/>
    <col min="61" max="61" width="7.7109375" style="2" customWidth="1"/>
    <col min="62" max="65" width="7.7109375" style="2" customWidth="1" outlineLevel="1"/>
    <col min="66" max="66" width="7.7109375" style="2" customWidth="1"/>
    <col min="67" max="70" width="7.7109375" style="2" hidden="1" customWidth="1" outlineLevel="1"/>
    <col min="71" max="71" width="7.7109375" style="2" customWidth="1" collapsed="1"/>
    <col min="72" max="16384" width="9.140625" style="4"/>
  </cols>
  <sheetData>
    <row r="1" spans="1:71" ht="22.5">
      <c r="A1" s="1" t="s">
        <v>0</v>
      </c>
      <c r="AS1" s="3"/>
      <c r="AY1" s="3"/>
      <c r="BD1" s="3"/>
      <c r="BI1" s="3"/>
      <c r="BN1" s="3"/>
      <c r="BS1" s="3" t="s">
        <v>1</v>
      </c>
    </row>
    <row r="2" spans="1:71" ht="16.5" customHeight="1">
      <c r="A2" s="5" t="s">
        <v>212</v>
      </c>
      <c r="H2" s="112"/>
      <c r="AS2" s="227"/>
      <c r="AY2" s="227"/>
      <c r="BD2" s="227"/>
      <c r="BI2" s="227"/>
      <c r="BN2" s="227"/>
      <c r="BS2" s="227" t="s">
        <v>3</v>
      </c>
    </row>
    <row r="3" spans="1:71" ht="16.5" customHeight="1">
      <c r="A3" s="8" t="s">
        <v>4</v>
      </c>
      <c r="H3" s="112"/>
    </row>
    <row r="4" spans="1:71" ht="13.5" thickBot="1">
      <c r="H4" s="112"/>
    </row>
    <row r="5" spans="1:71">
      <c r="A5" s="9"/>
      <c r="B5" s="12">
        <f>'Revenue Model'!B5</f>
        <v>41699</v>
      </c>
      <c r="C5" s="12">
        <f>'Revenue Model'!C5</f>
        <v>41791</v>
      </c>
      <c r="D5" s="12">
        <f>'Revenue Model'!D5</f>
        <v>41883</v>
      </c>
      <c r="E5" s="12">
        <f>'Revenue Model'!E5</f>
        <v>41974</v>
      </c>
      <c r="F5" s="13" t="str">
        <f>'Revenue Model'!F5</f>
        <v>2014</v>
      </c>
      <c r="G5" s="12">
        <f>'Revenue Model'!G5</f>
        <v>42064</v>
      </c>
      <c r="H5" s="12">
        <f>'Revenue Model'!H5</f>
        <v>42156</v>
      </c>
      <c r="I5" s="12">
        <f>'Revenue Model'!I5</f>
        <v>42248</v>
      </c>
      <c r="J5" s="12">
        <f>'Revenue Model'!J5</f>
        <v>42339</v>
      </c>
      <c r="K5" s="13" t="str">
        <f>'Revenue Model'!K5</f>
        <v>2015</v>
      </c>
      <c r="L5" s="12">
        <f>'Revenue Model'!L5</f>
        <v>42430</v>
      </c>
      <c r="M5" s="12">
        <f>'Revenue Model'!M5</f>
        <v>42522</v>
      </c>
      <c r="N5" s="12">
        <f>'Revenue Model'!N5</f>
        <v>42614</v>
      </c>
      <c r="O5" s="12">
        <f>'Revenue Model'!O5</f>
        <v>42705</v>
      </c>
      <c r="P5" s="13" t="str">
        <f>'Revenue Model'!P5</f>
        <v>2016</v>
      </c>
      <c r="Q5" s="12">
        <f>'Revenue Model'!Q5</f>
        <v>42795</v>
      </c>
      <c r="R5" s="12">
        <f>'Revenue Model'!R5</f>
        <v>42887</v>
      </c>
      <c r="S5" s="12">
        <f>'Revenue Model'!S5</f>
        <v>42979</v>
      </c>
      <c r="T5" s="12">
        <f>'Revenue Model'!T5</f>
        <v>43070</v>
      </c>
      <c r="U5" s="13" t="str">
        <f>'Revenue Model'!U5</f>
        <v>2017</v>
      </c>
      <c r="V5" s="12">
        <f>'Revenue Model'!V5</f>
        <v>43160</v>
      </c>
      <c r="W5" s="12">
        <f>'Revenue Model'!W5</f>
        <v>43252</v>
      </c>
      <c r="X5" s="12">
        <f>'Revenue Model'!X5</f>
        <v>43344</v>
      </c>
      <c r="Y5" s="12">
        <f>'Revenue Model'!Y5</f>
        <v>43435</v>
      </c>
      <c r="Z5" s="13" t="str">
        <f>'Revenue Model'!Z5</f>
        <v>2018</v>
      </c>
      <c r="AA5" s="12">
        <f>'Revenue Model'!AA5</f>
        <v>43525</v>
      </c>
      <c r="AB5" s="12">
        <f>'Revenue Model'!AB5</f>
        <v>43617</v>
      </c>
      <c r="AC5" s="12">
        <f>'Revenue Model'!AC5</f>
        <v>43709</v>
      </c>
      <c r="AD5" s="12">
        <f>'Revenue Model'!AD5</f>
        <v>43800</v>
      </c>
      <c r="AE5" s="13" t="str">
        <f>'Revenue Model'!AE5</f>
        <v>2019</v>
      </c>
      <c r="AF5" s="12">
        <f>'Revenue Model'!AF5</f>
        <v>43891</v>
      </c>
      <c r="AG5" s="12">
        <f>'Revenue Model'!AG5</f>
        <v>43983</v>
      </c>
      <c r="AH5" s="12">
        <f>'Revenue Model'!AH5</f>
        <v>44075</v>
      </c>
      <c r="AI5" s="12">
        <f>'Revenue Model'!AI5</f>
        <v>44166</v>
      </c>
      <c r="AJ5" s="13" t="str">
        <f>'Revenue Model'!AJ5</f>
        <v>2020</v>
      </c>
      <c r="AK5" s="12">
        <f>'Revenue Model'!AK5</f>
        <v>44256</v>
      </c>
      <c r="AL5" s="12">
        <f>'Revenue Model'!AL5</f>
        <v>44348</v>
      </c>
      <c r="AM5" s="12">
        <f>'Revenue Model'!AM5</f>
        <v>44440</v>
      </c>
      <c r="AN5" s="12">
        <f>'Revenue Model'!AN5</f>
        <v>44531</v>
      </c>
      <c r="AO5" s="13" t="str">
        <f>'Revenue Model'!AO5</f>
        <v>2021</v>
      </c>
      <c r="AP5" s="12">
        <f>'Revenue Model'!AP5</f>
        <v>44621</v>
      </c>
      <c r="AQ5" s="12">
        <f>'Revenue Model'!AQ5</f>
        <v>44713</v>
      </c>
      <c r="AR5" s="12">
        <f>'Revenue Model'!AR5</f>
        <v>44805</v>
      </c>
      <c r="AS5" s="12">
        <f>'Revenue Model'!AS5</f>
        <v>44896</v>
      </c>
      <c r="AT5" s="13" t="str">
        <f>'Revenue Model'!AT5</f>
        <v>2022</v>
      </c>
      <c r="AU5" s="12">
        <f>'Revenue Model'!AU5</f>
        <v>44986</v>
      </c>
      <c r="AV5" s="12">
        <f>'Revenue Model'!AV5</f>
        <v>45078</v>
      </c>
      <c r="AW5" s="12">
        <f>'Revenue Model'!AW5</f>
        <v>45170</v>
      </c>
      <c r="AX5" s="12">
        <f>'Revenue Model'!AX5</f>
        <v>45261</v>
      </c>
      <c r="AY5" s="13" t="str">
        <f>'Revenue Model'!AY5</f>
        <v>2023</v>
      </c>
      <c r="AZ5" s="12">
        <f>'Revenue Model'!AZ5</f>
        <v>45352</v>
      </c>
      <c r="BA5" s="12">
        <f>'Revenue Model'!BA5</f>
        <v>45444</v>
      </c>
      <c r="BB5" s="12">
        <f>'Revenue Model'!BB5</f>
        <v>45536</v>
      </c>
      <c r="BC5" s="12">
        <f>'Revenue Model'!BC5</f>
        <v>45627</v>
      </c>
      <c r="BD5" s="13" t="str">
        <f>'Revenue Model'!BD5</f>
        <v>2024</v>
      </c>
      <c r="BE5" s="12">
        <f>'Revenue Model'!BE5</f>
        <v>45717</v>
      </c>
      <c r="BF5" s="12">
        <f>'Revenue Model'!BF5</f>
        <v>45809</v>
      </c>
      <c r="BG5" s="12">
        <f>'Revenue Model'!BG5</f>
        <v>45901</v>
      </c>
      <c r="BH5" s="12">
        <f>'Revenue Model'!BH5</f>
        <v>45992</v>
      </c>
      <c r="BI5" s="13" t="str">
        <f>'Revenue Model'!BI5</f>
        <v>2025</v>
      </c>
      <c r="BJ5" s="12">
        <f>'Revenue Model'!BJ5</f>
        <v>46082</v>
      </c>
      <c r="BK5" s="12">
        <f>'Revenue Model'!BK5</f>
        <v>46174</v>
      </c>
      <c r="BL5" s="12">
        <f>'Revenue Model'!BL5</f>
        <v>46266</v>
      </c>
      <c r="BM5" s="12">
        <f>'Revenue Model'!BM5</f>
        <v>46357</v>
      </c>
      <c r="BN5" s="13" t="str">
        <f>'Revenue Model'!BN5</f>
        <v>2026E</v>
      </c>
      <c r="BO5" s="12">
        <f>'Revenue Model'!BO5</f>
        <v>46447</v>
      </c>
      <c r="BP5" s="12">
        <f>'Revenue Model'!BP5</f>
        <v>46539</v>
      </c>
      <c r="BQ5" s="12">
        <f>'Revenue Model'!BQ5</f>
        <v>46631</v>
      </c>
      <c r="BR5" s="12">
        <f>'Revenue Model'!BR5</f>
        <v>46722</v>
      </c>
      <c r="BS5" s="13" t="str">
        <f>'Revenue Model'!BS5</f>
        <v>2027E</v>
      </c>
    </row>
    <row r="6" spans="1:71">
      <c r="B6" s="14" t="str">
        <f>'Revenue Model'!B6</f>
        <v>Q114A</v>
      </c>
      <c r="C6" s="14" t="str">
        <f>'Revenue Model'!C6</f>
        <v>Q214A</v>
      </c>
      <c r="D6" s="14" t="str">
        <f>'Revenue Model'!D6</f>
        <v>Q314A</v>
      </c>
      <c r="E6" s="14" t="str">
        <f>'Revenue Model'!E6</f>
        <v>Q414A</v>
      </c>
      <c r="F6" s="15" t="str">
        <f>'Revenue Model'!F6</f>
        <v>Annual</v>
      </c>
      <c r="G6" s="14" t="str">
        <f>'Revenue Model'!G6</f>
        <v>Q115A</v>
      </c>
      <c r="H6" s="14" t="str">
        <f>'Revenue Model'!H6</f>
        <v>Q215A</v>
      </c>
      <c r="I6" s="14" t="str">
        <f>'Revenue Model'!I6</f>
        <v>Q315A</v>
      </c>
      <c r="J6" s="14" t="str">
        <f>'Revenue Model'!J6</f>
        <v>Q415A</v>
      </c>
      <c r="K6" s="15" t="str">
        <f>'Revenue Model'!K6</f>
        <v>Annual</v>
      </c>
      <c r="L6" s="14" t="str">
        <f>'Revenue Model'!L6</f>
        <v>Q116A</v>
      </c>
      <c r="M6" s="14" t="str">
        <f>'Revenue Model'!M6</f>
        <v>Q216A</v>
      </c>
      <c r="N6" s="14" t="str">
        <f>'Revenue Model'!N6</f>
        <v>Q316A</v>
      </c>
      <c r="O6" s="14" t="str">
        <f>'Revenue Model'!O6</f>
        <v>Q416A</v>
      </c>
      <c r="P6" s="15" t="str">
        <f>'Revenue Model'!P6</f>
        <v>Annual</v>
      </c>
      <c r="Q6" s="14" t="str">
        <f>'Revenue Model'!Q6</f>
        <v>Q117A</v>
      </c>
      <c r="R6" s="14" t="str">
        <f>'Revenue Model'!R6</f>
        <v>Q217A</v>
      </c>
      <c r="S6" s="14" t="str">
        <f>'Revenue Model'!S6</f>
        <v>Q317A</v>
      </c>
      <c r="T6" s="14" t="str">
        <f>'Revenue Model'!T6</f>
        <v>Q417A</v>
      </c>
      <c r="U6" s="15" t="str">
        <f>'Revenue Model'!U6</f>
        <v>Annual</v>
      </c>
      <c r="V6" s="14" t="str">
        <f>'Revenue Model'!V6</f>
        <v>Q118A</v>
      </c>
      <c r="W6" s="14" t="str">
        <f>'Revenue Model'!W6</f>
        <v>Q218A</v>
      </c>
      <c r="X6" s="14" t="str">
        <f>'Revenue Model'!X6</f>
        <v>Q318A</v>
      </c>
      <c r="Y6" s="14" t="str">
        <f>'Revenue Model'!Y6</f>
        <v>Q418A</v>
      </c>
      <c r="Z6" s="15" t="str">
        <f>'Revenue Model'!Z6</f>
        <v>Annual</v>
      </c>
      <c r="AA6" s="14" t="str">
        <f>'Revenue Model'!AA6</f>
        <v>Q119A</v>
      </c>
      <c r="AB6" s="14" t="str">
        <f>'Revenue Model'!AB6</f>
        <v>Q219A</v>
      </c>
      <c r="AC6" s="14" t="str">
        <f>'Revenue Model'!AC6</f>
        <v>Q319A</v>
      </c>
      <c r="AD6" s="14" t="str">
        <f>'Revenue Model'!AD6</f>
        <v>Q419A</v>
      </c>
      <c r="AE6" s="15" t="str">
        <f>'Revenue Model'!AE6</f>
        <v>Annual</v>
      </c>
      <c r="AF6" s="14" t="str">
        <f>'Revenue Model'!AF6</f>
        <v>Q120A</v>
      </c>
      <c r="AG6" s="14" t="str">
        <f>'Revenue Model'!AG6</f>
        <v>Q220A</v>
      </c>
      <c r="AH6" s="14" t="str">
        <f>'Revenue Model'!AH6</f>
        <v>Q320A</v>
      </c>
      <c r="AI6" s="14" t="str">
        <f>'Revenue Model'!AI6</f>
        <v>Q420A</v>
      </c>
      <c r="AJ6" s="15" t="str">
        <f>'Revenue Model'!AJ6</f>
        <v>Annual</v>
      </c>
      <c r="AK6" s="14" t="str">
        <f>'Revenue Model'!AK6</f>
        <v>Q121A</v>
      </c>
      <c r="AL6" s="14" t="str">
        <f>'Revenue Model'!AL6</f>
        <v>Q221A</v>
      </c>
      <c r="AM6" s="14" t="str">
        <f>'Revenue Model'!AM6</f>
        <v>Q321A</v>
      </c>
      <c r="AN6" s="14" t="str">
        <f>'Revenue Model'!AN6</f>
        <v>Q421A</v>
      </c>
      <c r="AO6" s="15" t="str">
        <f>'Revenue Model'!AO6</f>
        <v>Annual</v>
      </c>
      <c r="AP6" s="14" t="str">
        <f>'Revenue Model'!AP6</f>
        <v>Q122A</v>
      </c>
      <c r="AQ6" s="14" t="str">
        <f>'Revenue Model'!AQ6</f>
        <v>Q222A</v>
      </c>
      <c r="AR6" s="14" t="str">
        <f>'Revenue Model'!AR6</f>
        <v>Q322A</v>
      </c>
      <c r="AS6" s="14" t="str">
        <f>'Revenue Model'!AS6</f>
        <v>Q422A</v>
      </c>
      <c r="AT6" s="15" t="str">
        <f>'Revenue Model'!AT6</f>
        <v>Annual</v>
      </c>
      <c r="AU6" s="14" t="str">
        <f>'Revenue Model'!AU6</f>
        <v>Q123A</v>
      </c>
      <c r="AV6" s="14" t="str">
        <f>'Revenue Model'!AV6</f>
        <v>Q223A</v>
      </c>
      <c r="AW6" s="14" t="str">
        <f>'Revenue Model'!AW6</f>
        <v>Q323A</v>
      </c>
      <c r="AX6" s="14" t="str">
        <f>'Revenue Model'!AX6</f>
        <v>Q423A</v>
      </c>
      <c r="AY6" s="15" t="str">
        <f>'Revenue Model'!AY6</f>
        <v>Annual</v>
      </c>
      <c r="AZ6" s="14" t="str">
        <f>'Revenue Model'!AZ6</f>
        <v>Q124A</v>
      </c>
      <c r="BA6" s="14" t="str">
        <f>'Revenue Model'!BA6</f>
        <v>Q224A</v>
      </c>
      <c r="BB6" s="14" t="str">
        <f>'Revenue Model'!BB6</f>
        <v>Q324A</v>
      </c>
      <c r="BC6" s="14" t="str">
        <f>'Revenue Model'!BC6</f>
        <v>Q424A</v>
      </c>
      <c r="BD6" s="15" t="str">
        <f>'Revenue Model'!BD6</f>
        <v>Annual</v>
      </c>
      <c r="BE6" s="14" t="str">
        <f>'Revenue Model'!BE6</f>
        <v>Q125A</v>
      </c>
      <c r="BF6" s="14" t="str">
        <f>'Revenue Model'!BF6</f>
        <v>Q225A</v>
      </c>
      <c r="BG6" s="14" t="str">
        <f>'Revenue Model'!BG6</f>
        <v>Q325A</v>
      </c>
      <c r="BH6" s="14" t="str">
        <f>'Revenue Model'!BH6</f>
        <v>Q425A</v>
      </c>
      <c r="BI6" s="15" t="str">
        <f>'Revenue Model'!BI6</f>
        <v>Annual</v>
      </c>
      <c r="BJ6" s="14" t="str">
        <f>'Revenue Model'!BJ6</f>
        <v>Q126E</v>
      </c>
      <c r="BK6" s="14" t="str">
        <f>'Revenue Model'!BK6</f>
        <v>Q226E</v>
      </c>
      <c r="BL6" s="14" t="str">
        <f>'Revenue Model'!BL6</f>
        <v>Q326E</v>
      </c>
      <c r="BM6" s="14" t="str">
        <f>'Revenue Model'!BM6</f>
        <v>Q426E</v>
      </c>
      <c r="BN6" s="15" t="str">
        <f>'Revenue Model'!BN6</f>
        <v>Annual</v>
      </c>
      <c r="BO6" s="14" t="str">
        <f>'Revenue Model'!BO6</f>
        <v>Q127E</v>
      </c>
      <c r="BP6" s="14" t="str">
        <f>'Revenue Model'!BP6</f>
        <v>Q227E</v>
      </c>
      <c r="BQ6" s="14" t="str">
        <f>'Revenue Model'!BQ6</f>
        <v>Q327E</v>
      </c>
      <c r="BR6" s="14" t="str">
        <f>'Revenue Model'!BR6</f>
        <v>Q427E</v>
      </c>
      <c r="BS6" s="15" t="str">
        <f>'Revenue Model'!BS6</f>
        <v>Annual</v>
      </c>
    </row>
    <row r="7" spans="1:71">
      <c r="A7" s="145" t="s">
        <v>204</v>
      </c>
      <c r="B7" s="17"/>
      <c r="C7" s="17"/>
      <c r="D7" s="17"/>
      <c r="E7" s="17"/>
      <c r="F7" s="399"/>
      <c r="G7" s="17"/>
      <c r="H7" s="17"/>
      <c r="I7" s="17"/>
      <c r="J7" s="17"/>
      <c r="K7" s="399"/>
      <c r="L7" s="17"/>
      <c r="M7" s="17"/>
      <c r="N7" s="17"/>
      <c r="O7" s="17"/>
      <c r="P7" s="399"/>
      <c r="Q7" s="17"/>
      <c r="R7" s="17"/>
      <c r="S7" s="17"/>
      <c r="T7" s="17"/>
      <c r="U7" s="399"/>
      <c r="V7" s="17"/>
      <c r="W7" s="17"/>
      <c r="X7" s="17"/>
      <c r="Y7" s="17"/>
      <c r="Z7" s="399"/>
      <c r="AA7" s="17"/>
      <c r="AB7" s="17"/>
      <c r="AC7" s="17"/>
      <c r="AD7" s="17"/>
      <c r="AE7" s="399"/>
      <c r="AF7" s="17"/>
      <c r="AG7" s="17"/>
      <c r="AH7" s="17"/>
      <c r="AI7" s="17"/>
      <c r="AJ7" s="399"/>
      <c r="AK7" s="17"/>
      <c r="AL7" s="17"/>
      <c r="AM7" s="17"/>
      <c r="AN7" s="17"/>
      <c r="AO7" s="399"/>
      <c r="AP7" s="17"/>
      <c r="AQ7" s="17"/>
      <c r="AR7" s="17"/>
      <c r="AS7" s="17"/>
      <c r="AT7" s="399"/>
      <c r="AU7" s="17"/>
      <c r="AV7" s="17"/>
      <c r="AW7" s="17"/>
      <c r="AX7" s="17"/>
      <c r="AY7" s="399"/>
      <c r="AZ7" s="17"/>
      <c r="BA7" s="17"/>
      <c r="BB7" s="17"/>
      <c r="BC7" s="17"/>
      <c r="BD7" s="399"/>
      <c r="BE7" s="17"/>
      <c r="BF7" s="17"/>
      <c r="BG7" s="17"/>
      <c r="BH7" s="17"/>
      <c r="BI7" s="399"/>
      <c r="BJ7" s="17"/>
      <c r="BK7" s="17"/>
      <c r="BL7" s="17"/>
      <c r="BM7" s="17"/>
      <c r="BN7" s="399"/>
      <c r="BO7" s="17"/>
      <c r="BP7" s="17"/>
      <c r="BQ7" s="17"/>
      <c r="BR7" s="17"/>
      <c r="BS7" s="399"/>
    </row>
    <row r="8" spans="1:71">
      <c r="A8" s="20" t="s">
        <v>142</v>
      </c>
      <c r="B8" s="400"/>
      <c r="C8" s="400"/>
      <c r="D8" s="400"/>
      <c r="E8" s="400"/>
      <c r="F8" s="401"/>
      <c r="G8" s="400"/>
      <c r="H8" s="400"/>
      <c r="I8" s="400"/>
      <c r="J8" s="400"/>
      <c r="K8" s="401"/>
      <c r="L8" s="400"/>
      <c r="M8" s="400"/>
      <c r="N8" s="400"/>
      <c r="O8" s="400"/>
      <c r="P8" s="401"/>
      <c r="Q8" s="128">
        <v>-8.2170000000000005</v>
      </c>
      <c r="R8" s="128">
        <f>-15.515-Q8</f>
        <v>-7.298</v>
      </c>
      <c r="S8" s="128">
        <f>-22.564-R8-Q8</f>
        <v>-7.0489999999999995</v>
      </c>
      <c r="T8" s="128">
        <f>+U8-S8-R8-Q8</f>
        <v>-8.4389999999999983</v>
      </c>
      <c r="U8" s="129">
        <v>-31.003</v>
      </c>
      <c r="V8" s="128">
        <v>-9.1769999999999996</v>
      </c>
      <c r="W8" s="128">
        <f>-15.425-V8</f>
        <v>-6.2480000000000011</v>
      </c>
      <c r="X8" s="128">
        <f>-19.894-W8-V8</f>
        <v>-4.4689999999999976</v>
      </c>
      <c r="Y8" s="128">
        <f>+Z8-X8-W8-V8</f>
        <v>-3.1050000000000004</v>
      </c>
      <c r="Z8" s="129">
        <v>-22.998999999999999</v>
      </c>
      <c r="AA8" s="128">
        <v>-1.917</v>
      </c>
      <c r="AB8" s="128">
        <f>-4.411-AA8</f>
        <v>-2.4939999999999998</v>
      </c>
      <c r="AC8" s="128">
        <f>-5.141-AB8-AA8</f>
        <v>-0.7300000000000002</v>
      </c>
      <c r="AD8" s="128">
        <f>+AE8-AC8-AB8-AA8</f>
        <v>-7.4580000000000002</v>
      </c>
      <c r="AE8" s="129">
        <v>-12.599</v>
      </c>
      <c r="AF8" s="128">
        <v>-11.715999999999999</v>
      </c>
      <c r="AG8" s="128">
        <f>-22.741-AF8</f>
        <v>-11.025</v>
      </c>
      <c r="AH8" s="128">
        <f>-26.865-AG8-AF8</f>
        <v>-4.1239999999999988</v>
      </c>
      <c r="AI8" s="128">
        <f>-34.909-AH8-AG8-AF8</f>
        <v>-8.0439999999999987</v>
      </c>
      <c r="AJ8" s="129">
        <f t="shared" ref="AJ8:AJ21" si="0">SUM(AF8:AI8)</f>
        <v>-34.908999999999999</v>
      </c>
      <c r="AK8" s="128">
        <v>-41.868000000000002</v>
      </c>
      <c r="AL8" s="128">
        <f>-50.906-AK8</f>
        <v>-9.0379999999999967</v>
      </c>
      <c r="AM8" s="128">
        <f>-65.035-AL8-AK8</f>
        <v>-14.128999999999998</v>
      </c>
      <c r="AN8" s="128">
        <f>-75.563-AM8-AL8-AK8</f>
        <v>-10.528000000000006</v>
      </c>
      <c r="AO8" s="129">
        <f t="shared" ref="AO8:AO21" si="1">SUM(AK8:AN8)</f>
        <v>-75.563000000000002</v>
      </c>
      <c r="AP8" s="128">
        <v>-14.461</v>
      </c>
      <c r="AQ8" s="128">
        <f>-23.993-AP8</f>
        <v>-9.5319999999999983</v>
      </c>
      <c r="AR8" s="128">
        <f>-32.716-AQ8-AP8</f>
        <v>-8.7230000000000043</v>
      </c>
      <c r="AS8" s="128">
        <f>-36.56-AR8-AQ8-AP8</f>
        <v>-3.8439999999999994</v>
      </c>
      <c r="AT8" s="129">
        <f t="shared" ref="AT8:AT21" si="2">SUM(AP8:AS8)</f>
        <v>-36.56</v>
      </c>
      <c r="AU8" s="128">
        <v>-8.0909999999999993</v>
      </c>
      <c r="AV8" s="128">
        <f>-16.493-AU8</f>
        <v>-8.4019999999999992</v>
      </c>
      <c r="AW8" s="128">
        <f>-46.111-AV8-AU8</f>
        <v>-29.617999999999995</v>
      </c>
      <c r="AX8" s="128">
        <f>-74.404-AW8-AV8-AU8</f>
        <v>-28.292999999999999</v>
      </c>
      <c r="AY8" s="129">
        <f t="shared" ref="AY8:AY21" si="3">SUM(AU8:AX8)</f>
        <v>-74.403999999999996</v>
      </c>
      <c r="AZ8" s="128">
        <v>-1.8640000000000001</v>
      </c>
      <c r="BA8" s="128">
        <f>3.87-AZ8</f>
        <v>5.734</v>
      </c>
      <c r="BB8" s="128">
        <f>19.025-BA8-AZ8</f>
        <v>15.154999999999999</v>
      </c>
      <c r="BC8" s="128">
        <f>24.138-BB8-BA8-AZ8</f>
        <v>5.1130000000000022</v>
      </c>
      <c r="BD8" s="129">
        <f t="shared" ref="BD8:BD19" si="4">SUM(AZ8:BC8)</f>
        <v>24.138000000000002</v>
      </c>
      <c r="BE8" s="128">
        <v>7.0469999999999997</v>
      </c>
      <c r="BF8" s="128">
        <f>6.067-BE8</f>
        <v>-0.97999999999999954</v>
      </c>
      <c r="BG8" s="128">
        <f>25.204-BF8-BE8</f>
        <v>19.137</v>
      </c>
      <c r="BH8" s="133">
        <f>'Income Statement'!BH29</f>
        <v>42.814999999999991</v>
      </c>
      <c r="BI8" s="129">
        <f t="shared" ref="BI8:BI19" si="5">SUM(BE8:BH8)</f>
        <v>68.018999999999991</v>
      </c>
      <c r="BJ8" s="133">
        <f>'Income Statement'!BJ29</f>
        <v>28.310326439000015</v>
      </c>
      <c r="BK8" s="133">
        <f>'Income Statement'!BK29</f>
        <v>32.962821737875004</v>
      </c>
      <c r="BL8" s="133">
        <f>'Income Statement'!BL29</f>
        <v>32.856230829200001</v>
      </c>
      <c r="BM8" s="133">
        <f>'Income Statement'!BM29</f>
        <v>36.081778947275005</v>
      </c>
      <c r="BN8" s="129">
        <f t="shared" ref="BN8:BN19" si="6">SUM(BJ8:BM8)</f>
        <v>130.21115795335004</v>
      </c>
      <c r="BO8" s="133">
        <f>'Income Statement'!BO29</f>
        <v>31.996703588905</v>
      </c>
      <c r="BP8" s="133">
        <f>'Income Statement'!BP29</f>
        <v>37.269199504759996</v>
      </c>
      <c r="BQ8" s="133">
        <f>'Income Statement'!BQ29</f>
        <v>37.194407725703982</v>
      </c>
      <c r="BR8" s="133">
        <f>'Income Statement'!BR29</f>
        <v>40.753986506978016</v>
      </c>
      <c r="BS8" s="129">
        <f t="shared" ref="BS8:BS19" si="7">SUM(BO8:BR8)</f>
        <v>147.21429732634701</v>
      </c>
    </row>
    <row r="9" spans="1:71">
      <c r="A9" s="20" t="s">
        <v>213</v>
      </c>
      <c r="B9" s="400"/>
      <c r="C9" s="400"/>
      <c r="D9" s="400"/>
      <c r="E9" s="400"/>
      <c r="F9" s="401"/>
      <c r="G9" s="400"/>
      <c r="H9" s="400"/>
      <c r="I9" s="400"/>
      <c r="J9" s="400"/>
      <c r="K9" s="401"/>
      <c r="L9" s="400"/>
      <c r="M9" s="400"/>
      <c r="N9" s="400"/>
      <c r="O9" s="400"/>
      <c r="P9" s="401"/>
      <c r="Q9" s="128">
        <v>0.90200000000000002</v>
      </c>
      <c r="R9" s="128">
        <f>1.846-Q9</f>
        <v>0.94400000000000006</v>
      </c>
      <c r="S9" s="128">
        <f>2.839-R9-Q9</f>
        <v>0.99299999999999999</v>
      </c>
      <c r="T9" s="128">
        <f t="shared" ref="T9:T15" si="8">+U9-S9-R9-Q9</f>
        <v>1.0020000000000002</v>
      </c>
      <c r="U9" s="129">
        <v>3.8410000000000002</v>
      </c>
      <c r="V9" s="128">
        <v>0.98</v>
      </c>
      <c r="W9" s="128">
        <f>1.969-V9</f>
        <v>0.9890000000000001</v>
      </c>
      <c r="X9" s="128">
        <f>2.95-W9-V9</f>
        <v>0.98100000000000009</v>
      </c>
      <c r="Y9" s="128">
        <f t="shared" ref="Y9:Y21" si="9">+Z9-X9-W9-V9</f>
        <v>0.97</v>
      </c>
      <c r="Z9" s="129">
        <v>3.92</v>
      </c>
      <c r="AA9" s="128">
        <v>0.94499999999999995</v>
      </c>
      <c r="AB9" s="128">
        <f>1.869-AA9</f>
        <v>0.92400000000000004</v>
      </c>
      <c r="AC9" s="128">
        <f>2.836-AB9-AA9</f>
        <v>0.96699999999999997</v>
      </c>
      <c r="AD9" s="128">
        <f>+AE9-AC9-AB9-AA9</f>
        <v>1.2810000000000001</v>
      </c>
      <c r="AE9" s="129">
        <v>4.117</v>
      </c>
      <c r="AF9" s="128">
        <v>1.972</v>
      </c>
      <c r="AG9" s="128">
        <f>3.929-AF9</f>
        <v>1.9569999999999999</v>
      </c>
      <c r="AH9" s="128">
        <f>5.919-AG9-AF9</f>
        <v>1.9899999999999998</v>
      </c>
      <c r="AI9" s="128">
        <f>7.944-AH9-AG9-AF9</f>
        <v>2.0250000000000008</v>
      </c>
      <c r="AJ9" s="129">
        <f t="shared" si="0"/>
        <v>7.9440000000000008</v>
      </c>
      <c r="AK9" s="128">
        <v>2.5499999999999998</v>
      </c>
      <c r="AL9" s="128">
        <f>7.05-AK9</f>
        <v>4.5</v>
      </c>
      <c r="AM9" s="128">
        <f>13.189-AL9-AK9</f>
        <v>6.1390000000000002</v>
      </c>
      <c r="AN9" s="128">
        <f>19.593-AM9-AL9-AK9</f>
        <v>6.4040000000000008</v>
      </c>
      <c r="AO9" s="129">
        <f t="shared" si="1"/>
        <v>19.593</v>
      </c>
      <c r="AP9" s="128">
        <v>6.556</v>
      </c>
      <c r="AQ9" s="128">
        <f>13.048-AP9</f>
        <v>6.492</v>
      </c>
      <c r="AR9" s="128">
        <f>19.372-AQ9-AP9</f>
        <v>6.323999999999999</v>
      </c>
      <c r="AS9" s="128">
        <f>25.928-AR9-AQ9-AP9</f>
        <v>6.5560000000000018</v>
      </c>
      <c r="AT9" s="129">
        <f t="shared" si="2"/>
        <v>25.928000000000001</v>
      </c>
      <c r="AU9" s="128">
        <v>6.67</v>
      </c>
      <c r="AV9" s="128">
        <f>13.529-AU9</f>
        <v>6.859</v>
      </c>
      <c r="AW9" s="128">
        <f>20.852-AV9-AU9</f>
        <v>7.3230000000000004</v>
      </c>
      <c r="AX9" s="128">
        <f>27.188-AW9-AV9-AU9</f>
        <v>6.3359999999999985</v>
      </c>
      <c r="AY9" s="129">
        <f t="shared" si="3"/>
        <v>27.187999999999999</v>
      </c>
      <c r="AZ9" s="128">
        <v>5.59</v>
      </c>
      <c r="BA9" s="128">
        <f>11.328-AZ9</f>
        <v>5.7379999999999995</v>
      </c>
      <c r="BB9" s="128">
        <f>17.206-BA9-AZ9</f>
        <v>5.8780000000000001</v>
      </c>
      <c r="BC9" s="128">
        <f>23.459-BB9-BA9-AZ9</f>
        <v>6.2530000000000001</v>
      </c>
      <c r="BD9" s="129">
        <f t="shared" si="4"/>
        <v>23.459</v>
      </c>
      <c r="BE9" s="128">
        <v>5.3620000000000001</v>
      </c>
      <c r="BF9" s="128">
        <f>10.851-BE9</f>
        <v>5.4890000000000008</v>
      </c>
      <c r="BG9" s="128">
        <f>16.117-BF9-BE9</f>
        <v>5.266</v>
      </c>
      <c r="BH9" s="133">
        <f>+'[1]Quarterly Expenses'!BH71</f>
        <v>1.1000000000000001</v>
      </c>
      <c r="BI9" s="129">
        <f t="shared" si="5"/>
        <v>17.217000000000002</v>
      </c>
      <c r="BJ9" s="133">
        <f>+'[1]Quarterly Expenses'!BJ71</f>
        <v>1.1000000000000001</v>
      </c>
      <c r="BK9" s="133">
        <f>+'[1]Quarterly Expenses'!BK71</f>
        <v>1.1000000000000001</v>
      </c>
      <c r="BL9" s="133">
        <f>+'[1]Quarterly Expenses'!BL71</f>
        <v>1.1000000000000001</v>
      </c>
      <c r="BM9" s="133">
        <f>+'[1]Quarterly Expenses'!BM71</f>
        <v>1.1000000000000001</v>
      </c>
      <c r="BN9" s="129">
        <f t="shared" si="6"/>
        <v>4.4000000000000004</v>
      </c>
      <c r="BO9" s="133">
        <f>+'[1]Quarterly Expenses'!BO71</f>
        <v>0</v>
      </c>
      <c r="BP9" s="133">
        <f>+'[1]Quarterly Expenses'!BP71</f>
        <v>0</v>
      </c>
      <c r="BQ9" s="133">
        <f>+'[1]Quarterly Expenses'!BQ71</f>
        <v>0</v>
      </c>
      <c r="BR9" s="133">
        <f>+'[1]Quarterly Expenses'!BR71</f>
        <v>0</v>
      </c>
      <c r="BS9" s="129">
        <f t="shared" si="7"/>
        <v>0</v>
      </c>
    </row>
    <row r="10" spans="1:71">
      <c r="A10" s="20" t="s">
        <v>214</v>
      </c>
      <c r="B10" s="400"/>
      <c r="C10" s="400"/>
      <c r="D10" s="400"/>
      <c r="E10" s="400"/>
      <c r="F10" s="401"/>
      <c r="G10" s="400"/>
      <c r="H10" s="400"/>
      <c r="I10" s="400"/>
      <c r="J10" s="400"/>
      <c r="K10" s="401"/>
      <c r="L10" s="400"/>
      <c r="M10" s="400"/>
      <c r="N10" s="400"/>
      <c r="O10" s="400"/>
      <c r="P10" s="401"/>
      <c r="Q10" s="128">
        <v>1.5720000000000001</v>
      </c>
      <c r="R10" s="128">
        <f>3.214-Q10</f>
        <v>1.6419999999999999</v>
      </c>
      <c r="S10" s="128">
        <f>4.825-R10-Q10</f>
        <v>1.6110000000000002</v>
      </c>
      <c r="T10" s="128">
        <f t="shared" si="8"/>
        <v>1.7920000000000003</v>
      </c>
      <c r="U10" s="129">
        <v>6.617</v>
      </c>
      <c r="V10" s="128">
        <v>1.175</v>
      </c>
      <c r="W10" s="128">
        <f>2.906-V10</f>
        <v>1.7310000000000001</v>
      </c>
      <c r="X10" s="128">
        <f>4.425-W10-V10</f>
        <v>1.5189999999999999</v>
      </c>
      <c r="Y10" s="128">
        <f t="shared" si="9"/>
        <v>1.5330000000000001</v>
      </c>
      <c r="Z10" s="129">
        <v>5.9580000000000002</v>
      </c>
      <c r="AA10" s="128">
        <v>1.7589999999999999</v>
      </c>
      <c r="AB10" s="128">
        <f>4.325-AA10</f>
        <v>2.5660000000000003</v>
      </c>
      <c r="AC10" s="128">
        <f>6.965-AB10-AA10</f>
        <v>2.6399999999999992</v>
      </c>
      <c r="AD10" s="128">
        <f>+AE10-AC10-AB10-AA10</f>
        <v>2.842000000000001</v>
      </c>
      <c r="AE10" s="129">
        <v>9.8070000000000004</v>
      </c>
      <c r="AF10" s="128">
        <v>2.9049999999999998</v>
      </c>
      <c r="AG10" s="128">
        <f>6.265-AF10</f>
        <v>3.36</v>
      </c>
      <c r="AH10" s="128">
        <f>9.354-AG10-AF10</f>
        <v>3.089</v>
      </c>
      <c r="AI10" s="128">
        <f>12.995-AH10-AG10-AF10</f>
        <v>3.6409999999999996</v>
      </c>
      <c r="AJ10" s="129">
        <f t="shared" si="0"/>
        <v>12.994999999999999</v>
      </c>
      <c r="AK10" s="128">
        <v>3.855</v>
      </c>
      <c r="AL10" s="128">
        <f>7.919-AK10</f>
        <v>4.0640000000000001</v>
      </c>
      <c r="AM10" s="128">
        <f>15.787-AL10-AK10</f>
        <v>7.8680000000000003</v>
      </c>
      <c r="AN10" s="128">
        <f>22.519-AM10-AL10-AK10</f>
        <v>6.7319999999999975</v>
      </c>
      <c r="AO10" s="129">
        <f t="shared" si="1"/>
        <v>22.518999999999998</v>
      </c>
      <c r="AP10" s="128">
        <v>6.6449999999999996</v>
      </c>
      <c r="AQ10" s="128">
        <f>12.584-AP10</f>
        <v>5.9390000000000001</v>
      </c>
      <c r="AR10" s="128">
        <f>19.867-AQ10-AP10</f>
        <v>7.2830000000000013</v>
      </c>
      <c r="AS10" s="128">
        <f>26.734-AR10-AQ10-AP10</f>
        <v>6.8670000000000009</v>
      </c>
      <c r="AT10" s="129">
        <f t="shared" si="2"/>
        <v>26.734000000000002</v>
      </c>
      <c r="AU10" s="128">
        <v>7.9850000000000003</v>
      </c>
      <c r="AV10" s="128">
        <f>18.366-AU10</f>
        <v>10.381</v>
      </c>
      <c r="AW10" s="128">
        <f>25.629-AV10-AU10</f>
        <v>7.2630000000000008</v>
      </c>
      <c r="AX10" s="128">
        <f>33.141-AW10-AV10-AU10</f>
        <v>7.511999999999996</v>
      </c>
      <c r="AY10" s="129">
        <f t="shared" si="3"/>
        <v>33.140999999999998</v>
      </c>
      <c r="AZ10" s="128">
        <v>8.0190000000000001</v>
      </c>
      <c r="BA10" s="128">
        <f>17.873-AZ10</f>
        <v>9.854000000000001</v>
      </c>
      <c r="BB10" s="128">
        <f>26.62-BA10-AZ10</f>
        <v>8.7469999999999981</v>
      </c>
      <c r="BC10" s="128">
        <f>36.249-BB10-BA10-AZ10</f>
        <v>9.6290000000000031</v>
      </c>
      <c r="BD10" s="129">
        <f t="shared" si="4"/>
        <v>36.249000000000002</v>
      </c>
      <c r="BE10" s="128">
        <v>10.958</v>
      </c>
      <c r="BF10" s="128">
        <f>21.943-BE10</f>
        <v>10.985000000000001</v>
      </c>
      <c r="BG10" s="128">
        <f>32.7-BF10-BE10</f>
        <v>10.757000000000003</v>
      </c>
      <c r="BH10" s="133">
        <f>+BC10+0.5</f>
        <v>10.129000000000003</v>
      </c>
      <c r="BI10" s="129">
        <f t="shared" si="5"/>
        <v>42.829000000000008</v>
      </c>
      <c r="BJ10" s="133">
        <f>+BE10+0.5</f>
        <v>11.458</v>
      </c>
      <c r="BK10" s="133">
        <f>+BF10+0.5</f>
        <v>11.485000000000001</v>
      </c>
      <c r="BL10" s="133">
        <f>+BG10+0.5</f>
        <v>11.257000000000003</v>
      </c>
      <c r="BM10" s="133">
        <f>+BH10+0.5</f>
        <v>10.629000000000003</v>
      </c>
      <c r="BN10" s="129">
        <f t="shared" si="6"/>
        <v>44.829000000000008</v>
      </c>
      <c r="BO10" s="133">
        <f>+BJ10+0.5</f>
        <v>11.958</v>
      </c>
      <c r="BP10" s="133">
        <f>+BK10+0.5</f>
        <v>11.985000000000001</v>
      </c>
      <c r="BQ10" s="133">
        <f>+BL10+0.5</f>
        <v>11.757000000000003</v>
      </c>
      <c r="BR10" s="133">
        <f>+BM10+0.5</f>
        <v>11.129000000000003</v>
      </c>
      <c r="BS10" s="129">
        <f t="shared" si="7"/>
        <v>46.829000000000008</v>
      </c>
    </row>
    <row r="11" spans="1:71">
      <c r="A11" s="20" t="s">
        <v>215</v>
      </c>
      <c r="B11" s="400"/>
      <c r="C11" s="400"/>
      <c r="D11" s="400"/>
      <c r="E11" s="400"/>
      <c r="F11" s="401"/>
      <c r="G11" s="400"/>
      <c r="H11" s="400"/>
      <c r="I11" s="400"/>
      <c r="J11" s="400"/>
      <c r="K11" s="401"/>
      <c r="L11" s="400"/>
      <c r="M11" s="400"/>
      <c r="N11" s="400"/>
      <c r="O11" s="400"/>
      <c r="P11" s="401"/>
      <c r="Q11" s="128">
        <v>0</v>
      </c>
      <c r="R11" s="128">
        <v>0</v>
      </c>
      <c r="S11" s="128">
        <v>0</v>
      </c>
      <c r="T11" s="128">
        <f t="shared" si="8"/>
        <v>0</v>
      </c>
      <c r="U11" s="129">
        <v>0</v>
      </c>
      <c r="V11" s="128">
        <v>0</v>
      </c>
      <c r="W11" s="128">
        <v>0</v>
      </c>
      <c r="X11" s="128">
        <v>0</v>
      </c>
      <c r="Y11" s="128">
        <f t="shared" si="9"/>
        <v>0</v>
      </c>
      <c r="Z11" s="129">
        <v>0</v>
      </c>
      <c r="AA11" s="128">
        <v>0</v>
      </c>
      <c r="AB11" s="128">
        <v>0</v>
      </c>
      <c r="AC11" s="128">
        <v>0</v>
      </c>
      <c r="AD11" s="128">
        <v>0</v>
      </c>
      <c r="AE11" s="129">
        <f>SUM(AA11:AD11)</f>
        <v>0</v>
      </c>
      <c r="AF11" s="128">
        <v>0</v>
      </c>
      <c r="AG11" s="128">
        <v>0</v>
      </c>
      <c r="AH11" s="128">
        <v>0</v>
      </c>
      <c r="AI11" s="128">
        <v>0</v>
      </c>
      <c r="AJ11" s="129">
        <f t="shared" si="0"/>
        <v>0</v>
      </c>
      <c r="AK11" s="128">
        <v>5.2999999999999999E-2</v>
      </c>
      <c r="AL11" s="128">
        <v>0</v>
      </c>
      <c r="AM11" s="128">
        <f>0-AL11-AK11</f>
        <v>-5.2999999999999999E-2</v>
      </c>
      <c r="AN11" s="128">
        <f>0-AM11-AL11-AK11</f>
        <v>0</v>
      </c>
      <c r="AO11" s="129">
        <f t="shared" si="1"/>
        <v>0</v>
      </c>
      <c r="AP11" s="128">
        <v>0</v>
      </c>
      <c r="AQ11" s="128">
        <v>0</v>
      </c>
      <c r="AR11" s="128">
        <v>0</v>
      </c>
      <c r="AS11" s="128">
        <v>0</v>
      </c>
      <c r="AT11" s="129">
        <f t="shared" si="2"/>
        <v>0</v>
      </c>
      <c r="AU11" s="128">
        <v>0</v>
      </c>
      <c r="AV11" s="128">
        <v>0</v>
      </c>
      <c r="AW11" s="128">
        <v>0</v>
      </c>
      <c r="AX11" s="128">
        <v>0</v>
      </c>
      <c r="AY11" s="129">
        <f t="shared" si="3"/>
        <v>0</v>
      </c>
      <c r="AZ11" s="128">
        <v>0</v>
      </c>
      <c r="BA11" s="128">
        <v>0</v>
      </c>
      <c r="BB11" s="128">
        <v>0</v>
      </c>
      <c r="BC11" s="128">
        <v>0</v>
      </c>
      <c r="BD11" s="129">
        <f t="shared" si="4"/>
        <v>0</v>
      </c>
      <c r="BE11" s="128">
        <v>0</v>
      </c>
      <c r="BF11" s="128">
        <v>0</v>
      </c>
      <c r="BG11" s="128">
        <v>0</v>
      </c>
      <c r="BH11" s="133">
        <v>0</v>
      </c>
      <c r="BI11" s="129">
        <f t="shared" si="5"/>
        <v>0</v>
      </c>
      <c r="BJ11" s="133">
        <v>0</v>
      </c>
      <c r="BK11" s="133">
        <v>0</v>
      </c>
      <c r="BL11" s="133">
        <v>0</v>
      </c>
      <c r="BM11" s="133">
        <v>0</v>
      </c>
      <c r="BN11" s="129">
        <f t="shared" si="6"/>
        <v>0</v>
      </c>
      <c r="BO11" s="133">
        <v>0</v>
      </c>
      <c r="BP11" s="133">
        <v>0</v>
      </c>
      <c r="BQ11" s="133">
        <v>0</v>
      </c>
      <c r="BR11" s="133">
        <v>0</v>
      </c>
      <c r="BS11" s="129">
        <f t="shared" si="7"/>
        <v>0</v>
      </c>
    </row>
    <row r="12" spans="1:71">
      <c r="A12" s="20" t="s">
        <v>216</v>
      </c>
      <c r="B12" s="400"/>
      <c r="C12" s="400"/>
      <c r="D12" s="400"/>
      <c r="E12" s="400"/>
      <c r="F12" s="401"/>
      <c r="G12" s="400"/>
      <c r="H12" s="400"/>
      <c r="I12" s="400"/>
      <c r="J12" s="400"/>
      <c r="K12" s="401"/>
      <c r="L12" s="400"/>
      <c r="M12" s="400"/>
      <c r="N12" s="400"/>
      <c r="O12" s="400"/>
      <c r="P12" s="401"/>
      <c r="Q12" s="128">
        <v>0</v>
      </c>
      <c r="R12" s="128">
        <v>0</v>
      </c>
      <c r="S12" s="128">
        <v>0</v>
      </c>
      <c r="T12" s="128">
        <f t="shared" si="8"/>
        <v>0</v>
      </c>
      <c r="U12" s="129">
        <v>0</v>
      </c>
      <c r="V12" s="128">
        <v>0</v>
      </c>
      <c r="W12" s="128">
        <v>0</v>
      </c>
      <c r="X12" s="128">
        <v>0</v>
      </c>
      <c r="Y12" s="128">
        <f t="shared" si="9"/>
        <v>0</v>
      </c>
      <c r="Z12" s="129">
        <v>0</v>
      </c>
      <c r="AA12" s="128">
        <v>0</v>
      </c>
      <c r="AB12" s="128">
        <v>0</v>
      </c>
      <c r="AC12" s="128">
        <v>0</v>
      </c>
      <c r="AD12" s="128">
        <v>0</v>
      </c>
      <c r="AE12" s="129">
        <f>SUM(AA12:AD12)</f>
        <v>0</v>
      </c>
      <c r="AF12" s="128">
        <v>0</v>
      </c>
      <c r="AG12" s="128">
        <v>0</v>
      </c>
      <c r="AH12" s="128">
        <v>0</v>
      </c>
      <c r="AI12" s="128">
        <v>0</v>
      </c>
      <c r="AJ12" s="129">
        <f t="shared" si="0"/>
        <v>0</v>
      </c>
      <c r="AK12" s="128">
        <v>0</v>
      </c>
      <c r="AL12" s="128">
        <v>0</v>
      </c>
      <c r="AM12" s="128">
        <v>0</v>
      </c>
      <c r="AN12" s="128">
        <v>0</v>
      </c>
      <c r="AO12" s="129">
        <f t="shared" si="1"/>
        <v>0</v>
      </c>
      <c r="AP12" s="128">
        <v>0</v>
      </c>
      <c r="AQ12" s="128">
        <v>0</v>
      </c>
      <c r="AR12" s="128">
        <v>0</v>
      </c>
      <c r="AS12" s="128">
        <v>0</v>
      </c>
      <c r="AT12" s="129">
        <f t="shared" si="2"/>
        <v>0</v>
      </c>
      <c r="AU12" s="128">
        <v>0</v>
      </c>
      <c r="AV12" s="128">
        <v>0</v>
      </c>
      <c r="AW12" s="128">
        <v>0</v>
      </c>
      <c r="AX12" s="128">
        <v>0</v>
      </c>
      <c r="AY12" s="129">
        <f t="shared" si="3"/>
        <v>0</v>
      </c>
      <c r="AZ12" s="128">
        <v>0</v>
      </c>
      <c r="BA12" s="128">
        <v>0</v>
      </c>
      <c r="BB12" s="128">
        <v>0</v>
      </c>
      <c r="BC12" s="128">
        <v>0</v>
      </c>
      <c r="BD12" s="129">
        <f t="shared" si="4"/>
        <v>0</v>
      </c>
      <c r="BE12" s="128">
        <v>0</v>
      </c>
      <c r="BF12" s="128">
        <v>0</v>
      </c>
      <c r="BG12" s="128">
        <v>0</v>
      </c>
      <c r="BH12" s="133">
        <v>0</v>
      </c>
      <c r="BI12" s="129">
        <f t="shared" si="5"/>
        <v>0</v>
      </c>
      <c r="BJ12" s="133">
        <v>0</v>
      </c>
      <c r="BK12" s="133">
        <v>0</v>
      </c>
      <c r="BL12" s="133">
        <v>0</v>
      </c>
      <c r="BM12" s="133">
        <v>0</v>
      </c>
      <c r="BN12" s="129">
        <f t="shared" si="6"/>
        <v>0</v>
      </c>
      <c r="BO12" s="133">
        <v>0</v>
      </c>
      <c r="BP12" s="133">
        <v>0</v>
      </c>
      <c r="BQ12" s="133">
        <v>0</v>
      </c>
      <c r="BR12" s="133">
        <v>0</v>
      </c>
      <c r="BS12" s="129">
        <f t="shared" si="7"/>
        <v>0</v>
      </c>
    </row>
    <row r="13" spans="1:71">
      <c r="A13" s="20" t="s">
        <v>217</v>
      </c>
      <c r="B13" s="400"/>
      <c r="C13" s="400"/>
      <c r="D13" s="400"/>
      <c r="E13" s="400"/>
      <c r="F13" s="401"/>
      <c r="G13" s="400"/>
      <c r="H13" s="400"/>
      <c r="I13" s="400"/>
      <c r="J13" s="400"/>
      <c r="K13" s="401"/>
      <c r="L13" s="400"/>
      <c r="M13" s="400"/>
      <c r="N13" s="400"/>
      <c r="O13" s="400"/>
      <c r="P13" s="401"/>
      <c r="Q13" s="128">
        <v>0</v>
      </c>
      <c r="R13" s="128">
        <v>0</v>
      </c>
      <c r="S13" s="128">
        <v>0</v>
      </c>
      <c r="T13" s="128">
        <f t="shared" si="8"/>
        <v>0</v>
      </c>
      <c r="U13" s="129">
        <v>0</v>
      </c>
      <c r="V13" s="128">
        <v>-9.2999999999999999E-2</v>
      </c>
      <c r="W13" s="128">
        <f>-0.093-V13</f>
        <v>0</v>
      </c>
      <c r="X13" s="128">
        <f>-0.093-W13-V13</f>
        <v>0</v>
      </c>
      <c r="Y13" s="128">
        <f t="shared" si="9"/>
        <v>0</v>
      </c>
      <c r="Z13" s="129">
        <v>-9.2999999999999999E-2</v>
      </c>
      <c r="AA13" s="128">
        <v>0</v>
      </c>
      <c r="AB13" s="128">
        <v>0</v>
      </c>
      <c r="AC13" s="128">
        <v>0</v>
      </c>
      <c r="AD13" s="128">
        <f t="shared" ref="AD13:AD19" si="10">+AE13-AC13-AB13-AA13</f>
        <v>0</v>
      </c>
      <c r="AE13" s="129">
        <v>0</v>
      </c>
      <c r="AF13" s="128">
        <v>0</v>
      </c>
      <c r="AG13" s="128">
        <v>0</v>
      </c>
      <c r="AH13" s="128">
        <v>0</v>
      </c>
      <c r="AI13" s="128">
        <v>0</v>
      </c>
      <c r="AJ13" s="129">
        <f t="shared" si="0"/>
        <v>0</v>
      </c>
      <c r="AK13" s="128">
        <v>-3.7949999999999999</v>
      </c>
      <c r="AL13" s="128">
        <f>-3.947-AK13</f>
        <v>-0.15200000000000014</v>
      </c>
      <c r="AM13" s="128">
        <f>-5.297-AL13-AK13</f>
        <v>-1.3499999999999996</v>
      </c>
      <c r="AN13" s="128">
        <f>-6.258-AM13-AL13-AK13</f>
        <v>-0.9610000000000003</v>
      </c>
      <c r="AO13" s="129">
        <f t="shared" si="1"/>
        <v>-6.258</v>
      </c>
      <c r="AP13" s="128">
        <v>-3.0000000000000001E-3</v>
      </c>
      <c r="AQ13" s="128">
        <f>-0.118-AP13</f>
        <v>-0.11499999999999999</v>
      </c>
      <c r="AR13" s="128">
        <f>-0.27-AQ13-AP13</f>
        <v>-0.15200000000000002</v>
      </c>
      <c r="AS13" s="128">
        <f>0.133-AR13-AQ13-AP13</f>
        <v>0.40300000000000002</v>
      </c>
      <c r="AT13" s="129">
        <f t="shared" si="2"/>
        <v>0.13300000000000001</v>
      </c>
      <c r="AU13" s="128">
        <v>0</v>
      </c>
      <c r="AV13" s="128">
        <f>0.125-AU13</f>
        <v>0.125</v>
      </c>
      <c r="AW13" s="128">
        <f>-0.843-AV13-AU13</f>
        <v>-0.96799999999999997</v>
      </c>
      <c r="AX13" s="128">
        <f>-3.839-AW13-AV13-AU13</f>
        <v>-2.996</v>
      </c>
      <c r="AY13" s="129">
        <f t="shared" si="3"/>
        <v>-3.839</v>
      </c>
      <c r="AZ13" s="128">
        <v>0</v>
      </c>
      <c r="BA13" s="128">
        <f>0.023-AZ13</f>
        <v>2.3E-2</v>
      </c>
      <c r="BB13" s="128">
        <f>0.01-BA13-AZ13</f>
        <v>-1.2999999999999999E-2</v>
      </c>
      <c r="BC13" s="128">
        <f>-0.233-BB13-BA13-AZ13</f>
        <v>-0.24299999999999999</v>
      </c>
      <c r="BD13" s="129">
        <f t="shared" si="4"/>
        <v>-0.23299999999999998</v>
      </c>
      <c r="BE13" s="128">
        <v>0</v>
      </c>
      <c r="BF13" s="128">
        <f>0.074-BE13</f>
        <v>7.3999999999999996E-2</v>
      </c>
      <c r="BG13" s="128">
        <f>-0.013-BF13-BE13</f>
        <v>-8.6999999999999994E-2</v>
      </c>
      <c r="BH13" s="133">
        <v>0</v>
      </c>
      <c r="BI13" s="129">
        <f t="shared" si="5"/>
        <v>-1.2999999999999998E-2</v>
      </c>
      <c r="BJ13" s="133">
        <v>0</v>
      </c>
      <c r="BK13" s="133">
        <v>0</v>
      </c>
      <c r="BL13" s="133">
        <v>0</v>
      </c>
      <c r="BM13" s="133">
        <v>0</v>
      </c>
      <c r="BN13" s="129">
        <f t="shared" si="6"/>
        <v>0</v>
      </c>
      <c r="BO13" s="133">
        <v>0</v>
      </c>
      <c r="BP13" s="133">
        <v>0</v>
      </c>
      <c r="BQ13" s="133">
        <v>0</v>
      </c>
      <c r="BR13" s="133">
        <v>0</v>
      </c>
      <c r="BS13" s="129">
        <f t="shared" si="7"/>
        <v>0</v>
      </c>
    </row>
    <row r="14" spans="1:71">
      <c r="A14" s="20" t="s">
        <v>218</v>
      </c>
      <c r="B14" s="400"/>
      <c r="C14" s="400"/>
      <c r="D14" s="400"/>
      <c r="E14" s="400"/>
      <c r="F14" s="401"/>
      <c r="G14" s="400"/>
      <c r="H14" s="400"/>
      <c r="I14" s="400"/>
      <c r="J14" s="400"/>
      <c r="K14" s="401"/>
      <c r="L14" s="400"/>
      <c r="M14" s="400"/>
      <c r="N14" s="400"/>
      <c r="O14" s="400"/>
      <c r="P14" s="401"/>
      <c r="Q14" s="128">
        <v>2.5999999999999999E-2</v>
      </c>
      <c r="R14" s="128">
        <f>0.053-Q14</f>
        <v>2.7E-2</v>
      </c>
      <c r="S14" s="128">
        <f>0.079-R14-Q14</f>
        <v>2.6000000000000006E-2</v>
      </c>
      <c r="T14" s="128">
        <f t="shared" si="8"/>
        <v>0.3929999999999999</v>
      </c>
      <c r="U14" s="129">
        <v>0.47199999999999998</v>
      </c>
      <c r="V14" s="128">
        <v>8.0000000000000002E-3</v>
      </c>
      <c r="W14" s="128">
        <f>0.016-V14</f>
        <v>8.0000000000000002E-3</v>
      </c>
      <c r="X14" s="128">
        <f>0.024-W14-V14</f>
        <v>8.0000000000000002E-3</v>
      </c>
      <c r="Y14" s="128">
        <f t="shared" si="9"/>
        <v>8.0000000000000002E-3</v>
      </c>
      <c r="Z14" s="129">
        <v>3.2000000000000001E-2</v>
      </c>
      <c r="AA14" s="128">
        <v>8.0000000000000002E-3</v>
      </c>
      <c r="AB14" s="128">
        <f>0.083-AA14</f>
        <v>7.5000000000000011E-2</v>
      </c>
      <c r="AC14" s="128">
        <f>0.083-AB14-AA14</f>
        <v>0</v>
      </c>
      <c r="AD14" s="128">
        <f t="shared" si="10"/>
        <v>0</v>
      </c>
      <c r="AE14" s="129">
        <v>8.3000000000000004E-2</v>
      </c>
      <c r="AF14" s="128">
        <v>0</v>
      </c>
      <c r="AG14" s="128">
        <v>0</v>
      </c>
      <c r="AH14" s="128">
        <v>0</v>
      </c>
      <c r="AI14" s="128">
        <v>0</v>
      </c>
      <c r="AJ14" s="129">
        <f t="shared" si="0"/>
        <v>0</v>
      </c>
      <c r="AK14" s="128">
        <v>0</v>
      </c>
      <c r="AL14" s="128">
        <v>0</v>
      </c>
      <c r="AM14" s="128">
        <v>0</v>
      </c>
      <c r="AN14" s="128">
        <v>0</v>
      </c>
      <c r="AO14" s="129">
        <f t="shared" si="1"/>
        <v>0</v>
      </c>
      <c r="AP14" s="128">
        <v>0</v>
      </c>
      <c r="AQ14" s="128">
        <v>0</v>
      </c>
      <c r="AR14" s="128">
        <v>0</v>
      </c>
      <c r="AS14" s="128">
        <v>0</v>
      </c>
      <c r="AT14" s="129">
        <f t="shared" si="2"/>
        <v>0</v>
      </c>
      <c r="AU14" s="128">
        <v>0</v>
      </c>
      <c r="AV14" s="128">
        <v>0</v>
      </c>
      <c r="AW14" s="128">
        <v>0</v>
      </c>
      <c r="AX14" s="128">
        <v>0</v>
      </c>
      <c r="AY14" s="129">
        <f t="shared" si="3"/>
        <v>0</v>
      </c>
      <c r="AZ14" s="128">
        <v>0</v>
      </c>
      <c r="BA14" s="128">
        <v>0</v>
      </c>
      <c r="BB14" s="128">
        <v>0</v>
      </c>
      <c r="BC14" s="128">
        <v>0</v>
      </c>
      <c r="BD14" s="129">
        <f t="shared" si="4"/>
        <v>0</v>
      </c>
      <c r="BE14" s="128">
        <v>0</v>
      </c>
      <c r="BF14" s="128">
        <v>0</v>
      </c>
      <c r="BG14" s="128">
        <v>0</v>
      </c>
      <c r="BH14" s="133">
        <v>0</v>
      </c>
      <c r="BI14" s="129">
        <f t="shared" si="5"/>
        <v>0</v>
      </c>
      <c r="BJ14" s="133">
        <v>0</v>
      </c>
      <c r="BK14" s="133">
        <v>0</v>
      </c>
      <c r="BL14" s="133">
        <v>0</v>
      </c>
      <c r="BM14" s="133">
        <v>0</v>
      </c>
      <c r="BN14" s="129">
        <f t="shared" si="6"/>
        <v>0</v>
      </c>
      <c r="BO14" s="133">
        <v>0</v>
      </c>
      <c r="BP14" s="133">
        <v>0</v>
      </c>
      <c r="BQ14" s="133">
        <v>0</v>
      </c>
      <c r="BR14" s="133">
        <v>0</v>
      </c>
      <c r="BS14" s="129">
        <f t="shared" si="7"/>
        <v>0</v>
      </c>
    </row>
    <row r="15" spans="1:71" ht="12.75" customHeight="1">
      <c r="A15" s="20" t="s">
        <v>219</v>
      </c>
      <c r="B15" s="400"/>
      <c r="C15" s="400"/>
      <c r="D15" s="400"/>
      <c r="E15" s="400"/>
      <c r="F15" s="401"/>
      <c r="G15" s="400"/>
      <c r="H15" s="400"/>
      <c r="I15" s="400"/>
      <c r="J15" s="400"/>
      <c r="K15" s="401"/>
      <c r="L15" s="400"/>
      <c r="M15" s="400"/>
      <c r="N15" s="400"/>
      <c r="O15" s="400"/>
      <c r="P15" s="401"/>
      <c r="Q15" s="128">
        <v>0</v>
      </c>
      <c r="R15" s="128">
        <v>0</v>
      </c>
      <c r="S15" s="128">
        <v>0</v>
      </c>
      <c r="T15" s="128">
        <f t="shared" si="8"/>
        <v>1.589</v>
      </c>
      <c r="U15" s="129">
        <v>1.589</v>
      </c>
      <c r="V15" s="128">
        <v>7.0000000000000007E-2</v>
      </c>
      <c r="W15" s="128">
        <f>0.149-V15</f>
        <v>7.8999999999999987E-2</v>
      </c>
      <c r="X15" s="128">
        <f>0.23-W15-V15</f>
        <v>8.1000000000000016E-2</v>
      </c>
      <c r="Y15" s="128">
        <f t="shared" si="9"/>
        <v>8.199999999999999E-2</v>
      </c>
      <c r="Z15" s="129">
        <v>0.312</v>
      </c>
      <c r="AA15" s="128">
        <v>6.4000000000000001E-2</v>
      </c>
      <c r="AB15" s="128">
        <f>0.12-AA15</f>
        <v>5.5999999999999994E-2</v>
      </c>
      <c r="AC15" s="128">
        <f>0.174-AB15-AA15</f>
        <v>5.3999999999999992E-2</v>
      </c>
      <c r="AD15" s="128">
        <f t="shared" si="10"/>
        <v>5.5000000000000021E-2</v>
      </c>
      <c r="AE15" s="129">
        <v>0.22900000000000001</v>
      </c>
      <c r="AF15" s="128">
        <v>5.3999999999999999E-2</v>
      </c>
      <c r="AG15" s="128">
        <f>0.107-AF15</f>
        <v>5.2999999999999999E-2</v>
      </c>
      <c r="AH15" s="128">
        <f>0.162-AG15-AF15</f>
        <v>5.5000000000000014E-2</v>
      </c>
      <c r="AI15" s="128">
        <f>0.216-AH15-AG15-AF15</f>
        <v>5.3999999999999986E-2</v>
      </c>
      <c r="AJ15" s="129">
        <f t="shared" si="0"/>
        <v>0.216</v>
      </c>
      <c r="AK15" s="128">
        <f>0.053</f>
        <v>5.2999999999999999E-2</v>
      </c>
      <c r="AL15" s="128">
        <f>0.107-AK15</f>
        <v>5.3999999999999999E-2</v>
      </c>
      <c r="AM15" s="128">
        <f>0.161-AL15-AK15</f>
        <v>5.4000000000000013E-2</v>
      </c>
      <c r="AN15" s="128">
        <f>0.216-AM15-AL15-AK15</f>
        <v>5.4999999999999986E-2</v>
      </c>
      <c r="AO15" s="129">
        <f t="shared" si="1"/>
        <v>0.216</v>
      </c>
      <c r="AP15" s="128">
        <v>5.2999999999999999E-2</v>
      </c>
      <c r="AQ15" s="128">
        <f>0.107-AP15</f>
        <v>5.3999999999999999E-2</v>
      </c>
      <c r="AR15" s="128">
        <f>0.161-AQ15-AP15</f>
        <v>5.4000000000000013E-2</v>
      </c>
      <c r="AS15" s="128">
        <f>0.161-AR15-AQ15-AP15</f>
        <v>0</v>
      </c>
      <c r="AT15" s="129">
        <f t="shared" si="2"/>
        <v>0.161</v>
      </c>
      <c r="AU15" s="128">
        <v>0</v>
      </c>
      <c r="AV15" s="128">
        <f>0-AU15</f>
        <v>0</v>
      </c>
      <c r="AW15" s="128">
        <f>0-AV15-AU15</f>
        <v>0</v>
      </c>
      <c r="AX15" s="128">
        <f>0-AW15-AV15-AU15</f>
        <v>0</v>
      </c>
      <c r="AY15" s="129">
        <f t="shared" si="3"/>
        <v>0</v>
      </c>
      <c r="AZ15" s="128">
        <v>0</v>
      </c>
      <c r="BA15" s="128">
        <f>0-AZ15</f>
        <v>0</v>
      </c>
      <c r="BB15" s="128">
        <f>0-BA15-AZ15</f>
        <v>0</v>
      </c>
      <c r="BC15" s="128">
        <f>0-BB15-BA15-AZ15</f>
        <v>0</v>
      </c>
      <c r="BD15" s="129">
        <f t="shared" si="4"/>
        <v>0</v>
      </c>
      <c r="BE15" s="128">
        <v>0</v>
      </c>
      <c r="BF15" s="128">
        <f>0-BE15</f>
        <v>0</v>
      </c>
      <c r="BG15" s="128">
        <f>0-BF15-BE15</f>
        <v>0</v>
      </c>
      <c r="BH15" s="133">
        <v>0</v>
      </c>
      <c r="BI15" s="129">
        <f t="shared" si="5"/>
        <v>0</v>
      </c>
      <c r="BJ15" s="133">
        <v>0</v>
      </c>
      <c r="BK15" s="133">
        <v>0</v>
      </c>
      <c r="BL15" s="133">
        <v>0</v>
      </c>
      <c r="BM15" s="133">
        <v>0</v>
      </c>
      <c r="BN15" s="129">
        <f t="shared" si="6"/>
        <v>0</v>
      </c>
      <c r="BO15" s="133">
        <v>0</v>
      </c>
      <c r="BP15" s="133">
        <v>0</v>
      </c>
      <c r="BQ15" s="133">
        <v>0</v>
      </c>
      <c r="BR15" s="133">
        <v>0</v>
      </c>
      <c r="BS15" s="129">
        <f t="shared" si="7"/>
        <v>0</v>
      </c>
    </row>
    <row r="16" spans="1:71" ht="12.75" customHeight="1">
      <c r="A16" s="20" t="s">
        <v>220</v>
      </c>
      <c r="B16" s="400"/>
      <c r="C16" s="400"/>
      <c r="D16" s="400"/>
      <c r="E16" s="400"/>
      <c r="F16" s="401"/>
      <c r="G16" s="400"/>
      <c r="H16" s="400"/>
      <c r="I16" s="400"/>
      <c r="J16" s="400"/>
      <c r="K16" s="401"/>
      <c r="L16" s="400"/>
      <c r="M16" s="400"/>
      <c r="N16" s="400"/>
      <c r="O16" s="400"/>
      <c r="P16" s="401"/>
      <c r="Q16" s="128"/>
      <c r="R16" s="128"/>
      <c r="S16" s="128"/>
      <c r="T16" s="128"/>
      <c r="U16" s="129"/>
      <c r="V16" s="128"/>
      <c r="W16" s="128"/>
      <c r="X16" s="128"/>
      <c r="Y16" s="128"/>
      <c r="Z16" s="129"/>
      <c r="AA16" s="128">
        <v>0</v>
      </c>
      <c r="AB16" s="128">
        <v>0</v>
      </c>
      <c r="AC16" s="128">
        <v>0</v>
      </c>
      <c r="AD16" s="128">
        <f t="shared" si="10"/>
        <v>0</v>
      </c>
      <c r="AE16" s="129">
        <v>0</v>
      </c>
      <c r="AF16" s="128">
        <v>-0.48399999999999999</v>
      </c>
      <c r="AG16" s="128">
        <f>-0.14-AF16</f>
        <v>0.34399999999999997</v>
      </c>
      <c r="AH16" s="128">
        <f>0.332-AG16-AF16</f>
        <v>0.47200000000000003</v>
      </c>
      <c r="AI16" s="128">
        <f>1.506-AH16-AG16-AF16</f>
        <v>1.1739999999999999</v>
      </c>
      <c r="AJ16" s="129">
        <f t="shared" si="0"/>
        <v>1.506</v>
      </c>
      <c r="AK16" s="128">
        <f>0.192+0.082</f>
        <v>0.27400000000000002</v>
      </c>
      <c r="AL16" s="128">
        <f>0.247-AK16</f>
        <v>-2.7000000000000024E-2</v>
      </c>
      <c r="AM16" s="128">
        <f>0.303-AL16-AK16</f>
        <v>5.5999999999999994E-2</v>
      </c>
      <c r="AN16" s="128">
        <f>0.81-AM16-AL16-AK16</f>
        <v>0.50700000000000001</v>
      </c>
      <c r="AO16" s="129">
        <f t="shared" si="1"/>
        <v>0.81</v>
      </c>
      <c r="AP16" s="128">
        <f>0.031+0.131</f>
        <v>0.16200000000000001</v>
      </c>
      <c r="AQ16" s="128">
        <f>-0.048-AP16</f>
        <v>-0.21000000000000002</v>
      </c>
      <c r="AR16" s="128">
        <f>-0.08-AQ16-AP16</f>
        <v>-3.2000000000000001E-2</v>
      </c>
      <c r="AS16" s="128">
        <f>0.154-AR16-AQ16-AP16</f>
        <v>0.23400000000000001</v>
      </c>
      <c r="AT16" s="129">
        <f t="shared" si="2"/>
        <v>0.154</v>
      </c>
      <c r="AU16" s="128">
        <f>-0.485-0.224</f>
        <v>-0.70899999999999996</v>
      </c>
      <c r="AV16" s="128">
        <f>-0.344-AU16</f>
        <v>0.36499999999999999</v>
      </c>
      <c r="AW16" s="128">
        <f>-5.5-AV16-AU16</f>
        <v>-5.1560000000000006</v>
      </c>
      <c r="AX16" s="128">
        <f>-5.383-AW16-AV16-AU16</f>
        <v>0.11700000000000055</v>
      </c>
      <c r="AY16" s="129">
        <f t="shared" si="3"/>
        <v>-5.383</v>
      </c>
      <c r="AZ16" s="128">
        <f>0.005+0.637</f>
        <v>0.64200000000000002</v>
      </c>
      <c r="BA16" s="128">
        <f>0.863-AZ16</f>
        <v>0.22099999999999997</v>
      </c>
      <c r="BB16" s="128">
        <f>1.242-BA16-AZ16</f>
        <v>0.37899999999999989</v>
      </c>
      <c r="BC16" s="128">
        <f>2.167-BB16-BA16-AZ16</f>
        <v>0.92499999999999971</v>
      </c>
      <c r="BD16" s="129">
        <f t="shared" si="4"/>
        <v>2.1669999999999998</v>
      </c>
      <c r="BE16" s="128">
        <f>-1.954-1.585</f>
        <v>-3.5389999999999997</v>
      </c>
      <c r="BF16" s="128">
        <f>-2.879-BE16</f>
        <v>0.6599999999999997</v>
      </c>
      <c r="BG16" s="128">
        <f>-2.713-BF16-BE16</f>
        <v>0.16599999999999993</v>
      </c>
      <c r="BH16" s="133">
        <v>0</v>
      </c>
      <c r="BI16" s="129">
        <f t="shared" si="5"/>
        <v>-2.7130000000000001</v>
      </c>
      <c r="BJ16" s="133">
        <v>0</v>
      </c>
      <c r="BK16" s="133">
        <v>0</v>
      </c>
      <c r="BL16" s="133">
        <v>0</v>
      </c>
      <c r="BM16" s="133">
        <v>0</v>
      </c>
      <c r="BN16" s="129">
        <f t="shared" si="6"/>
        <v>0</v>
      </c>
      <c r="BO16" s="133">
        <v>0</v>
      </c>
      <c r="BP16" s="133">
        <v>0</v>
      </c>
      <c r="BQ16" s="133">
        <v>0</v>
      </c>
      <c r="BR16" s="133">
        <v>0</v>
      </c>
      <c r="BS16" s="129">
        <f t="shared" si="7"/>
        <v>0</v>
      </c>
    </row>
    <row r="17" spans="1:74" ht="12.75" customHeight="1">
      <c r="A17" s="20" t="s">
        <v>221</v>
      </c>
      <c r="B17" s="400"/>
      <c r="C17" s="400"/>
      <c r="D17" s="400"/>
      <c r="E17" s="400"/>
      <c r="F17" s="401"/>
      <c r="G17" s="400"/>
      <c r="H17" s="400"/>
      <c r="I17" s="400"/>
      <c r="J17" s="400"/>
      <c r="K17" s="401"/>
      <c r="L17" s="400"/>
      <c r="M17" s="400"/>
      <c r="N17" s="400"/>
      <c r="O17" s="400"/>
      <c r="P17" s="401"/>
      <c r="Q17" s="128"/>
      <c r="R17" s="128"/>
      <c r="S17" s="128"/>
      <c r="T17" s="128"/>
      <c r="U17" s="129"/>
      <c r="V17" s="128"/>
      <c r="W17" s="128"/>
      <c r="X17" s="128"/>
      <c r="Y17" s="128"/>
      <c r="Z17" s="129"/>
      <c r="AA17" s="128">
        <v>0.21199999999999999</v>
      </c>
      <c r="AB17" s="128">
        <v>0</v>
      </c>
      <c r="AC17" s="128">
        <v>0</v>
      </c>
      <c r="AD17" s="128">
        <f t="shared" si="10"/>
        <v>-0.21199999999999999</v>
      </c>
      <c r="AE17" s="129">
        <v>0</v>
      </c>
      <c r="AF17" s="128">
        <v>0.23200000000000001</v>
      </c>
      <c r="AG17" s="128">
        <f>0.469-AF17</f>
        <v>0.23699999999999996</v>
      </c>
      <c r="AH17" s="128">
        <f>0.714-AG17-AF17</f>
        <v>0.24499999999999997</v>
      </c>
      <c r="AI17" s="128">
        <f>0.964-AH17-AG17-AF17</f>
        <v>0.24999999999999997</v>
      </c>
      <c r="AJ17" s="129">
        <f t="shared" si="0"/>
        <v>0.96399999999999997</v>
      </c>
      <c r="AK17" s="128">
        <v>0.25800000000000001</v>
      </c>
      <c r="AL17" s="128">
        <f>0.885-AK17</f>
        <v>0.627</v>
      </c>
      <c r="AM17" s="128">
        <f>1.566-AL17-AK17</f>
        <v>0.68100000000000005</v>
      </c>
      <c r="AN17" s="128">
        <f>1.632-AM17-AL17-AK17</f>
        <v>6.5999999999999837E-2</v>
      </c>
      <c r="AO17" s="129">
        <f t="shared" si="1"/>
        <v>1.6319999999999999</v>
      </c>
      <c r="AP17" s="128">
        <v>0.58699999999999997</v>
      </c>
      <c r="AQ17" s="128">
        <f>1.638-AP17</f>
        <v>1.0509999999999999</v>
      </c>
      <c r="AR17" s="128">
        <f>2.487-AQ17-AP17</f>
        <v>0.8490000000000002</v>
      </c>
      <c r="AS17" s="128">
        <f>3.32-AR17-AQ17-AP17</f>
        <v>0.83299999999999974</v>
      </c>
      <c r="AT17" s="129">
        <f t="shared" si="2"/>
        <v>3.32</v>
      </c>
      <c r="AU17" s="128">
        <v>0.90300000000000002</v>
      </c>
      <c r="AV17" s="128">
        <f>1.977-AU17</f>
        <v>1.0740000000000001</v>
      </c>
      <c r="AW17" s="128">
        <f>3.13-AV17-AU17</f>
        <v>1.153</v>
      </c>
      <c r="AX17" s="128">
        <f>4.158-AW17-AV17-AU17</f>
        <v>1.0280000000000002</v>
      </c>
      <c r="AY17" s="129">
        <f t="shared" si="3"/>
        <v>4.1580000000000004</v>
      </c>
      <c r="AZ17" s="128">
        <v>1.139</v>
      </c>
      <c r="BA17" s="128">
        <f>2.287-AZ17</f>
        <v>1.1479999999999999</v>
      </c>
      <c r="BB17" s="128">
        <f>3.628-BA17-AZ17</f>
        <v>1.3410000000000004</v>
      </c>
      <c r="BC17" s="128">
        <f>4.955-BB17-BA17-AZ17</f>
        <v>1.3270000000000002</v>
      </c>
      <c r="BD17" s="129">
        <f t="shared" si="4"/>
        <v>4.9550000000000001</v>
      </c>
      <c r="BE17" s="128">
        <v>0.90400000000000003</v>
      </c>
      <c r="BF17" s="128">
        <f>1.6-BE17</f>
        <v>0.69600000000000006</v>
      </c>
      <c r="BG17" s="128">
        <f>2.289-BF17-BE17</f>
        <v>0.68899999999999995</v>
      </c>
      <c r="BH17" s="133">
        <v>0</v>
      </c>
      <c r="BI17" s="129">
        <f t="shared" si="5"/>
        <v>2.2890000000000001</v>
      </c>
      <c r="BJ17" s="133">
        <v>0</v>
      </c>
      <c r="BK17" s="133">
        <v>0</v>
      </c>
      <c r="BL17" s="133">
        <v>0</v>
      </c>
      <c r="BM17" s="133">
        <v>0</v>
      </c>
      <c r="BN17" s="129">
        <f t="shared" si="6"/>
        <v>0</v>
      </c>
      <c r="BO17" s="133">
        <v>0</v>
      </c>
      <c r="BP17" s="133">
        <v>0</v>
      </c>
      <c r="BQ17" s="133">
        <v>0</v>
      </c>
      <c r="BR17" s="133">
        <v>0</v>
      </c>
      <c r="BS17" s="129">
        <f t="shared" si="7"/>
        <v>0</v>
      </c>
    </row>
    <row r="18" spans="1:74" ht="12.75" customHeight="1">
      <c r="A18" s="20" t="s">
        <v>222</v>
      </c>
      <c r="B18" s="400"/>
      <c r="C18" s="400"/>
      <c r="D18" s="400"/>
      <c r="E18" s="400"/>
      <c r="F18" s="401"/>
      <c r="G18" s="400"/>
      <c r="H18" s="400"/>
      <c r="I18" s="400"/>
      <c r="J18" s="400"/>
      <c r="K18" s="401"/>
      <c r="L18" s="400"/>
      <c r="M18" s="400"/>
      <c r="N18" s="400"/>
      <c r="O18" s="400"/>
      <c r="P18" s="401"/>
      <c r="Q18" s="128"/>
      <c r="R18" s="128"/>
      <c r="S18" s="128"/>
      <c r="T18" s="128"/>
      <c r="U18" s="129"/>
      <c r="V18" s="128"/>
      <c r="W18" s="128"/>
      <c r="X18" s="128"/>
      <c r="Y18" s="128"/>
      <c r="Z18" s="129"/>
      <c r="AA18" s="128">
        <v>0</v>
      </c>
      <c r="AB18" s="128">
        <v>0</v>
      </c>
      <c r="AC18" s="128">
        <v>0</v>
      </c>
      <c r="AD18" s="128">
        <f t="shared" si="10"/>
        <v>0</v>
      </c>
      <c r="AE18" s="129">
        <v>0</v>
      </c>
      <c r="AF18" s="128">
        <v>1.0880000000000001</v>
      </c>
      <c r="AG18" s="128">
        <f>1.088-AF18</f>
        <v>0</v>
      </c>
      <c r="AH18" s="128">
        <f>1.088-AG18-AF18</f>
        <v>0</v>
      </c>
      <c r="AI18" s="128">
        <f>1.088-AH18-AG18-AF18</f>
        <v>0</v>
      </c>
      <c r="AJ18" s="129">
        <f t="shared" si="0"/>
        <v>1.0880000000000001</v>
      </c>
      <c r="AK18" s="128">
        <v>0</v>
      </c>
      <c r="AL18" s="128">
        <v>0</v>
      </c>
      <c r="AM18" s="128">
        <v>0</v>
      </c>
      <c r="AN18" s="128">
        <v>0</v>
      </c>
      <c r="AO18" s="129">
        <f t="shared" si="1"/>
        <v>0</v>
      </c>
      <c r="AP18" s="128">
        <v>0</v>
      </c>
      <c r="AQ18" s="128">
        <v>0</v>
      </c>
      <c r="AR18" s="128">
        <v>0</v>
      </c>
      <c r="AS18" s="128">
        <v>0</v>
      </c>
      <c r="AT18" s="129">
        <f t="shared" si="2"/>
        <v>0</v>
      </c>
      <c r="AU18" s="128">
        <v>0</v>
      </c>
      <c r="AV18" s="128">
        <v>0</v>
      </c>
      <c r="AW18" s="128">
        <v>0</v>
      </c>
      <c r="AX18" s="128">
        <v>0</v>
      </c>
      <c r="AY18" s="129">
        <f t="shared" si="3"/>
        <v>0</v>
      </c>
      <c r="AZ18" s="128">
        <v>0</v>
      </c>
      <c r="BA18" s="128">
        <v>0</v>
      </c>
      <c r="BB18" s="128">
        <v>0</v>
      </c>
      <c r="BC18" s="128">
        <v>0</v>
      </c>
      <c r="BD18" s="129">
        <f t="shared" si="4"/>
        <v>0</v>
      </c>
      <c r="BE18" s="128">
        <v>0</v>
      </c>
      <c r="BF18" s="128">
        <v>0</v>
      </c>
      <c r="BG18" s="128">
        <v>0</v>
      </c>
      <c r="BH18" s="133">
        <v>0</v>
      </c>
      <c r="BI18" s="129">
        <f t="shared" si="5"/>
        <v>0</v>
      </c>
      <c r="BJ18" s="133">
        <v>0</v>
      </c>
      <c r="BK18" s="133">
        <v>0</v>
      </c>
      <c r="BL18" s="133">
        <v>0</v>
      </c>
      <c r="BM18" s="133">
        <v>0</v>
      </c>
      <c r="BN18" s="129">
        <f t="shared" si="6"/>
        <v>0</v>
      </c>
      <c r="BO18" s="133">
        <v>0</v>
      </c>
      <c r="BP18" s="133">
        <v>0</v>
      </c>
      <c r="BQ18" s="133">
        <v>0</v>
      </c>
      <c r="BR18" s="133">
        <v>0</v>
      </c>
      <c r="BS18" s="129">
        <f t="shared" si="7"/>
        <v>0</v>
      </c>
    </row>
    <row r="19" spans="1:74">
      <c r="A19" s="20" t="s">
        <v>223</v>
      </c>
      <c r="B19" s="400"/>
      <c r="C19" s="400"/>
      <c r="D19" s="400"/>
      <c r="E19" s="400"/>
      <c r="F19" s="401"/>
      <c r="G19" s="400"/>
      <c r="H19" s="400"/>
      <c r="I19" s="400"/>
      <c r="J19" s="400"/>
      <c r="K19" s="401"/>
      <c r="L19" s="400"/>
      <c r="M19" s="400"/>
      <c r="N19" s="400"/>
      <c r="O19" s="400"/>
      <c r="P19" s="401"/>
      <c r="Q19" s="128">
        <v>0</v>
      </c>
      <c r="R19" s="128">
        <v>0</v>
      </c>
      <c r="S19" s="128">
        <v>0</v>
      </c>
      <c r="T19" s="128">
        <f t="shared" ref="T19" si="11">+U19-S19-R19-Q19</f>
        <v>1.2E-2</v>
      </c>
      <c r="U19" s="129">
        <v>1.2E-2</v>
      </c>
      <c r="V19" s="128">
        <v>0</v>
      </c>
      <c r="W19" s="128">
        <v>0</v>
      </c>
      <c r="X19" s="128">
        <v>0</v>
      </c>
      <c r="Y19" s="128">
        <f t="shared" ref="Y19" si="12">+Z19-X19-W19-V19</f>
        <v>0</v>
      </c>
      <c r="Z19" s="129">
        <v>0</v>
      </c>
      <c r="AA19" s="128">
        <v>-1.6E-2</v>
      </c>
      <c r="AB19" s="128">
        <f>-0.017-AA19</f>
        <v>-1.0000000000000009E-3</v>
      </c>
      <c r="AC19" s="128">
        <f>-0.023-AB19-AA19</f>
        <v>-5.9999999999999984E-3</v>
      </c>
      <c r="AD19" s="128">
        <f t="shared" si="10"/>
        <v>0</v>
      </c>
      <c r="AE19" s="129">
        <v>-2.3E-2</v>
      </c>
      <c r="AF19" s="128">
        <v>0</v>
      </c>
      <c r="AG19" s="128">
        <v>0</v>
      </c>
      <c r="AH19" s="128">
        <v>0</v>
      </c>
      <c r="AI19" s="128">
        <f>1-0.034-AH19-AG19-AF19</f>
        <v>0.96599999999999997</v>
      </c>
      <c r="AJ19" s="129">
        <f t="shared" ref="AJ19" si="13">SUM(AF19:AI19)</f>
        <v>0.96599999999999997</v>
      </c>
      <c r="AK19" s="128">
        <v>0</v>
      </c>
      <c r="AL19" s="128">
        <v>0</v>
      </c>
      <c r="AM19" s="128">
        <v>0</v>
      </c>
      <c r="AN19" s="128">
        <v>0</v>
      </c>
      <c r="AO19" s="129">
        <f t="shared" ref="AO19" si="14">SUM(AK19:AN19)</f>
        <v>0</v>
      </c>
      <c r="AP19" s="128">
        <v>0</v>
      </c>
      <c r="AQ19" s="128">
        <v>0</v>
      </c>
      <c r="AR19" s="128">
        <f>0.072-AQ19-AP19</f>
        <v>7.1999999999999995E-2</v>
      </c>
      <c r="AS19" s="128">
        <f>0.206-AR19-AQ19-AP19</f>
        <v>0.13400000000000001</v>
      </c>
      <c r="AT19" s="129">
        <f t="shared" si="2"/>
        <v>0.20600000000000002</v>
      </c>
      <c r="AU19" s="128">
        <v>0.121</v>
      </c>
      <c r="AV19" s="128">
        <f>0.136-AU19</f>
        <v>1.5000000000000013E-2</v>
      </c>
      <c r="AW19" s="128">
        <f>0.136-AV19-AU19</f>
        <v>0</v>
      </c>
      <c r="AX19" s="128">
        <f>0.271-AW19-AV19-AU19</f>
        <v>0.13500000000000001</v>
      </c>
      <c r="AY19" s="129">
        <f t="shared" si="3"/>
        <v>0.27100000000000002</v>
      </c>
      <c r="AZ19" s="128">
        <v>0.03</v>
      </c>
      <c r="BA19" s="128">
        <f>0.068-AZ19</f>
        <v>3.8000000000000006E-2</v>
      </c>
      <c r="BB19" s="128">
        <f>0.131-BA19-AZ19</f>
        <v>6.3E-2</v>
      </c>
      <c r="BC19" s="128">
        <f>0.202-BB19-BA19-AZ19</f>
        <v>7.1000000000000008E-2</v>
      </c>
      <c r="BD19" s="129">
        <f t="shared" si="4"/>
        <v>0.20200000000000001</v>
      </c>
      <c r="BE19" s="128">
        <v>0</v>
      </c>
      <c r="BF19" s="128">
        <f>0.015-BE19</f>
        <v>1.4999999999999999E-2</v>
      </c>
      <c r="BG19" s="128">
        <f>0.015-BF19-BE19</f>
        <v>0</v>
      </c>
      <c r="BH19" s="133">
        <v>0</v>
      </c>
      <c r="BI19" s="129">
        <f t="shared" si="5"/>
        <v>1.4999999999999999E-2</v>
      </c>
      <c r="BJ19" s="133">
        <v>0</v>
      </c>
      <c r="BK19" s="133">
        <v>0</v>
      </c>
      <c r="BL19" s="133">
        <v>0</v>
      </c>
      <c r="BM19" s="133">
        <v>0</v>
      </c>
      <c r="BN19" s="129">
        <f t="shared" si="6"/>
        <v>0</v>
      </c>
      <c r="BO19" s="133">
        <v>0</v>
      </c>
      <c r="BP19" s="133">
        <v>0</v>
      </c>
      <c r="BQ19" s="133">
        <v>0</v>
      </c>
      <c r="BR19" s="133">
        <v>0</v>
      </c>
      <c r="BS19" s="129">
        <f t="shared" si="7"/>
        <v>0</v>
      </c>
    </row>
    <row r="20" spans="1:74">
      <c r="A20" s="20" t="s">
        <v>224</v>
      </c>
      <c r="B20" s="400"/>
      <c r="C20" s="400"/>
      <c r="D20" s="400"/>
      <c r="E20" s="400"/>
      <c r="F20" s="401"/>
      <c r="G20" s="400"/>
      <c r="H20" s="400"/>
      <c r="I20" s="400"/>
      <c r="J20" s="400"/>
      <c r="K20" s="401"/>
      <c r="L20" s="400"/>
      <c r="M20" s="400"/>
      <c r="N20" s="400"/>
      <c r="O20" s="400"/>
      <c r="P20" s="401"/>
      <c r="Q20" s="128"/>
      <c r="R20" s="128"/>
      <c r="S20" s="128"/>
      <c r="T20" s="128"/>
      <c r="U20" s="129"/>
      <c r="V20" s="128"/>
      <c r="W20" s="128"/>
      <c r="X20" s="128"/>
      <c r="Y20" s="128"/>
      <c r="Z20" s="129"/>
      <c r="AA20" s="128"/>
      <c r="AB20" s="128"/>
      <c r="AC20" s="128"/>
      <c r="AD20" s="128"/>
      <c r="AE20" s="129"/>
      <c r="AF20" s="128"/>
      <c r="AG20" s="128"/>
      <c r="AH20" s="128"/>
      <c r="AI20" s="128"/>
      <c r="AJ20" s="129"/>
      <c r="AK20" s="128"/>
      <c r="AL20" s="128"/>
      <c r="AM20" s="128"/>
      <c r="AN20" s="128"/>
      <c r="AO20" s="129"/>
      <c r="AP20" s="128">
        <v>0</v>
      </c>
      <c r="AQ20" s="128">
        <f>3.318-AP20</f>
        <v>3.3180000000000001</v>
      </c>
      <c r="AR20" s="128">
        <f>3.318-AQ20-AP20</f>
        <v>0</v>
      </c>
      <c r="AS20" s="128">
        <f>3.318-AR20-AQ20-AP20</f>
        <v>0</v>
      </c>
      <c r="AT20" s="129"/>
      <c r="AU20" s="128">
        <v>1.41</v>
      </c>
      <c r="AV20" s="128">
        <f>1.41-AU20</f>
        <v>0</v>
      </c>
      <c r="AW20" s="128">
        <f>36.31-AV20-AU20</f>
        <v>34.900000000000006</v>
      </c>
      <c r="AX20" s="128">
        <f>68.349-AW20-AV20-AU20</f>
        <v>32.039000000000001</v>
      </c>
      <c r="AY20" s="129"/>
      <c r="AZ20" s="128">
        <v>0.42899999999999999</v>
      </c>
      <c r="BA20" s="128">
        <f>0.429-AZ20</f>
        <v>0</v>
      </c>
      <c r="BB20" s="128">
        <f>0.614-BA20-AZ20</f>
        <v>0.185</v>
      </c>
      <c r="BC20" s="128">
        <f>3.368-BB20-BA20-AZ20</f>
        <v>2.754</v>
      </c>
      <c r="BD20" s="129"/>
      <c r="BE20" s="128">
        <v>0</v>
      </c>
      <c r="BF20" s="128">
        <f>20.505-BE20</f>
        <v>20.504999999999999</v>
      </c>
      <c r="BG20" s="128">
        <f>20.505-BF20-BE20</f>
        <v>0</v>
      </c>
      <c r="BH20" s="133"/>
      <c r="BI20" s="129"/>
      <c r="BJ20" s="133"/>
      <c r="BK20" s="133"/>
      <c r="BL20" s="133"/>
      <c r="BM20" s="133"/>
      <c r="BN20" s="129"/>
      <c r="BO20" s="133"/>
      <c r="BP20" s="133"/>
      <c r="BQ20" s="133"/>
      <c r="BR20" s="133"/>
      <c r="BS20" s="129"/>
    </row>
    <row r="21" spans="1:74">
      <c r="A21" s="20" t="s">
        <v>225</v>
      </c>
      <c r="B21" s="400"/>
      <c r="C21" s="400"/>
      <c r="D21" s="400"/>
      <c r="E21" s="400"/>
      <c r="F21" s="401"/>
      <c r="G21" s="400"/>
      <c r="H21" s="400"/>
      <c r="I21" s="400"/>
      <c r="J21" s="400"/>
      <c r="K21" s="401"/>
      <c r="L21" s="400"/>
      <c r="M21" s="400"/>
      <c r="N21" s="400"/>
      <c r="O21" s="400"/>
      <c r="P21" s="401"/>
      <c r="Q21" s="128">
        <v>0</v>
      </c>
      <c r="R21" s="128">
        <v>0</v>
      </c>
      <c r="S21" s="128">
        <v>0</v>
      </c>
      <c r="T21" s="128">
        <v>0</v>
      </c>
      <c r="U21" s="129">
        <v>1.2E-2</v>
      </c>
      <c r="V21" s="128">
        <v>0</v>
      </c>
      <c r="W21" s="128">
        <v>0</v>
      </c>
      <c r="X21" s="128">
        <v>0</v>
      </c>
      <c r="Y21" s="128">
        <f t="shared" si="9"/>
        <v>0</v>
      </c>
      <c r="Z21" s="129">
        <v>0</v>
      </c>
      <c r="AA21" s="128">
        <v>0</v>
      </c>
      <c r="AB21" s="128">
        <v>0</v>
      </c>
      <c r="AC21" s="128">
        <v>0</v>
      </c>
      <c r="AD21" s="128">
        <v>0</v>
      </c>
      <c r="AE21" s="129">
        <v>-2.3E-2</v>
      </c>
      <c r="AF21" s="128">
        <v>0</v>
      </c>
      <c r="AG21" s="128">
        <v>0</v>
      </c>
      <c r="AH21" s="128">
        <v>0</v>
      </c>
      <c r="AI21" s="128">
        <v>0</v>
      </c>
      <c r="AJ21" s="129">
        <f t="shared" si="0"/>
        <v>0</v>
      </c>
      <c r="AK21" s="128">
        <v>0</v>
      </c>
      <c r="AL21" s="128">
        <f>1.866-AK21</f>
        <v>1.8660000000000001</v>
      </c>
      <c r="AM21" s="128">
        <f>1.601-AL21-AK21</f>
        <v>-0.26500000000000012</v>
      </c>
      <c r="AN21" s="128">
        <f>1.211-AM21-AL21-AK21</f>
        <v>-0.3899999999999999</v>
      </c>
      <c r="AO21" s="129">
        <f t="shared" si="1"/>
        <v>1.2110000000000001</v>
      </c>
      <c r="AP21" s="128">
        <v>0</v>
      </c>
      <c r="AQ21" s="128">
        <f>0.716-AP21</f>
        <v>0.71599999999999997</v>
      </c>
      <c r="AR21" s="128">
        <f>1.563-AQ21-AP21</f>
        <v>0.84699999999999998</v>
      </c>
      <c r="AS21" s="128">
        <f>0.522-AR21-AQ21-AP21</f>
        <v>-1.0409999999999999</v>
      </c>
      <c r="AT21" s="129">
        <f t="shared" si="2"/>
        <v>0.52200000000000002</v>
      </c>
      <c r="AU21" s="128">
        <v>0</v>
      </c>
      <c r="AV21" s="128">
        <f>-0.167-AU21</f>
        <v>-0.16700000000000001</v>
      </c>
      <c r="AW21" s="128">
        <f>0.657-AV21-AU21</f>
        <v>0.82400000000000007</v>
      </c>
      <c r="AX21" s="128">
        <f>-1.096-AW21-AV21-AU21</f>
        <v>-1.7530000000000001</v>
      </c>
      <c r="AY21" s="129">
        <f t="shared" si="3"/>
        <v>-1.0960000000000001</v>
      </c>
      <c r="AZ21" s="128">
        <v>-0.12</v>
      </c>
      <c r="BA21" s="128">
        <f>0.896-AZ21</f>
        <v>1.016</v>
      </c>
      <c r="BB21" s="128">
        <f>-0.785-BA21-AZ21</f>
        <v>-1.681</v>
      </c>
      <c r="BC21" s="128">
        <f>2.11-BB21-BA21-AZ21</f>
        <v>2.895</v>
      </c>
      <c r="BD21" s="129">
        <f t="shared" ref="BD21:BD30" si="15">SUM(AZ21:BC21)</f>
        <v>2.11</v>
      </c>
      <c r="BE21" s="128">
        <v>1.4999999999999999E-2</v>
      </c>
      <c r="BF21" s="128">
        <f>-5.05-BE21</f>
        <v>-5.0649999999999995</v>
      </c>
      <c r="BG21" s="128">
        <f>-2.619+3.863-3.845-BF21-BE21</f>
        <v>2.448999999999999</v>
      </c>
      <c r="BH21" s="133">
        <v>0</v>
      </c>
      <c r="BI21" s="129">
        <f t="shared" ref="BI21:BI30" si="16">SUM(BE21:BH21)</f>
        <v>-2.6010000000000009</v>
      </c>
      <c r="BJ21" s="133">
        <v>0</v>
      </c>
      <c r="BK21" s="133">
        <v>0</v>
      </c>
      <c r="BL21" s="133">
        <v>0</v>
      </c>
      <c r="BM21" s="133">
        <v>0</v>
      </c>
      <c r="BN21" s="129">
        <f t="shared" ref="BN21:BN30" si="17">SUM(BJ21:BM21)</f>
        <v>0</v>
      </c>
      <c r="BO21" s="133">
        <v>0</v>
      </c>
      <c r="BP21" s="133">
        <v>0</v>
      </c>
      <c r="BQ21" s="133">
        <v>0</v>
      </c>
      <c r="BR21" s="133">
        <v>0</v>
      </c>
      <c r="BS21" s="129">
        <f t="shared" ref="BS21:BS30" si="18">SUM(BO21:BR21)</f>
        <v>0</v>
      </c>
    </row>
    <row r="22" spans="1:74">
      <c r="A22" s="293" t="s">
        <v>226</v>
      </c>
      <c r="B22" s="402"/>
      <c r="C22" s="402"/>
      <c r="D22" s="402"/>
      <c r="E22" s="402"/>
      <c r="F22" s="403"/>
      <c r="G22" s="402"/>
      <c r="H22" s="402"/>
      <c r="I22" s="402"/>
      <c r="J22" s="402"/>
      <c r="K22" s="403"/>
      <c r="L22" s="402"/>
      <c r="M22" s="402"/>
      <c r="N22" s="402"/>
      <c r="O22" s="402"/>
      <c r="P22" s="403"/>
      <c r="Q22" s="142">
        <f t="shared" ref="Q22:Y22" si="19">SUM(Q8:Q21)</f>
        <v>-5.7170000000000005</v>
      </c>
      <c r="R22" s="142">
        <f t="shared" si="19"/>
        <v>-4.6849999999999996</v>
      </c>
      <c r="S22" s="142">
        <f t="shared" si="19"/>
        <v>-4.4189999999999987</v>
      </c>
      <c r="T22" s="142">
        <f t="shared" si="19"/>
        <v>-3.650999999999998</v>
      </c>
      <c r="U22" s="143">
        <f t="shared" si="19"/>
        <v>-18.459999999999997</v>
      </c>
      <c r="V22" s="142">
        <f t="shared" si="19"/>
        <v>-7.036999999999999</v>
      </c>
      <c r="W22" s="142">
        <f t="shared" si="19"/>
        <v>-3.4410000000000012</v>
      </c>
      <c r="X22" s="142">
        <f t="shared" si="19"/>
        <v>-1.8799999999999979</v>
      </c>
      <c r="Y22" s="142">
        <f t="shared" si="19"/>
        <v>-0.51200000000000057</v>
      </c>
      <c r="Z22" s="143">
        <f>SUM(V22:Y22)</f>
        <v>-12.869999999999997</v>
      </c>
      <c r="AA22" s="142">
        <f>SUM(AA8:AA21)</f>
        <v>1.0549999999999997</v>
      </c>
      <c r="AB22" s="142">
        <f>SUM(AB8:AB21)</f>
        <v>1.1260000000000003</v>
      </c>
      <c r="AC22" s="142">
        <f>SUM(AC8:AC21)</f>
        <v>2.9249999999999989</v>
      </c>
      <c r="AD22" s="142">
        <f>SUM(AD8:AD21)</f>
        <v>-3.4919999999999987</v>
      </c>
      <c r="AE22" s="143">
        <f>SUM(AA22:AD22)</f>
        <v>1.6140000000000003</v>
      </c>
      <c r="AF22" s="142">
        <f>SUM(AF8:AF21)</f>
        <v>-5.9489999999999998</v>
      </c>
      <c r="AG22" s="142">
        <f>SUM(AG8:AG21)</f>
        <v>-5.0740000000000016</v>
      </c>
      <c r="AH22" s="142">
        <f>SUM(AH8:AH21)</f>
        <v>1.7270000000000008</v>
      </c>
      <c r="AI22" s="142">
        <f>SUM(AI8:AI21)</f>
        <v>6.6000000000000947E-2</v>
      </c>
      <c r="AJ22" s="143">
        <f t="shared" ref="AJ22:AJ36" si="20">SUM(AF22:AI22)</f>
        <v>-9.23</v>
      </c>
      <c r="AK22" s="142">
        <f>SUM(AK8:AK21)</f>
        <v>-38.620000000000012</v>
      </c>
      <c r="AL22" s="142">
        <f>SUM(AL8:AL21)</f>
        <v>1.8940000000000032</v>
      </c>
      <c r="AM22" s="142">
        <f>SUM(AM8:AM21)</f>
        <v>-0.99899999999999678</v>
      </c>
      <c r="AN22" s="142">
        <f>SUM(AN8:AN21)</f>
        <v>1.884999999999992</v>
      </c>
      <c r="AO22" s="143">
        <f t="shared" ref="AO22:AO36" si="21">SUM(AK22:AN22)</f>
        <v>-35.840000000000011</v>
      </c>
      <c r="AP22" s="142">
        <f>SUM(AP8:AP21)</f>
        <v>-0.46100000000000074</v>
      </c>
      <c r="AQ22" s="142">
        <f>SUM(AQ8:AQ21)</f>
        <v>7.7130000000000019</v>
      </c>
      <c r="AR22" s="142">
        <f>SUM(AR8:AR21)</f>
        <v>6.5219999999999967</v>
      </c>
      <c r="AS22" s="142">
        <f>SUM(AS8:AS21)</f>
        <v>10.142000000000005</v>
      </c>
      <c r="AT22" s="143">
        <f t="shared" ref="AT22:AT36" si="22">SUM(AP22:AS22)</f>
        <v>23.916000000000004</v>
      </c>
      <c r="AU22" s="142">
        <f>SUM(AU8:AU21)</f>
        <v>8.2890000000000015</v>
      </c>
      <c r="AV22" s="142">
        <f>SUM(AV8:AV21)</f>
        <v>10.250000000000002</v>
      </c>
      <c r="AW22" s="142">
        <f>SUM(AW8:AW21)</f>
        <v>15.721000000000013</v>
      </c>
      <c r="AX22" s="142">
        <f>SUM(AX8:AX21)</f>
        <v>14.125</v>
      </c>
      <c r="AY22" s="143">
        <f t="shared" ref="AY22:AY36" si="23">SUM(AU22:AX22)</f>
        <v>48.385000000000012</v>
      </c>
      <c r="AZ22" s="142">
        <f>SUM(AZ8:AZ21)</f>
        <v>13.865</v>
      </c>
      <c r="BA22" s="142">
        <f>SUM(BA8:BA21)</f>
        <v>23.771999999999998</v>
      </c>
      <c r="BB22" s="142">
        <f>SUM(BB8:BB21)</f>
        <v>30.053999999999998</v>
      </c>
      <c r="BC22" s="142">
        <f>SUM(BC8:BC21)</f>
        <v>28.724000000000011</v>
      </c>
      <c r="BD22" s="143">
        <f t="shared" si="15"/>
        <v>96.41500000000002</v>
      </c>
      <c r="BE22" s="142">
        <f>SUM(BE8:BE21)</f>
        <v>20.746999999999996</v>
      </c>
      <c r="BF22" s="142">
        <f>SUM(BF8:BF21)</f>
        <v>32.379000000000005</v>
      </c>
      <c r="BG22" s="142">
        <f>SUM(BG8:BG21)</f>
        <v>38.376999999999995</v>
      </c>
      <c r="BH22" s="142">
        <f>SUM(BH8:BH21)</f>
        <v>54.043999999999997</v>
      </c>
      <c r="BI22" s="143">
        <f t="shared" si="16"/>
        <v>145.547</v>
      </c>
      <c r="BJ22" s="142">
        <f>SUM(BJ8:BJ21)</f>
        <v>40.868326439000015</v>
      </c>
      <c r="BK22" s="142">
        <f>SUM(BK8:BK21)</f>
        <v>45.547821737875005</v>
      </c>
      <c r="BL22" s="142">
        <f>SUM(BL8:BL21)</f>
        <v>45.213230829200008</v>
      </c>
      <c r="BM22" s="142">
        <f>SUM(BM8:BM21)</f>
        <v>47.810778947275011</v>
      </c>
      <c r="BN22" s="143">
        <f t="shared" si="17"/>
        <v>179.44015795335002</v>
      </c>
      <c r="BO22" s="142">
        <f>SUM(BO8:BO21)</f>
        <v>43.954703588904998</v>
      </c>
      <c r="BP22" s="142">
        <f>SUM(BP8:BP21)</f>
        <v>49.254199504759995</v>
      </c>
      <c r="BQ22" s="142">
        <f>SUM(BQ8:BQ21)</f>
        <v>48.951407725703987</v>
      </c>
      <c r="BR22" s="142">
        <f>SUM(BR8:BR21)</f>
        <v>51.882986506978021</v>
      </c>
      <c r="BS22" s="143">
        <f t="shared" si="18"/>
        <v>194.04329732634702</v>
      </c>
    </row>
    <row r="23" spans="1:74">
      <c r="A23" s="20" t="s">
        <v>227</v>
      </c>
      <c r="B23" s="400"/>
      <c r="C23" s="400"/>
      <c r="D23" s="400"/>
      <c r="E23" s="400"/>
      <c r="F23" s="401"/>
      <c r="G23" s="400"/>
      <c r="H23" s="400"/>
      <c r="I23" s="400"/>
      <c r="J23" s="400"/>
      <c r="K23" s="401"/>
      <c r="L23" s="400"/>
      <c r="M23" s="400"/>
      <c r="N23" s="400"/>
      <c r="O23" s="400"/>
      <c r="P23" s="401"/>
      <c r="Q23" s="128">
        <v>-0.36899999999999999</v>
      </c>
      <c r="R23" s="128">
        <f>-2.271-Q23</f>
        <v>-1.9019999999999999</v>
      </c>
      <c r="S23" s="128">
        <f>-2.879-R23-Q23</f>
        <v>-0.6080000000000001</v>
      </c>
      <c r="T23" s="128">
        <f t="shared" ref="T23:T29" si="24">+U23-S23-R23-Q23</f>
        <v>-1.081</v>
      </c>
      <c r="U23" s="129">
        <v>-3.96</v>
      </c>
      <c r="V23" s="128">
        <v>-0.48199999999999998</v>
      </c>
      <c r="W23" s="128">
        <f>-0.29-V23</f>
        <v>0.192</v>
      </c>
      <c r="X23" s="128">
        <f>0.454-W23-V23</f>
        <v>0.74399999999999999</v>
      </c>
      <c r="Y23" s="128">
        <f t="shared" ref="Y23:Y29" si="25">+Z23-X23-W23-V23</f>
        <v>-0.90599999999999992</v>
      </c>
      <c r="Z23" s="129">
        <v>-0.45200000000000001</v>
      </c>
      <c r="AA23" s="128">
        <v>-3.4470000000000001</v>
      </c>
      <c r="AB23" s="128">
        <f>-6.458-AA23</f>
        <v>-3.0110000000000001</v>
      </c>
      <c r="AC23" s="128">
        <f>-10.445-AB23-AA23</f>
        <v>-3.9870000000000001</v>
      </c>
      <c r="AD23" s="128">
        <f t="shared" ref="AD23:AD29" si="26">+AE23-AC23-AB23-AA23</f>
        <v>4.2840000000000007</v>
      </c>
      <c r="AE23" s="129">
        <v>-6.1609999999999996</v>
      </c>
      <c r="AF23" s="128">
        <v>0.23799999999999999</v>
      </c>
      <c r="AG23" s="128">
        <f>4.023-AF23</f>
        <v>3.7849999999999997</v>
      </c>
      <c r="AH23" s="128">
        <f>1.742-AG23-AF23</f>
        <v>-2.2809999999999997</v>
      </c>
      <c r="AI23" s="128">
        <f>0.955-AH23-AG23-AF23</f>
        <v>-0.78699999999999992</v>
      </c>
      <c r="AJ23" s="129">
        <f t="shared" si="20"/>
        <v>0.95500000000000007</v>
      </c>
      <c r="AK23" s="128">
        <v>-3.7480000000000002</v>
      </c>
      <c r="AL23" s="128">
        <f>-6.713-AK23</f>
        <v>-2.9649999999999999</v>
      </c>
      <c r="AM23" s="128">
        <f>-6.285-AL23-AK23</f>
        <v>0.42799999999999994</v>
      </c>
      <c r="AN23" s="128">
        <f>-8.571-AM23-AL23-AK23</f>
        <v>-2.2859999999999987</v>
      </c>
      <c r="AO23" s="129">
        <f t="shared" si="21"/>
        <v>-8.570999999999998</v>
      </c>
      <c r="AP23" s="128">
        <v>-3.5750000000000002</v>
      </c>
      <c r="AQ23" s="128">
        <f>-2.936-AP23</f>
        <v>0.63900000000000023</v>
      </c>
      <c r="AR23" s="128">
        <f>-4.356-AQ23-AP23</f>
        <v>-1.42</v>
      </c>
      <c r="AS23" s="128">
        <f>-4.495-AR23-AQ23-AP23</f>
        <v>-0.13900000000000023</v>
      </c>
      <c r="AT23" s="129">
        <f t="shared" si="22"/>
        <v>-4.4950000000000001</v>
      </c>
      <c r="AU23" s="128">
        <v>-1.302</v>
      </c>
      <c r="AV23" s="128">
        <f>1.789-AU23</f>
        <v>3.0910000000000002</v>
      </c>
      <c r="AW23" s="128">
        <f>4.65-AV23-AU23</f>
        <v>2.8610000000000002</v>
      </c>
      <c r="AX23" s="128">
        <f>3.887-AW23-AV23-AU23</f>
        <v>-0.76300000000000034</v>
      </c>
      <c r="AY23" s="129">
        <f t="shared" si="23"/>
        <v>3.887</v>
      </c>
      <c r="AZ23" s="128">
        <v>-6.4589999999999996</v>
      </c>
      <c r="BA23" s="128">
        <f>-10.086-AZ23</f>
        <v>-3.6270000000000007</v>
      </c>
      <c r="BB23" s="128">
        <f>-8.396-BA23-AZ23</f>
        <v>1.6899999999999995</v>
      </c>
      <c r="BC23" s="128">
        <f>-6.405-BB23-BA23-AZ23</f>
        <v>1.9910000000000014</v>
      </c>
      <c r="BD23" s="129">
        <f t="shared" si="15"/>
        <v>-6.4049999999999994</v>
      </c>
      <c r="BE23" s="128">
        <v>-7.0529999999999999</v>
      </c>
      <c r="BF23" s="128">
        <f>-4.283-BE23</f>
        <v>2.7699999999999996</v>
      </c>
      <c r="BG23" s="128">
        <f>-3.858-BF23-BE23</f>
        <v>0.42499999999999982</v>
      </c>
      <c r="BH23" s="133">
        <f>+'Balance Sheet'!BG8-'Balance Sheet'!BH8+'Balance Sheet'!BG9-'Balance Sheet'!BH9</f>
        <v>-36.555599999999991</v>
      </c>
      <c r="BI23" s="129">
        <f t="shared" si="16"/>
        <v>-40.413599999999988</v>
      </c>
      <c r="BJ23" s="133">
        <f>+'Balance Sheet'!BH8-'Balance Sheet'!BJ8+'Balance Sheet'!BH9-'Balance Sheet'!BJ9</f>
        <v>6.2228009999999898</v>
      </c>
      <c r="BK23" s="133">
        <f>+'Balance Sheet'!BJ8-'Balance Sheet'!BK8+'Balance Sheet'!BJ9-'Balance Sheet'!BK9</f>
        <v>-10.175772300000006</v>
      </c>
      <c r="BL23" s="133">
        <f>+'Balance Sheet'!BK8-'Balance Sheet'!BL8+'Balance Sheet'!BK9-'Balance Sheet'!BL9</f>
        <v>0.65955569999999852</v>
      </c>
      <c r="BM23" s="133">
        <f>+'Balance Sheet'!BL8-'Balance Sheet'!BM8+'Balance Sheet'!BL9-'Balance Sheet'!BM9</f>
        <v>-4.3431704999999852</v>
      </c>
      <c r="BN23" s="129">
        <f t="shared" si="17"/>
        <v>-7.6365861000000024</v>
      </c>
      <c r="BO23" s="133">
        <f>+'Balance Sheet'!BM8-'Balance Sheet'!BO8+'Balance Sheet'!BM9-'Balance Sheet'!BO9</f>
        <v>5.5441759200000149</v>
      </c>
      <c r="BP23" s="133">
        <f>+'Balance Sheet'!BO8-'Balance Sheet'!BP8+'Balance Sheet'!BO9-'Balance Sheet'!BP9</f>
        <v>-11.352830622000013</v>
      </c>
      <c r="BQ23" s="133">
        <f>+'Balance Sheet'!BP8-'Balance Sheet'!BQ8+'Balance Sheet'!BP9-'Balance Sheet'!BQ9</f>
        <v>0.60192428999999947</v>
      </c>
      <c r="BR23" s="133">
        <f>+'Balance Sheet'!BQ8-'Balance Sheet'!BR8+'Balance Sheet'!BQ9-'Balance Sheet'!BR9</f>
        <v>-4.6773053100000226</v>
      </c>
      <c r="BS23" s="129">
        <f t="shared" si="18"/>
        <v>-9.8840357220000215</v>
      </c>
    </row>
    <row r="24" spans="1:74">
      <c r="A24" s="20" t="s">
        <v>153</v>
      </c>
      <c r="B24" s="400"/>
      <c r="C24" s="400"/>
      <c r="D24" s="400"/>
      <c r="E24" s="400"/>
      <c r="F24" s="401"/>
      <c r="G24" s="400"/>
      <c r="H24" s="400"/>
      <c r="I24" s="400"/>
      <c r="J24" s="400"/>
      <c r="K24" s="401"/>
      <c r="L24" s="400"/>
      <c r="M24" s="400"/>
      <c r="N24" s="400"/>
      <c r="O24" s="400"/>
      <c r="P24" s="401"/>
      <c r="Q24" s="128">
        <v>3.2000000000000001E-2</v>
      </c>
      <c r="R24" s="128">
        <f>0.158-Q24</f>
        <v>0.126</v>
      </c>
      <c r="S24" s="128">
        <f>-0.285-R24-Q24</f>
        <v>-0.44299999999999995</v>
      </c>
      <c r="T24" s="128">
        <f t="shared" si="24"/>
        <v>-1.5640000000000001</v>
      </c>
      <c r="U24" s="129">
        <v>-1.849</v>
      </c>
      <c r="V24" s="128">
        <v>0.76700000000000002</v>
      </c>
      <c r="W24" s="128">
        <f>2.275-V24</f>
        <v>1.508</v>
      </c>
      <c r="X24" s="128">
        <f>1.861-W24-V24</f>
        <v>-0.41400000000000003</v>
      </c>
      <c r="Y24" s="128">
        <f t="shared" si="25"/>
        <v>6.0999999999999832E-2</v>
      </c>
      <c r="Z24" s="129">
        <v>1.9219999999999999</v>
      </c>
      <c r="AA24" s="128">
        <v>-0.36599999999999999</v>
      </c>
      <c r="AB24" s="128">
        <f>-1.702-AA24</f>
        <v>-1.3359999999999999</v>
      </c>
      <c r="AC24" s="128">
        <f>-3.206-AB24-AA24</f>
        <v>-1.504</v>
      </c>
      <c r="AD24" s="128">
        <f t="shared" si="26"/>
        <v>-0.19800000000000006</v>
      </c>
      <c r="AE24" s="129">
        <v>-3.4039999999999999</v>
      </c>
      <c r="AF24" s="128">
        <v>-0.376</v>
      </c>
      <c r="AG24" s="128">
        <f>-1.323-AF24</f>
        <v>-0.94699999999999995</v>
      </c>
      <c r="AH24" s="128">
        <f>1.262-AG24-AF24</f>
        <v>2.585</v>
      </c>
      <c r="AI24" s="128">
        <f>1.061-AH24-AG24-AF24</f>
        <v>-0.20100000000000007</v>
      </c>
      <c r="AJ24" s="129">
        <f t="shared" si="20"/>
        <v>1.0609999999999999</v>
      </c>
      <c r="AK24" s="128">
        <v>-0.01</v>
      </c>
      <c r="AL24" s="128">
        <f>-0.375-AK24</f>
        <v>-0.36499999999999999</v>
      </c>
      <c r="AM24" s="128">
        <f>0.004-AL24-AK24</f>
        <v>0.379</v>
      </c>
      <c r="AN24" s="128">
        <f>-1.464-AM24-AL24-AK24</f>
        <v>-1.468</v>
      </c>
      <c r="AO24" s="129">
        <f t="shared" si="21"/>
        <v>-1.464</v>
      </c>
      <c r="AP24" s="128">
        <v>-1.2010000000000001</v>
      </c>
      <c r="AQ24" s="128">
        <f>-3.654-AP24</f>
        <v>-2.4529999999999998</v>
      </c>
      <c r="AR24" s="128">
        <f>-2.841-AQ24-AP24</f>
        <v>0.81299999999999972</v>
      </c>
      <c r="AS24" s="128">
        <f>-3.011-AR24-AQ24-AP24</f>
        <v>-0.16999999999999993</v>
      </c>
      <c r="AT24" s="129">
        <f t="shared" si="22"/>
        <v>-3.0110000000000001</v>
      </c>
      <c r="AU24" s="128">
        <v>1.0549999999999999</v>
      </c>
      <c r="AV24" s="128">
        <f>2.782-AU24</f>
        <v>1.7270000000000001</v>
      </c>
      <c r="AW24" s="128">
        <f>-1.636-AV24-AU24</f>
        <v>-4.4180000000000001</v>
      </c>
      <c r="AX24" s="128">
        <f>-1.694-AW24-AV24-AU24</f>
        <v>-5.7999999999999829E-2</v>
      </c>
      <c r="AY24" s="129">
        <f t="shared" si="23"/>
        <v>-1.694</v>
      </c>
      <c r="AZ24" s="128">
        <v>-2.3029999999999999</v>
      </c>
      <c r="BA24" s="128">
        <f>-3.266-AZ24</f>
        <v>-0.96300000000000008</v>
      </c>
      <c r="BB24" s="128">
        <f>-4.175-BA24-AZ24</f>
        <v>-0.90899999999999981</v>
      </c>
      <c r="BC24" s="128">
        <f>-5.871-BB24-BA24-AZ24</f>
        <v>-1.6960000000000006</v>
      </c>
      <c r="BD24" s="129">
        <f t="shared" si="15"/>
        <v>-5.8710000000000004</v>
      </c>
      <c r="BE24" s="128">
        <v>-2.298</v>
      </c>
      <c r="BF24" s="128">
        <f>-2.863-BE24</f>
        <v>-0.56499999999999995</v>
      </c>
      <c r="BG24" s="128">
        <f>-2.642-BF24-BE24</f>
        <v>0.22100000000000009</v>
      </c>
      <c r="BH24" s="133">
        <f>+'Balance Sheet'!BG10-'Balance Sheet'!BH10</f>
        <v>0</v>
      </c>
      <c r="BI24" s="129">
        <f t="shared" si="16"/>
        <v>-2.6419999999999999</v>
      </c>
      <c r="BJ24" s="133">
        <f>+'Balance Sheet'!BH10-'Balance Sheet'!BJ10</f>
        <v>0</v>
      </c>
      <c r="BK24" s="133">
        <f>+'Balance Sheet'!BJ10-'Balance Sheet'!BK10</f>
        <v>0</v>
      </c>
      <c r="BL24" s="133">
        <f>+'Balance Sheet'!BK10-'Balance Sheet'!BL10</f>
        <v>0</v>
      </c>
      <c r="BM24" s="133">
        <f>+'Balance Sheet'!BL10-'Balance Sheet'!BM10</f>
        <v>0</v>
      </c>
      <c r="BN24" s="129">
        <f t="shared" si="17"/>
        <v>0</v>
      </c>
      <c r="BO24" s="133">
        <f>+'Balance Sheet'!BM10-'Balance Sheet'!BO10</f>
        <v>0</v>
      </c>
      <c r="BP24" s="133">
        <f>+'Balance Sheet'!BO10-'Balance Sheet'!BP10</f>
        <v>0</v>
      </c>
      <c r="BQ24" s="133">
        <f>+'Balance Sheet'!BP10-'Balance Sheet'!BQ10</f>
        <v>0</v>
      </c>
      <c r="BR24" s="133">
        <f>+'Balance Sheet'!BQ10-'Balance Sheet'!BR10</f>
        <v>0</v>
      </c>
      <c r="BS24" s="129">
        <f t="shared" si="18"/>
        <v>0</v>
      </c>
    </row>
    <row r="25" spans="1:74">
      <c r="A25" s="20" t="s">
        <v>228</v>
      </c>
      <c r="B25" s="400"/>
      <c r="C25" s="400"/>
      <c r="D25" s="400"/>
      <c r="E25" s="400"/>
      <c r="F25" s="401"/>
      <c r="G25" s="400"/>
      <c r="H25" s="400"/>
      <c r="I25" s="400"/>
      <c r="J25" s="400"/>
      <c r="K25" s="401"/>
      <c r="L25" s="400"/>
      <c r="M25" s="400"/>
      <c r="N25" s="400"/>
      <c r="O25" s="400"/>
      <c r="P25" s="401"/>
      <c r="Q25" s="128">
        <v>-0.24399999999999999</v>
      </c>
      <c r="R25" s="128">
        <f>0.025-Q25</f>
        <v>0.26900000000000002</v>
      </c>
      <c r="S25" s="128">
        <f>0.24-R25-Q25</f>
        <v>0.21499999999999997</v>
      </c>
      <c r="T25" s="128">
        <f t="shared" si="24"/>
        <v>-0.247</v>
      </c>
      <c r="U25" s="129">
        <v>-7.0000000000000001E-3</v>
      </c>
      <c r="V25" s="128">
        <v>-0.23899999999999999</v>
      </c>
      <c r="W25" s="128">
        <f>0.098-V25</f>
        <v>0.33699999999999997</v>
      </c>
      <c r="X25" s="128">
        <f>0.061-W25-V25</f>
        <v>-3.6999999999999977E-2</v>
      </c>
      <c r="Y25" s="128">
        <f t="shared" si="25"/>
        <v>-0.57799999999999996</v>
      </c>
      <c r="Z25" s="129">
        <v>-0.51700000000000002</v>
      </c>
      <c r="AA25" s="128">
        <v>-1.0999999999999999E-2</v>
      </c>
      <c r="AB25" s="128">
        <f>-0.192-AA25</f>
        <v>-0.18099999999999999</v>
      </c>
      <c r="AC25" s="128">
        <f>0.185-AB25-AA25</f>
        <v>0.377</v>
      </c>
      <c r="AD25" s="128">
        <f t="shared" si="26"/>
        <v>-3.100000000000001E-2</v>
      </c>
      <c r="AE25" s="129">
        <v>0.154</v>
      </c>
      <c r="AF25" s="128">
        <v>-0.81799999999999995</v>
      </c>
      <c r="AG25" s="128">
        <f>-0.664-AF25</f>
        <v>0.15399999999999991</v>
      </c>
      <c r="AH25" s="128">
        <f>-0.923-AG25-AF25</f>
        <v>-0.25900000000000001</v>
      </c>
      <c r="AI25" s="128">
        <f>-0.97-AH25-AG25-AF25</f>
        <v>-4.6999999999999931E-2</v>
      </c>
      <c r="AJ25" s="129">
        <f t="shared" si="20"/>
        <v>-0.97</v>
      </c>
      <c r="AK25" s="128">
        <v>0.13200000000000001</v>
      </c>
      <c r="AL25" s="128">
        <f>-1.288-AK25</f>
        <v>-1.42</v>
      </c>
      <c r="AM25" s="128">
        <f>-1.905-AL25-AK25</f>
        <v>-0.6170000000000001</v>
      </c>
      <c r="AN25" s="128">
        <f>-3.316-AM25-AL25-AK25</f>
        <v>-1.411</v>
      </c>
      <c r="AO25" s="129">
        <f t="shared" si="21"/>
        <v>-3.3159999999999998</v>
      </c>
      <c r="AP25" s="128">
        <v>-2.1389999999999998</v>
      </c>
      <c r="AQ25" s="128">
        <f>-1.83-AP25</f>
        <v>0.30899999999999972</v>
      </c>
      <c r="AR25" s="128">
        <f>-0.025-AQ25-AP25</f>
        <v>1.8050000000000002</v>
      </c>
      <c r="AS25" s="128">
        <f>1.39-AR25-AQ25-AP25</f>
        <v>1.4149999999999998</v>
      </c>
      <c r="AT25" s="129">
        <f t="shared" si="22"/>
        <v>1.39</v>
      </c>
      <c r="AU25" s="128">
        <v>-3.0640000000000001</v>
      </c>
      <c r="AV25" s="128">
        <f>-2.53-AU25</f>
        <v>0.53400000000000025</v>
      </c>
      <c r="AW25" s="128">
        <f>-1.578-AV25-AU25</f>
        <v>0.95199999999999996</v>
      </c>
      <c r="AX25" s="128">
        <f>-0.458-AW25-AV25-AU25</f>
        <v>1.1199999999999999</v>
      </c>
      <c r="AY25" s="129">
        <f t="shared" si="23"/>
        <v>-0.45799999999999996</v>
      </c>
      <c r="AZ25" s="128">
        <v>-2.738</v>
      </c>
      <c r="BA25" s="128">
        <f>-2.183-AZ25</f>
        <v>0.55500000000000016</v>
      </c>
      <c r="BB25" s="128">
        <f>0.149-BA25-AZ25</f>
        <v>2.3319999999999999</v>
      </c>
      <c r="BC25" s="128">
        <f>-1.296-BB25-BA25-AZ25</f>
        <v>-1.4449999999999998</v>
      </c>
      <c r="BD25" s="129">
        <f t="shared" si="15"/>
        <v>-1.2959999999999998</v>
      </c>
      <c r="BE25" s="128">
        <v>-2.9279999999999999</v>
      </c>
      <c r="BF25" s="128">
        <f>-5.46-BE25</f>
        <v>-2.532</v>
      </c>
      <c r="BG25" s="128">
        <f>-6.416-BF25-BE25</f>
        <v>-0.95600000000000041</v>
      </c>
      <c r="BH25" s="133">
        <f>+'Balance Sheet'!BG11-'Balance Sheet'!BH11</f>
        <v>0.57939999999999969</v>
      </c>
      <c r="BI25" s="129">
        <f t="shared" si="16"/>
        <v>-5.8366000000000007</v>
      </c>
      <c r="BJ25" s="133">
        <f>+'Balance Sheet'!BH11-'Balance Sheet'!BJ11</f>
        <v>1.0371334999999995</v>
      </c>
      <c r="BK25" s="133">
        <f>+'Balance Sheet'!BJ11-'Balance Sheet'!BK11</f>
        <v>-1.6959620500000003</v>
      </c>
      <c r="BL25" s="133">
        <f>+'Balance Sheet'!BK11-'Balance Sheet'!BL11</f>
        <v>0.10992594999999916</v>
      </c>
      <c r="BM25" s="133">
        <f>+'Balance Sheet'!BL11-'Balance Sheet'!BM11</f>
        <v>-0.72386174999999753</v>
      </c>
      <c r="BN25" s="129">
        <f t="shared" si="17"/>
        <v>-1.2727643499999992</v>
      </c>
      <c r="BO25" s="133">
        <f>+'Balance Sheet'!BM11-'Balance Sheet'!BO11</f>
        <v>0.92402932000000249</v>
      </c>
      <c r="BP25" s="133">
        <f>+'Balance Sheet'!BO11-'Balance Sheet'!BP11</f>
        <v>-1.8921384370000034</v>
      </c>
      <c r="BQ25" s="133">
        <f>+'Balance Sheet'!BP11-'Balance Sheet'!BQ11</f>
        <v>0.10032071500000228</v>
      </c>
      <c r="BR25" s="133">
        <f>+'Balance Sheet'!BQ11-'Balance Sheet'!BR11</f>
        <v>-0.77955088500000258</v>
      </c>
      <c r="BS25" s="129">
        <f t="shared" si="18"/>
        <v>-1.6473392870000012</v>
      </c>
    </row>
    <row r="26" spans="1:74">
      <c r="A26" s="20" t="s">
        <v>170</v>
      </c>
      <c r="B26" s="400"/>
      <c r="C26" s="400"/>
      <c r="D26" s="400"/>
      <c r="E26" s="400"/>
      <c r="F26" s="401"/>
      <c r="G26" s="400"/>
      <c r="H26" s="400"/>
      <c r="I26" s="400"/>
      <c r="J26" s="400"/>
      <c r="K26" s="401"/>
      <c r="L26" s="400"/>
      <c r="M26" s="400"/>
      <c r="N26" s="400"/>
      <c r="O26" s="400"/>
      <c r="P26" s="401"/>
      <c r="Q26" s="128"/>
      <c r="R26" s="128"/>
      <c r="S26" s="128"/>
      <c r="T26" s="128"/>
      <c r="U26" s="129"/>
      <c r="V26" s="128">
        <v>0</v>
      </c>
      <c r="W26" s="128">
        <v>0</v>
      </c>
      <c r="X26" s="128">
        <v>0</v>
      </c>
      <c r="Y26" s="128">
        <f t="shared" si="25"/>
        <v>0</v>
      </c>
      <c r="Z26" s="129">
        <v>0</v>
      </c>
      <c r="AA26" s="128">
        <v>-0.29199999999999998</v>
      </c>
      <c r="AB26" s="128">
        <f>-0.173-AA26</f>
        <v>0.11899999999999999</v>
      </c>
      <c r="AC26" s="128">
        <f>-0.071-AB26-AA26</f>
        <v>0.10199999999999998</v>
      </c>
      <c r="AD26" s="128">
        <f t="shared" si="26"/>
        <v>-0.10000000000000003</v>
      </c>
      <c r="AE26" s="129">
        <v>-0.17100000000000001</v>
      </c>
      <c r="AF26" s="128">
        <v>-0.33100000000000002</v>
      </c>
      <c r="AG26" s="128">
        <f>-0.682-AF26</f>
        <v>-0.35100000000000003</v>
      </c>
      <c r="AH26" s="128">
        <f>-1.04-AG26-AF26</f>
        <v>-0.35800000000000004</v>
      </c>
      <c r="AI26" s="128">
        <f>-1.407-AH26-AG26-AF26</f>
        <v>-0.36699999999999994</v>
      </c>
      <c r="AJ26" s="129">
        <f t="shared" si="20"/>
        <v>-1.407</v>
      </c>
      <c r="AK26" s="128">
        <v>-0.373</v>
      </c>
      <c r="AL26" s="128">
        <f>-0.03-AK26</f>
        <v>0.34299999999999997</v>
      </c>
      <c r="AM26" s="128">
        <f>-1.71-AL26-AK26</f>
        <v>-1.68</v>
      </c>
      <c r="AN26" s="128">
        <f>-1.794-AM26-AL26-AK26</f>
        <v>-8.4000000000000075E-2</v>
      </c>
      <c r="AO26" s="129">
        <f t="shared" si="21"/>
        <v>-1.794</v>
      </c>
      <c r="AP26" s="128">
        <v>0.45100000000000001</v>
      </c>
      <c r="AQ26" s="128">
        <f>0.284-AP26</f>
        <v>-0.16700000000000004</v>
      </c>
      <c r="AR26" s="128">
        <f>0.16-AQ26-AP26</f>
        <v>-0.12399999999999994</v>
      </c>
      <c r="AS26" s="128">
        <f>-3.448-AR26-AQ26-AP26</f>
        <v>-3.6080000000000001</v>
      </c>
      <c r="AT26" s="129">
        <f t="shared" si="22"/>
        <v>-3.448</v>
      </c>
      <c r="AU26" s="128">
        <v>-0.49099999999999999</v>
      </c>
      <c r="AV26" s="128">
        <f>-1.048-AU26</f>
        <v>-0.55700000000000005</v>
      </c>
      <c r="AW26" s="128">
        <f>-0.586-AV26-AU26</f>
        <v>0.46200000000000008</v>
      </c>
      <c r="AX26" s="128">
        <f>-4.33-AW26-AV26-AU26</f>
        <v>-3.7439999999999993</v>
      </c>
      <c r="AY26" s="129">
        <f t="shared" si="23"/>
        <v>-4.3299999999999992</v>
      </c>
      <c r="AZ26" s="128">
        <v>0.25900000000000001</v>
      </c>
      <c r="BA26" s="128">
        <f>-1.213-AZ26</f>
        <v>-1.472</v>
      </c>
      <c r="BB26" s="128">
        <f>-1.71-BA26-AZ26</f>
        <v>-0.497</v>
      </c>
      <c r="BC26" s="128">
        <f>-5.407-BB26-BA26-AZ26</f>
        <v>-3.6970000000000001</v>
      </c>
      <c r="BD26" s="129">
        <f t="shared" si="15"/>
        <v>-5.407</v>
      </c>
      <c r="BE26" s="128">
        <v>-0.76</v>
      </c>
      <c r="BF26" s="128">
        <f>-1.389-BE26</f>
        <v>-0.629</v>
      </c>
      <c r="BG26" s="128">
        <f>0.331-BF26-BE26</f>
        <v>1.72</v>
      </c>
      <c r="BH26" s="133">
        <f>+'Balance Sheet'!BG18-'Balance Sheet'!BH18</f>
        <v>0</v>
      </c>
      <c r="BI26" s="129">
        <f t="shared" si="16"/>
        <v>0.33099999999999996</v>
      </c>
      <c r="BJ26" s="133">
        <f>+'Balance Sheet'!BH18-'Balance Sheet'!BJ18</f>
        <v>0</v>
      </c>
      <c r="BK26" s="133">
        <f>+'Balance Sheet'!BJ18-'Balance Sheet'!BK18</f>
        <v>0</v>
      </c>
      <c r="BL26" s="133">
        <f>+'Balance Sheet'!BK18-'Balance Sheet'!BL18</f>
        <v>0</v>
      </c>
      <c r="BM26" s="133">
        <f>+'Balance Sheet'!BL18-'Balance Sheet'!BM18</f>
        <v>0</v>
      </c>
      <c r="BN26" s="129">
        <f t="shared" si="17"/>
        <v>0</v>
      </c>
      <c r="BO26" s="133">
        <f>+'Balance Sheet'!BM18-'Balance Sheet'!BO18</f>
        <v>0</v>
      </c>
      <c r="BP26" s="133">
        <f>+'Balance Sheet'!BO18-'Balance Sheet'!BP18</f>
        <v>0</v>
      </c>
      <c r="BQ26" s="133">
        <f>+'Balance Sheet'!BP18-'Balance Sheet'!BQ18</f>
        <v>0</v>
      </c>
      <c r="BR26" s="133">
        <f>+'Balance Sheet'!BQ18-'Balance Sheet'!BR18</f>
        <v>0</v>
      </c>
      <c r="BS26" s="129">
        <f t="shared" si="18"/>
        <v>0</v>
      </c>
    </row>
    <row r="27" spans="1:74">
      <c r="A27" s="20" t="s">
        <v>162</v>
      </c>
      <c r="B27" s="400"/>
      <c r="C27" s="400"/>
      <c r="D27" s="400"/>
      <c r="E27" s="400"/>
      <c r="F27" s="401"/>
      <c r="G27" s="400"/>
      <c r="H27" s="400"/>
      <c r="I27" s="400"/>
      <c r="J27" s="400"/>
      <c r="K27" s="401"/>
      <c r="L27" s="400"/>
      <c r="M27" s="400"/>
      <c r="N27" s="400"/>
      <c r="O27" s="400"/>
      <c r="P27" s="401"/>
      <c r="Q27" s="128">
        <v>7.0000000000000001E-3</v>
      </c>
      <c r="R27" s="128">
        <f>0-Q27</f>
        <v>-7.0000000000000001E-3</v>
      </c>
      <c r="S27" s="128">
        <f>-0.044-R27-Q27</f>
        <v>-4.3999999999999997E-2</v>
      </c>
      <c r="T27" s="128">
        <f t="shared" si="24"/>
        <v>-0.14800000000000002</v>
      </c>
      <c r="U27" s="129">
        <v>-0.192</v>
      </c>
      <c r="V27" s="128">
        <v>-0.14000000000000001</v>
      </c>
      <c r="W27" s="128">
        <f>-0.272-V27</f>
        <v>-0.13200000000000001</v>
      </c>
      <c r="X27" s="128">
        <f>-0.511-W27-V27</f>
        <v>-0.23899999999999999</v>
      </c>
      <c r="Y27" s="128">
        <f t="shared" si="25"/>
        <v>-0.249</v>
      </c>
      <c r="Z27" s="129">
        <v>-0.76</v>
      </c>
      <c r="AA27" s="128">
        <f>0.037</f>
        <v>3.6999999999999998E-2</v>
      </c>
      <c r="AB27" s="128">
        <f>0.025-AA27</f>
        <v>-1.1999999999999997E-2</v>
      </c>
      <c r="AC27" s="128">
        <f>-0.142-AB27-AA27</f>
        <v>-0.16700000000000001</v>
      </c>
      <c r="AD27" s="128">
        <f t="shared" si="26"/>
        <v>-0.20899999999999999</v>
      </c>
      <c r="AE27" s="129">
        <v>-0.35099999999999998</v>
      </c>
      <c r="AF27" s="128">
        <v>0.13500000000000001</v>
      </c>
      <c r="AG27" s="128">
        <f>0.166-AF27</f>
        <v>3.1E-2</v>
      </c>
      <c r="AH27" s="128">
        <f>0.134-AG27-AF27</f>
        <v>-3.2000000000000001E-2</v>
      </c>
      <c r="AI27" s="128">
        <f>0.037-AH27-AG27-AF27</f>
        <v>-9.7000000000000003E-2</v>
      </c>
      <c r="AJ27" s="129">
        <f t="shared" si="20"/>
        <v>3.7000000000000005E-2</v>
      </c>
      <c r="AK27" s="128">
        <v>-5.8000000000000003E-2</v>
      </c>
      <c r="AL27" s="128">
        <f>-1.017-AK27</f>
        <v>-0.95899999999999985</v>
      </c>
      <c r="AM27" s="128">
        <f>0.353-AL27-AK27</f>
        <v>1.3699999999999999</v>
      </c>
      <c r="AN27" s="128">
        <f>-0.216-AM27-AL27-AK27</f>
        <v>-0.56899999999999995</v>
      </c>
      <c r="AO27" s="129">
        <f t="shared" si="21"/>
        <v>-0.21599999999999997</v>
      </c>
      <c r="AP27" s="128">
        <v>-0.59699999999999998</v>
      </c>
      <c r="AQ27" s="128">
        <f>-1.68-AP27</f>
        <v>-1.083</v>
      </c>
      <c r="AR27" s="128">
        <f>-2.57-AQ27-AP27</f>
        <v>-0.8899999999999999</v>
      </c>
      <c r="AS27" s="128">
        <f>-3.049-AR27-AQ27-AP27</f>
        <v>-0.47899999999999987</v>
      </c>
      <c r="AT27" s="129">
        <f t="shared" si="22"/>
        <v>-3.0489999999999995</v>
      </c>
      <c r="AU27" s="128">
        <v>-0.95</v>
      </c>
      <c r="AV27" s="128">
        <f>-2.091-AU27</f>
        <v>-1.1410000000000002</v>
      </c>
      <c r="AW27" s="128">
        <f>-3.225-AV27-AU27</f>
        <v>-1.1339999999999997</v>
      </c>
      <c r="AX27" s="128">
        <f>-0.758-AW27-AV27-AU27</f>
        <v>2.4669999999999996</v>
      </c>
      <c r="AY27" s="129">
        <f t="shared" si="23"/>
        <v>-0.75800000000000001</v>
      </c>
      <c r="AZ27" s="128">
        <v>-1.0529999999999999</v>
      </c>
      <c r="BA27" s="128">
        <f>-2.446-AZ27</f>
        <v>-1.3930000000000002</v>
      </c>
      <c r="BB27" s="128">
        <f>-3.929-BA27-AZ27</f>
        <v>-1.4829999999999997</v>
      </c>
      <c r="BC27" s="128">
        <f>-1.576-BB27-BA27-AZ27</f>
        <v>2.3529999999999998</v>
      </c>
      <c r="BD27" s="129">
        <f t="shared" si="15"/>
        <v>-1.5760000000000001</v>
      </c>
      <c r="BE27" s="128">
        <v>-0.57699999999999996</v>
      </c>
      <c r="BF27" s="128">
        <f>-1.186-BE27</f>
        <v>-0.60899999999999999</v>
      </c>
      <c r="BG27" s="128">
        <f>-1.681-BF27-BE27</f>
        <v>-0.49500000000000011</v>
      </c>
      <c r="BH27" s="133">
        <f>+'Balance Sheet'!BG19-'Balance Sheet'!BH19</f>
        <v>0</v>
      </c>
      <c r="BI27" s="129">
        <f t="shared" si="16"/>
        <v>-1.681</v>
      </c>
      <c r="BJ27" s="133">
        <f>+'Balance Sheet'!BH19-'Balance Sheet'!BJ19</f>
        <v>0</v>
      </c>
      <c r="BK27" s="133">
        <f>+'Balance Sheet'!BJ19-'Balance Sheet'!BK19</f>
        <v>0</v>
      </c>
      <c r="BL27" s="133">
        <f>+'Balance Sheet'!BK19-'Balance Sheet'!BL19</f>
        <v>0</v>
      </c>
      <c r="BM27" s="133">
        <f>+'Balance Sheet'!BL19-'Balance Sheet'!BM19</f>
        <v>0</v>
      </c>
      <c r="BN27" s="129">
        <f t="shared" si="17"/>
        <v>0</v>
      </c>
      <c r="BO27" s="133">
        <f>+'Balance Sheet'!BM19-'Balance Sheet'!BO19</f>
        <v>0</v>
      </c>
      <c r="BP27" s="133">
        <f>+'Balance Sheet'!BO19-'Balance Sheet'!BP19</f>
        <v>0</v>
      </c>
      <c r="BQ27" s="133">
        <f>+'Balance Sheet'!BP19-'Balance Sheet'!BQ19</f>
        <v>0</v>
      </c>
      <c r="BR27" s="133">
        <f>+'Balance Sheet'!BQ19-'Balance Sheet'!BR19</f>
        <v>0</v>
      </c>
      <c r="BS27" s="129">
        <f t="shared" si="18"/>
        <v>0</v>
      </c>
    </row>
    <row r="28" spans="1:74">
      <c r="A28" s="20" t="s">
        <v>165</v>
      </c>
      <c r="B28" s="400"/>
      <c r="C28" s="400"/>
      <c r="D28" s="400"/>
      <c r="E28" s="400"/>
      <c r="F28" s="401"/>
      <c r="G28" s="400"/>
      <c r="H28" s="400"/>
      <c r="I28" s="400"/>
      <c r="J28" s="400"/>
      <c r="K28" s="401"/>
      <c r="L28" s="400"/>
      <c r="M28" s="400"/>
      <c r="N28" s="400"/>
      <c r="O28" s="400"/>
      <c r="P28" s="401"/>
      <c r="Q28" s="128">
        <v>0.52800000000000002</v>
      </c>
      <c r="R28" s="128">
        <f>0.266-Q28</f>
        <v>-0.26200000000000001</v>
      </c>
      <c r="S28" s="128">
        <f>0.891-R28-Q28</f>
        <v>0.625</v>
      </c>
      <c r="T28" s="128">
        <f t="shared" si="24"/>
        <v>0.83699999999999997</v>
      </c>
      <c r="U28" s="129">
        <v>1.728</v>
      </c>
      <c r="V28" s="128">
        <v>-0.51</v>
      </c>
      <c r="W28" s="128">
        <f>-1.912-V28</f>
        <v>-1.4019999999999999</v>
      </c>
      <c r="X28" s="128">
        <f>-2.636-W28-V28</f>
        <v>-0.7240000000000002</v>
      </c>
      <c r="Y28" s="128">
        <f t="shared" si="25"/>
        <v>1.0680000000000001</v>
      </c>
      <c r="Z28" s="129">
        <v>-1.5680000000000001</v>
      </c>
      <c r="AA28" s="128">
        <v>1.726</v>
      </c>
      <c r="AB28" s="128">
        <f>1.746-AA28</f>
        <v>2.0000000000000018E-2</v>
      </c>
      <c r="AC28" s="128">
        <f>2.505-AB28-AA28</f>
        <v>0.7589999999999999</v>
      </c>
      <c r="AD28" s="128">
        <f t="shared" si="26"/>
        <v>-2.6459999999999999</v>
      </c>
      <c r="AE28" s="129">
        <v>-0.14099999999999999</v>
      </c>
      <c r="AF28" s="128">
        <v>5.45</v>
      </c>
      <c r="AG28" s="128">
        <f>0.122-AF28</f>
        <v>-5.3280000000000003</v>
      </c>
      <c r="AH28" s="128">
        <f>-0.534-AG28-AF28</f>
        <v>-0.65599999999999969</v>
      </c>
      <c r="AI28" s="128">
        <f>0.711-AH28-AG28-AF28</f>
        <v>1.2450000000000001</v>
      </c>
      <c r="AJ28" s="129">
        <f t="shared" si="20"/>
        <v>0.7110000000000003</v>
      </c>
      <c r="AK28" s="128">
        <v>1.931</v>
      </c>
      <c r="AL28" s="128">
        <f>2.758-AK28</f>
        <v>0.82699999999999996</v>
      </c>
      <c r="AM28" s="128">
        <f>3.872-AL28-AK28</f>
        <v>1.1139999999999999</v>
      </c>
      <c r="AN28" s="128">
        <f>5.155-AM28-AL28-AK28</f>
        <v>1.2830000000000004</v>
      </c>
      <c r="AO28" s="129">
        <f t="shared" si="21"/>
        <v>5.1550000000000002</v>
      </c>
      <c r="AP28" s="128">
        <v>-0.96</v>
      </c>
      <c r="AQ28" s="128">
        <f>-1.373-AP28</f>
        <v>-0.41300000000000003</v>
      </c>
      <c r="AR28" s="128">
        <f>-0.325-AQ28-AP28</f>
        <v>1.048</v>
      </c>
      <c r="AS28" s="128">
        <f>0.152-AR28-AQ28-AP28</f>
        <v>0.47699999999999998</v>
      </c>
      <c r="AT28" s="129">
        <f t="shared" si="22"/>
        <v>0.15200000000000002</v>
      </c>
      <c r="AU28" s="128">
        <v>2.012</v>
      </c>
      <c r="AV28" s="128">
        <f>0.792-AU28</f>
        <v>-1.22</v>
      </c>
      <c r="AW28" s="128">
        <f>0.185-AV28-AU28</f>
        <v>-0.60699999999999998</v>
      </c>
      <c r="AX28" s="128">
        <f>-0.134-AW28-AV28-AU28</f>
        <v>-0.31899999999999995</v>
      </c>
      <c r="AY28" s="129">
        <f t="shared" si="23"/>
        <v>-0.1339999999999999</v>
      </c>
      <c r="AZ28" s="128">
        <v>-1.544</v>
      </c>
      <c r="BA28" s="128">
        <f>-1.706-AZ28</f>
        <v>-0.16199999999999992</v>
      </c>
      <c r="BB28" s="128">
        <f>-2.95-BA28-AZ28</f>
        <v>-1.2440000000000002</v>
      </c>
      <c r="BC28" s="128">
        <f>-4.305-BB28-BA28-AZ28</f>
        <v>-1.3549999999999995</v>
      </c>
      <c r="BD28" s="129">
        <f t="shared" si="15"/>
        <v>-4.3049999999999997</v>
      </c>
      <c r="BE28" s="128">
        <v>7.12</v>
      </c>
      <c r="BF28" s="128">
        <f>3.113-BE28</f>
        <v>-4.0069999999999997</v>
      </c>
      <c r="BG28" s="128">
        <f>-0.547-BF28-BE28</f>
        <v>-3.6600000000000006</v>
      </c>
      <c r="BH28" s="133">
        <f>+'Balance Sheet'!BH23-'Balance Sheet'!BG23</f>
        <v>5.7418800000000001</v>
      </c>
      <c r="BI28" s="129">
        <f t="shared" si="16"/>
        <v>5.1948799999999995</v>
      </c>
      <c r="BJ28" s="133">
        <f>+'Balance Sheet'!BJ23-'Balance Sheet'!BH23</f>
        <v>-0.8297068000000003</v>
      </c>
      <c r="BK28" s="133">
        <f>+'Balance Sheet'!BK23-'Balance Sheet'!BJ23</f>
        <v>1.3567696400000013</v>
      </c>
      <c r="BL28" s="133">
        <f>+'Balance Sheet'!BL23-'Balance Sheet'!BK23</f>
        <v>-8.7940760000000395E-2</v>
      </c>
      <c r="BM28" s="133">
        <f>+'Balance Sheet'!BM23-'Balance Sheet'!BL23</f>
        <v>0.57908939999999909</v>
      </c>
      <c r="BN28" s="129">
        <f t="shared" si="17"/>
        <v>1.0182114799999997</v>
      </c>
      <c r="BO28" s="133">
        <f>+'Balance Sheet'!BO23-'Balance Sheet'!BM23</f>
        <v>-0.73922345600000305</v>
      </c>
      <c r="BP28" s="133">
        <f>+'Balance Sheet'!BP23-'Balance Sheet'!BO23</f>
        <v>1.5137107496000031</v>
      </c>
      <c r="BQ28" s="133">
        <f>+'Balance Sheet'!BQ23-'Balance Sheet'!BP23</f>
        <v>-8.0256572000001469E-2</v>
      </c>
      <c r="BR28" s="133">
        <f>+'Balance Sheet'!BR23-'Balance Sheet'!BQ23</f>
        <v>0.62364070800000349</v>
      </c>
      <c r="BS28" s="129">
        <f t="shared" si="18"/>
        <v>1.317871429600002</v>
      </c>
    </row>
    <row r="29" spans="1:74">
      <c r="A29" s="20" t="s">
        <v>229</v>
      </c>
      <c r="B29" s="400"/>
      <c r="C29" s="400"/>
      <c r="D29" s="400"/>
      <c r="E29" s="400"/>
      <c r="F29" s="401"/>
      <c r="G29" s="400"/>
      <c r="H29" s="400"/>
      <c r="I29" s="400"/>
      <c r="J29" s="400"/>
      <c r="K29" s="401"/>
      <c r="L29" s="400"/>
      <c r="M29" s="400"/>
      <c r="N29" s="400"/>
      <c r="O29" s="400"/>
      <c r="P29" s="401"/>
      <c r="Q29" s="128">
        <v>-2.323</v>
      </c>
      <c r="R29" s="128">
        <f>-0.772-Q29</f>
        <v>1.5509999999999999</v>
      </c>
      <c r="S29" s="128">
        <f>-1.201-R29-Q29</f>
        <v>-0.42899999999999983</v>
      </c>
      <c r="T29" s="128">
        <f t="shared" si="24"/>
        <v>3.7999999999999812E-2</v>
      </c>
      <c r="U29" s="129">
        <v>-1.163</v>
      </c>
      <c r="V29" s="128">
        <v>0.22800000000000001</v>
      </c>
      <c r="W29" s="128">
        <f>0.067-V29</f>
        <v>-0.161</v>
      </c>
      <c r="X29" s="128">
        <f>0.834-W29-V29</f>
        <v>0.76700000000000002</v>
      </c>
      <c r="Y29" s="128">
        <f t="shared" si="25"/>
        <v>-0.11000000000000004</v>
      </c>
      <c r="Z29" s="129">
        <v>0.72399999999999998</v>
      </c>
      <c r="AA29" s="128">
        <v>0.28699999999999998</v>
      </c>
      <c r="AB29" s="128">
        <f>1.319-AA29</f>
        <v>1.032</v>
      </c>
      <c r="AC29" s="128">
        <f>1.258-AB29-AA29</f>
        <v>-6.0999999999999999E-2</v>
      </c>
      <c r="AD29" s="128">
        <f t="shared" si="26"/>
        <v>3.9699999999999998</v>
      </c>
      <c r="AE29" s="129">
        <v>5.2279999999999998</v>
      </c>
      <c r="AF29" s="128">
        <v>-3.65</v>
      </c>
      <c r="AG29" s="128">
        <f>-4.343-AF29</f>
        <v>-0.69300000000000006</v>
      </c>
      <c r="AH29" s="128">
        <f>-3.3-AG29-AF29</f>
        <v>1.0430000000000001</v>
      </c>
      <c r="AI29" s="133">
        <f>-0.868-AH29-AG29-AF29</f>
        <v>2.4319999999999999</v>
      </c>
      <c r="AJ29" s="129">
        <f t="shared" si="20"/>
        <v>-0.86799999999999988</v>
      </c>
      <c r="AK29" s="128">
        <v>0.23799999999999999</v>
      </c>
      <c r="AL29" s="128">
        <f>4.77-AK29</f>
        <v>4.532</v>
      </c>
      <c r="AM29" s="128">
        <f>3.329-AL29-AK29</f>
        <v>-1.4409999999999998</v>
      </c>
      <c r="AN29" s="128">
        <f>14.425-AM29-AL29-AK29</f>
        <v>11.096</v>
      </c>
      <c r="AO29" s="129">
        <f t="shared" si="21"/>
        <v>14.425000000000001</v>
      </c>
      <c r="AP29" s="128">
        <v>-0.39</v>
      </c>
      <c r="AQ29" s="128">
        <f>-5.298-AP29</f>
        <v>-4.9080000000000004</v>
      </c>
      <c r="AR29" s="128">
        <f>-6.026-AQ29-AP29</f>
        <v>-0.72799999999999943</v>
      </c>
      <c r="AS29" s="128">
        <f>-3.92-AR29-AQ29-AP29</f>
        <v>2.1059999999999999</v>
      </c>
      <c r="AT29" s="129">
        <f t="shared" si="22"/>
        <v>-3.92</v>
      </c>
      <c r="AU29" s="128">
        <v>-7.7210000000000001</v>
      </c>
      <c r="AV29" s="128">
        <f>-3.734-AU29</f>
        <v>3.9870000000000001</v>
      </c>
      <c r="AW29" s="128">
        <f>-3.4-AV29-AU29</f>
        <v>0.33399999999999963</v>
      </c>
      <c r="AX29" s="128">
        <f>-0.676-AW29-AV29-AU29</f>
        <v>2.7240000000000002</v>
      </c>
      <c r="AY29" s="129">
        <f t="shared" si="23"/>
        <v>-0.67600000000000016</v>
      </c>
      <c r="AZ29" s="128">
        <v>-8.9930000000000003</v>
      </c>
      <c r="BA29" s="128">
        <f>3.872-AZ29</f>
        <v>12.865</v>
      </c>
      <c r="BB29" s="128">
        <f>3.892-BA29-AZ29</f>
        <v>1.9999999999999574E-2</v>
      </c>
      <c r="BC29" s="128">
        <f>3.541-BB29-BA29-AZ29</f>
        <v>-0.35099999999999909</v>
      </c>
      <c r="BD29" s="129">
        <f t="shared" si="15"/>
        <v>3.5410000000000004</v>
      </c>
      <c r="BE29" s="128">
        <v>-8.8889999999999993</v>
      </c>
      <c r="BF29" s="128">
        <f>-2.091-BE29</f>
        <v>6.7979999999999992</v>
      </c>
      <c r="BG29" s="128">
        <f>7.034-BF29-BE29</f>
        <v>9.125</v>
      </c>
      <c r="BH29" s="133">
        <f>+'Balance Sheet'!BH25-'Balance Sheet'!BG25</f>
        <v>-10.388599999999997</v>
      </c>
      <c r="BI29" s="129">
        <f t="shared" si="16"/>
        <v>-3.3545999999999969</v>
      </c>
      <c r="BJ29" s="133">
        <f>+'Balance Sheet'!BJ25-'Balance Sheet'!BH25</f>
        <v>-17.175000500000003</v>
      </c>
      <c r="BK29" s="133">
        <f>+'Balance Sheet'!BK25-'Balance Sheet'!BJ25</f>
        <v>12.449100424999997</v>
      </c>
      <c r="BL29" s="133">
        <f>+'Balance Sheet'!BL25-'Balance Sheet'!BK25</f>
        <v>-0.3847408249999944</v>
      </c>
      <c r="BM29" s="133">
        <f>+'Balance Sheet'!BM25-'Balance Sheet'!BL25</f>
        <v>10.201698299999997</v>
      </c>
      <c r="BN29" s="129">
        <f t="shared" si="17"/>
        <v>5.0910573999999968</v>
      </c>
      <c r="BO29" s="133">
        <f>+'Balance Sheet'!BO25-'Balance Sheet'!BM25</f>
        <v>-18.108452310000011</v>
      </c>
      <c r="BP29" s="133">
        <f>+'Balance Sheet'!BP25-'Balance Sheet'!BO25</f>
        <v>13.828652044500004</v>
      </c>
      <c r="BQ29" s="133">
        <f>+'Balance Sheet'!BQ25-'Balance Sheet'!BP25</f>
        <v>-0.35112250250000443</v>
      </c>
      <c r="BR29" s="133">
        <f>+'Balance Sheet'!BR25-'Balance Sheet'!BQ25</f>
        <v>11.220279916000017</v>
      </c>
      <c r="BS29" s="129">
        <f t="shared" si="18"/>
        <v>6.5893571480000048</v>
      </c>
    </row>
    <row r="30" spans="1:74">
      <c r="A30" s="404" t="s">
        <v>230</v>
      </c>
      <c r="B30" s="402"/>
      <c r="C30" s="402"/>
      <c r="D30" s="402"/>
      <c r="E30" s="402"/>
      <c r="F30" s="403"/>
      <c r="G30" s="402"/>
      <c r="H30" s="402"/>
      <c r="I30" s="402"/>
      <c r="J30" s="402"/>
      <c r="K30" s="403"/>
      <c r="L30" s="402"/>
      <c r="M30" s="402"/>
      <c r="N30" s="402"/>
      <c r="O30" s="402"/>
      <c r="P30" s="403"/>
      <c r="Q30" s="142">
        <f t="shared" ref="Q30:AD30" si="27">SUM(Q22:Q29)</f>
        <v>-8.0860000000000003</v>
      </c>
      <c r="R30" s="142">
        <f t="shared" si="27"/>
        <v>-4.9099999999999984</v>
      </c>
      <c r="S30" s="142">
        <f t="shared" si="27"/>
        <v>-5.102999999999998</v>
      </c>
      <c r="T30" s="142">
        <f t="shared" si="27"/>
        <v>-5.8159999999999972</v>
      </c>
      <c r="U30" s="143">
        <f t="shared" si="27"/>
        <v>-23.902999999999999</v>
      </c>
      <c r="V30" s="142">
        <f t="shared" si="27"/>
        <v>-7.4129999999999985</v>
      </c>
      <c r="W30" s="142">
        <f t="shared" si="27"/>
        <v>-3.0990000000000006</v>
      </c>
      <c r="X30" s="142">
        <f t="shared" si="27"/>
        <v>-1.7829999999999981</v>
      </c>
      <c r="Y30" s="142">
        <f t="shared" si="27"/>
        <v>-1.2260000000000006</v>
      </c>
      <c r="Z30" s="143">
        <f t="shared" si="27"/>
        <v>-13.520999999999995</v>
      </c>
      <c r="AA30" s="142">
        <f t="shared" si="27"/>
        <v>-1.0110000000000006</v>
      </c>
      <c r="AB30" s="142">
        <f t="shared" si="27"/>
        <v>-2.2429999999999994</v>
      </c>
      <c r="AC30" s="142">
        <f t="shared" si="27"/>
        <v>-1.5560000000000009</v>
      </c>
      <c r="AD30" s="142">
        <f t="shared" si="27"/>
        <v>1.5780000000000016</v>
      </c>
      <c r="AE30" s="143">
        <f>SUM(AA30:AD30)</f>
        <v>-3.2319999999999989</v>
      </c>
      <c r="AF30" s="142">
        <f>SUM(AF22:AF29)</f>
        <v>-5.3010000000000002</v>
      </c>
      <c r="AG30" s="142">
        <f>SUM(AG22:AG29)</f>
        <v>-8.4230000000000018</v>
      </c>
      <c r="AH30" s="142">
        <f>SUM(AH22:AH29)</f>
        <v>1.7690000000000015</v>
      </c>
      <c r="AI30" s="142">
        <f>SUM(AI22:AI29)</f>
        <v>2.2440000000000011</v>
      </c>
      <c r="AJ30" s="143">
        <f t="shared" si="20"/>
        <v>-9.7109999999999985</v>
      </c>
      <c r="AK30" s="142">
        <f>SUM(AK22:AK29)</f>
        <v>-40.50800000000001</v>
      </c>
      <c r="AL30" s="142">
        <f>SUM(AL22:AL29)</f>
        <v>1.887000000000004</v>
      </c>
      <c r="AM30" s="142">
        <f>SUM(AM22:AM29)</f>
        <v>-1.4459999999999968</v>
      </c>
      <c r="AN30" s="142">
        <f>SUM(AN22:AN29)</f>
        <v>8.4459999999999944</v>
      </c>
      <c r="AO30" s="143">
        <f t="shared" si="21"/>
        <v>-31.621000000000013</v>
      </c>
      <c r="AP30" s="142">
        <f>SUM(AP22:AP29)</f>
        <v>-8.8720000000000034</v>
      </c>
      <c r="AQ30" s="142">
        <f>SUM(AQ22:AQ29)</f>
        <v>-0.36299999999999866</v>
      </c>
      <c r="AR30" s="142">
        <f>SUM(AR22:AR29)</f>
        <v>7.025999999999998</v>
      </c>
      <c r="AS30" s="142">
        <f>SUM(AS22:AS29)</f>
        <v>9.7440000000000033</v>
      </c>
      <c r="AT30" s="143">
        <f t="shared" si="22"/>
        <v>7.5349999999999984</v>
      </c>
      <c r="AU30" s="142">
        <f>SUM(AU22:AU29)</f>
        <v>-2.1719999999999988</v>
      </c>
      <c r="AV30" s="142">
        <f>SUM(AV22:AV29)</f>
        <v>16.670999999999999</v>
      </c>
      <c r="AW30" s="142">
        <f>SUM(AW22:AW29)</f>
        <v>14.171000000000012</v>
      </c>
      <c r="AX30" s="142">
        <f>SUM(AX22:AX29)</f>
        <v>15.552</v>
      </c>
      <c r="AY30" s="143">
        <f t="shared" si="23"/>
        <v>44.222000000000008</v>
      </c>
      <c r="AZ30" s="142">
        <f>SUM(AZ22:AZ29)</f>
        <v>-8.9659999999999993</v>
      </c>
      <c r="BA30" s="142">
        <f>SUM(BA22:BA29)</f>
        <v>29.574999999999996</v>
      </c>
      <c r="BB30" s="142">
        <f>SUM(BB22:BB29)</f>
        <v>29.963000000000001</v>
      </c>
      <c r="BC30" s="142">
        <f>SUM(BC22:BC29)</f>
        <v>24.524000000000012</v>
      </c>
      <c r="BD30" s="143">
        <f t="shared" si="15"/>
        <v>75.096000000000004</v>
      </c>
      <c r="BE30" s="142">
        <f>SUM(BE22:BE29)</f>
        <v>5.3619999999999983</v>
      </c>
      <c r="BF30" s="142">
        <f>SUM(BF22:BF29)</f>
        <v>33.605000000000011</v>
      </c>
      <c r="BG30" s="142">
        <f>SUM(BG22:BG29)</f>
        <v>44.756999999999991</v>
      </c>
      <c r="BH30" s="142">
        <f>SUM(BH22:BH29)</f>
        <v>13.421080000000011</v>
      </c>
      <c r="BI30" s="143">
        <f t="shared" si="16"/>
        <v>97.145080000000007</v>
      </c>
      <c r="BJ30" s="142">
        <f>SUM(BJ22:BJ29)</f>
        <v>30.123553639000001</v>
      </c>
      <c r="BK30" s="142">
        <f>SUM(BK22:BK29)</f>
        <v>47.481957452875001</v>
      </c>
      <c r="BL30" s="142">
        <f>SUM(BL22:BL29)</f>
        <v>45.510030894200007</v>
      </c>
      <c r="BM30" s="142">
        <f>SUM(BM22:BM29)</f>
        <v>53.524534397275026</v>
      </c>
      <c r="BN30" s="143">
        <f t="shared" si="17"/>
        <v>176.64007638335005</v>
      </c>
      <c r="BO30" s="142">
        <f>SUM(BO22:BO29)</f>
        <v>31.575233062904999</v>
      </c>
      <c r="BP30" s="142">
        <f>SUM(BP22:BP29)</f>
        <v>51.351593239859987</v>
      </c>
      <c r="BQ30" s="142">
        <f>SUM(BQ22:BQ29)</f>
        <v>49.222273656203981</v>
      </c>
      <c r="BR30" s="142">
        <f>SUM(BR22:BR29)</f>
        <v>58.27005093597802</v>
      </c>
      <c r="BS30" s="143">
        <f t="shared" si="18"/>
        <v>190.41915089494699</v>
      </c>
      <c r="BU30" s="405"/>
      <c r="BV30" s="405"/>
    </row>
    <row r="31" spans="1:74">
      <c r="A31" s="118" t="s">
        <v>231</v>
      </c>
      <c r="B31" s="406"/>
      <c r="C31" s="406"/>
      <c r="D31" s="406"/>
      <c r="E31" s="406"/>
      <c r="F31" s="407"/>
      <c r="G31" s="406"/>
      <c r="H31" s="406"/>
      <c r="I31" s="406"/>
      <c r="J31" s="406"/>
      <c r="K31" s="407"/>
      <c r="L31" s="406"/>
      <c r="M31" s="406"/>
      <c r="N31" s="406"/>
      <c r="O31" s="406"/>
      <c r="P31" s="407"/>
      <c r="Q31" s="146"/>
      <c r="R31" s="146"/>
      <c r="S31" s="146"/>
      <c r="T31" s="146"/>
      <c r="U31" s="152"/>
      <c r="V31" s="146"/>
      <c r="W31" s="146"/>
      <c r="X31" s="146"/>
      <c r="Y31" s="146"/>
      <c r="Z31" s="152"/>
      <c r="AA31" s="146"/>
      <c r="AB31" s="146"/>
      <c r="AC31" s="146"/>
      <c r="AD31" s="146"/>
      <c r="AE31" s="152"/>
      <c r="AF31" s="146"/>
      <c r="AG31" s="146"/>
      <c r="AH31" s="146"/>
      <c r="AI31" s="146"/>
      <c r="AJ31" s="152"/>
      <c r="AK31" s="146"/>
      <c r="AL31" s="146"/>
      <c r="AM31" s="146"/>
      <c r="AN31" s="146"/>
      <c r="AO31" s="152"/>
      <c r="AP31" s="146"/>
      <c r="AQ31" s="408"/>
      <c r="AR31" s="146"/>
      <c r="AS31" s="146"/>
      <c r="AT31" s="152"/>
      <c r="AU31" s="146"/>
      <c r="AV31" s="408"/>
      <c r="AW31" s="146"/>
      <c r="AX31" s="146"/>
      <c r="AY31" s="152"/>
      <c r="AZ31" s="146"/>
      <c r="BA31" s="408"/>
      <c r="BB31" s="146"/>
      <c r="BC31" s="146"/>
      <c r="BD31" s="152"/>
      <c r="BE31" s="146"/>
      <c r="BF31" s="408"/>
      <c r="BG31" s="146"/>
      <c r="BH31" s="146"/>
      <c r="BI31" s="152"/>
      <c r="BJ31" s="146"/>
      <c r="BK31" s="146"/>
      <c r="BL31" s="146"/>
      <c r="BM31" s="146"/>
      <c r="BN31" s="152"/>
      <c r="BO31" s="146"/>
      <c r="BP31" s="146"/>
      <c r="BQ31" s="146"/>
      <c r="BR31" s="146"/>
      <c r="BS31" s="152"/>
      <c r="BU31" s="405"/>
      <c r="BV31" s="405"/>
    </row>
    <row r="32" spans="1:74">
      <c r="A32" s="20" t="s">
        <v>232</v>
      </c>
      <c r="B32" s="400"/>
      <c r="C32" s="400"/>
      <c r="D32" s="400"/>
      <c r="E32" s="400"/>
      <c r="F32" s="401"/>
      <c r="G32" s="400"/>
      <c r="H32" s="400"/>
      <c r="I32" s="400"/>
      <c r="J32" s="400"/>
      <c r="K32" s="401"/>
      <c r="L32" s="400"/>
      <c r="M32" s="400"/>
      <c r="N32" s="400"/>
      <c r="O32" s="400"/>
      <c r="P32" s="401"/>
      <c r="Q32" s="128">
        <v>-0.61499999999999999</v>
      </c>
      <c r="R32" s="128">
        <f>-0.728-Q32</f>
        <v>-0.11299999999999999</v>
      </c>
      <c r="S32" s="128">
        <f>-1.455-R32-Q32</f>
        <v>-0.72700000000000009</v>
      </c>
      <c r="T32" s="128">
        <f>+U32-S32-R32-Q32</f>
        <v>-0.29999999999999982</v>
      </c>
      <c r="U32" s="129">
        <v>-1.7549999999999999</v>
      </c>
      <c r="V32" s="128">
        <v>-0.22700000000000001</v>
      </c>
      <c r="W32" s="128">
        <f>-0.761-V32</f>
        <v>-0.53400000000000003</v>
      </c>
      <c r="X32" s="128">
        <f>-1.42-W32-V32</f>
        <v>-0.65899999999999992</v>
      </c>
      <c r="Y32" s="128">
        <f>+Z32-X32-W32-V32</f>
        <v>-0.45400000000000029</v>
      </c>
      <c r="Z32" s="129">
        <v>-1.8740000000000001</v>
      </c>
      <c r="AA32" s="128">
        <v>-0.76500000000000001</v>
      </c>
      <c r="AB32" s="128">
        <f>-1.424-AA32</f>
        <v>-0.65899999999999992</v>
      </c>
      <c r="AC32" s="128">
        <f>-1.656-AB32-AA32</f>
        <v>-0.23199999999999998</v>
      </c>
      <c r="AD32" s="128">
        <f>+AE32-AC32-AB32-AA32</f>
        <v>-1.1000000000000001</v>
      </c>
      <c r="AE32" s="129">
        <v>-2.7559999999999998</v>
      </c>
      <c r="AF32" s="128">
        <v>-0.66500000000000004</v>
      </c>
      <c r="AG32" s="128">
        <f>-1.314-AF32</f>
        <v>-0.64900000000000002</v>
      </c>
      <c r="AH32" s="128">
        <f>-1.949-AG32-AF32</f>
        <v>-0.63500000000000001</v>
      </c>
      <c r="AI32" s="128">
        <f>-2.837-AH32-AG32-AF32</f>
        <v>-0.8879999999999999</v>
      </c>
      <c r="AJ32" s="129">
        <f t="shared" si="20"/>
        <v>-2.8369999999999997</v>
      </c>
      <c r="AK32" s="128">
        <v>-1.196</v>
      </c>
      <c r="AL32" s="128">
        <f>-2.723-AK32</f>
        <v>-1.5269999999999999</v>
      </c>
      <c r="AM32" s="128">
        <f>-4.535-AL32-AK32</f>
        <v>-1.8120000000000001</v>
      </c>
      <c r="AN32" s="128">
        <f>-5.376-AM32-AL32-AK32</f>
        <v>-0.84099999999999997</v>
      </c>
      <c r="AO32" s="129">
        <f t="shared" si="21"/>
        <v>-5.3760000000000003</v>
      </c>
      <c r="AP32" s="128">
        <v>-2.4529999999999998</v>
      </c>
      <c r="AQ32" s="128">
        <f>-4.963-AP32</f>
        <v>-2.5100000000000002</v>
      </c>
      <c r="AR32" s="128">
        <f>-6.677-AQ32-AP32</f>
        <v>-1.714</v>
      </c>
      <c r="AS32" s="128">
        <f>-8.549-AR32-AQ32-AP32</f>
        <v>-1.8719999999999994</v>
      </c>
      <c r="AT32" s="129">
        <f t="shared" si="22"/>
        <v>-8.5489999999999995</v>
      </c>
      <c r="AU32" s="128">
        <v>-0.99299999999999999</v>
      </c>
      <c r="AV32" s="128">
        <f>-4.662-AU32</f>
        <v>-3.669</v>
      </c>
      <c r="AW32" s="128">
        <f>-7.464-AV32-AU32</f>
        <v>-2.8020000000000005</v>
      </c>
      <c r="AX32" s="128">
        <f>-9.961-AW32-AV32-AU32</f>
        <v>-2.4969999999999999</v>
      </c>
      <c r="AY32" s="129">
        <f t="shared" si="23"/>
        <v>-9.9610000000000003</v>
      </c>
      <c r="AZ32" s="128">
        <v>-2.1339999999999999</v>
      </c>
      <c r="BA32" s="128">
        <f>-4.904-AZ32</f>
        <v>-2.77</v>
      </c>
      <c r="BB32" s="128">
        <f>-7.146-BA32-AZ32</f>
        <v>-2.2419999999999995</v>
      </c>
      <c r="BC32" s="128">
        <f>-11.287-BB32-BA32-AZ32</f>
        <v>-4.1410000000000018</v>
      </c>
      <c r="BD32" s="129">
        <f t="shared" ref="BD32:BD36" si="28">SUM(AZ32:BC32)</f>
        <v>-11.287000000000001</v>
      </c>
      <c r="BE32" s="128">
        <v>-1.819</v>
      </c>
      <c r="BF32" s="128">
        <f>-3.105-BE32</f>
        <v>-1.286</v>
      </c>
      <c r="BG32" s="128">
        <f>-5.897-BF32-BE32</f>
        <v>-2.7920000000000007</v>
      </c>
      <c r="BH32" s="133">
        <f>+BC32-0.25</f>
        <v>-4.3910000000000018</v>
      </c>
      <c r="BI32" s="129">
        <f t="shared" ref="BI32:BI36" si="29">SUM(BE32:BH32)</f>
        <v>-10.288000000000002</v>
      </c>
      <c r="BJ32" s="133">
        <f>+BE32-0.25</f>
        <v>-2.069</v>
      </c>
      <c r="BK32" s="133">
        <f>+BF32-0.25</f>
        <v>-1.536</v>
      </c>
      <c r="BL32" s="133">
        <f>+BG32-0.25</f>
        <v>-3.0420000000000007</v>
      </c>
      <c r="BM32" s="133">
        <f>+BH32-0.25</f>
        <v>-4.6410000000000018</v>
      </c>
      <c r="BN32" s="129">
        <f t="shared" ref="BN32:BN36" si="30">SUM(BJ32:BM32)</f>
        <v>-11.288000000000002</v>
      </c>
      <c r="BO32" s="133">
        <f>+BJ32-0.25</f>
        <v>-2.319</v>
      </c>
      <c r="BP32" s="133">
        <f>+BK32-0.25</f>
        <v>-1.786</v>
      </c>
      <c r="BQ32" s="133">
        <f>+BL32-0.25</f>
        <v>-3.2920000000000007</v>
      </c>
      <c r="BR32" s="133">
        <f>+BM32-0.25</f>
        <v>-4.8910000000000018</v>
      </c>
      <c r="BS32" s="129">
        <f t="shared" ref="BS32:BS36" si="31">SUM(BO32:BR32)</f>
        <v>-12.288000000000004</v>
      </c>
      <c r="BU32" s="405"/>
      <c r="BV32" s="405"/>
    </row>
    <row r="33" spans="1:74">
      <c r="A33" s="20" t="s">
        <v>233</v>
      </c>
      <c r="B33" s="400"/>
      <c r="C33" s="400"/>
      <c r="D33" s="400"/>
      <c r="E33" s="400"/>
      <c r="F33" s="401"/>
      <c r="G33" s="400"/>
      <c r="H33" s="400"/>
      <c r="I33" s="400"/>
      <c r="J33" s="400"/>
      <c r="K33" s="401"/>
      <c r="L33" s="400"/>
      <c r="M33" s="400"/>
      <c r="N33" s="400"/>
      <c r="O33" s="400"/>
      <c r="P33" s="401"/>
      <c r="Q33" s="128">
        <v>0.44</v>
      </c>
      <c r="R33" s="128">
        <f>0.44-Q33</f>
        <v>0</v>
      </c>
      <c r="S33" s="128">
        <f>0.44-R33-Q33</f>
        <v>0</v>
      </c>
      <c r="T33" s="128">
        <f>+U33-S33-R33-Q33</f>
        <v>0</v>
      </c>
      <c r="U33" s="129">
        <v>0.44</v>
      </c>
      <c r="V33" s="128">
        <v>0</v>
      </c>
      <c r="W33" s="128">
        <v>0</v>
      </c>
      <c r="X33" s="128">
        <v>0</v>
      </c>
      <c r="Y33" s="128">
        <f>+Z33-X33-W33-V33</f>
        <v>0</v>
      </c>
      <c r="Z33" s="129">
        <v>0</v>
      </c>
      <c r="AA33" s="128">
        <v>1.6E-2</v>
      </c>
      <c r="AB33" s="128">
        <f>0.017-AA33</f>
        <v>1.0000000000000009E-3</v>
      </c>
      <c r="AC33" s="128">
        <f>0.023-AB33-AA33</f>
        <v>5.9999999999999984E-3</v>
      </c>
      <c r="AD33" s="128">
        <f>+AE33-AC33-AB33-AA33</f>
        <v>0</v>
      </c>
      <c r="AE33" s="129">
        <v>2.3E-2</v>
      </c>
      <c r="AF33" s="128">
        <v>0</v>
      </c>
      <c r="AG33" s="128">
        <v>0</v>
      </c>
      <c r="AH33" s="128">
        <v>0</v>
      </c>
      <c r="AI33" s="128">
        <v>0</v>
      </c>
      <c r="AJ33" s="129">
        <f t="shared" si="20"/>
        <v>0</v>
      </c>
      <c r="AK33" s="128">
        <v>0</v>
      </c>
      <c r="AL33" s="128">
        <v>0</v>
      </c>
      <c r="AM33" s="128">
        <v>0</v>
      </c>
      <c r="AN33" s="128">
        <v>0</v>
      </c>
      <c r="AO33" s="129">
        <f t="shared" si="21"/>
        <v>0</v>
      </c>
      <c r="AP33" s="128">
        <v>0</v>
      </c>
      <c r="AQ33" s="128">
        <v>0</v>
      </c>
      <c r="AR33" s="128">
        <v>0</v>
      </c>
      <c r="AS33" s="128">
        <v>0</v>
      </c>
      <c r="AT33" s="129">
        <f t="shared" si="22"/>
        <v>0</v>
      </c>
      <c r="AU33" s="128">
        <v>0</v>
      </c>
      <c r="AV33" s="128">
        <v>0</v>
      </c>
      <c r="AW33" s="128">
        <v>0</v>
      </c>
      <c r="AX33" s="128">
        <v>0</v>
      </c>
      <c r="AY33" s="129">
        <f t="shared" si="23"/>
        <v>0</v>
      </c>
      <c r="AZ33" s="128">
        <v>0</v>
      </c>
      <c r="BA33" s="128">
        <v>0</v>
      </c>
      <c r="BB33" s="128">
        <v>0</v>
      </c>
      <c r="BC33" s="128">
        <v>0</v>
      </c>
      <c r="BD33" s="129">
        <f t="shared" si="28"/>
        <v>0</v>
      </c>
      <c r="BE33" s="128">
        <v>0</v>
      </c>
      <c r="BF33" s="128">
        <v>0</v>
      </c>
      <c r="BG33" s="128">
        <v>0</v>
      </c>
      <c r="BH33" s="133">
        <v>0</v>
      </c>
      <c r="BI33" s="129">
        <f t="shared" si="29"/>
        <v>0</v>
      </c>
      <c r="BJ33" s="133">
        <v>0</v>
      </c>
      <c r="BK33" s="133">
        <v>0</v>
      </c>
      <c r="BL33" s="133">
        <v>0</v>
      </c>
      <c r="BM33" s="133">
        <v>0</v>
      </c>
      <c r="BN33" s="129">
        <f t="shared" si="30"/>
        <v>0</v>
      </c>
      <c r="BO33" s="133">
        <v>0</v>
      </c>
      <c r="BP33" s="133">
        <v>0</v>
      </c>
      <c r="BQ33" s="133">
        <v>0</v>
      </c>
      <c r="BR33" s="133">
        <v>0</v>
      </c>
      <c r="BS33" s="129">
        <f t="shared" si="31"/>
        <v>0</v>
      </c>
      <c r="BU33" s="405"/>
      <c r="BV33" s="405"/>
    </row>
    <row r="34" spans="1:74">
      <c r="A34" s="20" t="s">
        <v>234</v>
      </c>
      <c r="B34" s="400"/>
      <c r="C34" s="400"/>
      <c r="D34" s="400"/>
      <c r="E34" s="400"/>
      <c r="F34" s="401"/>
      <c r="G34" s="400"/>
      <c r="H34" s="400"/>
      <c r="I34" s="400"/>
      <c r="J34" s="400"/>
      <c r="K34" s="401"/>
      <c r="L34" s="400"/>
      <c r="M34" s="400"/>
      <c r="N34" s="400"/>
      <c r="O34" s="400"/>
      <c r="P34" s="401"/>
      <c r="Q34" s="128">
        <v>0</v>
      </c>
      <c r="R34" s="128">
        <v>0</v>
      </c>
      <c r="S34" s="128">
        <v>0</v>
      </c>
      <c r="T34" s="128">
        <f>+U34-S34-R34-Q34</f>
        <v>0</v>
      </c>
      <c r="U34" s="129">
        <v>0</v>
      </c>
      <c r="V34" s="128">
        <v>0</v>
      </c>
      <c r="W34" s="128">
        <v>0</v>
      </c>
      <c r="X34" s="128">
        <v>0</v>
      </c>
      <c r="Y34" s="128">
        <f>+Z34-X34-W34-V34</f>
        <v>0</v>
      </c>
      <c r="Z34" s="129">
        <v>0</v>
      </c>
      <c r="AA34" s="128">
        <v>0</v>
      </c>
      <c r="AB34" s="128">
        <v>0</v>
      </c>
      <c r="AC34" s="128">
        <v>0</v>
      </c>
      <c r="AD34" s="128">
        <f>+AE34-AC34-AB34-AA34</f>
        <v>-40</v>
      </c>
      <c r="AE34" s="129">
        <v>-40</v>
      </c>
      <c r="AF34" s="128">
        <v>0</v>
      </c>
      <c r="AG34" s="128">
        <v>0</v>
      </c>
      <c r="AH34" s="128">
        <v>0</v>
      </c>
      <c r="AI34" s="128">
        <v>0</v>
      </c>
      <c r="AJ34" s="129">
        <f t="shared" si="20"/>
        <v>0</v>
      </c>
      <c r="AK34" s="128">
        <v>-574.41099999999994</v>
      </c>
      <c r="AL34" s="128">
        <f>-574.411-AK34</f>
        <v>0</v>
      </c>
      <c r="AM34" s="128">
        <f>-574.411-163.645-AL34-AK34</f>
        <v>-163.64499999999998</v>
      </c>
      <c r="AN34" s="128">
        <f>-574.411-162.419-AM34-AL34-AK34</f>
        <v>1.2259999999999991</v>
      </c>
      <c r="AO34" s="129">
        <f t="shared" si="21"/>
        <v>-736.82999999999993</v>
      </c>
      <c r="AP34" s="128">
        <v>0</v>
      </c>
      <c r="AQ34" s="128">
        <v>0</v>
      </c>
      <c r="AR34" s="128">
        <v>0</v>
      </c>
      <c r="AS34" s="128">
        <v>0</v>
      </c>
      <c r="AT34" s="129">
        <f t="shared" si="22"/>
        <v>0</v>
      </c>
      <c r="AU34" s="128">
        <v>0</v>
      </c>
      <c r="AV34" s="128">
        <v>0</v>
      </c>
      <c r="AW34" s="128">
        <v>0</v>
      </c>
      <c r="AX34" s="128">
        <v>0</v>
      </c>
      <c r="AY34" s="129">
        <f t="shared" si="23"/>
        <v>0</v>
      </c>
      <c r="AZ34" s="128">
        <v>5.0119999999999996</v>
      </c>
      <c r="BA34" s="128">
        <f>5.012-AZ34</f>
        <v>0</v>
      </c>
      <c r="BB34" s="128">
        <f>5.012-BA34-AZ34</f>
        <v>0</v>
      </c>
      <c r="BC34" s="128">
        <v>0</v>
      </c>
      <c r="BD34" s="129">
        <f t="shared" si="28"/>
        <v>5.0119999999999996</v>
      </c>
      <c r="BE34" s="128">
        <v>0</v>
      </c>
      <c r="BF34" s="128">
        <f>0-BE34</f>
        <v>0</v>
      </c>
      <c r="BG34" s="128">
        <f>0-BF34-BE34</f>
        <v>0</v>
      </c>
      <c r="BH34" s="133">
        <v>0</v>
      </c>
      <c r="BI34" s="129">
        <f t="shared" si="29"/>
        <v>0</v>
      </c>
      <c r="BJ34" s="133">
        <v>0</v>
      </c>
      <c r="BK34" s="133">
        <v>0</v>
      </c>
      <c r="BL34" s="133">
        <v>0</v>
      </c>
      <c r="BM34" s="133">
        <v>0</v>
      </c>
      <c r="BN34" s="129">
        <f t="shared" si="30"/>
        <v>0</v>
      </c>
      <c r="BO34" s="133">
        <v>0</v>
      </c>
      <c r="BP34" s="133">
        <v>0</v>
      </c>
      <c r="BQ34" s="133">
        <v>0</v>
      </c>
      <c r="BR34" s="133">
        <v>0</v>
      </c>
      <c r="BS34" s="129">
        <f t="shared" si="31"/>
        <v>0</v>
      </c>
      <c r="BU34" s="80"/>
    </row>
    <row r="35" spans="1:74">
      <c r="A35" s="20" t="s">
        <v>235</v>
      </c>
      <c r="B35" s="400"/>
      <c r="C35" s="400"/>
      <c r="D35" s="400"/>
      <c r="E35" s="400"/>
      <c r="F35" s="401"/>
      <c r="G35" s="400"/>
      <c r="H35" s="400"/>
      <c r="I35" s="400"/>
      <c r="J35" s="400"/>
      <c r="K35" s="401"/>
      <c r="L35" s="400"/>
      <c r="M35" s="400"/>
      <c r="N35" s="400"/>
      <c r="O35" s="400"/>
      <c r="P35" s="401"/>
      <c r="Q35" s="128"/>
      <c r="R35" s="128"/>
      <c r="S35" s="128"/>
      <c r="T35" s="128"/>
      <c r="U35" s="129"/>
      <c r="V35" s="128"/>
      <c r="W35" s="128"/>
      <c r="X35" s="128"/>
      <c r="Y35" s="128"/>
      <c r="Z35" s="129"/>
      <c r="AA35" s="128">
        <v>0</v>
      </c>
      <c r="AB35" s="128">
        <v>0</v>
      </c>
      <c r="AC35" s="128">
        <v>0</v>
      </c>
      <c r="AD35" s="128">
        <f>+AE35-AC35-AB35-AA35</f>
        <v>0</v>
      </c>
      <c r="AE35" s="129">
        <v>0</v>
      </c>
      <c r="AF35" s="128">
        <v>0</v>
      </c>
      <c r="AG35" s="128">
        <v>0</v>
      </c>
      <c r="AH35" s="128">
        <f>-1-AG35-AF35</f>
        <v>-1</v>
      </c>
      <c r="AI35" s="128">
        <f>-1-AH35-AG35-AF35</f>
        <v>0</v>
      </c>
      <c r="AJ35" s="129">
        <f t="shared" si="20"/>
        <v>-1</v>
      </c>
      <c r="AK35" s="128">
        <v>0</v>
      </c>
      <c r="AL35" s="128">
        <f>3-AK35</f>
        <v>3</v>
      </c>
      <c r="AM35" s="128">
        <f>3-AL35-AK35</f>
        <v>0</v>
      </c>
      <c r="AN35" s="128">
        <f>3-AM35-AL35-AK35</f>
        <v>0</v>
      </c>
      <c r="AO35" s="129">
        <f t="shared" si="21"/>
        <v>3</v>
      </c>
      <c r="AP35" s="128">
        <v>0</v>
      </c>
      <c r="AQ35" s="128">
        <f>-8.972+2.175-AP35</f>
        <v>-6.7969999999999997</v>
      </c>
      <c r="AR35" s="128">
        <f>-8.972+12.696-AQ35-AP35</f>
        <v>10.521000000000001</v>
      </c>
      <c r="AS35" s="128">
        <f>-33.519+12.681-AR35-AQ35-AP35</f>
        <v>-24.562000000000001</v>
      </c>
      <c r="AT35" s="129">
        <f t="shared" si="22"/>
        <v>-20.838000000000001</v>
      </c>
      <c r="AU35" s="128">
        <f>-19.7+39.773+5</f>
        <v>25.073000000000004</v>
      </c>
      <c r="AV35" s="128">
        <f>-19.7+39.773+5-AU35</f>
        <v>0</v>
      </c>
      <c r="AW35" s="128">
        <f>-19.7+39.773+5-AV35-AU35</f>
        <v>0</v>
      </c>
      <c r="AX35" s="128">
        <f>-19.7+39.773+5-AW35-AV35-AU35</f>
        <v>0</v>
      </c>
      <c r="AY35" s="129">
        <f t="shared" si="23"/>
        <v>25.073000000000004</v>
      </c>
      <c r="AZ35" s="128">
        <v>0</v>
      </c>
      <c r="BA35" s="128">
        <f>0-AZ35</f>
        <v>0</v>
      </c>
      <c r="BB35" s="128">
        <f>0-BA35-AZ35</f>
        <v>0</v>
      </c>
      <c r="BC35" s="128">
        <f>-50-BB35-BA35-AZ35</f>
        <v>-50</v>
      </c>
      <c r="BD35" s="129">
        <f t="shared" si="28"/>
        <v>-50</v>
      </c>
      <c r="BE35" s="128">
        <v>-49.999000000000002</v>
      </c>
      <c r="BF35" s="128">
        <f>-99.998+51.061-BE35</f>
        <v>1.0619999999999976</v>
      </c>
      <c r="BG35" s="128">
        <f>-99.998+102.116-BF35-BE35</f>
        <v>51.055</v>
      </c>
      <c r="BH35" s="133">
        <v>0</v>
      </c>
      <c r="BI35" s="129">
        <f t="shared" si="29"/>
        <v>2.117999999999995</v>
      </c>
      <c r="BJ35" s="133">
        <v>0</v>
      </c>
      <c r="BK35" s="133">
        <v>0</v>
      </c>
      <c r="BL35" s="133">
        <v>0</v>
      </c>
      <c r="BM35" s="133">
        <v>0</v>
      </c>
      <c r="BN35" s="129">
        <f t="shared" si="30"/>
        <v>0</v>
      </c>
      <c r="BO35" s="133">
        <v>0</v>
      </c>
      <c r="BP35" s="133">
        <v>0</v>
      </c>
      <c r="BQ35" s="133">
        <v>0</v>
      </c>
      <c r="BR35" s="133">
        <v>0</v>
      </c>
      <c r="BS35" s="129">
        <f t="shared" si="31"/>
        <v>0</v>
      </c>
      <c r="BU35" s="80"/>
    </row>
    <row r="36" spans="1:74">
      <c r="A36" s="20" t="s">
        <v>160</v>
      </c>
      <c r="B36" s="400"/>
      <c r="C36" s="400"/>
      <c r="D36" s="400"/>
      <c r="E36" s="400"/>
      <c r="F36" s="401"/>
      <c r="G36" s="400"/>
      <c r="H36" s="400"/>
      <c r="I36" s="400"/>
      <c r="J36" s="400"/>
      <c r="K36" s="401"/>
      <c r="L36" s="400"/>
      <c r="M36" s="400"/>
      <c r="N36" s="400"/>
      <c r="O36" s="400"/>
      <c r="P36" s="401"/>
      <c r="Q36" s="128">
        <v>0</v>
      </c>
      <c r="R36" s="128">
        <v>0</v>
      </c>
      <c r="S36" s="128">
        <f>0.12-R36-Q36</f>
        <v>0.12</v>
      </c>
      <c r="T36" s="128">
        <f>+U36-S36-R36-Q36</f>
        <v>0</v>
      </c>
      <c r="U36" s="129">
        <v>0.12</v>
      </c>
      <c r="V36" s="128">
        <v>0</v>
      </c>
      <c r="W36" s="128">
        <v>0</v>
      </c>
      <c r="X36" s="128">
        <v>0</v>
      </c>
      <c r="Y36" s="128">
        <f>+Z36-X36-W36-V36</f>
        <v>0</v>
      </c>
      <c r="Z36" s="129">
        <v>0</v>
      </c>
      <c r="AA36" s="128">
        <v>0</v>
      </c>
      <c r="AB36" s="128">
        <v>0</v>
      </c>
      <c r="AC36" s="128">
        <v>0</v>
      </c>
      <c r="AD36" s="128">
        <v>0</v>
      </c>
      <c r="AE36" s="129">
        <f>SUM(AA36:AD36)</f>
        <v>0</v>
      </c>
      <c r="AF36" s="128">
        <v>0</v>
      </c>
      <c r="AG36" s="128">
        <v>0</v>
      </c>
      <c r="AH36" s="128">
        <v>0</v>
      </c>
      <c r="AI36" s="128">
        <v>0</v>
      </c>
      <c r="AJ36" s="129">
        <f t="shared" si="20"/>
        <v>0</v>
      </c>
      <c r="AK36" s="128">
        <v>0</v>
      </c>
      <c r="AL36" s="128">
        <v>0</v>
      </c>
      <c r="AM36" s="128">
        <v>0</v>
      </c>
      <c r="AN36" s="128">
        <v>0</v>
      </c>
      <c r="AO36" s="129">
        <f t="shared" si="21"/>
        <v>0</v>
      </c>
      <c r="AP36" s="128">
        <v>0</v>
      </c>
      <c r="AQ36" s="128">
        <v>0</v>
      </c>
      <c r="AR36" s="133">
        <v>0</v>
      </c>
      <c r="AS36" s="133">
        <v>0</v>
      </c>
      <c r="AT36" s="129">
        <f t="shared" si="22"/>
        <v>0</v>
      </c>
      <c r="AU36" s="128">
        <v>0</v>
      </c>
      <c r="AV36" s="128">
        <v>0</v>
      </c>
      <c r="AW36" s="133">
        <v>0</v>
      </c>
      <c r="AX36" s="133">
        <v>0</v>
      </c>
      <c r="AY36" s="129">
        <f t="shared" si="23"/>
        <v>0</v>
      </c>
      <c r="AZ36" s="128">
        <v>0</v>
      </c>
      <c r="BA36" s="128">
        <v>0</v>
      </c>
      <c r="BB36" s="133">
        <v>0</v>
      </c>
      <c r="BC36" s="133">
        <v>0</v>
      </c>
      <c r="BD36" s="129">
        <f t="shared" si="28"/>
        <v>0</v>
      </c>
      <c r="BE36" s="128">
        <v>0</v>
      </c>
      <c r="BF36" s="128">
        <v>0</v>
      </c>
      <c r="BG36" s="133">
        <v>0</v>
      </c>
      <c r="BH36" s="133">
        <v>0</v>
      </c>
      <c r="BI36" s="129">
        <f t="shared" si="29"/>
        <v>0</v>
      </c>
      <c r="BJ36" s="133">
        <v>0</v>
      </c>
      <c r="BK36" s="133">
        <v>0</v>
      </c>
      <c r="BL36" s="133">
        <v>0</v>
      </c>
      <c r="BM36" s="133">
        <v>0</v>
      </c>
      <c r="BN36" s="129">
        <f t="shared" si="30"/>
        <v>0</v>
      </c>
      <c r="BO36" s="133">
        <v>0</v>
      </c>
      <c r="BP36" s="133">
        <v>0</v>
      </c>
      <c r="BQ36" s="133">
        <v>0</v>
      </c>
      <c r="BR36" s="133">
        <v>0</v>
      </c>
      <c r="BS36" s="129">
        <f t="shared" si="31"/>
        <v>0</v>
      </c>
      <c r="BU36" s="80"/>
    </row>
    <row r="37" spans="1:74">
      <c r="A37" s="409" t="s">
        <v>236</v>
      </c>
      <c r="B37" s="402"/>
      <c r="C37" s="402"/>
      <c r="D37" s="402"/>
      <c r="E37" s="402"/>
      <c r="F37" s="403"/>
      <c r="G37" s="402"/>
      <c r="H37" s="402"/>
      <c r="I37" s="402"/>
      <c r="J37" s="402"/>
      <c r="K37" s="403"/>
      <c r="L37" s="402"/>
      <c r="M37" s="402"/>
      <c r="N37" s="402"/>
      <c r="O37" s="402"/>
      <c r="P37" s="403"/>
      <c r="Q37" s="142">
        <f t="shared" ref="Q37:AE37" si="32">SUM(Q32:Q36)</f>
        <v>-0.17499999999999999</v>
      </c>
      <c r="R37" s="142">
        <f t="shared" si="32"/>
        <v>-0.11299999999999999</v>
      </c>
      <c r="S37" s="142">
        <f t="shared" si="32"/>
        <v>-0.6070000000000001</v>
      </c>
      <c r="T37" s="142">
        <f t="shared" si="32"/>
        <v>-0.29999999999999982</v>
      </c>
      <c r="U37" s="143">
        <f t="shared" si="32"/>
        <v>-1.1949999999999998</v>
      </c>
      <c r="V37" s="142">
        <f t="shared" si="32"/>
        <v>-0.22700000000000001</v>
      </c>
      <c r="W37" s="142">
        <f t="shared" si="32"/>
        <v>-0.53400000000000003</v>
      </c>
      <c r="X37" s="142">
        <f t="shared" si="32"/>
        <v>-0.65899999999999992</v>
      </c>
      <c r="Y37" s="142">
        <f>SUM(Y32:Y36)</f>
        <v>-0.45400000000000029</v>
      </c>
      <c r="Z37" s="143">
        <f t="shared" si="32"/>
        <v>-1.8740000000000001</v>
      </c>
      <c r="AA37" s="142">
        <f t="shared" si="32"/>
        <v>-0.749</v>
      </c>
      <c r="AB37" s="142">
        <f t="shared" si="32"/>
        <v>-0.65799999999999992</v>
      </c>
      <c r="AC37" s="142">
        <f t="shared" si="32"/>
        <v>-0.22599999999999998</v>
      </c>
      <c r="AD37" s="142">
        <f t="shared" si="32"/>
        <v>-41.1</v>
      </c>
      <c r="AE37" s="143">
        <f t="shared" si="32"/>
        <v>-42.732999999999997</v>
      </c>
      <c r="AF37" s="142">
        <f>SUM(AF32:AF36)</f>
        <v>-0.66500000000000004</v>
      </c>
      <c r="AG37" s="142">
        <f>SUM(AG32:AG36)</f>
        <v>-0.64900000000000002</v>
      </c>
      <c r="AH37" s="142">
        <f>SUM(AH32:AH36)</f>
        <v>-1.635</v>
      </c>
      <c r="AI37" s="142">
        <f>SUM(AI32:AI36)</f>
        <v>-0.8879999999999999</v>
      </c>
      <c r="AJ37" s="143">
        <f>SUM(AJ32:AJ36)</f>
        <v>-3.8369999999999997</v>
      </c>
      <c r="AK37" s="142">
        <f t="shared" ref="AK37:BS37" si="33">SUM(AK32:AK36)</f>
        <v>-575.60699999999997</v>
      </c>
      <c r="AL37" s="142">
        <f t="shared" si="33"/>
        <v>1.4730000000000001</v>
      </c>
      <c r="AM37" s="142">
        <f t="shared" si="33"/>
        <v>-165.45699999999999</v>
      </c>
      <c r="AN37" s="142">
        <f t="shared" si="33"/>
        <v>0.38499999999999912</v>
      </c>
      <c r="AO37" s="143">
        <f t="shared" si="33"/>
        <v>-739.2059999999999</v>
      </c>
      <c r="AP37" s="142">
        <f t="shared" si="33"/>
        <v>-2.4529999999999998</v>
      </c>
      <c r="AQ37" s="142">
        <f t="shared" si="33"/>
        <v>-9.3070000000000004</v>
      </c>
      <c r="AR37" s="142">
        <f t="shared" si="33"/>
        <v>8.8070000000000004</v>
      </c>
      <c r="AS37" s="142">
        <f t="shared" si="33"/>
        <v>-26.434000000000001</v>
      </c>
      <c r="AT37" s="143">
        <f t="shared" si="33"/>
        <v>-29.387</v>
      </c>
      <c r="AU37" s="142">
        <f t="shared" si="33"/>
        <v>24.080000000000005</v>
      </c>
      <c r="AV37" s="142">
        <f t="shared" si="33"/>
        <v>-3.669</v>
      </c>
      <c r="AW37" s="142">
        <f t="shared" si="33"/>
        <v>-2.8020000000000005</v>
      </c>
      <c r="AX37" s="142">
        <f t="shared" si="33"/>
        <v>-2.4969999999999999</v>
      </c>
      <c r="AY37" s="143">
        <f t="shared" si="33"/>
        <v>15.112000000000004</v>
      </c>
      <c r="AZ37" s="142">
        <f t="shared" si="33"/>
        <v>2.8779999999999997</v>
      </c>
      <c r="BA37" s="142">
        <f t="shared" si="33"/>
        <v>-2.77</v>
      </c>
      <c r="BB37" s="142">
        <f t="shared" si="33"/>
        <v>-2.2419999999999995</v>
      </c>
      <c r="BC37" s="142">
        <f t="shared" si="33"/>
        <v>-54.141000000000005</v>
      </c>
      <c r="BD37" s="143">
        <f t="shared" si="33"/>
        <v>-56.274999999999999</v>
      </c>
      <c r="BE37" s="142">
        <f t="shared" si="33"/>
        <v>-51.818000000000005</v>
      </c>
      <c r="BF37" s="142">
        <f t="shared" si="33"/>
        <v>-0.22400000000000242</v>
      </c>
      <c r="BG37" s="142">
        <f t="shared" si="33"/>
        <v>48.262999999999998</v>
      </c>
      <c r="BH37" s="142">
        <f t="shared" si="33"/>
        <v>-4.3910000000000018</v>
      </c>
      <c r="BI37" s="143">
        <f t="shared" si="33"/>
        <v>-8.170000000000007</v>
      </c>
      <c r="BJ37" s="142">
        <f t="shared" si="33"/>
        <v>-2.069</v>
      </c>
      <c r="BK37" s="142">
        <f t="shared" si="33"/>
        <v>-1.536</v>
      </c>
      <c r="BL37" s="142">
        <f t="shared" si="33"/>
        <v>-3.0420000000000007</v>
      </c>
      <c r="BM37" s="142">
        <f t="shared" si="33"/>
        <v>-4.6410000000000018</v>
      </c>
      <c r="BN37" s="143">
        <f t="shared" si="33"/>
        <v>-11.288000000000002</v>
      </c>
      <c r="BO37" s="142">
        <f t="shared" si="33"/>
        <v>-2.319</v>
      </c>
      <c r="BP37" s="142">
        <f t="shared" si="33"/>
        <v>-1.786</v>
      </c>
      <c r="BQ37" s="142">
        <f t="shared" si="33"/>
        <v>-3.2920000000000007</v>
      </c>
      <c r="BR37" s="142">
        <f t="shared" si="33"/>
        <v>-4.8910000000000018</v>
      </c>
      <c r="BS37" s="143">
        <f t="shared" si="33"/>
        <v>-12.288000000000004</v>
      </c>
      <c r="BU37" s="80"/>
    </row>
    <row r="38" spans="1:74">
      <c r="A38" s="145" t="s">
        <v>203</v>
      </c>
      <c r="B38" s="406"/>
      <c r="C38" s="406"/>
      <c r="D38" s="406"/>
      <c r="E38" s="406"/>
      <c r="F38" s="407"/>
      <c r="G38" s="406"/>
      <c r="H38" s="406"/>
      <c r="I38" s="406"/>
      <c r="J38" s="406"/>
      <c r="K38" s="407"/>
      <c r="L38" s="406"/>
      <c r="M38" s="406"/>
      <c r="N38" s="406"/>
      <c r="O38" s="406"/>
      <c r="P38" s="407"/>
      <c r="Q38" s="146"/>
      <c r="R38" s="146"/>
      <c r="S38" s="146"/>
      <c r="T38" s="146"/>
      <c r="U38" s="152"/>
      <c r="V38" s="146"/>
      <c r="W38" s="146"/>
      <c r="X38" s="146"/>
      <c r="Y38" s="146"/>
      <c r="Z38" s="152"/>
      <c r="AA38" s="146"/>
      <c r="AB38" s="146"/>
      <c r="AC38" s="146"/>
      <c r="AD38" s="146"/>
      <c r="AE38" s="152"/>
      <c r="AF38" s="146"/>
      <c r="AG38" s="146"/>
      <c r="AH38" s="146"/>
      <c r="AI38" s="408"/>
      <c r="AJ38" s="152"/>
      <c r="AK38" s="146"/>
      <c r="AL38" s="146"/>
      <c r="AM38" s="146"/>
      <c r="AN38" s="146"/>
      <c r="AO38" s="152"/>
      <c r="AP38" s="146"/>
      <c r="AQ38" s="408"/>
      <c r="AR38" s="146"/>
      <c r="AS38" s="146"/>
      <c r="AT38" s="152"/>
      <c r="AU38" s="146"/>
      <c r="AV38" s="408"/>
      <c r="AW38" s="146"/>
      <c r="AX38" s="146"/>
      <c r="AY38" s="152"/>
      <c r="AZ38" s="146"/>
      <c r="BA38" s="408"/>
      <c r="BB38" s="146"/>
      <c r="BC38" s="146"/>
      <c r="BD38" s="152"/>
      <c r="BE38" s="146"/>
      <c r="BF38" s="408"/>
      <c r="BG38" s="146"/>
      <c r="BH38" s="146"/>
      <c r="BI38" s="152"/>
      <c r="BJ38" s="146"/>
      <c r="BK38" s="146"/>
      <c r="BL38" s="146"/>
      <c r="BM38" s="146"/>
      <c r="BN38" s="152"/>
      <c r="BO38" s="146"/>
      <c r="BP38" s="146"/>
      <c r="BQ38" s="146"/>
      <c r="BR38" s="146"/>
      <c r="BS38" s="152"/>
      <c r="BU38" s="80"/>
    </row>
    <row r="39" spans="1:74">
      <c r="A39" s="20" t="s">
        <v>237</v>
      </c>
      <c r="B39" s="400"/>
      <c r="C39" s="400"/>
      <c r="D39" s="400"/>
      <c r="E39" s="400"/>
      <c r="F39" s="401"/>
      <c r="G39" s="400"/>
      <c r="H39" s="400"/>
      <c r="I39" s="400"/>
      <c r="J39" s="400"/>
      <c r="K39" s="401"/>
      <c r="L39" s="400"/>
      <c r="M39" s="400"/>
      <c r="N39" s="400"/>
      <c r="O39" s="400"/>
      <c r="P39" s="401"/>
      <c r="Q39" s="128">
        <v>0.2</v>
      </c>
      <c r="R39" s="128">
        <f>0.2-Q39</f>
        <v>0</v>
      </c>
      <c r="S39" s="128">
        <f>0.2-R39-Q39</f>
        <v>0</v>
      </c>
      <c r="T39" s="128">
        <f t="shared" ref="T39:T46" si="34">+U39-S39-R39-Q39</f>
        <v>0</v>
      </c>
      <c r="U39" s="129">
        <v>0.2</v>
      </c>
      <c r="V39" s="128">
        <v>0</v>
      </c>
      <c r="W39" s="128">
        <v>0</v>
      </c>
      <c r="X39" s="128">
        <f>55.039-W39-V39</f>
        <v>55.039000000000001</v>
      </c>
      <c r="Y39" s="128">
        <f t="shared" ref="Y39:Y47" si="35">+Z39-X39-W39-V39</f>
        <v>-1.0000000000047748E-3</v>
      </c>
      <c r="Z39" s="129">
        <v>55.037999999999997</v>
      </c>
      <c r="AA39" s="128">
        <v>0</v>
      </c>
      <c r="AB39" s="128">
        <f>137.848-AA39</f>
        <v>137.84800000000001</v>
      </c>
      <c r="AC39" s="128">
        <f>137.848-AB39-AA39</f>
        <v>0</v>
      </c>
      <c r="AD39" s="128">
        <f t="shared" ref="AD39:AD47" si="36">+AE39-AC39-AB39-AA39</f>
        <v>0</v>
      </c>
      <c r="AE39" s="129">
        <v>137.84800000000001</v>
      </c>
      <c r="AF39" s="128">
        <v>0</v>
      </c>
      <c r="AG39" s="128">
        <v>0</v>
      </c>
      <c r="AH39" s="128">
        <f>193.831-AG39-AF39</f>
        <v>193.83099999999999</v>
      </c>
      <c r="AI39" s="128">
        <f>193.831-AH39-AG39-AF39</f>
        <v>0</v>
      </c>
      <c r="AJ39" s="129">
        <f t="shared" ref="AJ39:AJ46" si="37">SUM(AF39:AI39)</f>
        <v>193.83099999999999</v>
      </c>
      <c r="AK39" s="128">
        <v>593.82100000000003</v>
      </c>
      <c r="AL39" s="128">
        <f>593.821-AK39</f>
        <v>0</v>
      </c>
      <c r="AM39" s="128">
        <f>593.821-AL39-AK39</f>
        <v>0</v>
      </c>
      <c r="AN39" s="128">
        <f>593.821-AM39-AL39-AK39</f>
        <v>0</v>
      </c>
      <c r="AO39" s="129">
        <f t="shared" ref="AO39:AO46" si="38">SUM(AK39:AN39)</f>
        <v>593.82100000000003</v>
      </c>
      <c r="AP39" s="133">
        <v>0</v>
      </c>
      <c r="AQ39" s="128">
        <v>0</v>
      </c>
      <c r="AR39" s="133">
        <v>0</v>
      </c>
      <c r="AS39" s="133">
        <v>0</v>
      </c>
      <c r="AT39" s="129">
        <f t="shared" ref="AT39:AT46" si="39">SUM(AP39:AS39)</f>
        <v>0</v>
      </c>
      <c r="AU39" s="133">
        <v>0</v>
      </c>
      <c r="AV39" s="128">
        <v>0</v>
      </c>
      <c r="AW39" s="133">
        <v>0</v>
      </c>
      <c r="AX39" s="133">
        <v>0</v>
      </c>
      <c r="AY39" s="129">
        <f t="shared" ref="AY39:AY46" si="40">SUM(AU39:AX39)</f>
        <v>0</v>
      </c>
      <c r="AZ39" s="133">
        <v>0</v>
      </c>
      <c r="BA39" s="128">
        <v>0</v>
      </c>
      <c r="BB39" s="133">
        <v>0</v>
      </c>
      <c r="BC39" s="133">
        <v>0</v>
      </c>
      <c r="BD39" s="129">
        <f t="shared" ref="BD39:BD44" si="41">SUM(AZ39:BC39)</f>
        <v>0</v>
      </c>
      <c r="BE39" s="133">
        <v>0</v>
      </c>
      <c r="BF39" s="128">
        <v>0</v>
      </c>
      <c r="BG39" s="133">
        <v>0</v>
      </c>
      <c r="BH39" s="133">
        <v>0</v>
      </c>
      <c r="BI39" s="129">
        <f t="shared" ref="BI39:BI44" si="42">SUM(BE39:BH39)</f>
        <v>0</v>
      </c>
      <c r="BJ39" s="133">
        <v>0</v>
      </c>
      <c r="BK39" s="133">
        <v>0</v>
      </c>
      <c r="BL39" s="133">
        <v>0</v>
      </c>
      <c r="BM39" s="133">
        <v>0</v>
      </c>
      <c r="BN39" s="129">
        <f t="shared" ref="BN39:BN44" si="43">SUM(BJ39:BM39)</f>
        <v>0</v>
      </c>
      <c r="BO39" s="133">
        <v>0</v>
      </c>
      <c r="BP39" s="133">
        <v>0</v>
      </c>
      <c r="BQ39" s="133">
        <v>0</v>
      </c>
      <c r="BR39" s="133">
        <v>0</v>
      </c>
      <c r="BS39" s="129">
        <f t="shared" ref="BS39:BS44" si="44">SUM(BO39:BR39)</f>
        <v>0</v>
      </c>
      <c r="BU39" s="80"/>
    </row>
    <row r="40" spans="1:74">
      <c r="A40" s="20" t="s">
        <v>238</v>
      </c>
      <c r="B40" s="400"/>
      <c r="C40" s="400"/>
      <c r="D40" s="400"/>
      <c r="E40" s="400"/>
      <c r="F40" s="401"/>
      <c r="G40" s="400"/>
      <c r="H40" s="400"/>
      <c r="I40" s="400"/>
      <c r="J40" s="400"/>
      <c r="K40" s="401"/>
      <c r="L40" s="400"/>
      <c r="M40" s="400"/>
      <c r="N40" s="400"/>
      <c r="O40" s="400"/>
      <c r="P40" s="401"/>
      <c r="Q40" s="128">
        <v>0</v>
      </c>
      <c r="R40" s="128">
        <v>0</v>
      </c>
      <c r="S40" s="128">
        <v>0</v>
      </c>
      <c r="T40" s="128">
        <f t="shared" si="34"/>
        <v>-1.536</v>
      </c>
      <c r="U40" s="129">
        <v>-1.536</v>
      </c>
      <c r="V40" s="128">
        <v>0</v>
      </c>
      <c r="W40" s="128">
        <v>0</v>
      </c>
      <c r="X40" s="128">
        <v>0</v>
      </c>
      <c r="Y40" s="128">
        <f t="shared" si="35"/>
        <v>0</v>
      </c>
      <c r="Z40" s="129">
        <v>0</v>
      </c>
      <c r="AA40" s="128">
        <v>0</v>
      </c>
      <c r="AB40" s="128">
        <v>0</v>
      </c>
      <c r="AC40" s="128">
        <v>0</v>
      </c>
      <c r="AD40" s="128">
        <f t="shared" si="36"/>
        <v>0</v>
      </c>
      <c r="AE40" s="129">
        <v>0</v>
      </c>
      <c r="AF40" s="128">
        <v>0</v>
      </c>
      <c r="AG40" s="128">
        <v>0</v>
      </c>
      <c r="AH40" s="128">
        <v>0</v>
      </c>
      <c r="AI40" s="128">
        <v>0</v>
      </c>
      <c r="AJ40" s="129">
        <f t="shared" si="37"/>
        <v>0</v>
      </c>
      <c r="AK40" s="128">
        <v>0</v>
      </c>
      <c r="AL40" s="128">
        <v>0</v>
      </c>
      <c r="AM40" s="128">
        <v>0</v>
      </c>
      <c r="AN40" s="128">
        <v>0</v>
      </c>
      <c r="AO40" s="129">
        <f t="shared" si="38"/>
        <v>0</v>
      </c>
      <c r="AP40" s="133">
        <v>0</v>
      </c>
      <c r="AQ40" s="128">
        <v>0</v>
      </c>
      <c r="AR40" s="133">
        <v>0</v>
      </c>
      <c r="AS40" s="128">
        <v>0</v>
      </c>
      <c r="AT40" s="129">
        <f t="shared" si="39"/>
        <v>0</v>
      </c>
      <c r="AU40" s="133">
        <v>0</v>
      </c>
      <c r="AV40" s="128">
        <v>0</v>
      </c>
      <c r="AW40" s="133">
        <v>0</v>
      </c>
      <c r="AX40" s="128">
        <v>0</v>
      </c>
      <c r="AY40" s="129">
        <f t="shared" si="40"/>
        <v>0</v>
      </c>
      <c r="AZ40" s="133">
        <v>0</v>
      </c>
      <c r="BA40" s="128">
        <v>0</v>
      </c>
      <c r="BB40" s="133">
        <v>0</v>
      </c>
      <c r="BC40" s="128">
        <v>0</v>
      </c>
      <c r="BD40" s="129">
        <f t="shared" si="41"/>
        <v>0</v>
      </c>
      <c r="BE40" s="133">
        <v>0</v>
      </c>
      <c r="BF40" s="128">
        <v>0</v>
      </c>
      <c r="BG40" s="133">
        <v>0</v>
      </c>
      <c r="BH40" s="133">
        <v>0</v>
      </c>
      <c r="BI40" s="129">
        <f t="shared" si="42"/>
        <v>0</v>
      </c>
      <c r="BJ40" s="133">
        <v>0</v>
      </c>
      <c r="BK40" s="133">
        <v>0</v>
      </c>
      <c r="BL40" s="133">
        <v>0</v>
      </c>
      <c r="BM40" s="133">
        <v>0</v>
      </c>
      <c r="BN40" s="129">
        <f t="shared" si="43"/>
        <v>0</v>
      </c>
      <c r="BO40" s="133">
        <v>0</v>
      </c>
      <c r="BP40" s="133">
        <v>0</v>
      </c>
      <c r="BQ40" s="133">
        <v>0</v>
      </c>
      <c r="BR40" s="133">
        <v>0</v>
      </c>
      <c r="BS40" s="129">
        <f t="shared" si="44"/>
        <v>0</v>
      </c>
      <c r="BU40" s="80"/>
    </row>
    <row r="41" spans="1:74">
      <c r="A41" s="20" t="s">
        <v>239</v>
      </c>
      <c r="B41" s="400"/>
      <c r="C41" s="400"/>
      <c r="D41" s="400"/>
      <c r="E41" s="400"/>
      <c r="F41" s="401"/>
      <c r="G41" s="400"/>
      <c r="H41" s="400"/>
      <c r="I41" s="400"/>
      <c r="J41" s="400"/>
      <c r="K41" s="401"/>
      <c r="L41" s="400"/>
      <c r="M41" s="400"/>
      <c r="N41" s="400"/>
      <c r="O41" s="400"/>
      <c r="P41" s="401"/>
      <c r="Q41" s="128">
        <v>0</v>
      </c>
      <c r="R41" s="128">
        <v>0</v>
      </c>
      <c r="S41" s="128">
        <v>0</v>
      </c>
      <c r="T41" s="128">
        <f t="shared" si="34"/>
        <v>24.88</v>
      </c>
      <c r="U41" s="129">
        <v>24.88</v>
      </c>
      <c r="V41" s="128">
        <v>0</v>
      </c>
      <c r="W41" s="128">
        <v>0</v>
      </c>
      <c r="X41" s="128">
        <v>0</v>
      </c>
      <c r="Y41" s="128">
        <f t="shared" si="35"/>
        <v>0</v>
      </c>
      <c r="Z41" s="129">
        <v>0</v>
      </c>
      <c r="AA41" s="128">
        <v>0</v>
      </c>
      <c r="AB41" s="128">
        <v>0</v>
      </c>
      <c r="AC41" s="128">
        <v>0</v>
      </c>
      <c r="AD41" s="128">
        <f t="shared" si="36"/>
        <v>0</v>
      </c>
      <c r="AE41" s="129">
        <v>0</v>
      </c>
      <c r="AF41" s="128">
        <v>0</v>
      </c>
      <c r="AG41" s="128">
        <v>0</v>
      </c>
      <c r="AH41" s="128">
        <v>0</v>
      </c>
      <c r="AI41" s="128">
        <v>0</v>
      </c>
      <c r="AJ41" s="129">
        <f t="shared" si="37"/>
        <v>0</v>
      </c>
      <c r="AK41" s="128">
        <v>0</v>
      </c>
      <c r="AL41" s="128">
        <v>0</v>
      </c>
      <c r="AM41" s="128">
        <v>0</v>
      </c>
      <c r="AN41" s="128">
        <v>0</v>
      </c>
      <c r="AO41" s="129">
        <f t="shared" si="38"/>
        <v>0</v>
      </c>
      <c r="AP41" s="133">
        <v>0</v>
      </c>
      <c r="AQ41" s="128">
        <v>0</v>
      </c>
      <c r="AR41" s="128">
        <v>0</v>
      </c>
      <c r="AS41" s="128">
        <v>0</v>
      </c>
      <c r="AT41" s="129">
        <f t="shared" si="39"/>
        <v>0</v>
      </c>
      <c r="AU41" s="133">
        <v>0</v>
      </c>
      <c r="AV41" s="128">
        <v>0</v>
      </c>
      <c r="AW41" s="128">
        <v>0</v>
      </c>
      <c r="AX41" s="128">
        <v>0</v>
      </c>
      <c r="AY41" s="129">
        <f t="shared" si="40"/>
        <v>0</v>
      </c>
      <c r="AZ41" s="133">
        <v>0</v>
      </c>
      <c r="BA41" s="128">
        <v>0</v>
      </c>
      <c r="BB41" s="128">
        <v>0</v>
      </c>
      <c r="BC41" s="128">
        <v>0</v>
      </c>
      <c r="BD41" s="129">
        <f t="shared" si="41"/>
        <v>0</v>
      </c>
      <c r="BE41" s="133">
        <v>0</v>
      </c>
      <c r="BF41" s="128">
        <v>0</v>
      </c>
      <c r="BG41" s="128">
        <v>0</v>
      </c>
      <c r="BH41" s="133">
        <v>0</v>
      </c>
      <c r="BI41" s="129">
        <f t="shared" si="42"/>
        <v>0</v>
      </c>
      <c r="BJ41" s="133">
        <v>0</v>
      </c>
      <c r="BK41" s="133">
        <v>0</v>
      </c>
      <c r="BL41" s="133">
        <v>0</v>
      </c>
      <c r="BM41" s="133">
        <v>0</v>
      </c>
      <c r="BN41" s="129">
        <f t="shared" si="43"/>
        <v>0</v>
      </c>
      <c r="BO41" s="133">
        <v>0</v>
      </c>
      <c r="BP41" s="133">
        <v>0</v>
      </c>
      <c r="BQ41" s="133">
        <v>0</v>
      </c>
      <c r="BR41" s="133">
        <v>0</v>
      </c>
      <c r="BS41" s="129">
        <f t="shared" si="44"/>
        <v>0</v>
      </c>
      <c r="BU41" s="80"/>
    </row>
    <row r="42" spans="1:74">
      <c r="A42" s="20" t="s">
        <v>240</v>
      </c>
      <c r="B42" s="400"/>
      <c r="C42" s="400"/>
      <c r="D42" s="400"/>
      <c r="E42" s="400"/>
      <c r="F42" s="401"/>
      <c r="G42" s="400"/>
      <c r="H42" s="400"/>
      <c r="I42" s="400"/>
      <c r="J42" s="400"/>
      <c r="K42" s="401"/>
      <c r="L42" s="400"/>
      <c r="M42" s="400"/>
      <c r="N42" s="400"/>
      <c r="O42" s="400"/>
      <c r="P42" s="401"/>
      <c r="Q42" s="128">
        <v>0</v>
      </c>
      <c r="R42" s="128">
        <v>0</v>
      </c>
      <c r="S42" s="128">
        <v>0</v>
      </c>
      <c r="T42" s="128">
        <f t="shared" si="34"/>
        <v>-25.385000000000002</v>
      </c>
      <c r="U42" s="129">
        <v>-25.385000000000002</v>
      </c>
      <c r="V42" s="128">
        <v>0</v>
      </c>
      <c r="W42" s="128">
        <v>0</v>
      </c>
      <c r="X42" s="128">
        <v>0</v>
      </c>
      <c r="Y42" s="128">
        <f t="shared" si="35"/>
        <v>0</v>
      </c>
      <c r="Z42" s="129">
        <v>0</v>
      </c>
      <c r="AA42" s="128">
        <v>-12.5</v>
      </c>
      <c r="AB42" s="128">
        <f>-24.9-AA42</f>
        <v>-12.399999999999999</v>
      </c>
      <c r="AC42" s="128">
        <f>-24.9-AB42-AA42</f>
        <v>0</v>
      </c>
      <c r="AD42" s="128">
        <f t="shared" si="36"/>
        <v>0</v>
      </c>
      <c r="AE42" s="129">
        <v>-24.9</v>
      </c>
      <c r="AF42" s="128">
        <v>0</v>
      </c>
      <c r="AG42" s="128">
        <v>0</v>
      </c>
      <c r="AH42" s="128">
        <f>-0.1-AG42-AF42</f>
        <v>-0.1</v>
      </c>
      <c r="AI42" s="128">
        <f>-0.1-AH42-AG42-AF42</f>
        <v>0</v>
      </c>
      <c r="AJ42" s="129">
        <f t="shared" si="37"/>
        <v>-0.1</v>
      </c>
      <c r="AK42" s="128">
        <v>0</v>
      </c>
      <c r="AL42" s="128">
        <v>0</v>
      </c>
      <c r="AM42" s="128">
        <v>0</v>
      </c>
      <c r="AN42" s="128">
        <f>0</f>
        <v>0</v>
      </c>
      <c r="AO42" s="129">
        <f t="shared" si="38"/>
        <v>0</v>
      </c>
      <c r="AP42" s="133">
        <v>0</v>
      </c>
      <c r="AQ42" s="128">
        <f>-0.097-AP42</f>
        <v>-9.7000000000000003E-2</v>
      </c>
      <c r="AR42" s="128">
        <f>-0.094-AQ42</f>
        <v>3.0000000000000027E-3</v>
      </c>
      <c r="AS42" s="128">
        <f>-1.281-AR42-AQ42-AP42</f>
        <v>-1.1869999999999998</v>
      </c>
      <c r="AT42" s="129">
        <f t="shared" si="39"/>
        <v>-1.2809999999999999</v>
      </c>
      <c r="AU42" s="133">
        <v>0</v>
      </c>
      <c r="AV42" s="128">
        <f>0-AU42</f>
        <v>0</v>
      </c>
      <c r="AW42" s="128">
        <f>0-AV42</f>
        <v>0</v>
      </c>
      <c r="AX42" s="128">
        <f>0-AW42-AV42-AU42</f>
        <v>0</v>
      </c>
      <c r="AY42" s="129">
        <f t="shared" si="40"/>
        <v>0</v>
      </c>
      <c r="AZ42" s="133">
        <v>0</v>
      </c>
      <c r="BA42" s="128">
        <f>0-AZ42</f>
        <v>0</v>
      </c>
      <c r="BB42" s="128">
        <f>0-BA42</f>
        <v>0</v>
      </c>
      <c r="BC42" s="128">
        <f>0-BB42-BA42-AZ42</f>
        <v>0</v>
      </c>
      <c r="BD42" s="129">
        <f t="shared" si="41"/>
        <v>0</v>
      </c>
      <c r="BE42" s="133">
        <v>0</v>
      </c>
      <c r="BF42" s="128">
        <f>0-BE42</f>
        <v>0</v>
      </c>
      <c r="BG42" s="128">
        <f>0-BF42</f>
        <v>0</v>
      </c>
      <c r="BH42" s="133">
        <v>0</v>
      </c>
      <c r="BI42" s="129">
        <f t="shared" si="42"/>
        <v>0</v>
      </c>
      <c r="BJ42" s="133">
        <v>0</v>
      </c>
      <c r="BK42" s="133">
        <v>0</v>
      </c>
      <c r="BL42" s="133">
        <v>0</v>
      </c>
      <c r="BM42" s="133">
        <v>0</v>
      </c>
      <c r="BN42" s="129">
        <f t="shared" si="43"/>
        <v>0</v>
      </c>
      <c r="BO42" s="133">
        <v>0</v>
      </c>
      <c r="BP42" s="133">
        <v>0</v>
      </c>
      <c r="BQ42" s="133">
        <v>0</v>
      </c>
      <c r="BR42" s="133">
        <v>0</v>
      </c>
      <c r="BS42" s="129">
        <f t="shared" si="44"/>
        <v>0</v>
      </c>
      <c r="BU42" s="80"/>
    </row>
    <row r="43" spans="1:74">
      <c r="A43" s="20" t="s">
        <v>241</v>
      </c>
      <c r="B43" s="400"/>
      <c r="C43" s="400"/>
      <c r="D43" s="400"/>
      <c r="E43" s="400"/>
      <c r="F43" s="401"/>
      <c r="G43" s="400"/>
      <c r="H43" s="400"/>
      <c r="I43" s="400"/>
      <c r="J43" s="400"/>
      <c r="K43" s="401"/>
      <c r="L43" s="400"/>
      <c r="M43" s="400"/>
      <c r="N43" s="400"/>
      <c r="O43" s="400"/>
      <c r="P43" s="401"/>
      <c r="Q43" s="128">
        <v>0</v>
      </c>
      <c r="R43" s="128">
        <v>0</v>
      </c>
      <c r="S43" s="128">
        <v>0</v>
      </c>
      <c r="T43" s="128">
        <f t="shared" si="34"/>
        <v>0</v>
      </c>
      <c r="U43" s="129">
        <v>0</v>
      </c>
      <c r="V43" s="128">
        <v>0.40300000000000002</v>
      </c>
      <c r="W43" s="128">
        <f>0.403-V43</f>
        <v>0</v>
      </c>
      <c r="X43" s="128">
        <f>0.403-W43-V43</f>
        <v>0</v>
      </c>
      <c r="Y43" s="128">
        <f t="shared" si="35"/>
        <v>0</v>
      </c>
      <c r="Z43" s="129">
        <v>0.40300000000000002</v>
      </c>
      <c r="AA43" s="128">
        <v>0</v>
      </c>
      <c r="AB43" s="128">
        <v>0</v>
      </c>
      <c r="AC43" s="128">
        <v>0</v>
      </c>
      <c r="AD43" s="128">
        <f t="shared" si="36"/>
        <v>0</v>
      </c>
      <c r="AE43" s="129">
        <v>0</v>
      </c>
      <c r="AF43" s="128">
        <v>0</v>
      </c>
      <c r="AG43" s="128">
        <v>0</v>
      </c>
      <c r="AH43" s="128">
        <v>0</v>
      </c>
      <c r="AI43" s="128">
        <v>0</v>
      </c>
      <c r="AJ43" s="129">
        <f t="shared" si="37"/>
        <v>0</v>
      </c>
      <c r="AK43" s="128">
        <v>0</v>
      </c>
      <c r="AL43" s="128">
        <v>0</v>
      </c>
      <c r="AM43" s="128">
        <v>0</v>
      </c>
      <c r="AN43" s="128">
        <v>0</v>
      </c>
      <c r="AO43" s="129">
        <f t="shared" si="38"/>
        <v>0</v>
      </c>
      <c r="AP43" s="133">
        <v>0</v>
      </c>
      <c r="AQ43" s="128">
        <v>0</v>
      </c>
      <c r="AR43" s="128">
        <v>0</v>
      </c>
      <c r="AS43" s="128">
        <v>0</v>
      </c>
      <c r="AT43" s="129">
        <f t="shared" si="39"/>
        <v>0</v>
      </c>
      <c r="AU43" s="133">
        <v>0</v>
      </c>
      <c r="AV43" s="128">
        <v>0</v>
      </c>
      <c r="AW43" s="128">
        <v>0</v>
      </c>
      <c r="AX43" s="128">
        <v>0</v>
      </c>
      <c r="AY43" s="129">
        <f t="shared" si="40"/>
        <v>0</v>
      </c>
      <c r="AZ43" s="133">
        <v>0</v>
      </c>
      <c r="BA43" s="128">
        <v>0</v>
      </c>
      <c r="BB43" s="128">
        <v>0</v>
      </c>
      <c r="BC43" s="128">
        <v>0</v>
      </c>
      <c r="BD43" s="129">
        <f t="shared" si="41"/>
        <v>0</v>
      </c>
      <c r="BE43" s="133">
        <v>0</v>
      </c>
      <c r="BF43" s="128">
        <v>0</v>
      </c>
      <c r="BG43" s="128">
        <v>0</v>
      </c>
      <c r="BH43" s="133">
        <v>0</v>
      </c>
      <c r="BI43" s="129">
        <f t="shared" si="42"/>
        <v>0</v>
      </c>
      <c r="BJ43" s="133">
        <v>0</v>
      </c>
      <c r="BK43" s="133">
        <v>0</v>
      </c>
      <c r="BL43" s="133">
        <v>0</v>
      </c>
      <c r="BM43" s="133">
        <v>0</v>
      </c>
      <c r="BN43" s="129">
        <f t="shared" si="43"/>
        <v>0</v>
      </c>
      <c r="BO43" s="133">
        <v>0</v>
      </c>
      <c r="BP43" s="133">
        <v>0</v>
      </c>
      <c r="BQ43" s="133">
        <v>0</v>
      </c>
      <c r="BR43" s="133">
        <v>0</v>
      </c>
      <c r="BS43" s="129">
        <f t="shared" si="44"/>
        <v>0</v>
      </c>
      <c r="BU43" s="80"/>
    </row>
    <row r="44" spans="1:74">
      <c r="A44" s="20" t="s">
        <v>242</v>
      </c>
      <c r="B44" s="400"/>
      <c r="C44" s="400"/>
      <c r="D44" s="400"/>
      <c r="E44" s="400"/>
      <c r="F44" s="401"/>
      <c r="G44" s="400"/>
      <c r="H44" s="400"/>
      <c r="I44" s="400"/>
      <c r="J44" s="400"/>
      <c r="K44" s="401"/>
      <c r="L44" s="400"/>
      <c r="M44" s="400"/>
      <c r="N44" s="400"/>
      <c r="O44" s="400"/>
      <c r="P44" s="401"/>
      <c r="Q44" s="128">
        <v>-6.6000000000000003E-2</v>
      </c>
      <c r="R44" s="128">
        <f>-0.135-Q44</f>
        <v>-6.9000000000000006E-2</v>
      </c>
      <c r="S44" s="128">
        <f>-0.204-R44-Q44</f>
        <v>-6.8999999999999978E-2</v>
      </c>
      <c r="T44" s="128">
        <f t="shared" si="34"/>
        <v>-7.0000000000000034E-2</v>
      </c>
      <c r="U44" s="129">
        <v>-0.27400000000000002</v>
      </c>
      <c r="V44" s="128">
        <v>-7.0999999999999994E-2</v>
      </c>
      <c r="W44" s="128">
        <f>-0.144-V44</f>
        <v>-7.2999999999999995E-2</v>
      </c>
      <c r="X44" s="128">
        <f>-0.217-W44-V44</f>
        <v>-7.3000000000000023E-2</v>
      </c>
      <c r="Y44" s="128">
        <f t="shared" si="35"/>
        <v>-7.4999999999999969E-2</v>
      </c>
      <c r="Z44" s="129">
        <v>-0.29199999999999998</v>
      </c>
      <c r="AA44" s="128">
        <v>-7.4999999999999997E-2</v>
      </c>
      <c r="AB44" s="128">
        <f>-0.152-AA44</f>
        <v>-7.6999999999999999E-2</v>
      </c>
      <c r="AC44" s="128">
        <f>-0.229-AB44-AA44</f>
        <v>-7.7000000000000027E-2</v>
      </c>
      <c r="AD44" s="128">
        <f t="shared" si="36"/>
        <v>-7.8999999999999973E-2</v>
      </c>
      <c r="AE44" s="129">
        <v>-0.308</v>
      </c>
      <c r="AF44" s="128">
        <v>0</v>
      </c>
      <c r="AG44" s="128">
        <v>0</v>
      </c>
      <c r="AH44" s="128">
        <v>0</v>
      </c>
      <c r="AI44" s="128">
        <v>0</v>
      </c>
      <c r="AJ44" s="129">
        <f t="shared" si="37"/>
        <v>0</v>
      </c>
      <c r="AK44" s="128">
        <v>0</v>
      </c>
      <c r="AL44" s="128">
        <v>0</v>
      </c>
      <c r="AM44" s="128">
        <v>0</v>
      </c>
      <c r="AN44" s="128">
        <v>0</v>
      </c>
      <c r="AO44" s="129">
        <f t="shared" si="38"/>
        <v>0</v>
      </c>
      <c r="AP44" s="133">
        <v>0</v>
      </c>
      <c r="AQ44" s="128">
        <v>0</v>
      </c>
      <c r="AR44" s="128">
        <v>0</v>
      </c>
      <c r="AS44" s="128">
        <v>0</v>
      </c>
      <c r="AT44" s="129">
        <f t="shared" si="39"/>
        <v>0</v>
      </c>
      <c r="AU44" s="133">
        <v>0</v>
      </c>
      <c r="AV44" s="128">
        <v>0</v>
      </c>
      <c r="AW44" s="128">
        <v>0</v>
      </c>
      <c r="AX44" s="128">
        <v>0</v>
      </c>
      <c r="AY44" s="129">
        <f t="shared" si="40"/>
        <v>0</v>
      </c>
      <c r="AZ44" s="133">
        <v>0</v>
      </c>
      <c r="BA44" s="128">
        <v>0</v>
      </c>
      <c r="BB44" s="128">
        <v>0</v>
      </c>
      <c r="BC44" s="128">
        <v>0</v>
      </c>
      <c r="BD44" s="129">
        <f t="shared" si="41"/>
        <v>0</v>
      </c>
      <c r="BE44" s="133">
        <v>0</v>
      </c>
      <c r="BF44" s="128">
        <v>0</v>
      </c>
      <c r="BG44" s="128">
        <v>0</v>
      </c>
      <c r="BH44" s="133">
        <v>0</v>
      </c>
      <c r="BI44" s="129">
        <f t="shared" si="42"/>
        <v>0</v>
      </c>
      <c r="BJ44" s="133">
        <v>0</v>
      </c>
      <c r="BK44" s="133">
        <v>0</v>
      </c>
      <c r="BL44" s="133">
        <v>0</v>
      </c>
      <c r="BM44" s="133">
        <v>0</v>
      </c>
      <c r="BN44" s="129">
        <f t="shared" si="43"/>
        <v>0</v>
      </c>
      <c r="BO44" s="133">
        <v>0</v>
      </c>
      <c r="BP44" s="133">
        <v>0</v>
      </c>
      <c r="BQ44" s="133">
        <v>0</v>
      </c>
      <c r="BR44" s="133">
        <v>0</v>
      </c>
      <c r="BS44" s="129">
        <f t="shared" si="44"/>
        <v>0</v>
      </c>
      <c r="BU44" s="80"/>
    </row>
    <row r="45" spans="1:74">
      <c r="A45" s="20" t="s">
        <v>243</v>
      </c>
      <c r="B45" s="400"/>
      <c r="C45" s="400"/>
      <c r="D45" s="400"/>
      <c r="E45" s="400"/>
      <c r="F45" s="401"/>
      <c r="G45" s="400"/>
      <c r="H45" s="400"/>
      <c r="I45" s="400"/>
      <c r="J45" s="400"/>
      <c r="K45" s="401"/>
      <c r="L45" s="400"/>
      <c r="M45" s="400"/>
      <c r="N45" s="400"/>
      <c r="O45" s="400"/>
      <c r="P45" s="401"/>
      <c r="Q45" s="128"/>
      <c r="R45" s="128"/>
      <c r="S45" s="128"/>
      <c r="T45" s="128"/>
      <c r="U45" s="129"/>
      <c r="V45" s="128"/>
      <c r="W45" s="128"/>
      <c r="X45" s="128"/>
      <c r="Y45" s="128"/>
      <c r="Z45" s="129"/>
      <c r="AA45" s="128">
        <v>-0.55600000000000005</v>
      </c>
      <c r="AB45" s="128">
        <v>0</v>
      </c>
      <c r="AC45" s="128">
        <v>0</v>
      </c>
      <c r="AD45" s="128">
        <f t="shared" si="36"/>
        <v>0.55600000000000005</v>
      </c>
      <c r="AE45" s="129">
        <v>0</v>
      </c>
      <c r="AF45" s="128">
        <v>-2.3039999999999998</v>
      </c>
      <c r="AG45" s="128">
        <f>-2.678-AF45</f>
        <v>-0.37400000000000011</v>
      </c>
      <c r="AH45" s="128">
        <f>-3.161-AG45-AF45</f>
        <v>-0.4830000000000001</v>
      </c>
      <c r="AI45" s="128">
        <f>-3.845-AH45-AG45-AF45</f>
        <v>-0.68400000000000016</v>
      </c>
      <c r="AJ45" s="129">
        <f t="shared" si="37"/>
        <v>-3.8450000000000002</v>
      </c>
      <c r="AK45" s="128">
        <v>-6.774</v>
      </c>
      <c r="AL45" s="128">
        <f>-7.484-AK45</f>
        <v>-0.71</v>
      </c>
      <c r="AM45" s="128">
        <f>-8.307-AL45-AK45</f>
        <v>-0.8230000000000004</v>
      </c>
      <c r="AN45" s="128">
        <f>-9.029-AM45-AL45-AK45</f>
        <v>-0.72199999999999953</v>
      </c>
      <c r="AO45" s="129">
        <f t="shared" si="38"/>
        <v>-9.0289999999999999</v>
      </c>
      <c r="AP45" s="128">
        <f>-1.447-0.1</f>
        <v>-1.5470000000000002</v>
      </c>
      <c r="AQ45" s="128">
        <f>-1.865-AP45</f>
        <v>-0.31799999999999984</v>
      </c>
      <c r="AR45" s="128">
        <f>-2.639-AQ45-AP45</f>
        <v>-0.77399999999999958</v>
      </c>
      <c r="AS45" s="128">
        <f>-3.167-AR45-AQ45-AP45</f>
        <v>-0.52800000000000002</v>
      </c>
      <c r="AT45" s="129">
        <f>SUM(AP45:AS45)</f>
        <v>-3.1669999999999994</v>
      </c>
      <c r="AU45" s="128">
        <f>-2.277</f>
        <v>-2.2770000000000001</v>
      </c>
      <c r="AV45" s="128">
        <f>-3.168-AU45</f>
        <v>-0.89100000000000001</v>
      </c>
      <c r="AW45" s="128">
        <f>-5.614-AV45-AU45</f>
        <v>-2.4459999999999997</v>
      </c>
      <c r="AX45" s="128">
        <f>-6.741-AW45-AV45-AU45</f>
        <v>-1.1269999999999998</v>
      </c>
      <c r="AY45" s="129">
        <f>SUM(AU45:AX45)</f>
        <v>-6.7409999999999997</v>
      </c>
      <c r="AZ45" s="128">
        <v>-3.8319999999999999</v>
      </c>
      <c r="BA45" s="128">
        <f>-5.135-AZ45</f>
        <v>-1.3029999999999999</v>
      </c>
      <c r="BB45" s="128">
        <f>-7.315-BA45-AZ45</f>
        <v>-2.1800000000000006</v>
      </c>
      <c r="BC45" s="128">
        <f>-10.589-BB45-BA45-AZ45</f>
        <v>-3.2739999999999991</v>
      </c>
      <c r="BD45" s="129">
        <f>SUM(AZ45:BC45)</f>
        <v>-10.588999999999999</v>
      </c>
      <c r="BE45" s="128">
        <v>-9.4510000000000005</v>
      </c>
      <c r="BF45" s="128">
        <f>-11.831-BE45</f>
        <v>-2.379999999999999</v>
      </c>
      <c r="BG45" s="128">
        <f>-14.645-BF45-BE45</f>
        <v>-2.8140000000000001</v>
      </c>
      <c r="BH45" s="133">
        <v>0</v>
      </c>
      <c r="BI45" s="129">
        <f>SUM(BE45:BH45)</f>
        <v>-14.645</v>
      </c>
      <c r="BJ45" s="133">
        <v>0</v>
      </c>
      <c r="BK45" s="133">
        <v>0</v>
      </c>
      <c r="BL45" s="133">
        <v>0</v>
      </c>
      <c r="BM45" s="133">
        <v>0</v>
      </c>
      <c r="BN45" s="129">
        <f>SUM(BJ45:BM45)</f>
        <v>0</v>
      </c>
      <c r="BO45" s="133">
        <v>0</v>
      </c>
      <c r="BP45" s="133">
        <v>0</v>
      </c>
      <c r="BQ45" s="133">
        <v>0</v>
      </c>
      <c r="BR45" s="133">
        <v>0</v>
      </c>
      <c r="BS45" s="129">
        <f>SUM(BO45:BR45)</f>
        <v>0</v>
      </c>
      <c r="BU45" s="80"/>
    </row>
    <row r="46" spans="1:74">
      <c r="A46" s="20" t="s">
        <v>244</v>
      </c>
      <c r="B46" s="400"/>
      <c r="C46" s="400"/>
      <c r="D46" s="400"/>
      <c r="E46" s="400"/>
      <c r="F46" s="401"/>
      <c r="G46" s="400"/>
      <c r="H46" s="400"/>
      <c r="I46" s="400"/>
      <c r="J46" s="400"/>
      <c r="K46" s="401"/>
      <c r="L46" s="400"/>
      <c r="M46" s="400"/>
      <c r="N46" s="400"/>
      <c r="O46" s="400"/>
      <c r="P46" s="401"/>
      <c r="Q46" s="128">
        <v>0.41399999999999998</v>
      </c>
      <c r="R46" s="128">
        <f>0.463-Q46</f>
        <v>4.9000000000000044E-2</v>
      </c>
      <c r="S46" s="128">
        <f>0.974-R46-Q46</f>
        <v>0.5109999999999999</v>
      </c>
      <c r="T46" s="128">
        <f t="shared" si="34"/>
        <v>0.92300000000000026</v>
      </c>
      <c r="U46" s="129">
        <v>1.897</v>
      </c>
      <c r="V46" s="128">
        <v>0.56899999999999995</v>
      </c>
      <c r="W46" s="128">
        <f>0.881-V46</f>
        <v>0.31200000000000006</v>
      </c>
      <c r="X46" s="128">
        <f>2.445-W46-V46</f>
        <v>1.5640000000000001</v>
      </c>
      <c r="Y46" s="128">
        <f t="shared" si="35"/>
        <v>1.9049999999999994</v>
      </c>
      <c r="Z46" s="129">
        <v>4.3499999999999996</v>
      </c>
      <c r="AA46" s="128">
        <v>4.7370000000000001</v>
      </c>
      <c r="AB46" s="128">
        <f>6.729-AA46</f>
        <v>1.992</v>
      </c>
      <c r="AC46" s="128">
        <f>11.603-AB46-AA46</f>
        <v>4.8740000000000006</v>
      </c>
      <c r="AD46" s="128">
        <f t="shared" si="36"/>
        <v>3.0439999999999996</v>
      </c>
      <c r="AE46" s="129">
        <v>14.647</v>
      </c>
      <c r="AF46" s="128">
        <v>2.085</v>
      </c>
      <c r="AG46" s="128">
        <f>5.849-AF46</f>
        <v>3.7640000000000002</v>
      </c>
      <c r="AH46" s="128">
        <f>10.114-AG46-AF46</f>
        <v>4.2650000000000006</v>
      </c>
      <c r="AI46" s="128">
        <f>13.709-AH46-AG46-AF46</f>
        <v>3.5949999999999989</v>
      </c>
      <c r="AJ46" s="129">
        <f t="shared" si="37"/>
        <v>13.709</v>
      </c>
      <c r="AK46" s="128">
        <v>3.9649999999999999</v>
      </c>
      <c r="AL46" s="128">
        <f>6.595-AK46</f>
        <v>2.63</v>
      </c>
      <c r="AM46" s="128">
        <f>10.633-AL46-AK46</f>
        <v>4.0380000000000003</v>
      </c>
      <c r="AN46" s="128">
        <f>11.528-AM46-AL46-AK46</f>
        <v>0.89500000000000046</v>
      </c>
      <c r="AO46" s="129">
        <f t="shared" si="38"/>
        <v>11.527999999999999</v>
      </c>
      <c r="AP46" s="128">
        <v>3.5369999999999999</v>
      </c>
      <c r="AQ46" s="128">
        <f>3.877-AP46</f>
        <v>0.33999999999999986</v>
      </c>
      <c r="AR46" s="128">
        <f>6.134-AQ46-AP46</f>
        <v>2.2570000000000006</v>
      </c>
      <c r="AS46" s="128">
        <f>7.942-AR46-AQ46-AP46</f>
        <v>1.8079999999999998</v>
      </c>
      <c r="AT46" s="129">
        <f t="shared" si="39"/>
        <v>7.9420000000000002</v>
      </c>
      <c r="AU46" s="128">
        <v>3.9620000000000002</v>
      </c>
      <c r="AV46" s="128">
        <f>5.25-AU46</f>
        <v>1.2879999999999998</v>
      </c>
      <c r="AW46" s="128">
        <f>7.806-AV46-AU46</f>
        <v>2.5560000000000005</v>
      </c>
      <c r="AX46" s="128">
        <f>9.578-AW46-AV46-AU46</f>
        <v>1.771999999999998</v>
      </c>
      <c r="AY46" s="129">
        <f t="shared" si="40"/>
        <v>9.5779999999999994</v>
      </c>
      <c r="AZ46" s="128">
        <v>2.968</v>
      </c>
      <c r="BA46" s="128">
        <f>4.26-AZ46</f>
        <v>1.2919999999999998</v>
      </c>
      <c r="BB46" s="128">
        <f>16.729-BA46-AZ46</f>
        <v>12.468999999999999</v>
      </c>
      <c r="BC46" s="128">
        <f>19.993-BB46-BA46-AZ46</f>
        <v>3.2639999999999993</v>
      </c>
      <c r="BD46" s="129">
        <f t="shared" ref="BD46" si="45">SUM(AZ46:BC46)</f>
        <v>19.992999999999999</v>
      </c>
      <c r="BE46" s="128">
        <v>2.9670000000000001</v>
      </c>
      <c r="BF46" s="128">
        <f>4.781-BE46</f>
        <v>1.8139999999999996</v>
      </c>
      <c r="BG46" s="128">
        <f>10.572-BF46-BE46</f>
        <v>5.7909999999999986</v>
      </c>
      <c r="BH46" s="133">
        <v>0</v>
      </c>
      <c r="BI46" s="129">
        <f t="shared" ref="BI46:BI47" si="46">SUM(BE46:BH46)</f>
        <v>10.571999999999999</v>
      </c>
      <c r="BJ46" s="133">
        <v>0</v>
      </c>
      <c r="BK46" s="133">
        <v>0</v>
      </c>
      <c r="BL46" s="133">
        <v>0</v>
      </c>
      <c r="BM46" s="133">
        <v>0</v>
      </c>
      <c r="BN46" s="129">
        <f t="shared" ref="BN46:BN47" si="47">SUM(BJ46:BM46)</f>
        <v>0</v>
      </c>
      <c r="BO46" s="133">
        <v>0</v>
      </c>
      <c r="BP46" s="133">
        <v>0</v>
      </c>
      <c r="BQ46" s="133">
        <v>0</v>
      </c>
      <c r="BR46" s="133">
        <v>0</v>
      </c>
      <c r="BS46" s="129">
        <f t="shared" ref="BS46:BS47" si="48">SUM(BO46:BR46)</f>
        <v>0</v>
      </c>
      <c r="BU46" s="80"/>
    </row>
    <row r="47" spans="1:74">
      <c r="A47" s="20" t="s">
        <v>245</v>
      </c>
      <c r="B47" s="400"/>
      <c r="C47" s="400"/>
      <c r="D47" s="400"/>
      <c r="E47" s="400"/>
      <c r="F47" s="401"/>
      <c r="G47" s="400"/>
      <c r="H47" s="400"/>
      <c r="I47" s="400"/>
      <c r="J47" s="400"/>
      <c r="K47" s="401"/>
      <c r="L47" s="400"/>
      <c r="M47" s="400"/>
      <c r="N47" s="400"/>
      <c r="O47" s="400"/>
      <c r="P47" s="401"/>
      <c r="Q47" s="128">
        <v>0</v>
      </c>
      <c r="R47" s="128">
        <v>0</v>
      </c>
      <c r="S47" s="128">
        <v>0</v>
      </c>
      <c r="T47" s="128">
        <v>0</v>
      </c>
      <c r="U47" s="129">
        <v>0</v>
      </c>
      <c r="V47" s="128">
        <v>0</v>
      </c>
      <c r="W47" s="128">
        <v>0</v>
      </c>
      <c r="X47" s="128">
        <v>0</v>
      </c>
      <c r="Y47" s="128">
        <f t="shared" si="35"/>
        <v>0</v>
      </c>
      <c r="Z47" s="129">
        <v>0</v>
      </c>
      <c r="AA47" s="128">
        <v>0</v>
      </c>
      <c r="AB47" s="128">
        <v>0</v>
      </c>
      <c r="AC47" s="128">
        <v>0</v>
      </c>
      <c r="AD47" s="128">
        <f t="shared" si="36"/>
        <v>0</v>
      </c>
      <c r="AE47" s="129">
        <v>0</v>
      </c>
      <c r="AF47" s="128">
        <v>0</v>
      </c>
      <c r="AG47" s="128">
        <v>0</v>
      </c>
      <c r="AH47" s="128">
        <v>0</v>
      </c>
      <c r="AI47" s="128">
        <v>0</v>
      </c>
      <c r="AJ47" s="129">
        <f t="shared" ref="AJ47" si="49">SUM(AF47:AI47)</f>
        <v>0</v>
      </c>
      <c r="AK47" s="128">
        <v>0</v>
      </c>
      <c r="AL47" s="128">
        <v>0</v>
      </c>
      <c r="AM47" s="128">
        <v>0</v>
      </c>
      <c r="AN47" s="128">
        <v>0</v>
      </c>
      <c r="AO47" s="129">
        <f t="shared" ref="AO47" si="50">SUM(AK47:AN47)</f>
        <v>0</v>
      </c>
      <c r="AP47" s="133">
        <v>0</v>
      </c>
      <c r="AQ47" s="128">
        <v>0</v>
      </c>
      <c r="AR47" s="133">
        <v>0</v>
      </c>
      <c r="AS47" s="128">
        <v>0</v>
      </c>
      <c r="AT47" s="129">
        <f t="shared" ref="AT47" si="51">SUM(AP47:AS47)</f>
        <v>0</v>
      </c>
      <c r="AU47" s="133">
        <v>0</v>
      </c>
      <c r="AV47" s="128">
        <v>0</v>
      </c>
      <c r="AW47" s="133">
        <v>0</v>
      </c>
      <c r="AX47" s="128">
        <v>0</v>
      </c>
      <c r="AY47" s="129">
        <f t="shared" ref="AY47" si="52">SUM(AU47:AX47)</f>
        <v>0</v>
      </c>
      <c r="AZ47" s="133">
        <v>0</v>
      </c>
      <c r="BA47" s="128">
        <v>0</v>
      </c>
      <c r="BB47" s="133">
        <v>0</v>
      </c>
      <c r="BC47" s="128">
        <f>-4.5</f>
        <v>-4.5</v>
      </c>
      <c r="BD47" s="129">
        <f t="shared" ref="BD47" si="53">SUM(AZ47:BC47)</f>
        <v>-4.5</v>
      </c>
      <c r="BE47" s="133">
        <v>0</v>
      </c>
      <c r="BF47" s="128">
        <v>0</v>
      </c>
      <c r="BG47" s="133">
        <v>0</v>
      </c>
      <c r="BH47" s="133">
        <v>0</v>
      </c>
      <c r="BI47" s="129">
        <f t="shared" si="46"/>
        <v>0</v>
      </c>
      <c r="BJ47" s="133">
        <v>0</v>
      </c>
      <c r="BK47" s="133">
        <v>0</v>
      </c>
      <c r="BL47" s="133">
        <v>0</v>
      </c>
      <c r="BM47" s="133">
        <v>0</v>
      </c>
      <c r="BN47" s="129">
        <f t="shared" si="47"/>
        <v>0</v>
      </c>
      <c r="BO47" s="133">
        <v>0</v>
      </c>
      <c r="BP47" s="133">
        <v>0</v>
      </c>
      <c r="BQ47" s="133">
        <v>0</v>
      </c>
      <c r="BR47" s="133">
        <v>0</v>
      </c>
      <c r="BS47" s="129">
        <f t="shared" si="48"/>
        <v>0</v>
      </c>
      <c r="BU47" s="80"/>
    </row>
    <row r="48" spans="1:74">
      <c r="A48" s="409" t="s">
        <v>246</v>
      </c>
      <c r="B48" s="402"/>
      <c r="C48" s="402"/>
      <c r="D48" s="402"/>
      <c r="E48" s="402"/>
      <c r="F48" s="403"/>
      <c r="G48" s="402"/>
      <c r="H48" s="402"/>
      <c r="I48" s="402"/>
      <c r="J48" s="402"/>
      <c r="K48" s="403"/>
      <c r="L48" s="402"/>
      <c r="M48" s="402"/>
      <c r="N48" s="402"/>
      <c r="O48" s="402"/>
      <c r="P48" s="403"/>
      <c r="Q48" s="142">
        <f t="shared" ref="Q48:AY48" si="54">SUM(Q39:Q46)</f>
        <v>0.54800000000000004</v>
      </c>
      <c r="R48" s="142">
        <f t="shared" si="54"/>
        <v>-1.9999999999999962E-2</v>
      </c>
      <c r="S48" s="142">
        <f t="shared" si="54"/>
        <v>0.44199999999999995</v>
      </c>
      <c r="T48" s="142">
        <f t="shared" si="54"/>
        <v>-1.1880000000000035</v>
      </c>
      <c r="U48" s="143">
        <f t="shared" si="54"/>
        <v>-0.21800000000000108</v>
      </c>
      <c r="V48" s="142">
        <f t="shared" si="54"/>
        <v>0.90100000000000002</v>
      </c>
      <c r="W48" s="142">
        <f t="shared" si="54"/>
        <v>0.23900000000000005</v>
      </c>
      <c r="X48" s="142">
        <f t="shared" si="54"/>
        <v>56.53</v>
      </c>
      <c r="Y48" s="142">
        <f t="shared" si="54"/>
        <v>1.8289999999999946</v>
      </c>
      <c r="Z48" s="143">
        <f t="shared" si="54"/>
        <v>59.498999999999995</v>
      </c>
      <c r="AA48" s="142">
        <f t="shared" si="54"/>
        <v>-8.3940000000000001</v>
      </c>
      <c r="AB48" s="142">
        <f t="shared" si="54"/>
        <v>127.36300000000001</v>
      </c>
      <c r="AC48" s="142">
        <f t="shared" si="54"/>
        <v>4.7970000000000006</v>
      </c>
      <c r="AD48" s="142">
        <f t="shared" si="54"/>
        <v>3.5209999999999999</v>
      </c>
      <c r="AE48" s="143">
        <f t="shared" si="54"/>
        <v>127.28700000000001</v>
      </c>
      <c r="AF48" s="142">
        <f t="shared" si="54"/>
        <v>-0.21899999999999986</v>
      </c>
      <c r="AG48" s="142">
        <f t="shared" si="54"/>
        <v>3.39</v>
      </c>
      <c r="AH48" s="142">
        <f t="shared" si="54"/>
        <v>197.51299999999998</v>
      </c>
      <c r="AI48" s="142">
        <f t="shared" si="54"/>
        <v>2.9109999999999987</v>
      </c>
      <c r="AJ48" s="143">
        <f t="shared" si="54"/>
        <v>203.595</v>
      </c>
      <c r="AK48" s="142">
        <f t="shared" si="54"/>
        <v>591.01200000000006</v>
      </c>
      <c r="AL48" s="142">
        <f t="shared" si="54"/>
        <v>1.92</v>
      </c>
      <c r="AM48" s="142">
        <f t="shared" si="54"/>
        <v>3.2149999999999999</v>
      </c>
      <c r="AN48" s="142">
        <f t="shared" si="54"/>
        <v>0.17300000000000093</v>
      </c>
      <c r="AO48" s="143">
        <f t="shared" si="54"/>
        <v>596.32000000000005</v>
      </c>
      <c r="AP48" s="142">
        <f t="shared" si="54"/>
        <v>1.9899999999999998</v>
      </c>
      <c r="AQ48" s="142">
        <f t="shared" si="54"/>
        <v>-7.4999999999999956E-2</v>
      </c>
      <c r="AR48" s="142">
        <f t="shared" si="54"/>
        <v>1.4860000000000011</v>
      </c>
      <c r="AS48" s="142">
        <f t="shared" si="54"/>
        <v>9.2999999999999972E-2</v>
      </c>
      <c r="AT48" s="143">
        <f t="shared" si="54"/>
        <v>3.4940000000000007</v>
      </c>
      <c r="AU48" s="142">
        <f t="shared" si="54"/>
        <v>1.6850000000000001</v>
      </c>
      <c r="AV48" s="142">
        <f t="shared" si="54"/>
        <v>0.3969999999999998</v>
      </c>
      <c r="AW48" s="142">
        <f t="shared" si="54"/>
        <v>0.11000000000000076</v>
      </c>
      <c r="AX48" s="142">
        <f t="shared" si="54"/>
        <v>0.64499999999999824</v>
      </c>
      <c r="AY48" s="143">
        <f t="shared" si="54"/>
        <v>2.8369999999999997</v>
      </c>
      <c r="AZ48" s="142">
        <f>SUM(AZ39:AZ47)</f>
        <v>-0.86399999999999988</v>
      </c>
      <c r="BA48" s="142">
        <f t="shared" ref="BA48:BB48" si="55">SUM(BA39:BA47)</f>
        <v>-1.1000000000000121E-2</v>
      </c>
      <c r="BB48" s="142">
        <f t="shared" si="55"/>
        <v>10.288999999999998</v>
      </c>
      <c r="BC48" s="142">
        <f>SUM(BC39:BC47)</f>
        <v>-4.51</v>
      </c>
      <c r="BD48" s="143">
        <f>SUM(BD39:BD47)</f>
        <v>4.9039999999999999</v>
      </c>
      <c r="BE48" s="142">
        <f>SUM(BE39:BE47)</f>
        <v>-6.484</v>
      </c>
      <c r="BF48" s="142">
        <f t="shared" ref="BF48:BG48" si="56">SUM(BF39:BF47)</f>
        <v>-0.56599999999999939</v>
      </c>
      <c r="BG48" s="142">
        <f t="shared" si="56"/>
        <v>2.9769999999999985</v>
      </c>
      <c r="BH48" s="142">
        <f>SUM(BH39:BH47)</f>
        <v>0</v>
      </c>
      <c r="BI48" s="143">
        <f>SUM(BI39:BI47)</f>
        <v>-4.0730000000000004</v>
      </c>
      <c r="BJ48" s="142">
        <f>SUM(BJ39:BJ47)</f>
        <v>0</v>
      </c>
      <c r="BK48" s="142">
        <f t="shared" ref="BK48:BL48" si="57">SUM(BK39:BK47)</f>
        <v>0</v>
      </c>
      <c r="BL48" s="142">
        <f t="shared" si="57"/>
        <v>0</v>
      </c>
      <c r="BM48" s="142">
        <f>SUM(BM39:BM47)</f>
        <v>0</v>
      </c>
      <c r="BN48" s="143">
        <f>SUM(BN39:BN47)</f>
        <v>0</v>
      </c>
      <c r="BO48" s="142">
        <f>SUM(BO39:BO47)</f>
        <v>0</v>
      </c>
      <c r="BP48" s="142">
        <f t="shared" ref="BP48:BQ48" si="58">SUM(BP39:BP47)</f>
        <v>0</v>
      </c>
      <c r="BQ48" s="142">
        <f t="shared" si="58"/>
        <v>0</v>
      </c>
      <c r="BR48" s="142">
        <f>SUM(BR39:BR47)</f>
        <v>0</v>
      </c>
      <c r="BS48" s="143">
        <f>SUM(BS39:BS47)</f>
        <v>0</v>
      </c>
      <c r="BU48" s="80"/>
    </row>
    <row r="49" spans="1:73">
      <c r="A49" s="410" t="s">
        <v>247</v>
      </c>
      <c r="B49" s="400"/>
      <c r="C49" s="400"/>
      <c r="D49" s="400"/>
      <c r="E49" s="400"/>
      <c r="F49" s="401"/>
      <c r="G49" s="400"/>
      <c r="H49" s="400"/>
      <c r="I49" s="400"/>
      <c r="J49" s="400"/>
      <c r="K49" s="401"/>
      <c r="L49" s="400"/>
      <c r="M49" s="400"/>
      <c r="N49" s="400"/>
      <c r="O49" s="400"/>
      <c r="P49" s="401"/>
      <c r="Q49" s="128">
        <v>0</v>
      </c>
      <c r="R49" s="128">
        <v>0</v>
      </c>
      <c r="S49" s="128">
        <v>0</v>
      </c>
      <c r="T49" s="128">
        <f>+U49-S49-R49-Q49</f>
        <v>0</v>
      </c>
      <c r="U49" s="129">
        <v>0</v>
      </c>
      <c r="V49" s="128">
        <v>0</v>
      </c>
      <c r="W49" s="128">
        <v>0</v>
      </c>
      <c r="X49" s="128">
        <v>0</v>
      </c>
      <c r="Y49" s="128">
        <f>+Z49-X49-W49-V49</f>
        <v>0</v>
      </c>
      <c r="Z49" s="129">
        <v>0</v>
      </c>
      <c r="AA49" s="128">
        <v>0</v>
      </c>
      <c r="AB49" s="128">
        <v>0</v>
      </c>
      <c r="AC49" s="128">
        <v>0</v>
      </c>
      <c r="AD49" s="128">
        <v>0</v>
      </c>
      <c r="AE49" s="129">
        <v>0</v>
      </c>
      <c r="AF49" s="128">
        <v>0</v>
      </c>
      <c r="AG49" s="128">
        <v>0</v>
      </c>
      <c r="AH49" s="128">
        <f>-0.017-AG49-AF49</f>
        <v>-1.7000000000000001E-2</v>
      </c>
      <c r="AI49" s="128">
        <v>0</v>
      </c>
      <c r="AJ49" s="129">
        <f>SUM(AF49:AI49)</f>
        <v>-1.7000000000000001E-2</v>
      </c>
      <c r="AK49" s="133">
        <v>0</v>
      </c>
      <c r="AL49" s="128">
        <f>-1.797-AK49</f>
        <v>-1.7969999999999999</v>
      </c>
      <c r="AM49" s="128">
        <f>-1.678-AL49-AK49</f>
        <v>0.11899999999999999</v>
      </c>
      <c r="AN49" s="128">
        <f>-1.514-AM49-AL49-AK49</f>
        <v>0.16399999999999992</v>
      </c>
      <c r="AO49" s="129">
        <f>SUM(AK49:AN49)</f>
        <v>-1.514</v>
      </c>
      <c r="AP49" s="128">
        <v>-0.247</v>
      </c>
      <c r="AQ49" s="128">
        <f>-0.67-AP49</f>
        <v>-0.42300000000000004</v>
      </c>
      <c r="AR49" s="128">
        <f>-1.324-AQ49-AP49:AP49</f>
        <v>-0.65400000000000003</v>
      </c>
      <c r="AS49" s="128">
        <f>-0.592-AR49-AQ49-AP49</f>
        <v>0.7320000000000001</v>
      </c>
      <c r="AT49" s="129">
        <f>SUM(AP49:AS49)</f>
        <v>-0.59199999999999997</v>
      </c>
      <c r="AU49" s="128">
        <v>0.05</v>
      </c>
      <c r="AV49" s="128">
        <f>0.043-AU49</f>
        <v>-7.0000000000000062E-3</v>
      </c>
      <c r="AW49" s="128">
        <f>-0.134-AV49-AU49:AU49</f>
        <v>-0.17699999999999999</v>
      </c>
      <c r="AX49" s="128">
        <f>0.163-AW49-AV49-AU49</f>
        <v>0.29699999999999999</v>
      </c>
      <c r="AY49" s="129">
        <f>SUM(AU49:AX49)</f>
        <v>0.16299999999999998</v>
      </c>
      <c r="AZ49" s="128">
        <v>-0.108</v>
      </c>
      <c r="BA49" s="128">
        <f>-0.169-AZ49</f>
        <v>-6.1000000000000013E-2</v>
      </c>
      <c r="BB49" s="128">
        <f>-0.023-BA49-AZ49:AZ49</f>
        <v>0.14600000000000002</v>
      </c>
      <c r="BC49" s="128">
        <f>-0.424-BB49-BA49-AZ49</f>
        <v>-0.40100000000000002</v>
      </c>
      <c r="BD49" s="129">
        <f>SUM(AZ49:BC49)</f>
        <v>-0.42400000000000004</v>
      </c>
      <c r="BE49" s="128">
        <v>7.3999999999999996E-2</v>
      </c>
      <c r="BF49" s="128">
        <f>0.647-BE49</f>
        <v>0.57300000000000006</v>
      </c>
      <c r="BG49" s="128">
        <f>0.707-BF49-BE49:BE49</f>
        <v>5.9999999999999901E-2</v>
      </c>
      <c r="BH49" s="133">
        <v>0</v>
      </c>
      <c r="BI49" s="129">
        <f>SUM(BE49:BH49)</f>
        <v>0.70699999999999996</v>
      </c>
      <c r="BJ49" s="133">
        <v>0</v>
      </c>
      <c r="BK49" s="133">
        <v>0</v>
      </c>
      <c r="BL49" s="133">
        <v>0</v>
      </c>
      <c r="BM49" s="133">
        <v>0</v>
      </c>
      <c r="BN49" s="129">
        <f>SUM(BJ49:BM49)</f>
        <v>0</v>
      </c>
      <c r="BO49" s="133">
        <v>0</v>
      </c>
      <c r="BP49" s="133">
        <v>0</v>
      </c>
      <c r="BQ49" s="133">
        <v>0</v>
      </c>
      <c r="BR49" s="133">
        <v>0</v>
      </c>
      <c r="BS49" s="129">
        <f>SUM(BO49:BR49)</f>
        <v>0</v>
      </c>
      <c r="BU49" s="80"/>
    </row>
    <row r="50" spans="1:73">
      <c r="A50" s="404" t="s">
        <v>248</v>
      </c>
      <c r="B50" s="402"/>
      <c r="C50" s="402"/>
      <c r="D50" s="402"/>
      <c r="E50" s="402"/>
      <c r="F50" s="403"/>
      <c r="G50" s="402"/>
      <c r="H50" s="402"/>
      <c r="I50" s="402"/>
      <c r="J50" s="402"/>
      <c r="K50" s="403"/>
      <c r="L50" s="402"/>
      <c r="M50" s="402"/>
      <c r="N50" s="402"/>
      <c r="O50" s="402"/>
      <c r="P50" s="403"/>
      <c r="Q50" s="142">
        <f t="shared" ref="Q50:AE50" si="59">Q30+Q37+Q48+Q49</f>
        <v>-7.713000000000001</v>
      </c>
      <c r="R50" s="142">
        <f t="shared" si="59"/>
        <v>-5.0429999999999975</v>
      </c>
      <c r="S50" s="142">
        <f t="shared" si="59"/>
        <v>-5.267999999999998</v>
      </c>
      <c r="T50" s="142">
        <f t="shared" si="59"/>
        <v>-7.3040000000000003</v>
      </c>
      <c r="U50" s="143">
        <f t="shared" si="59"/>
        <v>-25.315999999999999</v>
      </c>
      <c r="V50" s="142">
        <f t="shared" si="59"/>
        <v>-6.738999999999999</v>
      </c>
      <c r="W50" s="142">
        <f t="shared" si="59"/>
        <v>-3.394000000000001</v>
      </c>
      <c r="X50" s="142">
        <f t="shared" si="59"/>
        <v>54.088000000000001</v>
      </c>
      <c r="Y50" s="142">
        <f>Y30+Y37+Y48+Y49</f>
        <v>0.14899999999999358</v>
      </c>
      <c r="Z50" s="143">
        <f t="shared" si="59"/>
        <v>44.103999999999999</v>
      </c>
      <c r="AA50" s="142">
        <f t="shared" si="59"/>
        <v>-10.154</v>
      </c>
      <c r="AB50" s="142">
        <f t="shared" si="59"/>
        <v>124.46200000000002</v>
      </c>
      <c r="AC50" s="142">
        <f t="shared" si="59"/>
        <v>3.0149999999999997</v>
      </c>
      <c r="AD50" s="142">
        <f t="shared" si="59"/>
        <v>-36.000999999999998</v>
      </c>
      <c r="AE50" s="143">
        <f t="shared" si="59"/>
        <v>81.322000000000003</v>
      </c>
      <c r="AF50" s="142">
        <f>AF30+AF37+AF48+AF49</f>
        <v>-6.1850000000000005</v>
      </c>
      <c r="AG50" s="142">
        <f>AG30+AG37+AG48+AG49</f>
        <v>-5.6820000000000022</v>
      </c>
      <c r="AH50" s="142">
        <f>AH30+AH37+AH48+AH49</f>
        <v>197.63</v>
      </c>
      <c r="AI50" s="142">
        <f>AI30+AI37+AI48+AI49</f>
        <v>4.2669999999999995</v>
      </c>
      <c r="AJ50" s="143">
        <f>AJ30+AJ37+AJ48+AJ49</f>
        <v>190.03</v>
      </c>
      <c r="AK50" s="142">
        <f t="shared" ref="AK50:BC50" si="60">AK30+AK37+AK48+AK49</f>
        <v>-25.102999999999952</v>
      </c>
      <c r="AL50" s="142">
        <f t="shared" si="60"/>
        <v>3.4830000000000041</v>
      </c>
      <c r="AM50" s="142">
        <f t="shared" si="60"/>
        <v>-163.56899999999999</v>
      </c>
      <c r="AN50" s="142">
        <f t="shared" si="60"/>
        <v>9.1679999999999939</v>
      </c>
      <c r="AO50" s="143">
        <f t="shared" si="60"/>
        <v>-176.02099999999984</v>
      </c>
      <c r="AP50" s="142">
        <f t="shared" si="60"/>
        <v>-9.5820000000000025</v>
      </c>
      <c r="AQ50" s="142">
        <f t="shared" si="60"/>
        <v>-10.167999999999997</v>
      </c>
      <c r="AR50" s="142">
        <f t="shared" si="60"/>
        <v>16.664999999999999</v>
      </c>
      <c r="AS50" s="142">
        <f t="shared" si="60"/>
        <v>-15.864999999999998</v>
      </c>
      <c r="AT50" s="143">
        <f t="shared" si="60"/>
        <v>-18.950000000000003</v>
      </c>
      <c r="AU50" s="142">
        <f t="shared" si="60"/>
        <v>23.643000000000008</v>
      </c>
      <c r="AV50" s="142">
        <f t="shared" si="60"/>
        <v>13.391999999999999</v>
      </c>
      <c r="AW50" s="142">
        <f t="shared" si="60"/>
        <v>11.302000000000012</v>
      </c>
      <c r="AX50" s="142">
        <f t="shared" si="60"/>
        <v>13.996999999999998</v>
      </c>
      <c r="AY50" s="143">
        <f t="shared" si="60"/>
        <v>62.334000000000003</v>
      </c>
      <c r="AZ50" s="142">
        <f t="shared" si="60"/>
        <v>-7.0599999999999987</v>
      </c>
      <c r="BA50" s="142">
        <f t="shared" si="60"/>
        <v>26.732999999999997</v>
      </c>
      <c r="BB50" s="142">
        <f t="shared" si="60"/>
        <v>38.155999999999999</v>
      </c>
      <c r="BC50" s="142">
        <f t="shared" si="60"/>
        <v>-34.527999999999999</v>
      </c>
      <c r="BD50" s="143">
        <f>BD30+BD37+BD48+BD49</f>
        <v>23.301000000000005</v>
      </c>
      <c r="BE50" s="142">
        <f t="shared" ref="BE50:BS50" si="61">BE30+BE37+BE48+BE49</f>
        <v>-52.866000000000007</v>
      </c>
      <c r="BF50" s="142">
        <f t="shared" si="61"/>
        <v>33.388000000000005</v>
      </c>
      <c r="BG50" s="142">
        <f t="shared" si="61"/>
        <v>96.056999999999988</v>
      </c>
      <c r="BH50" s="142">
        <f t="shared" si="61"/>
        <v>9.0300800000000088</v>
      </c>
      <c r="BI50" s="143">
        <f t="shared" si="61"/>
        <v>85.609080000000006</v>
      </c>
      <c r="BJ50" s="142">
        <f t="shared" si="61"/>
        <v>28.054553639000002</v>
      </c>
      <c r="BK50" s="142">
        <f t="shared" si="61"/>
        <v>45.945957452875</v>
      </c>
      <c r="BL50" s="142">
        <f t="shared" si="61"/>
        <v>42.468030894200005</v>
      </c>
      <c r="BM50" s="142">
        <f t="shared" si="61"/>
        <v>48.883534397275028</v>
      </c>
      <c r="BN50" s="143">
        <f t="shared" si="61"/>
        <v>165.35207638335004</v>
      </c>
      <c r="BO50" s="142">
        <f t="shared" si="61"/>
        <v>29.256233062905</v>
      </c>
      <c r="BP50" s="142">
        <f t="shared" si="61"/>
        <v>49.565593239859986</v>
      </c>
      <c r="BQ50" s="142">
        <f t="shared" si="61"/>
        <v>45.93027365620398</v>
      </c>
      <c r="BR50" s="142">
        <f t="shared" si="61"/>
        <v>53.379050935978015</v>
      </c>
      <c r="BS50" s="143">
        <f t="shared" si="61"/>
        <v>178.13115089494698</v>
      </c>
      <c r="BU50" s="80"/>
    </row>
    <row r="51" spans="1:73">
      <c r="A51" s="155" t="s">
        <v>249</v>
      </c>
      <c r="B51" s="400"/>
      <c r="C51" s="400"/>
      <c r="D51" s="400"/>
      <c r="E51" s="400"/>
      <c r="F51" s="401"/>
      <c r="G51" s="400"/>
      <c r="H51" s="400"/>
      <c r="I51" s="400"/>
      <c r="J51" s="400"/>
      <c r="K51" s="401"/>
      <c r="L51" s="400"/>
      <c r="M51" s="400"/>
      <c r="N51" s="400"/>
      <c r="O51" s="400"/>
      <c r="P51" s="401"/>
      <c r="Q51" s="128">
        <v>59.219000000000001</v>
      </c>
      <c r="R51" s="133">
        <f>Q52</f>
        <v>51.506</v>
      </c>
      <c r="S51" s="133">
        <f>R52</f>
        <v>46.463000000000001</v>
      </c>
      <c r="T51" s="133">
        <f>S52</f>
        <v>41.195</v>
      </c>
      <c r="U51" s="129">
        <f>+Q51</f>
        <v>59.219000000000001</v>
      </c>
      <c r="V51" s="128">
        <v>33.890999999999998</v>
      </c>
      <c r="W51" s="133">
        <f>V52</f>
        <v>27.152000000000001</v>
      </c>
      <c r="X51" s="133">
        <f>W52</f>
        <v>23.757999999999999</v>
      </c>
      <c r="Y51" s="133">
        <f>X52</f>
        <v>77.846000000000004</v>
      </c>
      <c r="Z51" s="129">
        <f>+V51</f>
        <v>33.890999999999998</v>
      </c>
      <c r="AA51" s="128">
        <v>78.597999999999999</v>
      </c>
      <c r="AB51" s="133">
        <f>AA52</f>
        <v>68.444000000000003</v>
      </c>
      <c r="AC51" s="133">
        <f>AB52</f>
        <v>192.90600000000001</v>
      </c>
      <c r="AD51" s="133">
        <f>AC52</f>
        <v>195.92099999999999</v>
      </c>
      <c r="AE51" s="129">
        <f>+AA51</f>
        <v>78.597999999999999</v>
      </c>
      <c r="AF51" s="128">
        <f>AD52</f>
        <v>159.91999999999999</v>
      </c>
      <c r="AG51" s="128">
        <f>AF52</f>
        <v>153.73499999999999</v>
      </c>
      <c r="AH51" s="128">
        <f>AG52</f>
        <v>148.053</v>
      </c>
      <c r="AI51" s="128">
        <f>AH52</f>
        <v>345.68299999999999</v>
      </c>
      <c r="AJ51" s="129">
        <f>+AF51</f>
        <v>159.91999999999999</v>
      </c>
      <c r="AK51" s="128">
        <f>AI52</f>
        <v>349.95</v>
      </c>
      <c r="AL51" s="128">
        <f>AK52</f>
        <v>324.84700000000004</v>
      </c>
      <c r="AM51" s="128">
        <f>AL52</f>
        <v>328.33000000000004</v>
      </c>
      <c r="AN51" s="128">
        <f>AM52</f>
        <v>164.77800000000005</v>
      </c>
      <c r="AO51" s="129">
        <f>+AK51</f>
        <v>349.95</v>
      </c>
      <c r="AP51" s="133">
        <f>AN52</f>
        <v>173.94600000000005</v>
      </c>
      <c r="AQ51" s="133">
        <f>AP52</f>
        <v>164.36400000000006</v>
      </c>
      <c r="AR51" s="133">
        <f>AQ52</f>
        <v>154.19600000000005</v>
      </c>
      <c r="AS51" s="133">
        <f>AR52</f>
        <v>170.86100000000005</v>
      </c>
      <c r="AT51" s="129">
        <f>+AP51</f>
        <v>173.94600000000005</v>
      </c>
      <c r="AU51" s="133">
        <f>AS52</f>
        <v>154.99600000000004</v>
      </c>
      <c r="AV51" s="133">
        <f>AU52</f>
        <v>178.63900000000004</v>
      </c>
      <c r="AW51" s="133">
        <f>AV52</f>
        <v>192.03100000000003</v>
      </c>
      <c r="AX51" s="133">
        <f>AW52</f>
        <v>203.33300000000006</v>
      </c>
      <c r="AY51" s="129">
        <f>+AU51</f>
        <v>154.99600000000004</v>
      </c>
      <c r="AZ51" s="133">
        <f>AX52</f>
        <v>217.33000000000004</v>
      </c>
      <c r="BA51" s="133">
        <f>AZ52</f>
        <v>210.27000000000004</v>
      </c>
      <c r="BB51" s="133">
        <f>BA52</f>
        <v>237.00300000000004</v>
      </c>
      <c r="BC51" s="133">
        <f>BB52</f>
        <v>275.15900000000005</v>
      </c>
      <c r="BD51" s="129">
        <f>+AZ51</f>
        <v>217.33000000000004</v>
      </c>
      <c r="BE51" s="133">
        <f>BC52</f>
        <v>240.63100000000006</v>
      </c>
      <c r="BF51" s="133">
        <f>BE52</f>
        <v>187.76500000000004</v>
      </c>
      <c r="BG51" s="133">
        <f>BF52</f>
        <v>221.15300000000005</v>
      </c>
      <c r="BH51" s="133">
        <f>BG52</f>
        <v>368.06500000000005</v>
      </c>
      <c r="BI51" s="129">
        <f>+BE51</f>
        <v>240.63100000000006</v>
      </c>
      <c r="BJ51" s="133">
        <f>BH52</f>
        <v>377.09508000000005</v>
      </c>
      <c r="BK51" s="133">
        <f>BJ52</f>
        <v>405.14963363900006</v>
      </c>
      <c r="BL51" s="133">
        <f>BK52</f>
        <v>451.09559109187506</v>
      </c>
      <c r="BM51" s="133">
        <f>BL52</f>
        <v>493.56362198607508</v>
      </c>
      <c r="BN51" s="129">
        <f>+BJ51</f>
        <v>377.09508000000005</v>
      </c>
      <c r="BO51" s="133">
        <f>BM52</f>
        <v>542.44715638335015</v>
      </c>
      <c r="BP51" s="133">
        <f>BO52</f>
        <v>571.70338944625519</v>
      </c>
      <c r="BQ51" s="133">
        <f>BP52</f>
        <v>621.26898268611512</v>
      </c>
      <c r="BR51" s="133">
        <f>BQ52</f>
        <v>667.19925634231913</v>
      </c>
      <c r="BS51" s="129">
        <f>+BO51</f>
        <v>542.44715638335015</v>
      </c>
      <c r="BU51" s="80"/>
    </row>
    <row r="52" spans="1:73">
      <c r="A52" s="404" t="s">
        <v>250</v>
      </c>
      <c r="B52" s="402"/>
      <c r="C52" s="402"/>
      <c r="D52" s="402"/>
      <c r="E52" s="402"/>
      <c r="F52" s="403"/>
      <c r="G52" s="402"/>
      <c r="H52" s="402"/>
      <c r="I52" s="402"/>
      <c r="J52" s="402"/>
      <c r="K52" s="403"/>
      <c r="L52" s="402"/>
      <c r="M52" s="402"/>
      <c r="N52" s="402"/>
      <c r="O52" s="402"/>
      <c r="P52" s="403"/>
      <c r="Q52" s="142">
        <f t="shared" ref="Q52:AN52" si="62">SUM(Q50:Q51)</f>
        <v>51.506</v>
      </c>
      <c r="R52" s="142">
        <f t="shared" si="62"/>
        <v>46.463000000000001</v>
      </c>
      <c r="S52" s="142">
        <f t="shared" si="62"/>
        <v>41.195</v>
      </c>
      <c r="T52" s="142">
        <f t="shared" si="62"/>
        <v>33.890999999999998</v>
      </c>
      <c r="U52" s="143">
        <f t="shared" si="62"/>
        <v>33.903000000000006</v>
      </c>
      <c r="V52" s="142">
        <f t="shared" si="62"/>
        <v>27.152000000000001</v>
      </c>
      <c r="W52" s="142">
        <f t="shared" si="62"/>
        <v>23.757999999999999</v>
      </c>
      <c r="X52" s="142">
        <f t="shared" si="62"/>
        <v>77.846000000000004</v>
      </c>
      <c r="Y52" s="142">
        <f t="shared" si="62"/>
        <v>77.99499999999999</v>
      </c>
      <c r="Z52" s="143">
        <f t="shared" si="62"/>
        <v>77.995000000000005</v>
      </c>
      <c r="AA52" s="142">
        <f t="shared" si="62"/>
        <v>68.444000000000003</v>
      </c>
      <c r="AB52" s="142">
        <f t="shared" si="62"/>
        <v>192.90600000000001</v>
      </c>
      <c r="AC52" s="142">
        <f t="shared" si="62"/>
        <v>195.92099999999999</v>
      </c>
      <c r="AD52" s="142">
        <f t="shared" si="62"/>
        <v>159.91999999999999</v>
      </c>
      <c r="AE52" s="143">
        <f t="shared" si="62"/>
        <v>159.92000000000002</v>
      </c>
      <c r="AF52" s="142">
        <f t="shared" si="62"/>
        <v>153.73499999999999</v>
      </c>
      <c r="AG52" s="142">
        <f t="shared" si="62"/>
        <v>148.053</v>
      </c>
      <c r="AH52" s="142">
        <f t="shared" si="62"/>
        <v>345.68299999999999</v>
      </c>
      <c r="AI52" s="142">
        <f t="shared" si="62"/>
        <v>349.95</v>
      </c>
      <c r="AJ52" s="143">
        <f t="shared" si="62"/>
        <v>349.95</v>
      </c>
      <c r="AK52" s="142">
        <f t="shared" si="62"/>
        <v>324.84700000000004</v>
      </c>
      <c r="AL52" s="142">
        <f t="shared" si="62"/>
        <v>328.33000000000004</v>
      </c>
      <c r="AM52" s="142">
        <f>SUM(AM50:AM51)+0.017</f>
        <v>164.77800000000005</v>
      </c>
      <c r="AN52" s="142">
        <f t="shared" si="62"/>
        <v>173.94600000000005</v>
      </c>
      <c r="AO52" s="143">
        <f t="shared" ref="AO52:AY52" si="63">SUM(AO50:AO51)</f>
        <v>173.92900000000014</v>
      </c>
      <c r="AP52" s="142">
        <f t="shared" si="63"/>
        <v>164.36400000000006</v>
      </c>
      <c r="AQ52" s="142">
        <f t="shared" si="63"/>
        <v>154.19600000000005</v>
      </c>
      <c r="AR52" s="142">
        <f t="shared" si="63"/>
        <v>170.86100000000005</v>
      </c>
      <c r="AS52" s="142">
        <f t="shared" si="63"/>
        <v>154.99600000000004</v>
      </c>
      <c r="AT52" s="143">
        <f t="shared" si="63"/>
        <v>154.99600000000004</v>
      </c>
      <c r="AU52" s="142">
        <f t="shared" si="63"/>
        <v>178.63900000000004</v>
      </c>
      <c r="AV52" s="142">
        <f t="shared" si="63"/>
        <v>192.03100000000003</v>
      </c>
      <c r="AW52" s="142">
        <f t="shared" si="63"/>
        <v>203.33300000000006</v>
      </c>
      <c r="AX52" s="142">
        <f t="shared" ref="AX52" si="64">SUM(AX50:AX51)</f>
        <v>217.33000000000004</v>
      </c>
      <c r="AY52" s="143">
        <f t="shared" si="63"/>
        <v>217.33000000000004</v>
      </c>
      <c r="AZ52" s="142">
        <f t="shared" ref="AZ52:BB52" si="65">SUM(AZ50:AZ51)</f>
        <v>210.27000000000004</v>
      </c>
      <c r="BA52" s="142">
        <f t="shared" si="65"/>
        <v>237.00300000000004</v>
      </c>
      <c r="BB52" s="142">
        <f t="shared" si="65"/>
        <v>275.15900000000005</v>
      </c>
      <c r="BC52" s="142">
        <f>SUM(BC50:BC51)</f>
        <v>240.63100000000006</v>
      </c>
      <c r="BD52" s="143">
        <f t="shared" ref="BD52:BS52" si="66">SUM(BD50:BD51)</f>
        <v>240.63100000000006</v>
      </c>
      <c r="BE52" s="142">
        <f t="shared" si="66"/>
        <v>187.76500000000004</v>
      </c>
      <c r="BF52" s="142">
        <f>SUM(BF50:BF51)</f>
        <v>221.15300000000005</v>
      </c>
      <c r="BG52" s="142">
        <f>SUM(BG50:BG51)+50.855</f>
        <v>368.06500000000005</v>
      </c>
      <c r="BH52" s="142">
        <f t="shared" si="66"/>
        <v>377.09508000000005</v>
      </c>
      <c r="BI52" s="143">
        <f t="shared" si="66"/>
        <v>326.24008000000003</v>
      </c>
      <c r="BJ52" s="142">
        <f t="shared" si="66"/>
        <v>405.14963363900006</v>
      </c>
      <c r="BK52" s="142">
        <f t="shared" si="66"/>
        <v>451.09559109187506</v>
      </c>
      <c r="BL52" s="142">
        <f t="shared" si="66"/>
        <v>493.56362198607508</v>
      </c>
      <c r="BM52" s="142">
        <f t="shared" si="66"/>
        <v>542.44715638335015</v>
      </c>
      <c r="BN52" s="143">
        <f t="shared" si="66"/>
        <v>542.44715638335015</v>
      </c>
      <c r="BO52" s="142">
        <f t="shared" si="66"/>
        <v>571.70338944625519</v>
      </c>
      <c r="BP52" s="142">
        <f t="shared" si="66"/>
        <v>621.26898268611512</v>
      </c>
      <c r="BQ52" s="142">
        <f t="shared" si="66"/>
        <v>667.19925634231913</v>
      </c>
      <c r="BR52" s="142">
        <f t="shared" si="66"/>
        <v>720.57830727829719</v>
      </c>
      <c r="BS52" s="143">
        <f t="shared" si="66"/>
        <v>720.57830727829719</v>
      </c>
      <c r="BU52" s="80"/>
    </row>
    <row r="53" spans="1:73">
      <c r="A53" s="272" t="s">
        <v>251</v>
      </c>
      <c r="B53" s="411"/>
      <c r="C53" s="411"/>
      <c r="D53" s="411"/>
      <c r="E53" s="411"/>
      <c r="F53" s="412"/>
      <c r="G53" s="411"/>
      <c r="H53" s="411"/>
      <c r="I53" s="411"/>
      <c r="J53" s="411"/>
      <c r="K53" s="412"/>
      <c r="L53" s="411"/>
      <c r="M53" s="411"/>
      <c r="N53" s="411"/>
      <c r="O53" s="411"/>
      <c r="P53" s="412"/>
      <c r="Q53" s="411"/>
      <c r="R53" s="411"/>
      <c r="S53" s="411"/>
      <c r="T53" s="411"/>
      <c r="U53" s="412"/>
      <c r="V53" s="411"/>
      <c r="W53" s="411"/>
      <c r="X53" s="411"/>
      <c r="Y53" s="411"/>
      <c r="Z53" s="412"/>
      <c r="AA53" s="411"/>
      <c r="AB53" s="411"/>
      <c r="AC53" s="411"/>
      <c r="AD53" s="411"/>
      <c r="AE53" s="412"/>
      <c r="AF53" s="411"/>
      <c r="AG53" s="411"/>
      <c r="AH53" s="411"/>
      <c r="AI53" s="112"/>
      <c r="AJ53" s="412"/>
      <c r="AK53" s="112"/>
      <c r="AL53" s="112"/>
      <c r="AM53" s="112"/>
      <c r="AN53" s="112"/>
      <c r="AO53" s="412"/>
      <c r="AP53" s="112"/>
      <c r="AQ53" s="112"/>
      <c r="AR53" s="112"/>
      <c r="AS53" s="112"/>
      <c r="AT53" s="412"/>
      <c r="AU53" s="112"/>
      <c r="AV53" s="112"/>
      <c r="AW53" s="112"/>
      <c r="AX53" s="112"/>
      <c r="AY53" s="412"/>
      <c r="AZ53" s="112"/>
      <c r="BA53" s="112"/>
      <c r="BB53" s="112"/>
      <c r="BC53" s="112"/>
      <c r="BD53" s="412"/>
      <c r="BE53" s="413"/>
      <c r="BF53" s="112"/>
      <c r="BG53" s="112"/>
      <c r="BH53" s="112"/>
      <c r="BI53" s="412"/>
      <c r="BJ53" s="112"/>
      <c r="BK53" s="112"/>
      <c r="BL53" s="112"/>
      <c r="BM53" s="112"/>
      <c r="BN53" s="412"/>
      <c r="BO53" s="112"/>
      <c r="BP53" s="112"/>
      <c r="BQ53" s="112"/>
      <c r="BR53" s="112"/>
      <c r="BS53" s="412"/>
      <c r="BU53" s="80"/>
    </row>
    <row r="54" spans="1:73">
      <c r="A54" s="272" t="s">
        <v>252</v>
      </c>
      <c r="B54" s="6"/>
      <c r="C54" s="6"/>
      <c r="D54" s="6"/>
      <c r="E54" s="6"/>
      <c r="F54" s="414"/>
      <c r="G54" s="6"/>
      <c r="H54" s="6"/>
      <c r="I54" s="6"/>
      <c r="J54" s="6"/>
      <c r="K54" s="414"/>
      <c r="L54" s="6"/>
      <c r="M54" s="6"/>
      <c r="N54" s="6"/>
      <c r="O54" s="6"/>
      <c r="P54" s="414"/>
      <c r="Q54" s="6" t="s">
        <v>144</v>
      </c>
      <c r="R54" s="6" t="s">
        <v>144</v>
      </c>
      <c r="S54" s="6" t="s">
        <v>144</v>
      </c>
      <c r="T54" s="6" t="s">
        <v>144</v>
      </c>
      <c r="U54" s="414" t="s">
        <v>144</v>
      </c>
      <c r="V54" s="6" t="s">
        <v>144</v>
      </c>
      <c r="W54" s="6" t="s">
        <v>144</v>
      </c>
      <c r="X54" s="6" t="s">
        <v>144</v>
      </c>
      <c r="Y54" s="6" t="s">
        <v>144</v>
      </c>
      <c r="Z54" s="414" t="s">
        <v>144</v>
      </c>
      <c r="AA54" s="6" t="s">
        <v>144</v>
      </c>
      <c r="AB54" s="6" t="s">
        <v>144</v>
      </c>
      <c r="AC54" s="6" t="s">
        <v>144</v>
      </c>
      <c r="AD54" s="6" t="s">
        <v>144</v>
      </c>
      <c r="AE54" s="414" t="s">
        <v>144</v>
      </c>
      <c r="AF54" s="6" t="s">
        <v>144</v>
      </c>
      <c r="AG54" s="6" t="s">
        <v>144</v>
      </c>
      <c r="AH54" s="6" t="s">
        <v>144</v>
      </c>
      <c r="AI54" s="6" t="s">
        <v>144</v>
      </c>
      <c r="AJ54" s="414" t="s">
        <v>144</v>
      </c>
      <c r="AK54" s="6" t="s">
        <v>144</v>
      </c>
      <c r="AL54" s="6" t="s">
        <v>144</v>
      </c>
      <c r="AM54" s="6" t="s">
        <v>144</v>
      </c>
      <c r="AN54" s="6" t="s">
        <v>144</v>
      </c>
      <c r="AO54" s="414" t="s">
        <v>144</v>
      </c>
      <c r="AP54" s="6" t="s">
        <v>144</v>
      </c>
      <c r="AQ54" s="6" t="s">
        <v>144</v>
      </c>
      <c r="AR54" s="6" t="s">
        <v>144</v>
      </c>
      <c r="AS54" s="6" t="s">
        <v>144</v>
      </c>
      <c r="AT54" s="414" t="s">
        <v>144</v>
      </c>
      <c r="AU54" s="6">
        <f t="shared" ref="AU54:BS54" si="67">+AU22/AP22-1</f>
        <v>-18.980477223427307</v>
      </c>
      <c r="AV54" s="6">
        <f t="shared" si="67"/>
        <v>0.32892519123557618</v>
      </c>
      <c r="AW54" s="6">
        <f t="shared" si="67"/>
        <v>1.4104569150567343</v>
      </c>
      <c r="AX54" s="6" t="s">
        <v>144</v>
      </c>
      <c r="AY54" s="414">
        <f t="shared" si="67"/>
        <v>1.023122595751798</v>
      </c>
      <c r="AZ54" s="6">
        <f t="shared" si="67"/>
        <v>0.67269875738931084</v>
      </c>
      <c r="BA54" s="6">
        <f t="shared" si="67"/>
        <v>1.3192195121951213</v>
      </c>
      <c r="BB54" s="6">
        <f t="shared" si="67"/>
        <v>0.91171045098912118</v>
      </c>
      <c r="BC54" s="6">
        <f t="shared" si="67"/>
        <v>1.0335575221238944</v>
      </c>
      <c r="BD54" s="414">
        <f t="shared" si="67"/>
        <v>0.9926630153973337</v>
      </c>
      <c r="BE54" s="6">
        <f t="shared" si="67"/>
        <v>0.49635773530472393</v>
      </c>
      <c r="BF54" s="6">
        <f t="shared" si="67"/>
        <v>0.36206461383139854</v>
      </c>
      <c r="BG54" s="6">
        <f t="shared" si="67"/>
        <v>0.27693485060224909</v>
      </c>
      <c r="BH54" s="6">
        <f t="shared" si="67"/>
        <v>0.88149282829689368</v>
      </c>
      <c r="BI54" s="414">
        <f t="shared" si="67"/>
        <v>0.50958875693616101</v>
      </c>
      <c r="BJ54" s="6">
        <f t="shared" si="67"/>
        <v>0.96984269720923622</v>
      </c>
      <c r="BK54" s="6">
        <f t="shared" si="67"/>
        <v>0.4067087228720776</v>
      </c>
      <c r="BL54" s="6">
        <f t="shared" si="67"/>
        <v>0.17813353907809404</v>
      </c>
      <c r="BM54" s="6">
        <f t="shared" si="67"/>
        <v>-0.11533604197922043</v>
      </c>
      <c r="BN54" s="414">
        <f t="shared" si="67"/>
        <v>0.2328674445598331</v>
      </c>
      <c r="BO54" s="6">
        <f t="shared" si="67"/>
        <v>7.5520027826725622E-2</v>
      </c>
      <c r="BP54" s="6">
        <f t="shared" si="67"/>
        <v>8.1373326439516003E-2</v>
      </c>
      <c r="BQ54" s="6">
        <f t="shared" si="67"/>
        <v>8.2678827147423251E-2</v>
      </c>
      <c r="BR54" s="6">
        <f t="shared" si="67"/>
        <v>8.5173420081563034E-2</v>
      </c>
      <c r="BS54" s="414">
        <f t="shared" si="67"/>
        <v>8.1381668070050761E-2</v>
      </c>
      <c r="BU54" s="80"/>
    </row>
    <row r="55" spans="1:73">
      <c r="A55" s="272"/>
      <c r="B55" s="411"/>
      <c r="C55" s="411"/>
      <c r="D55" s="411"/>
      <c r="E55" s="411"/>
      <c r="F55" s="412"/>
      <c r="G55" s="411"/>
      <c r="H55" s="411"/>
      <c r="I55" s="411"/>
      <c r="J55" s="411"/>
      <c r="K55" s="412"/>
      <c r="L55" s="411"/>
      <c r="M55" s="411"/>
      <c r="N55" s="411"/>
      <c r="O55" s="411"/>
      <c r="P55" s="412"/>
      <c r="Q55" s="411"/>
      <c r="R55" s="411"/>
      <c r="S55" s="411"/>
      <c r="T55" s="411"/>
      <c r="U55" s="412"/>
      <c r="V55" s="411"/>
      <c r="W55" s="411"/>
      <c r="X55" s="411"/>
      <c r="Y55" s="411"/>
      <c r="Z55" s="412"/>
      <c r="AA55" s="411"/>
      <c r="AB55" s="411"/>
      <c r="AC55" s="411"/>
      <c r="AD55" s="411"/>
      <c r="AE55" s="412"/>
      <c r="AF55" s="411"/>
      <c r="AG55" s="411"/>
      <c r="AH55" s="411"/>
      <c r="AI55" s="112"/>
      <c r="AJ55" s="412"/>
      <c r="AK55" s="112"/>
      <c r="AL55" s="112"/>
      <c r="AM55" s="112"/>
      <c r="AN55" s="112"/>
      <c r="AO55" s="412"/>
      <c r="AP55" s="112"/>
      <c r="AQ55" s="112"/>
      <c r="AR55" s="112"/>
      <c r="AS55" s="112"/>
      <c r="AT55" s="412"/>
      <c r="AU55" s="112"/>
      <c r="AV55" s="112"/>
      <c r="AW55" s="112"/>
      <c r="AX55" s="112"/>
      <c r="AY55" s="412"/>
      <c r="AZ55" s="112"/>
      <c r="BA55" s="112"/>
      <c r="BB55" s="112"/>
      <c r="BC55" s="112"/>
      <c r="BD55" s="412"/>
      <c r="BE55" s="112"/>
      <c r="BF55" s="112"/>
      <c r="BG55" s="112"/>
      <c r="BH55" s="112"/>
      <c r="BI55" s="412"/>
      <c r="BJ55" s="112"/>
      <c r="BK55" s="112"/>
      <c r="BL55" s="112"/>
      <c r="BM55" s="112"/>
      <c r="BN55" s="412"/>
      <c r="BO55" s="112"/>
      <c r="BP55" s="112"/>
      <c r="BQ55" s="112"/>
      <c r="BR55" s="112"/>
      <c r="BS55" s="412"/>
      <c r="BU55" s="80"/>
    </row>
    <row r="56" spans="1:73">
      <c r="A56" s="272" t="s">
        <v>230</v>
      </c>
      <c r="B56" s="112"/>
      <c r="C56" s="112"/>
      <c r="D56" s="112"/>
      <c r="E56" s="112"/>
      <c r="F56" s="401"/>
      <c r="G56" s="112"/>
      <c r="H56" s="112"/>
      <c r="I56" s="112"/>
      <c r="J56" s="112"/>
      <c r="K56" s="401"/>
      <c r="L56" s="112"/>
      <c r="M56" s="112"/>
      <c r="N56" s="112"/>
      <c r="O56" s="112"/>
      <c r="P56" s="401"/>
      <c r="Q56" s="24">
        <f t="shared" ref="Q56:BS56" si="68">+Q30</f>
        <v>-8.0860000000000003</v>
      </c>
      <c r="R56" s="24">
        <f t="shared" si="68"/>
        <v>-4.9099999999999984</v>
      </c>
      <c r="S56" s="24">
        <f t="shared" si="68"/>
        <v>-5.102999999999998</v>
      </c>
      <c r="T56" s="24">
        <f t="shared" si="68"/>
        <v>-5.8159999999999972</v>
      </c>
      <c r="U56" s="129">
        <f t="shared" si="68"/>
        <v>-23.902999999999999</v>
      </c>
      <c r="V56" s="24">
        <f t="shared" si="68"/>
        <v>-7.4129999999999985</v>
      </c>
      <c r="W56" s="24">
        <f t="shared" si="68"/>
        <v>-3.0990000000000006</v>
      </c>
      <c r="X56" s="24">
        <f t="shared" si="68"/>
        <v>-1.7829999999999981</v>
      </c>
      <c r="Y56" s="24">
        <f t="shared" si="68"/>
        <v>-1.2260000000000006</v>
      </c>
      <c r="Z56" s="129">
        <f t="shared" si="68"/>
        <v>-13.520999999999995</v>
      </c>
      <c r="AA56" s="24">
        <f t="shared" si="68"/>
        <v>-1.0110000000000006</v>
      </c>
      <c r="AB56" s="24">
        <f t="shared" si="68"/>
        <v>-2.2429999999999994</v>
      </c>
      <c r="AC56" s="24">
        <f t="shared" si="68"/>
        <v>-1.5560000000000009</v>
      </c>
      <c r="AD56" s="24">
        <f t="shared" si="68"/>
        <v>1.5780000000000016</v>
      </c>
      <c r="AE56" s="129">
        <f t="shared" si="68"/>
        <v>-3.2319999999999989</v>
      </c>
      <c r="AF56" s="24">
        <f t="shared" si="68"/>
        <v>-5.3010000000000002</v>
      </c>
      <c r="AG56" s="24">
        <f t="shared" si="68"/>
        <v>-8.4230000000000018</v>
      </c>
      <c r="AH56" s="24">
        <f t="shared" si="68"/>
        <v>1.7690000000000015</v>
      </c>
      <c r="AI56" s="24">
        <f t="shared" si="68"/>
        <v>2.2440000000000011</v>
      </c>
      <c r="AJ56" s="129">
        <f t="shared" si="68"/>
        <v>-9.7109999999999985</v>
      </c>
      <c r="AK56" s="24">
        <f t="shared" si="68"/>
        <v>-40.50800000000001</v>
      </c>
      <c r="AL56" s="24">
        <f t="shared" si="68"/>
        <v>1.887000000000004</v>
      </c>
      <c r="AM56" s="24">
        <f t="shared" si="68"/>
        <v>-1.4459999999999968</v>
      </c>
      <c r="AN56" s="24">
        <f t="shared" si="68"/>
        <v>8.4459999999999944</v>
      </c>
      <c r="AO56" s="129">
        <f t="shared" si="68"/>
        <v>-31.621000000000013</v>
      </c>
      <c r="AP56" s="24">
        <f t="shared" si="68"/>
        <v>-8.8720000000000034</v>
      </c>
      <c r="AQ56" s="24">
        <f t="shared" si="68"/>
        <v>-0.36299999999999866</v>
      </c>
      <c r="AR56" s="24">
        <f t="shared" si="68"/>
        <v>7.025999999999998</v>
      </c>
      <c r="AS56" s="24">
        <f t="shared" si="68"/>
        <v>9.7440000000000033</v>
      </c>
      <c r="AT56" s="129">
        <f t="shared" si="68"/>
        <v>7.5349999999999984</v>
      </c>
      <c r="AU56" s="24">
        <f t="shared" si="68"/>
        <v>-2.1719999999999988</v>
      </c>
      <c r="AV56" s="24">
        <f t="shared" si="68"/>
        <v>16.670999999999999</v>
      </c>
      <c r="AW56" s="24">
        <f t="shared" si="68"/>
        <v>14.171000000000012</v>
      </c>
      <c r="AX56" s="24">
        <f t="shared" si="68"/>
        <v>15.552</v>
      </c>
      <c r="AY56" s="129">
        <f t="shared" si="68"/>
        <v>44.222000000000008</v>
      </c>
      <c r="AZ56" s="24">
        <f t="shared" si="68"/>
        <v>-8.9659999999999993</v>
      </c>
      <c r="BA56" s="24">
        <f t="shared" si="68"/>
        <v>29.574999999999996</v>
      </c>
      <c r="BB56" s="24">
        <f t="shared" si="68"/>
        <v>29.963000000000001</v>
      </c>
      <c r="BC56" s="24">
        <f t="shared" si="68"/>
        <v>24.524000000000012</v>
      </c>
      <c r="BD56" s="129">
        <f t="shared" si="68"/>
        <v>75.096000000000004</v>
      </c>
      <c r="BE56" s="24">
        <f t="shared" si="68"/>
        <v>5.3619999999999983</v>
      </c>
      <c r="BF56" s="24">
        <f t="shared" si="68"/>
        <v>33.605000000000011</v>
      </c>
      <c r="BG56" s="24">
        <f t="shared" si="68"/>
        <v>44.756999999999991</v>
      </c>
      <c r="BH56" s="24">
        <f t="shared" si="68"/>
        <v>13.421080000000011</v>
      </c>
      <c r="BI56" s="129">
        <f t="shared" si="68"/>
        <v>97.145080000000007</v>
      </c>
      <c r="BJ56" s="24">
        <f t="shared" si="68"/>
        <v>30.123553639000001</v>
      </c>
      <c r="BK56" s="24">
        <f t="shared" si="68"/>
        <v>47.481957452875001</v>
      </c>
      <c r="BL56" s="24">
        <f t="shared" si="68"/>
        <v>45.510030894200007</v>
      </c>
      <c r="BM56" s="24">
        <f t="shared" si="68"/>
        <v>53.524534397275026</v>
      </c>
      <c r="BN56" s="129">
        <f t="shared" si="68"/>
        <v>176.64007638335005</v>
      </c>
      <c r="BO56" s="24">
        <f t="shared" si="68"/>
        <v>31.575233062904999</v>
      </c>
      <c r="BP56" s="24">
        <f t="shared" si="68"/>
        <v>51.351593239859987</v>
      </c>
      <c r="BQ56" s="24">
        <f t="shared" si="68"/>
        <v>49.222273656203981</v>
      </c>
      <c r="BR56" s="24">
        <f t="shared" si="68"/>
        <v>58.27005093597802</v>
      </c>
      <c r="BS56" s="129">
        <f t="shared" si="68"/>
        <v>190.41915089494699</v>
      </c>
      <c r="BU56" s="80"/>
    </row>
    <row r="57" spans="1:73">
      <c r="A57" s="272" t="s">
        <v>253</v>
      </c>
      <c r="B57" s="415"/>
      <c r="C57" s="415"/>
      <c r="D57" s="415"/>
      <c r="E57" s="415"/>
      <c r="F57" s="416"/>
      <c r="G57" s="415"/>
      <c r="H57" s="415"/>
      <c r="I57" s="415"/>
      <c r="J57" s="415"/>
      <c r="K57" s="416"/>
      <c r="L57" s="415"/>
      <c r="M57" s="415"/>
      <c r="N57" s="415"/>
      <c r="O57" s="415"/>
      <c r="P57" s="416"/>
      <c r="Q57" s="248">
        <f t="shared" ref="Q57:BS57" si="69">+Q30+Q32</f>
        <v>-8.7010000000000005</v>
      </c>
      <c r="R57" s="248">
        <f t="shared" si="69"/>
        <v>-5.0229999999999979</v>
      </c>
      <c r="S57" s="248">
        <f t="shared" si="69"/>
        <v>-5.8299999999999983</v>
      </c>
      <c r="T57" s="248">
        <f t="shared" si="69"/>
        <v>-6.115999999999997</v>
      </c>
      <c r="U57" s="417">
        <f t="shared" si="69"/>
        <v>-25.657999999999998</v>
      </c>
      <c r="V57" s="248">
        <f t="shared" si="69"/>
        <v>-7.6399999999999988</v>
      </c>
      <c r="W57" s="248">
        <f t="shared" si="69"/>
        <v>-3.6330000000000009</v>
      </c>
      <c r="X57" s="248">
        <f t="shared" si="69"/>
        <v>-2.441999999999998</v>
      </c>
      <c r="Y57" s="248">
        <f t="shared" si="69"/>
        <v>-1.680000000000001</v>
      </c>
      <c r="Z57" s="417">
        <f t="shared" si="69"/>
        <v>-15.394999999999996</v>
      </c>
      <c r="AA57" s="248">
        <f t="shared" si="69"/>
        <v>-1.7760000000000007</v>
      </c>
      <c r="AB57" s="248">
        <f t="shared" si="69"/>
        <v>-2.9019999999999992</v>
      </c>
      <c r="AC57" s="248">
        <f t="shared" si="69"/>
        <v>-1.7880000000000009</v>
      </c>
      <c r="AD57" s="248">
        <f t="shared" si="69"/>
        <v>0.47800000000000153</v>
      </c>
      <c r="AE57" s="417">
        <f t="shared" si="69"/>
        <v>-5.9879999999999987</v>
      </c>
      <c r="AF57" s="248">
        <f t="shared" si="69"/>
        <v>-5.9660000000000002</v>
      </c>
      <c r="AG57" s="248">
        <f t="shared" si="69"/>
        <v>-9.0720000000000027</v>
      </c>
      <c r="AH57" s="248">
        <f t="shared" si="69"/>
        <v>1.1340000000000015</v>
      </c>
      <c r="AI57" s="248">
        <f t="shared" si="69"/>
        <v>1.3560000000000012</v>
      </c>
      <c r="AJ57" s="417">
        <f t="shared" si="69"/>
        <v>-12.547999999999998</v>
      </c>
      <c r="AK57" s="248">
        <f t="shared" si="69"/>
        <v>-41.704000000000008</v>
      </c>
      <c r="AL57" s="248">
        <f t="shared" si="69"/>
        <v>0.36000000000000409</v>
      </c>
      <c r="AM57" s="248">
        <f t="shared" si="69"/>
        <v>-3.2579999999999969</v>
      </c>
      <c r="AN57" s="248">
        <f t="shared" si="69"/>
        <v>7.6049999999999942</v>
      </c>
      <c r="AO57" s="417">
        <f t="shared" si="69"/>
        <v>-36.997000000000014</v>
      </c>
      <c r="AP57" s="248">
        <f t="shared" si="69"/>
        <v>-11.325000000000003</v>
      </c>
      <c r="AQ57" s="248">
        <f t="shared" si="69"/>
        <v>-2.8729999999999989</v>
      </c>
      <c r="AR57" s="248">
        <f t="shared" si="69"/>
        <v>5.3119999999999976</v>
      </c>
      <c r="AS57" s="248">
        <f t="shared" si="69"/>
        <v>7.8720000000000034</v>
      </c>
      <c r="AT57" s="417">
        <f t="shared" si="69"/>
        <v>-1.0140000000000011</v>
      </c>
      <c r="AU57" s="248">
        <f t="shared" si="69"/>
        <v>-3.1649999999999987</v>
      </c>
      <c r="AV57" s="248">
        <f t="shared" si="69"/>
        <v>13.001999999999999</v>
      </c>
      <c r="AW57" s="248">
        <f t="shared" si="69"/>
        <v>11.36900000000001</v>
      </c>
      <c r="AX57" s="248">
        <f t="shared" si="69"/>
        <v>13.055</v>
      </c>
      <c r="AY57" s="417">
        <f t="shared" si="69"/>
        <v>34.26100000000001</v>
      </c>
      <c r="AZ57" s="248">
        <f t="shared" si="69"/>
        <v>-11.1</v>
      </c>
      <c r="BA57" s="248">
        <f t="shared" si="69"/>
        <v>26.804999999999996</v>
      </c>
      <c r="BB57" s="248">
        <f t="shared" si="69"/>
        <v>27.721</v>
      </c>
      <c r="BC57" s="248">
        <f t="shared" si="69"/>
        <v>20.38300000000001</v>
      </c>
      <c r="BD57" s="417">
        <f t="shared" si="69"/>
        <v>63.809000000000005</v>
      </c>
      <c r="BE57" s="248">
        <f t="shared" si="69"/>
        <v>3.5429999999999984</v>
      </c>
      <c r="BF57" s="248">
        <f t="shared" si="69"/>
        <v>32.31900000000001</v>
      </c>
      <c r="BG57" s="248">
        <f t="shared" si="69"/>
        <v>41.964999999999989</v>
      </c>
      <c r="BH57" s="248">
        <f t="shared" si="69"/>
        <v>9.0300800000000088</v>
      </c>
      <c r="BI57" s="417">
        <f t="shared" si="69"/>
        <v>86.857080000000011</v>
      </c>
      <c r="BJ57" s="248">
        <f t="shared" si="69"/>
        <v>28.054553639000002</v>
      </c>
      <c r="BK57" s="248">
        <f t="shared" si="69"/>
        <v>45.945957452875</v>
      </c>
      <c r="BL57" s="248">
        <f t="shared" si="69"/>
        <v>42.468030894200005</v>
      </c>
      <c r="BM57" s="248">
        <f t="shared" si="69"/>
        <v>48.883534397275028</v>
      </c>
      <c r="BN57" s="417">
        <f t="shared" si="69"/>
        <v>165.35207638335004</v>
      </c>
      <c r="BO57" s="248">
        <f t="shared" si="69"/>
        <v>29.256233062905</v>
      </c>
      <c r="BP57" s="248">
        <f t="shared" si="69"/>
        <v>49.565593239859986</v>
      </c>
      <c r="BQ57" s="248">
        <f t="shared" si="69"/>
        <v>45.93027365620398</v>
      </c>
      <c r="BR57" s="248">
        <f t="shared" si="69"/>
        <v>53.379050935978015</v>
      </c>
      <c r="BS57" s="417">
        <f t="shared" si="69"/>
        <v>178.13115089494698</v>
      </c>
      <c r="BU57" s="80">
        <f>BU30+BU32</f>
        <v>0</v>
      </c>
    </row>
    <row r="58" spans="1:73">
      <c r="A58" s="272"/>
      <c r="B58" s="112"/>
      <c r="C58" s="112"/>
      <c r="D58" s="112"/>
      <c r="E58" s="112"/>
      <c r="F58" s="412"/>
      <c r="G58" s="112"/>
      <c r="H58" s="112"/>
      <c r="I58" s="112"/>
      <c r="J58" s="112"/>
      <c r="K58" s="412"/>
      <c r="L58" s="112"/>
      <c r="M58" s="112"/>
      <c r="N58" s="112"/>
      <c r="O58" s="112"/>
      <c r="P58" s="412"/>
      <c r="Q58" s="112"/>
      <c r="R58" s="112"/>
      <c r="S58" s="112"/>
      <c r="T58" s="112"/>
      <c r="U58" s="412"/>
      <c r="V58" s="112"/>
      <c r="W58" s="112"/>
      <c r="X58" s="112"/>
      <c r="Y58" s="112"/>
      <c r="Z58" s="412"/>
      <c r="AA58" s="112"/>
      <c r="AB58" s="112"/>
      <c r="AC58" s="112"/>
      <c r="AD58" s="112"/>
      <c r="AE58" s="412"/>
      <c r="AF58" s="112"/>
      <c r="AG58" s="112"/>
      <c r="AH58" s="112"/>
      <c r="AI58" s="112"/>
      <c r="AJ58" s="412"/>
      <c r="AK58" s="112"/>
      <c r="AL58" s="112"/>
      <c r="AM58" s="112"/>
      <c r="AN58" s="112"/>
      <c r="AO58" s="412"/>
      <c r="AP58" s="112"/>
      <c r="AQ58" s="112"/>
      <c r="AR58" s="112"/>
      <c r="AS58" s="112"/>
      <c r="AT58" s="412"/>
      <c r="AU58" s="112"/>
      <c r="AV58" s="112"/>
      <c r="AW58" s="112"/>
      <c r="AX58" s="112"/>
      <c r="AY58" s="412"/>
      <c r="AZ58" s="112"/>
      <c r="BA58" s="112"/>
      <c r="BB58" s="112"/>
      <c r="BC58" s="112"/>
      <c r="BD58" s="412"/>
      <c r="BE58" s="112"/>
      <c r="BF58" s="112"/>
      <c r="BG58" s="112"/>
      <c r="BH58" s="112"/>
      <c r="BI58" s="412"/>
      <c r="BJ58" s="112"/>
      <c r="BK58" s="112"/>
      <c r="BL58" s="112"/>
      <c r="BM58" s="112"/>
      <c r="BN58" s="412"/>
      <c r="BO58" s="112"/>
      <c r="BP58" s="112"/>
      <c r="BQ58" s="112"/>
      <c r="BR58" s="112"/>
      <c r="BS58" s="412"/>
    </row>
    <row r="59" spans="1:73">
      <c r="A59" s="418" t="s">
        <v>254</v>
      </c>
      <c r="B59" s="419"/>
      <c r="C59" s="419"/>
      <c r="D59" s="419"/>
      <c r="E59" s="419"/>
      <c r="F59" s="420"/>
      <c r="G59" s="419"/>
      <c r="H59" s="419"/>
      <c r="I59" s="419"/>
      <c r="J59" s="419"/>
      <c r="K59" s="420"/>
      <c r="L59" s="419"/>
      <c r="M59" s="419"/>
      <c r="N59" s="419"/>
      <c r="O59" s="419"/>
      <c r="P59" s="420"/>
      <c r="Q59" s="421">
        <f>(Q30)/'Income Statement'!Q33</f>
        <v>-0.23906180628726637</v>
      </c>
      <c r="R59" s="421">
        <f>(R30)/'Income Statement'!R33</f>
        <v>-0.14495265981931157</v>
      </c>
      <c r="S59" s="421">
        <f>(S30)/'Income Statement'!S33</f>
        <v>-0.15032367754342768</v>
      </c>
      <c r="T59" s="421">
        <f>(T30)/'Income Statement'!T33</f>
        <v>-0.17077992985807522</v>
      </c>
      <c r="U59" s="422">
        <f>(U30)/'Income Statement'!U33</f>
        <v>-0.70457082622845135</v>
      </c>
      <c r="V59" s="421">
        <f>(V30)/'Income Statement'!V33</f>
        <v>-0.21630372789977276</v>
      </c>
      <c r="W59" s="421">
        <f>(W30)/'Income Statement'!W33</f>
        <v>-9.0312375907910428E-2</v>
      </c>
      <c r="X59" s="421">
        <f>(X30)/'Income Statement'!X33</f>
        <v>-4.6167745674809788E-2</v>
      </c>
      <c r="Y59" s="421">
        <f>(Y30)/'Income Statement'!Y33</f>
        <v>-3.0099677069255839E-2</v>
      </c>
      <c r="Z59" s="422">
        <f>(Z30)/'Income Statement'!Z33</f>
        <v>-0.36523258111250789</v>
      </c>
      <c r="AA59" s="421">
        <f>(AA30)/'Income Statement'!AA33</f>
        <v>-2.4557555318929666E-2</v>
      </c>
      <c r="AB59" s="421">
        <f>(AB30)/'Income Statement'!AB33</f>
        <v>-4.9203615463237552E-2</v>
      </c>
      <c r="AC59" s="421">
        <f>(AC30)/'Income Statement'!AC33</f>
        <v>-3.2024173064229312E-2</v>
      </c>
      <c r="AD59" s="421">
        <f>(AD30)/'Income Statement'!AD33</f>
        <v>3.214130572689837E-2</v>
      </c>
      <c r="AE59" s="422">
        <f>(AE30)/'Income Statement'!AE33</f>
        <v>-7.0050448677241819E-2</v>
      </c>
      <c r="AF59" s="421">
        <f>(AF30)/'Income Statement'!AF33</f>
        <v>-0.10646153644702969</v>
      </c>
      <c r="AG59" s="421">
        <f>(AG30)/'Income Statement'!AG33</f>
        <v>-0.16774833440123618</v>
      </c>
      <c r="AH59" s="421">
        <f>(AH30)/'Income Statement'!AH33</f>
        <v>3.2246861408786472E-2</v>
      </c>
      <c r="AI59" s="421">
        <f>(AI30)/'Income Statement'!AI33</f>
        <v>3.8673816910808942E-2</v>
      </c>
      <c r="AJ59" s="422">
        <f>(AJ30)/'Income Statement'!AJ33</f>
        <v>-0.18246337477792574</v>
      </c>
      <c r="AK59" s="421">
        <f>(AK30)/'Income Statement'!AK33</f>
        <v>-0.63961647517383968</v>
      </c>
      <c r="AL59" s="421">
        <f>(AL30)/'Income Statement'!AL33</f>
        <v>2.8031941558081332E-2</v>
      </c>
      <c r="AM59" s="421">
        <f>(AM30)/'Income Statement'!AM33</f>
        <v>-2.0733045648703614E-2</v>
      </c>
      <c r="AN59" s="421">
        <f>(AN30)/'Income Statement'!AN33</f>
        <v>0.11884983250490003</v>
      </c>
      <c r="AO59" s="422">
        <f>(AO30)/'Income Statement'!AO33</f>
        <v>-0.46594665572409411</v>
      </c>
      <c r="AP59" s="421">
        <f>(AP30)/'Income Statement'!AP33</f>
        <v>-0.12455483439541887</v>
      </c>
      <c r="AQ59" s="421">
        <f>(AQ30)/'Income Statement'!AQ33</f>
        <v>-5.0785591542875314E-3</v>
      </c>
      <c r="AR59" s="421">
        <f>(AR30)/'Income Statement'!AR33</f>
        <v>9.8050853420616896E-2</v>
      </c>
      <c r="AS59" s="421">
        <f>(AS30)/'Income Statement'!AS33</f>
        <v>0.1356616458213582</v>
      </c>
      <c r="AT59" s="422">
        <f>(AT30)/'Income Statement'!AT33</f>
        <v>0.10531498744854299</v>
      </c>
      <c r="AU59" s="421">
        <f>(AU30)/'Income Statement'!AU33</f>
        <v>-2.9545885855781811E-2</v>
      </c>
      <c r="AV59" s="421">
        <f>(AV30)/'Income Statement'!AV33</f>
        <v>0.22619963860974779</v>
      </c>
      <c r="AW59" s="421">
        <f>(AW30)/'Income Statement'!AW33</f>
        <v>0.19116181666344795</v>
      </c>
      <c r="AX59" s="421">
        <f>(AX30)/'Income Statement'!AX33</f>
        <v>0.20952719848150983</v>
      </c>
      <c r="AY59" s="422">
        <f>(AY30)/'Income Statement'!AY33</f>
        <v>0.59846738041681158</v>
      </c>
      <c r="AZ59" s="421">
        <f>(AZ30)/'Income Statement'!AZ33</f>
        <v>-0.11816480801348758</v>
      </c>
      <c r="BA59" s="421">
        <f>(BA30)/'Income Statement'!BA33</f>
        <v>0.38327881097750421</v>
      </c>
      <c r="BB59" s="421">
        <f>(BB30)/'Income Statement'!BB33</f>
        <v>0.38186620946547478</v>
      </c>
      <c r="BC59" s="421">
        <f>(BC30)/'Income Statement'!BC33</f>
        <v>0.30691287844182585</v>
      </c>
      <c r="BD59" s="422">
        <f>(BD30)/'Income Statement'!BD33</f>
        <v>0.96459240316047357</v>
      </c>
      <c r="BE59" s="421">
        <f>(BE30)/'Income Statement'!BE33</f>
        <v>6.6978095239903473E-2</v>
      </c>
      <c r="BF59" s="421">
        <f>(BF30)/'Income Statement'!BF33</f>
        <v>0.42297461146657311</v>
      </c>
      <c r="BG59" s="421">
        <f>(BG30)/'Income Statement'!BG33</f>
        <v>0.56162684840603783</v>
      </c>
      <c r="BH59" s="421">
        <f>(BH30)/'Income Statement'!BH33</f>
        <v>0.16490428844309704</v>
      </c>
      <c r="BI59" s="422">
        <f>(BI30)/'Income Statement'!BI33</f>
        <v>1.2121013052711993</v>
      </c>
      <c r="BJ59" s="421">
        <f>(BJ30)/'Income Statement'!BJ33</f>
        <v>0.37854081160558684</v>
      </c>
      <c r="BK59" s="421">
        <f>(BK30)/'Income Statement'!BK33</f>
        <v>0.59368708647501145</v>
      </c>
      <c r="BL59" s="421">
        <f>(BL30)/'Income Statement'!BL33</f>
        <v>0.56619947790247849</v>
      </c>
      <c r="BM59" s="421">
        <f>(BM30)/'Income Statement'!BM33</f>
        <v>0.66261205711983506</v>
      </c>
      <c r="BN59" s="422">
        <f>(BN30)/'Income Statement'!BN33</f>
        <v>2.2030966688360873</v>
      </c>
      <c r="BO59" s="421">
        <f>(BO30)/'Income Statement'!BO33</f>
        <v>0.38896251722345943</v>
      </c>
      <c r="BP59" s="421">
        <f>(BP30)/'Income Statement'!BP33</f>
        <v>0.62947778169718493</v>
      </c>
      <c r="BQ59" s="421">
        <f>(BQ30)/'Income Statement'!BQ33</f>
        <v>0.60043208444476093</v>
      </c>
      <c r="BR59" s="421">
        <f>(BR30)/'Income Statement'!BR33</f>
        <v>0.70734892078736888</v>
      </c>
      <c r="BS59" s="422">
        <f>(BS30)/'Income Statement'!BS33</f>
        <v>2.3284862471158916</v>
      </c>
    </row>
    <row r="60" spans="1:73">
      <c r="A60" s="423" t="s">
        <v>255</v>
      </c>
      <c r="B60" s="424"/>
      <c r="C60" s="424"/>
      <c r="D60" s="424"/>
      <c r="E60" s="424"/>
      <c r="F60" s="425"/>
      <c r="G60" s="424"/>
      <c r="H60" s="424"/>
      <c r="I60" s="424"/>
      <c r="J60" s="424"/>
      <c r="K60" s="425"/>
      <c r="L60" s="424"/>
      <c r="M60" s="424"/>
      <c r="N60" s="424"/>
      <c r="O60" s="424"/>
      <c r="P60" s="425"/>
      <c r="Q60" s="426">
        <f>(Q30+Q32)/'Income Statement'!Q33</f>
        <v>-0.25724422168012673</v>
      </c>
      <c r="R60" s="426">
        <f>(R30+R32)/'Income Statement'!R33</f>
        <v>-0.14828863753002078</v>
      </c>
      <c r="S60" s="426">
        <f>(S30+S32)/'Income Statement'!S33</f>
        <v>-0.17173957281563459</v>
      </c>
      <c r="T60" s="426">
        <f>(T30+T32)/'Income Statement'!T33</f>
        <v>-0.17958907342021804</v>
      </c>
      <c r="U60" s="427">
        <f>(U30+U32)/'Income Statement'!U33</f>
        <v>-0.75630164662885857</v>
      </c>
      <c r="V60" s="426">
        <f>(V30+V32)/'Income Statement'!V33</f>
        <v>-0.2229273548029494</v>
      </c>
      <c r="W60" s="426">
        <f>(W30+W32)/'Income Statement'!W33</f>
        <v>-0.10587443100143226</v>
      </c>
      <c r="X60" s="426">
        <f>(X30+X32)/'Income Statement'!X33</f>
        <v>-6.3231427334764737E-2</v>
      </c>
      <c r="Y60" s="426">
        <f>(Y30+Y32)/'Income Statement'!Y33</f>
        <v>-4.1245887011704584E-2</v>
      </c>
      <c r="Z60" s="427">
        <f>(Z30+Z32)/'Income Statement'!Z33</f>
        <v>-0.4158535305248916</v>
      </c>
      <c r="AA60" s="426">
        <f>(AA30+AA32)/'Income Statement'!AA33</f>
        <v>-4.3139681747199878E-2</v>
      </c>
      <c r="AB60" s="426">
        <f>(AB30+AB32)/'Income Statement'!AB33</f>
        <v>-6.3659782467371986E-2</v>
      </c>
      <c r="AC60" s="426">
        <f>(AC30+AC32)/'Income Statement'!AC33</f>
        <v>-3.6798985500541136E-2</v>
      </c>
      <c r="AD60" s="426">
        <f>(AD30+AD32)/'Income Statement'!AD33</f>
        <v>9.7360862721530134E-3</v>
      </c>
      <c r="AE60" s="427">
        <f>(AE30+AE32)/'Income Statement'!AE33</f>
        <v>-0.12978406147256313</v>
      </c>
      <c r="AF60" s="426">
        <f>(AF30+AF32)/'Income Statement'!AF33</f>
        <v>-0.1198169263238972</v>
      </c>
      <c r="AG60" s="426">
        <f>(AG30+AG32)/'Income Statement'!AG33</f>
        <v>-0.18067349990359904</v>
      </c>
      <c r="AH60" s="426">
        <f>(AH30+AH32)/'Income Statement'!AH33</f>
        <v>2.0671532412415983E-2</v>
      </c>
      <c r="AI60" s="426">
        <f>(AI30+AI32)/'Income Statement'!AI33</f>
        <v>2.3369739630595788E-2</v>
      </c>
      <c r="AJ60" s="427">
        <f>(AJ30+AJ32)/'Income Statement'!AJ33</f>
        <v>-0.23576875983044096</v>
      </c>
      <c r="AK60" s="426">
        <f>(AK30+AK32)/'Income Statement'!AK33</f>
        <v>-0.65850117213019177</v>
      </c>
      <c r="AL60" s="426">
        <f>(AL30+AL32)/'Income Statement'!AL33</f>
        <v>5.3479061796022111E-3</v>
      </c>
      <c r="AM60" s="426">
        <f>(AM30+AM32)/'Income Statement'!AM33</f>
        <v>-4.6713874635875841E-2</v>
      </c>
      <c r="AN60" s="426">
        <f>(AN30+AN32)/'Income Statement'!AN33</f>
        <v>0.10701550748280424</v>
      </c>
      <c r="AO60" s="427">
        <f>(AO30+AO32)/'Income Statement'!AO33</f>
        <v>-0.54516392339977582</v>
      </c>
      <c r="AP60" s="426">
        <f>(AP30+AP32)/'Income Statement'!AP33</f>
        <v>-0.15899272988369234</v>
      </c>
      <c r="AQ60" s="426">
        <f>(AQ30+AQ32)/'Income Statement'!AQ33</f>
        <v>-4.0194767080628448E-2</v>
      </c>
      <c r="AR60" s="426">
        <f>(AR30+AR32)/'Income Statement'!AR33</f>
        <v>7.4131245854016065E-2</v>
      </c>
      <c r="AS60" s="426">
        <f>(AS30+AS32)/'Income Statement'!AS33</f>
        <v>0.10959857100838792</v>
      </c>
      <c r="AT60" s="427">
        <f>(AT30+AT32)/'Income Statement'!AT33</f>
        <v>-1.4172448211389879E-2</v>
      </c>
      <c r="AU60" s="426">
        <f>(AU30+AU32)/'Income Statement'!AU33</f>
        <v>-4.3053742510842284E-2</v>
      </c>
      <c r="AV60" s="426">
        <f>(AV30+AV32)/'Income Statement'!AV33</f>
        <v>0.17641699365388641</v>
      </c>
      <c r="AW60" s="426">
        <f>(AW30+AW32)/'Income Statement'!AW33</f>
        <v>0.15336382003011362</v>
      </c>
      <c r="AX60" s="426">
        <f>(AX30+AX32)/'Income Statement'!AX33</f>
        <v>0.17588590381790836</v>
      </c>
      <c r="AY60" s="427">
        <f>(AY30+AY32)/'Income Statement'!AY33</f>
        <v>0.46366267741079975</v>
      </c>
      <c r="AZ60" s="426">
        <f>(AZ30+AZ32)/'Income Statement'!AZ33</f>
        <v>-0.14628924480813207</v>
      </c>
      <c r="BA60" s="426">
        <f>(BA30+BA32)/'Income Statement'!BA33</f>
        <v>0.34738084626380389</v>
      </c>
      <c r="BB60" s="426">
        <f>(BB30+BB32)/'Income Statement'!BB33</f>
        <v>0.35329283424865421</v>
      </c>
      <c r="BC60" s="426">
        <f>(BC30+BC32)/'Income Statement'!BC33</f>
        <v>0.2550891046028273</v>
      </c>
      <c r="BD60" s="427">
        <f>(BD30+BD32)/'Income Statement'!BD33</f>
        <v>0.8196132504163558</v>
      </c>
      <c r="BE60" s="426">
        <f>(BE30+BE32)/'Income Statement'!BE33</f>
        <v>4.4256507168030208E-2</v>
      </c>
      <c r="BF60" s="426">
        <f>(BF30+BF32)/'Income Statement'!BF33</f>
        <v>0.40678817045047394</v>
      </c>
      <c r="BG60" s="426">
        <f>(BG30+BG32)/'Income Statement'!BG33</f>
        <v>0.52659183353127725</v>
      </c>
      <c r="BH60" s="426">
        <f>(BH30+BH32)/'Income Statement'!BH33</f>
        <v>0.11095224206876361</v>
      </c>
      <c r="BI60" s="427">
        <f>(BI30+BI32)/'Income Statement'!BI33</f>
        <v>1.0837355843450331</v>
      </c>
      <c r="BJ60" s="426">
        <f>(BJ30+BJ32)/'Income Statement'!BJ33</f>
        <v>0.35254119188615324</v>
      </c>
      <c r="BK60" s="426">
        <f>(BK30+BK32)/'Income Statement'!BK33</f>
        <v>0.57448182591407804</v>
      </c>
      <c r="BL60" s="426">
        <f>(BL30+BL32)/'Income Statement'!BL33</f>
        <v>0.52835334205204454</v>
      </c>
      <c r="BM60" s="426">
        <f>(BM30+BM32)/'Income Statement'!BM33</f>
        <v>0.6051583568359945</v>
      </c>
      <c r="BN60" s="427">
        <f>(BN30+BN32)/'Income Statement'!BN33</f>
        <v>2.0623100721192063</v>
      </c>
      <c r="BO60" s="426">
        <f>(BO30+BO32)/'Income Statement'!BO33</f>
        <v>0.36039569475078892</v>
      </c>
      <c r="BP60" s="426">
        <f>(BP30+BP32)/'Income Statement'!BP33</f>
        <v>0.60758464757649888</v>
      </c>
      <c r="BQ60" s="426">
        <f>(BQ30+BQ32)/'Income Statement'!BQ33</f>
        <v>0.56027501173824601</v>
      </c>
      <c r="BR60" s="426">
        <f>(BR30+BR32)/'Income Statement'!BR33</f>
        <v>0.64797633545408717</v>
      </c>
      <c r="BS60" s="427">
        <f>(BS30+BS32)/'Income Statement'!BS33</f>
        <v>2.1782259457224389</v>
      </c>
    </row>
    <row r="61" spans="1:73">
      <c r="A61" s="104" t="s">
        <v>100</v>
      </c>
    </row>
    <row r="62" spans="1:73">
      <c r="H62" s="411"/>
      <c r="N62" s="112"/>
      <c r="Q62" s="411"/>
      <c r="R62" s="411"/>
      <c r="S62" s="411"/>
      <c r="T62" s="411"/>
      <c r="V62" s="411"/>
      <c r="W62" s="411"/>
      <c r="X62" s="411"/>
      <c r="Y62" s="411"/>
      <c r="AA62" s="411"/>
      <c r="AB62" s="411"/>
      <c r="AC62" s="411"/>
      <c r="AD62" s="411"/>
      <c r="AF62" s="411"/>
      <c r="AG62" s="411"/>
      <c r="AH62" s="411"/>
      <c r="AI62" s="411"/>
    </row>
  </sheetData>
  <pageMargins left="0.7" right="0.7" top="0.75" bottom="0.75" header="0.3" footer="0.3"/>
  <pageSetup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Model</vt:lpstr>
      <vt:lpstr>Income Statement</vt:lpstr>
      <vt:lpstr>Balance Sheet</vt:lpstr>
      <vt:lpstr>Cash Flow</vt:lpstr>
    </vt:vector>
  </TitlesOfParts>
  <Company>Needham and Company,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Matson, Mike</dc:creator>
  <cp:lastModifiedBy>Yuuji Anderson</cp:lastModifiedBy>
  <dcterms:created xsi:type="dcterms:W3CDTF">2026-02-25T23:16:29Z</dcterms:created>
  <dcterms:modified xsi:type="dcterms:W3CDTF">2026-03-19T21:24:29Z</dcterms:modified>
</cp:coreProperties>
</file>