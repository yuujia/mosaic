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BASELOAD\"/>
    </mc:Choice>
  </mc:AlternateContent>
  <xr:revisionPtr revIDLastSave="0" documentId="13_ncr:1_{CEEEB059-636F-4F66-9887-237AA78B074A}" xr6:coauthVersionLast="47" xr6:coauthVersionMax="47" xr10:uidLastSave="{00000000-0000-0000-0000-000000000000}"/>
  <bookViews>
    <workbookView xWindow="28680" yWindow="-120" windowWidth="29040" windowHeight="15720" activeTab="4" xr2:uid="{30DE43AD-F492-43CF-BD64-FB4AD4D1959C}"/>
  </bookViews>
  <sheets>
    <sheet name="WMB" sheetId="8" r:id="rId1"/>
    <sheet name="GEV" sheetId="17" r:id="rId2"/>
    <sheet name="CW" sheetId="21" r:id="rId3"/>
    <sheet name="CCJ" sheetId="23" r:id="rId4"/>
    <sheet name="HUBB" sheetId="24" r:id="rId5"/>
  </sheets>
  <definedNames>
    <definedName name="KPI_BLOCK" localSheetId="3">_xlfn.LET(   _xlpm.d, CCJ!$L$5:$O$5,   _xlpm.v, CCJ!$L$8:$O$8,   _xlpm.yy,CCJ!$L$9:$O$9,   _xlpm.qq,CCJ!$L$10:$O$10,   _xlpm.dyy,CCJ!$L$11:$O$11,   _xlpm.dqq,CCJ!$L$12:$O$12,   _xlpm.dd, TRANSPOSE(_xlpm.d),    _xlpm.block, _xlfn.HSTACK(     _xlfn.MAKEARRAY(ROWS(_xlpm.dd),1, _xlfn.LAMBDA(_xlpm.r,_xlpm.c,CCJ!$B$2)),     _xlpm.dd,     _xlfn.MAKEARRAY(ROWS(_xlpm.dd),1, _xlfn.LAMBDA(_xlpm.r,_xlpm.c,CCJ!$A$8)),     _xlfn.MAKEARRAY(ROWS(_xlpm.dd),1, _xlfn.LAMBDA(_xlpm.r,_xlpm.c,CCJ!$B$8)),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CW!$L$5:$O$5,   _xlpm.v, CW!$L$8:$O$8,   _xlpm.yy,CW!$L$9:$O$9,   _xlpm.qq,CW!$L$10:$O$10,   _xlpm.dyy,CW!$L$11:$O$11,   _xlpm.dqq,CW!$L$12:$O$12,   _xlpm.dd, TRANSPOSE(_xlpm.d),    _xlpm.block, _xlfn.HSTACK(     _xlfn.MAKEARRAY(ROWS(_xlpm.dd),1, _xlfn.LAMBDA(_xlpm.r,_xlpm.c,CW!$B$2)),     _xlpm.dd,     _xlfn.MAKEARRAY(ROWS(_xlpm.dd),1, _xlfn.LAMBDA(_xlpm.r,_xlpm.c,CW!$A$8)),     _xlfn.MAKEARRAY(ROWS(_xlpm.dd),1, _xlfn.LAMBDA(_xlpm.r,_xlpm.c,CW!$B$8)),     TRANSPOSE(_xlpm.v),     TRANSPOSE(_xlpm.yy),     TRANSPOSE(_xlpm.qq),     TRANSPOSE(_xlpm.dyy),     TRANSPOSE(_xlpm.dqq)   ),    _xlfn._xlws.FILTER(_xlpm.block, INDEX(_xlpm.block,,5) &lt;&gt; "") )</definedName>
    <definedName name="KPI_BLOCK" localSheetId="1">_xlfn.LET(   _xlpm.d, GEV!$L$5:$O$5,   _xlpm.v, GEV!$L$8:$O$8,   _xlpm.yy,GEV!$L$9:$O$9,   _xlpm.qq,GEV!$L$10:$O$10,   _xlpm.dyy,GEV!$L$11:$O$11,   _xlpm.dqq,GEV!$L$12:$O$12,   _xlpm.dd, TRANSPOSE(_xlpm.d),    _xlpm.block, _xlfn.HSTACK(     _xlfn.MAKEARRAY(ROWS(_xlpm.dd),1, _xlfn.LAMBDA(_xlpm.r,_xlpm.c,GEV!$B$2)),     _xlpm.dd,     _xlfn.MAKEARRAY(ROWS(_xlpm.dd),1, _xlfn.LAMBDA(_xlpm.r,_xlpm.c,GEV!$A$8)),     _xlfn.MAKEARRAY(ROWS(_xlpm.dd),1, _xlfn.LAMBDA(_xlpm.r,_xlpm.c,GEV!$B$8)),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HUBB!$L$5:$O$5,   _xlpm.v, HUBB!$L$8:$O$8,   _xlpm.yy,HUBB!$L$9:$O$9,   _xlpm.qq,HUBB!$L$10:$O$10,   _xlpm.dyy,HUBB!$L$11:$O$11,   _xlpm.dqq,HUBB!$L$12:$O$12,   _xlpm.dd, TRANSPOSE(_xlpm.d),    _xlpm.block, _xlfn.HSTACK(     _xlfn.MAKEARRAY(ROWS(_xlpm.dd),1, _xlfn.LAMBDA(_xlpm.r,_xlpm.c,HUBB!$B$2)),     _xlpm.dd,     _xlfn.MAKEARRAY(ROWS(_xlpm.dd),1, _xlfn.LAMBDA(_xlpm.r,_xlpm.c,HUBB!$A$8)),     _xlfn.MAKEARRAY(ROWS(_xlpm.dd),1, _xlfn.LAMBDA(_xlpm.r,_xlpm.c,HUBB!$B$8)),     TRANSPOSE(_xlpm.v),     TRANSPOSE(_xlpm.yy),     TRANSPOSE(_xlpm.qq),     TRANSPOSE(_xlpm.dyy),     TRANSPOSE(_xlpm.dqq)   ),    _xlfn._xlws.FILTER(_xlpm.block, INDEX(_xlpm.block,,5) &lt;&gt; "") )</definedName>
    <definedName name="KPI_BLOCK" localSheetId="0">_xlfn.LET(   _xlpm.d, WMB!$L$5:$O$5,   _xlpm.v, WMB!$L$8:$O$8,   _xlpm.yy,WMB!$L$9:$O$9,   _xlpm.qq,WMB!$L$10:$O$10,   _xlpm.dyy,WMB!$L$11:$O$11,   _xlpm.dqq,WMB!$L$12:$O$12,   _xlpm.dd, TRANSPOSE(_xlpm.d),    _xlpm.block, _xlfn.HSTACK(     _xlfn.MAKEARRAY(ROWS(_xlpm.dd),1, _xlfn.LAMBDA(_xlpm.r,_xlpm.c,WMB!$B$2)),     _xlpm.dd,     _xlfn.MAKEARRAY(ROWS(_xlpm.dd),1, _xlfn.LAMBDA(_xlpm.r,_xlpm.c,WMB!$A$8)),     _xlfn.MAKEARRAY(ROWS(_xlpm.dd),1, _xlfn.LAMBDA(_xlpm.r,_xlpm.c,WMB!$B$8)),     TRANSPOSE(_xlpm.v),     TRANSPOSE(_xlpm.yy),     TRANSPOSE(_xlpm.qq),     TRANSPOSE(_xlpm.dyy),     TRANSPOSE(_xlpm.dqq)   ),    _xlfn._xlws.FILTER(_xlpm.block, INDEX(_xlpm.block,,5) &lt;&gt; "") )</definedName>
    <definedName name="KPI_BLOCK">_xlfn.LET(   _xlpm.d,#REF!,   _xlpm.v,#REF!,   _xlpm.yy,#REF!,   _xlpm.qq,#REF!,   _xlpm.dyy,#REF!,   _xlpm.dqq,#REF!,   _xlpm.dd, TRANSPOSE(  _xlpm.d),    _xlpm.block, _xlfn.HSTACK(     _xlfn.MAKEARRAY(ROWS(_xlpm.dd),1, _xlfn.LAMBDA(_xlpm.r,_xlpm.c,#REF!)),     _xlpm.dd,     _xlfn.MAKEARRAY(ROWS(_xlpm.dd),1, _xlfn.LAMBDA(_xlpm.r,_xlpm.c,#REF!)),     _xlfn.MAKEARRAY(ROWS(_xlpm.dd),1, _xlfn.LAMBDA(_xlpm.r,_xlpm.c,#REF!)),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24" l="1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L65" i="24"/>
  <c r="I64" i="24"/>
  <c r="S63" i="24"/>
  <c r="S64" i="24" s="1"/>
  <c r="R63" i="24"/>
  <c r="R64" i="24" s="1"/>
  <c r="Q63" i="24"/>
  <c r="Q65" i="24" s="1"/>
  <c r="P63" i="24"/>
  <c r="P65" i="24" s="1"/>
  <c r="O63" i="24"/>
  <c r="O65" i="24" s="1"/>
  <c r="N63" i="24"/>
  <c r="N64" i="24" s="1"/>
  <c r="M63" i="24"/>
  <c r="M64" i="24" s="1"/>
  <c r="L63" i="24"/>
  <c r="K63" i="24"/>
  <c r="J63" i="24"/>
  <c r="J64" i="24" s="1"/>
  <c r="I63" i="24"/>
  <c r="H63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P47" i="24"/>
  <c r="O47" i="24"/>
  <c r="N47" i="24"/>
  <c r="M47" i="24"/>
  <c r="L47" i="24"/>
  <c r="S46" i="24"/>
  <c r="R46" i="24"/>
  <c r="Q46" i="24"/>
  <c r="P46" i="24"/>
  <c r="O46" i="24"/>
  <c r="K46" i="24"/>
  <c r="J46" i="24"/>
  <c r="I46" i="24"/>
  <c r="S45" i="24"/>
  <c r="R45" i="24"/>
  <c r="Q45" i="24"/>
  <c r="P45" i="24"/>
  <c r="O45" i="24"/>
  <c r="S47" i="24" s="1"/>
  <c r="N45" i="24"/>
  <c r="N46" i="24" s="1"/>
  <c r="M45" i="24"/>
  <c r="M46" i="24" s="1"/>
  <c r="L45" i="24"/>
  <c r="L46" i="24" s="1"/>
  <c r="K45" i="24"/>
  <c r="J45" i="24"/>
  <c r="I45" i="24"/>
  <c r="H45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P38" i="24"/>
  <c r="O38" i="24"/>
  <c r="N38" i="24"/>
  <c r="M38" i="24"/>
  <c r="L38" i="24"/>
  <c r="S37" i="24"/>
  <c r="R37" i="24"/>
  <c r="Q37" i="24"/>
  <c r="O37" i="24"/>
  <c r="S36" i="24"/>
  <c r="R36" i="24"/>
  <c r="Q36" i="24"/>
  <c r="P36" i="24"/>
  <c r="O36" i="24"/>
  <c r="S38" i="24" s="1"/>
  <c r="N36" i="24"/>
  <c r="N37" i="24" s="1"/>
  <c r="M36" i="24"/>
  <c r="M37" i="24" s="1"/>
  <c r="L36" i="24"/>
  <c r="L37" i="24" s="1"/>
  <c r="K36" i="24"/>
  <c r="K37" i="24" s="1"/>
  <c r="J36" i="24"/>
  <c r="J37" i="24" s="1"/>
  <c r="I36" i="24"/>
  <c r="I37" i="24" s="1"/>
  <c r="H36" i="24"/>
  <c r="P26" i="24"/>
  <c r="Q26" i="24"/>
  <c r="R26" i="24"/>
  <c r="S26" i="24"/>
  <c r="L26" i="24"/>
  <c r="M26" i="24"/>
  <c r="N26" i="24"/>
  <c r="O26" i="24"/>
  <c r="S20" i="24"/>
  <c r="R20" i="24"/>
  <c r="Q20" i="24"/>
  <c r="P20" i="24"/>
  <c r="O20" i="24"/>
  <c r="N20" i="24"/>
  <c r="M20" i="24"/>
  <c r="L20" i="24"/>
  <c r="L18" i="24"/>
  <c r="M18" i="24"/>
  <c r="N18" i="24"/>
  <c r="O18" i="24"/>
  <c r="P18" i="24"/>
  <c r="Q18" i="24"/>
  <c r="Q19" i="24" s="1"/>
  <c r="R18" i="24"/>
  <c r="S18" i="24"/>
  <c r="L19" i="24"/>
  <c r="M19" i="24"/>
  <c r="N19" i="24"/>
  <c r="O19" i="24"/>
  <c r="P19" i="24"/>
  <c r="R19" i="24"/>
  <c r="S19" i="24"/>
  <c r="L21" i="24"/>
  <c r="M21" i="24"/>
  <c r="N21" i="24"/>
  <c r="O21" i="24"/>
  <c r="P21" i="24"/>
  <c r="Q21" i="24"/>
  <c r="R21" i="24"/>
  <c r="S21" i="24"/>
  <c r="L14" i="24"/>
  <c r="M14" i="24"/>
  <c r="N14" i="24"/>
  <c r="O14" i="24"/>
  <c r="P14" i="24"/>
  <c r="Q14" i="24"/>
  <c r="R14" i="24"/>
  <c r="S14" i="24"/>
  <c r="S16" i="24"/>
  <c r="R16" i="24"/>
  <c r="Q16" i="24"/>
  <c r="P16" i="24"/>
  <c r="O16" i="24"/>
  <c r="N16" i="24"/>
  <c r="M16" i="24"/>
  <c r="L16" i="24"/>
  <c r="S15" i="24"/>
  <c r="R15" i="24"/>
  <c r="Q15" i="24"/>
  <c r="P15" i="24"/>
  <c r="O15" i="24"/>
  <c r="N15" i="24"/>
  <c r="M15" i="24"/>
  <c r="L15" i="24"/>
  <c r="S25" i="24"/>
  <c r="R25" i="24"/>
  <c r="Q25" i="24"/>
  <c r="P25" i="24"/>
  <c r="O25" i="24"/>
  <c r="N25" i="24"/>
  <c r="M25" i="24"/>
  <c r="L25" i="24"/>
  <c r="S24" i="24"/>
  <c r="R24" i="24"/>
  <c r="Q24" i="24"/>
  <c r="P24" i="24"/>
  <c r="O24" i="24"/>
  <c r="N24" i="24"/>
  <c r="M24" i="24"/>
  <c r="L24" i="24"/>
  <c r="D16" i="24" a="1"/>
  <c r="P64" i="24" l="1"/>
  <c r="Q64" i="24"/>
  <c r="O64" i="24"/>
  <c r="K64" i="24"/>
  <c r="R65" i="24"/>
  <c r="L64" i="24"/>
  <c r="S65" i="24"/>
  <c r="M65" i="24"/>
  <c r="N65" i="24"/>
  <c r="Q47" i="24"/>
  <c r="R47" i="24"/>
  <c r="P37" i="24"/>
  <c r="Q38" i="24"/>
  <c r="R38" i="24"/>
  <c r="D16" i="24"/>
  <c r="S61" i="24" l="1"/>
  <c r="S59" i="24" s="1"/>
  <c r="R61" i="24"/>
  <c r="R59" i="24" s="1"/>
  <c r="Q61" i="24"/>
  <c r="P61" i="24"/>
  <c r="O61" i="24"/>
  <c r="N61" i="24"/>
  <c r="M61" i="24"/>
  <c r="L61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Q59" i="24"/>
  <c r="P59" i="24"/>
  <c r="O59" i="24"/>
  <c r="N59" i="24"/>
  <c r="M59" i="24"/>
  <c r="L59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S56" i="24"/>
  <c r="R56" i="24"/>
  <c r="Q56" i="24"/>
  <c r="S54" i="24"/>
  <c r="S55" i="24" s="1"/>
  <c r="R54" i="24"/>
  <c r="R55" i="24" s="1"/>
  <c r="Q54" i="24"/>
  <c r="Q55" i="24" s="1"/>
  <c r="P54" i="24"/>
  <c r="O54" i="24"/>
  <c r="N54" i="24"/>
  <c r="M54" i="24"/>
  <c r="L54" i="24"/>
  <c r="P56" i="24" s="1"/>
  <c r="K54" i="24"/>
  <c r="J54" i="24"/>
  <c r="J55" i="24" s="1"/>
  <c r="I54" i="24"/>
  <c r="M56" i="24" s="1"/>
  <c r="H54" i="24"/>
  <c r="L56" i="24" s="1"/>
  <c r="S52" i="24"/>
  <c r="S50" i="24" s="1"/>
  <c r="R52" i="24"/>
  <c r="R50" i="24" s="1"/>
  <c r="Q52" i="24"/>
  <c r="P52" i="24"/>
  <c r="O52" i="24"/>
  <c r="O50" i="24" s="1"/>
  <c r="N52" i="24"/>
  <c r="M52" i="24"/>
  <c r="L52" i="24"/>
  <c r="L50" i="24" s="1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Q50" i="24"/>
  <c r="P50" i="24"/>
  <c r="N50" i="24"/>
  <c r="M50" i="24"/>
  <c r="S43" i="24"/>
  <c r="S41" i="24" s="1"/>
  <c r="R43" i="24"/>
  <c r="Q43" i="24"/>
  <c r="P43" i="24"/>
  <c r="P41" i="24" s="1"/>
  <c r="O43" i="24"/>
  <c r="O41" i="24" s="1"/>
  <c r="N43" i="24"/>
  <c r="N41" i="24" s="1"/>
  <c r="M43" i="24"/>
  <c r="M41" i="24" s="1"/>
  <c r="L43" i="24"/>
  <c r="L41" i="24" s="1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R41" i="24"/>
  <c r="Q41" i="24"/>
  <c r="S34" i="24"/>
  <c r="R34" i="24"/>
  <c r="Q34" i="24"/>
  <c r="Q32" i="24" s="1"/>
  <c r="P34" i="24"/>
  <c r="P32" i="24" s="1"/>
  <c r="O34" i="24"/>
  <c r="O32" i="24" s="1"/>
  <c r="N34" i="24"/>
  <c r="N32" i="24" s="1"/>
  <c r="M34" i="24"/>
  <c r="M32" i="24" s="1"/>
  <c r="L34" i="24"/>
  <c r="L32" i="24" s="1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S32" i="24"/>
  <c r="R32" i="24"/>
  <c r="S30" i="24"/>
  <c r="R30" i="24"/>
  <c r="Q30" i="24"/>
  <c r="P30" i="24"/>
  <c r="O30" i="24"/>
  <c r="N30" i="24"/>
  <c r="M30" i="24"/>
  <c r="S27" i="24"/>
  <c r="R27" i="24"/>
  <c r="Q27" i="24"/>
  <c r="P27" i="24"/>
  <c r="P23" i="24"/>
  <c r="O23" i="24"/>
  <c r="S23" i="24"/>
  <c r="R23" i="24"/>
  <c r="Q23" i="24"/>
  <c r="N23" i="24"/>
  <c r="M23" i="24"/>
  <c r="L23" i="24"/>
  <c r="S12" i="24"/>
  <c r="R12" i="24"/>
  <c r="Q12" i="24"/>
  <c r="P12" i="24"/>
  <c r="O12" i="24"/>
  <c r="N12" i="24"/>
  <c r="M12" i="24"/>
  <c r="S9" i="24"/>
  <c r="S10" i="24" s="1"/>
  <c r="R9" i="24"/>
  <c r="Q9" i="24"/>
  <c r="P9" i="24"/>
  <c r="S5" i="24"/>
  <c r="R5" i="24"/>
  <c r="Q5" i="24"/>
  <c r="P5" i="24"/>
  <c r="O5" i="24"/>
  <c r="N5" i="24"/>
  <c r="M5" i="24"/>
  <c r="L5" i="24"/>
  <c r="B3" i="24"/>
  <c r="D7" i="24" a="1"/>
  <c r="D25" i="24" a="1"/>
  <c r="U74" i="24" l="1" a="1"/>
  <c r="U74" i="24" s="1"/>
  <c r="O55" i="24"/>
  <c r="N55" i="24"/>
  <c r="M55" i="24"/>
  <c r="P55" i="24"/>
  <c r="K55" i="24"/>
  <c r="O56" i="24"/>
  <c r="L55" i="24"/>
  <c r="R28" i="24"/>
  <c r="S28" i="24"/>
  <c r="Q28" i="24"/>
  <c r="Q10" i="24"/>
  <c r="R10" i="24"/>
  <c r="D25" i="24"/>
  <c r="D7" i="24"/>
  <c r="O27" i="24"/>
  <c r="M27" i="24"/>
  <c r="I30" i="24"/>
  <c r="K23" i="24"/>
  <c r="N27" i="24"/>
  <c r="H23" i="24"/>
  <c r="D23" i="24"/>
  <c r="K30" i="24"/>
  <c r="L30" i="24"/>
  <c r="G30" i="24"/>
  <c r="I23" i="24"/>
  <c r="L27" i="24"/>
  <c r="E30" i="24"/>
  <c r="K27" i="24"/>
  <c r="G23" i="24"/>
  <c r="J27" i="24"/>
  <c r="F23" i="24"/>
  <c r="I27" i="24"/>
  <c r="E23" i="24"/>
  <c r="J30" i="24"/>
  <c r="H30" i="24"/>
  <c r="J23" i="24"/>
  <c r="F30" i="24"/>
  <c r="H27" i="24"/>
  <c r="I52" i="24"/>
  <c r="I50" i="24" s="1"/>
  <c r="E34" i="24"/>
  <c r="E32" i="24" s="1"/>
  <c r="E5" i="24"/>
  <c r="K12" i="24"/>
  <c r="F12" i="24"/>
  <c r="L9" i="24"/>
  <c r="E12" i="24"/>
  <c r="K9" i="24"/>
  <c r="J9" i="24"/>
  <c r="I9" i="24"/>
  <c r="L12" i="24"/>
  <c r="G52" i="24"/>
  <c r="G50" i="24" s="1"/>
  <c r="F52" i="24"/>
  <c r="F50" i="24" s="1"/>
  <c r="J12" i="24"/>
  <c r="E52" i="24"/>
  <c r="E50" i="24" s="1"/>
  <c r="I12" i="24"/>
  <c r="O9" i="24"/>
  <c r="F43" i="24"/>
  <c r="F41" i="24" s="1"/>
  <c r="E43" i="24"/>
  <c r="E41" i="24" s="1"/>
  <c r="G12" i="24"/>
  <c r="M9" i="24"/>
  <c r="K43" i="24"/>
  <c r="K41" i="24" s="1"/>
  <c r="J43" i="24"/>
  <c r="J41" i="24" s="1"/>
  <c r="H9" i="24"/>
  <c r="G43" i="24"/>
  <c r="G41" i="24" s="1"/>
  <c r="I43" i="24"/>
  <c r="I41" i="24" s="1"/>
  <c r="H43" i="24"/>
  <c r="H41" i="24" s="1"/>
  <c r="K61" i="24"/>
  <c r="K59" i="24" s="1"/>
  <c r="J61" i="24"/>
  <c r="J59" i="24" s="1"/>
  <c r="I61" i="24"/>
  <c r="I59" i="24" s="1"/>
  <c r="H61" i="24"/>
  <c r="H59" i="24" s="1"/>
  <c r="G61" i="24"/>
  <c r="G59" i="24" s="1"/>
  <c r="F61" i="24"/>
  <c r="F59" i="24" s="1"/>
  <c r="E61" i="24"/>
  <c r="E59" i="24" s="1"/>
  <c r="K34" i="24"/>
  <c r="K32" i="24" s="1"/>
  <c r="K5" i="24"/>
  <c r="H12" i="24"/>
  <c r="J34" i="24"/>
  <c r="J32" i="24" s="1"/>
  <c r="J5" i="24"/>
  <c r="N9" i="24"/>
  <c r="I34" i="24"/>
  <c r="I32" i="24" s="1"/>
  <c r="I5" i="24"/>
  <c r="H34" i="24"/>
  <c r="H32" i="24" s="1"/>
  <c r="U38" i="24" s="1" a="1"/>
  <c r="U38" i="24" s="1"/>
  <c r="H5" i="24"/>
  <c r="K52" i="24"/>
  <c r="K50" i="24" s="1"/>
  <c r="G34" i="24"/>
  <c r="G32" i="24" s="1"/>
  <c r="G5" i="24"/>
  <c r="F34" i="24"/>
  <c r="F32" i="24" s="1"/>
  <c r="F5" i="24"/>
  <c r="J52" i="24"/>
  <c r="J50" i="24" s="1"/>
  <c r="H52" i="24"/>
  <c r="H50" i="24" s="1"/>
  <c r="G21" i="24"/>
  <c r="J18" i="24"/>
  <c r="I18" i="24"/>
  <c r="H18" i="24"/>
  <c r="D14" i="24"/>
  <c r="K14" i="24"/>
  <c r="H14" i="24"/>
  <c r="F14" i="24"/>
  <c r="F21" i="24"/>
  <c r="J14" i="24"/>
  <c r="K18" i="24"/>
  <c r="K19" i="24" s="1"/>
  <c r="G14" i="24"/>
  <c r="E14" i="24"/>
  <c r="E21" i="24"/>
  <c r="I14" i="24"/>
  <c r="K21" i="24"/>
  <c r="J21" i="24"/>
  <c r="I21" i="24"/>
  <c r="H21" i="24"/>
  <c r="P28" i="24"/>
  <c r="I55" i="24"/>
  <c r="N56" i="24"/>
  <c r="L29" i="24" l="1"/>
  <c r="L11" i="24"/>
  <c r="J19" i="24"/>
  <c r="U62" i="24" a="1"/>
  <c r="U62" i="24" s="1"/>
  <c r="Q11" i="24"/>
  <c r="M10" i="24"/>
  <c r="J28" i="24"/>
  <c r="N29" i="24"/>
  <c r="K28" i="24"/>
  <c r="O29" i="24"/>
  <c r="R11" i="24"/>
  <c r="N10" i="24"/>
  <c r="L28" i="24"/>
  <c r="P29" i="24"/>
  <c r="U14" i="24" a="1"/>
  <c r="U14" i="24" s="1"/>
  <c r="M11" i="24"/>
  <c r="I10" i="24"/>
  <c r="N11" i="24"/>
  <c r="J10" i="24"/>
  <c r="I28" i="24"/>
  <c r="M29" i="24"/>
  <c r="N28" i="24"/>
  <c r="R29" i="24"/>
  <c r="O11" i="24"/>
  <c r="K10" i="24"/>
  <c r="U2" i="24" a="1"/>
  <c r="U2" i="24" s="1"/>
  <c r="S11" i="24"/>
  <c r="P10" i="24"/>
  <c r="O10" i="24"/>
  <c r="U50" i="24" a="1"/>
  <c r="U50" i="24" s="1"/>
  <c r="I19" i="24"/>
  <c r="D34" i="24"/>
  <c r="D32" i="24" s="1"/>
  <c r="D5" i="24"/>
  <c r="D43" i="24"/>
  <c r="D41" i="24" s="1"/>
  <c r="D61" i="24"/>
  <c r="D59" i="24" s="1"/>
  <c r="D52" i="24"/>
  <c r="D50" i="24" s="1"/>
  <c r="P11" i="24"/>
  <c r="L10" i="24"/>
  <c r="M28" i="24"/>
  <c r="Q29" i="24"/>
  <c r="U26" i="24" a="1"/>
  <c r="U26" i="24" s="1"/>
  <c r="S29" i="24"/>
  <c r="O28" i="24"/>
  <c r="K71" i="23" l="1"/>
  <c r="G71" i="23"/>
  <c r="S75" i="23" l="1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S72" i="23"/>
  <c r="R72" i="23"/>
  <c r="Q72" i="23"/>
  <c r="P72" i="23"/>
  <c r="O72" i="23"/>
  <c r="N72" i="23"/>
  <c r="R74" i="23" s="1"/>
  <c r="M72" i="23"/>
  <c r="L72" i="23"/>
  <c r="P74" i="23" s="1"/>
  <c r="K72" i="23"/>
  <c r="J72" i="23"/>
  <c r="N74" i="23" s="1"/>
  <c r="I72" i="23"/>
  <c r="H72" i="23"/>
  <c r="L74" i="23" s="1"/>
  <c r="S70" i="23"/>
  <c r="R70" i="23"/>
  <c r="Q70" i="23"/>
  <c r="P70" i="23"/>
  <c r="O70" i="23"/>
  <c r="N70" i="23"/>
  <c r="M70" i="23"/>
  <c r="L70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S68" i="23"/>
  <c r="R68" i="23"/>
  <c r="Q68" i="23"/>
  <c r="P68" i="23"/>
  <c r="O68" i="23"/>
  <c r="N68" i="23"/>
  <c r="M68" i="23"/>
  <c r="L68" i="23"/>
  <c r="H63" i="23"/>
  <c r="L65" i="23" s="1"/>
  <c r="I63" i="23"/>
  <c r="J63" i="23"/>
  <c r="K63" i="23"/>
  <c r="L63" i="23"/>
  <c r="L64" i="23" s="1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S63" i="23"/>
  <c r="S64" i="23" s="1"/>
  <c r="R63" i="23"/>
  <c r="R64" i="23" s="1"/>
  <c r="Q63" i="23"/>
  <c r="Q64" i="23" s="1"/>
  <c r="P63" i="23"/>
  <c r="P64" i="23" s="1"/>
  <c r="O63" i="23"/>
  <c r="S65" i="23" s="1"/>
  <c r="N63" i="23"/>
  <c r="R65" i="23" s="1"/>
  <c r="M63" i="23"/>
  <c r="Q65" i="23" s="1"/>
  <c r="S61" i="23"/>
  <c r="R61" i="23"/>
  <c r="Q61" i="23"/>
  <c r="P61" i="23"/>
  <c r="O61" i="23"/>
  <c r="N61" i="23"/>
  <c r="M61" i="23"/>
  <c r="M59" i="23" s="1"/>
  <c r="L61" i="23"/>
  <c r="L59" i="23" s="1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S59" i="23"/>
  <c r="R59" i="23"/>
  <c r="Q59" i="23"/>
  <c r="P59" i="23"/>
  <c r="O59" i="23"/>
  <c r="N59" i="23"/>
  <c r="S57" i="23"/>
  <c r="R57" i="23"/>
  <c r="Q57" i="23"/>
  <c r="P57" i="23"/>
  <c r="O57" i="23"/>
  <c r="N57" i="23"/>
  <c r="M57" i="23"/>
  <c r="L57" i="23"/>
  <c r="K57" i="23"/>
  <c r="J57" i="23"/>
  <c r="I57" i="23"/>
  <c r="H57" i="23"/>
  <c r="G57" i="23"/>
  <c r="F57" i="23"/>
  <c r="E57" i="23"/>
  <c r="S54" i="23"/>
  <c r="R54" i="23"/>
  <c r="Q54" i="23"/>
  <c r="P54" i="23"/>
  <c r="O54" i="23"/>
  <c r="N54" i="23"/>
  <c r="M54" i="23"/>
  <c r="L54" i="23"/>
  <c r="K54" i="23"/>
  <c r="O56" i="23" s="1"/>
  <c r="J54" i="23"/>
  <c r="I54" i="23"/>
  <c r="M56" i="23" s="1"/>
  <c r="H54" i="23"/>
  <c r="S52" i="23"/>
  <c r="R52" i="23"/>
  <c r="Q52" i="23"/>
  <c r="P52" i="23"/>
  <c r="O52" i="23"/>
  <c r="N52" i="23"/>
  <c r="M52" i="23"/>
  <c r="L52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S50" i="23"/>
  <c r="R50" i="23"/>
  <c r="Q50" i="23"/>
  <c r="P50" i="23"/>
  <c r="O50" i="23"/>
  <c r="N50" i="23"/>
  <c r="M50" i="23"/>
  <c r="L50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O47" i="23"/>
  <c r="Q46" i="23"/>
  <c r="P46" i="23"/>
  <c r="S45" i="23"/>
  <c r="S47" i="23" s="1"/>
  <c r="R45" i="23"/>
  <c r="R46" i="23" s="1"/>
  <c r="Q45" i="23"/>
  <c r="P45" i="23"/>
  <c r="O45" i="23"/>
  <c r="N45" i="23"/>
  <c r="M45" i="23"/>
  <c r="N46" i="23" s="1"/>
  <c r="L45" i="23"/>
  <c r="K45" i="23"/>
  <c r="J45" i="23"/>
  <c r="I45" i="23"/>
  <c r="H45" i="23"/>
  <c r="S43" i="23"/>
  <c r="R43" i="23"/>
  <c r="R41" i="23" s="1"/>
  <c r="Q43" i="23"/>
  <c r="Q41" i="23" s="1"/>
  <c r="P43" i="23"/>
  <c r="O43" i="23"/>
  <c r="N43" i="23"/>
  <c r="M43" i="23"/>
  <c r="L43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S41" i="23"/>
  <c r="P41" i="23"/>
  <c r="O41" i="23"/>
  <c r="N41" i="23"/>
  <c r="M41" i="23"/>
  <c r="L41" i="23"/>
  <c r="N65" i="23" l="1"/>
  <c r="O64" i="23"/>
  <c r="O65" i="23"/>
  <c r="M47" i="23"/>
  <c r="R47" i="23"/>
  <c r="S46" i="23"/>
  <c r="R56" i="23"/>
  <c r="I73" i="23"/>
  <c r="N56" i="23"/>
  <c r="I64" i="23"/>
  <c r="P65" i="23"/>
  <c r="K46" i="23"/>
  <c r="S74" i="23"/>
  <c r="S73" i="23"/>
  <c r="R73" i="23"/>
  <c r="M73" i="23"/>
  <c r="Q73" i="23"/>
  <c r="P73" i="23"/>
  <c r="K73" i="23"/>
  <c r="O73" i="23"/>
  <c r="Q74" i="23"/>
  <c r="N73" i="23"/>
  <c r="J73" i="23"/>
  <c r="L73" i="23"/>
  <c r="M74" i="23"/>
  <c r="O74" i="23"/>
  <c r="M65" i="23"/>
  <c r="J64" i="23"/>
  <c r="M64" i="23"/>
  <c r="N64" i="23"/>
  <c r="S56" i="23"/>
  <c r="P56" i="23"/>
  <c r="R55" i="23"/>
  <c r="P55" i="23"/>
  <c r="Q55" i="23"/>
  <c r="S55" i="23"/>
  <c r="L46" i="23"/>
  <c r="N47" i="23"/>
  <c r="M46" i="23"/>
  <c r="L47" i="23"/>
  <c r="M55" i="23"/>
  <c r="O55" i="23"/>
  <c r="N55" i="23"/>
  <c r="Q56" i="23"/>
  <c r="L56" i="23"/>
  <c r="I55" i="23"/>
  <c r="K55" i="23"/>
  <c r="L55" i="23"/>
  <c r="K64" i="23"/>
  <c r="J55" i="23"/>
  <c r="J46" i="23"/>
  <c r="I46" i="23"/>
  <c r="Q47" i="23"/>
  <c r="P47" i="23"/>
  <c r="O46" i="23"/>
  <c r="S21" i="21" l="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S20" i="21"/>
  <c r="R20" i="21"/>
  <c r="Q20" i="21"/>
  <c r="P20" i="21"/>
  <c r="O20" i="21"/>
  <c r="N20" i="21"/>
  <c r="M20" i="21"/>
  <c r="L20" i="21"/>
  <c r="S19" i="21"/>
  <c r="R19" i="21"/>
  <c r="Q19" i="21"/>
  <c r="P19" i="21"/>
  <c r="O19" i="21"/>
  <c r="S18" i="21"/>
  <c r="R18" i="21"/>
  <c r="Q18" i="21"/>
  <c r="P18" i="21"/>
  <c r="O18" i="21"/>
  <c r="N18" i="21"/>
  <c r="N19" i="21" s="1"/>
  <c r="M18" i="21"/>
  <c r="M19" i="21" s="1"/>
  <c r="L18" i="21"/>
  <c r="L19" i="21" s="1"/>
  <c r="K18" i="21"/>
  <c r="K19" i="21" s="1"/>
  <c r="J18" i="21"/>
  <c r="J19" i="21" s="1"/>
  <c r="I18" i="21"/>
  <c r="I19" i="21" s="1"/>
  <c r="H18" i="21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S36" i="23"/>
  <c r="R36" i="23"/>
  <c r="Q36" i="23"/>
  <c r="P36" i="23"/>
  <c r="O36" i="23"/>
  <c r="N36" i="23"/>
  <c r="M36" i="23"/>
  <c r="L36" i="23"/>
  <c r="P38" i="23" s="1"/>
  <c r="K36" i="23"/>
  <c r="J36" i="23"/>
  <c r="I36" i="23"/>
  <c r="H36" i="23"/>
  <c r="L38" i="23" s="1"/>
  <c r="S34" i="23"/>
  <c r="S32" i="23" s="1"/>
  <c r="R34" i="23"/>
  <c r="R32" i="23" s="1"/>
  <c r="Q34" i="23"/>
  <c r="Q32" i="23" s="1"/>
  <c r="P34" i="23"/>
  <c r="P32" i="23" s="1"/>
  <c r="O34" i="23"/>
  <c r="O32" i="23" s="1"/>
  <c r="N34" i="23"/>
  <c r="N32" i="23" s="1"/>
  <c r="M34" i="23"/>
  <c r="M32" i="23" s="1"/>
  <c r="L34" i="23"/>
  <c r="L32" i="23" s="1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S30" i="23"/>
  <c r="R30" i="23"/>
  <c r="Q30" i="23"/>
  <c r="P30" i="23"/>
  <c r="O30" i="23"/>
  <c r="N30" i="23"/>
  <c r="M30" i="23"/>
  <c r="S27" i="23"/>
  <c r="R27" i="23"/>
  <c r="Q27" i="23"/>
  <c r="P27" i="23"/>
  <c r="S25" i="23"/>
  <c r="S23" i="23" s="1"/>
  <c r="R25" i="23"/>
  <c r="R23" i="23" s="1"/>
  <c r="Q25" i="23"/>
  <c r="Q23" i="23" s="1"/>
  <c r="P25" i="23"/>
  <c r="P23" i="23" s="1"/>
  <c r="O25" i="23"/>
  <c r="O23" i="23" s="1"/>
  <c r="N25" i="23"/>
  <c r="N23" i="23" s="1"/>
  <c r="M25" i="23"/>
  <c r="M23" i="23" s="1"/>
  <c r="L25" i="23"/>
  <c r="L23" i="23" s="1"/>
  <c r="S12" i="23"/>
  <c r="R12" i="23"/>
  <c r="Q12" i="23"/>
  <c r="P12" i="23"/>
  <c r="O12" i="23"/>
  <c r="N12" i="23"/>
  <c r="M12" i="23"/>
  <c r="S9" i="23"/>
  <c r="R9" i="23"/>
  <c r="Q9" i="23"/>
  <c r="P9" i="23"/>
  <c r="S5" i="23"/>
  <c r="R5" i="23"/>
  <c r="Q5" i="23"/>
  <c r="P5" i="23"/>
  <c r="O5" i="23"/>
  <c r="N5" i="23"/>
  <c r="M5" i="23"/>
  <c r="L5" i="23"/>
  <c r="B3" i="23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S29" i="21"/>
  <c r="R29" i="21"/>
  <c r="Q29" i="21"/>
  <c r="P29" i="21"/>
  <c r="O29" i="21"/>
  <c r="N29" i="21"/>
  <c r="M29" i="21"/>
  <c r="L29" i="21"/>
  <c r="S28" i="21"/>
  <c r="R28" i="21"/>
  <c r="Q28" i="21"/>
  <c r="P28" i="21"/>
  <c r="O28" i="21"/>
  <c r="S27" i="21"/>
  <c r="R27" i="21"/>
  <c r="Q27" i="21"/>
  <c r="P27" i="21"/>
  <c r="O27" i="21"/>
  <c r="N27" i="21"/>
  <c r="M27" i="21"/>
  <c r="M28" i="21" s="1"/>
  <c r="L27" i="21"/>
  <c r="L28" i="21" s="1"/>
  <c r="K27" i="21"/>
  <c r="J27" i="21"/>
  <c r="I27" i="21"/>
  <c r="H27" i="21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S29" i="17"/>
  <c r="R29" i="17"/>
  <c r="Q29" i="17"/>
  <c r="P29" i="17"/>
  <c r="O29" i="17"/>
  <c r="N29" i="17"/>
  <c r="M29" i="17"/>
  <c r="L29" i="17"/>
  <c r="S28" i="17"/>
  <c r="R28" i="17"/>
  <c r="Q28" i="17"/>
  <c r="P28" i="17"/>
  <c r="O28" i="17"/>
  <c r="S27" i="17"/>
  <c r="R27" i="17"/>
  <c r="Q27" i="17"/>
  <c r="P27" i="17"/>
  <c r="O27" i="17"/>
  <c r="N27" i="17"/>
  <c r="N28" i="17" s="1"/>
  <c r="M27" i="17"/>
  <c r="M28" i="17" s="1"/>
  <c r="L27" i="17"/>
  <c r="L28" i="17" s="1"/>
  <c r="K27" i="17"/>
  <c r="K28" i="17" s="1"/>
  <c r="J27" i="17"/>
  <c r="J28" i="17" s="1"/>
  <c r="I27" i="17"/>
  <c r="H27" i="17"/>
  <c r="D25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D16" i="17"/>
  <c r="L16" i="17"/>
  <c r="M16" i="17"/>
  <c r="N16" i="17"/>
  <c r="O16" i="17"/>
  <c r="P16" i="17"/>
  <c r="Q16" i="17"/>
  <c r="R16" i="17"/>
  <c r="S16" i="17"/>
  <c r="D15" i="17"/>
  <c r="S21" i="17"/>
  <c r="R21" i="17"/>
  <c r="Q21" i="17"/>
  <c r="P21" i="17"/>
  <c r="O21" i="17"/>
  <c r="N21" i="17"/>
  <c r="M21" i="17"/>
  <c r="S18" i="17"/>
  <c r="R18" i="17"/>
  <c r="R19" i="17" s="1"/>
  <c r="Q18" i="17"/>
  <c r="P18" i="17"/>
  <c r="D16" i="23" a="1"/>
  <c r="D16" i="21" a="1"/>
  <c r="D25" i="23" a="1"/>
  <c r="D7" i="23" a="1"/>
  <c r="D25" i="21" a="1"/>
  <c r="E16" i="17" a="1"/>
  <c r="E25" i="17" a="1"/>
  <c r="F61" i="23" l="1"/>
  <c r="F59" i="23" s="1"/>
  <c r="E61" i="23"/>
  <c r="E59" i="23" s="1"/>
  <c r="K70" i="23"/>
  <c r="K68" i="23" s="1"/>
  <c r="K43" i="23"/>
  <c r="K41" i="23" s="1"/>
  <c r="J70" i="23"/>
  <c r="J68" i="23" s="1"/>
  <c r="J43" i="23"/>
  <c r="J41" i="23" s="1"/>
  <c r="K61" i="23"/>
  <c r="K59" i="23" s="1"/>
  <c r="I70" i="23"/>
  <c r="I68" i="23" s="1"/>
  <c r="I43" i="23"/>
  <c r="I41" i="23" s="1"/>
  <c r="H70" i="23"/>
  <c r="H68" i="23" s="1"/>
  <c r="U86" i="23" s="1" a="1"/>
  <c r="U86" i="23" s="1"/>
  <c r="H43" i="23"/>
  <c r="H41" i="23" s="1"/>
  <c r="U50" i="23" s="1" a="1"/>
  <c r="U50" i="23" s="1"/>
  <c r="G70" i="23"/>
  <c r="G68" i="23" s="1"/>
  <c r="G43" i="23"/>
  <c r="G41" i="23" s="1"/>
  <c r="F70" i="23"/>
  <c r="F68" i="23" s="1"/>
  <c r="F43" i="23"/>
  <c r="F41" i="23" s="1"/>
  <c r="E70" i="23"/>
  <c r="E68" i="23" s="1"/>
  <c r="K52" i="23"/>
  <c r="K50" i="23" s="1"/>
  <c r="E43" i="23"/>
  <c r="E41" i="23" s="1"/>
  <c r="J52" i="23"/>
  <c r="J50" i="23" s="1"/>
  <c r="I52" i="23"/>
  <c r="I50" i="23" s="1"/>
  <c r="H52" i="23"/>
  <c r="H50" i="23" s="1"/>
  <c r="G52" i="23"/>
  <c r="G50" i="23" s="1"/>
  <c r="F52" i="23"/>
  <c r="F50" i="23" s="1"/>
  <c r="E52" i="23"/>
  <c r="E50" i="23" s="1"/>
  <c r="J61" i="23"/>
  <c r="J59" i="23" s="1"/>
  <c r="I61" i="23"/>
  <c r="I59" i="23" s="1"/>
  <c r="H61" i="23"/>
  <c r="H59" i="23" s="1"/>
  <c r="G61" i="23"/>
  <c r="G59" i="23" s="1"/>
  <c r="I21" i="23"/>
  <c r="H21" i="23"/>
  <c r="G21" i="23"/>
  <c r="F21" i="23"/>
  <c r="E21" i="23"/>
  <c r="K18" i="23"/>
  <c r="J18" i="23"/>
  <c r="I18" i="23"/>
  <c r="H18" i="23"/>
  <c r="K21" i="23"/>
  <c r="J21" i="23"/>
  <c r="S38" i="23"/>
  <c r="S37" i="23"/>
  <c r="Q37" i="23"/>
  <c r="S28" i="23"/>
  <c r="Q28" i="23"/>
  <c r="R37" i="23"/>
  <c r="I37" i="23"/>
  <c r="J37" i="23"/>
  <c r="M38" i="23"/>
  <c r="N38" i="23"/>
  <c r="R28" i="23"/>
  <c r="K37" i="23"/>
  <c r="L37" i="23"/>
  <c r="M37" i="23"/>
  <c r="Q38" i="23"/>
  <c r="N37" i="23"/>
  <c r="O37" i="23"/>
  <c r="P37" i="23"/>
  <c r="O38" i="23"/>
  <c r="R38" i="23"/>
  <c r="D16" i="23"/>
  <c r="S10" i="23"/>
  <c r="R10" i="23"/>
  <c r="Q10" i="23"/>
  <c r="D16" i="21"/>
  <c r="D7" i="23"/>
  <c r="D25" i="23"/>
  <c r="D23" i="23" s="1"/>
  <c r="D14" i="23"/>
  <c r="I27" i="23"/>
  <c r="E23" i="23"/>
  <c r="J30" i="23"/>
  <c r="K23" i="23"/>
  <c r="N27" i="23"/>
  <c r="F30" i="23"/>
  <c r="H23" i="23"/>
  <c r="E30" i="23"/>
  <c r="G23" i="23"/>
  <c r="H27" i="23"/>
  <c r="I30" i="23"/>
  <c r="G30" i="23"/>
  <c r="F23" i="23"/>
  <c r="L30" i="23"/>
  <c r="J23" i="23"/>
  <c r="I23" i="23"/>
  <c r="K27" i="23"/>
  <c r="K30" i="23"/>
  <c r="O27" i="23"/>
  <c r="M27" i="23"/>
  <c r="J27" i="23"/>
  <c r="H30" i="23"/>
  <c r="L27" i="23"/>
  <c r="E14" i="23"/>
  <c r="K14" i="23"/>
  <c r="F14" i="23"/>
  <c r="I14" i="23"/>
  <c r="J14" i="23"/>
  <c r="H14" i="23"/>
  <c r="G14" i="23"/>
  <c r="K34" i="23"/>
  <c r="K32" i="23" s="1"/>
  <c r="H12" i="23"/>
  <c r="N9" i="23"/>
  <c r="J5" i="23"/>
  <c r="F5" i="23"/>
  <c r="L12" i="23"/>
  <c r="K12" i="23"/>
  <c r="O9" i="23"/>
  <c r="J34" i="23"/>
  <c r="J32" i="23" s="1"/>
  <c r="G12" i="23"/>
  <c r="M9" i="23"/>
  <c r="I9" i="23"/>
  <c r="G5" i="23"/>
  <c r="I12" i="23"/>
  <c r="I34" i="23"/>
  <c r="I32" i="23" s="1"/>
  <c r="F12" i="23"/>
  <c r="L9" i="23"/>
  <c r="H9" i="23"/>
  <c r="K5" i="23"/>
  <c r="I5" i="23"/>
  <c r="E5" i="23"/>
  <c r="J12" i="23"/>
  <c r="H34" i="23"/>
  <c r="H32" i="23" s="1"/>
  <c r="E12" i="23"/>
  <c r="K9" i="23"/>
  <c r="E34" i="23"/>
  <c r="E32" i="23" s="1"/>
  <c r="G34" i="23"/>
  <c r="G32" i="23" s="1"/>
  <c r="J9" i="23"/>
  <c r="F34" i="23"/>
  <c r="F32" i="23" s="1"/>
  <c r="H5" i="23"/>
  <c r="P28" i="23"/>
  <c r="I28" i="17"/>
  <c r="K28" i="21"/>
  <c r="J28" i="21"/>
  <c r="N28" i="21"/>
  <c r="I28" i="21"/>
  <c r="D25" i="21"/>
  <c r="Q19" i="17"/>
  <c r="S19" i="17"/>
  <c r="E16" i="17"/>
  <c r="E25" i="17"/>
  <c r="O18" i="17"/>
  <c r="L18" i="17"/>
  <c r="J21" i="17"/>
  <c r="I18" i="17"/>
  <c r="H21" i="17"/>
  <c r="E21" i="17"/>
  <c r="N18" i="17"/>
  <c r="L21" i="17"/>
  <c r="K21" i="17"/>
  <c r="K18" i="17"/>
  <c r="J18" i="17"/>
  <c r="I21" i="17"/>
  <c r="H18" i="17"/>
  <c r="I19" i="17" s="1"/>
  <c r="G21" i="17"/>
  <c r="F21" i="17"/>
  <c r="M18" i="17"/>
  <c r="U74" i="23" l="1" a="1"/>
  <c r="U74" i="23" s="1"/>
  <c r="U62" i="23" a="1"/>
  <c r="U62" i="23" s="1"/>
  <c r="D61" i="23"/>
  <c r="D59" i="23" s="1"/>
  <c r="D70" i="23"/>
  <c r="D68" i="23" s="1"/>
  <c r="D43" i="23"/>
  <c r="D41" i="23" s="1"/>
  <c r="D52" i="23"/>
  <c r="D50" i="23" s="1"/>
  <c r="J19" i="23"/>
  <c r="I19" i="23"/>
  <c r="K19" i="23"/>
  <c r="L11" i="23"/>
  <c r="U14" i="23" a="1"/>
  <c r="U14" i="23" s="1"/>
  <c r="U38" i="23" a="1"/>
  <c r="U38" i="23" s="1"/>
  <c r="R29" i="23"/>
  <c r="N28" i="23"/>
  <c r="U26" i="23" a="1"/>
  <c r="U26" i="23" s="1"/>
  <c r="L10" i="23"/>
  <c r="P11" i="23"/>
  <c r="U2" i="23" a="1"/>
  <c r="U2" i="23" s="1"/>
  <c r="R11" i="23"/>
  <c r="N10" i="23"/>
  <c r="K10" i="23"/>
  <c r="O11" i="23"/>
  <c r="K28" i="23"/>
  <c r="O29" i="23"/>
  <c r="I10" i="23"/>
  <c r="M11" i="23"/>
  <c r="O10" i="23"/>
  <c r="S11" i="23"/>
  <c r="P29" i="23"/>
  <c r="L28" i="23"/>
  <c r="P10" i="23"/>
  <c r="D5" i="23"/>
  <c r="D34" i="23"/>
  <c r="D32" i="23" s="1"/>
  <c r="N29" i="23"/>
  <c r="J28" i="23"/>
  <c r="N11" i="23"/>
  <c r="J10" i="23"/>
  <c r="Q29" i="23"/>
  <c r="M28" i="23"/>
  <c r="S29" i="23"/>
  <c r="O28" i="23"/>
  <c r="L29" i="23"/>
  <c r="M10" i="23"/>
  <c r="Q11" i="23"/>
  <c r="M29" i="23"/>
  <c r="I28" i="23"/>
  <c r="J19" i="17"/>
  <c r="M19" i="17"/>
  <c r="Q20" i="17"/>
  <c r="M20" i="17"/>
  <c r="K19" i="17"/>
  <c r="N19" i="17"/>
  <c r="R20" i="17"/>
  <c r="N20" i="17"/>
  <c r="L19" i="17"/>
  <c r="L20" i="17"/>
  <c r="P20" i="17"/>
  <c r="O20" i="17"/>
  <c r="O19" i="17"/>
  <c r="S20" i="17"/>
  <c r="P19" i="17"/>
  <c r="E12" i="21" l="1"/>
  <c r="B3" i="21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S38" i="17"/>
  <c r="O38" i="17"/>
  <c r="N38" i="17"/>
  <c r="M38" i="17"/>
  <c r="L38" i="17"/>
  <c r="S37" i="17"/>
  <c r="R37" i="17"/>
  <c r="Q37" i="17"/>
  <c r="P37" i="17"/>
  <c r="O37" i="17"/>
  <c r="S36" i="17"/>
  <c r="R36" i="17"/>
  <c r="Q36" i="17"/>
  <c r="P36" i="17"/>
  <c r="O36" i="17"/>
  <c r="N36" i="17"/>
  <c r="N37" i="17" s="1"/>
  <c r="M36" i="17"/>
  <c r="M37" i="17" s="1"/>
  <c r="L36" i="17"/>
  <c r="L37" i="17" s="1"/>
  <c r="K36" i="17"/>
  <c r="K37" i="17" s="1"/>
  <c r="J36" i="17"/>
  <c r="J37" i="17" s="1"/>
  <c r="I36" i="17"/>
  <c r="I37" i="17" s="1"/>
  <c r="H36" i="17"/>
  <c r="S34" i="17"/>
  <c r="R34" i="17"/>
  <c r="Q34" i="17"/>
  <c r="P34" i="17"/>
  <c r="O34" i="17"/>
  <c r="N34" i="17"/>
  <c r="M34" i="17"/>
  <c r="M32" i="17" s="1"/>
  <c r="L34" i="17"/>
  <c r="L32" i="17" s="1"/>
  <c r="D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S32" i="17"/>
  <c r="R32" i="17"/>
  <c r="Q32" i="17"/>
  <c r="P32" i="17"/>
  <c r="O32" i="17"/>
  <c r="N32" i="17"/>
  <c r="D32" i="17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S36" i="21"/>
  <c r="R36" i="21"/>
  <c r="Q36" i="21"/>
  <c r="P36" i="21"/>
  <c r="O36" i="21"/>
  <c r="S38" i="21" s="1"/>
  <c r="N36" i="21"/>
  <c r="M36" i="21"/>
  <c r="Q38" i="21" s="1"/>
  <c r="L36" i="21"/>
  <c r="K36" i="21"/>
  <c r="J36" i="21"/>
  <c r="I36" i="21"/>
  <c r="H36" i="21"/>
  <c r="S34" i="21"/>
  <c r="R34" i="21"/>
  <c r="Q34" i="21"/>
  <c r="P34" i="21"/>
  <c r="O34" i="21"/>
  <c r="O32" i="21" s="1"/>
  <c r="N34" i="21"/>
  <c r="M34" i="21"/>
  <c r="L34" i="21"/>
  <c r="L32" i="21" s="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S32" i="21"/>
  <c r="R32" i="21"/>
  <c r="Q32" i="21"/>
  <c r="P32" i="21"/>
  <c r="N32" i="21"/>
  <c r="M32" i="21"/>
  <c r="S25" i="21"/>
  <c r="R25" i="21"/>
  <c r="Q25" i="21"/>
  <c r="P25" i="21"/>
  <c r="O25" i="21"/>
  <c r="N25" i="21"/>
  <c r="M25" i="21"/>
  <c r="M23" i="21" s="1"/>
  <c r="L25" i="21"/>
  <c r="L23" i="21" s="1"/>
  <c r="S23" i="21"/>
  <c r="R23" i="21"/>
  <c r="Q23" i="21"/>
  <c r="P23" i="21"/>
  <c r="O23" i="21"/>
  <c r="N23" i="21"/>
  <c r="S16" i="21"/>
  <c r="R16" i="21"/>
  <c r="Q16" i="21"/>
  <c r="P16" i="21"/>
  <c r="P14" i="21" s="1"/>
  <c r="O16" i="21"/>
  <c r="O14" i="21" s="1"/>
  <c r="N16" i="21"/>
  <c r="N14" i="21" s="1"/>
  <c r="M16" i="21"/>
  <c r="M14" i="21" s="1"/>
  <c r="L16" i="21"/>
  <c r="L14" i="21" s="1"/>
  <c r="S14" i="21"/>
  <c r="R14" i="21"/>
  <c r="Q14" i="21"/>
  <c r="S12" i="21"/>
  <c r="R12" i="21"/>
  <c r="Q12" i="21"/>
  <c r="P12" i="21"/>
  <c r="O12" i="21"/>
  <c r="N12" i="21"/>
  <c r="M12" i="21"/>
  <c r="S9" i="21"/>
  <c r="S10" i="21" s="1"/>
  <c r="R9" i="21"/>
  <c r="Q9" i="21"/>
  <c r="P9" i="21"/>
  <c r="S5" i="21"/>
  <c r="R5" i="21"/>
  <c r="Q5" i="21"/>
  <c r="P5" i="21"/>
  <c r="O5" i="21"/>
  <c r="N5" i="21"/>
  <c r="M5" i="21"/>
  <c r="L5" i="21"/>
  <c r="K91" i="8"/>
  <c r="J91" i="8"/>
  <c r="I91" i="8"/>
  <c r="H91" i="8"/>
  <c r="G91" i="8"/>
  <c r="F91" i="8"/>
  <c r="E91" i="8"/>
  <c r="D91" i="8"/>
  <c r="K89" i="8"/>
  <c r="J89" i="8"/>
  <c r="I89" i="8"/>
  <c r="H89" i="8"/>
  <c r="G89" i="8"/>
  <c r="F89" i="8"/>
  <c r="E89" i="8"/>
  <c r="D89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S85" i="8"/>
  <c r="J84" i="8"/>
  <c r="S83" i="8"/>
  <c r="R83" i="8"/>
  <c r="Q83" i="8"/>
  <c r="P83" i="8"/>
  <c r="O83" i="8"/>
  <c r="P84" i="8" s="1"/>
  <c r="N83" i="8"/>
  <c r="R85" i="8" s="1"/>
  <c r="M83" i="8"/>
  <c r="M85" i="8" s="1"/>
  <c r="L83" i="8"/>
  <c r="K83" i="8"/>
  <c r="J83" i="8"/>
  <c r="I83" i="8"/>
  <c r="H83" i="8"/>
  <c r="I84" i="8" s="1"/>
  <c r="S81" i="8"/>
  <c r="R81" i="8"/>
  <c r="Q81" i="8"/>
  <c r="Q79" i="8" s="1"/>
  <c r="P81" i="8"/>
  <c r="P79" i="8" s="1"/>
  <c r="O81" i="8"/>
  <c r="N81" i="8"/>
  <c r="M81" i="8"/>
  <c r="M79" i="8" s="1"/>
  <c r="L81" i="8"/>
  <c r="L79" i="8" s="1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S79" i="8"/>
  <c r="R79" i="8"/>
  <c r="O79" i="8"/>
  <c r="N79" i="8"/>
  <c r="K70" i="8"/>
  <c r="J70" i="8"/>
  <c r="I70" i="8"/>
  <c r="H70" i="8"/>
  <c r="G70" i="8"/>
  <c r="F70" i="8"/>
  <c r="E70" i="8"/>
  <c r="D70" i="8"/>
  <c r="K68" i="8"/>
  <c r="J68" i="8"/>
  <c r="I68" i="8"/>
  <c r="H68" i="8"/>
  <c r="G68" i="8"/>
  <c r="F68" i="8"/>
  <c r="E68" i="8"/>
  <c r="D68" i="8"/>
  <c r="E49" i="8"/>
  <c r="F49" i="8"/>
  <c r="G49" i="8"/>
  <c r="H49" i="8"/>
  <c r="I49" i="8"/>
  <c r="J49" i="8"/>
  <c r="K49" i="8"/>
  <c r="D49" i="8"/>
  <c r="E35" i="8"/>
  <c r="F35" i="8"/>
  <c r="G35" i="8"/>
  <c r="H35" i="8"/>
  <c r="I35" i="8"/>
  <c r="J35" i="8"/>
  <c r="K35" i="8"/>
  <c r="D35" i="8"/>
  <c r="K33" i="8"/>
  <c r="J33" i="8"/>
  <c r="I33" i="8"/>
  <c r="H33" i="8"/>
  <c r="G33" i="8"/>
  <c r="F33" i="8"/>
  <c r="E33" i="8"/>
  <c r="D33" i="8"/>
  <c r="D7" i="21" a="1"/>
  <c r="D14" i="21" l="1"/>
  <c r="D7" i="21"/>
  <c r="N37" i="21"/>
  <c r="Q37" i="21"/>
  <c r="R37" i="21"/>
  <c r="S37" i="21"/>
  <c r="I37" i="21"/>
  <c r="P37" i="21"/>
  <c r="R38" i="21"/>
  <c r="K37" i="21"/>
  <c r="J37" i="21"/>
  <c r="L37" i="21"/>
  <c r="P38" i="17"/>
  <c r="Q38" i="17"/>
  <c r="R38" i="17"/>
  <c r="R10" i="21"/>
  <c r="E14" i="21"/>
  <c r="G34" i="21"/>
  <c r="G32" i="21" s="1"/>
  <c r="G23" i="21"/>
  <c r="J5" i="21"/>
  <c r="F34" i="21"/>
  <c r="F32" i="21" s="1"/>
  <c r="F23" i="21"/>
  <c r="I5" i="21"/>
  <c r="H5" i="21"/>
  <c r="G5" i="21"/>
  <c r="F5" i="21"/>
  <c r="L12" i="21"/>
  <c r="K12" i="21"/>
  <c r="O9" i="21"/>
  <c r="P10" i="21" s="1"/>
  <c r="I23" i="21"/>
  <c r="I12" i="21"/>
  <c r="N9" i="21"/>
  <c r="H12" i="21"/>
  <c r="M9" i="21"/>
  <c r="G12" i="21"/>
  <c r="L9" i="21"/>
  <c r="F12" i="21"/>
  <c r="K9" i="21"/>
  <c r="J9" i="21"/>
  <c r="I9" i="21"/>
  <c r="H9" i="21"/>
  <c r="J23" i="21"/>
  <c r="K34" i="21"/>
  <c r="K32" i="21" s="1"/>
  <c r="K23" i="21"/>
  <c r="J34" i="21"/>
  <c r="J32" i="21" s="1"/>
  <c r="I34" i="21"/>
  <c r="I32" i="21" s="1"/>
  <c r="H34" i="21"/>
  <c r="H32" i="21" s="1"/>
  <c r="H23" i="21"/>
  <c r="K5" i="21"/>
  <c r="J12" i="21"/>
  <c r="F14" i="21"/>
  <c r="I14" i="21"/>
  <c r="K14" i="21"/>
  <c r="J14" i="21"/>
  <c r="H14" i="21"/>
  <c r="G14" i="21"/>
  <c r="M37" i="21"/>
  <c r="O37" i="21"/>
  <c r="Q10" i="21"/>
  <c r="M38" i="21"/>
  <c r="L38" i="21"/>
  <c r="N38" i="21"/>
  <c r="O38" i="21"/>
  <c r="P38" i="21"/>
  <c r="Q84" i="8"/>
  <c r="L84" i="8"/>
  <c r="R84" i="8"/>
  <c r="P85" i="8"/>
  <c r="S84" i="8"/>
  <c r="M84" i="8"/>
  <c r="O84" i="8"/>
  <c r="N85" i="8"/>
  <c r="O85" i="8"/>
  <c r="Q85" i="8"/>
  <c r="L85" i="8"/>
  <c r="I92" i="8"/>
  <c r="H92" i="8"/>
  <c r="K95" i="8"/>
  <c r="J95" i="8"/>
  <c r="I95" i="8"/>
  <c r="H95" i="8"/>
  <c r="G95" i="8"/>
  <c r="F95" i="8"/>
  <c r="E95" i="8"/>
  <c r="I93" i="8"/>
  <c r="K84" i="8"/>
  <c r="J92" i="8"/>
  <c r="J93" i="8" s="1"/>
  <c r="N84" i="8"/>
  <c r="K92" i="8"/>
  <c r="H71" i="8"/>
  <c r="G74" i="8"/>
  <c r="K74" i="8"/>
  <c r="J74" i="8"/>
  <c r="I74" i="8"/>
  <c r="H74" i="8"/>
  <c r="F74" i="8"/>
  <c r="I71" i="8"/>
  <c r="I72" i="8"/>
  <c r="J71" i="8"/>
  <c r="J72" i="8" s="1"/>
  <c r="K71" i="8"/>
  <c r="K72" i="8" s="1"/>
  <c r="E74" i="8"/>
  <c r="D5" i="21" l="1"/>
  <c r="D34" i="21"/>
  <c r="D32" i="21" s="1"/>
  <c r="D23" i="21"/>
  <c r="U38" i="21" a="1"/>
  <c r="U38" i="21" s="1"/>
  <c r="L11" i="21"/>
  <c r="U14" i="21" a="1"/>
  <c r="U14" i="21" s="1"/>
  <c r="I10" i="21"/>
  <c r="M11" i="21"/>
  <c r="R11" i="21"/>
  <c r="N10" i="21"/>
  <c r="J10" i="21"/>
  <c r="N11" i="21"/>
  <c r="K10" i="21"/>
  <c r="O11" i="21"/>
  <c r="L10" i="21"/>
  <c r="P11" i="21"/>
  <c r="E34" i="21"/>
  <c r="E32" i="21" s="1"/>
  <c r="E23" i="21"/>
  <c r="E5" i="21"/>
  <c r="M10" i="21"/>
  <c r="Q11" i="21"/>
  <c r="S11" i="21"/>
  <c r="O10" i="21"/>
  <c r="U2" i="21" a="1"/>
  <c r="U2" i="21" s="1"/>
  <c r="K93" i="8"/>
  <c r="S65" i="8" l="1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S62" i="8"/>
  <c r="R62" i="8"/>
  <c r="Q62" i="8"/>
  <c r="P62" i="8"/>
  <c r="O62" i="8"/>
  <c r="N62" i="8"/>
  <c r="M62" i="8"/>
  <c r="L62" i="8"/>
  <c r="K62" i="8"/>
  <c r="K63" i="8" s="1"/>
  <c r="J62" i="8"/>
  <c r="I62" i="8"/>
  <c r="H62" i="8"/>
  <c r="S60" i="8"/>
  <c r="S58" i="8" s="1"/>
  <c r="R60" i="8"/>
  <c r="R58" i="8" s="1"/>
  <c r="Q60" i="8"/>
  <c r="Q58" i="8" s="1"/>
  <c r="P60" i="8"/>
  <c r="P58" i="8" s="1"/>
  <c r="O60" i="8"/>
  <c r="O58" i="8" s="1"/>
  <c r="N60" i="8"/>
  <c r="N58" i="8" s="1"/>
  <c r="M60" i="8"/>
  <c r="M58" i="8" s="1"/>
  <c r="L60" i="8"/>
  <c r="L58" i="8" s="1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S27" i="8"/>
  <c r="R27" i="8"/>
  <c r="Q27" i="8"/>
  <c r="P27" i="8"/>
  <c r="O27" i="8"/>
  <c r="N27" i="8"/>
  <c r="M27" i="8"/>
  <c r="L27" i="8"/>
  <c r="K27" i="8"/>
  <c r="J27" i="8"/>
  <c r="I27" i="8"/>
  <c r="H27" i="8"/>
  <c r="S25" i="8"/>
  <c r="S23" i="8" s="1"/>
  <c r="R25" i="8"/>
  <c r="R23" i="8" s="1"/>
  <c r="Q25" i="8"/>
  <c r="Q23" i="8" s="1"/>
  <c r="P25" i="8"/>
  <c r="P23" i="8" s="1"/>
  <c r="O25" i="8"/>
  <c r="O23" i="8" s="1"/>
  <c r="N25" i="8"/>
  <c r="N23" i="8" s="1"/>
  <c r="M25" i="8"/>
  <c r="M23" i="8" s="1"/>
  <c r="L25" i="8"/>
  <c r="L23" i="8" s="1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O56" i="17"/>
  <c r="M56" i="17"/>
  <c r="L56" i="17"/>
  <c r="O55" i="17"/>
  <c r="S54" i="17"/>
  <c r="R54" i="17"/>
  <c r="Q54" i="17"/>
  <c r="Q56" i="17" s="1"/>
  <c r="P54" i="17"/>
  <c r="P56" i="17" s="1"/>
  <c r="O54" i="17"/>
  <c r="N54" i="17"/>
  <c r="M54" i="17"/>
  <c r="L54" i="17"/>
  <c r="K54" i="17"/>
  <c r="J54" i="17"/>
  <c r="I54" i="17"/>
  <c r="H54" i="17"/>
  <c r="S52" i="17"/>
  <c r="R52" i="17"/>
  <c r="Q52" i="17"/>
  <c r="P52" i="17"/>
  <c r="O52" i="17"/>
  <c r="N52" i="17"/>
  <c r="M52" i="17"/>
  <c r="M50" i="17" s="1"/>
  <c r="L52" i="17"/>
  <c r="L50" i="17" s="1"/>
  <c r="D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S50" i="17"/>
  <c r="R50" i="17"/>
  <c r="Q50" i="17"/>
  <c r="P50" i="17"/>
  <c r="O50" i="17"/>
  <c r="N50" i="17"/>
  <c r="D50" i="17"/>
  <c r="U26" i="21" l="1" a="1"/>
  <c r="U26" i="21" s="1"/>
  <c r="L63" i="8"/>
  <c r="M63" i="8"/>
  <c r="Q64" i="8"/>
  <c r="N63" i="8"/>
  <c r="P63" i="8"/>
  <c r="S63" i="8"/>
  <c r="L28" i="8"/>
  <c r="O29" i="8"/>
  <c r="I63" i="8"/>
  <c r="N28" i="8"/>
  <c r="K28" i="8"/>
  <c r="M29" i="8"/>
  <c r="O64" i="8"/>
  <c r="R64" i="8"/>
  <c r="O63" i="8"/>
  <c r="P29" i="8"/>
  <c r="J63" i="8"/>
  <c r="Q63" i="8"/>
  <c r="R63" i="8"/>
  <c r="P64" i="8"/>
  <c r="S64" i="8"/>
  <c r="M64" i="8"/>
  <c r="Q29" i="8"/>
  <c r="R29" i="8"/>
  <c r="I28" i="8"/>
  <c r="P28" i="8"/>
  <c r="M28" i="8"/>
  <c r="J28" i="8"/>
  <c r="S28" i="8"/>
  <c r="S29" i="8"/>
  <c r="O28" i="8"/>
  <c r="L29" i="8"/>
  <c r="L64" i="8"/>
  <c r="N64" i="8"/>
  <c r="Q28" i="8"/>
  <c r="R28" i="8"/>
  <c r="N29" i="8"/>
  <c r="R55" i="17"/>
  <c r="S55" i="17"/>
  <c r="P55" i="17"/>
  <c r="Q55" i="17"/>
  <c r="S56" i="17"/>
  <c r="I55" i="17"/>
  <c r="J55" i="17"/>
  <c r="M55" i="17"/>
  <c r="N55" i="17"/>
  <c r="L55" i="17"/>
  <c r="N56" i="17"/>
  <c r="K55" i="17"/>
  <c r="R56" i="17"/>
  <c r="D5" i="17"/>
  <c r="B3" i="17"/>
  <c r="E7" i="17" a="1"/>
  <c r="K34" i="17" l="1"/>
  <c r="K32" i="17" s="1"/>
  <c r="G34" i="17"/>
  <c r="G32" i="17" s="1"/>
  <c r="E12" i="17"/>
  <c r="I34" i="17"/>
  <c r="I32" i="17" s="1"/>
  <c r="H34" i="17"/>
  <c r="H32" i="17" s="1"/>
  <c r="F34" i="17"/>
  <c r="F32" i="17" s="1"/>
  <c r="J34" i="17"/>
  <c r="J32" i="17" s="1"/>
  <c r="H9" i="17"/>
  <c r="J52" i="17"/>
  <c r="J50" i="17" s="1"/>
  <c r="H52" i="17"/>
  <c r="H50" i="17" s="1"/>
  <c r="K52" i="17"/>
  <c r="K50" i="17" s="1"/>
  <c r="I52" i="17"/>
  <c r="I50" i="17" s="1"/>
  <c r="G52" i="17"/>
  <c r="G50" i="17" s="1"/>
  <c r="F52" i="17"/>
  <c r="F50" i="17" s="1"/>
  <c r="E7" i="17"/>
  <c r="E52" i="17" l="1"/>
  <c r="E50" i="17" s="1"/>
  <c r="E34" i="17"/>
  <c r="E32" i="17" s="1"/>
  <c r="U62" i="17" a="1"/>
  <c r="U62" i="17" s="1"/>
  <c r="S48" i="17" l="1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S45" i="17"/>
  <c r="S46" i="17" s="1"/>
  <c r="R45" i="17"/>
  <c r="Q45" i="17"/>
  <c r="P45" i="17"/>
  <c r="O45" i="17"/>
  <c r="N45" i="17"/>
  <c r="M45" i="17"/>
  <c r="L45" i="17"/>
  <c r="K45" i="17"/>
  <c r="J45" i="17"/>
  <c r="I45" i="17"/>
  <c r="I46" i="17" s="1"/>
  <c r="H45" i="17"/>
  <c r="S43" i="17"/>
  <c r="R43" i="17"/>
  <c r="Q43" i="17"/>
  <c r="P43" i="17"/>
  <c r="O43" i="17"/>
  <c r="N43" i="17"/>
  <c r="M43" i="17"/>
  <c r="L43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S41" i="17"/>
  <c r="R41" i="17"/>
  <c r="Q41" i="17"/>
  <c r="P41" i="17"/>
  <c r="O41" i="17"/>
  <c r="N41" i="17"/>
  <c r="M41" i="17"/>
  <c r="L41" i="17"/>
  <c r="S25" i="17"/>
  <c r="R25" i="17"/>
  <c r="Q25" i="17"/>
  <c r="P25" i="17"/>
  <c r="O25" i="17"/>
  <c r="N25" i="17"/>
  <c r="M25" i="17"/>
  <c r="L25" i="17"/>
  <c r="R14" i="17"/>
  <c r="Q14" i="17"/>
  <c r="O14" i="17"/>
  <c r="N14" i="17"/>
  <c r="M14" i="17"/>
  <c r="L14" i="17"/>
  <c r="S14" i="17"/>
  <c r="P14" i="17"/>
  <c r="S12" i="17"/>
  <c r="R12" i="17"/>
  <c r="Q12" i="17"/>
  <c r="P12" i="17"/>
  <c r="O12" i="17"/>
  <c r="N12" i="17"/>
  <c r="M12" i="17"/>
  <c r="S9" i="17"/>
  <c r="R9" i="17"/>
  <c r="Q9" i="17"/>
  <c r="Q10" i="17" s="1"/>
  <c r="P9" i="17"/>
  <c r="S5" i="17"/>
  <c r="R5" i="17"/>
  <c r="Q5" i="17"/>
  <c r="P5" i="17"/>
  <c r="O5" i="17"/>
  <c r="N5" i="17"/>
  <c r="M5" i="17"/>
  <c r="L5" i="17"/>
  <c r="R46" i="17" l="1"/>
  <c r="N46" i="17"/>
  <c r="J46" i="17"/>
  <c r="Q47" i="17"/>
  <c r="P46" i="17"/>
  <c r="S47" i="17"/>
  <c r="P47" i="17"/>
  <c r="R47" i="17"/>
  <c r="M46" i="17"/>
  <c r="O46" i="17"/>
  <c r="N47" i="17"/>
  <c r="O47" i="17"/>
  <c r="K46" i="17"/>
  <c r="L46" i="17"/>
  <c r="S10" i="17"/>
  <c r="R10" i="17"/>
  <c r="D14" i="17"/>
  <c r="G12" i="17"/>
  <c r="I9" i="17"/>
  <c r="G5" i="17"/>
  <c r="F12" i="17"/>
  <c r="F5" i="17"/>
  <c r="E5" i="17"/>
  <c r="L9" i="17"/>
  <c r="I5" i="17"/>
  <c r="J9" i="17"/>
  <c r="J12" i="17"/>
  <c r="J5" i="17"/>
  <c r="H5" i="17"/>
  <c r="K43" i="17"/>
  <c r="K41" i="17" s="1"/>
  <c r="J43" i="17"/>
  <c r="J41" i="17" s="1"/>
  <c r="I43" i="17"/>
  <c r="I41" i="17" s="1"/>
  <c r="O9" i="17"/>
  <c r="H43" i="17"/>
  <c r="H41" i="17" s="1"/>
  <c r="L12" i="17"/>
  <c r="N9" i="17"/>
  <c r="G43" i="17"/>
  <c r="G41" i="17" s="1"/>
  <c r="K12" i="17"/>
  <c r="M9" i="17"/>
  <c r="K5" i="17"/>
  <c r="F43" i="17"/>
  <c r="F41" i="17" s="1"/>
  <c r="E43" i="17"/>
  <c r="E41" i="17" s="1"/>
  <c r="I12" i="17"/>
  <c r="K9" i="17"/>
  <c r="H12" i="17"/>
  <c r="G14" i="17"/>
  <c r="F14" i="17"/>
  <c r="E14" i="17"/>
  <c r="J14" i="17"/>
  <c r="I14" i="17"/>
  <c r="H14" i="17"/>
  <c r="K14" i="17"/>
  <c r="Q46" i="17"/>
  <c r="L47" i="17"/>
  <c r="M47" i="17"/>
  <c r="L11" i="17" l="1"/>
  <c r="U2" i="17" a="1"/>
  <c r="U2" i="17" s="1"/>
  <c r="I10" i="17"/>
  <c r="M11" i="17"/>
  <c r="M10" i="17"/>
  <c r="Q11" i="17"/>
  <c r="J10" i="17"/>
  <c r="N11" i="17"/>
  <c r="U38" i="17" a="1"/>
  <c r="U38" i="17" s="1"/>
  <c r="N10" i="17"/>
  <c r="R11" i="17"/>
  <c r="L10" i="17"/>
  <c r="P11" i="17"/>
  <c r="U14" i="17" a="1"/>
  <c r="U14" i="17" s="1"/>
  <c r="K10" i="17"/>
  <c r="O11" i="17"/>
  <c r="U50" i="17" a="1"/>
  <c r="U50" i="17" s="1"/>
  <c r="S11" i="17"/>
  <c r="P10" i="17"/>
  <c r="O10" i="17"/>
  <c r="D43" i="17"/>
  <c r="D41" i="17" s="1"/>
  <c r="U26" i="17" l="1" a="1"/>
  <c r="U26" i="17" s="1"/>
  <c r="K53" i="8" l="1"/>
  <c r="J53" i="8"/>
  <c r="I53" i="8"/>
  <c r="H53" i="8"/>
  <c r="G53" i="8"/>
  <c r="F53" i="8"/>
  <c r="E53" i="8"/>
  <c r="L16" i="8" l="1"/>
  <c r="M16" i="8"/>
  <c r="N16" i="8"/>
  <c r="O16" i="8"/>
  <c r="P16" i="8"/>
  <c r="P14" i="8" s="1"/>
  <c r="Q16" i="8"/>
  <c r="Q14" i="8" s="1"/>
  <c r="R16" i="8"/>
  <c r="R14" i="8" s="1"/>
  <c r="S16" i="8"/>
  <c r="S14" i="8" s="1"/>
  <c r="S21" i="8"/>
  <c r="R21" i="8"/>
  <c r="Q21" i="8"/>
  <c r="P21" i="8"/>
  <c r="O21" i="8"/>
  <c r="N21" i="8"/>
  <c r="M21" i="8"/>
  <c r="S19" i="8"/>
  <c r="S18" i="8"/>
  <c r="R18" i="8"/>
  <c r="Q18" i="8"/>
  <c r="P18" i="8"/>
  <c r="Q19" i="8" s="1"/>
  <c r="S12" i="8"/>
  <c r="R12" i="8"/>
  <c r="Q12" i="8"/>
  <c r="P12" i="8"/>
  <c r="O12" i="8"/>
  <c r="N12" i="8"/>
  <c r="M12" i="8"/>
  <c r="S9" i="8"/>
  <c r="R9" i="8"/>
  <c r="Q9" i="8"/>
  <c r="P9" i="8"/>
  <c r="R19" i="8" l="1"/>
  <c r="Q10" i="8"/>
  <c r="S10" i="8"/>
  <c r="R10" i="8"/>
  <c r="K47" i="8" l="1"/>
  <c r="J47" i="8"/>
  <c r="I47" i="8"/>
  <c r="H47" i="8"/>
  <c r="G47" i="8"/>
  <c r="F47" i="8"/>
  <c r="E47" i="8"/>
  <c r="D47" i="8"/>
  <c r="K50" i="8" l="1"/>
  <c r="J50" i="8"/>
  <c r="I50" i="8"/>
  <c r="H50" i="8"/>
  <c r="J51" i="8" l="1"/>
  <c r="I51" i="8"/>
  <c r="K51" i="8"/>
  <c r="P5" i="8" l="1"/>
  <c r="Q5" i="8"/>
  <c r="R5" i="8"/>
  <c r="S5" i="8"/>
  <c r="B3" i="8" l="1"/>
  <c r="D7" i="8" a="1"/>
  <c r="D16" i="8" a="1"/>
  <c r="H81" i="8" l="1"/>
  <c r="H79" i="8" s="1"/>
  <c r="G90" i="8"/>
  <c r="G88" i="8" s="1"/>
  <c r="G81" i="8"/>
  <c r="G79" i="8" s="1"/>
  <c r="F81" i="8"/>
  <c r="F79" i="8" s="1"/>
  <c r="G69" i="8"/>
  <c r="G67" i="8" s="1"/>
  <c r="F69" i="8"/>
  <c r="F67" i="8" s="1"/>
  <c r="K81" i="8"/>
  <c r="K79" i="8" s="1"/>
  <c r="E81" i="8"/>
  <c r="E79" i="8" s="1"/>
  <c r="J69" i="8"/>
  <c r="J67" i="8" s="1"/>
  <c r="H90" i="8"/>
  <c r="H88" i="8" s="1"/>
  <c r="E69" i="8"/>
  <c r="E67" i="8" s="1"/>
  <c r="J90" i="8"/>
  <c r="J88" i="8" s="1"/>
  <c r="I69" i="8"/>
  <c r="I67" i="8" s="1"/>
  <c r="E90" i="8"/>
  <c r="E88" i="8" s="1"/>
  <c r="I81" i="8"/>
  <c r="I79" i="8" s="1"/>
  <c r="K69" i="8"/>
  <c r="K67" i="8" s="1"/>
  <c r="K90" i="8"/>
  <c r="K88" i="8" s="1"/>
  <c r="I90" i="8"/>
  <c r="I88" i="8" s="1"/>
  <c r="H69" i="8"/>
  <c r="H67" i="8" s="1"/>
  <c r="F90" i="8"/>
  <c r="F88" i="8" s="1"/>
  <c r="J81" i="8"/>
  <c r="J79" i="8" s="1"/>
  <c r="G34" i="8"/>
  <c r="E34" i="8"/>
  <c r="F34" i="8"/>
  <c r="J34" i="8"/>
  <c r="K34" i="8"/>
  <c r="I34" i="8"/>
  <c r="H34" i="8"/>
  <c r="D16" i="8"/>
  <c r="D14" i="8" s="1"/>
  <c r="I60" i="8"/>
  <c r="I58" i="8" s="1"/>
  <c r="H60" i="8"/>
  <c r="H58" i="8" s="1"/>
  <c r="U62" i="8" s="1" a="1"/>
  <c r="U62" i="8" s="1"/>
  <c r="H25" i="8"/>
  <c r="H23" i="8" s="1"/>
  <c r="G60" i="8"/>
  <c r="G58" i="8" s="1"/>
  <c r="K25" i="8"/>
  <c r="K23" i="8" s="1"/>
  <c r="F60" i="8"/>
  <c r="F58" i="8" s="1"/>
  <c r="E60" i="8"/>
  <c r="E58" i="8" s="1"/>
  <c r="J25" i="8"/>
  <c r="J23" i="8" s="1"/>
  <c r="I25" i="8"/>
  <c r="I23" i="8" s="1"/>
  <c r="G25" i="8"/>
  <c r="G23" i="8" s="1"/>
  <c r="F25" i="8"/>
  <c r="F23" i="8" s="1"/>
  <c r="E25" i="8"/>
  <c r="E23" i="8" s="1"/>
  <c r="K60" i="8"/>
  <c r="K58" i="8" s="1"/>
  <c r="J60" i="8"/>
  <c r="J58" i="8" s="1"/>
  <c r="D7" i="8"/>
  <c r="I36" i="8"/>
  <c r="I39" i="8"/>
  <c r="E39" i="8"/>
  <c r="G39" i="8"/>
  <c r="K36" i="8"/>
  <c r="H39" i="8"/>
  <c r="J36" i="8"/>
  <c r="H36" i="8"/>
  <c r="K39" i="8"/>
  <c r="J39" i="8"/>
  <c r="F39" i="8"/>
  <c r="I21" i="8"/>
  <c r="G21" i="8"/>
  <c r="K18" i="8"/>
  <c r="I18" i="8"/>
  <c r="N18" i="8"/>
  <c r="J18" i="8"/>
  <c r="J21" i="8"/>
  <c r="L18" i="8"/>
  <c r="H18" i="8"/>
  <c r="L21" i="8"/>
  <c r="O18" i="8"/>
  <c r="M18" i="8"/>
  <c r="E21" i="8"/>
  <c r="K21" i="8"/>
  <c r="H21" i="8"/>
  <c r="F21" i="8"/>
  <c r="K12" i="8"/>
  <c r="J12" i="8"/>
  <c r="I12" i="8"/>
  <c r="O9" i="8"/>
  <c r="H12" i="8"/>
  <c r="N9" i="8"/>
  <c r="G12" i="8"/>
  <c r="M9" i="8"/>
  <c r="F12" i="8"/>
  <c r="L9" i="8"/>
  <c r="E12" i="8"/>
  <c r="K9" i="8"/>
  <c r="J9" i="8"/>
  <c r="I9" i="8"/>
  <c r="H9" i="8"/>
  <c r="L12" i="8"/>
  <c r="K48" i="8"/>
  <c r="J48" i="8"/>
  <c r="I48" i="8"/>
  <c r="H48" i="8"/>
  <c r="G48" i="8"/>
  <c r="F48" i="8"/>
  <c r="E48" i="8"/>
  <c r="O14" i="8"/>
  <c r="O5" i="8"/>
  <c r="M14" i="8"/>
  <c r="K14" i="8"/>
  <c r="J14" i="8"/>
  <c r="I14" i="8"/>
  <c r="H14" i="8"/>
  <c r="G14" i="8"/>
  <c r="F14" i="8"/>
  <c r="E14" i="8"/>
  <c r="N14" i="8"/>
  <c r="L14" i="8"/>
  <c r="I5" i="8"/>
  <c r="H5" i="8"/>
  <c r="G5" i="8"/>
  <c r="F5" i="8"/>
  <c r="N5" i="8"/>
  <c r="M5" i="8"/>
  <c r="L5" i="8"/>
  <c r="K5" i="8"/>
  <c r="J5" i="8"/>
  <c r="E5" i="8"/>
  <c r="D34" i="8" l="1"/>
  <c r="D90" i="8"/>
  <c r="D88" i="8" s="1"/>
  <c r="D69" i="8"/>
  <c r="D67" i="8" s="1"/>
  <c r="D81" i="8"/>
  <c r="D79" i="8" s="1"/>
  <c r="U98" i="8" a="1"/>
  <c r="U98" i="8" s="1"/>
  <c r="U74" i="8" a="1"/>
  <c r="U74" i="8" s="1"/>
  <c r="U86" i="8" a="1"/>
  <c r="U86" i="8" s="1"/>
  <c r="D60" i="8"/>
  <c r="D58" i="8" s="1"/>
  <c r="D25" i="8"/>
  <c r="D23" i="8" s="1"/>
  <c r="K37" i="8"/>
  <c r="J37" i="8"/>
  <c r="I37" i="8"/>
  <c r="L20" i="8"/>
  <c r="M19" i="8"/>
  <c r="Q20" i="8"/>
  <c r="N19" i="8"/>
  <c r="R20" i="8"/>
  <c r="J19" i="8"/>
  <c r="N20" i="8"/>
  <c r="M20" i="8"/>
  <c r="I19" i="8"/>
  <c r="O19" i="8"/>
  <c r="P19" i="8"/>
  <c r="S20" i="8"/>
  <c r="K19" i="8"/>
  <c r="U14" i="8" s="1" a="1"/>
  <c r="U14" i="8" s="1"/>
  <c r="O20" i="8"/>
  <c r="L19" i="8"/>
  <c r="P20" i="8"/>
  <c r="L11" i="8"/>
  <c r="Q11" i="8"/>
  <c r="M10" i="8"/>
  <c r="M11" i="8"/>
  <c r="I10" i="8"/>
  <c r="K10" i="8"/>
  <c r="O11" i="8"/>
  <c r="L10" i="8"/>
  <c r="P11" i="8"/>
  <c r="S11" i="8"/>
  <c r="P10" i="8"/>
  <c r="O10" i="8"/>
  <c r="R11" i="8"/>
  <c r="N10" i="8"/>
  <c r="N11" i="8"/>
  <c r="J10" i="8"/>
  <c r="U2" i="8" s="1" a="1"/>
  <c r="U2" i="8" s="1"/>
  <c r="D48" i="8"/>
  <c r="D46" i="8" s="1"/>
  <c r="F32" i="8"/>
  <c r="F46" i="8"/>
  <c r="G32" i="8"/>
  <c r="G46" i="8"/>
  <c r="K32" i="8"/>
  <c r="K46" i="8"/>
  <c r="H32" i="8"/>
  <c r="H46" i="8"/>
  <c r="J32" i="8"/>
  <c r="J46" i="8"/>
  <c r="I32" i="8"/>
  <c r="I46" i="8"/>
  <c r="E32" i="8"/>
  <c r="E46" i="8"/>
  <c r="D5" i="8"/>
  <c r="U50" i="8" l="1" a="1"/>
  <c r="U50" i="8" s="1"/>
  <c r="U38" i="8" a="1"/>
  <c r="U38" i="8" s="1"/>
  <c r="U26" i="8" a="1"/>
  <c r="U26" i="8" s="1"/>
  <c r="D3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<sst xmlns="http://schemas.openxmlformats.org/spreadsheetml/2006/main" count="649" uniqueCount="86">
  <si>
    <t>IS_COMP_SALES</t>
  </si>
  <si>
    <t>Stock:</t>
  </si>
  <si>
    <t>End Day</t>
  </si>
  <si>
    <t>Beg. Day</t>
  </si>
  <si>
    <t>Y/Y</t>
  </si>
  <si>
    <t>Q/Q</t>
  </si>
  <si>
    <t>revenue</t>
  </si>
  <si>
    <t>canonical</t>
  </si>
  <si>
    <t>value</t>
  </si>
  <si>
    <t>calendar_quarter</t>
  </si>
  <si>
    <t>Calendar Quarter</t>
  </si>
  <si>
    <t>company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</si>
  <si>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</si>
  <si>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</si>
  <si>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</si>
  <si>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</si>
  <si>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</si>
  <si>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</si>
  <si>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</si>
  <si>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</si>
  <si>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</si>
  <si>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</si>
  <si>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Period Status</t>
  </si>
  <si>
    <t>actual</t>
  </si>
  <si>
    <t>forecast</t>
  </si>
  <si>
    <t>status</t>
  </si>
  <si>
    <t>WMB US EQUITY</t>
  </si>
  <si>
    <t>IS_COMPARABLE_EBITDA</t>
  </si>
  <si>
    <t>2 YR Stack</t>
  </si>
  <si>
    <t>capex_absolute_value</t>
  </si>
  <si>
    <t>Gas Transmission EBITDA</t>
  </si>
  <si>
    <t>GEV US EQUITY</t>
  </si>
  <si>
    <t>orders</t>
  </si>
  <si>
    <t>power_EBITDA</t>
  </si>
  <si>
    <t>Power EBITDA</t>
  </si>
  <si>
    <t>electrification_EBITDA</t>
  </si>
  <si>
    <t>Electrification EBITDA</t>
  </si>
  <si>
    <t>northeast_G&amp;P_EBITDA</t>
  </si>
  <si>
    <t>west_G&amp;P_EBITDA</t>
  </si>
  <si>
    <t>Northeast G&amp;P EBITDA</t>
  </si>
  <si>
    <t>West G&amp;P EBITDA</t>
  </si>
  <si>
    <t>transcontinental gas pipe line</t>
  </si>
  <si>
    <t>mountainwest</t>
  </si>
  <si>
    <t>gulfstream</t>
  </si>
  <si>
    <t>northwest pipeline</t>
  </si>
  <si>
    <t>Gas Transmission Volume</t>
  </si>
  <si>
    <t>pipeline_volume_mmdth</t>
  </si>
  <si>
    <t>transmission_power_gulf_EBITDA</t>
  </si>
  <si>
    <t>gathering volumes</t>
  </si>
  <si>
    <t>plant inlet natural gas volumes</t>
  </si>
  <si>
    <t>gulf_gathering_processing_volume_bcfd</t>
  </si>
  <si>
    <t>Gulf Gathering and Processing Volumes</t>
  </si>
  <si>
    <t>northeast_gathering_processing_volume_bcfd</t>
  </si>
  <si>
    <t>West Gathering and Processing Volumes</t>
  </si>
  <si>
    <t>Northeast Gathering and Processing Volumes</t>
  </si>
  <si>
    <t>west_gathering_processing_volume_bcfd</t>
  </si>
  <si>
    <t>ebitda</t>
  </si>
  <si>
    <t>CW US EQUITY</t>
  </si>
  <si>
    <t>Power and Process Revenue</t>
  </si>
  <si>
    <t>CCJ US EQUITY</t>
  </si>
  <si>
    <t>IS_ADJ_EBITDA_MARGIN_COMP_BASIS</t>
  </si>
  <si>
    <t>capex</t>
  </si>
  <si>
    <t>ebitda_margin</t>
  </si>
  <si>
    <t>EBITDA_TO_REVENUE</t>
  </si>
  <si>
    <t>IS_ADJ_OPERATING_MARGIN</t>
  </si>
  <si>
    <t>power_and_process_revenue</t>
  </si>
  <si>
    <t>uranium_production_lbs</t>
  </si>
  <si>
    <t>Uranium Production Volumes (lbs)</t>
  </si>
  <si>
    <t>uranium_EBITDA</t>
  </si>
  <si>
    <t>Uranium EBITDA</t>
  </si>
  <si>
    <t>fuel_services_production_lbs</t>
  </si>
  <si>
    <t>Fuel Services Production Volumes (lbs)</t>
  </si>
  <si>
    <t>fuel_services_EBITDA</t>
  </si>
  <si>
    <t>Fuel Services EBITDA</t>
  </si>
  <si>
    <t>westinghouse_EBITDA</t>
  </si>
  <si>
    <t>Westinghouse EBITDA</t>
  </si>
  <si>
    <t>HUBB US EQUITY</t>
  </si>
  <si>
    <t>operating_margin</t>
  </si>
  <si>
    <t>organic_growth_yoy</t>
  </si>
  <si>
    <t>Organic Growth YoY</t>
  </si>
  <si>
    <t>utility_solutions_organic_growth_yoy</t>
  </si>
  <si>
    <t>Utility Solutions Organic Growth YoY</t>
  </si>
  <si>
    <t>utility_solutions_operating_profit</t>
  </si>
  <si>
    <t>Utility Solutions Operating Profit</t>
  </si>
  <si>
    <t>utility_solutions_operating_margin</t>
  </si>
  <si>
    <t>Utility Solutions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</si>
</sst>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&quot;$&quot;#,##0.0_);\(&quot;$&quot;#,##0.0\)"/>
  </numFmts>
  <fonts count="9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5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0" fontId="1" fillId="2" borderId="1" xfId="1"/>
    <xf numFmtId="167" fontId="1" fillId="2" borderId="1" xfId="1" applyNumberFormat="1"/>
    <xf numFmtId="37" fontId="1" fillId="2" borderId="1" xfId="1" applyNumberFormat="1"/>
    <xf numFmtId="4" fontId="7" fillId="0" borderId="0" xfId="4" applyNumberFormat="1"/>
    <xf numFmtId="39" fontId="1" fillId="2" borderId="1" xfId="1" applyNumberFormat="1"/>
    <xf numFmtId="44" fontId="0" fillId="0" borderId="0" xfId="0" applyNumberFormat="1"/>
    <xf numFmtId="4" fontId="1" fillId="2" borderId="1" xfId="1" applyNumberFormat="1"/>
    <xf numFmtId="39" fontId="0" fillId="0" borderId="0" xfId="0" applyNumberFormat="1"/>
    <xf numFmtId="43" fontId="1" fillId="2" borderId="1" xfId="1" applyNumberFormat="1"/>
    <xf numFmtId="166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BDH|15156825805431199763</stp>
        <tr r="D16" s="23"/>
      </tp>
    </main>
    <main first="bofaddin.rtdserver">
      <tp t="b">
        <v>0</v>
        <stp/>
        <stp>BDH|16118545110187591994</stp>
        <tr r="D16" s="21"/>
      </tp>
      <tp t="b">
        <v>0</v>
        <stp/>
        <stp>BDH|16994482793354423201</stp>
        <tr r="D16" s="8"/>
      </tp>
      <tp t="b">
        <v>0</v>
        <stp/>
        <stp>BDH|17242769702826883561</stp>
        <tr r="D7" s="21"/>
      </tp>
      <tp t="b">
        <v>0</v>
        <stp/>
        <stp>BDH|15180647539720449473</stp>
        <tr r="D7" s="24"/>
      </tp>
    </main>
    <main first="bofaddin.rtdserver">
      <tp t="b">
        <v>0</v>
        <stp/>
        <stp>BDH|4323182897603142387</stp>
        <tr r="D16" s="24"/>
      </tp>
      <tp t="b">
        <v>0</v>
        <stp/>
        <stp>BDH|1139949613105503120</stp>
        <tr r="D7" s="23"/>
      </tp>
      <tp t="b">
        <v>0</v>
        <stp/>
        <stp>BDH|3130962108247688486</stp>
        <tr r="D25" s="21"/>
      </tp>
      <tp t="b">
        <v>0</v>
        <stp/>
        <stp>BDH|4628452182482324144</stp>
        <tr r="E25" s="17"/>
      </tp>
      <tp t="b">
        <v>0</v>
        <stp/>
        <stp>BDH|5705598059240692194</stp>
        <tr r="E7" s="17"/>
      </tp>
      <tp t="b">
        <v>0</v>
        <stp/>
        <stp>BDH|6980169469557882161</stp>
        <tr r="E16" s="17"/>
      </tp>
      <tp t="b">
        <v>0</v>
        <stp/>
        <stp>BDH|9780689586857109185</stp>
        <tr r="D25" s="23"/>
      </tp>
      <tp t="b">
        <v>0</v>
        <stp/>
        <stp>BDH|2957197842682696771</stp>
        <tr r="D25" s="24"/>
      </tp>
    </main>
    <main first="bofaddin.rtdserver">
      <tp t="b">
        <v>0</v>
        <stp/>
        <stp>BDH|619422404739036940</stp>
        <tr r="D7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AD109"/>
  <sheetViews>
    <sheetView zoomScale="85" zoomScaleNormal="85" workbookViewId="0">
      <selection activeCell="B16" sqref="B16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2.28515625" bestFit="1" customWidth="1"/>
    <col min="12" max="12" width="11.140625" bestFit="1" customWidth="1"/>
    <col min="13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18</v>
      </c>
      <c r="B1" s="22" t="s">
        <v>18</v>
      </c>
      <c r="C1" s="22" t="s">
        <v>18</v>
      </c>
      <c r="D1" s="22" t="s">
        <v>18</v>
      </c>
      <c r="E1" s="22" t="s">
        <v>18</v>
      </c>
      <c r="F1" s="22" t="s">
        <v>18</v>
      </c>
      <c r="G1" s="22" t="s">
        <v>18</v>
      </c>
      <c r="H1" s="22" t="s">
        <v>18</v>
      </c>
      <c r="I1" s="22" t="s">
        <v>18</v>
      </c>
      <c r="J1" s="22" t="s">
        <v>18</v>
      </c>
      <c r="K1" s="22" t="s">
        <v>18</v>
      </c>
      <c r="L1" s="22" t="s">
        <v>18</v>
      </c>
      <c r="M1" s="22" t="s">
        <v>18</v>
      </c>
      <c r="N1" s="22" t="s">
        <v>18</v>
      </c>
      <c r="O1" s="22" t="s">
        <v>18</v>
      </c>
      <c r="P1" s="22" t="s">
        <v>18</v>
      </c>
      <c r="Q1" s="22" t="s">
        <v>18</v>
      </c>
      <c r="R1" s="22" t="s">
        <v>18</v>
      </c>
      <c r="S1" s="22" t="s">
        <v>18</v>
      </c>
      <c r="U1" s="23" t="s">
        <v>11</v>
      </c>
      <c r="V1" s="23" t="s">
        <v>9</v>
      </c>
      <c r="W1" s="23" t="s">
        <v>14</v>
      </c>
      <c r="X1" s="23" t="s">
        <v>13</v>
      </c>
      <c r="Y1" s="23" t="s">
        <v>25</v>
      </c>
      <c r="Z1" s="23" t="s">
        <v>8</v>
      </c>
      <c r="AA1" s="23" t="s">
        <v>12</v>
      </c>
      <c r="AB1" s="23" t="s">
        <v>16</v>
      </c>
      <c r="AC1" s="23" t="s">
        <v>20</v>
      </c>
      <c r="AD1" s="23" t="s">
        <v>21</v>
      </c>
    </row>
    <row r="2" spans="1:30" x14ac:dyDescent="0.25">
      <c r="A2" s="17" t="s">
        <v>1</v>
      </c>
      <c r="B2" s="25" t="s">
        <v>26</v>
      </c>
      <c r="U2" s="24" t="str" cm="1">
        <f t="array" ref="U2:AD13">_xlfn.LET(
  _xlpm.d, H5:S5,
  _xlpm.s, H6:S6,
  _xlpm.v, H8:S8,
  _xlpm.yy, H9:S9,
  _xlpm.qq, H10:S10,
  _xlpm.dyy, H11:S11,
  _xlpm.dqq, H12:S12,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WMB US EQUITY</v>
      </c>
      <c r="V2" s="24">
        <v>45747</v>
      </c>
      <c r="W2" s="24" t="str">
        <v>canonical</v>
      </c>
      <c r="X2" s="24" t="str">
        <v>ebitda</v>
      </c>
      <c r="Y2" s="24" t="str">
        <v>actual</v>
      </c>
      <c r="Z2" s="28" t="str">
        <v>1989</v>
      </c>
      <c r="AA2" s="28" t="str">
        <v>0.0284384694932782</v>
      </c>
      <c r="AB2" s="28" t="str">
        <v/>
      </c>
      <c r="AC2" s="28" t="str">
        <v/>
      </c>
      <c r="AD2" s="28" t="str">
        <v>0.119932432432432</v>
      </c>
    </row>
    <row r="3" spans="1:30" x14ac:dyDescent="0.25">
      <c r="A3" s="18" t="s">
        <v>3</v>
      </c>
      <c r="B3" s="19">
        <f>+B4-365*2</f>
        <v>45382</v>
      </c>
      <c r="U3" s="24" t="str">
        <v>WMB US EQUITY</v>
      </c>
      <c r="V3" s="24">
        <v>45838</v>
      </c>
      <c r="W3" s="24" t="str">
        <v>canonical</v>
      </c>
      <c r="X3" s="24" t="str">
        <v>ebitda</v>
      </c>
      <c r="Y3" s="24" t="str">
        <v>actual</v>
      </c>
      <c r="Z3" s="28" t="str">
        <v>1808</v>
      </c>
      <c r="AA3" s="28" t="str">
        <v>0.0845830833833234</v>
      </c>
      <c r="AB3" s="28" t="str">
        <v>561.446138900452</v>
      </c>
      <c r="AC3" s="28" t="str">
        <v/>
      </c>
      <c r="AD3" s="28" t="str">
        <v>-0.0910005027652087</v>
      </c>
    </row>
    <row r="4" spans="1:30" x14ac:dyDescent="0.25">
      <c r="A4" s="20" t="s">
        <v>2</v>
      </c>
      <c r="B4" s="21">
        <v>46112</v>
      </c>
      <c r="U4" s="24" t="str">
        <v>WMB US EQUITY</v>
      </c>
      <c r="V4" s="24">
        <v>45930</v>
      </c>
      <c r="W4" s="24" t="str">
        <v>canonical</v>
      </c>
      <c r="X4" s="24" t="str">
        <v>ebitda</v>
      </c>
      <c r="Y4" s="24" t="str">
        <v>actual</v>
      </c>
      <c r="Z4" s="28" t="str">
        <v>1920</v>
      </c>
      <c r="AA4" s="28" t="str">
        <v>0.127422196124486</v>
      </c>
      <c r="AB4" s="28" t="str">
        <v>428.391127411627</v>
      </c>
      <c r="AC4" s="28" t="str">
        <v/>
      </c>
      <c r="AD4" s="28" t="str">
        <v>0.0619469026548674</v>
      </c>
    </row>
    <row r="5" spans="1:30" x14ac:dyDescent="0.25">
      <c r="C5" s="13" t="s">
        <v>10</v>
      </c>
      <c r="D5" s="14">
        <f>EOMONTH(DATE(YEAR(D7),ROUNDUP(MONTH(D7)/3,0)*3,1),0)</f>
        <v>45382</v>
      </c>
      <c r="E5" s="14">
        <f>EOMONTH(DATE(YEAR(E7),ROUNDUP(MONTH(E7)/3,0)*3,1),0)</f>
        <v>45473</v>
      </c>
      <c r="F5" s="14">
        <f>EOMONTH(DATE(YEAR(F7),ROUNDUP(MONTH(F7)/3,0)*3,1),0)</f>
        <v>45565</v>
      </c>
      <c r="G5" s="14">
        <f t="shared" ref="G5:K5" si="0">EOMONTH(DATE(YEAR(G7),ROUNDUP(MONTH(G7)/3,0)*3,1),0)</f>
        <v>45657</v>
      </c>
      <c r="H5" s="14">
        <f t="shared" si="0"/>
        <v>45747</v>
      </c>
      <c r="I5" s="14">
        <f t="shared" si="0"/>
        <v>45838</v>
      </c>
      <c r="J5" s="14">
        <f t="shared" si="0"/>
        <v>45930</v>
      </c>
      <c r="K5" s="14">
        <f t="shared" si="0"/>
        <v>46022</v>
      </c>
      <c r="L5" s="14">
        <f>EOMONTH(DATE(YEAR(L7),ROUNDUP(MONTH(L7)/3,0)*3,1),0)</f>
        <v>46112</v>
      </c>
      <c r="M5" s="14">
        <f>EOMONTH(DATE(YEAR(M7),ROUNDUP(MONTH(M7)/3,0)*3,1),0)</f>
        <v>46203</v>
      </c>
      <c r="N5" s="14">
        <f>EOMONTH(DATE(YEAR(N7),ROUNDUP(MONTH(N7)/3,0)*3,1),0)</f>
        <v>46295</v>
      </c>
      <c r="O5" s="14">
        <f>EOMONTH(DATE(YEAR(O7),ROUNDUP(MONTH(O7)/3,0)*3,1),0)</f>
        <v>46387</v>
      </c>
      <c r="P5" s="14">
        <f t="shared" ref="P5:S5" si="1">EOMONTH(DATE(YEAR(P7),ROUNDUP(MONTH(P7)/3,0)*3,1),0)</f>
        <v>46477</v>
      </c>
      <c r="Q5" s="14">
        <f t="shared" si="1"/>
        <v>46568</v>
      </c>
      <c r="R5" s="14">
        <f t="shared" si="1"/>
        <v>46660</v>
      </c>
      <c r="S5" s="14">
        <f t="shared" si="1"/>
        <v>46752</v>
      </c>
      <c r="U5" s="24" t="str">
        <v>WMB US EQUITY</v>
      </c>
      <c r="V5" s="24">
        <v>46022</v>
      </c>
      <c r="W5" s="24" t="str">
        <v>canonical</v>
      </c>
      <c r="X5" s="24" t="str">
        <v>ebitda</v>
      </c>
      <c r="Y5" s="24" t="str">
        <v>actual</v>
      </c>
      <c r="Z5" s="28" t="str">
        <v>2033</v>
      </c>
      <c r="AA5" s="28" t="str">
        <v>0.144707207207207</v>
      </c>
      <c r="AB5" s="28" t="str">
        <v>172.850110827212</v>
      </c>
      <c r="AC5" s="28" t="str">
        <v/>
      </c>
      <c r="AD5" s="28" t="str">
        <v>0.0588541666666667</v>
      </c>
    </row>
    <row r="6" spans="1:30" x14ac:dyDescent="0.25">
      <c r="C6" s="13" t="s">
        <v>22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1"/>
      <c r="U6" s="24" t="str">
        <v>WMB US EQUITY</v>
      </c>
      <c r="V6" s="24">
        <v>46112</v>
      </c>
      <c r="W6" s="24" t="str">
        <v>canonical</v>
      </c>
      <c r="X6" s="24" t="str">
        <v>ebitda</v>
      </c>
      <c r="Y6" s="24" t="str">
        <v>forecast</v>
      </c>
      <c r="Z6" s="28" t="str">
        <v>2090.9</v>
      </c>
      <c r="AA6" s="28" t="str">
        <v>0.0512317747611866</v>
      </c>
      <c r="AB6" s="28" t="str">
        <v>-934.754324460207</v>
      </c>
      <c r="AC6" s="28" t="str">
        <v>0.0811271975180974</v>
      </c>
      <c r="AD6" s="28" t="str">
        <v>0.0284800787014265</v>
      </c>
    </row>
    <row r="7" spans="1:30" x14ac:dyDescent="0.25">
      <c r="D7" s="15" cm="1">
        <f t="array" ref="D7:K8">+_xll.BDH($B$2,C8,$B$3,$B$4,"DIR=H")</f>
        <v>45382</v>
      </c>
      <c r="E7" s="1">
        <v>45473</v>
      </c>
      <c r="F7" s="1">
        <v>45565</v>
      </c>
      <c r="G7" s="1">
        <v>45657</v>
      </c>
      <c r="H7" s="1">
        <v>45747</v>
      </c>
      <c r="I7" s="1">
        <v>45838</v>
      </c>
      <c r="J7" s="1">
        <v>45930</v>
      </c>
      <c r="K7" s="1">
        <v>46022</v>
      </c>
      <c r="L7" s="2">
        <v>46112</v>
      </c>
      <c r="M7" s="2">
        <v>46203</v>
      </c>
      <c r="N7" s="2">
        <v>46295</v>
      </c>
      <c r="O7" s="2">
        <v>46387</v>
      </c>
      <c r="P7" s="2">
        <v>46477</v>
      </c>
      <c r="Q7" s="2">
        <v>46568</v>
      </c>
      <c r="R7" s="2">
        <v>46660</v>
      </c>
      <c r="S7" s="2">
        <v>46752</v>
      </c>
      <c r="T7" s="1"/>
      <c r="U7" s="24" t="str">
        <v>WMB US EQUITY</v>
      </c>
      <c r="V7" s="24">
        <v>46203</v>
      </c>
      <c r="W7" s="24" t="str">
        <v>canonical</v>
      </c>
      <c r="X7" s="24" t="str">
        <v>ebitda</v>
      </c>
      <c r="Y7" s="24" t="str">
        <v>forecast</v>
      </c>
      <c r="Z7" s="28" t="str">
        <v>1962.9</v>
      </c>
      <c r="AA7" s="28" t="str">
        <v>0.0856747787610619</v>
      </c>
      <c r="AB7" s="28" t="str">
        <v>344.430039998753</v>
      </c>
      <c r="AC7" s="28" t="str">
        <v>0.17750449910018</v>
      </c>
      <c r="AD7" s="28" t="str">
        <v>-0.0612176574680759</v>
      </c>
    </row>
    <row r="8" spans="1:30" x14ac:dyDescent="0.25">
      <c r="A8" s="16" t="s">
        <v>7</v>
      </c>
      <c r="B8" s="16" t="s">
        <v>56</v>
      </c>
      <c r="C8" s="9" t="s">
        <v>27</v>
      </c>
      <c r="D8" s="11">
        <v>1934</v>
      </c>
      <c r="E8" s="11">
        <v>1667</v>
      </c>
      <c r="F8" s="11">
        <v>1703</v>
      </c>
      <c r="G8" s="11">
        <v>1776</v>
      </c>
      <c r="H8" s="11">
        <v>1989</v>
      </c>
      <c r="I8" s="11">
        <v>1808</v>
      </c>
      <c r="J8" s="11">
        <v>1920</v>
      </c>
      <c r="K8" s="11">
        <v>2033</v>
      </c>
      <c r="L8" s="26">
        <v>2090.9</v>
      </c>
      <c r="M8" s="26">
        <v>1962.9</v>
      </c>
      <c r="N8" s="26">
        <v>2050.9</v>
      </c>
      <c r="O8" s="26">
        <v>2172.4</v>
      </c>
      <c r="P8" s="26">
        <v>2234.6999999999998</v>
      </c>
      <c r="Q8" s="26">
        <v>2157.8000000000002</v>
      </c>
      <c r="R8" s="26">
        <v>2314.6999999999998</v>
      </c>
      <c r="S8" s="26">
        <v>2476.4</v>
      </c>
      <c r="T8" s="3"/>
      <c r="U8" s="24" t="str">
        <v>WMB US EQUITY</v>
      </c>
      <c r="V8" s="24">
        <v>46295</v>
      </c>
      <c r="W8" s="24" t="str">
        <v>canonical</v>
      </c>
      <c r="X8" s="24" t="str">
        <v>ebitda</v>
      </c>
      <c r="Y8" s="24" t="str">
        <v>forecast</v>
      </c>
      <c r="Z8" s="28" t="str">
        <v>2050.9</v>
      </c>
      <c r="AA8" s="28" t="str">
        <v>0.0681770833333333</v>
      </c>
      <c r="AB8" s="28" t="str">
        <v>-174.976954277286</v>
      </c>
      <c r="AC8" s="28" t="str">
        <v>0.204286553141515</v>
      </c>
      <c r="AD8" s="28" t="str">
        <v>0.0448316266748179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si="2">+H8/D8-1</f>
        <v>2.8438469493278218E-2</v>
      </c>
      <c r="I9" s="12">
        <f t="shared" si="2"/>
        <v>8.4583083383323432E-2</v>
      </c>
      <c r="J9" s="12">
        <f t="shared" si="2"/>
        <v>0.12742219612448613</v>
      </c>
      <c r="K9" s="12">
        <f t="shared" si="2"/>
        <v>0.14470720720720731</v>
      </c>
      <c r="L9" s="12">
        <f t="shared" si="2"/>
        <v>5.1231774761186566E-2</v>
      </c>
      <c r="M9" s="12">
        <f t="shared" si="2"/>
        <v>8.5674778761061887E-2</v>
      </c>
      <c r="N9" s="12">
        <f t="shared" si="2"/>
        <v>6.8177083333333277E-2</v>
      </c>
      <c r="O9" s="12">
        <f t="shared" si="2"/>
        <v>6.8568617806197718E-2</v>
      </c>
      <c r="P9" s="12">
        <f t="shared" si="2"/>
        <v>6.8774212061791351E-2</v>
      </c>
      <c r="Q9" s="12">
        <f t="shared" si="2"/>
        <v>9.9291864078659087E-2</v>
      </c>
      <c r="R9" s="12">
        <f t="shared" si="2"/>
        <v>0.12862645667755612</v>
      </c>
      <c r="S9" s="12">
        <f t="shared" si="2"/>
        <v>0.13993739642791381</v>
      </c>
      <c r="U9" s="24" t="str">
        <v>WMB US EQUITY</v>
      </c>
      <c r="V9" s="24">
        <v>46387</v>
      </c>
      <c r="W9" s="24" t="str">
        <v>canonical</v>
      </c>
      <c r="X9" s="24" t="str">
        <v>ebitda</v>
      </c>
      <c r="Y9" s="24" t="str">
        <v>forecast</v>
      </c>
      <c r="Z9" s="28" t="str">
        <v>2172.4</v>
      </c>
      <c r="AA9" s="28" t="str">
        <v>0.0685686178061977</v>
      </c>
      <c r="AB9" s="28" t="str">
        <v>3.91534472864441</v>
      </c>
      <c r="AC9" s="28" t="str">
        <v>0.223198198198198</v>
      </c>
      <c r="AD9" s="28" t="str">
        <v>0.0592422838753719</v>
      </c>
    </row>
    <row r="10" spans="1:30" x14ac:dyDescent="0.25">
      <c r="C10" s="4" t="s">
        <v>15</v>
      </c>
      <c r="D10" s="1"/>
      <c r="I10" s="7">
        <f t="shared" ref="I10:J10" si="3">(I9-H9)*10000</f>
        <v>561.44613890045218</v>
      </c>
      <c r="J10" s="7">
        <f t="shared" si="3"/>
        <v>428.391127411627</v>
      </c>
      <c r="K10" s="7">
        <f>(K9-J9)*10000</f>
        <v>172.85011082721181</v>
      </c>
      <c r="L10" s="7">
        <f>(L9-K9)*10000</f>
        <v>-934.7543244602075</v>
      </c>
      <c r="M10" s="7">
        <f>(M9-L9)*10000</f>
        <v>344.43003999875322</v>
      </c>
      <c r="N10" s="7">
        <f>(N9-M9)*10000</f>
        <v>-174.9769542772861</v>
      </c>
      <c r="O10" s="7">
        <f>(O9-N9)*10000</f>
        <v>3.9153447286444099</v>
      </c>
      <c r="P10" s="7">
        <f t="shared" ref="P10:S10" si="4">(P9-O9)*10000</f>
        <v>2.0559425559363298</v>
      </c>
      <c r="Q10" s="7">
        <f t="shared" si="4"/>
        <v>305.17652016867737</v>
      </c>
      <c r="R10" s="7">
        <f t="shared" si="4"/>
        <v>293.34592598897035</v>
      </c>
      <c r="S10" s="7">
        <f t="shared" si="4"/>
        <v>113.10939750357684</v>
      </c>
      <c r="U10" s="24" t="str">
        <v>WMB US EQUITY</v>
      </c>
      <c r="V10" s="24">
        <v>46477</v>
      </c>
      <c r="W10" s="24" t="str">
        <v>canonical</v>
      </c>
      <c r="X10" s="24" t="str">
        <v>ebitda</v>
      </c>
      <c r="Y10" s="24" t="str">
        <v>forecast</v>
      </c>
      <c r="Z10" s="28" t="str">
        <v>2234.7</v>
      </c>
      <c r="AA10" s="28" t="str">
        <v>0.0687742120617914</v>
      </c>
      <c r="AB10" s="28" t="str">
        <v>2.05594255593633</v>
      </c>
      <c r="AC10" s="28" t="str">
        <v>0.123529411764706</v>
      </c>
      <c r="AD10" s="28" t="str">
        <v>0.0286779598600624</v>
      </c>
    </row>
    <row r="11" spans="1:30" x14ac:dyDescent="0.25">
      <c r="C11" s="4" t="s">
        <v>28</v>
      </c>
      <c r="D11" s="1"/>
      <c r="E11" s="6"/>
      <c r="F11" s="6"/>
      <c r="G11" s="6"/>
      <c r="H11" s="6"/>
      <c r="I11" s="6"/>
      <c r="J11" s="6"/>
      <c r="K11" s="6"/>
      <c r="L11" s="12">
        <f t="shared" ref="L11:S11" si="5">(1+H9)*(1+L9)-1</f>
        <v>8.1127197518097383E-2</v>
      </c>
      <c r="M11" s="12">
        <f t="shared" si="5"/>
        <v>0.17750449910017996</v>
      </c>
      <c r="N11" s="12">
        <f t="shared" si="5"/>
        <v>0.20428655314151478</v>
      </c>
      <c r="O11" s="12">
        <f t="shared" si="5"/>
        <v>0.22319819819819831</v>
      </c>
      <c r="P11" s="12">
        <f t="shared" si="5"/>
        <v>0.12352941176470567</v>
      </c>
      <c r="Q11" s="12">
        <f t="shared" si="5"/>
        <v>0.19347345132743343</v>
      </c>
      <c r="R11" s="12">
        <f t="shared" si="5"/>
        <v>0.20557291666666644</v>
      </c>
      <c r="S11" s="12">
        <f t="shared" si="5"/>
        <v>0.21810132808657157</v>
      </c>
      <c r="U11" s="24" t="str">
        <v>WMB US EQUITY</v>
      </c>
      <c r="V11" s="24">
        <v>46568</v>
      </c>
      <c r="W11" s="24" t="str">
        <v>canonical</v>
      </c>
      <c r="X11" s="24" t="str">
        <v>ebitda</v>
      </c>
      <c r="Y11" s="24" t="str">
        <v>forecast</v>
      </c>
      <c r="Z11" s="28" t="str">
        <v>2157.8</v>
      </c>
      <c r="AA11" s="28" t="str">
        <v>0.0992918640786591</v>
      </c>
      <c r="AB11" s="28" t="str">
        <v>305.176520168677</v>
      </c>
      <c r="AC11" s="28" t="str">
        <v>0.193473451327433</v>
      </c>
      <c r="AD11" s="28" t="str">
        <v>-0.0344117778672751</v>
      </c>
    </row>
    <row r="12" spans="1:30" x14ac:dyDescent="0.25">
      <c r="C12" s="4" t="s">
        <v>5</v>
      </c>
      <c r="D12" s="1"/>
      <c r="E12" s="12">
        <f t="shared" ref="E12:S12" si="6">E8/D8-1</f>
        <v>-0.13805584281282313</v>
      </c>
      <c r="F12" s="12">
        <f t="shared" si="6"/>
        <v>2.1595680863827127E-2</v>
      </c>
      <c r="G12" s="12">
        <f t="shared" si="6"/>
        <v>4.2865531415149816E-2</v>
      </c>
      <c r="H12" s="12">
        <f t="shared" si="6"/>
        <v>0.11993243243243246</v>
      </c>
      <c r="I12" s="12">
        <f t="shared" si="6"/>
        <v>-9.1000502765208657E-2</v>
      </c>
      <c r="J12" s="12">
        <f t="shared" si="6"/>
        <v>6.1946902654867353E-2</v>
      </c>
      <c r="K12" s="12">
        <f t="shared" si="6"/>
        <v>5.8854166666666652E-2</v>
      </c>
      <c r="L12" s="12">
        <f t="shared" si="6"/>
        <v>2.8480078701426548E-2</v>
      </c>
      <c r="M12" s="12">
        <f t="shared" si="6"/>
        <v>-6.1217657468075948E-2</v>
      </c>
      <c r="N12" s="12">
        <f t="shared" si="6"/>
        <v>4.4831626674817882E-2</v>
      </c>
      <c r="O12" s="12">
        <f t="shared" si="6"/>
        <v>5.9242283875371893E-2</v>
      </c>
      <c r="P12" s="12">
        <f t="shared" si="6"/>
        <v>2.8677959860062385E-2</v>
      </c>
      <c r="Q12" s="12">
        <f t="shared" si="6"/>
        <v>-3.4411777867275117E-2</v>
      </c>
      <c r="R12" s="12">
        <f t="shared" si="6"/>
        <v>7.2712948373343078E-2</v>
      </c>
      <c r="S12" s="12">
        <f t="shared" si="6"/>
        <v>6.98578649501016E-2</v>
      </c>
      <c r="U12" s="24" t="str">
        <v>WMB US EQUITY</v>
      </c>
      <c r="V12" s="24">
        <v>46660</v>
      </c>
      <c r="W12" s="24" t="str">
        <v>canonical</v>
      </c>
      <c r="X12" s="24" t="str">
        <v>ebitda</v>
      </c>
      <c r="Y12" s="24" t="str">
        <v>forecast</v>
      </c>
      <c r="Z12" s="28" t="str">
        <v>2314.7</v>
      </c>
      <c r="AA12" s="28" t="str">
        <v>0.128626456677556</v>
      </c>
      <c r="AB12" s="28" t="str">
        <v>293.34592598897</v>
      </c>
      <c r="AC12" s="28" t="str">
        <v>0.205572916666666</v>
      </c>
      <c r="AD12" s="28" t="str">
        <v>0.0727129483733431</v>
      </c>
    </row>
    <row r="13" spans="1:30" x14ac:dyDescent="0.25">
      <c r="U13" s="24" t="str">
        <v>WMB US EQUITY</v>
      </c>
      <c r="V13" s="24">
        <v>46752</v>
      </c>
      <c r="W13" s="24" t="str">
        <v>canonical</v>
      </c>
      <c r="X13" s="24" t="str">
        <v>ebitda</v>
      </c>
      <c r="Y13" s="24" t="str">
        <v>forecast</v>
      </c>
      <c r="Z13" s="28" t="str">
        <v>2476.4</v>
      </c>
      <c r="AA13" s="28" t="str">
        <v>0.139937396427914</v>
      </c>
      <c r="AB13" s="28" t="str">
        <v>113.109397503577</v>
      </c>
      <c r="AC13" s="28" t="str">
        <v>0.218101328086572</v>
      </c>
      <c r="AD13" s="28" t="str">
        <v>0.0698578649501016</v>
      </c>
    </row>
    <row r="14" spans="1:30" x14ac:dyDescent="0.25">
      <c r="C14" s="13" t="s">
        <v>10</v>
      </c>
      <c r="D14" s="14">
        <f>EOMONTH(DATE(YEAR(D16),ROUNDUP(MONTH(D16)/3,0)*3,1),0)</f>
        <v>45382</v>
      </c>
      <c r="E14" s="14">
        <f>EOMONTH(DATE(YEAR(E16),ROUNDUP(MONTH(E16)/3,0)*3,1),0)</f>
        <v>45473</v>
      </c>
      <c r="F14" s="14">
        <f>EOMONTH(DATE(YEAR(F16),ROUNDUP(MONTH(F16)/3,0)*3,1),0)</f>
        <v>45565</v>
      </c>
      <c r="G14" s="14">
        <f t="shared" ref="G14:K14" si="7">EOMONTH(DATE(YEAR(G16),ROUNDUP(MONTH(G16)/3,0)*3,1),0)</f>
        <v>45657</v>
      </c>
      <c r="H14" s="14">
        <f t="shared" si="7"/>
        <v>45747</v>
      </c>
      <c r="I14" s="14">
        <f t="shared" si="7"/>
        <v>45838</v>
      </c>
      <c r="J14" s="14">
        <f t="shared" si="7"/>
        <v>45930</v>
      </c>
      <c r="K14" s="14">
        <f t="shared" si="7"/>
        <v>46022</v>
      </c>
      <c r="L14" s="14">
        <f>EOMONTH(DATE(YEAR(L16),ROUNDUP(MONTH(L16)/3,0)*3,1),0)</f>
        <v>46112</v>
      </c>
      <c r="M14" s="14">
        <f>EOMONTH(DATE(YEAR(M16),ROUNDUP(MONTH(M16)/3,0)*3,1),0)</f>
        <v>46203</v>
      </c>
      <c r="N14" s="14">
        <f>EOMONTH(DATE(YEAR(N16),ROUNDUP(MONTH(N16)/3,0)*3,1),0)</f>
        <v>46295</v>
      </c>
      <c r="O14" s="14">
        <f>EOMONTH(DATE(YEAR(O16),ROUNDUP(MONTH(O16)/3,0)*3,1),0)</f>
        <v>46387</v>
      </c>
      <c r="P14" s="14">
        <f t="shared" ref="P14:S14" si="8">EOMONTH(DATE(YEAR(P16),ROUNDUP(MONTH(P16)/3,0)*3,1),0)</f>
        <v>46477</v>
      </c>
      <c r="Q14" s="14">
        <f t="shared" si="8"/>
        <v>46568</v>
      </c>
      <c r="R14" s="14">
        <f t="shared" si="8"/>
        <v>46660</v>
      </c>
      <c r="S14" s="14">
        <f t="shared" si="8"/>
        <v>46752</v>
      </c>
      <c r="T14" s="1"/>
      <c r="U14" s="24" t="str" cm="1">
        <f t="array" ref="U14:AD25">_xlfn.LET(
  _xlpm.d, H14:S14,
  _xlpm.s, H15:S15,
  _xlpm.v, H17:S17,
  _xlpm.yy, H18:S18,
  _xlpm.qq, H19:S19,
  _xlpm.dyy, H20:S20,
  _xlpm.dqq, H21:S21,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WMB US EQUITY</v>
      </c>
      <c r="V14" s="24">
        <v>45747</v>
      </c>
      <c r="W14" s="24" t="str">
        <v>canonical</v>
      </c>
      <c r="X14" s="24" t="str">
        <v>capex</v>
      </c>
      <c r="Y14" s="24" t="str">
        <v>actual</v>
      </c>
      <c r="Z14" s="28" t="str">
        <v>1012</v>
      </c>
      <c r="AA14" s="28" t="str">
        <v>0.860294117647059</v>
      </c>
      <c r="AB14" s="28" t="str">
        <v/>
      </c>
      <c r="AC14" s="28" t="str">
        <v/>
      </c>
      <c r="AD14" s="28" t="str">
        <v>0.317708333333333</v>
      </c>
    </row>
    <row r="15" spans="1:30" x14ac:dyDescent="0.25">
      <c r="C15" s="13" t="s">
        <v>22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U15" s="24" t="str">
        <v>WMB US EQUITY</v>
      </c>
      <c r="V15" s="24">
        <v>45838</v>
      </c>
      <c r="W15" s="24" t="str">
        <v>canonical</v>
      </c>
      <c r="X15" s="24" t="str">
        <v>capex</v>
      </c>
      <c r="Y15" s="24" t="str">
        <v>actual</v>
      </c>
      <c r="Z15" s="28" t="str">
        <v>972</v>
      </c>
      <c r="AA15" s="28" t="str">
        <v>0.603960396039604</v>
      </c>
      <c r="AB15" s="28" t="str">
        <v>-2563.33721607455</v>
      </c>
      <c r="AC15" s="28" t="str">
        <v/>
      </c>
      <c r="AD15" s="28" t="str">
        <v>-0.0395256916996047</v>
      </c>
    </row>
    <row r="16" spans="1:30" x14ac:dyDescent="0.25">
      <c r="D16" s="1" cm="1">
        <f t="array" ref="D16:K17">+_xll.BDH($B$2,C17,$B$3,$B$4,"DIR=H")</f>
        <v>45382</v>
      </c>
      <c r="E16" s="1">
        <v>45473</v>
      </c>
      <c r="F16" s="1">
        <v>45565</v>
      </c>
      <c r="G16" s="1">
        <v>45657</v>
      </c>
      <c r="H16" s="1">
        <v>45747</v>
      </c>
      <c r="I16" s="1">
        <v>45838</v>
      </c>
      <c r="J16" s="1">
        <v>45930</v>
      </c>
      <c r="K16" s="1">
        <v>46022</v>
      </c>
      <c r="L16" s="2">
        <f t="shared" ref="L16:S16" si="9">+L$7</f>
        <v>46112</v>
      </c>
      <c r="M16" s="2">
        <f t="shared" si="9"/>
        <v>46203</v>
      </c>
      <c r="N16" s="2">
        <f t="shared" si="9"/>
        <v>46295</v>
      </c>
      <c r="O16" s="2">
        <f t="shared" si="9"/>
        <v>46387</v>
      </c>
      <c r="P16" s="2">
        <f t="shared" si="9"/>
        <v>46477</v>
      </c>
      <c r="Q16" s="2">
        <f t="shared" si="9"/>
        <v>46568</v>
      </c>
      <c r="R16" s="2">
        <f t="shared" si="9"/>
        <v>46660</v>
      </c>
      <c r="S16" s="2">
        <f t="shared" si="9"/>
        <v>46752</v>
      </c>
      <c r="U16" s="24" t="str">
        <v>WMB US EQUITY</v>
      </c>
      <c r="V16" s="24">
        <v>45930</v>
      </c>
      <c r="W16" s="24" t="str">
        <v>canonical</v>
      </c>
      <c r="X16" s="24" t="str">
        <v>capex</v>
      </c>
      <c r="Y16" s="24" t="str">
        <v>actual</v>
      </c>
      <c r="Z16" s="28" t="str">
        <v>954</v>
      </c>
      <c r="AA16" s="28" t="str">
        <v>0.456488549618321</v>
      </c>
      <c r="AB16" s="28" t="str">
        <v>-1474.71846421283</v>
      </c>
      <c r="AC16" s="28" t="str">
        <v/>
      </c>
      <c r="AD16" s="28" t="str">
        <v>-0.0185185185185185</v>
      </c>
    </row>
    <row r="17" spans="1:30" x14ac:dyDescent="0.25">
      <c r="A17" s="16" t="s">
        <v>7</v>
      </c>
      <c r="B17" s="16" t="s">
        <v>61</v>
      </c>
      <c r="C17" s="2" t="s">
        <v>29</v>
      </c>
      <c r="D17" s="11">
        <v>544</v>
      </c>
      <c r="E17" s="11">
        <v>606</v>
      </c>
      <c r="F17" s="11">
        <v>655</v>
      </c>
      <c r="G17" s="11">
        <v>768</v>
      </c>
      <c r="H17" s="11">
        <v>1012</v>
      </c>
      <c r="I17" s="11">
        <v>972</v>
      </c>
      <c r="J17" s="11">
        <v>954</v>
      </c>
      <c r="K17" s="11">
        <v>1955</v>
      </c>
      <c r="L17" s="26">
        <v>1757.05</v>
      </c>
      <c r="M17" s="26">
        <v>1757.05</v>
      </c>
      <c r="N17" s="26">
        <v>2839.38</v>
      </c>
      <c r="O17" s="26">
        <v>2329.38</v>
      </c>
      <c r="P17" s="26">
        <v>1833.4123809523808</v>
      </c>
      <c r="Q17" s="26">
        <v>1833.4123809523808</v>
      </c>
      <c r="R17" s="26">
        <v>2954.3123809523809</v>
      </c>
      <c r="S17" s="26">
        <v>2227.6457142857143</v>
      </c>
      <c r="U17" s="24" t="str">
        <v>WMB US EQUITY</v>
      </c>
      <c r="V17" s="24">
        <v>46022</v>
      </c>
      <c r="W17" s="24" t="str">
        <v>canonical</v>
      </c>
      <c r="X17" s="24" t="str">
        <v>capex</v>
      </c>
      <c r="Y17" s="24" t="str">
        <v>actual</v>
      </c>
      <c r="Z17" s="28" t="str">
        <v>1955</v>
      </c>
      <c r="AA17" s="28" t="str">
        <v>1.54557291666667</v>
      </c>
      <c r="AB17" s="28" t="str">
        <v>10890.8436704835</v>
      </c>
      <c r="AC17" s="28" t="str">
        <v/>
      </c>
      <c r="AD17" s="28" t="str">
        <v>1.04926624737945</v>
      </c>
    </row>
    <row r="18" spans="1:30" x14ac:dyDescent="0.25">
      <c r="C18" s="4" t="s">
        <v>4</v>
      </c>
      <c r="D18" s="5"/>
      <c r="E18" s="4"/>
      <c r="F18" s="4"/>
      <c r="G18" s="12"/>
      <c r="H18" s="12">
        <f t="shared" ref="H18" si="10">+H17/D17-1</f>
        <v>0.86029411764705888</v>
      </c>
      <c r="I18" s="12">
        <f t="shared" ref="I18" si="11">+I17/E17-1</f>
        <v>0.60396039603960405</v>
      </c>
      <c r="J18" s="12">
        <f t="shared" ref="J18" si="12">+J17/F17-1</f>
        <v>0.45648854961832064</v>
      </c>
      <c r="K18" s="12">
        <f t="shared" ref="K18" si="13">+K17/G17-1</f>
        <v>1.5455729166666665</v>
      </c>
      <c r="L18" s="12">
        <f t="shared" ref="L18" si="14">+L17/H17-1</f>
        <v>0.73621541501976284</v>
      </c>
      <c r="M18" s="12">
        <f t="shared" ref="M18" si="15">+M17/I17-1</f>
        <v>0.8076646090534978</v>
      </c>
      <c r="N18" s="12">
        <f t="shared" ref="N18" si="16">+N17/J17-1</f>
        <v>1.9762893081761006</v>
      </c>
      <c r="O18" s="12">
        <f t="shared" ref="O18" si="17">+O17/K17-1</f>
        <v>0.19149872122762157</v>
      </c>
      <c r="P18" s="12">
        <f t="shared" ref="P18" si="18">+P17/L17-1</f>
        <v>4.3460562279036274E-2</v>
      </c>
      <c r="Q18" s="12">
        <f t="shared" ref="Q18" si="19">+Q17/M17-1</f>
        <v>4.3460562279036274E-2</v>
      </c>
      <c r="R18" s="12">
        <f t="shared" ref="R18" si="20">+R17/N17-1</f>
        <v>4.0477984965866076E-2</v>
      </c>
      <c r="S18" s="12">
        <f t="shared" ref="S18" si="21">+S17/O17-1</f>
        <v>-4.3674405083878876E-2</v>
      </c>
      <c r="U18" s="24" t="str">
        <v>WMB US EQUITY</v>
      </c>
      <c r="V18" s="24">
        <v>46112</v>
      </c>
      <c r="W18" s="24" t="str">
        <v>canonical</v>
      </c>
      <c r="X18" s="24" t="str">
        <v>capex</v>
      </c>
      <c r="Y18" s="24" t="str">
        <v>forecast</v>
      </c>
      <c r="Z18" s="28" t="str">
        <v>1757.05</v>
      </c>
      <c r="AA18" s="28" t="str">
        <v>0.736215415019763</v>
      </c>
      <c r="AB18" s="28" t="str">
        <v>-8093.57501646904</v>
      </c>
      <c r="AC18" s="28" t="str">
        <v>2.22987132352941</v>
      </c>
      <c r="AD18" s="28" t="str">
        <v>-0.101253196930946</v>
      </c>
    </row>
    <row r="19" spans="1:30" x14ac:dyDescent="0.25">
      <c r="C19" s="4" t="s">
        <v>15</v>
      </c>
      <c r="D19" s="1"/>
      <c r="I19" s="7">
        <f t="shared" ref="I19" si="22">(I18-H18)*10000</f>
        <v>-2563.3372160745485</v>
      </c>
      <c r="J19" s="7">
        <f t="shared" ref="J19" si="23">(J18-I18)*10000</f>
        <v>-1474.7184642128341</v>
      </c>
      <c r="K19" s="7">
        <f>(K18-J18)*10000</f>
        <v>10890.843670483458</v>
      </c>
      <c r="L19" s="7">
        <f>(L18-K18)*10000</f>
        <v>-8093.5750164690371</v>
      </c>
      <c r="M19" s="7">
        <f>(M18-L18)*10000</f>
        <v>714.49194033734955</v>
      </c>
      <c r="N19" s="7">
        <f>(N18-M18)*10000</f>
        <v>11686.246991226028</v>
      </c>
      <c r="O19" s="7">
        <f>(O18-N18)*10000</f>
        <v>-17847.905869484792</v>
      </c>
      <c r="P19" s="7">
        <f t="shared" ref="P19" si="24">(P18-O18)*10000</f>
        <v>-1480.3815894858531</v>
      </c>
      <c r="Q19" s="7">
        <f t="shared" ref="Q19" si="25">(Q18-P18)*10000</f>
        <v>0</v>
      </c>
      <c r="R19" s="7">
        <f t="shared" ref="R19" si="26">(R18-Q18)*10000</f>
        <v>-29.825773131701983</v>
      </c>
      <c r="S19" s="7">
        <f t="shared" ref="S19" si="27">(S18-R18)*10000</f>
        <v>-841.52390049744952</v>
      </c>
      <c r="U19" s="24" t="str">
        <v>WMB US EQUITY</v>
      </c>
      <c r="V19" s="24">
        <v>46203</v>
      </c>
      <c r="W19" s="24" t="str">
        <v>canonical</v>
      </c>
      <c r="X19" s="24" t="str">
        <v>capex</v>
      </c>
      <c r="Y19" s="24" t="str">
        <v>forecast</v>
      </c>
      <c r="Z19" s="28" t="str">
        <v>1757.05</v>
      </c>
      <c r="AA19" s="28" t="str">
        <v>0.807664609053498</v>
      </c>
      <c r="AB19" s="28" t="str">
        <v>714.49194033735</v>
      </c>
      <c r="AC19" s="28" t="str">
        <v>1.89942244224422</v>
      </c>
      <c r="AD19" s="28" t="str">
        <v>0</v>
      </c>
    </row>
    <row r="20" spans="1:30" x14ac:dyDescent="0.25">
      <c r="C20" s="4" t="s">
        <v>28</v>
      </c>
      <c r="D20" s="1"/>
      <c r="E20" s="6"/>
      <c r="F20" s="6"/>
      <c r="G20" s="6"/>
      <c r="H20" s="6"/>
      <c r="I20" s="6"/>
      <c r="J20" s="6"/>
      <c r="K20" s="6"/>
      <c r="L20" s="12">
        <f t="shared" ref="L20" si="28">(1+H18)*(1+L18)-1</f>
        <v>2.2298713235294119</v>
      </c>
      <c r="M20" s="12">
        <f t="shared" ref="M20" si="29">(1+I18)*(1+M18)-1</f>
        <v>1.8994224422442243</v>
      </c>
      <c r="N20" s="12">
        <f t="shared" ref="N20" si="30">(1+J18)*(1+N18)-1</f>
        <v>3.3349312977099235</v>
      </c>
      <c r="O20" s="12">
        <f t="shared" ref="O20" si="31">(1+K18)*(1+O18)-1</f>
        <v>2.0330468750000001</v>
      </c>
      <c r="P20" s="12">
        <f t="shared" ref="P20" si="32">(1+L18)*(1+P18)-1</f>
        <v>0.81167231319405198</v>
      </c>
      <c r="Q20" s="12">
        <f t="shared" ref="Q20" si="33">(1+M18)*(1+Q18)-1</f>
        <v>0.88622672937487712</v>
      </c>
      <c r="R20" s="12">
        <f t="shared" ref="R20" si="34">(1+N18)*(1+R18)-1</f>
        <v>2.096763502046521</v>
      </c>
      <c r="S20" s="12">
        <f t="shared" ref="S20" si="35">(1+O18)*(1+S18)-1</f>
        <v>0.13946072341980265</v>
      </c>
      <c r="U20" s="24" t="str">
        <v>WMB US EQUITY</v>
      </c>
      <c r="V20" s="24">
        <v>46295</v>
      </c>
      <c r="W20" s="24" t="str">
        <v>canonical</v>
      </c>
      <c r="X20" s="24" t="str">
        <v>capex</v>
      </c>
      <c r="Y20" s="24" t="str">
        <v>forecast</v>
      </c>
      <c r="Z20" s="28" t="str">
        <v>2839.38</v>
      </c>
      <c r="AA20" s="28" t="str">
        <v>1.9762893081761</v>
      </c>
      <c r="AB20" s="28" t="str">
        <v>11686.246991226</v>
      </c>
      <c r="AC20" s="28" t="str">
        <v>3.33493129770992</v>
      </c>
      <c r="AD20" s="28" t="str">
        <v>0.615992715062178</v>
      </c>
    </row>
    <row r="21" spans="1:30" x14ac:dyDescent="0.25">
      <c r="C21" s="4" t="s">
        <v>5</v>
      </c>
      <c r="D21" s="1"/>
      <c r="E21" s="12">
        <f t="shared" ref="E21" si="36">E17/D17-1</f>
        <v>0.11397058823529416</v>
      </c>
      <c r="F21" s="12">
        <f t="shared" ref="F21" si="37">F17/E17-1</f>
        <v>8.0858085808580782E-2</v>
      </c>
      <c r="G21" s="12">
        <f t="shared" ref="G21" si="38">G17/F17-1</f>
        <v>0.17251908396946569</v>
      </c>
      <c r="H21" s="12">
        <f t="shared" ref="H21" si="39">H17/G17-1</f>
        <v>0.31770833333333326</v>
      </c>
      <c r="I21" s="12">
        <f t="shared" ref="I21" si="40">I17/H17-1</f>
        <v>-3.9525691699604737E-2</v>
      </c>
      <c r="J21" s="12">
        <f t="shared" ref="J21" si="41">J17/I17-1</f>
        <v>-1.851851851851849E-2</v>
      </c>
      <c r="K21" s="12">
        <f t="shared" ref="K21" si="42">K17/J17-1</f>
        <v>1.049266247379455</v>
      </c>
      <c r="L21" s="12">
        <f t="shared" ref="L21" si="43">L17/K17-1</f>
        <v>-0.10125319693094637</v>
      </c>
      <c r="M21" s="12">
        <f t="shared" ref="M21" si="44">M17/L17-1</f>
        <v>0</v>
      </c>
      <c r="N21" s="12">
        <f t="shared" ref="N21" si="45">N17/M17-1</f>
        <v>0.61599271506217823</v>
      </c>
      <c r="O21" s="12">
        <f t="shared" ref="O21" si="46">O17/N17-1</f>
        <v>-0.17961667688016403</v>
      </c>
      <c r="P21" s="12">
        <f t="shared" ref="P21" si="47">P17/O17-1</f>
        <v>-0.21291829544669372</v>
      </c>
      <c r="Q21" s="12">
        <f t="shared" ref="Q21" si="48">Q17/P17-1</f>
        <v>0</v>
      </c>
      <c r="R21" s="12">
        <f t="shared" ref="R21" si="49">R17/Q17-1</f>
        <v>0.61137363947424617</v>
      </c>
      <c r="S21" s="12">
        <f t="shared" ref="S21" si="50">S17/R17-1</f>
        <v>-0.24596812149987035</v>
      </c>
      <c r="U21" s="24" t="str">
        <v>WMB US EQUITY</v>
      </c>
      <c r="V21" s="24">
        <v>46387</v>
      </c>
      <c r="W21" s="24" t="str">
        <v>canonical</v>
      </c>
      <c r="X21" s="24" t="str">
        <v>capex</v>
      </c>
      <c r="Y21" s="24" t="str">
        <v>forecast</v>
      </c>
      <c r="Z21" s="28" t="str">
        <v>2329.38</v>
      </c>
      <c r="AA21" s="28" t="str">
        <v>0.191498721227622</v>
      </c>
      <c r="AB21" s="28" t="str">
        <v>-17847.9058694848</v>
      </c>
      <c r="AC21" s="28" t="str">
        <v>2.033046875</v>
      </c>
      <c r="AD21" s="28" t="str">
        <v>-0.179616676880164</v>
      </c>
    </row>
    <row r="22" spans="1:30" x14ac:dyDescent="0.25">
      <c r="T22" s="1"/>
      <c r="U22" s="24" t="str">
        <v>WMB US EQUITY</v>
      </c>
      <c r="V22" s="24">
        <v>46477</v>
      </c>
      <c r="W22" s="24" t="str">
        <v>canonical</v>
      </c>
      <c r="X22" s="24" t="str">
        <v>capex</v>
      </c>
      <c r="Y22" s="24" t="str">
        <v>forecast</v>
      </c>
      <c r="Z22" s="28" t="str">
        <v>1833.41238095238</v>
      </c>
      <c r="AA22" s="28" t="str">
        <v>0.0434605622790363</v>
      </c>
      <c r="AB22" s="28" t="str">
        <v>-1480.38158948585</v>
      </c>
      <c r="AC22" s="28" t="str">
        <v>0.811672313194052</v>
      </c>
      <c r="AD22" s="28" t="str">
        <v>-0.212918295446694</v>
      </c>
    </row>
    <row r="23" spans="1:30" x14ac:dyDescent="0.25">
      <c r="C23" s="13" t="s">
        <v>10</v>
      </c>
      <c r="D23" s="14">
        <f t="shared" ref="D23:L23" si="51">EOMONTH(DATE(YEAR(D25),ROUNDUP(MONTH(D25)/3,0)*3,1),0)</f>
        <v>45382</v>
      </c>
      <c r="E23" s="14">
        <f t="shared" si="51"/>
        <v>45473</v>
      </c>
      <c r="F23" s="14">
        <f t="shared" si="51"/>
        <v>45565</v>
      </c>
      <c r="G23" s="14">
        <f t="shared" si="51"/>
        <v>45657</v>
      </c>
      <c r="H23" s="14">
        <f t="shared" si="51"/>
        <v>45747</v>
      </c>
      <c r="I23" s="14">
        <f t="shared" si="51"/>
        <v>45838</v>
      </c>
      <c r="J23" s="14">
        <f t="shared" si="51"/>
        <v>45930</v>
      </c>
      <c r="K23" s="14">
        <f t="shared" si="51"/>
        <v>46022</v>
      </c>
      <c r="L23" s="14">
        <f t="shared" si="51"/>
        <v>46112</v>
      </c>
      <c r="M23" s="14">
        <f>EOMONTH(DATE(YEAR(M25),ROUNDUP(MONTH(M25)/3,0)*3,1),0)</f>
        <v>46203</v>
      </c>
      <c r="N23" s="14">
        <f>EOMONTH(DATE(YEAR(N25),ROUNDUP(MONTH(N25)/3,0)*3,1),0)</f>
        <v>46295</v>
      </c>
      <c r="O23" s="14">
        <f>EOMONTH(DATE(YEAR(O25),ROUNDUP(MONTH(O25)/3,0)*3,1),0)</f>
        <v>46387</v>
      </c>
      <c r="P23" s="14">
        <f t="shared" ref="P23:S23" si="52">EOMONTH(DATE(YEAR(P25),ROUNDUP(MONTH(P25)/3,0)*3,1),0)</f>
        <v>46477</v>
      </c>
      <c r="Q23" s="14">
        <f t="shared" si="52"/>
        <v>46568</v>
      </c>
      <c r="R23" s="14">
        <f t="shared" si="52"/>
        <v>46660</v>
      </c>
      <c r="S23" s="14">
        <f t="shared" si="52"/>
        <v>46752</v>
      </c>
      <c r="U23" s="24" t="str">
        <v>WMB US EQUITY</v>
      </c>
      <c r="V23" s="24">
        <v>46568</v>
      </c>
      <c r="W23" s="24" t="str">
        <v>canonical</v>
      </c>
      <c r="X23" s="24" t="str">
        <v>capex</v>
      </c>
      <c r="Y23" s="24" t="str">
        <v>forecast</v>
      </c>
      <c r="Z23" s="28" t="str">
        <v>1833.41238095238</v>
      </c>
      <c r="AA23" s="28" t="str">
        <v>0.0434605622790363</v>
      </c>
      <c r="AB23" s="28" t="str">
        <v>0</v>
      </c>
      <c r="AC23" s="28" t="str">
        <v>0.886226729374877</v>
      </c>
      <c r="AD23" s="28" t="str">
        <v>0</v>
      </c>
    </row>
    <row r="24" spans="1:30" x14ac:dyDescent="0.25">
      <c r="C24" s="13" t="s">
        <v>22</v>
      </c>
      <c r="D24" s="2" t="str">
        <f t="shared" ref="D24:S24" si="53">+D$6</f>
        <v>actual</v>
      </c>
      <c r="E24" s="2" t="str">
        <f t="shared" si="53"/>
        <v>actual</v>
      </c>
      <c r="F24" s="2" t="str">
        <f t="shared" si="53"/>
        <v>actual</v>
      </c>
      <c r="G24" s="2" t="str">
        <f t="shared" si="53"/>
        <v>actual</v>
      </c>
      <c r="H24" s="2" t="str">
        <f t="shared" si="53"/>
        <v>actual</v>
      </c>
      <c r="I24" s="2" t="str">
        <f t="shared" si="53"/>
        <v>actual</v>
      </c>
      <c r="J24" s="2" t="str">
        <f t="shared" si="53"/>
        <v>actual</v>
      </c>
      <c r="K24" s="2" t="str">
        <f t="shared" si="53"/>
        <v>actual</v>
      </c>
      <c r="L24" s="2" t="str">
        <f t="shared" si="53"/>
        <v>forecast</v>
      </c>
      <c r="M24" s="2" t="str">
        <f t="shared" si="53"/>
        <v>forecast</v>
      </c>
      <c r="N24" s="2" t="str">
        <f t="shared" si="53"/>
        <v>forecast</v>
      </c>
      <c r="O24" s="2" t="str">
        <f t="shared" si="53"/>
        <v>forecast</v>
      </c>
      <c r="P24" s="2" t="str">
        <f t="shared" si="53"/>
        <v>forecast</v>
      </c>
      <c r="Q24" s="2" t="str">
        <f t="shared" si="53"/>
        <v>forecast</v>
      </c>
      <c r="R24" s="2" t="str">
        <f t="shared" si="53"/>
        <v>forecast</v>
      </c>
      <c r="S24" s="2" t="str">
        <f t="shared" si="53"/>
        <v>forecast</v>
      </c>
      <c r="U24" s="24" t="str">
        <v>WMB US EQUITY</v>
      </c>
      <c r="V24" s="24">
        <v>46660</v>
      </c>
      <c r="W24" s="24" t="str">
        <v>canonical</v>
      </c>
      <c r="X24" s="24" t="str">
        <v>capex</v>
      </c>
      <c r="Y24" s="24" t="str">
        <v>forecast</v>
      </c>
      <c r="Z24" s="28" t="str">
        <v>2954.31238095238</v>
      </c>
      <c r="AA24" s="28" t="str">
        <v>0.0404779849658661</v>
      </c>
      <c r="AB24" s="28" t="str">
        <v>-29.825773131702</v>
      </c>
      <c r="AC24" s="28" t="str">
        <v>2.09676350204652</v>
      </c>
      <c r="AD24" s="28" t="str">
        <v>0.611373639474246</v>
      </c>
    </row>
    <row r="25" spans="1:30" x14ac:dyDescent="0.25">
      <c r="D25" s="2">
        <f t="shared" ref="D25:S25" si="54">+D$7</f>
        <v>45382</v>
      </c>
      <c r="E25" s="2">
        <f t="shared" si="54"/>
        <v>45473</v>
      </c>
      <c r="F25" s="2">
        <f t="shared" si="54"/>
        <v>45565</v>
      </c>
      <c r="G25" s="2">
        <f t="shared" si="54"/>
        <v>45657</v>
      </c>
      <c r="H25" s="2">
        <f t="shared" si="54"/>
        <v>45747</v>
      </c>
      <c r="I25" s="2">
        <f t="shared" si="54"/>
        <v>45838</v>
      </c>
      <c r="J25" s="2">
        <f t="shared" si="54"/>
        <v>45930</v>
      </c>
      <c r="K25" s="2">
        <f t="shared" si="54"/>
        <v>46022</v>
      </c>
      <c r="L25" s="2">
        <f t="shared" si="54"/>
        <v>46112</v>
      </c>
      <c r="M25" s="2">
        <f t="shared" si="54"/>
        <v>46203</v>
      </c>
      <c r="N25" s="2">
        <f t="shared" si="54"/>
        <v>46295</v>
      </c>
      <c r="O25" s="2">
        <f t="shared" si="54"/>
        <v>46387</v>
      </c>
      <c r="P25" s="2">
        <f t="shared" si="54"/>
        <v>46477</v>
      </c>
      <c r="Q25" s="2">
        <f t="shared" si="54"/>
        <v>46568</v>
      </c>
      <c r="R25" s="2">
        <f t="shared" si="54"/>
        <v>46660</v>
      </c>
      <c r="S25" s="2">
        <f t="shared" si="54"/>
        <v>46752</v>
      </c>
      <c r="U25" s="24" t="str">
        <v>WMB US EQUITY</v>
      </c>
      <c r="V25" s="24">
        <v>46752</v>
      </c>
      <c r="W25" s="24" t="str">
        <v>canonical</v>
      </c>
      <c r="X25" s="24" t="str">
        <v>capex</v>
      </c>
      <c r="Y25" s="24" t="str">
        <v>forecast</v>
      </c>
      <c r="Z25" s="28" t="str">
        <v>2227.64571428571</v>
      </c>
      <c r="AA25" s="28" t="str">
        <v>-0.0436744050838789</v>
      </c>
      <c r="AB25" s="28" t="str">
        <v>-841.52390049745</v>
      </c>
      <c r="AC25" s="28" t="str">
        <v>0.139460723419803</v>
      </c>
      <c r="AD25" s="28" t="str">
        <v>-0.24596812149987</v>
      </c>
    </row>
    <row r="26" spans="1:30" x14ac:dyDescent="0.25">
      <c r="A26" s="16" t="s">
        <v>17</v>
      </c>
      <c r="B26" s="16" t="s">
        <v>47</v>
      </c>
      <c r="C26" s="2" t="s">
        <v>30</v>
      </c>
      <c r="D26" s="10">
        <v>839</v>
      </c>
      <c r="E26" s="10">
        <v>812</v>
      </c>
      <c r="F26" s="10">
        <v>830</v>
      </c>
      <c r="G26" s="10">
        <v>826</v>
      </c>
      <c r="H26" s="10">
        <v>862</v>
      </c>
      <c r="I26" s="10">
        <v>903</v>
      </c>
      <c r="J26" s="10">
        <v>947</v>
      </c>
      <c r="K26" s="10">
        <v>998</v>
      </c>
      <c r="L26" s="10">
        <v>1002.8399605878535</v>
      </c>
      <c r="M26" s="10">
        <v>1022.1965346801138</v>
      </c>
      <c r="N26" s="10">
        <v>1045.6433618937799</v>
      </c>
      <c r="O26" s="10">
        <v>1085.3334087658202</v>
      </c>
      <c r="P26" s="10">
        <v>1104.8321567721975</v>
      </c>
      <c r="Q26" s="10">
        <v>1125.7019841646377</v>
      </c>
      <c r="R26" s="10">
        <v>1325.4628923622117</v>
      </c>
      <c r="S26" s="10">
        <v>1342.3240662468529</v>
      </c>
      <c r="U26" s="24" t="str" cm="1">
        <f t="array" ref="U26:AD37">_xlfn.LET(
  _xlpm.d, H23:S23,
  _xlpm.s, H24:S24,
  _xlpm.v, H26:S26,
  _xlpm.yy, H27:S27,
  _xlpm.qq, H28:S28,
  _xlpm.dyy, H29:S29,
  _xlpm.dqq, H30:S30,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WMB US EQUITY</v>
      </c>
      <c r="V26" s="24">
        <v>45747</v>
      </c>
      <c r="W26" s="24" t="str">
        <v>custom</v>
      </c>
      <c r="X26" s="24" t="str">
        <v>transmission_power_gulf_EBITDA</v>
      </c>
      <c r="Y26" s="24" t="str">
        <v>actual</v>
      </c>
      <c r="Z26" s="28" t="str">
        <v>862</v>
      </c>
      <c r="AA26" s="28" t="str">
        <v>0.0274135876042909</v>
      </c>
      <c r="AB26" s="28" t="str">
        <v/>
      </c>
      <c r="AC26" s="28" t="str">
        <v/>
      </c>
      <c r="AD26" s="28" t="str">
        <v>0.0435835351089588</v>
      </c>
    </row>
    <row r="27" spans="1:30" x14ac:dyDescent="0.25">
      <c r="C27" s="4" t="s">
        <v>4</v>
      </c>
      <c r="D27" s="5"/>
      <c r="E27" s="4"/>
      <c r="F27" s="4"/>
      <c r="G27" s="4"/>
      <c r="H27" s="12">
        <f t="shared" ref="H27" si="55">+H26/D26-1</f>
        <v>2.7413587604290912E-2</v>
      </c>
      <c r="I27" s="12">
        <f t="shared" ref="I27" si="56">+I26/E26-1</f>
        <v>0.11206896551724133</v>
      </c>
      <c r="J27" s="12">
        <f t="shared" ref="J27" si="57">+J26/F26-1</f>
        <v>0.14096385542168677</v>
      </c>
      <c r="K27" s="12">
        <f t="shared" ref="K27" si="58">+K26/G26-1</f>
        <v>0.20823244552058107</v>
      </c>
      <c r="L27" s="12">
        <f t="shared" ref="L27" si="59">+L26/H26-1</f>
        <v>0.1633874252759322</v>
      </c>
      <c r="M27" s="12">
        <f t="shared" ref="M27" si="60">+M26/I26-1</f>
        <v>0.1320005921152978</v>
      </c>
      <c r="N27" s="12">
        <f t="shared" ref="N27" si="61">+N26/J26-1</f>
        <v>0.10416405691001041</v>
      </c>
      <c r="O27" s="12">
        <f t="shared" ref="O27" si="62">+O26/K26-1</f>
        <v>8.7508425617054408E-2</v>
      </c>
      <c r="P27" s="12">
        <f t="shared" ref="P27" si="63">+P26/L26-1</f>
        <v>0.10170336264278634</v>
      </c>
      <c r="Q27" s="12">
        <f t="shared" ref="Q27" si="64">+Q26/M26-1</f>
        <v>0.10125787553849896</v>
      </c>
      <c r="R27" s="12">
        <f t="shared" ref="R27" si="65">+R26/N26-1</f>
        <v>0.26760513255843432</v>
      </c>
      <c r="S27" s="12">
        <f t="shared" ref="S27" si="66">+S26/O26-1</f>
        <v>0.2367849873646366</v>
      </c>
      <c r="U27" s="24" t="str">
        <v>WMB US EQUITY</v>
      </c>
      <c r="V27" s="24">
        <v>45838</v>
      </c>
      <c r="W27" s="24" t="str">
        <v>custom</v>
      </c>
      <c r="X27" s="24" t="str">
        <v>transmission_power_gulf_EBITDA</v>
      </c>
      <c r="Y27" s="24" t="str">
        <v>actual</v>
      </c>
      <c r="Z27" s="28" t="str">
        <v>903</v>
      </c>
      <c r="AA27" s="28" t="str">
        <v>0.112068965517241</v>
      </c>
      <c r="AB27" s="28" t="str">
        <v>846.553779129504</v>
      </c>
      <c r="AC27" s="28" t="str">
        <v/>
      </c>
      <c r="AD27" s="28" t="str">
        <v>0.0475638051044083</v>
      </c>
    </row>
    <row r="28" spans="1:30" x14ac:dyDescent="0.25">
      <c r="C28" s="4" t="s">
        <v>15</v>
      </c>
      <c r="D28" s="1"/>
      <c r="I28" s="7">
        <f t="shared" ref="I28" si="67">(I27-H27)*10000</f>
        <v>846.55377912950416</v>
      </c>
      <c r="J28" s="7">
        <f t="shared" ref="J28" si="68">(J27-I27)*10000</f>
        <v>288.94889904445444</v>
      </c>
      <c r="K28" s="7">
        <f t="shared" ref="K28" si="69">(K27-J27)*10000</f>
        <v>672.68590098894299</v>
      </c>
      <c r="L28" s="7">
        <f>(L27-K27)*10000</f>
        <v>-448.45020244648867</v>
      </c>
      <c r="M28" s="7">
        <f>(M27-L27)*10000</f>
        <v>-313.86833160634399</v>
      </c>
      <c r="N28" s="7">
        <f>(N27-M27)*10000</f>
        <v>-278.36535205287396</v>
      </c>
      <c r="O28" s="7">
        <f>(O27-N27)*10000</f>
        <v>-166.55631292955997</v>
      </c>
      <c r="P28" s="7">
        <f t="shared" ref="P28" si="70">(P27-O27)*10000</f>
        <v>141.94937025731934</v>
      </c>
      <c r="Q28" s="7">
        <f t="shared" ref="Q28" si="71">(Q27-P27)*10000</f>
        <v>-4.454871042873787</v>
      </c>
      <c r="R28" s="7">
        <f t="shared" ref="R28" si="72">(R27-Q27)*10000</f>
        <v>1663.4725701993536</v>
      </c>
      <c r="S28" s="7">
        <f t="shared" ref="S28" si="73">(S27-R27)*10000</f>
        <v>-308.2014519379772</v>
      </c>
      <c r="U28" s="24" t="str">
        <v>WMB US EQUITY</v>
      </c>
      <c r="V28" s="24">
        <v>45930</v>
      </c>
      <c r="W28" s="24" t="str">
        <v>custom</v>
      </c>
      <c r="X28" s="24" t="str">
        <v>transmission_power_gulf_EBITDA</v>
      </c>
      <c r="Y28" s="24" t="str">
        <v>actual</v>
      </c>
      <c r="Z28" s="28" t="str">
        <v>947</v>
      </c>
      <c r="AA28" s="28" t="str">
        <v>0.140963855421687</v>
      </c>
      <c r="AB28" s="28" t="str">
        <v>288.948899044454</v>
      </c>
      <c r="AC28" s="28" t="str">
        <v/>
      </c>
      <c r="AD28" s="28" t="str">
        <v>0.0487264673311185</v>
      </c>
    </row>
    <row r="29" spans="1:30" x14ac:dyDescent="0.25">
      <c r="C29" s="4" t="s">
        <v>19</v>
      </c>
      <c r="D29" s="1"/>
      <c r="E29" s="7"/>
      <c r="F29" s="7"/>
      <c r="G29" s="7"/>
      <c r="H29" s="6"/>
      <c r="I29" s="6"/>
      <c r="J29" s="6"/>
      <c r="K29" s="6"/>
      <c r="L29" s="7">
        <f>(L27-H27)*10000</f>
        <v>1359.7383767164129</v>
      </c>
      <c r="M29" s="7">
        <f>(M27-I27)*10000</f>
        <v>199.31626598056474</v>
      </c>
      <c r="N29" s="7">
        <f>(N27-J27)*10000</f>
        <v>-367.99798511676363</v>
      </c>
      <c r="O29" s="7">
        <f>(O27-K27)*10000</f>
        <v>-1207.2401990352666</v>
      </c>
      <c r="P29" s="7">
        <f t="shared" ref="P29" si="74">(P27-L27)*10000</f>
        <v>-616.84062633145857</v>
      </c>
      <c r="Q29" s="7">
        <f t="shared" ref="Q29" si="75">(Q27-M27)*10000</f>
        <v>-307.42716576798836</v>
      </c>
      <c r="R29" s="7">
        <f t="shared" ref="R29" si="76">(R27-N27)*10000</f>
        <v>1634.4107564842391</v>
      </c>
      <c r="S29" s="7">
        <f t="shared" ref="S29" si="77">(S27-O27)*10000</f>
        <v>1492.765617475822</v>
      </c>
      <c r="U29" s="24" t="str">
        <v>WMB US EQUITY</v>
      </c>
      <c r="V29" s="24">
        <v>46022</v>
      </c>
      <c r="W29" s="24" t="str">
        <v>custom</v>
      </c>
      <c r="X29" s="24" t="str">
        <v>transmission_power_gulf_EBITDA</v>
      </c>
      <c r="Y29" s="24" t="str">
        <v>actual</v>
      </c>
      <c r="Z29" s="28" t="str">
        <v>998</v>
      </c>
      <c r="AA29" s="28" t="str">
        <v>0.208232445520581</v>
      </c>
      <c r="AB29" s="28" t="str">
        <v>672.685900988943</v>
      </c>
      <c r="AC29" s="28" t="str">
        <v/>
      </c>
      <c r="AD29" s="28" t="str">
        <v>0.0538542766631467</v>
      </c>
    </row>
    <row r="30" spans="1:30" x14ac:dyDescent="0.25">
      <c r="C30" s="4" t="s">
        <v>5</v>
      </c>
      <c r="D30" s="1"/>
      <c r="E30" s="12">
        <f t="shared" ref="E30" si="78">E26/D26-1</f>
        <v>-3.218116805721094E-2</v>
      </c>
      <c r="F30" s="12">
        <f t="shared" ref="F30" si="79">F26/E26-1</f>
        <v>2.2167487684729092E-2</v>
      </c>
      <c r="G30" s="12">
        <f t="shared" ref="G30" si="80">G26/F26-1</f>
        <v>-4.8192771084337727E-3</v>
      </c>
      <c r="H30" s="12">
        <f t="shared" ref="H30" si="81">H26/G26-1</f>
        <v>4.3583535108958849E-2</v>
      </c>
      <c r="I30" s="12">
        <f t="shared" ref="I30" si="82">I26/H26-1</f>
        <v>4.7563805104408274E-2</v>
      </c>
      <c r="J30" s="12">
        <f t="shared" ref="J30" si="83">J26/I26-1</f>
        <v>4.8726467331118517E-2</v>
      </c>
      <c r="K30" s="12">
        <f t="shared" ref="K30" si="84">K26/J26-1</f>
        <v>5.3854276663146683E-2</v>
      </c>
      <c r="L30" s="12">
        <f t="shared" ref="L30" si="85">L26/K26-1</f>
        <v>4.8496599076688351E-3</v>
      </c>
      <c r="M30" s="12">
        <f t="shared" ref="M30" si="86">M26/L26-1</f>
        <v>1.9301757860659796E-2</v>
      </c>
      <c r="N30" s="12">
        <f t="shared" ref="N30" si="87">N26/M26-1</f>
        <v>2.2937689982488019E-2</v>
      </c>
      <c r="O30" s="12">
        <f t="shared" ref="O30" si="88">O26/N26-1</f>
        <v>3.7957537262185648E-2</v>
      </c>
      <c r="P30" s="12">
        <f t="shared" ref="P30" si="89">P26/O26-1</f>
        <v>1.7965675661408165E-2</v>
      </c>
      <c r="Q30" s="12">
        <f t="shared" ref="Q30" si="90">Q26/P26-1</f>
        <v>1.8889590843745863E-2</v>
      </c>
      <c r="R30" s="12">
        <f t="shared" ref="R30" si="91">R26/Q26-1</f>
        <v>0.17745452260689842</v>
      </c>
      <c r="S30" s="12">
        <f t="shared" ref="S30" si="92">S26/R26-1</f>
        <v>1.272097014695861E-2</v>
      </c>
      <c r="U30" s="24" t="str">
        <v>WMB US EQUITY</v>
      </c>
      <c r="V30" s="24">
        <v>46112</v>
      </c>
      <c r="W30" s="24" t="str">
        <v>custom</v>
      </c>
      <c r="X30" s="24" t="str">
        <v>transmission_power_gulf_EBITDA</v>
      </c>
      <c r="Y30" s="24" t="str">
        <v>forecast</v>
      </c>
      <c r="Z30" s="28" t="str">
        <v>1002.83996058785</v>
      </c>
      <c r="AA30" s="28" t="str">
        <v>0.163387425275932</v>
      </c>
      <c r="AB30" s="28" t="str">
        <v>-448.450202446489</v>
      </c>
      <c r="AC30" s="28" t="str">
        <v>1359.73837671641</v>
      </c>
      <c r="AD30" s="28" t="str">
        <v>0.00484965990766884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WMB US EQUITY</v>
      </c>
      <c r="V31" s="24">
        <v>46203</v>
      </c>
      <c r="W31" s="24" t="str">
        <v>custom</v>
      </c>
      <c r="X31" s="24" t="str">
        <v>transmission_power_gulf_EBITDA</v>
      </c>
      <c r="Y31" s="24" t="str">
        <v>forecast</v>
      </c>
      <c r="Z31" s="28" t="str">
        <v>1022.19653468011</v>
      </c>
      <c r="AA31" s="28" t="str">
        <v>0.132000592115298</v>
      </c>
      <c r="AB31" s="28" t="str">
        <v>-313.868331606344</v>
      </c>
      <c r="AC31" s="28" t="str">
        <v>199.316265980565</v>
      </c>
      <c r="AD31" s="28" t="str">
        <v>0.0193017578606598</v>
      </c>
    </row>
    <row r="32" spans="1:30" x14ac:dyDescent="0.25">
      <c r="C32" s="13" t="s">
        <v>10</v>
      </c>
      <c r="D32" s="14">
        <f t="shared" ref="D32:K32" si="93">EOMONTH(DATE(YEAR(D34),ROUNDUP(MONTH(D34)/3,0)*3,1),0)</f>
        <v>45382</v>
      </c>
      <c r="E32" s="14">
        <f t="shared" si="93"/>
        <v>45473</v>
      </c>
      <c r="F32" s="14">
        <f t="shared" si="93"/>
        <v>45565</v>
      </c>
      <c r="G32" s="14">
        <f t="shared" si="93"/>
        <v>45657</v>
      </c>
      <c r="H32" s="14">
        <f t="shared" si="93"/>
        <v>45747</v>
      </c>
      <c r="I32" s="14">
        <f t="shared" si="93"/>
        <v>45838</v>
      </c>
      <c r="J32" s="14">
        <f t="shared" si="93"/>
        <v>45930</v>
      </c>
      <c r="K32" s="14">
        <f t="shared" si="93"/>
        <v>46022</v>
      </c>
      <c r="L32" s="14"/>
      <c r="M32" s="14"/>
      <c r="N32" s="14"/>
      <c r="O32" s="14"/>
      <c r="P32" s="14"/>
      <c r="Q32" s="14"/>
      <c r="R32" s="14"/>
      <c r="S32" s="14"/>
      <c r="U32" s="24" t="str">
        <v>WMB US EQUITY</v>
      </c>
      <c r="V32" s="24">
        <v>46295</v>
      </c>
      <c r="W32" s="24" t="str">
        <v>custom</v>
      </c>
      <c r="X32" s="24" t="str">
        <v>transmission_power_gulf_EBITDA</v>
      </c>
      <c r="Y32" s="24" t="str">
        <v>forecast</v>
      </c>
      <c r="Z32" s="28" t="str">
        <v>1045.64336189378</v>
      </c>
      <c r="AA32" s="28" t="str">
        <v>0.10416405691001</v>
      </c>
      <c r="AB32" s="28" t="str">
        <v>-278.365352052874</v>
      </c>
      <c r="AC32" s="28" t="str">
        <v>-367.997985116764</v>
      </c>
      <c r="AD32" s="28" t="str">
        <v>0.022937689982488</v>
      </c>
    </row>
    <row r="33" spans="1:30" x14ac:dyDescent="0.25">
      <c r="C33" s="13" t="s">
        <v>22</v>
      </c>
      <c r="D33" s="2" t="str">
        <f t="shared" ref="D33:K33" si="94">+D$6</f>
        <v>actual</v>
      </c>
      <c r="E33" s="2" t="str">
        <f t="shared" si="94"/>
        <v>actual</v>
      </c>
      <c r="F33" s="2" t="str">
        <f t="shared" si="94"/>
        <v>actual</v>
      </c>
      <c r="G33" s="2" t="str">
        <f t="shared" si="94"/>
        <v>actual</v>
      </c>
      <c r="H33" s="2" t="str">
        <f t="shared" si="94"/>
        <v>actual</v>
      </c>
      <c r="I33" s="2" t="str">
        <f t="shared" si="94"/>
        <v>actual</v>
      </c>
      <c r="J33" s="2" t="str">
        <f t="shared" si="94"/>
        <v>actual</v>
      </c>
      <c r="K33" s="2" t="str">
        <f t="shared" si="94"/>
        <v>actual</v>
      </c>
      <c r="L33" s="2"/>
      <c r="M33" s="2"/>
      <c r="N33" s="2"/>
      <c r="O33" s="2"/>
      <c r="P33" s="2"/>
      <c r="Q33" s="2"/>
      <c r="R33" s="2"/>
      <c r="S33" s="2"/>
      <c r="U33" s="24" t="str">
        <v>WMB US EQUITY</v>
      </c>
      <c r="V33" s="24">
        <v>46387</v>
      </c>
      <c r="W33" s="24" t="str">
        <v>custom</v>
      </c>
      <c r="X33" s="24" t="str">
        <v>transmission_power_gulf_EBITDA</v>
      </c>
      <c r="Y33" s="24" t="str">
        <v>forecast</v>
      </c>
      <c r="Z33" s="28" t="str">
        <v>1085.33340876582</v>
      </c>
      <c r="AA33" s="28" t="str">
        <v>0.0875084256170544</v>
      </c>
      <c r="AB33" s="28" t="str">
        <v>-166.55631292956</v>
      </c>
      <c r="AC33" s="28" t="str">
        <v>-1207.24019903527</v>
      </c>
      <c r="AD33" s="28" t="str">
        <v>0.0379575372621856</v>
      </c>
    </row>
    <row r="34" spans="1:30" x14ac:dyDescent="0.25">
      <c r="D34" s="2">
        <f t="shared" ref="D34:K34" si="95">+D$7</f>
        <v>45382</v>
      </c>
      <c r="E34" s="2">
        <f t="shared" si="95"/>
        <v>45473</v>
      </c>
      <c r="F34" s="2">
        <f t="shared" si="95"/>
        <v>45565</v>
      </c>
      <c r="G34" s="2">
        <f t="shared" si="95"/>
        <v>45657</v>
      </c>
      <c r="H34" s="2">
        <f t="shared" si="95"/>
        <v>45747</v>
      </c>
      <c r="I34" s="2">
        <f t="shared" si="95"/>
        <v>45838</v>
      </c>
      <c r="J34" s="2">
        <f t="shared" si="95"/>
        <v>45930</v>
      </c>
      <c r="K34" s="2">
        <f t="shared" si="95"/>
        <v>46022</v>
      </c>
      <c r="L34" s="2"/>
      <c r="M34" s="2"/>
      <c r="N34" s="2"/>
      <c r="O34" s="2"/>
      <c r="P34" s="2"/>
      <c r="Q34" s="2"/>
      <c r="R34" s="2"/>
      <c r="S34" s="2"/>
      <c r="U34" s="24" t="str">
        <v>WMB US EQUITY</v>
      </c>
      <c r="V34" s="24">
        <v>46477</v>
      </c>
      <c r="W34" s="24" t="str">
        <v>custom</v>
      </c>
      <c r="X34" s="24" t="str">
        <v>transmission_power_gulf_EBITDA</v>
      </c>
      <c r="Y34" s="24" t="str">
        <v>forecast</v>
      </c>
      <c r="Z34" s="28" t="str">
        <v>1104.8321567722</v>
      </c>
      <c r="AA34" s="28" t="str">
        <v>0.101703362642786</v>
      </c>
      <c r="AB34" s="28" t="str">
        <v>141.949370257319</v>
      </c>
      <c r="AC34" s="28" t="str">
        <v>-616.840626331459</v>
      </c>
      <c r="AD34" s="28" t="str">
        <v>0.0179656756614082</v>
      </c>
    </row>
    <row r="35" spans="1:30" x14ac:dyDescent="0.25">
      <c r="A35" s="16" t="s">
        <v>17</v>
      </c>
      <c r="B35" s="16" t="s">
        <v>46</v>
      </c>
      <c r="C35" s="2" t="s">
        <v>45</v>
      </c>
      <c r="D35" s="31">
        <f>SUM(D41:D44)</f>
        <v>23</v>
      </c>
      <c r="E35" s="31">
        <f t="shared" ref="E35:K35" si="96">SUM(E41:E44)</f>
        <v>19.5</v>
      </c>
      <c r="F35" s="31">
        <f t="shared" si="96"/>
        <v>21.400000000000002</v>
      </c>
      <c r="G35" s="31">
        <f t="shared" si="96"/>
        <v>21.4</v>
      </c>
      <c r="H35" s="31">
        <f t="shared" si="96"/>
        <v>23.599999999999998</v>
      </c>
      <c r="I35" s="31">
        <f t="shared" si="96"/>
        <v>20.8</v>
      </c>
      <c r="J35" s="31">
        <f t="shared" si="96"/>
        <v>22</v>
      </c>
      <c r="K35" s="31">
        <f t="shared" si="96"/>
        <v>22.200000000000003</v>
      </c>
      <c r="L35" s="10"/>
      <c r="M35" s="10"/>
      <c r="N35" s="10"/>
      <c r="O35" s="10"/>
      <c r="P35" s="10"/>
      <c r="Q35" s="10"/>
      <c r="R35" s="10"/>
      <c r="S35" s="10"/>
      <c r="U35" s="24" t="str">
        <v>WMB US EQUITY</v>
      </c>
      <c r="V35" s="24">
        <v>46568</v>
      </c>
      <c r="W35" s="24" t="str">
        <v>custom</v>
      </c>
      <c r="X35" s="24" t="str">
        <v>transmission_power_gulf_EBITDA</v>
      </c>
      <c r="Y35" s="24" t="str">
        <v>forecast</v>
      </c>
      <c r="Z35" s="28" t="str">
        <v>1125.70198416464</v>
      </c>
      <c r="AA35" s="28" t="str">
        <v>0.101257875538499</v>
      </c>
      <c r="AB35" s="28" t="str">
        <v>-4.45487104287379</v>
      </c>
      <c r="AC35" s="28" t="str">
        <v>-307.427165767988</v>
      </c>
      <c r="AD35" s="28" t="str">
        <v>0.0188895908437459</v>
      </c>
    </row>
    <row r="36" spans="1:30" x14ac:dyDescent="0.25">
      <c r="C36" s="4" t="s">
        <v>4</v>
      </c>
      <c r="D36" s="5"/>
      <c r="E36" s="4"/>
      <c r="F36" s="4"/>
      <c r="G36" s="12"/>
      <c r="H36" s="12">
        <f t="shared" ref="H36" si="97">+H35/D35-1</f>
        <v>2.608695652173898E-2</v>
      </c>
      <c r="I36" s="12">
        <f t="shared" ref="I36" si="98">+I35/E35-1</f>
        <v>6.6666666666666652E-2</v>
      </c>
      <c r="J36" s="12">
        <f t="shared" ref="J36" si="99">+J35/F35-1</f>
        <v>2.8037383177569986E-2</v>
      </c>
      <c r="K36" s="12">
        <f t="shared" ref="K36" si="100">+K35/G35-1</f>
        <v>3.7383177570093684E-2</v>
      </c>
      <c r="L36" s="12"/>
      <c r="M36" s="12"/>
      <c r="N36" s="12"/>
      <c r="O36" s="12"/>
      <c r="P36" s="12"/>
      <c r="Q36" s="12"/>
      <c r="R36" s="12"/>
      <c r="S36" s="12"/>
      <c r="U36" s="24" t="str">
        <v>WMB US EQUITY</v>
      </c>
      <c r="V36" s="24">
        <v>46660</v>
      </c>
      <c r="W36" s="24" t="str">
        <v>custom</v>
      </c>
      <c r="X36" s="24" t="str">
        <v>transmission_power_gulf_EBITDA</v>
      </c>
      <c r="Y36" s="24" t="str">
        <v>forecast</v>
      </c>
      <c r="Z36" s="28" t="str">
        <v>1325.46289236221</v>
      </c>
      <c r="AA36" s="28" t="str">
        <v>0.267605132558434</v>
      </c>
      <c r="AB36" s="28" t="str">
        <v>1663.47257019935</v>
      </c>
      <c r="AC36" s="28" t="str">
        <v>1634.41075648424</v>
      </c>
      <c r="AD36" s="28" t="str">
        <v>0.177454522606898</v>
      </c>
    </row>
    <row r="37" spans="1:30" x14ac:dyDescent="0.25">
      <c r="C37" s="4" t="s">
        <v>15</v>
      </c>
      <c r="D37" s="1"/>
      <c r="I37" s="7">
        <f t="shared" ref="I37" si="101">(I36-H36)*10000</f>
        <v>405.79710144927674</v>
      </c>
      <c r="J37" s="7">
        <f t="shared" ref="J37" si="102">(J36-I36)*10000</f>
        <v>-386.29283489096667</v>
      </c>
      <c r="K37" s="7">
        <f>(K36-J36)*10000</f>
        <v>93.457943925236989</v>
      </c>
      <c r="L37" s="7"/>
      <c r="M37" s="7"/>
      <c r="N37" s="7"/>
      <c r="O37" s="7"/>
      <c r="P37" s="7"/>
      <c r="Q37" s="7"/>
      <c r="R37" s="7"/>
      <c r="S37" s="7"/>
      <c r="U37" s="24" t="str">
        <v>WMB US EQUITY</v>
      </c>
      <c r="V37" s="24">
        <v>46752</v>
      </c>
      <c r="W37" s="24" t="str">
        <v>custom</v>
      </c>
      <c r="X37" s="24" t="str">
        <v>transmission_power_gulf_EBITDA</v>
      </c>
      <c r="Y37" s="24" t="str">
        <v>forecast</v>
      </c>
      <c r="Z37" s="28" t="str">
        <v>1342.32406624685</v>
      </c>
      <c r="AA37" s="28" t="str">
        <v>0.236784987364637</v>
      </c>
      <c r="AB37" s="28" t="str">
        <v>-308.201451937977</v>
      </c>
      <c r="AC37" s="28" t="str">
        <v>1492.76561747582</v>
      </c>
      <c r="AD37" s="28" t="str">
        <v>0.0127209701469586</v>
      </c>
    </row>
    <row r="38" spans="1:30" x14ac:dyDescent="0.25">
      <c r="C38" s="4" t="s">
        <v>28</v>
      </c>
      <c r="D38" s="1"/>
      <c r="E38" s="6"/>
      <c r="F38" s="6"/>
      <c r="G38" s="6"/>
      <c r="H38" s="6"/>
      <c r="I38" s="6"/>
      <c r="J38" s="6"/>
      <c r="K38" s="6"/>
      <c r="L38" s="12"/>
      <c r="M38" s="12"/>
      <c r="N38" s="12"/>
      <c r="O38" s="12"/>
      <c r="P38" s="12"/>
      <c r="Q38" s="12"/>
      <c r="R38" s="12"/>
      <c r="S38" s="12"/>
      <c r="U38" s="24" t="str" cm="1">
        <f t="array" ref="U38:AD49">_xlfn.LET(
  _xlpm.d, H32:S32,
  _xlpm.s, H33:S33,
  _xlpm.v, H35:S35,
  _xlpm.yy, H36:S36,
  _xlpm.qq, H37:S37,
  _xlpm.dyy, H38:S38,
  _xlpm.dqq, H39:S39,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WMB US EQUITY</v>
      </c>
      <c r="V38" s="24">
        <v>45747</v>
      </c>
      <c r="W38" s="24" t="str">
        <v>custom</v>
      </c>
      <c r="X38" s="24" t="str">
        <v>pipeline_volume_mmdth</v>
      </c>
      <c r="Y38" s="24" t="str">
        <v>actual</v>
      </c>
      <c r="Z38" s="28" t="str">
        <v>23.6</v>
      </c>
      <c r="AA38" s="28" t="str">
        <v>0.026086956521739</v>
      </c>
      <c r="AB38" s="28" t="str">
        <v/>
      </c>
      <c r="AC38" s="28" t="str">
        <v/>
      </c>
      <c r="AD38" s="28" t="str">
        <v>0.102803738317757</v>
      </c>
    </row>
    <row r="39" spans="1:30" x14ac:dyDescent="0.25">
      <c r="C39" s="4" t="s">
        <v>5</v>
      </c>
      <c r="D39" s="1"/>
      <c r="E39" s="12">
        <f t="shared" ref="E39" si="103">E35/D35-1</f>
        <v>-0.15217391304347827</v>
      </c>
      <c r="F39" s="12">
        <f t="shared" ref="F39" si="104">F35/E35-1</f>
        <v>9.7435897435897534E-2</v>
      </c>
      <c r="G39" s="12">
        <f t="shared" ref="G39" si="105">G35/F35-1</f>
        <v>0</v>
      </c>
      <c r="H39" s="12">
        <f t="shared" ref="H39" si="106">H35/G35-1</f>
        <v>0.10280373831775691</v>
      </c>
      <c r="I39" s="12">
        <f t="shared" ref="I39" si="107">I35/H35-1</f>
        <v>-0.11864406779661008</v>
      </c>
      <c r="J39" s="12">
        <f t="shared" ref="J39" si="108">J35/I35-1</f>
        <v>5.7692307692307709E-2</v>
      </c>
      <c r="K39" s="12">
        <f t="shared" ref="K39" si="109">K35/J35-1</f>
        <v>9.0909090909092605E-3</v>
      </c>
      <c r="L39" s="12"/>
      <c r="M39" s="12"/>
      <c r="N39" s="12"/>
      <c r="O39" s="12"/>
      <c r="P39" s="12"/>
      <c r="Q39" s="12"/>
      <c r="R39" s="12"/>
      <c r="S39" s="12"/>
      <c r="U39" s="24" t="str">
        <v>WMB US EQUITY</v>
      </c>
      <c r="V39" s="24">
        <v>45838</v>
      </c>
      <c r="W39" s="24" t="str">
        <v>custom</v>
      </c>
      <c r="X39" s="24" t="str">
        <v>pipeline_volume_mmdth</v>
      </c>
      <c r="Y39" s="24" t="str">
        <v>actual</v>
      </c>
      <c r="Z39" s="28" t="str">
        <v>20.8</v>
      </c>
      <c r="AA39" s="28" t="str">
        <v>0.0666666666666667</v>
      </c>
      <c r="AB39" s="28" t="str">
        <v>405.797101449277</v>
      </c>
      <c r="AC39" s="28" t="str">
        <v/>
      </c>
      <c r="AD39" s="28" t="str">
        <v>-0.11864406779661</v>
      </c>
    </row>
    <row r="40" spans="1:30" x14ac:dyDescent="0.25">
      <c r="C40" s="4"/>
      <c r="D40" s="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U40" s="24" t="str">
        <v>WMB US EQUITY</v>
      </c>
      <c r="V40" s="24">
        <v>45930</v>
      </c>
      <c r="W40" s="24" t="str">
        <v>custom</v>
      </c>
      <c r="X40" s="24" t="str">
        <v>pipeline_volume_mmdth</v>
      </c>
      <c r="Y40" s="24" t="str">
        <v>actual</v>
      </c>
      <c r="Z40" s="28" t="str">
        <v>22</v>
      </c>
      <c r="AA40" s="28" t="str">
        <v>0.02803738317757</v>
      </c>
      <c r="AB40" s="28" t="str">
        <v>-386.292834890967</v>
      </c>
      <c r="AC40" s="28" t="str">
        <v/>
      </c>
      <c r="AD40" s="28" t="str">
        <v>0.0576923076923077</v>
      </c>
    </row>
    <row r="41" spans="1:30" x14ac:dyDescent="0.25">
      <c r="C41" s="25" t="s">
        <v>41</v>
      </c>
      <c r="D41" s="31">
        <v>14.6</v>
      </c>
      <c r="E41" s="31">
        <v>12.9</v>
      </c>
      <c r="F41" s="31">
        <v>14.3</v>
      </c>
      <c r="G41" s="31">
        <v>14.1</v>
      </c>
      <c r="H41" s="31">
        <v>15.9</v>
      </c>
      <c r="I41" s="31">
        <v>14</v>
      </c>
      <c r="J41" s="31">
        <v>14.9</v>
      </c>
      <c r="K41" s="31">
        <v>15</v>
      </c>
      <c r="L41" s="12"/>
      <c r="M41" s="12"/>
      <c r="N41" s="12"/>
      <c r="O41" s="12"/>
      <c r="P41" s="12"/>
      <c r="Q41" s="12"/>
      <c r="R41" s="12"/>
      <c r="S41" s="12"/>
      <c r="U41" s="24" t="str">
        <v>WMB US EQUITY</v>
      </c>
      <c r="V41" s="24">
        <v>46022</v>
      </c>
      <c r="W41" s="24" t="str">
        <v>custom</v>
      </c>
      <c r="X41" s="24" t="str">
        <v>pipeline_volume_mmdth</v>
      </c>
      <c r="Y41" s="24" t="str">
        <v>actual</v>
      </c>
      <c r="Z41" s="28" t="str">
        <v>22.2</v>
      </c>
      <c r="AA41" s="28" t="str">
        <v>0.0373831775700937</v>
      </c>
      <c r="AB41" s="28" t="str">
        <v>93.457943925237</v>
      </c>
      <c r="AC41" s="28" t="str">
        <v/>
      </c>
      <c r="AD41" s="28" t="str">
        <v>0.00909090909090926</v>
      </c>
    </row>
    <row r="42" spans="1:30" x14ac:dyDescent="0.25">
      <c r="C42" s="25" t="s">
        <v>44</v>
      </c>
      <c r="D42" s="31">
        <v>3.1</v>
      </c>
      <c r="E42" s="31">
        <v>2.2000000000000002</v>
      </c>
      <c r="F42" s="31">
        <v>2.1</v>
      </c>
      <c r="G42" s="31">
        <v>2.1</v>
      </c>
      <c r="H42" s="31">
        <v>3</v>
      </c>
      <c r="I42" s="31">
        <v>2.4</v>
      </c>
      <c r="J42" s="31">
        <v>2.4</v>
      </c>
      <c r="K42" s="31">
        <v>2.6</v>
      </c>
      <c r="L42" s="12"/>
      <c r="M42" s="12"/>
      <c r="N42" s="12"/>
      <c r="O42" s="12"/>
      <c r="P42" s="12"/>
      <c r="Q42" s="12"/>
      <c r="R42" s="12"/>
      <c r="S42" s="12"/>
      <c r="U42" s="24" t="str">
        <v>WMB US EQUITY</v>
      </c>
      <c r="V42" s="24">
        <v>0</v>
      </c>
      <c r="W42" s="24" t="str">
        <v>custom</v>
      </c>
      <c r="X42" s="24" t="str">
        <v>pipeline_volume_mmdth</v>
      </c>
      <c r="Y42" s="24" t="str">
        <v/>
      </c>
      <c r="Z42" s="28" t="str">
        <v/>
      </c>
      <c r="AA42" s="28" t="str">
        <v/>
      </c>
      <c r="AB42" s="28" t="str">
        <v/>
      </c>
      <c r="AC42" s="28" t="str">
        <v/>
      </c>
      <c r="AD42" s="28" t="str">
        <v/>
      </c>
    </row>
    <row r="43" spans="1:30" x14ac:dyDescent="0.25">
      <c r="C43" s="25" t="s">
        <v>42</v>
      </c>
      <c r="D43" s="31">
        <v>4.3</v>
      </c>
      <c r="E43" s="31">
        <v>3.2</v>
      </c>
      <c r="F43" s="31">
        <v>3.6</v>
      </c>
      <c r="G43" s="31">
        <v>4.0999999999999996</v>
      </c>
      <c r="H43" s="31">
        <v>3.7</v>
      </c>
      <c r="I43" s="31">
        <v>3.1</v>
      </c>
      <c r="J43" s="31">
        <v>3.3</v>
      </c>
      <c r="K43" s="31">
        <v>3.5</v>
      </c>
      <c r="L43" s="12"/>
      <c r="M43" s="12"/>
      <c r="N43" s="12"/>
      <c r="O43" s="12"/>
      <c r="P43" s="12"/>
      <c r="Q43" s="12"/>
      <c r="R43" s="12"/>
      <c r="S43" s="12"/>
      <c r="U43" s="24" t="str">
        <v>WMB US EQUITY</v>
      </c>
      <c r="V43" s="24">
        <v>0</v>
      </c>
      <c r="W43" s="24" t="str">
        <v>custom</v>
      </c>
      <c r="X43" s="24" t="str">
        <v>pipeline_volume_mmdth</v>
      </c>
      <c r="Y43" s="24" t="str">
        <v/>
      </c>
      <c r="Z43" s="28" t="str">
        <v/>
      </c>
      <c r="AA43" s="28" t="str">
        <v/>
      </c>
      <c r="AB43" s="28" t="str">
        <v/>
      </c>
      <c r="AC43" s="28" t="str">
        <v/>
      </c>
      <c r="AD43" s="28" t="str">
        <v/>
      </c>
    </row>
    <row r="44" spans="1:30" x14ac:dyDescent="0.25">
      <c r="C44" s="25" t="s">
        <v>43</v>
      </c>
      <c r="D44" s="31">
        <v>1</v>
      </c>
      <c r="E44" s="31">
        <v>1.2</v>
      </c>
      <c r="F44" s="31">
        <v>1.4</v>
      </c>
      <c r="G44" s="31">
        <v>1.1000000000000001</v>
      </c>
      <c r="H44" s="31">
        <v>1</v>
      </c>
      <c r="I44" s="31">
        <v>1.3</v>
      </c>
      <c r="J44" s="31">
        <v>1.4</v>
      </c>
      <c r="K44" s="31">
        <v>1.1000000000000001</v>
      </c>
      <c r="L44" s="12"/>
      <c r="M44" s="12"/>
      <c r="N44" s="12"/>
      <c r="O44" s="12"/>
      <c r="P44" s="12"/>
      <c r="Q44" s="12"/>
      <c r="R44" s="12"/>
      <c r="S44" s="12"/>
      <c r="U44" s="24" t="str">
        <v>WMB US EQUITY</v>
      </c>
      <c r="V44" s="24">
        <v>0</v>
      </c>
      <c r="W44" s="24" t="str">
        <v>custom</v>
      </c>
      <c r="X44" s="24" t="str">
        <v>pipeline_volume_mmdth</v>
      </c>
      <c r="Y44" s="24" t="str">
        <v/>
      </c>
      <c r="Z44" s="28" t="str">
        <v/>
      </c>
      <c r="AA44" s="28" t="str">
        <v/>
      </c>
      <c r="AB44" s="28" t="str">
        <v/>
      </c>
      <c r="AC44" s="28" t="str">
        <v/>
      </c>
      <c r="AD44" s="28" t="str">
        <v/>
      </c>
    </row>
    <row r="45" spans="1:30" x14ac:dyDescent="0.25">
      <c r="C45" s="4"/>
      <c r="D45" s="1"/>
      <c r="K45" s="7"/>
      <c r="L45" s="7"/>
      <c r="M45" s="7"/>
      <c r="N45" s="7"/>
      <c r="O45" s="7"/>
      <c r="P45" s="7"/>
      <c r="Q45" s="7"/>
      <c r="R45" s="7"/>
      <c r="S45" s="7"/>
      <c r="U45" s="24" t="str">
        <v>WMB US EQUITY</v>
      </c>
      <c r="V45" s="24">
        <v>0</v>
      </c>
      <c r="W45" s="24" t="str">
        <v>custom</v>
      </c>
      <c r="X45" s="24" t="str">
        <v>pipeline_volume_mmdth</v>
      </c>
      <c r="Y45" s="24" t="str">
        <v/>
      </c>
      <c r="Z45" s="28" t="str">
        <v/>
      </c>
      <c r="AA45" s="28" t="str">
        <v/>
      </c>
      <c r="AB45" s="28" t="str">
        <v/>
      </c>
      <c r="AC45" s="28" t="str">
        <v/>
      </c>
      <c r="AD45" s="28" t="str">
        <v/>
      </c>
    </row>
    <row r="46" spans="1:30" x14ac:dyDescent="0.25">
      <c r="C46" s="13" t="s">
        <v>10</v>
      </c>
      <c r="D46" s="14">
        <f t="shared" ref="D46:K46" si="110">EOMONTH(DATE(YEAR(D48),ROUNDUP(MONTH(D48)/3,0)*3,1),0)</f>
        <v>45382</v>
      </c>
      <c r="E46" s="14">
        <f t="shared" si="110"/>
        <v>45473</v>
      </c>
      <c r="F46" s="14">
        <f t="shared" si="110"/>
        <v>45565</v>
      </c>
      <c r="G46" s="14">
        <f t="shared" si="110"/>
        <v>45657</v>
      </c>
      <c r="H46" s="14">
        <f t="shared" si="110"/>
        <v>45747</v>
      </c>
      <c r="I46" s="14">
        <f t="shared" si="110"/>
        <v>45838</v>
      </c>
      <c r="J46" s="14">
        <f t="shared" si="110"/>
        <v>45930</v>
      </c>
      <c r="K46" s="14">
        <f t="shared" si="110"/>
        <v>46022</v>
      </c>
      <c r="L46" s="14"/>
      <c r="M46" s="14"/>
      <c r="N46" s="14"/>
      <c r="O46" s="14"/>
      <c r="P46" s="14"/>
      <c r="Q46" s="14"/>
      <c r="R46" s="14"/>
      <c r="S46" s="14"/>
      <c r="U46" t="str">
        <v>WMB US EQUITY</v>
      </c>
      <c r="V46" s="24">
        <v>0</v>
      </c>
      <c r="W46" s="24" t="str">
        <v>custom</v>
      </c>
      <c r="X46" s="24" t="str">
        <v>pipeline_volume_mmdth</v>
      </c>
      <c r="Y46" s="24" t="str">
        <v/>
      </c>
      <c r="Z46" s="28" t="str">
        <v/>
      </c>
      <c r="AA46" s="28" t="str">
        <v/>
      </c>
      <c r="AB46" s="28" t="str">
        <v/>
      </c>
      <c r="AC46" s="28" t="str">
        <v/>
      </c>
      <c r="AD46" s="28" t="str">
        <v/>
      </c>
    </row>
    <row r="47" spans="1:30" x14ac:dyDescent="0.25">
      <c r="C47" s="13" t="s">
        <v>22</v>
      </c>
      <c r="D47" s="2" t="str">
        <f t="shared" ref="D47:K47" si="111">+D$6</f>
        <v>actual</v>
      </c>
      <c r="E47" s="2" t="str">
        <f t="shared" si="111"/>
        <v>actual</v>
      </c>
      <c r="F47" s="2" t="str">
        <f t="shared" si="111"/>
        <v>actual</v>
      </c>
      <c r="G47" s="2" t="str">
        <f t="shared" si="111"/>
        <v>actual</v>
      </c>
      <c r="H47" s="2" t="str">
        <f t="shared" si="111"/>
        <v>actual</v>
      </c>
      <c r="I47" s="2" t="str">
        <f t="shared" si="111"/>
        <v>actual</v>
      </c>
      <c r="J47" s="2" t="str">
        <f t="shared" si="111"/>
        <v>actual</v>
      </c>
      <c r="K47" s="2" t="str">
        <f t="shared" si="111"/>
        <v>actual</v>
      </c>
      <c r="L47" s="2"/>
      <c r="M47" s="2"/>
      <c r="N47" s="2"/>
      <c r="O47" s="2"/>
      <c r="P47" s="2"/>
      <c r="Q47" s="2"/>
      <c r="R47" s="2"/>
      <c r="S47" s="2"/>
      <c r="U47" t="str">
        <v>WMB US EQUITY</v>
      </c>
      <c r="V47" s="24">
        <v>0</v>
      </c>
      <c r="W47" s="24" t="str">
        <v>custom</v>
      </c>
      <c r="X47" s="24" t="str">
        <v>pipeline_volume_mmdth</v>
      </c>
      <c r="Y47" s="24" t="str">
        <v/>
      </c>
      <c r="Z47" s="28" t="str">
        <v/>
      </c>
      <c r="AA47" s="28" t="str">
        <v/>
      </c>
      <c r="AB47" s="28" t="str">
        <v/>
      </c>
      <c r="AC47" s="28" t="str">
        <v/>
      </c>
      <c r="AD47" s="28" t="str">
        <v/>
      </c>
    </row>
    <row r="48" spans="1:30" x14ac:dyDescent="0.25">
      <c r="D48" s="2">
        <f t="shared" ref="D48:K48" si="112">+D$7</f>
        <v>45382</v>
      </c>
      <c r="E48" s="2">
        <f t="shared" si="112"/>
        <v>45473</v>
      </c>
      <c r="F48" s="2">
        <f t="shared" si="112"/>
        <v>45565</v>
      </c>
      <c r="G48" s="2">
        <f t="shared" si="112"/>
        <v>45657</v>
      </c>
      <c r="H48" s="2">
        <f t="shared" si="112"/>
        <v>45747</v>
      </c>
      <c r="I48" s="2">
        <f t="shared" si="112"/>
        <v>45838</v>
      </c>
      <c r="J48" s="2">
        <f t="shared" si="112"/>
        <v>45930</v>
      </c>
      <c r="K48" s="2">
        <f t="shared" si="112"/>
        <v>46022</v>
      </c>
      <c r="L48" s="2"/>
      <c r="M48" s="2"/>
      <c r="N48" s="2"/>
      <c r="O48" s="2"/>
      <c r="P48" s="2"/>
      <c r="Q48" s="2"/>
      <c r="R48" s="2"/>
      <c r="S48" s="2"/>
      <c r="U48" t="str">
        <v>WMB US EQUITY</v>
      </c>
      <c r="V48" s="24">
        <v>0</v>
      </c>
      <c r="W48" s="24" t="str">
        <v>custom</v>
      </c>
      <c r="X48" s="24" t="str">
        <v>pipeline_volume_mmdth</v>
      </c>
      <c r="Y48" s="24" t="str">
        <v/>
      </c>
      <c r="Z48" s="28" t="str">
        <v/>
      </c>
      <c r="AA48" s="28" t="str">
        <v/>
      </c>
      <c r="AB48" s="28" t="str">
        <v/>
      </c>
      <c r="AC48" s="28" t="str">
        <v/>
      </c>
      <c r="AD48" s="28" t="str">
        <v/>
      </c>
    </row>
    <row r="49" spans="1:30" x14ac:dyDescent="0.25">
      <c r="A49" s="16" t="s">
        <v>17</v>
      </c>
      <c r="B49" s="16" t="s">
        <v>50</v>
      </c>
      <c r="C49" s="2" t="s">
        <v>51</v>
      </c>
      <c r="D49" s="31">
        <f>SUM(D55:D56)</f>
        <v>1.24</v>
      </c>
      <c r="E49" s="31">
        <f t="shared" ref="E49:K49" si="113">SUM(E55:E56)</f>
        <v>1.2</v>
      </c>
      <c r="F49" s="31">
        <f t="shared" si="113"/>
        <v>1.28</v>
      </c>
      <c r="G49" s="31">
        <f t="shared" si="113"/>
        <v>1.3</v>
      </c>
      <c r="H49" s="31">
        <f t="shared" si="113"/>
        <v>1.3599999999999999</v>
      </c>
      <c r="I49" s="31">
        <f t="shared" si="113"/>
        <v>1.57</v>
      </c>
      <c r="J49" s="31">
        <f t="shared" si="113"/>
        <v>1.72</v>
      </c>
      <c r="K49" s="31">
        <f t="shared" si="113"/>
        <v>1.9100000000000001</v>
      </c>
      <c r="L49" s="10"/>
      <c r="M49" s="10"/>
      <c r="N49" s="10"/>
      <c r="O49" s="10"/>
      <c r="P49" s="10"/>
      <c r="Q49" s="10"/>
      <c r="R49" s="10"/>
      <c r="S49" s="10"/>
      <c r="U49" t="str">
        <v>WMB US EQUITY</v>
      </c>
      <c r="V49" s="24">
        <v>0</v>
      </c>
      <c r="W49" s="24" t="str">
        <v>custom</v>
      </c>
      <c r="X49" s="24" t="str">
        <v>pipeline_volume_mmdth</v>
      </c>
      <c r="Y49" s="24" t="str">
        <v/>
      </c>
      <c r="Z49" s="28" t="str">
        <v/>
      </c>
      <c r="AA49" s="28" t="str">
        <v/>
      </c>
      <c r="AB49" s="28" t="str">
        <v/>
      </c>
      <c r="AC49" s="28" t="str">
        <v/>
      </c>
      <c r="AD49" s="28" t="str">
        <v/>
      </c>
    </row>
    <row r="50" spans="1:30" x14ac:dyDescent="0.25">
      <c r="C50" s="4" t="s">
        <v>4</v>
      </c>
      <c r="D50" s="5"/>
      <c r="E50" s="4"/>
      <c r="F50" s="4"/>
      <c r="G50" s="4"/>
      <c r="H50" s="12">
        <f t="shared" ref="H50" si="114">+H49/D49-1</f>
        <v>9.6774193548387011E-2</v>
      </c>
      <c r="I50" s="12">
        <f t="shared" ref="I50" si="115">+I49/E49-1</f>
        <v>0.30833333333333335</v>
      </c>
      <c r="J50" s="12">
        <f t="shared" ref="J50" si="116">+J49/F49-1</f>
        <v>0.34375</v>
      </c>
      <c r="K50" s="12">
        <f t="shared" ref="K50" si="117">+K49/G49-1</f>
        <v>0.46923076923076934</v>
      </c>
      <c r="L50" s="12"/>
      <c r="M50" s="12"/>
      <c r="N50" s="12"/>
      <c r="O50" s="12"/>
      <c r="P50" s="12"/>
      <c r="Q50" s="12"/>
      <c r="R50" s="12"/>
      <c r="S50" s="12"/>
      <c r="U50" s="24" t="str" cm="1">
        <f t="array" ref="U50:AD61">_xlfn.LET(
  _xlpm.d, H46:S46,
  _xlpm.s, H47:S47,
  _xlpm.v, H49:S49,
  _xlpm.yy, H50:S50,
  _xlpm.qq, H51:S51,
  _xlpm.dyy, H52:S52,
  _xlpm.dqq, H53:S53,
  _xlpm.dd, TRANSPOSE(_xlpm.d),
  _xlpm.clean, _xlfn.LAMBDA(_xlpm.x, IF(_xlpm.x="","",_xlpm.x)),
_xlfn.HSTACK(
  _xlfn.MAKEARRAY(ROWS(_xlpm.dd),1, _xlfn.LAMBDA(_xlpm.r,_xlpm.c,$B$2)),
  _xlpm.dd,
  _xlfn.MAKEARRAY(ROWS(_xlpm.dd),1, _xlfn.LAMBDA(_xlpm.r,_xlpm.c,A49)),
  _xlfn.MAKEARRAY(ROWS(_xlpm.dd),1, _xlfn.LAMBDA(_xlpm.r,_xlpm.c,B49)),
  CLEAN(TRANSPOSE(_xlpm.s)),
  CLEAN(TRANSPOSE(_xlpm.v)),
  CLEAN(TRANSPOSE(_xlpm.yy)),
  CLEAN(TRANSPOSE(_xlpm.qq)),
  CLEAN(TRANSPOSE(_xlpm.dyy)),
  CLEAN(TRANSPOSE(_xlpm.dqq))
))</f>
        <v>WMB US EQUITY</v>
      </c>
      <c r="V50" s="24">
        <v>45747</v>
      </c>
      <c r="W50" s="24" t="str">
        <v>custom</v>
      </c>
      <c r="X50" s="24" t="str">
        <v>gulf_gathering_processing_volume_bcfd</v>
      </c>
      <c r="Y50" s="24" t="str">
        <v>actual</v>
      </c>
      <c r="Z50" s="28" t="str">
        <v>1.36</v>
      </c>
      <c r="AA50" s="28" t="str">
        <v>0.096774193548387</v>
      </c>
      <c r="AB50" s="28" t="str">
        <v/>
      </c>
      <c r="AC50" s="28" t="str">
        <v/>
      </c>
      <c r="AD50" s="28" t="str">
        <v>0.046153846153846</v>
      </c>
    </row>
    <row r="51" spans="1:30" x14ac:dyDescent="0.25">
      <c r="C51" s="4" t="s">
        <v>15</v>
      </c>
      <c r="D51" s="1"/>
      <c r="I51" s="7">
        <f t="shared" ref="I51:K51" si="118">(I50-H50)*10000</f>
        <v>2115.5913978494632</v>
      </c>
      <c r="J51" s="7">
        <f t="shared" si="118"/>
        <v>354.16666666666652</v>
      </c>
      <c r="K51" s="7">
        <f t="shared" si="118"/>
        <v>1254.8076923076933</v>
      </c>
      <c r="L51" s="7"/>
      <c r="M51" s="7"/>
      <c r="N51" s="7"/>
      <c r="O51" s="7"/>
      <c r="P51" s="7"/>
      <c r="Q51" s="7"/>
      <c r="R51" s="7"/>
      <c r="S51" s="7"/>
      <c r="U51" s="24" t="str">
        <v>WMB US EQUITY</v>
      </c>
      <c r="V51" s="24">
        <v>45838</v>
      </c>
      <c r="W51" s="24" t="str">
        <v>custom</v>
      </c>
      <c r="X51" s="24" t="str">
        <v>gulf_gathering_processing_volume_bcfd</v>
      </c>
      <c r="Y51" s="24" t="str">
        <v>actual</v>
      </c>
      <c r="Z51" s="28" t="str">
        <v>1.57</v>
      </c>
      <c r="AA51" s="28" t="str">
        <v>0.308333333333333</v>
      </c>
      <c r="AB51" s="28" t="str">
        <v>2115.59139784946</v>
      </c>
      <c r="AC51" s="28" t="str">
        <v/>
      </c>
      <c r="AD51" s="28" t="str">
        <v>0.154411764705882</v>
      </c>
    </row>
    <row r="52" spans="1:30" x14ac:dyDescent="0.25">
      <c r="C52" s="4" t="s">
        <v>19</v>
      </c>
      <c r="D52" s="1"/>
      <c r="E52" s="7"/>
      <c r="F52" s="7"/>
      <c r="G52" s="7"/>
      <c r="H52" s="6"/>
      <c r="I52" s="6"/>
      <c r="J52" s="6"/>
      <c r="K52" s="6"/>
      <c r="L52" s="7"/>
      <c r="M52" s="7"/>
      <c r="N52" s="7"/>
      <c r="O52" s="7"/>
      <c r="P52" s="7"/>
      <c r="Q52" s="7"/>
      <c r="R52" s="7"/>
      <c r="S52" s="7"/>
      <c r="U52" s="24" t="str">
        <v>WMB US EQUITY</v>
      </c>
      <c r="V52" s="24">
        <v>45930</v>
      </c>
      <c r="W52" s="24" t="str">
        <v>custom</v>
      </c>
      <c r="X52" s="24" t="str">
        <v>gulf_gathering_processing_volume_bcfd</v>
      </c>
      <c r="Y52" s="24" t="str">
        <v>actual</v>
      </c>
      <c r="Z52" s="28" t="str">
        <v>1.72</v>
      </c>
      <c r="AA52" s="28" t="str">
        <v>0.34375</v>
      </c>
      <c r="AB52" s="28" t="str">
        <v>354.166666666667</v>
      </c>
      <c r="AC52" s="28" t="str">
        <v/>
      </c>
      <c r="AD52" s="28" t="str">
        <v>0.0955414012738853</v>
      </c>
    </row>
    <row r="53" spans="1:30" x14ac:dyDescent="0.25">
      <c r="C53" s="4" t="s">
        <v>5</v>
      </c>
      <c r="D53" s="1"/>
      <c r="E53" s="12">
        <f t="shared" ref="E53" si="119">E49/D49-1</f>
        <v>-3.2258064516129115E-2</v>
      </c>
      <c r="F53" s="12">
        <f t="shared" ref="F53" si="120">F49/E49-1</f>
        <v>6.6666666666666652E-2</v>
      </c>
      <c r="G53" s="12">
        <f t="shared" ref="G53" si="121">G49/F49-1</f>
        <v>1.5625E-2</v>
      </c>
      <c r="H53" s="12">
        <f t="shared" ref="H53" si="122">H49/G49-1</f>
        <v>4.615384615384599E-2</v>
      </c>
      <c r="I53" s="12">
        <f t="shared" ref="I53" si="123">I49/H49-1</f>
        <v>0.15441176470588247</v>
      </c>
      <c r="J53" s="12">
        <f t="shared" ref="J53" si="124">J49/I49-1</f>
        <v>9.5541401273885329E-2</v>
      </c>
      <c r="K53" s="12">
        <f t="shared" ref="K53" si="125">K49/J49-1</f>
        <v>0.11046511627906996</v>
      </c>
      <c r="L53" s="12"/>
      <c r="M53" s="12"/>
      <c r="N53" s="12"/>
      <c r="O53" s="12"/>
      <c r="P53" s="12"/>
      <c r="Q53" s="12"/>
      <c r="R53" s="12"/>
      <c r="S53" s="12"/>
      <c r="U53" s="24" t="str">
        <v>WMB US EQUITY</v>
      </c>
      <c r="V53" s="24">
        <v>46022</v>
      </c>
      <c r="W53" s="24" t="str">
        <v>custom</v>
      </c>
      <c r="X53" s="24" t="str">
        <v>gulf_gathering_processing_volume_bcfd</v>
      </c>
      <c r="Y53" s="24" t="str">
        <v>actual</v>
      </c>
      <c r="Z53" s="28" t="str">
        <v>1.91</v>
      </c>
      <c r="AA53" s="28" t="str">
        <v>0.469230769230769</v>
      </c>
      <c r="AB53" s="28" t="str">
        <v>1254.80769230769</v>
      </c>
      <c r="AC53" s="28" t="str">
        <v/>
      </c>
      <c r="AD53" s="28" t="str">
        <v>0.11046511627907</v>
      </c>
    </row>
    <row r="54" spans="1:30" x14ac:dyDescent="0.25">
      <c r="C54" s="4"/>
      <c r="D54" s="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U54" s="24" t="str">
        <v>WMB US EQUITY</v>
      </c>
      <c r="V54" s="24">
        <v>0</v>
      </c>
      <c r="W54" s="24" t="str">
        <v>custom</v>
      </c>
      <c r="X54" s="24" t="str">
        <v>gulf_gathering_processing_volume_bcfd</v>
      </c>
      <c r="Y54" s="24" t="str">
        <v/>
      </c>
      <c r="Z54" s="28" t="str">
        <v/>
      </c>
      <c r="AA54" s="28" t="str">
        <v/>
      </c>
      <c r="AB54" s="28" t="str">
        <v/>
      </c>
      <c r="AC54" s="28" t="str">
        <v/>
      </c>
      <c r="AD54" s="28" t="str">
        <v/>
      </c>
    </row>
    <row r="55" spans="1:30" x14ac:dyDescent="0.25">
      <c r="C55" s="25" t="s">
        <v>48</v>
      </c>
      <c r="D55" s="31">
        <v>0.52</v>
      </c>
      <c r="E55" s="31">
        <v>0.57999999999999996</v>
      </c>
      <c r="F55" s="31">
        <v>0.55000000000000004</v>
      </c>
      <c r="G55" s="31">
        <v>0.55000000000000004</v>
      </c>
      <c r="H55" s="31">
        <v>0.57999999999999996</v>
      </c>
      <c r="I55" s="31">
        <v>0.68</v>
      </c>
      <c r="J55" s="31">
        <v>0.75</v>
      </c>
      <c r="K55" s="31">
        <v>0.86</v>
      </c>
      <c r="L55" s="12"/>
      <c r="M55" s="12"/>
      <c r="N55" s="12"/>
      <c r="O55" s="12"/>
      <c r="P55" s="12"/>
      <c r="Q55" s="12"/>
      <c r="R55" s="12"/>
      <c r="S55" s="12"/>
      <c r="U55" s="24" t="str">
        <v>WMB US EQUITY</v>
      </c>
      <c r="V55" s="24">
        <v>0</v>
      </c>
      <c r="W55" s="24" t="str">
        <v>custom</v>
      </c>
      <c r="X55" s="24" t="str">
        <v>gulf_gathering_processing_volume_bcfd</v>
      </c>
      <c r="Y55" s="24" t="str">
        <v/>
      </c>
      <c r="Z55" s="28" t="str">
        <v/>
      </c>
      <c r="AA55" s="28" t="str">
        <v/>
      </c>
      <c r="AB55" s="28" t="str">
        <v/>
      </c>
      <c r="AC55" s="28" t="str">
        <v/>
      </c>
      <c r="AD55" s="28" t="str">
        <v/>
      </c>
    </row>
    <row r="56" spans="1:30" x14ac:dyDescent="0.25">
      <c r="C56" s="25" t="s">
        <v>49</v>
      </c>
      <c r="D56" s="31">
        <v>0.72</v>
      </c>
      <c r="E56" s="31">
        <v>0.62</v>
      </c>
      <c r="F56" s="31">
        <v>0.73</v>
      </c>
      <c r="G56" s="31">
        <v>0.75</v>
      </c>
      <c r="H56" s="31">
        <v>0.78</v>
      </c>
      <c r="I56" s="31">
        <v>0.89</v>
      </c>
      <c r="J56" s="31">
        <v>0.97</v>
      </c>
      <c r="K56" s="31">
        <v>1.05</v>
      </c>
      <c r="L56" s="12"/>
      <c r="M56" s="12"/>
      <c r="N56" s="12"/>
      <c r="O56" s="12"/>
      <c r="P56" s="12"/>
      <c r="Q56" s="12"/>
      <c r="R56" s="12"/>
      <c r="S56" s="12"/>
      <c r="U56" s="24" t="str">
        <v>WMB US EQUITY</v>
      </c>
      <c r="V56" s="24">
        <v>0</v>
      </c>
      <c r="W56" s="24" t="str">
        <v>custom</v>
      </c>
      <c r="X56" s="24" t="str">
        <v>gulf_gathering_processing_volume_bcfd</v>
      </c>
      <c r="Y56" s="24" t="str">
        <v/>
      </c>
      <c r="Z56" s="28" t="str">
        <v/>
      </c>
      <c r="AA56" s="28" t="str">
        <v/>
      </c>
      <c r="AB56" s="28" t="str">
        <v/>
      </c>
      <c r="AC56" s="28" t="str">
        <v/>
      </c>
      <c r="AD56" s="28" t="str">
        <v/>
      </c>
    </row>
    <row r="57" spans="1:30" x14ac:dyDescent="0.25">
      <c r="C57" s="4"/>
      <c r="D57" s="1"/>
      <c r="L57" s="7"/>
      <c r="M57" s="7"/>
      <c r="N57" s="7"/>
      <c r="O57" s="7"/>
      <c r="P57" s="7"/>
      <c r="Q57" s="7"/>
      <c r="R57" s="7"/>
      <c r="U57" s="24" t="str">
        <v>WMB US EQUITY</v>
      </c>
      <c r="V57" s="24">
        <v>0</v>
      </c>
      <c r="W57" s="24" t="str">
        <v>custom</v>
      </c>
      <c r="X57" s="24" t="str">
        <v>gulf_gathering_processing_volume_bcfd</v>
      </c>
      <c r="Y57" s="24" t="str">
        <v/>
      </c>
      <c r="Z57" s="28" t="str">
        <v/>
      </c>
      <c r="AA57" s="28" t="str">
        <v/>
      </c>
      <c r="AB57" s="28" t="str">
        <v/>
      </c>
      <c r="AC57" s="28" t="str">
        <v/>
      </c>
      <c r="AD57" s="28" t="str">
        <v/>
      </c>
    </row>
    <row r="58" spans="1:30" x14ac:dyDescent="0.25">
      <c r="C58" s="13" t="s">
        <v>10</v>
      </c>
      <c r="D58" s="14">
        <f t="shared" ref="D58:L58" si="126">EOMONTH(DATE(YEAR(D60),ROUNDUP(MONTH(D60)/3,0)*3,1),0)</f>
        <v>45382</v>
      </c>
      <c r="E58" s="14">
        <f t="shared" si="126"/>
        <v>45473</v>
      </c>
      <c r="F58" s="14">
        <f t="shared" si="126"/>
        <v>45565</v>
      </c>
      <c r="G58" s="14">
        <f t="shared" si="126"/>
        <v>45657</v>
      </c>
      <c r="H58" s="14">
        <f t="shared" si="126"/>
        <v>45747</v>
      </c>
      <c r="I58" s="14">
        <f t="shared" si="126"/>
        <v>45838</v>
      </c>
      <c r="J58" s="14">
        <f t="shared" si="126"/>
        <v>45930</v>
      </c>
      <c r="K58" s="14">
        <f t="shared" si="126"/>
        <v>46022</v>
      </c>
      <c r="L58" s="14">
        <f t="shared" si="126"/>
        <v>46112</v>
      </c>
      <c r="M58" s="14">
        <f>EOMONTH(DATE(YEAR(M60),ROUNDUP(MONTH(M60)/3,0)*3,1),0)</f>
        <v>46203</v>
      </c>
      <c r="N58" s="14">
        <f>EOMONTH(DATE(YEAR(N60),ROUNDUP(MONTH(N60)/3,0)*3,1),0)</f>
        <v>46295</v>
      </c>
      <c r="O58" s="14">
        <f>EOMONTH(DATE(YEAR(O60),ROUNDUP(MONTH(O60)/3,0)*3,1),0)</f>
        <v>46387</v>
      </c>
      <c r="P58" s="14">
        <f t="shared" ref="P58:S58" si="127">EOMONTH(DATE(YEAR(P60),ROUNDUP(MONTH(P60)/3,0)*3,1),0)</f>
        <v>46477</v>
      </c>
      <c r="Q58" s="14">
        <f t="shared" si="127"/>
        <v>46568</v>
      </c>
      <c r="R58" s="14">
        <f t="shared" si="127"/>
        <v>46660</v>
      </c>
      <c r="S58" s="14">
        <f t="shared" si="127"/>
        <v>46752</v>
      </c>
      <c r="U58" s="24" t="str">
        <v>WMB US EQUITY</v>
      </c>
      <c r="V58" s="24">
        <v>0</v>
      </c>
      <c r="W58" s="24" t="str">
        <v>custom</v>
      </c>
      <c r="X58" s="24" t="str">
        <v>gulf_gathering_processing_volume_bcfd</v>
      </c>
      <c r="Y58" s="24" t="str">
        <v/>
      </c>
      <c r="Z58" s="28" t="str">
        <v/>
      </c>
      <c r="AA58" s="28" t="str">
        <v/>
      </c>
      <c r="AB58" s="28" t="str">
        <v/>
      </c>
      <c r="AC58" s="28" t="str">
        <v/>
      </c>
      <c r="AD58" s="28" t="str">
        <v/>
      </c>
    </row>
    <row r="59" spans="1:30" x14ac:dyDescent="0.25">
      <c r="C59" s="13" t="s">
        <v>22</v>
      </c>
      <c r="D59" s="2" t="str">
        <f t="shared" ref="D59:S59" si="128">+D$6</f>
        <v>actual</v>
      </c>
      <c r="E59" s="2" t="str">
        <f t="shared" si="128"/>
        <v>actual</v>
      </c>
      <c r="F59" s="2" t="str">
        <f t="shared" si="128"/>
        <v>actual</v>
      </c>
      <c r="G59" s="2" t="str">
        <f t="shared" si="128"/>
        <v>actual</v>
      </c>
      <c r="H59" s="2" t="str">
        <f t="shared" si="128"/>
        <v>actual</v>
      </c>
      <c r="I59" s="2" t="str">
        <f t="shared" si="128"/>
        <v>actual</v>
      </c>
      <c r="J59" s="2" t="str">
        <f t="shared" si="128"/>
        <v>actual</v>
      </c>
      <c r="K59" s="2" t="str">
        <f t="shared" si="128"/>
        <v>actual</v>
      </c>
      <c r="L59" s="2" t="str">
        <f t="shared" si="128"/>
        <v>forecast</v>
      </c>
      <c r="M59" s="2" t="str">
        <f t="shared" si="128"/>
        <v>forecast</v>
      </c>
      <c r="N59" s="2" t="str">
        <f t="shared" si="128"/>
        <v>forecast</v>
      </c>
      <c r="O59" s="2" t="str">
        <f t="shared" si="128"/>
        <v>forecast</v>
      </c>
      <c r="P59" s="2" t="str">
        <f t="shared" si="128"/>
        <v>forecast</v>
      </c>
      <c r="Q59" s="2" t="str">
        <f t="shared" si="128"/>
        <v>forecast</v>
      </c>
      <c r="R59" s="2" t="str">
        <f t="shared" si="128"/>
        <v>forecast</v>
      </c>
      <c r="S59" s="2" t="str">
        <f t="shared" si="128"/>
        <v>forecast</v>
      </c>
      <c r="U59" s="24" t="str">
        <v>WMB US EQUITY</v>
      </c>
      <c r="V59" s="24">
        <v>0</v>
      </c>
      <c r="W59" s="24" t="str">
        <v>custom</v>
      </c>
      <c r="X59" s="24" t="str">
        <v>gulf_gathering_processing_volume_bcfd</v>
      </c>
      <c r="Y59" s="24" t="str">
        <v/>
      </c>
      <c r="Z59" s="28" t="str">
        <v/>
      </c>
      <c r="AA59" s="28" t="str">
        <v/>
      </c>
      <c r="AB59" s="28" t="str">
        <v/>
      </c>
      <c r="AC59" s="28" t="str">
        <v/>
      </c>
      <c r="AD59" s="28" t="str">
        <v/>
      </c>
    </row>
    <row r="60" spans="1:30" x14ac:dyDescent="0.25">
      <c r="D60" s="2">
        <f t="shared" ref="D60:S60" si="129">+D$7</f>
        <v>45382</v>
      </c>
      <c r="E60" s="2">
        <f t="shared" si="129"/>
        <v>45473</v>
      </c>
      <c r="F60" s="2">
        <f t="shared" si="129"/>
        <v>45565</v>
      </c>
      <c r="G60" s="2">
        <f t="shared" si="129"/>
        <v>45657</v>
      </c>
      <c r="H60" s="2">
        <f t="shared" si="129"/>
        <v>45747</v>
      </c>
      <c r="I60" s="2">
        <f t="shared" si="129"/>
        <v>45838</v>
      </c>
      <c r="J60" s="2">
        <f t="shared" si="129"/>
        <v>45930</v>
      </c>
      <c r="K60" s="2">
        <f t="shared" si="129"/>
        <v>46022</v>
      </c>
      <c r="L60" s="2">
        <f t="shared" si="129"/>
        <v>46112</v>
      </c>
      <c r="M60" s="2">
        <f t="shared" si="129"/>
        <v>46203</v>
      </c>
      <c r="N60" s="2">
        <f t="shared" si="129"/>
        <v>46295</v>
      </c>
      <c r="O60" s="2">
        <f t="shared" si="129"/>
        <v>46387</v>
      </c>
      <c r="P60" s="2">
        <f t="shared" si="129"/>
        <v>46477</v>
      </c>
      <c r="Q60" s="2">
        <f t="shared" si="129"/>
        <v>46568</v>
      </c>
      <c r="R60" s="2">
        <f t="shared" si="129"/>
        <v>46660</v>
      </c>
      <c r="S60" s="2">
        <f t="shared" si="129"/>
        <v>46752</v>
      </c>
      <c r="U60" s="24" t="str">
        <v>WMB US EQUITY</v>
      </c>
      <c r="V60" s="24">
        <v>0</v>
      </c>
      <c r="W60" s="24" t="str">
        <v>custom</v>
      </c>
      <c r="X60" s="24" t="str">
        <v>gulf_gathering_processing_volume_bcfd</v>
      </c>
      <c r="Y60" s="24" t="str">
        <v/>
      </c>
      <c r="Z60" s="28" t="str">
        <v/>
      </c>
      <c r="AA60" s="28" t="str">
        <v/>
      </c>
      <c r="AB60" s="28" t="str">
        <v/>
      </c>
      <c r="AC60" s="28" t="str">
        <v/>
      </c>
      <c r="AD60" s="28" t="str">
        <v/>
      </c>
    </row>
    <row r="61" spans="1:30" x14ac:dyDescent="0.25">
      <c r="A61" s="16" t="s">
        <v>17</v>
      </c>
      <c r="B61" s="16" t="s">
        <v>37</v>
      </c>
      <c r="C61" s="2" t="s">
        <v>39</v>
      </c>
      <c r="D61" s="10">
        <v>504</v>
      </c>
      <c r="E61" s="10">
        <v>479</v>
      </c>
      <c r="F61" s="10">
        <v>484</v>
      </c>
      <c r="G61" s="10">
        <v>499</v>
      </c>
      <c r="H61" s="10">
        <v>514</v>
      </c>
      <c r="I61" s="10">
        <v>501</v>
      </c>
      <c r="J61" s="10">
        <v>505</v>
      </c>
      <c r="K61" s="10">
        <v>508</v>
      </c>
      <c r="L61" s="10">
        <v>503.20492224724484</v>
      </c>
      <c r="M61" s="10">
        <v>510.38886599842971</v>
      </c>
      <c r="N61" s="10">
        <v>517.10925809733249</v>
      </c>
      <c r="O61" s="10">
        <v>520.81075227773317</v>
      </c>
      <c r="P61" s="10">
        <v>513.14378801174985</v>
      </c>
      <c r="Q61" s="10">
        <v>520.6389630753348</v>
      </c>
      <c r="R61" s="10">
        <v>528.24783709111944</v>
      </c>
      <c r="S61" s="10">
        <v>530.70855926920979</v>
      </c>
      <c r="U61" s="24" t="str">
        <v>WMB US EQUITY</v>
      </c>
      <c r="V61" s="24">
        <v>0</v>
      </c>
      <c r="W61" s="24" t="str">
        <v>custom</v>
      </c>
      <c r="X61" s="24" t="str">
        <v>gulf_gathering_processing_volume_bcfd</v>
      </c>
      <c r="Y61" s="24" t="str">
        <v/>
      </c>
      <c r="Z61" s="28" t="str">
        <v/>
      </c>
      <c r="AA61" s="28" t="str">
        <v/>
      </c>
      <c r="AB61" s="28" t="str">
        <v/>
      </c>
      <c r="AC61" s="28" t="str">
        <v/>
      </c>
      <c r="AD61" s="28" t="str">
        <v/>
      </c>
    </row>
    <row r="62" spans="1:30" x14ac:dyDescent="0.25">
      <c r="C62" s="4" t="s">
        <v>4</v>
      </c>
      <c r="D62" s="5"/>
      <c r="E62" s="4"/>
      <c r="F62" s="4"/>
      <c r="G62" s="4"/>
      <c r="H62" s="12">
        <f t="shared" ref="H62" si="130">+H61/D61-1</f>
        <v>1.9841269841269771E-2</v>
      </c>
      <c r="I62" s="12">
        <f t="shared" ref="I62" si="131">+I61/E61-1</f>
        <v>4.5929018789144127E-2</v>
      </c>
      <c r="J62" s="12">
        <f t="shared" ref="J62" si="132">+J61/F61-1</f>
        <v>4.3388429752066138E-2</v>
      </c>
      <c r="K62" s="12">
        <f t="shared" ref="K62" si="133">+K61/G61-1</f>
        <v>1.8036072144288484E-2</v>
      </c>
      <c r="L62" s="12">
        <f t="shared" ref="L62" si="134">+L61/H61-1</f>
        <v>-2.1002096795243452E-2</v>
      </c>
      <c r="M62" s="12">
        <f t="shared" ref="M62" si="135">+M61/I61-1</f>
        <v>1.8740251493871707E-2</v>
      </c>
      <c r="N62" s="12">
        <f t="shared" ref="N62" si="136">+N61/J61-1</f>
        <v>2.3978728905608815E-2</v>
      </c>
      <c r="O62" s="12">
        <f t="shared" ref="O62" si="137">+O61/K61-1</f>
        <v>2.5218016294750401E-2</v>
      </c>
      <c r="P62" s="12">
        <f t="shared" ref="P62" si="138">+P61/L61-1</f>
        <v>1.9751129858029515E-2</v>
      </c>
      <c r="Q62" s="12">
        <f t="shared" ref="Q62" si="139">+Q61/M61-1</f>
        <v>2.0082916693046737E-2</v>
      </c>
      <c r="R62" s="12">
        <f t="shared" ref="R62" si="140">+R61/N61-1</f>
        <v>2.154008813296171E-2</v>
      </c>
      <c r="S62" s="12">
        <f t="shared" ref="S62" si="141">+S61/O61-1</f>
        <v>1.9004613380559476E-2</v>
      </c>
      <c r="U62" s="24" t="str" cm="1">
        <f t="array" ref="U62:AD73">_xlfn.LET(
  _xlpm.d, H58:S58,
  _xlpm.s, H59:S59,
  _xlpm.v, H61:S61,
  _xlpm.yy, H62:S62,
  _xlpm.qq, H63:S63,
  _xlpm.dyy, H64:S64,
  _xlpm.dqq, H65:S65,
  _xlpm.dd, TRANSPOSE(_xlpm.d),
  _xlpm.clean, _xlfn.LAMBDA(_xlpm.x, IF(_xlpm.x="","",_xlpm.x)),
_xlfn.HSTACK(
  _xlfn.MAKEARRAY(ROWS(_xlpm.dd),1, _xlfn.LAMBDA(_xlpm.r,_xlpm.c,$B$2)),
  _xlpm.dd,
  _xlfn.MAKEARRAY(ROWS(_xlpm.dd),1, _xlfn.LAMBDA(_xlpm.r,_xlpm.c,A61)),
  _xlfn.MAKEARRAY(ROWS(_xlpm.dd),1, _xlfn.LAMBDA(_xlpm.r,_xlpm.c,B61)),
  CLEAN(TRANSPOSE(_xlpm.s)),
  CLEAN(TRANSPOSE(_xlpm.v)),
  CLEAN(TRANSPOSE(_xlpm.yy)),
  CLEAN(TRANSPOSE(_xlpm.qq)),
  CLEAN(TRANSPOSE(_xlpm.dyy)),
  CLEAN(TRANSPOSE(_xlpm.dqq))
))</f>
        <v>WMB US EQUITY</v>
      </c>
      <c r="V62" s="24">
        <v>45747</v>
      </c>
      <c r="W62" s="24" t="str">
        <v>custom</v>
      </c>
      <c r="X62" s="24" t="str">
        <v>northeast_G&amp;P_EBITDA</v>
      </c>
      <c r="Y62" s="24" t="str">
        <v>actual</v>
      </c>
      <c r="Z62" s="28" t="str">
        <v>514</v>
      </c>
      <c r="AA62" s="28" t="str">
        <v>0.0198412698412698</v>
      </c>
      <c r="AB62" s="28" t="str">
        <v/>
      </c>
      <c r="AC62" s="28" t="str">
        <v/>
      </c>
      <c r="AD62" s="28" t="str">
        <v>0.0300601202404809</v>
      </c>
    </row>
    <row r="63" spans="1:30" x14ac:dyDescent="0.25">
      <c r="C63" s="4" t="s">
        <v>15</v>
      </c>
      <c r="D63" s="1"/>
      <c r="I63" s="7">
        <f t="shared" ref="I63" si="142">(I62-H62)*10000</f>
        <v>260.87748947874354</v>
      </c>
      <c r="J63" s="7">
        <f t="shared" ref="J63" si="143">(J62-I62)*10000</f>
        <v>-25.405890370779893</v>
      </c>
      <c r="K63" s="7">
        <f t="shared" ref="K63" si="144">(K62-J62)*10000</f>
        <v>-253.52357607777654</v>
      </c>
      <c r="L63" s="7">
        <f>(L62-K62)*10000</f>
        <v>-390.38168939531937</v>
      </c>
      <c r="M63" s="7">
        <f>(M62-L62)*10000</f>
        <v>397.42348289115159</v>
      </c>
      <c r="N63" s="7">
        <f>(N62-M62)*10000</f>
        <v>52.38477411737108</v>
      </c>
      <c r="O63" s="7">
        <f>(O62-N62)*10000</f>
        <v>12.392873891415856</v>
      </c>
      <c r="P63" s="7">
        <f t="shared" ref="P63" si="145">(P62-O62)*10000</f>
        <v>-54.668864367208855</v>
      </c>
      <c r="Q63" s="7">
        <f t="shared" ref="Q63" si="146">(Q62-P62)*10000</f>
        <v>3.3178683501722261</v>
      </c>
      <c r="R63" s="7">
        <f t="shared" ref="R63" si="147">(R62-Q62)*10000</f>
        <v>14.571714399149727</v>
      </c>
      <c r="S63" s="7">
        <f t="shared" ref="S63" si="148">(S62-R62)*10000</f>
        <v>-25.354747524022336</v>
      </c>
      <c r="U63" s="24" t="str">
        <v>WMB US EQUITY</v>
      </c>
      <c r="V63" s="24">
        <v>45838</v>
      </c>
      <c r="W63" s="24" t="str">
        <v>custom</v>
      </c>
      <c r="X63" s="24" t="str">
        <v>northeast_G&amp;P_EBITDA</v>
      </c>
      <c r="Y63" s="24" t="str">
        <v>actual</v>
      </c>
      <c r="Z63" s="28" t="str">
        <v>501</v>
      </c>
      <c r="AA63" s="28" t="str">
        <v>0.0459290187891441</v>
      </c>
      <c r="AB63" s="28" t="str">
        <v>260.877489478744</v>
      </c>
      <c r="AC63" s="28" t="str">
        <v/>
      </c>
      <c r="AD63" s="28" t="str">
        <v>-0.0252918287937743</v>
      </c>
    </row>
    <row r="64" spans="1:30" x14ac:dyDescent="0.25">
      <c r="C64" s="4" t="s">
        <v>19</v>
      </c>
      <c r="D64" s="1"/>
      <c r="E64" s="7"/>
      <c r="F64" s="7"/>
      <c r="G64" s="7"/>
      <c r="H64" s="6"/>
      <c r="I64" s="6"/>
      <c r="J64" s="6"/>
      <c r="K64" s="6"/>
      <c r="L64" s="7">
        <f>(L62-H62)*10000</f>
        <v>-408.43366636513224</v>
      </c>
      <c r="M64" s="7">
        <f>(M62-I62)*10000</f>
        <v>-271.88767295272419</v>
      </c>
      <c r="N64" s="7">
        <f>(N62-J62)*10000</f>
        <v>-194.09700846457324</v>
      </c>
      <c r="O64" s="7">
        <f>(O62-K62)*10000</f>
        <v>71.819441504619164</v>
      </c>
      <c r="P64" s="7">
        <f t="shared" ref="P64" si="149">(P62-L62)*10000</f>
        <v>407.53226653272969</v>
      </c>
      <c r="Q64" s="7">
        <f t="shared" ref="Q64" si="150">(Q62-M62)*10000</f>
        <v>13.426651991750305</v>
      </c>
      <c r="R64" s="7">
        <f t="shared" ref="R64" si="151">(R62-N62)*10000</f>
        <v>-24.386407726471049</v>
      </c>
      <c r="S64" s="7">
        <f t="shared" ref="S64" si="152">(S62-O62)*10000</f>
        <v>-62.134029141909238</v>
      </c>
      <c r="U64" s="24" t="str">
        <v>WMB US EQUITY</v>
      </c>
      <c r="V64" s="24">
        <v>45930</v>
      </c>
      <c r="W64" s="24" t="str">
        <v>custom</v>
      </c>
      <c r="X64" s="24" t="str">
        <v>northeast_G&amp;P_EBITDA</v>
      </c>
      <c r="Y64" s="24" t="str">
        <v>actual</v>
      </c>
      <c r="Z64" s="28" t="str">
        <v>505</v>
      </c>
      <c r="AA64" s="28" t="str">
        <v>0.0433884297520661</v>
      </c>
      <c r="AB64" s="28" t="str">
        <v>-25.4058903707799</v>
      </c>
      <c r="AC64" s="28" t="str">
        <v/>
      </c>
      <c r="AD64" s="28" t="str">
        <v>0.00798403193612773</v>
      </c>
    </row>
    <row r="65" spans="1:30" x14ac:dyDescent="0.25">
      <c r="C65" s="4" t="s">
        <v>5</v>
      </c>
      <c r="D65" s="1"/>
      <c r="E65" s="12">
        <f t="shared" ref="E65" si="153">E61/D61-1</f>
        <v>-4.9603174603174649E-2</v>
      </c>
      <c r="F65" s="12">
        <f t="shared" ref="F65" si="154">F61/E61-1</f>
        <v>1.0438413361169019E-2</v>
      </c>
      <c r="G65" s="12">
        <f t="shared" ref="G65" si="155">G61/F61-1</f>
        <v>3.0991735537190035E-2</v>
      </c>
      <c r="H65" s="12">
        <f t="shared" ref="H65" si="156">H61/G61-1</f>
        <v>3.0060120240480881E-2</v>
      </c>
      <c r="I65" s="12">
        <f t="shared" ref="I65" si="157">I61/H61-1</f>
        <v>-2.529182879377434E-2</v>
      </c>
      <c r="J65" s="12">
        <f t="shared" ref="J65" si="158">J61/I61-1</f>
        <v>7.9840319361277334E-3</v>
      </c>
      <c r="K65" s="12">
        <f t="shared" ref="K65" si="159">K61/J61-1</f>
        <v>5.9405940594059459E-3</v>
      </c>
      <c r="L65" s="12">
        <f t="shared" ref="L65" si="160">L61/K61-1</f>
        <v>-9.4391294345573806E-3</v>
      </c>
      <c r="M65" s="12">
        <f t="shared" ref="M65" si="161">M61/L61-1</f>
        <v>1.4276378138557089E-2</v>
      </c>
      <c r="N65" s="12">
        <f t="shared" ref="N65" si="162">N61/M61-1</f>
        <v>1.3167199652281303E-2</v>
      </c>
      <c r="O65" s="12">
        <f t="shared" ref="O65" si="163">O61/N61-1</f>
        <v>7.1580504940484957E-3</v>
      </c>
      <c r="P65" s="12">
        <f t="shared" ref="P65" si="164">P61/O61-1</f>
        <v>-1.4721209637958421E-2</v>
      </c>
      <c r="Q65" s="12">
        <f t="shared" ref="Q65" si="165">Q61/P61-1</f>
        <v>1.4606383705093817E-2</v>
      </c>
      <c r="R65" s="12">
        <f t="shared" ref="R65" si="166">R61/Q61-1</f>
        <v>1.4614492105700538E-2</v>
      </c>
      <c r="S65" s="12">
        <f t="shared" ref="S65" si="167">S61/R61-1</f>
        <v>4.6582721315826525E-3</v>
      </c>
      <c r="U65" s="24" t="str">
        <v>WMB US EQUITY</v>
      </c>
      <c r="V65" s="24">
        <v>46022</v>
      </c>
      <c r="W65" s="24" t="str">
        <v>custom</v>
      </c>
      <c r="X65" s="24" t="str">
        <v>northeast_G&amp;P_EBITDA</v>
      </c>
      <c r="Y65" s="24" t="str">
        <v>actual</v>
      </c>
      <c r="Z65" s="28" t="str">
        <v>508</v>
      </c>
      <c r="AA65" s="28" t="str">
        <v>0.0180360721442885</v>
      </c>
      <c r="AB65" s="28" t="str">
        <v>-253.523576077777</v>
      </c>
      <c r="AC65" s="28" t="str">
        <v/>
      </c>
      <c r="AD65" s="28" t="str">
        <v>0.00594059405940595</v>
      </c>
    </row>
    <row r="66" spans="1:30" x14ac:dyDescent="0.25">
      <c r="C66" s="4"/>
      <c r="D66" s="1"/>
      <c r="K66" s="7"/>
      <c r="L66" s="7"/>
      <c r="M66" s="7"/>
      <c r="N66" s="7"/>
      <c r="O66" s="7"/>
      <c r="P66" s="7"/>
      <c r="Q66" s="7"/>
      <c r="R66" s="7"/>
      <c r="S66" s="7"/>
      <c r="U66" s="24" t="str">
        <v>WMB US EQUITY</v>
      </c>
      <c r="V66" s="24">
        <v>46112</v>
      </c>
      <c r="W66" s="24" t="str">
        <v>custom</v>
      </c>
      <c r="X66" s="24" t="str">
        <v>northeast_G&amp;P_EBITDA</v>
      </c>
      <c r="Y66" s="24" t="str">
        <v>forecast</v>
      </c>
      <c r="Z66" s="28" t="str">
        <v>503.204922247245</v>
      </c>
      <c r="AA66" s="28" t="str">
        <v>-0.0210020967952435</v>
      </c>
      <c r="AB66" s="28" t="str">
        <v>-390.381689395319</v>
      </c>
      <c r="AC66" s="28" t="str">
        <v>-408.433666365132</v>
      </c>
      <c r="AD66" s="28" t="str">
        <v>-0.00943912943455738</v>
      </c>
    </row>
    <row r="67" spans="1:30" x14ac:dyDescent="0.25">
      <c r="C67" s="13" t="s">
        <v>10</v>
      </c>
      <c r="D67" s="14">
        <f t="shared" ref="D67:K67" si="168">EOMONTH(DATE(YEAR(D69),ROUNDUP(MONTH(D69)/3,0)*3,1),0)</f>
        <v>45382</v>
      </c>
      <c r="E67" s="14">
        <f t="shared" si="168"/>
        <v>45473</v>
      </c>
      <c r="F67" s="14">
        <f t="shared" si="168"/>
        <v>45565</v>
      </c>
      <c r="G67" s="14">
        <f t="shared" si="168"/>
        <v>45657</v>
      </c>
      <c r="H67" s="14">
        <f t="shared" si="168"/>
        <v>45747</v>
      </c>
      <c r="I67" s="14">
        <f t="shared" si="168"/>
        <v>45838</v>
      </c>
      <c r="J67" s="14">
        <f t="shared" si="168"/>
        <v>45930</v>
      </c>
      <c r="K67" s="14">
        <f t="shared" si="168"/>
        <v>46022</v>
      </c>
      <c r="L67" s="14"/>
      <c r="M67" s="14"/>
      <c r="N67" s="14"/>
      <c r="O67" s="14"/>
      <c r="P67" s="14"/>
      <c r="Q67" s="14"/>
      <c r="R67" s="14"/>
      <c r="S67" s="14"/>
      <c r="U67" s="24" t="str">
        <v>WMB US EQUITY</v>
      </c>
      <c r="V67" s="24">
        <v>46203</v>
      </c>
      <c r="W67" s="24" t="str">
        <v>custom</v>
      </c>
      <c r="X67" s="24" t="str">
        <v>northeast_G&amp;P_EBITDA</v>
      </c>
      <c r="Y67" s="24" t="str">
        <v>forecast</v>
      </c>
      <c r="Z67" s="28" t="str">
        <v>510.38886599843</v>
      </c>
      <c r="AA67" s="28" t="str">
        <v>0.0187402514938717</v>
      </c>
      <c r="AB67" s="28" t="str">
        <v>397.423482891152</v>
      </c>
      <c r="AC67" s="28" t="str">
        <v>-271.887672952724</v>
      </c>
      <c r="AD67" s="28" t="str">
        <v>0.0142763781385571</v>
      </c>
    </row>
    <row r="68" spans="1:30" x14ac:dyDescent="0.25">
      <c r="C68" s="13" t="s">
        <v>22</v>
      </c>
      <c r="D68" s="2" t="str">
        <f t="shared" ref="D68:K68" si="169">+D$6</f>
        <v>actual</v>
      </c>
      <c r="E68" s="2" t="str">
        <f t="shared" si="169"/>
        <v>actual</v>
      </c>
      <c r="F68" s="2" t="str">
        <f t="shared" si="169"/>
        <v>actual</v>
      </c>
      <c r="G68" s="2" t="str">
        <f t="shared" si="169"/>
        <v>actual</v>
      </c>
      <c r="H68" s="2" t="str">
        <f t="shared" si="169"/>
        <v>actual</v>
      </c>
      <c r="I68" s="2" t="str">
        <f t="shared" si="169"/>
        <v>actual</v>
      </c>
      <c r="J68" s="2" t="str">
        <f t="shared" si="169"/>
        <v>actual</v>
      </c>
      <c r="K68" s="2" t="str">
        <f t="shared" si="169"/>
        <v>actual</v>
      </c>
      <c r="L68" s="2"/>
      <c r="M68" s="2"/>
      <c r="N68" s="2"/>
      <c r="O68" s="2"/>
      <c r="P68" s="2"/>
      <c r="Q68" s="2"/>
      <c r="R68" s="2"/>
      <c r="S68" s="2"/>
      <c r="U68" s="24" t="str">
        <v>WMB US EQUITY</v>
      </c>
      <c r="V68" s="24">
        <v>46295</v>
      </c>
      <c r="W68" s="24" t="str">
        <v>custom</v>
      </c>
      <c r="X68" s="24" t="str">
        <v>northeast_G&amp;P_EBITDA</v>
      </c>
      <c r="Y68" s="24" t="str">
        <v>forecast</v>
      </c>
      <c r="Z68" s="28" t="str">
        <v>517.109258097332</v>
      </c>
      <c r="AA68" s="28" t="str">
        <v>0.0239787289056088</v>
      </c>
      <c r="AB68" s="28" t="str">
        <v>52.3847741173711</v>
      </c>
      <c r="AC68" s="28" t="str">
        <v>-194.097008464573</v>
      </c>
      <c r="AD68" s="28" t="str">
        <v>0.0131671996522813</v>
      </c>
    </row>
    <row r="69" spans="1:30" x14ac:dyDescent="0.25">
      <c r="D69" s="2">
        <f t="shared" ref="D69:K69" si="170">+D$7</f>
        <v>45382</v>
      </c>
      <c r="E69" s="2">
        <f t="shared" si="170"/>
        <v>45473</v>
      </c>
      <c r="F69" s="2">
        <f t="shared" si="170"/>
        <v>45565</v>
      </c>
      <c r="G69" s="2">
        <f t="shared" si="170"/>
        <v>45657</v>
      </c>
      <c r="H69" s="2">
        <f t="shared" si="170"/>
        <v>45747</v>
      </c>
      <c r="I69" s="2">
        <f t="shared" si="170"/>
        <v>45838</v>
      </c>
      <c r="J69" s="2">
        <f t="shared" si="170"/>
        <v>45930</v>
      </c>
      <c r="K69" s="2">
        <f t="shared" si="170"/>
        <v>46022</v>
      </c>
      <c r="L69" s="2"/>
      <c r="M69" s="2"/>
      <c r="N69" s="2"/>
      <c r="O69" s="2"/>
      <c r="P69" s="2"/>
      <c r="Q69" s="2"/>
      <c r="R69" s="2"/>
      <c r="S69" s="2"/>
      <c r="U69" s="24" t="str">
        <v>WMB US EQUITY</v>
      </c>
      <c r="V69" s="24">
        <v>46387</v>
      </c>
      <c r="W69" s="24" t="str">
        <v>custom</v>
      </c>
      <c r="X69" s="24" t="str">
        <v>northeast_G&amp;P_EBITDA</v>
      </c>
      <c r="Y69" s="24" t="str">
        <v>forecast</v>
      </c>
      <c r="Z69" s="28" t="str">
        <v>520.810752277733</v>
      </c>
      <c r="AA69" s="28" t="str">
        <v>0.0252180162947504</v>
      </c>
      <c r="AB69" s="28" t="str">
        <v>12.3928738914159</v>
      </c>
      <c r="AC69" s="28" t="str">
        <v>71.8194415046192</v>
      </c>
      <c r="AD69" s="28" t="str">
        <v>0.0071580504940485</v>
      </c>
    </row>
    <row r="70" spans="1:30" x14ac:dyDescent="0.25">
      <c r="A70" s="16" t="s">
        <v>17</v>
      </c>
      <c r="B70" s="16" t="s">
        <v>52</v>
      </c>
      <c r="C70" s="2" t="s">
        <v>54</v>
      </c>
      <c r="D70" s="31">
        <f>SUM(D76:D77)</f>
        <v>6.09</v>
      </c>
      <c r="E70" s="31">
        <f t="shared" ref="E70:K70" si="171">SUM(E76:E77)</f>
        <v>5.8800000000000008</v>
      </c>
      <c r="F70" s="31">
        <f t="shared" si="171"/>
        <v>6.03</v>
      </c>
      <c r="G70" s="31">
        <f t="shared" si="171"/>
        <v>6.09</v>
      </c>
      <c r="H70" s="31">
        <f t="shared" si="171"/>
        <v>6.25</v>
      </c>
      <c r="I70" s="31">
        <f t="shared" si="171"/>
        <v>6.04</v>
      </c>
      <c r="J70" s="31">
        <f t="shared" si="171"/>
        <v>6</v>
      </c>
      <c r="K70" s="31">
        <f t="shared" si="171"/>
        <v>5.92</v>
      </c>
      <c r="L70" s="10"/>
      <c r="M70" s="10"/>
      <c r="N70" s="10"/>
      <c r="O70" s="10"/>
      <c r="P70" s="10"/>
      <c r="Q70" s="10"/>
      <c r="R70" s="10"/>
      <c r="S70" s="10"/>
      <c r="U70" s="24" t="str">
        <v>WMB US EQUITY</v>
      </c>
      <c r="V70" s="24">
        <v>46477</v>
      </c>
      <c r="W70" s="24" t="str">
        <v>custom</v>
      </c>
      <c r="X70" s="24" t="str">
        <v>northeast_G&amp;P_EBITDA</v>
      </c>
      <c r="Y70" s="24" t="str">
        <v>forecast</v>
      </c>
      <c r="Z70" s="28" t="str">
        <v>513.14378801175</v>
      </c>
      <c r="AA70" s="28" t="str">
        <v>0.0197511298580295</v>
      </c>
      <c r="AB70" s="28" t="str">
        <v>-54.6688643672089</v>
      </c>
      <c r="AC70" s="28" t="str">
        <v>407.53226653273</v>
      </c>
      <c r="AD70" s="28" t="str">
        <v>-0.0147212096379584</v>
      </c>
    </row>
    <row r="71" spans="1:30" x14ac:dyDescent="0.25">
      <c r="C71" s="4" t="s">
        <v>4</v>
      </c>
      <c r="D71" s="5"/>
      <c r="E71" s="4"/>
      <c r="F71" s="4"/>
      <c r="G71" s="4"/>
      <c r="H71" s="12">
        <f t="shared" ref="H71" si="172">+H70/D70-1</f>
        <v>2.6272577996715896E-2</v>
      </c>
      <c r="I71" s="12">
        <f t="shared" ref="I71" si="173">+I70/E70-1</f>
        <v>2.7210884353741305E-2</v>
      </c>
      <c r="J71" s="12">
        <f t="shared" ref="J71" si="174">+J70/F70-1</f>
        <v>-4.9751243781095411E-3</v>
      </c>
      <c r="K71" s="12">
        <f t="shared" ref="K71" si="175">+K70/G70-1</f>
        <v>-2.7914614121510639E-2</v>
      </c>
      <c r="L71" s="12"/>
      <c r="M71" s="12"/>
      <c r="N71" s="12"/>
      <c r="O71" s="12"/>
      <c r="P71" s="12"/>
      <c r="Q71" s="12"/>
      <c r="R71" s="12"/>
      <c r="S71" s="12"/>
      <c r="U71" t="str">
        <v>WMB US EQUITY</v>
      </c>
      <c r="V71" s="24">
        <v>46568</v>
      </c>
      <c r="W71" s="24" t="str">
        <v>custom</v>
      </c>
      <c r="X71" s="24" t="str">
        <v>northeast_G&amp;P_EBITDA</v>
      </c>
      <c r="Y71" s="24" t="str">
        <v>forecast</v>
      </c>
      <c r="Z71" s="28" t="str">
        <v>520.638963075335</v>
      </c>
      <c r="AA71" s="28" t="str">
        <v>0.0200829166930467</v>
      </c>
      <c r="AB71" s="28" t="str">
        <v>3.31786835017223</v>
      </c>
      <c r="AC71" s="28" t="str">
        <v>13.4266519917503</v>
      </c>
      <c r="AD71" s="28" t="str">
        <v>0.0146063837050938</v>
      </c>
    </row>
    <row r="72" spans="1:30" x14ac:dyDescent="0.25">
      <c r="C72" s="4" t="s">
        <v>15</v>
      </c>
      <c r="D72" s="1"/>
      <c r="I72" s="7">
        <f t="shared" ref="I72" si="176">(I71-H71)*10000</f>
        <v>9.383063570254091</v>
      </c>
      <c r="J72" s="7">
        <f t="shared" ref="J72" si="177">(J71-I71)*10000</f>
        <v>-321.86008731850848</v>
      </c>
      <c r="K72" s="7">
        <f t="shared" ref="K72" si="178">(K71-J71)*10000</f>
        <v>-229.39489743401097</v>
      </c>
      <c r="L72" s="7"/>
      <c r="M72" s="7"/>
      <c r="N72" s="7"/>
      <c r="O72" s="7"/>
      <c r="P72" s="7"/>
      <c r="Q72" s="7"/>
      <c r="R72" s="7"/>
      <c r="S72" s="7"/>
      <c r="U72" t="str">
        <v>WMB US EQUITY</v>
      </c>
      <c r="V72" s="24">
        <v>46660</v>
      </c>
      <c r="W72" s="24" t="str">
        <v>custom</v>
      </c>
      <c r="X72" s="24" t="str">
        <v>northeast_G&amp;P_EBITDA</v>
      </c>
      <c r="Y72" s="24" t="str">
        <v>forecast</v>
      </c>
      <c r="Z72" s="28" t="str">
        <v>528.247837091119</v>
      </c>
      <c r="AA72" s="28" t="str">
        <v>0.0215400881329617</v>
      </c>
      <c r="AB72" s="28" t="str">
        <v>14.5717143991497</v>
      </c>
      <c r="AC72" s="28" t="str">
        <v>-24.386407726471</v>
      </c>
      <c r="AD72" s="28" t="str">
        <v>0.0146144921057005</v>
      </c>
    </row>
    <row r="73" spans="1:30" x14ac:dyDescent="0.25">
      <c r="C73" s="4" t="s">
        <v>19</v>
      </c>
      <c r="D73" s="1"/>
      <c r="E73" s="7"/>
      <c r="F73" s="7"/>
      <c r="G73" s="7"/>
      <c r="H73" s="6"/>
      <c r="I73" s="6"/>
      <c r="J73" s="6"/>
      <c r="K73" s="6"/>
      <c r="L73" s="7"/>
      <c r="M73" s="7"/>
      <c r="N73" s="7"/>
      <c r="O73" s="7"/>
      <c r="P73" s="7"/>
      <c r="Q73" s="7"/>
      <c r="R73" s="7"/>
      <c r="S73" s="7"/>
      <c r="U73" t="str">
        <v>WMB US EQUITY</v>
      </c>
      <c r="V73" s="24">
        <v>46752</v>
      </c>
      <c r="W73" s="24" t="str">
        <v>custom</v>
      </c>
      <c r="X73" s="24" t="str">
        <v>northeast_G&amp;P_EBITDA</v>
      </c>
      <c r="Y73" s="24" t="str">
        <v>forecast</v>
      </c>
      <c r="Z73" s="28" t="str">
        <v>530.70855926921</v>
      </c>
      <c r="AA73" s="28" t="str">
        <v>0.0190046133805595</v>
      </c>
      <c r="AB73" s="28" t="str">
        <v>-25.3547475240223</v>
      </c>
      <c r="AC73" s="28" t="str">
        <v>-62.1340291419092</v>
      </c>
      <c r="AD73" s="28" t="str">
        <v>0.00465827213158265</v>
      </c>
    </row>
    <row r="74" spans="1:30" x14ac:dyDescent="0.25">
      <c r="C74" s="4" t="s">
        <v>5</v>
      </c>
      <c r="D74" s="1"/>
      <c r="E74" s="12">
        <f t="shared" ref="E74" si="179">E70/D70-1</f>
        <v>-3.4482758620689502E-2</v>
      </c>
      <c r="F74" s="12">
        <f t="shared" ref="F74" si="180">F70/E70-1</f>
        <v>2.5510204081632626E-2</v>
      </c>
      <c r="G74" s="12">
        <f t="shared" ref="G74" si="181">G70/F70-1</f>
        <v>9.9502487562188602E-3</v>
      </c>
      <c r="H74" s="12">
        <f t="shared" ref="H74" si="182">H70/G70-1</f>
        <v>2.6272577996715896E-2</v>
      </c>
      <c r="I74" s="12">
        <f t="shared" ref="I74" si="183">I70/H70-1</f>
        <v>-3.3599999999999963E-2</v>
      </c>
      <c r="J74" s="12">
        <f t="shared" ref="J74" si="184">J70/I70-1</f>
        <v>-6.6225165562914245E-3</v>
      </c>
      <c r="K74" s="12">
        <f t="shared" ref="K74" si="185">K70/J70-1</f>
        <v>-1.3333333333333308E-2</v>
      </c>
      <c r="L74" s="12"/>
      <c r="M74" s="12"/>
      <c r="N74" s="12"/>
      <c r="O74" s="12"/>
      <c r="P74" s="12"/>
      <c r="Q74" s="12"/>
      <c r="R74" s="12"/>
      <c r="S74" s="12"/>
      <c r="U74" s="24" t="str" cm="1">
        <f t="array" ref="U74:AD85">_xlfn.LET(
  _xlpm.d, H67:S67,
  _xlpm.s, H68:S68,
  _xlpm.v, H70:S70,
  _xlpm.yy, H71:S71,
  _xlpm.qq, H72:S72,
  _xlpm.dyy, H73:S73,
  _xlpm.dqq, H74:S74,
  _xlpm.dd, TRANSPOSE(_xlpm.d),
  _xlpm.clean, _xlfn.LAMBDA(_xlpm.x, IF(_xlpm.x="","",_xlpm.x)),
_xlfn.HSTACK(
  _xlfn.MAKEARRAY(ROWS(_xlpm.dd),1, _xlfn.LAMBDA(_xlpm.r,_xlpm.c,$B$2)),
  _xlpm.dd,
  _xlfn.MAKEARRAY(ROWS(_xlpm.dd),1, _xlfn.LAMBDA(_xlpm.r,_xlpm.c,A70)),
  _xlfn.MAKEARRAY(ROWS(_xlpm.dd),1, _xlfn.LAMBDA(_xlpm.r,_xlpm.c,B70)),
  CLEAN(TRANSPOSE(_xlpm.s)),
  CLEAN(TRANSPOSE(_xlpm.v)),
  CLEAN(TRANSPOSE(_xlpm.yy)),
  CLEAN(TRANSPOSE(_xlpm.qq)),
  CLEAN(TRANSPOSE(_xlpm.dyy)),
  CLEAN(TRANSPOSE(_xlpm.dqq))
))</f>
        <v>WMB US EQUITY</v>
      </c>
      <c r="V74" s="24">
        <v>45747</v>
      </c>
      <c r="W74" s="24" t="str">
        <v>custom</v>
      </c>
      <c r="X74" s="24" t="str">
        <v>northeast_gathering_processing_volume_bcfd</v>
      </c>
      <c r="Y74" s="24" t="str">
        <v>actual</v>
      </c>
      <c r="Z74" s="28" t="str">
        <v>6.25</v>
      </c>
      <c r="AA74" s="28" t="str">
        <v>0.0262725779967159</v>
      </c>
      <c r="AB74" s="28" t="str">
        <v/>
      </c>
      <c r="AC74" s="28" t="str">
        <v/>
      </c>
      <c r="AD74" s="28" t="str">
        <v>0.0262725779967159</v>
      </c>
    </row>
    <row r="75" spans="1:30" x14ac:dyDescent="0.25">
      <c r="C75" s="4"/>
      <c r="D75" s="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U75" s="24" t="str">
        <v>WMB US EQUITY</v>
      </c>
      <c r="V75" s="24">
        <v>45838</v>
      </c>
      <c r="W75" s="24" t="str">
        <v>custom</v>
      </c>
      <c r="X75" s="24" t="str">
        <v>northeast_gathering_processing_volume_bcfd</v>
      </c>
      <c r="Y75" s="24" t="str">
        <v>actual</v>
      </c>
      <c r="Z75" s="28" t="str">
        <v>6.04</v>
      </c>
      <c r="AA75" s="28" t="str">
        <v>0.0272108843537413</v>
      </c>
      <c r="AB75" s="28" t="str">
        <v>9.38306357025409</v>
      </c>
      <c r="AC75" s="28" t="str">
        <v/>
      </c>
      <c r="AD75" s="28" t="str">
        <v>-0.0336</v>
      </c>
    </row>
    <row r="76" spans="1:30" x14ac:dyDescent="0.25">
      <c r="C76" s="25" t="s">
        <v>48</v>
      </c>
      <c r="D76" s="31">
        <v>4.33</v>
      </c>
      <c r="E76" s="31">
        <v>4.1100000000000003</v>
      </c>
      <c r="F76" s="31">
        <v>4.04</v>
      </c>
      <c r="G76" s="31">
        <v>4.16</v>
      </c>
      <c r="H76" s="31">
        <v>4.3899999999999997</v>
      </c>
      <c r="I76" s="31">
        <v>4.1500000000000004</v>
      </c>
      <c r="J76" s="31">
        <v>4.0999999999999996</v>
      </c>
      <c r="K76" s="31">
        <v>4.0199999999999996</v>
      </c>
      <c r="L76" s="12"/>
      <c r="M76" s="12"/>
      <c r="N76" s="12"/>
      <c r="O76" s="12"/>
      <c r="P76" s="12"/>
      <c r="Q76" s="12"/>
      <c r="R76" s="12"/>
      <c r="S76" s="12"/>
      <c r="U76" s="24" t="str">
        <v>WMB US EQUITY</v>
      </c>
      <c r="V76" s="24">
        <v>45930</v>
      </c>
      <c r="W76" s="24" t="str">
        <v>custom</v>
      </c>
      <c r="X76" s="24" t="str">
        <v>northeast_gathering_processing_volume_bcfd</v>
      </c>
      <c r="Y76" s="24" t="str">
        <v>actual</v>
      </c>
      <c r="Z76" s="28" t="str">
        <v>6</v>
      </c>
      <c r="AA76" s="28" t="str">
        <v>-0.00497512437810954</v>
      </c>
      <c r="AB76" s="28" t="str">
        <v>-321.860087318508</v>
      </c>
      <c r="AC76" s="28" t="str">
        <v/>
      </c>
      <c r="AD76" s="28" t="str">
        <v>-0.00662251655629142</v>
      </c>
    </row>
    <row r="77" spans="1:30" x14ac:dyDescent="0.25">
      <c r="C77" s="25" t="s">
        <v>49</v>
      </c>
      <c r="D77" s="31">
        <v>1.76</v>
      </c>
      <c r="E77" s="31">
        <v>1.77</v>
      </c>
      <c r="F77" s="31">
        <v>1.99</v>
      </c>
      <c r="G77" s="31">
        <v>1.93</v>
      </c>
      <c r="H77" s="31">
        <v>1.86</v>
      </c>
      <c r="I77" s="31">
        <v>1.89</v>
      </c>
      <c r="J77" s="31">
        <v>1.9</v>
      </c>
      <c r="K77" s="31">
        <v>1.9</v>
      </c>
      <c r="L77" s="12"/>
      <c r="M77" s="12"/>
      <c r="N77" s="12"/>
      <c r="O77" s="12"/>
      <c r="P77" s="12"/>
      <c r="Q77" s="12"/>
      <c r="R77" s="12"/>
      <c r="S77" s="12"/>
      <c r="U77" s="24" t="str">
        <v>WMB US EQUITY</v>
      </c>
      <c r="V77" s="24">
        <v>46022</v>
      </c>
      <c r="W77" s="24" t="str">
        <v>custom</v>
      </c>
      <c r="X77" s="24" t="str">
        <v>northeast_gathering_processing_volume_bcfd</v>
      </c>
      <c r="Y77" s="24" t="str">
        <v>actual</v>
      </c>
      <c r="Z77" s="28" t="str">
        <v>5.92</v>
      </c>
      <c r="AA77" s="28" t="str">
        <v>-0.0279146141215106</v>
      </c>
      <c r="AB77" s="28" t="str">
        <v>-229.394897434011</v>
      </c>
      <c r="AC77" s="28" t="str">
        <v/>
      </c>
      <c r="AD77" s="28" t="str">
        <v>-0.0133333333333333</v>
      </c>
    </row>
    <row r="78" spans="1:30" x14ac:dyDescent="0.25">
      <c r="C78" s="4"/>
      <c r="D78" s="1"/>
      <c r="L78" s="7"/>
      <c r="M78" s="7"/>
      <c r="N78" s="7"/>
      <c r="O78" s="7"/>
      <c r="P78" s="7"/>
      <c r="Q78" s="7"/>
      <c r="R78" s="7"/>
      <c r="U78" s="24" t="str">
        <v>WMB US EQUITY</v>
      </c>
      <c r="V78" s="24">
        <v>0</v>
      </c>
      <c r="W78" s="24" t="str">
        <v>custom</v>
      </c>
      <c r="X78" s="24" t="str">
        <v>northeast_gathering_processing_volume_bcfd</v>
      </c>
      <c r="Y78" s="24" t="str">
        <v/>
      </c>
      <c r="Z78" s="28" t="str">
        <v/>
      </c>
      <c r="AA78" s="28" t="str">
        <v/>
      </c>
      <c r="AB78" s="28" t="str">
        <v/>
      </c>
      <c r="AC78" s="28" t="str">
        <v/>
      </c>
      <c r="AD78" s="28" t="str">
        <v/>
      </c>
    </row>
    <row r="79" spans="1:30" x14ac:dyDescent="0.25">
      <c r="C79" s="13" t="s">
        <v>10</v>
      </c>
      <c r="D79" s="14">
        <f t="shared" ref="D79:L79" si="186">EOMONTH(DATE(YEAR(D81),ROUNDUP(MONTH(D81)/3,0)*3,1),0)</f>
        <v>45382</v>
      </c>
      <c r="E79" s="14">
        <f t="shared" si="186"/>
        <v>45473</v>
      </c>
      <c r="F79" s="14">
        <f t="shared" si="186"/>
        <v>45565</v>
      </c>
      <c r="G79" s="14">
        <f t="shared" si="186"/>
        <v>45657</v>
      </c>
      <c r="H79" s="14">
        <f t="shared" si="186"/>
        <v>45747</v>
      </c>
      <c r="I79" s="14">
        <f t="shared" si="186"/>
        <v>45838</v>
      </c>
      <c r="J79" s="14">
        <f t="shared" si="186"/>
        <v>45930</v>
      </c>
      <c r="K79" s="14">
        <f t="shared" si="186"/>
        <v>46022</v>
      </c>
      <c r="L79" s="14">
        <f t="shared" si="186"/>
        <v>46112</v>
      </c>
      <c r="M79" s="14">
        <f>EOMONTH(DATE(YEAR(M81),ROUNDUP(MONTH(M81)/3,0)*3,1),0)</f>
        <v>46203</v>
      </c>
      <c r="N79" s="14">
        <f>EOMONTH(DATE(YEAR(N81),ROUNDUP(MONTH(N81)/3,0)*3,1),0)</f>
        <v>46295</v>
      </c>
      <c r="O79" s="14">
        <f>EOMONTH(DATE(YEAR(O81),ROUNDUP(MONTH(O81)/3,0)*3,1),0)</f>
        <v>46387</v>
      </c>
      <c r="P79" s="14">
        <f t="shared" ref="P79:S79" si="187">EOMONTH(DATE(YEAR(P81),ROUNDUP(MONTH(P81)/3,0)*3,1),0)</f>
        <v>46477</v>
      </c>
      <c r="Q79" s="14">
        <f t="shared" si="187"/>
        <v>46568</v>
      </c>
      <c r="R79" s="14">
        <f t="shared" si="187"/>
        <v>46660</v>
      </c>
      <c r="S79" s="14">
        <f t="shared" si="187"/>
        <v>46752</v>
      </c>
      <c r="U79" s="24" t="str">
        <v>WMB US EQUITY</v>
      </c>
      <c r="V79" s="24">
        <v>0</v>
      </c>
      <c r="W79" s="24" t="str">
        <v>custom</v>
      </c>
      <c r="X79" s="24" t="str">
        <v>northeast_gathering_processing_volume_bcfd</v>
      </c>
      <c r="Y79" s="24" t="str">
        <v/>
      </c>
      <c r="Z79" s="28" t="str">
        <v/>
      </c>
      <c r="AA79" s="28" t="str">
        <v/>
      </c>
      <c r="AB79" s="28" t="str">
        <v/>
      </c>
      <c r="AC79" s="28" t="str">
        <v/>
      </c>
      <c r="AD79" s="28" t="str">
        <v/>
      </c>
    </row>
    <row r="80" spans="1:30" x14ac:dyDescent="0.25">
      <c r="C80" s="13" t="s">
        <v>22</v>
      </c>
      <c r="D80" s="2" t="str">
        <f t="shared" ref="D80:S80" si="188">+D$6</f>
        <v>actual</v>
      </c>
      <c r="E80" s="2" t="str">
        <f t="shared" si="188"/>
        <v>actual</v>
      </c>
      <c r="F80" s="2" t="str">
        <f t="shared" si="188"/>
        <v>actual</v>
      </c>
      <c r="G80" s="2" t="str">
        <f t="shared" si="188"/>
        <v>actual</v>
      </c>
      <c r="H80" s="2" t="str">
        <f t="shared" si="188"/>
        <v>actual</v>
      </c>
      <c r="I80" s="2" t="str">
        <f t="shared" si="188"/>
        <v>actual</v>
      </c>
      <c r="J80" s="2" t="str">
        <f t="shared" si="188"/>
        <v>actual</v>
      </c>
      <c r="K80" s="2" t="str">
        <f t="shared" si="188"/>
        <v>actual</v>
      </c>
      <c r="L80" s="2" t="str">
        <f t="shared" si="188"/>
        <v>forecast</v>
      </c>
      <c r="M80" s="2" t="str">
        <f t="shared" si="188"/>
        <v>forecast</v>
      </c>
      <c r="N80" s="2" t="str">
        <f t="shared" si="188"/>
        <v>forecast</v>
      </c>
      <c r="O80" s="2" t="str">
        <f t="shared" si="188"/>
        <v>forecast</v>
      </c>
      <c r="P80" s="2" t="str">
        <f t="shared" si="188"/>
        <v>forecast</v>
      </c>
      <c r="Q80" s="2" t="str">
        <f t="shared" si="188"/>
        <v>forecast</v>
      </c>
      <c r="R80" s="2" t="str">
        <f t="shared" si="188"/>
        <v>forecast</v>
      </c>
      <c r="S80" s="2" t="str">
        <f t="shared" si="188"/>
        <v>forecast</v>
      </c>
      <c r="U80" s="24" t="str">
        <v>WMB US EQUITY</v>
      </c>
      <c r="V80" s="24">
        <v>0</v>
      </c>
      <c r="W80" s="24" t="str">
        <v>custom</v>
      </c>
      <c r="X80" s="24" t="str">
        <v>northeast_gathering_processing_volume_bcfd</v>
      </c>
      <c r="Y80" s="24" t="str">
        <v/>
      </c>
      <c r="Z80" s="28" t="str">
        <v/>
      </c>
      <c r="AA80" s="28" t="str">
        <v/>
      </c>
      <c r="AB80" s="28" t="str">
        <v/>
      </c>
      <c r="AC80" s="28" t="str">
        <v/>
      </c>
      <c r="AD80" s="28" t="str">
        <v/>
      </c>
    </row>
    <row r="81" spans="1:30" x14ac:dyDescent="0.25">
      <c r="D81" s="2">
        <f t="shared" ref="D81:S81" si="189">+D$7</f>
        <v>45382</v>
      </c>
      <c r="E81" s="2">
        <f t="shared" si="189"/>
        <v>45473</v>
      </c>
      <c r="F81" s="2">
        <f t="shared" si="189"/>
        <v>45565</v>
      </c>
      <c r="G81" s="2">
        <f t="shared" si="189"/>
        <v>45657</v>
      </c>
      <c r="H81" s="2">
        <f t="shared" si="189"/>
        <v>45747</v>
      </c>
      <c r="I81" s="2">
        <f t="shared" si="189"/>
        <v>45838</v>
      </c>
      <c r="J81" s="2">
        <f t="shared" si="189"/>
        <v>45930</v>
      </c>
      <c r="K81" s="2">
        <f t="shared" si="189"/>
        <v>46022</v>
      </c>
      <c r="L81" s="2">
        <f t="shared" si="189"/>
        <v>46112</v>
      </c>
      <c r="M81" s="2">
        <f t="shared" si="189"/>
        <v>46203</v>
      </c>
      <c r="N81" s="2">
        <f t="shared" si="189"/>
        <v>46295</v>
      </c>
      <c r="O81" s="2">
        <f t="shared" si="189"/>
        <v>46387</v>
      </c>
      <c r="P81" s="2">
        <f t="shared" si="189"/>
        <v>46477</v>
      </c>
      <c r="Q81" s="2">
        <f t="shared" si="189"/>
        <v>46568</v>
      </c>
      <c r="R81" s="2">
        <f t="shared" si="189"/>
        <v>46660</v>
      </c>
      <c r="S81" s="2">
        <f t="shared" si="189"/>
        <v>46752</v>
      </c>
      <c r="U81" s="24" t="str">
        <v>WMB US EQUITY</v>
      </c>
      <c r="V81" s="24">
        <v>0</v>
      </c>
      <c r="W81" s="24" t="str">
        <v>custom</v>
      </c>
      <c r="X81" s="24" t="str">
        <v>northeast_gathering_processing_volume_bcfd</v>
      </c>
      <c r="Y81" s="24" t="str">
        <v/>
      </c>
      <c r="Z81" s="28" t="str">
        <v/>
      </c>
      <c r="AA81" s="28" t="str">
        <v/>
      </c>
      <c r="AB81" s="28" t="str">
        <v/>
      </c>
      <c r="AC81" s="28" t="str">
        <v/>
      </c>
      <c r="AD81" s="28" t="str">
        <v/>
      </c>
    </row>
    <row r="82" spans="1:30" x14ac:dyDescent="0.25">
      <c r="A82" s="16" t="s">
        <v>17</v>
      </c>
      <c r="B82" s="16" t="s">
        <v>38</v>
      </c>
      <c r="C82" s="2" t="s">
        <v>40</v>
      </c>
      <c r="D82" s="10">
        <v>328</v>
      </c>
      <c r="E82" s="10">
        <v>318</v>
      </c>
      <c r="F82" s="10">
        <v>330</v>
      </c>
      <c r="G82" s="10">
        <v>345</v>
      </c>
      <c r="H82" s="10">
        <v>354</v>
      </c>
      <c r="I82" s="10">
        <v>341</v>
      </c>
      <c r="J82" s="10">
        <v>367</v>
      </c>
      <c r="K82" s="10">
        <v>388</v>
      </c>
      <c r="L82" s="10">
        <v>369.10202046340856</v>
      </c>
      <c r="M82" s="10">
        <v>370.86488456834616</v>
      </c>
      <c r="N82" s="10">
        <v>375.68496249801206</v>
      </c>
      <c r="O82" s="10">
        <v>375.52956699019956</v>
      </c>
      <c r="P82" s="10">
        <v>378.82314827572162</v>
      </c>
      <c r="Q82" s="10">
        <v>388.23197530337734</v>
      </c>
      <c r="R82" s="10">
        <v>398.30346459334066</v>
      </c>
      <c r="S82" s="10">
        <v>401.82595035257725</v>
      </c>
      <c r="U82" s="24" t="str">
        <v>WMB US EQUITY</v>
      </c>
      <c r="V82" s="24">
        <v>0</v>
      </c>
      <c r="W82" s="24" t="str">
        <v>custom</v>
      </c>
      <c r="X82" s="24" t="str">
        <v>northeast_gathering_processing_volume_bcfd</v>
      </c>
      <c r="Y82" s="24" t="str">
        <v/>
      </c>
      <c r="Z82" s="28" t="str">
        <v/>
      </c>
      <c r="AA82" s="28" t="str">
        <v/>
      </c>
      <c r="AB82" s="28" t="str">
        <v/>
      </c>
      <c r="AC82" s="28" t="str">
        <v/>
      </c>
      <c r="AD82" s="28" t="str">
        <v/>
      </c>
    </row>
    <row r="83" spans="1:30" x14ac:dyDescent="0.25">
      <c r="C83" s="4" t="s">
        <v>4</v>
      </c>
      <c r="D83" s="5"/>
      <c r="E83" s="4"/>
      <c r="F83" s="4"/>
      <c r="G83" s="4"/>
      <c r="H83" s="12">
        <f t="shared" ref="H83" si="190">+H82/D82-1</f>
        <v>7.92682926829269E-2</v>
      </c>
      <c r="I83" s="12">
        <f t="shared" ref="I83" si="191">+I82/E82-1</f>
        <v>7.2327044025157328E-2</v>
      </c>
      <c r="J83" s="12">
        <f t="shared" ref="J83" si="192">+J82/F82-1</f>
        <v>0.11212121212121207</v>
      </c>
      <c r="K83" s="12">
        <f t="shared" ref="K83" si="193">+K82/G82-1</f>
        <v>0.12463768115942031</v>
      </c>
      <c r="L83" s="12">
        <f t="shared" ref="L83" si="194">+L82/H82-1</f>
        <v>4.2661074755391493E-2</v>
      </c>
      <c r="M83" s="12">
        <f t="shared" ref="M83" si="195">+M82/I82-1</f>
        <v>8.7580306652041529E-2</v>
      </c>
      <c r="N83" s="12">
        <f t="shared" ref="N83" si="196">+N82/J82-1</f>
        <v>2.3664747950986609E-2</v>
      </c>
      <c r="O83" s="12">
        <f t="shared" ref="O83" si="197">+O82/K82-1</f>
        <v>-3.2140291262372278E-2</v>
      </c>
      <c r="P83" s="12">
        <f t="shared" ref="P83" si="198">+P82/L82-1</f>
        <v>2.633723814382849E-2</v>
      </c>
      <c r="Q83" s="12">
        <f t="shared" ref="Q83" si="199">+Q82/M82-1</f>
        <v>4.6828619957494544E-2</v>
      </c>
      <c r="R83" s="12">
        <f t="shared" ref="R83" si="200">+R82/N82-1</f>
        <v>6.0206035250740975E-2</v>
      </c>
      <c r="S83" s="12">
        <f t="shared" ref="S83" si="201">+S82/O82-1</f>
        <v>7.0024801437443163E-2</v>
      </c>
      <c r="U83" s="24" t="str">
        <v>WMB US EQUITY</v>
      </c>
      <c r="V83" s="24">
        <v>0</v>
      </c>
      <c r="W83" s="24" t="str">
        <v>custom</v>
      </c>
      <c r="X83" s="24" t="str">
        <v>northeast_gathering_processing_volume_bcfd</v>
      </c>
      <c r="Y83" s="24" t="str">
        <v/>
      </c>
      <c r="Z83" s="28" t="str">
        <v/>
      </c>
      <c r="AA83" s="28" t="str">
        <v/>
      </c>
      <c r="AB83" s="28" t="str">
        <v/>
      </c>
      <c r="AC83" s="28" t="str">
        <v/>
      </c>
      <c r="AD83" s="28" t="str">
        <v/>
      </c>
    </row>
    <row r="84" spans="1:30" x14ac:dyDescent="0.25">
      <c r="C84" s="4" t="s">
        <v>15</v>
      </c>
      <c r="D84" s="1"/>
      <c r="I84" s="7">
        <f t="shared" ref="I84" si="202">(I83-H83)*10000</f>
        <v>-69.412486577695717</v>
      </c>
      <c r="J84" s="7">
        <f t="shared" ref="J84" si="203">(J83-I83)*10000</f>
        <v>397.94168096054739</v>
      </c>
      <c r="K84" s="7">
        <f t="shared" ref="K84" si="204">(K83-J83)*10000</f>
        <v>125.16469038208244</v>
      </c>
      <c r="L84" s="7">
        <f>(L83-K83)*10000</f>
        <v>-819.76606404028814</v>
      </c>
      <c r="M84" s="7">
        <f>(M83-L83)*10000</f>
        <v>449.19231896650035</v>
      </c>
      <c r="N84" s="7">
        <f>(N83-M83)*10000</f>
        <v>-639.1555870105492</v>
      </c>
      <c r="O84" s="7">
        <f>(O83-N83)*10000</f>
        <v>-558.05039213358884</v>
      </c>
      <c r="P84" s="7">
        <f t="shared" ref="P84" si="205">(P83-O83)*10000</f>
        <v>584.77529406200767</v>
      </c>
      <c r="Q84" s="7">
        <f t="shared" ref="Q84" si="206">(Q83-P83)*10000</f>
        <v>204.91381813666055</v>
      </c>
      <c r="R84" s="7">
        <f t="shared" ref="R84" si="207">(R83-Q83)*10000</f>
        <v>133.77415293246432</v>
      </c>
      <c r="S84" s="7">
        <f t="shared" ref="S84" si="208">(S83-R83)*10000</f>
        <v>98.187661867021887</v>
      </c>
      <c r="U84" s="24" t="str">
        <v>WMB US EQUITY</v>
      </c>
      <c r="V84" s="24">
        <v>0</v>
      </c>
      <c r="W84" s="24" t="str">
        <v>custom</v>
      </c>
      <c r="X84" s="24" t="str">
        <v>northeast_gathering_processing_volume_bcfd</v>
      </c>
      <c r="Y84" s="24" t="str">
        <v/>
      </c>
      <c r="Z84" s="28" t="str">
        <v/>
      </c>
      <c r="AA84" s="28" t="str">
        <v/>
      </c>
      <c r="AB84" s="28" t="str">
        <v/>
      </c>
      <c r="AC84" s="28" t="str">
        <v/>
      </c>
      <c r="AD84" s="28" t="str">
        <v/>
      </c>
    </row>
    <row r="85" spans="1:30" x14ac:dyDescent="0.25">
      <c r="C85" s="4" t="s">
        <v>19</v>
      </c>
      <c r="D85" s="1"/>
      <c r="E85" s="7"/>
      <c r="F85" s="7"/>
      <c r="G85" s="7"/>
      <c r="H85" s="6"/>
      <c r="I85" s="6"/>
      <c r="J85" s="6"/>
      <c r="K85" s="6"/>
      <c r="L85" s="7">
        <f>(L83-H83)*10000</f>
        <v>-366.07217927535407</v>
      </c>
      <c r="M85" s="7">
        <f>(M83-I83)*10000</f>
        <v>152.53262626884202</v>
      </c>
      <c r="N85" s="7">
        <f>(N83-J83)*10000</f>
        <v>-884.56464170225456</v>
      </c>
      <c r="O85" s="7">
        <f>(O83-K83)*10000</f>
        <v>-1567.7797242179258</v>
      </c>
      <c r="P85" s="7">
        <f t="shared" ref="P85" si="209">(P83-L83)*10000</f>
        <v>-163.23836611563001</v>
      </c>
      <c r="Q85" s="7">
        <f t="shared" ref="Q85" si="210">(Q83-M83)*10000</f>
        <v>-407.51686694546987</v>
      </c>
      <c r="R85" s="7">
        <f t="shared" ref="R85" si="211">(R83-N83)*10000</f>
        <v>365.41287299754367</v>
      </c>
      <c r="S85" s="7">
        <f t="shared" ref="S85" si="212">(S83-O83)*10000</f>
        <v>1021.6509269981544</v>
      </c>
      <c r="U85" s="24" t="str">
        <v>WMB US EQUITY</v>
      </c>
      <c r="V85" s="24">
        <v>0</v>
      </c>
      <c r="W85" s="24" t="str">
        <v>custom</v>
      </c>
      <c r="X85" s="24" t="str">
        <v>northeast_gathering_processing_volume_bcfd</v>
      </c>
      <c r="Y85" s="24" t="str">
        <v/>
      </c>
      <c r="Z85" s="28" t="str">
        <v/>
      </c>
      <c r="AA85" s="28" t="str">
        <v/>
      </c>
      <c r="AB85" s="28" t="str">
        <v/>
      </c>
      <c r="AC85" s="28" t="str">
        <v/>
      </c>
      <c r="AD85" s="28" t="str">
        <v/>
      </c>
    </row>
    <row r="86" spans="1:30" x14ac:dyDescent="0.25">
      <c r="C86" s="4" t="s">
        <v>5</v>
      </c>
      <c r="D86" s="1"/>
      <c r="E86" s="12">
        <f t="shared" ref="E86" si="213">E82/D82-1</f>
        <v>-3.0487804878048808E-2</v>
      </c>
      <c r="F86" s="12">
        <f t="shared" ref="F86" si="214">F82/E82-1</f>
        <v>3.7735849056603765E-2</v>
      </c>
      <c r="G86" s="12">
        <f t="shared" ref="G86" si="215">G82/F82-1</f>
        <v>4.5454545454545414E-2</v>
      </c>
      <c r="H86" s="12">
        <f t="shared" ref="H86" si="216">H82/G82-1</f>
        <v>2.6086956521739202E-2</v>
      </c>
      <c r="I86" s="12">
        <f t="shared" ref="I86" si="217">I82/H82-1</f>
        <v>-3.672316384180796E-2</v>
      </c>
      <c r="J86" s="12">
        <f t="shared" ref="J86" si="218">J82/I82-1</f>
        <v>7.6246334310850372E-2</v>
      </c>
      <c r="K86" s="12">
        <f t="shared" ref="K86" si="219">K82/J82-1</f>
        <v>5.7220708446866553E-2</v>
      </c>
      <c r="L86" s="12">
        <f t="shared" ref="L86" si="220">L82/K82-1</f>
        <v>-4.8706132826266568E-2</v>
      </c>
      <c r="M86" s="12">
        <f t="shared" ref="M86" si="221">M82/L82-1</f>
        <v>4.7760890138837109E-3</v>
      </c>
      <c r="N86" s="12">
        <f t="shared" ref="N86" si="222">N82/M82-1</f>
        <v>1.2996857158035002E-2</v>
      </c>
      <c r="O86" s="12">
        <f t="shared" ref="O86" si="223">O82/N82-1</f>
        <v>-4.1363249351067388E-4</v>
      </c>
      <c r="P86" s="12">
        <f t="shared" ref="P86" si="224">P82/O82-1</f>
        <v>8.7704979182319232E-3</v>
      </c>
      <c r="Q86" s="12">
        <f t="shared" ref="Q86" si="225">Q82/P82-1</f>
        <v>2.4836990744841136E-2</v>
      </c>
      <c r="R86" s="12">
        <f t="shared" ref="R86" si="226">R82/Q82-1</f>
        <v>2.5941936601417526E-2</v>
      </c>
      <c r="S86" s="12">
        <f t="shared" ref="S86" si="227">S82/R82-1</f>
        <v>8.8437236237273176E-3</v>
      </c>
      <c r="U86" s="24" t="str" cm="1">
        <f t="array" ref="U86:AD97">_xlfn.LET(
  _xlpm.d, H79:S79,
  _xlpm.s, H80:S80,
  _xlpm.v, H82:S82,
  _xlpm.yy, H83:S83,
  _xlpm.qq, H84:S84,
  _xlpm.dyy, H85:S85,
  _xlpm.dqq, H86:S86,
  _xlpm.dd, TRANSPOSE(_xlpm.d),
  _xlpm.clean, _xlfn.LAMBDA(_xlpm.x, IF(_xlpm.x="","",_xlpm.x)),
_xlfn.HSTACK(
  _xlfn.MAKEARRAY(ROWS(_xlpm.dd),1, _xlfn.LAMBDA(_xlpm.r,_xlpm.c,$B$2)),
  _xlpm.dd,
  _xlfn.MAKEARRAY(ROWS(_xlpm.dd),1, _xlfn.LAMBDA(_xlpm.r,_xlpm.c,A82)),
  _xlfn.MAKEARRAY(ROWS(_xlpm.dd),1, _xlfn.LAMBDA(_xlpm.r,_xlpm.c,B82)),
  CLEAN(TRANSPOSE(_xlpm.s)),
  CLEAN(TRANSPOSE(_xlpm.v)),
  CLEAN(TRANSPOSE(_xlpm.yy)),
  CLEAN(TRANSPOSE(_xlpm.qq)),
  CLEAN(TRANSPOSE(_xlpm.dyy)),
  CLEAN(TRANSPOSE(_xlpm.dqq))
))</f>
        <v>WMB US EQUITY</v>
      </c>
      <c r="V86" s="24">
        <v>45747</v>
      </c>
      <c r="W86" s="24" t="str">
        <v>custom</v>
      </c>
      <c r="X86" s="24" t="str">
        <v>west_G&amp;P_EBITDA</v>
      </c>
      <c r="Y86" s="24" t="str">
        <v>actual</v>
      </c>
      <c r="Z86" s="28" t="str">
        <v>354</v>
      </c>
      <c r="AA86" s="28" t="str">
        <v>0.0792682926829269</v>
      </c>
      <c r="AB86" s="28" t="str">
        <v/>
      </c>
      <c r="AC86" s="28" t="str">
        <v/>
      </c>
      <c r="AD86" s="28" t="str">
        <v>0.0260869565217392</v>
      </c>
    </row>
    <row r="87" spans="1:30" x14ac:dyDescent="0.25">
      <c r="C87" s="4"/>
      <c r="D87" s="1"/>
      <c r="K87" s="7"/>
      <c r="L87" s="7"/>
      <c r="M87" s="7"/>
      <c r="N87" s="7"/>
      <c r="O87" s="7"/>
      <c r="P87" s="7"/>
      <c r="Q87" s="7"/>
      <c r="R87" s="7"/>
      <c r="S87" s="7"/>
      <c r="U87" s="24" t="str">
        <v>WMB US EQUITY</v>
      </c>
      <c r="V87" s="24">
        <v>45838</v>
      </c>
      <c r="W87" s="24" t="str">
        <v>custom</v>
      </c>
      <c r="X87" s="24" t="str">
        <v>west_G&amp;P_EBITDA</v>
      </c>
      <c r="Y87" s="24" t="str">
        <v>actual</v>
      </c>
      <c r="Z87" s="28" t="str">
        <v>341</v>
      </c>
      <c r="AA87" s="28" t="str">
        <v>0.0723270440251573</v>
      </c>
      <c r="AB87" s="28" t="str">
        <v>-69.4124865776957</v>
      </c>
      <c r="AC87" s="28" t="str">
        <v/>
      </c>
      <c r="AD87" s="28" t="str">
        <v>-0.036723163841808</v>
      </c>
    </row>
    <row r="88" spans="1:30" x14ac:dyDescent="0.25">
      <c r="C88" s="13" t="s">
        <v>10</v>
      </c>
      <c r="D88" s="14">
        <f t="shared" ref="D88:K88" si="228">EOMONTH(DATE(YEAR(D90),ROUNDUP(MONTH(D90)/3,0)*3,1),0)</f>
        <v>45382</v>
      </c>
      <c r="E88" s="14">
        <f t="shared" si="228"/>
        <v>45473</v>
      </c>
      <c r="F88" s="14">
        <f t="shared" si="228"/>
        <v>45565</v>
      </c>
      <c r="G88" s="14">
        <f t="shared" si="228"/>
        <v>45657</v>
      </c>
      <c r="H88" s="14">
        <f t="shared" si="228"/>
        <v>45747</v>
      </c>
      <c r="I88" s="14">
        <f t="shared" si="228"/>
        <v>45838</v>
      </c>
      <c r="J88" s="14">
        <f t="shared" si="228"/>
        <v>45930</v>
      </c>
      <c r="K88" s="14">
        <f t="shared" si="228"/>
        <v>46022</v>
      </c>
      <c r="L88" s="14"/>
      <c r="M88" s="14"/>
      <c r="N88" s="14"/>
      <c r="O88" s="14"/>
      <c r="P88" s="14"/>
      <c r="Q88" s="14"/>
      <c r="R88" s="14"/>
      <c r="S88" s="14"/>
      <c r="U88" s="24" t="str">
        <v>WMB US EQUITY</v>
      </c>
      <c r="V88" s="24">
        <v>45930</v>
      </c>
      <c r="W88" s="24" t="str">
        <v>custom</v>
      </c>
      <c r="X88" s="24" t="str">
        <v>west_G&amp;P_EBITDA</v>
      </c>
      <c r="Y88" s="24" t="str">
        <v>actual</v>
      </c>
      <c r="Z88" s="28" t="str">
        <v>367</v>
      </c>
      <c r="AA88" s="28" t="str">
        <v>0.112121212121212</v>
      </c>
      <c r="AB88" s="28" t="str">
        <v>397.941680960547</v>
      </c>
      <c r="AC88" s="28" t="str">
        <v/>
      </c>
      <c r="AD88" s="28" t="str">
        <v>0.0762463343108504</v>
      </c>
    </row>
    <row r="89" spans="1:30" x14ac:dyDescent="0.25">
      <c r="C89" s="13" t="s">
        <v>22</v>
      </c>
      <c r="D89" s="2" t="str">
        <f t="shared" ref="D89:K89" si="229">+D$6</f>
        <v>actual</v>
      </c>
      <c r="E89" s="2" t="str">
        <f t="shared" si="229"/>
        <v>actual</v>
      </c>
      <c r="F89" s="2" t="str">
        <f t="shared" si="229"/>
        <v>actual</v>
      </c>
      <c r="G89" s="2" t="str">
        <f t="shared" si="229"/>
        <v>actual</v>
      </c>
      <c r="H89" s="2" t="str">
        <f t="shared" si="229"/>
        <v>actual</v>
      </c>
      <c r="I89" s="2" t="str">
        <f t="shared" si="229"/>
        <v>actual</v>
      </c>
      <c r="J89" s="2" t="str">
        <f t="shared" si="229"/>
        <v>actual</v>
      </c>
      <c r="K89" s="2" t="str">
        <f t="shared" si="229"/>
        <v>actual</v>
      </c>
      <c r="L89" s="2"/>
      <c r="M89" s="2"/>
      <c r="N89" s="2"/>
      <c r="O89" s="2"/>
      <c r="P89" s="2"/>
      <c r="Q89" s="2"/>
      <c r="R89" s="2"/>
      <c r="S89" s="2"/>
      <c r="U89" s="24" t="str">
        <v>WMB US EQUITY</v>
      </c>
      <c r="V89" s="24">
        <v>46022</v>
      </c>
      <c r="W89" s="24" t="str">
        <v>custom</v>
      </c>
      <c r="X89" s="24" t="str">
        <v>west_G&amp;P_EBITDA</v>
      </c>
      <c r="Y89" s="24" t="str">
        <v>actual</v>
      </c>
      <c r="Z89" s="28" t="str">
        <v>388</v>
      </c>
      <c r="AA89" s="28" t="str">
        <v>0.12463768115942</v>
      </c>
      <c r="AB89" s="28" t="str">
        <v>125.164690382082</v>
      </c>
      <c r="AC89" s="28" t="str">
        <v/>
      </c>
      <c r="AD89" s="28" t="str">
        <v>0.0572207084468666</v>
      </c>
    </row>
    <row r="90" spans="1:30" x14ac:dyDescent="0.25">
      <c r="D90" s="2">
        <f t="shared" ref="D90:K90" si="230">+D$7</f>
        <v>45382</v>
      </c>
      <c r="E90" s="2">
        <f t="shared" si="230"/>
        <v>45473</v>
      </c>
      <c r="F90" s="2">
        <f t="shared" si="230"/>
        <v>45565</v>
      </c>
      <c r="G90" s="2">
        <f t="shared" si="230"/>
        <v>45657</v>
      </c>
      <c r="H90" s="2">
        <f t="shared" si="230"/>
        <v>45747</v>
      </c>
      <c r="I90" s="2">
        <f t="shared" si="230"/>
        <v>45838</v>
      </c>
      <c r="J90" s="2">
        <f t="shared" si="230"/>
        <v>45930</v>
      </c>
      <c r="K90" s="2">
        <f t="shared" si="230"/>
        <v>46022</v>
      </c>
      <c r="L90" s="2"/>
      <c r="M90" s="2"/>
      <c r="N90" s="2"/>
      <c r="O90" s="2"/>
      <c r="P90" s="2"/>
      <c r="Q90" s="2"/>
      <c r="R90" s="2"/>
      <c r="S90" s="2"/>
      <c r="U90" s="24" t="str">
        <v>WMB US EQUITY</v>
      </c>
      <c r="V90" s="24">
        <v>46112</v>
      </c>
      <c r="W90" s="24" t="str">
        <v>custom</v>
      </c>
      <c r="X90" s="24" t="str">
        <v>west_G&amp;P_EBITDA</v>
      </c>
      <c r="Y90" s="24" t="str">
        <v>forecast</v>
      </c>
      <c r="Z90" s="28" t="str">
        <v>369.102020463409</v>
      </c>
      <c r="AA90" s="28" t="str">
        <v>0.0426610747553915</v>
      </c>
      <c r="AB90" s="28" t="str">
        <v>-819.766064040288</v>
      </c>
      <c r="AC90" s="28" t="str">
        <v>-366.072179275354</v>
      </c>
      <c r="AD90" s="28" t="str">
        <v>-0.0487061328262666</v>
      </c>
    </row>
    <row r="91" spans="1:30" x14ac:dyDescent="0.25">
      <c r="A91" s="16" t="s">
        <v>17</v>
      </c>
      <c r="B91" s="16" t="s">
        <v>55</v>
      </c>
      <c r="C91" s="2" t="s">
        <v>53</v>
      </c>
      <c r="D91" s="31">
        <f>SUM(D97:D98)</f>
        <v>7.27</v>
      </c>
      <c r="E91" s="31">
        <f t="shared" ref="E91:K91" si="231">SUM(E97:E98)</f>
        <v>6.73</v>
      </c>
      <c r="F91" s="31">
        <f t="shared" si="231"/>
        <v>6.95</v>
      </c>
      <c r="G91" s="31">
        <f t="shared" si="231"/>
        <v>7.03</v>
      </c>
      <c r="H91" s="31">
        <f t="shared" si="231"/>
        <v>7.2100000000000009</v>
      </c>
      <c r="I91" s="31">
        <f t="shared" si="231"/>
        <v>7.6300000000000008</v>
      </c>
      <c r="J91" s="31">
        <f t="shared" si="231"/>
        <v>7.8599999999999994</v>
      </c>
      <c r="K91" s="31">
        <f t="shared" si="231"/>
        <v>8.34</v>
      </c>
      <c r="L91" s="10"/>
      <c r="M91" s="10"/>
      <c r="N91" s="10"/>
      <c r="O91" s="10"/>
      <c r="P91" s="10"/>
      <c r="Q91" s="10"/>
      <c r="R91" s="10"/>
      <c r="S91" s="10"/>
      <c r="U91" s="24" t="str">
        <v>WMB US EQUITY</v>
      </c>
      <c r="V91" s="24">
        <v>46203</v>
      </c>
      <c r="W91" s="24" t="str">
        <v>custom</v>
      </c>
      <c r="X91" s="24" t="str">
        <v>west_G&amp;P_EBITDA</v>
      </c>
      <c r="Y91" s="24" t="str">
        <v>forecast</v>
      </c>
      <c r="Z91" s="28" t="str">
        <v>370.864884568346</v>
      </c>
      <c r="AA91" s="28" t="str">
        <v>0.0875803066520415</v>
      </c>
      <c r="AB91" s="28" t="str">
        <v>449.1923189665</v>
      </c>
      <c r="AC91" s="28" t="str">
        <v>152.532626268842</v>
      </c>
      <c r="AD91" s="28" t="str">
        <v>0.00477608901388371</v>
      </c>
    </row>
    <row r="92" spans="1:30" x14ac:dyDescent="0.25">
      <c r="C92" s="4" t="s">
        <v>4</v>
      </c>
      <c r="D92" s="5"/>
      <c r="E92" s="4"/>
      <c r="F92" s="4"/>
      <c r="G92" s="4"/>
      <c r="H92" s="12">
        <f t="shared" ref="H92" si="232">+H91/D91-1</f>
        <v>-8.2530949105913409E-3</v>
      </c>
      <c r="I92" s="12">
        <f t="shared" ref="I92" si="233">+I91/E91-1</f>
        <v>0.13372956909361067</v>
      </c>
      <c r="J92" s="12">
        <f t="shared" ref="J92" si="234">+J91/F91-1</f>
        <v>0.13093525179856114</v>
      </c>
      <c r="K92" s="12">
        <f t="shared" ref="K92" si="235">+K91/G91-1</f>
        <v>0.18634423897581787</v>
      </c>
      <c r="L92" s="12"/>
      <c r="M92" s="12"/>
      <c r="N92" s="12"/>
      <c r="O92" s="12"/>
      <c r="P92" s="12"/>
      <c r="Q92" s="12"/>
      <c r="R92" s="12"/>
      <c r="S92" s="12"/>
      <c r="U92" s="24" t="str">
        <v>WMB US EQUITY</v>
      </c>
      <c r="V92" s="24">
        <v>46295</v>
      </c>
      <c r="W92" s="24" t="str">
        <v>custom</v>
      </c>
      <c r="X92" s="24" t="str">
        <v>west_G&amp;P_EBITDA</v>
      </c>
      <c r="Y92" s="24" t="str">
        <v>forecast</v>
      </c>
      <c r="Z92" s="28" t="str">
        <v>375.684962498012</v>
      </c>
      <c r="AA92" s="28" t="str">
        <v>0.0236647479509866</v>
      </c>
      <c r="AB92" s="28" t="str">
        <v>-639.155587010549</v>
      </c>
      <c r="AC92" s="28" t="str">
        <v>-884.564641702255</v>
      </c>
      <c r="AD92" s="28" t="str">
        <v>0.012996857158035</v>
      </c>
    </row>
    <row r="93" spans="1:30" x14ac:dyDescent="0.25">
      <c r="C93" s="4" t="s">
        <v>15</v>
      </c>
      <c r="D93" s="1"/>
      <c r="I93" s="7">
        <f t="shared" ref="I93" si="236">(I92-H92)*10000</f>
        <v>1419.82664004202</v>
      </c>
      <c r="J93" s="7">
        <f t="shared" ref="J93" si="237">(J92-I92)*10000</f>
        <v>-27.94317295049531</v>
      </c>
      <c r="K93" s="7">
        <f t="shared" ref="K93" si="238">(K92-J92)*10000</f>
        <v>554.08987177256734</v>
      </c>
      <c r="L93" s="7"/>
      <c r="M93" s="7"/>
      <c r="N93" s="7"/>
      <c r="O93" s="7"/>
      <c r="P93" s="7"/>
      <c r="Q93" s="7"/>
      <c r="R93" s="7"/>
      <c r="S93" s="7"/>
      <c r="U93" s="24" t="str">
        <v>WMB US EQUITY</v>
      </c>
      <c r="V93" s="24">
        <v>46387</v>
      </c>
      <c r="W93" s="24" t="str">
        <v>custom</v>
      </c>
      <c r="X93" s="24" t="str">
        <v>west_G&amp;P_EBITDA</v>
      </c>
      <c r="Y93" s="24" t="str">
        <v>forecast</v>
      </c>
      <c r="Z93" s="28" t="str">
        <v>375.5295669902</v>
      </c>
      <c r="AA93" s="28" t="str">
        <v>-0.0321402912623723</v>
      </c>
      <c r="AB93" s="28" t="str">
        <v>-558.050392133589</v>
      </c>
      <c r="AC93" s="28" t="str">
        <v>-1567.77972421793</v>
      </c>
      <c r="AD93" s="28" t="str">
        <v>-0.000413632493510674</v>
      </c>
    </row>
    <row r="94" spans="1:30" x14ac:dyDescent="0.25">
      <c r="C94" s="4" t="s">
        <v>19</v>
      </c>
      <c r="D94" s="1"/>
      <c r="E94" s="7"/>
      <c r="F94" s="7"/>
      <c r="G94" s="7"/>
      <c r="H94" s="6"/>
      <c r="I94" s="6"/>
      <c r="J94" s="6"/>
      <c r="K94" s="6"/>
      <c r="L94" s="7"/>
      <c r="M94" s="7"/>
      <c r="N94" s="7"/>
      <c r="O94" s="7"/>
      <c r="P94" s="7"/>
      <c r="Q94" s="7"/>
      <c r="R94" s="7"/>
      <c r="S94" s="7"/>
      <c r="U94" s="24" t="str">
        <v>WMB US EQUITY</v>
      </c>
      <c r="V94" s="24">
        <v>46477</v>
      </c>
      <c r="W94" s="24" t="str">
        <v>custom</v>
      </c>
      <c r="X94" s="24" t="str">
        <v>west_G&amp;P_EBITDA</v>
      </c>
      <c r="Y94" s="24" t="str">
        <v>forecast</v>
      </c>
      <c r="Z94" s="28" t="str">
        <v>378.823148275722</v>
      </c>
      <c r="AA94" s="28" t="str">
        <v>0.0263372381438285</v>
      </c>
      <c r="AB94" s="28" t="str">
        <v>584.775294062008</v>
      </c>
      <c r="AC94" s="28" t="str">
        <v>-163.23836611563</v>
      </c>
      <c r="AD94" s="28" t="str">
        <v>0.00877049791823192</v>
      </c>
    </row>
    <row r="95" spans="1:30" x14ac:dyDescent="0.25">
      <c r="C95" s="4" t="s">
        <v>5</v>
      </c>
      <c r="D95" s="1"/>
      <c r="E95" s="12">
        <f t="shared" ref="E95" si="239">E91/D91-1</f>
        <v>-7.4277854195323179E-2</v>
      </c>
      <c r="F95" s="12">
        <f t="shared" ref="F95" si="240">F91/E91-1</f>
        <v>3.2689450222882499E-2</v>
      </c>
      <c r="G95" s="12">
        <f t="shared" ref="G95" si="241">G91/F91-1</f>
        <v>1.1510791366906581E-2</v>
      </c>
      <c r="H95" s="12">
        <f t="shared" ref="H95" si="242">H91/G91-1</f>
        <v>2.560455192034139E-2</v>
      </c>
      <c r="I95" s="12">
        <f t="shared" ref="I95" si="243">I91/H91-1</f>
        <v>5.8252427184465994E-2</v>
      </c>
      <c r="J95" s="12">
        <f t="shared" ref="J95" si="244">J91/I91-1</f>
        <v>3.0144167758846541E-2</v>
      </c>
      <c r="K95" s="12">
        <f t="shared" ref="K95" si="245">K91/J91-1</f>
        <v>6.1068702290076438E-2</v>
      </c>
      <c r="L95" s="12"/>
      <c r="M95" s="12"/>
      <c r="N95" s="12"/>
      <c r="O95" s="12"/>
      <c r="P95" s="12"/>
      <c r="Q95" s="12"/>
      <c r="R95" s="12"/>
      <c r="S95" s="12"/>
      <c r="U95" t="str">
        <v>WMB US EQUITY</v>
      </c>
      <c r="V95" s="24">
        <v>46568</v>
      </c>
      <c r="W95" s="24" t="str">
        <v>custom</v>
      </c>
      <c r="X95" s="24" t="str">
        <v>west_G&amp;P_EBITDA</v>
      </c>
      <c r="Y95" s="24" t="str">
        <v>forecast</v>
      </c>
      <c r="Z95" s="28" t="str">
        <v>388.231975303377</v>
      </c>
      <c r="AA95" s="28" t="str">
        <v>0.0468286199574945</v>
      </c>
      <c r="AB95" s="28" t="str">
        <v>204.913818136661</v>
      </c>
      <c r="AC95" s="28" t="str">
        <v>-407.51686694547</v>
      </c>
      <c r="AD95" s="28" t="str">
        <v>0.0248369907448411</v>
      </c>
    </row>
    <row r="96" spans="1:30" x14ac:dyDescent="0.25">
      <c r="C96" s="4"/>
      <c r="D96" s="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U96" s="24" t="str">
        <v>WMB US EQUITY</v>
      </c>
      <c r="V96" s="24">
        <v>46660</v>
      </c>
      <c r="W96" s="24" t="str">
        <v>custom</v>
      </c>
      <c r="X96" s="24" t="str">
        <v>west_G&amp;P_EBITDA</v>
      </c>
      <c r="Y96" s="24" t="str">
        <v>forecast</v>
      </c>
      <c r="Z96" s="28" t="str">
        <v>398.303464593341</v>
      </c>
      <c r="AA96" s="28" t="str">
        <v>0.060206035250741</v>
      </c>
      <c r="AB96" s="28" t="str">
        <v>133.774152932464</v>
      </c>
      <c r="AC96" s="28" t="str">
        <v>365.412872997544</v>
      </c>
      <c r="AD96" s="28" t="str">
        <v>0.0259419366014175</v>
      </c>
    </row>
    <row r="97" spans="3:30" x14ac:dyDescent="0.25">
      <c r="C97" s="25" t="s">
        <v>48</v>
      </c>
      <c r="D97" s="31">
        <v>5.75</v>
      </c>
      <c r="E97" s="31">
        <v>5.25</v>
      </c>
      <c r="F97" s="31">
        <v>5.38</v>
      </c>
      <c r="G97" s="31">
        <v>5.46</v>
      </c>
      <c r="H97" s="31">
        <v>5.69</v>
      </c>
      <c r="I97" s="31">
        <v>5.94</v>
      </c>
      <c r="J97" s="31">
        <v>6.14</v>
      </c>
      <c r="K97" s="31">
        <v>6.56</v>
      </c>
      <c r="L97" s="12"/>
      <c r="M97" s="12"/>
      <c r="N97" s="12"/>
      <c r="O97" s="12"/>
      <c r="P97" s="12"/>
      <c r="Q97" s="12"/>
      <c r="R97" s="12"/>
      <c r="S97" s="12"/>
      <c r="U97" s="24" t="str">
        <v>WMB US EQUITY</v>
      </c>
      <c r="V97" s="24">
        <v>46752</v>
      </c>
      <c r="W97" s="24" t="str">
        <v>custom</v>
      </c>
      <c r="X97" s="24" t="str">
        <v>west_G&amp;P_EBITDA</v>
      </c>
      <c r="Y97" s="24" t="str">
        <v>forecast</v>
      </c>
      <c r="Z97" s="28" t="str">
        <v>401.825950352577</v>
      </c>
      <c r="AA97" s="28" t="str">
        <v>0.0700248014374432</v>
      </c>
      <c r="AB97" s="28" t="str">
        <v>98.1876618670219</v>
      </c>
      <c r="AC97" s="28" t="str">
        <v>1021.65092699815</v>
      </c>
      <c r="AD97" s="28" t="str">
        <v>0.00884372362372732</v>
      </c>
    </row>
    <row r="98" spans="3:30" x14ac:dyDescent="0.25">
      <c r="C98" s="25" t="s">
        <v>49</v>
      </c>
      <c r="D98" s="31">
        <v>1.52</v>
      </c>
      <c r="E98" s="31">
        <v>1.48</v>
      </c>
      <c r="F98" s="31">
        <v>1.57</v>
      </c>
      <c r="G98" s="31">
        <v>1.57</v>
      </c>
      <c r="H98" s="31">
        <v>1.52</v>
      </c>
      <c r="I98" s="31">
        <v>1.69</v>
      </c>
      <c r="J98" s="31">
        <v>1.72</v>
      </c>
      <c r="K98" s="31">
        <v>1.78</v>
      </c>
      <c r="L98" s="12"/>
      <c r="M98" s="12"/>
      <c r="N98" s="12"/>
      <c r="O98" s="12"/>
      <c r="P98" s="12"/>
      <c r="Q98" s="12"/>
      <c r="R98" s="12"/>
      <c r="S98" s="12"/>
      <c r="U98" s="24" t="str" cm="1">
        <f t="array" ref="U98:AD109">_xlfn.LET(
  _xlpm.d, H88:S88,
  _xlpm.s, H89:S89,
  _xlpm.v, H91:S91,
  _xlpm.yy, H92:S92,
  _xlpm.qq, H93:S93,
  _xlpm.dyy, H94:S94,
  _xlpm.dqq, H95:S95,
  _xlpm.dd, TRANSPOSE(_xlpm.d),
  _xlpm.clean, _xlfn.LAMBDA(_xlpm.x, IF(_xlpm.x="","",_xlpm.x)),
_xlfn.HSTACK(
  _xlfn.MAKEARRAY(ROWS(_xlpm.dd),1, _xlfn.LAMBDA(_xlpm.r,_xlpm.c,$B$2)),
  _xlpm.dd,
  _xlfn.MAKEARRAY(ROWS(_xlpm.dd),1, _xlfn.LAMBDA(_xlpm.r,_xlpm.c,A91)),
  _xlfn.MAKEARRAY(ROWS(_xlpm.dd),1, _xlfn.LAMBDA(_xlpm.r,_xlpm.c,B91)),
  CLEAN(TRANSPOSE(_xlpm.s)),
  CLEAN(TRANSPOSE(_xlpm.v)),
  CLEAN(TRANSPOSE(_xlpm.yy)),
  CLEAN(TRANSPOSE(_xlpm.qq)),
  CLEAN(TRANSPOSE(_xlpm.dyy)),
  CLEAN(TRANSPOSE(_xlpm.dqq))
))</f>
        <v>WMB US EQUITY</v>
      </c>
      <c r="V98" s="24">
        <v>45747</v>
      </c>
      <c r="W98" s="24" t="str">
        <v>custom</v>
      </c>
      <c r="X98" s="24" t="str">
        <v>west_gathering_processing_volume_bcfd</v>
      </c>
      <c r="Y98" s="24" t="str">
        <v>actual</v>
      </c>
      <c r="Z98" s="28" t="str">
        <v>7.21</v>
      </c>
      <c r="AA98" s="28" t="str">
        <v>-0.00825309491059134</v>
      </c>
      <c r="AB98" s="28" t="str">
        <v/>
      </c>
      <c r="AC98" s="28" t="str">
        <v/>
      </c>
      <c r="AD98" s="28" t="str">
        <v>0.0256045519203414</v>
      </c>
    </row>
    <row r="99" spans="3:30" x14ac:dyDescent="0.25">
      <c r="U99" s="24" t="str">
        <v>WMB US EQUITY</v>
      </c>
      <c r="V99">
        <v>45838</v>
      </c>
      <c r="W99" t="str">
        <v>custom</v>
      </c>
      <c r="X99" t="str">
        <v>west_gathering_processing_volume_bcfd</v>
      </c>
      <c r="Y99" t="str">
        <v>actual</v>
      </c>
      <c r="Z99" t="str">
        <v>7.63</v>
      </c>
      <c r="AA99" t="str">
        <v>0.133729569093611</v>
      </c>
      <c r="AB99" t="str">
        <v>1419.82664004202</v>
      </c>
      <c r="AC99" t="str">
        <v/>
      </c>
      <c r="AD99" t="str">
        <v>0.058252427184466</v>
      </c>
    </row>
    <row r="100" spans="3:30" x14ac:dyDescent="0.25">
      <c r="U100" s="24" t="str">
        <v>WMB US EQUITY</v>
      </c>
      <c r="V100">
        <v>45930</v>
      </c>
      <c r="W100" t="str">
        <v>custom</v>
      </c>
      <c r="X100" t="str">
        <v>west_gathering_processing_volume_bcfd</v>
      </c>
      <c r="Y100" t="str">
        <v>actual</v>
      </c>
      <c r="Z100" t="str">
        <v>7.86</v>
      </c>
      <c r="AA100" t="str">
        <v>0.130935251798561</v>
      </c>
      <c r="AB100" t="str">
        <v>-27.9431729504953</v>
      </c>
      <c r="AC100" t="str">
        <v/>
      </c>
      <c r="AD100" t="str">
        <v>0.0301441677588465</v>
      </c>
    </row>
    <row r="101" spans="3:30" x14ac:dyDescent="0.25">
      <c r="U101" s="24" t="str">
        <v>WMB US EQUITY</v>
      </c>
      <c r="V101">
        <v>46022</v>
      </c>
      <c r="W101" t="str">
        <v>custom</v>
      </c>
      <c r="X101" t="str">
        <v>west_gathering_processing_volume_bcfd</v>
      </c>
      <c r="Y101" t="str">
        <v>actual</v>
      </c>
      <c r="Z101" t="str">
        <v>8.34</v>
      </c>
      <c r="AA101" t="str">
        <v>0.186344238975818</v>
      </c>
      <c r="AB101" t="str">
        <v>554.089871772567</v>
      </c>
      <c r="AC101" t="str">
        <v/>
      </c>
      <c r="AD101" t="str">
        <v>0.0610687022900764</v>
      </c>
    </row>
    <row r="102" spans="3:30" x14ac:dyDescent="0.25">
      <c r="U102" s="24" t="str">
        <v>WMB US EQUITY</v>
      </c>
      <c r="V102">
        <v>0</v>
      </c>
      <c r="W102" t="str">
        <v>custom</v>
      </c>
      <c r="X102" t="str">
        <v>west_gathering_processing_volume_bcfd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 spans="3:30" x14ac:dyDescent="0.25">
      <c r="U103" s="24" t="str">
        <v>WMB US EQUITY</v>
      </c>
      <c r="V103">
        <v>0</v>
      </c>
      <c r="W103" t="str">
        <v>custom</v>
      </c>
      <c r="X103" t="str">
        <v>west_gathering_processing_volume_bcfd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 spans="3:30" x14ac:dyDescent="0.25">
      <c r="U104" s="24" t="str">
        <v>WMB US EQUITY</v>
      </c>
      <c r="V104">
        <v>0</v>
      </c>
      <c r="W104" t="str">
        <v>custom</v>
      </c>
      <c r="X104" t="str">
        <v>west_gathering_processing_volume_bcfd</v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 spans="3:30" x14ac:dyDescent="0.25">
      <c r="U105" s="24" t="str">
        <v>WMB US EQUITY</v>
      </c>
      <c r="V105">
        <v>0</v>
      </c>
      <c r="W105" t="str">
        <v>custom</v>
      </c>
      <c r="X105" t="str">
        <v>west_gathering_processing_volume_bcfd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 spans="3:30" x14ac:dyDescent="0.25">
      <c r="U106" t="str">
        <v>WMB US EQUITY</v>
      </c>
      <c r="V106">
        <v>0</v>
      </c>
      <c r="W106" t="str">
        <v>custom</v>
      </c>
      <c r="X106" t="str">
        <v>west_gathering_processing_volume_bcfd</v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 spans="3:30" x14ac:dyDescent="0.25">
      <c r="U107" t="str">
        <v>WMB US EQUITY</v>
      </c>
      <c r="V107">
        <v>0</v>
      </c>
      <c r="W107" t="str">
        <v>custom</v>
      </c>
      <c r="X107" t="str">
        <v>west_gathering_processing_volume_bcfd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 spans="3:30" x14ac:dyDescent="0.25">
      <c r="U108" t="str">
        <v>WMB US EQUITY</v>
      </c>
      <c r="V108">
        <v>0</v>
      </c>
      <c r="W108" t="str">
        <v>custom</v>
      </c>
      <c r="X108" t="str">
        <v>west_gathering_processing_volume_bcfd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 spans="3:30" x14ac:dyDescent="0.25">
      <c r="U109" t="str">
        <v>WMB US EQUITY</v>
      </c>
      <c r="V109">
        <v>0</v>
      </c>
      <c r="W109" t="str">
        <v>custom</v>
      </c>
      <c r="X109" t="str">
        <v>west_gathering_processing_volume_bcfd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3416-0FD0-46F0-A7C5-085864D71543}">
  <dimension ref="A1:AD73"/>
  <sheetViews>
    <sheetView zoomScaleNormal="100" workbookViewId="0">
      <selection activeCell="A24" sqref="A24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18</v>
      </c>
      <c r="B1" s="22" t="s">
        <v>18</v>
      </c>
      <c r="C1" s="22" t="s">
        <v>18</v>
      </c>
      <c r="D1" s="22" t="s">
        <v>18</v>
      </c>
      <c r="E1" s="22" t="s">
        <v>18</v>
      </c>
      <c r="F1" s="22" t="s">
        <v>18</v>
      </c>
      <c r="G1" s="22" t="s">
        <v>18</v>
      </c>
      <c r="H1" s="22" t="s">
        <v>18</v>
      </c>
      <c r="I1" s="22" t="s">
        <v>18</v>
      </c>
      <c r="J1" s="22" t="s">
        <v>18</v>
      </c>
      <c r="K1" s="22" t="s">
        <v>18</v>
      </c>
      <c r="L1" s="22" t="s">
        <v>18</v>
      </c>
      <c r="M1" s="22" t="s">
        <v>18</v>
      </c>
      <c r="N1" s="22" t="s">
        <v>18</v>
      </c>
      <c r="O1" s="22" t="s">
        <v>18</v>
      </c>
      <c r="P1" s="22" t="s">
        <v>18</v>
      </c>
      <c r="Q1" s="22" t="s">
        <v>18</v>
      </c>
      <c r="R1" s="22" t="s">
        <v>18</v>
      </c>
      <c r="S1" s="22" t="s">
        <v>18</v>
      </c>
      <c r="U1" s="23" t="s">
        <v>11</v>
      </c>
      <c r="V1" s="23" t="s">
        <v>9</v>
      </c>
      <c r="W1" s="23" t="s">
        <v>14</v>
      </c>
      <c r="X1" s="23" t="s">
        <v>13</v>
      </c>
      <c r="Y1" s="23" t="s">
        <v>25</v>
      </c>
      <c r="Z1" s="23" t="s">
        <v>8</v>
      </c>
      <c r="AA1" s="23" t="s">
        <v>12</v>
      </c>
      <c r="AB1" s="23" t="s">
        <v>16</v>
      </c>
      <c r="AC1" s="23" t="s">
        <v>20</v>
      </c>
      <c r="AD1" s="23" t="s">
        <v>21</v>
      </c>
    </row>
    <row r="2" spans="1:30" x14ac:dyDescent="0.25">
      <c r="A2" s="17" t="s">
        <v>1</v>
      </c>
      <c r="B2" s="25" t="s">
        <v>31</v>
      </c>
      <c r="U2" s="24" t="str" cm="1">
        <f t="array" ref="U2:AD13">_xlfn.LET(
  _xlpm.d, H5:S5,
  _xlpm.s, H6:S6,
  _xlpm.v, H8:S8,
  _xlpm.yy, H9:S9,
  _xlpm.qq, H10:S10,
  _xlpm.dyy, H11:S11,
  _xlpm.dqq, H12:S12,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GEV US EQUITY</v>
      </c>
      <c r="V2" s="24">
        <v>45747</v>
      </c>
      <c r="W2" s="24" t="str">
        <v>canonical</v>
      </c>
      <c r="X2" s="24" t="str">
        <v>revenue</v>
      </c>
      <c r="Y2" s="24" t="str">
        <v>actual</v>
      </c>
      <c r="Z2" s="28" t="str">
        <v>8032</v>
      </c>
      <c r="AA2" s="28" t="str">
        <v>0.10633608815427</v>
      </c>
      <c r="AB2" s="28" t="str">
        <v/>
      </c>
      <c r="AC2" s="28" t="str">
        <v/>
      </c>
      <c r="AD2" s="28" t="str">
        <v>-0.239321905483474</v>
      </c>
    </row>
    <row r="3" spans="1:30" x14ac:dyDescent="0.25">
      <c r="A3" s="18" t="s">
        <v>3</v>
      </c>
      <c r="B3" s="19">
        <f>+B4-365*1.75</f>
        <v>45383.25</v>
      </c>
      <c r="U3" s="24" t="str">
        <v>GEV US EQUITY</v>
      </c>
      <c r="V3" s="24">
        <v>45838</v>
      </c>
      <c r="W3" s="24" t="str">
        <v>canonical</v>
      </c>
      <c r="X3" s="24" t="str">
        <v>revenue</v>
      </c>
      <c r="Y3" s="24" t="str">
        <v>actual</v>
      </c>
      <c r="Z3" s="28" t="str">
        <v>9111</v>
      </c>
      <c r="AA3" s="28" t="str">
        <v>0.110555826426133</v>
      </c>
      <c r="AB3" s="28" t="str">
        <v>42.1973827186362</v>
      </c>
      <c r="AC3" s="28" t="str">
        <v/>
      </c>
      <c r="AD3" s="28" t="str">
        <v>0.13433764940239</v>
      </c>
    </row>
    <row r="4" spans="1:30" x14ac:dyDescent="0.25">
      <c r="A4" s="20" t="s">
        <v>2</v>
      </c>
      <c r="B4" s="21">
        <v>46022</v>
      </c>
      <c r="U4" s="24" t="str">
        <v>GEV US EQUITY</v>
      </c>
      <c r="V4" s="24">
        <v>45930</v>
      </c>
      <c r="W4" s="24" t="str">
        <v>canonical</v>
      </c>
      <c r="X4" s="24" t="str">
        <v>revenue</v>
      </c>
      <c r="Y4" s="24" t="str">
        <v>actual</v>
      </c>
      <c r="Z4" s="28" t="str">
        <v>9969</v>
      </c>
      <c r="AA4" s="28" t="str">
        <v>0.118478626725008</v>
      </c>
      <c r="AB4" s="28" t="str">
        <v>79.2280029887493</v>
      </c>
      <c r="AC4" s="28" t="str">
        <v/>
      </c>
      <c r="AD4" s="28" t="str">
        <v>0.0941718801448799</v>
      </c>
    </row>
    <row r="5" spans="1:30" x14ac:dyDescent="0.25">
      <c r="C5" s="13" t="s">
        <v>10</v>
      </c>
      <c r="D5" s="14">
        <f>EOMONTH(DATE(YEAR(D7),ROUNDUP(MONTH(D7)/3,0)*3,1),0)</f>
        <v>45382</v>
      </c>
      <c r="E5" s="14">
        <f>EOMONTH(DATE(YEAR(E7),ROUNDUP(MONTH(E7)/3,0)*3,1),0)</f>
        <v>45473</v>
      </c>
      <c r="F5" s="14">
        <f>EOMONTH(DATE(YEAR(F7),ROUNDUP(MONTH(F7)/3,0)*3,1),0)</f>
        <v>45565</v>
      </c>
      <c r="G5" s="14">
        <f t="shared" ref="G5:K5" si="0">EOMONTH(DATE(YEAR(G7),ROUNDUP(MONTH(G7)/3,0)*3,1),0)</f>
        <v>45657</v>
      </c>
      <c r="H5" s="14">
        <f t="shared" si="0"/>
        <v>45747</v>
      </c>
      <c r="I5" s="14">
        <f t="shared" si="0"/>
        <v>45838</v>
      </c>
      <c r="J5" s="14">
        <f t="shared" si="0"/>
        <v>45930</v>
      </c>
      <c r="K5" s="14">
        <f t="shared" si="0"/>
        <v>46022</v>
      </c>
      <c r="L5" s="14">
        <f>EOMONTH(DATE(YEAR(L7),ROUNDUP(MONTH(L7)/3,0)*3,1),0)</f>
        <v>46112</v>
      </c>
      <c r="M5" s="14">
        <f>EOMONTH(DATE(YEAR(M7),ROUNDUP(MONTH(M7)/3,0)*3,1),0)</f>
        <v>46203</v>
      </c>
      <c r="N5" s="14">
        <f>EOMONTH(DATE(YEAR(N7),ROUNDUP(MONTH(N7)/3,0)*3,1),0)</f>
        <v>46295</v>
      </c>
      <c r="O5" s="14">
        <f>EOMONTH(DATE(YEAR(O7),ROUNDUP(MONTH(O7)/3,0)*3,1),0)</f>
        <v>46387</v>
      </c>
      <c r="P5" s="14">
        <f t="shared" ref="P5:S5" si="1">EOMONTH(DATE(YEAR(P7),ROUNDUP(MONTH(P7)/3,0)*3,1),0)</f>
        <v>46477</v>
      </c>
      <c r="Q5" s="14">
        <f t="shared" si="1"/>
        <v>46568</v>
      </c>
      <c r="R5" s="14">
        <f t="shared" si="1"/>
        <v>46660</v>
      </c>
      <c r="S5" s="14">
        <f t="shared" si="1"/>
        <v>46752</v>
      </c>
      <c r="U5" s="24" t="str">
        <v>GEV US EQUITY</v>
      </c>
      <c r="V5" s="24">
        <v>46022</v>
      </c>
      <c r="W5" s="24" t="str">
        <v>canonical</v>
      </c>
      <c r="X5" s="24" t="str">
        <v>revenue</v>
      </c>
      <c r="Y5" s="24" t="str">
        <v>actual</v>
      </c>
      <c r="Z5" s="28" t="str">
        <v>10956</v>
      </c>
      <c r="AA5" s="28" t="str">
        <v>0.0375982574107396</v>
      </c>
      <c r="AB5" s="28" t="str">
        <v>-808.803693142688</v>
      </c>
      <c r="AC5" s="28" t="str">
        <v/>
      </c>
      <c r="AD5" s="28" t="str">
        <v>0.0990069214565152</v>
      </c>
    </row>
    <row r="6" spans="1:30" x14ac:dyDescent="0.25">
      <c r="C6" s="13" t="s">
        <v>22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1"/>
      <c r="U6" s="24" t="str">
        <v>GEV US EQUITY</v>
      </c>
      <c r="V6" s="24">
        <v>46112</v>
      </c>
      <c r="W6" s="24" t="str">
        <v>canonical</v>
      </c>
      <c r="X6" s="24" t="str">
        <v>revenue</v>
      </c>
      <c r="Y6" s="24" t="str">
        <v>forecast</v>
      </c>
      <c r="Z6" s="28" t="str">
        <v>9122.24816740633</v>
      </c>
      <c r="AA6" s="28" t="str">
        <v>0.135738068651186</v>
      </c>
      <c r="AB6" s="28" t="str">
        <v>981.398112404464</v>
      </c>
      <c r="AC6" s="28" t="str">
        <v>0.256508012039439</v>
      </c>
      <c r="AD6" s="28" t="str">
        <v>-0.167374208889528</v>
      </c>
    </row>
    <row r="7" spans="1:30" x14ac:dyDescent="0.25">
      <c r="D7" s="2">
        <v>45382</v>
      </c>
      <c r="E7" s="15" cm="1">
        <f t="array" ref="E7:K8">+_xll.BDH($B$2,$C8,$B$3,$B$4,"DIR=H")</f>
        <v>45473</v>
      </c>
      <c r="F7" s="1">
        <v>45565</v>
      </c>
      <c r="G7" s="1">
        <v>45657</v>
      </c>
      <c r="H7" s="1">
        <v>45747</v>
      </c>
      <c r="I7" s="1">
        <v>45838</v>
      </c>
      <c r="J7" s="1">
        <v>45930</v>
      </c>
      <c r="K7" s="1">
        <v>46022</v>
      </c>
      <c r="L7" s="2">
        <v>46112</v>
      </c>
      <c r="M7" s="2">
        <v>46203</v>
      </c>
      <c r="N7" s="2">
        <v>46295</v>
      </c>
      <c r="O7" s="2">
        <v>46387</v>
      </c>
      <c r="P7" s="2">
        <v>46477</v>
      </c>
      <c r="Q7" s="2">
        <v>46568</v>
      </c>
      <c r="R7" s="2">
        <v>46660</v>
      </c>
      <c r="S7" s="2">
        <v>46752</v>
      </c>
      <c r="T7" s="1"/>
      <c r="U7" s="24" t="str">
        <v>GEV US EQUITY</v>
      </c>
      <c r="V7" s="24">
        <v>46203</v>
      </c>
      <c r="W7" s="24" t="str">
        <v>canonical</v>
      </c>
      <c r="X7" s="24" t="str">
        <v>revenue</v>
      </c>
      <c r="Y7" s="24" t="str">
        <v>forecast</v>
      </c>
      <c r="Z7" s="28" t="str">
        <v>10099.2115693015</v>
      </c>
      <c r="AA7" s="28" t="str">
        <v>0.108463568137579</v>
      </c>
      <c r="AB7" s="28" t="str">
        <v>-272.74500513607</v>
      </c>
      <c r="AC7" s="28" t="str">
        <v>0.23101067397629</v>
      </c>
      <c r="AD7" s="28" t="str">
        <v>0.107096779649761</v>
      </c>
    </row>
    <row r="8" spans="1:30" x14ac:dyDescent="0.25">
      <c r="A8" s="16" t="s">
        <v>7</v>
      </c>
      <c r="B8" s="16" t="s">
        <v>6</v>
      </c>
      <c r="C8" s="9" t="s">
        <v>0</v>
      </c>
      <c r="D8" s="26">
        <v>7260</v>
      </c>
      <c r="E8" s="11">
        <v>8204</v>
      </c>
      <c r="F8" s="11">
        <v>8913</v>
      </c>
      <c r="G8" s="11">
        <v>10559</v>
      </c>
      <c r="H8" s="11">
        <v>8032</v>
      </c>
      <c r="I8" s="11">
        <v>9111</v>
      </c>
      <c r="J8" s="11">
        <v>9969</v>
      </c>
      <c r="K8" s="11">
        <v>10956</v>
      </c>
      <c r="L8" s="26">
        <v>9122.2481674063256</v>
      </c>
      <c r="M8" s="26">
        <v>10099.211569301482</v>
      </c>
      <c r="N8" s="26">
        <v>11659.103056314756</v>
      </c>
      <c r="O8" s="26">
        <v>13616.926018622744</v>
      </c>
      <c r="P8" s="26">
        <v>10595.02336150476</v>
      </c>
      <c r="Q8" s="26">
        <v>12396.426817588266</v>
      </c>
      <c r="R8" s="26">
        <v>12233.554905544495</v>
      </c>
      <c r="S8" s="26">
        <v>14992.339659806808</v>
      </c>
      <c r="T8" s="3"/>
      <c r="U8" s="24" t="str">
        <v>GEV US EQUITY</v>
      </c>
      <c r="V8" s="24">
        <v>46295</v>
      </c>
      <c r="W8" s="24" t="str">
        <v>canonical</v>
      </c>
      <c r="X8" s="24" t="str">
        <v>revenue</v>
      </c>
      <c r="Y8" s="24" t="str">
        <v>forecast</v>
      </c>
      <c r="Z8" s="28" t="str">
        <v>11659.1030563148</v>
      </c>
      <c r="AA8" s="28" t="str">
        <v>0.169535866818613</v>
      </c>
      <c r="AB8" s="28" t="str">
        <v>610.722986810344</v>
      </c>
      <c r="AC8" s="28" t="str">
        <v>0.308100870224925</v>
      </c>
      <c r="AD8" s="28" t="str">
        <v>0.154456758956795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si="2">+H8/D8-1</f>
        <v>0.10633608815426987</v>
      </c>
      <c r="I9" s="12">
        <f t="shared" si="2"/>
        <v>0.11055582642613349</v>
      </c>
      <c r="J9" s="12">
        <f t="shared" si="2"/>
        <v>0.11847862672500842</v>
      </c>
      <c r="K9" s="12">
        <f t="shared" si="2"/>
        <v>3.7598257410739633E-2</v>
      </c>
      <c r="L9" s="12">
        <f t="shared" si="2"/>
        <v>0.13573806865118598</v>
      </c>
      <c r="M9" s="12">
        <f t="shared" si="2"/>
        <v>0.10846356813757896</v>
      </c>
      <c r="N9" s="12">
        <f t="shared" si="2"/>
        <v>0.16953586681861332</v>
      </c>
      <c r="O9" s="12">
        <f t="shared" si="2"/>
        <v>0.24287386077243012</v>
      </c>
      <c r="P9" s="12">
        <f t="shared" si="2"/>
        <v>0.16144870947061496</v>
      </c>
      <c r="Q9" s="12">
        <f t="shared" si="2"/>
        <v>0.22746481074518887</v>
      </c>
      <c r="R9" s="12">
        <f t="shared" si="2"/>
        <v>4.9270672577047536E-2</v>
      </c>
      <c r="S9" s="12">
        <f t="shared" si="2"/>
        <v>0.1010076458741882</v>
      </c>
      <c r="U9" s="24" t="str">
        <v>GEV US EQUITY</v>
      </c>
      <c r="V9" s="24">
        <v>46387</v>
      </c>
      <c r="W9" s="24" t="str">
        <v>canonical</v>
      </c>
      <c r="X9" s="24" t="str">
        <v>revenue</v>
      </c>
      <c r="Y9" s="24" t="str">
        <v>forecast</v>
      </c>
      <c r="Z9" s="28" t="str">
        <v>13616.9260186227</v>
      </c>
      <c r="AA9" s="28" t="str">
        <v>0.24287386077243</v>
      </c>
      <c r="AB9" s="28" t="str">
        <v>733.379939538168</v>
      </c>
      <c r="AC9" s="28" t="str">
        <v>0.289603752118832</v>
      </c>
      <c r="AD9" s="28" t="str">
        <v>0.167922262360277</v>
      </c>
    </row>
    <row r="10" spans="1:30" x14ac:dyDescent="0.25">
      <c r="C10" s="4" t="s">
        <v>15</v>
      </c>
      <c r="D10" s="1"/>
      <c r="H10" s="7"/>
      <c r="I10" s="7">
        <f t="shared" ref="I10:J10" si="3">(I9-H9)*10000</f>
        <v>42.197382718636156</v>
      </c>
      <c r="J10" s="7">
        <f t="shared" si="3"/>
        <v>79.228002988749324</v>
      </c>
      <c r="K10" s="7">
        <f>(K9-J9)*10000</f>
        <v>-808.80369314268785</v>
      </c>
      <c r="L10" s="7">
        <f>(L9-K9)*10000</f>
        <v>981.39811240446352</v>
      </c>
      <c r="M10" s="7">
        <f>(M9-L9)*10000</f>
        <v>-272.74500513607023</v>
      </c>
      <c r="N10" s="7">
        <f>(N9-M9)*10000</f>
        <v>610.72298681034363</v>
      </c>
      <c r="O10" s="7">
        <f>(O9-N9)*10000</f>
        <v>733.37993953816795</v>
      </c>
      <c r="P10" s="7">
        <f t="shared" ref="P10:S10" si="4">(P9-O9)*10000</f>
        <v>-814.25151301815163</v>
      </c>
      <c r="Q10" s="7">
        <f t="shared" si="4"/>
        <v>660.16101274573907</v>
      </c>
      <c r="R10" s="7">
        <f t="shared" si="4"/>
        <v>-1781.9413816814133</v>
      </c>
      <c r="S10" s="7">
        <f t="shared" si="4"/>
        <v>517.36973297140662</v>
      </c>
      <c r="U10" s="24" t="str">
        <v>GEV US EQUITY</v>
      </c>
      <c r="V10" s="24">
        <v>46477</v>
      </c>
      <c r="W10" s="24" t="str">
        <v>canonical</v>
      </c>
      <c r="X10" s="24" t="str">
        <v>revenue</v>
      </c>
      <c r="Y10" s="24" t="str">
        <v>forecast</v>
      </c>
      <c r="Z10" s="28" t="str">
        <v>10595.0233615048</v>
      </c>
      <c r="AA10" s="28" t="str">
        <v>0.161448709470615</v>
      </c>
      <c r="AB10" s="28" t="str">
        <v>-814.251513018152</v>
      </c>
      <c r="AC10" s="28" t="str">
        <v>0.319101514131569</v>
      </c>
      <c r="AD10" s="28" t="str">
        <v>-0.221922528842793</v>
      </c>
    </row>
    <row r="11" spans="1:30" x14ac:dyDescent="0.25">
      <c r="C11" s="4" t="s">
        <v>28</v>
      </c>
      <c r="D11" s="1"/>
      <c r="E11" s="6"/>
      <c r="F11" s="6"/>
      <c r="G11" s="6"/>
      <c r="H11" s="6"/>
      <c r="I11" s="6"/>
      <c r="J11" s="6"/>
      <c r="K11" s="6"/>
      <c r="L11" s="12">
        <f t="shared" ref="L11:S11" si="5">(1+H9)*(1+L9)-1</f>
        <v>0.25650801203943874</v>
      </c>
      <c r="M11" s="12">
        <f t="shared" si="5"/>
        <v>0.23101067397628983</v>
      </c>
      <c r="N11" s="12">
        <f t="shared" si="5"/>
        <v>0.30810087022492505</v>
      </c>
      <c r="O11" s="12">
        <f t="shared" si="5"/>
        <v>0.28960375211883171</v>
      </c>
      <c r="P11" s="12">
        <f t="shared" si="5"/>
        <v>0.31910151413156873</v>
      </c>
      <c r="Q11" s="12">
        <f t="shared" si="5"/>
        <v>0.36060002388193002</v>
      </c>
      <c r="R11" s="12">
        <f t="shared" si="5"/>
        <v>0.22715968557974664</v>
      </c>
      <c r="S11" s="12">
        <f t="shared" si="5"/>
        <v>0.36841362356761675</v>
      </c>
      <c r="U11" s="24" t="str">
        <v>GEV US EQUITY</v>
      </c>
      <c r="V11" s="24">
        <v>46568</v>
      </c>
      <c r="W11" s="24" t="str">
        <v>canonical</v>
      </c>
      <c r="X11" s="24" t="str">
        <v>revenue</v>
      </c>
      <c r="Y11" s="24" t="str">
        <v>forecast</v>
      </c>
      <c r="Z11" s="28" t="str">
        <v>12396.4268175883</v>
      </c>
      <c r="AA11" s="28" t="str">
        <v>0.227464810745189</v>
      </c>
      <c r="AB11" s="28" t="str">
        <v>660.161012745739</v>
      </c>
      <c r="AC11" s="28" t="str">
        <v>0.36060002388193</v>
      </c>
      <c r="AD11" s="28" t="str">
        <v>0.170023547340972</v>
      </c>
    </row>
    <row r="12" spans="1:30" x14ac:dyDescent="0.25">
      <c r="C12" s="4" t="s">
        <v>5</v>
      </c>
      <c r="D12" s="1"/>
      <c r="E12" s="12">
        <f t="shared" ref="E12:S12" si="6">E8/D8-1</f>
        <v>0.13002754820936646</v>
      </c>
      <c r="F12" s="12">
        <f t="shared" si="6"/>
        <v>8.6421257922964401E-2</v>
      </c>
      <c r="G12" s="12">
        <f t="shared" si="6"/>
        <v>0.18467407158083704</v>
      </c>
      <c r="H12" s="12">
        <f t="shared" si="6"/>
        <v>-0.23932190548347376</v>
      </c>
      <c r="I12" s="12">
        <f t="shared" si="6"/>
        <v>0.13433764940239046</v>
      </c>
      <c r="J12" s="12">
        <f t="shared" si="6"/>
        <v>9.4171880144879871E-2</v>
      </c>
      <c r="K12" s="12">
        <f t="shared" si="6"/>
        <v>9.900692145651524E-2</v>
      </c>
      <c r="L12" s="12">
        <f t="shared" si="6"/>
        <v>-0.16737420888952848</v>
      </c>
      <c r="M12" s="12">
        <f t="shared" si="6"/>
        <v>0.1070967796497615</v>
      </c>
      <c r="N12" s="12">
        <f t="shared" si="6"/>
        <v>0.15445675895679489</v>
      </c>
      <c r="O12" s="12">
        <f t="shared" si="6"/>
        <v>0.16792226236027652</v>
      </c>
      <c r="P12" s="12">
        <f t="shared" si="6"/>
        <v>-0.22192252884279295</v>
      </c>
      <c r="Q12" s="12">
        <f t="shared" si="6"/>
        <v>0.17002354734097169</v>
      </c>
      <c r="R12" s="12">
        <f t="shared" si="6"/>
        <v>-1.313861763880908E-2</v>
      </c>
      <c r="S12" s="12">
        <f t="shared" si="6"/>
        <v>0.22550965566124814</v>
      </c>
      <c r="U12" s="24" t="str">
        <v>GEV US EQUITY</v>
      </c>
      <c r="V12" s="24">
        <v>46660</v>
      </c>
      <c r="W12" s="24" t="str">
        <v>canonical</v>
      </c>
      <c r="X12" s="24" t="str">
        <v>revenue</v>
      </c>
      <c r="Y12" s="24" t="str">
        <v>forecast</v>
      </c>
      <c r="Z12" s="28" t="str">
        <v>12233.5549055445</v>
      </c>
      <c r="AA12" s="28" t="str">
        <v>0.0492706725770475</v>
      </c>
      <c r="AB12" s="28" t="str">
        <v>-1781.94138168141</v>
      </c>
      <c r="AC12" s="28" t="str">
        <v>0.227159685579747</v>
      </c>
      <c r="AD12" s="28" t="str">
        <v>-0.0131386176388091</v>
      </c>
    </row>
    <row r="13" spans="1:30" x14ac:dyDescent="0.25">
      <c r="U13" s="24" t="str">
        <v>GEV US EQUITY</v>
      </c>
      <c r="V13" s="24">
        <v>46752</v>
      </c>
      <c r="W13" s="24" t="str">
        <v>canonical</v>
      </c>
      <c r="X13" s="24" t="str">
        <v>revenue</v>
      </c>
      <c r="Y13" s="24" t="str">
        <v>forecast</v>
      </c>
      <c r="Z13" s="28" t="str">
        <v>14992.3396598068</v>
      </c>
      <c r="AA13" s="28" t="str">
        <v>0.101007645874188</v>
      </c>
      <c r="AB13" s="28" t="str">
        <v>517.369732971407</v>
      </c>
      <c r="AC13" s="28" t="str">
        <v>0.368413623567617</v>
      </c>
      <c r="AD13" s="28" t="str">
        <v>0.225509655661248</v>
      </c>
    </row>
    <row r="14" spans="1:30" x14ac:dyDescent="0.25">
      <c r="C14" s="13" t="s">
        <v>10</v>
      </c>
      <c r="D14" s="14">
        <f>EOMONTH(DATE(YEAR(D16),ROUNDUP(MONTH(D16)/3,0)*3,1),0)</f>
        <v>45382</v>
      </c>
      <c r="E14" s="14">
        <f>EOMONTH(DATE(YEAR(E16),ROUNDUP(MONTH(E16)/3,0)*3,1),0)</f>
        <v>45473</v>
      </c>
      <c r="F14" s="14">
        <f>EOMONTH(DATE(YEAR(F16),ROUNDUP(MONTH(F16)/3,0)*3,1),0)</f>
        <v>45565</v>
      </c>
      <c r="G14" s="14">
        <f t="shared" ref="G14:K14" si="7">EOMONTH(DATE(YEAR(G16),ROUNDUP(MONTH(G16)/3,0)*3,1),0)</f>
        <v>45657</v>
      </c>
      <c r="H14" s="14">
        <f t="shared" si="7"/>
        <v>45747</v>
      </c>
      <c r="I14" s="14">
        <f t="shared" si="7"/>
        <v>45838</v>
      </c>
      <c r="J14" s="14">
        <f t="shared" si="7"/>
        <v>45930</v>
      </c>
      <c r="K14" s="14">
        <f t="shared" si="7"/>
        <v>46022</v>
      </c>
      <c r="L14" s="14">
        <f>EOMONTH(DATE(YEAR(L16),ROUNDUP(MONTH(L16)/3,0)*3,1),0)</f>
        <v>46112</v>
      </c>
      <c r="M14" s="14">
        <f>EOMONTH(DATE(YEAR(M16),ROUNDUP(MONTH(M16)/3,0)*3,1),0)</f>
        <v>46203</v>
      </c>
      <c r="N14" s="14">
        <f>EOMONTH(DATE(YEAR(N16),ROUNDUP(MONTH(N16)/3,0)*3,1),0)</f>
        <v>46295</v>
      </c>
      <c r="O14" s="14">
        <f>EOMONTH(DATE(YEAR(O16),ROUNDUP(MONTH(O16)/3,0)*3,1),0)</f>
        <v>46387</v>
      </c>
      <c r="P14" s="14">
        <f t="shared" ref="P14:S14" si="8">EOMONTH(DATE(YEAR(P16),ROUNDUP(MONTH(P16)/3,0)*3,1),0)</f>
        <v>46477</v>
      </c>
      <c r="Q14" s="14">
        <f t="shared" si="8"/>
        <v>46568</v>
      </c>
      <c r="R14" s="14">
        <f t="shared" si="8"/>
        <v>46660</v>
      </c>
      <c r="S14" s="14">
        <f t="shared" si="8"/>
        <v>46752</v>
      </c>
      <c r="T14" s="1"/>
      <c r="U14" s="24" t="str" cm="1">
        <f t="array" ref="U14:AD25">_xlfn.LET(
  _xlpm.d, H14:S14,
  _xlpm.s, H15:S15,
  _xlpm.v, H17:S17,
  _xlpm.yy, H18:S18,
  _xlpm.qq, H19:S19,
  _xlpm.dyy, H20:S20,
  _xlpm.dqq, H21:S21,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GEV US EQUITY</v>
      </c>
      <c r="V14" s="24">
        <v>45747</v>
      </c>
      <c r="W14" s="24" t="str">
        <v>canonical</v>
      </c>
      <c r="X14" s="24" t="str">
        <v>ebitda_margin</v>
      </c>
      <c r="Y14" s="24" t="str">
        <v>actual</v>
      </c>
      <c r="Z14" s="28" t="str">
        <v>5.7</v>
      </c>
      <c r="AA14" s="28" t="str">
        <v>310</v>
      </c>
      <c r="AB14" s="28" t="str">
        <v/>
      </c>
      <c r="AC14" s="28" t="str">
        <v/>
      </c>
      <c r="AD14" s="28" t="str">
        <v>-450</v>
      </c>
    </row>
    <row r="15" spans="1:30" x14ac:dyDescent="0.25">
      <c r="C15" s="13" t="s">
        <v>22</v>
      </c>
      <c r="D15" s="2" t="str">
        <f>+D$6</f>
        <v>actual</v>
      </c>
      <c r="E15" s="2" t="str">
        <f t="shared" ref="E15:S15" si="9">+E$6</f>
        <v>actual</v>
      </c>
      <c r="F15" s="2" t="str">
        <f t="shared" si="9"/>
        <v>actual</v>
      </c>
      <c r="G15" s="2" t="str">
        <f t="shared" si="9"/>
        <v>actual</v>
      </c>
      <c r="H15" s="2" t="str">
        <f t="shared" si="9"/>
        <v>actual</v>
      </c>
      <c r="I15" s="2" t="str">
        <f t="shared" si="9"/>
        <v>actual</v>
      </c>
      <c r="J15" s="2" t="str">
        <f t="shared" si="9"/>
        <v>actual</v>
      </c>
      <c r="K15" s="2" t="str">
        <f t="shared" si="9"/>
        <v>actual</v>
      </c>
      <c r="L15" s="2" t="str">
        <f t="shared" si="9"/>
        <v>forecast</v>
      </c>
      <c r="M15" s="2" t="str">
        <f t="shared" si="9"/>
        <v>forecast</v>
      </c>
      <c r="N15" s="2" t="str">
        <f t="shared" si="9"/>
        <v>forecast</v>
      </c>
      <c r="O15" s="2" t="str">
        <f t="shared" si="9"/>
        <v>forecast</v>
      </c>
      <c r="P15" s="2" t="str">
        <f t="shared" si="9"/>
        <v>forecast</v>
      </c>
      <c r="Q15" s="2" t="str">
        <f t="shared" si="9"/>
        <v>forecast</v>
      </c>
      <c r="R15" s="2" t="str">
        <f t="shared" si="9"/>
        <v>forecast</v>
      </c>
      <c r="S15" s="2" t="str">
        <f t="shared" si="9"/>
        <v>forecast</v>
      </c>
      <c r="U15" s="24" t="str">
        <v>GEV US EQUITY</v>
      </c>
      <c r="V15" s="24">
        <v>45838</v>
      </c>
      <c r="W15" s="24" t="str">
        <v>canonical</v>
      </c>
      <c r="X15" s="24" t="str">
        <v>ebitda_margin</v>
      </c>
      <c r="Y15" s="24" t="str">
        <v>actual</v>
      </c>
      <c r="Z15" s="28" t="str">
        <v>8.5</v>
      </c>
      <c r="AA15" s="28" t="str">
        <v>210</v>
      </c>
      <c r="AB15" s="28" t="str">
        <v>-100</v>
      </c>
      <c r="AC15" s="28" t="str">
        <v/>
      </c>
      <c r="AD15" s="28" t="str">
        <v>280</v>
      </c>
    </row>
    <row r="16" spans="1:30" x14ac:dyDescent="0.25">
      <c r="D16" s="2">
        <f t="shared" ref="D16" si="10">+D$7</f>
        <v>45382</v>
      </c>
      <c r="E16" s="15" cm="1">
        <f t="array" ref="E16:K17">+_xll.BDH($B$2,$C17,$B$3,$B$4,"DIR=H","FA_ADJUSTED=GAAP")</f>
        <v>45473</v>
      </c>
      <c r="F16" s="1">
        <v>45565</v>
      </c>
      <c r="G16" s="1">
        <v>45657</v>
      </c>
      <c r="H16" s="1">
        <v>45747</v>
      </c>
      <c r="I16" s="1">
        <v>45838</v>
      </c>
      <c r="J16" s="1">
        <v>45930</v>
      </c>
      <c r="K16" s="1">
        <v>46022</v>
      </c>
      <c r="L16" s="2">
        <f t="shared" ref="L16:S16" si="11">+L$7</f>
        <v>46112</v>
      </c>
      <c r="M16" s="2">
        <f t="shared" si="11"/>
        <v>46203</v>
      </c>
      <c r="N16" s="2">
        <f t="shared" si="11"/>
        <v>46295</v>
      </c>
      <c r="O16" s="2">
        <f t="shared" si="11"/>
        <v>46387</v>
      </c>
      <c r="P16" s="2">
        <f t="shared" si="11"/>
        <v>46477</v>
      </c>
      <c r="Q16" s="2">
        <f t="shared" si="11"/>
        <v>46568</v>
      </c>
      <c r="R16" s="2">
        <f t="shared" si="11"/>
        <v>46660</v>
      </c>
      <c r="S16" s="2">
        <f t="shared" si="11"/>
        <v>46752</v>
      </c>
      <c r="U16" s="24" t="str">
        <v>GEV US EQUITY</v>
      </c>
      <c r="V16" s="24">
        <v>45930</v>
      </c>
      <c r="W16" s="24" t="str">
        <v>canonical</v>
      </c>
      <c r="X16" s="24" t="str">
        <v>ebitda_margin</v>
      </c>
      <c r="Y16" s="24" t="str">
        <v>actual</v>
      </c>
      <c r="Z16" s="28" t="str">
        <v>8.1</v>
      </c>
      <c r="AA16" s="28" t="str">
        <v>540</v>
      </c>
      <c r="AB16" s="28" t="str">
        <v>330</v>
      </c>
      <c r="AC16" s="28" t="str">
        <v/>
      </c>
      <c r="AD16" s="28" t="str">
        <v>-40</v>
      </c>
    </row>
    <row r="17" spans="1:30" x14ac:dyDescent="0.25">
      <c r="A17" s="16" t="s">
        <v>7</v>
      </c>
      <c r="B17" s="16" t="s">
        <v>62</v>
      </c>
      <c r="C17" s="9" t="s">
        <v>60</v>
      </c>
      <c r="D17" s="26">
        <v>2.6</v>
      </c>
      <c r="E17" s="32">
        <v>6.4</v>
      </c>
      <c r="F17" s="32">
        <v>2.7</v>
      </c>
      <c r="G17" s="32">
        <v>10.199999999999999</v>
      </c>
      <c r="H17" s="32">
        <v>5.7</v>
      </c>
      <c r="I17" s="32">
        <v>8.5</v>
      </c>
      <c r="J17" s="32">
        <v>8.1</v>
      </c>
      <c r="K17" s="32">
        <v>10.6</v>
      </c>
      <c r="L17" s="33">
        <v>8.9970660446249529</v>
      </c>
      <c r="M17" s="33">
        <v>12.694450991873044</v>
      </c>
      <c r="N17" s="33">
        <v>13.995857449628838</v>
      </c>
      <c r="O17" s="33">
        <v>15.909773366894896</v>
      </c>
      <c r="P17" s="33">
        <v>17.312449409842035</v>
      </c>
      <c r="Q17" s="33">
        <v>18.451183978611869</v>
      </c>
      <c r="R17" s="33">
        <v>17.504165516096005</v>
      </c>
      <c r="S17" s="33">
        <v>19.134563436588628</v>
      </c>
      <c r="U17" s="24" t="str">
        <v>GEV US EQUITY</v>
      </c>
      <c r="V17" s="24">
        <v>46022</v>
      </c>
      <c r="W17" s="24" t="str">
        <v>canonical</v>
      </c>
      <c r="X17" s="24" t="str">
        <v>ebitda_margin</v>
      </c>
      <c r="Y17" s="24" t="str">
        <v>actual</v>
      </c>
      <c r="Z17" s="28" t="str">
        <v>10.6</v>
      </c>
      <c r="AA17" s="28" t="str">
        <v>40</v>
      </c>
      <c r="AB17" s="28" t="str">
        <v>-500</v>
      </c>
      <c r="AC17" s="28" t="str">
        <v/>
      </c>
      <c r="AD17" s="28" t="str">
        <v>250</v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" si="12">(H17-D17)*100</f>
        <v>310</v>
      </c>
      <c r="I18" s="7">
        <f t="shared" ref="I18" si="13">(I17-E17)*100</f>
        <v>209.99999999999997</v>
      </c>
      <c r="J18" s="7">
        <f t="shared" ref="J18" si="14">(J17-F17)*100</f>
        <v>540</v>
      </c>
      <c r="K18" s="7">
        <f t="shared" ref="K18" si="15">(K17-G17)*100</f>
        <v>40.000000000000036</v>
      </c>
      <c r="L18" s="7">
        <f t="shared" ref="L18" si="16">(L17-H17)*100</f>
        <v>329.70660446249525</v>
      </c>
      <c r="M18" s="7">
        <f t="shared" ref="M18" si="17">(M17-I17)*100</f>
        <v>419.44509918730438</v>
      </c>
      <c r="N18" s="7">
        <f t="shared" ref="N18" si="18">(N17-J17)*100</f>
        <v>589.58574496288384</v>
      </c>
      <c r="O18" s="7">
        <f t="shared" ref="O18" si="19">(O17-K17)*100</f>
        <v>530.97733668948968</v>
      </c>
      <c r="P18" s="7">
        <f t="shared" ref="P18" si="20">(P17-L17)*100</f>
        <v>831.53833652170817</v>
      </c>
      <c r="Q18" s="7">
        <f t="shared" ref="Q18" si="21">(Q17-M17)*100</f>
        <v>575.67329867388253</v>
      </c>
      <c r="R18" s="7">
        <f t="shared" ref="R18" si="22">(R17-N17)*100</f>
        <v>350.83080664671672</v>
      </c>
      <c r="S18" s="7">
        <f t="shared" ref="S18" si="23">(S17-O17)*100</f>
        <v>322.47900696937324</v>
      </c>
      <c r="U18" s="24" t="str">
        <v>GEV US EQUITY</v>
      </c>
      <c r="V18" s="24">
        <v>46112</v>
      </c>
      <c r="W18" s="24" t="str">
        <v>canonical</v>
      </c>
      <c r="X18" s="24" t="str">
        <v>ebitda_margin</v>
      </c>
      <c r="Y18" s="24" t="str">
        <v>forecast</v>
      </c>
      <c r="Z18" s="28" t="str">
        <v>8.99706604462495</v>
      </c>
      <c r="AA18" s="28" t="str">
        <v>329.706604462495</v>
      </c>
      <c r="AB18" s="28" t="str">
        <v>289.706604462495</v>
      </c>
      <c r="AC18" s="28" t="str">
        <v>19.7066044624952</v>
      </c>
      <c r="AD18" s="28" t="str">
        <v>-160.293395537505</v>
      </c>
    </row>
    <row r="19" spans="1:30" x14ac:dyDescent="0.25">
      <c r="C19" s="4" t="s">
        <v>15</v>
      </c>
      <c r="D19" s="1"/>
      <c r="I19" s="7">
        <f t="shared" ref="I19" si="24">I18-H18</f>
        <v>-100.00000000000003</v>
      </c>
      <c r="J19" s="7">
        <f t="shared" ref="J19" si="25">J18-I18</f>
        <v>330</v>
      </c>
      <c r="K19" s="7">
        <f t="shared" ref="K19" si="26">K18-J18</f>
        <v>-499.99999999999994</v>
      </c>
      <c r="L19" s="7">
        <f>L18-K18</f>
        <v>289.70660446249519</v>
      </c>
      <c r="M19" s="7">
        <f t="shared" ref="M19" si="27">M18-L18</f>
        <v>89.738494724809129</v>
      </c>
      <c r="N19" s="7">
        <f t="shared" ref="N19" si="28">N18-M18</f>
        <v>170.14064577557946</v>
      </c>
      <c r="O19" s="7">
        <f t="shared" ref="O19" si="29">O18-N18</f>
        <v>-58.608408273394161</v>
      </c>
      <c r="P19" s="7">
        <f t="shared" ref="P19" si="30">P18-O18</f>
        <v>300.5609998322185</v>
      </c>
      <c r="Q19" s="7">
        <f t="shared" ref="Q19" si="31">Q18-P18</f>
        <v>-255.86503784782565</v>
      </c>
      <c r="R19" s="7">
        <f t="shared" ref="R19" si="32">R18-Q18</f>
        <v>-224.8424920271658</v>
      </c>
      <c r="S19" s="7">
        <f t="shared" ref="S19" si="33">S18-R18</f>
        <v>-28.351799677343479</v>
      </c>
      <c r="U19" s="24" t="str">
        <v>GEV US EQUITY</v>
      </c>
      <c r="V19" s="24">
        <v>46203</v>
      </c>
      <c r="W19" s="24" t="str">
        <v>canonical</v>
      </c>
      <c r="X19" s="24" t="str">
        <v>ebitda_margin</v>
      </c>
      <c r="Y19" s="24" t="str">
        <v>forecast</v>
      </c>
      <c r="Z19" s="28" t="str">
        <v>12.694450991873</v>
      </c>
      <c r="AA19" s="28" t="str">
        <v>419.445099187304</v>
      </c>
      <c r="AB19" s="28" t="str">
        <v>89.7384947248091</v>
      </c>
      <c r="AC19" s="28" t="str">
        <v>209.445099187304</v>
      </c>
      <c r="AD19" s="28" t="str">
        <v>369.738494724809</v>
      </c>
    </row>
    <row r="20" spans="1:30" x14ac:dyDescent="0.25">
      <c r="C20" s="4" t="s">
        <v>28</v>
      </c>
      <c r="D20" s="1"/>
      <c r="E20" s="6"/>
      <c r="F20" s="6"/>
      <c r="G20" s="6"/>
      <c r="H20" s="6"/>
      <c r="I20" s="6"/>
      <c r="J20" s="6"/>
      <c r="K20" s="6"/>
      <c r="L20" s="7">
        <f>L18-H18</f>
        <v>19.70660446249525</v>
      </c>
      <c r="M20" s="7">
        <f t="shared" ref="M20" si="34">M18-I18</f>
        <v>209.44509918730441</v>
      </c>
      <c r="N20" s="7">
        <f t="shared" ref="N20" si="35">N18-J18</f>
        <v>49.585744962883837</v>
      </c>
      <c r="O20" s="7">
        <f t="shared" ref="O20" si="36">O18-K18</f>
        <v>490.97733668948962</v>
      </c>
      <c r="P20" s="7">
        <f t="shared" ref="P20" si="37">P18-L18</f>
        <v>501.83173205921292</v>
      </c>
      <c r="Q20" s="7">
        <f t="shared" ref="Q20" si="38">Q18-M18</f>
        <v>156.22819948657815</v>
      </c>
      <c r="R20" s="7">
        <f t="shared" ref="R20" si="39">R18-N18</f>
        <v>-238.75493831616711</v>
      </c>
      <c r="S20" s="7">
        <f t="shared" ref="S20" si="40">S18-O18</f>
        <v>-208.49832972011643</v>
      </c>
      <c r="U20" s="24" t="str">
        <v>GEV US EQUITY</v>
      </c>
      <c r="V20" s="24">
        <v>46295</v>
      </c>
      <c r="W20" s="24" t="str">
        <v>canonical</v>
      </c>
      <c r="X20" s="24" t="str">
        <v>ebitda_margin</v>
      </c>
      <c r="Y20" s="24" t="str">
        <v>forecast</v>
      </c>
      <c r="Z20" s="28" t="str">
        <v>13.9958574496288</v>
      </c>
      <c r="AA20" s="28" t="str">
        <v>589.585744962884</v>
      </c>
      <c r="AB20" s="28" t="str">
        <v>170.140645775579</v>
      </c>
      <c r="AC20" s="28" t="str">
        <v>49.5857449628838</v>
      </c>
      <c r="AD20" s="28" t="str">
        <v>130.140645775579</v>
      </c>
    </row>
    <row r="21" spans="1:30" x14ac:dyDescent="0.25">
      <c r="C21" s="4" t="s">
        <v>5</v>
      </c>
      <c r="D21" s="1"/>
      <c r="E21" s="7">
        <f t="shared" ref="E21" si="41">(E17-D17)*100</f>
        <v>380</v>
      </c>
      <c r="F21" s="7">
        <f t="shared" ref="F21" si="42">(F17-E17)*100</f>
        <v>-370</v>
      </c>
      <c r="G21" s="7">
        <f t="shared" ref="G21" si="43">(G17-F17)*100</f>
        <v>749.99999999999989</v>
      </c>
      <c r="H21" s="7">
        <f t="shared" ref="H21" si="44">(H17-G17)*100</f>
        <v>-449.99999999999989</v>
      </c>
      <c r="I21" s="7">
        <f t="shared" ref="I21" si="45">(I17-H17)*100</f>
        <v>280</v>
      </c>
      <c r="J21" s="7">
        <f t="shared" ref="J21" si="46">(J17-I17)*100</f>
        <v>-40.000000000000036</v>
      </c>
      <c r="K21" s="7">
        <f t="shared" ref="K21" si="47">(K17-J17)*100</f>
        <v>250</v>
      </c>
      <c r="L21" s="7">
        <f>(L17-K17)*100</f>
        <v>-160.29339553750469</v>
      </c>
      <c r="M21" s="7">
        <f t="shared" ref="M21" si="48">(M17-L17)*100</f>
        <v>369.73849472480913</v>
      </c>
      <c r="N21" s="7">
        <f t="shared" ref="N21" si="49">(N17-M17)*100</f>
        <v>130.14064577557943</v>
      </c>
      <c r="O21" s="7">
        <f t="shared" ref="O21" si="50">(O17-N17)*100</f>
        <v>191.39159172660581</v>
      </c>
      <c r="P21" s="7">
        <f t="shared" ref="P21" si="51">(P17-O17)*100</f>
        <v>140.26760429471386</v>
      </c>
      <c r="Q21" s="7">
        <f t="shared" ref="Q21" si="52">(Q17-P17)*100</f>
        <v>113.87345687698343</v>
      </c>
      <c r="R21" s="7">
        <f t="shared" ref="R21" si="53">(R17-Q17)*100</f>
        <v>-94.701846251586375</v>
      </c>
      <c r="S21" s="7">
        <f t="shared" ref="S21" si="54">(S17-R17)*100</f>
        <v>163.0397920492623</v>
      </c>
      <c r="U21" s="24" t="str">
        <v>GEV US EQUITY</v>
      </c>
      <c r="V21" s="24">
        <v>46387</v>
      </c>
      <c r="W21" s="24" t="str">
        <v>canonical</v>
      </c>
      <c r="X21" s="24" t="str">
        <v>ebitda_margin</v>
      </c>
      <c r="Y21" s="24" t="str">
        <v>forecast</v>
      </c>
      <c r="Z21" s="28" t="str">
        <v>15.9097733668949</v>
      </c>
      <c r="AA21" s="28" t="str">
        <v>530.97733668949</v>
      </c>
      <c r="AB21" s="28" t="str">
        <v>-58.6084082733942</v>
      </c>
      <c r="AC21" s="28" t="str">
        <v>490.97733668949</v>
      </c>
      <c r="AD21" s="28" t="str">
        <v>191.391591726606</v>
      </c>
    </row>
    <row r="22" spans="1:30" x14ac:dyDescent="0.25">
      <c r="T22" s="1"/>
      <c r="U22" s="24" t="str">
        <v>GEV US EQUITY</v>
      </c>
      <c r="V22" s="24">
        <v>46477</v>
      </c>
      <c r="W22" s="24" t="str">
        <v>canonical</v>
      </c>
      <c r="X22" s="24" t="str">
        <v>ebitda_margin</v>
      </c>
      <c r="Y22" s="24" t="str">
        <v>forecast</v>
      </c>
      <c r="Z22" s="28" t="str">
        <v>17.312449409842</v>
      </c>
      <c r="AA22" s="28" t="str">
        <v>831.538336521708</v>
      </c>
      <c r="AB22" s="28" t="str">
        <v>300.560999832218</v>
      </c>
      <c r="AC22" s="28" t="str">
        <v>501.831732059213</v>
      </c>
      <c r="AD22" s="28" t="str">
        <v>140.267604294714</v>
      </c>
    </row>
    <row r="23" spans="1:30" x14ac:dyDescent="0.25">
      <c r="C23" s="13" t="s">
        <v>10</v>
      </c>
      <c r="D23" s="14">
        <f>EOMONTH(DATE(YEAR(D25),ROUNDUP(MONTH(D25)/3,0)*3,1),0)</f>
        <v>45382</v>
      </c>
      <c r="E23" s="14">
        <f>EOMONTH(DATE(YEAR(E25),ROUNDUP(MONTH(E25)/3,0)*3,1),0)</f>
        <v>45473</v>
      </c>
      <c r="F23" s="14">
        <f>EOMONTH(DATE(YEAR(F25),ROUNDUP(MONTH(F25)/3,0)*3,1),0)</f>
        <v>45565</v>
      </c>
      <c r="G23" s="14">
        <f t="shared" ref="G23:K23" si="55">EOMONTH(DATE(YEAR(G25),ROUNDUP(MONTH(G25)/3,0)*3,1),0)</f>
        <v>45657</v>
      </c>
      <c r="H23" s="14">
        <f t="shared" si="55"/>
        <v>45747</v>
      </c>
      <c r="I23" s="14">
        <f t="shared" si="55"/>
        <v>45838</v>
      </c>
      <c r="J23" s="14">
        <f t="shared" si="55"/>
        <v>45930</v>
      </c>
      <c r="K23" s="14">
        <f t="shared" si="55"/>
        <v>46022</v>
      </c>
      <c r="L23" s="14">
        <f>EOMONTH(DATE(YEAR(L25),ROUNDUP(MONTH(L25)/3,0)*3,1),0)</f>
        <v>46112</v>
      </c>
      <c r="M23" s="14">
        <f>EOMONTH(DATE(YEAR(M25),ROUNDUP(MONTH(M25)/3,0)*3,1),0)</f>
        <v>46203</v>
      </c>
      <c r="N23" s="14">
        <f>EOMONTH(DATE(YEAR(N25),ROUNDUP(MONTH(N25)/3,0)*3,1),0)</f>
        <v>46295</v>
      </c>
      <c r="O23" s="14">
        <f>EOMONTH(DATE(YEAR(O25),ROUNDUP(MONTH(O25)/3,0)*3,1),0)</f>
        <v>46387</v>
      </c>
      <c r="P23" s="14">
        <f t="shared" ref="P23:S23" si="56">EOMONTH(DATE(YEAR(P25),ROUNDUP(MONTH(P25)/3,0)*3,1),0)</f>
        <v>46477</v>
      </c>
      <c r="Q23" s="14">
        <f t="shared" si="56"/>
        <v>46568</v>
      </c>
      <c r="R23" s="14">
        <f t="shared" si="56"/>
        <v>46660</v>
      </c>
      <c r="S23" s="14">
        <f t="shared" si="56"/>
        <v>46752</v>
      </c>
      <c r="U23" s="24" t="str">
        <v>GEV US EQUITY</v>
      </c>
      <c r="V23" s="24">
        <v>46568</v>
      </c>
      <c r="W23" s="24" t="str">
        <v>canonical</v>
      </c>
      <c r="X23" s="24" t="str">
        <v>ebitda_margin</v>
      </c>
      <c r="Y23" s="24" t="str">
        <v>forecast</v>
      </c>
      <c r="Z23" s="28" t="str">
        <v>18.4511839786119</v>
      </c>
      <c r="AA23" s="28" t="str">
        <v>575.673298673883</v>
      </c>
      <c r="AB23" s="28" t="str">
        <v>-255.865037847826</v>
      </c>
      <c r="AC23" s="28" t="str">
        <v>156.228199486578</v>
      </c>
      <c r="AD23" s="28" t="str">
        <v>113.873456876983</v>
      </c>
    </row>
    <row r="24" spans="1:30" x14ac:dyDescent="0.25">
      <c r="C24" s="13" t="s">
        <v>22</v>
      </c>
      <c r="D24" s="2" t="str">
        <f>+D$6</f>
        <v>actual</v>
      </c>
      <c r="E24" s="2" t="str">
        <f t="shared" ref="E24:S24" si="57">+E$6</f>
        <v>actual</v>
      </c>
      <c r="F24" s="2" t="str">
        <f t="shared" si="57"/>
        <v>actual</v>
      </c>
      <c r="G24" s="2" t="str">
        <f t="shared" si="57"/>
        <v>actual</v>
      </c>
      <c r="H24" s="2" t="str">
        <f t="shared" si="57"/>
        <v>actual</v>
      </c>
      <c r="I24" s="2" t="str">
        <f t="shared" si="57"/>
        <v>actual</v>
      </c>
      <c r="J24" s="2" t="str">
        <f t="shared" si="57"/>
        <v>actual</v>
      </c>
      <c r="K24" s="2" t="str">
        <f t="shared" si="57"/>
        <v>actual</v>
      </c>
      <c r="L24" s="2" t="str">
        <f t="shared" si="57"/>
        <v>forecast</v>
      </c>
      <c r="M24" s="2" t="str">
        <f t="shared" si="57"/>
        <v>forecast</v>
      </c>
      <c r="N24" s="2" t="str">
        <f t="shared" si="57"/>
        <v>forecast</v>
      </c>
      <c r="O24" s="2" t="str">
        <f t="shared" si="57"/>
        <v>forecast</v>
      </c>
      <c r="P24" s="2" t="str">
        <f t="shared" si="57"/>
        <v>forecast</v>
      </c>
      <c r="Q24" s="2" t="str">
        <f t="shared" si="57"/>
        <v>forecast</v>
      </c>
      <c r="R24" s="2" t="str">
        <f t="shared" si="57"/>
        <v>forecast</v>
      </c>
      <c r="S24" s="2" t="str">
        <f t="shared" si="57"/>
        <v>forecast</v>
      </c>
      <c r="U24" s="24" t="str">
        <v>GEV US EQUITY</v>
      </c>
      <c r="V24" s="24">
        <v>46660</v>
      </c>
      <c r="W24" s="24" t="str">
        <v>canonical</v>
      </c>
      <c r="X24" s="24" t="str">
        <v>ebitda_margin</v>
      </c>
      <c r="Y24" s="24" t="str">
        <v>forecast</v>
      </c>
      <c r="Z24" s="28" t="str">
        <v>17.504165516096</v>
      </c>
      <c r="AA24" s="28" t="str">
        <v>350.830806646717</v>
      </c>
      <c r="AB24" s="28" t="str">
        <v>-224.842492027166</v>
      </c>
      <c r="AC24" s="28" t="str">
        <v>-238.754938316167</v>
      </c>
      <c r="AD24" s="28" t="str">
        <v>-94.7018462515864</v>
      </c>
    </row>
    <row r="25" spans="1:30" x14ac:dyDescent="0.25">
      <c r="D25" s="2">
        <f t="shared" ref="D25" si="58">+D$7</f>
        <v>45382</v>
      </c>
      <c r="E25" s="1" cm="1">
        <f t="array" ref="E25:K26">+_xll.BDH($B$2,C26,$B$3,$B$4,"DIR=H")</f>
        <v>45473</v>
      </c>
      <c r="F25" s="1">
        <v>45565</v>
      </c>
      <c r="G25" s="1">
        <v>45657</v>
      </c>
      <c r="H25" s="1">
        <v>45747</v>
      </c>
      <c r="I25" s="1">
        <v>45838</v>
      </c>
      <c r="J25" s="1">
        <v>45930</v>
      </c>
      <c r="K25" s="1">
        <v>46022</v>
      </c>
      <c r="L25" s="2">
        <f t="shared" ref="L25:S25" si="59">+L$7</f>
        <v>46112</v>
      </c>
      <c r="M25" s="2">
        <f t="shared" si="59"/>
        <v>46203</v>
      </c>
      <c r="N25" s="2">
        <f t="shared" si="59"/>
        <v>46295</v>
      </c>
      <c r="O25" s="2">
        <f t="shared" si="59"/>
        <v>46387</v>
      </c>
      <c r="P25" s="2">
        <f t="shared" si="59"/>
        <v>46477</v>
      </c>
      <c r="Q25" s="2">
        <f t="shared" si="59"/>
        <v>46568</v>
      </c>
      <c r="R25" s="2">
        <f t="shared" si="59"/>
        <v>46660</v>
      </c>
      <c r="S25" s="2">
        <f t="shared" si="59"/>
        <v>46752</v>
      </c>
      <c r="U25" s="24" t="str">
        <v>GEV US EQUITY</v>
      </c>
      <c r="V25" s="24">
        <v>46752</v>
      </c>
      <c r="W25" s="24" t="str">
        <v>canonical</v>
      </c>
      <c r="X25" s="24" t="str">
        <v>ebitda_margin</v>
      </c>
      <c r="Y25" s="24" t="str">
        <v>forecast</v>
      </c>
      <c r="Z25" s="28" t="str">
        <v>19.1345634365886</v>
      </c>
      <c r="AA25" s="28" t="str">
        <v>322.479006969373</v>
      </c>
      <c r="AB25" s="28" t="str">
        <v>-28.3517996773435</v>
      </c>
      <c r="AC25" s="28" t="str">
        <v>-208.498329720116</v>
      </c>
      <c r="AD25" s="28" t="str">
        <v>163.039792049262</v>
      </c>
    </row>
    <row r="26" spans="1:30" x14ac:dyDescent="0.25">
      <c r="A26" s="16" t="s">
        <v>7</v>
      </c>
      <c r="B26" s="16" t="s">
        <v>61</v>
      </c>
      <c r="C26" s="2" t="s">
        <v>29</v>
      </c>
      <c r="D26" s="26">
        <v>217</v>
      </c>
      <c r="E26" s="11">
        <v>157</v>
      </c>
      <c r="F26" s="11">
        <v>159</v>
      </c>
      <c r="G26" s="11">
        <v>350</v>
      </c>
      <c r="H26" s="11">
        <v>186</v>
      </c>
      <c r="I26" s="11">
        <v>173</v>
      </c>
      <c r="J26" s="11">
        <v>248</v>
      </c>
      <c r="K26" s="11">
        <v>670</v>
      </c>
      <c r="L26" s="34">
        <v>329.66249999999997</v>
      </c>
      <c r="M26" s="34">
        <v>316.66249999999997</v>
      </c>
      <c r="N26" s="34">
        <v>390.66249999999997</v>
      </c>
      <c r="O26" s="34">
        <v>814.66250000000014</v>
      </c>
      <c r="P26" s="34">
        <v>237.07999999999998</v>
      </c>
      <c r="Q26" s="34">
        <v>224.07999999999998</v>
      </c>
      <c r="R26" s="34">
        <v>298.08</v>
      </c>
      <c r="S26" s="34">
        <v>722.08000000000015</v>
      </c>
      <c r="U26" s="24" t="str" cm="1">
        <f t="array" ref="U26:AD37">_xlfn.LET(
  _xlpm.d, H23:S23,
  _xlpm.s, H24:S24,
  _xlpm.v, H26:S26,
  _xlpm.yy, H27:S27,
  _xlpm.qq, H28:S28,
  _xlpm.dyy, H29:S29,
  _xlpm.dqq, H30:S30,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GEV US EQUITY</v>
      </c>
      <c r="V26" s="24">
        <v>45747</v>
      </c>
      <c r="W26" s="24" t="str">
        <v>canonical</v>
      </c>
      <c r="X26" s="24" t="str">
        <v>capex</v>
      </c>
      <c r="Y26" s="24" t="str">
        <v>actual</v>
      </c>
      <c r="Z26" s="28" t="str">
        <v>186</v>
      </c>
      <c r="AA26" s="28" t="str">
        <v>-0.142857142857143</v>
      </c>
      <c r="AB26" s="28" t="str">
        <v/>
      </c>
      <c r="AC26" s="28" t="str">
        <v/>
      </c>
      <c r="AD26" s="28" t="str">
        <v>-0.468571428571429</v>
      </c>
    </row>
    <row r="27" spans="1:30" x14ac:dyDescent="0.25">
      <c r="C27" s="4" t="s">
        <v>4</v>
      </c>
      <c r="D27" s="5"/>
      <c r="E27" s="4"/>
      <c r="F27" s="4"/>
      <c r="G27" s="12"/>
      <c r="H27" s="12">
        <f t="shared" ref="H27" si="60">+H26/D26-1</f>
        <v>-0.1428571428571429</v>
      </c>
      <c r="I27" s="12">
        <f t="shared" ref="I27" si="61">+I26/E26-1</f>
        <v>0.10191082802547768</v>
      </c>
      <c r="J27" s="12">
        <f t="shared" ref="J27" si="62">+J26/F26-1</f>
        <v>0.55974842767295607</v>
      </c>
      <c r="K27" s="12">
        <f t="shared" ref="K27" si="63">+K26/G26-1</f>
        <v>0.91428571428571437</v>
      </c>
      <c r="L27" s="12">
        <f t="shared" ref="L27" si="64">+L26/H26-1</f>
        <v>0.77237903225806437</v>
      </c>
      <c r="M27" s="12">
        <f t="shared" ref="M27" si="65">+M26/I26-1</f>
        <v>0.83041907514450841</v>
      </c>
      <c r="N27" s="12">
        <f t="shared" ref="N27" si="66">+N26/J26-1</f>
        <v>0.57525201612903221</v>
      </c>
      <c r="O27" s="12">
        <f t="shared" ref="O27" si="67">+O26/K26-1</f>
        <v>0.21591417910447785</v>
      </c>
      <c r="P27" s="12">
        <f t="shared" ref="P27" si="68">+P26/L26-1</f>
        <v>-0.28084025328934892</v>
      </c>
      <c r="Q27" s="12">
        <f t="shared" ref="Q27" si="69">+Q26/M26-1</f>
        <v>-0.29236963644258473</v>
      </c>
      <c r="R27" s="12">
        <f t="shared" ref="R27" si="70">+R26/N26-1</f>
        <v>-0.2369884491088855</v>
      </c>
      <c r="S27" s="12">
        <f t="shared" ref="S27" si="71">+S26/O26-1</f>
        <v>-0.1136452211805502</v>
      </c>
      <c r="U27" s="24" t="str">
        <v>GEV US EQUITY</v>
      </c>
      <c r="V27" s="24">
        <v>45838</v>
      </c>
      <c r="W27" s="24" t="str">
        <v>canonical</v>
      </c>
      <c r="X27" s="24" t="str">
        <v>capex</v>
      </c>
      <c r="Y27" s="24" t="str">
        <v>actual</v>
      </c>
      <c r="Z27" s="28" t="str">
        <v>173</v>
      </c>
      <c r="AA27" s="28" t="str">
        <v>0.101910828025478</v>
      </c>
      <c r="AB27" s="28" t="str">
        <v>2447.67970882621</v>
      </c>
      <c r="AC27" s="28" t="str">
        <v/>
      </c>
      <c r="AD27" s="28" t="str">
        <v>-0.0698924731182796</v>
      </c>
    </row>
    <row r="28" spans="1:30" x14ac:dyDescent="0.25">
      <c r="C28" s="4" t="s">
        <v>15</v>
      </c>
      <c r="D28" s="1"/>
      <c r="H28" s="7"/>
      <c r="I28" s="7">
        <f t="shared" ref="I28" si="72">(I27-H27)*10000</f>
        <v>2447.679708826206</v>
      </c>
      <c r="J28" s="7">
        <f t="shared" ref="J28" si="73">(J27-I27)*10000</f>
        <v>4578.3759964747842</v>
      </c>
      <c r="K28" s="7">
        <f>(K27-J27)*10000</f>
        <v>3545.3728661275832</v>
      </c>
      <c r="L28" s="7">
        <f>(L27-K27)*10000</f>
        <v>-1419.0668202765</v>
      </c>
      <c r="M28" s="7">
        <f>(M27-L27)*10000</f>
        <v>580.40042886444041</v>
      </c>
      <c r="N28" s="7">
        <f>(N27-M27)*10000</f>
        <v>-2551.6705901547621</v>
      </c>
      <c r="O28" s="7">
        <f>(O27-N27)*10000</f>
        <v>-3593.3783702455435</v>
      </c>
      <c r="P28" s="7">
        <f t="shared" ref="P28" si="74">(P27-O27)*10000</f>
        <v>-4967.5443239382676</v>
      </c>
      <c r="Q28" s="7">
        <f t="shared" ref="Q28" si="75">(Q27-P27)*10000</f>
        <v>-115.29383153235817</v>
      </c>
      <c r="R28" s="7">
        <f t="shared" ref="R28" si="76">(R27-Q27)*10000</f>
        <v>553.81187333699233</v>
      </c>
      <c r="S28" s="7">
        <f t="shared" ref="S28" si="77">(S27-R27)*10000</f>
        <v>1233.432279283353</v>
      </c>
      <c r="U28" s="24" t="str">
        <v>GEV US EQUITY</v>
      </c>
      <c r="V28" s="24">
        <v>45930</v>
      </c>
      <c r="W28" s="24" t="str">
        <v>canonical</v>
      </c>
      <c r="X28" s="24" t="str">
        <v>capex</v>
      </c>
      <c r="Y28" s="24" t="str">
        <v>actual</v>
      </c>
      <c r="Z28" s="28" t="str">
        <v>248</v>
      </c>
      <c r="AA28" s="28" t="str">
        <v>0.559748427672956</v>
      </c>
      <c r="AB28" s="28" t="str">
        <v>4578.37599647478</v>
      </c>
      <c r="AC28" s="28" t="str">
        <v/>
      </c>
      <c r="AD28" s="28" t="str">
        <v>0.433526011560694</v>
      </c>
    </row>
    <row r="29" spans="1:30" x14ac:dyDescent="0.25">
      <c r="C29" s="4" t="s">
        <v>28</v>
      </c>
      <c r="D29" s="1"/>
      <c r="E29" s="6"/>
      <c r="F29" s="6"/>
      <c r="G29" s="6"/>
      <c r="H29" s="6"/>
      <c r="I29" s="6"/>
      <c r="J29" s="6"/>
      <c r="K29" s="6"/>
      <c r="L29" s="12">
        <f t="shared" ref="L29" si="78">(1+H27)*(1+L27)-1</f>
        <v>0.5191820276497694</v>
      </c>
      <c r="M29" s="12">
        <f t="shared" ref="M29" si="79">(1+I27)*(1+M27)-1</f>
        <v>1.0169585987261143</v>
      </c>
      <c r="N29" s="12">
        <f t="shared" ref="N29" si="80">(1+J27)*(1+N27)-1</f>
        <v>1.4569968553459121</v>
      </c>
      <c r="O29" s="12">
        <f t="shared" ref="O29" si="81">(1+K27)*(1+O27)-1</f>
        <v>1.3276071428571434</v>
      </c>
      <c r="P29" s="12">
        <f t="shared" ref="P29" si="82">(1+L27)*(1+P27)-1</f>
        <v>0.27462365591397853</v>
      </c>
      <c r="Q29" s="12">
        <f t="shared" ref="Q29" si="83">(1+M27)*(1+Q27)-1</f>
        <v>0.29526011560693632</v>
      </c>
      <c r="R29" s="12">
        <f t="shared" ref="R29" si="84">(1+N27)*(1+R27)-1</f>
        <v>0.20193548387096771</v>
      </c>
      <c r="S29" s="12">
        <f t="shared" ref="S29" si="85">(1+O27)*(1+S27)-1</f>
        <v>7.7731343283582444E-2</v>
      </c>
      <c r="U29" s="24" t="str">
        <v>GEV US EQUITY</v>
      </c>
      <c r="V29" s="24">
        <v>46022</v>
      </c>
      <c r="W29" s="24" t="str">
        <v>canonical</v>
      </c>
      <c r="X29" s="24" t="str">
        <v>capex</v>
      </c>
      <c r="Y29" s="24" t="str">
        <v>actual</v>
      </c>
      <c r="Z29" s="28" t="str">
        <v>670</v>
      </c>
      <c r="AA29" s="28" t="str">
        <v>0.914285714285714</v>
      </c>
      <c r="AB29" s="28" t="str">
        <v>3545.37286612758</v>
      </c>
      <c r="AC29" s="28" t="str">
        <v/>
      </c>
      <c r="AD29" s="28" t="str">
        <v>1.70161290322581</v>
      </c>
    </row>
    <row r="30" spans="1:30" x14ac:dyDescent="0.25">
      <c r="C30" s="4" t="s">
        <v>5</v>
      </c>
      <c r="D30" s="1"/>
      <c r="E30" s="12">
        <f t="shared" ref="E30" si="86">E26/D26-1</f>
        <v>-0.27649769585253459</v>
      </c>
      <c r="F30" s="12">
        <f t="shared" ref="F30" si="87">F26/E26-1</f>
        <v>1.2738853503184711E-2</v>
      </c>
      <c r="G30" s="12">
        <f t="shared" ref="G30" si="88">G26/F26-1</f>
        <v>1.2012578616352201</v>
      </c>
      <c r="H30" s="12">
        <f t="shared" ref="H30" si="89">H26/G26-1</f>
        <v>-0.46857142857142853</v>
      </c>
      <c r="I30" s="12">
        <f t="shared" ref="I30" si="90">I26/H26-1</f>
        <v>-6.9892473118279619E-2</v>
      </c>
      <c r="J30" s="12">
        <f t="shared" ref="J30" si="91">J26/I26-1</f>
        <v>0.43352601156069359</v>
      </c>
      <c r="K30" s="12">
        <f t="shared" ref="K30" si="92">K26/J26-1</f>
        <v>1.7016129032258065</v>
      </c>
      <c r="L30" s="12">
        <f t="shared" ref="L30" si="93">L26/K26-1</f>
        <v>-0.50796641791044783</v>
      </c>
      <c r="M30" s="12">
        <f t="shared" ref="M30" si="94">M26/L26-1</f>
        <v>-3.9434269897243412E-2</v>
      </c>
      <c r="N30" s="12">
        <f t="shared" ref="N30" si="95">N26/M26-1</f>
        <v>0.23368728535901795</v>
      </c>
      <c r="O30" s="12">
        <f t="shared" ref="O30" si="96">O26/N26-1</f>
        <v>1.0853358077624553</v>
      </c>
      <c r="P30" s="12">
        <f t="shared" ref="P30" si="97">P26/O26-1</f>
        <v>-0.70898378162736109</v>
      </c>
      <c r="Q30" s="12">
        <f t="shared" ref="Q30" si="98">Q26/P26-1</f>
        <v>-5.4833811371688856E-2</v>
      </c>
      <c r="R30" s="12">
        <f t="shared" ref="R30" si="99">R26/Q26-1</f>
        <v>0.33023920028561227</v>
      </c>
      <c r="S30" s="12">
        <f t="shared" ref="S30" si="100">S26/R26-1</f>
        <v>1.422436929683307</v>
      </c>
      <c r="U30" s="24" t="str">
        <v>GEV US EQUITY</v>
      </c>
      <c r="V30" s="24">
        <v>46112</v>
      </c>
      <c r="W30" s="24" t="str">
        <v>canonical</v>
      </c>
      <c r="X30" s="24" t="str">
        <v>capex</v>
      </c>
      <c r="Y30" s="24" t="str">
        <v>forecast</v>
      </c>
      <c r="Z30" s="28" t="str">
        <v>329.6625</v>
      </c>
      <c r="AA30" s="28" t="str">
        <v>0.772379032258064</v>
      </c>
      <c r="AB30" s="28" t="str">
        <v>-1419.0668202765</v>
      </c>
      <c r="AC30" s="28" t="str">
        <v>0.519182027649769</v>
      </c>
      <c r="AD30" s="28" t="str">
        <v>-0.507966417910448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GEV US EQUITY</v>
      </c>
      <c r="V31" s="24">
        <v>46203</v>
      </c>
      <c r="W31" s="24" t="str">
        <v>canonical</v>
      </c>
      <c r="X31" s="24" t="str">
        <v>capex</v>
      </c>
      <c r="Y31" s="24" t="str">
        <v>forecast</v>
      </c>
      <c r="Z31" s="28" t="str">
        <v>316.6625</v>
      </c>
      <c r="AA31" s="28" t="str">
        <v>0.830419075144508</v>
      </c>
      <c r="AB31" s="28" t="str">
        <v>580.40042886444</v>
      </c>
      <c r="AC31" s="28" t="str">
        <v>1.01695859872611</v>
      </c>
      <c r="AD31" s="28" t="str">
        <v>-0.0394342698972434</v>
      </c>
    </row>
    <row r="32" spans="1:30" x14ac:dyDescent="0.25">
      <c r="C32" s="13" t="s">
        <v>10</v>
      </c>
      <c r="D32" s="14">
        <f t="shared" ref="D32:L32" si="101">EOMONTH(DATE(YEAR(D34),ROUNDUP(MONTH(D34)/3,0)*3,1),0)</f>
        <v>45382</v>
      </c>
      <c r="E32" s="14">
        <f t="shared" si="101"/>
        <v>45473</v>
      </c>
      <c r="F32" s="14">
        <f t="shared" si="101"/>
        <v>45565</v>
      </c>
      <c r="G32" s="14">
        <f t="shared" si="101"/>
        <v>45657</v>
      </c>
      <c r="H32" s="14">
        <f t="shared" si="101"/>
        <v>45747</v>
      </c>
      <c r="I32" s="14">
        <f t="shared" si="101"/>
        <v>45838</v>
      </c>
      <c r="J32" s="14">
        <f t="shared" si="101"/>
        <v>45930</v>
      </c>
      <c r="K32" s="14">
        <f t="shared" si="101"/>
        <v>46022</v>
      </c>
      <c r="L32" s="14">
        <f t="shared" si="101"/>
        <v>46112</v>
      </c>
      <c r="M32" s="14">
        <f>EOMONTH(DATE(YEAR(M34),ROUNDUP(MONTH(M34)/3,0)*3,1),0)</f>
        <v>46203</v>
      </c>
      <c r="N32" s="14">
        <f>EOMONTH(DATE(YEAR(N34),ROUNDUP(MONTH(N34)/3,0)*3,1),0)</f>
        <v>46295</v>
      </c>
      <c r="O32" s="14">
        <f>EOMONTH(DATE(YEAR(O34),ROUNDUP(MONTH(O34)/3,0)*3,1),0)</f>
        <v>46387</v>
      </c>
      <c r="P32" s="14">
        <f t="shared" ref="P32:S32" si="102">EOMONTH(DATE(YEAR(P34),ROUNDUP(MONTH(P34)/3,0)*3,1),0)</f>
        <v>46477</v>
      </c>
      <c r="Q32" s="14">
        <f t="shared" si="102"/>
        <v>46568</v>
      </c>
      <c r="R32" s="14">
        <f t="shared" si="102"/>
        <v>46660</v>
      </c>
      <c r="S32" s="14">
        <f t="shared" si="102"/>
        <v>46752</v>
      </c>
      <c r="U32" s="24" t="str">
        <v>GEV US EQUITY</v>
      </c>
      <c r="V32" s="24">
        <v>46295</v>
      </c>
      <c r="W32" s="24" t="str">
        <v>canonical</v>
      </c>
      <c r="X32" s="24" t="str">
        <v>capex</v>
      </c>
      <c r="Y32" s="24" t="str">
        <v>forecast</v>
      </c>
      <c r="Z32" s="28" t="str">
        <v>390.6625</v>
      </c>
      <c r="AA32" s="28" t="str">
        <v>0.575252016129032</v>
      </c>
      <c r="AB32" s="28" t="str">
        <v>-2551.67059015476</v>
      </c>
      <c r="AC32" s="28" t="str">
        <v>1.45699685534591</v>
      </c>
      <c r="AD32" s="28" t="str">
        <v>0.233687285359018</v>
      </c>
    </row>
    <row r="33" spans="1:30" x14ac:dyDescent="0.25">
      <c r="C33" s="13" t="s">
        <v>22</v>
      </c>
      <c r="D33" s="2" t="str">
        <f t="shared" ref="D33:S33" si="103">+D$6</f>
        <v>actual</v>
      </c>
      <c r="E33" s="2" t="str">
        <f t="shared" si="103"/>
        <v>actual</v>
      </c>
      <c r="F33" s="2" t="str">
        <f t="shared" si="103"/>
        <v>actual</v>
      </c>
      <c r="G33" s="2" t="str">
        <f t="shared" si="103"/>
        <v>actual</v>
      </c>
      <c r="H33" s="2" t="str">
        <f t="shared" si="103"/>
        <v>actual</v>
      </c>
      <c r="I33" s="2" t="str">
        <f t="shared" si="103"/>
        <v>actual</v>
      </c>
      <c r="J33" s="2" t="str">
        <f t="shared" si="103"/>
        <v>actual</v>
      </c>
      <c r="K33" s="2" t="str">
        <f t="shared" si="103"/>
        <v>actual</v>
      </c>
      <c r="L33" s="2" t="str">
        <f t="shared" si="103"/>
        <v>forecast</v>
      </c>
      <c r="M33" s="2" t="str">
        <f t="shared" si="103"/>
        <v>forecast</v>
      </c>
      <c r="N33" s="2" t="str">
        <f t="shared" si="103"/>
        <v>forecast</v>
      </c>
      <c r="O33" s="2" t="str">
        <f t="shared" si="103"/>
        <v>forecast</v>
      </c>
      <c r="P33" s="2" t="str">
        <f t="shared" si="103"/>
        <v>forecast</v>
      </c>
      <c r="Q33" s="2" t="str">
        <f t="shared" si="103"/>
        <v>forecast</v>
      </c>
      <c r="R33" s="2" t="str">
        <f t="shared" si="103"/>
        <v>forecast</v>
      </c>
      <c r="S33" s="2" t="str">
        <f t="shared" si="103"/>
        <v>forecast</v>
      </c>
      <c r="U33" s="24" t="str">
        <v>GEV US EQUITY</v>
      </c>
      <c r="V33" s="24">
        <v>46387</v>
      </c>
      <c r="W33" s="24" t="str">
        <v>canonical</v>
      </c>
      <c r="X33" s="24" t="str">
        <v>capex</v>
      </c>
      <c r="Y33" s="24" t="str">
        <v>forecast</v>
      </c>
      <c r="Z33" s="28" t="str">
        <v>814.6625</v>
      </c>
      <c r="AA33" s="28" t="str">
        <v>0.215914179104478</v>
      </c>
      <c r="AB33" s="28" t="str">
        <v>-3593.37837024554</v>
      </c>
      <c r="AC33" s="28" t="str">
        <v>1.32760714285714</v>
      </c>
      <c r="AD33" s="28" t="str">
        <v>1.08533580776246</v>
      </c>
    </row>
    <row r="34" spans="1:30" x14ac:dyDescent="0.25">
      <c r="D34" s="2">
        <f t="shared" ref="D34:S34" si="104">+D$7</f>
        <v>45382</v>
      </c>
      <c r="E34" s="2">
        <f t="shared" si="104"/>
        <v>45473</v>
      </c>
      <c r="F34" s="2">
        <f t="shared" si="104"/>
        <v>45565</v>
      </c>
      <c r="G34" s="2">
        <f t="shared" si="104"/>
        <v>45657</v>
      </c>
      <c r="H34" s="2">
        <f t="shared" si="104"/>
        <v>45747</v>
      </c>
      <c r="I34" s="2">
        <f t="shared" si="104"/>
        <v>45838</v>
      </c>
      <c r="J34" s="2">
        <f t="shared" si="104"/>
        <v>45930</v>
      </c>
      <c r="K34" s="2">
        <f t="shared" si="104"/>
        <v>46022</v>
      </c>
      <c r="L34" s="2">
        <f t="shared" si="104"/>
        <v>46112</v>
      </c>
      <c r="M34" s="2">
        <f t="shared" si="104"/>
        <v>46203</v>
      </c>
      <c r="N34" s="2">
        <f t="shared" si="104"/>
        <v>46295</v>
      </c>
      <c r="O34" s="2">
        <f t="shared" si="104"/>
        <v>46387</v>
      </c>
      <c r="P34" s="2">
        <f t="shared" si="104"/>
        <v>46477</v>
      </c>
      <c r="Q34" s="2">
        <f t="shared" si="104"/>
        <v>46568</v>
      </c>
      <c r="R34" s="2">
        <f t="shared" si="104"/>
        <v>46660</v>
      </c>
      <c r="S34" s="2">
        <f t="shared" si="104"/>
        <v>46752</v>
      </c>
      <c r="U34" s="24" t="str">
        <v>GEV US EQUITY</v>
      </c>
      <c r="V34" s="24">
        <v>46477</v>
      </c>
      <c r="W34" s="24" t="str">
        <v>canonical</v>
      </c>
      <c r="X34" s="24" t="str">
        <v>capex</v>
      </c>
      <c r="Y34" s="24" t="str">
        <v>forecast</v>
      </c>
      <c r="Z34" s="28" t="str">
        <v>237.08</v>
      </c>
      <c r="AA34" s="28" t="str">
        <v>-0.280840253289349</v>
      </c>
      <c r="AB34" s="28" t="str">
        <v>-4967.54432393827</v>
      </c>
      <c r="AC34" s="28" t="str">
        <v>0.274623655913979</v>
      </c>
      <c r="AD34" s="28" t="str">
        <v>-0.708983781627361</v>
      </c>
    </row>
    <row r="35" spans="1:30" x14ac:dyDescent="0.25">
      <c r="A35" s="16" t="s">
        <v>17</v>
      </c>
      <c r="B35" s="16" t="s">
        <v>32</v>
      </c>
      <c r="C35" s="2" t="s">
        <v>32</v>
      </c>
      <c r="D35" s="27">
        <v>9659</v>
      </c>
      <c r="E35" s="27">
        <v>11844</v>
      </c>
      <c r="F35" s="27">
        <v>9378</v>
      </c>
      <c r="G35" s="27">
        <v>13207</v>
      </c>
      <c r="H35" s="27">
        <v>10152</v>
      </c>
      <c r="I35" s="27">
        <v>12364</v>
      </c>
      <c r="J35" s="27">
        <v>14608</v>
      </c>
      <c r="K35" s="27">
        <v>22192</v>
      </c>
      <c r="L35" s="27">
        <v>15569.937999867763</v>
      </c>
      <c r="M35" s="27">
        <v>16559.535281104538</v>
      </c>
      <c r="N35" s="27">
        <v>23409.846968578091</v>
      </c>
      <c r="O35" s="27">
        <v>21955.972874788418</v>
      </c>
      <c r="P35" s="27">
        <v>13808.081705833301</v>
      </c>
      <c r="Q35" s="27">
        <v>16258.255846249949</v>
      </c>
      <c r="R35" s="27">
        <v>15549.035980833301</v>
      </c>
      <c r="S35" s="27">
        <v>19444.350183749946</v>
      </c>
      <c r="U35" s="24" t="str">
        <v>GEV US EQUITY</v>
      </c>
      <c r="V35" s="24">
        <v>46568</v>
      </c>
      <c r="W35" s="24" t="str">
        <v>canonical</v>
      </c>
      <c r="X35" s="24" t="str">
        <v>capex</v>
      </c>
      <c r="Y35" s="24" t="str">
        <v>forecast</v>
      </c>
      <c r="Z35" s="28" t="str">
        <v>224.08</v>
      </c>
      <c r="AA35" s="28" t="str">
        <v>-0.292369636442585</v>
      </c>
      <c r="AB35" s="28" t="str">
        <v>-115.293831532358</v>
      </c>
      <c r="AC35" s="28" t="str">
        <v>0.295260115606936</v>
      </c>
      <c r="AD35" s="28" t="str">
        <v>-0.0548338113716889</v>
      </c>
    </row>
    <row r="36" spans="1:30" x14ac:dyDescent="0.25">
      <c r="C36" s="4" t="s">
        <v>4</v>
      </c>
      <c r="D36" s="5"/>
      <c r="E36" s="4"/>
      <c r="F36" s="4"/>
      <c r="G36" s="12"/>
      <c r="H36" s="12">
        <f t="shared" ref="H36:S36" si="105">+H35/D35-1</f>
        <v>5.1040480380991848E-2</v>
      </c>
      <c r="I36" s="12">
        <f t="shared" si="105"/>
        <v>4.3904086457277947E-2</v>
      </c>
      <c r="J36" s="12">
        <f t="shared" si="105"/>
        <v>0.55768820644060568</v>
      </c>
      <c r="K36" s="12">
        <f t="shared" si="105"/>
        <v>0.6803210418717347</v>
      </c>
      <c r="L36" s="12">
        <f t="shared" si="105"/>
        <v>0.53368183607838482</v>
      </c>
      <c r="M36" s="12">
        <f t="shared" si="105"/>
        <v>0.33933478494860392</v>
      </c>
      <c r="N36" s="12">
        <f t="shared" si="105"/>
        <v>0.60253607397166564</v>
      </c>
      <c r="O36" s="12">
        <f t="shared" si="105"/>
        <v>-1.0635685166347386E-2</v>
      </c>
      <c r="P36" s="12">
        <f t="shared" si="105"/>
        <v>-0.11315756646233432</v>
      </c>
      <c r="Q36" s="12">
        <f t="shared" si="105"/>
        <v>-1.8193713153192625E-2</v>
      </c>
      <c r="R36" s="12">
        <f t="shared" si="105"/>
        <v>-0.33579078916218363</v>
      </c>
      <c r="S36" s="12">
        <f t="shared" si="105"/>
        <v>-0.11439359600969978</v>
      </c>
      <c r="U36" s="24" t="str">
        <v>GEV US EQUITY</v>
      </c>
      <c r="V36" s="24">
        <v>46660</v>
      </c>
      <c r="W36" s="24" t="str">
        <v>canonical</v>
      </c>
      <c r="X36" s="24" t="str">
        <v>capex</v>
      </c>
      <c r="Y36" s="24" t="str">
        <v>forecast</v>
      </c>
      <c r="Z36" s="28" t="str">
        <v>298.08</v>
      </c>
      <c r="AA36" s="28" t="str">
        <v>-0.236988449108886</v>
      </c>
      <c r="AB36" s="28" t="str">
        <v>553.811873336992</v>
      </c>
      <c r="AC36" s="28" t="str">
        <v>0.201935483870968</v>
      </c>
      <c r="AD36" s="28" t="str">
        <v>0.330239200285612</v>
      </c>
    </row>
    <row r="37" spans="1:30" x14ac:dyDescent="0.25">
      <c r="C37" s="4" t="s">
        <v>15</v>
      </c>
      <c r="D37" s="1"/>
      <c r="I37" s="7">
        <f t="shared" ref="I37:J37" si="106">(I36-H36)*10000</f>
        <v>-71.363939237139022</v>
      </c>
      <c r="J37" s="7">
        <f t="shared" si="106"/>
        <v>5137.8411998332776</v>
      </c>
      <c r="K37" s="7">
        <f>(K36-J36)*10000</f>
        <v>1226.3283543112902</v>
      </c>
      <c r="L37" s="7">
        <f>(L36-K36)*10000</f>
        <v>-1466.3920579334988</v>
      </c>
      <c r="M37" s="7">
        <f>(M36-L36)*10000</f>
        <v>-1943.470511297809</v>
      </c>
      <c r="N37" s="7">
        <f>(N36-M36)*10000</f>
        <v>2632.0128902306174</v>
      </c>
      <c r="O37" s="7">
        <f>(O36-N36)*10000</f>
        <v>-6131.7175913801302</v>
      </c>
      <c r="P37" s="7">
        <f t="shared" ref="P37:S37" si="107">(P36-O36)*10000</f>
        <v>-1025.2188129598694</v>
      </c>
      <c r="Q37" s="7">
        <f t="shared" si="107"/>
        <v>949.638533091417</v>
      </c>
      <c r="R37" s="7">
        <f t="shared" si="107"/>
        <v>-3175.9707600899101</v>
      </c>
      <c r="S37" s="7">
        <f t="shared" si="107"/>
        <v>2213.9719315248385</v>
      </c>
      <c r="U37" s="24" t="str">
        <v>GEV US EQUITY</v>
      </c>
      <c r="V37" s="24">
        <v>46752</v>
      </c>
      <c r="W37" s="24" t="str">
        <v>canonical</v>
      </c>
      <c r="X37" s="24" t="str">
        <v>capex</v>
      </c>
      <c r="Y37" s="24" t="str">
        <v>forecast</v>
      </c>
      <c r="Z37" s="28" t="str">
        <v>722.08</v>
      </c>
      <c r="AA37" s="28" t="str">
        <v>-0.11364522118055</v>
      </c>
      <c r="AB37" s="28" t="str">
        <v>1233.43227928335</v>
      </c>
      <c r="AC37" s="28" t="str">
        <v>0.0777313432835824</v>
      </c>
      <c r="AD37" s="28" t="str">
        <v>1.42243692968331</v>
      </c>
    </row>
    <row r="38" spans="1:30" x14ac:dyDescent="0.25">
      <c r="C38" s="4" t="s">
        <v>28</v>
      </c>
      <c r="D38" s="1"/>
      <c r="E38" s="6"/>
      <c r="F38" s="6"/>
      <c r="G38" s="6"/>
      <c r="H38" s="6"/>
      <c r="I38" s="6"/>
      <c r="J38" s="6"/>
      <c r="K38" s="6"/>
      <c r="L38" s="12">
        <f t="shared" ref="L38:S38" si="108">(1+H36)*(1+L36)-1</f>
        <v>0.61196169374342713</v>
      </c>
      <c r="M38" s="12">
        <f t="shared" si="108"/>
        <v>0.39813705514222719</v>
      </c>
      <c r="N38" s="12">
        <f t="shared" si="108"/>
        <v>1.4962515428212937</v>
      </c>
      <c r="O38" s="12">
        <f t="shared" si="108"/>
        <v>0.66244967629199802</v>
      </c>
      <c r="P38" s="12">
        <f t="shared" si="108"/>
        <v>0.36013413178026998</v>
      </c>
      <c r="Q38" s="12">
        <f t="shared" si="108"/>
        <v>0.31496731205515616</v>
      </c>
      <c r="R38" s="12">
        <f t="shared" si="108"/>
        <v>6.4419221031852603E-2</v>
      </c>
      <c r="S38" s="12">
        <f t="shared" si="108"/>
        <v>-0.12381262690384165</v>
      </c>
      <c r="U38" s="24" t="str" cm="1">
        <f t="array" ref="U38:AD49">_xlfn.LET(
  _xlpm.d, H32:S32,
  _xlpm.s, H33:S33,
  _xlpm.v, H35:S35,
  _xlpm.yy, H36:S36,
  _xlpm.qq, H37:S37,
  _xlpm.dyy, H38:S38,
  _xlpm.dqq, H39:S39,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GEV US EQUITY</v>
      </c>
      <c r="V38" s="24">
        <v>45747</v>
      </c>
      <c r="W38" s="24" t="str">
        <v>custom</v>
      </c>
      <c r="X38" s="24" t="str">
        <v>orders</v>
      </c>
      <c r="Y38" s="24" t="str">
        <v>actual</v>
      </c>
      <c r="Z38" s="28" t="str">
        <v>10152</v>
      </c>
      <c r="AA38" s="28" t="str">
        <v>0.0510404803809918</v>
      </c>
      <c r="AB38" s="28" t="str">
        <v/>
      </c>
      <c r="AC38" s="28" t="str">
        <v/>
      </c>
      <c r="AD38" s="28" t="str">
        <v>-0.231316725978648</v>
      </c>
    </row>
    <row r="39" spans="1:30" x14ac:dyDescent="0.25">
      <c r="C39" s="4" t="s">
        <v>5</v>
      </c>
      <c r="D39" s="1"/>
      <c r="E39" s="12">
        <f t="shared" ref="E39:S39" si="109">E35/D35-1</f>
        <v>0.22621389377782375</v>
      </c>
      <c r="F39" s="12">
        <f t="shared" si="109"/>
        <v>-0.20820668693009114</v>
      </c>
      <c r="G39" s="12">
        <f t="shared" si="109"/>
        <v>0.40829601194284493</v>
      </c>
      <c r="H39" s="12">
        <f t="shared" si="109"/>
        <v>-0.23131672597864772</v>
      </c>
      <c r="I39" s="12">
        <f t="shared" si="109"/>
        <v>0.21788810086682431</v>
      </c>
      <c r="J39" s="12">
        <f t="shared" si="109"/>
        <v>0.18149466192170816</v>
      </c>
      <c r="K39" s="12">
        <f t="shared" si="109"/>
        <v>0.5191675794085433</v>
      </c>
      <c r="L39" s="12">
        <f t="shared" si="109"/>
        <v>-0.29839861211843177</v>
      </c>
      <c r="M39" s="12">
        <f t="shared" si="109"/>
        <v>6.3558203073459829E-2</v>
      </c>
      <c r="N39" s="12">
        <f t="shared" si="109"/>
        <v>0.41367777363234248</v>
      </c>
      <c r="O39" s="12">
        <f t="shared" si="109"/>
        <v>-6.2105236986005896E-2</v>
      </c>
      <c r="P39" s="12">
        <f t="shared" si="109"/>
        <v>-0.37110134975212916</v>
      </c>
      <c r="Q39" s="12">
        <f t="shared" si="109"/>
        <v>0.17744493352625201</v>
      </c>
      <c r="R39" s="12">
        <f t="shared" si="109"/>
        <v>-4.3622137092905522E-2</v>
      </c>
      <c r="S39" s="12">
        <f t="shared" si="109"/>
        <v>0.25051805190484155</v>
      </c>
      <c r="U39" s="24" t="str">
        <v>GEV US EQUITY</v>
      </c>
      <c r="V39" s="24">
        <v>45838</v>
      </c>
      <c r="W39" s="24" t="str">
        <v>custom</v>
      </c>
      <c r="X39" s="24" t="str">
        <v>orders</v>
      </c>
      <c r="Y39" s="24" t="str">
        <v>actual</v>
      </c>
      <c r="Z39" s="28" t="str">
        <v>12364</v>
      </c>
      <c r="AA39" s="28" t="str">
        <v>0.0439040864572779</v>
      </c>
      <c r="AB39" s="28" t="str">
        <v>-71.363939237139</v>
      </c>
      <c r="AC39" s="28" t="str">
        <v/>
      </c>
      <c r="AD39" s="28" t="str">
        <v>0.217888100866824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v>GEV US EQUITY</v>
      </c>
      <c r="V40" s="24">
        <v>45930</v>
      </c>
      <c r="W40" s="24" t="str">
        <v>custom</v>
      </c>
      <c r="X40" s="24" t="str">
        <v>orders</v>
      </c>
      <c r="Y40" s="24" t="str">
        <v>actual</v>
      </c>
      <c r="Z40" s="28" t="str">
        <v>14608</v>
      </c>
      <c r="AA40" s="28" t="str">
        <v>0.557688206440606</v>
      </c>
      <c r="AB40" s="28" t="str">
        <v>5137.84119983328</v>
      </c>
      <c r="AC40" s="28" t="str">
        <v/>
      </c>
      <c r="AD40" s="28" t="str">
        <v>0.181494661921708</v>
      </c>
    </row>
    <row r="41" spans="1:30" x14ac:dyDescent="0.25">
      <c r="C41" s="13" t="s">
        <v>10</v>
      </c>
      <c r="D41" s="14">
        <f t="shared" ref="D41:L41" si="110">EOMONTH(DATE(YEAR(D43),ROUNDUP(MONTH(D43)/3,0)*3,1),0)</f>
        <v>45382</v>
      </c>
      <c r="E41" s="14">
        <f t="shared" si="110"/>
        <v>45473</v>
      </c>
      <c r="F41" s="14">
        <f t="shared" si="110"/>
        <v>45565</v>
      </c>
      <c r="G41" s="14">
        <f t="shared" si="110"/>
        <v>45657</v>
      </c>
      <c r="H41" s="14">
        <f t="shared" si="110"/>
        <v>45747</v>
      </c>
      <c r="I41" s="14">
        <f t="shared" si="110"/>
        <v>45838</v>
      </c>
      <c r="J41" s="14">
        <f t="shared" si="110"/>
        <v>45930</v>
      </c>
      <c r="K41" s="14">
        <f t="shared" si="110"/>
        <v>46022</v>
      </c>
      <c r="L41" s="14">
        <f t="shared" si="110"/>
        <v>46112</v>
      </c>
      <c r="M41" s="14">
        <f>EOMONTH(DATE(YEAR(M43),ROUNDUP(MONTH(M43)/3,0)*3,1),0)</f>
        <v>46203</v>
      </c>
      <c r="N41" s="14">
        <f>EOMONTH(DATE(YEAR(N43),ROUNDUP(MONTH(N43)/3,0)*3,1),0)</f>
        <v>46295</v>
      </c>
      <c r="O41" s="14">
        <f>EOMONTH(DATE(YEAR(O43),ROUNDUP(MONTH(O43)/3,0)*3,1),0)</f>
        <v>46387</v>
      </c>
      <c r="P41" s="14">
        <f t="shared" ref="P41:S41" si="111">EOMONTH(DATE(YEAR(P43),ROUNDUP(MONTH(P43)/3,0)*3,1),0)</f>
        <v>46477</v>
      </c>
      <c r="Q41" s="14">
        <f t="shared" si="111"/>
        <v>46568</v>
      </c>
      <c r="R41" s="14">
        <f t="shared" si="111"/>
        <v>46660</v>
      </c>
      <c r="S41" s="14">
        <f t="shared" si="111"/>
        <v>46752</v>
      </c>
      <c r="U41" s="24" t="str">
        <v>GEV US EQUITY</v>
      </c>
      <c r="V41" s="24">
        <v>46022</v>
      </c>
      <c r="W41" s="24" t="str">
        <v>custom</v>
      </c>
      <c r="X41" s="24" t="str">
        <v>orders</v>
      </c>
      <c r="Y41" s="24" t="str">
        <v>actual</v>
      </c>
      <c r="Z41" s="28" t="str">
        <v>22192</v>
      </c>
      <c r="AA41" s="28" t="str">
        <v>0.680321041871735</v>
      </c>
      <c r="AB41" s="28" t="str">
        <v>1226.32835431129</v>
      </c>
      <c r="AC41" s="28" t="str">
        <v/>
      </c>
      <c r="AD41" s="28" t="str">
        <v>0.519167579408543</v>
      </c>
    </row>
    <row r="42" spans="1:30" x14ac:dyDescent="0.25">
      <c r="C42" s="13" t="s">
        <v>22</v>
      </c>
      <c r="D42" s="2" t="str">
        <f t="shared" ref="D42:S42" si="112">+D$6</f>
        <v>actual</v>
      </c>
      <c r="E42" s="2" t="str">
        <f t="shared" si="112"/>
        <v>actual</v>
      </c>
      <c r="F42" s="2" t="str">
        <f t="shared" si="112"/>
        <v>actual</v>
      </c>
      <c r="G42" s="2" t="str">
        <f t="shared" si="112"/>
        <v>actual</v>
      </c>
      <c r="H42" s="2" t="str">
        <f t="shared" si="112"/>
        <v>actual</v>
      </c>
      <c r="I42" s="2" t="str">
        <f t="shared" si="112"/>
        <v>actual</v>
      </c>
      <c r="J42" s="2" t="str">
        <f t="shared" si="112"/>
        <v>actual</v>
      </c>
      <c r="K42" s="2" t="str">
        <f t="shared" si="112"/>
        <v>actual</v>
      </c>
      <c r="L42" s="2" t="str">
        <f t="shared" si="112"/>
        <v>forecast</v>
      </c>
      <c r="M42" s="2" t="str">
        <f t="shared" si="112"/>
        <v>forecast</v>
      </c>
      <c r="N42" s="2" t="str">
        <f t="shared" si="112"/>
        <v>forecast</v>
      </c>
      <c r="O42" s="2" t="str">
        <f t="shared" si="112"/>
        <v>forecast</v>
      </c>
      <c r="P42" s="2" t="str">
        <f t="shared" si="112"/>
        <v>forecast</v>
      </c>
      <c r="Q42" s="2" t="str">
        <f t="shared" si="112"/>
        <v>forecast</v>
      </c>
      <c r="R42" s="2" t="str">
        <f t="shared" si="112"/>
        <v>forecast</v>
      </c>
      <c r="S42" s="2" t="str">
        <f t="shared" si="112"/>
        <v>forecast</v>
      </c>
      <c r="U42" s="24" t="str">
        <v>GEV US EQUITY</v>
      </c>
      <c r="V42" s="24">
        <v>46112</v>
      </c>
      <c r="W42" s="24" t="str">
        <v>custom</v>
      </c>
      <c r="X42" s="24" t="str">
        <v>orders</v>
      </c>
      <c r="Y42" s="24" t="str">
        <v>forecast</v>
      </c>
      <c r="Z42" s="28" t="str">
        <v>15569.9379998678</v>
      </c>
      <c r="AA42" s="28" t="str">
        <v>0.533681836078385</v>
      </c>
      <c r="AB42" s="28" t="str">
        <v>-1466.3920579335</v>
      </c>
      <c r="AC42" s="28" t="str">
        <v>0.611961693743427</v>
      </c>
      <c r="AD42" s="28" t="str">
        <v>-0.298398612118432</v>
      </c>
    </row>
    <row r="43" spans="1:30" x14ac:dyDescent="0.25">
      <c r="D43" s="2">
        <f t="shared" ref="D43:S43" si="113">+D$7</f>
        <v>45382</v>
      </c>
      <c r="E43" s="2">
        <f t="shared" si="113"/>
        <v>45473</v>
      </c>
      <c r="F43" s="2">
        <f t="shared" si="113"/>
        <v>45565</v>
      </c>
      <c r="G43" s="2">
        <f t="shared" si="113"/>
        <v>45657</v>
      </c>
      <c r="H43" s="2">
        <f t="shared" si="113"/>
        <v>45747</v>
      </c>
      <c r="I43" s="2">
        <f t="shared" si="113"/>
        <v>45838</v>
      </c>
      <c r="J43" s="2">
        <f t="shared" si="113"/>
        <v>45930</v>
      </c>
      <c r="K43" s="2">
        <f t="shared" si="113"/>
        <v>46022</v>
      </c>
      <c r="L43" s="2">
        <f t="shared" si="113"/>
        <v>46112</v>
      </c>
      <c r="M43" s="2">
        <f t="shared" si="113"/>
        <v>46203</v>
      </c>
      <c r="N43" s="2">
        <f t="shared" si="113"/>
        <v>46295</v>
      </c>
      <c r="O43" s="2">
        <f t="shared" si="113"/>
        <v>46387</v>
      </c>
      <c r="P43" s="2">
        <f t="shared" si="113"/>
        <v>46477</v>
      </c>
      <c r="Q43" s="2">
        <f t="shared" si="113"/>
        <v>46568</v>
      </c>
      <c r="R43" s="2">
        <f t="shared" si="113"/>
        <v>46660</v>
      </c>
      <c r="S43" s="2">
        <f t="shared" si="113"/>
        <v>46752</v>
      </c>
      <c r="U43" s="24" t="str">
        <v>GEV US EQUITY</v>
      </c>
      <c r="V43" s="24">
        <v>46203</v>
      </c>
      <c r="W43" s="24" t="str">
        <v>custom</v>
      </c>
      <c r="X43" s="24" t="str">
        <v>orders</v>
      </c>
      <c r="Y43" s="24" t="str">
        <v>forecast</v>
      </c>
      <c r="Z43" s="28" t="str">
        <v>16559.5352811045</v>
      </c>
      <c r="AA43" s="28" t="str">
        <v>0.339334784948604</v>
      </c>
      <c r="AB43" s="28" t="str">
        <v>-1943.47051129781</v>
      </c>
      <c r="AC43" s="28" t="str">
        <v>0.398137055142227</v>
      </c>
      <c r="AD43" s="28" t="str">
        <v>0.0635582030734598</v>
      </c>
    </row>
    <row r="44" spans="1:30" x14ac:dyDescent="0.25">
      <c r="A44" s="16" t="s">
        <v>17</v>
      </c>
      <c r="B44" s="16" t="s">
        <v>33</v>
      </c>
      <c r="C44" s="2" t="s">
        <v>34</v>
      </c>
      <c r="D44" s="10">
        <v>345</v>
      </c>
      <c r="E44" s="10">
        <v>613</v>
      </c>
      <c r="F44" s="10">
        <v>499</v>
      </c>
      <c r="G44" s="10">
        <v>810</v>
      </c>
      <c r="H44" s="10">
        <v>508</v>
      </c>
      <c r="I44" s="10">
        <v>778</v>
      </c>
      <c r="J44" s="10">
        <v>645</v>
      </c>
      <c r="K44" s="10">
        <v>971</v>
      </c>
      <c r="L44" s="10">
        <v>820.41610165400368</v>
      </c>
      <c r="M44" s="10">
        <v>915.31944934613193</v>
      </c>
      <c r="N44" s="10">
        <v>1045.1855807700294</v>
      </c>
      <c r="O44" s="10">
        <v>1341.0081103837356</v>
      </c>
      <c r="P44" s="10">
        <v>1210.6500772466452</v>
      </c>
      <c r="Q44" s="10">
        <v>1537.0761865259301</v>
      </c>
      <c r="R44" s="10">
        <v>1286.4046316800761</v>
      </c>
      <c r="S44" s="10">
        <v>1806.3681256900352</v>
      </c>
      <c r="U44" s="24" t="str">
        <v>GEV US EQUITY</v>
      </c>
      <c r="V44" s="24">
        <v>46295</v>
      </c>
      <c r="W44" s="24" t="str">
        <v>custom</v>
      </c>
      <c r="X44" s="24" t="str">
        <v>orders</v>
      </c>
      <c r="Y44" s="24" t="str">
        <v>forecast</v>
      </c>
      <c r="Z44" s="28" t="str">
        <v>23409.8469685781</v>
      </c>
      <c r="AA44" s="28" t="str">
        <v>0.602536073971666</v>
      </c>
      <c r="AB44" s="28" t="str">
        <v>2632.01289023062</v>
      </c>
      <c r="AC44" s="28" t="str">
        <v>1.49625154282129</v>
      </c>
      <c r="AD44" s="28" t="str">
        <v>0.413677773632342</v>
      </c>
    </row>
    <row r="45" spans="1:30" x14ac:dyDescent="0.25">
      <c r="C45" s="4" t="s">
        <v>4</v>
      </c>
      <c r="D45" s="5"/>
      <c r="E45" s="4"/>
      <c r="F45" s="4"/>
      <c r="G45" s="4"/>
      <c r="H45" s="12">
        <f t="shared" ref="H45:S45" si="114">+H44/D44-1</f>
        <v>0.47246376811594204</v>
      </c>
      <c r="I45" s="12">
        <f t="shared" si="114"/>
        <v>0.26916802610114199</v>
      </c>
      <c r="J45" s="12">
        <f t="shared" si="114"/>
        <v>0.29258517034068143</v>
      </c>
      <c r="K45" s="12">
        <f t="shared" si="114"/>
        <v>0.19876543209876552</v>
      </c>
      <c r="L45" s="12">
        <f t="shared" si="114"/>
        <v>0.61499232609055854</v>
      </c>
      <c r="M45" s="12">
        <f t="shared" si="114"/>
        <v>0.17650314825980962</v>
      </c>
      <c r="N45" s="12">
        <f t="shared" si="114"/>
        <v>0.6204427608837666</v>
      </c>
      <c r="O45" s="12">
        <f t="shared" si="114"/>
        <v>0.38105881604916125</v>
      </c>
      <c r="P45" s="12">
        <f t="shared" si="114"/>
        <v>0.47565372596406696</v>
      </c>
      <c r="Q45" s="12">
        <f t="shared" si="114"/>
        <v>0.67927840670703166</v>
      </c>
      <c r="R45" s="12">
        <f t="shared" si="114"/>
        <v>0.23079064172731045</v>
      </c>
      <c r="S45" s="12">
        <f t="shared" si="114"/>
        <v>0.34702252111893239</v>
      </c>
      <c r="U45" s="24" t="str">
        <v>GEV US EQUITY</v>
      </c>
      <c r="V45" s="24">
        <v>46387</v>
      </c>
      <c r="W45" s="24" t="str">
        <v>custom</v>
      </c>
      <c r="X45" s="24" t="str">
        <v>orders</v>
      </c>
      <c r="Y45" s="24" t="str">
        <v>forecast</v>
      </c>
      <c r="Z45" s="28" t="str">
        <v>21955.9728747884</v>
      </c>
      <c r="AA45" s="28" t="str">
        <v>-0.0106356851663474</v>
      </c>
      <c r="AB45" s="28" t="str">
        <v>-6131.71759138013</v>
      </c>
      <c r="AC45" s="28" t="str">
        <v>0.662449676291998</v>
      </c>
      <c r="AD45" s="28" t="str">
        <v>-0.0621052369860059</v>
      </c>
    </row>
    <row r="46" spans="1:30" x14ac:dyDescent="0.25">
      <c r="C46" s="4" t="s">
        <v>15</v>
      </c>
      <c r="D46" s="1"/>
      <c r="I46" s="7">
        <f t="shared" ref="I46:K46" si="115">(I45-H45)*10000</f>
        <v>-2032.9574201480004</v>
      </c>
      <c r="J46" s="7">
        <f t="shared" si="115"/>
        <v>234.17144239539445</v>
      </c>
      <c r="K46" s="7">
        <f t="shared" si="115"/>
        <v>-938.19738241915923</v>
      </c>
      <c r="L46" s="7">
        <f>(L45-K45)*10000</f>
        <v>4162.2689399179299</v>
      </c>
      <c r="M46" s="7">
        <f>(M45-L45)*10000</f>
        <v>-4384.8917783074894</v>
      </c>
      <c r="N46" s="7">
        <f>(N45-M45)*10000</f>
        <v>4439.3961262395696</v>
      </c>
      <c r="O46" s="7">
        <f>(O45-N45)*10000</f>
        <v>-2393.8394483460534</v>
      </c>
      <c r="P46" s="7">
        <f t="shared" ref="P46:S46" si="116">(P45-O45)*10000</f>
        <v>945.94909914905713</v>
      </c>
      <c r="Q46" s="7">
        <f t="shared" si="116"/>
        <v>2036.2468074296469</v>
      </c>
      <c r="R46" s="7">
        <f t="shared" si="116"/>
        <v>-4484.8776497972121</v>
      </c>
      <c r="S46" s="7">
        <f t="shared" si="116"/>
        <v>1162.3187939162194</v>
      </c>
      <c r="U46" s="24" t="str">
        <v>GEV US EQUITY</v>
      </c>
      <c r="V46" s="24">
        <v>46477</v>
      </c>
      <c r="W46" s="24" t="str">
        <v>custom</v>
      </c>
      <c r="X46" s="24" t="str">
        <v>orders</v>
      </c>
      <c r="Y46" s="24" t="str">
        <v>forecast</v>
      </c>
      <c r="Z46" s="28" t="str">
        <v>13808.0817058333</v>
      </c>
      <c r="AA46" s="28" t="str">
        <v>-0.113157566462334</v>
      </c>
      <c r="AB46" s="28" t="str">
        <v>-1025.21881295987</v>
      </c>
      <c r="AC46" s="28" t="str">
        <v>0.36013413178027</v>
      </c>
      <c r="AD46" s="28" t="str">
        <v>-0.371101349752129</v>
      </c>
    </row>
    <row r="47" spans="1:30" x14ac:dyDescent="0.25">
      <c r="C47" s="4" t="s">
        <v>28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1425.285579746165</v>
      </c>
      <c r="M47" s="7">
        <f>(M45-I45)*10000</f>
        <v>-926.64877841332373</v>
      </c>
      <c r="N47" s="7">
        <f>(N45-J45)*10000</f>
        <v>3278.5759054308514</v>
      </c>
      <c r="O47" s="7">
        <f>(O45-K45)*10000</f>
        <v>1822.9338395039574</v>
      </c>
      <c r="P47" s="7">
        <f t="shared" ref="P47:S47" si="117">(P45-L45)*10000</f>
        <v>-1393.3860012649156</v>
      </c>
      <c r="Q47" s="7">
        <f t="shared" si="117"/>
        <v>5027.7525844722204</v>
      </c>
      <c r="R47" s="7">
        <f t="shared" si="117"/>
        <v>-3896.5211915645614</v>
      </c>
      <c r="S47" s="7">
        <f t="shared" si="117"/>
        <v>-340.3629493022886</v>
      </c>
      <c r="U47" s="24" t="str">
        <v>GEV US EQUITY</v>
      </c>
      <c r="V47" s="24">
        <v>46568</v>
      </c>
      <c r="W47" s="24" t="str">
        <v>custom</v>
      </c>
      <c r="X47" s="24" t="str">
        <v>orders</v>
      </c>
      <c r="Y47" s="24" t="str">
        <v>forecast</v>
      </c>
      <c r="Z47" s="28" t="str">
        <v>16258.2558462499</v>
      </c>
      <c r="AA47" s="28" t="str">
        <v>-0.0181937131531926</v>
      </c>
      <c r="AB47" s="28" t="str">
        <v>949.638533091417</v>
      </c>
      <c r="AC47" s="28" t="str">
        <v>0.314967312055156</v>
      </c>
      <c r="AD47" s="28" t="str">
        <v>0.177444933526252</v>
      </c>
    </row>
    <row r="48" spans="1:30" x14ac:dyDescent="0.25">
      <c r="C48" s="4" t="s">
        <v>5</v>
      </c>
      <c r="D48" s="1"/>
      <c r="E48" s="12">
        <f t="shared" ref="E48:S48" si="118">E44/D44-1</f>
        <v>0.77681159420289858</v>
      </c>
      <c r="F48" s="12">
        <f t="shared" si="118"/>
        <v>-0.18597063621533438</v>
      </c>
      <c r="G48" s="12">
        <f t="shared" si="118"/>
        <v>0.62324649298597201</v>
      </c>
      <c r="H48" s="12">
        <f t="shared" si="118"/>
        <v>-0.37283950617283945</v>
      </c>
      <c r="I48" s="12">
        <f t="shared" si="118"/>
        <v>0.53149606299212593</v>
      </c>
      <c r="J48" s="12">
        <f t="shared" si="118"/>
        <v>-0.1709511568123393</v>
      </c>
      <c r="K48" s="12">
        <f t="shared" si="118"/>
        <v>0.50542635658914725</v>
      </c>
      <c r="L48" s="12">
        <f t="shared" si="118"/>
        <v>-0.15508125473326084</v>
      </c>
      <c r="M48" s="12">
        <f t="shared" si="118"/>
        <v>0.11567709056513875</v>
      </c>
      <c r="N48" s="12">
        <f t="shared" si="118"/>
        <v>0.14188066419507273</v>
      </c>
      <c r="O48" s="12">
        <f t="shared" si="118"/>
        <v>0.28303349668846556</v>
      </c>
      <c r="P48" s="12">
        <f t="shared" si="118"/>
        <v>-9.7208981905253289E-2</v>
      </c>
      <c r="Q48" s="12">
        <f t="shared" si="118"/>
        <v>0.26962878491006137</v>
      </c>
      <c r="R48" s="12">
        <f t="shared" si="118"/>
        <v>-0.16308336375467303</v>
      </c>
      <c r="S48" s="12">
        <f t="shared" si="118"/>
        <v>0.40419902199113977</v>
      </c>
      <c r="U48" s="24" t="str">
        <v>GEV US EQUITY</v>
      </c>
      <c r="V48" s="24">
        <v>46660</v>
      </c>
      <c r="W48" s="24" t="str">
        <v>custom</v>
      </c>
      <c r="X48" s="24" t="str">
        <v>orders</v>
      </c>
      <c r="Y48" s="24" t="str">
        <v>forecast</v>
      </c>
      <c r="Z48" s="28" t="str">
        <v>15549.0359808333</v>
      </c>
      <c r="AA48" s="28" t="str">
        <v>-0.335790789162184</v>
      </c>
      <c r="AB48" s="28" t="str">
        <v>-3175.97076008991</v>
      </c>
      <c r="AC48" s="28" t="str">
        <v>0.0644192210318526</v>
      </c>
      <c r="AD48" s="28" t="str">
        <v>-0.0436221370929055</v>
      </c>
    </row>
    <row r="49" spans="1:30" x14ac:dyDescent="0.25">
      <c r="C49" s="4"/>
      <c r="D49" s="1"/>
      <c r="K49" s="30"/>
      <c r="L49" s="7"/>
      <c r="M49" s="7"/>
      <c r="N49" s="7"/>
      <c r="O49" s="7"/>
      <c r="P49" s="7"/>
      <c r="Q49" s="7"/>
      <c r="R49" s="7"/>
      <c r="U49" s="24" t="str">
        <v>GEV US EQUITY</v>
      </c>
      <c r="V49" s="24">
        <v>46752</v>
      </c>
      <c r="W49" s="24" t="str">
        <v>custom</v>
      </c>
      <c r="X49" s="24" t="str">
        <v>orders</v>
      </c>
      <c r="Y49" s="24" t="str">
        <v>forecast</v>
      </c>
      <c r="Z49" s="28" t="str">
        <v>19444.3501837499</v>
      </c>
      <c r="AA49" s="28" t="str">
        <v>-0.1143935960097</v>
      </c>
      <c r="AB49" s="28" t="str">
        <v>2213.97193152484</v>
      </c>
      <c r="AC49" s="28" t="str">
        <v>-0.123812626903842</v>
      </c>
      <c r="AD49" s="28" t="str">
        <v>0.250518051904842</v>
      </c>
    </row>
    <row r="50" spans="1:30" x14ac:dyDescent="0.25">
      <c r="C50" s="13" t="s">
        <v>10</v>
      </c>
      <c r="D50" s="14">
        <f t="shared" ref="D50:L50" si="119">EOMONTH(DATE(YEAR(D52),ROUNDUP(MONTH(D52)/3,0)*3,1),0)</f>
        <v>45382</v>
      </c>
      <c r="E50" s="14">
        <f t="shared" si="119"/>
        <v>45473</v>
      </c>
      <c r="F50" s="14">
        <f t="shared" si="119"/>
        <v>45565</v>
      </c>
      <c r="G50" s="14">
        <f t="shared" si="119"/>
        <v>45657</v>
      </c>
      <c r="H50" s="14">
        <f t="shared" si="119"/>
        <v>45747</v>
      </c>
      <c r="I50" s="14">
        <f t="shared" si="119"/>
        <v>45838</v>
      </c>
      <c r="J50" s="14">
        <f t="shared" si="119"/>
        <v>45930</v>
      </c>
      <c r="K50" s="14">
        <f t="shared" si="119"/>
        <v>46022</v>
      </c>
      <c r="L50" s="14">
        <f t="shared" si="119"/>
        <v>46112</v>
      </c>
      <c r="M50" s="14">
        <f>EOMONTH(DATE(YEAR(M52),ROUNDUP(MONTH(M52)/3,0)*3,1),0)</f>
        <v>46203</v>
      </c>
      <c r="N50" s="14">
        <f>EOMONTH(DATE(YEAR(N52),ROUNDUP(MONTH(N52)/3,0)*3,1),0)</f>
        <v>46295</v>
      </c>
      <c r="O50" s="14">
        <f>EOMONTH(DATE(YEAR(O52),ROUNDUP(MONTH(O52)/3,0)*3,1),0)</f>
        <v>46387</v>
      </c>
      <c r="P50" s="14">
        <f t="shared" ref="P50:S50" si="120">EOMONTH(DATE(YEAR(P52),ROUNDUP(MONTH(P52)/3,0)*3,1),0)</f>
        <v>46477</v>
      </c>
      <c r="Q50" s="14">
        <f t="shared" si="120"/>
        <v>46568</v>
      </c>
      <c r="R50" s="14">
        <f t="shared" si="120"/>
        <v>46660</v>
      </c>
      <c r="S50" s="14">
        <f t="shared" si="120"/>
        <v>46752</v>
      </c>
      <c r="U50" s="24" t="str" cm="1">
        <f t="array" ref="U50:AD61">_xlfn.LET(
  _xlpm.d, H41:S41,
  _xlpm.s, H42:S42,
  _xlpm.v, H44:S44,
  _xlpm.yy, H45:S45,
  _xlpm.qq, H46:S46,
  _xlpm.dyy, H47:S47,
  _xlpm.dqq, H48:S48,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GEV US EQUITY</v>
      </c>
      <c r="V50" s="24">
        <v>45747</v>
      </c>
      <c r="W50" s="24" t="str">
        <v>custom</v>
      </c>
      <c r="X50" s="24" t="str">
        <v>power_EBITDA</v>
      </c>
      <c r="Y50" s="24" t="str">
        <v>actual</v>
      </c>
      <c r="Z50" s="28" t="str">
        <v>508</v>
      </c>
      <c r="AA50" s="28" t="str">
        <v>0.472463768115942</v>
      </c>
      <c r="AB50" s="28" t="str">
        <v/>
      </c>
      <c r="AC50" s="28" t="str">
        <v/>
      </c>
      <c r="AD50" s="28" t="str">
        <v>-0.372839506172839</v>
      </c>
    </row>
    <row r="51" spans="1:30" x14ac:dyDescent="0.25">
      <c r="C51" s="13" t="s">
        <v>22</v>
      </c>
      <c r="D51" s="2" t="str">
        <f t="shared" ref="D51:S51" si="121">+D$6</f>
        <v>actual</v>
      </c>
      <c r="E51" s="2" t="str">
        <f t="shared" si="121"/>
        <v>actual</v>
      </c>
      <c r="F51" s="2" t="str">
        <f t="shared" si="121"/>
        <v>actual</v>
      </c>
      <c r="G51" s="2" t="str">
        <f t="shared" si="121"/>
        <v>actual</v>
      </c>
      <c r="H51" s="2" t="str">
        <f t="shared" si="121"/>
        <v>actual</v>
      </c>
      <c r="I51" s="2" t="str">
        <f t="shared" si="121"/>
        <v>actual</v>
      </c>
      <c r="J51" s="2" t="str">
        <f t="shared" si="121"/>
        <v>actual</v>
      </c>
      <c r="K51" s="2" t="str">
        <f t="shared" si="121"/>
        <v>actual</v>
      </c>
      <c r="L51" s="2" t="str">
        <f t="shared" si="121"/>
        <v>forecast</v>
      </c>
      <c r="M51" s="2" t="str">
        <f t="shared" si="121"/>
        <v>forecast</v>
      </c>
      <c r="N51" s="2" t="str">
        <f t="shared" si="121"/>
        <v>forecast</v>
      </c>
      <c r="O51" s="2" t="str">
        <f t="shared" si="121"/>
        <v>forecast</v>
      </c>
      <c r="P51" s="2" t="str">
        <f t="shared" si="121"/>
        <v>forecast</v>
      </c>
      <c r="Q51" s="2" t="str">
        <f t="shared" si="121"/>
        <v>forecast</v>
      </c>
      <c r="R51" s="2" t="str">
        <f t="shared" si="121"/>
        <v>forecast</v>
      </c>
      <c r="S51" s="2" t="str">
        <f t="shared" si="121"/>
        <v>forecast</v>
      </c>
      <c r="U51" s="24" t="str">
        <v>GEV US EQUITY</v>
      </c>
      <c r="V51" s="24">
        <v>45838</v>
      </c>
      <c r="W51" s="24" t="str">
        <v>custom</v>
      </c>
      <c r="X51" s="24" t="str">
        <v>power_EBITDA</v>
      </c>
      <c r="Y51" s="24" t="str">
        <v>actual</v>
      </c>
      <c r="Z51" s="28" t="str">
        <v>778</v>
      </c>
      <c r="AA51" s="28" t="str">
        <v>0.269168026101142</v>
      </c>
      <c r="AB51" s="28" t="str">
        <v>-2032.957420148</v>
      </c>
      <c r="AC51" s="28" t="str">
        <v/>
      </c>
      <c r="AD51" s="28" t="str">
        <v>0.531496062992126</v>
      </c>
    </row>
    <row r="52" spans="1:30" x14ac:dyDescent="0.25">
      <c r="D52" s="2">
        <f t="shared" ref="D52:S52" si="122">+D$7</f>
        <v>45382</v>
      </c>
      <c r="E52" s="2">
        <f t="shared" si="122"/>
        <v>45473</v>
      </c>
      <c r="F52" s="2">
        <f t="shared" si="122"/>
        <v>45565</v>
      </c>
      <c r="G52" s="2">
        <f t="shared" si="122"/>
        <v>45657</v>
      </c>
      <c r="H52" s="2">
        <f t="shared" si="122"/>
        <v>45747</v>
      </c>
      <c r="I52" s="2">
        <f t="shared" si="122"/>
        <v>45838</v>
      </c>
      <c r="J52" s="2">
        <f t="shared" si="122"/>
        <v>45930</v>
      </c>
      <c r="K52" s="2">
        <f t="shared" si="122"/>
        <v>46022</v>
      </c>
      <c r="L52" s="2">
        <f t="shared" si="122"/>
        <v>46112</v>
      </c>
      <c r="M52" s="2">
        <f t="shared" si="122"/>
        <v>46203</v>
      </c>
      <c r="N52" s="2">
        <f t="shared" si="122"/>
        <v>46295</v>
      </c>
      <c r="O52" s="2">
        <f t="shared" si="122"/>
        <v>46387</v>
      </c>
      <c r="P52" s="2">
        <f t="shared" si="122"/>
        <v>46477</v>
      </c>
      <c r="Q52" s="2">
        <f t="shared" si="122"/>
        <v>46568</v>
      </c>
      <c r="R52" s="2">
        <f t="shared" si="122"/>
        <v>46660</v>
      </c>
      <c r="S52" s="2">
        <f t="shared" si="122"/>
        <v>46752</v>
      </c>
      <c r="U52" s="24" t="str">
        <v>GEV US EQUITY</v>
      </c>
      <c r="V52" s="24">
        <v>45930</v>
      </c>
      <c r="W52" s="24" t="str">
        <v>custom</v>
      </c>
      <c r="X52" s="24" t="str">
        <v>power_EBITDA</v>
      </c>
      <c r="Y52" s="24" t="str">
        <v>actual</v>
      </c>
      <c r="Z52" s="28" t="str">
        <v>645</v>
      </c>
      <c r="AA52" s="28" t="str">
        <v>0.292585170340681</v>
      </c>
      <c r="AB52" s="28" t="str">
        <v>234.171442395394</v>
      </c>
      <c r="AC52" s="28" t="str">
        <v/>
      </c>
      <c r="AD52" s="28" t="str">
        <v>-0.170951156812339</v>
      </c>
    </row>
    <row r="53" spans="1:30" x14ac:dyDescent="0.25">
      <c r="A53" s="16" t="s">
        <v>17</v>
      </c>
      <c r="B53" s="16" t="s">
        <v>35</v>
      </c>
      <c r="C53" s="2" t="s">
        <v>36</v>
      </c>
      <c r="D53" s="10">
        <v>66</v>
      </c>
      <c r="E53" s="10">
        <v>129</v>
      </c>
      <c r="F53" s="10">
        <v>201</v>
      </c>
      <c r="G53" s="10">
        <v>283</v>
      </c>
      <c r="H53" s="10">
        <v>214</v>
      </c>
      <c r="I53" s="10">
        <v>322</v>
      </c>
      <c r="J53" s="10">
        <v>393</v>
      </c>
      <c r="K53" s="10">
        <v>505</v>
      </c>
      <c r="L53" s="10">
        <v>494.58079072213286</v>
      </c>
      <c r="M53" s="10">
        <v>696.22001388441731</v>
      </c>
      <c r="N53" s="10">
        <v>768.04366289710288</v>
      </c>
      <c r="O53" s="10">
        <v>885.74178871688741</v>
      </c>
      <c r="P53" s="10">
        <v>776.4056941748114</v>
      </c>
      <c r="Q53" s="10">
        <v>964.45254836126117</v>
      </c>
      <c r="R53" s="10">
        <v>979.23098748891471</v>
      </c>
      <c r="S53" s="10">
        <v>1128.0171291445342</v>
      </c>
      <c r="U53" s="24" t="str">
        <v>GEV US EQUITY</v>
      </c>
      <c r="V53" s="24">
        <v>46022</v>
      </c>
      <c r="W53" s="24" t="str">
        <v>custom</v>
      </c>
      <c r="X53" s="24" t="str">
        <v>power_EBITDA</v>
      </c>
      <c r="Y53" s="24" t="str">
        <v>actual</v>
      </c>
      <c r="Z53" s="28" t="str">
        <v>971</v>
      </c>
      <c r="AA53" s="28" t="str">
        <v>0.198765432098766</v>
      </c>
      <c r="AB53" s="28" t="str">
        <v>-938.197382419159</v>
      </c>
      <c r="AC53" s="28" t="str">
        <v/>
      </c>
      <c r="AD53" s="28" t="str">
        <v>0.505426356589147</v>
      </c>
    </row>
    <row r="54" spans="1:30" x14ac:dyDescent="0.25">
      <c r="C54" s="4" t="s">
        <v>4</v>
      </c>
      <c r="D54" s="5"/>
      <c r="E54" s="4"/>
      <c r="F54" s="4"/>
      <c r="G54" s="4"/>
      <c r="H54" s="12">
        <f t="shared" ref="H54" si="123">+H53/D53-1</f>
        <v>2.2424242424242422</v>
      </c>
      <c r="I54" s="12">
        <f t="shared" ref="I54" si="124">+I53/E53-1</f>
        <v>1.4961240310077519</v>
      </c>
      <c r="J54" s="12">
        <f t="shared" ref="J54" si="125">+J53/F53-1</f>
        <v>0.95522388059701502</v>
      </c>
      <c r="K54" s="12">
        <f t="shared" ref="K54" si="126">+K53/G53-1</f>
        <v>0.78445229681978801</v>
      </c>
      <c r="L54" s="12">
        <f t="shared" ref="L54" si="127">+L53/H53-1</f>
        <v>1.3111251902903405</v>
      </c>
      <c r="M54" s="12">
        <f t="shared" ref="M54" si="128">+M53/I53-1</f>
        <v>1.1621739561627868</v>
      </c>
      <c r="N54" s="12">
        <f t="shared" ref="N54" si="129">+N53/J53-1</f>
        <v>0.95430957480178846</v>
      </c>
      <c r="O54" s="12">
        <f t="shared" ref="O54" si="130">+O53/K53-1</f>
        <v>0.75394413607304434</v>
      </c>
      <c r="P54" s="12">
        <f t="shared" ref="P54" si="131">+P53/L53-1</f>
        <v>0.56982581762059259</v>
      </c>
      <c r="Q54" s="12">
        <f t="shared" ref="Q54" si="132">+Q53/M53-1</f>
        <v>0.38526978415960089</v>
      </c>
      <c r="R54" s="12">
        <f t="shared" ref="R54" si="133">+R53/N53-1</f>
        <v>0.27496786288842179</v>
      </c>
      <c r="S54" s="12">
        <f t="shared" ref="S54" si="134">+S53/O53-1</f>
        <v>0.27352818114025568</v>
      </c>
      <c r="U54" s="24" t="str">
        <v>GEV US EQUITY</v>
      </c>
      <c r="V54" s="24">
        <v>46112</v>
      </c>
      <c r="W54" s="24" t="str">
        <v>custom</v>
      </c>
      <c r="X54" s="24" t="str">
        <v>power_EBITDA</v>
      </c>
      <c r="Y54" s="24" t="str">
        <v>forecast</v>
      </c>
      <c r="Z54" s="28" t="str">
        <v>820.416101654004</v>
      </c>
      <c r="AA54" s="28" t="str">
        <v>0.614992326090559</v>
      </c>
      <c r="AB54" s="28" t="str">
        <v>4162.26893991793</v>
      </c>
      <c r="AC54" s="28" t="str">
        <v>1425.28557974617</v>
      </c>
      <c r="AD54" s="28" t="str">
        <v>-0.155081254733261</v>
      </c>
    </row>
    <row r="55" spans="1:30" x14ac:dyDescent="0.25">
      <c r="C55" s="4" t="s">
        <v>15</v>
      </c>
      <c r="D55" s="1"/>
      <c r="I55" s="7">
        <f t="shared" ref="I55" si="135">(I54-H54)*10000</f>
        <v>-7463.0021141649031</v>
      </c>
      <c r="J55" s="7">
        <f t="shared" ref="J55" si="136">(J54-I54)*10000</f>
        <v>-5409.0015041073693</v>
      </c>
      <c r="K55" s="7">
        <f t="shared" ref="K55" si="137">(K54-J54)*10000</f>
        <v>-1707.7158377722701</v>
      </c>
      <c r="L55" s="7">
        <f>(L54-K54)*10000</f>
        <v>5266.7289347055248</v>
      </c>
      <c r="M55" s="7">
        <f>(M54-L54)*10000</f>
        <v>-1489.5123412755363</v>
      </c>
      <c r="N55" s="7">
        <f>(N54-M54)*10000</f>
        <v>-2078.6438136099837</v>
      </c>
      <c r="O55" s="7">
        <f>(O54-N54)*10000</f>
        <v>-2003.6543872874413</v>
      </c>
      <c r="P55" s="7">
        <f t="shared" ref="P55" si="138">(P54-O54)*10000</f>
        <v>-1841.1831845245174</v>
      </c>
      <c r="Q55" s="7">
        <f t="shared" ref="Q55" si="139">(Q54-P54)*10000</f>
        <v>-1845.5603346099169</v>
      </c>
      <c r="R55" s="7">
        <f t="shared" ref="R55" si="140">(R54-Q54)*10000</f>
        <v>-1103.0192127117909</v>
      </c>
      <c r="S55" s="7">
        <f t="shared" ref="S55" si="141">(S54-R54)*10000</f>
        <v>-14.396817481661106</v>
      </c>
      <c r="U55" s="24" t="str">
        <v>GEV US EQUITY</v>
      </c>
      <c r="V55" s="24">
        <v>46203</v>
      </c>
      <c r="W55" s="24" t="str">
        <v>custom</v>
      </c>
      <c r="X55" s="24" t="str">
        <v>power_EBITDA</v>
      </c>
      <c r="Y55" s="24" t="str">
        <v>forecast</v>
      </c>
      <c r="Z55" s="28" t="str">
        <v>915.319449346132</v>
      </c>
      <c r="AA55" s="28" t="str">
        <v>0.17650314825981</v>
      </c>
      <c r="AB55" s="28" t="str">
        <v>-4384.89177830749</v>
      </c>
      <c r="AC55" s="28" t="str">
        <v>-926.648778413324</v>
      </c>
      <c r="AD55" s="28" t="str">
        <v>0.115677090565139</v>
      </c>
    </row>
    <row r="56" spans="1:30" x14ac:dyDescent="0.25">
      <c r="C56" s="4" t="s">
        <v>28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-9312.9905213390175</v>
      </c>
      <c r="M56" s="7">
        <f>(M54-I54)*10000</f>
        <v>-3339.5007484496509</v>
      </c>
      <c r="N56" s="7">
        <f>(N54-J54)*10000</f>
        <v>-9.1430579522655542</v>
      </c>
      <c r="O56" s="7">
        <f>(O54-K54)*10000</f>
        <v>-305.08160746743675</v>
      </c>
      <c r="P56" s="7">
        <f t="shared" ref="P56" si="142">(P54-L54)*10000</f>
        <v>-7412.9937266974785</v>
      </c>
      <c r="Q56" s="7">
        <f t="shared" ref="Q56" si="143">(Q54-M54)*10000</f>
        <v>-7769.0417200318598</v>
      </c>
      <c r="R56" s="7">
        <f t="shared" ref="R56" si="144">(R54-N54)*10000</f>
        <v>-6793.4171191336663</v>
      </c>
      <c r="S56" s="7">
        <f t="shared" ref="S56" si="145">(S54-O54)*10000</f>
        <v>-4804.1595493278865</v>
      </c>
      <c r="U56" s="24" t="str">
        <v>GEV US EQUITY</v>
      </c>
      <c r="V56" s="24">
        <v>46295</v>
      </c>
      <c r="W56" s="24" t="str">
        <v>custom</v>
      </c>
      <c r="X56" s="24" t="str">
        <v>power_EBITDA</v>
      </c>
      <c r="Y56" s="24" t="str">
        <v>forecast</v>
      </c>
      <c r="Z56" s="28" t="str">
        <v>1045.18558077003</v>
      </c>
      <c r="AA56" s="28" t="str">
        <v>0.620442760883767</v>
      </c>
      <c r="AB56" s="28" t="str">
        <v>4439.39612623957</v>
      </c>
      <c r="AC56" s="28" t="str">
        <v>3278.57590543085</v>
      </c>
      <c r="AD56" s="28" t="str">
        <v>0.141880664195073</v>
      </c>
    </row>
    <row r="57" spans="1:30" x14ac:dyDescent="0.25">
      <c r="C57" s="4" t="s">
        <v>5</v>
      </c>
      <c r="D57" s="1"/>
      <c r="E57" s="12">
        <f t="shared" ref="E57" si="146">E53/D53-1</f>
        <v>0.95454545454545459</v>
      </c>
      <c r="F57" s="12">
        <f t="shared" ref="F57" si="147">F53/E53-1</f>
        <v>0.55813953488372103</v>
      </c>
      <c r="G57" s="12">
        <f t="shared" ref="G57" si="148">G53/F53-1</f>
        <v>0.40796019900497504</v>
      </c>
      <c r="H57" s="12">
        <f t="shared" ref="H57" si="149">H53/G53-1</f>
        <v>-0.24381625441696109</v>
      </c>
      <c r="I57" s="12">
        <f t="shared" ref="I57" si="150">I53/H53-1</f>
        <v>0.50467289719626174</v>
      </c>
      <c r="J57" s="12">
        <f t="shared" ref="J57" si="151">J53/I53-1</f>
        <v>0.22049689440993792</v>
      </c>
      <c r="K57" s="12">
        <f t="shared" ref="K57" si="152">K53/J53-1</f>
        <v>0.28498727735368967</v>
      </c>
      <c r="L57" s="12">
        <f t="shared" ref="L57" si="153">L53/K53-1</f>
        <v>-2.0632097579934894E-2</v>
      </c>
      <c r="M57" s="12">
        <f t="shared" ref="M57" si="154">M53/L53-1</f>
        <v>0.40769723965193405</v>
      </c>
      <c r="N57" s="12">
        <f t="shared" ref="N57" si="155">N53/M53-1</f>
        <v>0.10316228717982434</v>
      </c>
      <c r="O57" s="12">
        <f t="shared" ref="O57" si="156">O53/N53-1</f>
        <v>0.15324405565149868</v>
      </c>
      <c r="P57" s="12">
        <f t="shared" ref="P57" si="157">P53/O53-1</f>
        <v>-0.12344014467293407</v>
      </c>
      <c r="Q57" s="12">
        <f t="shared" ref="Q57" si="158">Q53/P53-1</f>
        <v>0.24220179681488796</v>
      </c>
      <c r="R57" s="12">
        <f t="shared" ref="R57" si="159">R53/Q53-1</f>
        <v>1.5323137621196858E-2</v>
      </c>
      <c r="S57" s="12">
        <f t="shared" ref="S57" si="160">S53/R53-1</f>
        <v>0.15194182328436967</v>
      </c>
      <c r="U57" s="24" t="str">
        <v>GEV US EQUITY</v>
      </c>
      <c r="V57" s="24">
        <v>46387</v>
      </c>
      <c r="W57" s="24" t="str">
        <v>custom</v>
      </c>
      <c r="X57" s="24" t="str">
        <v>power_EBITDA</v>
      </c>
      <c r="Y57" s="24" t="str">
        <v>forecast</v>
      </c>
      <c r="Z57" s="28" t="str">
        <v>1341.00811038374</v>
      </c>
      <c r="AA57" s="28" t="str">
        <v>0.381058816049161</v>
      </c>
      <c r="AB57" s="28" t="str">
        <v>-2393.83944834605</v>
      </c>
      <c r="AC57" s="28" t="str">
        <v>1822.93383950396</v>
      </c>
      <c r="AD57" s="28" t="str">
        <v>0.283033496688466</v>
      </c>
    </row>
    <row r="58" spans="1:30" x14ac:dyDescent="0.2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U58" s="24" t="str">
        <v>GEV US EQUITY</v>
      </c>
      <c r="V58" s="24">
        <v>46477</v>
      </c>
      <c r="W58" s="24" t="str">
        <v>custom</v>
      </c>
      <c r="X58" s="24" t="str">
        <v>power_EBITDA</v>
      </c>
      <c r="Y58" s="24" t="str">
        <v>forecast</v>
      </c>
      <c r="Z58" s="28" t="str">
        <v>1210.65007724665</v>
      </c>
      <c r="AA58" s="28" t="str">
        <v>0.475653725964067</v>
      </c>
      <c r="AB58" s="28" t="str">
        <v>945.949099149057</v>
      </c>
      <c r="AC58" s="28" t="str">
        <v>-1393.38600126492</v>
      </c>
      <c r="AD58" s="28" t="str">
        <v>-0.0972089819052533</v>
      </c>
    </row>
    <row r="59" spans="1:30" x14ac:dyDescent="0.2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U59" s="24" t="str">
        <v>GEV US EQUITY</v>
      </c>
      <c r="V59" s="24">
        <v>46568</v>
      </c>
      <c r="W59" s="24" t="str">
        <v>custom</v>
      </c>
      <c r="X59" s="24" t="str">
        <v>power_EBITDA</v>
      </c>
      <c r="Y59" s="24" t="str">
        <v>forecast</v>
      </c>
      <c r="Z59" s="28" t="str">
        <v>1537.07618652593</v>
      </c>
      <c r="AA59" s="28" t="str">
        <v>0.679278406707032</v>
      </c>
      <c r="AB59" s="28" t="str">
        <v>2036.24680742965</v>
      </c>
      <c r="AC59" s="28" t="str">
        <v>5027.75258447222</v>
      </c>
      <c r="AD59" s="28" t="str">
        <v>0.269628784910061</v>
      </c>
    </row>
    <row r="60" spans="1:30" x14ac:dyDescent="0.2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U60" s="24" t="str">
        <v>GEV US EQUITY</v>
      </c>
      <c r="V60" s="24">
        <v>46660</v>
      </c>
      <c r="W60" s="24" t="str">
        <v>custom</v>
      </c>
      <c r="X60" s="24" t="str">
        <v>power_EBITDA</v>
      </c>
      <c r="Y60" s="24" t="str">
        <v>forecast</v>
      </c>
      <c r="Z60" s="28" t="str">
        <v>1286.40463168008</v>
      </c>
      <c r="AA60" s="28" t="str">
        <v>0.23079064172731</v>
      </c>
      <c r="AB60" s="28" t="str">
        <v>-4484.87764979721</v>
      </c>
      <c r="AC60" s="28" t="str">
        <v>-3896.52119156456</v>
      </c>
      <c r="AD60" s="28" t="str">
        <v>-0.163083363754673</v>
      </c>
    </row>
    <row r="61" spans="1:30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U61" s="24" t="str">
        <v>GEV US EQUITY</v>
      </c>
      <c r="V61" s="24">
        <v>46752</v>
      </c>
      <c r="W61" s="24" t="str">
        <v>custom</v>
      </c>
      <c r="X61" s="24" t="str">
        <v>power_EBITDA</v>
      </c>
      <c r="Y61" s="24" t="str">
        <v>forecast</v>
      </c>
      <c r="Z61" s="28" t="str">
        <v>1806.36812569004</v>
      </c>
      <c r="AA61" s="28" t="str">
        <v>0.347022521118932</v>
      </c>
      <c r="AB61" s="28" t="str">
        <v>1162.31879391622</v>
      </c>
      <c r="AC61" s="28" t="str">
        <v>-340.362949302289</v>
      </c>
      <c r="AD61" s="28" t="str">
        <v>0.40419902199114</v>
      </c>
    </row>
    <row r="62" spans="1:30" x14ac:dyDescent="0.25">
      <c r="A62" s="16"/>
      <c r="B62" s="16"/>
      <c r="C62" s="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U62" s="24" t="str" cm="1">
        <f t="array" ref="U62:AD73">_xlfn.LET(
  _xlpm.d, H50:S50,
  _xlpm.s, H51:S51,
  _xlpm.v, H53:S53,
  _xlpm.yy, H54:S54,
  _xlpm.qq, H55:S55,
  _xlpm.dyy, H56:S56,
  _xlpm.dqq, H57:S57,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GEV US EQUITY</v>
      </c>
      <c r="V62" s="24">
        <v>45747</v>
      </c>
      <c r="W62" s="24" t="str">
        <v>custom</v>
      </c>
      <c r="X62" s="24" t="str">
        <v>electrification_EBITDA</v>
      </c>
      <c r="Y62" s="24" t="str">
        <v>actual</v>
      </c>
      <c r="Z62" s="28" t="str">
        <v>214</v>
      </c>
      <c r="AA62" s="28" t="str">
        <v>2.24242424242424</v>
      </c>
      <c r="AB62" s="28" t="str">
        <v/>
      </c>
      <c r="AC62" s="28" t="str">
        <v/>
      </c>
      <c r="AD62" s="28" t="str">
        <v>-0.243816254416961</v>
      </c>
    </row>
    <row r="63" spans="1:30" x14ac:dyDescent="0.25">
      <c r="C63" s="4"/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U63" s="24" t="str">
        <v>GEV US EQUITY</v>
      </c>
      <c r="V63" s="24">
        <v>45838</v>
      </c>
      <c r="W63" s="24" t="str">
        <v>custom</v>
      </c>
      <c r="X63" s="24" t="str">
        <v>electrification_EBITDA</v>
      </c>
      <c r="Y63" s="24" t="str">
        <v>actual</v>
      </c>
      <c r="Z63" s="28" t="str">
        <v>322</v>
      </c>
      <c r="AA63" s="28" t="str">
        <v>1.49612403100775</v>
      </c>
      <c r="AB63" s="28" t="str">
        <v>-7463.0021141649</v>
      </c>
      <c r="AC63" s="28" t="str">
        <v/>
      </c>
      <c r="AD63" s="28" t="str">
        <v>0.504672897196262</v>
      </c>
    </row>
    <row r="64" spans="1:30" x14ac:dyDescent="0.25">
      <c r="C64" s="4"/>
      <c r="D64" s="1"/>
      <c r="L64" s="7"/>
      <c r="M64" s="7"/>
      <c r="N64" s="7"/>
      <c r="O64" s="7"/>
      <c r="P64" s="7"/>
      <c r="Q64" s="7"/>
      <c r="R64" s="7"/>
      <c r="S64" s="7"/>
      <c r="U64" s="24" t="str">
        <v>GEV US EQUITY</v>
      </c>
      <c r="V64" s="24">
        <v>45930</v>
      </c>
      <c r="W64" s="24" t="str">
        <v>custom</v>
      </c>
      <c r="X64" s="24" t="str">
        <v>electrification_EBITDA</v>
      </c>
      <c r="Y64" s="24" t="str">
        <v>actual</v>
      </c>
      <c r="Z64" s="28" t="str">
        <v>393</v>
      </c>
      <c r="AA64" s="28" t="str">
        <v>0.955223880597015</v>
      </c>
      <c r="AB64" s="28" t="str">
        <v>-5409.00150410737</v>
      </c>
      <c r="AC64" s="28" t="str">
        <v/>
      </c>
      <c r="AD64" s="28" t="str">
        <v>0.220496894409938</v>
      </c>
    </row>
    <row r="65" spans="1:30" x14ac:dyDescent="0.25">
      <c r="C65" s="4"/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/>
      <c r="S65" s="7"/>
      <c r="U65" s="24" t="str">
        <v>GEV US EQUITY</v>
      </c>
      <c r="V65" s="24">
        <v>46022</v>
      </c>
      <c r="W65" s="24" t="str">
        <v>custom</v>
      </c>
      <c r="X65" s="24" t="str">
        <v>electrification_EBITDA</v>
      </c>
      <c r="Y65" s="24" t="str">
        <v>actual</v>
      </c>
      <c r="Z65" s="28" t="str">
        <v>505</v>
      </c>
      <c r="AA65" s="28" t="str">
        <v>0.784452296819788</v>
      </c>
      <c r="AB65" s="28" t="str">
        <v>-1707.71583777227</v>
      </c>
      <c r="AC65" s="28" t="str">
        <v/>
      </c>
      <c r="AD65" s="28" t="str">
        <v>0.28498727735369</v>
      </c>
    </row>
    <row r="66" spans="1:30" x14ac:dyDescent="0.25">
      <c r="C66" s="4"/>
      <c r="D66" s="1"/>
      <c r="G66" s="7"/>
      <c r="L66" s="12"/>
      <c r="M66" s="12"/>
      <c r="N66" s="12"/>
      <c r="O66" s="12"/>
      <c r="P66" s="12"/>
      <c r="Q66" s="12"/>
      <c r="R66" s="12"/>
      <c r="S66" s="12"/>
      <c r="U66" s="24" t="str">
        <v>GEV US EQUITY</v>
      </c>
      <c r="V66" s="24">
        <v>46112</v>
      </c>
      <c r="W66" s="24" t="str">
        <v>custom</v>
      </c>
      <c r="X66" s="24" t="str">
        <v>electrification_EBITDA</v>
      </c>
      <c r="Y66" s="24" t="str">
        <v>forecast</v>
      </c>
      <c r="Z66" s="28" t="str">
        <v>494.580790722133</v>
      </c>
      <c r="AA66" s="28" t="str">
        <v>1.31112519029034</v>
      </c>
      <c r="AB66" s="28" t="str">
        <v>5266.72893470552</v>
      </c>
      <c r="AC66" s="28" t="str">
        <v>-9312.99052133902</v>
      </c>
      <c r="AD66" s="28" t="str">
        <v>-0.0206320975799349</v>
      </c>
    </row>
    <row r="67" spans="1:30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U67" s="24" t="str">
        <v>GEV US EQUITY</v>
      </c>
      <c r="V67" s="24">
        <v>46203</v>
      </c>
      <c r="W67" s="24" t="str">
        <v>custom</v>
      </c>
      <c r="X67" s="24" t="str">
        <v>electrification_EBITDA</v>
      </c>
      <c r="Y67" s="24" t="str">
        <v>forecast</v>
      </c>
      <c r="Z67" s="28" t="str">
        <v>696.220013884417</v>
      </c>
      <c r="AA67" s="28" t="str">
        <v>1.16217395616279</v>
      </c>
      <c r="AB67" s="28" t="str">
        <v>-1489.51234127554</v>
      </c>
      <c r="AC67" s="28" t="str">
        <v>-3339.50074844965</v>
      </c>
      <c r="AD67" s="28" t="str">
        <v>0.407697239651934</v>
      </c>
    </row>
    <row r="68" spans="1:30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U68" s="24" t="str">
        <v>GEV US EQUITY</v>
      </c>
      <c r="V68" s="24">
        <v>46295</v>
      </c>
      <c r="W68" s="24" t="str">
        <v>custom</v>
      </c>
      <c r="X68" s="24" t="str">
        <v>electrification_EBITDA</v>
      </c>
      <c r="Y68" s="24" t="str">
        <v>forecast</v>
      </c>
      <c r="Z68" s="28" t="str">
        <v>768.043662897103</v>
      </c>
      <c r="AA68" s="28" t="str">
        <v>0.954309574801788</v>
      </c>
      <c r="AB68" s="28" t="str">
        <v>-2078.64381360998</v>
      </c>
      <c r="AC68" s="28" t="str">
        <v>-9.14305795226555</v>
      </c>
      <c r="AD68" s="28" t="str">
        <v>0.103162287179824</v>
      </c>
    </row>
    <row r="69" spans="1:30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U69" s="24" t="str">
        <v>GEV US EQUITY</v>
      </c>
      <c r="V69" s="24">
        <v>46387</v>
      </c>
      <c r="W69" s="24" t="str">
        <v>custom</v>
      </c>
      <c r="X69" s="24" t="str">
        <v>electrification_EBITDA</v>
      </c>
      <c r="Y69" s="24" t="str">
        <v>forecast</v>
      </c>
      <c r="Z69" s="28" t="str">
        <v>885.741788716887</v>
      </c>
      <c r="AA69" s="28" t="str">
        <v>0.753944136073044</v>
      </c>
      <c r="AB69" s="28" t="str">
        <v>-2003.65438728744</v>
      </c>
      <c r="AC69" s="28" t="str">
        <v>-305.081607467437</v>
      </c>
      <c r="AD69" s="28" t="str">
        <v>0.153244055651499</v>
      </c>
    </row>
    <row r="70" spans="1:30" x14ac:dyDescent="0.2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  <c r="U70" s="24" t="str">
        <v>GEV US EQUITY</v>
      </c>
      <c r="V70" s="24">
        <v>46477</v>
      </c>
      <c r="W70" s="24" t="str">
        <v>custom</v>
      </c>
      <c r="X70" s="24" t="str">
        <v>electrification_EBITDA</v>
      </c>
      <c r="Y70" s="24" t="str">
        <v>forecast</v>
      </c>
      <c r="Z70" s="28" t="str">
        <v>776.405694174811</v>
      </c>
      <c r="AA70" s="28" t="str">
        <v>0.569825817620593</v>
      </c>
      <c r="AB70" s="28" t="str">
        <v>-1841.18318452452</v>
      </c>
      <c r="AC70" s="28" t="str">
        <v>-7412.99372669748</v>
      </c>
      <c r="AD70" s="28" t="str">
        <v>-0.123440144672934</v>
      </c>
    </row>
    <row r="71" spans="1:30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U71" s="24" t="str">
        <v>GEV US EQUITY</v>
      </c>
      <c r="V71" s="24">
        <v>46568</v>
      </c>
      <c r="W71" s="24" t="str">
        <v>custom</v>
      </c>
      <c r="X71" s="24" t="str">
        <v>electrification_EBITDA</v>
      </c>
      <c r="Y71" s="24" t="str">
        <v>forecast</v>
      </c>
      <c r="Z71" s="28" t="str">
        <v>964.452548361261</v>
      </c>
      <c r="AA71" s="28" t="str">
        <v>0.385269784159601</v>
      </c>
      <c r="AB71" s="28" t="str">
        <v>-1845.56033460992</v>
      </c>
      <c r="AC71" s="28" t="str">
        <v>-7769.04172003186</v>
      </c>
      <c r="AD71" s="28" t="str">
        <v>0.242201796814888</v>
      </c>
    </row>
    <row r="72" spans="1:30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  <c r="U72" s="24" t="str">
        <v>GEV US EQUITY</v>
      </c>
      <c r="V72" s="24">
        <v>46660</v>
      </c>
      <c r="W72" s="24" t="str">
        <v>custom</v>
      </c>
      <c r="X72" s="24" t="str">
        <v>electrification_EBITDA</v>
      </c>
      <c r="Y72" s="24" t="str">
        <v>forecast</v>
      </c>
      <c r="Z72" s="28" t="str">
        <v>979.230987488915</v>
      </c>
      <c r="AA72" s="28" t="str">
        <v>0.274967862888422</v>
      </c>
      <c r="AB72" s="28" t="str">
        <v>-1103.01921271179</v>
      </c>
      <c r="AC72" s="28" t="str">
        <v>-6793.41711913367</v>
      </c>
      <c r="AD72" s="28" t="str">
        <v>0.0153231376211969</v>
      </c>
    </row>
    <row r="73" spans="1:30" x14ac:dyDescent="0.25">
      <c r="U73" s="24" t="str">
        <v>GEV US EQUITY</v>
      </c>
      <c r="V73" s="24">
        <v>46752</v>
      </c>
      <c r="W73" s="24" t="str">
        <v>custom</v>
      </c>
      <c r="X73" s="24" t="str">
        <v>electrification_EBITDA</v>
      </c>
      <c r="Y73" s="24" t="str">
        <v>forecast</v>
      </c>
      <c r="Z73" s="28" t="str">
        <v>1128.01712914453</v>
      </c>
      <c r="AA73" s="28" t="str">
        <v>0.273528181140256</v>
      </c>
      <c r="AB73" s="28" t="str">
        <v>-14.3968174816611</v>
      </c>
      <c r="AC73" s="28" t="str">
        <v>-4804.15954932789</v>
      </c>
      <c r="AD73" s="28" t="str">
        <v>0.15194182328437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7891-D7A8-4B98-A3E1-C32ABEE461BB}">
  <dimension ref="A1:AD73"/>
  <sheetViews>
    <sheetView zoomScaleNormal="100" workbookViewId="0">
      <selection activeCell="A21" sqref="A21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18</v>
      </c>
      <c r="B1" s="22" t="s">
        <v>18</v>
      </c>
      <c r="C1" s="22" t="s">
        <v>18</v>
      </c>
      <c r="D1" s="22" t="s">
        <v>18</v>
      </c>
      <c r="E1" s="22" t="s">
        <v>18</v>
      </c>
      <c r="F1" s="22" t="s">
        <v>18</v>
      </c>
      <c r="G1" s="22" t="s">
        <v>18</v>
      </c>
      <c r="H1" s="22" t="s">
        <v>18</v>
      </c>
      <c r="I1" s="22" t="s">
        <v>18</v>
      </c>
      <c r="J1" s="22" t="s">
        <v>18</v>
      </c>
      <c r="K1" s="22" t="s">
        <v>18</v>
      </c>
      <c r="L1" s="22" t="s">
        <v>18</v>
      </c>
      <c r="M1" s="22" t="s">
        <v>18</v>
      </c>
      <c r="N1" s="22" t="s">
        <v>18</v>
      </c>
      <c r="O1" s="22" t="s">
        <v>18</v>
      </c>
      <c r="P1" s="22" t="s">
        <v>18</v>
      </c>
      <c r="Q1" s="22" t="s">
        <v>18</v>
      </c>
      <c r="R1" s="22" t="s">
        <v>18</v>
      </c>
      <c r="S1" s="22" t="s">
        <v>18</v>
      </c>
      <c r="U1" s="23" t="s">
        <v>11</v>
      </c>
      <c r="V1" s="23" t="s">
        <v>9</v>
      </c>
      <c r="W1" s="23" t="s">
        <v>14</v>
      </c>
      <c r="X1" s="23" t="s">
        <v>13</v>
      </c>
      <c r="Y1" s="23" t="s">
        <v>25</v>
      </c>
      <c r="Z1" s="23" t="s">
        <v>8</v>
      </c>
      <c r="AA1" s="23" t="s">
        <v>12</v>
      </c>
      <c r="AB1" s="23" t="s">
        <v>16</v>
      </c>
      <c r="AC1" s="23" t="s">
        <v>20</v>
      </c>
      <c r="AD1" s="23" t="s">
        <v>21</v>
      </c>
    </row>
    <row r="2" spans="1:30" x14ac:dyDescent="0.25">
      <c r="A2" s="17" t="s">
        <v>1</v>
      </c>
      <c r="B2" s="25" t="s">
        <v>57</v>
      </c>
      <c r="U2" s="24" t="str" cm="1">
        <f t="array" ref="U2:AD13">_xlfn.LET(
  _xlpm.d, H5:S5,
  _xlpm.s, H6:S6,
  _xlpm.v, H8:S8,
  _xlpm.yy, H9:S9,
  _xlpm.qq, H10:S10,
  _xlpm.dyy, H11:S11,
  _xlpm.dqq, H12:S12,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CW US EQUITY</v>
      </c>
      <c r="V2" s="24">
        <v>45747</v>
      </c>
      <c r="W2" s="24" t="str">
        <v>canonical</v>
      </c>
      <c r="X2" s="24" t="str">
        <v>revenue</v>
      </c>
      <c r="Y2" s="24" t="str">
        <v>actual</v>
      </c>
      <c r="Z2" s="28" t="str">
        <v>805.645</v>
      </c>
      <c r="AA2" s="28" t="str">
        <v>0.129672292744897</v>
      </c>
      <c r="AB2" s="28" t="str">
        <v/>
      </c>
      <c r="AC2" s="28" t="str">
        <v/>
      </c>
      <c r="AD2" s="28" t="str">
        <v>-0.0226467373437031</v>
      </c>
    </row>
    <row r="3" spans="1:30" x14ac:dyDescent="0.25">
      <c r="A3" s="18" t="s">
        <v>3</v>
      </c>
      <c r="B3" s="19">
        <f>+B4-365*2</f>
        <v>45292</v>
      </c>
      <c r="U3" s="24" t="str">
        <v>CW US EQUITY</v>
      </c>
      <c r="V3" s="24">
        <v>45838</v>
      </c>
      <c r="W3" s="24" t="str">
        <v>canonical</v>
      </c>
      <c r="X3" s="24" t="str">
        <v>revenue</v>
      </c>
      <c r="Y3" s="24" t="str">
        <v>actual</v>
      </c>
      <c r="Z3" s="28" t="str">
        <v>876.576</v>
      </c>
      <c r="AA3" s="28" t="str">
        <v>0.116954705138056</v>
      </c>
      <c r="AB3" s="28" t="str">
        <v>-127.175876068413</v>
      </c>
      <c r="AC3" s="28" t="str">
        <v/>
      </c>
      <c r="AD3" s="28" t="str">
        <v>0.0880425001086087</v>
      </c>
    </row>
    <row r="4" spans="1:30" x14ac:dyDescent="0.25">
      <c r="A4" s="20" t="s">
        <v>2</v>
      </c>
      <c r="B4" s="21">
        <v>46022</v>
      </c>
      <c r="U4" s="24" t="str">
        <v>CW US EQUITY</v>
      </c>
      <c r="V4" s="24">
        <v>45930</v>
      </c>
      <c r="W4" s="24" t="str">
        <v>canonical</v>
      </c>
      <c r="X4" s="24" t="str">
        <v>revenue</v>
      </c>
      <c r="Y4" s="24" t="str">
        <v>actual</v>
      </c>
      <c r="Z4" s="28" t="str">
        <v>869.17</v>
      </c>
      <c r="AA4" s="28" t="str">
        <v>0.0879339306411921</v>
      </c>
      <c r="AB4" s="28" t="str">
        <v>-290.207744968636</v>
      </c>
      <c r="AC4" s="28" t="str">
        <v/>
      </c>
      <c r="AD4" s="28" t="str">
        <v>-0.00844878253568437</v>
      </c>
    </row>
    <row r="5" spans="1:30" x14ac:dyDescent="0.25">
      <c r="C5" s="13" t="s">
        <v>10</v>
      </c>
      <c r="D5" s="14">
        <f>EOMONTH(DATE(YEAR(D7),ROUNDUP(MONTH(D7)/3,0)*3,1),0)</f>
        <v>45382</v>
      </c>
      <c r="E5" s="14">
        <f>EOMONTH(DATE(YEAR(E7),ROUNDUP(MONTH(E7)/3,0)*3,1),0)</f>
        <v>45473</v>
      </c>
      <c r="F5" s="14">
        <f>EOMONTH(DATE(YEAR(F7),ROUNDUP(MONTH(F7)/3,0)*3,1),0)</f>
        <v>45565</v>
      </c>
      <c r="G5" s="14">
        <f t="shared" ref="G5:K5" si="0">EOMONTH(DATE(YEAR(G7),ROUNDUP(MONTH(G7)/3,0)*3,1),0)</f>
        <v>45657</v>
      </c>
      <c r="H5" s="14">
        <f t="shared" si="0"/>
        <v>45747</v>
      </c>
      <c r="I5" s="14">
        <f t="shared" si="0"/>
        <v>45838</v>
      </c>
      <c r="J5" s="14">
        <f t="shared" si="0"/>
        <v>45930</v>
      </c>
      <c r="K5" s="14">
        <f t="shared" si="0"/>
        <v>46022</v>
      </c>
      <c r="L5" s="14">
        <f>EOMONTH(DATE(YEAR(L7),ROUNDUP(MONTH(L7)/3,0)*3,1),0)</f>
        <v>46112</v>
      </c>
      <c r="M5" s="14">
        <f>EOMONTH(DATE(YEAR(M7),ROUNDUP(MONTH(M7)/3,0)*3,1),0)</f>
        <v>46203</v>
      </c>
      <c r="N5" s="14">
        <f>EOMONTH(DATE(YEAR(N7),ROUNDUP(MONTH(N7)/3,0)*3,1),0)</f>
        <v>46295</v>
      </c>
      <c r="O5" s="14">
        <f>EOMONTH(DATE(YEAR(O7),ROUNDUP(MONTH(O7)/3,0)*3,1),0)</f>
        <v>46387</v>
      </c>
      <c r="P5" s="14">
        <f t="shared" ref="P5:S5" si="1">EOMONTH(DATE(YEAR(P7),ROUNDUP(MONTH(P7)/3,0)*3,1),0)</f>
        <v>46477</v>
      </c>
      <c r="Q5" s="14">
        <f t="shared" si="1"/>
        <v>46568</v>
      </c>
      <c r="R5" s="14">
        <f t="shared" si="1"/>
        <v>46660</v>
      </c>
      <c r="S5" s="14">
        <f t="shared" si="1"/>
        <v>46752</v>
      </c>
      <c r="U5" s="24" t="str">
        <v>CW US EQUITY</v>
      </c>
      <c r="V5" s="24">
        <v>46022</v>
      </c>
      <c r="W5" s="24" t="str">
        <v>canonical</v>
      </c>
      <c r="X5" s="24" t="str">
        <v>revenue</v>
      </c>
      <c r="Y5" s="24" t="str">
        <v>actual</v>
      </c>
      <c r="Z5" s="28" t="str">
        <v>946.981</v>
      </c>
      <c r="AA5" s="28" t="str">
        <v>0.148812404996646</v>
      </c>
      <c r="AB5" s="28" t="str">
        <v>608.784743554536</v>
      </c>
      <c r="AC5" s="28" t="str">
        <v/>
      </c>
      <c r="AD5" s="28" t="str">
        <v>0.0895233383572833</v>
      </c>
    </row>
    <row r="6" spans="1:30" x14ac:dyDescent="0.25">
      <c r="C6" s="13" t="s">
        <v>22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1"/>
      <c r="U6" s="24" t="str">
        <v>CW US EQUITY</v>
      </c>
      <c r="V6" s="24">
        <v>46112</v>
      </c>
      <c r="W6" s="24" t="str">
        <v>canonical</v>
      </c>
      <c r="X6" s="24" t="str">
        <v>revenue</v>
      </c>
      <c r="Y6" s="24" t="str">
        <v>forecast</v>
      </c>
      <c r="Z6" s="28" t="str">
        <v>870.31016</v>
      </c>
      <c r="AA6" s="28" t="str">
        <v>0.0802650795325486</v>
      </c>
      <c r="AB6" s="28" t="str">
        <v>-685.473254640971</v>
      </c>
      <c r="AC6" s="28" t="str">
        <v>0.220345529167783</v>
      </c>
      <c r="AD6" s="28" t="str">
        <v>-0.0809634406603723</v>
      </c>
    </row>
    <row r="7" spans="1:30" x14ac:dyDescent="0.25">
      <c r="D7" s="15" cm="1">
        <f t="array" ref="D7:K8">+_xll.BDH($B$2,$C8,$B$3,$B$4,"DIR=H")</f>
        <v>45382</v>
      </c>
      <c r="E7" s="1">
        <v>45473</v>
      </c>
      <c r="F7" s="1">
        <v>45565</v>
      </c>
      <c r="G7" s="1">
        <v>45657</v>
      </c>
      <c r="H7" s="1">
        <v>45747</v>
      </c>
      <c r="I7" s="1">
        <v>45838</v>
      </c>
      <c r="J7" s="1">
        <v>45930</v>
      </c>
      <c r="K7" s="1">
        <v>46022</v>
      </c>
      <c r="L7" s="2">
        <v>46112</v>
      </c>
      <c r="M7" s="2">
        <v>46203</v>
      </c>
      <c r="N7" s="2">
        <v>46295</v>
      </c>
      <c r="O7" s="2">
        <v>46387</v>
      </c>
      <c r="P7" s="2">
        <v>46477</v>
      </c>
      <c r="Q7" s="2">
        <v>46568</v>
      </c>
      <c r="R7" s="2">
        <v>46660</v>
      </c>
      <c r="S7" s="2">
        <v>46752</v>
      </c>
      <c r="T7" s="1"/>
      <c r="U7" s="24" t="str">
        <v>CW US EQUITY</v>
      </c>
      <c r="V7" s="24">
        <v>46203</v>
      </c>
      <c r="W7" s="24" t="str">
        <v>canonical</v>
      </c>
      <c r="X7" s="24" t="str">
        <v>revenue</v>
      </c>
      <c r="Y7" s="24" t="str">
        <v>forecast</v>
      </c>
      <c r="Z7" s="28" t="str">
        <v>937.06235</v>
      </c>
      <c r="AA7" s="28" t="str">
        <v>0.0690029729310406</v>
      </c>
      <c r="AB7" s="28" t="str">
        <v>-112.621066015079</v>
      </c>
      <c r="AC7" s="28" t="str">
        <v>0.194027900421895</v>
      </c>
      <c r="AD7" s="28" t="str">
        <v>0.0766993114270893</v>
      </c>
    </row>
    <row r="8" spans="1:30" x14ac:dyDescent="0.25">
      <c r="A8" s="16" t="s">
        <v>7</v>
      </c>
      <c r="B8" s="16" t="s">
        <v>6</v>
      </c>
      <c r="C8" s="9" t="s">
        <v>0</v>
      </c>
      <c r="D8" s="11">
        <v>713.16700000000003</v>
      </c>
      <c r="E8" s="11">
        <v>784.79100000000005</v>
      </c>
      <c r="F8" s="11">
        <v>798.91800000000001</v>
      </c>
      <c r="G8" s="11">
        <v>824.31299999999999</v>
      </c>
      <c r="H8" s="11">
        <v>805.64499999999998</v>
      </c>
      <c r="I8" s="11">
        <v>876.57600000000002</v>
      </c>
      <c r="J8" s="11">
        <v>869.17</v>
      </c>
      <c r="K8" s="11">
        <v>946.98099999999999</v>
      </c>
      <c r="L8" s="26">
        <v>870.31016</v>
      </c>
      <c r="M8" s="26">
        <v>937.06234999999992</v>
      </c>
      <c r="N8" s="26">
        <v>940.47026000000005</v>
      </c>
      <c r="O8" s="26">
        <v>991.23921999999993</v>
      </c>
      <c r="P8" s="26">
        <v>921.04350590000013</v>
      </c>
      <c r="Q8" s="26">
        <v>992.06091610000021</v>
      </c>
      <c r="R8" s="26">
        <v>995.42604860000006</v>
      </c>
      <c r="S8" s="26">
        <v>1049.5263104000001</v>
      </c>
      <c r="T8" s="3"/>
      <c r="U8" s="24" t="str">
        <v>CW US EQUITY</v>
      </c>
      <c r="V8" s="24">
        <v>46295</v>
      </c>
      <c r="W8" s="24" t="str">
        <v>canonical</v>
      </c>
      <c r="X8" s="24" t="str">
        <v>revenue</v>
      </c>
      <c r="Y8" s="24" t="str">
        <v>forecast</v>
      </c>
      <c r="Z8" s="28" t="str">
        <v>940.47026</v>
      </c>
      <c r="AA8" s="28" t="str">
        <v>0.0820325828088868</v>
      </c>
      <c r="AB8" s="28" t="str">
        <v>130.296098778462</v>
      </c>
      <c r="AC8" s="28" t="str">
        <v>0.177179960897113</v>
      </c>
      <c r="AD8" s="28" t="str">
        <v>0.00363680175604131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si="2">+H8/D8-1</f>
        <v>0.129672292744897</v>
      </c>
      <c r="I9" s="12">
        <f t="shared" si="2"/>
        <v>0.11695470513805573</v>
      </c>
      <c r="J9" s="12">
        <f t="shared" si="2"/>
        <v>8.7933930641192148E-2</v>
      </c>
      <c r="K9" s="12">
        <f t="shared" si="2"/>
        <v>0.14881240499664572</v>
      </c>
      <c r="L9" s="12">
        <f t="shared" si="2"/>
        <v>8.0265079532548578E-2</v>
      </c>
      <c r="M9" s="12">
        <f t="shared" si="2"/>
        <v>6.9002972931040629E-2</v>
      </c>
      <c r="N9" s="12">
        <f t="shared" si="2"/>
        <v>8.2032582808886811E-2</v>
      </c>
      <c r="O9" s="12">
        <f t="shared" si="2"/>
        <v>4.6736122477642139E-2</v>
      </c>
      <c r="P9" s="12">
        <f t="shared" si="2"/>
        <v>5.8293408754414688E-2</v>
      </c>
      <c r="Q9" s="12">
        <f t="shared" si="2"/>
        <v>5.8692536414466145E-2</v>
      </c>
      <c r="R9" s="12">
        <f t="shared" si="2"/>
        <v>5.8434371545145858E-2</v>
      </c>
      <c r="S9" s="12">
        <f t="shared" si="2"/>
        <v>5.8802243922511543E-2</v>
      </c>
      <c r="U9" s="24" t="str">
        <v>CW US EQUITY</v>
      </c>
      <c r="V9" s="24">
        <v>46387</v>
      </c>
      <c r="W9" s="24" t="str">
        <v>canonical</v>
      </c>
      <c r="X9" s="24" t="str">
        <v>revenue</v>
      </c>
      <c r="Y9" s="24" t="str">
        <v>forecast</v>
      </c>
      <c r="Z9" s="28" t="str">
        <v>991.23922</v>
      </c>
      <c r="AA9" s="28" t="str">
        <v>0.0467361224776421</v>
      </c>
      <c r="AB9" s="28" t="str">
        <v>-352.964603312447</v>
      </c>
      <c r="AC9" s="28" t="str">
        <v>0.202503442260404</v>
      </c>
      <c r="AD9" s="28" t="str">
        <v>0.0539825257206963</v>
      </c>
    </row>
    <row r="10" spans="1:30" x14ac:dyDescent="0.25">
      <c r="C10" s="4" t="s">
        <v>15</v>
      </c>
      <c r="D10" s="1"/>
      <c r="H10" s="7"/>
      <c r="I10" s="7">
        <f t="shared" ref="I10:J10" si="3">(I9-H9)*10000</f>
        <v>-127.17587606841275</v>
      </c>
      <c r="J10" s="7">
        <f t="shared" si="3"/>
        <v>-290.20774496863578</v>
      </c>
      <c r="K10" s="7">
        <f>(K9-J9)*10000</f>
        <v>608.78474355453568</v>
      </c>
      <c r="L10" s="7">
        <f>(L9-K9)*10000</f>
        <v>-685.47325464097139</v>
      </c>
      <c r="M10" s="7">
        <f>(M9-L9)*10000</f>
        <v>-112.62106601507949</v>
      </c>
      <c r="N10" s="7">
        <f>(N9-M9)*10000</f>
        <v>130.29609877846181</v>
      </c>
      <c r="O10" s="7">
        <f>(O9-N9)*10000</f>
        <v>-352.96460331244674</v>
      </c>
      <c r="P10" s="7">
        <f t="shared" ref="P10:S10" si="4">(P9-O9)*10000</f>
        <v>115.5728627677255</v>
      </c>
      <c r="Q10" s="7">
        <f t="shared" si="4"/>
        <v>3.9912766005145706</v>
      </c>
      <c r="R10" s="7">
        <f t="shared" si="4"/>
        <v>-2.5816486932028759</v>
      </c>
      <c r="S10" s="7">
        <f t="shared" si="4"/>
        <v>3.6787237736568557</v>
      </c>
      <c r="U10" s="24" t="str">
        <v>CW US EQUITY</v>
      </c>
      <c r="V10" s="24">
        <v>46477</v>
      </c>
      <c r="W10" s="24" t="str">
        <v>canonical</v>
      </c>
      <c r="X10" s="24" t="str">
        <v>revenue</v>
      </c>
      <c r="Y10" s="24" t="str">
        <v>forecast</v>
      </c>
      <c r="Z10" s="28" t="str">
        <v>921.0435059</v>
      </c>
      <c r="AA10" s="28" t="str">
        <v>0.0582934087544147</v>
      </c>
      <c r="AB10" s="28" t="str">
        <v>115.572862767725</v>
      </c>
      <c r="AC10" s="28" t="str">
        <v>0.14323741337686</v>
      </c>
      <c r="AD10" s="28" t="str">
        <v>-0.0708161185349383</v>
      </c>
    </row>
    <row r="11" spans="1:30" x14ac:dyDescent="0.25">
      <c r="C11" s="4" t="s">
        <v>28</v>
      </c>
      <c r="D11" s="1"/>
      <c r="E11" s="6"/>
      <c r="F11" s="6"/>
      <c r="G11" s="6"/>
      <c r="H11" s="6"/>
      <c r="I11" s="6"/>
      <c r="J11" s="6"/>
      <c r="K11" s="6"/>
      <c r="L11" s="12">
        <f t="shared" ref="L11:S11" si="5">(1+H9)*(1+L9)-1</f>
        <v>0.22034552916778272</v>
      </c>
      <c r="M11" s="12">
        <f t="shared" si="5"/>
        <v>0.19402790042189544</v>
      </c>
      <c r="N11" s="12">
        <f t="shared" si="5"/>
        <v>0.17717996089711341</v>
      </c>
      <c r="O11" s="12">
        <f t="shared" si="5"/>
        <v>0.20250344226040351</v>
      </c>
      <c r="P11" s="12">
        <f t="shared" si="5"/>
        <v>0.14323741337685969</v>
      </c>
      <c r="Q11" s="12">
        <f t="shared" si="5"/>
        <v>0.13174546884696836</v>
      </c>
      <c r="R11" s="12">
        <f t="shared" si="5"/>
        <v>0.14526047677669518</v>
      </c>
      <c r="S11" s="12">
        <f t="shared" si="5"/>
        <v>0.10828655527407638</v>
      </c>
      <c r="U11" s="24" t="str">
        <v>CW US EQUITY</v>
      </c>
      <c r="V11" s="24">
        <v>46568</v>
      </c>
      <c r="W11" s="24" t="str">
        <v>canonical</v>
      </c>
      <c r="X11" s="24" t="str">
        <v>revenue</v>
      </c>
      <c r="Y11" s="24" t="str">
        <v>forecast</v>
      </c>
      <c r="Z11" s="28" t="str">
        <v>992.0609161</v>
      </c>
      <c r="AA11" s="28" t="str">
        <v>0.0586925364144661</v>
      </c>
      <c r="AB11" s="28" t="str">
        <v>3.99127660051457</v>
      </c>
      <c r="AC11" s="28" t="str">
        <v>0.131745468846968</v>
      </c>
      <c r="AD11" s="28" t="str">
        <v>0.0771053807394313</v>
      </c>
    </row>
    <row r="12" spans="1:30" x14ac:dyDescent="0.25">
      <c r="C12" s="4" t="s">
        <v>5</v>
      </c>
      <c r="D12" s="1"/>
      <c r="E12" s="12">
        <f t="shared" ref="E12:S12" si="6">E8/D8-1</f>
        <v>0.10043089486754164</v>
      </c>
      <c r="F12" s="12">
        <f t="shared" si="6"/>
        <v>1.80009709591471E-2</v>
      </c>
      <c r="G12" s="12">
        <f t="shared" si="6"/>
        <v>3.1786741567970678E-2</v>
      </c>
      <c r="H12" s="12">
        <f t="shared" si="6"/>
        <v>-2.2646737343703149E-2</v>
      </c>
      <c r="I12" s="12">
        <f t="shared" si="6"/>
        <v>8.8042500108608701E-2</v>
      </c>
      <c r="J12" s="12">
        <f t="shared" si="6"/>
        <v>-8.4487825356843738E-3</v>
      </c>
      <c r="K12" s="12">
        <f t="shared" si="6"/>
        <v>8.9523338357283322E-2</v>
      </c>
      <c r="L12" s="12">
        <f t="shared" si="6"/>
        <v>-8.096344066037231E-2</v>
      </c>
      <c r="M12" s="12">
        <f t="shared" si="6"/>
        <v>7.6699311427089301E-2</v>
      </c>
      <c r="N12" s="12">
        <f t="shared" si="6"/>
        <v>3.636801756041308E-3</v>
      </c>
      <c r="O12" s="12">
        <f t="shared" si="6"/>
        <v>5.3982525720696284E-2</v>
      </c>
      <c r="P12" s="12">
        <f t="shared" si="6"/>
        <v>-7.0816118534938299E-2</v>
      </c>
      <c r="Q12" s="12">
        <f t="shared" si="6"/>
        <v>7.7105380739431295E-2</v>
      </c>
      <c r="R12" s="12">
        <f t="shared" si="6"/>
        <v>3.3920623677312634E-3</v>
      </c>
      <c r="S12" s="12">
        <f t="shared" si="6"/>
        <v>5.4348850802215187E-2</v>
      </c>
      <c r="U12" s="24" t="str">
        <v>CW US EQUITY</v>
      </c>
      <c r="V12" s="24">
        <v>46660</v>
      </c>
      <c r="W12" s="24" t="str">
        <v>canonical</v>
      </c>
      <c r="X12" s="24" t="str">
        <v>revenue</v>
      </c>
      <c r="Y12" s="24" t="str">
        <v>forecast</v>
      </c>
      <c r="Z12" s="28" t="str">
        <v>995.4260486</v>
      </c>
      <c r="AA12" s="28" t="str">
        <v>0.0584343715451459</v>
      </c>
      <c r="AB12" s="28" t="str">
        <v>-2.58164869320288</v>
      </c>
      <c r="AC12" s="28" t="str">
        <v>0.145260476776695</v>
      </c>
      <c r="AD12" s="28" t="str">
        <v>0.00339206236773126</v>
      </c>
    </row>
    <row r="13" spans="1:30" x14ac:dyDescent="0.25">
      <c r="U13" s="24" t="str">
        <v>CW US EQUITY</v>
      </c>
      <c r="V13" s="24">
        <v>46752</v>
      </c>
      <c r="W13" s="24" t="str">
        <v>canonical</v>
      </c>
      <c r="X13" s="24" t="str">
        <v>revenue</v>
      </c>
      <c r="Y13" s="24" t="str">
        <v>forecast</v>
      </c>
      <c r="Z13" s="28" t="str">
        <v>1049.5263104</v>
      </c>
      <c r="AA13" s="28" t="str">
        <v>0.0588022439225115</v>
      </c>
      <c r="AB13" s="28" t="str">
        <v>3.67872377365686</v>
      </c>
      <c r="AC13" s="28" t="str">
        <v>0.108286555274076</v>
      </c>
      <c r="AD13" s="28" t="str">
        <v>0.0543488508022152</v>
      </c>
    </row>
    <row r="14" spans="1:30" x14ac:dyDescent="0.25">
      <c r="C14" s="13" t="s">
        <v>10</v>
      </c>
      <c r="D14" s="14">
        <f>EOMONTH(DATE(YEAR(D16),ROUNDUP(MONTH(D16)/3,0)*3,1),0)</f>
        <v>45382</v>
      </c>
      <c r="E14" s="14">
        <f>EOMONTH(DATE(YEAR(E16),ROUNDUP(MONTH(E16)/3,0)*3,1),0)</f>
        <v>45473</v>
      </c>
      <c r="F14" s="14">
        <f>EOMONTH(DATE(YEAR(F16),ROUNDUP(MONTH(F16)/3,0)*3,1),0)</f>
        <v>45565</v>
      </c>
      <c r="G14" s="14">
        <f t="shared" ref="G14:K14" si="7">EOMONTH(DATE(YEAR(G16),ROUNDUP(MONTH(G16)/3,0)*3,1),0)</f>
        <v>45657</v>
      </c>
      <c r="H14" s="14">
        <f t="shared" si="7"/>
        <v>45747</v>
      </c>
      <c r="I14" s="14">
        <f t="shared" si="7"/>
        <v>45838</v>
      </c>
      <c r="J14" s="14">
        <f t="shared" si="7"/>
        <v>45930</v>
      </c>
      <c r="K14" s="14">
        <f t="shared" si="7"/>
        <v>46022</v>
      </c>
      <c r="L14" s="14">
        <f>EOMONTH(DATE(YEAR(L16),ROUNDUP(MONTH(L16)/3,0)*3,1),0)</f>
        <v>46112</v>
      </c>
      <c r="M14" s="14">
        <f>EOMONTH(DATE(YEAR(M16),ROUNDUP(MONTH(M16)/3,0)*3,1),0)</f>
        <v>46203</v>
      </c>
      <c r="N14" s="14">
        <f>EOMONTH(DATE(YEAR(N16),ROUNDUP(MONTH(N16)/3,0)*3,1),0)</f>
        <v>46295</v>
      </c>
      <c r="O14" s="14">
        <f>EOMONTH(DATE(YEAR(O16),ROUNDUP(MONTH(O16)/3,0)*3,1),0)</f>
        <v>46387</v>
      </c>
      <c r="P14" s="14">
        <f t="shared" ref="P14:S14" si="8">EOMONTH(DATE(YEAR(P16),ROUNDUP(MONTH(P16)/3,0)*3,1),0)</f>
        <v>46477</v>
      </c>
      <c r="Q14" s="14">
        <f t="shared" si="8"/>
        <v>46568</v>
      </c>
      <c r="R14" s="14">
        <f t="shared" si="8"/>
        <v>46660</v>
      </c>
      <c r="S14" s="14">
        <f t="shared" si="8"/>
        <v>46752</v>
      </c>
      <c r="T14" s="1"/>
      <c r="U14" s="24" t="str" cm="1">
        <f t="array" ref="U14:AD25">_xlfn.LET(
  _xlpm.d, H14:S14,
  _xlpm.s, H15:S15,
  _xlpm.v, H17:S17,
  _xlpm.yy, H18:S18,
  _xlpm.qq, H19:S19,
  _xlpm.dyy, H20:S20,
  _xlpm.dqq, H21:S21,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CW US EQUITY</v>
      </c>
      <c r="V14" s="24">
        <v>45747</v>
      </c>
      <c r="W14" s="24" t="str">
        <v>canonical</v>
      </c>
      <c r="X14" s="24" t="str">
        <v>operating_margin</v>
      </c>
      <c r="Y14" s="24" t="str">
        <v>actual</v>
      </c>
      <c r="Z14" s="28" t="str">
        <v>16.6</v>
      </c>
      <c r="AA14" s="28" t="str">
        <v>260</v>
      </c>
      <c r="AB14" s="28" t="str">
        <v/>
      </c>
      <c r="AC14" s="28" t="str">
        <v/>
      </c>
      <c r="AD14" s="28" t="str">
        <v>-320</v>
      </c>
    </row>
    <row r="15" spans="1:30" x14ac:dyDescent="0.25">
      <c r="C15" s="13" t="s">
        <v>22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U15" s="24" t="str">
        <v>CW US EQUITY</v>
      </c>
      <c r="V15" s="24">
        <v>45838</v>
      </c>
      <c r="W15" s="24" t="str">
        <v>canonical</v>
      </c>
      <c r="X15" s="24" t="str">
        <v>operating_margin</v>
      </c>
      <c r="Y15" s="24" t="str">
        <v>actual</v>
      </c>
      <c r="Z15" s="28" t="str">
        <v>18.3</v>
      </c>
      <c r="AA15" s="28" t="str">
        <v>130</v>
      </c>
      <c r="AB15" s="28" t="str">
        <v>-130</v>
      </c>
      <c r="AC15" s="28" t="str">
        <v/>
      </c>
      <c r="AD15" s="28" t="str">
        <v>170</v>
      </c>
    </row>
    <row r="16" spans="1:30" x14ac:dyDescent="0.25">
      <c r="D16" s="15" cm="1">
        <f t="array" ref="D16:K17">+_xll.BDH($B$2,$C17,$B$3,$B$4,"DIR=H")</f>
        <v>45382</v>
      </c>
      <c r="E16" s="1">
        <v>45473</v>
      </c>
      <c r="F16" s="1">
        <v>45565</v>
      </c>
      <c r="G16" s="1">
        <v>45657</v>
      </c>
      <c r="H16" s="1">
        <v>45747</v>
      </c>
      <c r="I16" s="1">
        <v>45838</v>
      </c>
      <c r="J16" s="1">
        <v>45930</v>
      </c>
      <c r="K16" s="1">
        <v>46022</v>
      </c>
      <c r="L16" s="2">
        <f t="shared" ref="L16:S16" si="9">+L$7</f>
        <v>46112</v>
      </c>
      <c r="M16" s="2">
        <f t="shared" si="9"/>
        <v>46203</v>
      </c>
      <c r="N16" s="2">
        <f t="shared" si="9"/>
        <v>46295</v>
      </c>
      <c r="O16" s="2">
        <f t="shared" si="9"/>
        <v>46387</v>
      </c>
      <c r="P16" s="2">
        <f t="shared" si="9"/>
        <v>46477</v>
      </c>
      <c r="Q16" s="2">
        <f t="shared" si="9"/>
        <v>46568</v>
      </c>
      <c r="R16" s="2">
        <f t="shared" si="9"/>
        <v>46660</v>
      </c>
      <c r="S16" s="2">
        <f t="shared" si="9"/>
        <v>46752</v>
      </c>
      <c r="U16" s="24" t="str">
        <v>CW US EQUITY</v>
      </c>
      <c r="V16" s="24">
        <v>45930</v>
      </c>
      <c r="W16" s="24" t="str">
        <v>canonical</v>
      </c>
      <c r="X16" s="24" t="str">
        <v>operating_margin</v>
      </c>
      <c r="Y16" s="24" t="str">
        <v>actual</v>
      </c>
      <c r="Z16" s="28" t="str">
        <v>19.6</v>
      </c>
      <c r="AA16" s="28" t="str">
        <v>90.0000000000002</v>
      </c>
      <c r="AB16" s="28" t="str">
        <v>-39.9999999999998</v>
      </c>
      <c r="AC16" s="28" t="str">
        <v/>
      </c>
      <c r="AD16" s="28" t="str">
        <v>130</v>
      </c>
    </row>
    <row r="17" spans="1:30" x14ac:dyDescent="0.25">
      <c r="A17" s="16" t="s">
        <v>7</v>
      </c>
      <c r="B17" s="16" t="s">
        <v>77</v>
      </c>
      <c r="C17" s="9" t="s">
        <v>64</v>
      </c>
      <c r="D17" s="3">
        <v>14</v>
      </c>
      <c r="E17" s="3">
        <v>17</v>
      </c>
      <c r="F17" s="3">
        <v>18.7</v>
      </c>
      <c r="G17" s="3">
        <v>19.8</v>
      </c>
      <c r="H17" s="3">
        <v>16.600000000000001</v>
      </c>
      <c r="I17" s="3">
        <v>18.3</v>
      </c>
      <c r="J17" s="3">
        <v>19.600000000000001</v>
      </c>
      <c r="K17" s="3">
        <v>19.7</v>
      </c>
      <c r="L17" s="29">
        <v>17.100000000000001</v>
      </c>
      <c r="M17" s="29">
        <v>18.599999999999998</v>
      </c>
      <c r="N17" s="29">
        <v>20</v>
      </c>
      <c r="O17" s="29">
        <v>20.399999999999999</v>
      </c>
      <c r="P17" s="29">
        <v>17.599999999999998</v>
      </c>
      <c r="Q17" s="29">
        <v>19.2</v>
      </c>
      <c r="R17" s="29">
        <v>20.599999999999998</v>
      </c>
      <c r="S17" s="29">
        <v>21</v>
      </c>
      <c r="U17" s="24" t="str">
        <v>CW US EQUITY</v>
      </c>
      <c r="V17" s="24">
        <v>46022</v>
      </c>
      <c r="W17" s="24" t="str">
        <v>canonical</v>
      </c>
      <c r="X17" s="24" t="str">
        <v>operating_margin</v>
      </c>
      <c r="Y17" s="24" t="str">
        <v>actual</v>
      </c>
      <c r="Z17" s="28" t="str">
        <v>19.7</v>
      </c>
      <c r="AA17" s="28" t="str">
        <v>-10.0000000000001</v>
      </c>
      <c r="AB17" s="28" t="str">
        <v>-100</v>
      </c>
      <c r="AC17" s="28" t="str">
        <v/>
      </c>
      <c r="AD17" s="28" t="str">
        <v>9.99999999999979</v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S18" si="10">(H17-D17)*100</f>
        <v>260.00000000000011</v>
      </c>
      <c r="I18" s="7">
        <f t="shared" si="10"/>
        <v>130.00000000000006</v>
      </c>
      <c r="J18" s="7">
        <f t="shared" si="10"/>
        <v>90.000000000000213</v>
      </c>
      <c r="K18" s="7">
        <f t="shared" si="10"/>
        <v>-10.000000000000142</v>
      </c>
      <c r="L18" s="7">
        <f t="shared" si="10"/>
        <v>50</v>
      </c>
      <c r="M18" s="7">
        <f t="shared" si="10"/>
        <v>29.999999999999716</v>
      </c>
      <c r="N18" s="7">
        <f t="shared" si="10"/>
        <v>39.999999999999858</v>
      </c>
      <c r="O18" s="7">
        <f t="shared" si="10"/>
        <v>69.999999999999929</v>
      </c>
      <c r="P18" s="7">
        <f t="shared" si="10"/>
        <v>49.999999999999645</v>
      </c>
      <c r="Q18" s="7">
        <f t="shared" si="10"/>
        <v>60.000000000000142</v>
      </c>
      <c r="R18" s="7">
        <f t="shared" si="10"/>
        <v>59.999999999999787</v>
      </c>
      <c r="S18" s="7">
        <f t="shared" si="10"/>
        <v>60.000000000000142</v>
      </c>
      <c r="U18" s="24" t="str">
        <v>CW US EQUITY</v>
      </c>
      <c r="V18" s="24">
        <v>46112</v>
      </c>
      <c r="W18" s="24" t="str">
        <v>canonical</v>
      </c>
      <c r="X18" s="24" t="str">
        <v>operating_margin</v>
      </c>
      <c r="Y18" s="24" t="str">
        <v>forecast</v>
      </c>
      <c r="Z18" s="28" t="str">
        <v>17.1</v>
      </c>
      <c r="AA18" s="28" t="str">
        <v>50</v>
      </c>
      <c r="AB18" s="28" t="str">
        <v>60.0000000000001</v>
      </c>
      <c r="AC18" s="28" t="str">
        <v>-210</v>
      </c>
      <c r="AD18" s="28" t="str">
        <v>-260</v>
      </c>
    </row>
    <row r="19" spans="1:30" x14ac:dyDescent="0.25">
      <c r="C19" s="4" t="s">
        <v>15</v>
      </c>
      <c r="D19" s="1"/>
      <c r="I19" s="7">
        <f t="shared" ref="I19:K19" si="11">I18-H18</f>
        <v>-130.00000000000006</v>
      </c>
      <c r="J19" s="7">
        <f t="shared" si="11"/>
        <v>-39.999999999999844</v>
      </c>
      <c r="K19" s="7">
        <f t="shared" si="11"/>
        <v>-100.00000000000036</v>
      </c>
      <c r="L19" s="7">
        <f>L18-K18</f>
        <v>60.000000000000142</v>
      </c>
      <c r="M19" s="7">
        <f t="shared" ref="M19:S19" si="12">M18-L18</f>
        <v>-20.000000000000284</v>
      </c>
      <c r="N19" s="7">
        <f t="shared" si="12"/>
        <v>10.000000000000142</v>
      </c>
      <c r="O19" s="7">
        <f t="shared" si="12"/>
        <v>30.000000000000071</v>
      </c>
      <c r="P19" s="7">
        <f t="shared" si="12"/>
        <v>-20.000000000000284</v>
      </c>
      <c r="Q19" s="7">
        <f t="shared" si="12"/>
        <v>10.000000000000497</v>
      </c>
      <c r="R19" s="7">
        <f t="shared" si="12"/>
        <v>-3.5527136788005009E-13</v>
      </c>
      <c r="S19" s="7">
        <f t="shared" si="12"/>
        <v>3.5527136788005009E-13</v>
      </c>
      <c r="U19" s="24" t="str">
        <v>CW US EQUITY</v>
      </c>
      <c r="V19" s="24">
        <v>46203</v>
      </c>
      <c r="W19" s="24" t="str">
        <v>canonical</v>
      </c>
      <c r="X19" s="24" t="str">
        <v>operating_margin</v>
      </c>
      <c r="Y19" s="24" t="str">
        <v>forecast</v>
      </c>
      <c r="Z19" s="28" t="str">
        <v>18.6</v>
      </c>
      <c r="AA19" s="28" t="str">
        <v>29.9999999999997</v>
      </c>
      <c r="AB19" s="28" t="str">
        <v>-20.0000000000003</v>
      </c>
      <c r="AC19" s="28" t="str">
        <v>-100</v>
      </c>
      <c r="AD19" s="28" t="str">
        <v>150</v>
      </c>
    </row>
    <row r="20" spans="1:30" x14ac:dyDescent="0.25">
      <c r="C20" s="4" t="s">
        <v>28</v>
      </c>
      <c r="D20" s="1"/>
      <c r="E20" s="6"/>
      <c r="F20" s="6"/>
      <c r="G20" s="6"/>
      <c r="H20" s="6"/>
      <c r="I20" s="6"/>
      <c r="J20" s="6"/>
      <c r="K20" s="6"/>
      <c r="L20" s="7">
        <f>L18-H18</f>
        <v>-210.00000000000011</v>
      </c>
      <c r="M20" s="7">
        <f t="shared" ref="M20:S20" si="13">M18-I18</f>
        <v>-100.00000000000034</v>
      </c>
      <c r="N20" s="7">
        <f t="shared" si="13"/>
        <v>-50.000000000000355</v>
      </c>
      <c r="O20" s="7">
        <f t="shared" si="13"/>
        <v>80.000000000000071</v>
      </c>
      <c r="P20" s="7">
        <f t="shared" si="13"/>
        <v>-3.5527136788005009E-13</v>
      </c>
      <c r="Q20" s="7">
        <f t="shared" si="13"/>
        <v>30.000000000000426</v>
      </c>
      <c r="R20" s="7">
        <f t="shared" si="13"/>
        <v>19.999999999999929</v>
      </c>
      <c r="S20" s="7">
        <f t="shared" si="13"/>
        <v>-9.9999999999997868</v>
      </c>
      <c r="U20" s="24" t="str">
        <v>CW US EQUITY</v>
      </c>
      <c r="V20" s="24">
        <v>46295</v>
      </c>
      <c r="W20" s="24" t="str">
        <v>canonical</v>
      </c>
      <c r="X20" s="24" t="str">
        <v>operating_margin</v>
      </c>
      <c r="Y20" s="24" t="str">
        <v>forecast</v>
      </c>
      <c r="Z20" s="28" t="str">
        <v>20</v>
      </c>
      <c r="AA20" s="28" t="str">
        <v>39.9999999999999</v>
      </c>
      <c r="AB20" s="28" t="str">
        <v>10.0000000000001</v>
      </c>
      <c r="AC20" s="28" t="str">
        <v>-50.0000000000004</v>
      </c>
      <c r="AD20" s="28" t="str">
        <v>140</v>
      </c>
    </row>
    <row r="21" spans="1:30" x14ac:dyDescent="0.25">
      <c r="C21" s="4" t="s">
        <v>5</v>
      </c>
      <c r="D21" s="1"/>
      <c r="E21" s="7">
        <f t="shared" ref="E21:K21" si="14">(E17-D17)*100</f>
        <v>300</v>
      </c>
      <c r="F21" s="7">
        <f t="shared" si="14"/>
        <v>169.99999999999994</v>
      </c>
      <c r="G21" s="7">
        <f t="shared" si="14"/>
        <v>110.00000000000014</v>
      </c>
      <c r="H21" s="7">
        <f t="shared" si="14"/>
        <v>-319.99999999999994</v>
      </c>
      <c r="I21" s="7">
        <f t="shared" si="14"/>
        <v>169.99999999999994</v>
      </c>
      <c r="J21" s="7">
        <f t="shared" si="14"/>
        <v>130.00000000000006</v>
      </c>
      <c r="K21" s="7">
        <f t="shared" si="14"/>
        <v>9.9999999999997868</v>
      </c>
      <c r="L21" s="7">
        <f>(L17-K17)*100</f>
        <v>-259.99999999999977</v>
      </c>
      <c r="M21" s="7">
        <f t="shared" ref="M21:S21" si="15">(M17-L17)*100</f>
        <v>149.99999999999966</v>
      </c>
      <c r="N21" s="7">
        <f t="shared" si="15"/>
        <v>140.00000000000023</v>
      </c>
      <c r="O21" s="7">
        <f t="shared" si="15"/>
        <v>39.999999999999858</v>
      </c>
      <c r="P21" s="7">
        <f t="shared" si="15"/>
        <v>-280.00000000000006</v>
      </c>
      <c r="Q21" s="7">
        <f t="shared" si="15"/>
        <v>160.00000000000014</v>
      </c>
      <c r="R21" s="7">
        <f t="shared" si="15"/>
        <v>139.99999999999986</v>
      </c>
      <c r="S21" s="7">
        <f t="shared" si="15"/>
        <v>40.000000000000213</v>
      </c>
      <c r="U21" s="24" t="str">
        <v>CW US EQUITY</v>
      </c>
      <c r="V21" s="24">
        <v>46387</v>
      </c>
      <c r="W21" s="24" t="str">
        <v>canonical</v>
      </c>
      <c r="X21" s="24" t="str">
        <v>operating_margin</v>
      </c>
      <c r="Y21" s="24" t="str">
        <v>forecast</v>
      </c>
      <c r="Z21" s="28" t="str">
        <v>20.4</v>
      </c>
      <c r="AA21" s="28" t="str">
        <v>69.9999999999999</v>
      </c>
      <c r="AB21" s="28" t="str">
        <v>30.0000000000001</v>
      </c>
      <c r="AC21" s="28" t="str">
        <v>80.0000000000001</v>
      </c>
      <c r="AD21" s="28" t="str">
        <v>39.9999999999999</v>
      </c>
    </row>
    <row r="22" spans="1:30" x14ac:dyDescent="0.25">
      <c r="T22" s="1"/>
      <c r="U22" s="24" t="str">
        <v>CW US EQUITY</v>
      </c>
      <c r="V22" s="24">
        <v>46477</v>
      </c>
      <c r="W22" s="24" t="str">
        <v>canonical</v>
      </c>
      <c r="X22" s="24" t="str">
        <v>operating_margin</v>
      </c>
      <c r="Y22" s="24" t="str">
        <v>forecast</v>
      </c>
      <c r="Z22" s="28" t="str">
        <v>17.6</v>
      </c>
      <c r="AA22" s="28" t="str">
        <v>49.9999999999996</v>
      </c>
      <c r="AB22" s="28" t="str">
        <v>-20.0000000000003</v>
      </c>
      <c r="AC22" s="28" t="str">
        <v>-3.5527136788005E-13</v>
      </c>
      <c r="AD22" s="28" t="str">
        <v>-280</v>
      </c>
    </row>
    <row r="23" spans="1:30" x14ac:dyDescent="0.25">
      <c r="C23" s="13" t="s">
        <v>10</v>
      </c>
      <c r="D23" s="14">
        <f>EOMONTH(DATE(YEAR(D25),ROUNDUP(MONTH(D25)/3,0)*3,1),0)</f>
        <v>45382</v>
      </c>
      <c r="E23" s="14">
        <f>EOMONTH(DATE(YEAR(E25),ROUNDUP(MONTH(E25)/3,0)*3,1),0)</f>
        <v>45473</v>
      </c>
      <c r="F23" s="14">
        <f>EOMONTH(DATE(YEAR(F25),ROUNDUP(MONTH(F25)/3,0)*3,1),0)</f>
        <v>45565</v>
      </c>
      <c r="G23" s="14">
        <f t="shared" ref="G23:K23" si="16">EOMONTH(DATE(YEAR(G25),ROUNDUP(MONTH(G25)/3,0)*3,1),0)</f>
        <v>45657</v>
      </c>
      <c r="H23" s="14">
        <f t="shared" si="16"/>
        <v>45747</v>
      </c>
      <c r="I23" s="14">
        <f t="shared" si="16"/>
        <v>45838</v>
      </c>
      <c r="J23" s="14">
        <f t="shared" si="16"/>
        <v>45930</v>
      </c>
      <c r="K23" s="14">
        <f t="shared" si="16"/>
        <v>46022</v>
      </c>
      <c r="L23" s="14">
        <f>EOMONTH(DATE(YEAR(L25),ROUNDUP(MONTH(L25)/3,0)*3,1),0)</f>
        <v>46112</v>
      </c>
      <c r="M23" s="14">
        <f>EOMONTH(DATE(YEAR(M25),ROUNDUP(MONTH(M25)/3,0)*3,1),0)</f>
        <v>46203</v>
      </c>
      <c r="N23" s="14">
        <f>EOMONTH(DATE(YEAR(N25),ROUNDUP(MONTH(N25)/3,0)*3,1),0)</f>
        <v>46295</v>
      </c>
      <c r="O23" s="14">
        <f>EOMONTH(DATE(YEAR(O25),ROUNDUP(MONTH(O25)/3,0)*3,1),0)</f>
        <v>46387</v>
      </c>
      <c r="P23" s="14">
        <f t="shared" ref="P23:S23" si="17">EOMONTH(DATE(YEAR(P25),ROUNDUP(MONTH(P25)/3,0)*3,1),0)</f>
        <v>46477</v>
      </c>
      <c r="Q23" s="14">
        <f t="shared" si="17"/>
        <v>46568</v>
      </c>
      <c r="R23" s="14">
        <f t="shared" si="17"/>
        <v>46660</v>
      </c>
      <c r="S23" s="14">
        <f t="shared" si="17"/>
        <v>46752</v>
      </c>
      <c r="U23" s="24" t="str">
        <v>CW US EQUITY</v>
      </c>
      <c r="V23" s="24">
        <v>46568</v>
      </c>
      <c r="W23" s="24" t="str">
        <v>canonical</v>
      </c>
      <c r="X23" s="24" t="str">
        <v>operating_margin</v>
      </c>
      <c r="Y23" s="24" t="str">
        <v>forecast</v>
      </c>
      <c r="Z23" s="28" t="str">
        <v>19.2</v>
      </c>
      <c r="AA23" s="28" t="str">
        <v>60.0000000000001</v>
      </c>
      <c r="AB23" s="28" t="str">
        <v>10.0000000000005</v>
      </c>
      <c r="AC23" s="28" t="str">
        <v>30.0000000000004</v>
      </c>
      <c r="AD23" s="28" t="str">
        <v>160</v>
      </c>
    </row>
    <row r="24" spans="1:30" x14ac:dyDescent="0.25">
      <c r="C24" s="13" t="s">
        <v>22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24</v>
      </c>
      <c r="Q24" s="2" t="s">
        <v>24</v>
      </c>
      <c r="R24" s="2" t="s">
        <v>24</v>
      </c>
      <c r="S24" s="2" t="s">
        <v>24</v>
      </c>
      <c r="U24" s="24" t="str">
        <v>CW US EQUITY</v>
      </c>
      <c r="V24" s="24">
        <v>46660</v>
      </c>
      <c r="W24" s="24" t="str">
        <v>canonical</v>
      </c>
      <c r="X24" s="24" t="str">
        <v>operating_margin</v>
      </c>
      <c r="Y24" s="24" t="str">
        <v>forecast</v>
      </c>
      <c r="Z24" s="28" t="str">
        <v>20.6</v>
      </c>
      <c r="AA24" s="28" t="str">
        <v>59.9999999999998</v>
      </c>
      <c r="AB24" s="28" t="str">
        <v>-3.5527136788005E-13</v>
      </c>
      <c r="AC24" s="28" t="str">
        <v>19.9999999999999</v>
      </c>
      <c r="AD24" s="28" t="str">
        <v>140</v>
      </c>
    </row>
    <row r="25" spans="1:30" x14ac:dyDescent="0.25">
      <c r="D25" s="15" cm="1">
        <f t="array" ref="D25:K26">+_xll.BDH($B$2,$C26,$B$3,$B$4,"DIR=H")</f>
        <v>45382</v>
      </c>
      <c r="E25" s="1">
        <v>45473</v>
      </c>
      <c r="F25" s="1">
        <v>45565</v>
      </c>
      <c r="G25" s="1">
        <v>45657</v>
      </c>
      <c r="H25" s="1">
        <v>45747</v>
      </c>
      <c r="I25" s="1">
        <v>45838</v>
      </c>
      <c r="J25" s="1">
        <v>45930</v>
      </c>
      <c r="K25" s="1">
        <v>46022</v>
      </c>
      <c r="L25" s="2">
        <f t="shared" ref="L25:S25" si="18">+L$7</f>
        <v>46112</v>
      </c>
      <c r="M25" s="2">
        <f t="shared" si="18"/>
        <v>46203</v>
      </c>
      <c r="N25" s="2">
        <f t="shared" si="18"/>
        <v>46295</v>
      </c>
      <c r="O25" s="2">
        <f t="shared" si="18"/>
        <v>46387</v>
      </c>
      <c r="P25" s="2">
        <f t="shared" si="18"/>
        <v>46477</v>
      </c>
      <c r="Q25" s="2">
        <f t="shared" si="18"/>
        <v>46568</v>
      </c>
      <c r="R25" s="2">
        <f t="shared" si="18"/>
        <v>46660</v>
      </c>
      <c r="S25" s="2">
        <f t="shared" si="18"/>
        <v>46752</v>
      </c>
      <c r="U25" s="24" t="str">
        <v>CW US EQUITY</v>
      </c>
      <c r="V25" s="24">
        <v>46752</v>
      </c>
      <c r="W25" s="24" t="str">
        <v>canonical</v>
      </c>
      <c r="X25" s="24" t="str">
        <v>operating_margin</v>
      </c>
      <c r="Y25" s="24" t="str">
        <v>forecast</v>
      </c>
      <c r="Z25" s="28" t="str">
        <v>21</v>
      </c>
      <c r="AA25" s="28" t="str">
        <v>60.0000000000001</v>
      </c>
      <c r="AB25" s="28" t="str">
        <v>3.5527136788005E-13</v>
      </c>
      <c r="AC25" s="28" t="str">
        <v>-9.99999999999979</v>
      </c>
      <c r="AD25" s="28" t="str">
        <v>40.0000000000002</v>
      </c>
    </row>
    <row r="26" spans="1:30" x14ac:dyDescent="0.25">
      <c r="A26" s="16" t="s">
        <v>7</v>
      </c>
      <c r="B26" s="16" t="s">
        <v>61</v>
      </c>
      <c r="C26" s="2" t="s">
        <v>29</v>
      </c>
      <c r="D26" s="11">
        <v>12.055</v>
      </c>
      <c r="E26" s="11">
        <v>11.064</v>
      </c>
      <c r="F26" s="11">
        <v>14.584</v>
      </c>
      <c r="G26" s="11">
        <v>23.271000000000001</v>
      </c>
      <c r="H26" s="11">
        <v>15.773</v>
      </c>
      <c r="I26" s="11">
        <v>19.577999999999999</v>
      </c>
      <c r="J26" s="11">
        <v>16.777999999999999</v>
      </c>
      <c r="K26" s="11">
        <v>37.563000000000002</v>
      </c>
      <c r="L26" s="34">
        <v>28.75</v>
      </c>
      <c r="M26" s="34">
        <v>28.75</v>
      </c>
      <c r="N26" s="34">
        <v>28.75</v>
      </c>
      <c r="O26" s="34">
        <v>28.75</v>
      </c>
      <c r="P26" s="34">
        <v>27.631305177000002</v>
      </c>
      <c r="Q26" s="34">
        <v>29.761827483000005</v>
      </c>
      <c r="R26" s="34">
        <v>29.862781458000001</v>
      </c>
      <c r="S26" s="34">
        <v>31.485789312000001</v>
      </c>
      <c r="U26" s="24" t="str" cm="1">
        <f t="array" ref="U26:AD37">_xlfn.LET(
  _xlpm.d, H23:S23,
  _xlpm.s, H24:S24,
  _xlpm.v, H26:S26,
  _xlpm.yy, H27:S27,
  _xlpm.qq, H28:S28,
  _xlpm.dyy, H29:S29,
  _xlpm.dqq, H30:S30,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CW US EQUITY</v>
      </c>
      <c r="V26" s="24">
        <v>45747</v>
      </c>
      <c r="W26" s="24" t="str">
        <v>canonical</v>
      </c>
      <c r="X26" s="24" t="str">
        <v>capex</v>
      </c>
      <c r="Y26" s="24" t="str">
        <v>actual</v>
      </c>
      <c r="Z26" s="28" t="str">
        <v>15.773</v>
      </c>
      <c r="AA26" s="28" t="str">
        <v>0.308419742845292</v>
      </c>
      <c r="AB26" s="28" t="str">
        <v/>
      </c>
      <c r="AC26" s="28" t="str">
        <v/>
      </c>
      <c r="AD26" s="28" t="str">
        <v>-0.322203601048515</v>
      </c>
    </row>
    <row r="27" spans="1:30" x14ac:dyDescent="0.25">
      <c r="C27" s="4" t="s">
        <v>4</v>
      </c>
      <c r="D27" s="5"/>
      <c r="E27" s="4"/>
      <c r="F27" s="4"/>
      <c r="G27" s="12"/>
      <c r="H27" s="12">
        <f t="shared" ref="H27" si="19">+H26/D26-1</f>
        <v>0.30841974284529239</v>
      </c>
      <c r="I27" s="12">
        <f t="shared" ref="I27" si="20">+I26/E26-1</f>
        <v>0.76952277657266799</v>
      </c>
      <c r="J27" s="12">
        <f t="shared" ref="J27" si="21">+J26/F26-1</f>
        <v>0.15043883708173333</v>
      </c>
      <c r="K27" s="12">
        <f t="shared" ref="K27" si="22">+K26/G26-1</f>
        <v>0.61415495681320098</v>
      </c>
      <c r="L27" s="12">
        <f t="shared" ref="L27" si="23">+L26/H26-1</f>
        <v>0.82273505357256083</v>
      </c>
      <c r="M27" s="12">
        <f t="shared" ref="M27" si="24">+M26/I26-1</f>
        <v>0.46848503422208609</v>
      </c>
      <c r="N27" s="12">
        <f t="shared" ref="N27" si="25">+N26/J26-1</f>
        <v>0.71355346286804155</v>
      </c>
      <c r="O27" s="12">
        <f t="shared" ref="O27" si="26">+O26/K26-1</f>
        <v>-0.23461917312248759</v>
      </c>
      <c r="P27" s="12">
        <f t="shared" ref="P27" si="27">+P26/L26-1</f>
        <v>-3.8911124278260822E-2</v>
      </c>
      <c r="Q27" s="12">
        <f t="shared" ref="Q27" si="28">+Q26/M26-1</f>
        <v>3.5193999408695831E-2</v>
      </c>
      <c r="R27" s="12">
        <f t="shared" ref="R27" si="29">+R26/N26-1</f>
        <v>3.8705442017391345E-2</v>
      </c>
      <c r="S27" s="12">
        <f t="shared" ref="S27" si="30">+S26/O26-1</f>
        <v>9.515788911304357E-2</v>
      </c>
      <c r="U27" s="24" t="str">
        <v>CW US EQUITY</v>
      </c>
      <c r="V27" s="24">
        <v>45838</v>
      </c>
      <c r="W27" s="24" t="str">
        <v>canonical</v>
      </c>
      <c r="X27" s="24" t="str">
        <v>capex</v>
      </c>
      <c r="Y27" s="24" t="str">
        <v>actual</v>
      </c>
      <c r="Z27" s="28" t="str">
        <v>19.578</v>
      </c>
      <c r="AA27" s="28" t="str">
        <v>0.769522776572668</v>
      </c>
      <c r="AB27" s="28" t="str">
        <v>4611.03033727376</v>
      </c>
      <c r="AC27" s="28" t="str">
        <v/>
      </c>
      <c r="AD27" s="28" t="str">
        <v>0.241235021872821</v>
      </c>
    </row>
    <row r="28" spans="1:30" x14ac:dyDescent="0.25">
      <c r="C28" s="4" t="s">
        <v>15</v>
      </c>
      <c r="D28" s="1"/>
      <c r="H28" s="7"/>
      <c r="I28" s="7">
        <f t="shared" ref="I28" si="31">(I27-H27)*10000</f>
        <v>4611.0303372737562</v>
      </c>
      <c r="J28" s="7">
        <f t="shared" ref="J28" si="32">(J27-I27)*10000</f>
        <v>-6190.8393949093461</v>
      </c>
      <c r="K28" s="7">
        <f>(K27-J27)*10000</f>
        <v>4637.1611973146764</v>
      </c>
      <c r="L28" s="7">
        <f>(L27-K27)*10000</f>
        <v>2085.8009675935987</v>
      </c>
      <c r="M28" s="7">
        <f>(M27-L27)*10000</f>
        <v>-3542.5001935047471</v>
      </c>
      <c r="N28" s="7">
        <f>(N27-M27)*10000</f>
        <v>2450.6842864595546</v>
      </c>
      <c r="O28" s="7">
        <f>(O27-N27)*10000</f>
        <v>-9481.7263599052912</v>
      </c>
      <c r="P28" s="7">
        <f t="shared" ref="P28" si="33">(P27-O27)*10000</f>
        <v>1957.0804884422678</v>
      </c>
      <c r="Q28" s="7">
        <f t="shared" ref="Q28" si="34">(Q27-P27)*10000</f>
        <v>741.05123686956654</v>
      </c>
      <c r="R28" s="7">
        <f t="shared" ref="R28" si="35">(R27-Q27)*10000</f>
        <v>35.114426086955142</v>
      </c>
      <c r="S28" s="7">
        <f t="shared" ref="S28" si="36">(S27-R27)*10000</f>
        <v>564.52447095652224</v>
      </c>
      <c r="U28" s="24" t="str">
        <v>CW US EQUITY</v>
      </c>
      <c r="V28" s="24">
        <v>45930</v>
      </c>
      <c r="W28" s="24" t="str">
        <v>canonical</v>
      </c>
      <c r="X28" s="24" t="str">
        <v>capex</v>
      </c>
      <c r="Y28" s="24" t="str">
        <v>actual</v>
      </c>
      <c r="Z28" s="28" t="str">
        <v>16.778</v>
      </c>
      <c r="AA28" s="28" t="str">
        <v>0.150438837081733</v>
      </c>
      <c r="AB28" s="28" t="str">
        <v>-6190.83939490935</v>
      </c>
      <c r="AC28" s="28" t="str">
        <v/>
      </c>
      <c r="AD28" s="28" t="str">
        <v>-0.143017672898151</v>
      </c>
    </row>
    <row r="29" spans="1:30" x14ac:dyDescent="0.25">
      <c r="C29" s="4" t="s">
        <v>28</v>
      </c>
      <c r="D29" s="1"/>
      <c r="E29" s="6"/>
      <c r="F29" s="6"/>
      <c r="G29" s="6"/>
      <c r="H29" s="6"/>
      <c r="I29" s="6"/>
      <c r="J29" s="6"/>
      <c r="K29" s="6"/>
      <c r="L29" s="12">
        <f t="shared" ref="L29" si="37">(1+H27)*(1+L27)-1</f>
        <v>1.3849025300705105</v>
      </c>
      <c r="M29" s="12">
        <f t="shared" ref="M29" si="38">(1+I27)*(1+M27)-1</f>
        <v>1.5985177151120751</v>
      </c>
      <c r="N29" s="12">
        <f t="shared" ref="N29" si="39">(1+J27)*(1+N27)-1</f>
        <v>0.97133845309928679</v>
      </c>
      <c r="O29" s="12">
        <f t="shared" ref="O29" si="40">(1+K27)*(1+O27)-1</f>
        <v>0.23544325555412304</v>
      </c>
      <c r="P29" s="12">
        <f t="shared" ref="P29" si="41">(1+L27)*(1+P27)-1</f>
        <v>0.75181038337665651</v>
      </c>
      <c r="Q29" s="12">
        <f t="shared" ref="Q29" si="42">(1+M27)*(1+Q27)-1</f>
        <v>0.52016689564817686</v>
      </c>
      <c r="R29" s="12">
        <f t="shared" ref="R29" si="43">(1+N27)*(1+R27)-1</f>
        <v>0.77987730706878078</v>
      </c>
      <c r="S29" s="12">
        <f t="shared" ref="S29" si="44">(1+O27)*(1+S27)-1</f>
        <v>-0.16178714926922766</v>
      </c>
      <c r="U29" s="24" t="str">
        <v>CW US EQUITY</v>
      </c>
      <c r="V29" s="24">
        <v>46022</v>
      </c>
      <c r="W29" s="24" t="str">
        <v>canonical</v>
      </c>
      <c r="X29" s="24" t="str">
        <v>capex</v>
      </c>
      <c r="Y29" s="24" t="str">
        <v>actual</v>
      </c>
      <c r="Z29" s="28" t="str">
        <v>37.563</v>
      </c>
      <c r="AA29" s="28" t="str">
        <v>0.614154956813201</v>
      </c>
      <c r="AB29" s="28" t="str">
        <v>4637.16119731468</v>
      </c>
      <c r="AC29" s="28" t="str">
        <v/>
      </c>
      <c r="AD29" s="28" t="str">
        <v>1.23882465132912</v>
      </c>
    </row>
    <row r="30" spans="1:30" x14ac:dyDescent="0.25">
      <c r="C30" s="4" t="s">
        <v>5</v>
      </c>
      <c r="D30" s="1"/>
      <c r="E30" s="12">
        <f t="shared" ref="E30" si="45">E26/D26-1</f>
        <v>-8.2206553297386908E-2</v>
      </c>
      <c r="F30" s="12">
        <f t="shared" ref="F30" si="46">F26/E26-1</f>
        <v>0.31814895155459144</v>
      </c>
      <c r="G30" s="12">
        <f t="shared" ref="G30" si="47">G26/F26-1</f>
        <v>0.59565277015907858</v>
      </c>
      <c r="H30" s="12">
        <f t="shared" ref="H30" si="48">H26/G26-1</f>
        <v>-0.32220360104851531</v>
      </c>
      <c r="I30" s="12">
        <f t="shared" ref="I30" si="49">I26/H26-1</f>
        <v>0.24123502187282053</v>
      </c>
      <c r="J30" s="12">
        <f t="shared" ref="J30" si="50">J26/I26-1</f>
        <v>-0.14301767289815104</v>
      </c>
      <c r="K30" s="12">
        <f t="shared" ref="K30" si="51">K26/J26-1</f>
        <v>1.2388246513291219</v>
      </c>
      <c r="L30" s="12">
        <f t="shared" ref="L30" si="52">L26/K26-1</f>
        <v>-0.23461917312248759</v>
      </c>
      <c r="M30" s="12">
        <f t="shared" ref="M30" si="53">M26/L26-1</f>
        <v>0</v>
      </c>
      <c r="N30" s="12">
        <f t="shared" ref="N30" si="54">N26/M26-1</f>
        <v>0</v>
      </c>
      <c r="O30" s="12">
        <f t="shared" ref="O30" si="55">O26/N26-1</f>
        <v>0</v>
      </c>
      <c r="P30" s="12">
        <f t="shared" ref="P30" si="56">P26/O26-1</f>
        <v>-3.8911124278260822E-2</v>
      </c>
      <c r="Q30" s="12">
        <f t="shared" ref="Q30" si="57">Q26/P26-1</f>
        <v>7.7105380739431295E-2</v>
      </c>
      <c r="R30" s="12">
        <f t="shared" ref="R30" si="58">R26/Q26-1</f>
        <v>3.3920623677312634E-3</v>
      </c>
      <c r="S30" s="12">
        <f t="shared" ref="S30" si="59">S26/R26-1</f>
        <v>5.4348850802215187E-2</v>
      </c>
      <c r="U30" s="24" t="str">
        <v>CW US EQUITY</v>
      </c>
      <c r="V30" s="24">
        <v>46112</v>
      </c>
      <c r="W30" s="24" t="str">
        <v>canonical</v>
      </c>
      <c r="X30" s="24" t="str">
        <v>capex</v>
      </c>
      <c r="Y30" s="24" t="str">
        <v>forecast</v>
      </c>
      <c r="Z30" s="28" t="str">
        <v>28.75</v>
      </c>
      <c r="AA30" s="28" t="str">
        <v>0.822735053572561</v>
      </c>
      <c r="AB30" s="28" t="str">
        <v>2085.8009675936</v>
      </c>
      <c r="AC30" s="28" t="str">
        <v>1.38490253007051</v>
      </c>
      <c r="AD30" s="28" t="str">
        <v>-0.234619173122488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CW US EQUITY</v>
      </c>
      <c r="V31" s="24">
        <v>46203</v>
      </c>
      <c r="W31" s="24" t="str">
        <v>canonical</v>
      </c>
      <c r="X31" s="24" t="str">
        <v>capex</v>
      </c>
      <c r="Y31" s="24" t="str">
        <v>forecast</v>
      </c>
      <c r="Z31" s="28" t="str">
        <v>28.75</v>
      </c>
      <c r="AA31" s="28" t="str">
        <v>0.468485034222086</v>
      </c>
      <c r="AB31" s="28" t="str">
        <v>-3542.50019350475</v>
      </c>
      <c r="AC31" s="28" t="str">
        <v>1.59851771511208</v>
      </c>
      <c r="AD31" s="28" t="str">
        <v>0</v>
      </c>
    </row>
    <row r="32" spans="1:30" x14ac:dyDescent="0.25">
      <c r="C32" s="13" t="s">
        <v>10</v>
      </c>
      <c r="D32" s="14">
        <f t="shared" ref="D32:L32" si="60">EOMONTH(DATE(YEAR(D34),ROUNDUP(MONTH(D34)/3,0)*3,1),0)</f>
        <v>45382</v>
      </c>
      <c r="E32" s="14">
        <f t="shared" si="60"/>
        <v>45473</v>
      </c>
      <c r="F32" s="14">
        <f t="shared" si="60"/>
        <v>45565</v>
      </c>
      <c r="G32" s="14">
        <f t="shared" si="60"/>
        <v>45657</v>
      </c>
      <c r="H32" s="14">
        <f t="shared" si="60"/>
        <v>45747</v>
      </c>
      <c r="I32" s="14">
        <f t="shared" si="60"/>
        <v>45838</v>
      </c>
      <c r="J32" s="14">
        <f t="shared" si="60"/>
        <v>45930</v>
      </c>
      <c r="K32" s="14">
        <f t="shared" si="60"/>
        <v>46022</v>
      </c>
      <c r="L32" s="14">
        <f t="shared" si="60"/>
        <v>46112</v>
      </c>
      <c r="M32" s="14">
        <f>EOMONTH(DATE(YEAR(M34),ROUNDUP(MONTH(M34)/3,0)*3,1),0)</f>
        <v>46203</v>
      </c>
      <c r="N32" s="14">
        <f>EOMONTH(DATE(YEAR(N34),ROUNDUP(MONTH(N34)/3,0)*3,1),0)</f>
        <v>46295</v>
      </c>
      <c r="O32" s="14">
        <f>EOMONTH(DATE(YEAR(O34),ROUNDUP(MONTH(O34)/3,0)*3,1),0)</f>
        <v>46387</v>
      </c>
      <c r="P32" s="14">
        <f t="shared" ref="P32:S32" si="61">EOMONTH(DATE(YEAR(P34),ROUNDUP(MONTH(P34)/3,0)*3,1),0)</f>
        <v>46477</v>
      </c>
      <c r="Q32" s="14">
        <f t="shared" si="61"/>
        <v>46568</v>
      </c>
      <c r="R32" s="14">
        <f t="shared" si="61"/>
        <v>46660</v>
      </c>
      <c r="S32" s="14">
        <f t="shared" si="61"/>
        <v>46752</v>
      </c>
      <c r="U32" s="24" t="str">
        <v>CW US EQUITY</v>
      </c>
      <c r="V32" s="24">
        <v>46295</v>
      </c>
      <c r="W32" s="24" t="str">
        <v>canonical</v>
      </c>
      <c r="X32" s="24" t="str">
        <v>capex</v>
      </c>
      <c r="Y32" s="24" t="str">
        <v>forecast</v>
      </c>
      <c r="Z32" s="28" t="str">
        <v>28.75</v>
      </c>
      <c r="AA32" s="28" t="str">
        <v>0.713553462868042</v>
      </c>
      <c r="AB32" s="28" t="str">
        <v>2450.68428645955</v>
      </c>
      <c r="AC32" s="28" t="str">
        <v>0.971338453099287</v>
      </c>
      <c r="AD32" s="28" t="str">
        <v>0</v>
      </c>
    </row>
    <row r="33" spans="1:30" x14ac:dyDescent="0.25">
      <c r="C33" s="13" t="s">
        <v>22</v>
      </c>
      <c r="D33" s="2" t="str">
        <f t="shared" ref="D33:S33" si="62">+D$6</f>
        <v>actual</v>
      </c>
      <c r="E33" s="2" t="str">
        <f t="shared" si="62"/>
        <v>actual</v>
      </c>
      <c r="F33" s="2" t="str">
        <f t="shared" si="62"/>
        <v>actual</v>
      </c>
      <c r="G33" s="2" t="str">
        <f t="shared" si="62"/>
        <v>actual</v>
      </c>
      <c r="H33" s="2" t="str">
        <f t="shared" si="62"/>
        <v>actual</v>
      </c>
      <c r="I33" s="2" t="str">
        <f t="shared" si="62"/>
        <v>actual</v>
      </c>
      <c r="J33" s="2" t="str">
        <f t="shared" si="62"/>
        <v>actual</v>
      </c>
      <c r="K33" s="2" t="str">
        <f t="shared" si="62"/>
        <v>actual</v>
      </c>
      <c r="L33" s="2" t="str">
        <f t="shared" si="62"/>
        <v>forecast</v>
      </c>
      <c r="M33" s="2" t="str">
        <f t="shared" si="62"/>
        <v>forecast</v>
      </c>
      <c r="N33" s="2" t="str">
        <f t="shared" si="62"/>
        <v>forecast</v>
      </c>
      <c r="O33" s="2" t="str">
        <f t="shared" si="62"/>
        <v>forecast</v>
      </c>
      <c r="P33" s="2" t="str">
        <f t="shared" si="62"/>
        <v>forecast</v>
      </c>
      <c r="Q33" s="2" t="str">
        <f t="shared" si="62"/>
        <v>forecast</v>
      </c>
      <c r="R33" s="2" t="str">
        <f t="shared" si="62"/>
        <v>forecast</v>
      </c>
      <c r="S33" s="2" t="str">
        <f t="shared" si="62"/>
        <v>forecast</v>
      </c>
      <c r="U33" s="24" t="str">
        <v>CW US EQUITY</v>
      </c>
      <c r="V33" s="24">
        <v>46387</v>
      </c>
      <c r="W33" s="24" t="str">
        <v>canonical</v>
      </c>
      <c r="X33" s="24" t="str">
        <v>capex</v>
      </c>
      <c r="Y33" s="24" t="str">
        <v>forecast</v>
      </c>
      <c r="Z33" s="28" t="str">
        <v>28.75</v>
      </c>
      <c r="AA33" s="28" t="str">
        <v>-0.234619173122488</v>
      </c>
      <c r="AB33" s="28" t="str">
        <v>-9481.72635990529</v>
      </c>
      <c r="AC33" s="28" t="str">
        <v>0.235443255554123</v>
      </c>
      <c r="AD33" s="28" t="str">
        <v>0</v>
      </c>
    </row>
    <row r="34" spans="1:30" x14ac:dyDescent="0.25">
      <c r="D34" s="2">
        <f t="shared" ref="D34:S34" si="63">+D$7</f>
        <v>45382</v>
      </c>
      <c r="E34" s="2">
        <f t="shared" si="63"/>
        <v>45473</v>
      </c>
      <c r="F34" s="2">
        <f t="shared" si="63"/>
        <v>45565</v>
      </c>
      <c r="G34" s="2">
        <f t="shared" si="63"/>
        <v>45657</v>
      </c>
      <c r="H34" s="2">
        <f t="shared" si="63"/>
        <v>45747</v>
      </c>
      <c r="I34" s="2">
        <f t="shared" si="63"/>
        <v>45838</v>
      </c>
      <c r="J34" s="2">
        <f t="shared" si="63"/>
        <v>45930</v>
      </c>
      <c r="K34" s="2">
        <f t="shared" si="63"/>
        <v>46022</v>
      </c>
      <c r="L34" s="2">
        <f t="shared" si="63"/>
        <v>46112</v>
      </c>
      <c r="M34" s="2">
        <f t="shared" si="63"/>
        <v>46203</v>
      </c>
      <c r="N34" s="2">
        <f t="shared" si="63"/>
        <v>46295</v>
      </c>
      <c r="O34" s="2">
        <f t="shared" si="63"/>
        <v>46387</v>
      </c>
      <c r="P34" s="2">
        <f t="shared" si="63"/>
        <v>46477</v>
      </c>
      <c r="Q34" s="2">
        <f t="shared" si="63"/>
        <v>46568</v>
      </c>
      <c r="R34" s="2">
        <f t="shared" si="63"/>
        <v>46660</v>
      </c>
      <c r="S34" s="2">
        <f t="shared" si="63"/>
        <v>46752</v>
      </c>
      <c r="U34" s="24" t="str">
        <v>CW US EQUITY</v>
      </c>
      <c r="V34" s="24">
        <v>46477</v>
      </c>
      <c r="W34" s="24" t="str">
        <v>canonical</v>
      </c>
      <c r="X34" s="24" t="str">
        <v>capex</v>
      </c>
      <c r="Y34" s="24" t="str">
        <v>forecast</v>
      </c>
      <c r="Z34" s="28" t="str">
        <v>27.631305177</v>
      </c>
      <c r="AA34" s="28" t="str">
        <v>-0.0389111242782608</v>
      </c>
      <c r="AB34" s="28" t="str">
        <v>1957.08048844227</v>
      </c>
      <c r="AC34" s="28" t="str">
        <v>0.751810383376657</v>
      </c>
      <c r="AD34" s="28" t="str">
        <v>-0.0389111242782608</v>
      </c>
    </row>
    <row r="35" spans="1:30" x14ac:dyDescent="0.25">
      <c r="A35" s="16" t="s">
        <v>17</v>
      </c>
      <c r="B35" s="16" t="s">
        <v>65</v>
      </c>
      <c r="C35" s="2" t="s">
        <v>58</v>
      </c>
      <c r="D35" s="27">
        <v>124.039</v>
      </c>
      <c r="E35" s="27">
        <v>138.601</v>
      </c>
      <c r="F35" s="27">
        <v>131.376</v>
      </c>
      <c r="G35" s="27">
        <v>146.77199999999999</v>
      </c>
      <c r="H35" s="27">
        <v>142.934</v>
      </c>
      <c r="I35" s="27">
        <v>163.47300000000001</v>
      </c>
      <c r="J35" s="27">
        <v>149.9</v>
      </c>
      <c r="K35" s="27">
        <v>178.833</v>
      </c>
      <c r="L35" s="27">
        <v>165.80343999999999</v>
      </c>
      <c r="M35" s="27">
        <v>184.72449</v>
      </c>
      <c r="N35" s="27">
        <v>170.88600000000002</v>
      </c>
      <c r="O35" s="27">
        <v>196.71630000000002</v>
      </c>
      <c r="P35" s="27">
        <v>180.7257496</v>
      </c>
      <c r="Q35" s="27">
        <v>201.34969410000002</v>
      </c>
      <c r="R35" s="27">
        <v>186.26574000000005</v>
      </c>
      <c r="S35" s="27">
        <v>214.42076700000004</v>
      </c>
      <c r="U35" s="24" t="str">
        <v>CW US EQUITY</v>
      </c>
      <c r="V35" s="24">
        <v>46568</v>
      </c>
      <c r="W35" s="24" t="str">
        <v>canonical</v>
      </c>
      <c r="X35" s="24" t="str">
        <v>capex</v>
      </c>
      <c r="Y35" s="24" t="str">
        <v>forecast</v>
      </c>
      <c r="Z35" s="28" t="str">
        <v>29.761827483</v>
      </c>
      <c r="AA35" s="28" t="str">
        <v>0.0351939994086958</v>
      </c>
      <c r="AB35" s="28" t="str">
        <v>741.051236869567</v>
      </c>
      <c r="AC35" s="28" t="str">
        <v>0.520166895648177</v>
      </c>
      <c r="AD35" s="28" t="str">
        <v>0.0771053807394313</v>
      </c>
    </row>
    <row r="36" spans="1:30" x14ac:dyDescent="0.25">
      <c r="C36" s="4" t="s">
        <v>4</v>
      </c>
      <c r="D36" s="5"/>
      <c r="E36" s="4"/>
      <c r="F36" s="4"/>
      <c r="G36" s="12"/>
      <c r="H36" s="12">
        <f t="shared" ref="H36:S36" si="64">+H35/D35-1</f>
        <v>0.15233112166334783</v>
      </c>
      <c r="I36" s="12">
        <f t="shared" si="64"/>
        <v>0.1794503647159833</v>
      </c>
      <c r="J36" s="12">
        <f t="shared" si="64"/>
        <v>0.14099987821215443</v>
      </c>
      <c r="K36" s="12">
        <f t="shared" si="64"/>
        <v>0.21844084702804345</v>
      </c>
      <c r="L36" s="12">
        <f t="shared" si="64"/>
        <v>0.15999999999999992</v>
      </c>
      <c r="M36" s="12">
        <f t="shared" si="64"/>
        <v>0.12999999999999989</v>
      </c>
      <c r="N36" s="12">
        <f t="shared" si="64"/>
        <v>0.14000000000000012</v>
      </c>
      <c r="O36" s="12">
        <f t="shared" si="64"/>
        <v>0.10000000000000009</v>
      </c>
      <c r="P36" s="12">
        <f t="shared" si="64"/>
        <v>9.000000000000008E-2</v>
      </c>
      <c r="Q36" s="12">
        <f t="shared" si="64"/>
        <v>9.000000000000008E-2</v>
      </c>
      <c r="R36" s="12">
        <f t="shared" si="64"/>
        <v>9.000000000000008E-2</v>
      </c>
      <c r="S36" s="12">
        <f t="shared" si="64"/>
        <v>9.000000000000008E-2</v>
      </c>
      <c r="U36" s="24" t="str">
        <v>CW US EQUITY</v>
      </c>
      <c r="V36" s="24">
        <v>46660</v>
      </c>
      <c r="W36" s="24" t="str">
        <v>canonical</v>
      </c>
      <c r="X36" s="24" t="str">
        <v>capex</v>
      </c>
      <c r="Y36" s="24" t="str">
        <v>forecast</v>
      </c>
      <c r="Z36" s="28" t="str">
        <v>29.862781458</v>
      </c>
      <c r="AA36" s="28" t="str">
        <v>0.0387054420173913</v>
      </c>
      <c r="AB36" s="28" t="str">
        <v>35.1144260869551</v>
      </c>
      <c r="AC36" s="28" t="str">
        <v>0.779877307068781</v>
      </c>
      <c r="AD36" s="28" t="str">
        <v>0.00339206236773126</v>
      </c>
    </row>
    <row r="37" spans="1:30" x14ac:dyDescent="0.25">
      <c r="C37" s="4" t="s">
        <v>15</v>
      </c>
      <c r="D37" s="1"/>
      <c r="I37" s="7">
        <f t="shared" ref="I37:J37" si="65">(I36-H36)*10000</f>
        <v>271.19243052635466</v>
      </c>
      <c r="J37" s="7">
        <f t="shared" si="65"/>
        <v>-384.50486503828876</v>
      </c>
      <c r="K37" s="7">
        <f>(K36-J36)*10000</f>
        <v>774.40968815889028</v>
      </c>
      <c r="L37" s="7">
        <f>(L36-K36)*10000</f>
        <v>-584.40847028043527</v>
      </c>
      <c r="M37" s="7">
        <f>(M36-L36)*10000</f>
        <v>-300.00000000000028</v>
      </c>
      <c r="N37" s="7">
        <f>(N36-M36)*10000</f>
        <v>100.0000000000023</v>
      </c>
      <c r="O37" s="7">
        <f>(O36-N36)*10000</f>
        <v>-400.00000000000034</v>
      </c>
      <c r="P37" s="7">
        <f t="shared" ref="P37:S37" si="66">(P36-O36)*10000</f>
        <v>-100.00000000000009</v>
      </c>
      <c r="Q37" s="7">
        <f t="shared" si="66"/>
        <v>0</v>
      </c>
      <c r="R37" s="7">
        <f t="shared" si="66"/>
        <v>0</v>
      </c>
      <c r="S37" s="7">
        <f t="shared" si="66"/>
        <v>0</v>
      </c>
      <c r="U37" s="24" t="str">
        <v>CW US EQUITY</v>
      </c>
      <c r="V37" s="24">
        <v>46752</v>
      </c>
      <c r="W37" s="24" t="str">
        <v>canonical</v>
      </c>
      <c r="X37" s="24" t="str">
        <v>capex</v>
      </c>
      <c r="Y37" s="24" t="str">
        <v>forecast</v>
      </c>
      <c r="Z37" s="28" t="str">
        <v>31.485789312</v>
      </c>
      <c r="AA37" s="28" t="str">
        <v>0.0951578891130436</v>
      </c>
      <c r="AB37" s="28" t="str">
        <v>564.524470956522</v>
      </c>
      <c r="AC37" s="28" t="str">
        <v>-0.161787149269228</v>
      </c>
      <c r="AD37" s="28" t="str">
        <v>0.0543488508022152</v>
      </c>
    </row>
    <row r="38" spans="1:30" x14ac:dyDescent="0.25">
      <c r="C38" s="4" t="s">
        <v>28</v>
      </c>
      <c r="D38" s="1"/>
      <c r="E38" s="6"/>
      <c r="F38" s="6"/>
      <c r="G38" s="6"/>
      <c r="H38" s="6"/>
      <c r="I38" s="6"/>
      <c r="J38" s="6"/>
      <c r="K38" s="6"/>
      <c r="L38" s="12">
        <f t="shared" ref="L38:S38" si="67">(1+H36)*(1+L36)-1</f>
        <v>0.33670410112948335</v>
      </c>
      <c r="M38" s="12">
        <f t="shared" si="67"/>
        <v>0.33277891212906097</v>
      </c>
      <c r="N38" s="12">
        <f t="shared" si="67"/>
        <v>0.30073986116185614</v>
      </c>
      <c r="O38" s="12">
        <f t="shared" si="67"/>
        <v>0.34028493173084784</v>
      </c>
      <c r="P38" s="12">
        <f t="shared" si="67"/>
        <v>0.26439999999999997</v>
      </c>
      <c r="Q38" s="12">
        <f t="shared" si="67"/>
        <v>0.23170000000000002</v>
      </c>
      <c r="R38" s="12">
        <f t="shared" si="67"/>
        <v>0.24260000000000015</v>
      </c>
      <c r="S38" s="12">
        <f t="shared" si="67"/>
        <v>0.19900000000000029</v>
      </c>
      <c r="U38" s="24" t="str" cm="1">
        <f t="array" ref="U38:AD49">_xlfn.LET(
  _xlpm.d, H32:S32,
  _xlpm.s, H33:S33,
  _xlpm.v, H35:S35,
  _xlpm.yy, H36:S36,
  _xlpm.qq, H37:S37,
  _xlpm.dyy, H38:S38,
  _xlpm.dqq, H39:S39,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CW US EQUITY</v>
      </c>
      <c r="V38" s="24">
        <v>45747</v>
      </c>
      <c r="W38" s="24" t="str">
        <v>custom</v>
      </c>
      <c r="X38" s="24" t="str">
        <v>power_and_process_revenue</v>
      </c>
      <c r="Y38" s="24" t="str">
        <v>actual</v>
      </c>
      <c r="Z38" s="28" t="str">
        <v>142.934</v>
      </c>
      <c r="AA38" s="28" t="str">
        <v>0.152331121663348</v>
      </c>
      <c r="AB38" s="28" t="str">
        <v/>
      </c>
      <c r="AC38" s="28" t="str">
        <v/>
      </c>
      <c r="AD38" s="28" t="str">
        <v>-0.0261494017932575</v>
      </c>
    </row>
    <row r="39" spans="1:30" x14ac:dyDescent="0.25">
      <c r="C39" s="4" t="s">
        <v>5</v>
      </c>
      <c r="D39" s="1"/>
      <c r="E39" s="12">
        <f t="shared" ref="E39:S39" si="68">E35/D35-1</f>
        <v>0.1173985601302816</v>
      </c>
      <c r="F39" s="12">
        <f t="shared" si="68"/>
        <v>-5.2128051024162847E-2</v>
      </c>
      <c r="G39" s="12">
        <f t="shared" si="68"/>
        <v>0.11719035440263048</v>
      </c>
      <c r="H39" s="12">
        <f t="shared" si="68"/>
        <v>-2.6149401793257532E-2</v>
      </c>
      <c r="I39" s="12">
        <f t="shared" si="68"/>
        <v>0.14369569171785601</v>
      </c>
      <c r="J39" s="12">
        <f t="shared" si="68"/>
        <v>-8.302900173117278E-2</v>
      </c>
      <c r="K39" s="12">
        <f t="shared" si="68"/>
        <v>0.19301534356237493</v>
      </c>
      <c r="L39" s="12">
        <f t="shared" si="68"/>
        <v>-7.2858812411579543E-2</v>
      </c>
      <c r="M39" s="12">
        <f t="shared" si="68"/>
        <v>0.11411735486308361</v>
      </c>
      <c r="N39" s="12">
        <f t="shared" si="68"/>
        <v>-7.4914214135873292E-2</v>
      </c>
      <c r="O39" s="12">
        <f t="shared" si="68"/>
        <v>0.15115515606895813</v>
      </c>
      <c r="P39" s="12">
        <f t="shared" si="68"/>
        <v>-8.1287368662383397E-2</v>
      </c>
      <c r="Q39" s="12">
        <f t="shared" si="68"/>
        <v>0.11411735486308383</v>
      </c>
      <c r="R39" s="12">
        <f t="shared" si="68"/>
        <v>-7.4914214135873181E-2</v>
      </c>
      <c r="S39" s="12">
        <f t="shared" si="68"/>
        <v>0.15115515606895813</v>
      </c>
      <c r="U39" s="24" t="str">
        <v>CW US EQUITY</v>
      </c>
      <c r="V39" s="24">
        <v>45838</v>
      </c>
      <c r="W39" s="24" t="str">
        <v>custom</v>
      </c>
      <c r="X39" s="24" t="str">
        <v>power_and_process_revenue</v>
      </c>
      <c r="Y39" s="24" t="str">
        <v>actual</v>
      </c>
      <c r="Z39" s="28" t="str">
        <v>163.473</v>
      </c>
      <c r="AA39" s="28" t="str">
        <v>0.179450364715983</v>
      </c>
      <c r="AB39" s="28" t="str">
        <v>271.192430526355</v>
      </c>
      <c r="AC39" s="28" t="str">
        <v/>
      </c>
      <c r="AD39" s="28" t="str">
        <v>0.143695691717856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v>CW US EQUITY</v>
      </c>
      <c r="V40" s="24">
        <v>45930</v>
      </c>
      <c r="W40" s="24" t="str">
        <v>custom</v>
      </c>
      <c r="X40" s="24" t="str">
        <v>power_and_process_revenue</v>
      </c>
      <c r="Y40" s="24" t="str">
        <v>actual</v>
      </c>
      <c r="Z40" s="28" t="str">
        <v>149.9</v>
      </c>
      <c r="AA40" s="28" t="str">
        <v>0.140999878212154</v>
      </c>
      <c r="AB40" s="28" t="str">
        <v>-384.504865038289</v>
      </c>
      <c r="AC40" s="28" t="str">
        <v/>
      </c>
      <c r="AD40" s="28" t="str">
        <v>-0.0830290017311728</v>
      </c>
    </row>
    <row r="41" spans="1:30" x14ac:dyDescent="0.25"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U41" s="24" t="str">
        <v>CW US EQUITY</v>
      </c>
      <c r="V41" s="24">
        <v>46022</v>
      </c>
      <c r="W41" s="24" t="str">
        <v>custom</v>
      </c>
      <c r="X41" s="24" t="str">
        <v>power_and_process_revenue</v>
      </c>
      <c r="Y41" s="24" t="str">
        <v>actual</v>
      </c>
      <c r="Z41" s="28" t="str">
        <v>178.833</v>
      </c>
      <c r="AA41" s="28" t="str">
        <v>0.218440847028043</v>
      </c>
      <c r="AB41" s="28" t="str">
        <v>774.40968815889</v>
      </c>
      <c r="AC41" s="28" t="str">
        <v/>
      </c>
      <c r="AD41" s="28" t="str">
        <v>0.193015343562375</v>
      </c>
    </row>
    <row r="42" spans="1:30" x14ac:dyDescent="0.25">
      <c r="C42" s="1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U42" s="24" t="str">
        <v>CW US EQUITY</v>
      </c>
      <c r="V42" s="24">
        <v>46112</v>
      </c>
      <c r="W42" s="24" t="str">
        <v>custom</v>
      </c>
      <c r="X42" s="24" t="str">
        <v>power_and_process_revenue</v>
      </c>
      <c r="Y42" s="24" t="str">
        <v>forecast</v>
      </c>
      <c r="Z42" s="28" t="str">
        <v>165.80344</v>
      </c>
      <c r="AA42" s="28" t="str">
        <v>0.16</v>
      </c>
      <c r="AB42" s="28" t="str">
        <v>-584.408470280435</v>
      </c>
      <c r="AC42" s="28" t="str">
        <v>0.336704101129483</v>
      </c>
      <c r="AD42" s="28" t="str">
        <v>-0.0728588124115795</v>
      </c>
    </row>
    <row r="43" spans="1:30" x14ac:dyDescent="0.25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4" t="str">
        <v>CW US EQUITY</v>
      </c>
      <c r="V43" s="24">
        <v>46203</v>
      </c>
      <c r="W43" s="24" t="str">
        <v>custom</v>
      </c>
      <c r="X43" s="24" t="str">
        <v>power_and_process_revenue</v>
      </c>
      <c r="Y43" s="24" t="str">
        <v>forecast</v>
      </c>
      <c r="Z43" s="28" t="str">
        <v>184.72449</v>
      </c>
      <c r="AA43" s="28" t="str">
        <v>0.13</v>
      </c>
      <c r="AB43" s="28" t="str">
        <v>-300</v>
      </c>
      <c r="AC43" s="28" t="str">
        <v>0.332778912129061</v>
      </c>
      <c r="AD43" s="28" t="str">
        <v>0.114117354863084</v>
      </c>
    </row>
    <row r="44" spans="1:30" x14ac:dyDescent="0.25">
      <c r="A44" s="16"/>
      <c r="B44" s="16"/>
      <c r="C44" s="2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U44" s="24" t="str">
        <v>CW US EQUITY</v>
      </c>
      <c r="V44" s="24">
        <v>46295</v>
      </c>
      <c r="W44" s="24" t="str">
        <v>custom</v>
      </c>
      <c r="X44" s="24" t="str">
        <v>power_and_process_revenue</v>
      </c>
      <c r="Y44" s="24" t="str">
        <v>forecast</v>
      </c>
      <c r="Z44" s="28" t="str">
        <v>170.886</v>
      </c>
      <c r="AA44" s="28" t="str">
        <v>0.14</v>
      </c>
      <c r="AB44" s="28" t="str">
        <v>100.000000000002</v>
      </c>
      <c r="AC44" s="28" t="str">
        <v>0.300739861161856</v>
      </c>
      <c r="AD44" s="28" t="str">
        <v>-0.0749142141358733</v>
      </c>
    </row>
    <row r="45" spans="1:30" x14ac:dyDescent="0.25">
      <c r="C45" s="4"/>
      <c r="D45" s="5"/>
      <c r="E45" s="4"/>
      <c r="F45" s="4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U45" s="24" t="str">
        <v>CW US EQUITY</v>
      </c>
      <c r="V45" s="24">
        <v>46387</v>
      </c>
      <c r="W45" s="24" t="str">
        <v>custom</v>
      </c>
      <c r="X45" s="24" t="str">
        <v>power_and_process_revenue</v>
      </c>
      <c r="Y45" s="24" t="str">
        <v>forecast</v>
      </c>
      <c r="Z45" s="28" t="str">
        <v>196.7163</v>
      </c>
      <c r="AA45" s="28" t="str">
        <v>0.1</v>
      </c>
      <c r="AB45" s="28" t="str">
        <v>-400</v>
      </c>
      <c r="AC45" s="28" t="str">
        <v>0.340284931730848</v>
      </c>
      <c r="AD45" s="28" t="str">
        <v>0.151155156068958</v>
      </c>
    </row>
    <row r="46" spans="1:30" x14ac:dyDescent="0.25">
      <c r="C46" s="4"/>
      <c r="D46" s="1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U46" s="24" t="str">
        <v>CW US EQUITY</v>
      </c>
      <c r="V46" s="24">
        <v>46477</v>
      </c>
      <c r="W46" s="24" t="str">
        <v>custom</v>
      </c>
      <c r="X46" s="24" t="str">
        <v>power_and_process_revenue</v>
      </c>
      <c r="Y46" s="24" t="str">
        <v>forecast</v>
      </c>
      <c r="Z46" s="28" t="str">
        <v>180.7257496</v>
      </c>
      <c r="AA46" s="28" t="str">
        <v>0.0900000000000001</v>
      </c>
      <c r="AB46" s="28" t="str">
        <v>-100</v>
      </c>
      <c r="AC46" s="28" t="str">
        <v>0.2644</v>
      </c>
      <c r="AD46" s="28" t="str">
        <v>-0.0812873686623834</v>
      </c>
    </row>
    <row r="47" spans="1:30" x14ac:dyDescent="0.25">
      <c r="C47" s="4"/>
      <c r="D47" s="1"/>
      <c r="E47" s="6"/>
      <c r="F47" s="6"/>
      <c r="G47" s="6"/>
      <c r="H47" s="6"/>
      <c r="I47" s="6"/>
      <c r="J47" s="6"/>
      <c r="K47" s="6"/>
      <c r="L47" s="12"/>
      <c r="M47" s="12"/>
      <c r="N47" s="12"/>
      <c r="O47" s="12"/>
      <c r="P47" s="12"/>
      <c r="Q47" s="12"/>
      <c r="R47" s="12"/>
      <c r="S47" s="12"/>
      <c r="U47" s="24" t="str">
        <v>CW US EQUITY</v>
      </c>
      <c r="V47" s="24">
        <v>46568</v>
      </c>
      <c r="W47" s="24" t="str">
        <v>custom</v>
      </c>
      <c r="X47" s="24" t="str">
        <v>power_and_process_revenue</v>
      </c>
      <c r="Y47" s="24" t="str">
        <v>forecast</v>
      </c>
      <c r="Z47" s="28" t="str">
        <v>201.3496941</v>
      </c>
      <c r="AA47" s="28" t="str">
        <v>0.0900000000000001</v>
      </c>
      <c r="AB47" s="28" t="str">
        <v>0</v>
      </c>
      <c r="AC47" s="28" t="str">
        <v>0.2317</v>
      </c>
      <c r="AD47" s="28" t="str">
        <v>0.114117354863084</v>
      </c>
    </row>
    <row r="48" spans="1:30" x14ac:dyDescent="0.25">
      <c r="C48" s="4"/>
      <c r="D48" s="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U48" s="24" t="str">
        <v>CW US EQUITY</v>
      </c>
      <c r="V48" s="24">
        <v>46660</v>
      </c>
      <c r="W48" s="24" t="str">
        <v>custom</v>
      </c>
      <c r="X48" s="24" t="str">
        <v>power_and_process_revenue</v>
      </c>
      <c r="Y48" s="24" t="str">
        <v>forecast</v>
      </c>
      <c r="Z48" s="28" t="str">
        <v>186.26574</v>
      </c>
      <c r="AA48" s="28" t="str">
        <v>0.0900000000000001</v>
      </c>
      <c r="AB48" s="28" t="str">
        <v>0</v>
      </c>
      <c r="AC48" s="28" t="str">
        <v>0.2426</v>
      </c>
      <c r="AD48" s="28" t="str">
        <v>-0.0749142141358732</v>
      </c>
    </row>
    <row r="49" spans="1:30" x14ac:dyDescent="0.25">
      <c r="C49" s="4"/>
      <c r="D49" s="1"/>
      <c r="K49" s="30"/>
      <c r="L49" s="7"/>
      <c r="M49" s="7"/>
      <c r="N49" s="7"/>
      <c r="O49" s="7"/>
      <c r="P49" s="7"/>
      <c r="Q49" s="7"/>
      <c r="R49" s="7"/>
      <c r="U49" s="24" t="str">
        <v>CW US EQUITY</v>
      </c>
      <c r="V49" s="24">
        <v>46752</v>
      </c>
      <c r="W49" s="24" t="str">
        <v>custom</v>
      </c>
      <c r="X49" s="24" t="str">
        <v>power_and_process_revenue</v>
      </c>
      <c r="Y49" s="24" t="str">
        <v>forecast</v>
      </c>
      <c r="Z49" s="28" t="str">
        <v>214.420767</v>
      </c>
      <c r="AA49" s="28" t="str">
        <v>0.0900000000000001</v>
      </c>
      <c r="AB49" s="28" t="str">
        <v>0</v>
      </c>
      <c r="AC49" s="28" t="str">
        <v>0.199</v>
      </c>
      <c r="AD49" s="28" t="str">
        <v>0.151155156068958</v>
      </c>
    </row>
    <row r="50" spans="1:30" x14ac:dyDescent="0.2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U50" s="24"/>
      <c r="V50" s="24"/>
      <c r="W50" s="24"/>
      <c r="X50" s="24"/>
      <c r="Y50" s="24"/>
      <c r="Z50" s="28"/>
      <c r="AA50" s="28"/>
      <c r="AB50" s="28"/>
      <c r="AC50" s="28"/>
      <c r="AD50" s="28"/>
    </row>
    <row r="51" spans="1:30" x14ac:dyDescent="0.25"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4"/>
      <c r="V51" s="24"/>
      <c r="W51" s="24"/>
      <c r="X51" s="24"/>
      <c r="Y51" s="24"/>
      <c r="Z51" s="28"/>
      <c r="AA51" s="28"/>
      <c r="AB51" s="28"/>
      <c r="AC51" s="28"/>
      <c r="AD51" s="28"/>
    </row>
    <row r="52" spans="1:30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U52" s="24"/>
      <c r="V52" s="24"/>
      <c r="W52" s="24"/>
      <c r="X52" s="24"/>
      <c r="Y52" s="24"/>
      <c r="Z52" s="28"/>
      <c r="AA52" s="28"/>
      <c r="AB52" s="28"/>
      <c r="AC52" s="28"/>
      <c r="AD52" s="28"/>
    </row>
    <row r="53" spans="1:30" x14ac:dyDescent="0.25">
      <c r="A53" s="16"/>
      <c r="B53" s="16"/>
      <c r="C53" s="2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U53" s="24"/>
      <c r="V53" s="24"/>
      <c r="W53" s="24"/>
      <c r="X53" s="24"/>
      <c r="Y53" s="24"/>
      <c r="Z53" s="28"/>
      <c r="AA53" s="28"/>
      <c r="AB53" s="28"/>
      <c r="AC53" s="28"/>
      <c r="AD53" s="28"/>
    </row>
    <row r="54" spans="1:30" x14ac:dyDescent="0.25">
      <c r="C54" s="4"/>
      <c r="D54" s="5"/>
      <c r="E54" s="4"/>
      <c r="F54" s="4"/>
      <c r="G54" s="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U54" s="24"/>
      <c r="V54" s="24"/>
      <c r="W54" s="24"/>
      <c r="X54" s="24"/>
      <c r="Y54" s="24"/>
      <c r="Z54" s="28"/>
      <c r="AA54" s="28"/>
      <c r="AB54" s="28"/>
      <c r="AC54" s="28"/>
      <c r="AD54" s="28"/>
    </row>
    <row r="55" spans="1:30" x14ac:dyDescent="0.25">
      <c r="C55" s="4"/>
      <c r="D55" s="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U55" s="24"/>
      <c r="V55" s="24"/>
      <c r="W55" s="24"/>
      <c r="X55" s="24"/>
      <c r="Y55" s="24"/>
      <c r="Z55" s="28"/>
      <c r="AA55" s="28"/>
      <c r="AB55" s="28"/>
      <c r="AC55" s="28"/>
      <c r="AD55" s="28"/>
    </row>
    <row r="56" spans="1:30" x14ac:dyDescent="0.25">
      <c r="C56" s="4"/>
      <c r="D56" s="1"/>
      <c r="E56" s="7"/>
      <c r="F56" s="7"/>
      <c r="G56" s="7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U56" s="24"/>
      <c r="V56" s="24"/>
      <c r="W56" s="24"/>
      <c r="X56" s="24"/>
      <c r="Y56" s="24"/>
      <c r="Z56" s="28"/>
      <c r="AA56" s="28"/>
      <c r="AB56" s="28"/>
      <c r="AC56" s="28"/>
      <c r="AD56" s="28"/>
    </row>
    <row r="57" spans="1:30" x14ac:dyDescent="0.25">
      <c r="C57" s="4"/>
      <c r="D57" s="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U57" s="24"/>
      <c r="V57" s="24"/>
      <c r="W57" s="24"/>
      <c r="X57" s="24"/>
      <c r="Y57" s="24"/>
      <c r="Z57" s="28"/>
      <c r="AA57" s="28"/>
      <c r="AB57" s="28"/>
      <c r="AC57" s="28"/>
      <c r="AD57" s="28"/>
    </row>
    <row r="58" spans="1:30" x14ac:dyDescent="0.2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U58" s="24"/>
      <c r="V58" s="24"/>
      <c r="W58" s="24"/>
      <c r="X58" s="24"/>
      <c r="Y58" s="24"/>
      <c r="Z58" s="28"/>
      <c r="AA58" s="28"/>
      <c r="AB58" s="28"/>
      <c r="AC58" s="28"/>
      <c r="AD58" s="28"/>
    </row>
    <row r="59" spans="1:30" x14ac:dyDescent="0.2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U59" s="24"/>
      <c r="V59" s="24"/>
      <c r="W59" s="24"/>
      <c r="X59" s="24"/>
      <c r="Y59" s="24"/>
      <c r="Z59" s="28"/>
      <c r="AA59" s="28"/>
      <c r="AB59" s="28"/>
      <c r="AC59" s="28"/>
      <c r="AD59" s="28"/>
    </row>
    <row r="60" spans="1:30" x14ac:dyDescent="0.2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U60" s="24"/>
      <c r="V60" s="24"/>
      <c r="W60" s="24"/>
      <c r="X60" s="24"/>
      <c r="Y60" s="24"/>
      <c r="Z60" s="28"/>
      <c r="AA60" s="28"/>
      <c r="AB60" s="28"/>
      <c r="AC60" s="28"/>
      <c r="AD60" s="28"/>
    </row>
    <row r="61" spans="1:30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U61" s="24"/>
      <c r="V61" s="24"/>
      <c r="W61" s="24"/>
      <c r="X61" s="24"/>
      <c r="Y61" s="24"/>
      <c r="Z61" s="28"/>
      <c r="AA61" s="28"/>
      <c r="AB61" s="28"/>
      <c r="AC61" s="28"/>
      <c r="AD61" s="28"/>
    </row>
    <row r="62" spans="1:30" x14ac:dyDescent="0.25">
      <c r="A62" s="16"/>
      <c r="B62" s="16"/>
      <c r="C62" s="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U62" s="24"/>
      <c r="V62" s="24"/>
      <c r="W62" s="24"/>
      <c r="X62" s="24"/>
      <c r="Y62" s="24"/>
      <c r="Z62" s="28"/>
      <c r="AA62" s="28"/>
      <c r="AB62" s="28"/>
      <c r="AC62" s="28"/>
      <c r="AD62" s="28"/>
    </row>
    <row r="63" spans="1:30" x14ac:dyDescent="0.25">
      <c r="C63" s="4"/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U63" s="24"/>
      <c r="V63" s="24"/>
      <c r="W63" s="24"/>
      <c r="X63" s="24"/>
      <c r="Y63" s="24"/>
      <c r="Z63" s="28"/>
      <c r="AA63" s="28"/>
      <c r="AB63" s="28"/>
      <c r="AC63" s="28"/>
      <c r="AD63" s="28"/>
    </row>
    <row r="64" spans="1:30" x14ac:dyDescent="0.25">
      <c r="C64" s="4"/>
      <c r="D64" s="1"/>
      <c r="L64" s="7"/>
      <c r="M64" s="7"/>
      <c r="N64" s="7"/>
      <c r="O64" s="7"/>
      <c r="P64" s="7"/>
      <c r="Q64" s="7"/>
      <c r="R64" s="7"/>
      <c r="S64" s="7"/>
      <c r="U64" s="24"/>
      <c r="V64" s="24"/>
      <c r="W64" s="24"/>
      <c r="X64" s="24"/>
      <c r="Y64" s="24"/>
      <c r="Z64" s="28"/>
      <c r="AA64" s="28"/>
      <c r="AB64" s="28"/>
      <c r="AC64" s="28"/>
      <c r="AD64" s="28"/>
    </row>
    <row r="65" spans="1:30" x14ac:dyDescent="0.25">
      <c r="C65" s="4"/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/>
      <c r="S65" s="7"/>
      <c r="U65" s="24"/>
      <c r="V65" s="24"/>
      <c r="W65" s="24"/>
      <c r="X65" s="24"/>
      <c r="Y65" s="24"/>
      <c r="Z65" s="28"/>
      <c r="AA65" s="28"/>
      <c r="AB65" s="28"/>
      <c r="AC65" s="28"/>
      <c r="AD65" s="28"/>
    </row>
    <row r="66" spans="1:30" x14ac:dyDescent="0.25">
      <c r="C66" s="4"/>
      <c r="D66" s="1"/>
      <c r="G66" s="7"/>
      <c r="L66" s="12"/>
      <c r="M66" s="12"/>
      <c r="N66" s="12"/>
      <c r="O66" s="12"/>
      <c r="P66" s="12"/>
      <c r="Q66" s="12"/>
      <c r="R66" s="12"/>
      <c r="S66" s="12"/>
      <c r="U66" s="24"/>
      <c r="V66" s="24"/>
      <c r="W66" s="24"/>
      <c r="X66" s="24"/>
      <c r="Y66" s="24"/>
      <c r="Z66" s="28"/>
      <c r="AA66" s="28"/>
      <c r="AB66" s="28"/>
      <c r="AC66" s="28"/>
      <c r="AD66" s="28"/>
    </row>
    <row r="67" spans="1:30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U67" s="24"/>
      <c r="V67" s="24"/>
      <c r="W67" s="24"/>
      <c r="X67" s="24"/>
      <c r="Y67" s="24"/>
      <c r="Z67" s="28"/>
      <c r="AA67" s="28"/>
      <c r="AB67" s="28"/>
      <c r="AC67" s="28"/>
      <c r="AD67" s="28"/>
    </row>
    <row r="68" spans="1:30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U68" s="24"/>
      <c r="V68" s="24"/>
      <c r="W68" s="24"/>
      <c r="X68" s="24"/>
      <c r="Y68" s="24"/>
      <c r="Z68" s="28"/>
      <c r="AA68" s="28"/>
      <c r="AB68" s="28"/>
      <c r="AC68" s="28"/>
      <c r="AD68" s="28"/>
    </row>
    <row r="69" spans="1:30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U69" s="24"/>
      <c r="V69" s="24"/>
      <c r="W69" s="24"/>
      <c r="X69" s="24"/>
      <c r="Y69" s="24"/>
      <c r="Z69" s="28"/>
      <c r="AA69" s="28"/>
      <c r="AB69" s="28"/>
      <c r="AC69" s="28"/>
      <c r="AD69" s="28"/>
    </row>
    <row r="70" spans="1:30" x14ac:dyDescent="0.2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  <c r="U70" s="24"/>
      <c r="V70" s="24"/>
      <c r="W70" s="24"/>
      <c r="X70" s="24"/>
      <c r="Y70" s="24"/>
      <c r="Z70" s="28"/>
      <c r="AA70" s="28"/>
      <c r="AB70" s="28"/>
      <c r="AC70" s="28"/>
      <c r="AD70" s="28"/>
    </row>
    <row r="71" spans="1:30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U71" s="24"/>
      <c r="V71" s="24"/>
      <c r="W71" s="24"/>
      <c r="X71" s="24"/>
      <c r="Y71" s="24"/>
      <c r="Z71" s="28"/>
      <c r="AA71" s="28"/>
      <c r="AB71" s="28"/>
      <c r="AC71" s="28"/>
      <c r="AD71" s="28"/>
    </row>
    <row r="72" spans="1:30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  <c r="U72" s="24"/>
      <c r="V72" s="24"/>
      <c r="W72" s="24"/>
      <c r="X72" s="24"/>
      <c r="Y72" s="24"/>
      <c r="Z72" s="28"/>
      <c r="AA72" s="28"/>
      <c r="AB72" s="28"/>
      <c r="AC72" s="28"/>
      <c r="AD72" s="28"/>
    </row>
    <row r="73" spans="1:30" x14ac:dyDescent="0.25">
      <c r="U73" s="24"/>
      <c r="V73" s="24"/>
      <c r="W73" s="24"/>
      <c r="X73" s="24"/>
      <c r="Y73" s="24"/>
      <c r="Z73" s="28"/>
      <c r="AA73" s="28"/>
      <c r="AB73" s="28"/>
      <c r="AC73" s="28"/>
      <c r="AD73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9E9D-B54B-41A5-A723-2B48E72FB43F}">
  <dimension ref="A1:AD97"/>
  <sheetViews>
    <sheetView topLeftCell="A22" zoomScaleNormal="10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18</v>
      </c>
      <c r="B1" s="22" t="s">
        <v>18</v>
      </c>
      <c r="C1" s="22" t="s">
        <v>18</v>
      </c>
      <c r="D1" s="22" t="s">
        <v>18</v>
      </c>
      <c r="E1" s="22" t="s">
        <v>18</v>
      </c>
      <c r="F1" s="22" t="s">
        <v>18</v>
      </c>
      <c r="G1" s="22" t="s">
        <v>18</v>
      </c>
      <c r="H1" s="22" t="s">
        <v>18</v>
      </c>
      <c r="I1" s="22" t="s">
        <v>18</v>
      </c>
      <c r="J1" s="22" t="s">
        <v>18</v>
      </c>
      <c r="K1" s="22" t="s">
        <v>18</v>
      </c>
      <c r="L1" s="22" t="s">
        <v>18</v>
      </c>
      <c r="M1" s="22" t="s">
        <v>18</v>
      </c>
      <c r="N1" s="22" t="s">
        <v>18</v>
      </c>
      <c r="O1" s="22" t="s">
        <v>18</v>
      </c>
      <c r="P1" s="22" t="s">
        <v>18</v>
      </c>
      <c r="Q1" s="22" t="s">
        <v>18</v>
      </c>
      <c r="R1" s="22" t="s">
        <v>18</v>
      </c>
      <c r="S1" s="22" t="s">
        <v>18</v>
      </c>
      <c r="U1" s="23" t="s">
        <v>11</v>
      </c>
      <c r="V1" s="23" t="s">
        <v>9</v>
      </c>
      <c r="W1" s="23" t="s">
        <v>14</v>
      </c>
      <c r="X1" s="23" t="s">
        <v>13</v>
      </c>
      <c r="Y1" s="23" t="s">
        <v>25</v>
      </c>
      <c r="Z1" s="23" t="s">
        <v>8</v>
      </c>
      <c r="AA1" s="23" t="s">
        <v>12</v>
      </c>
      <c r="AB1" s="23" t="s">
        <v>16</v>
      </c>
      <c r="AC1" s="23" t="s">
        <v>20</v>
      </c>
      <c r="AD1" s="23" t="s">
        <v>21</v>
      </c>
    </row>
    <row r="2" spans="1:30" x14ac:dyDescent="0.25">
      <c r="A2" s="17" t="s">
        <v>1</v>
      </c>
      <c r="B2" s="25" t="s">
        <v>59</v>
      </c>
      <c r="U2" s="24" t="str" cm="1">
        <f t="array" ref="U2:AD13">_xlfn.LET(
  _xlpm.d, H5:S5,
  _xlpm.s, H6:S6,
  _xlpm.v, H8:S8,
  _xlpm.yy, H9:S9,
  _xlpm.qq, H10:S10,
  _xlpm.dyy, H11:S11,
  _xlpm.dqq, H12:S12,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CCJ US EQUITY</v>
      </c>
      <c r="V2" s="24">
        <v>45747</v>
      </c>
      <c r="W2" s="24" t="str">
        <v>canonical</v>
      </c>
      <c r="X2" s="24" t="str">
        <v>revenue</v>
      </c>
      <c r="Y2" s="24" t="str">
        <v>actual</v>
      </c>
      <c r="Z2" s="28" t="str">
        <v>789</v>
      </c>
      <c r="AA2" s="28" t="str">
        <v>0.244479495268139</v>
      </c>
      <c r="AB2" s="28" t="str">
        <v/>
      </c>
      <c r="AC2" s="28" t="str">
        <v/>
      </c>
      <c r="AD2" s="28" t="str">
        <v>-0.333051563820795</v>
      </c>
    </row>
    <row r="3" spans="1:30" x14ac:dyDescent="0.25">
      <c r="A3" s="18" t="s">
        <v>3</v>
      </c>
      <c r="B3" s="19">
        <f>+B4-365*2</f>
        <v>45292</v>
      </c>
      <c r="U3" s="24" t="str">
        <v>CCJ US EQUITY</v>
      </c>
      <c r="V3" s="24">
        <v>45838</v>
      </c>
      <c r="W3" s="24" t="str">
        <v>canonical</v>
      </c>
      <c r="X3" s="24" t="str">
        <v>revenue</v>
      </c>
      <c r="Y3" s="24" t="str">
        <v>actual</v>
      </c>
      <c r="Z3" s="28" t="str">
        <v>877</v>
      </c>
      <c r="AA3" s="28" t="str">
        <v>0.466555183946488</v>
      </c>
      <c r="AB3" s="28" t="str">
        <v>2220.75688678349</v>
      </c>
      <c r="AC3" s="28" t="str">
        <v/>
      </c>
      <c r="AD3" s="28" t="str">
        <v>0.111533586818758</v>
      </c>
    </row>
    <row r="4" spans="1:30" x14ac:dyDescent="0.25">
      <c r="A4" s="20" t="s">
        <v>2</v>
      </c>
      <c r="B4" s="21">
        <v>46022</v>
      </c>
      <c r="U4" s="24" t="str">
        <v>CCJ US EQUITY</v>
      </c>
      <c r="V4" s="24">
        <v>45930</v>
      </c>
      <c r="W4" s="24" t="str">
        <v>canonical</v>
      </c>
      <c r="X4" s="24" t="str">
        <v>revenue</v>
      </c>
      <c r="Y4" s="24" t="str">
        <v>actual</v>
      </c>
      <c r="Z4" s="28" t="str">
        <v>615</v>
      </c>
      <c r="AA4" s="28" t="str">
        <v>-0.147018030513176</v>
      </c>
      <c r="AB4" s="28" t="str">
        <v>-6135.73214459665</v>
      </c>
      <c r="AC4" s="28" t="str">
        <v/>
      </c>
      <c r="AD4" s="28" t="str">
        <v>-0.298745724059293</v>
      </c>
    </row>
    <row r="5" spans="1:30" x14ac:dyDescent="0.25">
      <c r="C5" s="13" t="s">
        <v>10</v>
      </c>
      <c r="D5" s="14">
        <f>EOMONTH(DATE(YEAR(D7),ROUNDUP(MONTH(D7)/3,0)*3,1),0)</f>
        <v>45382</v>
      </c>
      <c r="E5" s="14">
        <f>EOMONTH(DATE(YEAR(E7),ROUNDUP(MONTH(E7)/3,0)*3,1),0)</f>
        <v>45473</v>
      </c>
      <c r="F5" s="14">
        <f>EOMONTH(DATE(YEAR(F7),ROUNDUP(MONTH(F7)/3,0)*3,1),0)</f>
        <v>45565</v>
      </c>
      <c r="G5" s="14">
        <f t="shared" ref="G5:K5" si="0">EOMONTH(DATE(YEAR(G7),ROUNDUP(MONTH(G7)/3,0)*3,1),0)</f>
        <v>45657</v>
      </c>
      <c r="H5" s="14">
        <f t="shared" si="0"/>
        <v>45747</v>
      </c>
      <c r="I5" s="14">
        <f t="shared" si="0"/>
        <v>45838</v>
      </c>
      <c r="J5" s="14">
        <f t="shared" si="0"/>
        <v>45930</v>
      </c>
      <c r="K5" s="14">
        <f t="shared" si="0"/>
        <v>46022</v>
      </c>
      <c r="L5" s="14">
        <f>EOMONTH(DATE(YEAR(L7),ROUNDUP(MONTH(L7)/3,0)*3,1),0)</f>
        <v>46112</v>
      </c>
      <c r="M5" s="14">
        <f>EOMONTH(DATE(YEAR(M7),ROUNDUP(MONTH(M7)/3,0)*3,1),0)</f>
        <v>46203</v>
      </c>
      <c r="N5" s="14">
        <f>EOMONTH(DATE(YEAR(N7),ROUNDUP(MONTH(N7)/3,0)*3,1),0)</f>
        <v>46295</v>
      </c>
      <c r="O5" s="14">
        <f>EOMONTH(DATE(YEAR(O7),ROUNDUP(MONTH(O7)/3,0)*3,1),0)</f>
        <v>46387</v>
      </c>
      <c r="P5" s="14">
        <f t="shared" ref="P5:S5" si="1">EOMONTH(DATE(YEAR(P7),ROUNDUP(MONTH(P7)/3,0)*3,1),0)</f>
        <v>46477</v>
      </c>
      <c r="Q5" s="14">
        <f t="shared" si="1"/>
        <v>46568</v>
      </c>
      <c r="R5" s="14">
        <f t="shared" si="1"/>
        <v>46660</v>
      </c>
      <c r="S5" s="14">
        <f t="shared" si="1"/>
        <v>46752</v>
      </c>
      <c r="U5" s="24" t="str">
        <v>CCJ US EQUITY</v>
      </c>
      <c r="V5" s="24">
        <v>46022</v>
      </c>
      <c r="W5" s="24" t="str">
        <v>canonical</v>
      </c>
      <c r="X5" s="24" t="str">
        <v>revenue</v>
      </c>
      <c r="Y5" s="24" t="str">
        <v>actual</v>
      </c>
      <c r="Z5" s="28" t="str">
        <v>1201</v>
      </c>
      <c r="AA5" s="28" t="str">
        <v>0.0152155536770922</v>
      </c>
      <c r="AB5" s="28" t="str">
        <v>1622.33584190268</v>
      </c>
      <c r="AC5" s="28" t="str">
        <v/>
      </c>
      <c r="AD5" s="28" t="str">
        <v>0.952845528455285</v>
      </c>
    </row>
    <row r="6" spans="1:30" x14ac:dyDescent="0.25">
      <c r="C6" s="13" t="s">
        <v>22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1"/>
      <c r="U6" s="24" t="str">
        <v>CCJ US EQUITY</v>
      </c>
      <c r="V6" s="24">
        <v>46112</v>
      </c>
      <c r="W6" s="24" t="str">
        <v>canonical</v>
      </c>
      <c r="X6" s="24" t="str">
        <v>revenue</v>
      </c>
      <c r="Y6" s="24" t="str">
        <v>forecast</v>
      </c>
      <c r="Z6" s="28" t="str">
        <v>828.3</v>
      </c>
      <c r="AA6" s="28" t="str">
        <v>0.0498098859315588</v>
      </c>
      <c r="AB6" s="28" t="str">
        <v>345.943322544666</v>
      </c>
      <c r="AC6" s="28" t="str">
        <v>0.306466876971609</v>
      </c>
      <c r="AD6" s="28" t="str">
        <v>-0.310324729392173</v>
      </c>
    </row>
    <row r="7" spans="1:30" x14ac:dyDescent="0.25">
      <c r="D7" s="15" cm="1">
        <f t="array" ref="D7:K8">+_xll.BDH($B$2,$C8,$B$3,$B$4,"DIR=H")</f>
        <v>45382</v>
      </c>
      <c r="E7" s="1">
        <v>45473</v>
      </c>
      <c r="F7" s="1">
        <v>45565</v>
      </c>
      <c r="G7" s="1">
        <v>45657</v>
      </c>
      <c r="H7" s="1">
        <v>45747</v>
      </c>
      <c r="I7" s="1">
        <v>45838</v>
      </c>
      <c r="J7" s="1">
        <v>45930</v>
      </c>
      <c r="K7" s="1">
        <v>46022</v>
      </c>
      <c r="L7" s="2">
        <v>46112</v>
      </c>
      <c r="M7" s="2">
        <v>46203</v>
      </c>
      <c r="N7" s="2">
        <v>46295</v>
      </c>
      <c r="O7" s="2">
        <v>46387</v>
      </c>
      <c r="P7" s="2">
        <v>46477</v>
      </c>
      <c r="Q7" s="2">
        <v>46568</v>
      </c>
      <c r="R7" s="2">
        <v>46660</v>
      </c>
      <c r="S7" s="2">
        <v>46752</v>
      </c>
      <c r="T7" s="1"/>
      <c r="U7" s="24" t="str">
        <v>CCJ US EQUITY</v>
      </c>
      <c r="V7" s="24">
        <v>46203</v>
      </c>
      <c r="W7" s="24" t="str">
        <v>canonical</v>
      </c>
      <c r="X7" s="24" t="str">
        <v>revenue</v>
      </c>
      <c r="Y7" s="24" t="str">
        <v>forecast</v>
      </c>
      <c r="Z7" s="28" t="str">
        <v>847.5</v>
      </c>
      <c r="AA7" s="28" t="str">
        <v>-0.0336374002280502</v>
      </c>
      <c r="AB7" s="28" t="str">
        <v>-834.47286159609</v>
      </c>
      <c r="AC7" s="28" t="str">
        <v>0.417224080267559</v>
      </c>
      <c r="AD7" s="28" t="str">
        <v>0.0231800072437522</v>
      </c>
    </row>
    <row r="8" spans="1:30" x14ac:dyDescent="0.25">
      <c r="A8" s="16" t="s">
        <v>7</v>
      </c>
      <c r="B8" s="16" t="s">
        <v>6</v>
      </c>
      <c r="C8" s="9" t="s">
        <v>0</v>
      </c>
      <c r="D8" s="11">
        <v>634</v>
      </c>
      <c r="E8" s="11">
        <v>598</v>
      </c>
      <c r="F8" s="11">
        <v>721</v>
      </c>
      <c r="G8" s="11">
        <v>1183</v>
      </c>
      <c r="H8" s="11">
        <v>789</v>
      </c>
      <c r="I8" s="11">
        <v>877</v>
      </c>
      <c r="J8" s="11">
        <v>615</v>
      </c>
      <c r="K8" s="11">
        <v>1201</v>
      </c>
      <c r="L8" s="26">
        <v>828.3</v>
      </c>
      <c r="M8" s="26">
        <v>847.5</v>
      </c>
      <c r="N8" s="26">
        <v>759.9</v>
      </c>
      <c r="O8" s="26">
        <v>990.7</v>
      </c>
      <c r="P8" s="26">
        <v>899.3</v>
      </c>
      <c r="Q8" s="26">
        <v>871.2</v>
      </c>
      <c r="R8" s="26">
        <v>878.7</v>
      </c>
      <c r="S8" s="26">
        <v>1007.7</v>
      </c>
      <c r="T8" s="3"/>
      <c r="U8" s="24" t="str">
        <v>CCJ US EQUITY</v>
      </c>
      <c r="V8" s="24">
        <v>46295</v>
      </c>
      <c r="W8" s="24" t="str">
        <v>canonical</v>
      </c>
      <c r="X8" s="24" t="str">
        <v>revenue</v>
      </c>
      <c r="Y8" s="24" t="str">
        <v>forecast</v>
      </c>
      <c r="Z8" s="28" t="str">
        <v>759.9</v>
      </c>
      <c r="AA8" s="28" t="str">
        <v>0.235609756097561</v>
      </c>
      <c r="AB8" s="28" t="str">
        <v>2692.47156325611</v>
      </c>
      <c r="AC8" s="28" t="str">
        <v>0.0539528432732315</v>
      </c>
      <c r="AD8" s="28" t="str">
        <v>-0.103362831858407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si="2">+H8/D8-1</f>
        <v>0.24447949526813884</v>
      </c>
      <c r="I9" s="12">
        <f t="shared" si="2"/>
        <v>0.46655518394648832</v>
      </c>
      <c r="J9" s="12">
        <f t="shared" si="2"/>
        <v>-0.14701803051317619</v>
      </c>
      <c r="K9" s="12">
        <f t="shared" si="2"/>
        <v>1.5215553677092153E-2</v>
      </c>
      <c r="L9" s="12">
        <f t="shared" si="2"/>
        <v>4.9809885931558773E-2</v>
      </c>
      <c r="M9" s="12">
        <f t="shared" si="2"/>
        <v>-3.3637400228050174E-2</v>
      </c>
      <c r="N9" s="12">
        <f t="shared" si="2"/>
        <v>0.23560975609756096</v>
      </c>
      <c r="O9" s="12">
        <f t="shared" si="2"/>
        <v>-0.17510407993338883</v>
      </c>
      <c r="P9" s="12">
        <f t="shared" si="2"/>
        <v>8.5717735120125482E-2</v>
      </c>
      <c r="Q9" s="12">
        <f t="shared" si="2"/>
        <v>2.7964601769911557E-2</v>
      </c>
      <c r="R9" s="12">
        <f t="shared" si="2"/>
        <v>0.15633636004737483</v>
      </c>
      <c r="S9" s="12">
        <f t="shared" si="2"/>
        <v>1.7159584132431682E-2</v>
      </c>
      <c r="U9" s="24" t="str">
        <v>CCJ US EQUITY</v>
      </c>
      <c r="V9" s="24">
        <v>46387</v>
      </c>
      <c r="W9" s="24" t="str">
        <v>canonical</v>
      </c>
      <c r="X9" s="24" t="str">
        <v>revenue</v>
      </c>
      <c r="Y9" s="24" t="str">
        <v>forecast</v>
      </c>
      <c r="Z9" s="28" t="str">
        <v>990.7</v>
      </c>
      <c r="AA9" s="28" t="str">
        <v>-0.175104079933389</v>
      </c>
      <c r="AB9" s="28" t="str">
        <v>-4107.1383603095</v>
      </c>
      <c r="AC9" s="28" t="str">
        <v>-0.162552831783601</v>
      </c>
      <c r="AD9" s="28" t="str">
        <v>0.303724174233452</v>
      </c>
    </row>
    <row r="10" spans="1:30" x14ac:dyDescent="0.25">
      <c r="C10" s="4" t="s">
        <v>15</v>
      </c>
      <c r="D10" s="1"/>
      <c r="H10" s="7"/>
      <c r="I10" s="7">
        <f t="shared" ref="I10:J10" si="3">(I9-H9)*10000</f>
        <v>2220.7568867834948</v>
      </c>
      <c r="J10" s="7">
        <f t="shared" si="3"/>
        <v>-6135.7321445966454</v>
      </c>
      <c r="K10" s="7">
        <f>(K9-J9)*10000</f>
        <v>1622.3358419026833</v>
      </c>
      <c r="L10" s="7">
        <f>(L9-K9)*10000</f>
        <v>345.94332254466622</v>
      </c>
      <c r="M10" s="7">
        <f>(M9-L9)*10000</f>
        <v>-834.4728615960895</v>
      </c>
      <c r="N10" s="7">
        <f>(N9-M9)*10000</f>
        <v>2692.4715632561115</v>
      </c>
      <c r="O10" s="7">
        <f>(O9-N9)*10000</f>
        <v>-4107.1383603094982</v>
      </c>
      <c r="P10" s="7">
        <f t="shared" ref="P10:S10" si="4">(P9-O9)*10000</f>
        <v>2608.2181505351432</v>
      </c>
      <c r="Q10" s="7">
        <f t="shared" si="4"/>
        <v>-577.5313335021392</v>
      </c>
      <c r="R10" s="7">
        <f t="shared" si="4"/>
        <v>1283.7175827746328</v>
      </c>
      <c r="S10" s="7">
        <f t="shared" si="4"/>
        <v>-1391.7677591494314</v>
      </c>
      <c r="U10" s="24" t="str">
        <v>CCJ US EQUITY</v>
      </c>
      <c r="V10" s="24">
        <v>46477</v>
      </c>
      <c r="W10" s="24" t="str">
        <v>canonical</v>
      </c>
      <c r="X10" s="24" t="str">
        <v>revenue</v>
      </c>
      <c r="Y10" s="24" t="str">
        <v>forecast</v>
      </c>
      <c r="Z10" s="28" t="str">
        <v>899.3</v>
      </c>
      <c r="AA10" s="28" t="str">
        <v>0.0857177351201255</v>
      </c>
      <c r="AB10" s="28" t="str">
        <v>2608.21815053514</v>
      </c>
      <c r="AC10" s="28" t="str">
        <v>0.139797211660329</v>
      </c>
      <c r="AD10" s="28" t="str">
        <v>-0.0922579993943677</v>
      </c>
    </row>
    <row r="11" spans="1:30" x14ac:dyDescent="0.25">
      <c r="C11" s="4" t="s">
        <v>28</v>
      </c>
      <c r="D11" s="1"/>
      <c r="E11" s="6"/>
      <c r="F11" s="6"/>
      <c r="G11" s="6"/>
      <c r="H11" s="6"/>
      <c r="I11" s="6"/>
      <c r="J11" s="6"/>
      <c r="K11" s="6"/>
      <c r="L11" s="12">
        <f t="shared" ref="L11:S11" si="5">(1+H9)*(1+L9)-1</f>
        <v>0.30646687697160857</v>
      </c>
      <c r="M11" s="12">
        <f t="shared" si="5"/>
        <v>0.41722408026755864</v>
      </c>
      <c r="N11" s="12">
        <f t="shared" si="5"/>
        <v>5.3952843273231466E-2</v>
      </c>
      <c r="O11" s="12">
        <f t="shared" si="5"/>
        <v>-0.16255283178360103</v>
      </c>
      <c r="P11" s="12">
        <f t="shared" si="5"/>
        <v>0.13979721166032921</v>
      </c>
      <c r="Q11" s="12">
        <f t="shared" si="5"/>
        <v>-6.6134549600911363E-3</v>
      </c>
      <c r="R11" s="12">
        <f t="shared" si="5"/>
        <v>0.42878048780487821</v>
      </c>
      <c r="S11" s="12">
        <f t="shared" si="5"/>
        <v>-0.1609492089925062</v>
      </c>
      <c r="U11" s="24" t="str">
        <v>CCJ US EQUITY</v>
      </c>
      <c r="V11" s="24">
        <v>46568</v>
      </c>
      <c r="W11" s="24" t="str">
        <v>canonical</v>
      </c>
      <c r="X11" s="24" t="str">
        <v>revenue</v>
      </c>
      <c r="Y11" s="24" t="str">
        <v>forecast</v>
      </c>
      <c r="Z11" s="28" t="str">
        <v>871.2</v>
      </c>
      <c r="AA11" s="28" t="str">
        <v>0.0279646017699116</v>
      </c>
      <c r="AB11" s="28" t="str">
        <v>-577.531333502139</v>
      </c>
      <c r="AC11" s="28" t="str">
        <v>-0.00661345496009114</v>
      </c>
      <c r="AD11" s="28" t="str">
        <v>-0.0312465250750583</v>
      </c>
    </row>
    <row r="12" spans="1:30" x14ac:dyDescent="0.25">
      <c r="C12" s="4" t="s">
        <v>5</v>
      </c>
      <c r="D12" s="1"/>
      <c r="E12" s="12">
        <f t="shared" ref="E12:S12" si="6">E8/D8-1</f>
        <v>-5.6782334384858024E-2</v>
      </c>
      <c r="F12" s="12">
        <f t="shared" si="6"/>
        <v>0.20568561872909696</v>
      </c>
      <c r="G12" s="12">
        <f t="shared" si="6"/>
        <v>0.64077669902912615</v>
      </c>
      <c r="H12" s="12">
        <f t="shared" si="6"/>
        <v>-0.33305156382079459</v>
      </c>
      <c r="I12" s="12">
        <f t="shared" si="6"/>
        <v>0.11153358681875791</v>
      </c>
      <c r="J12" s="12">
        <f t="shared" si="6"/>
        <v>-0.29874572405929301</v>
      </c>
      <c r="K12" s="12">
        <f t="shared" si="6"/>
        <v>0.95284552845528458</v>
      </c>
      <c r="L12" s="12">
        <f t="shared" si="6"/>
        <v>-0.31032472939217326</v>
      </c>
      <c r="M12" s="12">
        <f t="shared" si="6"/>
        <v>2.3180007243752243E-2</v>
      </c>
      <c r="N12" s="12">
        <f t="shared" si="6"/>
        <v>-0.10336283185840711</v>
      </c>
      <c r="O12" s="12">
        <f t="shared" si="6"/>
        <v>0.30372417423345177</v>
      </c>
      <c r="P12" s="12">
        <f t="shared" si="6"/>
        <v>-9.225799939436774E-2</v>
      </c>
      <c r="Q12" s="12">
        <f t="shared" si="6"/>
        <v>-3.1246525075058318E-2</v>
      </c>
      <c r="R12" s="12">
        <f t="shared" si="6"/>
        <v>8.6088154269972073E-3</v>
      </c>
      <c r="S12" s="12">
        <f t="shared" si="6"/>
        <v>0.1468077842266986</v>
      </c>
      <c r="U12" s="24" t="str">
        <v>CCJ US EQUITY</v>
      </c>
      <c r="V12" s="24">
        <v>46660</v>
      </c>
      <c r="W12" s="24" t="str">
        <v>canonical</v>
      </c>
      <c r="X12" s="24" t="str">
        <v>revenue</v>
      </c>
      <c r="Y12" s="24" t="str">
        <v>forecast</v>
      </c>
      <c r="Z12" s="28" t="str">
        <v>878.7</v>
      </c>
      <c r="AA12" s="28" t="str">
        <v>0.156336360047375</v>
      </c>
      <c r="AB12" s="28" t="str">
        <v>1283.71758277463</v>
      </c>
      <c r="AC12" s="28" t="str">
        <v>0.428780487804878</v>
      </c>
      <c r="AD12" s="28" t="str">
        <v>0.00860881542699721</v>
      </c>
    </row>
    <row r="13" spans="1:30" x14ac:dyDescent="0.25">
      <c r="U13" s="24" t="str">
        <v>CCJ US EQUITY</v>
      </c>
      <c r="V13" s="24">
        <v>46752</v>
      </c>
      <c r="W13" s="24" t="str">
        <v>canonical</v>
      </c>
      <c r="X13" s="24" t="str">
        <v>revenue</v>
      </c>
      <c r="Y13" s="24" t="str">
        <v>forecast</v>
      </c>
      <c r="Z13" s="28" t="str">
        <v>1007.7</v>
      </c>
      <c r="AA13" s="28" t="str">
        <v>0.0171595841324317</v>
      </c>
      <c r="AB13" s="28" t="str">
        <v>-1391.76775914943</v>
      </c>
      <c r="AC13" s="28" t="str">
        <v>-0.160949208992506</v>
      </c>
      <c r="AD13" s="28" t="str">
        <v>0.146807784226699</v>
      </c>
    </row>
    <row r="14" spans="1:30" x14ac:dyDescent="0.25">
      <c r="C14" s="13" t="s">
        <v>10</v>
      </c>
      <c r="D14" s="14">
        <f>EOMONTH(DATE(YEAR(D16),ROUNDUP(MONTH(D16)/3,0)*3,1),0)</f>
        <v>45382</v>
      </c>
      <c r="E14" s="14">
        <f>EOMONTH(DATE(YEAR(E16),ROUNDUP(MONTH(E16)/3,0)*3,1),0)</f>
        <v>45473</v>
      </c>
      <c r="F14" s="14">
        <f>EOMONTH(DATE(YEAR(F16),ROUNDUP(MONTH(F16)/3,0)*3,1),0)</f>
        <v>45565</v>
      </c>
      <c r="G14" s="14">
        <f t="shared" ref="G14:K14" si="7">EOMONTH(DATE(YEAR(G16),ROUNDUP(MONTH(G16)/3,0)*3,1),0)</f>
        <v>45657</v>
      </c>
      <c r="H14" s="14">
        <f t="shared" si="7"/>
        <v>45747</v>
      </c>
      <c r="I14" s="14">
        <f t="shared" si="7"/>
        <v>45838</v>
      </c>
      <c r="J14" s="14">
        <f t="shared" si="7"/>
        <v>45930</v>
      </c>
      <c r="K14" s="14">
        <f t="shared" si="7"/>
        <v>46022</v>
      </c>
      <c r="L14" s="14"/>
      <c r="M14" s="14"/>
      <c r="N14" s="14"/>
      <c r="O14" s="14"/>
      <c r="P14" s="14"/>
      <c r="Q14" s="14"/>
      <c r="R14" s="14"/>
      <c r="S14" s="14"/>
      <c r="T14" s="1"/>
      <c r="U14" s="24" t="str" cm="1">
        <f t="array" ref="U14:AD25">_xlfn.LET(
  _xlpm.d, H14:S14,
  _xlpm.s, H15:S15,
  _xlpm.v, H17:S17,
  _xlpm.yy, H18:S18,
  _xlpm.qq, H19:S19,
  _xlpm.dyy, H20:S20,
  _xlpm.dqq, H21:S21,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CCJ US EQUITY</v>
      </c>
      <c r="V14" s="24">
        <v>45747</v>
      </c>
      <c r="W14" s="24" t="str">
        <v>canonical</v>
      </c>
      <c r="X14" s="24" t="str">
        <v>ebitda_margin</v>
      </c>
      <c r="Y14" s="24" t="str">
        <v>actual</v>
      </c>
      <c r="Z14" s="28" t="str">
        <v>31.214</v>
      </c>
      <c r="AA14" s="28" t="str">
        <v>439.52</v>
      </c>
      <c r="AB14" s="28" t="str">
        <v/>
      </c>
      <c r="AC14" s="28" t="str">
        <v/>
      </c>
      <c r="AD14" s="28" t="str">
        <v>707.72</v>
      </c>
    </row>
    <row r="15" spans="1:30" x14ac:dyDescent="0.25">
      <c r="C15" s="13" t="s">
        <v>22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/>
      <c r="M15" s="2"/>
      <c r="N15" s="2"/>
      <c r="O15" s="2"/>
      <c r="P15" s="2"/>
      <c r="Q15" s="2"/>
      <c r="R15" s="2"/>
      <c r="S15" s="2"/>
      <c r="U15" s="24" t="str">
        <v>CCJ US EQUITY</v>
      </c>
      <c r="V15" s="24">
        <v>45838</v>
      </c>
      <c r="W15" s="24" t="str">
        <v>canonical</v>
      </c>
      <c r="X15" s="24" t="str">
        <v>ebitda_margin</v>
      </c>
      <c r="Y15" s="24" t="str">
        <v>actual</v>
      </c>
      <c r="Z15" s="28" t="str">
        <v>28.782</v>
      </c>
      <c r="AA15" s="28" t="str">
        <v>140.21</v>
      </c>
      <c r="AB15" s="28" t="str">
        <v>-299.31</v>
      </c>
      <c r="AC15" s="28" t="str">
        <v/>
      </c>
      <c r="AD15" s="28" t="str">
        <v>-243.2</v>
      </c>
    </row>
    <row r="16" spans="1:30" x14ac:dyDescent="0.25">
      <c r="D16" s="15" cm="1">
        <f t="array" ref="D16:K17">+_xll.BDH($B$2,$C17,$B$3,$B$4,"DIR=H")</f>
        <v>45382</v>
      </c>
      <c r="E16" s="1">
        <v>45473</v>
      </c>
      <c r="F16" s="1">
        <v>45565</v>
      </c>
      <c r="G16" s="1">
        <v>45657</v>
      </c>
      <c r="H16" s="1">
        <v>45747</v>
      </c>
      <c r="I16" s="1">
        <v>45838</v>
      </c>
      <c r="J16" s="1">
        <v>45930</v>
      </c>
      <c r="K16" s="1">
        <v>46022</v>
      </c>
      <c r="L16" s="2"/>
      <c r="M16" s="2"/>
      <c r="N16" s="2"/>
      <c r="O16" s="2"/>
      <c r="P16" s="2"/>
      <c r="Q16" s="2"/>
      <c r="R16" s="2"/>
      <c r="S16" s="2"/>
      <c r="U16" s="24" t="str">
        <v>CCJ US EQUITY</v>
      </c>
      <c r="V16" s="24">
        <v>45930</v>
      </c>
      <c r="W16" s="24" t="str">
        <v>canonical</v>
      </c>
      <c r="X16" s="24" t="str">
        <v>ebitda_margin</v>
      </c>
      <c r="Y16" s="24" t="str">
        <v>actual</v>
      </c>
      <c r="Z16" s="28" t="str">
        <v>24.7574</v>
      </c>
      <c r="AA16" s="28" t="str">
        <v>96.18</v>
      </c>
      <c r="AB16" s="28" t="str">
        <v>-44.0300000000001</v>
      </c>
      <c r="AC16" s="28" t="str">
        <v/>
      </c>
      <c r="AD16" s="28" t="str">
        <v>-402.46</v>
      </c>
    </row>
    <row r="17" spans="1:30" x14ac:dyDescent="0.25">
      <c r="A17" s="16" t="s">
        <v>7</v>
      </c>
      <c r="B17" s="16" t="s">
        <v>62</v>
      </c>
      <c r="C17" s="9" t="s">
        <v>63</v>
      </c>
      <c r="D17" s="3">
        <v>26.8188</v>
      </c>
      <c r="E17" s="3">
        <v>27.379899999999999</v>
      </c>
      <c r="F17" s="3">
        <v>23.7956</v>
      </c>
      <c r="G17" s="3">
        <v>24.136800000000001</v>
      </c>
      <c r="H17" s="3">
        <v>31.213999999999999</v>
      </c>
      <c r="I17" s="3">
        <v>28.782</v>
      </c>
      <c r="J17" s="3">
        <v>24.757400000000001</v>
      </c>
      <c r="K17" s="3">
        <v>21.6709</v>
      </c>
      <c r="L17" s="29"/>
      <c r="M17" s="29"/>
      <c r="N17" s="29"/>
      <c r="O17" s="29"/>
      <c r="P17" s="29"/>
      <c r="Q17" s="29"/>
      <c r="R17" s="29"/>
      <c r="S17" s="29"/>
      <c r="U17" s="24" t="str">
        <v>CCJ US EQUITY</v>
      </c>
      <c r="V17" s="24">
        <v>46022</v>
      </c>
      <c r="W17" s="24" t="str">
        <v>canonical</v>
      </c>
      <c r="X17" s="24" t="str">
        <v>ebitda_margin</v>
      </c>
      <c r="Y17" s="24" t="str">
        <v>actual</v>
      </c>
      <c r="Z17" s="28" t="str">
        <v>21.6709</v>
      </c>
      <c r="AA17" s="28" t="str">
        <v>-246.59</v>
      </c>
      <c r="AB17" s="28" t="str">
        <v>-342.77</v>
      </c>
      <c r="AC17" s="28" t="str">
        <v/>
      </c>
      <c r="AD17" s="28" t="str">
        <v>-308.65</v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K18" si="8">(H17-D17)*100</f>
        <v>439.51999999999992</v>
      </c>
      <c r="I18" s="7">
        <f t="shared" si="8"/>
        <v>140.21000000000009</v>
      </c>
      <c r="J18" s="7">
        <f t="shared" si="8"/>
        <v>96.180000000000021</v>
      </c>
      <c r="K18" s="7">
        <f t="shared" si="8"/>
        <v>-246.59000000000015</v>
      </c>
      <c r="L18" s="7"/>
      <c r="M18" s="7"/>
      <c r="N18" s="7"/>
      <c r="O18" s="7"/>
      <c r="P18" s="7"/>
      <c r="Q18" s="7"/>
      <c r="R18" s="7"/>
      <c r="S18" s="7"/>
      <c r="U18" s="24" t="str">
        <v>CCJ US EQUITY</v>
      </c>
      <c r="V18" s="24">
        <v>0</v>
      </c>
      <c r="W18" s="24" t="str">
        <v>canonical</v>
      </c>
      <c r="X18" s="24" t="str">
        <v>ebitda_margin</v>
      </c>
      <c r="Y18" s="24" t="str">
        <v/>
      </c>
      <c r="Z18" s="28" t="str">
        <v/>
      </c>
      <c r="AA18" s="28" t="str">
        <v/>
      </c>
      <c r="AB18" s="28" t="str">
        <v/>
      </c>
      <c r="AC18" s="28" t="str">
        <v/>
      </c>
      <c r="AD18" s="28" t="str">
        <v/>
      </c>
    </row>
    <row r="19" spans="1:30" x14ac:dyDescent="0.25">
      <c r="C19" s="4" t="s">
        <v>15</v>
      </c>
      <c r="D19" s="1"/>
      <c r="I19" s="7">
        <f t="shared" ref="I19:K19" si="9">I18-H18</f>
        <v>-299.30999999999983</v>
      </c>
      <c r="J19" s="7">
        <f t="shared" si="9"/>
        <v>-44.030000000000072</v>
      </c>
      <c r="K19" s="7">
        <f t="shared" si="9"/>
        <v>-342.77000000000015</v>
      </c>
      <c r="L19" s="7"/>
      <c r="M19" s="7"/>
      <c r="N19" s="7"/>
      <c r="O19" s="7"/>
      <c r="P19" s="7"/>
      <c r="Q19" s="7"/>
      <c r="R19" s="7"/>
      <c r="S19" s="7"/>
      <c r="U19" s="24" t="str">
        <v>CCJ US EQUITY</v>
      </c>
      <c r="V19" s="24">
        <v>0</v>
      </c>
      <c r="W19" s="24" t="str">
        <v>canonical</v>
      </c>
      <c r="X19" s="24" t="str">
        <v>ebitda_margin</v>
      </c>
      <c r="Y19" s="24" t="str">
        <v/>
      </c>
      <c r="Z19" s="28" t="str">
        <v/>
      </c>
      <c r="AA19" s="28" t="str">
        <v/>
      </c>
      <c r="AB19" s="28" t="str">
        <v/>
      </c>
      <c r="AC19" s="28" t="str">
        <v/>
      </c>
      <c r="AD19" s="28" t="str">
        <v/>
      </c>
    </row>
    <row r="20" spans="1:30" x14ac:dyDescent="0.25">
      <c r="C20" s="4" t="s">
        <v>28</v>
      </c>
      <c r="D20" s="1"/>
      <c r="E20" s="6"/>
      <c r="F20" s="6"/>
      <c r="G20" s="6"/>
      <c r="H20" s="6"/>
      <c r="I20" s="6"/>
      <c r="J20" s="6"/>
      <c r="K20" s="6"/>
      <c r="L20" s="7"/>
      <c r="M20" s="7"/>
      <c r="N20" s="7"/>
      <c r="O20" s="7"/>
      <c r="P20" s="7"/>
      <c r="Q20" s="7"/>
      <c r="R20" s="7"/>
      <c r="S20" s="7"/>
      <c r="U20" s="24" t="str">
        <v>CCJ US EQUITY</v>
      </c>
      <c r="V20" s="24">
        <v>0</v>
      </c>
      <c r="W20" s="24" t="str">
        <v>canonical</v>
      </c>
      <c r="X20" s="24" t="str">
        <v>ebitda_margin</v>
      </c>
      <c r="Y20" s="24" t="str">
        <v/>
      </c>
      <c r="Z20" s="28" t="str">
        <v/>
      </c>
      <c r="AA20" s="28" t="str">
        <v/>
      </c>
      <c r="AB20" s="28" t="str">
        <v/>
      </c>
      <c r="AC20" s="28" t="str">
        <v/>
      </c>
      <c r="AD20" s="28" t="str">
        <v/>
      </c>
    </row>
    <row r="21" spans="1:30" x14ac:dyDescent="0.25">
      <c r="C21" s="4" t="s">
        <v>5</v>
      </c>
      <c r="D21" s="1"/>
      <c r="E21" s="7">
        <f t="shared" ref="E21:K21" si="10">(E17-D17)*100</f>
        <v>56.109999999999971</v>
      </c>
      <c r="F21" s="7">
        <f t="shared" si="10"/>
        <v>-358.42999999999989</v>
      </c>
      <c r="G21" s="7">
        <f t="shared" si="10"/>
        <v>34.120000000000061</v>
      </c>
      <c r="H21" s="7">
        <f t="shared" si="10"/>
        <v>707.7199999999998</v>
      </c>
      <c r="I21" s="7">
        <f t="shared" si="10"/>
        <v>-243.19999999999987</v>
      </c>
      <c r="J21" s="7">
        <f t="shared" si="10"/>
        <v>-402.45999999999992</v>
      </c>
      <c r="K21" s="7">
        <f t="shared" si="10"/>
        <v>-308.65000000000009</v>
      </c>
      <c r="L21" s="7"/>
      <c r="M21" s="7"/>
      <c r="N21" s="7"/>
      <c r="O21" s="7"/>
      <c r="P21" s="7"/>
      <c r="Q21" s="7"/>
      <c r="R21" s="7"/>
      <c r="S21" s="7"/>
      <c r="U21" s="24" t="str">
        <v>CCJ US EQUITY</v>
      </c>
      <c r="V21" s="24">
        <v>0</v>
      </c>
      <c r="W21" s="24" t="str">
        <v>canonical</v>
      </c>
      <c r="X21" s="24" t="str">
        <v>ebitda_margin</v>
      </c>
      <c r="Y21" s="24" t="str">
        <v/>
      </c>
      <c r="Z21" s="28" t="str">
        <v/>
      </c>
      <c r="AA21" s="28" t="str">
        <v/>
      </c>
      <c r="AB21" s="28" t="str">
        <v/>
      </c>
      <c r="AC21" s="28" t="str">
        <v/>
      </c>
      <c r="AD21" s="28" t="str">
        <v/>
      </c>
    </row>
    <row r="22" spans="1:30" x14ac:dyDescent="0.25">
      <c r="T22" s="1"/>
      <c r="U22" s="24" t="str">
        <v>CCJ US EQUITY</v>
      </c>
      <c r="V22" s="24">
        <v>0</v>
      </c>
      <c r="W22" s="24" t="str">
        <v>canonical</v>
      </c>
      <c r="X22" s="24" t="str">
        <v>ebitda_margin</v>
      </c>
      <c r="Y22" s="24" t="str">
        <v/>
      </c>
      <c r="Z22" s="28" t="str">
        <v/>
      </c>
      <c r="AA22" s="28" t="str">
        <v/>
      </c>
      <c r="AB22" s="28" t="str">
        <v/>
      </c>
      <c r="AC22" s="28" t="str">
        <v/>
      </c>
      <c r="AD22" s="28" t="str">
        <v/>
      </c>
    </row>
    <row r="23" spans="1:30" x14ac:dyDescent="0.25">
      <c r="C23" s="13" t="s">
        <v>10</v>
      </c>
      <c r="D23" s="14">
        <f>EOMONTH(DATE(YEAR(D25),ROUNDUP(MONTH(D25)/3,0)*3,1),0)</f>
        <v>45382</v>
      </c>
      <c r="E23" s="14">
        <f>EOMONTH(DATE(YEAR(E25),ROUNDUP(MONTH(E25)/3,0)*3,1),0)</f>
        <v>45473</v>
      </c>
      <c r="F23" s="14">
        <f>EOMONTH(DATE(YEAR(F25),ROUNDUP(MONTH(F25)/3,0)*3,1),0)</f>
        <v>45565</v>
      </c>
      <c r="G23" s="14">
        <f t="shared" ref="G23:K23" si="11">EOMONTH(DATE(YEAR(G25),ROUNDUP(MONTH(G25)/3,0)*3,1),0)</f>
        <v>45657</v>
      </c>
      <c r="H23" s="14">
        <f t="shared" si="11"/>
        <v>45747</v>
      </c>
      <c r="I23" s="14">
        <f t="shared" si="11"/>
        <v>45838</v>
      </c>
      <c r="J23" s="14">
        <f t="shared" si="11"/>
        <v>45930</v>
      </c>
      <c r="K23" s="14">
        <f t="shared" si="11"/>
        <v>46022</v>
      </c>
      <c r="L23" s="14">
        <f>EOMONTH(DATE(YEAR(L25),ROUNDUP(MONTH(L25)/3,0)*3,1),0)</f>
        <v>46112</v>
      </c>
      <c r="M23" s="14">
        <f>EOMONTH(DATE(YEAR(M25),ROUNDUP(MONTH(M25)/3,0)*3,1),0)</f>
        <v>46203</v>
      </c>
      <c r="N23" s="14">
        <f>EOMONTH(DATE(YEAR(N25),ROUNDUP(MONTH(N25)/3,0)*3,1),0)</f>
        <v>46295</v>
      </c>
      <c r="O23" s="14">
        <f>EOMONTH(DATE(YEAR(O25),ROUNDUP(MONTH(O25)/3,0)*3,1),0)</f>
        <v>46387</v>
      </c>
      <c r="P23" s="14">
        <f t="shared" ref="P23:S23" si="12">EOMONTH(DATE(YEAR(P25),ROUNDUP(MONTH(P25)/3,0)*3,1),0)</f>
        <v>46477</v>
      </c>
      <c r="Q23" s="14">
        <f t="shared" si="12"/>
        <v>46568</v>
      </c>
      <c r="R23" s="14">
        <f t="shared" si="12"/>
        <v>46660</v>
      </c>
      <c r="S23" s="14">
        <f t="shared" si="12"/>
        <v>46752</v>
      </c>
      <c r="U23" s="24" t="str">
        <v>CCJ US EQUITY</v>
      </c>
      <c r="V23" s="24">
        <v>0</v>
      </c>
      <c r="W23" s="24" t="str">
        <v>canonical</v>
      </c>
      <c r="X23" s="24" t="str">
        <v>ebitda_margin</v>
      </c>
      <c r="Y23" s="24" t="str">
        <v/>
      </c>
      <c r="Z23" s="28" t="str">
        <v/>
      </c>
      <c r="AA23" s="28" t="str">
        <v/>
      </c>
      <c r="AB23" s="28" t="str">
        <v/>
      </c>
      <c r="AC23" s="28" t="str">
        <v/>
      </c>
      <c r="AD23" s="28" t="str">
        <v/>
      </c>
    </row>
    <row r="24" spans="1:30" x14ac:dyDescent="0.25">
      <c r="C24" s="13" t="s">
        <v>22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24</v>
      </c>
      <c r="Q24" s="2" t="s">
        <v>24</v>
      </c>
      <c r="R24" s="2" t="s">
        <v>24</v>
      </c>
      <c r="S24" s="2" t="s">
        <v>24</v>
      </c>
      <c r="U24" s="24" t="str">
        <v>CCJ US EQUITY</v>
      </c>
      <c r="V24" s="24">
        <v>0</v>
      </c>
      <c r="W24" s="24" t="str">
        <v>canonical</v>
      </c>
      <c r="X24" s="24" t="str">
        <v>ebitda_margin</v>
      </c>
      <c r="Y24" s="24" t="str">
        <v/>
      </c>
      <c r="Z24" s="28" t="str">
        <v/>
      </c>
      <c r="AA24" s="28" t="str">
        <v/>
      </c>
      <c r="AB24" s="28" t="str">
        <v/>
      </c>
      <c r="AC24" s="28" t="str">
        <v/>
      </c>
      <c r="AD24" s="28" t="str">
        <v/>
      </c>
    </row>
    <row r="25" spans="1:30" x14ac:dyDescent="0.25">
      <c r="D25" s="15" cm="1">
        <f t="array" ref="D25:K26">+_xll.BDH($B$2,$C26,$B$3,$B$4,"DIR=H")</f>
        <v>45382</v>
      </c>
      <c r="E25" s="1">
        <v>45473</v>
      </c>
      <c r="F25" s="1">
        <v>45565</v>
      </c>
      <c r="G25" s="1">
        <v>45657</v>
      </c>
      <c r="H25" s="1">
        <v>45747</v>
      </c>
      <c r="I25" s="1">
        <v>45838</v>
      </c>
      <c r="J25" s="1">
        <v>45930</v>
      </c>
      <c r="K25" s="1">
        <v>46022</v>
      </c>
      <c r="L25" s="2">
        <f t="shared" ref="L25:S25" si="13">+L$7</f>
        <v>46112</v>
      </c>
      <c r="M25" s="2">
        <f t="shared" si="13"/>
        <v>46203</v>
      </c>
      <c r="N25" s="2">
        <f t="shared" si="13"/>
        <v>46295</v>
      </c>
      <c r="O25" s="2">
        <f t="shared" si="13"/>
        <v>46387</v>
      </c>
      <c r="P25" s="2">
        <f t="shared" si="13"/>
        <v>46477</v>
      </c>
      <c r="Q25" s="2">
        <f t="shared" si="13"/>
        <v>46568</v>
      </c>
      <c r="R25" s="2">
        <f t="shared" si="13"/>
        <v>46660</v>
      </c>
      <c r="S25" s="2">
        <f t="shared" si="13"/>
        <v>46752</v>
      </c>
      <c r="U25" s="24" t="str">
        <v>CCJ US EQUITY</v>
      </c>
      <c r="V25" s="24">
        <v>0</v>
      </c>
      <c r="W25" s="24" t="str">
        <v>canonical</v>
      </c>
      <c r="X25" s="24" t="str">
        <v>ebitda_margin</v>
      </c>
      <c r="Y25" s="24" t="str">
        <v/>
      </c>
      <c r="Z25" s="28" t="str">
        <v/>
      </c>
      <c r="AA25" s="28" t="str">
        <v/>
      </c>
      <c r="AB25" s="28" t="str">
        <v/>
      </c>
      <c r="AC25" s="28" t="str">
        <v/>
      </c>
      <c r="AD25" s="28" t="str">
        <v/>
      </c>
    </row>
    <row r="26" spans="1:30" x14ac:dyDescent="0.25">
      <c r="A26" s="16" t="s">
        <v>7</v>
      </c>
      <c r="B26" s="16" t="s">
        <v>61</v>
      </c>
      <c r="C26" s="2" t="s">
        <v>29</v>
      </c>
      <c r="D26" s="11">
        <v>40.018999999999998</v>
      </c>
      <c r="E26" s="11">
        <v>46.88</v>
      </c>
      <c r="F26" s="11">
        <v>60.332999999999998</v>
      </c>
      <c r="G26" s="11">
        <v>64.403000000000006</v>
      </c>
      <c r="H26" s="11">
        <v>56.457999999999998</v>
      </c>
      <c r="I26" s="11">
        <v>74.923000000000002</v>
      </c>
      <c r="J26" s="11">
        <v>92.51</v>
      </c>
      <c r="K26" s="11">
        <v>109.134</v>
      </c>
      <c r="L26" s="34">
        <v>28.75</v>
      </c>
      <c r="M26" s="34">
        <v>28.75</v>
      </c>
      <c r="N26" s="34">
        <v>28.75</v>
      </c>
      <c r="O26" s="34">
        <v>28.75</v>
      </c>
      <c r="P26" s="34">
        <v>27.631305177000002</v>
      </c>
      <c r="Q26" s="34">
        <v>29.761827483000005</v>
      </c>
      <c r="R26" s="34">
        <v>29.862781458000001</v>
      </c>
      <c r="S26" s="34">
        <v>31.485789312000001</v>
      </c>
      <c r="U26" s="24" t="str" cm="1">
        <f t="array" ref="U26:AD37">_xlfn.LET(
  _xlpm.d, H23:S23,
  _xlpm.s, H24:S24,
  _xlpm.v, H26:S26,
  _xlpm.yy, H27:S27,
  _xlpm.qq, H28:S28,
  _xlpm.dyy, H29:S29,
  _xlpm.dqq, H30:S30,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CCJ US EQUITY</v>
      </c>
      <c r="V26" s="24">
        <v>45747</v>
      </c>
      <c r="W26" s="24" t="str">
        <v>canonical</v>
      </c>
      <c r="X26" s="24" t="str">
        <v>capex</v>
      </c>
      <c r="Y26" s="24" t="str">
        <v>actual</v>
      </c>
      <c r="Z26" s="28" t="str">
        <v>56.458</v>
      </c>
      <c r="AA26" s="28" t="str">
        <v>0.41077987955721</v>
      </c>
      <c r="AB26" s="28" t="str">
        <v/>
      </c>
      <c r="AC26" s="28" t="str">
        <v/>
      </c>
      <c r="AD26" s="28" t="str">
        <v>-0.123363818455662</v>
      </c>
    </row>
    <row r="27" spans="1:30" x14ac:dyDescent="0.25">
      <c r="C27" s="4" t="s">
        <v>4</v>
      </c>
      <c r="D27" s="5"/>
      <c r="E27" s="4"/>
      <c r="F27" s="4"/>
      <c r="G27" s="12"/>
      <c r="H27" s="12">
        <f t="shared" ref="H27:S27" si="14">+H26/D26-1</f>
        <v>0.4107798795572104</v>
      </c>
      <c r="I27" s="12">
        <f t="shared" si="14"/>
        <v>0.59818686006825939</v>
      </c>
      <c r="J27" s="12">
        <f t="shared" si="14"/>
        <v>0.53332338852700856</v>
      </c>
      <c r="K27" s="12">
        <f t="shared" si="14"/>
        <v>0.69454839060292217</v>
      </c>
      <c r="L27" s="12">
        <f t="shared" si="14"/>
        <v>-0.4907719012363172</v>
      </c>
      <c r="M27" s="12">
        <f t="shared" si="14"/>
        <v>-0.61627270664548939</v>
      </c>
      <c r="N27" s="12">
        <f t="shared" si="14"/>
        <v>-0.68922278672575943</v>
      </c>
      <c r="O27" s="12">
        <f t="shared" si="14"/>
        <v>-0.73656239118881373</v>
      </c>
      <c r="P27" s="12">
        <f t="shared" si="14"/>
        <v>-3.8911124278260822E-2</v>
      </c>
      <c r="Q27" s="12">
        <f t="shared" si="14"/>
        <v>3.5193999408695831E-2</v>
      </c>
      <c r="R27" s="12">
        <f t="shared" si="14"/>
        <v>3.8705442017391345E-2</v>
      </c>
      <c r="S27" s="12">
        <f t="shared" si="14"/>
        <v>9.515788911304357E-2</v>
      </c>
      <c r="U27" s="24" t="str">
        <v>CCJ US EQUITY</v>
      </c>
      <c r="V27" s="24">
        <v>45838</v>
      </c>
      <c r="W27" s="24" t="str">
        <v>canonical</v>
      </c>
      <c r="X27" s="24" t="str">
        <v>capex</v>
      </c>
      <c r="Y27" s="24" t="str">
        <v>actual</v>
      </c>
      <c r="Z27" s="28" t="str">
        <v>74.923</v>
      </c>
      <c r="AA27" s="28" t="str">
        <v>0.598186860068259</v>
      </c>
      <c r="AB27" s="28" t="str">
        <v>1874.06980511049</v>
      </c>
      <c r="AC27" s="28" t="str">
        <v/>
      </c>
      <c r="AD27" s="28" t="str">
        <v>0.327057281519005</v>
      </c>
    </row>
    <row r="28" spans="1:30" x14ac:dyDescent="0.25">
      <c r="C28" s="4" t="s">
        <v>15</v>
      </c>
      <c r="D28" s="1"/>
      <c r="H28" s="7"/>
      <c r="I28" s="7">
        <f t="shared" ref="I28:J28" si="15">(I27-H27)*10000</f>
        <v>1874.0698051104898</v>
      </c>
      <c r="J28" s="7">
        <f t="shared" si="15"/>
        <v>-648.63471541250829</v>
      </c>
      <c r="K28" s="7">
        <f>(K27-J27)*10000</f>
        <v>1612.2500207591361</v>
      </c>
      <c r="L28" s="7">
        <f>(L27-K27)*10000</f>
        <v>-11853.202918392393</v>
      </c>
      <c r="M28" s="7">
        <f>(M27-L27)*10000</f>
        <v>-1255.008054091722</v>
      </c>
      <c r="N28" s="7">
        <f>(N27-M27)*10000</f>
        <v>-729.50080080270038</v>
      </c>
      <c r="O28" s="7">
        <f>(O27-N27)*10000</f>
        <v>-473.39604463054297</v>
      </c>
      <c r="P28" s="7">
        <f t="shared" ref="P28:S28" si="16">(P27-O27)*10000</f>
        <v>6976.5126691055293</v>
      </c>
      <c r="Q28" s="7">
        <f t="shared" si="16"/>
        <v>741.05123686956654</v>
      </c>
      <c r="R28" s="7">
        <f t="shared" si="16"/>
        <v>35.114426086955142</v>
      </c>
      <c r="S28" s="7">
        <f t="shared" si="16"/>
        <v>564.52447095652224</v>
      </c>
      <c r="U28" s="24" t="str">
        <v>CCJ US EQUITY</v>
      </c>
      <c r="V28" s="24">
        <v>45930</v>
      </c>
      <c r="W28" s="24" t="str">
        <v>canonical</v>
      </c>
      <c r="X28" s="24" t="str">
        <v>capex</v>
      </c>
      <c r="Y28" s="24" t="str">
        <v>actual</v>
      </c>
      <c r="Z28" s="28" t="str">
        <v>92.51</v>
      </c>
      <c r="AA28" s="28" t="str">
        <v>0.533323388527009</v>
      </c>
      <c r="AB28" s="28" t="str">
        <v>-648.634715412508</v>
      </c>
      <c r="AC28" s="28" t="str">
        <v/>
      </c>
      <c r="AD28" s="28" t="str">
        <v>0.234734327242636</v>
      </c>
    </row>
    <row r="29" spans="1:30" x14ac:dyDescent="0.25">
      <c r="C29" s="4" t="s">
        <v>28</v>
      </c>
      <c r="D29" s="1"/>
      <c r="E29" s="6"/>
      <c r="F29" s="6"/>
      <c r="G29" s="6"/>
      <c r="H29" s="6"/>
      <c r="I29" s="6"/>
      <c r="J29" s="6"/>
      <c r="K29" s="6"/>
      <c r="L29" s="12">
        <f t="shared" ref="L29:S29" si="17">(1+H27)*(1+L27)-1</f>
        <v>-0.28159124415902437</v>
      </c>
      <c r="M29" s="12">
        <f t="shared" si="17"/>
        <v>-0.38673208191126285</v>
      </c>
      <c r="N29" s="12">
        <f t="shared" si="17"/>
        <v>-0.52347803026536055</v>
      </c>
      <c r="O29" s="12">
        <f t="shared" si="17"/>
        <v>-0.55359222396472219</v>
      </c>
      <c r="P29" s="12">
        <f t="shared" si="17"/>
        <v>-0.51058653907329332</v>
      </c>
      <c r="Q29" s="12">
        <f t="shared" si="17"/>
        <v>-0.60276780851007028</v>
      </c>
      <c r="R29" s="12">
        <f t="shared" si="17"/>
        <v>-0.67719401731704687</v>
      </c>
      <c r="S29" s="12">
        <f t="shared" si="17"/>
        <v>-0.71149422442135357</v>
      </c>
      <c r="U29" s="24" t="str">
        <v>CCJ US EQUITY</v>
      </c>
      <c r="V29" s="24">
        <v>46022</v>
      </c>
      <c r="W29" s="24" t="str">
        <v>canonical</v>
      </c>
      <c r="X29" s="24" t="str">
        <v>capex</v>
      </c>
      <c r="Y29" s="24" t="str">
        <v>actual</v>
      </c>
      <c r="Z29" s="28" t="str">
        <v>109.134</v>
      </c>
      <c r="AA29" s="28" t="str">
        <v>0.694548390602922</v>
      </c>
      <c r="AB29" s="28" t="str">
        <v>1612.25002075914</v>
      </c>
      <c r="AC29" s="28" t="str">
        <v/>
      </c>
      <c r="AD29" s="28" t="str">
        <v>0.179699491946816</v>
      </c>
    </row>
    <row r="30" spans="1:30" x14ac:dyDescent="0.25">
      <c r="C30" s="4" t="s">
        <v>5</v>
      </c>
      <c r="D30" s="1"/>
      <c r="E30" s="12">
        <f t="shared" ref="E30:S30" si="18">E26/D26-1</f>
        <v>0.17144356430695429</v>
      </c>
      <c r="F30" s="12">
        <f t="shared" si="18"/>
        <v>0.28696672354948793</v>
      </c>
      <c r="G30" s="12">
        <f t="shared" si="18"/>
        <v>6.7458936237216882E-2</v>
      </c>
      <c r="H30" s="12">
        <f t="shared" si="18"/>
        <v>-0.12336381845566213</v>
      </c>
      <c r="I30" s="12">
        <f t="shared" si="18"/>
        <v>0.32705728151900537</v>
      </c>
      <c r="J30" s="12">
        <f t="shared" si="18"/>
        <v>0.23473432724263588</v>
      </c>
      <c r="K30" s="12">
        <f t="shared" si="18"/>
        <v>0.17969949194681645</v>
      </c>
      <c r="L30" s="12">
        <f t="shared" si="18"/>
        <v>-0.73656239118881373</v>
      </c>
      <c r="M30" s="12">
        <f t="shared" si="18"/>
        <v>0</v>
      </c>
      <c r="N30" s="12">
        <f t="shared" si="18"/>
        <v>0</v>
      </c>
      <c r="O30" s="12">
        <f t="shared" si="18"/>
        <v>0</v>
      </c>
      <c r="P30" s="12">
        <f t="shared" si="18"/>
        <v>-3.8911124278260822E-2</v>
      </c>
      <c r="Q30" s="12">
        <f t="shared" si="18"/>
        <v>7.7105380739431295E-2</v>
      </c>
      <c r="R30" s="12">
        <f t="shared" si="18"/>
        <v>3.3920623677312634E-3</v>
      </c>
      <c r="S30" s="12">
        <f t="shared" si="18"/>
        <v>5.4348850802215187E-2</v>
      </c>
      <c r="U30" s="24" t="str">
        <v>CCJ US EQUITY</v>
      </c>
      <c r="V30" s="24">
        <v>46112</v>
      </c>
      <c r="W30" s="24" t="str">
        <v>canonical</v>
      </c>
      <c r="X30" s="24" t="str">
        <v>capex</v>
      </c>
      <c r="Y30" s="24" t="str">
        <v>forecast</v>
      </c>
      <c r="Z30" s="28" t="str">
        <v>28.75</v>
      </c>
      <c r="AA30" s="28" t="str">
        <v>-0.490771901236317</v>
      </c>
      <c r="AB30" s="28" t="str">
        <v>-11853.2029183924</v>
      </c>
      <c r="AC30" s="28" t="str">
        <v>-0.281591244159024</v>
      </c>
      <c r="AD30" s="28" t="str">
        <v>-0.736562391188814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CCJ US EQUITY</v>
      </c>
      <c r="V31" s="24">
        <v>46203</v>
      </c>
      <c r="W31" s="24" t="str">
        <v>canonical</v>
      </c>
      <c r="X31" s="24" t="str">
        <v>capex</v>
      </c>
      <c r="Y31" s="24" t="str">
        <v>forecast</v>
      </c>
      <c r="Z31" s="28" t="str">
        <v>28.75</v>
      </c>
      <c r="AA31" s="28" t="str">
        <v>-0.616272706645489</v>
      </c>
      <c r="AB31" s="28" t="str">
        <v>-1255.00805409172</v>
      </c>
      <c r="AC31" s="28" t="str">
        <v>-0.386732081911263</v>
      </c>
      <c r="AD31" s="28" t="str">
        <v>0</v>
      </c>
    </row>
    <row r="32" spans="1:30" x14ac:dyDescent="0.25">
      <c r="C32" s="13" t="s">
        <v>10</v>
      </c>
      <c r="D32" s="14">
        <f t="shared" ref="D32:L32" si="19">EOMONTH(DATE(YEAR(D34),ROUNDUP(MONTH(D34)/3,0)*3,1),0)</f>
        <v>45382</v>
      </c>
      <c r="E32" s="14">
        <f t="shared" si="19"/>
        <v>45473</v>
      </c>
      <c r="F32" s="14">
        <f t="shared" si="19"/>
        <v>45565</v>
      </c>
      <c r="G32" s="14">
        <f t="shared" si="19"/>
        <v>45657</v>
      </c>
      <c r="H32" s="14">
        <f t="shared" si="19"/>
        <v>45747</v>
      </c>
      <c r="I32" s="14">
        <f t="shared" si="19"/>
        <v>45838</v>
      </c>
      <c r="J32" s="14">
        <f t="shared" si="19"/>
        <v>45930</v>
      </c>
      <c r="K32" s="14">
        <f t="shared" si="19"/>
        <v>46022</v>
      </c>
      <c r="L32" s="14">
        <f t="shared" si="19"/>
        <v>46112</v>
      </c>
      <c r="M32" s="14">
        <f>EOMONTH(DATE(YEAR(M34),ROUNDUP(MONTH(M34)/3,0)*3,1),0)</f>
        <v>46203</v>
      </c>
      <c r="N32" s="14">
        <f>EOMONTH(DATE(YEAR(N34),ROUNDUP(MONTH(N34)/3,0)*3,1),0)</f>
        <v>46295</v>
      </c>
      <c r="O32" s="14">
        <f>EOMONTH(DATE(YEAR(O34),ROUNDUP(MONTH(O34)/3,0)*3,1),0)</f>
        <v>46387</v>
      </c>
      <c r="P32" s="14">
        <f t="shared" ref="P32:S32" si="20">EOMONTH(DATE(YEAR(P34),ROUNDUP(MONTH(P34)/3,0)*3,1),0)</f>
        <v>46477</v>
      </c>
      <c r="Q32" s="14">
        <f t="shared" si="20"/>
        <v>46568</v>
      </c>
      <c r="R32" s="14">
        <f t="shared" si="20"/>
        <v>46660</v>
      </c>
      <c r="S32" s="14">
        <f t="shared" si="20"/>
        <v>46752</v>
      </c>
      <c r="U32" s="24" t="str">
        <v>CCJ US EQUITY</v>
      </c>
      <c r="V32" s="24">
        <v>46295</v>
      </c>
      <c r="W32" s="24" t="str">
        <v>canonical</v>
      </c>
      <c r="X32" s="24" t="str">
        <v>capex</v>
      </c>
      <c r="Y32" s="24" t="str">
        <v>forecast</v>
      </c>
      <c r="Z32" s="28" t="str">
        <v>28.75</v>
      </c>
      <c r="AA32" s="28" t="str">
        <v>-0.689222786725759</v>
      </c>
      <c r="AB32" s="28" t="str">
        <v>-729.5008008027</v>
      </c>
      <c r="AC32" s="28" t="str">
        <v>-0.523478030265361</v>
      </c>
      <c r="AD32" s="28" t="str">
        <v>0</v>
      </c>
    </row>
    <row r="33" spans="1:30" x14ac:dyDescent="0.25">
      <c r="C33" s="13" t="s">
        <v>22</v>
      </c>
      <c r="D33" s="2" t="str">
        <f t="shared" ref="D33:S33" si="21">+D$6</f>
        <v>actual</v>
      </c>
      <c r="E33" s="2" t="str">
        <f t="shared" si="21"/>
        <v>actual</v>
      </c>
      <c r="F33" s="2" t="str">
        <f t="shared" si="21"/>
        <v>actual</v>
      </c>
      <c r="G33" s="2" t="str">
        <f t="shared" si="21"/>
        <v>actual</v>
      </c>
      <c r="H33" s="2" t="str">
        <f t="shared" si="21"/>
        <v>actual</v>
      </c>
      <c r="I33" s="2" t="str">
        <f t="shared" si="21"/>
        <v>actual</v>
      </c>
      <c r="J33" s="2" t="str">
        <f t="shared" si="21"/>
        <v>actual</v>
      </c>
      <c r="K33" s="2" t="str">
        <f t="shared" si="21"/>
        <v>actual</v>
      </c>
      <c r="L33" s="2" t="str">
        <f t="shared" si="21"/>
        <v>forecast</v>
      </c>
      <c r="M33" s="2" t="str">
        <f t="shared" si="21"/>
        <v>forecast</v>
      </c>
      <c r="N33" s="2" t="str">
        <f t="shared" si="21"/>
        <v>forecast</v>
      </c>
      <c r="O33" s="2" t="str">
        <f t="shared" si="21"/>
        <v>forecast</v>
      </c>
      <c r="P33" s="2" t="str">
        <f t="shared" si="21"/>
        <v>forecast</v>
      </c>
      <c r="Q33" s="2" t="str">
        <f t="shared" si="21"/>
        <v>forecast</v>
      </c>
      <c r="R33" s="2" t="str">
        <f t="shared" si="21"/>
        <v>forecast</v>
      </c>
      <c r="S33" s="2" t="str">
        <f t="shared" si="21"/>
        <v>forecast</v>
      </c>
      <c r="U33" s="24" t="str">
        <v>CCJ US EQUITY</v>
      </c>
      <c r="V33" s="24">
        <v>46387</v>
      </c>
      <c r="W33" s="24" t="str">
        <v>canonical</v>
      </c>
      <c r="X33" s="24" t="str">
        <v>capex</v>
      </c>
      <c r="Y33" s="24" t="str">
        <v>forecast</v>
      </c>
      <c r="Z33" s="28" t="str">
        <v>28.75</v>
      </c>
      <c r="AA33" s="28" t="str">
        <v>-0.736562391188814</v>
      </c>
      <c r="AB33" s="28" t="str">
        <v>-473.396044630543</v>
      </c>
      <c r="AC33" s="28" t="str">
        <v>-0.553592223964722</v>
      </c>
      <c r="AD33" s="28" t="str">
        <v>0</v>
      </c>
    </row>
    <row r="34" spans="1:30" x14ac:dyDescent="0.25">
      <c r="D34" s="2">
        <f t="shared" ref="D34:S34" si="22">+D$7</f>
        <v>45382</v>
      </c>
      <c r="E34" s="2">
        <f t="shared" si="22"/>
        <v>45473</v>
      </c>
      <c r="F34" s="2">
        <f t="shared" si="22"/>
        <v>45565</v>
      </c>
      <c r="G34" s="2">
        <f t="shared" si="22"/>
        <v>45657</v>
      </c>
      <c r="H34" s="2">
        <f t="shared" si="22"/>
        <v>45747</v>
      </c>
      <c r="I34" s="2">
        <f t="shared" si="22"/>
        <v>45838</v>
      </c>
      <c r="J34" s="2">
        <f t="shared" si="22"/>
        <v>45930</v>
      </c>
      <c r="K34" s="2">
        <f t="shared" si="22"/>
        <v>46022</v>
      </c>
      <c r="L34" s="2">
        <f t="shared" si="22"/>
        <v>46112</v>
      </c>
      <c r="M34" s="2">
        <f t="shared" si="22"/>
        <v>46203</v>
      </c>
      <c r="N34" s="2">
        <f t="shared" si="22"/>
        <v>46295</v>
      </c>
      <c r="O34" s="2">
        <f t="shared" si="22"/>
        <v>46387</v>
      </c>
      <c r="P34" s="2">
        <f t="shared" si="22"/>
        <v>46477</v>
      </c>
      <c r="Q34" s="2">
        <f t="shared" si="22"/>
        <v>46568</v>
      </c>
      <c r="R34" s="2">
        <f t="shared" si="22"/>
        <v>46660</v>
      </c>
      <c r="S34" s="2">
        <f t="shared" si="22"/>
        <v>46752</v>
      </c>
      <c r="U34" s="24" t="str">
        <v>CCJ US EQUITY</v>
      </c>
      <c r="V34" s="24">
        <v>46477</v>
      </c>
      <c r="W34" s="24" t="str">
        <v>canonical</v>
      </c>
      <c r="X34" s="24" t="str">
        <v>capex</v>
      </c>
      <c r="Y34" s="24" t="str">
        <v>forecast</v>
      </c>
      <c r="Z34" s="28" t="str">
        <v>27.631305177</v>
      </c>
      <c r="AA34" s="28" t="str">
        <v>-0.0389111242782608</v>
      </c>
      <c r="AB34" s="28" t="str">
        <v>6976.51266910553</v>
      </c>
      <c r="AC34" s="28" t="str">
        <v>-0.510586539073293</v>
      </c>
      <c r="AD34" s="28" t="str">
        <v>-0.0389111242782608</v>
      </c>
    </row>
    <row r="35" spans="1:30" x14ac:dyDescent="0.25">
      <c r="A35" s="16" t="s">
        <v>17</v>
      </c>
      <c r="B35" s="16" t="s">
        <v>66</v>
      </c>
      <c r="C35" s="2" t="s">
        <v>67</v>
      </c>
      <c r="D35" s="27">
        <v>5800</v>
      </c>
      <c r="E35" s="27">
        <v>7100</v>
      </c>
      <c r="F35" s="27">
        <v>4300</v>
      </c>
      <c r="G35" s="27">
        <v>6100</v>
      </c>
      <c r="H35" s="27">
        <v>6000</v>
      </c>
      <c r="I35" s="27">
        <v>4600</v>
      </c>
      <c r="J35" s="27">
        <v>4400</v>
      </c>
      <c r="K35" s="27">
        <v>6000</v>
      </c>
      <c r="L35" s="27">
        <v>5101</v>
      </c>
      <c r="M35" s="27">
        <v>5039.3999999999996</v>
      </c>
      <c r="N35" s="27">
        <v>4707.8999999999996</v>
      </c>
      <c r="O35" s="27">
        <v>5574.5</v>
      </c>
      <c r="P35" s="27">
        <v>5489</v>
      </c>
      <c r="Q35" s="27">
        <v>5489</v>
      </c>
      <c r="R35" s="27">
        <v>5432.6</v>
      </c>
      <c r="S35" s="27">
        <v>5573.3</v>
      </c>
      <c r="U35" s="24" t="str">
        <v>CCJ US EQUITY</v>
      </c>
      <c r="V35" s="24">
        <v>46568</v>
      </c>
      <c r="W35" s="24" t="str">
        <v>canonical</v>
      </c>
      <c r="X35" s="24" t="str">
        <v>capex</v>
      </c>
      <c r="Y35" s="24" t="str">
        <v>forecast</v>
      </c>
      <c r="Z35" s="28" t="str">
        <v>29.761827483</v>
      </c>
      <c r="AA35" s="28" t="str">
        <v>0.0351939994086958</v>
      </c>
      <c r="AB35" s="28" t="str">
        <v>741.051236869567</v>
      </c>
      <c r="AC35" s="28" t="str">
        <v>-0.60276780851007</v>
      </c>
      <c r="AD35" s="28" t="str">
        <v>0.0771053807394313</v>
      </c>
    </row>
    <row r="36" spans="1:30" x14ac:dyDescent="0.25">
      <c r="C36" s="4" t="s">
        <v>4</v>
      </c>
      <c r="D36" s="5"/>
      <c r="E36" s="4"/>
      <c r="F36" s="4"/>
      <c r="G36" s="12"/>
      <c r="H36" s="12">
        <f t="shared" ref="H36:S36" si="23">+H35/D35-1</f>
        <v>3.4482758620689724E-2</v>
      </c>
      <c r="I36" s="12">
        <f t="shared" si="23"/>
        <v>-0.352112676056338</v>
      </c>
      <c r="J36" s="12">
        <f t="shared" si="23"/>
        <v>2.3255813953488413E-2</v>
      </c>
      <c r="K36" s="12">
        <f t="shared" si="23"/>
        <v>-1.6393442622950838E-2</v>
      </c>
      <c r="L36" s="12">
        <f t="shared" si="23"/>
        <v>-0.14983333333333337</v>
      </c>
      <c r="M36" s="12">
        <f t="shared" si="23"/>
        <v>9.5521739130434602E-2</v>
      </c>
      <c r="N36" s="12">
        <f t="shared" si="23"/>
        <v>6.9977272727272721E-2</v>
      </c>
      <c r="O36" s="12">
        <f t="shared" si="23"/>
        <v>-7.0916666666666628E-2</v>
      </c>
      <c r="P36" s="12">
        <f t="shared" si="23"/>
        <v>7.6063516957459276E-2</v>
      </c>
      <c r="Q36" s="12">
        <f t="shared" si="23"/>
        <v>8.9216970274239138E-2</v>
      </c>
      <c r="R36" s="12">
        <f t="shared" si="23"/>
        <v>0.1539327513328661</v>
      </c>
      <c r="S36" s="12">
        <f t="shared" si="23"/>
        <v>-2.1526594313392433E-4</v>
      </c>
      <c r="U36" s="24" t="str">
        <v>CCJ US EQUITY</v>
      </c>
      <c r="V36" s="24">
        <v>46660</v>
      </c>
      <c r="W36" s="24" t="str">
        <v>canonical</v>
      </c>
      <c r="X36" s="24" t="str">
        <v>capex</v>
      </c>
      <c r="Y36" s="24" t="str">
        <v>forecast</v>
      </c>
      <c r="Z36" s="28" t="str">
        <v>29.862781458</v>
      </c>
      <c r="AA36" s="28" t="str">
        <v>0.0387054420173913</v>
      </c>
      <c r="AB36" s="28" t="str">
        <v>35.1144260869551</v>
      </c>
      <c r="AC36" s="28" t="str">
        <v>-0.677194017317047</v>
      </c>
      <c r="AD36" s="28" t="str">
        <v>0.00339206236773126</v>
      </c>
    </row>
    <row r="37" spans="1:30" x14ac:dyDescent="0.25">
      <c r="C37" s="4" t="s">
        <v>15</v>
      </c>
      <c r="D37" s="1"/>
      <c r="I37" s="7">
        <f t="shared" ref="I37:J37" si="24">(I36-H36)*10000</f>
        <v>-3865.9543467702774</v>
      </c>
      <c r="J37" s="7">
        <f t="shared" si="24"/>
        <v>3753.6849000982643</v>
      </c>
      <c r="K37" s="7">
        <f>(K36-J36)*10000</f>
        <v>-396.49256576439251</v>
      </c>
      <c r="L37" s="7">
        <f>(L36-K36)*10000</f>
        <v>-1334.3989071038254</v>
      </c>
      <c r="M37" s="7">
        <f>(M36-L36)*10000</f>
        <v>2453.5507246376797</v>
      </c>
      <c r="N37" s="7">
        <f>(N36-M36)*10000</f>
        <v>-255.4446640316188</v>
      </c>
      <c r="O37" s="7">
        <f>(O36-N36)*10000</f>
        <v>-1408.9393939393935</v>
      </c>
      <c r="P37" s="7">
        <f t="shared" ref="P37:S37" si="25">(P36-O36)*10000</f>
        <v>1469.801836241259</v>
      </c>
      <c r="Q37" s="7">
        <f t="shared" si="25"/>
        <v>131.53453316779863</v>
      </c>
      <c r="R37" s="7">
        <f t="shared" si="25"/>
        <v>647.15781058626965</v>
      </c>
      <c r="S37" s="7">
        <f t="shared" si="25"/>
        <v>-1541.4801727600002</v>
      </c>
      <c r="U37" s="24" t="str">
        <v>CCJ US EQUITY</v>
      </c>
      <c r="V37" s="24">
        <v>46752</v>
      </c>
      <c r="W37" s="24" t="str">
        <v>canonical</v>
      </c>
      <c r="X37" s="24" t="str">
        <v>capex</v>
      </c>
      <c r="Y37" s="24" t="str">
        <v>forecast</v>
      </c>
      <c r="Z37" s="28" t="str">
        <v>31.485789312</v>
      </c>
      <c r="AA37" s="28" t="str">
        <v>0.0951578891130436</v>
      </c>
      <c r="AB37" s="28" t="str">
        <v>564.524470956522</v>
      </c>
      <c r="AC37" s="28" t="str">
        <v>-0.711494224421354</v>
      </c>
      <c r="AD37" s="28" t="str">
        <v>0.0543488508022152</v>
      </c>
    </row>
    <row r="38" spans="1:30" x14ac:dyDescent="0.25">
      <c r="C38" s="4" t="s">
        <v>28</v>
      </c>
      <c r="D38" s="1"/>
      <c r="E38" s="6"/>
      <c r="F38" s="6"/>
      <c r="G38" s="6"/>
      <c r="H38" s="6"/>
      <c r="I38" s="6"/>
      <c r="J38" s="6"/>
      <c r="K38" s="6"/>
      <c r="L38" s="12">
        <f t="shared" ref="L38:S38" si="26">(1+H36)*(1+L36)-1</f>
        <v>-0.1205172413793103</v>
      </c>
      <c r="M38" s="12">
        <f t="shared" si="26"/>
        <v>-0.29022535211267619</v>
      </c>
      <c r="N38" s="12">
        <f t="shared" si="26"/>
        <v>9.4860465116279213E-2</v>
      </c>
      <c r="O38" s="12">
        <f t="shared" si="26"/>
        <v>-8.6147540983606552E-2</v>
      </c>
      <c r="P38" s="12">
        <f t="shared" si="26"/>
        <v>-8.5166666666666724E-2</v>
      </c>
      <c r="Q38" s="12">
        <f t="shared" si="26"/>
        <v>0.19326086956521737</v>
      </c>
      <c r="R38" s="12">
        <f t="shared" si="26"/>
        <v>0.23468181818181821</v>
      </c>
      <c r="S38" s="12">
        <f t="shared" si="26"/>
        <v>-7.1116666666666606E-2</v>
      </c>
      <c r="U38" s="24" t="str" cm="1">
        <f t="array" ref="U38:AD49">_xlfn.LET(
  _xlpm.d, H32:S32,
  _xlpm.s, H33:S33,
  _xlpm.v, H35:S35,
  _xlpm.yy, H36:S36,
  _xlpm.qq, H37:S37,
  _xlpm.dyy, H38:S38,
  _xlpm.dqq, H39:S39,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CCJ US EQUITY</v>
      </c>
      <c r="V38" s="24">
        <v>45747</v>
      </c>
      <c r="W38" s="24" t="str">
        <v>custom</v>
      </c>
      <c r="X38" s="24" t="str">
        <v>uranium_production_lbs</v>
      </c>
      <c r="Y38" s="24" t="str">
        <v>actual</v>
      </c>
      <c r="Z38" s="28" t="str">
        <v>6000</v>
      </c>
      <c r="AA38" s="28" t="str">
        <v>0.0344827586206897</v>
      </c>
      <c r="AB38" s="28" t="str">
        <v/>
      </c>
      <c r="AC38" s="28" t="str">
        <v/>
      </c>
      <c r="AD38" s="28" t="str">
        <v>-0.0163934426229508</v>
      </c>
    </row>
    <row r="39" spans="1:30" x14ac:dyDescent="0.25">
      <c r="C39" s="4" t="s">
        <v>5</v>
      </c>
      <c r="D39" s="1"/>
      <c r="E39" s="12">
        <f t="shared" ref="E39:S39" si="27">E35/D35-1</f>
        <v>0.22413793103448265</v>
      </c>
      <c r="F39" s="12">
        <f t="shared" si="27"/>
        <v>-0.39436619718309862</v>
      </c>
      <c r="G39" s="12">
        <f t="shared" si="27"/>
        <v>0.41860465116279078</v>
      </c>
      <c r="H39" s="12">
        <f t="shared" si="27"/>
        <v>-1.6393442622950838E-2</v>
      </c>
      <c r="I39" s="12">
        <f t="shared" si="27"/>
        <v>-0.23333333333333328</v>
      </c>
      <c r="J39" s="12">
        <f t="shared" si="27"/>
        <v>-4.3478260869565188E-2</v>
      </c>
      <c r="K39" s="12">
        <f t="shared" si="27"/>
        <v>0.36363636363636354</v>
      </c>
      <c r="L39" s="12">
        <f t="shared" si="27"/>
        <v>-0.14983333333333337</v>
      </c>
      <c r="M39" s="12">
        <f t="shared" si="27"/>
        <v>-1.2076063516957558E-2</v>
      </c>
      <c r="N39" s="12">
        <f t="shared" si="27"/>
        <v>-6.578164067150849E-2</v>
      </c>
      <c r="O39" s="12">
        <f t="shared" si="27"/>
        <v>0.18407357845323835</v>
      </c>
      <c r="P39" s="12">
        <f t="shared" si="27"/>
        <v>-1.5337698448291359E-2</v>
      </c>
      <c r="Q39" s="12">
        <f t="shared" si="27"/>
        <v>0</v>
      </c>
      <c r="R39" s="12">
        <f t="shared" si="27"/>
        <v>-1.0275095645837062E-2</v>
      </c>
      <c r="S39" s="12">
        <f t="shared" si="27"/>
        <v>2.5899201119169435E-2</v>
      </c>
      <c r="U39" s="24" t="str">
        <v>CCJ US EQUITY</v>
      </c>
      <c r="V39" s="24">
        <v>45838</v>
      </c>
      <c r="W39" s="24" t="str">
        <v>custom</v>
      </c>
      <c r="X39" s="24" t="str">
        <v>uranium_production_lbs</v>
      </c>
      <c r="Y39" s="24" t="str">
        <v>actual</v>
      </c>
      <c r="Z39" s="28" t="str">
        <v>4600</v>
      </c>
      <c r="AA39" s="28" t="str">
        <v>-0.352112676056338</v>
      </c>
      <c r="AB39" s="28" t="str">
        <v>-3865.95434677028</v>
      </c>
      <c r="AC39" s="28" t="str">
        <v/>
      </c>
      <c r="AD39" s="28" t="str">
        <v>-0.233333333333333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v>CCJ US EQUITY</v>
      </c>
      <c r="V40" s="24">
        <v>45930</v>
      </c>
      <c r="W40" s="24" t="str">
        <v>custom</v>
      </c>
      <c r="X40" s="24" t="str">
        <v>uranium_production_lbs</v>
      </c>
      <c r="Y40" s="24" t="str">
        <v>actual</v>
      </c>
      <c r="Z40" s="28" t="str">
        <v>4400</v>
      </c>
      <c r="AA40" s="28" t="str">
        <v>0.0232558139534884</v>
      </c>
      <c r="AB40" s="28" t="str">
        <v>3753.68490009826</v>
      </c>
      <c r="AC40" s="28" t="str">
        <v/>
      </c>
      <c r="AD40" s="28" t="str">
        <v>-0.0434782608695652</v>
      </c>
    </row>
    <row r="41" spans="1:30" x14ac:dyDescent="0.25">
      <c r="C41" s="13" t="s">
        <v>10</v>
      </c>
      <c r="D41" s="14">
        <f t="shared" ref="D41:L41" si="28">EOMONTH(DATE(YEAR(D43),ROUNDUP(MONTH(D43)/3,0)*3,1),0)</f>
        <v>45382</v>
      </c>
      <c r="E41" s="14">
        <f t="shared" si="28"/>
        <v>45473</v>
      </c>
      <c r="F41" s="14">
        <f t="shared" si="28"/>
        <v>45565</v>
      </c>
      <c r="G41" s="14">
        <f t="shared" si="28"/>
        <v>45657</v>
      </c>
      <c r="H41" s="14">
        <f t="shared" si="28"/>
        <v>45747</v>
      </c>
      <c r="I41" s="14">
        <f t="shared" si="28"/>
        <v>45838</v>
      </c>
      <c r="J41" s="14">
        <f t="shared" si="28"/>
        <v>45930</v>
      </c>
      <c r="K41" s="14">
        <f t="shared" si="28"/>
        <v>46022</v>
      </c>
      <c r="L41" s="14">
        <f t="shared" si="28"/>
        <v>46112</v>
      </c>
      <c r="M41" s="14">
        <f>EOMONTH(DATE(YEAR(M43),ROUNDUP(MONTH(M43)/3,0)*3,1),0)</f>
        <v>46203</v>
      </c>
      <c r="N41" s="14">
        <f>EOMONTH(DATE(YEAR(N43),ROUNDUP(MONTH(N43)/3,0)*3,1),0)</f>
        <v>46295</v>
      </c>
      <c r="O41" s="14">
        <f>EOMONTH(DATE(YEAR(O43),ROUNDUP(MONTH(O43)/3,0)*3,1),0)</f>
        <v>46387</v>
      </c>
      <c r="P41" s="14">
        <f t="shared" ref="P41:S41" si="29">EOMONTH(DATE(YEAR(P43),ROUNDUP(MONTH(P43)/3,0)*3,1),0)</f>
        <v>46477</v>
      </c>
      <c r="Q41" s="14">
        <f t="shared" si="29"/>
        <v>46568</v>
      </c>
      <c r="R41" s="14">
        <f t="shared" si="29"/>
        <v>46660</v>
      </c>
      <c r="S41" s="14">
        <f t="shared" si="29"/>
        <v>46752</v>
      </c>
      <c r="U41" s="24" t="str">
        <v>CCJ US EQUITY</v>
      </c>
      <c r="V41" s="24">
        <v>46022</v>
      </c>
      <c r="W41" s="24" t="str">
        <v>custom</v>
      </c>
      <c r="X41" s="24" t="str">
        <v>uranium_production_lbs</v>
      </c>
      <c r="Y41" s="24" t="str">
        <v>actual</v>
      </c>
      <c r="Z41" s="28" t="str">
        <v>6000</v>
      </c>
      <c r="AA41" s="28" t="str">
        <v>-0.0163934426229508</v>
      </c>
      <c r="AB41" s="28" t="str">
        <v>-396.492565764393</v>
      </c>
      <c r="AC41" s="28" t="str">
        <v/>
      </c>
      <c r="AD41" s="28" t="str">
        <v>0.363636363636364</v>
      </c>
    </row>
    <row r="42" spans="1:30" x14ac:dyDescent="0.25">
      <c r="C42" s="13" t="s">
        <v>22</v>
      </c>
      <c r="D42" s="2" t="str">
        <f t="shared" ref="D42:S42" si="30">+D$6</f>
        <v>actual</v>
      </c>
      <c r="E42" s="2" t="str">
        <f t="shared" si="30"/>
        <v>actual</v>
      </c>
      <c r="F42" s="2" t="str">
        <f t="shared" si="30"/>
        <v>actual</v>
      </c>
      <c r="G42" s="2" t="str">
        <f t="shared" si="30"/>
        <v>actual</v>
      </c>
      <c r="H42" s="2" t="str">
        <f t="shared" si="30"/>
        <v>actual</v>
      </c>
      <c r="I42" s="2" t="str">
        <f t="shared" si="30"/>
        <v>actual</v>
      </c>
      <c r="J42" s="2" t="str">
        <f t="shared" si="30"/>
        <v>actual</v>
      </c>
      <c r="K42" s="2" t="str">
        <f t="shared" si="30"/>
        <v>actual</v>
      </c>
      <c r="L42" s="2" t="str">
        <f t="shared" si="30"/>
        <v>forecast</v>
      </c>
      <c r="M42" s="2" t="str">
        <f t="shared" si="30"/>
        <v>forecast</v>
      </c>
      <c r="N42" s="2" t="str">
        <f t="shared" si="30"/>
        <v>forecast</v>
      </c>
      <c r="O42" s="2" t="str">
        <f t="shared" si="30"/>
        <v>forecast</v>
      </c>
      <c r="P42" s="2" t="str">
        <f t="shared" si="30"/>
        <v>forecast</v>
      </c>
      <c r="Q42" s="2" t="str">
        <f t="shared" si="30"/>
        <v>forecast</v>
      </c>
      <c r="R42" s="2" t="str">
        <f t="shared" si="30"/>
        <v>forecast</v>
      </c>
      <c r="S42" s="2" t="str">
        <f t="shared" si="30"/>
        <v>forecast</v>
      </c>
      <c r="U42" s="24" t="str">
        <v>CCJ US EQUITY</v>
      </c>
      <c r="V42" s="24">
        <v>46112</v>
      </c>
      <c r="W42" s="24" t="str">
        <v>custom</v>
      </c>
      <c r="X42" s="24" t="str">
        <v>uranium_production_lbs</v>
      </c>
      <c r="Y42" s="24" t="str">
        <v>forecast</v>
      </c>
      <c r="Z42" s="28" t="str">
        <v>5101</v>
      </c>
      <c r="AA42" s="28" t="str">
        <v>-0.149833333333333</v>
      </c>
      <c r="AB42" s="28" t="str">
        <v>-1334.39890710383</v>
      </c>
      <c r="AC42" s="28" t="str">
        <v>-0.12051724137931</v>
      </c>
      <c r="AD42" s="28" t="str">
        <v>-0.149833333333333</v>
      </c>
    </row>
    <row r="43" spans="1:30" x14ac:dyDescent="0.25">
      <c r="D43" s="2">
        <f t="shared" ref="D43:S43" si="31">+D$7</f>
        <v>45382</v>
      </c>
      <c r="E43" s="2">
        <f t="shared" si="31"/>
        <v>45473</v>
      </c>
      <c r="F43" s="2">
        <f t="shared" si="31"/>
        <v>45565</v>
      </c>
      <c r="G43" s="2">
        <f t="shared" si="31"/>
        <v>45657</v>
      </c>
      <c r="H43" s="2">
        <f t="shared" si="31"/>
        <v>45747</v>
      </c>
      <c r="I43" s="2">
        <f t="shared" si="31"/>
        <v>45838</v>
      </c>
      <c r="J43" s="2">
        <f t="shared" si="31"/>
        <v>45930</v>
      </c>
      <c r="K43" s="2">
        <f t="shared" si="31"/>
        <v>46022</v>
      </c>
      <c r="L43" s="2">
        <f t="shared" si="31"/>
        <v>46112</v>
      </c>
      <c r="M43" s="2">
        <f t="shared" si="31"/>
        <v>46203</v>
      </c>
      <c r="N43" s="2">
        <f t="shared" si="31"/>
        <v>46295</v>
      </c>
      <c r="O43" s="2">
        <f t="shared" si="31"/>
        <v>46387</v>
      </c>
      <c r="P43" s="2">
        <f t="shared" si="31"/>
        <v>46477</v>
      </c>
      <c r="Q43" s="2">
        <f t="shared" si="31"/>
        <v>46568</v>
      </c>
      <c r="R43" s="2">
        <f t="shared" si="31"/>
        <v>46660</v>
      </c>
      <c r="S43" s="2">
        <f t="shared" si="31"/>
        <v>46752</v>
      </c>
      <c r="U43" s="24" t="str">
        <v>CCJ US EQUITY</v>
      </c>
      <c r="V43" s="24">
        <v>46203</v>
      </c>
      <c r="W43" s="24" t="str">
        <v>custom</v>
      </c>
      <c r="X43" s="24" t="str">
        <v>uranium_production_lbs</v>
      </c>
      <c r="Y43" s="24" t="str">
        <v>forecast</v>
      </c>
      <c r="Z43" s="28" t="str">
        <v>5039.4</v>
      </c>
      <c r="AA43" s="28" t="str">
        <v>0.0955217391304346</v>
      </c>
      <c r="AB43" s="28" t="str">
        <v>2453.55072463768</v>
      </c>
      <c r="AC43" s="28" t="str">
        <v>-0.290225352112676</v>
      </c>
      <c r="AD43" s="28" t="str">
        <v>-0.0120760635169576</v>
      </c>
    </row>
    <row r="44" spans="1:30" x14ac:dyDescent="0.25">
      <c r="A44" s="16" t="s">
        <v>17</v>
      </c>
      <c r="B44" s="16" t="s">
        <v>68</v>
      </c>
      <c r="C44" s="2" t="s">
        <v>69</v>
      </c>
      <c r="D44" s="34">
        <v>303</v>
      </c>
      <c r="E44" s="34">
        <v>248</v>
      </c>
      <c r="F44" s="34">
        <v>240</v>
      </c>
      <c r="G44" s="34">
        <v>876</v>
      </c>
      <c r="H44" s="34">
        <v>286</v>
      </c>
      <c r="I44" s="34">
        <v>352</v>
      </c>
      <c r="J44" s="34">
        <v>220</v>
      </c>
      <c r="K44" s="34">
        <v>397</v>
      </c>
      <c r="L44" s="34">
        <v>345.6</v>
      </c>
      <c r="M44" s="34">
        <v>258.5</v>
      </c>
      <c r="N44" s="34">
        <v>234.7</v>
      </c>
      <c r="O44" s="34">
        <v>566.70000000000005</v>
      </c>
      <c r="P44" s="34">
        <v>401.4</v>
      </c>
      <c r="Q44" s="34">
        <v>402.1</v>
      </c>
      <c r="R44" s="34">
        <v>416.1</v>
      </c>
      <c r="S44" s="34">
        <v>414.2</v>
      </c>
      <c r="U44" s="24" t="str">
        <v>CCJ US EQUITY</v>
      </c>
      <c r="V44" s="24">
        <v>46295</v>
      </c>
      <c r="W44" s="24" t="str">
        <v>custom</v>
      </c>
      <c r="X44" s="24" t="str">
        <v>uranium_production_lbs</v>
      </c>
      <c r="Y44" s="24" t="str">
        <v>forecast</v>
      </c>
      <c r="Z44" s="28" t="str">
        <v>4707.9</v>
      </c>
      <c r="AA44" s="28" t="str">
        <v>0.0699772727272727</v>
      </c>
      <c r="AB44" s="28" t="str">
        <v>-255.444664031619</v>
      </c>
      <c r="AC44" s="28" t="str">
        <v>0.0948604651162792</v>
      </c>
      <c r="AD44" s="28" t="str">
        <v>-0.0657816406715085</v>
      </c>
    </row>
    <row r="45" spans="1:30" x14ac:dyDescent="0.25">
      <c r="C45" s="4" t="s">
        <v>4</v>
      </c>
      <c r="D45" s="5"/>
      <c r="E45" s="4"/>
      <c r="F45" s="4"/>
      <c r="G45" s="12"/>
      <c r="H45" s="12">
        <f t="shared" ref="H45" si="32">+H44/D44-1</f>
        <v>-5.6105610561056118E-2</v>
      </c>
      <c r="I45" s="12">
        <f t="shared" ref="I45" si="33">+I44/E44-1</f>
        <v>0.41935483870967749</v>
      </c>
      <c r="J45" s="12">
        <f t="shared" ref="J45" si="34">+J44/F44-1</f>
        <v>-8.333333333333337E-2</v>
      </c>
      <c r="K45" s="12">
        <f t="shared" ref="K45" si="35">+K44/G44-1</f>
        <v>-0.54680365296803646</v>
      </c>
      <c r="L45" s="12">
        <f t="shared" ref="L45" si="36">+L44/H44-1</f>
        <v>0.20839160839160842</v>
      </c>
      <c r="M45" s="12">
        <f t="shared" ref="M45" si="37">+M44/I44-1</f>
        <v>-0.265625</v>
      </c>
      <c r="N45" s="12">
        <f t="shared" ref="N45" si="38">+N44/J44-1</f>
        <v>6.6818181818181666E-2</v>
      </c>
      <c r="O45" s="12">
        <f t="shared" ref="O45" si="39">+O44/K44-1</f>
        <v>0.42745591939546612</v>
      </c>
      <c r="P45" s="12">
        <f t="shared" ref="P45" si="40">+P44/L44-1</f>
        <v>0.16145833333333326</v>
      </c>
      <c r="Q45" s="12">
        <f t="shared" ref="Q45" si="41">+Q44/M44-1</f>
        <v>0.55551257253384922</v>
      </c>
      <c r="R45" s="12">
        <f t="shared" ref="R45" si="42">+R44/N44-1</f>
        <v>0.77290157648061375</v>
      </c>
      <c r="S45" s="12">
        <f t="shared" ref="S45" si="43">+S44/O44-1</f>
        <v>-0.26910181754014473</v>
      </c>
      <c r="U45" s="24" t="str">
        <v>CCJ US EQUITY</v>
      </c>
      <c r="V45" s="24">
        <v>46387</v>
      </c>
      <c r="W45" s="24" t="str">
        <v>custom</v>
      </c>
      <c r="X45" s="24" t="str">
        <v>uranium_production_lbs</v>
      </c>
      <c r="Y45" s="24" t="str">
        <v>forecast</v>
      </c>
      <c r="Z45" s="28" t="str">
        <v>5574.5</v>
      </c>
      <c r="AA45" s="28" t="str">
        <v>-0.0709166666666666</v>
      </c>
      <c r="AB45" s="28" t="str">
        <v>-1408.93939393939</v>
      </c>
      <c r="AC45" s="28" t="str">
        <v>-0.0861475409836066</v>
      </c>
      <c r="AD45" s="28" t="str">
        <v>0.184073578453238</v>
      </c>
    </row>
    <row r="46" spans="1:30" x14ac:dyDescent="0.25">
      <c r="C46" s="4" t="s">
        <v>15</v>
      </c>
      <c r="D46" s="1"/>
      <c r="I46" s="7">
        <f t="shared" ref="I46" si="44">(I45-H45)*10000</f>
        <v>4754.6044927073362</v>
      </c>
      <c r="J46" s="7">
        <f t="shared" ref="J46" si="45">(J45-I45)*10000</f>
        <v>-5026.8817204301085</v>
      </c>
      <c r="K46" s="7">
        <f>(K45-J45)*10000</f>
        <v>-4634.7031963470308</v>
      </c>
      <c r="L46" s="7">
        <f>(L45-K45)*10000</f>
        <v>7551.9526135964488</v>
      </c>
      <c r="M46" s="7">
        <f>(M45-L45)*10000</f>
        <v>-4740.1660839160841</v>
      </c>
      <c r="N46" s="7">
        <f>(N45-M45)*10000</f>
        <v>3324.4318181818167</v>
      </c>
      <c r="O46" s="7">
        <f>(O45-N45)*10000</f>
        <v>3606.3773757728445</v>
      </c>
      <c r="P46" s="7">
        <f t="shared" ref="P46" si="46">(P45-O45)*10000</f>
        <v>-2659.9758606213286</v>
      </c>
      <c r="Q46" s="7">
        <f t="shared" ref="Q46" si="47">(Q45-P45)*10000</f>
        <v>3940.5423920051599</v>
      </c>
      <c r="R46" s="7">
        <f t="shared" ref="R46" si="48">(R45-Q45)*10000</f>
        <v>2173.8900394676452</v>
      </c>
      <c r="S46" s="7">
        <f t="shared" ref="S46" si="49">(S45-R45)*10000</f>
        <v>-10420.033940207584</v>
      </c>
      <c r="U46" s="24" t="str">
        <v>CCJ US EQUITY</v>
      </c>
      <c r="V46" s="24">
        <v>46477</v>
      </c>
      <c r="W46" s="24" t="str">
        <v>custom</v>
      </c>
      <c r="X46" s="24" t="str">
        <v>uranium_production_lbs</v>
      </c>
      <c r="Y46" s="24" t="str">
        <v>forecast</v>
      </c>
      <c r="Z46" s="28" t="str">
        <v>5489</v>
      </c>
      <c r="AA46" s="28" t="str">
        <v>0.0760635169574593</v>
      </c>
      <c r="AB46" s="28" t="str">
        <v>1469.80183624126</v>
      </c>
      <c r="AC46" s="28" t="str">
        <v>-0.0851666666666667</v>
      </c>
      <c r="AD46" s="28" t="str">
        <v>-0.0153376984482914</v>
      </c>
    </row>
    <row r="47" spans="1:30" x14ac:dyDescent="0.25">
      <c r="C47" s="4" t="s">
        <v>28</v>
      </c>
      <c r="D47" s="1"/>
      <c r="E47" s="6"/>
      <c r="F47" s="6"/>
      <c r="G47" s="6"/>
      <c r="H47" s="6"/>
      <c r="I47" s="6"/>
      <c r="J47" s="6"/>
      <c r="K47" s="6"/>
      <c r="L47" s="12">
        <f t="shared" ref="L47" si="50">(1+H45)*(1+L45)-1</f>
        <v>0.1405940594059405</v>
      </c>
      <c r="M47" s="12">
        <f t="shared" ref="M47" si="51">(1+I45)*(1+M45)-1</f>
        <v>4.2338709677419484E-2</v>
      </c>
      <c r="N47" s="12">
        <f t="shared" ref="N47" si="52">(1+J45)*(1+N45)-1</f>
        <v>-2.2083333333333566E-2</v>
      </c>
      <c r="O47" s="12">
        <f t="shared" ref="O47" si="53">(1+K45)*(1+O45)-1</f>
        <v>-0.35308219178082179</v>
      </c>
      <c r="P47" s="12">
        <f t="shared" ref="P47" si="54">(1+L45)*(1+P45)-1</f>
        <v>0.40349650349650346</v>
      </c>
      <c r="Q47" s="12">
        <f t="shared" ref="Q47" si="55">(1+M45)*(1+Q45)-1</f>
        <v>0.14232954545454546</v>
      </c>
      <c r="R47" s="12">
        <f t="shared" ref="R47" si="56">(1+N45)*(1+R45)-1</f>
        <v>0.89136363636363636</v>
      </c>
      <c r="S47" s="12">
        <f t="shared" ref="S47" si="57">(1+O45)*(1+S45)-1</f>
        <v>4.3324937027707788E-2</v>
      </c>
      <c r="U47" t="str">
        <v>CCJ US EQUITY</v>
      </c>
      <c r="V47" s="24">
        <v>46568</v>
      </c>
      <c r="W47" s="24" t="str">
        <v>custom</v>
      </c>
      <c r="X47" s="24" t="str">
        <v>uranium_production_lbs</v>
      </c>
      <c r="Y47" s="24" t="str">
        <v>forecast</v>
      </c>
      <c r="Z47" s="28" t="str">
        <v>5489</v>
      </c>
      <c r="AA47" s="28" t="str">
        <v>0.0892169702742391</v>
      </c>
      <c r="AB47" s="28" t="str">
        <v>131.534533167799</v>
      </c>
      <c r="AC47" s="28" t="str">
        <v>0.193260869565217</v>
      </c>
      <c r="AD47" s="28" t="str">
        <v>0</v>
      </c>
    </row>
    <row r="48" spans="1:30" x14ac:dyDescent="0.25">
      <c r="C48" s="4" t="s">
        <v>5</v>
      </c>
      <c r="D48" s="1"/>
      <c r="E48" s="12">
        <f t="shared" ref="E48" si="58">E44/D44-1</f>
        <v>-0.18151815181518149</v>
      </c>
      <c r="F48" s="12">
        <f t="shared" ref="F48" si="59">F44/E44-1</f>
        <v>-3.2258064516129004E-2</v>
      </c>
      <c r="G48" s="12">
        <f t="shared" ref="G48" si="60">G44/F44-1</f>
        <v>2.65</v>
      </c>
      <c r="H48" s="12">
        <f t="shared" ref="H48" si="61">H44/G44-1</f>
        <v>-0.67351598173515981</v>
      </c>
      <c r="I48" s="12">
        <f t="shared" ref="I48" si="62">I44/H44-1</f>
        <v>0.23076923076923084</v>
      </c>
      <c r="J48" s="12">
        <f t="shared" ref="J48" si="63">J44/I44-1</f>
        <v>-0.375</v>
      </c>
      <c r="K48" s="12">
        <f t="shared" ref="K48" si="64">K44/J44-1</f>
        <v>0.80454545454545445</v>
      </c>
      <c r="L48" s="12">
        <f t="shared" ref="L48" si="65">L44/K44-1</f>
        <v>-0.12947103274559191</v>
      </c>
      <c r="M48" s="12">
        <f t="shared" ref="M48" si="66">M44/L44-1</f>
        <v>-0.25202546296296302</v>
      </c>
      <c r="N48" s="12">
        <f t="shared" ref="N48" si="67">N44/M44-1</f>
        <v>-9.2069632495164422E-2</v>
      </c>
      <c r="O48" s="12">
        <f t="shared" ref="O48" si="68">O44/N44-1</f>
        <v>1.414571793779293</v>
      </c>
      <c r="P48" s="12">
        <f t="shared" ref="P48" si="69">P44/O44-1</f>
        <v>-0.29168872419269465</v>
      </c>
      <c r="Q48" s="12">
        <f t="shared" ref="Q48" si="70">Q44/P44-1</f>
        <v>1.7438963627305348E-3</v>
      </c>
      <c r="R48" s="12">
        <f t="shared" ref="R48" si="71">R44/Q44-1</f>
        <v>3.4817209649340874E-2</v>
      </c>
      <c r="S48" s="12">
        <f t="shared" ref="S48" si="72">S44/R44-1</f>
        <v>-4.5662100456621557E-3</v>
      </c>
      <c r="U48" t="str">
        <v>CCJ US EQUITY</v>
      </c>
      <c r="V48" s="24">
        <v>46660</v>
      </c>
      <c r="W48" s="24" t="str">
        <v>custom</v>
      </c>
      <c r="X48" s="24" t="str">
        <v>uranium_production_lbs</v>
      </c>
      <c r="Y48" s="24" t="str">
        <v>forecast</v>
      </c>
      <c r="Z48" s="28" t="str">
        <v>5432.6</v>
      </c>
      <c r="AA48" s="28" t="str">
        <v>0.153932751332866</v>
      </c>
      <c r="AB48" s="28" t="str">
        <v>647.15781058627</v>
      </c>
      <c r="AC48" s="28" t="str">
        <v>0.234681818181818</v>
      </c>
      <c r="AD48" s="28" t="str">
        <v>-0.0102750956458371</v>
      </c>
    </row>
    <row r="49" spans="1:30" x14ac:dyDescent="0.25">
      <c r="C49" s="4"/>
      <c r="D49" s="1"/>
      <c r="K49" s="30"/>
      <c r="L49" s="7"/>
      <c r="M49" s="7"/>
      <c r="N49" s="7"/>
      <c r="O49" s="7"/>
      <c r="P49" s="7"/>
      <c r="Q49" s="7"/>
      <c r="R49" s="7"/>
      <c r="U49" t="str">
        <v>CCJ US EQUITY</v>
      </c>
      <c r="V49" s="24">
        <v>46752</v>
      </c>
      <c r="W49" s="24" t="str">
        <v>custom</v>
      </c>
      <c r="X49" s="24" t="str">
        <v>uranium_production_lbs</v>
      </c>
      <c r="Y49" s="24" t="str">
        <v>forecast</v>
      </c>
      <c r="Z49" s="28" t="str">
        <v>5573.3</v>
      </c>
      <c r="AA49" s="28" t="str">
        <v>-0.000215265943133924</v>
      </c>
      <c r="AB49" s="28" t="str">
        <v>-1541.48017276</v>
      </c>
      <c r="AC49" s="28" t="str">
        <v>-0.0711166666666666</v>
      </c>
      <c r="AD49" s="28" t="str">
        <v>0.0258992011191694</v>
      </c>
    </row>
    <row r="50" spans="1:30" x14ac:dyDescent="0.25">
      <c r="C50" s="13" t="s">
        <v>10</v>
      </c>
      <c r="D50" s="14">
        <f t="shared" ref="D50:L50" si="73">EOMONTH(DATE(YEAR(D52),ROUNDUP(MONTH(D52)/3,0)*3,1),0)</f>
        <v>45382</v>
      </c>
      <c r="E50" s="14">
        <f t="shared" si="73"/>
        <v>45473</v>
      </c>
      <c r="F50" s="14">
        <f t="shared" si="73"/>
        <v>45565</v>
      </c>
      <c r="G50" s="14">
        <f t="shared" si="73"/>
        <v>45657</v>
      </c>
      <c r="H50" s="14">
        <f t="shared" si="73"/>
        <v>45747</v>
      </c>
      <c r="I50" s="14">
        <f t="shared" si="73"/>
        <v>45838</v>
      </c>
      <c r="J50" s="14">
        <f t="shared" si="73"/>
        <v>45930</v>
      </c>
      <c r="K50" s="14">
        <f t="shared" si="73"/>
        <v>46022</v>
      </c>
      <c r="L50" s="14">
        <f t="shared" si="73"/>
        <v>46112</v>
      </c>
      <c r="M50" s="14">
        <f>EOMONTH(DATE(YEAR(M52),ROUNDUP(MONTH(M52)/3,0)*3,1),0)</f>
        <v>46203</v>
      </c>
      <c r="N50" s="14">
        <f>EOMONTH(DATE(YEAR(N52),ROUNDUP(MONTH(N52)/3,0)*3,1),0)</f>
        <v>46295</v>
      </c>
      <c r="O50" s="14">
        <f>EOMONTH(DATE(YEAR(O52),ROUNDUP(MONTH(O52)/3,0)*3,1),0)</f>
        <v>46387</v>
      </c>
      <c r="P50" s="14">
        <f t="shared" ref="P50:S50" si="74">EOMONTH(DATE(YEAR(P52),ROUNDUP(MONTH(P52)/3,0)*3,1),0)</f>
        <v>46477</v>
      </c>
      <c r="Q50" s="14">
        <f t="shared" si="74"/>
        <v>46568</v>
      </c>
      <c r="R50" s="14">
        <f t="shared" si="74"/>
        <v>46660</v>
      </c>
      <c r="S50" s="14">
        <f t="shared" si="74"/>
        <v>46752</v>
      </c>
      <c r="U50" s="24" t="str" cm="1">
        <f t="array" ref="U50:AD61">_xlfn.LET(
  _xlpm.d, H41:S41,
  _xlpm.s, H42:S42,
  _xlpm.v, H44:S44,
  _xlpm.yy, H45:S45,
  _xlpm.qq, H46:S46,
  _xlpm.dyy, H47:S47,
  _xlpm.dqq, H48:S48,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CCJ US EQUITY</v>
      </c>
      <c r="V50" s="24">
        <v>45747</v>
      </c>
      <c r="W50" s="24" t="str">
        <v>custom</v>
      </c>
      <c r="X50" s="24" t="str">
        <v>uranium_EBITDA</v>
      </c>
      <c r="Y50" s="24" t="str">
        <v>actual</v>
      </c>
      <c r="Z50" s="28" t="str">
        <v>286</v>
      </c>
      <c r="AA50" s="28" t="str">
        <v>-0.0561056105610561</v>
      </c>
      <c r="AB50" s="28" t="str">
        <v/>
      </c>
      <c r="AC50" s="28" t="str">
        <v/>
      </c>
      <c r="AD50" s="28" t="str">
        <v>-0.67351598173516</v>
      </c>
    </row>
    <row r="51" spans="1:30" x14ac:dyDescent="0.25">
      <c r="C51" s="13" t="s">
        <v>22</v>
      </c>
      <c r="D51" s="2" t="str">
        <f t="shared" ref="D51:S51" si="75">+D$6</f>
        <v>actual</v>
      </c>
      <c r="E51" s="2" t="str">
        <f t="shared" si="75"/>
        <v>actual</v>
      </c>
      <c r="F51" s="2" t="str">
        <f t="shared" si="75"/>
        <v>actual</v>
      </c>
      <c r="G51" s="2" t="str">
        <f t="shared" si="75"/>
        <v>actual</v>
      </c>
      <c r="H51" s="2" t="str">
        <f t="shared" si="75"/>
        <v>actual</v>
      </c>
      <c r="I51" s="2" t="str">
        <f t="shared" si="75"/>
        <v>actual</v>
      </c>
      <c r="J51" s="2" t="str">
        <f t="shared" si="75"/>
        <v>actual</v>
      </c>
      <c r="K51" s="2" t="str">
        <f t="shared" si="75"/>
        <v>actual</v>
      </c>
      <c r="L51" s="2" t="str">
        <f t="shared" si="75"/>
        <v>forecast</v>
      </c>
      <c r="M51" s="2" t="str">
        <f t="shared" si="75"/>
        <v>forecast</v>
      </c>
      <c r="N51" s="2" t="str">
        <f t="shared" si="75"/>
        <v>forecast</v>
      </c>
      <c r="O51" s="2" t="str">
        <f t="shared" si="75"/>
        <v>forecast</v>
      </c>
      <c r="P51" s="2" t="str">
        <f t="shared" si="75"/>
        <v>forecast</v>
      </c>
      <c r="Q51" s="2" t="str">
        <f t="shared" si="75"/>
        <v>forecast</v>
      </c>
      <c r="R51" s="2" t="str">
        <f t="shared" si="75"/>
        <v>forecast</v>
      </c>
      <c r="S51" s="2" t="str">
        <f t="shared" si="75"/>
        <v>forecast</v>
      </c>
      <c r="U51" s="24" t="str">
        <v>CCJ US EQUITY</v>
      </c>
      <c r="V51" s="24">
        <v>45838</v>
      </c>
      <c r="W51" s="24" t="str">
        <v>custom</v>
      </c>
      <c r="X51" s="24" t="str">
        <v>uranium_EBITDA</v>
      </c>
      <c r="Y51" s="24" t="str">
        <v>actual</v>
      </c>
      <c r="Z51" s="28" t="str">
        <v>352</v>
      </c>
      <c r="AA51" s="28" t="str">
        <v>0.419354838709677</v>
      </c>
      <c r="AB51" s="28" t="str">
        <v>4754.60449270734</v>
      </c>
      <c r="AC51" s="28" t="str">
        <v/>
      </c>
      <c r="AD51" s="28" t="str">
        <v>0.230769230769231</v>
      </c>
    </row>
    <row r="52" spans="1:30" x14ac:dyDescent="0.25">
      <c r="D52" s="2">
        <f t="shared" ref="D52:S52" si="76">+D$7</f>
        <v>45382</v>
      </c>
      <c r="E52" s="2">
        <f t="shared" si="76"/>
        <v>45473</v>
      </c>
      <c r="F52" s="2">
        <f t="shared" si="76"/>
        <v>45565</v>
      </c>
      <c r="G52" s="2">
        <f t="shared" si="76"/>
        <v>45657</v>
      </c>
      <c r="H52" s="2">
        <f t="shared" si="76"/>
        <v>45747</v>
      </c>
      <c r="I52" s="2">
        <f t="shared" si="76"/>
        <v>45838</v>
      </c>
      <c r="J52" s="2">
        <f t="shared" si="76"/>
        <v>45930</v>
      </c>
      <c r="K52" s="2">
        <f t="shared" si="76"/>
        <v>46022</v>
      </c>
      <c r="L52" s="2">
        <f t="shared" si="76"/>
        <v>46112</v>
      </c>
      <c r="M52" s="2">
        <f t="shared" si="76"/>
        <v>46203</v>
      </c>
      <c r="N52" s="2">
        <f t="shared" si="76"/>
        <v>46295</v>
      </c>
      <c r="O52" s="2">
        <f t="shared" si="76"/>
        <v>46387</v>
      </c>
      <c r="P52" s="2">
        <f t="shared" si="76"/>
        <v>46477</v>
      </c>
      <c r="Q52" s="2">
        <f t="shared" si="76"/>
        <v>46568</v>
      </c>
      <c r="R52" s="2">
        <f t="shared" si="76"/>
        <v>46660</v>
      </c>
      <c r="S52" s="2">
        <f t="shared" si="76"/>
        <v>46752</v>
      </c>
      <c r="U52" s="24" t="str">
        <v>CCJ US EQUITY</v>
      </c>
      <c r="V52" s="24">
        <v>45930</v>
      </c>
      <c r="W52" s="24" t="str">
        <v>custom</v>
      </c>
      <c r="X52" s="24" t="str">
        <v>uranium_EBITDA</v>
      </c>
      <c r="Y52" s="24" t="str">
        <v>actual</v>
      </c>
      <c r="Z52" s="28" t="str">
        <v>220</v>
      </c>
      <c r="AA52" s="28" t="str">
        <v>-0.0833333333333334</v>
      </c>
      <c r="AB52" s="28" t="str">
        <v>-5026.88172043011</v>
      </c>
      <c r="AC52" s="28" t="str">
        <v/>
      </c>
      <c r="AD52" s="28" t="str">
        <v>-0.375</v>
      </c>
    </row>
    <row r="53" spans="1:30" x14ac:dyDescent="0.25">
      <c r="A53" s="16" t="s">
        <v>17</v>
      </c>
      <c r="B53" s="16" t="s">
        <v>70</v>
      </c>
      <c r="C53" s="2" t="s">
        <v>71</v>
      </c>
      <c r="D53" s="27">
        <v>3700</v>
      </c>
      <c r="E53" s="27">
        <v>2900</v>
      </c>
      <c r="F53" s="27">
        <v>3200</v>
      </c>
      <c r="G53" s="27">
        <v>3600</v>
      </c>
      <c r="H53" s="27">
        <v>3900</v>
      </c>
      <c r="I53" s="27">
        <v>3200</v>
      </c>
      <c r="J53" s="27">
        <v>3100</v>
      </c>
      <c r="K53" s="27">
        <v>3800</v>
      </c>
      <c r="L53" s="27">
        <v>3658.3</v>
      </c>
      <c r="M53" s="27">
        <v>3383.3</v>
      </c>
      <c r="N53" s="27">
        <v>3116.7</v>
      </c>
      <c r="O53" s="27">
        <v>3608.3</v>
      </c>
      <c r="P53" s="27">
        <v>3785</v>
      </c>
      <c r="Q53" s="27">
        <v>3445</v>
      </c>
      <c r="R53" s="27">
        <v>3125</v>
      </c>
      <c r="S53" s="27">
        <v>3745</v>
      </c>
      <c r="U53" s="24" t="str">
        <v>CCJ US EQUITY</v>
      </c>
      <c r="V53" s="24">
        <v>46022</v>
      </c>
      <c r="W53" s="24" t="str">
        <v>custom</v>
      </c>
      <c r="X53" s="24" t="str">
        <v>uranium_EBITDA</v>
      </c>
      <c r="Y53" s="24" t="str">
        <v>actual</v>
      </c>
      <c r="Z53" s="28" t="str">
        <v>397</v>
      </c>
      <c r="AA53" s="28" t="str">
        <v>-0.546803652968036</v>
      </c>
      <c r="AB53" s="28" t="str">
        <v>-4634.70319634703</v>
      </c>
      <c r="AC53" s="28" t="str">
        <v/>
      </c>
      <c r="AD53" s="28" t="str">
        <v>0.804545454545454</v>
      </c>
    </row>
    <row r="54" spans="1:30" x14ac:dyDescent="0.25">
      <c r="C54" s="4" t="s">
        <v>4</v>
      </c>
      <c r="D54" s="5"/>
      <c r="E54" s="4"/>
      <c r="F54" s="4"/>
      <c r="G54" s="12"/>
      <c r="H54" s="12">
        <f t="shared" ref="H54" si="77">+H53/D53-1</f>
        <v>5.4054054054053946E-2</v>
      </c>
      <c r="I54" s="12">
        <f t="shared" ref="I54" si="78">+I53/E53-1</f>
        <v>0.10344827586206895</v>
      </c>
      <c r="J54" s="12">
        <f t="shared" ref="J54" si="79">+J53/F53-1</f>
        <v>-3.125E-2</v>
      </c>
      <c r="K54" s="12">
        <f t="shared" ref="K54" si="80">+K53/G53-1</f>
        <v>5.555555555555558E-2</v>
      </c>
      <c r="L54" s="12">
        <f t="shared" ref="L54" si="81">+L53/H53-1</f>
        <v>-6.1974358974358879E-2</v>
      </c>
      <c r="M54" s="12">
        <f t="shared" ref="M54" si="82">+M53/I53-1</f>
        <v>5.728124999999995E-2</v>
      </c>
      <c r="N54" s="12">
        <f t="shared" ref="N54" si="83">+N53/J53-1</f>
        <v>5.3870967741935782E-3</v>
      </c>
      <c r="O54" s="12">
        <f t="shared" ref="O54" si="84">+O53/K53-1</f>
        <v>-5.0447368421052574E-2</v>
      </c>
      <c r="P54" s="12">
        <f t="shared" ref="P54" si="85">+P53/L53-1</f>
        <v>3.4633572971052073E-2</v>
      </c>
      <c r="Q54" s="12">
        <f t="shared" ref="Q54" si="86">+Q53/M53-1</f>
        <v>1.8236632873230185E-2</v>
      </c>
      <c r="R54" s="12">
        <f t="shared" ref="R54" si="87">+R53/N53-1</f>
        <v>2.6630731222125892E-3</v>
      </c>
      <c r="S54" s="12">
        <f t="shared" ref="S54" si="88">+S53/O53-1</f>
        <v>3.788487653465622E-2</v>
      </c>
      <c r="U54" s="24" t="str">
        <v>CCJ US EQUITY</v>
      </c>
      <c r="V54" s="24">
        <v>46112</v>
      </c>
      <c r="W54" s="24" t="str">
        <v>custom</v>
      </c>
      <c r="X54" s="24" t="str">
        <v>uranium_EBITDA</v>
      </c>
      <c r="Y54" s="24" t="str">
        <v>forecast</v>
      </c>
      <c r="Z54" s="28" t="str">
        <v>345.6</v>
      </c>
      <c r="AA54" s="28" t="str">
        <v>0.208391608391608</v>
      </c>
      <c r="AB54" s="28" t="str">
        <v>7551.95261359645</v>
      </c>
      <c r="AC54" s="28" t="str">
        <v>0.14059405940594</v>
      </c>
      <c r="AD54" s="28" t="str">
        <v>-0.129471032745592</v>
      </c>
    </row>
    <row r="55" spans="1:30" x14ac:dyDescent="0.25">
      <c r="C55" s="4" t="s">
        <v>15</v>
      </c>
      <c r="D55" s="1"/>
      <c r="I55" s="7">
        <f t="shared" ref="I55" si="89">(I54-H54)*10000</f>
        <v>493.94221808015004</v>
      </c>
      <c r="J55" s="7">
        <f t="shared" ref="J55" si="90">(J54-I54)*10000</f>
        <v>-1346.9827586206895</v>
      </c>
      <c r="K55" s="7">
        <f>(K54-J54)*10000</f>
        <v>868.05555555555577</v>
      </c>
      <c r="L55" s="7">
        <f>(L54-K54)*10000</f>
        <v>-1175.2991452991446</v>
      </c>
      <c r="M55" s="7">
        <f>(M54-L54)*10000</f>
        <v>1192.5560897435882</v>
      </c>
      <c r="N55" s="7">
        <f>(N54-M54)*10000</f>
        <v>-518.94153225806372</v>
      </c>
      <c r="O55" s="7">
        <f>(O54-N54)*10000</f>
        <v>-558.3446519524615</v>
      </c>
      <c r="P55" s="7">
        <f t="shared" ref="P55" si="91">(P54-O54)*10000</f>
        <v>850.80941392104648</v>
      </c>
      <c r="Q55" s="7">
        <f t="shared" ref="Q55" si="92">(Q54-P54)*10000</f>
        <v>-163.96940097821889</v>
      </c>
      <c r="R55" s="7">
        <f t="shared" ref="R55" si="93">(R54-Q54)*10000</f>
        <v>-155.73559751017595</v>
      </c>
      <c r="S55" s="7">
        <f t="shared" ref="S55" si="94">(S54-R54)*10000</f>
        <v>352.21803412443631</v>
      </c>
      <c r="U55" s="24" t="str">
        <v>CCJ US EQUITY</v>
      </c>
      <c r="V55" s="24">
        <v>46203</v>
      </c>
      <c r="W55" s="24" t="str">
        <v>custom</v>
      </c>
      <c r="X55" s="24" t="str">
        <v>uranium_EBITDA</v>
      </c>
      <c r="Y55" s="24" t="str">
        <v>forecast</v>
      </c>
      <c r="Z55" s="28" t="str">
        <v>258.5</v>
      </c>
      <c r="AA55" s="28" t="str">
        <v>-0.265625</v>
      </c>
      <c r="AB55" s="28" t="str">
        <v>-4740.16608391608</v>
      </c>
      <c r="AC55" s="28" t="str">
        <v>0.0423387096774195</v>
      </c>
      <c r="AD55" s="28" t="str">
        <v>-0.252025462962963</v>
      </c>
    </row>
    <row r="56" spans="1:30" x14ac:dyDescent="0.25">
      <c r="C56" s="4" t="s">
        <v>28</v>
      </c>
      <c r="D56" s="1"/>
      <c r="E56" s="6"/>
      <c r="F56" s="6"/>
      <c r="G56" s="6"/>
      <c r="H56" s="6"/>
      <c r="I56" s="6"/>
      <c r="J56" s="6"/>
      <c r="K56" s="6"/>
      <c r="L56" s="12">
        <f t="shared" ref="L56" si="95">(1+H54)*(1+L54)-1</f>
        <v>-1.1270270270270277E-2</v>
      </c>
      <c r="M56" s="12">
        <f t="shared" ref="M56" si="96">(1+I54)*(1+M54)-1</f>
        <v>0.16665517241379302</v>
      </c>
      <c r="N56" s="12">
        <f t="shared" ref="N56" si="97">(1+J54)*(1+N54)-1</f>
        <v>-2.603124999999995E-2</v>
      </c>
      <c r="O56" s="12">
        <f t="shared" ref="O56" si="98">(1+K54)*(1+O54)-1</f>
        <v>2.3055555555555607E-3</v>
      </c>
      <c r="P56" s="12">
        <f t="shared" ref="P56" si="99">(1+L54)*(1+P54)-1</f>
        <v>-2.9487179487179493E-2</v>
      </c>
      <c r="Q56" s="12">
        <f t="shared" ref="Q56" si="100">(1+M54)*(1+Q54)-1</f>
        <v>7.6562499999999867E-2</v>
      </c>
      <c r="R56" s="12">
        <f t="shared" ref="R56" si="101">(1+N54)*(1+R54)-1</f>
        <v>8.0645161290322509E-3</v>
      </c>
      <c r="S56" s="12">
        <f t="shared" ref="S56" si="102">(1+O54)*(1+S54)-1</f>
        <v>-1.4473684210526194E-2</v>
      </c>
      <c r="U56" s="24" t="str">
        <v>CCJ US EQUITY</v>
      </c>
      <c r="V56" s="24">
        <v>46295</v>
      </c>
      <c r="W56" s="24" t="str">
        <v>custom</v>
      </c>
      <c r="X56" s="24" t="str">
        <v>uranium_EBITDA</v>
      </c>
      <c r="Y56" s="24" t="str">
        <v>forecast</v>
      </c>
      <c r="Z56" s="28" t="str">
        <v>234.7</v>
      </c>
      <c r="AA56" s="28" t="str">
        <v>0.0668181818181817</v>
      </c>
      <c r="AB56" s="28" t="str">
        <v>3324.43181818182</v>
      </c>
      <c r="AC56" s="28" t="str">
        <v>-0.0220833333333336</v>
      </c>
      <c r="AD56" s="28" t="str">
        <v>-0.0920696324951644</v>
      </c>
    </row>
    <row r="57" spans="1:30" x14ac:dyDescent="0.25">
      <c r="C57" s="4" t="s">
        <v>5</v>
      </c>
      <c r="D57" s="1"/>
      <c r="E57" s="12">
        <f t="shared" ref="E57" si="103">E53/D53-1</f>
        <v>-0.21621621621621623</v>
      </c>
      <c r="F57" s="12">
        <f t="shared" ref="F57" si="104">F53/E53-1</f>
        <v>0.10344827586206895</v>
      </c>
      <c r="G57" s="12">
        <f t="shared" ref="G57" si="105">G53/F53-1</f>
        <v>0.125</v>
      </c>
      <c r="H57" s="12">
        <f t="shared" ref="H57" si="106">H53/G53-1</f>
        <v>8.3333333333333259E-2</v>
      </c>
      <c r="I57" s="12">
        <f t="shared" ref="I57" si="107">I53/H53-1</f>
        <v>-0.17948717948717952</v>
      </c>
      <c r="J57" s="12">
        <f t="shared" ref="J57" si="108">J53/I53-1</f>
        <v>-3.125E-2</v>
      </c>
      <c r="K57" s="12">
        <f t="shared" ref="K57" si="109">K53/J53-1</f>
        <v>0.22580645161290325</v>
      </c>
      <c r="L57" s="12">
        <f t="shared" ref="L57" si="110">L53/K53-1</f>
        <v>-3.7289473684210428E-2</v>
      </c>
      <c r="M57" s="12">
        <f t="shared" ref="M57" si="111">M53/L53-1</f>
        <v>-7.5171527758795098E-2</v>
      </c>
      <c r="N57" s="12">
        <f t="shared" ref="N57" si="112">N53/M53-1</f>
        <v>-7.8798805899565671E-2</v>
      </c>
      <c r="O57" s="12">
        <f t="shared" ref="O57" si="113">O53/N53-1</f>
        <v>0.15773093335900157</v>
      </c>
      <c r="P57" s="12">
        <f t="shared" ref="P57" si="114">P53/O53-1</f>
        <v>4.8970429288030415E-2</v>
      </c>
      <c r="Q57" s="12">
        <f t="shared" ref="Q57" si="115">Q53/P53-1</f>
        <v>-8.9828269484808487E-2</v>
      </c>
      <c r="R57" s="12">
        <f t="shared" ref="R57" si="116">R53/Q53-1</f>
        <v>-9.2888243831640072E-2</v>
      </c>
      <c r="S57" s="12">
        <f t="shared" ref="S57" si="117">S53/R53-1</f>
        <v>0.19839999999999991</v>
      </c>
      <c r="U57" s="24" t="str">
        <v>CCJ US EQUITY</v>
      </c>
      <c r="V57" s="24">
        <v>46387</v>
      </c>
      <c r="W57" s="24" t="str">
        <v>custom</v>
      </c>
      <c r="X57" s="24" t="str">
        <v>uranium_EBITDA</v>
      </c>
      <c r="Y57" s="24" t="str">
        <v>forecast</v>
      </c>
      <c r="Z57" s="28" t="str">
        <v>566.7</v>
      </c>
      <c r="AA57" s="28" t="str">
        <v>0.427455919395466</v>
      </c>
      <c r="AB57" s="28" t="str">
        <v>3606.37737577284</v>
      </c>
      <c r="AC57" s="28" t="str">
        <v>-0.353082191780822</v>
      </c>
      <c r="AD57" s="28" t="str">
        <v>1.41457179377929</v>
      </c>
    </row>
    <row r="58" spans="1:30" x14ac:dyDescent="0.2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  <c r="U58" s="24" t="str">
        <v>CCJ US EQUITY</v>
      </c>
      <c r="V58" s="24">
        <v>46477</v>
      </c>
      <c r="W58" s="24" t="str">
        <v>custom</v>
      </c>
      <c r="X58" s="24" t="str">
        <v>uranium_EBITDA</v>
      </c>
      <c r="Y58" s="24" t="str">
        <v>forecast</v>
      </c>
      <c r="Z58" s="28" t="str">
        <v>401.4</v>
      </c>
      <c r="AA58" s="28" t="str">
        <v>0.161458333333333</v>
      </c>
      <c r="AB58" s="28" t="str">
        <v>-2659.97586062133</v>
      </c>
      <c r="AC58" s="28" t="str">
        <v>0.403496503496503</v>
      </c>
      <c r="AD58" s="28" t="str">
        <v>-0.291688724192695</v>
      </c>
    </row>
    <row r="59" spans="1:30" x14ac:dyDescent="0.25">
      <c r="C59" s="13" t="s">
        <v>10</v>
      </c>
      <c r="D59" s="14">
        <f t="shared" ref="D59:L59" si="118">EOMONTH(DATE(YEAR(D61),ROUNDUP(MONTH(D61)/3,0)*3,1),0)</f>
        <v>45382</v>
      </c>
      <c r="E59" s="14">
        <f t="shared" si="118"/>
        <v>45473</v>
      </c>
      <c r="F59" s="14">
        <f t="shared" si="118"/>
        <v>45565</v>
      </c>
      <c r="G59" s="14">
        <f t="shared" si="118"/>
        <v>45657</v>
      </c>
      <c r="H59" s="14">
        <f t="shared" si="118"/>
        <v>45747</v>
      </c>
      <c r="I59" s="14">
        <f t="shared" si="118"/>
        <v>45838</v>
      </c>
      <c r="J59" s="14">
        <f t="shared" si="118"/>
        <v>45930</v>
      </c>
      <c r="K59" s="14">
        <f t="shared" si="118"/>
        <v>46022</v>
      </c>
      <c r="L59" s="14">
        <f t="shared" si="118"/>
        <v>46112</v>
      </c>
      <c r="M59" s="14">
        <f>EOMONTH(DATE(YEAR(M61),ROUNDUP(MONTH(M61)/3,0)*3,1),0)</f>
        <v>46203</v>
      </c>
      <c r="N59" s="14">
        <f>EOMONTH(DATE(YEAR(N61),ROUNDUP(MONTH(N61)/3,0)*3,1),0)</f>
        <v>46295</v>
      </c>
      <c r="O59" s="14">
        <f>EOMONTH(DATE(YEAR(O61),ROUNDUP(MONTH(O61)/3,0)*3,1),0)</f>
        <v>46387</v>
      </c>
      <c r="P59" s="14">
        <f t="shared" ref="P59:S59" si="119">EOMONTH(DATE(YEAR(P61),ROUNDUP(MONTH(P61)/3,0)*3,1),0)</f>
        <v>46477</v>
      </c>
      <c r="Q59" s="14">
        <f t="shared" si="119"/>
        <v>46568</v>
      </c>
      <c r="R59" s="14">
        <f t="shared" si="119"/>
        <v>46660</v>
      </c>
      <c r="S59" s="14">
        <f t="shared" si="119"/>
        <v>46752</v>
      </c>
      <c r="U59" t="str">
        <v>CCJ US EQUITY</v>
      </c>
      <c r="V59" s="24">
        <v>46568</v>
      </c>
      <c r="W59" s="24" t="str">
        <v>custom</v>
      </c>
      <c r="X59" s="24" t="str">
        <v>uranium_EBITDA</v>
      </c>
      <c r="Y59" s="24" t="str">
        <v>forecast</v>
      </c>
      <c r="Z59" s="28" t="str">
        <v>402.1</v>
      </c>
      <c r="AA59" s="28" t="str">
        <v>0.555512572533849</v>
      </c>
      <c r="AB59" s="28" t="str">
        <v>3940.54239200516</v>
      </c>
      <c r="AC59" s="28" t="str">
        <v>0.142329545454545</v>
      </c>
      <c r="AD59" s="28" t="str">
        <v>0.00174389636273053</v>
      </c>
    </row>
    <row r="60" spans="1:30" x14ac:dyDescent="0.25">
      <c r="C60" s="13" t="s">
        <v>22</v>
      </c>
      <c r="D60" s="2" t="str">
        <f t="shared" ref="D60:S60" si="120">+D$6</f>
        <v>actual</v>
      </c>
      <c r="E60" s="2" t="str">
        <f t="shared" si="120"/>
        <v>actual</v>
      </c>
      <c r="F60" s="2" t="str">
        <f t="shared" si="120"/>
        <v>actual</v>
      </c>
      <c r="G60" s="2" t="str">
        <f t="shared" si="120"/>
        <v>actual</v>
      </c>
      <c r="H60" s="2" t="str">
        <f t="shared" si="120"/>
        <v>actual</v>
      </c>
      <c r="I60" s="2" t="str">
        <f t="shared" si="120"/>
        <v>actual</v>
      </c>
      <c r="J60" s="2" t="str">
        <f t="shared" si="120"/>
        <v>actual</v>
      </c>
      <c r="K60" s="2" t="str">
        <f t="shared" si="120"/>
        <v>actual</v>
      </c>
      <c r="L60" s="2" t="str">
        <f t="shared" si="120"/>
        <v>forecast</v>
      </c>
      <c r="M60" s="2" t="str">
        <f t="shared" si="120"/>
        <v>forecast</v>
      </c>
      <c r="N60" s="2" t="str">
        <f t="shared" si="120"/>
        <v>forecast</v>
      </c>
      <c r="O60" s="2" t="str">
        <f t="shared" si="120"/>
        <v>forecast</v>
      </c>
      <c r="P60" s="2" t="str">
        <f t="shared" si="120"/>
        <v>forecast</v>
      </c>
      <c r="Q60" s="2" t="str">
        <f t="shared" si="120"/>
        <v>forecast</v>
      </c>
      <c r="R60" s="2" t="str">
        <f t="shared" si="120"/>
        <v>forecast</v>
      </c>
      <c r="S60" s="2" t="str">
        <f t="shared" si="120"/>
        <v>forecast</v>
      </c>
      <c r="U60" t="str">
        <v>CCJ US EQUITY</v>
      </c>
      <c r="V60" s="24">
        <v>46660</v>
      </c>
      <c r="W60" s="24" t="str">
        <v>custom</v>
      </c>
      <c r="X60" s="24" t="str">
        <v>uranium_EBITDA</v>
      </c>
      <c r="Y60" s="24" t="str">
        <v>forecast</v>
      </c>
      <c r="Z60" s="28" t="str">
        <v>416.1</v>
      </c>
      <c r="AA60" s="28" t="str">
        <v>0.772901576480614</v>
      </c>
      <c r="AB60" s="28" t="str">
        <v>2173.89003946765</v>
      </c>
      <c r="AC60" s="28" t="str">
        <v>0.891363636363636</v>
      </c>
      <c r="AD60" s="28" t="str">
        <v>0.0348172096493409</v>
      </c>
    </row>
    <row r="61" spans="1:30" x14ac:dyDescent="0.25">
      <c r="D61" s="2">
        <f t="shared" ref="D61:S61" si="121">+D$7</f>
        <v>45382</v>
      </c>
      <c r="E61" s="2">
        <f t="shared" si="121"/>
        <v>45473</v>
      </c>
      <c r="F61" s="2">
        <f t="shared" si="121"/>
        <v>45565</v>
      </c>
      <c r="G61" s="2">
        <f t="shared" si="121"/>
        <v>45657</v>
      </c>
      <c r="H61" s="2">
        <f t="shared" si="121"/>
        <v>45747</v>
      </c>
      <c r="I61" s="2">
        <f t="shared" si="121"/>
        <v>45838</v>
      </c>
      <c r="J61" s="2">
        <f t="shared" si="121"/>
        <v>45930</v>
      </c>
      <c r="K61" s="2">
        <f t="shared" si="121"/>
        <v>46022</v>
      </c>
      <c r="L61" s="2">
        <f t="shared" si="121"/>
        <v>46112</v>
      </c>
      <c r="M61" s="2">
        <f t="shared" si="121"/>
        <v>46203</v>
      </c>
      <c r="N61" s="2">
        <f t="shared" si="121"/>
        <v>46295</v>
      </c>
      <c r="O61" s="2">
        <f t="shared" si="121"/>
        <v>46387</v>
      </c>
      <c r="P61" s="2">
        <f t="shared" si="121"/>
        <v>46477</v>
      </c>
      <c r="Q61" s="2">
        <f t="shared" si="121"/>
        <v>46568</v>
      </c>
      <c r="R61" s="2">
        <f t="shared" si="121"/>
        <v>46660</v>
      </c>
      <c r="S61" s="2">
        <f t="shared" si="121"/>
        <v>46752</v>
      </c>
      <c r="U61" t="str">
        <v>CCJ US EQUITY</v>
      </c>
      <c r="V61" s="24">
        <v>46752</v>
      </c>
      <c r="W61" s="24" t="str">
        <v>custom</v>
      </c>
      <c r="X61" s="24" t="str">
        <v>uranium_EBITDA</v>
      </c>
      <c r="Y61" s="24" t="str">
        <v>forecast</v>
      </c>
      <c r="Z61" s="28" t="str">
        <v>414.2</v>
      </c>
      <c r="AA61" s="28" t="str">
        <v>-0.269101817540145</v>
      </c>
      <c r="AB61" s="28" t="str">
        <v>-10420.0339402076</v>
      </c>
      <c r="AC61" s="28" t="str">
        <v>0.0433249370277078</v>
      </c>
      <c r="AD61" s="28" t="str">
        <v>-0.00456621004566216</v>
      </c>
    </row>
    <row r="62" spans="1:30" x14ac:dyDescent="0.25">
      <c r="A62" s="16" t="s">
        <v>17</v>
      </c>
      <c r="B62" s="16" t="s">
        <v>72</v>
      </c>
      <c r="C62" s="2" t="s">
        <v>73</v>
      </c>
      <c r="D62" s="34">
        <v>25</v>
      </c>
      <c r="E62" s="34">
        <v>36</v>
      </c>
      <c r="F62" s="34">
        <v>28</v>
      </c>
      <c r="G62" s="34">
        <v>120</v>
      </c>
      <c r="H62" s="34">
        <v>75</v>
      </c>
      <c r="I62" s="34">
        <v>57</v>
      </c>
      <c r="J62" s="34">
        <v>24</v>
      </c>
      <c r="K62" s="34">
        <v>63</v>
      </c>
      <c r="L62" s="34">
        <v>61.2</v>
      </c>
      <c r="M62" s="34">
        <v>58.7</v>
      </c>
      <c r="N62" s="34">
        <v>60.5</v>
      </c>
      <c r="O62" s="34">
        <v>69.8</v>
      </c>
      <c r="P62" s="34">
        <v>104.2</v>
      </c>
      <c r="Q62" s="34">
        <v>92.4</v>
      </c>
      <c r="R62" s="34">
        <v>92.2</v>
      </c>
      <c r="S62" s="34">
        <v>102.8</v>
      </c>
      <c r="U62" s="24" t="str" cm="1">
        <f t="array" ref="U62:AD73">_xlfn.LET(
  _xlpm.d, H50:S50,
  _xlpm.s, H51:S51,
  _xlpm.v, H53:S53,
  _xlpm.yy, H54:S54,
  _xlpm.qq, H55:S55,
  _xlpm.dyy, H56:S56,
  _xlpm.dqq, H57:S57,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CCJ US EQUITY</v>
      </c>
      <c r="V62" s="24">
        <v>45747</v>
      </c>
      <c r="W62" s="24" t="str">
        <v>custom</v>
      </c>
      <c r="X62" s="24" t="str">
        <v>fuel_services_production_lbs</v>
      </c>
      <c r="Y62" s="24" t="str">
        <v>actual</v>
      </c>
      <c r="Z62" s="28" t="str">
        <v>3900</v>
      </c>
      <c r="AA62" s="28" t="str">
        <v>0.0540540540540539</v>
      </c>
      <c r="AB62" s="28" t="str">
        <v/>
      </c>
      <c r="AC62" s="28" t="str">
        <v/>
      </c>
      <c r="AD62" s="28" t="str">
        <v>0.0833333333333333</v>
      </c>
    </row>
    <row r="63" spans="1:30" x14ac:dyDescent="0.25">
      <c r="C63" s="4" t="s">
        <v>4</v>
      </c>
      <c r="D63" s="5"/>
      <c r="E63" s="4"/>
      <c r="F63" s="4"/>
      <c r="G63" s="12"/>
      <c r="H63" s="12">
        <f t="shared" ref="H63" si="122">+H62/D62-1</f>
        <v>2</v>
      </c>
      <c r="I63" s="12">
        <f t="shared" ref="I63" si="123">+I62/E62-1</f>
        <v>0.58333333333333326</v>
      </c>
      <c r="J63" s="12">
        <f t="shared" ref="J63" si="124">+J62/F62-1</f>
        <v>-0.1428571428571429</v>
      </c>
      <c r="K63" s="12">
        <f t="shared" ref="K63" si="125">+K62/G62-1</f>
        <v>-0.47499999999999998</v>
      </c>
      <c r="L63" s="12">
        <f t="shared" ref="L63" si="126">+L62/H62-1</f>
        <v>-0.18399999999999994</v>
      </c>
      <c r="M63" s="12">
        <f t="shared" ref="M63" si="127">+M62/I62-1</f>
        <v>2.9824561403508865E-2</v>
      </c>
      <c r="N63" s="12">
        <f t="shared" ref="N63" si="128">+N62/J62-1</f>
        <v>1.5208333333333335</v>
      </c>
      <c r="O63" s="12">
        <f t="shared" ref="O63" si="129">+O62/K62-1</f>
        <v>0.107936507936508</v>
      </c>
      <c r="P63" s="12">
        <f t="shared" ref="P63" si="130">+P62/L62-1</f>
        <v>0.70261437908496727</v>
      </c>
      <c r="Q63" s="12">
        <f t="shared" ref="Q63" si="131">+Q62/M62-1</f>
        <v>0.57410562180579228</v>
      </c>
      <c r="R63" s="12">
        <f t="shared" ref="R63" si="132">+R62/N62-1</f>
        <v>0.52396694214876027</v>
      </c>
      <c r="S63" s="12">
        <f t="shared" ref="S63" si="133">+S62/O62-1</f>
        <v>0.47277936962750711</v>
      </c>
      <c r="U63" s="24" t="str">
        <v>CCJ US EQUITY</v>
      </c>
      <c r="V63" s="24">
        <v>45838</v>
      </c>
      <c r="W63" s="24" t="str">
        <v>custom</v>
      </c>
      <c r="X63" s="24" t="str">
        <v>fuel_services_production_lbs</v>
      </c>
      <c r="Y63" s="24" t="str">
        <v>actual</v>
      </c>
      <c r="Z63" s="28" t="str">
        <v>3200</v>
      </c>
      <c r="AA63" s="28" t="str">
        <v>0.103448275862069</v>
      </c>
      <c r="AB63" s="28" t="str">
        <v>493.94221808015</v>
      </c>
      <c r="AC63" s="28" t="str">
        <v/>
      </c>
      <c r="AD63" s="28" t="str">
        <v>-0.17948717948718</v>
      </c>
    </row>
    <row r="64" spans="1:30" x14ac:dyDescent="0.25">
      <c r="C64" s="4" t="s">
        <v>15</v>
      </c>
      <c r="D64" s="1"/>
      <c r="I64" s="7">
        <f t="shared" ref="I64" si="134">(I63-H63)*10000</f>
        <v>-14166.666666666668</v>
      </c>
      <c r="J64" s="7">
        <f t="shared" ref="J64" si="135">(J63-I63)*10000</f>
        <v>-7261.9047619047615</v>
      </c>
      <c r="K64" s="7">
        <f>(K63-J63)*10000</f>
        <v>-3321.4285714285706</v>
      </c>
      <c r="L64" s="7">
        <f>(L63-K63)*10000</f>
        <v>2910.0000000000005</v>
      </c>
      <c r="M64" s="7">
        <f>(M63-L63)*10000</f>
        <v>2138.2456140350882</v>
      </c>
      <c r="N64" s="7">
        <f>(N63-M63)*10000</f>
        <v>14910.087719298246</v>
      </c>
      <c r="O64" s="7">
        <f>(O63-N63)*10000</f>
        <v>-14128.968253968254</v>
      </c>
      <c r="P64" s="7">
        <f t="shared" ref="P64" si="136">(P63-O63)*10000</f>
        <v>5946.7787114845923</v>
      </c>
      <c r="Q64" s="7">
        <f t="shared" ref="Q64" si="137">(Q63-P63)*10000</f>
        <v>-1285.0875727917498</v>
      </c>
      <c r="R64" s="7">
        <f t="shared" ref="R64" si="138">(R63-Q63)*10000</f>
        <v>-501.38679657032003</v>
      </c>
      <c r="S64" s="7">
        <f t="shared" ref="S64" si="139">(S63-R63)*10000</f>
        <v>-511.87572521253168</v>
      </c>
      <c r="U64" s="24" t="str">
        <v>CCJ US EQUITY</v>
      </c>
      <c r="V64" s="24">
        <v>45930</v>
      </c>
      <c r="W64" s="24" t="str">
        <v>custom</v>
      </c>
      <c r="X64" s="24" t="str">
        <v>fuel_services_production_lbs</v>
      </c>
      <c r="Y64" s="24" t="str">
        <v>actual</v>
      </c>
      <c r="Z64" s="28" t="str">
        <v>3100</v>
      </c>
      <c r="AA64" s="28" t="str">
        <v>-0.03125</v>
      </c>
      <c r="AB64" s="28" t="str">
        <v>-1346.98275862069</v>
      </c>
      <c r="AC64" s="28" t="str">
        <v/>
      </c>
      <c r="AD64" s="28" t="str">
        <v>-0.03125</v>
      </c>
    </row>
    <row r="65" spans="1:30" x14ac:dyDescent="0.25">
      <c r="C65" s="4" t="s">
        <v>28</v>
      </c>
      <c r="D65" s="1"/>
      <c r="E65" s="6"/>
      <c r="F65" s="6"/>
      <c r="G65" s="6"/>
      <c r="H65" s="6"/>
      <c r="I65" s="6"/>
      <c r="J65" s="6"/>
      <c r="K65" s="6"/>
      <c r="L65" s="12">
        <f t="shared" ref="L65" si="140">(1+H63)*(1+L63)-1</f>
        <v>1.4480000000000004</v>
      </c>
      <c r="M65" s="12">
        <f t="shared" ref="M65" si="141">(1+I63)*(1+M63)-1</f>
        <v>0.63055555555555554</v>
      </c>
      <c r="N65" s="12">
        <f t="shared" ref="N65" si="142">(1+J63)*(1+N63)-1</f>
        <v>1.1607142857142856</v>
      </c>
      <c r="O65" s="12">
        <f t="shared" ref="O65" si="143">(1+K63)*(1+O63)-1</f>
        <v>-0.41833333333333322</v>
      </c>
      <c r="P65" s="12">
        <f t="shared" ref="P65" si="144">(1+L63)*(1+P63)-1</f>
        <v>0.38933333333333331</v>
      </c>
      <c r="Q65" s="12">
        <f t="shared" ref="Q65" si="145">(1+M63)*(1+Q63)-1</f>
        <v>0.62105263157894752</v>
      </c>
      <c r="R65" s="12">
        <f t="shared" ref="R65" si="146">(1+N63)*(1+R63)-1</f>
        <v>2.8416666666666668</v>
      </c>
      <c r="S65" s="12">
        <f t="shared" ref="S65" si="147">(1+O63)*(1+S63)-1</f>
        <v>0.63174603174603172</v>
      </c>
      <c r="U65" s="24" t="str">
        <v>CCJ US EQUITY</v>
      </c>
      <c r="V65" s="24">
        <v>46022</v>
      </c>
      <c r="W65" s="24" t="str">
        <v>custom</v>
      </c>
      <c r="X65" s="24" t="str">
        <v>fuel_services_production_lbs</v>
      </c>
      <c r="Y65" s="24" t="str">
        <v>actual</v>
      </c>
      <c r="Z65" s="28" t="str">
        <v>3800</v>
      </c>
      <c r="AA65" s="28" t="str">
        <v>0.0555555555555556</v>
      </c>
      <c r="AB65" s="28" t="str">
        <v>868.055555555556</v>
      </c>
      <c r="AC65" s="28" t="str">
        <v/>
      </c>
      <c r="AD65" s="28" t="str">
        <v>0.225806451612903</v>
      </c>
    </row>
    <row r="66" spans="1:30" x14ac:dyDescent="0.25">
      <c r="C66" s="4" t="s">
        <v>5</v>
      </c>
      <c r="D66" s="1"/>
      <c r="E66" s="12">
        <f t="shared" ref="E66" si="148">E62/D62-1</f>
        <v>0.43999999999999995</v>
      </c>
      <c r="F66" s="12">
        <f t="shared" ref="F66" si="149">F62/E62-1</f>
        <v>-0.22222222222222221</v>
      </c>
      <c r="G66" s="12">
        <f t="shared" ref="G66" si="150">G62/F62-1</f>
        <v>3.2857142857142856</v>
      </c>
      <c r="H66" s="12">
        <f t="shared" ref="H66" si="151">H62/G62-1</f>
        <v>-0.375</v>
      </c>
      <c r="I66" s="12">
        <f t="shared" ref="I66" si="152">I62/H62-1</f>
        <v>-0.24</v>
      </c>
      <c r="J66" s="12">
        <f t="shared" ref="J66" si="153">J62/I62-1</f>
        <v>-0.57894736842105265</v>
      </c>
      <c r="K66" s="12">
        <f t="shared" ref="K66" si="154">K62/J62-1</f>
        <v>1.625</v>
      </c>
      <c r="L66" s="12">
        <f t="shared" ref="L66" si="155">L62/K62-1</f>
        <v>-2.8571428571428581E-2</v>
      </c>
      <c r="M66" s="12">
        <f t="shared" ref="M66" si="156">M62/L62-1</f>
        <v>-4.0849673202614345E-2</v>
      </c>
      <c r="N66" s="12">
        <f t="shared" ref="N66" si="157">N62/M62-1</f>
        <v>3.0664395229982988E-2</v>
      </c>
      <c r="O66" s="12">
        <f t="shared" ref="O66" si="158">O62/N62-1</f>
        <v>0.15371900826446283</v>
      </c>
      <c r="P66" s="12">
        <f t="shared" ref="P66" si="159">P62/O62-1</f>
        <v>0.49283667621776517</v>
      </c>
      <c r="Q66" s="12">
        <f t="shared" ref="Q66" si="160">Q62/P62-1</f>
        <v>-0.11324376199616115</v>
      </c>
      <c r="R66" s="12">
        <f t="shared" ref="R66" si="161">R62/Q62-1</f>
        <v>-2.1645021645021467E-3</v>
      </c>
      <c r="S66" s="12">
        <f t="shared" ref="S66" si="162">S62/R62-1</f>
        <v>0.11496746203904551</v>
      </c>
      <c r="U66" s="24" t="str">
        <v>CCJ US EQUITY</v>
      </c>
      <c r="V66" s="24">
        <v>46112</v>
      </c>
      <c r="W66" s="24" t="str">
        <v>custom</v>
      </c>
      <c r="X66" s="24" t="str">
        <v>fuel_services_production_lbs</v>
      </c>
      <c r="Y66" s="24" t="str">
        <v>forecast</v>
      </c>
      <c r="Z66" s="28" t="str">
        <v>3658.3</v>
      </c>
      <c r="AA66" s="28" t="str">
        <v>-0.0619743589743589</v>
      </c>
      <c r="AB66" s="28" t="str">
        <v>-1175.29914529914</v>
      </c>
      <c r="AC66" s="28" t="str">
        <v>-0.0112702702702703</v>
      </c>
      <c r="AD66" s="28" t="str">
        <v>-0.0372894736842104</v>
      </c>
    </row>
    <row r="67" spans="1:30" x14ac:dyDescent="0.25">
      <c r="C67" s="4"/>
      <c r="D67" s="1"/>
      <c r="K67" s="30"/>
      <c r="L67" s="7"/>
      <c r="M67" s="7"/>
      <c r="N67" s="7"/>
      <c r="O67" s="7"/>
      <c r="P67" s="7"/>
      <c r="Q67" s="7"/>
      <c r="R67" s="7"/>
      <c r="U67" s="24" t="str">
        <v>CCJ US EQUITY</v>
      </c>
      <c r="V67" s="24">
        <v>46203</v>
      </c>
      <c r="W67" s="24" t="str">
        <v>custom</v>
      </c>
      <c r="X67" s="24" t="str">
        <v>fuel_services_production_lbs</v>
      </c>
      <c r="Y67" s="24" t="str">
        <v>forecast</v>
      </c>
      <c r="Z67" s="28" t="str">
        <v>3383.3</v>
      </c>
      <c r="AA67" s="28" t="str">
        <v>0.05728125</v>
      </c>
      <c r="AB67" s="28" t="str">
        <v>1192.55608974359</v>
      </c>
      <c r="AC67" s="28" t="str">
        <v>0.166655172413793</v>
      </c>
      <c r="AD67" s="28" t="str">
        <v>-0.0751715277587951</v>
      </c>
    </row>
    <row r="68" spans="1:30" x14ac:dyDescent="0.25">
      <c r="C68" s="13" t="s">
        <v>10</v>
      </c>
      <c r="D68" s="14">
        <f t="shared" ref="D68:L68" si="163">EOMONTH(DATE(YEAR(D70),ROUNDUP(MONTH(D70)/3,0)*3,1),0)</f>
        <v>45382</v>
      </c>
      <c r="E68" s="14">
        <f t="shared" si="163"/>
        <v>45473</v>
      </c>
      <c r="F68" s="14">
        <f t="shared" si="163"/>
        <v>45565</v>
      </c>
      <c r="G68" s="14">
        <f t="shared" si="163"/>
        <v>45657</v>
      </c>
      <c r="H68" s="14">
        <f t="shared" si="163"/>
        <v>45747</v>
      </c>
      <c r="I68" s="14">
        <f t="shared" si="163"/>
        <v>45838</v>
      </c>
      <c r="J68" s="14">
        <f t="shared" si="163"/>
        <v>45930</v>
      </c>
      <c r="K68" s="14">
        <f t="shared" si="163"/>
        <v>46022</v>
      </c>
      <c r="L68" s="14">
        <f t="shared" si="163"/>
        <v>46112</v>
      </c>
      <c r="M68" s="14">
        <f>EOMONTH(DATE(YEAR(M70),ROUNDUP(MONTH(M70)/3,0)*3,1),0)</f>
        <v>46203</v>
      </c>
      <c r="N68" s="14">
        <f>EOMONTH(DATE(YEAR(N70),ROUNDUP(MONTH(N70)/3,0)*3,1),0)</f>
        <v>46295</v>
      </c>
      <c r="O68" s="14">
        <f>EOMONTH(DATE(YEAR(O70),ROUNDUP(MONTH(O70)/3,0)*3,1),0)</f>
        <v>46387</v>
      </c>
      <c r="P68" s="14">
        <f t="shared" ref="P68:S68" si="164">EOMONTH(DATE(YEAR(P70),ROUNDUP(MONTH(P70)/3,0)*3,1),0)</f>
        <v>46477</v>
      </c>
      <c r="Q68" s="14">
        <f t="shared" si="164"/>
        <v>46568</v>
      </c>
      <c r="R68" s="14">
        <f t="shared" si="164"/>
        <v>46660</v>
      </c>
      <c r="S68" s="14">
        <f t="shared" si="164"/>
        <v>46752</v>
      </c>
      <c r="U68" s="24" t="str">
        <v>CCJ US EQUITY</v>
      </c>
      <c r="V68" s="24">
        <v>46295</v>
      </c>
      <c r="W68" s="24" t="str">
        <v>custom</v>
      </c>
      <c r="X68" s="24" t="str">
        <v>fuel_services_production_lbs</v>
      </c>
      <c r="Y68" s="24" t="str">
        <v>forecast</v>
      </c>
      <c r="Z68" s="28" t="str">
        <v>3116.7</v>
      </c>
      <c r="AA68" s="28" t="str">
        <v>0.00538709677419358</v>
      </c>
      <c r="AB68" s="28" t="str">
        <v>-518.941532258064</v>
      </c>
      <c r="AC68" s="28" t="str">
        <v>-0.02603125</v>
      </c>
      <c r="AD68" s="28" t="str">
        <v>-0.0787988058995657</v>
      </c>
    </row>
    <row r="69" spans="1:30" x14ac:dyDescent="0.25">
      <c r="C69" s="13" t="s">
        <v>22</v>
      </c>
      <c r="D69" s="2" t="str">
        <f t="shared" ref="D69:S69" si="165">+D$6</f>
        <v>actual</v>
      </c>
      <c r="E69" s="2" t="str">
        <f t="shared" si="165"/>
        <v>actual</v>
      </c>
      <c r="F69" s="2" t="str">
        <f t="shared" si="165"/>
        <v>actual</v>
      </c>
      <c r="G69" s="2" t="str">
        <f t="shared" si="165"/>
        <v>actual</v>
      </c>
      <c r="H69" s="2" t="str">
        <f t="shared" si="165"/>
        <v>actual</v>
      </c>
      <c r="I69" s="2" t="str">
        <f t="shared" si="165"/>
        <v>actual</v>
      </c>
      <c r="J69" s="2" t="str">
        <f t="shared" si="165"/>
        <v>actual</v>
      </c>
      <c r="K69" s="2" t="str">
        <f t="shared" si="165"/>
        <v>actual</v>
      </c>
      <c r="L69" s="2" t="str">
        <f t="shared" si="165"/>
        <v>forecast</v>
      </c>
      <c r="M69" s="2" t="str">
        <f t="shared" si="165"/>
        <v>forecast</v>
      </c>
      <c r="N69" s="2" t="str">
        <f t="shared" si="165"/>
        <v>forecast</v>
      </c>
      <c r="O69" s="2" t="str">
        <f t="shared" si="165"/>
        <v>forecast</v>
      </c>
      <c r="P69" s="2" t="str">
        <f t="shared" si="165"/>
        <v>forecast</v>
      </c>
      <c r="Q69" s="2" t="str">
        <f t="shared" si="165"/>
        <v>forecast</v>
      </c>
      <c r="R69" s="2" t="str">
        <f t="shared" si="165"/>
        <v>forecast</v>
      </c>
      <c r="S69" s="2" t="str">
        <f t="shared" si="165"/>
        <v>forecast</v>
      </c>
      <c r="U69" s="24" t="str">
        <v>CCJ US EQUITY</v>
      </c>
      <c r="V69" s="24">
        <v>46387</v>
      </c>
      <c r="W69" s="24" t="str">
        <v>custom</v>
      </c>
      <c r="X69" s="24" t="str">
        <v>fuel_services_production_lbs</v>
      </c>
      <c r="Y69" s="24" t="str">
        <v>forecast</v>
      </c>
      <c r="Z69" s="28" t="str">
        <v>3608.3</v>
      </c>
      <c r="AA69" s="28" t="str">
        <v>-0.0504473684210526</v>
      </c>
      <c r="AB69" s="28" t="str">
        <v>-558.344651952462</v>
      </c>
      <c r="AC69" s="28" t="str">
        <v>0.00230555555555556</v>
      </c>
      <c r="AD69" s="28" t="str">
        <v>0.157730933359002</v>
      </c>
    </row>
    <row r="70" spans="1:30" x14ac:dyDescent="0.25">
      <c r="D70" s="2">
        <f t="shared" ref="D70:S70" si="166">+D$7</f>
        <v>45382</v>
      </c>
      <c r="E70" s="2">
        <f t="shared" si="166"/>
        <v>45473</v>
      </c>
      <c r="F70" s="2">
        <f t="shared" si="166"/>
        <v>45565</v>
      </c>
      <c r="G70" s="2">
        <f t="shared" si="166"/>
        <v>45657</v>
      </c>
      <c r="H70" s="2">
        <f t="shared" si="166"/>
        <v>45747</v>
      </c>
      <c r="I70" s="2">
        <f t="shared" si="166"/>
        <v>45838</v>
      </c>
      <c r="J70" s="2">
        <f t="shared" si="166"/>
        <v>45930</v>
      </c>
      <c r="K70" s="2">
        <f t="shared" si="166"/>
        <v>46022</v>
      </c>
      <c r="L70" s="2">
        <f t="shared" si="166"/>
        <v>46112</v>
      </c>
      <c r="M70" s="2">
        <f t="shared" si="166"/>
        <v>46203</v>
      </c>
      <c r="N70" s="2">
        <f t="shared" si="166"/>
        <v>46295</v>
      </c>
      <c r="O70" s="2">
        <f t="shared" si="166"/>
        <v>46387</v>
      </c>
      <c r="P70" s="2">
        <f t="shared" si="166"/>
        <v>46477</v>
      </c>
      <c r="Q70" s="2">
        <f t="shared" si="166"/>
        <v>46568</v>
      </c>
      <c r="R70" s="2">
        <f t="shared" si="166"/>
        <v>46660</v>
      </c>
      <c r="S70" s="2">
        <f t="shared" si="166"/>
        <v>46752</v>
      </c>
      <c r="U70" s="24" t="str">
        <v>CCJ US EQUITY</v>
      </c>
      <c r="V70" s="24">
        <v>46477</v>
      </c>
      <c r="W70" s="24" t="str">
        <v>custom</v>
      </c>
      <c r="X70" s="24" t="str">
        <v>fuel_services_production_lbs</v>
      </c>
      <c r="Y70" s="24" t="str">
        <v>forecast</v>
      </c>
      <c r="Z70" s="28" t="str">
        <v>3785</v>
      </c>
      <c r="AA70" s="28" t="str">
        <v>0.0346335729710521</v>
      </c>
      <c r="AB70" s="28" t="str">
        <v>850.809413921046</v>
      </c>
      <c r="AC70" s="28" t="str">
        <v>-0.0294871794871795</v>
      </c>
      <c r="AD70" s="28" t="str">
        <v>0.0489704292880304</v>
      </c>
    </row>
    <row r="71" spans="1:30" x14ac:dyDescent="0.25">
      <c r="A71" s="16" t="s">
        <v>17</v>
      </c>
      <c r="B71" s="16" t="s">
        <v>74</v>
      </c>
      <c r="C71" s="2" t="s">
        <v>75</v>
      </c>
      <c r="D71" s="34">
        <v>77</v>
      </c>
      <c r="E71" s="34">
        <v>121</v>
      </c>
      <c r="F71" s="34">
        <v>122</v>
      </c>
      <c r="G71" s="34">
        <f>483-F71-E71-D71</f>
        <v>163</v>
      </c>
      <c r="H71" s="34">
        <v>92</v>
      </c>
      <c r="I71" s="34">
        <v>352</v>
      </c>
      <c r="J71" s="34">
        <v>124</v>
      </c>
      <c r="K71" s="34">
        <f>780-J71-I71-H71</f>
        <v>212</v>
      </c>
      <c r="L71" s="34">
        <v>108.3</v>
      </c>
      <c r="M71" s="34">
        <v>150.30000000000001</v>
      </c>
      <c r="N71" s="34">
        <v>138.19999999999999</v>
      </c>
      <c r="O71" s="34">
        <v>214.2</v>
      </c>
      <c r="P71" s="34">
        <v>130.6</v>
      </c>
      <c r="Q71" s="34">
        <v>166.7</v>
      </c>
      <c r="R71" s="34">
        <v>151.80000000000001</v>
      </c>
      <c r="S71" s="34">
        <v>319.5</v>
      </c>
      <c r="U71" t="str">
        <v>CCJ US EQUITY</v>
      </c>
      <c r="V71" s="24">
        <v>46568</v>
      </c>
      <c r="W71" s="24" t="str">
        <v>custom</v>
      </c>
      <c r="X71" s="24" t="str">
        <v>fuel_services_production_lbs</v>
      </c>
      <c r="Y71" s="24" t="str">
        <v>forecast</v>
      </c>
      <c r="Z71" s="28" t="str">
        <v>3445</v>
      </c>
      <c r="AA71" s="28" t="str">
        <v>0.0182366328732302</v>
      </c>
      <c r="AB71" s="28" t="str">
        <v>-163.969400978219</v>
      </c>
      <c r="AC71" s="28" t="str">
        <v>0.0765624999999999</v>
      </c>
      <c r="AD71" s="28" t="str">
        <v>-0.0898282694848085</v>
      </c>
    </row>
    <row r="72" spans="1:30" x14ac:dyDescent="0.25">
      <c r="C72" s="4" t="s">
        <v>4</v>
      </c>
      <c r="D72" s="5"/>
      <c r="E72" s="4"/>
      <c r="F72" s="4"/>
      <c r="G72" s="12"/>
      <c r="H72" s="12">
        <f t="shared" ref="H72" si="167">+H71/D71-1</f>
        <v>0.19480519480519476</v>
      </c>
      <c r="I72" s="12">
        <f t="shared" ref="I72" si="168">+I71/E71-1</f>
        <v>1.9090909090909092</v>
      </c>
      <c r="J72" s="12">
        <f t="shared" ref="J72" si="169">+J71/F71-1</f>
        <v>1.6393442622950838E-2</v>
      </c>
      <c r="K72" s="12">
        <f t="shared" ref="K72" si="170">+K71/G71-1</f>
        <v>0.30061349693251538</v>
      </c>
      <c r="L72" s="12">
        <f t="shared" ref="L72" si="171">+L71/H71-1</f>
        <v>0.17717391304347818</v>
      </c>
      <c r="M72" s="12">
        <f t="shared" ref="M72" si="172">+M71/I71-1</f>
        <v>-0.57301136363636362</v>
      </c>
      <c r="N72" s="12">
        <f t="shared" ref="N72" si="173">+N71/J71-1</f>
        <v>0.11451612903225805</v>
      </c>
      <c r="O72" s="12">
        <f t="shared" ref="O72" si="174">+O71/K71-1</f>
        <v>1.037735849056598E-2</v>
      </c>
      <c r="P72" s="12">
        <f t="shared" ref="P72" si="175">+P71/L71-1</f>
        <v>0.20590951061865193</v>
      </c>
      <c r="Q72" s="12">
        <f t="shared" ref="Q72" si="176">+Q71/M71-1</f>
        <v>0.10911510312707895</v>
      </c>
      <c r="R72" s="12">
        <f t="shared" ref="R72" si="177">+R71/N71-1</f>
        <v>9.8408104196816337E-2</v>
      </c>
      <c r="S72" s="12">
        <f t="shared" ref="S72" si="178">+S71/O71-1</f>
        <v>0.49159663865546221</v>
      </c>
      <c r="U72" t="str">
        <v>CCJ US EQUITY</v>
      </c>
      <c r="V72" s="24">
        <v>46660</v>
      </c>
      <c r="W72" s="24" t="str">
        <v>custom</v>
      </c>
      <c r="X72" s="24" t="str">
        <v>fuel_services_production_lbs</v>
      </c>
      <c r="Y72" s="24" t="str">
        <v>forecast</v>
      </c>
      <c r="Z72" s="28" t="str">
        <v>3125</v>
      </c>
      <c r="AA72" s="28" t="str">
        <v>0.00266307312221259</v>
      </c>
      <c r="AB72" s="28" t="str">
        <v>-155.735597510176</v>
      </c>
      <c r="AC72" s="28" t="str">
        <v>0.00806451612903225</v>
      </c>
      <c r="AD72" s="28" t="str">
        <v>-0.0928882438316401</v>
      </c>
    </row>
    <row r="73" spans="1:30" x14ac:dyDescent="0.25">
      <c r="C73" s="4" t="s">
        <v>15</v>
      </c>
      <c r="D73" s="1"/>
      <c r="I73" s="7">
        <f t="shared" ref="I73" si="179">(I72-H72)*10000</f>
        <v>17142.857142857145</v>
      </c>
      <c r="J73" s="7">
        <f t="shared" ref="J73" si="180">(J72-I72)*10000</f>
        <v>-18926.974664679583</v>
      </c>
      <c r="K73" s="7">
        <f>(K72-J72)*10000</f>
        <v>2842.2005430956456</v>
      </c>
      <c r="L73" s="7">
        <f>(L72-K72)*10000</f>
        <v>-1234.395838890372</v>
      </c>
      <c r="M73" s="7">
        <f>(M72-L72)*10000</f>
        <v>-7501.8527667984181</v>
      </c>
      <c r="N73" s="7">
        <f>(N72-M72)*10000</f>
        <v>6875.2749266862165</v>
      </c>
      <c r="O73" s="7">
        <f>(O72-N72)*10000</f>
        <v>-1041.3877054169207</v>
      </c>
      <c r="P73" s="7">
        <f t="shared" ref="P73" si="181">(P72-O72)*10000</f>
        <v>1955.3215212808595</v>
      </c>
      <c r="Q73" s="7">
        <f t="shared" ref="Q73" si="182">(Q72-P72)*10000</f>
        <v>-967.94407491572974</v>
      </c>
      <c r="R73" s="7">
        <f t="shared" ref="R73" si="183">(R72-Q72)*10000</f>
        <v>-107.06998930262613</v>
      </c>
      <c r="S73" s="7">
        <f t="shared" ref="S73" si="184">(S72-R72)*10000</f>
        <v>3931.8853445864588</v>
      </c>
      <c r="U73" t="str">
        <v>CCJ US EQUITY</v>
      </c>
      <c r="V73" s="24">
        <v>46752</v>
      </c>
      <c r="W73" s="24" t="str">
        <v>custom</v>
      </c>
      <c r="X73" s="24" t="str">
        <v>fuel_services_production_lbs</v>
      </c>
      <c r="Y73" s="24" t="str">
        <v>forecast</v>
      </c>
      <c r="Z73" s="28" t="str">
        <v>3745</v>
      </c>
      <c r="AA73" s="28" t="str">
        <v>0.0378848765346562</v>
      </c>
      <c r="AB73" s="28" t="str">
        <v>352.218034124436</v>
      </c>
      <c r="AC73" s="28" t="str">
        <v>-0.0144736842105262</v>
      </c>
      <c r="AD73" s="28" t="str">
        <v>0.1984</v>
      </c>
    </row>
    <row r="74" spans="1:30" x14ac:dyDescent="0.25">
      <c r="C74" s="4" t="s">
        <v>28</v>
      </c>
      <c r="D74" s="1"/>
      <c r="E74" s="6"/>
      <c r="F74" s="6"/>
      <c r="G74" s="6"/>
      <c r="H74" s="6"/>
      <c r="I74" s="6"/>
      <c r="J74" s="6"/>
      <c r="K74" s="6"/>
      <c r="L74" s="12">
        <f t="shared" ref="L74" si="185">(1+H72)*(1+L72)-1</f>
        <v>0.40649350649350624</v>
      </c>
      <c r="M74" s="12">
        <f t="shared" ref="M74" si="186">(1+I72)*(1+M72)-1</f>
        <v>0.24214876033057853</v>
      </c>
      <c r="N74" s="12">
        <f t="shared" ref="N74" si="187">(1+J72)*(1+N72)-1</f>
        <v>0.13278688524590154</v>
      </c>
      <c r="O74" s="12">
        <f t="shared" ref="O74" si="188">(1+K72)*(1+O72)-1</f>
        <v>0.31411042944785272</v>
      </c>
      <c r="P74" s="12">
        <f t="shared" ref="P74" si="189">(1+L72)*(1+P72)-1</f>
        <v>0.41956521739130426</v>
      </c>
      <c r="Q74" s="12">
        <f t="shared" ref="Q74" si="190">(1+M72)*(1+Q72)-1</f>
        <v>-0.52642045454545461</v>
      </c>
      <c r="R74" s="12">
        <f t="shared" ref="R74" si="191">(1+N72)*(1+R72)-1</f>
        <v>0.22419354838709693</v>
      </c>
      <c r="S74" s="12">
        <f t="shared" ref="S74" si="192">(1+O72)*(1+S72)-1</f>
        <v>0.50707547169811318</v>
      </c>
      <c r="U74" s="24" t="str" cm="1">
        <f t="array" ref="U74:AD85">_xlfn.LET(
  _xlpm.d, H59:S59,
  _xlpm.s, H60:S60,
  _xlpm.v, H62:S62,
  _xlpm.yy, H63:S63,
  _xlpm.qq, H64:S64,
  _xlpm.dyy, H65:S65,
  _xlpm.dqq, H66:S66,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CCJ US EQUITY</v>
      </c>
      <c r="V74">
        <v>45747</v>
      </c>
      <c r="W74" t="str">
        <v>custom</v>
      </c>
      <c r="X74" t="str">
        <v>fuel_services_EBITDA</v>
      </c>
      <c r="Y74" t="str">
        <v>actual</v>
      </c>
      <c r="Z74" t="str">
        <v>75</v>
      </c>
      <c r="AA74" t="str">
        <v>2</v>
      </c>
      <c r="AB74" t="str">
        <v/>
      </c>
      <c r="AC74" t="str">
        <v/>
      </c>
      <c r="AD74" t="str">
        <v>-0.375</v>
      </c>
    </row>
    <row r="75" spans="1:30" x14ac:dyDescent="0.25">
      <c r="C75" s="4" t="s">
        <v>5</v>
      </c>
      <c r="D75" s="1"/>
      <c r="E75" s="12">
        <f t="shared" ref="E75" si="193">E71/D71-1</f>
        <v>0.5714285714285714</v>
      </c>
      <c r="F75" s="12">
        <f t="shared" ref="F75" si="194">F71/E71-1</f>
        <v>8.2644628099173278E-3</v>
      </c>
      <c r="G75" s="12">
        <f t="shared" ref="G75" si="195">G71/F71-1</f>
        <v>0.33606557377049184</v>
      </c>
      <c r="H75" s="12">
        <f t="shared" ref="H75" si="196">H71/G71-1</f>
        <v>-0.43558282208588961</v>
      </c>
      <c r="I75" s="12">
        <f t="shared" ref="I75" si="197">I71/H71-1</f>
        <v>2.8260869565217392</v>
      </c>
      <c r="J75" s="12">
        <f t="shared" ref="J75" si="198">J71/I71-1</f>
        <v>-0.64772727272727271</v>
      </c>
      <c r="K75" s="12">
        <f t="shared" ref="K75" si="199">K71/J71-1</f>
        <v>0.70967741935483875</v>
      </c>
      <c r="L75" s="12">
        <f t="shared" ref="L75" si="200">L71/K71-1</f>
        <v>-0.48915094339622645</v>
      </c>
      <c r="M75" s="12">
        <f t="shared" ref="M75" si="201">M71/L71-1</f>
        <v>0.38781163434903054</v>
      </c>
      <c r="N75" s="12">
        <f t="shared" ref="N75" si="202">N71/M71-1</f>
        <v>-8.0505655355954886E-2</v>
      </c>
      <c r="O75" s="12">
        <f t="shared" ref="O75" si="203">O71/N71-1</f>
        <v>0.54992764109985526</v>
      </c>
      <c r="P75" s="12">
        <f t="shared" ref="P75" si="204">P71/O71-1</f>
        <v>-0.39028944911297847</v>
      </c>
      <c r="Q75" s="12">
        <f t="shared" ref="Q75" si="205">Q71/P71-1</f>
        <v>0.27641653905053598</v>
      </c>
      <c r="R75" s="12">
        <f t="shared" ref="R75" si="206">R71/Q71-1</f>
        <v>-8.9382123575284855E-2</v>
      </c>
      <c r="S75" s="12">
        <f t="shared" ref="S75" si="207">S71/R71-1</f>
        <v>1.1047430830039526</v>
      </c>
      <c r="U75" s="24" t="str">
        <v>CCJ US EQUITY</v>
      </c>
      <c r="V75">
        <v>45838</v>
      </c>
      <c r="W75" t="str">
        <v>custom</v>
      </c>
      <c r="X75" t="str">
        <v>fuel_services_EBITDA</v>
      </c>
      <c r="Y75" t="str">
        <v>actual</v>
      </c>
      <c r="Z75" t="str">
        <v>57</v>
      </c>
      <c r="AA75" t="str">
        <v>0.583333333333333</v>
      </c>
      <c r="AB75" t="str">
        <v>-14166.6666666667</v>
      </c>
      <c r="AC75" t="str">
        <v/>
      </c>
      <c r="AD75" t="str">
        <v>-0.24</v>
      </c>
    </row>
    <row r="76" spans="1:30" x14ac:dyDescent="0.25">
      <c r="C76" s="4"/>
      <c r="D76" s="1"/>
      <c r="K76" s="7"/>
      <c r="L76" s="7"/>
      <c r="M76" s="7"/>
      <c r="N76" s="7"/>
      <c r="O76" s="7"/>
      <c r="P76" s="7"/>
      <c r="Q76" s="7"/>
      <c r="R76" s="7"/>
      <c r="S76" s="7"/>
      <c r="U76" s="24" t="str">
        <v>CCJ US EQUITY</v>
      </c>
      <c r="V76">
        <v>45930</v>
      </c>
      <c r="W76" t="str">
        <v>custom</v>
      </c>
      <c r="X76" t="str">
        <v>fuel_services_EBITDA</v>
      </c>
      <c r="Y76" t="str">
        <v>actual</v>
      </c>
      <c r="Z76" t="str">
        <v>24</v>
      </c>
      <c r="AA76" t="str">
        <v>-0.142857142857143</v>
      </c>
      <c r="AB76" t="str">
        <v>-7261.90476190476</v>
      </c>
      <c r="AC76" t="str">
        <v/>
      </c>
      <c r="AD76" t="str">
        <v>-0.578947368421053</v>
      </c>
    </row>
    <row r="77" spans="1:30" x14ac:dyDescent="0.25"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U77" s="24" t="str">
        <v>CCJ US EQUITY</v>
      </c>
      <c r="V77">
        <v>46022</v>
      </c>
      <c r="W77" t="str">
        <v>custom</v>
      </c>
      <c r="X77" t="str">
        <v>fuel_services_EBITDA</v>
      </c>
      <c r="Y77" t="str">
        <v>actual</v>
      </c>
      <c r="Z77" t="str">
        <v>63</v>
      </c>
      <c r="AA77" t="str">
        <v>-0.475</v>
      </c>
      <c r="AB77" t="str">
        <v>-3321.42857142857</v>
      </c>
      <c r="AC77" t="str">
        <v/>
      </c>
      <c r="AD77" t="str">
        <v>1.625</v>
      </c>
    </row>
    <row r="78" spans="1:30" x14ac:dyDescent="0.25"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U78" s="24" t="str">
        <v>CCJ US EQUITY</v>
      </c>
      <c r="V78">
        <v>46112</v>
      </c>
      <c r="W78" t="str">
        <v>custom</v>
      </c>
      <c r="X78" t="str">
        <v>fuel_services_EBITDA</v>
      </c>
      <c r="Y78" t="str">
        <v>forecast</v>
      </c>
      <c r="Z78" t="str">
        <v>61.2</v>
      </c>
      <c r="AA78" t="str">
        <v>-0.184</v>
      </c>
      <c r="AB78" t="str">
        <v>2910</v>
      </c>
      <c r="AC78" t="str">
        <v>1.448</v>
      </c>
      <c r="AD78" t="str">
        <v>-0.0285714285714286</v>
      </c>
    </row>
    <row r="79" spans="1:30" x14ac:dyDescent="0.2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U79" s="24" t="str">
        <v>CCJ US EQUITY</v>
      </c>
      <c r="V79">
        <v>46203</v>
      </c>
      <c r="W79" t="str">
        <v>custom</v>
      </c>
      <c r="X79" t="str">
        <v>fuel_services_EBITDA</v>
      </c>
      <c r="Y79" t="str">
        <v>forecast</v>
      </c>
      <c r="Z79" t="str">
        <v>58.7</v>
      </c>
      <c r="AA79" t="str">
        <v>0.0298245614035089</v>
      </c>
      <c r="AB79" t="str">
        <v>2138.24561403509</v>
      </c>
      <c r="AC79" t="str">
        <v>0.630555555555556</v>
      </c>
      <c r="AD79" t="str">
        <v>-0.0408496732026143</v>
      </c>
    </row>
    <row r="80" spans="1:30" x14ac:dyDescent="0.25">
      <c r="A80" s="16"/>
      <c r="B80" s="16"/>
      <c r="C80" s="2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U80" s="24" t="str">
        <v>CCJ US EQUITY</v>
      </c>
      <c r="V80">
        <v>46295</v>
      </c>
      <c r="W80" t="str">
        <v>custom</v>
      </c>
      <c r="X80" t="str">
        <v>fuel_services_EBITDA</v>
      </c>
      <c r="Y80" t="str">
        <v>forecast</v>
      </c>
      <c r="Z80" t="str">
        <v>60.5</v>
      </c>
      <c r="AA80" t="str">
        <v>1.52083333333333</v>
      </c>
      <c r="AB80" t="str">
        <v>14910.0877192982</v>
      </c>
      <c r="AC80" t="str">
        <v>1.16071428571429</v>
      </c>
      <c r="AD80" t="str">
        <v>0.030664395229983</v>
      </c>
    </row>
    <row r="81" spans="3:30" x14ac:dyDescent="0.25">
      <c r="C81" s="4"/>
      <c r="D81" s="5"/>
      <c r="E81" s="4"/>
      <c r="F81" s="4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U81" s="24" t="str">
        <v>CCJ US EQUITY</v>
      </c>
      <c r="V81">
        <v>46387</v>
      </c>
      <c r="W81" t="str">
        <v>custom</v>
      </c>
      <c r="X81" t="str">
        <v>fuel_services_EBITDA</v>
      </c>
      <c r="Y81" t="str">
        <v>forecast</v>
      </c>
      <c r="Z81" t="str">
        <v>69.8</v>
      </c>
      <c r="AA81" t="str">
        <v>0.107936507936508</v>
      </c>
      <c r="AB81" t="str">
        <v>-14128.9682539683</v>
      </c>
      <c r="AC81" t="str">
        <v>-0.418333333333333</v>
      </c>
      <c r="AD81" t="str">
        <v>0.153719008264463</v>
      </c>
    </row>
    <row r="82" spans="3:30" x14ac:dyDescent="0.25">
      <c r="C82" s="4"/>
      <c r="D82" s="1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U82" s="24" t="str">
        <v>CCJ US EQUITY</v>
      </c>
      <c r="V82">
        <v>46477</v>
      </c>
      <c r="W82" t="str">
        <v>custom</v>
      </c>
      <c r="X82" t="str">
        <v>fuel_services_EBITDA</v>
      </c>
      <c r="Y82" t="str">
        <v>forecast</v>
      </c>
      <c r="Z82" t="str">
        <v>104.2</v>
      </c>
      <c r="AA82" t="str">
        <v>0.702614379084967</v>
      </c>
      <c r="AB82" t="str">
        <v>5946.77871148459</v>
      </c>
      <c r="AC82" t="str">
        <v>0.389333333333333</v>
      </c>
      <c r="AD82" t="str">
        <v>0.492836676217765</v>
      </c>
    </row>
    <row r="83" spans="3:30" x14ac:dyDescent="0.25">
      <c r="C83" s="4"/>
      <c r="D83" s="1"/>
      <c r="E83" s="6"/>
      <c r="F83" s="6"/>
      <c r="G83" s="6"/>
      <c r="H83" s="6"/>
      <c r="I83" s="6"/>
      <c r="J83" s="6"/>
      <c r="K83" s="6"/>
      <c r="L83" s="12"/>
      <c r="M83" s="12"/>
      <c r="N83" s="12"/>
      <c r="O83" s="12"/>
      <c r="P83" s="12"/>
      <c r="Q83" s="12"/>
      <c r="R83" s="12"/>
      <c r="S83" s="12"/>
      <c r="U83" t="str">
        <v>CCJ US EQUITY</v>
      </c>
      <c r="V83">
        <v>46568</v>
      </c>
      <c r="W83" t="str">
        <v>custom</v>
      </c>
      <c r="X83" t="str">
        <v>fuel_services_EBITDA</v>
      </c>
      <c r="Y83" t="str">
        <v>forecast</v>
      </c>
      <c r="Z83" t="str">
        <v>92.4</v>
      </c>
      <c r="AA83" t="str">
        <v>0.574105621805792</v>
      </c>
      <c r="AB83" t="str">
        <v>-1285.08757279175</v>
      </c>
      <c r="AC83" t="str">
        <v>0.621052631578948</v>
      </c>
      <c r="AD83" t="str">
        <v>-0.113243761996161</v>
      </c>
    </row>
    <row r="84" spans="3:30" x14ac:dyDescent="0.25">
      <c r="C84" s="4"/>
      <c r="D84" s="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U84" t="str">
        <v>CCJ US EQUITY</v>
      </c>
      <c r="V84">
        <v>46660</v>
      </c>
      <c r="W84" t="str">
        <v>custom</v>
      </c>
      <c r="X84" t="str">
        <v>fuel_services_EBITDA</v>
      </c>
      <c r="Y84" t="str">
        <v>forecast</v>
      </c>
      <c r="Z84" t="str">
        <v>92.2</v>
      </c>
      <c r="AA84" t="str">
        <v>0.52396694214876</v>
      </c>
      <c r="AB84" t="str">
        <v>-501.38679657032</v>
      </c>
      <c r="AC84" t="str">
        <v>2.84166666666667</v>
      </c>
      <c r="AD84" t="str">
        <v>-0.00216450216450215</v>
      </c>
    </row>
    <row r="85" spans="3:30" x14ac:dyDescent="0.25">
      <c r="U85" t="str">
        <v>CCJ US EQUITY</v>
      </c>
      <c r="V85">
        <v>46752</v>
      </c>
      <c r="W85" t="str">
        <v>custom</v>
      </c>
      <c r="X85" t="str">
        <v>fuel_services_EBITDA</v>
      </c>
      <c r="Y85" t="str">
        <v>forecast</v>
      </c>
      <c r="Z85" t="str">
        <v>102.8</v>
      </c>
      <c r="AA85" t="str">
        <v>0.472779369627507</v>
      </c>
      <c r="AB85" t="str">
        <v>-511.875725212532</v>
      </c>
      <c r="AC85" t="str">
        <v>0.631746031746032</v>
      </c>
      <c r="AD85" t="str">
        <v>0.114967462039046</v>
      </c>
    </row>
    <row r="86" spans="3:30" x14ac:dyDescent="0.25">
      <c r="U86" s="24" t="str" cm="1">
        <f t="array" ref="U86:AD97">_xlfn.LET(
  _xlpm.d, H68:S68,
  _xlpm.s, H69:S69,
  _xlpm.v, H71:S71,
  _xlpm.yy, H72:S72,
  _xlpm.qq, H73:S73,
  _xlpm.dyy, H74:S74,
  _xlpm.dqq, H75:S75,
  _xlpm.dd, TRANSPOSE(_xlpm.d),
  _xlpm.clean, _xlfn.LAMBDA(_xlpm.x, IF(_xlpm.x="","",_xlpm.x)),
_xlfn.HSTACK(
  _xlfn.MAKEARRAY(ROWS(_xlpm.dd),1, _xlfn.LAMBDA(_xlpm.r,_xlpm.c,$B$2)),
  _xlpm.dd,
  _xlfn.MAKEARRAY(ROWS(_xlpm.dd),1, _xlfn.LAMBDA(_xlpm.r,_xlpm.c,A71)),
  _xlfn.MAKEARRAY(ROWS(_xlpm.dd),1, _xlfn.LAMBDA(_xlpm.r,_xlpm.c,B71)),
  CLEAN(TRANSPOSE(_xlpm.s)),
  CLEAN(TRANSPOSE(_xlpm.v)),
  CLEAN(TRANSPOSE(_xlpm.yy)),
  CLEAN(TRANSPOSE(_xlpm.qq)),
  CLEAN(TRANSPOSE(_xlpm.dyy)),
  CLEAN(TRANSPOSE(_xlpm.dqq))
))</f>
        <v>CCJ US EQUITY</v>
      </c>
      <c r="V86">
        <v>45747</v>
      </c>
      <c r="W86" t="str">
        <v>custom</v>
      </c>
      <c r="X86" t="str">
        <v>westinghouse_EBITDA</v>
      </c>
      <c r="Y86" t="str">
        <v>actual</v>
      </c>
      <c r="Z86" t="str">
        <v>92</v>
      </c>
      <c r="AA86" t="str">
        <v>0.194805194805195</v>
      </c>
      <c r="AB86" t="str">
        <v/>
      </c>
      <c r="AC86" t="str">
        <v/>
      </c>
      <c r="AD86" t="str">
        <v>-0.43558282208589</v>
      </c>
    </row>
    <row r="87" spans="3:30" x14ac:dyDescent="0.25">
      <c r="U87" t="str">
        <v>CCJ US EQUITY</v>
      </c>
      <c r="V87">
        <v>45838</v>
      </c>
      <c r="W87" t="str">
        <v>custom</v>
      </c>
      <c r="X87" t="str">
        <v>westinghouse_EBITDA</v>
      </c>
      <c r="Y87" t="str">
        <v>actual</v>
      </c>
      <c r="Z87" t="str">
        <v>352</v>
      </c>
      <c r="AA87" t="str">
        <v>1.90909090909091</v>
      </c>
      <c r="AB87" t="str">
        <v>17142.8571428571</v>
      </c>
      <c r="AC87" t="str">
        <v/>
      </c>
      <c r="AD87" t="str">
        <v>2.82608695652174</v>
      </c>
    </row>
    <row r="88" spans="3:30" x14ac:dyDescent="0.25">
      <c r="U88" t="str">
        <v>CCJ US EQUITY</v>
      </c>
      <c r="V88">
        <v>45930</v>
      </c>
      <c r="W88" t="str">
        <v>custom</v>
      </c>
      <c r="X88" t="str">
        <v>westinghouse_EBITDA</v>
      </c>
      <c r="Y88" t="str">
        <v>actual</v>
      </c>
      <c r="Z88" t="str">
        <v>124</v>
      </c>
      <c r="AA88" t="str">
        <v>0.0163934426229508</v>
      </c>
      <c r="AB88" t="str">
        <v>-18926.9746646796</v>
      </c>
      <c r="AC88" t="str">
        <v/>
      </c>
      <c r="AD88" t="str">
        <v>-0.647727272727273</v>
      </c>
    </row>
    <row r="89" spans="3:30" x14ac:dyDescent="0.25">
      <c r="U89" s="24" t="str">
        <v>CCJ US EQUITY</v>
      </c>
      <c r="V89">
        <v>46022</v>
      </c>
      <c r="W89" t="str">
        <v>custom</v>
      </c>
      <c r="X89" t="str">
        <v>westinghouse_EBITDA</v>
      </c>
      <c r="Y89" t="str">
        <v>actual</v>
      </c>
      <c r="Z89" t="str">
        <v>212</v>
      </c>
      <c r="AA89" t="str">
        <v>0.300613496932515</v>
      </c>
      <c r="AB89" t="str">
        <v>2842.20054309565</v>
      </c>
      <c r="AC89" t="str">
        <v/>
      </c>
      <c r="AD89" t="str">
        <v>0.709677419354839</v>
      </c>
    </row>
    <row r="90" spans="3:30" x14ac:dyDescent="0.25">
      <c r="U90" t="str">
        <v>CCJ US EQUITY</v>
      </c>
      <c r="V90">
        <v>46112</v>
      </c>
      <c r="W90" t="str">
        <v>custom</v>
      </c>
      <c r="X90" t="str">
        <v>westinghouse_EBITDA</v>
      </c>
      <c r="Y90" t="str">
        <v>forecast</v>
      </c>
      <c r="Z90" t="str">
        <v>108.3</v>
      </c>
      <c r="AA90" t="str">
        <v>0.177173913043478</v>
      </c>
      <c r="AB90" t="str">
        <v>-1234.39583889037</v>
      </c>
      <c r="AC90" t="str">
        <v>0.406493506493506</v>
      </c>
      <c r="AD90" t="str">
        <v>-0.489150943396226</v>
      </c>
    </row>
    <row r="91" spans="3:30" x14ac:dyDescent="0.25">
      <c r="U91" t="str">
        <v>CCJ US EQUITY</v>
      </c>
      <c r="V91">
        <v>46203</v>
      </c>
      <c r="W91" t="str">
        <v>custom</v>
      </c>
      <c r="X91" t="str">
        <v>westinghouse_EBITDA</v>
      </c>
      <c r="Y91" t="str">
        <v>forecast</v>
      </c>
      <c r="Z91" t="str">
        <v>150.3</v>
      </c>
      <c r="AA91" t="str">
        <v>-0.573011363636364</v>
      </c>
      <c r="AB91" t="str">
        <v>-7501.85276679842</v>
      </c>
      <c r="AC91" t="str">
        <v>0.242148760330579</v>
      </c>
      <c r="AD91" t="str">
        <v>0.387811634349031</v>
      </c>
    </row>
    <row r="92" spans="3:30" x14ac:dyDescent="0.25">
      <c r="U92" t="str">
        <v>CCJ US EQUITY</v>
      </c>
      <c r="V92">
        <v>46295</v>
      </c>
      <c r="W92" t="str">
        <v>custom</v>
      </c>
      <c r="X92" t="str">
        <v>westinghouse_EBITDA</v>
      </c>
      <c r="Y92" t="str">
        <v>forecast</v>
      </c>
      <c r="Z92" t="str">
        <v>138.2</v>
      </c>
      <c r="AA92" t="str">
        <v>0.114516129032258</v>
      </c>
      <c r="AB92" t="str">
        <v>6875.27492668622</v>
      </c>
      <c r="AC92" t="str">
        <v>0.132786885245902</v>
      </c>
      <c r="AD92" t="str">
        <v>-0.0805056553559549</v>
      </c>
    </row>
    <row r="93" spans="3:30" x14ac:dyDescent="0.25">
      <c r="U93" t="str">
        <v>CCJ US EQUITY</v>
      </c>
      <c r="V93">
        <v>46387</v>
      </c>
      <c r="W93" t="str">
        <v>custom</v>
      </c>
      <c r="X93" t="str">
        <v>westinghouse_EBITDA</v>
      </c>
      <c r="Y93" t="str">
        <v>forecast</v>
      </c>
      <c r="Z93" t="str">
        <v>214.2</v>
      </c>
      <c r="AA93" t="str">
        <v>0.010377358490566</v>
      </c>
      <c r="AB93" t="str">
        <v>-1041.38770541692</v>
      </c>
      <c r="AC93" t="str">
        <v>0.314110429447853</v>
      </c>
      <c r="AD93" t="str">
        <v>0.549927641099855</v>
      </c>
    </row>
    <row r="94" spans="3:30" x14ac:dyDescent="0.25">
      <c r="U94" t="str">
        <v>CCJ US EQUITY</v>
      </c>
      <c r="V94">
        <v>46477</v>
      </c>
      <c r="W94" t="str">
        <v>custom</v>
      </c>
      <c r="X94" t="str">
        <v>westinghouse_EBITDA</v>
      </c>
      <c r="Y94" t="str">
        <v>forecast</v>
      </c>
      <c r="Z94" t="str">
        <v>130.6</v>
      </c>
      <c r="AA94" t="str">
        <v>0.205909510618652</v>
      </c>
      <c r="AB94" t="str">
        <v>1955.32152128086</v>
      </c>
      <c r="AC94" t="str">
        <v>0.419565217391304</v>
      </c>
      <c r="AD94" t="str">
        <v>-0.390289449112978</v>
      </c>
    </row>
    <row r="95" spans="3:30" x14ac:dyDescent="0.25">
      <c r="U95" t="str">
        <v>CCJ US EQUITY</v>
      </c>
      <c r="V95">
        <v>46568</v>
      </c>
      <c r="W95" t="str">
        <v>custom</v>
      </c>
      <c r="X95" t="str">
        <v>westinghouse_EBITDA</v>
      </c>
      <c r="Y95" t="str">
        <v>forecast</v>
      </c>
      <c r="Z95" t="str">
        <v>166.7</v>
      </c>
      <c r="AA95" t="str">
        <v>0.109115103127079</v>
      </c>
      <c r="AB95" t="str">
        <v>-967.94407491573</v>
      </c>
      <c r="AC95" t="str">
        <v>-0.526420454545455</v>
      </c>
      <c r="AD95" t="str">
        <v>0.276416539050536</v>
      </c>
    </row>
    <row r="96" spans="3:30" x14ac:dyDescent="0.25">
      <c r="U96" t="str">
        <v>CCJ US EQUITY</v>
      </c>
      <c r="V96">
        <v>46660</v>
      </c>
      <c r="W96" t="str">
        <v>custom</v>
      </c>
      <c r="X96" t="str">
        <v>westinghouse_EBITDA</v>
      </c>
      <c r="Y96" t="str">
        <v>forecast</v>
      </c>
      <c r="Z96" t="str">
        <v>151.8</v>
      </c>
      <c r="AA96" t="str">
        <v>0.0984081041968163</v>
      </c>
      <c r="AB96" t="str">
        <v>-107.069989302626</v>
      </c>
      <c r="AC96" t="str">
        <v>0.224193548387097</v>
      </c>
      <c r="AD96" t="str">
        <v>-0.0893821235752849</v>
      </c>
    </row>
    <row r="97" spans="21:30" x14ac:dyDescent="0.25">
      <c r="U97" t="str">
        <v>CCJ US EQUITY</v>
      </c>
      <c r="V97">
        <v>46752</v>
      </c>
      <c r="W97" t="str">
        <v>custom</v>
      </c>
      <c r="X97" t="str">
        <v>westinghouse_EBITDA</v>
      </c>
      <c r="Y97" t="str">
        <v>forecast</v>
      </c>
      <c r="Z97" t="str">
        <v>319.5</v>
      </c>
      <c r="AA97" t="str">
        <v>0.491596638655462</v>
      </c>
      <c r="AB97" t="str">
        <v>3931.88534458646</v>
      </c>
      <c r="AC97" t="str">
        <v>0.507075471698113</v>
      </c>
      <c r="AD97" t="str">
        <v>1.10474308300395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40D8-0CD6-47ED-A61B-42C054E64627}">
  <dimension ref="A1:AD89"/>
  <sheetViews>
    <sheetView tabSelected="1" topLeftCell="A34" zoomScaleNormal="100" workbookViewId="0">
      <selection activeCell="F58" sqref="F58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18</v>
      </c>
      <c r="B1" s="22" t="s">
        <v>18</v>
      </c>
      <c r="C1" s="22" t="s">
        <v>18</v>
      </c>
      <c r="D1" s="22" t="s">
        <v>18</v>
      </c>
      <c r="E1" s="22" t="s">
        <v>18</v>
      </c>
      <c r="F1" s="22" t="s">
        <v>18</v>
      </c>
      <c r="G1" s="22" t="s">
        <v>18</v>
      </c>
      <c r="H1" s="22" t="s">
        <v>18</v>
      </c>
      <c r="I1" s="22" t="s">
        <v>18</v>
      </c>
      <c r="J1" s="22" t="s">
        <v>18</v>
      </c>
      <c r="K1" s="22" t="s">
        <v>18</v>
      </c>
      <c r="L1" s="22" t="s">
        <v>18</v>
      </c>
      <c r="M1" s="22" t="s">
        <v>18</v>
      </c>
      <c r="N1" s="22" t="s">
        <v>18</v>
      </c>
      <c r="O1" s="22" t="s">
        <v>18</v>
      </c>
      <c r="P1" s="22" t="s">
        <v>18</v>
      </c>
      <c r="Q1" s="22" t="s">
        <v>18</v>
      </c>
      <c r="R1" s="22" t="s">
        <v>18</v>
      </c>
      <c r="S1" s="22" t="s">
        <v>18</v>
      </c>
      <c r="U1" s="23" t="s">
        <v>11</v>
      </c>
      <c r="V1" s="23" t="s">
        <v>9</v>
      </c>
      <c r="W1" s="23" t="s">
        <v>14</v>
      </c>
      <c r="X1" s="23" t="s">
        <v>13</v>
      </c>
      <c r="Y1" s="23" t="s">
        <v>25</v>
      </c>
      <c r="Z1" s="23" t="s">
        <v>8</v>
      </c>
      <c r="AA1" s="23" t="s">
        <v>12</v>
      </c>
      <c r="AB1" s="23" t="s">
        <v>16</v>
      </c>
      <c r="AC1" s="23" t="s">
        <v>20</v>
      </c>
      <c r="AD1" s="23" t="s">
        <v>21</v>
      </c>
    </row>
    <row r="2" spans="1:30" x14ac:dyDescent="0.25">
      <c r="A2" s="17" t="s">
        <v>1</v>
      </c>
      <c r="B2" s="25" t="s">
        <v>76</v>
      </c>
      <c r="U2" s="24" t="str" cm="1">
        <f t="array" ref="U2:AD13">_xlfn.LET(
  _xlpm.d, H5:S5,
  _xlpm.s, H6:S6,
  _xlpm.v, H8:S8,
  _xlpm.yy, H9:S9,
  _xlpm.qq, H10:S10,
  _xlpm.dyy, H11:S11,
  _xlpm.dqq, H12:S12,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HUBB US EQUITY</v>
      </c>
      <c r="V2" s="24">
        <v>45747</v>
      </c>
      <c r="W2" s="24" t="str">
        <v>canonical</v>
      </c>
      <c r="X2" s="24" t="str">
        <v>revenue</v>
      </c>
      <c r="Y2" s="24" t="str">
        <v>actual</v>
      </c>
      <c r="Z2" s="28" t="str">
        <v>1365.2</v>
      </c>
      <c r="AA2" s="28" t="str">
        <v>-0.0242298620541775</v>
      </c>
      <c r="AB2" s="28" t="str">
        <v/>
      </c>
      <c r="AC2" s="28" t="str">
        <v/>
      </c>
      <c r="AD2" s="28" t="str">
        <v>0.0231582102975343</v>
      </c>
    </row>
    <row r="3" spans="1:30" x14ac:dyDescent="0.25">
      <c r="A3" s="18" t="s">
        <v>3</v>
      </c>
      <c r="B3" s="19">
        <f>+B4-365*2</f>
        <v>45292</v>
      </c>
      <c r="U3" s="24" t="str">
        <v>HUBB US EQUITY</v>
      </c>
      <c r="V3" s="24">
        <v>45838</v>
      </c>
      <c r="W3" s="24" t="str">
        <v>canonical</v>
      </c>
      <c r="X3" s="24" t="str">
        <v>revenue</v>
      </c>
      <c r="Y3" s="24" t="str">
        <v>actual</v>
      </c>
      <c r="Z3" s="28" t="str">
        <v>1484.3</v>
      </c>
      <c r="AA3" s="28" t="str">
        <v>0.021893287435456</v>
      </c>
      <c r="AB3" s="28" t="str">
        <v>461.231494896336</v>
      </c>
      <c r="AC3" s="28" t="str">
        <v/>
      </c>
      <c r="AD3" s="28" t="str">
        <v>0.0872399648403164</v>
      </c>
    </row>
    <row r="4" spans="1:30" x14ac:dyDescent="0.25">
      <c r="A4" s="20" t="s">
        <v>2</v>
      </c>
      <c r="B4" s="21">
        <v>46022</v>
      </c>
      <c r="U4" s="24" t="str">
        <v>HUBB US EQUITY</v>
      </c>
      <c r="V4" s="24">
        <v>45930</v>
      </c>
      <c r="W4" s="24" t="str">
        <v>canonical</v>
      </c>
      <c r="X4" s="24" t="str">
        <v>revenue</v>
      </c>
      <c r="Y4" s="24" t="str">
        <v>actual</v>
      </c>
      <c r="Z4" s="28" t="str">
        <v>1502.4</v>
      </c>
      <c r="AA4" s="28" t="str">
        <v>0.0414529322057398</v>
      </c>
      <c r="AB4" s="28" t="str">
        <v>195.596447702837</v>
      </c>
      <c r="AC4" s="28" t="str">
        <v/>
      </c>
      <c r="AD4" s="28" t="str">
        <v>0.0121943003435965</v>
      </c>
    </row>
    <row r="5" spans="1:30" x14ac:dyDescent="0.25">
      <c r="C5" s="13" t="s">
        <v>10</v>
      </c>
      <c r="D5" s="14">
        <f>EOMONTH(DATE(YEAR(D7),ROUNDUP(MONTH(D7)/3,0)*3,1),0)</f>
        <v>45382</v>
      </c>
      <c r="E5" s="14">
        <f>EOMONTH(DATE(YEAR(E7),ROUNDUP(MONTH(E7)/3,0)*3,1),0)</f>
        <v>45473</v>
      </c>
      <c r="F5" s="14">
        <f>EOMONTH(DATE(YEAR(F7),ROUNDUP(MONTH(F7)/3,0)*3,1),0)</f>
        <v>45565</v>
      </c>
      <c r="G5" s="14">
        <f t="shared" ref="G5:K5" si="0">EOMONTH(DATE(YEAR(G7),ROUNDUP(MONTH(G7)/3,0)*3,1),0)</f>
        <v>45657</v>
      </c>
      <c r="H5" s="14">
        <f t="shared" si="0"/>
        <v>45747</v>
      </c>
      <c r="I5" s="14">
        <f t="shared" si="0"/>
        <v>45838</v>
      </c>
      <c r="J5" s="14">
        <f t="shared" si="0"/>
        <v>45930</v>
      </c>
      <c r="K5" s="14">
        <f t="shared" si="0"/>
        <v>46022</v>
      </c>
      <c r="L5" s="14">
        <f>EOMONTH(DATE(YEAR(L7),ROUNDUP(MONTH(L7)/3,0)*3,1),0)</f>
        <v>46112</v>
      </c>
      <c r="M5" s="14">
        <f>EOMONTH(DATE(YEAR(M7),ROUNDUP(MONTH(M7)/3,0)*3,1),0)</f>
        <v>46203</v>
      </c>
      <c r="N5" s="14">
        <f>EOMONTH(DATE(YEAR(N7),ROUNDUP(MONTH(N7)/3,0)*3,1),0)</f>
        <v>46295</v>
      </c>
      <c r="O5" s="14">
        <f>EOMONTH(DATE(YEAR(O7),ROUNDUP(MONTH(O7)/3,0)*3,1),0)</f>
        <v>46387</v>
      </c>
      <c r="P5" s="14">
        <f t="shared" ref="P5:S5" si="1">EOMONTH(DATE(YEAR(P7),ROUNDUP(MONTH(P7)/3,0)*3,1),0)</f>
        <v>46477</v>
      </c>
      <c r="Q5" s="14">
        <f t="shared" si="1"/>
        <v>46568</v>
      </c>
      <c r="R5" s="14">
        <f t="shared" si="1"/>
        <v>46660</v>
      </c>
      <c r="S5" s="14">
        <f t="shared" si="1"/>
        <v>46752</v>
      </c>
      <c r="U5" s="24" t="str">
        <v>HUBB US EQUITY</v>
      </c>
      <c r="V5" s="24">
        <v>46022</v>
      </c>
      <c r="W5" s="24" t="str">
        <v>canonical</v>
      </c>
      <c r="X5" s="24" t="str">
        <v>revenue</v>
      </c>
      <c r="Y5" s="24" t="str">
        <v>actual</v>
      </c>
      <c r="Z5" s="28" t="str">
        <v>1492.7</v>
      </c>
      <c r="AA5" s="28" t="str">
        <v>0.118713932399011</v>
      </c>
      <c r="AB5" s="28" t="str">
        <v>772.61000193271</v>
      </c>
      <c r="AC5" s="28" t="str">
        <v/>
      </c>
      <c r="AD5" s="28" t="str">
        <v>-0.00645633652822153</v>
      </c>
    </row>
    <row r="6" spans="1:30" x14ac:dyDescent="0.25">
      <c r="C6" s="13" t="s">
        <v>22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1"/>
      <c r="U6" s="24" t="str">
        <v>HUBB US EQUITY</v>
      </c>
      <c r="V6" s="24">
        <v>46112</v>
      </c>
      <c r="W6" s="24" t="str">
        <v>canonical</v>
      </c>
      <c r="X6" s="24" t="str">
        <v>revenue</v>
      </c>
      <c r="Y6" s="24" t="str">
        <v>forecast</v>
      </c>
      <c r="Z6" s="28" t="str">
        <v>1494.6095</v>
      </c>
      <c r="AA6" s="28" t="str">
        <v>0.0947916056255493</v>
      </c>
      <c r="AB6" s="28" t="str">
        <v>-239.223267734614</v>
      </c>
      <c r="AC6" s="28" t="str">
        <v>0.0682649560431707</v>
      </c>
      <c r="AD6" s="28" t="str">
        <v>0.0012792255644134</v>
      </c>
    </row>
    <row r="7" spans="1:30" x14ac:dyDescent="0.25">
      <c r="D7" s="15" cm="1">
        <f t="array" ref="D7:K8">+_xll.BDH($B$2,$C8,$B$3,$B$4,"DIR=H")</f>
        <v>45382</v>
      </c>
      <c r="E7" s="1">
        <v>45473</v>
      </c>
      <c r="F7" s="1">
        <v>45565</v>
      </c>
      <c r="G7" s="1">
        <v>45657</v>
      </c>
      <c r="H7" s="1">
        <v>45747</v>
      </c>
      <c r="I7" s="1">
        <v>45838</v>
      </c>
      <c r="J7" s="1">
        <v>45930</v>
      </c>
      <c r="K7" s="1">
        <v>46022</v>
      </c>
      <c r="L7" s="2">
        <v>46112</v>
      </c>
      <c r="M7" s="2">
        <v>46203</v>
      </c>
      <c r="N7" s="2">
        <v>46295</v>
      </c>
      <c r="O7" s="2">
        <v>46387</v>
      </c>
      <c r="P7" s="2">
        <v>46477</v>
      </c>
      <c r="Q7" s="2">
        <v>46568</v>
      </c>
      <c r="R7" s="2">
        <v>46660</v>
      </c>
      <c r="S7" s="2">
        <v>46752</v>
      </c>
      <c r="T7" s="1"/>
      <c r="U7" s="24" t="str">
        <v>HUBB US EQUITY</v>
      </c>
      <c r="V7" s="24">
        <v>46203</v>
      </c>
      <c r="W7" s="24" t="str">
        <v>canonical</v>
      </c>
      <c r="X7" s="24" t="str">
        <v>revenue</v>
      </c>
      <c r="Y7" s="24" t="str">
        <v>forecast</v>
      </c>
      <c r="Z7" s="28" t="str">
        <v>1631.5165</v>
      </c>
      <c r="AA7" s="28" t="str">
        <v>0.0991824429023782</v>
      </c>
      <c r="AB7" s="28" t="str">
        <v>43.9083727682887</v>
      </c>
      <c r="AC7" s="28" t="str">
        <v>0.123247160068847</v>
      </c>
      <c r="AD7" s="28" t="str">
        <v>0.0916005150509214</v>
      </c>
    </row>
    <row r="8" spans="1:30" x14ac:dyDescent="0.25">
      <c r="A8" s="16" t="s">
        <v>7</v>
      </c>
      <c r="B8" s="16" t="s">
        <v>6</v>
      </c>
      <c r="C8" s="9" t="s">
        <v>0</v>
      </c>
      <c r="D8" s="11">
        <v>1399.1</v>
      </c>
      <c r="E8" s="11">
        <v>1452.5</v>
      </c>
      <c r="F8" s="11">
        <v>1442.6</v>
      </c>
      <c r="G8" s="11">
        <v>1334.3</v>
      </c>
      <c r="H8" s="11">
        <v>1365.2</v>
      </c>
      <c r="I8" s="11">
        <v>1484.3</v>
      </c>
      <c r="J8" s="11">
        <v>1502.4</v>
      </c>
      <c r="K8" s="11">
        <v>1492.7</v>
      </c>
      <c r="L8" s="26">
        <v>1494.6095</v>
      </c>
      <c r="M8" s="26">
        <v>1631.5165</v>
      </c>
      <c r="N8" s="26">
        <v>1634.0480000000002</v>
      </c>
      <c r="O8" s="26">
        <v>1565.558</v>
      </c>
      <c r="P8" s="26">
        <v>1558.3150150000001</v>
      </c>
      <c r="Q8" s="26">
        <v>1701.238245</v>
      </c>
      <c r="R8" s="26">
        <v>1704.1315200000004</v>
      </c>
      <c r="S8" s="26">
        <v>1632.36582</v>
      </c>
      <c r="T8" s="3"/>
      <c r="U8" s="24" t="str">
        <v>HUBB US EQUITY</v>
      </c>
      <c r="V8" s="24">
        <v>46295</v>
      </c>
      <c r="W8" s="24" t="str">
        <v>canonical</v>
      </c>
      <c r="X8" s="24" t="str">
        <v>revenue</v>
      </c>
      <c r="Y8" s="24" t="str">
        <v>forecast</v>
      </c>
      <c r="Z8" s="28" t="str">
        <v>1634.048</v>
      </c>
      <c r="AA8" s="28" t="str">
        <v>0.0876251331203408</v>
      </c>
      <c r="AB8" s="28" t="str">
        <v>-115.573097820374</v>
      </c>
      <c r="AC8" s="28" t="str">
        <v>0.132710384028837</v>
      </c>
      <c r="AD8" s="28" t="str">
        <v>0.00155162390328289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si="2">+H8/D8-1</f>
        <v>-2.4229862054177542E-2</v>
      </c>
      <c r="I9" s="12">
        <f t="shared" si="2"/>
        <v>2.1893287435456044E-2</v>
      </c>
      <c r="J9" s="12">
        <f t="shared" si="2"/>
        <v>4.1452932205739756E-2</v>
      </c>
      <c r="K9" s="12">
        <f t="shared" si="2"/>
        <v>0.11871393239901074</v>
      </c>
      <c r="L9" s="12">
        <f t="shared" si="2"/>
        <v>9.4791605625549336E-2</v>
      </c>
      <c r="M9" s="12">
        <f t="shared" si="2"/>
        <v>9.9182442902378209E-2</v>
      </c>
      <c r="N9" s="12">
        <f t="shared" si="2"/>
        <v>8.7625133120340815E-2</v>
      </c>
      <c r="O9" s="12">
        <f t="shared" si="2"/>
        <v>4.8809539760165999E-2</v>
      </c>
      <c r="P9" s="12">
        <f t="shared" si="2"/>
        <v>4.2623518049363485E-2</v>
      </c>
      <c r="Q9" s="12">
        <f t="shared" si="2"/>
        <v>4.2734318040914765E-2</v>
      </c>
      <c r="R9" s="12">
        <f t="shared" si="2"/>
        <v>4.2889511201629427E-2</v>
      </c>
      <c r="S9" s="12">
        <f t="shared" si="2"/>
        <v>4.2673487663823284E-2</v>
      </c>
      <c r="U9" s="24" t="str">
        <v>HUBB US EQUITY</v>
      </c>
      <c r="V9" s="24">
        <v>46387</v>
      </c>
      <c r="W9" s="24" t="str">
        <v>canonical</v>
      </c>
      <c r="X9" s="24" t="str">
        <v>revenue</v>
      </c>
      <c r="Y9" s="24" t="str">
        <v>forecast</v>
      </c>
      <c r="Z9" s="28" t="str">
        <v>1565.558</v>
      </c>
      <c r="AA9" s="28" t="str">
        <v>0.048809539760166</v>
      </c>
      <c r="AB9" s="28" t="str">
        <v>-388.155933601748</v>
      </c>
      <c r="AC9" s="28" t="str">
        <v>0.173317844562692</v>
      </c>
      <c r="AD9" s="28" t="str">
        <v>-0.0419143134106221</v>
      </c>
    </row>
    <row r="10" spans="1:30" x14ac:dyDescent="0.25">
      <c r="C10" s="4" t="s">
        <v>15</v>
      </c>
      <c r="D10" s="1"/>
      <c r="H10" s="7"/>
      <c r="I10" s="7">
        <f t="shared" ref="I10:J10" si="3">(I9-H9)*10000</f>
        <v>461.23149489633585</v>
      </c>
      <c r="J10" s="7">
        <f t="shared" si="3"/>
        <v>195.59644770283714</v>
      </c>
      <c r="K10" s="7">
        <f>(K9-J9)*10000</f>
        <v>772.61000193270979</v>
      </c>
      <c r="L10" s="7">
        <f>(L9-K9)*10000</f>
        <v>-239.22326773461401</v>
      </c>
      <c r="M10" s="7">
        <f>(M9-L9)*10000</f>
        <v>43.908372768288743</v>
      </c>
      <c r="N10" s="7">
        <f>(N9-M9)*10000</f>
        <v>-115.57309782037395</v>
      </c>
      <c r="O10" s="7">
        <f>(O9-N9)*10000</f>
        <v>-388.15593360174819</v>
      </c>
      <c r="P10" s="7">
        <f t="shared" ref="P10:S10" si="4">(P9-O9)*10000</f>
        <v>-61.86021710802514</v>
      </c>
      <c r="Q10" s="7">
        <f t="shared" si="4"/>
        <v>1.1079999155128029</v>
      </c>
      <c r="R10" s="7">
        <f t="shared" si="4"/>
        <v>1.5519316071466172</v>
      </c>
      <c r="S10" s="7">
        <f t="shared" si="4"/>
        <v>-2.1602353780614258</v>
      </c>
      <c r="U10" s="24" t="str">
        <v>HUBB US EQUITY</v>
      </c>
      <c r="V10" s="24">
        <v>46477</v>
      </c>
      <c r="W10" s="24" t="str">
        <v>canonical</v>
      </c>
      <c r="X10" s="24" t="str">
        <v>revenue</v>
      </c>
      <c r="Y10" s="24" t="str">
        <v>forecast</v>
      </c>
      <c r="Z10" s="28" t="str">
        <v>1558.315015</v>
      </c>
      <c r="AA10" s="28" t="str">
        <v>0.0426235180493635</v>
      </c>
      <c r="AB10" s="28" t="str">
        <v>-61.8602171080251</v>
      </c>
      <c r="AC10" s="28" t="str">
        <v>0.141455475388222</v>
      </c>
      <c r="AD10" s="28" t="str">
        <v>-0.00462645587068622</v>
      </c>
    </row>
    <row r="11" spans="1:30" x14ac:dyDescent="0.25">
      <c r="C11" s="4" t="s">
        <v>28</v>
      </c>
      <c r="D11" s="1"/>
      <c r="E11" s="6"/>
      <c r="F11" s="6"/>
      <c r="G11" s="6"/>
      <c r="H11" s="6"/>
      <c r="I11" s="6"/>
      <c r="J11" s="6"/>
      <c r="K11" s="6"/>
      <c r="L11" s="12">
        <f t="shared" ref="L11:S11" si="5">(1+H9)*(1+L9)-1</f>
        <v>6.8264956043170733E-2</v>
      </c>
      <c r="M11" s="12">
        <f t="shared" si="5"/>
        <v>0.12324716006884673</v>
      </c>
      <c r="N11" s="12">
        <f t="shared" si="5"/>
        <v>0.13271038402883706</v>
      </c>
      <c r="O11" s="12">
        <f t="shared" si="5"/>
        <v>0.17331784456269195</v>
      </c>
      <c r="P11" s="12">
        <f t="shared" si="5"/>
        <v>0.14145547538822156</v>
      </c>
      <c r="Q11" s="12">
        <f t="shared" si="5"/>
        <v>0.14615525500235815</v>
      </c>
      <c r="R11" s="12">
        <f t="shared" si="5"/>
        <v>0.13427284345047941</v>
      </c>
      <c r="S11" s="12">
        <f t="shared" si="5"/>
        <v>9.3565900716821693E-2</v>
      </c>
      <c r="U11" s="24" t="str">
        <v>HUBB US EQUITY</v>
      </c>
      <c r="V11" s="24">
        <v>46568</v>
      </c>
      <c r="W11" s="24" t="str">
        <v>canonical</v>
      </c>
      <c r="X11" s="24" t="str">
        <v>revenue</v>
      </c>
      <c r="Y11" s="24" t="str">
        <v>forecast</v>
      </c>
      <c r="Z11" s="28" t="str">
        <v>1701.238245</v>
      </c>
      <c r="AA11" s="28" t="str">
        <v>0.0427343180409148</v>
      </c>
      <c r="AB11" s="28" t="str">
        <v>1.1079999155128</v>
      </c>
      <c r="AC11" s="28" t="str">
        <v>0.146155255002358</v>
      </c>
      <c r="AD11" s="28" t="str">
        <v>0.0917165198462775</v>
      </c>
    </row>
    <row r="12" spans="1:30" x14ac:dyDescent="0.25">
      <c r="C12" s="4" t="s">
        <v>5</v>
      </c>
      <c r="D12" s="1"/>
      <c r="E12" s="12">
        <f t="shared" ref="E12:S12" si="6">E8/D8-1</f>
        <v>3.8167393324279875E-2</v>
      </c>
      <c r="F12" s="12">
        <f t="shared" si="6"/>
        <v>-6.8158347676420261E-3</v>
      </c>
      <c r="G12" s="12">
        <f t="shared" si="6"/>
        <v>-7.5072785248856189E-2</v>
      </c>
      <c r="H12" s="12">
        <f t="shared" si="6"/>
        <v>2.3158210297534287E-2</v>
      </c>
      <c r="I12" s="12">
        <f t="shared" si="6"/>
        <v>8.7239964840316375E-2</v>
      </c>
      <c r="J12" s="12">
        <f t="shared" si="6"/>
        <v>1.2194300343596476E-2</v>
      </c>
      <c r="K12" s="12">
        <f t="shared" si="6"/>
        <v>-6.456336528221529E-3</v>
      </c>
      <c r="L12" s="12">
        <f t="shared" si="6"/>
        <v>1.2792255644133999E-3</v>
      </c>
      <c r="M12" s="12">
        <f t="shared" si="6"/>
        <v>9.1600515050921372E-2</v>
      </c>
      <c r="N12" s="12">
        <f t="shared" si="6"/>
        <v>1.5516239032828949E-3</v>
      </c>
      <c r="O12" s="12">
        <f t="shared" si="6"/>
        <v>-4.1914313410622128E-2</v>
      </c>
      <c r="P12" s="12">
        <f t="shared" si="6"/>
        <v>-4.6264558706862191E-3</v>
      </c>
      <c r="Q12" s="12">
        <f t="shared" si="6"/>
        <v>9.1716519846277489E-2</v>
      </c>
      <c r="R12" s="12">
        <f t="shared" si="6"/>
        <v>1.7006877246639185E-3</v>
      </c>
      <c r="S12" s="12">
        <f t="shared" si="6"/>
        <v>-4.2112770732625315E-2</v>
      </c>
      <c r="U12" s="24" t="str">
        <v>HUBB US EQUITY</v>
      </c>
      <c r="V12" s="24">
        <v>46660</v>
      </c>
      <c r="W12" s="24" t="str">
        <v>canonical</v>
      </c>
      <c r="X12" s="24" t="str">
        <v>revenue</v>
      </c>
      <c r="Y12" s="24" t="str">
        <v>forecast</v>
      </c>
      <c r="Z12" s="28" t="str">
        <v>1704.13152</v>
      </c>
      <c r="AA12" s="28" t="str">
        <v>0.0428895112016294</v>
      </c>
      <c r="AB12" s="28" t="str">
        <v>1.55193160714662</v>
      </c>
      <c r="AC12" s="28" t="str">
        <v>0.134272843450479</v>
      </c>
      <c r="AD12" s="28" t="str">
        <v>0.00170068772466392</v>
      </c>
    </row>
    <row r="13" spans="1:30" x14ac:dyDescent="0.25">
      <c r="U13" s="24" t="str">
        <v>HUBB US EQUITY</v>
      </c>
      <c r="V13" s="24">
        <v>46752</v>
      </c>
      <c r="W13" s="24" t="str">
        <v>canonical</v>
      </c>
      <c r="X13" s="24" t="str">
        <v>revenue</v>
      </c>
      <c r="Y13" s="24" t="str">
        <v>forecast</v>
      </c>
      <c r="Z13" s="28" t="str">
        <v>1632.36582</v>
      </c>
      <c r="AA13" s="28" t="str">
        <v>0.0426734876638233</v>
      </c>
      <c r="AB13" s="28" t="str">
        <v>-2.16023537806143</v>
      </c>
      <c r="AC13" s="28" t="str">
        <v>0.0935659007168217</v>
      </c>
      <c r="AD13" s="28" t="str">
        <v>-0.0421127707326253</v>
      </c>
    </row>
    <row r="14" spans="1:30" x14ac:dyDescent="0.25">
      <c r="C14" s="13" t="s">
        <v>10</v>
      </c>
      <c r="D14" s="14">
        <f>EOMONTH(DATE(YEAR(D16),ROUNDUP(MONTH(D16)/3,0)*3,1),0)</f>
        <v>45382</v>
      </c>
      <c r="E14" s="14">
        <f>EOMONTH(DATE(YEAR(E16),ROUNDUP(MONTH(E16)/3,0)*3,1),0)</f>
        <v>45473</v>
      </c>
      <c r="F14" s="14">
        <f>EOMONTH(DATE(YEAR(F16),ROUNDUP(MONTH(F16)/3,0)*3,1),0)</f>
        <v>45565</v>
      </c>
      <c r="G14" s="14">
        <f t="shared" ref="G14:S14" si="7">EOMONTH(DATE(YEAR(G16),ROUNDUP(MONTH(G16)/3,0)*3,1),0)</f>
        <v>45657</v>
      </c>
      <c r="H14" s="14">
        <f t="shared" si="7"/>
        <v>45747</v>
      </c>
      <c r="I14" s="14">
        <f t="shared" si="7"/>
        <v>45838</v>
      </c>
      <c r="J14" s="14">
        <f t="shared" si="7"/>
        <v>45930</v>
      </c>
      <c r="K14" s="14">
        <f t="shared" si="7"/>
        <v>46022</v>
      </c>
      <c r="L14" s="14">
        <f t="shared" si="7"/>
        <v>46112</v>
      </c>
      <c r="M14" s="14">
        <f t="shared" si="7"/>
        <v>46203</v>
      </c>
      <c r="N14" s="14">
        <f t="shared" si="7"/>
        <v>46295</v>
      </c>
      <c r="O14" s="14">
        <f t="shared" si="7"/>
        <v>46387</v>
      </c>
      <c r="P14" s="14">
        <f t="shared" si="7"/>
        <v>46477</v>
      </c>
      <c r="Q14" s="14">
        <f t="shared" si="7"/>
        <v>46568</v>
      </c>
      <c r="R14" s="14">
        <f t="shared" si="7"/>
        <v>46660</v>
      </c>
      <c r="S14" s="14">
        <f t="shared" si="7"/>
        <v>46752</v>
      </c>
      <c r="T14" s="1"/>
      <c r="U14" s="24" t="str" cm="1">
        <f t="array" ref="U14:AD25">_xlfn.LET(
  _xlpm.d, H14:S14,
  _xlpm.s, H15:S15,
  _xlpm.v, H17:S17,
  _xlpm.yy, H18:S18,
  _xlpm.qq, H19:S19,
  _xlpm.dyy, H20:S20,
  _xlpm.dqq, H21:S21,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HUBB US EQUITY</v>
      </c>
      <c r="V14" s="24">
        <v>45747</v>
      </c>
      <c r="W14" s="24" t="str">
        <v>canonical</v>
      </c>
      <c r="X14" s="24" t="str">
        <v>operating_margin</v>
      </c>
      <c r="Y14" s="24" t="str">
        <v>actual</v>
      </c>
      <c r="Z14" s="28" t="str">
        <v>21</v>
      </c>
      <c r="AA14" s="28" t="str">
        <v>130</v>
      </c>
      <c r="AB14" s="28" t="str">
        <v/>
      </c>
      <c r="AC14" s="28" t="str">
        <v/>
      </c>
      <c r="AD14" s="28" t="str">
        <v>-80.0000000000001</v>
      </c>
    </row>
    <row r="15" spans="1:30" x14ac:dyDescent="0.25">
      <c r="C15" s="13" t="s">
        <v>22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tr">
        <f t="shared" ref="L15:S15" si="8">+L$6</f>
        <v>forecast</v>
      </c>
      <c r="M15" s="2" t="str">
        <f t="shared" si="8"/>
        <v>forecast</v>
      </c>
      <c r="N15" s="2" t="str">
        <f t="shared" si="8"/>
        <v>forecast</v>
      </c>
      <c r="O15" s="2" t="str">
        <f t="shared" si="8"/>
        <v>forecast</v>
      </c>
      <c r="P15" s="2" t="str">
        <f t="shared" si="8"/>
        <v>forecast</v>
      </c>
      <c r="Q15" s="2" t="str">
        <f t="shared" si="8"/>
        <v>forecast</v>
      </c>
      <c r="R15" s="2" t="str">
        <f t="shared" si="8"/>
        <v>forecast</v>
      </c>
      <c r="S15" s="2" t="str">
        <f t="shared" si="8"/>
        <v>forecast</v>
      </c>
      <c r="U15" s="24" t="str">
        <v>HUBB US EQUITY</v>
      </c>
      <c r="V15" s="24">
        <v>45838</v>
      </c>
      <c r="W15" s="24" t="str">
        <v>canonical</v>
      </c>
      <c r="X15" s="24" t="str">
        <v>operating_margin</v>
      </c>
      <c r="Y15" s="24" t="str">
        <v>actual</v>
      </c>
      <c r="Z15" s="28" t="str">
        <v>25.5</v>
      </c>
      <c r="AA15" s="28" t="str">
        <v>270</v>
      </c>
      <c r="AB15" s="28" t="str">
        <v>140</v>
      </c>
      <c r="AC15" s="28" t="str">
        <v/>
      </c>
      <c r="AD15" s="28" t="str">
        <v>450</v>
      </c>
    </row>
    <row r="16" spans="1:30" x14ac:dyDescent="0.25">
      <c r="D16" s="15" cm="1">
        <f t="array" ref="D16:K17">+_xll.BDH($B$2,$C17,$B$3,$B$4,"DIR=H")</f>
        <v>45382</v>
      </c>
      <c r="E16" s="1">
        <v>45473</v>
      </c>
      <c r="F16" s="1">
        <v>45565</v>
      </c>
      <c r="G16" s="1">
        <v>45657</v>
      </c>
      <c r="H16" s="1">
        <v>45747</v>
      </c>
      <c r="I16" s="1">
        <v>45838</v>
      </c>
      <c r="J16" s="1">
        <v>45930</v>
      </c>
      <c r="K16" s="1">
        <v>46022</v>
      </c>
      <c r="L16" s="2">
        <f t="shared" ref="L16:S16" si="9">+L$7</f>
        <v>46112</v>
      </c>
      <c r="M16" s="2">
        <f t="shared" si="9"/>
        <v>46203</v>
      </c>
      <c r="N16" s="2">
        <f t="shared" si="9"/>
        <v>46295</v>
      </c>
      <c r="O16" s="2">
        <f t="shared" si="9"/>
        <v>46387</v>
      </c>
      <c r="P16" s="2">
        <f t="shared" si="9"/>
        <v>46477</v>
      </c>
      <c r="Q16" s="2">
        <f t="shared" si="9"/>
        <v>46568</v>
      </c>
      <c r="R16" s="2">
        <f t="shared" si="9"/>
        <v>46660</v>
      </c>
      <c r="S16" s="2">
        <f t="shared" si="9"/>
        <v>46752</v>
      </c>
      <c r="U16" s="24" t="str">
        <v>HUBB US EQUITY</v>
      </c>
      <c r="V16" s="24">
        <v>45930</v>
      </c>
      <c r="W16" s="24" t="str">
        <v>canonical</v>
      </c>
      <c r="X16" s="24" t="str">
        <v>operating_margin</v>
      </c>
      <c r="Y16" s="24" t="str">
        <v>actual</v>
      </c>
      <c r="Z16" s="28" t="str">
        <v>25.7</v>
      </c>
      <c r="AA16" s="28" t="str">
        <v>-50</v>
      </c>
      <c r="AB16" s="28" t="str">
        <v>-320</v>
      </c>
      <c r="AC16" s="28" t="str">
        <v/>
      </c>
      <c r="AD16" s="28" t="str">
        <v>19.9999999999999</v>
      </c>
    </row>
    <row r="17" spans="1:30" x14ac:dyDescent="0.25">
      <c r="A17" s="16" t="s">
        <v>7</v>
      </c>
      <c r="B17" s="16" t="s">
        <v>77</v>
      </c>
      <c r="C17" s="9" t="s">
        <v>64</v>
      </c>
      <c r="D17" s="3">
        <v>19.7</v>
      </c>
      <c r="E17" s="3">
        <v>22.8</v>
      </c>
      <c r="F17" s="3">
        <v>26.2</v>
      </c>
      <c r="G17" s="3">
        <v>21.8</v>
      </c>
      <c r="H17" s="3">
        <v>21</v>
      </c>
      <c r="I17" s="3">
        <v>25.5</v>
      </c>
      <c r="J17" s="3">
        <v>25.7</v>
      </c>
      <c r="K17" s="3">
        <v>23.4</v>
      </c>
      <c r="L17" s="29">
        <v>20.198468429379048</v>
      </c>
      <c r="M17" s="29">
        <v>24.101162476750925</v>
      </c>
      <c r="N17" s="29">
        <v>24.529035132382891</v>
      </c>
      <c r="O17" s="29">
        <v>23.498064971083792</v>
      </c>
      <c r="P17" s="29">
        <v>20.415437410772817</v>
      </c>
      <c r="Q17" s="29">
        <v>24.315803193984742</v>
      </c>
      <c r="R17" s="29">
        <v>24.749687291741427</v>
      </c>
      <c r="S17" s="29">
        <v>23.716320690909836</v>
      </c>
      <c r="U17" s="24" t="str">
        <v>HUBB US EQUITY</v>
      </c>
      <c r="V17" s="24">
        <v>46022</v>
      </c>
      <c r="W17" s="24" t="str">
        <v>canonical</v>
      </c>
      <c r="X17" s="24" t="str">
        <v>operating_margin</v>
      </c>
      <c r="Y17" s="24" t="str">
        <v>actual</v>
      </c>
      <c r="Z17" s="28" t="str">
        <v>23.4</v>
      </c>
      <c r="AA17" s="28" t="str">
        <v>160</v>
      </c>
      <c r="AB17" s="28" t="str">
        <v>210</v>
      </c>
      <c r="AC17" s="28" t="str">
        <v/>
      </c>
      <c r="AD17" s="28" t="str">
        <v>-230</v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K18" si="10">(H17-D17)*100</f>
        <v>130.00000000000006</v>
      </c>
      <c r="I18" s="7">
        <f t="shared" si="10"/>
        <v>269.99999999999994</v>
      </c>
      <c r="J18" s="7">
        <f t="shared" si="10"/>
        <v>-50</v>
      </c>
      <c r="K18" s="7">
        <f t="shared" si="10"/>
        <v>159.99999999999977</v>
      </c>
      <c r="L18" s="7">
        <f t="shared" ref="L18" si="11">(L17-H17)*100</f>
        <v>-80.153157062095204</v>
      </c>
      <c r="M18" s="7">
        <f t="shared" ref="M18" si="12">(M17-I17)*100</f>
        <v>-139.88375232490745</v>
      </c>
      <c r="N18" s="7">
        <f t="shared" ref="N18" si="13">(N17-J17)*100</f>
        <v>-117.09648676171085</v>
      </c>
      <c r="O18" s="7">
        <f t="shared" ref="O18" si="14">(O17-K17)*100</f>
        <v>9.806497108379375</v>
      </c>
      <c r="P18" s="7">
        <f t="shared" ref="P18" si="15">(P17-L17)*100</f>
        <v>21.696898139376941</v>
      </c>
      <c r="Q18" s="7">
        <f t="shared" ref="Q18" si="16">(Q17-M17)*100</f>
        <v>21.46407172338165</v>
      </c>
      <c r="R18" s="7">
        <f t="shared" ref="R18" si="17">(R17-N17)*100</f>
        <v>22.065215935853644</v>
      </c>
      <c r="S18" s="7">
        <f t="shared" ref="S18" si="18">(S17-O17)*100</f>
        <v>21.82557198260433</v>
      </c>
      <c r="U18" s="24" t="str">
        <v>HUBB US EQUITY</v>
      </c>
      <c r="V18" s="24">
        <v>46112</v>
      </c>
      <c r="W18" s="24" t="str">
        <v>canonical</v>
      </c>
      <c r="X18" s="24" t="str">
        <v>operating_margin</v>
      </c>
      <c r="Y18" s="24" t="str">
        <v>forecast</v>
      </c>
      <c r="Z18" s="28" t="str">
        <v>20.198468429379</v>
      </c>
      <c r="AA18" s="28" t="str">
        <v>-80.1531570620952</v>
      </c>
      <c r="AB18" s="28" t="str">
        <v>-240.153157062095</v>
      </c>
      <c r="AC18" s="28" t="str">
        <v>-210.153157062095</v>
      </c>
      <c r="AD18" s="28" t="str">
        <v>-320.153157062095</v>
      </c>
    </row>
    <row r="19" spans="1:30" x14ac:dyDescent="0.25">
      <c r="C19" s="4" t="s">
        <v>15</v>
      </c>
      <c r="D19" s="1"/>
      <c r="I19" s="7">
        <f t="shared" ref="I19:K19" si="19">I18-H18</f>
        <v>139.99999999999989</v>
      </c>
      <c r="J19" s="7">
        <f t="shared" si="19"/>
        <v>-319.99999999999994</v>
      </c>
      <c r="K19" s="7">
        <f t="shared" si="19"/>
        <v>209.99999999999977</v>
      </c>
      <c r="L19" s="7">
        <f t="shared" ref="L19" si="20">L18-K18</f>
        <v>-240.15315706209498</v>
      </c>
      <c r="M19" s="7">
        <f t="shared" ref="M19" si="21">M18-L18</f>
        <v>-59.730595262812244</v>
      </c>
      <c r="N19" s="7">
        <f t="shared" ref="N19" si="22">N18-M18</f>
        <v>22.787265563196598</v>
      </c>
      <c r="O19" s="7">
        <f t="shared" ref="O19" si="23">O18-N18</f>
        <v>126.90298387009022</v>
      </c>
      <c r="P19" s="7">
        <f t="shared" ref="P19" si="24">P18-O18</f>
        <v>11.890401030997566</v>
      </c>
      <c r="Q19" s="7">
        <f t="shared" ref="Q19" si="25">Q18-P18</f>
        <v>-0.23282641599529086</v>
      </c>
      <c r="R19" s="7">
        <f t="shared" ref="R19" si="26">R18-Q18</f>
        <v>0.60114421247199346</v>
      </c>
      <c r="S19" s="7">
        <f t="shared" ref="S19" si="27">S18-R18</f>
        <v>-0.23964395324931331</v>
      </c>
      <c r="U19" s="24" t="str">
        <v>HUBB US EQUITY</v>
      </c>
      <c r="V19" s="24">
        <v>46203</v>
      </c>
      <c r="W19" s="24" t="str">
        <v>canonical</v>
      </c>
      <c r="X19" s="24" t="str">
        <v>operating_margin</v>
      </c>
      <c r="Y19" s="24" t="str">
        <v>forecast</v>
      </c>
      <c r="Z19" s="28" t="str">
        <v>24.1011624767509</v>
      </c>
      <c r="AA19" s="28" t="str">
        <v>-139.883752324907</v>
      </c>
      <c r="AB19" s="28" t="str">
        <v>-59.7305952628122</v>
      </c>
      <c r="AC19" s="28" t="str">
        <v>-409.883752324907</v>
      </c>
      <c r="AD19" s="28" t="str">
        <v>390.269404737188</v>
      </c>
    </row>
    <row r="20" spans="1:30" x14ac:dyDescent="0.25">
      <c r="C20" s="4" t="s">
        <v>28</v>
      </c>
      <c r="D20" s="1"/>
      <c r="E20" s="6"/>
      <c r="F20" s="6"/>
      <c r="G20" s="6"/>
      <c r="H20" s="6"/>
      <c r="I20" s="6"/>
      <c r="J20" s="6"/>
      <c r="K20" s="6"/>
      <c r="L20" s="7">
        <f>L18-H18</f>
        <v>-210.15315706209526</v>
      </c>
      <c r="M20" s="7">
        <f t="shared" ref="M20:S20" si="28">M18-I18</f>
        <v>-409.88375232490739</v>
      </c>
      <c r="N20" s="7">
        <f t="shared" si="28"/>
        <v>-67.09648676171085</v>
      </c>
      <c r="O20" s="7">
        <f t="shared" si="28"/>
        <v>-150.1935028916204</v>
      </c>
      <c r="P20" s="7">
        <f t="shared" si="28"/>
        <v>101.85005520147214</v>
      </c>
      <c r="Q20" s="7">
        <f t="shared" si="28"/>
        <v>161.34782404828911</v>
      </c>
      <c r="R20" s="7">
        <f t="shared" si="28"/>
        <v>139.16170269756449</v>
      </c>
      <c r="S20" s="7">
        <f t="shared" si="28"/>
        <v>12.019074874224955</v>
      </c>
      <c r="U20" s="24" t="str">
        <v>HUBB US EQUITY</v>
      </c>
      <c r="V20" s="24">
        <v>46295</v>
      </c>
      <c r="W20" s="24" t="str">
        <v>canonical</v>
      </c>
      <c r="X20" s="24" t="str">
        <v>operating_margin</v>
      </c>
      <c r="Y20" s="24" t="str">
        <v>forecast</v>
      </c>
      <c r="Z20" s="28" t="str">
        <v>24.5290351323829</v>
      </c>
      <c r="AA20" s="28" t="str">
        <v>-117.096486761711</v>
      </c>
      <c r="AB20" s="28" t="str">
        <v>22.7872655631966</v>
      </c>
      <c r="AC20" s="28" t="str">
        <v>-67.0964867617108</v>
      </c>
      <c r="AD20" s="28" t="str">
        <v>42.7872655631965</v>
      </c>
    </row>
    <row r="21" spans="1:30" x14ac:dyDescent="0.25">
      <c r="C21" s="4" t="s">
        <v>5</v>
      </c>
      <c r="D21" s="1"/>
      <c r="E21" s="7">
        <f t="shared" ref="E21:K21" si="29">(E17-D17)*100</f>
        <v>310.00000000000011</v>
      </c>
      <c r="F21" s="7">
        <f t="shared" si="29"/>
        <v>339.99999999999989</v>
      </c>
      <c r="G21" s="7">
        <f t="shared" si="29"/>
        <v>-439.99999999999989</v>
      </c>
      <c r="H21" s="7">
        <f t="shared" si="29"/>
        <v>-80.000000000000071</v>
      </c>
      <c r="I21" s="7">
        <f t="shared" si="29"/>
        <v>450</v>
      </c>
      <c r="J21" s="7">
        <f t="shared" si="29"/>
        <v>19.999999999999929</v>
      </c>
      <c r="K21" s="7">
        <f t="shared" si="29"/>
        <v>-230.00000000000006</v>
      </c>
      <c r="L21" s="7">
        <f t="shared" ref="L21" si="30">(L17-K17)*100</f>
        <v>-320.15315706209503</v>
      </c>
      <c r="M21" s="7">
        <f t="shared" ref="M21" si="31">(M17-L17)*100</f>
        <v>390.26940473718776</v>
      </c>
      <c r="N21" s="7">
        <f t="shared" ref="N21" si="32">(N17-M17)*100</f>
        <v>42.787265563196542</v>
      </c>
      <c r="O21" s="7">
        <f t="shared" ref="O21" si="33">(O17-N17)*100</f>
        <v>-103.09701612990985</v>
      </c>
      <c r="P21" s="7">
        <f t="shared" ref="P21" si="34">(P17-O17)*100</f>
        <v>-308.26275603109752</v>
      </c>
      <c r="Q21" s="7">
        <f t="shared" ref="Q21" si="35">(Q17-P17)*100</f>
        <v>390.03657832119245</v>
      </c>
      <c r="R21" s="7">
        <f t="shared" ref="R21" si="36">(R17-Q17)*100</f>
        <v>43.388409775668535</v>
      </c>
      <c r="S21" s="7">
        <f t="shared" ref="S21" si="37">(S17-R17)*100</f>
        <v>-103.33666008315916</v>
      </c>
      <c r="U21" s="24" t="str">
        <v>HUBB US EQUITY</v>
      </c>
      <c r="V21" s="24">
        <v>46387</v>
      </c>
      <c r="W21" s="24" t="str">
        <v>canonical</v>
      </c>
      <c r="X21" s="24" t="str">
        <v>operating_margin</v>
      </c>
      <c r="Y21" s="24" t="str">
        <v>forecast</v>
      </c>
      <c r="Z21" s="28" t="str">
        <v>23.4980649710838</v>
      </c>
      <c r="AA21" s="28" t="str">
        <v>9.80649710837938</v>
      </c>
      <c r="AB21" s="28" t="str">
        <v>126.90298387009</v>
      </c>
      <c r="AC21" s="28" t="str">
        <v>-150.19350289162</v>
      </c>
      <c r="AD21" s="28" t="str">
        <v>-103.09701612991</v>
      </c>
    </row>
    <row r="22" spans="1:30" x14ac:dyDescent="0.25">
      <c r="T22" s="1"/>
      <c r="U22" s="24" t="str">
        <v>HUBB US EQUITY</v>
      </c>
      <c r="V22" s="24">
        <v>46477</v>
      </c>
      <c r="W22" s="24" t="str">
        <v>canonical</v>
      </c>
      <c r="X22" s="24" t="str">
        <v>operating_margin</v>
      </c>
      <c r="Y22" s="24" t="str">
        <v>forecast</v>
      </c>
      <c r="Z22" s="28" t="str">
        <v>20.4154374107728</v>
      </c>
      <c r="AA22" s="28" t="str">
        <v>21.6968981393769</v>
      </c>
      <c r="AB22" s="28" t="str">
        <v>11.8904010309976</v>
      </c>
      <c r="AC22" s="28" t="str">
        <v>101.850055201472</v>
      </c>
      <c r="AD22" s="28" t="str">
        <v>-308.262756031098</v>
      </c>
    </row>
    <row r="23" spans="1:30" x14ac:dyDescent="0.25">
      <c r="C23" s="13" t="s">
        <v>10</v>
      </c>
      <c r="D23" s="14">
        <f>EOMONTH(DATE(YEAR(D25),ROUNDUP(MONTH(D25)/3,0)*3,1),0)</f>
        <v>45382</v>
      </c>
      <c r="E23" s="14">
        <f>EOMONTH(DATE(YEAR(E25),ROUNDUP(MONTH(E25)/3,0)*3,1),0)</f>
        <v>45473</v>
      </c>
      <c r="F23" s="14">
        <f>EOMONTH(DATE(YEAR(F25),ROUNDUP(MONTH(F25)/3,0)*3,1),0)</f>
        <v>45565</v>
      </c>
      <c r="G23" s="14">
        <f t="shared" ref="G23:K23" si="38">EOMONTH(DATE(YEAR(G25),ROUNDUP(MONTH(G25)/3,0)*3,1),0)</f>
        <v>45657</v>
      </c>
      <c r="H23" s="14">
        <f t="shared" si="38"/>
        <v>45747</v>
      </c>
      <c r="I23" s="14">
        <f t="shared" si="38"/>
        <v>45838</v>
      </c>
      <c r="J23" s="14">
        <f t="shared" si="38"/>
        <v>45930</v>
      </c>
      <c r="K23" s="14">
        <f t="shared" si="38"/>
        <v>46022</v>
      </c>
      <c r="L23" s="14">
        <f>EOMONTH(DATE(YEAR(L25),ROUNDUP(MONTH(L25)/3,0)*3,1),0)</f>
        <v>46112</v>
      </c>
      <c r="M23" s="14">
        <f>EOMONTH(DATE(YEAR(M25),ROUNDUP(MONTH(M25)/3,0)*3,1),0)</f>
        <v>46203</v>
      </c>
      <c r="N23" s="14">
        <f>EOMONTH(DATE(YEAR(N25),ROUNDUP(MONTH(N25)/3,0)*3,1),0)</f>
        <v>46295</v>
      </c>
      <c r="O23" s="14">
        <f>EOMONTH(DATE(YEAR(O25),ROUNDUP(MONTH(O25)/3,0)*3,1),0)</f>
        <v>46387</v>
      </c>
      <c r="P23" s="14">
        <f t="shared" ref="P23:S23" si="39">EOMONTH(DATE(YEAR(P25),ROUNDUP(MONTH(P25)/3,0)*3,1),0)</f>
        <v>46477</v>
      </c>
      <c r="Q23" s="14">
        <f t="shared" si="39"/>
        <v>46568</v>
      </c>
      <c r="R23" s="14">
        <f t="shared" si="39"/>
        <v>46660</v>
      </c>
      <c r="S23" s="14">
        <f t="shared" si="39"/>
        <v>46752</v>
      </c>
      <c r="U23" s="24" t="str">
        <v>HUBB US EQUITY</v>
      </c>
      <c r="V23" s="24">
        <v>46568</v>
      </c>
      <c r="W23" s="24" t="str">
        <v>canonical</v>
      </c>
      <c r="X23" s="24" t="str">
        <v>operating_margin</v>
      </c>
      <c r="Y23" s="24" t="str">
        <v>forecast</v>
      </c>
      <c r="Z23" s="28" t="str">
        <v>24.3158031939847</v>
      </c>
      <c r="AA23" s="28" t="str">
        <v>21.4640717233817</v>
      </c>
      <c r="AB23" s="28" t="str">
        <v>-0.232826415995291</v>
      </c>
      <c r="AC23" s="28" t="str">
        <v>161.347824048289</v>
      </c>
      <c r="AD23" s="28" t="str">
        <v>390.036578321192</v>
      </c>
    </row>
    <row r="24" spans="1:30" x14ac:dyDescent="0.25">
      <c r="C24" s="13" t="s">
        <v>22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tr">
        <f t="shared" ref="L24:S24" si="40">+L$6</f>
        <v>forecast</v>
      </c>
      <c r="M24" s="2" t="str">
        <f t="shared" si="40"/>
        <v>forecast</v>
      </c>
      <c r="N24" s="2" t="str">
        <f t="shared" si="40"/>
        <v>forecast</v>
      </c>
      <c r="O24" s="2" t="str">
        <f t="shared" si="40"/>
        <v>forecast</v>
      </c>
      <c r="P24" s="2" t="str">
        <f t="shared" si="40"/>
        <v>forecast</v>
      </c>
      <c r="Q24" s="2" t="str">
        <f t="shared" si="40"/>
        <v>forecast</v>
      </c>
      <c r="R24" s="2" t="str">
        <f t="shared" si="40"/>
        <v>forecast</v>
      </c>
      <c r="S24" s="2" t="str">
        <f t="shared" si="40"/>
        <v>forecast</v>
      </c>
      <c r="U24" s="24" t="str">
        <v>HUBB US EQUITY</v>
      </c>
      <c r="V24" s="24">
        <v>46660</v>
      </c>
      <c r="W24" s="24" t="str">
        <v>canonical</v>
      </c>
      <c r="X24" s="24" t="str">
        <v>operating_margin</v>
      </c>
      <c r="Y24" s="24" t="str">
        <v>forecast</v>
      </c>
      <c r="Z24" s="28" t="str">
        <v>24.7496872917414</v>
      </c>
      <c r="AA24" s="28" t="str">
        <v>22.0652159358536</v>
      </c>
      <c r="AB24" s="28" t="str">
        <v>0.601144212471993</v>
      </c>
      <c r="AC24" s="28" t="str">
        <v>139.161702697564</v>
      </c>
      <c r="AD24" s="28" t="str">
        <v>43.3884097756685</v>
      </c>
    </row>
    <row r="25" spans="1:30" x14ac:dyDescent="0.25">
      <c r="D25" s="15" cm="1">
        <f t="array" ref="D25:K26">+_xll.BDH($B$2,$C26,$B$3,$B$4,"DIR=H")</f>
        <v>45382</v>
      </c>
      <c r="E25" s="1">
        <v>45473</v>
      </c>
      <c r="F25" s="1">
        <v>45565</v>
      </c>
      <c r="G25" s="1">
        <v>45657</v>
      </c>
      <c r="H25" s="1">
        <v>45747</v>
      </c>
      <c r="I25" s="1">
        <v>45838</v>
      </c>
      <c r="J25" s="1">
        <v>45930</v>
      </c>
      <c r="K25" s="1">
        <v>46022</v>
      </c>
      <c r="L25" s="2">
        <f t="shared" ref="L25:S25" si="41">+L$7</f>
        <v>46112</v>
      </c>
      <c r="M25" s="2">
        <f t="shared" si="41"/>
        <v>46203</v>
      </c>
      <c r="N25" s="2">
        <f t="shared" si="41"/>
        <v>46295</v>
      </c>
      <c r="O25" s="2">
        <f t="shared" si="41"/>
        <v>46387</v>
      </c>
      <c r="P25" s="2">
        <f t="shared" si="41"/>
        <v>46477</v>
      </c>
      <c r="Q25" s="2">
        <f t="shared" si="41"/>
        <v>46568</v>
      </c>
      <c r="R25" s="2">
        <f t="shared" si="41"/>
        <v>46660</v>
      </c>
      <c r="S25" s="2">
        <f t="shared" si="41"/>
        <v>46752</v>
      </c>
      <c r="U25" s="24" t="str">
        <v>HUBB US EQUITY</v>
      </c>
      <c r="V25" s="24">
        <v>46752</v>
      </c>
      <c r="W25" s="24" t="str">
        <v>canonical</v>
      </c>
      <c r="X25" s="24" t="str">
        <v>operating_margin</v>
      </c>
      <c r="Y25" s="24" t="str">
        <v>forecast</v>
      </c>
      <c r="Z25" s="28" t="str">
        <v>23.7163206909098</v>
      </c>
      <c r="AA25" s="28" t="str">
        <v>21.8255719826043</v>
      </c>
      <c r="AB25" s="28" t="str">
        <v>-0.239643953249313</v>
      </c>
      <c r="AC25" s="28" t="str">
        <v>12.019074874225</v>
      </c>
      <c r="AD25" s="28" t="str">
        <v>-103.336660083159</v>
      </c>
    </row>
    <row r="26" spans="1:30" x14ac:dyDescent="0.25">
      <c r="A26" s="16" t="s">
        <v>7</v>
      </c>
      <c r="B26" s="16" t="s">
        <v>61</v>
      </c>
      <c r="C26" s="2" t="s">
        <v>29</v>
      </c>
      <c r="D26" s="11">
        <v>40.299999999999997</v>
      </c>
      <c r="E26" s="11">
        <v>33.9</v>
      </c>
      <c r="F26" s="11">
        <v>38.200000000000003</v>
      </c>
      <c r="G26" s="11">
        <v>68</v>
      </c>
      <c r="H26" s="11">
        <v>26</v>
      </c>
      <c r="I26" s="11">
        <v>39.9</v>
      </c>
      <c r="J26" s="11">
        <v>30.5</v>
      </c>
      <c r="K26" s="11">
        <v>58.7</v>
      </c>
      <c r="L26" s="34">
        <f t="shared" ref="L26:O26" si="42">184.7113744/4</f>
        <v>46.177843600000003</v>
      </c>
      <c r="M26" s="34">
        <f t="shared" si="42"/>
        <v>46.177843600000003</v>
      </c>
      <c r="N26" s="34">
        <f t="shared" si="42"/>
        <v>46.177843600000003</v>
      </c>
      <c r="O26" s="34">
        <f t="shared" si="42"/>
        <v>46.177843600000003</v>
      </c>
      <c r="P26" s="34">
        <f t="shared" ref="P26:S26" si="43">191.2854674/4</f>
        <v>47.821366849999997</v>
      </c>
      <c r="Q26" s="34">
        <f t="shared" si="43"/>
        <v>47.821366849999997</v>
      </c>
      <c r="R26" s="34">
        <f t="shared" si="43"/>
        <v>47.821366849999997</v>
      </c>
      <c r="S26" s="34">
        <f t="shared" si="43"/>
        <v>47.821366849999997</v>
      </c>
      <c r="U26" s="24" t="str" cm="1">
        <f t="array" ref="U26:AD37">_xlfn.LET(
  _xlpm.d, H23:S23,
  _xlpm.s, H24:S24,
  _xlpm.v, H26:S26,
  _xlpm.yy, H27:S27,
  _xlpm.qq, H28:S28,
  _xlpm.dyy, H29:S29,
  _xlpm.dqq, H30:S30,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HUBB US EQUITY</v>
      </c>
      <c r="V26" s="24">
        <v>45747</v>
      </c>
      <c r="W26" s="24" t="str">
        <v>canonical</v>
      </c>
      <c r="X26" s="24" t="str">
        <v>capex</v>
      </c>
      <c r="Y26" s="24" t="str">
        <v>actual</v>
      </c>
      <c r="Z26" s="28" t="str">
        <v>26</v>
      </c>
      <c r="AA26" s="28" t="str">
        <v>-0.354838709677419</v>
      </c>
      <c r="AB26" s="28" t="str">
        <v/>
      </c>
      <c r="AC26" s="28" t="str">
        <v/>
      </c>
      <c r="AD26" s="28" t="str">
        <v>-0.617647058823529</v>
      </c>
    </row>
    <row r="27" spans="1:30" x14ac:dyDescent="0.25">
      <c r="C27" s="4" t="s">
        <v>4</v>
      </c>
      <c r="D27" s="5"/>
      <c r="E27" s="4"/>
      <c r="F27" s="4"/>
      <c r="G27" s="12"/>
      <c r="H27" s="12">
        <f t="shared" ref="H27:S27" si="44">+H26/D26-1</f>
        <v>-0.35483870967741926</v>
      </c>
      <c r="I27" s="12">
        <f t="shared" si="44"/>
        <v>0.17699115044247793</v>
      </c>
      <c r="J27" s="12">
        <f t="shared" si="44"/>
        <v>-0.20157068062827233</v>
      </c>
      <c r="K27" s="12">
        <f t="shared" si="44"/>
        <v>-0.1367647058823529</v>
      </c>
      <c r="L27" s="12">
        <f t="shared" si="44"/>
        <v>0.7760709076923078</v>
      </c>
      <c r="M27" s="12">
        <f t="shared" si="44"/>
        <v>0.15733943859649124</v>
      </c>
      <c r="N27" s="12">
        <f t="shared" si="44"/>
        <v>0.51402765901639347</v>
      </c>
      <c r="O27" s="12">
        <f t="shared" si="44"/>
        <v>-0.21332464054514477</v>
      </c>
      <c r="P27" s="12">
        <f t="shared" si="44"/>
        <v>3.5591164980254497E-2</v>
      </c>
      <c r="Q27" s="12">
        <f t="shared" si="44"/>
        <v>3.5591164980254497E-2</v>
      </c>
      <c r="R27" s="12">
        <f t="shared" si="44"/>
        <v>3.5591164980254497E-2</v>
      </c>
      <c r="S27" s="12">
        <f t="shared" si="44"/>
        <v>3.5591164980254497E-2</v>
      </c>
      <c r="U27" s="24" t="str">
        <v>HUBB US EQUITY</v>
      </c>
      <c r="V27" s="24">
        <v>45838</v>
      </c>
      <c r="W27" s="24" t="str">
        <v>canonical</v>
      </c>
      <c r="X27" s="24" t="str">
        <v>capex</v>
      </c>
      <c r="Y27" s="24" t="str">
        <v>actual</v>
      </c>
      <c r="Z27" s="28" t="str">
        <v>39.9</v>
      </c>
      <c r="AA27" s="28" t="str">
        <v>0.176991150442478</v>
      </c>
      <c r="AB27" s="28" t="str">
        <v>5318.29860119897</v>
      </c>
      <c r="AC27" s="28" t="str">
        <v/>
      </c>
      <c r="AD27" s="28" t="str">
        <v>0.534615384615384</v>
      </c>
    </row>
    <row r="28" spans="1:30" x14ac:dyDescent="0.25">
      <c r="C28" s="4" t="s">
        <v>15</v>
      </c>
      <c r="D28" s="1"/>
      <c r="H28" s="7"/>
      <c r="I28" s="7">
        <f t="shared" ref="I28:J28" si="45">(I27-H27)*10000</f>
        <v>5318.2986011989715</v>
      </c>
      <c r="J28" s="7">
        <f t="shared" si="45"/>
        <v>-3785.6183107075026</v>
      </c>
      <c r="K28" s="7">
        <f>(K27-J27)*10000</f>
        <v>648.05974745919423</v>
      </c>
      <c r="L28" s="7">
        <f>(L27-K27)*10000</f>
        <v>9128.3561357466078</v>
      </c>
      <c r="M28" s="7">
        <f>(M27-L27)*10000</f>
        <v>-6187.3146909581656</v>
      </c>
      <c r="N28" s="7">
        <f>(N27-M27)*10000</f>
        <v>3566.8822041990225</v>
      </c>
      <c r="O28" s="7">
        <f>(O27-N27)*10000</f>
        <v>-7273.5229956153826</v>
      </c>
      <c r="P28" s="7">
        <f t="shared" ref="P28:S28" si="46">(P27-O27)*10000</f>
        <v>2489.1580552539926</v>
      </c>
      <c r="Q28" s="7">
        <f t="shared" si="46"/>
        <v>0</v>
      </c>
      <c r="R28" s="7">
        <f t="shared" si="46"/>
        <v>0</v>
      </c>
      <c r="S28" s="7">
        <f t="shared" si="46"/>
        <v>0</v>
      </c>
      <c r="U28" s="24" t="str">
        <v>HUBB US EQUITY</v>
      </c>
      <c r="V28" s="24">
        <v>45930</v>
      </c>
      <c r="W28" s="24" t="str">
        <v>canonical</v>
      </c>
      <c r="X28" s="24" t="str">
        <v>capex</v>
      </c>
      <c r="Y28" s="24" t="str">
        <v>actual</v>
      </c>
      <c r="Z28" s="28" t="str">
        <v>30.5</v>
      </c>
      <c r="AA28" s="28" t="str">
        <v>-0.201570680628272</v>
      </c>
      <c r="AB28" s="28" t="str">
        <v>-3785.6183107075</v>
      </c>
      <c r="AC28" s="28" t="str">
        <v/>
      </c>
      <c r="AD28" s="28" t="str">
        <v>-0.235588972431078</v>
      </c>
    </row>
    <row r="29" spans="1:30" x14ac:dyDescent="0.25">
      <c r="C29" s="4" t="s">
        <v>28</v>
      </c>
      <c r="D29" s="1"/>
      <c r="E29" s="6"/>
      <c r="F29" s="6"/>
      <c r="G29" s="6"/>
      <c r="H29" s="6"/>
      <c r="I29" s="6"/>
      <c r="J29" s="6"/>
      <c r="K29" s="6"/>
      <c r="L29" s="12">
        <f t="shared" ref="L29:S29" si="47">(1+H27)*(1+L27)-1</f>
        <v>0.14585219851116649</v>
      </c>
      <c r="M29" s="12">
        <f t="shared" si="47"/>
        <v>0.36217827728613572</v>
      </c>
      <c r="N29" s="12">
        <f t="shared" si="47"/>
        <v>0.20884407329842913</v>
      </c>
      <c r="O29" s="12">
        <f t="shared" si="47"/>
        <v>-0.32091406470588224</v>
      </c>
      <c r="P29" s="12">
        <f t="shared" si="47"/>
        <v>0.83928334038461516</v>
      </c>
      <c r="Q29" s="12">
        <f t="shared" si="47"/>
        <v>0.19853049749373408</v>
      </c>
      <c r="R29" s="12">
        <f t="shared" si="47"/>
        <v>0.56791366721311443</v>
      </c>
      <c r="S29" s="12">
        <f t="shared" si="47"/>
        <v>-0.18532594804088598</v>
      </c>
      <c r="U29" s="24" t="str">
        <v>HUBB US EQUITY</v>
      </c>
      <c r="V29" s="24">
        <v>46022</v>
      </c>
      <c r="W29" s="24" t="str">
        <v>canonical</v>
      </c>
      <c r="X29" s="24" t="str">
        <v>capex</v>
      </c>
      <c r="Y29" s="24" t="str">
        <v>actual</v>
      </c>
      <c r="Z29" s="28" t="str">
        <v>58.7</v>
      </c>
      <c r="AA29" s="28" t="str">
        <v>-0.136764705882353</v>
      </c>
      <c r="AB29" s="28" t="str">
        <v>648.059747459194</v>
      </c>
      <c r="AC29" s="28" t="str">
        <v/>
      </c>
      <c r="AD29" s="28" t="str">
        <v>0.924590163934426</v>
      </c>
    </row>
    <row r="30" spans="1:30" x14ac:dyDescent="0.25">
      <c r="C30" s="4" t="s">
        <v>5</v>
      </c>
      <c r="D30" s="1"/>
      <c r="E30" s="12">
        <f t="shared" ref="E30:S30" si="48">E26/D26-1</f>
        <v>-0.15880893300248133</v>
      </c>
      <c r="F30" s="12">
        <f t="shared" si="48"/>
        <v>0.12684365781710927</v>
      </c>
      <c r="G30" s="12">
        <f t="shared" si="48"/>
        <v>0.7801047120418847</v>
      </c>
      <c r="H30" s="12">
        <f t="shared" si="48"/>
        <v>-0.61764705882352944</v>
      </c>
      <c r="I30" s="12">
        <f t="shared" si="48"/>
        <v>0.53461538461538449</v>
      </c>
      <c r="J30" s="12">
        <f t="shared" si="48"/>
        <v>-0.23558897243107768</v>
      </c>
      <c r="K30" s="12">
        <f t="shared" si="48"/>
        <v>0.92459016393442628</v>
      </c>
      <c r="L30" s="12">
        <f t="shared" si="48"/>
        <v>-0.21332464054514477</v>
      </c>
      <c r="M30" s="12">
        <f t="shared" si="48"/>
        <v>0</v>
      </c>
      <c r="N30" s="12">
        <f t="shared" si="48"/>
        <v>0</v>
      </c>
      <c r="O30" s="12">
        <f t="shared" si="48"/>
        <v>0</v>
      </c>
      <c r="P30" s="12">
        <f t="shared" si="48"/>
        <v>3.5591164980254497E-2</v>
      </c>
      <c r="Q30" s="12">
        <f t="shared" si="48"/>
        <v>0</v>
      </c>
      <c r="R30" s="12">
        <f t="shared" si="48"/>
        <v>0</v>
      </c>
      <c r="S30" s="12">
        <f t="shared" si="48"/>
        <v>0</v>
      </c>
      <c r="U30" s="24" t="str">
        <v>HUBB US EQUITY</v>
      </c>
      <c r="V30" s="24">
        <v>46112</v>
      </c>
      <c r="W30" s="24" t="str">
        <v>canonical</v>
      </c>
      <c r="X30" s="24" t="str">
        <v>capex</v>
      </c>
      <c r="Y30" s="24" t="str">
        <v>forecast</v>
      </c>
      <c r="Z30" s="28" t="str">
        <v>46.1778436</v>
      </c>
      <c r="AA30" s="28" t="str">
        <v>0.776070907692308</v>
      </c>
      <c r="AB30" s="28" t="str">
        <v>9128.35613574661</v>
      </c>
      <c r="AC30" s="28" t="str">
        <v>0.145852198511166</v>
      </c>
      <c r="AD30" s="28" t="str">
        <v>-0.213324640545145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HUBB US EQUITY</v>
      </c>
      <c r="V31" s="24">
        <v>46203</v>
      </c>
      <c r="W31" s="24" t="str">
        <v>canonical</v>
      </c>
      <c r="X31" s="24" t="str">
        <v>capex</v>
      </c>
      <c r="Y31" s="24" t="str">
        <v>forecast</v>
      </c>
      <c r="Z31" s="28" t="str">
        <v>46.1778436</v>
      </c>
      <c r="AA31" s="28" t="str">
        <v>0.157339438596491</v>
      </c>
      <c r="AB31" s="28" t="str">
        <v>-6187.31469095817</v>
      </c>
      <c r="AC31" s="28" t="str">
        <v>0.362178277286136</v>
      </c>
      <c r="AD31" s="28" t="str">
        <v>0</v>
      </c>
    </row>
    <row r="32" spans="1:30" x14ac:dyDescent="0.25">
      <c r="C32" s="13" t="s">
        <v>10</v>
      </c>
      <c r="D32" s="14">
        <f t="shared" ref="D32:L32" si="49">EOMONTH(DATE(YEAR(D34),ROUNDUP(MONTH(D34)/3,0)*3,1),0)</f>
        <v>45382</v>
      </c>
      <c r="E32" s="14">
        <f t="shared" si="49"/>
        <v>45473</v>
      </c>
      <c r="F32" s="14">
        <f t="shared" si="49"/>
        <v>45565</v>
      </c>
      <c r="G32" s="14">
        <f t="shared" si="49"/>
        <v>45657</v>
      </c>
      <c r="H32" s="14">
        <f t="shared" si="49"/>
        <v>45747</v>
      </c>
      <c r="I32" s="14">
        <f t="shared" si="49"/>
        <v>45838</v>
      </c>
      <c r="J32" s="14">
        <f t="shared" si="49"/>
        <v>45930</v>
      </c>
      <c r="K32" s="14">
        <f t="shared" si="49"/>
        <v>46022</v>
      </c>
      <c r="L32" s="14">
        <f t="shared" si="49"/>
        <v>46112</v>
      </c>
      <c r="M32" s="14">
        <f>EOMONTH(DATE(YEAR(M34),ROUNDUP(MONTH(M34)/3,0)*3,1),0)</f>
        <v>46203</v>
      </c>
      <c r="N32" s="14">
        <f>EOMONTH(DATE(YEAR(N34),ROUNDUP(MONTH(N34)/3,0)*3,1),0)</f>
        <v>46295</v>
      </c>
      <c r="O32" s="14">
        <f>EOMONTH(DATE(YEAR(O34),ROUNDUP(MONTH(O34)/3,0)*3,1),0)</f>
        <v>46387</v>
      </c>
      <c r="P32" s="14">
        <f t="shared" ref="P32:S32" si="50">EOMONTH(DATE(YEAR(P34),ROUNDUP(MONTH(P34)/3,0)*3,1),0)</f>
        <v>46477</v>
      </c>
      <c r="Q32" s="14">
        <f t="shared" si="50"/>
        <v>46568</v>
      </c>
      <c r="R32" s="14">
        <f t="shared" si="50"/>
        <v>46660</v>
      </c>
      <c r="S32" s="14">
        <f t="shared" si="50"/>
        <v>46752</v>
      </c>
      <c r="U32" s="24" t="str">
        <v>HUBB US EQUITY</v>
      </c>
      <c r="V32" s="24">
        <v>46295</v>
      </c>
      <c r="W32" s="24" t="str">
        <v>canonical</v>
      </c>
      <c r="X32" s="24" t="str">
        <v>capex</v>
      </c>
      <c r="Y32" s="24" t="str">
        <v>forecast</v>
      </c>
      <c r="Z32" s="28" t="str">
        <v>46.1778436</v>
      </c>
      <c r="AA32" s="28" t="str">
        <v>0.514027659016393</v>
      </c>
      <c r="AB32" s="28" t="str">
        <v>3566.88220419902</v>
      </c>
      <c r="AC32" s="28" t="str">
        <v>0.208844073298429</v>
      </c>
      <c r="AD32" s="28" t="str">
        <v>0</v>
      </c>
    </row>
    <row r="33" spans="1:30" x14ac:dyDescent="0.25">
      <c r="C33" s="13" t="s">
        <v>22</v>
      </c>
      <c r="D33" s="2" t="str">
        <f t="shared" ref="D33:S33" si="51">+D$6</f>
        <v>actual</v>
      </c>
      <c r="E33" s="2" t="str">
        <f t="shared" si="51"/>
        <v>actual</v>
      </c>
      <c r="F33" s="2" t="str">
        <f t="shared" si="51"/>
        <v>actual</v>
      </c>
      <c r="G33" s="2" t="str">
        <f t="shared" si="51"/>
        <v>actual</v>
      </c>
      <c r="H33" s="2" t="str">
        <f t="shared" si="51"/>
        <v>actual</v>
      </c>
      <c r="I33" s="2" t="str">
        <f t="shared" si="51"/>
        <v>actual</v>
      </c>
      <c r="J33" s="2" t="str">
        <f t="shared" si="51"/>
        <v>actual</v>
      </c>
      <c r="K33" s="2" t="str">
        <f t="shared" si="51"/>
        <v>actual</v>
      </c>
      <c r="L33" s="2" t="str">
        <f t="shared" si="51"/>
        <v>forecast</v>
      </c>
      <c r="M33" s="2" t="str">
        <f t="shared" si="51"/>
        <v>forecast</v>
      </c>
      <c r="N33" s="2" t="str">
        <f t="shared" si="51"/>
        <v>forecast</v>
      </c>
      <c r="O33" s="2" t="str">
        <f t="shared" si="51"/>
        <v>forecast</v>
      </c>
      <c r="P33" s="2" t="str">
        <f t="shared" si="51"/>
        <v>forecast</v>
      </c>
      <c r="Q33" s="2" t="str">
        <f t="shared" si="51"/>
        <v>forecast</v>
      </c>
      <c r="R33" s="2" t="str">
        <f t="shared" si="51"/>
        <v>forecast</v>
      </c>
      <c r="S33" s="2" t="str">
        <f t="shared" si="51"/>
        <v>forecast</v>
      </c>
      <c r="U33" s="24" t="str">
        <v>HUBB US EQUITY</v>
      </c>
      <c r="V33" s="24">
        <v>46387</v>
      </c>
      <c r="W33" s="24" t="str">
        <v>canonical</v>
      </c>
      <c r="X33" s="24" t="str">
        <v>capex</v>
      </c>
      <c r="Y33" s="24" t="str">
        <v>forecast</v>
      </c>
      <c r="Z33" s="28" t="str">
        <v>46.1778436</v>
      </c>
      <c r="AA33" s="28" t="str">
        <v>-0.213324640545145</v>
      </c>
      <c r="AB33" s="28" t="str">
        <v>-7273.52299561538</v>
      </c>
      <c r="AC33" s="28" t="str">
        <v>-0.320914064705882</v>
      </c>
      <c r="AD33" s="28" t="str">
        <v>0</v>
      </c>
    </row>
    <row r="34" spans="1:30" x14ac:dyDescent="0.25">
      <c r="D34" s="2">
        <f t="shared" ref="D34:S34" si="52">+D$7</f>
        <v>45382</v>
      </c>
      <c r="E34" s="2">
        <f t="shared" si="52"/>
        <v>45473</v>
      </c>
      <c r="F34" s="2">
        <f t="shared" si="52"/>
        <v>45565</v>
      </c>
      <c r="G34" s="2">
        <f t="shared" si="52"/>
        <v>45657</v>
      </c>
      <c r="H34" s="2">
        <f t="shared" si="52"/>
        <v>45747</v>
      </c>
      <c r="I34" s="2">
        <f t="shared" si="52"/>
        <v>45838</v>
      </c>
      <c r="J34" s="2">
        <f t="shared" si="52"/>
        <v>45930</v>
      </c>
      <c r="K34" s="2">
        <f t="shared" si="52"/>
        <v>46022</v>
      </c>
      <c r="L34" s="2">
        <f t="shared" si="52"/>
        <v>46112</v>
      </c>
      <c r="M34" s="2">
        <f t="shared" si="52"/>
        <v>46203</v>
      </c>
      <c r="N34" s="2">
        <f t="shared" si="52"/>
        <v>46295</v>
      </c>
      <c r="O34" s="2">
        <f t="shared" si="52"/>
        <v>46387</v>
      </c>
      <c r="P34" s="2">
        <f t="shared" si="52"/>
        <v>46477</v>
      </c>
      <c r="Q34" s="2">
        <f t="shared" si="52"/>
        <v>46568</v>
      </c>
      <c r="R34" s="2">
        <f t="shared" si="52"/>
        <v>46660</v>
      </c>
      <c r="S34" s="2">
        <f t="shared" si="52"/>
        <v>46752</v>
      </c>
      <c r="U34" s="24" t="str">
        <v>HUBB US EQUITY</v>
      </c>
      <c r="V34" s="24">
        <v>46477</v>
      </c>
      <c r="W34" s="24" t="str">
        <v>canonical</v>
      </c>
      <c r="X34" s="24" t="str">
        <v>capex</v>
      </c>
      <c r="Y34" s="24" t="str">
        <v>forecast</v>
      </c>
      <c r="Z34" s="28" t="str">
        <v>47.82136685</v>
      </c>
      <c r="AA34" s="28" t="str">
        <v>0.0355911649802545</v>
      </c>
      <c r="AB34" s="28" t="str">
        <v>2489.15805525399</v>
      </c>
      <c r="AC34" s="28" t="str">
        <v>0.839283340384615</v>
      </c>
      <c r="AD34" s="28" t="str">
        <v>0.0355911649802545</v>
      </c>
    </row>
    <row r="35" spans="1:30" x14ac:dyDescent="0.25">
      <c r="A35" s="16" t="s">
        <v>17</v>
      </c>
      <c r="B35" s="16" t="s">
        <v>78</v>
      </c>
      <c r="C35" s="2" t="s">
        <v>79</v>
      </c>
      <c r="D35" s="31">
        <v>2.2999999999999998</v>
      </c>
      <c r="E35" s="31">
        <v>1.9</v>
      </c>
      <c r="F35" s="31">
        <v>-1</v>
      </c>
      <c r="G35" s="31">
        <v>-3</v>
      </c>
      <c r="H35" s="31">
        <v>-0.6</v>
      </c>
      <c r="I35" s="31">
        <v>2</v>
      </c>
      <c r="J35" s="31">
        <v>3.2</v>
      </c>
      <c r="K35" s="31">
        <v>8.9</v>
      </c>
      <c r="L35" s="31">
        <v>6.744359800761794</v>
      </c>
      <c r="M35" s="31">
        <v>7.3697365761638478</v>
      </c>
      <c r="N35" s="31">
        <v>6.5127795527156556</v>
      </c>
      <c r="O35" s="31">
        <v>4.8809539760166141</v>
      </c>
      <c r="P35" s="31">
        <v>4.2623518049363405</v>
      </c>
      <c r="Q35" s="31">
        <v>4.2734318040914694</v>
      </c>
      <c r="R35" s="31">
        <v>4.2889511201629329</v>
      </c>
      <c r="S35" s="31">
        <v>4.2673487663823373</v>
      </c>
      <c r="U35" s="24" t="str">
        <v>HUBB US EQUITY</v>
      </c>
      <c r="V35" s="24">
        <v>46568</v>
      </c>
      <c r="W35" s="24" t="str">
        <v>canonical</v>
      </c>
      <c r="X35" s="24" t="str">
        <v>capex</v>
      </c>
      <c r="Y35" s="24" t="str">
        <v>forecast</v>
      </c>
      <c r="Z35" s="28" t="str">
        <v>47.82136685</v>
      </c>
      <c r="AA35" s="28" t="str">
        <v>0.0355911649802545</v>
      </c>
      <c r="AB35" s="28" t="str">
        <v>0</v>
      </c>
      <c r="AC35" s="28" t="str">
        <v>0.198530497493734</v>
      </c>
      <c r="AD35" s="28" t="str">
        <v>0</v>
      </c>
    </row>
    <row r="36" spans="1:30" x14ac:dyDescent="0.25">
      <c r="C36" s="4" t="s">
        <v>4</v>
      </c>
      <c r="D36" s="5"/>
      <c r="E36" s="4"/>
      <c r="F36" s="4"/>
      <c r="G36" s="4"/>
      <c r="H36" s="7">
        <f t="shared" ref="H36" si="53">(H35-D35)*100</f>
        <v>-290</v>
      </c>
      <c r="I36" s="7">
        <f t="shared" ref="I36" si="54">(I35-E35)*100</f>
        <v>10.000000000000009</v>
      </c>
      <c r="J36" s="7">
        <f t="shared" ref="J36" si="55">(J35-F35)*100</f>
        <v>420</v>
      </c>
      <c r="K36" s="7">
        <f t="shared" ref="K36" si="56">(K35-G35)*100</f>
        <v>1190</v>
      </c>
      <c r="L36" s="7">
        <f t="shared" ref="L36" si="57">(L35-H35)*100</f>
        <v>734.43598007617936</v>
      </c>
      <c r="M36" s="7">
        <f t="shared" ref="M36" si="58">(M35-I35)*100</f>
        <v>536.9736576163848</v>
      </c>
      <c r="N36" s="7">
        <f t="shared" ref="N36" si="59">(N35-J35)*100</f>
        <v>331.27795527156553</v>
      </c>
      <c r="O36" s="7">
        <f t="shared" ref="O36" si="60">(O35-K35)*100</f>
        <v>-401.90460239833862</v>
      </c>
      <c r="P36" s="7">
        <f t="shared" ref="P36" si="61">(P35-L35)*100</f>
        <v>-248.20079958254536</v>
      </c>
      <c r="Q36" s="7">
        <f t="shared" ref="Q36" si="62">(Q35-M35)*100</f>
        <v>-309.63047720723785</v>
      </c>
      <c r="R36" s="7">
        <f t="shared" ref="R36" si="63">(R35-N35)*100</f>
        <v>-222.38284325527226</v>
      </c>
      <c r="S36" s="7">
        <f t="shared" ref="S36" si="64">(S35-O35)*100</f>
        <v>-61.360520963427675</v>
      </c>
      <c r="U36" s="24" t="str">
        <v>HUBB US EQUITY</v>
      </c>
      <c r="V36" s="24">
        <v>46660</v>
      </c>
      <c r="W36" s="24" t="str">
        <v>canonical</v>
      </c>
      <c r="X36" s="24" t="str">
        <v>capex</v>
      </c>
      <c r="Y36" s="24" t="str">
        <v>forecast</v>
      </c>
      <c r="Z36" s="28" t="str">
        <v>47.82136685</v>
      </c>
      <c r="AA36" s="28" t="str">
        <v>0.0355911649802545</v>
      </c>
      <c r="AB36" s="28" t="str">
        <v>0</v>
      </c>
      <c r="AC36" s="28" t="str">
        <v>0.567913667213114</v>
      </c>
      <c r="AD36" s="28" t="str">
        <v>0</v>
      </c>
    </row>
    <row r="37" spans="1:30" x14ac:dyDescent="0.25">
      <c r="C37" s="4" t="s">
        <v>15</v>
      </c>
      <c r="D37" s="1"/>
      <c r="I37" s="7">
        <f t="shared" ref="I37" si="65">I36-H36</f>
        <v>300</v>
      </c>
      <c r="J37" s="7">
        <f t="shared" ref="J37" si="66">J36-I36</f>
        <v>410</v>
      </c>
      <c r="K37" s="7">
        <f t="shared" ref="K37" si="67">K36-J36</f>
        <v>770</v>
      </c>
      <c r="L37" s="7">
        <f t="shared" ref="L37" si="68">L36-K36</f>
        <v>-455.56401992382064</v>
      </c>
      <c r="M37" s="7">
        <f t="shared" ref="M37" si="69">M36-L36</f>
        <v>-197.46232245979456</v>
      </c>
      <c r="N37" s="7">
        <f t="shared" ref="N37" si="70">N36-M36</f>
        <v>-205.69570234481927</v>
      </c>
      <c r="O37" s="7">
        <f t="shared" ref="O37" si="71">O36-N36</f>
        <v>-733.1825576699041</v>
      </c>
      <c r="P37" s="7">
        <f t="shared" ref="P37" si="72">P36-O36</f>
        <v>153.70380281579327</v>
      </c>
      <c r="Q37" s="7">
        <f t="shared" ref="Q37" si="73">Q36-P36</f>
        <v>-61.429677624692488</v>
      </c>
      <c r="R37" s="7">
        <f t="shared" ref="R37" si="74">R36-Q36</f>
        <v>87.247633951965582</v>
      </c>
      <c r="S37" s="7">
        <f t="shared" ref="S37" si="75">S36-R36</f>
        <v>161.0223222918446</v>
      </c>
      <c r="U37" s="24" t="str">
        <v>HUBB US EQUITY</v>
      </c>
      <c r="V37" s="24">
        <v>46752</v>
      </c>
      <c r="W37" s="24" t="str">
        <v>canonical</v>
      </c>
      <c r="X37" s="24" t="str">
        <v>capex</v>
      </c>
      <c r="Y37" s="24" t="str">
        <v>forecast</v>
      </c>
      <c r="Z37" s="28" t="str">
        <v>47.82136685</v>
      </c>
      <c r="AA37" s="28" t="str">
        <v>0.0355911649802545</v>
      </c>
      <c r="AB37" s="28" t="str">
        <v>0</v>
      </c>
      <c r="AC37" s="28" t="str">
        <v>-0.185325948040886</v>
      </c>
      <c r="AD37" s="28" t="str">
        <v>0</v>
      </c>
    </row>
    <row r="38" spans="1:30" x14ac:dyDescent="0.25">
      <c r="C38" s="4" t="s">
        <v>28</v>
      </c>
      <c r="D38" s="1"/>
      <c r="E38" s="6"/>
      <c r="F38" s="6"/>
      <c r="G38" s="6"/>
      <c r="H38" s="6"/>
      <c r="I38" s="6"/>
      <c r="J38" s="6"/>
      <c r="K38" s="6"/>
      <c r="L38" s="7">
        <f>L36-H36</f>
        <v>1024.4359800761795</v>
      </c>
      <c r="M38" s="7">
        <f t="shared" ref="M38" si="76">M36-I36</f>
        <v>526.9736576163848</v>
      </c>
      <c r="N38" s="7">
        <f t="shared" ref="N38" si="77">N36-J36</f>
        <v>-88.722044728434469</v>
      </c>
      <c r="O38" s="7">
        <f t="shared" ref="O38" si="78">O36-K36</f>
        <v>-1591.9046023983387</v>
      </c>
      <c r="P38" s="7">
        <f t="shared" ref="P38" si="79">P36-L36</f>
        <v>-982.63677965872466</v>
      </c>
      <c r="Q38" s="7">
        <f t="shared" ref="Q38" si="80">Q36-M36</f>
        <v>-846.60413482362264</v>
      </c>
      <c r="R38" s="7">
        <f t="shared" ref="R38" si="81">R36-N36</f>
        <v>-553.66079852683777</v>
      </c>
      <c r="S38" s="7">
        <f t="shared" ref="S38" si="82">S36-O36</f>
        <v>340.54408143491094</v>
      </c>
      <c r="U38" s="24" t="str" cm="1">
        <f t="array" ref="U38:AD49">_xlfn.LET(
  _xlpm.d, H32:S32,
  _xlpm.s, H33:S33,
  _xlpm.v, H35:S35,
  _xlpm.yy, H36:S36,
  _xlpm.qq, H37:S37,
  _xlpm.dyy, H38:S38,
  _xlpm.dqq, H39:S39,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HUBB US EQUITY</v>
      </c>
      <c r="V38" s="24">
        <v>45747</v>
      </c>
      <c r="W38" s="24" t="str">
        <v>custom</v>
      </c>
      <c r="X38" s="24" t="str">
        <v>organic_growth_yoy</v>
      </c>
      <c r="Y38" s="24" t="str">
        <v>actual</v>
      </c>
      <c r="Z38" s="28" t="str">
        <v>-0.6</v>
      </c>
      <c r="AA38" s="28" t="str">
        <v>-290</v>
      </c>
      <c r="AB38" s="28" t="str">
        <v/>
      </c>
      <c r="AC38" s="28" t="str">
        <v/>
      </c>
      <c r="AD38" s="28" t="str">
        <v>240</v>
      </c>
    </row>
    <row r="39" spans="1:30" x14ac:dyDescent="0.25">
      <c r="C39" s="4" t="s">
        <v>5</v>
      </c>
      <c r="D39" s="1"/>
      <c r="E39" s="7">
        <f t="shared" ref="E39" si="83">(E35-D35)*100</f>
        <v>-39.999999999999993</v>
      </c>
      <c r="F39" s="7">
        <f t="shared" ref="F39" si="84">(F35-E35)*100</f>
        <v>-290</v>
      </c>
      <c r="G39" s="7">
        <f t="shared" ref="G39" si="85">(G35-F35)*100</f>
        <v>-200</v>
      </c>
      <c r="H39" s="7">
        <f t="shared" ref="H39" si="86">(H35-G35)*100</f>
        <v>240</v>
      </c>
      <c r="I39" s="7">
        <f t="shared" ref="I39" si="87">(I35-H35)*100</f>
        <v>260</v>
      </c>
      <c r="J39" s="7">
        <f t="shared" ref="J39" si="88">(J35-I35)*100</f>
        <v>120.00000000000001</v>
      </c>
      <c r="K39" s="7">
        <f t="shared" ref="K39" si="89">(K35-J35)*100</f>
        <v>570</v>
      </c>
      <c r="L39" s="7">
        <f t="shared" ref="L39" si="90">(L35-K35)*100</f>
        <v>-215.56401992382064</v>
      </c>
      <c r="M39" s="7">
        <f t="shared" ref="M39" si="91">(M35-L35)*100</f>
        <v>62.53767754020538</v>
      </c>
      <c r="N39" s="7">
        <f t="shared" ref="N39" si="92">(N35-M35)*100</f>
        <v>-85.695702344819225</v>
      </c>
      <c r="O39" s="7">
        <f t="shared" ref="O39" si="93">(O35-N35)*100</f>
        <v>-163.18255766990416</v>
      </c>
      <c r="P39" s="7">
        <f t="shared" ref="P39" si="94">(P35-O35)*100</f>
        <v>-61.860217108027356</v>
      </c>
      <c r="Q39" s="7">
        <f t="shared" ref="Q39" si="95">(Q35-P35)*100</f>
        <v>1.1079999155128917</v>
      </c>
      <c r="R39" s="7">
        <f t="shared" ref="R39" si="96">(R35-Q35)*100</f>
        <v>1.5519316071463507</v>
      </c>
      <c r="S39" s="7">
        <f t="shared" ref="S39" si="97">(S35-R35)*100</f>
        <v>-2.1602353780595607</v>
      </c>
      <c r="U39" s="24" t="str">
        <v>HUBB US EQUITY</v>
      </c>
      <c r="V39" s="24">
        <v>45838</v>
      </c>
      <c r="W39" s="24" t="str">
        <v>custom</v>
      </c>
      <c r="X39" s="24" t="str">
        <v>organic_growth_yoy</v>
      </c>
      <c r="Y39" s="24" t="str">
        <v>actual</v>
      </c>
      <c r="Z39" s="28" t="str">
        <v>2</v>
      </c>
      <c r="AA39" s="28" t="str">
        <v>10</v>
      </c>
      <c r="AB39" s="28" t="str">
        <v>300</v>
      </c>
      <c r="AC39" s="28" t="str">
        <v/>
      </c>
      <c r="AD39" s="28" t="str">
        <v>260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v>HUBB US EQUITY</v>
      </c>
      <c r="V40" s="24">
        <v>45930</v>
      </c>
      <c r="W40" s="24" t="str">
        <v>custom</v>
      </c>
      <c r="X40" s="24" t="str">
        <v>organic_growth_yoy</v>
      </c>
      <c r="Y40" s="24" t="str">
        <v>actual</v>
      </c>
      <c r="Z40" s="28" t="str">
        <v>3.2</v>
      </c>
      <c r="AA40" s="28" t="str">
        <v>420</v>
      </c>
      <c r="AB40" s="28" t="str">
        <v>410</v>
      </c>
      <c r="AC40" s="28" t="str">
        <v/>
      </c>
      <c r="AD40" s="28" t="str">
        <v>120</v>
      </c>
    </row>
    <row r="41" spans="1:30" x14ac:dyDescent="0.25">
      <c r="C41" s="13" t="s">
        <v>10</v>
      </c>
      <c r="D41" s="14">
        <f t="shared" ref="D41:L41" si="98">EOMONTH(DATE(YEAR(D43),ROUNDUP(MONTH(D43)/3,0)*3,1),0)</f>
        <v>45382</v>
      </c>
      <c r="E41" s="14">
        <f t="shared" si="98"/>
        <v>45473</v>
      </c>
      <c r="F41" s="14">
        <f t="shared" si="98"/>
        <v>45565</v>
      </c>
      <c r="G41" s="14">
        <f t="shared" si="98"/>
        <v>45657</v>
      </c>
      <c r="H41" s="14">
        <f t="shared" si="98"/>
        <v>45747</v>
      </c>
      <c r="I41" s="14">
        <f t="shared" si="98"/>
        <v>45838</v>
      </c>
      <c r="J41" s="14">
        <f t="shared" si="98"/>
        <v>45930</v>
      </c>
      <c r="K41" s="14">
        <f t="shared" si="98"/>
        <v>46022</v>
      </c>
      <c r="L41" s="14">
        <f t="shared" si="98"/>
        <v>46112</v>
      </c>
      <c r="M41" s="14">
        <f>EOMONTH(DATE(YEAR(M43),ROUNDUP(MONTH(M43)/3,0)*3,1),0)</f>
        <v>46203</v>
      </c>
      <c r="N41" s="14">
        <f>EOMONTH(DATE(YEAR(N43),ROUNDUP(MONTH(N43)/3,0)*3,1),0)</f>
        <v>46295</v>
      </c>
      <c r="O41" s="14">
        <f>EOMONTH(DATE(YEAR(O43),ROUNDUP(MONTH(O43)/3,0)*3,1),0)</f>
        <v>46387</v>
      </c>
      <c r="P41" s="14">
        <f t="shared" ref="P41:S41" si="99">EOMONTH(DATE(YEAR(P43),ROUNDUP(MONTH(P43)/3,0)*3,1),0)</f>
        <v>46477</v>
      </c>
      <c r="Q41" s="14">
        <f t="shared" si="99"/>
        <v>46568</v>
      </c>
      <c r="R41" s="14">
        <f t="shared" si="99"/>
        <v>46660</v>
      </c>
      <c r="S41" s="14">
        <f t="shared" si="99"/>
        <v>46752</v>
      </c>
      <c r="U41" s="24" t="str">
        <v>HUBB US EQUITY</v>
      </c>
      <c r="V41" s="24">
        <v>46022</v>
      </c>
      <c r="W41" s="24" t="str">
        <v>custom</v>
      </c>
      <c r="X41" s="24" t="str">
        <v>organic_growth_yoy</v>
      </c>
      <c r="Y41" s="24" t="str">
        <v>actual</v>
      </c>
      <c r="Z41" s="28" t="str">
        <v>8.9</v>
      </c>
      <c r="AA41" s="28" t="str">
        <v>1190</v>
      </c>
      <c r="AB41" s="28" t="str">
        <v>770</v>
      </c>
      <c r="AC41" s="28" t="str">
        <v/>
      </c>
      <c r="AD41" s="28" t="str">
        <v>570</v>
      </c>
    </row>
    <row r="42" spans="1:30" x14ac:dyDescent="0.25">
      <c r="C42" s="13" t="s">
        <v>22</v>
      </c>
      <c r="D42" s="2" t="str">
        <f t="shared" ref="D42:S42" si="100">+D$6</f>
        <v>actual</v>
      </c>
      <c r="E42" s="2" t="str">
        <f t="shared" si="100"/>
        <v>actual</v>
      </c>
      <c r="F42" s="2" t="str">
        <f t="shared" si="100"/>
        <v>actual</v>
      </c>
      <c r="G42" s="2" t="str">
        <f t="shared" si="100"/>
        <v>actual</v>
      </c>
      <c r="H42" s="2" t="str">
        <f t="shared" si="100"/>
        <v>actual</v>
      </c>
      <c r="I42" s="2" t="str">
        <f t="shared" si="100"/>
        <v>actual</v>
      </c>
      <c r="J42" s="2" t="str">
        <f t="shared" si="100"/>
        <v>actual</v>
      </c>
      <c r="K42" s="2" t="str">
        <f t="shared" si="100"/>
        <v>actual</v>
      </c>
      <c r="L42" s="2" t="str">
        <f t="shared" si="100"/>
        <v>forecast</v>
      </c>
      <c r="M42" s="2" t="str">
        <f t="shared" si="100"/>
        <v>forecast</v>
      </c>
      <c r="N42" s="2" t="str">
        <f t="shared" si="100"/>
        <v>forecast</v>
      </c>
      <c r="O42" s="2" t="str">
        <f t="shared" si="100"/>
        <v>forecast</v>
      </c>
      <c r="P42" s="2" t="str">
        <f t="shared" si="100"/>
        <v>forecast</v>
      </c>
      <c r="Q42" s="2" t="str">
        <f t="shared" si="100"/>
        <v>forecast</v>
      </c>
      <c r="R42" s="2" t="str">
        <f t="shared" si="100"/>
        <v>forecast</v>
      </c>
      <c r="S42" s="2" t="str">
        <f t="shared" si="100"/>
        <v>forecast</v>
      </c>
      <c r="U42" s="24" t="str">
        <v>HUBB US EQUITY</v>
      </c>
      <c r="V42" s="24">
        <v>46112</v>
      </c>
      <c r="W42" s="24" t="str">
        <v>custom</v>
      </c>
      <c r="X42" s="24" t="str">
        <v>organic_growth_yoy</v>
      </c>
      <c r="Y42" s="24" t="str">
        <v>forecast</v>
      </c>
      <c r="Z42" s="28" t="str">
        <v>6.74435980076179</v>
      </c>
      <c r="AA42" s="28" t="str">
        <v>734.435980076179</v>
      </c>
      <c r="AB42" s="28" t="str">
        <v>-455.564019923821</v>
      </c>
      <c r="AC42" s="28" t="str">
        <v>1024.43598007618</v>
      </c>
      <c r="AD42" s="28" t="str">
        <v>-215.564019923821</v>
      </c>
    </row>
    <row r="43" spans="1:30" x14ac:dyDescent="0.25">
      <c r="D43" s="2">
        <f t="shared" ref="D43:S43" si="101">+D$7</f>
        <v>45382</v>
      </c>
      <c r="E43" s="2">
        <f t="shared" si="101"/>
        <v>45473</v>
      </c>
      <c r="F43" s="2">
        <f t="shared" si="101"/>
        <v>45565</v>
      </c>
      <c r="G43" s="2">
        <f t="shared" si="101"/>
        <v>45657</v>
      </c>
      <c r="H43" s="2">
        <f t="shared" si="101"/>
        <v>45747</v>
      </c>
      <c r="I43" s="2">
        <f t="shared" si="101"/>
        <v>45838</v>
      </c>
      <c r="J43" s="2">
        <f t="shared" si="101"/>
        <v>45930</v>
      </c>
      <c r="K43" s="2">
        <f t="shared" si="101"/>
        <v>46022</v>
      </c>
      <c r="L43" s="2">
        <f t="shared" si="101"/>
        <v>46112</v>
      </c>
      <c r="M43" s="2">
        <f t="shared" si="101"/>
        <v>46203</v>
      </c>
      <c r="N43" s="2">
        <f t="shared" si="101"/>
        <v>46295</v>
      </c>
      <c r="O43" s="2">
        <f t="shared" si="101"/>
        <v>46387</v>
      </c>
      <c r="P43" s="2">
        <f t="shared" si="101"/>
        <v>46477</v>
      </c>
      <c r="Q43" s="2">
        <f t="shared" si="101"/>
        <v>46568</v>
      </c>
      <c r="R43" s="2">
        <f t="shared" si="101"/>
        <v>46660</v>
      </c>
      <c r="S43" s="2">
        <f t="shared" si="101"/>
        <v>46752</v>
      </c>
      <c r="U43" s="24" t="str">
        <v>HUBB US EQUITY</v>
      </c>
      <c r="V43" s="24">
        <v>46203</v>
      </c>
      <c r="W43" s="24" t="str">
        <v>custom</v>
      </c>
      <c r="X43" s="24" t="str">
        <v>organic_growth_yoy</v>
      </c>
      <c r="Y43" s="24" t="str">
        <v>forecast</v>
      </c>
      <c r="Z43" s="28" t="str">
        <v>7.36973657616385</v>
      </c>
      <c r="AA43" s="28" t="str">
        <v>536.973657616385</v>
      </c>
      <c r="AB43" s="28" t="str">
        <v>-197.462322459795</v>
      </c>
      <c r="AC43" s="28" t="str">
        <v>526.973657616385</v>
      </c>
      <c r="AD43" s="28" t="str">
        <v>62.5376775402054</v>
      </c>
    </row>
    <row r="44" spans="1:30" x14ac:dyDescent="0.25">
      <c r="A44" s="16" t="s">
        <v>17</v>
      </c>
      <c r="B44" s="16" t="s">
        <v>80</v>
      </c>
      <c r="C44" s="2" t="s">
        <v>81</v>
      </c>
      <c r="D44" s="31">
        <v>0.3</v>
      </c>
      <c r="E44" s="31">
        <v>-1.5</v>
      </c>
      <c r="F44" s="31">
        <v>-3.8</v>
      </c>
      <c r="G44" s="31">
        <v>-4.5</v>
      </c>
      <c r="H44" s="31">
        <v>-3.6999999999999997</v>
      </c>
      <c r="I44" s="31">
        <v>1.0999999999999999</v>
      </c>
      <c r="J44" s="31">
        <v>0.5</v>
      </c>
      <c r="K44" s="31">
        <v>6.7</v>
      </c>
      <c r="L44" s="31">
        <v>6</v>
      </c>
      <c r="M44" s="31">
        <v>7.0000000000000009</v>
      </c>
      <c r="N44" s="31">
        <v>8</v>
      </c>
      <c r="O44" s="31">
        <v>6</v>
      </c>
      <c r="P44" s="31">
        <v>5</v>
      </c>
      <c r="Q44" s="31">
        <v>5</v>
      </c>
      <c r="R44" s="31">
        <v>5</v>
      </c>
      <c r="S44" s="31">
        <v>5</v>
      </c>
      <c r="U44" s="24" t="str">
        <v>HUBB US EQUITY</v>
      </c>
      <c r="V44" s="24">
        <v>46295</v>
      </c>
      <c r="W44" s="24" t="str">
        <v>custom</v>
      </c>
      <c r="X44" s="24" t="str">
        <v>organic_growth_yoy</v>
      </c>
      <c r="Y44" s="24" t="str">
        <v>forecast</v>
      </c>
      <c r="Z44" s="28" t="str">
        <v>6.51277955271566</v>
      </c>
      <c r="AA44" s="28" t="str">
        <v>331.277955271566</v>
      </c>
      <c r="AB44" s="28" t="str">
        <v>-205.695702344819</v>
      </c>
      <c r="AC44" s="28" t="str">
        <v>-88.7220447284345</v>
      </c>
      <c r="AD44" s="28" t="str">
        <v>-85.6957023448192</v>
      </c>
    </row>
    <row r="45" spans="1:30" x14ac:dyDescent="0.25">
      <c r="C45" s="4" t="s">
        <v>4</v>
      </c>
      <c r="D45" s="5"/>
      <c r="E45" s="4"/>
      <c r="F45" s="4"/>
      <c r="G45" s="4"/>
      <c r="H45" s="7">
        <f t="shared" ref="H45" si="102">(H44-D44)*100</f>
        <v>-399.99999999999994</v>
      </c>
      <c r="I45" s="7">
        <f t="shared" ref="I45" si="103">(I44-E44)*100</f>
        <v>259.99999999999994</v>
      </c>
      <c r="J45" s="7">
        <f t="shared" ref="J45" si="104">(J44-F44)*100</f>
        <v>430</v>
      </c>
      <c r="K45" s="7">
        <f t="shared" ref="K45" si="105">(K44-G44)*100</f>
        <v>1120</v>
      </c>
      <c r="L45" s="7">
        <f t="shared" ref="L45" si="106">(L44-H44)*100</f>
        <v>969.99999999999989</v>
      </c>
      <c r="M45" s="7">
        <f t="shared" ref="M45" si="107">(M44-I44)*100</f>
        <v>590.00000000000011</v>
      </c>
      <c r="N45" s="7">
        <f t="shared" ref="N45" si="108">(N44-J44)*100</f>
        <v>750</v>
      </c>
      <c r="O45" s="7">
        <f t="shared" ref="O45" si="109">(O44-K44)*100</f>
        <v>-70.000000000000014</v>
      </c>
      <c r="P45" s="7">
        <f t="shared" ref="P45" si="110">(P44-L44)*100</f>
        <v>-100</v>
      </c>
      <c r="Q45" s="7">
        <f t="shared" ref="Q45" si="111">(Q44-M44)*100</f>
        <v>-200.00000000000009</v>
      </c>
      <c r="R45" s="7">
        <f t="shared" ref="R45" si="112">(R44-N44)*100</f>
        <v>-300</v>
      </c>
      <c r="S45" s="7">
        <f t="shared" ref="S45" si="113">(S44-O44)*100</f>
        <v>-100</v>
      </c>
      <c r="U45" s="24" t="str">
        <v>HUBB US EQUITY</v>
      </c>
      <c r="V45" s="24">
        <v>46387</v>
      </c>
      <c r="W45" s="24" t="str">
        <v>custom</v>
      </c>
      <c r="X45" s="24" t="str">
        <v>organic_growth_yoy</v>
      </c>
      <c r="Y45" s="24" t="str">
        <v>forecast</v>
      </c>
      <c r="Z45" s="28" t="str">
        <v>4.88095397601661</v>
      </c>
      <c r="AA45" s="28" t="str">
        <v>-401.904602398339</v>
      </c>
      <c r="AB45" s="28" t="str">
        <v>-733.182557669904</v>
      </c>
      <c r="AC45" s="28" t="str">
        <v>-1591.90460239834</v>
      </c>
      <c r="AD45" s="28" t="str">
        <v>-163.182557669904</v>
      </c>
    </row>
    <row r="46" spans="1:30" x14ac:dyDescent="0.25">
      <c r="C46" s="4" t="s">
        <v>15</v>
      </c>
      <c r="D46" s="1"/>
      <c r="I46" s="7">
        <f t="shared" ref="I46" si="114">I45-H45</f>
        <v>659.99999999999989</v>
      </c>
      <c r="J46" s="7">
        <f t="shared" ref="J46" si="115">J45-I45</f>
        <v>170.00000000000006</v>
      </c>
      <c r="K46" s="7">
        <f t="shared" ref="K46" si="116">K45-J45</f>
        <v>690</v>
      </c>
      <c r="L46" s="7">
        <f t="shared" ref="L46" si="117">L45-K45</f>
        <v>-150.00000000000011</v>
      </c>
      <c r="M46" s="7">
        <f t="shared" ref="M46" si="118">M45-L45</f>
        <v>-379.99999999999977</v>
      </c>
      <c r="N46" s="7">
        <f t="shared" ref="N46" si="119">N45-M45</f>
        <v>159.99999999999989</v>
      </c>
      <c r="O46" s="7">
        <f t="shared" ref="O46" si="120">O45-N45</f>
        <v>-820</v>
      </c>
      <c r="P46" s="7">
        <f t="shared" ref="P46" si="121">P45-O45</f>
        <v>-29.999999999999986</v>
      </c>
      <c r="Q46" s="7">
        <f t="shared" ref="Q46" si="122">Q45-P45</f>
        <v>-100.00000000000009</v>
      </c>
      <c r="R46" s="7">
        <f t="shared" ref="R46" si="123">R45-Q45</f>
        <v>-99.999999999999915</v>
      </c>
      <c r="S46" s="7">
        <f t="shared" ref="S46" si="124">S45-R45</f>
        <v>200</v>
      </c>
      <c r="U46" s="24" t="str">
        <v>HUBB US EQUITY</v>
      </c>
      <c r="V46" s="24">
        <v>46477</v>
      </c>
      <c r="W46" s="24" t="str">
        <v>custom</v>
      </c>
      <c r="X46" s="24" t="str">
        <v>organic_growth_yoy</v>
      </c>
      <c r="Y46" s="24" t="str">
        <v>forecast</v>
      </c>
      <c r="Z46" s="28" t="str">
        <v>4.26235180493634</v>
      </c>
      <c r="AA46" s="28" t="str">
        <v>-248.200799582545</v>
      </c>
      <c r="AB46" s="28" t="str">
        <v>153.703802815793</v>
      </c>
      <c r="AC46" s="28" t="str">
        <v>-982.636779658725</v>
      </c>
      <c r="AD46" s="28" t="str">
        <v>-61.8602171080274</v>
      </c>
    </row>
    <row r="47" spans="1:30" x14ac:dyDescent="0.25">
      <c r="C47" s="4" t="s">
        <v>28</v>
      </c>
      <c r="D47" s="1"/>
      <c r="E47" s="6"/>
      <c r="F47" s="6"/>
      <c r="G47" s="6"/>
      <c r="H47" s="6"/>
      <c r="I47" s="6"/>
      <c r="J47" s="6"/>
      <c r="K47" s="6"/>
      <c r="L47" s="7">
        <f>L45-H45</f>
        <v>1369.9999999999998</v>
      </c>
      <c r="M47" s="7">
        <f t="shared" ref="M47" si="125">M45-I45</f>
        <v>330.00000000000017</v>
      </c>
      <c r="N47" s="7">
        <f t="shared" ref="N47" si="126">N45-J45</f>
        <v>320</v>
      </c>
      <c r="O47" s="7">
        <f t="shared" ref="O47" si="127">O45-K45</f>
        <v>-1190</v>
      </c>
      <c r="P47" s="7">
        <f t="shared" ref="P47" si="128">P45-L45</f>
        <v>-1070</v>
      </c>
      <c r="Q47" s="7">
        <f t="shared" ref="Q47" si="129">Q45-M45</f>
        <v>-790.00000000000023</v>
      </c>
      <c r="R47" s="7">
        <f t="shared" ref="R47" si="130">R45-N45</f>
        <v>-1050</v>
      </c>
      <c r="S47" s="7">
        <f t="shared" ref="S47" si="131">S45-O45</f>
        <v>-29.999999999999986</v>
      </c>
      <c r="U47" t="str">
        <v>HUBB US EQUITY</v>
      </c>
      <c r="V47" s="24">
        <v>46568</v>
      </c>
      <c r="W47" s="24" t="str">
        <v>custom</v>
      </c>
      <c r="X47" s="24" t="str">
        <v>organic_growth_yoy</v>
      </c>
      <c r="Y47" s="24" t="str">
        <v>forecast</v>
      </c>
      <c r="Z47" s="28" t="str">
        <v>4.27343180409147</v>
      </c>
      <c r="AA47" s="28" t="str">
        <v>-309.630477207238</v>
      </c>
      <c r="AB47" s="28" t="str">
        <v>-61.4296776246925</v>
      </c>
      <c r="AC47" s="28" t="str">
        <v>-846.604134823623</v>
      </c>
      <c r="AD47" s="28" t="str">
        <v>1.10799991551289</v>
      </c>
    </row>
    <row r="48" spans="1:30" x14ac:dyDescent="0.25">
      <c r="C48" s="4" t="s">
        <v>5</v>
      </c>
      <c r="D48" s="1"/>
      <c r="E48" s="7">
        <f t="shared" ref="E48" si="132">(E44-D44)*100</f>
        <v>-180</v>
      </c>
      <c r="F48" s="7">
        <f t="shared" ref="F48" si="133">(F44-E44)*100</f>
        <v>-229.99999999999997</v>
      </c>
      <c r="G48" s="7">
        <f t="shared" ref="G48" si="134">(G44-F44)*100</f>
        <v>-70.000000000000014</v>
      </c>
      <c r="H48" s="7">
        <f t="shared" ref="H48" si="135">(H44-G44)*100</f>
        <v>80.000000000000028</v>
      </c>
      <c r="I48" s="7">
        <f t="shared" ref="I48" si="136">(I44-H44)*100</f>
        <v>480</v>
      </c>
      <c r="J48" s="7">
        <f t="shared" ref="J48" si="137">(J44-I44)*100</f>
        <v>-59.999999999999986</v>
      </c>
      <c r="K48" s="7">
        <f t="shared" ref="K48" si="138">(K44-J44)*100</f>
        <v>620</v>
      </c>
      <c r="L48" s="7">
        <f t="shared" ref="L48" si="139">(L44-K44)*100</f>
        <v>-70.000000000000014</v>
      </c>
      <c r="M48" s="7">
        <f t="shared" ref="M48" si="140">(M44-L44)*100</f>
        <v>100.00000000000009</v>
      </c>
      <c r="N48" s="7">
        <f t="shared" ref="N48" si="141">(N44-M44)*100</f>
        <v>99.999999999999915</v>
      </c>
      <c r="O48" s="7">
        <f t="shared" ref="O48" si="142">(O44-N44)*100</f>
        <v>-200</v>
      </c>
      <c r="P48" s="7">
        <f t="shared" ref="P48" si="143">(P44-O44)*100</f>
        <v>-100</v>
      </c>
      <c r="Q48" s="7">
        <f t="shared" ref="Q48" si="144">(Q44-P44)*100</f>
        <v>0</v>
      </c>
      <c r="R48" s="7">
        <f t="shared" ref="R48" si="145">(R44-Q44)*100</f>
        <v>0</v>
      </c>
      <c r="S48" s="7">
        <f t="shared" ref="S48" si="146">(S44-R44)*100</f>
        <v>0</v>
      </c>
      <c r="U48" t="str">
        <v>HUBB US EQUITY</v>
      </c>
      <c r="V48" s="24">
        <v>46660</v>
      </c>
      <c r="W48" s="24" t="str">
        <v>custom</v>
      </c>
      <c r="X48" s="24" t="str">
        <v>organic_growth_yoy</v>
      </c>
      <c r="Y48" s="24" t="str">
        <v>forecast</v>
      </c>
      <c r="Z48" s="28" t="str">
        <v>4.28895112016293</v>
      </c>
      <c r="AA48" s="28" t="str">
        <v>-222.382843255272</v>
      </c>
      <c r="AB48" s="28" t="str">
        <v>87.2476339519656</v>
      </c>
      <c r="AC48" s="28" t="str">
        <v>-553.660798526838</v>
      </c>
      <c r="AD48" s="28" t="str">
        <v>1.55193160714635</v>
      </c>
    </row>
    <row r="49" spans="1:30" x14ac:dyDescent="0.25">
      <c r="C49" s="4"/>
      <c r="D49" s="1"/>
      <c r="K49" s="30"/>
      <c r="L49" s="7"/>
      <c r="M49" s="7"/>
      <c r="N49" s="7"/>
      <c r="O49" s="7"/>
      <c r="P49" s="7"/>
      <c r="Q49" s="7"/>
      <c r="R49" s="7"/>
      <c r="U49" t="str">
        <v>HUBB US EQUITY</v>
      </c>
      <c r="V49" s="24">
        <v>46752</v>
      </c>
      <c r="W49" s="24" t="str">
        <v>custom</v>
      </c>
      <c r="X49" s="24" t="str">
        <v>organic_growth_yoy</v>
      </c>
      <c r="Y49" s="24" t="str">
        <v>forecast</v>
      </c>
      <c r="Z49" s="28" t="str">
        <v>4.26734876638234</v>
      </c>
      <c r="AA49" s="28" t="str">
        <v>-61.3605209634277</v>
      </c>
      <c r="AB49" s="28" t="str">
        <v>161.022322291845</v>
      </c>
      <c r="AC49" s="28" t="str">
        <v>340.544081434911</v>
      </c>
      <c r="AD49" s="28" t="str">
        <v>-2.16023537805956</v>
      </c>
    </row>
    <row r="50" spans="1:30" x14ac:dyDescent="0.25">
      <c r="C50" s="13" t="s">
        <v>10</v>
      </c>
      <c r="D50" s="14">
        <f t="shared" ref="D50:L50" si="147">EOMONTH(DATE(YEAR(D52),ROUNDUP(MONTH(D52)/3,0)*3,1),0)</f>
        <v>45382</v>
      </c>
      <c r="E50" s="14">
        <f t="shared" si="147"/>
        <v>45473</v>
      </c>
      <c r="F50" s="14">
        <f t="shared" si="147"/>
        <v>45565</v>
      </c>
      <c r="G50" s="14">
        <f t="shared" si="147"/>
        <v>45657</v>
      </c>
      <c r="H50" s="14">
        <f t="shared" si="147"/>
        <v>45747</v>
      </c>
      <c r="I50" s="14">
        <f t="shared" si="147"/>
        <v>45838</v>
      </c>
      <c r="J50" s="14">
        <f t="shared" si="147"/>
        <v>45930</v>
      </c>
      <c r="K50" s="14">
        <f t="shared" si="147"/>
        <v>46022</v>
      </c>
      <c r="L50" s="14">
        <f t="shared" si="147"/>
        <v>46112</v>
      </c>
      <c r="M50" s="14">
        <f>EOMONTH(DATE(YEAR(M52),ROUNDUP(MONTH(M52)/3,0)*3,1),0)</f>
        <v>46203</v>
      </c>
      <c r="N50" s="14">
        <f>EOMONTH(DATE(YEAR(N52),ROUNDUP(MONTH(N52)/3,0)*3,1),0)</f>
        <v>46295</v>
      </c>
      <c r="O50" s="14">
        <f>EOMONTH(DATE(YEAR(O52),ROUNDUP(MONTH(O52)/3,0)*3,1),0)</f>
        <v>46387</v>
      </c>
      <c r="P50" s="14">
        <f t="shared" ref="P50:S50" si="148">EOMONTH(DATE(YEAR(P52),ROUNDUP(MONTH(P52)/3,0)*3,1),0)</f>
        <v>46477</v>
      </c>
      <c r="Q50" s="14">
        <f t="shared" si="148"/>
        <v>46568</v>
      </c>
      <c r="R50" s="14">
        <f t="shared" si="148"/>
        <v>46660</v>
      </c>
      <c r="S50" s="14">
        <f t="shared" si="148"/>
        <v>46752</v>
      </c>
      <c r="U50" s="24" t="str" cm="1">
        <f t="array" ref="U50:AD61">_xlfn.LET(
  _xlpm.d, H41:S41,
  _xlpm.s, H42:S42,
  _xlpm.v, H44:S44,
  _xlpm.yy, H45:S45,
  _xlpm.qq, H46:S46,
  _xlpm.dyy, H47:S47,
  _xlpm.dqq, H48:S48,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HUBB US EQUITY</v>
      </c>
      <c r="V50" s="24">
        <v>45747</v>
      </c>
      <c r="W50" s="24" t="str">
        <v>custom</v>
      </c>
      <c r="X50" s="24" t="str">
        <v>utility_solutions_organic_growth_yoy</v>
      </c>
      <c r="Y50" s="24" t="str">
        <v>actual</v>
      </c>
      <c r="Z50" s="28" t="str">
        <v>-3.7</v>
      </c>
      <c r="AA50" s="28" t="str">
        <v>-400</v>
      </c>
      <c r="AB50" s="28" t="str">
        <v/>
      </c>
      <c r="AC50" s="28" t="str">
        <v/>
      </c>
      <c r="AD50" s="28" t="str">
        <v>80</v>
      </c>
    </row>
    <row r="51" spans="1:30" x14ac:dyDescent="0.25">
      <c r="C51" s="13" t="s">
        <v>22</v>
      </c>
      <c r="D51" s="2" t="str">
        <f t="shared" ref="D51:S51" si="149">+D$6</f>
        <v>actual</v>
      </c>
      <c r="E51" s="2" t="str">
        <f t="shared" si="149"/>
        <v>actual</v>
      </c>
      <c r="F51" s="2" t="str">
        <f t="shared" si="149"/>
        <v>actual</v>
      </c>
      <c r="G51" s="2" t="str">
        <f t="shared" si="149"/>
        <v>actual</v>
      </c>
      <c r="H51" s="2" t="str">
        <f t="shared" si="149"/>
        <v>actual</v>
      </c>
      <c r="I51" s="2" t="str">
        <f t="shared" si="149"/>
        <v>actual</v>
      </c>
      <c r="J51" s="2" t="str">
        <f t="shared" si="149"/>
        <v>actual</v>
      </c>
      <c r="K51" s="2" t="str">
        <f t="shared" si="149"/>
        <v>actual</v>
      </c>
      <c r="L51" s="2" t="str">
        <f t="shared" si="149"/>
        <v>forecast</v>
      </c>
      <c r="M51" s="2" t="str">
        <f t="shared" si="149"/>
        <v>forecast</v>
      </c>
      <c r="N51" s="2" t="str">
        <f t="shared" si="149"/>
        <v>forecast</v>
      </c>
      <c r="O51" s="2" t="str">
        <f t="shared" si="149"/>
        <v>forecast</v>
      </c>
      <c r="P51" s="2" t="str">
        <f t="shared" si="149"/>
        <v>forecast</v>
      </c>
      <c r="Q51" s="2" t="str">
        <f t="shared" si="149"/>
        <v>forecast</v>
      </c>
      <c r="R51" s="2" t="str">
        <f t="shared" si="149"/>
        <v>forecast</v>
      </c>
      <c r="S51" s="2" t="str">
        <f t="shared" si="149"/>
        <v>forecast</v>
      </c>
      <c r="U51" s="24" t="str">
        <v>HUBB US EQUITY</v>
      </c>
      <c r="V51" s="24">
        <v>45838</v>
      </c>
      <c r="W51" s="24" t="str">
        <v>custom</v>
      </c>
      <c r="X51" s="24" t="str">
        <v>utility_solutions_organic_growth_yoy</v>
      </c>
      <c r="Y51" s="24" t="str">
        <v>actual</v>
      </c>
      <c r="Z51" s="28" t="str">
        <v>1.1</v>
      </c>
      <c r="AA51" s="28" t="str">
        <v>260</v>
      </c>
      <c r="AB51" s="28" t="str">
        <v>660</v>
      </c>
      <c r="AC51" s="28" t="str">
        <v/>
      </c>
      <c r="AD51" s="28" t="str">
        <v>480</v>
      </c>
    </row>
    <row r="52" spans="1:30" x14ac:dyDescent="0.25">
      <c r="D52" s="2">
        <f t="shared" ref="D52:S52" si="150">+D$7</f>
        <v>45382</v>
      </c>
      <c r="E52" s="2">
        <f t="shared" si="150"/>
        <v>45473</v>
      </c>
      <c r="F52" s="2">
        <f t="shared" si="150"/>
        <v>45565</v>
      </c>
      <c r="G52" s="2">
        <f t="shared" si="150"/>
        <v>45657</v>
      </c>
      <c r="H52" s="2">
        <f t="shared" si="150"/>
        <v>45747</v>
      </c>
      <c r="I52" s="2">
        <f t="shared" si="150"/>
        <v>45838</v>
      </c>
      <c r="J52" s="2">
        <f t="shared" si="150"/>
        <v>45930</v>
      </c>
      <c r="K52" s="2">
        <f t="shared" si="150"/>
        <v>46022</v>
      </c>
      <c r="L52" s="2">
        <f t="shared" si="150"/>
        <v>46112</v>
      </c>
      <c r="M52" s="2">
        <f t="shared" si="150"/>
        <v>46203</v>
      </c>
      <c r="N52" s="2">
        <f t="shared" si="150"/>
        <v>46295</v>
      </c>
      <c r="O52" s="2">
        <f t="shared" si="150"/>
        <v>46387</v>
      </c>
      <c r="P52" s="2">
        <f t="shared" si="150"/>
        <v>46477</v>
      </c>
      <c r="Q52" s="2">
        <f t="shared" si="150"/>
        <v>46568</v>
      </c>
      <c r="R52" s="2">
        <f t="shared" si="150"/>
        <v>46660</v>
      </c>
      <c r="S52" s="2">
        <f t="shared" si="150"/>
        <v>46752</v>
      </c>
      <c r="U52" s="24" t="str">
        <v>HUBB US EQUITY</v>
      </c>
      <c r="V52" s="24">
        <v>45930</v>
      </c>
      <c r="W52" s="24" t="str">
        <v>custom</v>
      </c>
      <c r="X52" s="24" t="str">
        <v>utility_solutions_organic_growth_yoy</v>
      </c>
      <c r="Y52" s="24" t="str">
        <v>actual</v>
      </c>
      <c r="Z52" s="28" t="str">
        <v>0.5</v>
      </c>
      <c r="AA52" s="28" t="str">
        <v>430</v>
      </c>
      <c r="AB52" s="28" t="str">
        <v>170</v>
      </c>
      <c r="AC52" s="28" t="str">
        <v/>
      </c>
      <c r="AD52" s="28" t="str">
        <v>-60</v>
      </c>
    </row>
    <row r="53" spans="1:30" x14ac:dyDescent="0.25">
      <c r="A53" s="16" t="s">
        <v>17</v>
      </c>
      <c r="B53" s="16" t="s">
        <v>82</v>
      </c>
      <c r="C53" s="2" t="s">
        <v>83</v>
      </c>
      <c r="D53" s="27">
        <v>185.4</v>
      </c>
      <c r="E53" s="27">
        <v>223.3</v>
      </c>
      <c r="F53" s="27">
        <v>244.7</v>
      </c>
      <c r="G53" s="27">
        <v>196.1</v>
      </c>
      <c r="H53" s="27">
        <v>170.7</v>
      </c>
      <c r="I53" s="27">
        <v>238.7</v>
      </c>
      <c r="J53" s="27">
        <v>242.3</v>
      </c>
      <c r="K53" s="27">
        <v>234.9</v>
      </c>
      <c r="L53" s="27">
        <v>203.76608400000001</v>
      </c>
      <c r="M53" s="27">
        <v>262.81956250000002</v>
      </c>
      <c r="N53" s="27">
        <v>275.91324800000001</v>
      </c>
      <c r="O53" s="27">
        <v>248.01349999999999</v>
      </c>
      <c r="P53" s="27">
        <v>215.93544735</v>
      </c>
      <c r="Q53" s="27">
        <v>278.14204687500001</v>
      </c>
      <c r="R53" s="27">
        <v>291.92042880000008</v>
      </c>
      <c r="S53" s="27">
        <v>262.49748840000001</v>
      </c>
      <c r="U53" s="24" t="str">
        <v>HUBB US EQUITY</v>
      </c>
      <c r="V53" s="24">
        <v>46022</v>
      </c>
      <c r="W53" s="24" t="str">
        <v>custom</v>
      </c>
      <c r="X53" s="24" t="str">
        <v>utility_solutions_organic_growth_yoy</v>
      </c>
      <c r="Y53" s="24" t="str">
        <v>actual</v>
      </c>
      <c r="Z53" s="28" t="str">
        <v>6.7</v>
      </c>
      <c r="AA53" s="28" t="str">
        <v>1120</v>
      </c>
      <c r="AB53" s="28" t="str">
        <v>690</v>
      </c>
      <c r="AC53" s="28" t="str">
        <v/>
      </c>
      <c r="AD53" s="28" t="str">
        <v>620</v>
      </c>
    </row>
    <row r="54" spans="1:30" x14ac:dyDescent="0.25">
      <c r="C54" s="4" t="s">
        <v>4</v>
      </c>
      <c r="D54" s="5"/>
      <c r="E54" s="4"/>
      <c r="F54" s="4"/>
      <c r="G54" s="12"/>
      <c r="H54" s="12">
        <f t="shared" ref="H54:S54" si="151">+H53/D53-1</f>
        <v>-7.928802588996775E-2</v>
      </c>
      <c r="I54" s="12">
        <f t="shared" si="151"/>
        <v>6.8965517241379226E-2</v>
      </c>
      <c r="J54" s="12">
        <f t="shared" si="151"/>
        <v>-9.807928075194039E-3</v>
      </c>
      <c r="K54" s="12">
        <f t="shared" si="151"/>
        <v>0.19785823559408477</v>
      </c>
      <c r="L54" s="12">
        <f t="shared" si="151"/>
        <v>0.19370875219683659</v>
      </c>
      <c r="M54" s="12">
        <f t="shared" si="151"/>
        <v>0.10104550691244252</v>
      </c>
      <c r="N54" s="12">
        <f t="shared" si="151"/>
        <v>0.13872574494428402</v>
      </c>
      <c r="O54" s="12">
        <f t="shared" si="151"/>
        <v>5.5825883354619021E-2</v>
      </c>
      <c r="P54" s="12">
        <f t="shared" si="151"/>
        <v>5.9722222222222232E-2</v>
      </c>
      <c r="Q54" s="12">
        <f t="shared" si="151"/>
        <v>5.8300395256916993E-2</v>
      </c>
      <c r="R54" s="12">
        <f t="shared" si="151"/>
        <v>5.8015267175572705E-2</v>
      </c>
      <c r="S54" s="12">
        <f t="shared" si="151"/>
        <v>5.8400000000000007E-2</v>
      </c>
      <c r="U54" s="24" t="str">
        <v>HUBB US EQUITY</v>
      </c>
      <c r="V54" s="24">
        <v>46112</v>
      </c>
      <c r="W54" s="24" t="str">
        <v>custom</v>
      </c>
      <c r="X54" s="24" t="str">
        <v>utility_solutions_organic_growth_yoy</v>
      </c>
      <c r="Y54" s="24" t="str">
        <v>forecast</v>
      </c>
      <c r="Z54" s="28" t="str">
        <v>6</v>
      </c>
      <c r="AA54" s="28" t="str">
        <v>970</v>
      </c>
      <c r="AB54" s="28" t="str">
        <v>-150</v>
      </c>
      <c r="AC54" s="28" t="str">
        <v>1370</v>
      </c>
      <c r="AD54" s="28" t="str">
        <v>-70</v>
      </c>
    </row>
    <row r="55" spans="1:30" x14ac:dyDescent="0.25">
      <c r="C55" s="4" t="s">
        <v>15</v>
      </c>
      <c r="D55" s="1"/>
      <c r="I55" s="7">
        <f t="shared" ref="I55:J55" si="152">(I54-H54)*10000</f>
        <v>1482.5354313134699</v>
      </c>
      <c r="J55" s="7">
        <f t="shared" si="152"/>
        <v>-787.7344531657327</v>
      </c>
      <c r="K55" s="7">
        <f>(K54-J54)*10000</f>
        <v>2076.6616366927883</v>
      </c>
      <c r="L55" s="7">
        <f>(L54-K54)*10000</f>
        <v>-41.494833972481885</v>
      </c>
      <c r="M55" s="7">
        <f>(M54-L54)*10000</f>
        <v>-926.63245284394065</v>
      </c>
      <c r="N55" s="7">
        <f>(N54-M54)*10000</f>
        <v>376.80238031841509</v>
      </c>
      <c r="O55" s="7">
        <f>(O54-N54)*10000</f>
        <v>-828.99861589664999</v>
      </c>
      <c r="P55" s="7">
        <f t="shared" ref="P55:S55" si="153">(P54-O54)*10000</f>
        <v>38.96338867603211</v>
      </c>
      <c r="Q55" s="7">
        <f t="shared" si="153"/>
        <v>-14.218269653052396</v>
      </c>
      <c r="R55" s="7">
        <f t="shared" si="153"/>
        <v>-2.8512808134428802</v>
      </c>
      <c r="S55" s="7">
        <f t="shared" si="153"/>
        <v>3.8473282442730294</v>
      </c>
      <c r="U55" s="24" t="str">
        <v>HUBB US EQUITY</v>
      </c>
      <c r="V55" s="24">
        <v>46203</v>
      </c>
      <c r="W55" s="24" t="str">
        <v>custom</v>
      </c>
      <c r="X55" s="24" t="str">
        <v>utility_solutions_organic_growth_yoy</v>
      </c>
      <c r="Y55" s="24" t="str">
        <v>forecast</v>
      </c>
      <c r="Z55" s="28" t="str">
        <v>7</v>
      </c>
      <c r="AA55" s="28" t="str">
        <v>590</v>
      </c>
      <c r="AB55" s="28" t="str">
        <v>-380</v>
      </c>
      <c r="AC55" s="28" t="str">
        <v>330</v>
      </c>
      <c r="AD55" s="28" t="str">
        <v>100</v>
      </c>
    </row>
    <row r="56" spans="1:30" x14ac:dyDescent="0.25">
      <c r="C56" s="4" t="s">
        <v>28</v>
      </c>
      <c r="D56" s="1"/>
      <c r="E56" s="6"/>
      <c r="F56" s="6"/>
      <c r="G56" s="6"/>
      <c r="H56" s="6"/>
      <c r="I56" s="6"/>
      <c r="J56" s="6"/>
      <c r="K56" s="6"/>
      <c r="L56" s="12">
        <f t="shared" ref="L56:S56" si="154">(1+H54)*(1+L54)-1</f>
        <v>9.9061941747572657E-2</v>
      </c>
      <c r="M56" s="12">
        <f t="shared" si="154"/>
        <v>0.1769796798029557</v>
      </c>
      <c r="N56" s="12">
        <f t="shared" si="154"/>
        <v>0.1275572047404987</v>
      </c>
      <c r="O56" s="12">
        <f t="shared" si="154"/>
        <v>0.26472972972972997</v>
      </c>
      <c r="P56" s="12">
        <f t="shared" si="154"/>
        <v>0.26499969156414771</v>
      </c>
      <c r="Q56" s="12">
        <f t="shared" si="154"/>
        <v>0.16523689516129036</v>
      </c>
      <c r="R56" s="12">
        <f t="shared" si="154"/>
        <v>0.20478922327692972</v>
      </c>
      <c r="S56" s="12">
        <f t="shared" si="154"/>
        <v>0.11748611494252881</v>
      </c>
      <c r="U56" s="24" t="str">
        <v>HUBB US EQUITY</v>
      </c>
      <c r="V56" s="24">
        <v>46295</v>
      </c>
      <c r="W56" s="24" t="str">
        <v>custom</v>
      </c>
      <c r="X56" s="24" t="str">
        <v>utility_solutions_organic_growth_yoy</v>
      </c>
      <c r="Y56" s="24" t="str">
        <v>forecast</v>
      </c>
      <c r="Z56" s="28" t="str">
        <v>8</v>
      </c>
      <c r="AA56" s="28" t="str">
        <v>750</v>
      </c>
      <c r="AB56" s="28" t="str">
        <v>160</v>
      </c>
      <c r="AC56" s="28" t="str">
        <v>320</v>
      </c>
      <c r="AD56" s="28" t="str">
        <v>99.9999999999999</v>
      </c>
    </row>
    <row r="57" spans="1:30" x14ac:dyDescent="0.25">
      <c r="C57" s="4" t="s">
        <v>5</v>
      </c>
      <c r="D57" s="1"/>
      <c r="E57" s="12">
        <f t="shared" ref="E57:S57" si="155">E53/D53-1</f>
        <v>0.20442286947141319</v>
      </c>
      <c r="F57" s="12">
        <f t="shared" si="155"/>
        <v>9.5835199283474948E-2</v>
      </c>
      <c r="G57" s="12">
        <f t="shared" si="155"/>
        <v>-0.19861054352268082</v>
      </c>
      <c r="H57" s="12">
        <f t="shared" si="155"/>
        <v>-0.12952575216726159</v>
      </c>
      <c r="I57" s="12">
        <f t="shared" si="155"/>
        <v>0.39835969537199767</v>
      </c>
      <c r="J57" s="12">
        <f t="shared" si="155"/>
        <v>1.5081692501047517E-2</v>
      </c>
      <c r="K57" s="12">
        <f t="shared" si="155"/>
        <v>-3.0540652084193209E-2</v>
      </c>
      <c r="L57" s="12">
        <f t="shared" si="155"/>
        <v>-0.13254114942528739</v>
      </c>
      <c r="M57" s="12">
        <f t="shared" si="155"/>
        <v>0.28981014573553865</v>
      </c>
      <c r="N57" s="12">
        <f t="shared" si="155"/>
        <v>4.9820056678619551E-2</v>
      </c>
      <c r="O57" s="12">
        <f t="shared" si="155"/>
        <v>-0.10111782671631631</v>
      </c>
      <c r="P57" s="12">
        <f t="shared" si="155"/>
        <v>-0.12933994580940145</v>
      </c>
      <c r="Q57" s="12">
        <f t="shared" si="155"/>
        <v>0.28807961031137297</v>
      </c>
      <c r="R57" s="12">
        <f t="shared" si="155"/>
        <v>4.9537213376416256E-2</v>
      </c>
      <c r="S57" s="12">
        <f t="shared" si="155"/>
        <v>-0.10079096047148606</v>
      </c>
      <c r="U57" s="24" t="str">
        <v>HUBB US EQUITY</v>
      </c>
      <c r="V57" s="24">
        <v>46387</v>
      </c>
      <c r="W57" s="24" t="str">
        <v>custom</v>
      </c>
      <c r="X57" s="24" t="str">
        <v>utility_solutions_organic_growth_yoy</v>
      </c>
      <c r="Y57" s="24" t="str">
        <v>forecast</v>
      </c>
      <c r="Z57" s="28" t="str">
        <v>6</v>
      </c>
      <c r="AA57" s="28" t="str">
        <v>-70</v>
      </c>
      <c r="AB57" s="28" t="str">
        <v>-820</v>
      </c>
      <c r="AC57" s="28" t="str">
        <v>-1190</v>
      </c>
      <c r="AD57" s="28" t="str">
        <v>-200</v>
      </c>
    </row>
    <row r="58" spans="1:30" x14ac:dyDescent="0.2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  <c r="U58" s="24" t="str">
        <v>HUBB US EQUITY</v>
      </c>
      <c r="V58" s="24">
        <v>46477</v>
      </c>
      <c r="W58" s="24" t="str">
        <v>custom</v>
      </c>
      <c r="X58" s="24" t="str">
        <v>utility_solutions_organic_growth_yoy</v>
      </c>
      <c r="Y58" s="24" t="str">
        <v>forecast</v>
      </c>
      <c r="Z58" s="28" t="str">
        <v>5</v>
      </c>
      <c r="AA58" s="28" t="str">
        <v>-100</v>
      </c>
      <c r="AB58" s="28" t="str">
        <v>-30</v>
      </c>
      <c r="AC58" s="28" t="str">
        <v>-1070</v>
      </c>
      <c r="AD58" s="28" t="str">
        <v>-100</v>
      </c>
    </row>
    <row r="59" spans="1:30" x14ac:dyDescent="0.25">
      <c r="C59" s="13" t="s">
        <v>10</v>
      </c>
      <c r="D59" s="14">
        <f t="shared" ref="D59:L59" si="156">EOMONTH(DATE(YEAR(D61),ROUNDUP(MONTH(D61)/3,0)*3,1),0)</f>
        <v>45382</v>
      </c>
      <c r="E59" s="14">
        <f t="shared" si="156"/>
        <v>45473</v>
      </c>
      <c r="F59" s="14">
        <f t="shared" si="156"/>
        <v>45565</v>
      </c>
      <c r="G59" s="14">
        <f t="shared" si="156"/>
        <v>45657</v>
      </c>
      <c r="H59" s="14">
        <f t="shared" si="156"/>
        <v>45747</v>
      </c>
      <c r="I59" s="14">
        <f t="shared" si="156"/>
        <v>45838</v>
      </c>
      <c r="J59" s="14">
        <f t="shared" si="156"/>
        <v>45930</v>
      </c>
      <c r="K59" s="14">
        <f t="shared" si="156"/>
        <v>46022</v>
      </c>
      <c r="L59" s="14">
        <f t="shared" si="156"/>
        <v>46112</v>
      </c>
      <c r="M59" s="14">
        <f>EOMONTH(DATE(YEAR(M61),ROUNDUP(MONTH(M61)/3,0)*3,1),0)</f>
        <v>46203</v>
      </c>
      <c r="N59" s="14">
        <f>EOMONTH(DATE(YEAR(N61),ROUNDUP(MONTH(N61)/3,0)*3,1),0)</f>
        <v>46295</v>
      </c>
      <c r="O59" s="14">
        <f>EOMONTH(DATE(YEAR(O61),ROUNDUP(MONTH(O61)/3,0)*3,1),0)</f>
        <v>46387</v>
      </c>
      <c r="P59" s="14">
        <f t="shared" ref="P59:S59" si="157">EOMONTH(DATE(YEAR(P61),ROUNDUP(MONTH(P61)/3,0)*3,1),0)</f>
        <v>46477</v>
      </c>
      <c r="Q59" s="14">
        <f t="shared" si="157"/>
        <v>46568</v>
      </c>
      <c r="R59" s="14">
        <f t="shared" si="157"/>
        <v>46660</v>
      </c>
      <c r="S59" s="14">
        <f t="shared" si="157"/>
        <v>46752</v>
      </c>
      <c r="U59" t="str">
        <v>HUBB US EQUITY</v>
      </c>
      <c r="V59" s="24">
        <v>46568</v>
      </c>
      <c r="W59" s="24" t="str">
        <v>custom</v>
      </c>
      <c r="X59" s="24" t="str">
        <v>utility_solutions_organic_growth_yoy</v>
      </c>
      <c r="Y59" s="24" t="str">
        <v>forecast</v>
      </c>
      <c r="Z59" s="28" t="str">
        <v>5</v>
      </c>
      <c r="AA59" s="28" t="str">
        <v>-200</v>
      </c>
      <c r="AB59" s="28" t="str">
        <v>-100</v>
      </c>
      <c r="AC59" s="28" t="str">
        <v>-790</v>
      </c>
      <c r="AD59" s="28" t="str">
        <v>0</v>
      </c>
    </row>
    <row r="60" spans="1:30" x14ac:dyDescent="0.25">
      <c r="C60" s="13" t="s">
        <v>22</v>
      </c>
      <c r="D60" s="2" t="str">
        <f t="shared" ref="D60:S60" si="158">+D$6</f>
        <v>actual</v>
      </c>
      <c r="E60" s="2" t="str">
        <f t="shared" si="158"/>
        <v>actual</v>
      </c>
      <c r="F60" s="2" t="str">
        <f t="shared" si="158"/>
        <v>actual</v>
      </c>
      <c r="G60" s="2" t="str">
        <f t="shared" si="158"/>
        <v>actual</v>
      </c>
      <c r="H60" s="2" t="str">
        <f t="shared" si="158"/>
        <v>actual</v>
      </c>
      <c r="I60" s="2" t="str">
        <f t="shared" si="158"/>
        <v>actual</v>
      </c>
      <c r="J60" s="2" t="str">
        <f t="shared" si="158"/>
        <v>actual</v>
      </c>
      <c r="K60" s="2" t="str">
        <f t="shared" si="158"/>
        <v>actual</v>
      </c>
      <c r="L60" s="2" t="str">
        <f t="shared" si="158"/>
        <v>forecast</v>
      </c>
      <c r="M60" s="2" t="str">
        <f t="shared" si="158"/>
        <v>forecast</v>
      </c>
      <c r="N60" s="2" t="str">
        <f t="shared" si="158"/>
        <v>forecast</v>
      </c>
      <c r="O60" s="2" t="str">
        <f t="shared" si="158"/>
        <v>forecast</v>
      </c>
      <c r="P60" s="2" t="str">
        <f t="shared" si="158"/>
        <v>forecast</v>
      </c>
      <c r="Q60" s="2" t="str">
        <f t="shared" si="158"/>
        <v>forecast</v>
      </c>
      <c r="R60" s="2" t="str">
        <f t="shared" si="158"/>
        <v>forecast</v>
      </c>
      <c r="S60" s="2" t="str">
        <f t="shared" si="158"/>
        <v>forecast</v>
      </c>
      <c r="U60" t="str">
        <v>HUBB US EQUITY</v>
      </c>
      <c r="V60" s="24">
        <v>46660</v>
      </c>
      <c r="W60" s="24" t="str">
        <v>custom</v>
      </c>
      <c r="X60" s="24" t="str">
        <v>utility_solutions_organic_growth_yoy</v>
      </c>
      <c r="Y60" s="24" t="str">
        <v>forecast</v>
      </c>
      <c r="Z60" s="28" t="str">
        <v>5</v>
      </c>
      <c r="AA60" s="28" t="str">
        <v>-300</v>
      </c>
      <c r="AB60" s="28" t="str">
        <v>-99.9999999999999</v>
      </c>
      <c r="AC60" s="28" t="str">
        <v>-1050</v>
      </c>
      <c r="AD60" s="28" t="str">
        <v>0</v>
      </c>
    </row>
    <row r="61" spans="1:30" x14ac:dyDescent="0.25">
      <c r="D61" s="2">
        <f t="shared" ref="D61:S61" si="159">+D$7</f>
        <v>45382</v>
      </c>
      <c r="E61" s="2">
        <f t="shared" si="159"/>
        <v>45473</v>
      </c>
      <c r="F61" s="2">
        <f t="shared" si="159"/>
        <v>45565</v>
      </c>
      <c r="G61" s="2">
        <f t="shared" si="159"/>
        <v>45657</v>
      </c>
      <c r="H61" s="2">
        <f t="shared" si="159"/>
        <v>45747</v>
      </c>
      <c r="I61" s="2">
        <f t="shared" si="159"/>
        <v>45838</v>
      </c>
      <c r="J61" s="2">
        <f t="shared" si="159"/>
        <v>45930</v>
      </c>
      <c r="K61" s="2">
        <f t="shared" si="159"/>
        <v>46022</v>
      </c>
      <c r="L61" s="2">
        <f t="shared" si="159"/>
        <v>46112</v>
      </c>
      <c r="M61" s="2">
        <f t="shared" si="159"/>
        <v>46203</v>
      </c>
      <c r="N61" s="2">
        <f t="shared" si="159"/>
        <v>46295</v>
      </c>
      <c r="O61" s="2">
        <f t="shared" si="159"/>
        <v>46387</v>
      </c>
      <c r="P61" s="2">
        <f t="shared" si="159"/>
        <v>46477</v>
      </c>
      <c r="Q61" s="2">
        <f t="shared" si="159"/>
        <v>46568</v>
      </c>
      <c r="R61" s="2">
        <f t="shared" si="159"/>
        <v>46660</v>
      </c>
      <c r="S61" s="2">
        <f t="shared" si="159"/>
        <v>46752</v>
      </c>
      <c r="U61" t="str">
        <v>HUBB US EQUITY</v>
      </c>
      <c r="V61" s="24">
        <v>46752</v>
      </c>
      <c r="W61" s="24" t="str">
        <v>custom</v>
      </c>
      <c r="X61" s="24" t="str">
        <v>utility_solutions_organic_growth_yoy</v>
      </c>
      <c r="Y61" s="24" t="str">
        <v>forecast</v>
      </c>
      <c r="Z61" s="28" t="str">
        <v>5</v>
      </c>
      <c r="AA61" s="28" t="str">
        <v>-100</v>
      </c>
      <c r="AB61" s="28" t="str">
        <v>200</v>
      </c>
      <c r="AC61" s="28" t="str">
        <v>-30</v>
      </c>
      <c r="AD61" s="28" t="str">
        <v>0</v>
      </c>
    </row>
    <row r="62" spans="1:30" x14ac:dyDescent="0.25">
      <c r="A62" s="16" t="s">
        <v>17</v>
      </c>
      <c r="B62" s="16" t="s">
        <v>84</v>
      </c>
      <c r="C62" s="2" t="s">
        <v>85</v>
      </c>
      <c r="D62" s="31">
        <v>20.738255033557049</v>
      </c>
      <c r="E62" s="31">
        <v>24.101457096600111</v>
      </c>
      <c r="F62" s="31">
        <v>26.22441324616868</v>
      </c>
      <c r="G62" s="31">
        <v>23.149569118167864</v>
      </c>
      <c r="H62" s="31">
        <v>19.915995799789986</v>
      </c>
      <c r="I62" s="31">
        <v>25.515766969535008</v>
      </c>
      <c r="J62" s="31">
        <v>25.672812036448398</v>
      </c>
      <c r="K62" s="31">
        <v>25.098835345656589</v>
      </c>
      <c r="L62" s="31">
        <v>21.6</v>
      </c>
      <c r="M62" s="31">
        <v>25.3</v>
      </c>
      <c r="N62" s="31">
        <v>26.200000000000003</v>
      </c>
      <c r="O62" s="31">
        <v>25</v>
      </c>
      <c r="P62" s="31">
        <v>21.8</v>
      </c>
      <c r="Q62" s="31">
        <v>25.5</v>
      </c>
      <c r="R62" s="31">
        <v>26.400000000000002</v>
      </c>
      <c r="S62" s="31">
        <v>25.2</v>
      </c>
      <c r="U62" s="24" t="str" cm="1">
        <f t="array" ref="U62:AD73">_xlfn.LET(
  _xlpm.d, H50:S50,
  _xlpm.s, H51:S51,
  _xlpm.v, H53:S53,
  _xlpm.yy, H54:S54,
  _xlpm.qq, H55:S55,
  _xlpm.dyy, H56:S56,
  _xlpm.dqq, H57:S57,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HUBB US EQUITY</v>
      </c>
      <c r="V62" s="24">
        <v>45747</v>
      </c>
      <c r="W62" s="24" t="str">
        <v>custom</v>
      </c>
      <c r="X62" s="24" t="str">
        <v>utility_solutions_operating_profit</v>
      </c>
      <c r="Y62" s="24" t="str">
        <v>actual</v>
      </c>
      <c r="Z62" s="28" t="str">
        <v>170.7</v>
      </c>
      <c r="AA62" s="28" t="str">
        <v>-0.0792880258899678</v>
      </c>
      <c r="AB62" s="28" t="str">
        <v/>
      </c>
      <c r="AC62" s="28" t="str">
        <v/>
      </c>
      <c r="AD62" s="28" t="str">
        <v>-0.129525752167262</v>
      </c>
    </row>
    <row r="63" spans="1:30" x14ac:dyDescent="0.25">
      <c r="C63" s="4" t="s">
        <v>4</v>
      </c>
      <c r="D63" s="5"/>
      <c r="E63" s="4"/>
      <c r="F63" s="4"/>
      <c r="G63" s="4"/>
      <c r="H63" s="7">
        <f t="shared" ref="H63" si="160">(H62-D62)*100</f>
        <v>-82.225923376706334</v>
      </c>
      <c r="I63" s="7">
        <f t="shared" ref="I63" si="161">(I62-E62)*100</f>
        <v>141.43098729348969</v>
      </c>
      <c r="J63" s="7">
        <f t="shared" ref="J63" si="162">(J62-F62)*100</f>
        <v>-55.160120972028182</v>
      </c>
      <c r="K63" s="7">
        <f t="shared" ref="K63" si="163">(K62-G62)*100</f>
        <v>194.92662274887243</v>
      </c>
      <c r="L63" s="7">
        <f t="shared" ref="L63" si="164">(L62-H62)*100</f>
        <v>168.40042002100154</v>
      </c>
      <c r="M63" s="7">
        <f t="shared" ref="M63" si="165">(M62-I62)*100</f>
        <v>-21.576696953500729</v>
      </c>
      <c r="N63" s="7">
        <f t="shared" ref="N63" si="166">(N62-J62)*100</f>
        <v>52.718796355160435</v>
      </c>
      <c r="O63" s="7">
        <f t="shared" ref="O63" si="167">(O62-K62)*100</f>
        <v>-9.8835345656588913</v>
      </c>
      <c r="P63" s="7">
        <f t="shared" ref="P63" si="168">(P62-L62)*100</f>
        <v>19.999999999999929</v>
      </c>
      <c r="Q63" s="7">
        <f t="shared" ref="Q63" si="169">(Q62-M62)*100</f>
        <v>19.999999999999929</v>
      </c>
      <c r="R63" s="7">
        <f t="shared" ref="R63" si="170">(R62-N62)*100</f>
        <v>19.999999999999929</v>
      </c>
      <c r="S63" s="7">
        <f t="shared" ref="S63" si="171">(S62-O62)*100</f>
        <v>19.999999999999929</v>
      </c>
      <c r="U63" s="24" t="str">
        <v>HUBB US EQUITY</v>
      </c>
      <c r="V63" s="24">
        <v>45838</v>
      </c>
      <c r="W63" s="24" t="str">
        <v>custom</v>
      </c>
      <c r="X63" s="24" t="str">
        <v>utility_solutions_operating_profit</v>
      </c>
      <c r="Y63" s="24" t="str">
        <v>actual</v>
      </c>
      <c r="Z63" s="28" t="str">
        <v>238.7</v>
      </c>
      <c r="AA63" s="28" t="str">
        <v>0.0689655172413792</v>
      </c>
      <c r="AB63" s="28" t="str">
        <v>1482.53543131347</v>
      </c>
      <c r="AC63" s="28" t="str">
        <v/>
      </c>
      <c r="AD63" s="28" t="str">
        <v>0.398359695371998</v>
      </c>
    </row>
    <row r="64" spans="1:30" x14ac:dyDescent="0.25">
      <c r="C64" s="4" t="s">
        <v>15</v>
      </c>
      <c r="D64" s="1"/>
      <c r="I64" s="7">
        <f t="shared" ref="I64" si="172">I63-H63</f>
        <v>223.65691067019603</v>
      </c>
      <c r="J64" s="7">
        <f t="shared" ref="J64" si="173">J63-I63</f>
        <v>-196.59110826551787</v>
      </c>
      <c r="K64" s="7">
        <f t="shared" ref="K64" si="174">K63-J63</f>
        <v>250.08674372090061</v>
      </c>
      <c r="L64" s="7">
        <f t="shared" ref="L64" si="175">L63-K63</f>
        <v>-26.526202727870896</v>
      </c>
      <c r="M64" s="7">
        <f t="shared" ref="M64" si="176">M63-L63</f>
        <v>-189.97711697450228</v>
      </c>
      <c r="N64" s="7">
        <f t="shared" ref="N64" si="177">N63-M63</f>
        <v>74.295493308661165</v>
      </c>
      <c r="O64" s="7">
        <f t="shared" ref="O64" si="178">O63-N63</f>
        <v>-62.602330920819327</v>
      </c>
      <c r="P64" s="7">
        <f t="shared" ref="P64" si="179">P63-O63</f>
        <v>29.88353456565882</v>
      </c>
      <c r="Q64" s="7">
        <f t="shared" ref="Q64" si="180">Q63-P63</f>
        <v>0</v>
      </c>
      <c r="R64" s="7">
        <f t="shared" ref="R64" si="181">R63-Q63</f>
        <v>0</v>
      </c>
      <c r="S64" s="7">
        <f t="shared" ref="S64" si="182">S63-R63</f>
        <v>0</v>
      </c>
      <c r="U64" s="24" t="str">
        <v>HUBB US EQUITY</v>
      </c>
      <c r="V64" s="24">
        <v>45930</v>
      </c>
      <c r="W64" s="24" t="str">
        <v>custom</v>
      </c>
      <c r="X64" s="24" t="str">
        <v>utility_solutions_operating_profit</v>
      </c>
      <c r="Y64" s="24" t="str">
        <v>actual</v>
      </c>
      <c r="Z64" s="28" t="str">
        <v>242.3</v>
      </c>
      <c r="AA64" s="28" t="str">
        <v>-0.00980792807519404</v>
      </c>
      <c r="AB64" s="28" t="str">
        <v>-787.734453165733</v>
      </c>
      <c r="AC64" s="28" t="str">
        <v/>
      </c>
      <c r="AD64" s="28" t="str">
        <v>0.0150816925010475</v>
      </c>
    </row>
    <row r="65" spans="1:30" x14ac:dyDescent="0.25">
      <c r="C65" s="4" t="s">
        <v>28</v>
      </c>
      <c r="D65" s="1"/>
      <c r="E65" s="6"/>
      <c r="F65" s="6"/>
      <c r="G65" s="6"/>
      <c r="H65" s="6"/>
      <c r="I65" s="6"/>
      <c r="J65" s="6"/>
      <c r="K65" s="6"/>
      <c r="L65" s="7">
        <f>L63-H63</f>
        <v>250.62634339770787</v>
      </c>
      <c r="M65" s="7">
        <f t="shared" ref="M65" si="183">M63-I63</f>
        <v>-163.00768424699044</v>
      </c>
      <c r="N65" s="7">
        <f t="shared" ref="N65" si="184">N63-J63</f>
        <v>107.87891732718862</v>
      </c>
      <c r="O65" s="7">
        <f t="shared" ref="O65" si="185">O63-K63</f>
        <v>-204.81015731453132</v>
      </c>
      <c r="P65" s="7">
        <f t="shared" ref="P65" si="186">P63-L63</f>
        <v>-148.40042002100159</v>
      </c>
      <c r="Q65" s="7">
        <f t="shared" ref="Q65" si="187">Q63-M63</f>
        <v>41.576696953500658</v>
      </c>
      <c r="R65" s="7">
        <f t="shared" ref="R65" si="188">R63-N63</f>
        <v>-32.718796355160507</v>
      </c>
      <c r="S65" s="7">
        <f t="shared" ref="S65" si="189">S63-O63</f>
        <v>29.88353456565882</v>
      </c>
      <c r="U65" s="24" t="str">
        <v>HUBB US EQUITY</v>
      </c>
      <c r="V65" s="24">
        <v>46022</v>
      </c>
      <c r="W65" s="24" t="str">
        <v>custom</v>
      </c>
      <c r="X65" s="24" t="str">
        <v>utility_solutions_operating_profit</v>
      </c>
      <c r="Y65" s="24" t="str">
        <v>actual</v>
      </c>
      <c r="Z65" s="28" t="str">
        <v>234.9</v>
      </c>
      <c r="AA65" s="28" t="str">
        <v>0.197858235594085</v>
      </c>
      <c r="AB65" s="28" t="str">
        <v>2076.66163669279</v>
      </c>
      <c r="AC65" s="28" t="str">
        <v/>
      </c>
      <c r="AD65" s="28" t="str">
        <v>-0.0305406520841932</v>
      </c>
    </row>
    <row r="66" spans="1:30" x14ac:dyDescent="0.25">
      <c r="C66" s="4" t="s">
        <v>5</v>
      </c>
      <c r="D66" s="1"/>
      <c r="E66" s="7">
        <f t="shared" ref="E66" si="190">(E62-D62)*100</f>
        <v>336.32020630430617</v>
      </c>
      <c r="F66" s="7">
        <f t="shared" ref="F66" si="191">(F62-E62)*100</f>
        <v>212.29561495685692</v>
      </c>
      <c r="G66" s="7">
        <f t="shared" ref="G66" si="192">(G62-F62)*100</f>
        <v>-307.4844128000816</v>
      </c>
      <c r="H66" s="7">
        <f t="shared" ref="H66" si="193">(H62-G62)*100</f>
        <v>-323.35733183778785</v>
      </c>
      <c r="I66" s="7">
        <f t="shared" ref="I66" si="194">(I62-H62)*100</f>
        <v>559.97711697450222</v>
      </c>
      <c r="J66" s="7">
        <f t="shared" ref="J66" si="195">(J62-I62)*100</f>
        <v>15.704506691339049</v>
      </c>
      <c r="K66" s="7">
        <f t="shared" ref="K66" si="196">(K62-J62)*100</f>
        <v>-57.397669079180957</v>
      </c>
      <c r="L66" s="7">
        <f t="shared" ref="L66" si="197">(L62-K62)*100</f>
        <v>-349.88353456565875</v>
      </c>
      <c r="M66" s="7">
        <f t="shared" ref="M66" si="198">(M62-L62)*100</f>
        <v>369.99999999999994</v>
      </c>
      <c r="N66" s="7">
        <f t="shared" ref="N66" si="199">(N62-M62)*100</f>
        <v>90.000000000000213</v>
      </c>
      <c r="O66" s="7">
        <f t="shared" ref="O66" si="200">(O62-N62)*100</f>
        <v>-120.00000000000028</v>
      </c>
      <c r="P66" s="7">
        <f t="shared" ref="P66" si="201">(P62-O62)*100</f>
        <v>-319.99999999999994</v>
      </c>
      <c r="Q66" s="7">
        <f t="shared" ref="Q66" si="202">(Q62-P62)*100</f>
        <v>369.99999999999994</v>
      </c>
      <c r="R66" s="7">
        <f t="shared" ref="R66" si="203">(R62-Q62)*100</f>
        <v>90.000000000000213</v>
      </c>
      <c r="S66" s="7">
        <f t="shared" ref="S66" si="204">(S62-R62)*100</f>
        <v>-120.00000000000028</v>
      </c>
      <c r="U66" s="24" t="str">
        <v>HUBB US EQUITY</v>
      </c>
      <c r="V66" s="24">
        <v>46112</v>
      </c>
      <c r="W66" s="24" t="str">
        <v>custom</v>
      </c>
      <c r="X66" s="24" t="str">
        <v>utility_solutions_operating_profit</v>
      </c>
      <c r="Y66" s="24" t="str">
        <v>forecast</v>
      </c>
      <c r="Z66" s="28" t="str">
        <v>203.766084</v>
      </c>
      <c r="AA66" s="28" t="str">
        <v>0.193708752196837</v>
      </c>
      <c r="AB66" s="28" t="str">
        <v>-41.4948339724819</v>
      </c>
      <c r="AC66" s="28" t="str">
        <v>0.0990619417475727</v>
      </c>
      <c r="AD66" s="28" t="str">
        <v>-0.132541149425287</v>
      </c>
    </row>
    <row r="67" spans="1:30" x14ac:dyDescent="0.25">
      <c r="C67" s="4"/>
      <c r="D67" s="1"/>
      <c r="K67" s="30"/>
      <c r="L67" s="7"/>
      <c r="M67" s="7"/>
      <c r="N67" s="7"/>
      <c r="O67" s="7"/>
      <c r="P67" s="7"/>
      <c r="Q67" s="7"/>
      <c r="R67" s="7"/>
      <c r="U67" s="24" t="str">
        <v>HUBB US EQUITY</v>
      </c>
      <c r="V67" s="24">
        <v>46203</v>
      </c>
      <c r="W67" s="24" t="str">
        <v>custom</v>
      </c>
      <c r="X67" s="24" t="str">
        <v>utility_solutions_operating_profit</v>
      </c>
      <c r="Y67" s="24" t="str">
        <v>forecast</v>
      </c>
      <c r="Z67" s="28" t="str">
        <v>262.8195625</v>
      </c>
      <c r="AA67" s="28" t="str">
        <v>0.101045506912443</v>
      </c>
      <c r="AB67" s="28" t="str">
        <v>-926.632452843941</v>
      </c>
      <c r="AC67" s="28" t="str">
        <v>0.176979679802956</v>
      </c>
      <c r="AD67" s="28" t="str">
        <v>0.289810145735539</v>
      </c>
    </row>
    <row r="68" spans="1:30" x14ac:dyDescent="0.25"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U68" s="24" t="str">
        <v>HUBB US EQUITY</v>
      </c>
      <c r="V68" s="24">
        <v>46295</v>
      </c>
      <c r="W68" s="24" t="str">
        <v>custom</v>
      </c>
      <c r="X68" s="24" t="str">
        <v>utility_solutions_operating_profit</v>
      </c>
      <c r="Y68" s="24" t="str">
        <v>forecast</v>
      </c>
      <c r="Z68" s="28" t="str">
        <v>275.913248</v>
      </c>
      <c r="AA68" s="28" t="str">
        <v>0.138725744944284</v>
      </c>
      <c r="AB68" s="28" t="str">
        <v>376.802380318415</v>
      </c>
      <c r="AC68" s="28" t="str">
        <v>0.127557204740499</v>
      </c>
      <c r="AD68" s="28" t="str">
        <v>0.0498200566786196</v>
      </c>
    </row>
    <row r="69" spans="1:30" x14ac:dyDescent="0.25"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U69" s="24" t="str">
        <v>HUBB US EQUITY</v>
      </c>
      <c r="V69" s="24">
        <v>46387</v>
      </c>
      <c r="W69" s="24" t="str">
        <v>custom</v>
      </c>
      <c r="X69" s="24" t="str">
        <v>utility_solutions_operating_profit</v>
      </c>
      <c r="Y69" s="24" t="str">
        <v>forecast</v>
      </c>
      <c r="Z69" s="28" t="str">
        <v>248.0135</v>
      </c>
      <c r="AA69" s="28" t="str">
        <v>0.055825883354619</v>
      </c>
      <c r="AB69" s="28" t="str">
        <v>-828.99861589665</v>
      </c>
      <c r="AC69" s="28" t="str">
        <v>0.26472972972973</v>
      </c>
      <c r="AD69" s="28" t="str">
        <v>-0.101117826716316</v>
      </c>
    </row>
    <row r="70" spans="1:30" x14ac:dyDescent="0.2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U70" s="24" t="str">
        <v>HUBB US EQUITY</v>
      </c>
      <c r="V70" s="24">
        <v>46477</v>
      </c>
      <c r="W70" s="24" t="str">
        <v>custom</v>
      </c>
      <c r="X70" s="24" t="str">
        <v>utility_solutions_operating_profit</v>
      </c>
      <c r="Y70" s="24" t="str">
        <v>forecast</v>
      </c>
      <c r="Z70" s="28" t="str">
        <v>215.93544735</v>
      </c>
      <c r="AA70" s="28" t="str">
        <v>0.0597222222222222</v>
      </c>
      <c r="AB70" s="28" t="str">
        <v>38.9633886760321</v>
      </c>
      <c r="AC70" s="28" t="str">
        <v>0.264999691564148</v>
      </c>
      <c r="AD70" s="28" t="str">
        <v>-0.129339945809401</v>
      </c>
    </row>
    <row r="71" spans="1:30" x14ac:dyDescent="0.25">
      <c r="A71" s="16"/>
      <c r="B71" s="16"/>
      <c r="C71" s="2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U71" t="str">
        <v>HUBB US EQUITY</v>
      </c>
      <c r="V71" s="24">
        <v>46568</v>
      </c>
      <c r="W71" s="24" t="str">
        <v>custom</v>
      </c>
      <c r="X71" s="24" t="str">
        <v>utility_solutions_operating_profit</v>
      </c>
      <c r="Y71" s="24" t="str">
        <v>forecast</v>
      </c>
      <c r="Z71" s="28" t="str">
        <v>278.142046875</v>
      </c>
      <c r="AA71" s="28" t="str">
        <v>0.058300395256917</v>
      </c>
      <c r="AB71" s="28" t="str">
        <v>-14.2182696530524</v>
      </c>
      <c r="AC71" s="28" t="str">
        <v>0.16523689516129</v>
      </c>
      <c r="AD71" s="28" t="str">
        <v>0.288079610311373</v>
      </c>
    </row>
    <row r="72" spans="1:30" x14ac:dyDescent="0.25">
      <c r="C72" s="4"/>
      <c r="D72" s="5"/>
      <c r="E72" s="4"/>
      <c r="F72" s="4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U72" t="str">
        <v>HUBB US EQUITY</v>
      </c>
      <c r="V72" s="24">
        <v>46660</v>
      </c>
      <c r="W72" s="24" t="str">
        <v>custom</v>
      </c>
      <c r="X72" s="24" t="str">
        <v>utility_solutions_operating_profit</v>
      </c>
      <c r="Y72" s="24" t="str">
        <v>forecast</v>
      </c>
      <c r="Z72" s="28" t="str">
        <v>291.9204288</v>
      </c>
      <c r="AA72" s="28" t="str">
        <v>0.0580152671755727</v>
      </c>
      <c r="AB72" s="28" t="str">
        <v>-2.85128081344288</v>
      </c>
      <c r="AC72" s="28" t="str">
        <v>0.20478922327693</v>
      </c>
      <c r="AD72" s="28" t="str">
        <v>0.0495372133764163</v>
      </c>
    </row>
    <row r="73" spans="1:30" x14ac:dyDescent="0.25">
      <c r="C73" s="4"/>
      <c r="D73" s="1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U73" t="str">
        <v>HUBB US EQUITY</v>
      </c>
      <c r="V73" s="24">
        <v>46752</v>
      </c>
      <c r="W73" s="24" t="str">
        <v>custom</v>
      </c>
      <c r="X73" s="24" t="str">
        <v>utility_solutions_operating_profit</v>
      </c>
      <c r="Y73" s="24" t="str">
        <v>forecast</v>
      </c>
      <c r="Z73" s="28" t="str">
        <v>262.4974884</v>
      </c>
      <c r="AA73" s="28" t="str">
        <v>0.0584</v>
      </c>
      <c r="AB73" s="28" t="str">
        <v>3.84732824427303</v>
      </c>
      <c r="AC73" s="28" t="str">
        <v>0.117486114942529</v>
      </c>
      <c r="AD73" s="28" t="str">
        <v>-0.100790960471486</v>
      </c>
    </row>
    <row r="74" spans="1:30" x14ac:dyDescent="0.25">
      <c r="C74" s="4"/>
      <c r="D74" s="1"/>
      <c r="E74" s="6"/>
      <c r="F74" s="6"/>
      <c r="G74" s="6"/>
      <c r="H74" s="6"/>
      <c r="I74" s="6"/>
      <c r="J74" s="6"/>
      <c r="K74" s="6"/>
      <c r="L74" s="12"/>
      <c r="M74" s="12"/>
      <c r="N74" s="12"/>
      <c r="O74" s="12"/>
      <c r="P74" s="12"/>
      <c r="Q74" s="12"/>
      <c r="R74" s="12"/>
      <c r="S74" s="12"/>
      <c r="U74" s="24" t="str" cm="1">
        <f t="array" ref="U74:AD85">_xlfn.LET(
  _xlpm.d, H59:S59,
  _xlpm.s, H60:S60,
  _xlpm.v, H62:S62,
  _xlpm.yy, H63:S63,
  _xlpm.qq, H64:S64,
  _xlpm.dyy, H65:S65,
  _xlpm.dqq, H66:S66,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HUBB US EQUITY</v>
      </c>
      <c r="V74">
        <v>45747</v>
      </c>
      <c r="W74" t="str">
        <v>custom</v>
      </c>
      <c r="X74" t="str">
        <v>utility_solutions_operating_margin</v>
      </c>
      <c r="Y74" t="str">
        <v>actual</v>
      </c>
      <c r="Z74" t="str">
        <v>19.91599579979</v>
      </c>
      <c r="AA74" t="str">
        <v>-82.2259233767063</v>
      </c>
      <c r="AB74" t="str">
        <v/>
      </c>
      <c r="AC74" t="str">
        <v/>
      </c>
      <c r="AD74" t="str">
        <v>-323.357331837788</v>
      </c>
    </row>
    <row r="75" spans="1:30" x14ac:dyDescent="0.25">
      <c r="C75" s="4"/>
      <c r="D75" s="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U75" s="24" t="str">
        <v>HUBB US EQUITY</v>
      </c>
      <c r="V75">
        <v>45838</v>
      </c>
      <c r="W75" t="str">
        <v>custom</v>
      </c>
      <c r="X75" t="str">
        <v>utility_solutions_operating_margin</v>
      </c>
      <c r="Y75" t="str">
        <v>actual</v>
      </c>
      <c r="Z75" t="str">
        <v>25.515766969535</v>
      </c>
      <c r="AA75" t="str">
        <v>141.43098729349</v>
      </c>
      <c r="AB75" t="str">
        <v>223.656910670196</v>
      </c>
      <c r="AC75" t="str">
        <v/>
      </c>
      <c r="AD75" t="str">
        <v>559.977116974502</v>
      </c>
    </row>
    <row r="76" spans="1:30" x14ac:dyDescent="0.25">
      <c r="C76" s="4"/>
      <c r="D76" s="1"/>
      <c r="K76" s="7"/>
      <c r="L76" s="7"/>
      <c r="M76" s="7"/>
      <c r="N76" s="7"/>
      <c r="O76" s="7"/>
      <c r="P76" s="7"/>
      <c r="Q76" s="7"/>
      <c r="R76" s="7"/>
      <c r="S76" s="7"/>
      <c r="U76" s="24" t="str">
        <v>HUBB US EQUITY</v>
      </c>
      <c r="V76">
        <v>45930</v>
      </c>
      <c r="W76" t="str">
        <v>custom</v>
      </c>
      <c r="X76" t="str">
        <v>utility_solutions_operating_margin</v>
      </c>
      <c r="Y76" t="str">
        <v>actual</v>
      </c>
      <c r="Z76" t="str">
        <v>25.6728120364484</v>
      </c>
      <c r="AA76" t="str">
        <v>-55.1601209720282</v>
      </c>
      <c r="AB76" t="str">
        <v>-196.591108265518</v>
      </c>
      <c r="AC76" t="str">
        <v/>
      </c>
      <c r="AD76" t="str">
        <v>15.704506691339</v>
      </c>
    </row>
    <row r="77" spans="1:30" x14ac:dyDescent="0.25"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U77" s="24" t="str">
        <v>HUBB US EQUITY</v>
      </c>
      <c r="V77">
        <v>46022</v>
      </c>
      <c r="W77" t="str">
        <v>custom</v>
      </c>
      <c r="X77" t="str">
        <v>utility_solutions_operating_margin</v>
      </c>
      <c r="Y77" t="str">
        <v>actual</v>
      </c>
      <c r="Z77" t="str">
        <v>25.0988353456566</v>
      </c>
      <c r="AA77" t="str">
        <v>194.926622748872</v>
      </c>
      <c r="AB77" t="str">
        <v>250.086743720901</v>
      </c>
      <c r="AC77" t="str">
        <v/>
      </c>
      <c r="AD77" t="str">
        <v>-57.397669079181</v>
      </c>
    </row>
    <row r="78" spans="1:30" x14ac:dyDescent="0.25"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U78" s="24" t="str">
        <v>HUBB US EQUITY</v>
      </c>
      <c r="V78">
        <v>46112</v>
      </c>
      <c r="W78" t="str">
        <v>custom</v>
      </c>
      <c r="X78" t="str">
        <v>utility_solutions_operating_margin</v>
      </c>
      <c r="Y78" t="str">
        <v>forecast</v>
      </c>
      <c r="Z78" t="str">
        <v>21.6</v>
      </c>
      <c r="AA78" t="str">
        <v>168.400420021002</v>
      </c>
      <c r="AB78" t="str">
        <v>-26.5262027278709</v>
      </c>
      <c r="AC78" t="str">
        <v>250.626343397708</v>
      </c>
      <c r="AD78" t="str">
        <v>-349.883534565659</v>
      </c>
    </row>
    <row r="79" spans="1:30" x14ac:dyDescent="0.2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U79" s="24" t="str">
        <v>HUBB US EQUITY</v>
      </c>
      <c r="V79">
        <v>46203</v>
      </c>
      <c r="W79" t="str">
        <v>custom</v>
      </c>
      <c r="X79" t="str">
        <v>utility_solutions_operating_margin</v>
      </c>
      <c r="Y79" t="str">
        <v>forecast</v>
      </c>
      <c r="Z79" t="str">
        <v>25.3</v>
      </c>
      <c r="AA79" t="str">
        <v>-21.5766969535007</v>
      </c>
      <c r="AB79" t="str">
        <v>-189.977116974502</v>
      </c>
      <c r="AC79" t="str">
        <v>-163.00768424699</v>
      </c>
      <c r="AD79" t="str">
        <v>370</v>
      </c>
    </row>
    <row r="80" spans="1:30" x14ac:dyDescent="0.25">
      <c r="A80" s="16"/>
      <c r="B80" s="16"/>
      <c r="C80" s="2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U80" s="24" t="str">
        <v>HUBB US EQUITY</v>
      </c>
      <c r="V80">
        <v>46295</v>
      </c>
      <c r="W80" t="str">
        <v>custom</v>
      </c>
      <c r="X80" t="str">
        <v>utility_solutions_operating_margin</v>
      </c>
      <c r="Y80" t="str">
        <v>forecast</v>
      </c>
      <c r="Z80" t="str">
        <v>26.2</v>
      </c>
      <c r="AA80" t="str">
        <v>52.7187963551604</v>
      </c>
      <c r="AB80" t="str">
        <v>74.2954933086612</v>
      </c>
      <c r="AC80" t="str">
        <v>107.878917327189</v>
      </c>
      <c r="AD80" t="str">
        <v>90.0000000000002</v>
      </c>
    </row>
    <row r="81" spans="3:30" x14ac:dyDescent="0.25">
      <c r="C81" s="4"/>
      <c r="D81" s="5"/>
      <c r="E81" s="4"/>
      <c r="F81" s="4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U81" s="24" t="str">
        <v>HUBB US EQUITY</v>
      </c>
      <c r="V81">
        <v>46387</v>
      </c>
      <c r="W81" t="str">
        <v>custom</v>
      </c>
      <c r="X81" t="str">
        <v>utility_solutions_operating_margin</v>
      </c>
      <c r="Y81" t="str">
        <v>forecast</v>
      </c>
      <c r="Z81" t="str">
        <v>25</v>
      </c>
      <c r="AA81" t="str">
        <v>-9.88353456565889</v>
      </c>
      <c r="AB81" t="str">
        <v>-62.6023309208193</v>
      </c>
      <c r="AC81" t="str">
        <v>-204.810157314531</v>
      </c>
      <c r="AD81" t="str">
        <v>-120</v>
      </c>
    </row>
    <row r="82" spans="3:30" x14ac:dyDescent="0.25">
      <c r="C82" s="4"/>
      <c r="D82" s="1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U82" s="24" t="str">
        <v>HUBB US EQUITY</v>
      </c>
      <c r="V82">
        <v>46477</v>
      </c>
      <c r="W82" t="str">
        <v>custom</v>
      </c>
      <c r="X82" t="str">
        <v>utility_solutions_operating_margin</v>
      </c>
      <c r="Y82" t="str">
        <v>forecast</v>
      </c>
      <c r="Z82" t="str">
        <v>21.8</v>
      </c>
      <c r="AA82" t="str">
        <v>19.9999999999999</v>
      </c>
      <c r="AB82" t="str">
        <v>29.8835345656588</v>
      </c>
      <c r="AC82" t="str">
        <v>-148.400420021002</v>
      </c>
      <c r="AD82" t="str">
        <v>-320</v>
      </c>
    </row>
    <row r="83" spans="3:30" x14ac:dyDescent="0.25">
      <c r="C83" s="4"/>
      <c r="D83" s="1"/>
      <c r="E83" s="6"/>
      <c r="F83" s="6"/>
      <c r="G83" s="6"/>
      <c r="H83" s="6"/>
      <c r="I83" s="6"/>
      <c r="J83" s="6"/>
      <c r="K83" s="6"/>
      <c r="L83" s="12"/>
      <c r="M83" s="12"/>
      <c r="N83" s="12"/>
      <c r="O83" s="12"/>
      <c r="P83" s="12"/>
      <c r="Q83" s="12"/>
      <c r="R83" s="12"/>
      <c r="S83" s="12"/>
      <c r="U83" t="str">
        <v>HUBB US EQUITY</v>
      </c>
      <c r="V83">
        <v>46568</v>
      </c>
      <c r="W83" t="str">
        <v>custom</v>
      </c>
      <c r="X83" t="str">
        <v>utility_solutions_operating_margin</v>
      </c>
      <c r="Y83" t="str">
        <v>forecast</v>
      </c>
      <c r="Z83" t="str">
        <v>25.5</v>
      </c>
      <c r="AA83" t="str">
        <v>19.9999999999999</v>
      </c>
      <c r="AB83" t="str">
        <v>0</v>
      </c>
      <c r="AC83" t="str">
        <v>41.5766969535007</v>
      </c>
      <c r="AD83" t="str">
        <v>370</v>
      </c>
    </row>
    <row r="84" spans="3:30" x14ac:dyDescent="0.25">
      <c r="C84" s="4"/>
      <c r="D84" s="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U84" t="str">
        <v>HUBB US EQUITY</v>
      </c>
      <c r="V84">
        <v>46660</v>
      </c>
      <c r="W84" t="str">
        <v>custom</v>
      </c>
      <c r="X84" t="str">
        <v>utility_solutions_operating_margin</v>
      </c>
      <c r="Y84" t="str">
        <v>forecast</v>
      </c>
      <c r="Z84" t="str">
        <v>26.4</v>
      </c>
      <c r="AA84" t="str">
        <v>19.9999999999999</v>
      </c>
      <c r="AB84" t="str">
        <v>0</v>
      </c>
      <c r="AC84" t="str">
        <v>-32.7187963551605</v>
      </c>
      <c r="AD84" t="str">
        <v>90.0000000000002</v>
      </c>
    </row>
    <row r="85" spans="3:30" x14ac:dyDescent="0.25">
      <c r="U85" t="str">
        <v>HUBB US EQUITY</v>
      </c>
      <c r="V85">
        <v>46752</v>
      </c>
      <c r="W85" t="str">
        <v>custom</v>
      </c>
      <c r="X85" t="str">
        <v>utility_solutions_operating_margin</v>
      </c>
      <c r="Y85" t="str">
        <v>forecast</v>
      </c>
      <c r="Z85" t="str">
        <v>25.2</v>
      </c>
      <c r="AA85" t="str">
        <v>19.9999999999999</v>
      </c>
      <c r="AB85" t="str">
        <v>0</v>
      </c>
      <c r="AC85" t="str">
        <v>29.8835345656588</v>
      </c>
      <c r="AD85" t="str">
        <v>-120</v>
      </c>
    </row>
    <row r="86" spans="3:30" x14ac:dyDescent="0.25">
      <c r="U86" s="24"/>
    </row>
    <row r="89" spans="3:30" x14ac:dyDescent="0.25">
      <c r="U8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WMB</vt:lpstr>
      <vt:lpstr>GEV</vt:lpstr>
      <vt:lpstr>CW</vt:lpstr>
      <vt:lpstr>CCJ</vt:lpstr>
      <vt:lpstr>HUBB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2026-04-15T17:31:39Z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