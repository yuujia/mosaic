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TESTS\"/>
    </mc:Choice>
  </mc:AlternateContent>
  <xr:revisionPtr revIDLastSave="0" documentId="13_ncr:1_{4FC3E6B3-A32D-4258-92D1-84FB8662DBF0}" xr6:coauthVersionLast="47" xr6:coauthVersionMax="47" xr10:uidLastSave="{00000000-0000-0000-0000-000000000000}"/>
  <bookViews>
    <workbookView xWindow="28680" yWindow="-120" windowWidth="29040" windowHeight="15720" activeTab="5" xr2:uid="{30DE43AD-F492-43CF-BD64-FB4AD4D1959C}"/>
  </bookViews>
  <sheets>
    <sheet name="BIO" sheetId="1" r:id="rId1"/>
    <sheet name="DGX" sheetId="4" r:id="rId2"/>
    <sheet name="LH" sheetId="5" r:id="rId3"/>
    <sheet name="QGEN" sheetId="6" r:id="rId4"/>
    <sheet name="RVTY" sheetId="8" r:id="rId5"/>
    <sheet name="TECH" sheetId="9" r:id="rId6"/>
  </sheets>
  <definedNames>
    <definedName name="KPI_BLOCK" localSheetId="1">_xlfn.LET(   _xlpm.d, DGX!$L$5:$O$5,   _xlpm.v, DGX!$L$7:$O$7,   _xlpm.yy,DGX!$L$8:$O$8,   _xlpm.qq,DGX!$L$9:$O$9,   _xlpm.dyy,DGX!$L$10:$O$10,   _xlpm.dqq,DGX!$L$11:$O$11,   _xlpm.dd, TRANSPOSE(_xlpm.d),    _xlpm.block, _xlfn.HSTACK(     _xlfn.MAKEARRAY(ROWS(_xlpm.dd),1, _xlfn.LAMBDA(_xlpm.r,_xlpm.c,DGX!$B$2)),     _xlpm.dd,     _xlfn.MAKEARRAY(ROWS(_xlpm.dd),1, _xlfn.LAMBDA(_xlpm.r,_xlpm.c,DGX!$A$7)),     _xlfn.MAKEARRAY(ROWS(_xlpm.dd),1, _xlfn.LAMBDA(_xlpm.r,_xlpm.c,DGX!$B$7)),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LH!$L$5:$O$5,   _xlpm.v, LH!$L$7:$O$7,   _xlpm.yy,LH!$L$8:$O$8,   _xlpm.qq,LH!$L$9:$O$9,   _xlpm.dyy,LH!$L$10:$O$10,   _xlpm.dqq,LH!$L$11:$O$11,   _xlpm.dd, TRANSPOSE(_xlpm.d),    _xlpm.block, _xlfn.HSTACK(     _xlfn.MAKEARRAY(ROWS(_xlpm.dd),1, _xlfn.LAMBDA(_xlpm.r,_xlpm.c,LH!$B$2)),     _xlpm.dd,     _xlfn.MAKEARRAY(ROWS(_xlpm.dd),1, _xlfn.LAMBDA(_xlpm.r,_xlpm.c,LH!$A$7)),     _xlfn.MAKEARRAY(ROWS(_xlpm.dd),1, _xlfn.LAMBDA(_xlpm.r,_xlpm.c,LH!$B$7)),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QGEN!$L$5:$O$5,   _xlpm.v, QGEN!$L$7:$O$7,   _xlpm.yy,QGEN!$L$8:$O$8,   _xlpm.qq,QGEN!$L$9:$O$9,   _xlpm.dyy,QGEN!$L$10:$O$10,   _xlpm.dqq,QGEN!$L$11:$O$11,   _xlpm.dd, TRANSPOSE(_xlpm.d),    _xlpm.block, _xlfn.HSTACK(     _xlfn.MAKEARRAY(ROWS(_xlpm.dd),1, _xlfn.LAMBDA(_xlpm.r,_xlpm.c,QGEN!$B$2)),     _xlpm.dd,     _xlfn.MAKEARRAY(ROWS(_xlpm.dd),1, _xlfn.LAMBDA(_xlpm.r,_xlpm.c,QGEN!$A$7)),     _xlfn.MAKEARRAY(ROWS(_xlpm.dd),1, _xlfn.LAMBDA(_xlpm.r,_xlpm.c,QGEN!$B$7)),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RVTY!$L$5:$O$5,   _xlpm.v, RVTY!$L$7:$O$7,   _xlpm.yy,RVTY!$L$8:$O$8,   _xlpm.qq,RVTY!$L$9:$O$9,   _xlpm.dyy,RVTY!$L$10:$O$10,   _xlpm.dqq,RVTY!$L$11:$O$11,   _xlpm.dd, TRANSPOSE(_xlpm.d),    _xlpm.block, _xlfn.HSTACK(     _xlfn.MAKEARRAY(ROWS(_xlpm.dd),1, _xlfn.LAMBDA(_xlpm.r,_xlpm.c,RVTY!$B$2)),     _xlpm.dd,     _xlfn.MAKEARRAY(ROWS(_xlpm.dd),1, _xlfn.LAMBDA(_xlpm.r,_xlpm.c,RVTY!$A$7)),     _xlfn.MAKEARRAY(ROWS(_xlpm.dd),1, _xlfn.LAMBDA(_xlpm.r,_xlpm.c,RVTY!$B$7)),     TRANSPOSE(_xlpm.v),     TRANSPOSE(_xlpm.yy),     TRANSPOSE(_xlpm.qq),     TRANSPOSE(_xlpm.dyy),     TRANSPOSE(_xlpm.dqq)   ),    _xlfn._xlws.FILTER(_xlpm.block, INDEX(_xlpm.block,,5) &lt;&gt; "") )</definedName>
    <definedName name="KPI_BLOCK" localSheetId="5">_xlfn.LET(   _xlpm.d, TECH!$L$5:$O$5,   _xlpm.v, TECH!$L$7:$O$7,   _xlpm.yy,TECH!$L$8:$O$8,   _xlpm.qq,TECH!$L$9:$O$9,   _xlpm.dyy,TECH!$L$10:$O$10,   _xlpm.dqq,TECH!$L$11:$O$11,   _xlpm.dd, TRANSPOSE(_xlpm.d),    _xlpm.block, _xlfn.HSTACK(     _xlfn.MAKEARRAY(ROWS(_xlpm.dd),1, _xlfn.LAMBDA(_xlpm.r,_xlpm.c,TECH!$B$2)),     _xlpm.dd,     _xlfn.MAKEARRAY(ROWS(_xlpm.dd),1, _xlfn.LAMBDA(_xlpm.r,_xlpm.c,TECH!$A$7)),     _xlfn.MAKEARRAY(ROWS(_xlpm.dd),1, _xlfn.LAMBDA(_xlpm.r,_xlpm.c,TECH!$B$7)),     TRANSPOSE(_xlpm.v),     TRANSPOSE(_xlpm.yy),     TRANSPOSE(_xlpm.qq),     TRANSPOSE(_xlpm.dyy),     TRANSPOSE(_xlpm.dqq)   ),    _xlfn._xlws.FILTER(_xlpm.block, INDEX(_xlpm.block,,5) &lt;&gt; "") )</definedName>
    <definedName name="KPI_BLOCK">_xlfn.LET(   _xlpm.d, BIO!$L$5:$O$5,   _xlpm.v, BIO!$L$7:$O$7,   _xlpm.yy,BIO!$L$8:$O$8,   _xlpm.qq,BIO!$L$9:$O$9,   _xlpm.dyy,BIO!$L$10:$O$10,   _xlpm.dqq,BIO!$L$11:$O$11,   _xlpm.dd, TRANSPOSE(_xlpm.d),    _xlpm.block, _xlfn.HSTACK(     _xlfn.MAKEARRAY(ROWS(_xlpm.dd),1, _xlfn.LAMBDA(_xlpm.r,_xlpm.c,BIO!$B$2)),     _xlpm.dd,     _xlfn.MAKEARRAY(ROWS(_xlpm.dd),1, _xlfn.LAMBDA(_xlpm.r,_xlpm.c,BIO!$A$7)),     _xlfn.MAKEARRAY(ROWS(_xlpm.dd),1, _xlfn.LAMBDA(_xlpm.r,_xlpm.c,BIO!$B$7)),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9" l="1"/>
  <c r="N51" i="9"/>
  <c r="M51" i="9"/>
  <c r="L51" i="9"/>
  <c r="O48" i="9"/>
  <c r="N48" i="9"/>
  <c r="M48" i="9"/>
  <c r="L48" i="9"/>
  <c r="K48" i="9"/>
  <c r="O45" i="9"/>
  <c r="N45" i="9"/>
  <c r="M45" i="9"/>
  <c r="L45" i="9"/>
  <c r="Q22" i="9" s="1" a="1"/>
  <c r="Q22" i="9" s="1"/>
  <c r="K45" i="9"/>
  <c r="J45" i="9"/>
  <c r="I45" i="9"/>
  <c r="H45" i="9"/>
  <c r="G45" i="9"/>
  <c r="O43" i="9"/>
  <c r="N43" i="9"/>
  <c r="M43" i="9"/>
  <c r="L43" i="9"/>
  <c r="O40" i="9"/>
  <c r="N40" i="9"/>
  <c r="M40" i="9"/>
  <c r="L40" i="9"/>
  <c r="K40" i="9"/>
  <c r="O37" i="9"/>
  <c r="N37" i="9"/>
  <c r="M37" i="9"/>
  <c r="L37" i="9"/>
  <c r="K37" i="9"/>
  <c r="J37" i="9"/>
  <c r="I37" i="9"/>
  <c r="H37" i="9"/>
  <c r="G37" i="9"/>
  <c r="O35" i="9"/>
  <c r="N35" i="9"/>
  <c r="M35" i="9"/>
  <c r="L35" i="9"/>
  <c r="O32" i="9"/>
  <c r="N32" i="9"/>
  <c r="M32" i="9"/>
  <c r="L32" i="9"/>
  <c r="K32" i="9"/>
  <c r="O29" i="9"/>
  <c r="N29" i="9"/>
  <c r="M29" i="9"/>
  <c r="L29" i="9"/>
  <c r="K29" i="9"/>
  <c r="J29" i="9"/>
  <c r="I29" i="9"/>
  <c r="H29" i="9"/>
  <c r="G29" i="9"/>
  <c r="Q18" i="9" a="1"/>
  <c r="Q18" i="9" s="1"/>
  <c r="Q14" i="9" a="1"/>
  <c r="Q14" i="9" s="1"/>
  <c r="B4" i="9"/>
  <c r="B3" i="9" s="1"/>
  <c r="D6" i="9" a="1"/>
  <c r="D14" i="9" a="1"/>
  <c r="D22" i="9" a="1"/>
  <c r="D22" i="9" l="1"/>
  <c r="D21" i="9" s="1"/>
  <c r="D14" i="9"/>
  <c r="D13" i="9" s="1"/>
  <c r="D6" i="9"/>
  <c r="D5" i="9" s="1"/>
  <c r="L24" i="9"/>
  <c r="K24" i="9"/>
  <c r="J24" i="9"/>
  <c r="I24" i="9"/>
  <c r="H24" i="9"/>
  <c r="M21" i="9"/>
  <c r="L21" i="9"/>
  <c r="K21" i="9"/>
  <c r="J21" i="9"/>
  <c r="I21" i="9"/>
  <c r="H21" i="9"/>
  <c r="N24" i="9"/>
  <c r="G21" i="9"/>
  <c r="F21" i="9"/>
  <c r="L27" i="9"/>
  <c r="O24" i="9"/>
  <c r="M24" i="9"/>
  <c r="E21" i="9"/>
  <c r="O27" i="9"/>
  <c r="M27" i="9"/>
  <c r="O21" i="9"/>
  <c r="N21" i="9"/>
  <c r="N27" i="9"/>
  <c r="H5" i="9"/>
  <c r="G5" i="9"/>
  <c r="F5" i="9"/>
  <c r="E5" i="9"/>
  <c r="M8" i="9"/>
  <c r="L8" i="9"/>
  <c r="K8" i="9"/>
  <c r="J8" i="9"/>
  <c r="I8" i="9"/>
  <c r="H8" i="9"/>
  <c r="K5" i="9"/>
  <c r="L5" i="9"/>
  <c r="M11" i="9"/>
  <c r="I5" i="9"/>
  <c r="O5" i="9"/>
  <c r="N5" i="9"/>
  <c r="O11" i="9"/>
  <c r="M5" i="9"/>
  <c r="N11" i="9"/>
  <c r="L11" i="9"/>
  <c r="J5" i="9"/>
  <c r="O8" i="9"/>
  <c r="N8" i="9"/>
  <c r="N16" i="9"/>
  <c r="M16" i="9"/>
  <c r="L16" i="9"/>
  <c r="K16" i="9"/>
  <c r="J16" i="9"/>
  <c r="I16" i="9"/>
  <c r="O13" i="9"/>
  <c r="N13" i="9"/>
  <c r="M13" i="9"/>
  <c r="L13" i="9"/>
  <c r="K13" i="9"/>
  <c r="J13" i="9"/>
  <c r="I13" i="9"/>
  <c r="H13" i="9"/>
  <c r="G13" i="9"/>
  <c r="F13" i="9"/>
  <c r="O16" i="9"/>
  <c r="O19" i="9"/>
  <c r="E13" i="9"/>
  <c r="N19" i="9"/>
  <c r="M19" i="9"/>
  <c r="L19" i="9"/>
  <c r="H16" i="9"/>
  <c r="Q10" i="9" l="1" a="1"/>
  <c r="Q10" i="9" s="1"/>
  <c r="N10" i="9"/>
  <c r="N9" i="9"/>
  <c r="O10" i="9"/>
  <c r="O9" i="9"/>
  <c r="Q6" i="9" a="1"/>
  <c r="Q6" i="9" s="1"/>
  <c r="L10" i="9"/>
  <c r="L9" i="9"/>
  <c r="M10" i="9"/>
  <c r="M9" i="9"/>
  <c r="Q2" i="9" s="1" a="1"/>
  <c r="Q2" i="9" s="1"/>
  <c r="O51" i="8" l="1"/>
  <c r="N51" i="8"/>
  <c r="M51" i="8"/>
  <c r="L51" i="8"/>
  <c r="O48" i="8"/>
  <c r="N48" i="8"/>
  <c r="M48" i="8"/>
  <c r="L48" i="8"/>
  <c r="K48" i="8"/>
  <c r="O45" i="8"/>
  <c r="N45" i="8"/>
  <c r="M45" i="8"/>
  <c r="L45" i="8"/>
  <c r="Q22" i="8" s="1" a="1"/>
  <c r="Q22" i="8" s="1"/>
  <c r="K45" i="8"/>
  <c r="J45" i="8"/>
  <c r="I45" i="8"/>
  <c r="H45" i="8"/>
  <c r="G45" i="8"/>
  <c r="O43" i="8"/>
  <c r="N43" i="8"/>
  <c r="M43" i="8"/>
  <c r="L43" i="8"/>
  <c r="O40" i="8"/>
  <c r="N40" i="8"/>
  <c r="M40" i="8"/>
  <c r="L40" i="8"/>
  <c r="Q18" i="8" s="1" a="1"/>
  <c r="Q18" i="8" s="1"/>
  <c r="K40" i="8"/>
  <c r="O37" i="8"/>
  <c r="N37" i="8"/>
  <c r="M37" i="8"/>
  <c r="L37" i="8"/>
  <c r="K37" i="8"/>
  <c r="J37" i="8"/>
  <c r="I37" i="8"/>
  <c r="H37" i="8"/>
  <c r="G37" i="8"/>
  <c r="O35" i="8"/>
  <c r="N35" i="8"/>
  <c r="M35" i="8"/>
  <c r="L35" i="8"/>
  <c r="O32" i="8"/>
  <c r="N32" i="8"/>
  <c r="M32" i="8"/>
  <c r="L32" i="8"/>
  <c r="K32" i="8"/>
  <c r="O29" i="8"/>
  <c r="N29" i="8"/>
  <c r="M29" i="8"/>
  <c r="L29" i="8"/>
  <c r="Q14" i="8" s="1" a="1"/>
  <c r="Q14" i="8" s="1"/>
  <c r="K29" i="8"/>
  <c r="J29" i="8"/>
  <c r="I29" i="8"/>
  <c r="H29" i="8"/>
  <c r="G29" i="8"/>
  <c r="B4" i="8"/>
  <c r="B3" i="8" s="1"/>
  <c r="D22" i="8" a="1"/>
  <c r="D14" i="8" a="1"/>
  <c r="D6" i="8" a="1"/>
  <c r="D6" i="8" l="1"/>
  <c r="D14" i="8"/>
  <c r="D22" i="8"/>
  <c r="D21" i="8" s="1"/>
  <c r="D5" i="8"/>
  <c r="M19" i="8"/>
  <c r="L19" i="8"/>
  <c r="K13" i="8"/>
  <c r="J13" i="8"/>
  <c r="H13" i="8"/>
  <c r="G13" i="8"/>
  <c r="O19" i="8"/>
  <c r="O16" i="8"/>
  <c r="N16" i="8"/>
  <c r="M16" i="8"/>
  <c r="L16" i="8"/>
  <c r="K16" i="8"/>
  <c r="J16" i="8"/>
  <c r="I16" i="8"/>
  <c r="H16" i="8"/>
  <c r="D13" i="8"/>
  <c r="O13" i="8"/>
  <c r="N13" i="8"/>
  <c r="M13" i="8"/>
  <c r="L13" i="8"/>
  <c r="I13" i="8"/>
  <c r="F13" i="8"/>
  <c r="E13" i="8"/>
  <c r="N19" i="8"/>
  <c r="M27" i="8"/>
  <c r="L27" i="8"/>
  <c r="O24" i="8"/>
  <c r="N24" i="8"/>
  <c r="I21" i="8"/>
  <c r="H21" i="8"/>
  <c r="E21" i="8"/>
  <c r="O27" i="8"/>
  <c r="F21" i="8"/>
  <c r="M24" i="8"/>
  <c r="L24" i="8"/>
  <c r="K24" i="8"/>
  <c r="J24" i="8"/>
  <c r="I24" i="8"/>
  <c r="H24" i="8"/>
  <c r="O21" i="8"/>
  <c r="N21" i="8"/>
  <c r="M21" i="8"/>
  <c r="L21" i="8"/>
  <c r="K21" i="8"/>
  <c r="J21" i="8"/>
  <c r="G21" i="8"/>
  <c r="N27" i="8"/>
  <c r="O11" i="8"/>
  <c r="M5" i="8"/>
  <c r="N11" i="8"/>
  <c r="L5" i="8"/>
  <c r="M11" i="8"/>
  <c r="K5" i="8"/>
  <c r="J5" i="8"/>
  <c r="O5" i="8"/>
  <c r="L11" i="8"/>
  <c r="I8" i="8"/>
  <c r="H8" i="8"/>
  <c r="I5" i="8"/>
  <c r="H5" i="8"/>
  <c r="G5" i="8"/>
  <c r="F5" i="8"/>
  <c r="E5" i="8"/>
  <c r="N5" i="8"/>
  <c r="O8" i="8"/>
  <c r="N8" i="8"/>
  <c r="M8" i="8"/>
  <c r="L8" i="8"/>
  <c r="K8" i="8"/>
  <c r="J8" i="8"/>
  <c r="Q6" i="8" l="1" a="1"/>
  <c r="Q6" i="8" s="1"/>
  <c r="L10" i="8"/>
  <c r="L9" i="8"/>
  <c r="N10" i="8"/>
  <c r="N9" i="8"/>
  <c r="Q10" i="8" a="1"/>
  <c r="Q10" i="8" s="1"/>
  <c r="M9" i="8"/>
  <c r="M10" i="8"/>
  <c r="O10" i="8"/>
  <c r="O9" i="8"/>
  <c r="Q2" i="8" s="1" a="1"/>
  <c r="Q2" i="8" s="1"/>
  <c r="O51" i="6" l="1"/>
  <c r="N51" i="6"/>
  <c r="M51" i="6"/>
  <c r="L51" i="6"/>
  <c r="O48" i="6"/>
  <c r="N48" i="6"/>
  <c r="M48" i="6"/>
  <c r="L48" i="6"/>
  <c r="K48" i="6"/>
  <c r="O45" i="6"/>
  <c r="N45" i="6"/>
  <c r="M45" i="6"/>
  <c r="L45" i="6"/>
  <c r="Q22" i="6" s="1" a="1"/>
  <c r="Q22" i="6" s="1"/>
  <c r="K45" i="6"/>
  <c r="J45" i="6"/>
  <c r="I45" i="6"/>
  <c r="H45" i="6"/>
  <c r="G45" i="6"/>
  <c r="O43" i="6"/>
  <c r="N43" i="6"/>
  <c r="M43" i="6"/>
  <c r="L43" i="6"/>
  <c r="O40" i="6"/>
  <c r="N40" i="6"/>
  <c r="M40" i="6"/>
  <c r="L40" i="6"/>
  <c r="K40" i="6"/>
  <c r="O37" i="6"/>
  <c r="N37" i="6"/>
  <c r="M37" i="6"/>
  <c r="L37" i="6"/>
  <c r="Q18" i="6" s="1" a="1"/>
  <c r="Q18" i="6" s="1"/>
  <c r="K37" i="6"/>
  <c r="J37" i="6"/>
  <c r="I37" i="6"/>
  <c r="H37" i="6"/>
  <c r="G37" i="6"/>
  <c r="O35" i="6"/>
  <c r="N35" i="6"/>
  <c r="M35" i="6"/>
  <c r="L35" i="6"/>
  <c r="O32" i="6"/>
  <c r="N32" i="6"/>
  <c r="M32" i="6"/>
  <c r="L32" i="6"/>
  <c r="K32" i="6"/>
  <c r="O29" i="6"/>
  <c r="N29" i="6"/>
  <c r="M29" i="6"/>
  <c r="Q14" i="6" s="1" a="1"/>
  <c r="Q14" i="6" s="1"/>
  <c r="L29" i="6"/>
  <c r="K29" i="6"/>
  <c r="J29" i="6"/>
  <c r="I29" i="6"/>
  <c r="H29" i="6"/>
  <c r="G29" i="6"/>
  <c r="B4" i="6"/>
  <c r="B3" i="6" s="1"/>
  <c r="O51" i="5"/>
  <c r="N51" i="5"/>
  <c r="M51" i="5"/>
  <c r="L51" i="5"/>
  <c r="O48" i="5"/>
  <c r="N48" i="5"/>
  <c r="M48" i="5"/>
  <c r="L48" i="5"/>
  <c r="K48" i="5"/>
  <c r="O43" i="5"/>
  <c r="N43" i="5"/>
  <c r="M43" i="5"/>
  <c r="L43" i="5"/>
  <c r="O40" i="5"/>
  <c r="N40" i="5"/>
  <c r="M40" i="5"/>
  <c r="L40" i="5"/>
  <c r="K40" i="5"/>
  <c r="O35" i="5"/>
  <c r="N35" i="5"/>
  <c r="M35" i="5"/>
  <c r="L35" i="5"/>
  <c r="O32" i="5"/>
  <c r="N32" i="5"/>
  <c r="M32" i="5"/>
  <c r="L32" i="5"/>
  <c r="K32" i="5"/>
  <c r="H45" i="5"/>
  <c r="G45" i="5"/>
  <c r="H37" i="5"/>
  <c r="G37" i="5"/>
  <c r="H29" i="5"/>
  <c r="G29" i="5"/>
  <c r="O35" i="4"/>
  <c r="N35" i="4"/>
  <c r="M35" i="4"/>
  <c r="L35" i="4"/>
  <c r="O32" i="4"/>
  <c r="N32" i="4"/>
  <c r="M32" i="4"/>
  <c r="L32" i="4"/>
  <c r="K32" i="4"/>
  <c r="O43" i="4"/>
  <c r="N43" i="4"/>
  <c r="M43" i="4"/>
  <c r="L43" i="4"/>
  <c r="O40" i="4"/>
  <c r="N40" i="4"/>
  <c r="M40" i="4"/>
  <c r="L40" i="4"/>
  <c r="K40" i="4"/>
  <c r="G37" i="4"/>
  <c r="G29" i="4"/>
  <c r="O51" i="1"/>
  <c r="N51" i="1"/>
  <c r="M51" i="1"/>
  <c r="L51" i="1"/>
  <c r="O48" i="1"/>
  <c r="N48" i="1"/>
  <c r="M48" i="1"/>
  <c r="L48" i="1"/>
  <c r="K48" i="1"/>
  <c r="O43" i="1"/>
  <c r="N43" i="1"/>
  <c r="M43" i="1"/>
  <c r="L43" i="1"/>
  <c r="O40" i="1"/>
  <c r="N40" i="1"/>
  <c r="M40" i="1"/>
  <c r="L40" i="1"/>
  <c r="K40" i="1"/>
  <c r="J45" i="1"/>
  <c r="J29" i="1"/>
  <c r="J37" i="1"/>
  <c r="M35" i="1"/>
  <c r="N35" i="1"/>
  <c r="O35" i="1"/>
  <c r="L35" i="1"/>
  <c r="D22" i="6" a="1"/>
  <c r="D6" i="6" a="1"/>
  <c r="D14" i="6" a="1"/>
  <c r="D14" i="6" l="1"/>
  <c r="D6" i="6"/>
  <c r="D22" i="6"/>
  <c r="O27" i="6"/>
  <c r="N27" i="6"/>
  <c r="M27" i="6"/>
  <c r="L27" i="6"/>
  <c r="O19" i="6"/>
  <c r="N19" i="6"/>
  <c r="L19" i="6"/>
  <c r="M19" i="6"/>
  <c r="D5" i="6"/>
  <c r="D21" i="6"/>
  <c r="D13" i="6"/>
  <c r="M24" i="6"/>
  <c r="I21" i="6"/>
  <c r="L21" i="6"/>
  <c r="O24" i="6"/>
  <c r="K21" i="6"/>
  <c r="N24" i="6"/>
  <c r="J21" i="6"/>
  <c r="L24" i="6"/>
  <c r="H21" i="6"/>
  <c r="M21" i="6"/>
  <c r="K24" i="6"/>
  <c r="G21" i="6"/>
  <c r="J24" i="6"/>
  <c r="F21" i="6"/>
  <c r="O21" i="6"/>
  <c r="N21" i="6"/>
  <c r="I24" i="6"/>
  <c r="E21" i="6"/>
  <c r="H24" i="6"/>
  <c r="K16" i="6"/>
  <c r="G13" i="6"/>
  <c r="O13" i="6"/>
  <c r="N13" i="6"/>
  <c r="L13" i="6"/>
  <c r="O16" i="6"/>
  <c r="N16" i="6"/>
  <c r="J13" i="6"/>
  <c r="M16" i="6"/>
  <c r="L16" i="6"/>
  <c r="H13" i="6"/>
  <c r="J16" i="6"/>
  <c r="F13" i="6"/>
  <c r="M13" i="6"/>
  <c r="K13" i="6"/>
  <c r="I16" i="6"/>
  <c r="E13" i="6"/>
  <c r="H16" i="6"/>
  <c r="I13" i="6"/>
  <c r="M5" i="6"/>
  <c r="G5" i="6"/>
  <c r="L11" i="6"/>
  <c r="J8" i="6"/>
  <c r="I8" i="6"/>
  <c r="H8" i="6"/>
  <c r="O5" i="6"/>
  <c r="N5" i="6"/>
  <c r="L5" i="6"/>
  <c r="O8" i="6"/>
  <c r="K5" i="6"/>
  <c r="M11" i="6"/>
  <c r="K8" i="6"/>
  <c r="N8" i="6"/>
  <c r="J5" i="6"/>
  <c r="N11" i="6"/>
  <c r="L8" i="6"/>
  <c r="H5" i="6"/>
  <c r="F5" i="6"/>
  <c r="E5" i="6"/>
  <c r="O11" i="6"/>
  <c r="M8" i="6"/>
  <c r="I5" i="6"/>
  <c r="K32" i="1"/>
  <c r="N32" i="1"/>
  <c r="M32" i="1"/>
  <c r="L32" i="1"/>
  <c r="O32" i="1"/>
  <c r="I45" i="1"/>
  <c r="H45" i="1"/>
  <c r="G45" i="1"/>
  <c r="I37" i="1"/>
  <c r="H37" i="1"/>
  <c r="G37" i="1"/>
  <c r="I29" i="1"/>
  <c r="H29" i="1"/>
  <c r="G29" i="1"/>
  <c r="O45" i="5"/>
  <c r="N45" i="5"/>
  <c r="M45" i="5"/>
  <c r="L45" i="5"/>
  <c r="K45" i="5"/>
  <c r="J45" i="5"/>
  <c r="I45" i="5"/>
  <c r="O37" i="5"/>
  <c r="N37" i="5"/>
  <c r="M37" i="5"/>
  <c r="L37" i="5"/>
  <c r="K37" i="5"/>
  <c r="J37" i="5"/>
  <c r="I37" i="5"/>
  <c r="O29" i="5"/>
  <c r="N29" i="5"/>
  <c r="M29" i="5"/>
  <c r="L29" i="5"/>
  <c r="K29" i="5"/>
  <c r="J29" i="5"/>
  <c r="I29" i="5"/>
  <c r="B4" i="5"/>
  <c r="B3" i="5" s="1"/>
  <c r="O37" i="4"/>
  <c r="N37" i="4"/>
  <c r="M37" i="4"/>
  <c r="L37" i="4"/>
  <c r="K37" i="4"/>
  <c r="J37" i="4"/>
  <c r="I37" i="4"/>
  <c r="H37" i="4"/>
  <c r="O29" i="4"/>
  <c r="N29" i="4"/>
  <c r="M29" i="4"/>
  <c r="L29" i="4"/>
  <c r="K29" i="4"/>
  <c r="J29" i="4"/>
  <c r="I29" i="4"/>
  <c r="H29" i="4"/>
  <c r="B4" i="4"/>
  <c r="B3" i="4" s="1"/>
  <c r="O45" i="1"/>
  <c r="N45" i="1"/>
  <c r="M45" i="1"/>
  <c r="L45" i="1"/>
  <c r="K45" i="1"/>
  <c r="O37" i="1"/>
  <c r="N37" i="1"/>
  <c r="M37" i="1"/>
  <c r="L37" i="1"/>
  <c r="K37" i="1"/>
  <c r="L29" i="1"/>
  <c r="M29" i="1"/>
  <c r="N29" i="1"/>
  <c r="O29" i="1"/>
  <c r="K29" i="1"/>
  <c r="D14" i="5" a="1"/>
  <c r="D22" i="5" a="1"/>
  <c r="D6" i="5" a="1"/>
  <c r="D14" i="4" a="1"/>
  <c r="D22" i="4" a="1"/>
  <c r="D6" i="4" a="1"/>
  <c r="D6" i="4" l="1"/>
  <c r="D22" i="4"/>
  <c r="D14" i="4"/>
  <c r="D6" i="5"/>
  <c r="D22" i="5"/>
  <c r="D14" i="5"/>
  <c r="Q6" i="6" a="1"/>
  <c r="Q6" i="6" s="1"/>
  <c r="Q10" i="6" a="1"/>
  <c r="Q10" i="6" s="1"/>
  <c r="M9" i="6"/>
  <c r="M10" i="6"/>
  <c r="N9" i="6"/>
  <c r="N10" i="6"/>
  <c r="O9" i="6"/>
  <c r="O10" i="6"/>
  <c r="L10" i="6"/>
  <c r="L9" i="6"/>
  <c r="D21" i="4"/>
  <c r="D13" i="4"/>
  <c r="D5" i="4"/>
  <c r="D5" i="5"/>
  <c r="D21" i="5"/>
  <c r="D13" i="5"/>
  <c r="O27" i="5"/>
  <c r="L27" i="5"/>
  <c r="N27" i="5"/>
  <c r="M27" i="5"/>
  <c r="O19" i="5"/>
  <c r="N19" i="5"/>
  <c r="M19" i="5"/>
  <c r="L19" i="5"/>
  <c r="O27" i="4"/>
  <c r="L27" i="4"/>
  <c r="N27" i="4"/>
  <c r="M27" i="4"/>
  <c r="M19" i="4"/>
  <c r="N19" i="4"/>
  <c r="O19" i="4"/>
  <c r="L19" i="4"/>
  <c r="F21" i="5"/>
  <c r="G21" i="5"/>
  <c r="H21" i="5"/>
  <c r="I21" i="5"/>
  <c r="N24" i="5"/>
  <c r="L24" i="5"/>
  <c r="J24" i="5"/>
  <c r="H24" i="5"/>
  <c r="M24" i="5"/>
  <c r="K24" i="5"/>
  <c r="I24" i="5"/>
  <c r="O24" i="5"/>
  <c r="F13" i="5"/>
  <c r="I13" i="5"/>
  <c r="G13" i="5"/>
  <c r="H13" i="5"/>
  <c r="K16" i="5"/>
  <c r="J16" i="5"/>
  <c r="H16" i="5"/>
  <c r="O16" i="5"/>
  <c r="L16" i="5"/>
  <c r="I16" i="5"/>
  <c r="N16" i="5"/>
  <c r="M16" i="5"/>
  <c r="O11" i="5"/>
  <c r="K8" i="5"/>
  <c r="N8" i="5"/>
  <c r="N11" i="5"/>
  <c r="J8" i="5"/>
  <c r="M8" i="5"/>
  <c r="M11" i="5"/>
  <c r="I8" i="5"/>
  <c r="L8" i="5"/>
  <c r="L11" i="5"/>
  <c r="H8" i="5"/>
  <c r="O8" i="5"/>
  <c r="F5" i="5"/>
  <c r="G5" i="5"/>
  <c r="H5" i="5"/>
  <c r="I5" i="5"/>
  <c r="Q18" i="5" a="1"/>
  <c r="Q18" i="5" s="1"/>
  <c r="Q14" i="5" a="1"/>
  <c r="Q14" i="5" s="1"/>
  <c r="K24" i="4"/>
  <c r="J24" i="4"/>
  <c r="I24" i="4"/>
  <c r="H24" i="4"/>
  <c r="O24" i="4"/>
  <c r="N24" i="4"/>
  <c r="M24" i="4"/>
  <c r="L24" i="4"/>
  <c r="E21" i="4"/>
  <c r="G21" i="4"/>
  <c r="F21" i="4"/>
  <c r="H21" i="4"/>
  <c r="K16" i="4"/>
  <c r="J16" i="4"/>
  <c r="I16" i="4"/>
  <c r="H16" i="4"/>
  <c r="N16" i="4"/>
  <c r="M16" i="4"/>
  <c r="L16" i="4"/>
  <c r="O16" i="4"/>
  <c r="E13" i="4"/>
  <c r="F13" i="4"/>
  <c r="G13" i="4"/>
  <c r="H13" i="4"/>
  <c r="O11" i="4"/>
  <c r="K8" i="4"/>
  <c r="I8" i="4"/>
  <c r="N8" i="4"/>
  <c r="L8" i="4"/>
  <c r="N11" i="4"/>
  <c r="J8" i="4"/>
  <c r="M11" i="4"/>
  <c r="H8" i="4"/>
  <c r="L11" i="4"/>
  <c r="M8" i="4"/>
  <c r="O8" i="4"/>
  <c r="E5" i="4"/>
  <c r="F5" i="4"/>
  <c r="G5" i="4"/>
  <c r="H5" i="4"/>
  <c r="N5" i="4"/>
  <c r="Q18" i="1" a="1"/>
  <c r="Q18" i="1" s="1"/>
  <c r="Q22" i="1" a="1"/>
  <c r="Q22" i="1" s="1"/>
  <c r="E5" i="5"/>
  <c r="N5" i="5"/>
  <c r="M5" i="5"/>
  <c r="L5" i="5"/>
  <c r="J5" i="5"/>
  <c r="O5" i="5"/>
  <c r="K5" i="5"/>
  <c r="E13" i="5"/>
  <c r="O13" i="5"/>
  <c r="N13" i="5"/>
  <c r="J13" i="5"/>
  <c r="M13" i="5"/>
  <c r="K13" i="5"/>
  <c r="L13" i="5"/>
  <c r="L21" i="5"/>
  <c r="O21" i="5"/>
  <c r="N21" i="5"/>
  <c r="M21" i="5"/>
  <c r="K21" i="5"/>
  <c r="J21" i="5"/>
  <c r="E21" i="5"/>
  <c r="Q18" i="4" a="1"/>
  <c r="Q18" i="4" s="1"/>
  <c r="Q14" i="4" a="1"/>
  <c r="Q14" i="4" s="1"/>
  <c r="N21" i="4"/>
  <c r="O21" i="4"/>
  <c r="K21" i="4"/>
  <c r="J21" i="4"/>
  <c r="M21" i="4"/>
  <c r="L21" i="4"/>
  <c r="I21" i="4"/>
  <c r="L13" i="4"/>
  <c r="K13" i="4"/>
  <c r="M13" i="4"/>
  <c r="J13" i="4"/>
  <c r="I13" i="4"/>
  <c r="N13" i="4"/>
  <c r="O13" i="4"/>
  <c r="O5" i="4"/>
  <c r="I5" i="4"/>
  <c r="M5" i="4"/>
  <c r="K5" i="4"/>
  <c r="L5" i="4"/>
  <c r="J5" i="4"/>
  <c r="Q14" i="1" a="1"/>
  <c r="Q14" i="1" s="1"/>
  <c r="Q2" i="6" l="1" a="1"/>
  <c r="Q2" i="6" s="1"/>
  <c r="O9" i="5"/>
  <c r="O10" i="5"/>
  <c r="L9" i="5"/>
  <c r="L10" i="5"/>
  <c r="M9" i="5"/>
  <c r="M10" i="5"/>
  <c r="N9" i="5"/>
  <c r="N10" i="5"/>
  <c r="O9" i="4"/>
  <c r="O10" i="4"/>
  <c r="M10" i="4"/>
  <c r="M9" i="4"/>
  <c r="L10" i="4"/>
  <c r="L9" i="4"/>
  <c r="N9" i="4"/>
  <c r="N10" i="4"/>
  <c r="Q10" i="5" a="1"/>
  <c r="Q10" i="5" s="1"/>
  <c r="Q6" i="5" a="1"/>
  <c r="Q6" i="5" s="1"/>
  <c r="Q10" i="4" a="1"/>
  <c r="Q10" i="4" s="1"/>
  <c r="Q6" i="4" a="1"/>
  <c r="Q6" i="4" s="1"/>
  <c r="Q2" i="5" l="1" a="1"/>
  <c r="Q2" i="5" s="1"/>
  <c r="Q2" i="4" a="1"/>
  <c r="Q2" i="4" s="1"/>
  <c r="B4" i="1" l="1"/>
  <c r="B3" i="1" s="1"/>
  <c r="D14" i="1" a="1"/>
  <c r="D22" i="1" a="1"/>
  <c r="D6" i="1" a="1"/>
  <c r="D6" i="1" l="1"/>
  <c r="D22" i="1"/>
  <c r="D14" i="1"/>
  <c r="D13" i="1" s="1"/>
  <c r="D21" i="1"/>
  <c r="G21" i="1"/>
  <c r="H21" i="1"/>
  <c r="I21" i="1"/>
  <c r="J21" i="1"/>
  <c r="K21" i="1"/>
  <c r="O27" i="1"/>
  <c r="K24" i="1"/>
  <c r="N27" i="1"/>
  <c r="J24" i="1"/>
  <c r="M27" i="1"/>
  <c r="I24" i="1"/>
  <c r="L27" i="1"/>
  <c r="H24" i="1"/>
  <c r="O24" i="1"/>
  <c r="M24" i="1"/>
  <c r="N24" i="1"/>
  <c r="L24" i="1"/>
  <c r="M19" i="1"/>
  <c r="N19" i="1"/>
  <c r="O19" i="1"/>
  <c r="L19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O11" i="1"/>
  <c r="N8" i="1"/>
  <c r="M8" i="1"/>
  <c r="L8" i="1"/>
  <c r="K8" i="1"/>
  <c r="J8" i="1"/>
  <c r="I8" i="1"/>
  <c r="H8" i="1"/>
  <c r="G5" i="1"/>
  <c r="H5" i="1"/>
  <c r="I5" i="1"/>
  <c r="J5" i="1"/>
  <c r="K5" i="1"/>
  <c r="O21" i="1"/>
  <c r="M21" i="1"/>
  <c r="F21" i="1"/>
  <c r="E21" i="1"/>
  <c r="N21" i="1"/>
  <c r="L21" i="1"/>
  <c r="O13" i="1"/>
  <c r="N13" i="1"/>
  <c r="M13" i="1"/>
  <c r="L13" i="1"/>
  <c r="F13" i="1"/>
  <c r="E13" i="1"/>
  <c r="O16" i="1"/>
  <c r="O8" i="1"/>
  <c r="O5" i="1"/>
  <c r="L5" i="1"/>
  <c r="M5" i="1"/>
  <c r="N5" i="1"/>
  <c r="F5" i="1"/>
  <c r="E5" i="1"/>
  <c r="N10" i="1" l="1"/>
  <c r="O10" i="1"/>
  <c r="M10" i="1"/>
  <c r="L10" i="1"/>
  <c r="O9" i="1"/>
  <c r="L9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<sst xmlns="http://schemas.openxmlformats.org/spreadsheetml/2006/main" count="460" uniqueCount="54">
  <si>
    <t>IS_COMP_SALES</t>
  </si>
  <si>
    <t>Stock:</t>
  </si>
  <si>
    <t>End Day</t>
  </si>
  <si>
    <t>Beg. Day</t>
  </si>
  <si>
    <t>BIO US EQUITY</t>
  </si>
  <si>
    <t>Y/Y</t>
  </si>
  <si>
    <t>Q/Q</t>
  </si>
  <si>
    <t>DGX US EQUITY</t>
  </si>
  <si>
    <t>GROSS_MARGIN</t>
  </si>
  <si>
    <t>OPER_MARGIN</t>
  </si>
  <si>
    <t>LH US EQUITY</t>
  </si>
  <si>
    <t>Organic Growth</t>
  </si>
  <si>
    <t>Dx Organic Volume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</si>
  <si>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</si>
  <si>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</si>
  <si>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</si>
  <si>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</si>
  <si>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</si>
  <si>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</si>
  <si>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</si>
  <si>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</si>
  <si>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</si>
  <si>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</si>
  <si>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</si>
  <si>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</si>
  <si>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</si>
  <si>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</si>
  <si>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currency_neutral_yoy</t>
  </si>
  <si>
    <t>currency neutral yoy</t>
  </si>
  <si>
    <t>ignore</t>
  </si>
  <si>
    <t>clinical_diagnostics_currency_neutral_yoy</t>
  </si>
  <si>
    <t>life_sciences_currency_neutral_yoy</t>
  </si>
  <si>
    <t>organic_yoy</t>
  </si>
  <si>
    <t>dx_organic_volume_yoy</t>
  </si>
  <si>
    <t>dx_rev_per_req_yoy</t>
  </si>
  <si>
    <t>Dx Revenue per Requistion</t>
  </si>
  <si>
    <t>Y/Y vs last Y</t>
  </si>
  <si>
    <t>yoy_vs_last_y</t>
  </si>
  <si>
    <t>Qoq</t>
  </si>
  <si>
    <t>organic_orders_yoy</t>
  </si>
  <si>
    <t>Organic order growth</t>
  </si>
  <si>
    <t>revenue per requisition</t>
  </si>
  <si>
    <t>revenue per requisition_yoy</t>
  </si>
  <si>
    <t>QGEN US EQUITY</t>
  </si>
  <si>
    <t>constant exchange rates</t>
  </si>
  <si>
    <t>sample_technologies_currency_neutral_yoy</t>
  </si>
  <si>
    <t>diagnostics_solutions_currency_neutral_yoy</t>
  </si>
  <si>
    <t>RVTY US EQUITY</t>
  </si>
  <si>
    <t>organic_growth</t>
  </si>
  <si>
    <t>life_sciences_organic_growth</t>
  </si>
  <si>
    <t>diagnostics_organic_growth</t>
  </si>
  <si>
    <t>TECH US EQUITY</t>
  </si>
  <si>
    <t>protein_sciences_organic_growth</t>
  </si>
  <si>
    <t>diagnostics_genomics_organic_growth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</si>
</sst>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4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5" fontId="3" fillId="2" borderId="1" xfId="1" applyNumberFormat="1" applyFon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10" fontId="1" fillId="2" borderId="1" xfId="1" applyNumberFormat="1"/>
    <xf numFmtId="0" fontId="1" fillId="2" borderId="1" xfId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BDH|12897442502498293438</stp>
        <tr r="D22" s="8"/>
      </tp>
      <tp t="s">
        <v>#N/A N/A</v>
        <stp/>
        <stp>BDH|10081605333958033642</stp>
        <tr r="D6" s="4"/>
      </tp>
      <tp t="s">
        <v>#N/A N/A</v>
        <stp/>
        <stp>BDH|14212360547138988022</stp>
        <tr r="D14" s="4"/>
      </tp>
      <tp t="s">
        <v>#N/A N/A</v>
        <stp/>
        <stp>BDH|13553854318289051033</stp>
        <tr r="D22" s="6"/>
      </tp>
      <tp t="s">
        <v>#N/A N/A</v>
        <stp/>
        <stp>BDH|13485528292437204972</stp>
        <tr r="D6" s="6"/>
      </tp>
      <tp t="s">
        <v>#N/A N/A</v>
        <stp/>
        <stp>BDH|16870395581285304941</stp>
        <tr r="D22" s="4"/>
      </tp>
      <tp t="s">
        <v>#N/A N/A</v>
        <stp/>
        <stp>BDH|10400519727982978320</stp>
        <tr r="D6" s="9"/>
      </tp>
      <tp t="s">
        <v>#N/A N/A</v>
        <stp/>
        <stp>BDH|10820478000101390373</stp>
        <tr r="D14" s="1"/>
      </tp>
      <tp t="s">
        <v>#N/A N/A</v>
        <stp/>
        <stp>BDH|10992591430676771772</stp>
        <tr r="D22" s="1"/>
      </tp>
    </main>
    <main first="bofaddin.rtdserver">
      <tp t="s">
        <v>#N/A N/A</v>
        <stp/>
        <stp>BDH|9257087269681191287</stp>
        <tr r="D6" s="1"/>
      </tp>
      <tp t="s">
        <v>#N/A N/A</v>
        <stp/>
        <stp>BDH|1130916812517901336</stp>
        <tr r="D6" s="5"/>
      </tp>
      <tp t="s">
        <v>#N/A N/A</v>
        <stp/>
        <stp>BDH|2138350096261439448</stp>
        <tr r="D14" s="9"/>
      </tp>
      <tp t="s">
        <v>#N/A N/A</v>
        <stp/>
        <stp>BDH|8893119939804354378</stp>
        <tr r="D14" s="6"/>
      </tp>
    </main>
    <main first="bofaddin.rtdserver">
      <tp t="s">
        <v>#N/A N/A</v>
        <stp/>
        <stp>BDH|1530976086057051889</stp>
        <tr r="D22" s="9"/>
      </tp>
      <tp t="s">
        <v>#N/A N/A</v>
        <stp/>
        <stp>BDH|4115425529261069954</stp>
        <tr r="D22" s="5"/>
      </tp>
      <tp t="s">
        <v>#N/A N/A</v>
        <stp/>
        <stp>BDH|8006918732243338683</stp>
        <tr r="D6" s="8"/>
      </tp>
    </main>
    <main first="bofaddin.rtdserver">
      <tp t="s">
        <v>#N/A N/A</v>
        <stp/>
        <stp>BDH|3233362464395777109</stp>
        <tr r="D14" s="5"/>
      </tp>
      <tp t="s">
        <v>#N/A N/A</v>
        <stp/>
        <stp>BDH|647650399644212269</stp>
        <tr r="D14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51"/>
  <sheetViews>
    <sheetView topLeftCell="A36" zoomScale="85" zoomScaleNormal="85" workbookViewId="0">
      <selection activeCell="M48" sqref="M48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3" t="s">
        <v>29</v>
      </c>
      <c r="B1" s="23" t="s">
        <v>29</v>
      </c>
      <c r="C1" s="23" t="s">
        <v>29</v>
      </c>
      <c r="D1" s="23" t="s">
        <v>29</v>
      </c>
      <c r="E1" s="23" t="s">
        <v>29</v>
      </c>
      <c r="F1" s="23" t="s">
        <v>29</v>
      </c>
      <c r="G1" s="23" t="s">
        <v>29</v>
      </c>
      <c r="H1" s="23" t="s">
        <v>29</v>
      </c>
      <c r="I1" s="23" t="s">
        <v>29</v>
      </c>
      <c r="J1" s="23" t="s">
        <v>29</v>
      </c>
      <c r="K1" s="23" t="s">
        <v>29</v>
      </c>
      <c r="L1" s="23" t="s">
        <v>29</v>
      </c>
      <c r="M1" s="23" t="s">
        <v>29</v>
      </c>
      <c r="N1" s="23" t="s">
        <v>29</v>
      </c>
      <c r="O1" s="23" t="s">
        <v>29</v>
      </c>
      <c r="Q1" s="24" t="s">
        <v>18</v>
      </c>
      <c r="R1" s="24" t="s">
        <v>16</v>
      </c>
      <c r="S1" s="24" t="s">
        <v>23</v>
      </c>
      <c r="T1" s="24" t="s">
        <v>22</v>
      </c>
      <c r="U1" s="24" t="s">
        <v>15</v>
      </c>
      <c r="V1" s="24" t="s">
        <v>21</v>
      </c>
      <c r="W1" s="24" t="s">
        <v>25</v>
      </c>
      <c r="X1" s="24" t="s">
        <v>37</v>
      </c>
      <c r="Y1" s="24" t="s">
        <v>38</v>
      </c>
    </row>
    <row r="2" spans="1:25" x14ac:dyDescent="0.25">
      <c r="A2" s="18" t="s">
        <v>1</v>
      </c>
      <c r="B2" s="33" t="s">
        <v>4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BIO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585.4</v>
      </c>
      <c r="V2" s="29" t="str">
        <f ca="1"/>
        <v>-0.0416161880750467</v>
      </c>
      <c r="W2" s="30" t="str">
        <f ca="1"/>
        <v>-215.276363768272</v>
      </c>
      <c r="X2" s="29" t="str">
        <f ca="1"/>
        <v>559.306617160424</v>
      </c>
      <c r="Y2" s="30" t="str">
        <f ca="1"/>
        <v>-0.122996254681648</v>
      </c>
    </row>
    <row r="3" spans="1:25" x14ac:dyDescent="0.25">
      <c r="A3" s="19" t="s">
        <v>3</v>
      </c>
      <c r="B3" s="20">
        <f ca="1">+B4-365*3</f>
        <v>44989</v>
      </c>
      <c r="Q3" s="25" t="str">
        <f ca="1"/>
        <v>BIO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651.6</v>
      </c>
      <c r="V3" s="29" t="str">
        <f ca="1"/>
        <v>0.0205551970630062</v>
      </c>
      <c r="W3" s="30" t="str">
        <f ca="1"/>
        <v>621.71385138053</v>
      </c>
      <c r="X3" s="30" t="str">
        <f ca="1"/>
        <v>831.500789469898</v>
      </c>
      <c r="Y3" s="30" t="str">
        <f ca="1"/>
        <v>0.113085070037581</v>
      </c>
    </row>
    <row r="4" spans="1:25" x14ac:dyDescent="0.25">
      <c r="A4" s="21" t="s">
        <v>2</v>
      </c>
      <c r="B4" s="22">
        <f ca="1">TODAY()</f>
        <v>46084</v>
      </c>
      <c r="Q4" s="25" t="str">
        <f ca="1"/>
        <v>BIO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653</v>
      </c>
      <c r="V4" s="29" t="str">
        <f ca="1"/>
        <v>0.00503440665261978</v>
      </c>
      <c r="W4" s="30" t="str">
        <f ca="1"/>
        <v>-155.207904103865</v>
      </c>
      <c r="X4" s="30" t="str">
        <f ca="1"/>
        <v>-228.161416575219</v>
      </c>
      <c r="Y4" s="30" t="str">
        <f ca="1"/>
        <v>0.00214855739717623</v>
      </c>
    </row>
    <row r="5" spans="1:25" x14ac:dyDescent="0.25">
      <c r="C5" s="14" t="s">
        <v>17</v>
      </c>
      <c r="D5" s="15">
        <f ca="1">EOMONTH(DATE(YEAR(D6),ROUNDUP(MONTH(D6)/3,0)*3,1),0)</f>
        <v>45016</v>
      </c>
      <c r="E5" s="15">
        <f ca="1">EOMONTH(DATE(YEAR(E6),ROUNDUP(MONTH(E6)/3,0)*3,1),0)</f>
        <v>45107</v>
      </c>
      <c r="F5" s="15">
        <f ca="1">EOMONTH(DATE(YEAR(F6),ROUNDUP(MONTH(F6)/3,0)*3,1),0)</f>
        <v>45199</v>
      </c>
      <c r="G5" s="15">
        <f t="shared" ref="G5:K5" ca="1" si="0">EOMONTH(DATE(YEAR(G6),ROUNDUP(MONTH(G6)/3,0)*3,1),0)</f>
        <v>45291</v>
      </c>
      <c r="H5" s="15">
        <f t="shared" ca="1" si="0"/>
        <v>45382</v>
      </c>
      <c r="I5" s="15">
        <f t="shared" ca="1" si="0"/>
        <v>45473</v>
      </c>
      <c r="J5" s="15">
        <f t="shared" ca="1" si="0"/>
        <v>45565</v>
      </c>
      <c r="K5" s="15">
        <f t="shared" ca="1" si="0"/>
        <v>45657</v>
      </c>
      <c r="L5" s="15">
        <f ca="1">EOMONTH(DATE(YEAR(L6),ROUNDUP(MONTH(L6)/3,0)*3,1),0)</f>
        <v>45747</v>
      </c>
      <c r="M5" s="15">
        <f ca="1">EOMONTH(DATE(YEAR(M6),ROUNDUP(MONTH(M6)/3,0)*3,1),0)</f>
        <v>45838</v>
      </c>
      <c r="N5" s="15">
        <f ca="1">EOMONTH(DATE(YEAR(N6),ROUNDUP(MONTH(N6)/3,0)*3,1),0)</f>
        <v>45930</v>
      </c>
      <c r="O5" s="15">
        <f ca="1">EOMONTH(DATE(YEAR(O6),ROUNDUP(MONTH(O6)/3,0)*3,1),0)</f>
        <v>46022</v>
      </c>
      <c r="Q5" s="25" t="str">
        <f ca="1"/>
        <v>BIO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693.2</v>
      </c>
      <c r="V5" s="29" t="str">
        <f ca="1"/>
        <v>0.0385018726591762</v>
      </c>
      <c r="W5" s="30" t="str">
        <f ca="1"/>
        <v>334.674660065564</v>
      </c>
      <c r="X5" s="30" t="str">
        <f ca="1"/>
        <v>585.904243573957</v>
      </c>
      <c r="Y5" s="30" t="str">
        <f ca="1"/>
        <v>0.0615620214395101</v>
      </c>
    </row>
    <row r="6" spans="1:25" x14ac:dyDescent="0.25">
      <c r="D6" s="16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BIO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52.272</v>
      </c>
      <c r="V6" s="30" t="str">
        <f ca="1"/>
        <v>-109.33</v>
      </c>
      <c r="W6" s="30" t="str">
        <f ca="1"/>
        <v/>
      </c>
      <c r="X6" s="30" t="str">
        <f ca="1"/>
        <v/>
      </c>
      <c r="Y6" s="30" t="str">
        <f ca="1"/>
        <v>1.036</v>
      </c>
    </row>
    <row r="7" spans="1:25" x14ac:dyDescent="0.25">
      <c r="A7" s="17" t="s">
        <v>14</v>
      </c>
      <c r="B7" s="17" t="s">
        <v>13</v>
      </c>
      <c r="C7" s="9" t="s">
        <v>0</v>
      </c>
      <c r="D7" s="12">
        <f ca="1"/>
        <v>676.84400000000005</v>
      </c>
      <c r="E7" s="12">
        <f ca="1"/>
        <v>681.11</v>
      </c>
      <c r="F7" s="12">
        <f ca="1"/>
        <v>632.12400000000002</v>
      </c>
      <c r="G7" s="12">
        <f ca="1"/>
        <v>681.18399999999997</v>
      </c>
      <c r="H7" s="12">
        <f ca="1"/>
        <v>610.82000000000005</v>
      </c>
      <c r="I7" s="12">
        <f ca="1"/>
        <v>638.476</v>
      </c>
      <c r="J7" s="12">
        <f ca="1"/>
        <v>649.72900000000004</v>
      </c>
      <c r="K7" s="12">
        <f ca="1"/>
        <v>667.5</v>
      </c>
      <c r="L7" s="12">
        <f ca="1"/>
        <v>585.4</v>
      </c>
      <c r="M7" s="12">
        <f ca="1"/>
        <v>651.6</v>
      </c>
      <c r="N7" s="12">
        <f ca="1"/>
        <v>653</v>
      </c>
      <c r="O7" s="3">
        <f ca="1"/>
        <v>693.2</v>
      </c>
      <c r="P7" s="1"/>
      <c r="Q7" s="25" t="str">
        <f ca="1"/>
        <v>BIO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52.9926</v>
      </c>
      <c r="V7" s="30" t="str">
        <f ca="1"/>
        <v>-262.719999999999</v>
      </c>
      <c r="W7" s="30" t="str">
        <f ca="1"/>
        <v/>
      </c>
      <c r="X7" s="30" t="str">
        <f ca="1"/>
        <v/>
      </c>
      <c r="Y7" s="30" t="str">
        <f ca="1"/>
        <v>0.720600000000005</v>
      </c>
    </row>
    <row r="8" spans="1:25" x14ac:dyDescent="0.25">
      <c r="C8" s="4" t="s">
        <v>5</v>
      </c>
      <c r="D8" s="5"/>
      <c r="E8" s="4"/>
      <c r="F8" s="4"/>
      <c r="G8" s="13"/>
      <c r="H8" s="13">
        <f t="shared" ref="H8:N8" ca="1" si="1">+H7/D7-1</f>
        <v>-9.7546849791089185E-2</v>
      </c>
      <c r="I8" s="13">
        <f t="shared" ca="1" si="1"/>
        <v>-6.2594881883983544E-2</v>
      </c>
      <c r="J8" s="13">
        <f t="shared" ca="1" si="1"/>
        <v>2.7850548310141665E-2</v>
      </c>
      <c r="K8" s="13">
        <f t="shared" ca="1" si="1"/>
        <v>-2.0088551698219548E-2</v>
      </c>
      <c r="L8" s="13">
        <f t="shared" ca="1" si="1"/>
        <v>-4.1616188075046745E-2</v>
      </c>
      <c r="M8" s="13">
        <f t="shared" ca="1" si="1"/>
        <v>2.0555197063006236E-2</v>
      </c>
      <c r="N8" s="13">
        <f t="shared" ca="1" si="1"/>
        <v>5.0344066526197828E-3</v>
      </c>
      <c r="O8" s="13">
        <f ca="1">+O7/K7-1</f>
        <v>3.8501872659176151E-2</v>
      </c>
      <c r="P8" s="3"/>
      <c r="Q8" s="25" t="str">
        <f ca="1"/>
        <v>BIO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52.5881</v>
      </c>
      <c r="V8" s="30" t="str">
        <f ca="1"/>
        <v>-218.9</v>
      </c>
      <c r="W8" s="30" t="str">
        <f ca="1"/>
        <v/>
      </c>
      <c r="X8" s="30" t="str">
        <f ca="1"/>
        <v/>
      </c>
      <c r="Y8" s="30" t="str">
        <f ca="1"/>
        <v>-0.404500000000006</v>
      </c>
    </row>
    <row r="9" spans="1:25" x14ac:dyDescent="0.25">
      <c r="C9" s="4" t="s">
        <v>24</v>
      </c>
      <c r="D9" s="1"/>
      <c r="L9" s="7">
        <f ca="1">(L8-K8)*10000</f>
        <v>-215.27636376827198</v>
      </c>
      <c r="M9" s="7">
        <f ca="1">(M8-L8)*10000</f>
        <v>621.71385138052983</v>
      </c>
      <c r="N9" s="7">
        <f ca="1">(N8-M8)*10000</f>
        <v>-155.20790410386454</v>
      </c>
      <c r="O9" s="7">
        <f ca="1">(O8-N8)*10000</f>
        <v>334.67466006556367</v>
      </c>
      <c r="Q9" s="23" t="str">
        <f ca="1"/>
        <v>BIO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49.798</v>
      </c>
      <c r="V9" s="30" t="str">
        <f ca="1"/>
        <v>-143.8</v>
      </c>
      <c r="W9" s="30" t="str">
        <f ca="1"/>
        <v/>
      </c>
      <c r="X9" s="30" t="str">
        <f ca="1"/>
        <v/>
      </c>
      <c r="Y9" s="30" t="str">
        <f ca="1"/>
        <v>-2.7901</v>
      </c>
    </row>
    <row r="10" spans="1:25" x14ac:dyDescent="0.25">
      <c r="C10" s="4" t="s">
        <v>36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559.30661716042437</v>
      </c>
      <c r="M10" s="7">
        <f ca="1">(M8-I8)*10000</f>
        <v>831.50078946989777</v>
      </c>
      <c r="N10" s="7">
        <f ca="1">(N8-J8)*10000</f>
        <v>-228.16141657521882</v>
      </c>
      <c r="O10" s="7">
        <f ca="1">(O8-K8)*10000</f>
        <v>585.90424357395693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BIO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4.0485</v>
      </c>
      <c r="V10" s="30" t="str">
        <f ca="1"/>
        <v>-327.08</v>
      </c>
      <c r="W10" s="30" t="str">
        <f ca="1"/>
        <v/>
      </c>
      <c r="X10" s="30" t="str">
        <f ca="1"/>
        <v/>
      </c>
      <c r="Y10" s="30" t="str">
        <f ca="1"/>
        <v>-4.7006</v>
      </c>
    </row>
    <row r="11" spans="1:25" x14ac:dyDescent="0.25">
      <c r="C11" s="4" t="s">
        <v>6</v>
      </c>
      <c r="D11" s="1"/>
      <c r="L11" s="13">
        <f t="shared" ref="L11:N11" ca="1" si="2">L7/K7-1</f>
        <v>-0.12299625468164799</v>
      </c>
      <c r="M11" s="13">
        <f t="shared" ca="1" si="2"/>
        <v>0.11308507003758117</v>
      </c>
      <c r="N11" s="13">
        <f t="shared" ca="1" si="2"/>
        <v>2.1485573971762317E-3</v>
      </c>
      <c r="O11" s="13">
        <f ca="1">O7/N7-1</f>
        <v>6.1562021439510062E-2</v>
      </c>
      <c r="Q11" s="25" t="str">
        <f ca="1"/>
        <v>BIO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11.8324</v>
      </c>
      <c r="V11" s="30" t="str">
        <f ca="1"/>
        <v>-406.42</v>
      </c>
      <c r="W11" s="30" t="str">
        <f ca="1"/>
        <v/>
      </c>
      <c r="X11" s="30" t="str">
        <f ca="1"/>
        <v/>
      </c>
      <c r="Y11" s="30" t="str">
        <f ca="1"/>
        <v>7.7839</v>
      </c>
    </row>
    <row r="12" spans="1:25" x14ac:dyDescent="0.25">
      <c r="Q12" s="25" t="str">
        <f ca="1"/>
        <v>BIO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10</v>
      </c>
      <c r="V12" s="30" t="str">
        <f ca="1"/>
        <v>7.79999999999994</v>
      </c>
      <c r="W12" s="30" t="str">
        <f ca="1"/>
        <v/>
      </c>
      <c r="X12" s="30" t="str">
        <f ca="1"/>
        <v/>
      </c>
      <c r="Y12" s="30" t="str">
        <f ca="1"/>
        <v>-1.8324</v>
      </c>
    </row>
    <row r="13" spans="1:25" x14ac:dyDescent="0.25">
      <c r="C13" s="14" t="s">
        <v>17</v>
      </c>
      <c r="D13" s="15">
        <f ca="1">EOMONTH(DATE(YEAR(D14),ROUNDUP(MONTH(D14)/3,0)*3,1),0)</f>
        <v>45016</v>
      </c>
      <c r="E13" s="15">
        <f ca="1">EOMONTH(DATE(YEAR(E14),ROUNDUP(MONTH(E14)/3,0)*3,1),0)</f>
        <v>45107</v>
      </c>
      <c r="F13" s="15">
        <f ca="1">EOMONTH(DATE(YEAR(F14),ROUNDUP(MONTH(F14)/3,0)*3,1),0)</f>
        <v>45199</v>
      </c>
      <c r="G13" s="15">
        <f t="shared" ref="G13:K13" ca="1" si="3">EOMONTH(DATE(YEAR(G14),ROUNDUP(MONTH(G14)/3,0)*3,1),0)</f>
        <v>45291</v>
      </c>
      <c r="H13" s="15">
        <f t="shared" ca="1" si="3"/>
        <v>45382</v>
      </c>
      <c r="I13" s="15">
        <f t="shared" ca="1" si="3"/>
        <v>45473</v>
      </c>
      <c r="J13" s="15">
        <f t="shared" ca="1" si="3"/>
        <v>45565</v>
      </c>
      <c r="K13" s="15">
        <f t="shared" ca="1" si="3"/>
        <v>45657</v>
      </c>
      <c r="L13" s="15">
        <f ca="1">EOMONTH(DATE(YEAR(L14),ROUNDUP(MONTH(L14)/3,0)*3,1),0)</f>
        <v>45747</v>
      </c>
      <c r="M13" s="15">
        <f ca="1">EOMONTH(DATE(YEAR(M14),ROUNDUP(MONTH(M14)/3,0)*3,1),0)</f>
        <v>45838</v>
      </c>
      <c r="N13" s="15">
        <f ca="1">EOMONTH(DATE(YEAR(N14),ROUNDUP(MONTH(N14)/3,0)*3,1),0)</f>
        <v>45930</v>
      </c>
      <c r="O13" s="15">
        <f ca="1">EOMONTH(DATE(YEAR(O14),ROUNDUP(MONTH(O14)/3,0)*3,1),0)</f>
        <v>46022</v>
      </c>
      <c r="Q13" s="25" t="str">
        <f ca="1"/>
        <v>BIO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-17.1523</v>
      </c>
      <c r="V13" s="30" t="str">
        <f ca="1"/>
        <v>-2590.14</v>
      </c>
      <c r="W13" s="30" t="str">
        <f ca="1"/>
        <v/>
      </c>
      <c r="X13" s="30" t="str">
        <f ca="1"/>
        <v/>
      </c>
      <c r="Y13" s="30" t="str">
        <f ca="1"/>
        <v>-27.1523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BIO US EQUITY</v>
      </c>
      <c r="R14" s="25">
        <v>45747</v>
      </c>
      <c r="S14" s="26" t="str">
        <v>custom</v>
      </c>
      <c r="T14" s="27" t="str">
        <v>currency_neutral_yoy</v>
      </c>
      <c r="U14" s="28" t="str">
        <v>-0.015</v>
      </c>
      <c r="V14" s="29" t="str">
        <v>810</v>
      </c>
      <c r="W14" s="30" t="str">
        <v/>
      </c>
      <c r="X14" s="29" t="str">
        <v/>
      </c>
      <c r="Y14" s="30" t="str">
        <v>-380</v>
      </c>
    </row>
    <row r="15" spans="1:25" x14ac:dyDescent="0.25">
      <c r="A15" s="17" t="s">
        <v>14</v>
      </c>
      <c r="B15" s="17" t="s">
        <v>19</v>
      </c>
      <c r="C15" s="9" t="s">
        <v>8</v>
      </c>
      <c r="D15" s="3">
        <f ca="1"/>
        <v>53.545099999999998</v>
      </c>
      <c r="E15" s="3">
        <f ca="1"/>
        <v>53.219499999999996</v>
      </c>
      <c r="F15" s="3">
        <f ca="1"/>
        <v>53.103999999999999</v>
      </c>
      <c r="G15" s="3">
        <f ca="1"/>
        <v>53.783299999999997</v>
      </c>
      <c r="H15" s="3">
        <f ca="1"/>
        <v>53.365299999999998</v>
      </c>
      <c r="I15" s="3">
        <f ca="1"/>
        <v>55.619799999999998</v>
      </c>
      <c r="J15" s="3">
        <f ca="1"/>
        <v>54.777099999999997</v>
      </c>
      <c r="K15" s="3">
        <f ca="1"/>
        <v>51.235999999999997</v>
      </c>
      <c r="L15" s="3">
        <f ca="1"/>
        <v>52.271999999999998</v>
      </c>
      <c r="M15" s="3">
        <f ca="1"/>
        <v>52.992600000000003</v>
      </c>
      <c r="N15" s="3">
        <f ca="1"/>
        <v>52.588099999999997</v>
      </c>
      <c r="O15">
        <f ca="1"/>
        <v>49.798000000000002</v>
      </c>
      <c r="Q15" s="25" t="str">
        <v>BIO US EQUITY</v>
      </c>
      <c r="R15" s="25">
        <v>45838</v>
      </c>
      <c r="S15" s="26" t="str">
        <v>custom</v>
      </c>
      <c r="T15" s="27" t="str">
        <v>currency_neutral_yoy</v>
      </c>
      <c r="U15" s="28" t="str">
        <v>0.01</v>
      </c>
      <c r="V15" s="29" t="str">
        <v>640</v>
      </c>
      <c r="W15" s="30" t="str">
        <v/>
      </c>
      <c r="X15" s="29" t="str">
        <v/>
      </c>
      <c r="Y15" s="30" t="str">
        <v>250</v>
      </c>
    </row>
    <row r="16" spans="1:25" x14ac:dyDescent="0.25">
      <c r="C16" s="4" t="s">
        <v>5</v>
      </c>
      <c r="D16" s="5"/>
      <c r="E16" s="4"/>
      <c r="F16" s="4"/>
      <c r="G16" s="4"/>
      <c r="H16" s="7">
        <f t="shared" ref="H16" ca="1" si="4">(H15-D15)*100</f>
        <v>-17.980000000000018</v>
      </c>
      <c r="I16" s="7">
        <f t="shared" ref="I16" ca="1" si="5">(I15-E15)*100</f>
        <v>240.03000000000014</v>
      </c>
      <c r="J16" s="7">
        <f t="shared" ref="J16" ca="1" si="6">(J15-F15)*100</f>
        <v>167.3099999999998</v>
      </c>
      <c r="K16" s="7">
        <f t="shared" ref="K16:N16" ca="1" si="7">(K15-G15)*100</f>
        <v>-254.73</v>
      </c>
      <c r="L16" s="7">
        <f t="shared" ca="1" si="7"/>
        <v>-109.32999999999993</v>
      </c>
      <c r="M16" s="7">
        <f t="shared" ca="1" si="7"/>
        <v>-262.71999999999946</v>
      </c>
      <c r="N16" s="7">
        <f t="shared" ca="1" si="7"/>
        <v>-218.9</v>
      </c>
      <c r="O16" s="7">
        <f ca="1">(O15-K15)*100</f>
        <v>-143.79999999999953</v>
      </c>
      <c r="Q16" s="25" t="str">
        <v>BIO US EQUITY</v>
      </c>
      <c r="R16" s="25">
        <v>45930</v>
      </c>
      <c r="S16" s="26" t="str">
        <v>custom</v>
      </c>
      <c r="T16" s="27" t="str">
        <v>currency_neutral_yoy</v>
      </c>
      <c r="U16" s="28" t="str">
        <v>-0.017</v>
      </c>
      <c r="V16" s="29" t="str">
        <v>-510</v>
      </c>
      <c r="W16" s="30" t="str">
        <v/>
      </c>
      <c r="X16" s="29" t="str">
        <v/>
      </c>
      <c r="Y16" s="30" t="str">
        <v>-270</v>
      </c>
    </row>
    <row r="17" spans="1:25" x14ac:dyDescent="0.25">
      <c r="C17" s="4" t="s">
        <v>24</v>
      </c>
      <c r="D17" s="1"/>
      <c r="K17" s="7"/>
      <c r="L17" s="7"/>
      <c r="M17" s="7"/>
      <c r="N17" s="7"/>
      <c r="O17" s="7"/>
      <c r="Q17" s="25" t="str">
        <v>BIO US EQUITY</v>
      </c>
      <c r="R17" s="25">
        <v>46022</v>
      </c>
      <c r="S17" s="26" t="str">
        <v>custom</v>
      </c>
      <c r="T17" s="27" t="str">
        <v>currency_neutral_yoy</v>
      </c>
      <c r="U17" s="28" t="str">
        <v>0.017</v>
      </c>
      <c r="V17" s="29" t="str">
        <v>-60</v>
      </c>
      <c r="W17" s="30" t="str">
        <v/>
      </c>
      <c r="X17" s="29" t="str">
        <v/>
      </c>
      <c r="Y17" s="30" t="str">
        <v>340</v>
      </c>
    </row>
    <row r="18" spans="1:25" x14ac:dyDescent="0.25">
      <c r="C18" s="4" t="s">
        <v>36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BIO US EQUITY</v>
      </c>
      <c r="R18" s="25">
        <v>45747</v>
      </c>
      <c r="S18" s="26" t="str">
        <v>custom</v>
      </c>
      <c r="T18" s="27" t="str">
        <v>life_sciences_currency_neutral_yoy</v>
      </c>
      <c r="U18" s="28" t="str">
        <v>-0.035</v>
      </c>
      <c r="V18" s="29" t="str">
        <v>2170</v>
      </c>
      <c r="W18" s="30" t="str">
        <v/>
      </c>
      <c r="X18" s="29" t="str">
        <v/>
      </c>
      <c r="Y18" s="30" t="str">
        <v>250</v>
      </c>
    </row>
    <row r="19" spans="1:25" x14ac:dyDescent="0.25">
      <c r="C19" s="4" t="s">
        <v>6</v>
      </c>
      <c r="D19" s="1"/>
      <c r="K19" s="7"/>
      <c r="L19" s="7">
        <f ca="1">L15-K15</f>
        <v>1.0360000000000014</v>
      </c>
      <c r="M19" s="7">
        <f t="shared" ref="M19:O19" ca="1" si="8">M15-L15</f>
        <v>0.72060000000000457</v>
      </c>
      <c r="N19" s="7">
        <f t="shared" ca="1" si="8"/>
        <v>-0.40450000000000585</v>
      </c>
      <c r="O19" s="7">
        <f t="shared" ca="1" si="8"/>
        <v>-2.7900999999999954</v>
      </c>
      <c r="Q19" s="25" t="str">
        <v>BIO US EQUITY</v>
      </c>
      <c r="R19" s="25">
        <v>45838</v>
      </c>
      <c r="S19" s="26" t="str">
        <v>custom</v>
      </c>
      <c r="T19" s="27" t="str">
        <v>life_sciences_currency_neutral_yoy</v>
      </c>
      <c r="U19" s="28" t="str">
        <v>0.038</v>
      </c>
      <c r="V19" s="29" t="str">
        <v>1970</v>
      </c>
      <c r="W19" s="30" t="str">
        <v/>
      </c>
      <c r="X19" s="29" t="str">
        <v/>
      </c>
      <c r="Y19" s="30" t="str">
        <v>730</v>
      </c>
    </row>
    <row r="20" spans="1:25" x14ac:dyDescent="0.25">
      <c r="Q20" s="25" t="str">
        <v>BIO US EQUITY</v>
      </c>
      <c r="R20" s="25">
        <v>45930</v>
      </c>
      <c r="S20" s="26" t="str">
        <v>custom</v>
      </c>
      <c r="T20" s="27" t="str">
        <v>life_sciences_currency_neutral_yoy</v>
      </c>
      <c r="U20" s="28" t="str">
        <v>-0.015</v>
      </c>
      <c r="V20" s="29" t="str">
        <v>-150</v>
      </c>
      <c r="W20" s="30" t="str">
        <v/>
      </c>
      <c r="X20" s="29" t="str">
        <v/>
      </c>
      <c r="Y20" s="30" t="str">
        <v>-530</v>
      </c>
    </row>
    <row r="21" spans="1:25" x14ac:dyDescent="0.25">
      <c r="C21" s="14" t="s">
        <v>17</v>
      </c>
      <c r="D21" s="15">
        <f ca="1">EOMONTH(DATE(YEAR(D22),ROUNDUP(MONTH(D22)/3,0)*3,1),0)</f>
        <v>45016</v>
      </c>
      <c r="E21" s="15">
        <f ca="1">EOMONTH(DATE(YEAR(E22),ROUNDUP(MONTH(E22)/3,0)*3,1),0)</f>
        <v>45107</v>
      </c>
      <c r="F21" s="15">
        <f ca="1">EOMONTH(DATE(YEAR(F22),ROUNDUP(MONTH(F22)/3,0)*3,1),0)</f>
        <v>45199</v>
      </c>
      <c r="G21" s="15">
        <f t="shared" ref="G21:K21" ca="1" si="9">EOMONTH(DATE(YEAR(G22),ROUNDUP(MONTH(G22)/3,0)*3,1),0)</f>
        <v>45291</v>
      </c>
      <c r="H21" s="15">
        <f t="shared" ca="1" si="9"/>
        <v>45382</v>
      </c>
      <c r="I21" s="15">
        <f t="shared" ca="1" si="9"/>
        <v>45473</v>
      </c>
      <c r="J21" s="15">
        <f t="shared" ca="1" si="9"/>
        <v>45565</v>
      </c>
      <c r="K21" s="15">
        <f t="shared" ca="1" si="9"/>
        <v>45657</v>
      </c>
      <c r="L21" s="15">
        <f ca="1">EOMONTH(DATE(YEAR(L22),ROUNDUP(MONTH(L22)/3,0)*3,1),0)</f>
        <v>45747</v>
      </c>
      <c r="M21" s="15">
        <f ca="1">EOMONTH(DATE(YEAR(M22),ROUNDUP(MONTH(M22)/3,0)*3,1),0)</f>
        <v>45838</v>
      </c>
      <c r="N21" s="15">
        <f ca="1">EOMONTH(DATE(YEAR(N22),ROUNDUP(MONTH(N22)/3,0)*3,1),0)</f>
        <v>45930</v>
      </c>
      <c r="O21" s="15">
        <f ca="1">EOMONTH(DATE(YEAR(O22),ROUNDUP(MONTH(O22)/3,0)*3,1),0)</f>
        <v>46022</v>
      </c>
      <c r="Q21" s="25" t="str">
        <v>BIO US EQUITY</v>
      </c>
      <c r="R21" s="25">
        <v>46022</v>
      </c>
      <c r="S21" s="26" t="str">
        <v>custom</v>
      </c>
      <c r="T21" s="27" t="str">
        <v>life_sciences_currency_neutral_yoy</v>
      </c>
      <c r="U21" s="28" t="str">
        <v>-0.04</v>
      </c>
      <c r="V21" s="29" t="str">
        <v>200</v>
      </c>
      <c r="W21" s="30" t="str">
        <v/>
      </c>
      <c r="X21" s="29" t="str">
        <v/>
      </c>
      <c r="Y21" s="30" t="str">
        <v>-250</v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BIO US EQUITY</v>
      </c>
      <c r="R22" s="25">
        <v>45747</v>
      </c>
      <c r="S22" s="26" t="str">
        <v>custom</v>
      </c>
      <c r="T22" s="27" t="str">
        <v>clinical_diagnostics_currency_neutral_yoy</v>
      </c>
      <c r="U22" s="28" t="str">
        <v>0</v>
      </c>
      <c r="V22" s="29" t="str">
        <v>-480</v>
      </c>
      <c r="W22" s="30" t="str">
        <v/>
      </c>
      <c r="X22" s="29" t="str">
        <v/>
      </c>
      <c r="Y22" s="30" t="str">
        <v>-70</v>
      </c>
    </row>
    <row r="23" spans="1:25" x14ac:dyDescent="0.25">
      <c r="A23" s="17" t="s">
        <v>14</v>
      </c>
      <c r="B23" s="17" t="s">
        <v>20</v>
      </c>
      <c r="C23" s="9" t="s">
        <v>9</v>
      </c>
      <c r="D23" s="3">
        <f ca="1"/>
        <v>9.1472999999999995</v>
      </c>
      <c r="E23" s="3">
        <f ca="1"/>
        <v>13.157500000000001</v>
      </c>
      <c r="F23" s="3">
        <f ca="1"/>
        <v>14.3878</v>
      </c>
      <c r="G23" s="3">
        <f ca="1"/>
        <v>13.992800000000001</v>
      </c>
      <c r="H23" s="3">
        <f ca="1"/>
        <v>7.3193000000000001</v>
      </c>
      <c r="I23" s="3">
        <f ca="1"/>
        <v>15.896599999999999</v>
      </c>
      <c r="J23" s="3">
        <f ca="1"/>
        <v>9.9220000000000006</v>
      </c>
      <c r="K23" s="3">
        <f ca="1"/>
        <v>8.7491000000000003</v>
      </c>
      <c r="L23" s="3">
        <f ca="1"/>
        <v>4.0484999999999998</v>
      </c>
      <c r="M23" s="3">
        <f ca="1"/>
        <v>11.8324</v>
      </c>
      <c r="N23" s="3">
        <f ca="1"/>
        <v>10</v>
      </c>
      <c r="O23">
        <f ca="1"/>
        <v>-17.1523</v>
      </c>
      <c r="Q23" s="25" t="str">
        <v>BIO US EQUITY</v>
      </c>
      <c r="R23" s="25">
        <v>45838</v>
      </c>
      <c r="S23" s="26" t="str">
        <v>custom</v>
      </c>
      <c r="T23" s="27" t="str">
        <v>clinical_diagnostics_currency_neutral_yoy</v>
      </c>
      <c r="U23" s="28" t="str">
        <v>-0.007</v>
      </c>
      <c r="V23" s="29" t="str">
        <v>-390</v>
      </c>
      <c r="W23" s="30" t="str">
        <v/>
      </c>
      <c r="X23" s="29" t="str">
        <v/>
      </c>
      <c r="Y23" s="30" t="str">
        <v>-70</v>
      </c>
    </row>
    <row r="24" spans="1:25" x14ac:dyDescent="0.25">
      <c r="C24" s="4" t="s">
        <v>5</v>
      </c>
      <c r="D24" s="5"/>
      <c r="E24" s="4"/>
      <c r="F24" s="4"/>
      <c r="G24" s="4"/>
      <c r="H24" s="7">
        <f t="shared" ref="H24" ca="1" si="10">(H23-D23)*100</f>
        <v>-182.79999999999995</v>
      </c>
      <c r="I24" s="7">
        <f t="shared" ref="I24" ca="1" si="11">(I23-E23)*100</f>
        <v>273.90999999999985</v>
      </c>
      <c r="J24" s="7">
        <f t="shared" ref="J24" ca="1" si="12">(J23-F23)*100</f>
        <v>-446.58</v>
      </c>
      <c r="K24" s="7">
        <f t="shared" ref="K24" ca="1" si="13">(K23-G23)*100</f>
        <v>-524.37</v>
      </c>
      <c r="L24" s="7">
        <f t="shared" ref="L24" ca="1" si="14">(L23-H23)*100</f>
        <v>-327.08000000000004</v>
      </c>
      <c r="M24" s="7">
        <f t="shared" ref="M24" ca="1" si="15">(M23-I23)*100</f>
        <v>-406.41999999999996</v>
      </c>
      <c r="N24" s="7">
        <f t="shared" ref="N24" ca="1" si="16">(N23-J23)*100</f>
        <v>7.7999999999999403</v>
      </c>
      <c r="O24" s="7">
        <f ca="1">(O23-K23)*100</f>
        <v>-2590.1400000000003</v>
      </c>
      <c r="Q24" s="25" t="str">
        <v>BIO US EQUITY</v>
      </c>
      <c r="R24" s="25">
        <v>45930</v>
      </c>
      <c r="S24" s="26" t="str">
        <v>custom</v>
      </c>
      <c r="T24" s="27" t="str">
        <v>clinical_diagnostics_currency_neutral_yoy</v>
      </c>
      <c r="U24" s="28" t="str">
        <v>-0.018</v>
      </c>
      <c r="V24" s="29" t="str">
        <v>-820</v>
      </c>
      <c r="W24" s="30" t="str">
        <v/>
      </c>
      <c r="X24" s="29" t="str">
        <v/>
      </c>
      <c r="Y24" s="30" t="str">
        <v>-110</v>
      </c>
    </row>
    <row r="25" spans="1:25" x14ac:dyDescent="0.25">
      <c r="C25" s="4" t="s">
        <v>24</v>
      </c>
      <c r="D25" s="1"/>
      <c r="K25" s="7"/>
      <c r="L25" s="7"/>
      <c r="M25" s="7"/>
      <c r="N25" s="7"/>
      <c r="O25" s="7"/>
      <c r="Q25" s="25" t="str">
        <v>BIO US EQUITY</v>
      </c>
      <c r="R25" s="25">
        <v>46022</v>
      </c>
      <c r="S25" s="26" t="str">
        <v>custom</v>
      </c>
      <c r="T25" s="27" t="str">
        <v>clinical_diagnostics_currency_neutral_yoy</v>
      </c>
      <c r="U25" s="28" t="str">
        <v>0.056</v>
      </c>
      <c r="V25" s="29" t="str">
        <v>490</v>
      </c>
      <c r="W25" s="30" t="str">
        <v/>
      </c>
      <c r="X25" s="29" t="str">
        <v/>
      </c>
      <c r="Y25" s="30" t="str">
        <v>740</v>
      </c>
    </row>
    <row r="26" spans="1:25" x14ac:dyDescent="0.25">
      <c r="C26" s="4" t="s">
        <v>36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25" x14ac:dyDescent="0.25">
      <c r="C27" s="4" t="s">
        <v>6</v>
      </c>
      <c r="D27" s="1"/>
      <c r="K27" s="7"/>
      <c r="L27" s="7">
        <f ca="1">L23-K23</f>
        <v>-4.7006000000000006</v>
      </c>
      <c r="M27" s="7">
        <f t="shared" ref="M27:O27" ca="1" si="17">M23-L23</f>
        <v>7.7839</v>
      </c>
      <c r="N27" s="7">
        <f t="shared" ca="1" si="17"/>
        <v>-1.8323999999999998</v>
      </c>
      <c r="O27" s="7">
        <f t="shared" ca="1" si="17"/>
        <v>-27.1523</v>
      </c>
    </row>
    <row r="28" spans="1:25" x14ac:dyDescent="0.25">
      <c r="C28" s="4"/>
      <c r="D28" s="1"/>
      <c r="L28" s="7"/>
      <c r="M28" s="7"/>
      <c r="N28" s="7"/>
      <c r="O28" s="7"/>
    </row>
    <row r="29" spans="1:25" x14ac:dyDescent="0.25">
      <c r="C29" s="14" t="s">
        <v>17</v>
      </c>
      <c r="D29" s="15"/>
      <c r="E29" s="15"/>
      <c r="F29" s="15"/>
      <c r="G29" s="15">
        <f t="shared" ref="G29" si="18">EOMONTH(DATE(YEAR(G30),ROUNDUP(MONTH(G30)/3,0)*3,1),0)</f>
        <v>45291</v>
      </c>
      <c r="H29" s="15">
        <f t="shared" ref="H29" si="19">EOMONTH(DATE(YEAR(H30),ROUNDUP(MONTH(H30)/3,0)*3,1),0)</f>
        <v>45382</v>
      </c>
      <c r="I29" s="15">
        <f t="shared" ref="I29:J29" si="20">EOMONTH(DATE(YEAR(I30),ROUNDUP(MONTH(I30)/3,0)*3,1),0)</f>
        <v>45473</v>
      </c>
      <c r="J29" s="15">
        <f t="shared" si="20"/>
        <v>45565</v>
      </c>
      <c r="K29" s="15">
        <f>EOMONTH(DATE(YEAR(K30),ROUNDUP(MONTH(K30)/3,0)*3,1),0)</f>
        <v>45657</v>
      </c>
      <c r="L29" s="15">
        <f>EOMONTH(DATE(YEAR(L30),ROUNDUP(MONTH(L30)/3,0)*3,1),0)</f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</row>
    <row r="30" spans="1:25" x14ac:dyDescent="0.25">
      <c r="C30" s="2" t="s">
        <v>17</v>
      </c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</row>
    <row r="31" spans="1:25" x14ac:dyDescent="0.25">
      <c r="A31" s="17" t="s">
        <v>26</v>
      </c>
      <c r="B31" s="17" t="s">
        <v>27</v>
      </c>
      <c r="C31" s="9" t="s">
        <v>28</v>
      </c>
      <c r="D31" s="8"/>
      <c r="E31" s="8"/>
      <c r="F31" s="8"/>
      <c r="G31" s="8">
        <v>-7.6999999999999999E-2</v>
      </c>
      <c r="H31" s="8">
        <v>-9.6000000000000002E-2</v>
      </c>
      <c r="I31" s="8">
        <v>-5.3999999999999999E-2</v>
      </c>
      <c r="J31" s="8">
        <v>3.4000000000000002E-2</v>
      </c>
      <c r="K31" s="8">
        <v>2.3E-2</v>
      </c>
      <c r="L31" s="8">
        <v>-1.4999999999999999E-2</v>
      </c>
      <c r="M31" s="8">
        <v>0.01</v>
      </c>
      <c r="N31" s="8">
        <v>-1.7000000000000001E-2</v>
      </c>
      <c r="O31" s="8">
        <v>1.7000000000000001E-2</v>
      </c>
    </row>
    <row r="32" spans="1:25" x14ac:dyDescent="0.2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21">(K31-G31)*100</f>
        <v>10</v>
      </c>
      <c r="L32" s="7">
        <f t="shared" ref="L32:N32" si="22">(L31-H31)*10000</f>
        <v>810</v>
      </c>
      <c r="M32" s="7">
        <f t="shared" si="22"/>
        <v>640</v>
      </c>
      <c r="N32" s="7">
        <f t="shared" si="22"/>
        <v>-510.00000000000006</v>
      </c>
      <c r="O32" s="7">
        <f>(O31-K31)*10000</f>
        <v>-59.999999999999986</v>
      </c>
    </row>
    <row r="33" spans="1:24" x14ac:dyDescent="0.25">
      <c r="C33" s="4" t="s">
        <v>24</v>
      </c>
      <c r="D33" s="1"/>
      <c r="K33" s="7"/>
      <c r="L33" s="7"/>
      <c r="M33" s="7"/>
      <c r="N33" s="7"/>
      <c r="O33" s="7"/>
    </row>
    <row r="34" spans="1:24" x14ac:dyDescent="0.25">
      <c r="C34" s="4" t="s">
        <v>36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4" x14ac:dyDescent="0.25">
      <c r="C35" s="4" t="s">
        <v>6</v>
      </c>
      <c r="D35" s="1"/>
      <c r="K35" s="7"/>
      <c r="L35" s="7">
        <f>(L31-K31)*10000</f>
        <v>-380</v>
      </c>
      <c r="M35" s="7">
        <f t="shared" ref="M35:O35" si="23">(M31-L31)*10000</f>
        <v>250</v>
      </c>
      <c r="N35" s="7">
        <f t="shared" si="23"/>
        <v>-270.00000000000006</v>
      </c>
      <c r="O35" s="7">
        <f t="shared" si="23"/>
        <v>340</v>
      </c>
    </row>
    <row r="36" spans="1:24" x14ac:dyDescent="0.25">
      <c r="C36" s="4"/>
      <c r="D36" s="1"/>
      <c r="G36" s="1"/>
    </row>
    <row r="37" spans="1:24" x14ac:dyDescent="0.25">
      <c r="C37" s="14" t="s">
        <v>17</v>
      </c>
      <c r="D37" s="15"/>
      <c r="E37" s="15"/>
      <c r="F37" s="15"/>
      <c r="G37" s="15">
        <f t="shared" ref="G37" si="24">EOMONTH(DATE(YEAR(G38),ROUNDUP(MONTH(G38)/3,0)*3,1),0)</f>
        <v>45291</v>
      </c>
      <c r="H37" s="15">
        <f t="shared" ref="H37" si="25">EOMONTH(DATE(YEAR(H38),ROUNDUP(MONTH(H38)/3,0)*3,1),0)</f>
        <v>45382</v>
      </c>
      <c r="I37" s="15">
        <f t="shared" ref="I37:J37" si="26">EOMONTH(DATE(YEAR(I38),ROUNDUP(MONTH(I38)/3,0)*3,1),0)</f>
        <v>45473</v>
      </c>
      <c r="J37" s="15">
        <f t="shared" si="26"/>
        <v>45565</v>
      </c>
      <c r="K37" s="15">
        <f>EOMONTH(DATE(YEAR(K38),ROUNDUP(MONTH(K38)/3,0)*3,1),0)</f>
        <v>45657</v>
      </c>
      <c r="L37" s="15">
        <f>EOMONTH(DATE(YEAR(L38),ROUNDUP(MONTH(L38)/3,0)*3,1),0)</f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4" x14ac:dyDescent="0.25">
      <c r="C38" s="2" t="s">
        <v>17</v>
      </c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4" x14ac:dyDescent="0.25">
      <c r="A39" s="17" t="s">
        <v>26</v>
      </c>
      <c r="B39" s="17" t="s">
        <v>31</v>
      </c>
      <c r="C39" s="9" t="s">
        <v>31</v>
      </c>
      <c r="D39" s="8"/>
      <c r="E39" s="8"/>
      <c r="F39" s="8"/>
      <c r="G39" s="8">
        <v>-0.19900000000000001</v>
      </c>
      <c r="H39" s="8">
        <v>-0.252</v>
      </c>
      <c r="I39" s="8">
        <v>-0.159</v>
      </c>
      <c r="J39" s="8">
        <v>0</v>
      </c>
      <c r="K39" s="8">
        <v>-0.06</v>
      </c>
      <c r="L39" s="8">
        <v>-3.5000000000000003E-2</v>
      </c>
      <c r="M39" s="8">
        <v>3.7999999999999999E-2</v>
      </c>
      <c r="N39" s="8">
        <v>-1.4999999999999999E-2</v>
      </c>
      <c r="O39" s="8">
        <v>-0.04</v>
      </c>
    </row>
    <row r="40" spans="1:24" x14ac:dyDescent="0.2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27">(K39-G39)*100</f>
        <v>13.900000000000002</v>
      </c>
      <c r="L40" s="7">
        <f t="shared" ref="L40" si="28">(L39-H39)*10000</f>
        <v>2170</v>
      </c>
      <c r="M40" s="7">
        <f t="shared" ref="M40" si="29">(M39-I39)*10000</f>
        <v>1970</v>
      </c>
      <c r="N40" s="7">
        <f t="shared" ref="N40" si="30">(N39-J39)*10000</f>
        <v>-150</v>
      </c>
      <c r="O40" s="7">
        <f>(O39-K39)*10000</f>
        <v>199.99999999999997</v>
      </c>
    </row>
    <row r="41" spans="1:24" x14ac:dyDescent="0.25">
      <c r="C41" s="4" t="s">
        <v>24</v>
      </c>
      <c r="D41" s="1"/>
      <c r="K41" s="7"/>
      <c r="L41" s="7"/>
      <c r="M41" s="7"/>
      <c r="N41" s="7"/>
      <c r="O41" s="7"/>
    </row>
    <row r="42" spans="1:24" x14ac:dyDescent="0.25">
      <c r="C42" s="4" t="s">
        <v>36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4" x14ac:dyDescent="0.25">
      <c r="C43" s="4" t="s">
        <v>6</v>
      </c>
      <c r="D43" s="1"/>
      <c r="K43" s="7"/>
      <c r="L43" s="7">
        <f>(L39-K39)*10000</f>
        <v>249.99999999999994</v>
      </c>
      <c r="M43" s="7">
        <f t="shared" ref="M43:O43" si="31">(M39-L39)*10000</f>
        <v>730.00000000000011</v>
      </c>
      <c r="N43" s="7">
        <f t="shared" si="31"/>
        <v>-530</v>
      </c>
      <c r="O43" s="7">
        <f t="shared" si="31"/>
        <v>-250</v>
      </c>
    </row>
    <row r="44" spans="1:24" x14ac:dyDescent="0.25">
      <c r="C44" s="4"/>
      <c r="D44" s="1"/>
      <c r="G44" s="1"/>
    </row>
    <row r="45" spans="1:24" x14ac:dyDescent="0.25">
      <c r="C45" s="14" t="s">
        <v>17</v>
      </c>
      <c r="D45" s="15"/>
      <c r="E45" s="15"/>
      <c r="F45" s="15"/>
      <c r="G45" s="15">
        <f t="shared" ref="G45" si="32">EOMONTH(DATE(YEAR(G46),ROUNDUP(MONTH(G46)/3,0)*3,1),0)</f>
        <v>45291</v>
      </c>
      <c r="H45" s="15">
        <f t="shared" ref="H45" si="33">EOMONTH(DATE(YEAR(H46),ROUNDUP(MONTH(H46)/3,0)*3,1),0)</f>
        <v>45382</v>
      </c>
      <c r="I45" s="15">
        <f t="shared" ref="I45:J45" si="34">EOMONTH(DATE(YEAR(I46),ROUNDUP(MONTH(I46)/3,0)*3,1),0)</f>
        <v>45473</v>
      </c>
      <c r="J45" s="15">
        <f t="shared" si="34"/>
        <v>45565</v>
      </c>
      <c r="K45" s="15">
        <f>EOMONTH(DATE(YEAR(K46),ROUNDUP(MONTH(K46)/3,0)*3,1),0)</f>
        <v>45657</v>
      </c>
      <c r="L45" s="15">
        <f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  <c r="Q45" s="1"/>
      <c r="T45" s="12"/>
      <c r="U45" s="13"/>
      <c r="V45" s="7"/>
      <c r="W45" s="13"/>
      <c r="X45" s="7"/>
    </row>
    <row r="46" spans="1:24" x14ac:dyDescent="0.25">
      <c r="C46" s="2" t="s">
        <v>17</v>
      </c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  <c r="Q46" s="1"/>
      <c r="T46" s="12"/>
      <c r="U46" s="13"/>
      <c r="V46" s="7"/>
      <c r="W46" s="13"/>
      <c r="X46" s="7"/>
    </row>
    <row r="47" spans="1:24" x14ac:dyDescent="0.25">
      <c r="A47" s="17" t="s">
        <v>26</v>
      </c>
      <c r="B47" s="17" t="s">
        <v>30</v>
      </c>
      <c r="C47" s="9" t="s">
        <v>30</v>
      </c>
      <c r="D47" s="8"/>
      <c r="E47" s="8"/>
      <c r="F47" s="8"/>
      <c r="G47" s="8">
        <v>4.2000000000000003E-2</v>
      </c>
      <c r="H47" s="8">
        <v>4.8000000000000001E-2</v>
      </c>
      <c r="I47" s="8">
        <v>3.2000000000000001E-2</v>
      </c>
      <c r="J47" s="8">
        <v>6.4000000000000001E-2</v>
      </c>
      <c r="K47" s="8">
        <v>7.0000000000000001E-3</v>
      </c>
      <c r="L47" s="8">
        <v>0</v>
      </c>
      <c r="M47" s="8">
        <v>-7.0000000000000001E-3</v>
      </c>
      <c r="N47" s="8">
        <v>-1.7999999999999999E-2</v>
      </c>
      <c r="O47" s="8">
        <v>5.6000000000000001E-2</v>
      </c>
      <c r="Q47" s="1"/>
      <c r="T47" s="12"/>
      <c r="U47" s="13"/>
      <c r="V47" s="7"/>
      <c r="W47" s="13"/>
      <c r="X47" s="7"/>
    </row>
    <row r="48" spans="1:24" x14ac:dyDescent="0.2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35">(K47-G47)*100</f>
        <v>-3.5000000000000004</v>
      </c>
      <c r="L48" s="7">
        <f t="shared" ref="L48" si="36">(L47-H47)*10000</f>
        <v>-480</v>
      </c>
      <c r="M48" s="7">
        <f t="shared" ref="M48" si="37">(M47-I47)*10000</f>
        <v>-390</v>
      </c>
      <c r="N48" s="7">
        <f t="shared" ref="N48" si="38">(N47-J47)*10000</f>
        <v>-820</v>
      </c>
      <c r="O48" s="7">
        <f>(O47-K47)*10000</f>
        <v>490</v>
      </c>
    </row>
    <row r="49" spans="3:15" x14ac:dyDescent="0.25">
      <c r="C49" s="4" t="s">
        <v>24</v>
      </c>
      <c r="D49" s="1"/>
      <c r="K49" s="7"/>
      <c r="L49" s="7"/>
      <c r="M49" s="7"/>
      <c r="N49" s="7"/>
      <c r="O49" s="7"/>
    </row>
    <row r="50" spans="3:15" x14ac:dyDescent="0.25">
      <c r="C50" s="4" t="s">
        <v>36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5" x14ac:dyDescent="0.25">
      <c r="C51" s="4" t="s">
        <v>6</v>
      </c>
      <c r="D51" s="1"/>
      <c r="K51" s="7"/>
      <c r="L51" s="7">
        <f>(L47-K47)*10000</f>
        <v>-70</v>
      </c>
      <c r="M51" s="7">
        <f t="shared" ref="M51:O51" si="39">(M47-L47)*10000</f>
        <v>-70</v>
      </c>
      <c r="N51" s="7">
        <f t="shared" si="39"/>
        <v>-110</v>
      </c>
      <c r="O51" s="7">
        <f t="shared" si="39"/>
        <v>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2A81-9801-4311-A029-BC8B3E4B1E08}">
  <dimension ref="A1:Y44"/>
  <sheetViews>
    <sheetView topLeftCell="A4" zoomScale="85" zoomScaleNormal="85" workbookViewId="0">
      <selection activeCell="O17" sqref="O1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7" width="10.140625" customWidth="1"/>
    <col min="8" max="9" width="9.42578125" bestFit="1" customWidth="1"/>
    <col min="10" max="10" width="10.42578125" bestFit="1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3" t="s">
        <v>29</v>
      </c>
      <c r="B1" s="23" t="s">
        <v>29</v>
      </c>
      <c r="C1" s="23" t="s">
        <v>29</v>
      </c>
      <c r="D1" s="23" t="s">
        <v>29</v>
      </c>
      <c r="E1" s="23" t="s">
        <v>29</v>
      </c>
      <c r="F1" s="23" t="s">
        <v>29</v>
      </c>
      <c r="G1" s="23" t="s">
        <v>29</v>
      </c>
      <c r="H1" s="23" t="s">
        <v>29</v>
      </c>
      <c r="I1" s="23" t="s">
        <v>29</v>
      </c>
      <c r="J1" s="23" t="s">
        <v>29</v>
      </c>
      <c r="K1" s="23" t="s">
        <v>29</v>
      </c>
      <c r="L1" s="23" t="s">
        <v>29</v>
      </c>
      <c r="M1" s="23" t="s">
        <v>29</v>
      </c>
      <c r="N1" s="23" t="s">
        <v>29</v>
      </c>
      <c r="O1" s="23" t="s">
        <v>29</v>
      </c>
      <c r="Q1" s="24" t="s">
        <v>18</v>
      </c>
      <c r="R1" s="24" t="s">
        <v>16</v>
      </c>
      <c r="S1" s="24" t="s">
        <v>23</v>
      </c>
      <c r="T1" s="24" t="s">
        <v>22</v>
      </c>
      <c r="U1" s="24" t="s">
        <v>15</v>
      </c>
      <c r="V1" s="24" t="s">
        <v>21</v>
      </c>
      <c r="W1" s="24" t="s">
        <v>25</v>
      </c>
      <c r="X1" s="24" t="s">
        <v>37</v>
      </c>
      <c r="Y1" s="24" t="s">
        <v>38</v>
      </c>
    </row>
    <row r="2" spans="1:25" x14ac:dyDescent="0.25">
      <c r="A2" s="18" t="s">
        <v>1</v>
      </c>
      <c r="B2" s="33" t="s">
        <v>7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DGX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2652</v>
      </c>
      <c r="V2" s="29" t="str">
        <f ca="1"/>
        <v>0.120879120879121</v>
      </c>
      <c r="W2" s="30" t="str">
        <f ca="1"/>
        <v>-246.628371628372</v>
      </c>
      <c r="X2" s="29" t="str">
        <f ca="1"/>
        <v>1058.64105864106</v>
      </c>
      <c r="Y2" s="30" t="str">
        <f ca="1"/>
        <v>0.0118275467378863</v>
      </c>
    </row>
    <row r="3" spans="1:25" x14ac:dyDescent="0.25">
      <c r="A3" s="19" t="s">
        <v>3</v>
      </c>
      <c r="B3" s="20">
        <f ca="1">+B4-365*3</f>
        <v>44989</v>
      </c>
      <c r="Q3" s="25" t="str">
        <f ca="1"/>
        <v>DGX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2761</v>
      </c>
      <c r="V3" s="29" t="str">
        <f ca="1"/>
        <v>0.151856487275761</v>
      </c>
      <c r="W3" s="30" t="str">
        <f ca="1"/>
        <v>309.773663966404</v>
      </c>
      <c r="X3" s="30" t="str">
        <f ca="1"/>
        <v>1266.21243477643</v>
      </c>
      <c r="Y3" s="30" t="str">
        <f ca="1"/>
        <v>0.0411010558069382</v>
      </c>
    </row>
    <row r="4" spans="1:25" x14ac:dyDescent="0.25">
      <c r="A4" s="21" t="s">
        <v>2</v>
      </c>
      <c r="B4" s="22">
        <f ca="1">TODAY()</f>
        <v>46084</v>
      </c>
      <c r="Q4" s="25" t="str">
        <f ca="1"/>
        <v>DGX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2816</v>
      </c>
      <c r="V4" s="29" t="str">
        <f ca="1"/>
        <v>0.131832797427653</v>
      </c>
      <c r="W4" s="30" t="str">
        <f ca="1"/>
        <v>-200.236898481085</v>
      </c>
      <c r="X4" s="30" t="str">
        <f ca="1"/>
        <v>477.369368612039</v>
      </c>
      <c r="Y4" s="30" t="str">
        <f ca="1"/>
        <v>0.0199203187250996</v>
      </c>
    </row>
    <row r="5" spans="1:25" x14ac:dyDescent="0.25">
      <c r="C5" s="14" t="s">
        <v>17</v>
      </c>
      <c r="D5" s="15">
        <f ca="1">EOMONTH(DATE(YEAR(D6),ROUNDUP(MONTH(D6)/3,0)*3,1),0)</f>
        <v>45016</v>
      </c>
      <c r="E5" s="15">
        <f t="shared" ref="E5:H5" ca="1" si="0">EOMONTH(DATE(YEAR(E6),ROUNDUP(MONTH(E6)/3,0)*3,1),0)</f>
        <v>45107</v>
      </c>
      <c r="F5" s="15">
        <f t="shared" ca="1" si="0"/>
        <v>45199</v>
      </c>
      <c r="G5" s="15">
        <f t="shared" ca="1" si="0"/>
        <v>45291</v>
      </c>
      <c r="H5" s="15">
        <f t="shared" ca="1" si="0"/>
        <v>45382</v>
      </c>
      <c r="I5" s="15">
        <f t="shared" ref="I5:O5" ca="1" si="1">EOMONTH(DATE(YEAR(I6),ROUNDUP(MONTH(I6)/3,0)*3,1),0)</f>
        <v>45473</v>
      </c>
      <c r="J5" s="15">
        <f t="shared" ca="1" si="1"/>
        <v>45565</v>
      </c>
      <c r="K5" s="15">
        <f t="shared" ca="1" si="1"/>
        <v>45657</v>
      </c>
      <c r="L5" s="15">
        <f t="shared" ca="1" si="1"/>
        <v>45747</v>
      </c>
      <c r="M5" s="15">
        <f t="shared" ca="1" si="1"/>
        <v>45838</v>
      </c>
      <c r="N5" s="15">
        <f t="shared" ca="1" si="1"/>
        <v>45930</v>
      </c>
      <c r="O5" s="15">
        <f t="shared" ca="1" si="1"/>
        <v>46022</v>
      </c>
      <c r="Q5" s="25" t="str">
        <f ca="1"/>
        <v>DGX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2806</v>
      </c>
      <c r="V5" s="29" t="str">
        <f ca="1"/>
        <v>0.0705837466615795</v>
      </c>
      <c r="W5" s="30" t="str">
        <f ca="1"/>
        <v>-612.490507660732</v>
      </c>
      <c r="X5" s="30" t="str">
        <f ca="1"/>
        <v>-749.582113803786</v>
      </c>
      <c r="Y5" s="30" t="str">
        <f ca="1"/>
        <v>-0.00355113636363635</v>
      </c>
    </row>
    <row r="6" spans="1:25" x14ac:dyDescent="0.25">
      <c r="D6" s="16" cm="1">
        <f t="array" aca="1" ref="D6:O7" ca="1">+_xll.BDH($B$2,C7,$B$3,$B$4,"DIR=H")</f>
        <v>45016</v>
      </c>
      <c r="E6" s="16">
        <f ca="1"/>
        <v>45107</v>
      </c>
      <c r="F6" s="16">
        <f ca="1"/>
        <v>45199</v>
      </c>
      <c r="G6" s="16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DGX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32.5415</v>
      </c>
      <c r="V6" s="30" t="str">
        <f ca="1"/>
        <v>-4.50999999999979</v>
      </c>
      <c r="W6" s="30" t="str">
        <f ca="1"/>
        <v/>
      </c>
      <c r="X6" s="30" t="str">
        <f ca="1"/>
        <v/>
      </c>
      <c r="Y6" s="30" t="str">
        <f ca="1"/>
        <v>-19.4099999999999</v>
      </c>
    </row>
    <row r="7" spans="1:25" x14ac:dyDescent="0.25">
      <c r="A7" s="17" t="s">
        <v>14</v>
      </c>
      <c r="B7" s="17" t="s">
        <v>13</v>
      </c>
      <c r="C7" s="9" t="s">
        <v>0</v>
      </c>
      <c r="D7" s="12">
        <f ca="1"/>
        <v>2331</v>
      </c>
      <c r="E7" s="12">
        <f ca="1"/>
        <v>2338</v>
      </c>
      <c r="F7" s="12">
        <f ca="1"/>
        <v>2295</v>
      </c>
      <c r="G7" s="12">
        <f ca="1"/>
        <v>2288</v>
      </c>
      <c r="H7" s="12">
        <f ca="1"/>
        <v>2366</v>
      </c>
      <c r="I7" s="12">
        <f ca="1"/>
        <v>2397</v>
      </c>
      <c r="J7" s="12">
        <f ca="1"/>
        <v>2488</v>
      </c>
      <c r="K7" s="12">
        <f ca="1"/>
        <v>2621</v>
      </c>
      <c r="L7" s="12">
        <f ca="1"/>
        <v>2652</v>
      </c>
      <c r="M7" s="12">
        <f ca="1"/>
        <v>2761</v>
      </c>
      <c r="N7" s="12">
        <f ca="1"/>
        <v>2816</v>
      </c>
      <c r="O7" s="3">
        <f ca="1"/>
        <v>2806</v>
      </c>
      <c r="P7" s="1"/>
      <c r="Q7" s="25" t="str">
        <f ca="1"/>
        <v>DGX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34.1543</v>
      </c>
      <c r="V7" s="30" t="str">
        <f ca="1"/>
        <v>61.2400000000001</v>
      </c>
      <c r="W7" s="30" t="str">
        <f ca="1"/>
        <v/>
      </c>
      <c r="X7" s="30" t="str">
        <f ca="1"/>
        <v/>
      </c>
      <c r="Y7" s="30" t="str">
        <f ca="1"/>
        <v>161.28</v>
      </c>
    </row>
    <row r="8" spans="1:25" x14ac:dyDescent="0.25">
      <c r="C8" s="4" t="s">
        <v>5</v>
      </c>
      <c r="D8" s="5"/>
      <c r="E8" s="4"/>
      <c r="F8" s="4"/>
      <c r="G8" s="13"/>
      <c r="H8" s="13">
        <f t="shared" ref="H8:N8" ca="1" si="2">+H7/D7-1</f>
        <v>1.501501501501501E-2</v>
      </c>
      <c r="I8" s="13">
        <f t="shared" ca="1" si="2"/>
        <v>2.5235243798118034E-2</v>
      </c>
      <c r="J8" s="13">
        <f t="shared" ca="1" si="2"/>
        <v>8.4095860566448799E-2</v>
      </c>
      <c r="K8" s="13">
        <f t="shared" ca="1" si="2"/>
        <v>0.14554195804195813</v>
      </c>
      <c r="L8" s="13">
        <f t="shared" ca="1" si="2"/>
        <v>0.12087912087912089</v>
      </c>
      <c r="M8" s="13">
        <f t="shared" ca="1" si="2"/>
        <v>0.15185648727576129</v>
      </c>
      <c r="N8" s="13">
        <f t="shared" ca="1" si="2"/>
        <v>0.13183279742765275</v>
      </c>
      <c r="O8" s="13">
        <f ca="1">+O7/K7-1</f>
        <v>7.0583746661579516E-2</v>
      </c>
      <c r="P8" s="3"/>
      <c r="Q8" s="25" t="str">
        <f ca="1"/>
        <v>DGX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33.7003</v>
      </c>
      <c r="V8" s="30" t="str">
        <f ca="1"/>
        <v>110.38</v>
      </c>
      <c r="W8" s="30" t="str">
        <f ca="1"/>
        <v/>
      </c>
      <c r="X8" s="30" t="str">
        <f ca="1"/>
        <v/>
      </c>
      <c r="Y8" s="30" t="str">
        <f ca="1"/>
        <v>-45.4000000000001</v>
      </c>
    </row>
    <row r="9" spans="1:25" x14ac:dyDescent="0.25">
      <c r="C9" s="4" t="s">
        <v>24</v>
      </c>
      <c r="D9" s="1"/>
      <c r="L9" s="7">
        <f ca="1">(L8-K8)*10000</f>
        <v>-246.62837162837238</v>
      </c>
      <c r="M9" s="7">
        <f ca="1">(M8-L8)*10000</f>
        <v>309.77366396640394</v>
      </c>
      <c r="N9" s="7">
        <f ca="1">(N8-M8)*10000</f>
        <v>-200.2368984810854</v>
      </c>
      <c r="O9" s="7">
        <f ca="1">(O8-N8)*10000</f>
        <v>-612.49050766073231</v>
      </c>
      <c r="Q9" s="23" t="str">
        <f ca="1"/>
        <v>DGX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32.4305</v>
      </c>
      <c r="V9" s="30" t="str">
        <f ca="1"/>
        <v>-30.5099999999996</v>
      </c>
      <c r="W9" s="30" t="str">
        <f ca="1"/>
        <v/>
      </c>
      <c r="X9" s="30" t="str">
        <f ca="1"/>
        <v/>
      </c>
      <c r="Y9" s="30" t="str">
        <f ca="1"/>
        <v>-126.98</v>
      </c>
    </row>
    <row r="10" spans="1:25" x14ac:dyDescent="0.25">
      <c r="C10" s="4" t="s">
        <v>36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1058.6410586410589</v>
      </c>
      <c r="M10" s="7">
        <f ca="1">(M8-I8)*10000</f>
        <v>1266.2124347764325</v>
      </c>
      <c r="N10" s="7">
        <f ca="1">(N8-J8)*10000</f>
        <v>477.36936861203947</v>
      </c>
      <c r="O10" s="7">
        <f ca="1">(O8-K8)*10000</f>
        <v>-749.58211380378611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DGX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13.0468</v>
      </c>
      <c r="V10" s="30" t="str">
        <f ca="1"/>
        <v>36.7199999999999</v>
      </c>
      <c r="W10" s="30" t="str">
        <f ca="1"/>
        <v/>
      </c>
      <c r="X10" s="30" t="str">
        <f ca="1"/>
        <v/>
      </c>
      <c r="Y10" s="30" t="str">
        <f ca="1"/>
        <v>-72.6600000000001</v>
      </c>
    </row>
    <row r="11" spans="1:25" x14ac:dyDescent="0.25">
      <c r="C11" s="4" t="s">
        <v>6</v>
      </c>
      <c r="D11" s="1"/>
      <c r="L11" s="13">
        <f t="shared" ref="L11:N11" ca="1" si="3">L7/K7-1</f>
        <v>1.182754673788633E-2</v>
      </c>
      <c r="M11" s="13">
        <f t="shared" ca="1" si="3"/>
        <v>4.1101055806938236E-2</v>
      </c>
      <c r="N11" s="13">
        <f t="shared" ca="1" si="3"/>
        <v>1.9920318725099584E-2</v>
      </c>
      <c r="O11" s="13">
        <f ca="1">O7/N7-1</f>
        <v>-3.5511363636363535E-3</v>
      </c>
      <c r="Q11" s="25" t="str">
        <f ca="1"/>
        <v>DGX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15.8638</v>
      </c>
      <c r="V11" s="30" t="str">
        <f ca="1"/>
        <v>105.36</v>
      </c>
      <c r="W11" s="30" t="str">
        <f ca="1"/>
        <v/>
      </c>
      <c r="X11" s="30" t="str">
        <f ca="1"/>
        <v/>
      </c>
      <c r="Y11" s="30" t="str">
        <f ca="1"/>
        <v>281.7</v>
      </c>
    </row>
    <row r="12" spans="1:25" x14ac:dyDescent="0.25">
      <c r="Q12" s="25" t="str">
        <f ca="1"/>
        <v>DGX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13.7074</v>
      </c>
      <c r="V12" s="30" t="str">
        <f ca="1"/>
        <v>44.37</v>
      </c>
      <c r="W12" s="30" t="str">
        <f ca="1"/>
        <v/>
      </c>
      <c r="X12" s="30" t="str">
        <f ca="1"/>
        <v/>
      </c>
      <c r="Y12" s="30" t="str">
        <f ca="1"/>
        <v>-215.64</v>
      </c>
    </row>
    <row r="13" spans="1:25" x14ac:dyDescent="0.25">
      <c r="C13" s="14" t="s">
        <v>17</v>
      </c>
      <c r="D13" s="15">
        <f ca="1">EOMONTH(DATE(YEAR(D14),ROUNDUP(MONTH(D14)/3,0)*3,1),0)</f>
        <v>45016</v>
      </c>
      <c r="E13" s="15">
        <f t="shared" ref="E13:H13" ca="1" si="4">EOMONTH(DATE(YEAR(E14),ROUNDUP(MONTH(E14)/3,0)*3,1),0)</f>
        <v>45107</v>
      </c>
      <c r="F13" s="15">
        <f t="shared" ca="1" si="4"/>
        <v>45199</v>
      </c>
      <c r="G13" s="15">
        <f t="shared" ca="1" si="4"/>
        <v>45291</v>
      </c>
      <c r="H13" s="15">
        <f t="shared" ca="1" si="4"/>
        <v>45382</v>
      </c>
      <c r="I13" s="15">
        <f t="shared" ref="I13:O13" ca="1" si="5">EOMONTH(DATE(YEAR(I14),ROUNDUP(MONTH(I14)/3,0)*3,1),0)</f>
        <v>45473</v>
      </c>
      <c r="J13" s="15">
        <f t="shared" ca="1" si="5"/>
        <v>45565</v>
      </c>
      <c r="K13" s="15">
        <f t="shared" ca="1" si="5"/>
        <v>45657</v>
      </c>
      <c r="L13" s="15">
        <f t="shared" ca="1" si="5"/>
        <v>45747</v>
      </c>
      <c r="M13" s="15">
        <f t="shared" ca="1" si="5"/>
        <v>45838</v>
      </c>
      <c r="N13" s="15">
        <f t="shared" ca="1" si="5"/>
        <v>45930</v>
      </c>
      <c r="O13" s="15">
        <f t="shared" ca="1" si="5"/>
        <v>46022</v>
      </c>
      <c r="Q13" s="25" t="str">
        <f ca="1"/>
        <v>DGX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13.7562</v>
      </c>
      <c r="V13" s="30" t="str">
        <f ca="1"/>
        <v>-1.72000000000008</v>
      </c>
      <c r="W13" s="30" t="str">
        <f ca="1"/>
        <v/>
      </c>
      <c r="X13" s="30" t="str">
        <f ca="1"/>
        <v/>
      </c>
      <c r="Y13" s="30" t="str">
        <f ca="1"/>
        <v>4.88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DGX US EQUITY</v>
      </c>
      <c r="R14" s="25">
        <v>45747</v>
      </c>
      <c r="S14" s="26" t="str">
        <v>custom</v>
      </c>
      <c r="T14" s="27" t="str">
        <v>organic_orders_yoy</v>
      </c>
      <c r="U14" s="31" t="str">
        <v>-0.009</v>
      </c>
      <c r="V14" s="30" t="str">
        <v>10</v>
      </c>
      <c r="W14" s="30" t="str">
        <v/>
      </c>
      <c r="X14" s="30" t="str">
        <v/>
      </c>
      <c r="Y14" s="30" t="str">
        <v>-150</v>
      </c>
    </row>
    <row r="15" spans="1:25" x14ac:dyDescent="0.25">
      <c r="A15" s="17" t="s">
        <v>14</v>
      </c>
      <c r="B15" s="17" t="s">
        <v>19</v>
      </c>
      <c r="C15" s="9" t="s">
        <v>8</v>
      </c>
      <c r="D15" s="3">
        <f ca="1"/>
        <v>33.075899999999997</v>
      </c>
      <c r="E15" s="3">
        <f ca="1"/>
        <v>33.875100000000003</v>
      </c>
      <c r="F15" s="3">
        <f ca="1"/>
        <v>32.853999999999999</v>
      </c>
      <c r="G15" s="3">
        <f ca="1"/>
        <v>32.1678</v>
      </c>
      <c r="H15" s="3">
        <f ca="1"/>
        <v>32.586599999999997</v>
      </c>
      <c r="I15" s="3">
        <f ca="1"/>
        <v>33.541899999999998</v>
      </c>
      <c r="J15" s="3">
        <f ca="1"/>
        <v>32.596499999999999</v>
      </c>
      <c r="K15" s="3">
        <f ca="1"/>
        <v>32.735599999999998</v>
      </c>
      <c r="L15" s="3">
        <f ca="1"/>
        <v>32.541499999999999</v>
      </c>
      <c r="M15" s="3">
        <f ca="1"/>
        <v>34.154299999999999</v>
      </c>
      <c r="N15" s="3">
        <f ca="1"/>
        <v>33.700299999999999</v>
      </c>
      <c r="O15">
        <f ca="1"/>
        <v>32.430500000000002</v>
      </c>
      <c r="Q15" s="25" t="str">
        <v>DGX US EQUITY</v>
      </c>
      <c r="R15" s="25">
        <v>45838</v>
      </c>
      <c r="S15" s="26" t="str">
        <v>custom</v>
      </c>
      <c r="T15" s="27" t="str">
        <v>organic_orders_yoy</v>
      </c>
      <c r="U15" s="31" t="str">
        <v>0.021</v>
      </c>
      <c r="V15" s="30" t="str">
        <v>140</v>
      </c>
      <c r="W15" s="30" t="str">
        <v/>
      </c>
      <c r="X15" s="30" t="str">
        <v/>
      </c>
      <c r="Y15" s="30" t="str">
        <v>300</v>
      </c>
    </row>
    <row r="16" spans="1:25" x14ac:dyDescent="0.25">
      <c r="C16" s="4" t="s">
        <v>5</v>
      </c>
      <c r="D16" s="5"/>
      <c r="E16" s="4"/>
      <c r="F16" s="4"/>
      <c r="G16" s="4"/>
      <c r="H16" s="7">
        <f t="shared" ref="H16:N16" ca="1" si="6">(H15-D15)*100</f>
        <v>-48.930000000000007</v>
      </c>
      <c r="I16" s="7">
        <f t="shared" ca="1" si="6"/>
        <v>-33.320000000000505</v>
      </c>
      <c r="J16" s="7">
        <f t="shared" ca="1" si="6"/>
        <v>-25.750000000000028</v>
      </c>
      <c r="K16" s="7">
        <f t="shared" ca="1" si="6"/>
        <v>56.779999999999831</v>
      </c>
      <c r="L16" s="7">
        <f t="shared" ca="1" si="6"/>
        <v>-4.509999999999792</v>
      </c>
      <c r="M16" s="7">
        <f t="shared" ca="1" si="6"/>
        <v>61.240000000000094</v>
      </c>
      <c r="N16" s="7">
        <f t="shared" ca="1" si="6"/>
        <v>110.37999999999997</v>
      </c>
      <c r="O16" s="7">
        <f ca="1">(O15-K15)*100</f>
        <v>-30.509999999999593</v>
      </c>
      <c r="Q16" s="25" t="str">
        <v>DGX US EQUITY</v>
      </c>
      <c r="R16" s="25">
        <v>45930</v>
      </c>
      <c r="S16" s="26" t="str">
        <v>custom</v>
      </c>
      <c r="T16" s="27" t="str">
        <v>organic_orders_yoy</v>
      </c>
      <c r="U16" s="31" t="str">
        <v>0.039</v>
      </c>
      <c r="V16" s="30" t="str">
        <v>340</v>
      </c>
      <c r="W16" s="30" t="str">
        <v/>
      </c>
      <c r="X16" s="30" t="str">
        <v/>
      </c>
      <c r="Y16" s="30" t="str">
        <v>180</v>
      </c>
    </row>
    <row r="17" spans="1:25" x14ac:dyDescent="0.25">
      <c r="C17" s="4" t="s">
        <v>24</v>
      </c>
      <c r="D17" s="1"/>
      <c r="K17" s="7"/>
      <c r="L17" s="7"/>
      <c r="M17" s="7"/>
      <c r="N17" s="7"/>
      <c r="O17" s="7"/>
      <c r="Q17" s="25" t="str">
        <v>DGX US EQUITY</v>
      </c>
      <c r="R17" s="25">
        <v>46022</v>
      </c>
      <c r="S17" s="26" t="str">
        <v>custom</v>
      </c>
      <c r="T17" s="27" t="str">
        <v>organic_orders_yoy</v>
      </c>
      <c r="U17" s="31" t="str">
        <v>0.079</v>
      </c>
      <c r="V17" s="30" t="str">
        <v>730</v>
      </c>
      <c r="W17" s="30" t="str">
        <v/>
      </c>
      <c r="X17" s="30" t="str">
        <v/>
      </c>
      <c r="Y17" s="30" t="str">
        <v>400</v>
      </c>
    </row>
    <row r="18" spans="1:25" x14ac:dyDescent="0.25">
      <c r="C18" s="4" t="s">
        <v>36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DGX US EQUITY</v>
      </c>
      <c r="R18" s="25">
        <v>45747</v>
      </c>
      <c r="S18" s="26" t="str">
        <v>custom</v>
      </c>
      <c r="T18" s="27" t="str">
        <v>revenue per requisition_yoy</v>
      </c>
      <c r="U18" s="31" t="str">
        <v>0.003</v>
      </c>
      <c r="V18" s="30" t="str">
        <v>20</v>
      </c>
      <c r="W18" s="30" t="str">
        <v/>
      </c>
      <c r="X18" s="30" t="str">
        <v/>
      </c>
      <c r="Y18" s="30" t="str">
        <v>10</v>
      </c>
    </row>
    <row r="19" spans="1:25" x14ac:dyDescent="0.25">
      <c r="C19" s="4" t="s">
        <v>6</v>
      </c>
      <c r="D19" s="1"/>
      <c r="K19" s="7"/>
      <c r="L19" s="7">
        <f ca="1">(L15-K15)*100</f>
        <v>-19.409999999999883</v>
      </c>
      <c r="M19" s="7">
        <f t="shared" ref="M19:O19" ca="1" si="7">(M15-L15)*100</f>
        <v>161.28</v>
      </c>
      <c r="N19" s="7">
        <f t="shared" ca="1" si="7"/>
        <v>-45.400000000000063</v>
      </c>
      <c r="O19" s="7">
        <f t="shared" ca="1" si="7"/>
        <v>-126.97999999999965</v>
      </c>
      <c r="Q19" s="25" t="str">
        <v>DGX US EQUITY</v>
      </c>
      <c r="R19" s="25">
        <v>45838</v>
      </c>
      <c r="S19" s="26" t="str">
        <v>custom</v>
      </c>
      <c r="T19" s="27" t="str">
        <v>revenue per requisition_yoy</v>
      </c>
      <c r="U19" s="31" t="str">
        <v>0.004</v>
      </c>
      <c r="V19" s="30" t="str">
        <v>-120</v>
      </c>
      <c r="W19" s="30" t="str">
        <v/>
      </c>
      <c r="X19" s="30" t="str">
        <v/>
      </c>
      <c r="Y19" s="30" t="str">
        <v>10</v>
      </c>
    </row>
    <row r="20" spans="1:25" x14ac:dyDescent="0.25">
      <c r="Q20" s="25" t="str">
        <v>DGX US EQUITY</v>
      </c>
      <c r="R20" s="25">
        <v>45930</v>
      </c>
      <c r="S20" s="26" t="str">
        <v>custom</v>
      </c>
      <c r="T20" s="27" t="str">
        <v>revenue per requisition_yoy</v>
      </c>
      <c r="U20" s="31" t="str">
        <v>0.008</v>
      </c>
      <c r="V20" s="30" t="str">
        <v>-250</v>
      </c>
      <c r="W20" s="30" t="str">
        <v/>
      </c>
      <c r="X20" s="30" t="str">
        <v/>
      </c>
      <c r="Y20" s="30" t="str">
        <v>40</v>
      </c>
    </row>
    <row r="21" spans="1:25" x14ac:dyDescent="0.25">
      <c r="C21" s="14" t="s">
        <v>17</v>
      </c>
      <c r="D21" s="15">
        <f ca="1">EOMONTH(DATE(YEAR(D22),ROUNDUP(MONTH(D22)/3,0)*3,1),0)</f>
        <v>45016</v>
      </c>
      <c r="E21" s="15">
        <f t="shared" ref="E21:H21" ca="1" si="8">EOMONTH(DATE(YEAR(E22),ROUNDUP(MONTH(E22)/3,0)*3,1),0)</f>
        <v>45107</v>
      </c>
      <c r="F21" s="15">
        <f t="shared" ca="1" si="8"/>
        <v>45199</v>
      </c>
      <c r="G21" s="15">
        <f t="shared" ca="1" si="8"/>
        <v>45291</v>
      </c>
      <c r="H21" s="15">
        <f t="shared" ca="1" si="8"/>
        <v>45382</v>
      </c>
      <c r="I21" s="15">
        <f t="shared" ref="I21:O21" ca="1" si="9">EOMONTH(DATE(YEAR(I22),ROUNDUP(MONTH(I22)/3,0)*3,1),0)</f>
        <v>45473</v>
      </c>
      <c r="J21" s="15">
        <f t="shared" ca="1" si="9"/>
        <v>45565</v>
      </c>
      <c r="K21" s="15">
        <f t="shared" ca="1" si="9"/>
        <v>45657</v>
      </c>
      <c r="L21" s="15">
        <f t="shared" ca="1" si="9"/>
        <v>45747</v>
      </c>
      <c r="M21" s="15">
        <f t="shared" ca="1" si="9"/>
        <v>45838</v>
      </c>
      <c r="N21" s="15">
        <f t="shared" ca="1" si="9"/>
        <v>45930</v>
      </c>
      <c r="O21" s="15">
        <f t="shared" ca="1" si="9"/>
        <v>46022</v>
      </c>
      <c r="Q21" s="25" t="str">
        <v>DGX US EQUITY</v>
      </c>
      <c r="R21" s="25">
        <v>46022</v>
      </c>
      <c r="S21" s="26" t="str">
        <v>custom</v>
      </c>
      <c r="T21" s="27" t="str">
        <v>revenue per requisition_yoy</v>
      </c>
      <c r="U21" s="31" t="str">
        <v>-0.001</v>
      </c>
      <c r="V21" s="30" t="str">
        <v>-30</v>
      </c>
      <c r="W21" s="30" t="str">
        <v/>
      </c>
      <c r="X21" s="30" t="str">
        <v/>
      </c>
      <c r="Y21" s="30" t="str">
        <v>-90</v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/>
      <c r="R22" s="25"/>
      <c r="S22" s="26"/>
      <c r="T22" s="27"/>
      <c r="U22" s="28"/>
      <c r="V22" s="29"/>
      <c r="W22" s="30"/>
      <c r="X22" s="29"/>
      <c r="Y22" s="30"/>
    </row>
    <row r="23" spans="1:25" x14ac:dyDescent="0.25">
      <c r="A23" s="17" t="s">
        <v>14</v>
      </c>
      <c r="B23" s="17" t="s">
        <v>20</v>
      </c>
      <c r="C23" s="9" t="s">
        <v>9</v>
      </c>
      <c r="D23" s="3">
        <f ca="1"/>
        <v>13.0845</v>
      </c>
      <c r="E23" s="3">
        <f ca="1"/>
        <v>14.884499999999999</v>
      </c>
      <c r="F23" s="3">
        <f ca="1"/>
        <v>14.901999999999999</v>
      </c>
      <c r="G23" s="3">
        <f ca="1"/>
        <v>11.669600000000001</v>
      </c>
      <c r="H23" s="3">
        <f ca="1"/>
        <v>12.679600000000001</v>
      </c>
      <c r="I23" s="3">
        <f ca="1"/>
        <v>14.8102</v>
      </c>
      <c r="J23" s="3">
        <f ca="1"/>
        <v>13.2637</v>
      </c>
      <c r="K23" s="3">
        <f ca="1"/>
        <v>13.773400000000001</v>
      </c>
      <c r="L23" s="3">
        <f ca="1"/>
        <v>13.046799999999999</v>
      </c>
      <c r="M23" s="3">
        <f ca="1"/>
        <v>15.863799999999999</v>
      </c>
      <c r="N23" s="3">
        <f ca="1"/>
        <v>13.7074</v>
      </c>
      <c r="O23">
        <f ca="1"/>
        <v>13.7562</v>
      </c>
      <c r="Q23" s="25"/>
      <c r="R23" s="25"/>
      <c r="S23" s="26"/>
      <c r="T23" s="27"/>
      <c r="U23" s="28"/>
      <c r="V23" s="29"/>
      <c r="W23" s="30"/>
      <c r="X23" s="29"/>
      <c r="Y23" s="30"/>
    </row>
    <row r="24" spans="1:25" x14ac:dyDescent="0.25">
      <c r="C24" s="4" t="s">
        <v>5</v>
      </c>
      <c r="D24" s="5"/>
      <c r="E24" s="4"/>
      <c r="F24" s="4"/>
      <c r="G24" s="4"/>
      <c r="H24" s="7">
        <f t="shared" ref="H24" ca="1" si="10">(H23-D23)*100</f>
        <v>-40.489999999999959</v>
      </c>
      <c r="I24" s="7">
        <f t="shared" ref="I24" ca="1" si="11">(I23-E23)*100</f>
        <v>-7.4299999999999145</v>
      </c>
      <c r="J24" s="7">
        <f t="shared" ref="J24" ca="1" si="12">(J23-F23)*100</f>
        <v>-163.82999999999993</v>
      </c>
      <c r="K24" s="7">
        <f t="shared" ref="K24" ca="1" si="13">(K23-G23)*100</f>
        <v>210.37999999999997</v>
      </c>
      <c r="L24" s="7">
        <f t="shared" ref="L24" ca="1" si="14">(L23-H23)*100</f>
        <v>36.719999999999864</v>
      </c>
      <c r="M24" s="7">
        <f t="shared" ref="M24" ca="1" si="15">(M23-I23)*100</f>
        <v>105.35999999999994</v>
      </c>
      <c r="N24" s="7">
        <f t="shared" ref="N24" ca="1" si="16">(N23-J23)*100</f>
        <v>44.369999999999976</v>
      </c>
      <c r="O24" s="7">
        <f ca="1">(O23-K23)*100</f>
        <v>-1.720000000000077</v>
      </c>
      <c r="Q24" s="25"/>
      <c r="R24" s="25"/>
      <c r="S24" s="26"/>
      <c r="T24" s="27"/>
      <c r="U24" s="28"/>
      <c r="V24" s="29"/>
      <c r="W24" s="30"/>
      <c r="X24" s="29"/>
      <c r="Y24" s="30"/>
    </row>
    <row r="25" spans="1:25" x14ac:dyDescent="0.25">
      <c r="C25" s="4" t="s">
        <v>24</v>
      </c>
      <c r="D25" s="1"/>
      <c r="K25" s="7"/>
      <c r="L25" s="7"/>
      <c r="M25" s="7"/>
      <c r="N25" s="7"/>
      <c r="O25" s="7"/>
      <c r="Q25" s="25"/>
      <c r="R25" s="25"/>
      <c r="S25" s="26"/>
      <c r="T25" s="27"/>
      <c r="U25" s="28"/>
      <c r="V25" s="29"/>
      <c r="W25" s="30"/>
      <c r="X25" s="29"/>
      <c r="Y25" s="30"/>
    </row>
    <row r="26" spans="1:25" x14ac:dyDescent="0.25">
      <c r="C26" s="4" t="s">
        <v>36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5"/>
      <c r="R26" s="25"/>
      <c r="S26" s="26"/>
      <c r="T26" s="27"/>
      <c r="U26" s="28"/>
      <c r="V26" s="29"/>
      <c r="W26" s="30"/>
      <c r="X26" s="29"/>
      <c r="Y26" s="30"/>
    </row>
    <row r="27" spans="1:25" x14ac:dyDescent="0.25">
      <c r="C27" s="4" t="s">
        <v>6</v>
      </c>
      <c r="D27" s="1"/>
      <c r="K27" s="7"/>
      <c r="L27" s="7">
        <f ca="1">(L23-K23)*100</f>
        <v>-72.660000000000124</v>
      </c>
      <c r="M27" s="7">
        <f t="shared" ref="M27:O27" ca="1" si="17">(M23-L23)*100</f>
        <v>281.70000000000005</v>
      </c>
      <c r="N27" s="7">
        <f t="shared" ca="1" si="17"/>
        <v>-215.63999999999996</v>
      </c>
      <c r="O27" s="7">
        <f t="shared" ca="1" si="17"/>
        <v>4.8799999999999955</v>
      </c>
      <c r="Q27" s="25"/>
      <c r="R27" s="25"/>
      <c r="S27" s="26"/>
      <c r="T27" s="27"/>
      <c r="U27" s="28"/>
      <c r="V27" s="29"/>
      <c r="W27" s="30"/>
      <c r="X27" s="29"/>
      <c r="Y27" s="30"/>
    </row>
    <row r="28" spans="1:25" x14ac:dyDescent="0.25">
      <c r="C28" s="4"/>
      <c r="D28" s="1"/>
      <c r="E28" s="1"/>
      <c r="F28" s="1"/>
      <c r="G28" s="1"/>
      <c r="K28" s="7"/>
      <c r="L28" s="7"/>
      <c r="M28" s="7"/>
      <c r="N28" s="7"/>
      <c r="O28" s="7"/>
      <c r="Q28" s="25"/>
      <c r="R28" s="25"/>
      <c r="S28" s="26"/>
      <c r="T28" s="27"/>
      <c r="U28" s="28"/>
      <c r="V28" s="29"/>
      <c r="W28" s="30"/>
      <c r="X28" s="29"/>
      <c r="Y28" s="30"/>
    </row>
    <row r="29" spans="1:25" x14ac:dyDescent="0.25">
      <c r="C29" s="14" t="s">
        <v>17</v>
      </c>
      <c r="D29" s="15"/>
      <c r="E29" s="15"/>
      <c r="F29" s="15"/>
      <c r="G29" s="15">
        <f t="shared" ref="G29:L29" si="18">EOMONTH(DATE(YEAR(G30),ROUNDUP(MONTH(G30)/3,0)*3,1),0)</f>
        <v>45291</v>
      </c>
      <c r="H29" s="15">
        <f t="shared" si="18"/>
        <v>45382</v>
      </c>
      <c r="I29" s="15">
        <f t="shared" si="18"/>
        <v>45473</v>
      </c>
      <c r="J29" s="15">
        <f t="shared" si="18"/>
        <v>45565</v>
      </c>
      <c r="K29" s="15">
        <f t="shared" si="18"/>
        <v>45657</v>
      </c>
      <c r="L29" s="15">
        <f t="shared" si="18"/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  <c r="Q29" s="25"/>
      <c r="R29" s="25"/>
      <c r="S29" s="26"/>
      <c r="T29" s="27"/>
      <c r="U29" s="28"/>
      <c r="V29" s="29"/>
      <c r="W29" s="30"/>
      <c r="X29" s="29"/>
      <c r="Y29" s="30"/>
    </row>
    <row r="30" spans="1:25" x14ac:dyDescent="0.25"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5"/>
      <c r="R30" s="25"/>
      <c r="S30" s="26"/>
      <c r="T30" s="27"/>
      <c r="U30" s="28"/>
      <c r="V30" s="29"/>
      <c r="W30" s="30"/>
      <c r="X30" s="29"/>
      <c r="Y30" s="30"/>
    </row>
    <row r="31" spans="1:25" x14ac:dyDescent="0.25">
      <c r="A31" s="17" t="s">
        <v>26</v>
      </c>
      <c r="B31" s="17" t="s">
        <v>39</v>
      </c>
      <c r="C31" s="2" t="s">
        <v>40</v>
      </c>
      <c r="D31" s="10"/>
      <c r="E31" s="10"/>
      <c r="F31" s="10"/>
      <c r="G31" s="32">
        <v>4.7E-2</v>
      </c>
      <c r="H31" s="32">
        <v>-0.01</v>
      </c>
      <c r="I31" s="32">
        <v>7.0000000000000001E-3</v>
      </c>
      <c r="J31" s="32">
        <v>5.0000000000000001E-3</v>
      </c>
      <c r="K31" s="32">
        <v>6.0000000000000001E-3</v>
      </c>
      <c r="L31" s="32">
        <v>-8.9999999999999993E-3</v>
      </c>
      <c r="M31" s="11">
        <v>2.1000000000000001E-2</v>
      </c>
      <c r="N31" s="11">
        <v>3.9E-2</v>
      </c>
      <c r="O31" s="11">
        <v>7.9000000000000001E-2</v>
      </c>
      <c r="Q31" s="25"/>
      <c r="R31" s="25"/>
      <c r="S31" s="26"/>
      <c r="T31" s="27"/>
      <c r="U31" s="28"/>
      <c r="V31" s="29"/>
      <c r="W31" s="30"/>
      <c r="X31" s="29"/>
      <c r="Y31" s="30"/>
    </row>
    <row r="32" spans="1:25" x14ac:dyDescent="0.2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19">(K31-G31)*100</f>
        <v>-4.1000000000000005</v>
      </c>
      <c r="L32" s="7">
        <f t="shared" ref="L32" si="20">(L31-H31)*10000</f>
        <v>10.000000000000009</v>
      </c>
      <c r="M32" s="7">
        <f t="shared" ref="M32" si="21">(M31-I31)*10000</f>
        <v>140.00000000000003</v>
      </c>
      <c r="N32" s="7">
        <f t="shared" ref="N32" si="22">(N31-J31)*10000</f>
        <v>340</v>
      </c>
      <c r="O32" s="7">
        <f>(O31-K31)*10000</f>
        <v>730</v>
      </c>
      <c r="Q32" s="25"/>
      <c r="R32" s="25"/>
      <c r="S32" s="26"/>
      <c r="T32" s="27"/>
      <c r="U32" s="28"/>
      <c r="V32" s="29"/>
      <c r="W32" s="30"/>
      <c r="X32" s="29"/>
      <c r="Y32" s="30"/>
    </row>
    <row r="33" spans="1:25" x14ac:dyDescent="0.25">
      <c r="C33" s="4" t="s">
        <v>24</v>
      </c>
      <c r="D33" s="1"/>
      <c r="K33" s="7"/>
      <c r="L33" s="7"/>
      <c r="M33" s="7"/>
      <c r="N33" s="7"/>
      <c r="O33" s="7"/>
      <c r="Q33" s="25"/>
      <c r="R33" s="25"/>
      <c r="S33" s="26"/>
      <c r="T33" s="27"/>
      <c r="U33" s="28"/>
      <c r="V33" s="29"/>
      <c r="W33" s="30"/>
      <c r="X33" s="29"/>
      <c r="Y33" s="30"/>
    </row>
    <row r="34" spans="1:25" x14ac:dyDescent="0.25">
      <c r="C34" s="4" t="s">
        <v>36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6</v>
      </c>
      <c r="D35" s="1"/>
      <c r="K35" s="7"/>
      <c r="L35" s="7">
        <f>(L31-K31)*10000</f>
        <v>-150</v>
      </c>
      <c r="M35" s="7">
        <f t="shared" ref="M35:O35" si="23">(M31-L31)*10000</f>
        <v>300</v>
      </c>
      <c r="N35" s="7">
        <f t="shared" si="23"/>
        <v>180</v>
      </c>
      <c r="O35" s="7">
        <f t="shared" si="23"/>
        <v>400</v>
      </c>
    </row>
    <row r="36" spans="1:25" x14ac:dyDescent="0.25">
      <c r="C36" s="4"/>
      <c r="D36" s="1"/>
      <c r="E36" s="1"/>
      <c r="F36" s="1"/>
      <c r="G36" s="1"/>
      <c r="K36" s="7"/>
      <c r="L36" s="7"/>
      <c r="M36" s="7"/>
      <c r="N36" s="7"/>
      <c r="O36" s="7"/>
    </row>
    <row r="37" spans="1:25" x14ac:dyDescent="0.25">
      <c r="C37" s="14" t="s">
        <v>17</v>
      </c>
      <c r="D37" s="15"/>
      <c r="E37" s="15"/>
      <c r="F37" s="15"/>
      <c r="G37" s="15">
        <f t="shared" ref="G37:L37" si="24">EOMONTH(DATE(YEAR(G38),ROUNDUP(MONTH(G38)/3,0)*3,1),0)</f>
        <v>45291</v>
      </c>
      <c r="H37" s="15">
        <f t="shared" si="24"/>
        <v>45382</v>
      </c>
      <c r="I37" s="15">
        <f t="shared" si="24"/>
        <v>45473</v>
      </c>
      <c r="J37" s="15">
        <f t="shared" si="24"/>
        <v>45565</v>
      </c>
      <c r="K37" s="15">
        <f t="shared" si="24"/>
        <v>45657</v>
      </c>
      <c r="L37" s="15">
        <f t="shared" si="24"/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5" x14ac:dyDescent="0.25"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25">
      <c r="A39" s="17" t="s">
        <v>26</v>
      </c>
      <c r="B39" s="17" t="s">
        <v>42</v>
      </c>
      <c r="C39" s="2" t="s">
        <v>41</v>
      </c>
      <c r="D39" s="10"/>
      <c r="E39" s="10"/>
      <c r="F39" s="10"/>
      <c r="G39" s="32">
        <v>-3.5000000000000003E-2</v>
      </c>
      <c r="H39" s="32">
        <v>1E-3</v>
      </c>
      <c r="I39" s="32">
        <v>1.6E-2</v>
      </c>
      <c r="J39" s="32">
        <v>3.3000000000000002E-2</v>
      </c>
      <c r="K39" s="32">
        <v>2E-3</v>
      </c>
      <c r="L39" s="32">
        <v>3.0000000000000001E-3</v>
      </c>
      <c r="M39" s="11">
        <v>4.0000000000000001E-3</v>
      </c>
      <c r="N39" s="11">
        <v>8.0000000000000002E-3</v>
      </c>
      <c r="O39" s="11">
        <v>-1E-3</v>
      </c>
    </row>
    <row r="40" spans="1:25" x14ac:dyDescent="0.2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25">(K39-G39)*100</f>
        <v>3.7000000000000006</v>
      </c>
      <c r="L40" s="7">
        <f t="shared" ref="L40:N40" si="26">(L39-H39)*10000</f>
        <v>20</v>
      </c>
      <c r="M40" s="7">
        <f t="shared" si="26"/>
        <v>-120</v>
      </c>
      <c r="N40" s="7">
        <f t="shared" si="26"/>
        <v>-250</v>
      </c>
      <c r="O40" s="7">
        <f>(O39-K39)*10000</f>
        <v>-30</v>
      </c>
    </row>
    <row r="41" spans="1:25" x14ac:dyDescent="0.25">
      <c r="C41" s="4" t="s">
        <v>24</v>
      </c>
      <c r="D41" s="1"/>
      <c r="K41" s="7"/>
      <c r="L41" s="7"/>
      <c r="M41" s="7"/>
      <c r="N41" s="7"/>
      <c r="O41" s="7"/>
    </row>
    <row r="42" spans="1:25" x14ac:dyDescent="0.25">
      <c r="C42" s="4" t="s">
        <v>36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25">
      <c r="C43" s="4" t="s">
        <v>6</v>
      </c>
      <c r="D43" s="1"/>
      <c r="K43" s="7"/>
      <c r="L43" s="7">
        <f>(L39-K39)*10000</f>
        <v>10</v>
      </c>
      <c r="M43" s="7">
        <f t="shared" ref="M43:O43" si="27">(M39-L39)*10000</f>
        <v>10</v>
      </c>
      <c r="N43" s="7">
        <f t="shared" si="27"/>
        <v>40</v>
      </c>
      <c r="O43" s="7">
        <f t="shared" si="27"/>
        <v>-90.000000000000014</v>
      </c>
    </row>
    <row r="44" spans="1:25" x14ac:dyDescent="0.25">
      <c r="C44" s="4"/>
      <c r="D44" s="1"/>
      <c r="E44" s="1"/>
      <c r="F44" s="1"/>
      <c r="G44" s="1"/>
      <c r="L44" s="7"/>
      <c r="M44" s="7"/>
      <c r="N44" s="7"/>
      <c r="O4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DBA8-4D51-48FE-9B83-1504A3F345FA}">
  <dimension ref="A1:Y52"/>
  <sheetViews>
    <sheetView topLeftCell="A16" zoomScale="85" zoomScaleNormal="85" workbookViewId="0">
      <selection activeCell="L19" sqref="L19:O19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5" width="9.42578125" bestFit="1" customWidth="1"/>
    <col min="6" max="8" width="9.42578125" customWidth="1"/>
    <col min="9" max="9" width="9.42578125" bestFit="1" customWidth="1"/>
    <col min="10" max="10" width="10.42578125" bestFit="1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9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3" t="s">
        <v>29</v>
      </c>
      <c r="B1" s="23" t="s">
        <v>29</v>
      </c>
      <c r="C1" s="23" t="s">
        <v>29</v>
      </c>
      <c r="D1" s="23" t="s">
        <v>29</v>
      </c>
      <c r="E1" s="23" t="s">
        <v>29</v>
      </c>
      <c r="F1" s="23" t="s">
        <v>29</v>
      </c>
      <c r="G1" s="23" t="s">
        <v>29</v>
      </c>
      <c r="H1" s="23" t="s">
        <v>29</v>
      </c>
      <c r="I1" s="23" t="s">
        <v>29</v>
      </c>
      <c r="J1" s="23" t="s">
        <v>29</v>
      </c>
      <c r="K1" s="23" t="s">
        <v>29</v>
      </c>
      <c r="L1" s="23" t="s">
        <v>29</v>
      </c>
      <c r="M1" s="23" t="s">
        <v>29</v>
      </c>
      <c r="N1" s="23" t="s">
        <v>29</v>
      </c>
      <c r="O1" s="23" t="s">
        <v>29</v>
      </c>
      <c r="Q1" s="24" t="s">
        <v>18</v>
      </c>
      <c r="R1" s="24" t="s">
        <v>16</v>
      </c>
      <c r="S1" s="24" t="s">
        <v>23</v>
      </c>
      <c r="T1" s="24" t="s">
        <v>22</v>
      </c>
      <c r="U1" s="24" t="s">
        <v>15</v>
      </c>
      <c r="V1" s="24" t="s">
        <v>21</v>
      </c>
      <c r="W1" s="24" t="s">
        <v>25</v>
      </c>
      <c r="X1" s="24" t="s">
        <v>37</v>
      </c>
      <c r="Y1" s="24" t="s">
        <v>38</v>
      </c>
    </row>
    <row r="2" spans="1:25" x14ac:dyDescent="0.25">
      <c r="A2" s="18" t="s">
        <v>1</v>
      </c>
      <c r="B2" s="33" t="s">
        <v>10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LH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3345.1</v>
      </c>
      <c r="V2" s="29" t="str">
        <f ca="1"/>
        <v>0.0530441352389348</v>
      </c>
      <c r="W2" s="30" t="str">
        <f ca="1"/>
        <v>-445.72322084772</v>
      </c>
      <c r="X2" s="29" t="str">
        <f ca="1"/>
        <v>2122.06632922833</v>
      </c>
      <c r="Y2" s="30" t="str">
        <f ca="1"/>
        <v>0.00471556436595177</v>
      </c>
    </row>
    <row r="3" spans="1:25" x14ac:dyDescent="0.25">
      <c r="A3" s="19" t="s">
        <v>3</v>
      </c>
      <c r="B3" s="20">
        <f ca="1">+B4-365*3</f>
        <v>44989</v>
      </c>
      <c r="Q3" s="25" t="str">
        <f ca="1"/>
        <v>LH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3527.3</v>
      </c>
      <c r="V3" s="29" t="str">
        <f ca="1"/>
        <v>0.0951286907386135</v>
      </c>
      <c r="W3" s="30" t="str">
        <f ca="1"/>
        <v>420.845554996787</v>
      </c>
      <c r="X3" s="30" t="str">
        <f ca="1"/>
        <v>334.218640912851</v>
      </c>
      <c r="Y3" s="30" t="str">
        <f ca="1"/>
        <v>0.0544677289169233</v>
      </c>
    </row>
    <row r="4" spans="1:25" x14ac:dyDescent="0.25">
      <c r="A4" s="21" t="s">
        <v>2</v>
      </c>
      <c r="B4" s="22">
        <f ca="1">TODAY()</f>
        <v>46084</v>
      </c>
      <c r="Q4" s="25" t="str">
        <f ca="1"/>
        <v>LH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3563.5</v>
      </c>
      <c r="V4" s="29" t="str">
        <f ca="1"/>
        <v>0.0857708714198659</v>
      </c>
      <c r="W4" s="30" t="str">
        <f ca="1"/>
        <v>-93.5781931874757</v>
      </c>
      <c r="X4" s="30" t="str">
        <f ca="1"/>
        <v>120.990577585207</v>
      </c>
      <c r="Y4" s="30" t="str">
        <f ca="1"/>
        <v>0.0102628072463358</v>
      </c>
    </row>
    <row r="5" spans="1:25" x14ac:dyDescent="0.25">
      <c r="C5" s="14" t="s">
        <v>17</v>
      </c>
      <c r="D5" s="15">
        <f ca="1">EOMONTH(DATE(YEAR(D6),ROUNDUP(MONTH(D6)/3,0)*3,1),0)</f>
        <v>45016</v>
      </c>
      <c r="E5" s="15">
        <f ca="1">EOMONTH(DATE(YEAR(E6),ROUNDUP(MONTH(E6)/3,0)*3,1),0)</f>
        <v>45107</v>
      </c>
      <c r="F5" s="15">
        <f t="shared" ref="F5:I5" ca="1" si="0">EOMONTH(DATE(YEAR(F6),ROUNDUP(MONTH(F6)/3,0)*3,1),0)</f>
        <v>45199</v>
      </c>
      <c r="G5" s="15">
        <f t="shared" ca="1" si="0"/>
        <v>45291</v>
      </c>
      <c r="H5" s="15">
        <f t="shared" ca="1" si="0"/>
        <v>45382</v>
      </c>
      <c r="I5" s="15">
        <f t="shared" ca="1" si="0"/>
        <v>45473</v>
      </c>
      <c r="J5" s="15">
        <f t="shared" ref="J5:O5" ca="1" si="1">EOMONTH(DATE(YEAR(J6),ROUNDUP(MONTH(J6)/3,0)*3,1),0)</f>
        <v>45565</v>
      </c>
      <c r="K5" s="15">
        <f t="shared" ca="1" si="1"/>
        <v>45657</v>
      </c>
      <c r="L5" s="15">
        <f t="shared" ca="1" si="1"/>
        <v>45747</v>
      </c>
      <c r="M5" s="15">
        <f t="shared" ca="1" si="1"/>
        <v>45838</v>
      </c>
      <c r="N5" s="15">
        <f t="shared" ca="1" si="1"/>
        <v>45930</v>
      </c>
      <c r="O5" s="15">
        <f t="shared" ca="1" si="1"/>
        <v>46022</v>
      </c>
      <c r="Q5" s="25" t="str">
        <f ca="1"/>
        <v>LH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3515.8</v>
      </c>
      <c r="V5" s="29" t="str">
        <f ca="1"/>
        <v>0.0559860635549949</v>
      </c>
      <c r="W5" s="30" t="str">
        <f ca="1"/>
        <v>-297.84807864871</v>
      </c>
      <c r="X5" s="30" t="str">
        <f ca="1"/>
        <v>-416.303937687119</v>
      </c>
      <c r="Y5" s="30" t="str">
        <f ca="1"/>
        <v>-0.0133857162901642</v>
      </c>
    </row>
    <row r="6" spans="1:25" x14ac:dyDescent="0.25">
      <c r="D6" s="16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LH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28.34</v>
      </c>
      <c r="V6" s="30" t="str">
        <f ca="1"/>
        <v>9.28000000000004</v>
      </c>
      <c r="W6" s="30" t="str">
        <f ca="1"/>
        <v/>
      </c>
      <c r="X6" s="30" t="str">
        <f ca="1"/>
        <v/>
      </c>
      <c r="Y6" s="30" t="str">
        <f ca="1"/>
        <v>141.92</v>
      </c>
    </row>
    <row r="7" spans="1:25" x14ac:dyDescent="0.25">
      <c r="A7" s="17" t="s">
        <v>14</v>
      </c>
      <c r="B7" s="17" t="s">
        <v>13</v>
      </c>
      <c r="C7" s="9" t="s">
        <v>0</v>
      </c>
      <c r="D7" s="12">
        <f ca="1"/>
        <v>3777.9</v>
      </c>
      <c r="E7" s="12">
        <f ca="1"/>
        <v>3033.7</v>
      </c>
      <c r="F7" s="12">
        <f ca="1"/>
        <v>3056.8</v>
      </c>
      <c r="G7" s="12">
        <f ca="1"/>
        <v>3033.3</v>
      </c>
      <c r="H7" s="12">
        <f ca="1"/>
        <v>3176.6</v>
      </c>
      <c r="I7" s="12">
        <f ca="1"/>
        <v>3220.9</v>
      </c>
      <c r="J7" s="12">
        <f ca="1"/>
        <v>3282</v>
      </c>
      <c r="K7" s="12">
        <f ca="1"/>
        <v>3329.4</v>
      </c>
      <c r="L7" s="12">
        <f ca="1"/>
        <v>3345.1</v>
      </c>
      <c r="M7" s="12">
        <f ca="1"/>
        <v>3527.3</v>
      </c>
      <c r="N7" s="12">
        <f ca="1"/>
        <v>3563.5</v>
      </c>
      <c r="O7" s="3">
        <f ca="1"/>
        <v>3515.8</v>
      </c>
      <c r="P7" s="1"/>
      <c r="Q7" s="25" t="str">
        <f ca="1"/>
        <v>LH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29.6601</v>
      </c>
      <c r="V7" s="30" t="str">
        <f ca="1"/>
        <v>89.8</v>
      </c>
      <c r="W7" s="30" t="str">
        <f ca="1"/>
        <v/>
      </c>
      <c r="X7" s="30" t="str">
        <f ca="1"/>
        <v/>
      </c>
      <c r="Y7" s="30" t="str">
        <f ca="1"/>
        <v>132.01</v>
      </c>
    </row>
    <row r="8" spans="1:25" x14ac:dyDescent="0.25">
      <c r="C8" s="4" t="s">
        <v>5</v>
      </c>
      <c r="D8" s="5"/>
      <c r="E8" s="4"/>
      <c r="F8" s="4"/>
      <c r="G8" s="13"/>
      <c r="H8" s="13">
        <f t="shared" ref="H8:N8" ca="1" si="2">+H7/D7-1</f>
        <v>-0.15916249768389845</v>
      </c>
      <c r="I8" s="13">
        <f t="shared" ca="1" si="2"/>
        <v>6.1706826647328405E-2</v>
      </c>
      <c r="J8" s="13">
        <f t="shared" ca="1" si="2"/>
        <v>7.3671813661345231E-2</v>
      </c>
      <c r="K8" s="13">
        <f t="shared" ca="1" si="2"/>
        <v>9.7616457323706829E-2</v>
      </c>
      <c r="L8" s="13">
        <f t="shared" ca="1" si="2"/>
        <v>5.3044135238934809E-2</v>
      </c>
      <c r="M8" s="13">
        <f t="shared" ca="1" si="2"/>
        <v>9.5128690738613519E-2</v>
      </c>
      <c r="N8" s="13">
        <f t="shared" ca="1" si="2"/>
        <v>8.5770871419865946E-2</v>
      </c>
      <c r="O8" s="13">
        <f ca="1">+O7/K7-1</f>
        <v>5.5986063554994914E-2</v>
      </c>
      <c r="P8" s="3"/>
      <c r="Q8" s="25" t="str">
        <f ca="1"/>
        <v>LH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28.7667</v>
      </c>
      <c r="V8" s="30" t="str">
        <f ca="1"/>
        <v>121.03</v>
      </c>
      <c r="W8" s="30" t="str">
        <f ca="1"/>
        <v/>
      </c>
      <c r="X8" s="30" t="str">
        <f ca="1"/>
        <v/>
      </c>
      <c r="Y8" s="30" t="str">
        <f ca="1"/>
        <v>-89.34</v>
      </c>
    </row>
    <row r="9" spans="1:25" x14ac:dyDescent="0.25">
      <c r="C9" s="4" t="s">
        <v>24</v>
      </c>
      <c r="D9" s="1"/>
      <c r="L9" s="7">
        <f ca="1">(L8-K8)*10000</f>
        <v>-445.7232208477202</v>
      </c>
      <c r="M9" s="7">
        <f ca="1">(M8-L8)*10000</f>
        <v>420.84555499678709</v>
      </c>
      <c r="N9" s="7">
        <f ca="1">(N8-M8)*10000</f>
        <v>-93.578193187475733</v>
      </c>
      <c r="O9" s="7">
        <f ca="1">(O8-N8)*10000</f>
        <v>-297.84807864871033</v>
      </c>
      <c r="Q9" s="23" t="str">
        <f ca="1"/>
        <v>LH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28.2496</v>
      </c>
      <c r="V9" s="30" t="str">
        <f ca="1"/>
        <v>132.88</v>
      </c>
      <c r="W9" s="30" t="str">
        <f ca="1"/>
        <v/>
      </c>
      <c r="X9" s="30" t="str">
        <f ca="1"/>
        <v/>
      </c>
      <c r="Y9" s="30" t="str">
        <f ca="1"/>
        <v>-51.7099999999999</v>
      </c>
    </row>
    <row r="10" spans="1:25" x14ac:dyDescent="0.25">
      <c r="C10" s="4" t="s">
        <v>36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2122.0663292283325</v>
      </c>
      <c r="M10" s="7">
        <f ca="1">(M8-I8)*10000</f>
        <v>334.21864091285113</v>
      </c>
      <c r="N10" s="7">
        <f ca="1">(N8-J8)*10000</f>
        <v>120.99057758520715</v>
      </c>
      <c r="O10" s="7">
        <f ca="1">(O8-K8)*10000</f>
        <v>-416.30393768711917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LH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9.7456</v>
      </c>
      <c r="V10" s="30" t="str">
        <f ca="1"/>
        <v>-36.9</v>
      </c>
      <c r="W10" s="30" t="str">
        <f ca="1"/>
        <v/>
      </c>
      <c r="X10" s="30" t="str">
        <f ca="1"/>
        <v/>
      </c>
      <c r="Y10" s="30" t="str">
        <f ca="1"/>
        <v>324.29</v>
      </c>
    </row>
    <row r="11" spans="1:25" x14ac:dyDescent="0.25">
      <c r="C11" s="4" t="s">
        <v>6</v>
      </c>
      <c r="D11" s="1"/>
      <c r="L11" s="13">
        <f t="shared" ref="L11:N11" ca="1" si="3">L7/K7-1</f>
        <v>4.7155643659517743E-3</v>
      </c>
      <c r="M11" s="13">
        <f t="shared" ca="1" si="3"/>
        <v>5.4467728916923308E-2</v>
      </c>
      <c r="N11" s="13">
        <f t="shared" ca="1" si="3"/>
        <v>1.026280724633577E-2</v>
      </c>
      <c r="O11" s="13">
        <f ca="1">O7/N7-1</f>
        <v>-1.3385716290164162E-2</v>
      </c>
      <c r="Q11" s="25" t="str">
        <f ca="1"/>
        <v>LH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11.1842</v>
      </c>
      <c r="V11" s="30" t="str">
        <f ca="1"/>
        <v>203.15</v>
      </c>
      <c r="W11" s="30" t="str">
        <f ca="1"/>
        <v/>
      </c>
      <c r="X11" s="30" t="str">
        <f ca="1"/>
        <v/>
      </c>
      <c r="Y11" s="30" t="str">
        <f ca="1"/>
        <v>143.86</v>
      </c>
    </row>
    <row r="12" spans="1:25" x14ac:dyDescent="0.25">
      <c r="Q12" s="25" t="str">
        <f ca="1"/>
        <v>LH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11.1295</v>
      </c>
      <c r="V12" s="30" t="str">
        <f ca="1"/>
        <v>338.73</v>
      </c>
      <c r="W12" s="30" t="str">
        <f ca="1"/>
        <v/>
      </c>
      <c r="X12" s="30" t="str">
        <f ca="1"/>
        <v/>
      </c>
      <c r="Y12" s="30" t="str">
        <f ca="1"/>
        <v>-5.47000000000004</v>
      </c>
    </row>
    <row r="13" spans="1:25" x14ac:dyDescent="0.25">
      <c r="C13" s="14" t="s">
        <v>17</v>
      </c>
      <c r="D13" s="15">
        <f ca="1">EOMONTH(DATE(YEAR(D14),ROUNDUP(MONTH(D14)/3,0)*3,1),0)</f>
        <v>45016</v>
      </c>
      <c r="E13" s="15">
        <f ca="1">EOMONTH(DATE(YEAR(E14),ROUNDUP(MONTH(E14)/3,0)*3,1),0)</f>
        <v>45107</v>
      </c>
      <c r="F13" s="15">
        <f t="shared" ref="F13:I13" ca="1" si="4">EOMONTH(DATE(YEAR(F14),ROUNDUP(MONTH(F14)/3,0)*3,1),0)</f>
        <v>45199</v>
      </c>
      <c r="G13" s="15">
        <f t="shared" ca="1" si="4"/>
        <v>45291</v>
      </c>
      <c r="H13" s="15">
        <f t="shared" ca="1" si="4"/>
        <v>45382</v>
      </c>
      <c r="I13" s="15">
        <f t="shared" ca="1" si="4"/>
        <v>45473</v>
      </c>
      <c r="J13" s="15">
        <f t="shared" ref="J13:O13" ca="1" si="5">EOMONTH(DATE(YEAR(J14),ROUNDUP(MONTH(J14)/3,0)*3,1),0)</f>
        <v>45565</v>
      </c>
      <c r="K13" s="15">
        <f t="shared" ca="1" si="5"/>
        <v>45657</v>
      </c>
      <c r="L13" s="15">
        <f t="shared" ca="1" si="5"/>
        <v>45747</v>
      </c>
      <c r="M13" s="15">
        <f t="shared" ca="1" si="5"/>
        <v>45838</v>
      </c>
      <c r="N13" s="15">
        <f t="shared" ca="1" si="5"/>
        <v>45930</v>
      </c>
      <c r="O13" s="15">
        <f t="shared" ca="1" si="5"/>
        <v>46022</v>
      </c>
      <c r="Q13" s="25" t="str">
        <f ca="1"/>
        <v>LH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7.6114</v>
      </c>
      <c r="V13" s="30" t="str">
        <f ca="1"/>
        <v>110.87</v>
      </c>
      <c r="W13" s="30" t="str">
        <f ca="1"/>
        <v/>
      </c>
      <c r="X13" s="30" t="str">
        <f ca="1"/>
        <v/>
      </c>
      <c r="Y13" s="30" t="str">
        <f ca="1"/>
        <v>-351.81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LH US EQUITY</v>
      </c>
      <c r="R14" s="25">
        <v>45747</v>
      </c>
      <c r="S14" s="26" t="str">
        <v>custom</v>
      </c>
      <c r="T14" s="27" t="str">
        <v>organic_yoy</v>
      </c>
      <c r="U14" s="31" t="str">
        <v>0.021</v>
      </c>
      <c r="V14" s="30" t="str">
        <v>-20</v>
      </c>
      <c r="W14" s="30" t="str">
        <v/>
      </c>
      <c r="X14" s="30" t="str">
        <v/>
      </c>
      <c r="Y14" s="30" t="str">
        <v>-330</v>
      </c>
    </row>
    <row r="15" spans="1:25" x14ac:dyDescent="0.25">
      <c r="A15" s="17" t="s">
        <v>14</v>
      </c>
      <c r="B15" s="17" t="s">
        <v>19</v>
      </c>
      <c r="C15" s="9" t="s">
        <v>8</v>
      </c>
      <c r="D15" s="3">
        <f ca="1"/>
        <v>27.984100000000002</v>
      </c>
      <c r="E15" s="3">
        <f ca="1"/>
        <v>27.761500000000002</v>
      </c>
      <c r="F15" s="3">
        <f ca="1"/>
        <v>27.8461</v>
      </c>
      <c r="G15" s="3">
        <f ca="1"/>
        <v>27.0794</v>
      </c>
      <c r="H15" s="3">
        <f ca="1"/>
        <v>28.247199999999999</v>
      </c>
      <c r="I15" s="3">
        <f ca="1"/>
        <v>28.7621</v>
      </c>
      <c r="J15" s="3">
        <f ca="1"/>
        <v>27.5564</v>
      </c>
      <c r="K15" s="3">
        <f ca="1"/>
        <v>26.9208</v>
      </c>
      <c r="L15" s="3">
        <f ca="1"/>
        <v>28.34</v>
      </c>
      <c r="M15" s="3">
        <f ca="1"/>
        <v>29.6601</v>
      </c>
      <c r="N15" s="3">
        <f ca="1"/>
        <v>28.7667</v>
      </c>
      <c r="O15">
        <f ca="1"/>
        <v>28.249600000000001</v>
      </c>
      <c r="Q15" s="25" t="str">
        <v>LH US EQUITY</v>
      </c>
      <c r="R15" s="25">
        <v>45838</v>
      </c>
      <c r="S15" s="26" t="str">
        <v>custom</v>
      </c>
      <c r="T15" s="27" t="str">
        <v>organic_yoy</v>
      </c>
      <c r="U15" s="31" t="str">
        <v>0.054</v>
      </c>
      <c r="V15" s="30" t="str">
        <v>160</v>
      </c>
      <c r="W15" s="30" t="str">
        <v/>
      </c>
      <c r="X15" s="30" t="str">
        <v/>
      </c>
      <c r="Y15" s="30" t="str">
        <v>330</v>
      </c>
    </row>
    <row r="16" spans="1:25" x14ac:dyDescent="0.25">
      <c r="C16" s="4" t="s">
        <v>5</v>
      </c>
      <c r="D16" s="5"/>
      <c r="E16" s="4"/>
      <c r="F16" s="4"/>
      <c r="G16" s="4"/>
      <c r="H16" s="7">
        <f t="shared" ref="H16:N16" ca="1" si="6">(H15-D15)*100</f>
        <v>26.309999999999789</v>
      </c>
      <c r="I16" s="7">
        <f t="shared" ca="1" si="6"/>
        <v>100.05999999999986</v>
      </c>
      <c r="J16" s="7">
        <f t="shared" ca="1" si="6"/>
        <v>-28.969999999999985</v>
      </c>
      <c r="K16" s="7">
        <f t="shared" ca="1" si="6"/>
        <v>-15.859999999999985</v>
      </c>
      <c r="L16" s="7">
        <f t="shared" ca="1" si="6"/>
        <v>9.2800000000000438</v>
      </c>
      <c r="M16" s="7">
        <f t="shared" ca="1" si="6"/>
        <v>89.799999999999969</v>
      </c>
      <c r="N16" s="7">
        <f t="shared" ca="1" si="6"/>
        <v>121.03000000000002</v>
      </c>
      <c r="O16" s="7">
        <f ca="1">(O15-K15)*100</f>
        <v>132.88000000000011</v>
      </c>
      <c r="Q16" s="25" t="str">
        <v>LH US EQUITY</v>
      </c>
      <c r="R16" s="25">
        <v>45930</v>
      </c>
      <c r="S16" s="26" t="str">
        <v>custom</v>
      </c>
      <c r="T16" s="27" t="str">
        <v>organic_yoy</v>
      </c>
      <c r="U16" s="31" t="str">
        <v>0.062</v>
      </c>
      <c r="V16" s="30" t="str">
        <v>200</v>
      </c>
      <c r="W16" s="30" t="str">
        <v/>
      </c>
      <c r="X16" s="30" t="str">
        <v/>
      </c>
      <c r="Y16" s="30" t="str">
        <v>80</v>
      </c>
    </row>
    <row r="17" spans="1:25" x14ac:dyDescent="0.25">
      <c r="C17" s="4" t="s">
        <v>24</v>
      </c>
      <c r="D17" s="1"/>
      <c r="K17" s="7"/>
      <c r="L17" s="7"/>
      <c r="M17" s="7"/>
      <c r="N17" s="7"/>
      <c r="O17" s="7"/>
      <c r="Q17" s="25" t="str">
        <v>LH US EQUITY</v>
      </c>
      <c r="R17" s="25">
        <v>46022</v>
      </c>
      <c r="S17" s="26" t="str">
        <v>custom</v>
      </c>
      <c r="T17" s="27" t="str">
        <v>organic_yoy</v>
      </c>
      <c r="U17" s="31" t="str">
        <v>0.038</v>
      </c>
      <c r="V17" s="30" t="str">
        <v>-160</v>
      </c>
      <c r="W17" s="30" t="str">
        <v/>
      </c>
      <c r="X17" s="30" t="str">
        <v/>
      </c>
      <c r="Y17" s="30" t="str">
        <v>-240</v>
      </c>
    </row>
    <row r="18" spans="1:25" x14ac:dyDescent="0.25">
      <c r="C18" s="4" t="s">
        <v>36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LH US EQUITY</v>
      </c>
      <c r="R18" s="25">
        <v>45747</v>
      </c>
      <c r="S18" s="26" t="str">
        <v>custom</v>
      </c>
      <c r="T18" s="27" t="str">
        <v>dx_organic_volume_yoy</v>
      </c>
      <c r="U18" s="31" t="str">
        <v>0.037</v>
      </c>
      <c r="V18" s="30" t="str">
        <v>140</v>
      </c>
      <c r="W18" s="30" t="str">
        <v/>
      </c>
      <c r="X18" s="30" t="str">
        <v/>
      </c>
      <c r="Y18" s="30" t="str">
        <v>-30</v>
      </c>
    </row>
    <row r="19" spans="1:25" x14ac:dyDescent="0.25">
      <c r="C19" s="4" t="s">
        <v>6</v>
      </c>
      <c r="D19" s="1"/>
      <c r="K19" s="7"/>
      <c r="L19" s="7">
        <f ca="1">(L15-K15)*100</f>
        <v>141.92000000000002</v>
      </c>
      <c r="M19" s="7">
        <f t="shared" ref="M19:O19" ca="1" si="7">(M15-L15)*100</f>
        <v>132.01</v>
      </c>
      <c r="N19" s="7">
        <f t="shared" ca="1" si="7"/>
        <v>-89.339999999999975</v>
      </c>
      <c r="O19" s="7">
        <f t="shared" ca="1" si="7"/>
        <v>-51.709999999999923</v>
      </c>
      <c r="Q19" s="25" t="str">
        <v>LH US EQUITY</v>
      </c>
      <c r="R19" s="25">
        <v>45838</v>
      </c>
      <c r="S19" s="26" t="str">
        <v>custom</v>
      </c>
      <c r="T19" s="27" t="str">
        <v>dx_organic_volume_yoy</v>
      </c>
      <c r="U19" s="31" t="str">
        <v>0.054</v>
      </c>
      <c r="V19" s="30" t="str">
        <v>160</v>
      </c>
      <c r="W19" s="30" t="str">
        <v/>
      </c>
      <c r="X19" s="30" t="str">
        <v/>
      </c>
      <c r="Y19" s="30" t="str">
        <v>170</v>
      </c>
    </row>
    <row r="20" spans="1:25" x14ac:dyDescent="0.25">
      <c r="Q20" s="25" t="str">
        <v>LH US EQUITY</v>
      </c>
      <c r="R20" s="25">
        <v>45930</v>
      </c>
      <c r="S20" s="26" t="str">
        <v>custom</v>
      </c>
      <c r="T20" s="27" t="str">
        <v>dx_organic_volume_yoy</v>
      </c>
      <c r="U20" s="31" t="str">
        <v>0.035</v>
      </c>
      <c r="V20" s="30" t="str">
        <v>130</v>
      </c>
      <c r="W20" s="30" t="str">
        <v/>
      </c>
      <c r="X20" s="30" t="str">
        <v/>
      </c>
      <c r="Y20" s="30" t="str">
        <v>-190</v>
      </c>
    </row>
    <row r="21" spans="1:25" x14ac:dyDescent="0.25">
      <c r="C21" s="14" t="s">
        <v>17</v>
      </c>
      <c r="D21" s="15">
        <f ca="1">EOMONTH(DATE(YEAR(D22),ROUNDUP(MONTH(D22)/3,0)*3,1),0)</f>
        <v>45016</v>
      </c>
      <c r="E21" s="15">
        <f ca="1">EOMONTH(DATE(YEAR(E22),ROUNDUP(MONTH(E22)/3,0)*3,1),0)</f>
        <v>45107</v>
      </c>
      <c r="F21" s="15">
        <f t="shared" ref="F21:I21" ca="1" si="8">EOMONTH(DATE(YEAR(F22),ROUNDUP(MONTH(F22)/3,0)*3,1),0)</f>
        <v>45199</v>
      </c>
      <c r="G21" s="15">
        <f t="shared" ca="1" si="8"/>
        <v>45291</v>
      </c>
      <c r="H21" s="15">
        <f t="shared" ca="1" si="8"/>
        <v>45382</v>
      </c>
      <c r="I21" s="15">
        <f t="shared" ca="1" si="8"/>
        <v>45473</v>
      </c>
      <c r="J21" s="15">
        <f t="shared" ref="J21:O21" ca="1" si="9">EOMONTH(DATE(YEAR(J22),ROUNDUP(MONTH(J22)/3,0)*3,1),0)</f>
        <v>45565</v>
      </c>
      <c r="K21" s="15">
        <f t="shared" ca="1" si="9"/>
        <v>45657</v>
      </c>
      <c r="L21" s="15">
        <f t="shared" ca="1" si="9"/>
        <v>45747</v>
      </c>
      <c r="M21" s="15">
        <f t="shared" ca="1" si="9"/>
        <v>45838</v>
      </c>
      <c r="N21" s="15">
        <f t="shared" ca="1" si="9"/>
        <v>45930</v>
      </c>
      <c r="O21" s="15">
        <f t="shared" ca="1" si="9"/>
        <v>46022</v>
      </c>
      <c r="Q21" s="25" t="str">
        <v>LH US EQUITY</v>
      </c>
      <c r="R21" s="25">
        <v>46022</v>
      </c>
      <c r="S21" s="26" t="str">
        <v>custom</v>
      </c>
      <c r="T21" s="27" t="str">
        <v>dx_organic_volume_yoy</v>
      </c>
      <c r="U21" s="31" t="str">
        <v>0.011</v>
      </c>
      <c r="V21" s="30" t="str">
        <v>-290</v>
      </c>
      <c r="W21" s="30" t="str">
        <v/>
      </c>
      <c r="X21" s="30" t="str">
        <v/>
      </c>
      <c r="Y21" s="30" t="str">
        <v>-240</v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/>
      <c r="R22" s="25"/>
      <c r="S22" s="26"/>
      <c r="T22" s="27"/>
      <c r="U22" s="28"/>
      <c r="V22" s="29"/>
      <c r="W22" s="30"/>
      <c r="X22" s="29"/>
      <c r="Y22" s="30"/>
    </row>
    <row r="23" spans="1:25" x14ac:dyDescent="0.25">
      <c r="A23" s="17" t="s">
        <v>14</v>
      </c>
      <c r="B23" s="17" t="s">
        <v>20</v>
      </c>
      <c r="C23" s="9" t="s">
        <v>9</v>
      </c>
      <c r="D23" s="3">
        <f ca="1"/>
        <v>10.8565</v>
      </c>
      <c r="E23" s="3">
        <f ca="1"/>
        <v>8.7781000000000002</v>
      </c>
      <c r="F23" s="3">
        <f ca="1"/>
        <v>8.2537000000000003</v>
      </c>
      <c r="G23" s="3">
        <f ca="1"/>
        <v>-4.0484</v>
      </c>
      <c r="H23" s="3">
        <f ca="1"/>
        <v>10.114599999999999</v>
      </c>
      <c r="I23" s="3">
        <f ca="1"/>
        <v>9.1526999999999994</v>
      </c>
      <c r="J23" s="3">
        <f ca="1"/>
        <v>7.7422000000000004</v>
      </c>
      <c r="K23" s="3">
        <f ca="1"/>
        <v>6.5026999999999999</v>
      </c>
      <c r="L23" s="3">
        <f ca="1"/>
        <v>9.7455999999999996</v>
      </c>
      <c r="M23" s="3">
        <f ca="1"/>
        <v>11.184200000000001</v>
      </c>
      <c r="N23" s="3">
        <f ca="1"/>
        <v>11.1295</v>
      </c>
      <c r="O23">
        <f ca="1"/>
        <v>7.6113999999999997</v>
      </c>
      <c r="Q23" s="25"/>
      <c r="R23" s="25"/>
      <c r="S23" s="26"/>
      <c r="T23" s="27"/>
      <c r="U23" s="28"/>
      <c r="V23" s="29"/>
      <c r="W23" s="30"/>
      <c r="X23" s="29"/>
      <c r="Y23" s="30"/>
    </row>
    <row r="24" spans="1:25" x14ac:dyDescent="0.25">
      <c r="C24" s="4" t="s">
        <v>5</v>
      </c>
      <c r="D24" s="5"/>
      <c r="E24" s="4"/>
      <c r="F24" s="4"/>
      <c r="G24" s="4"/>
      <c r="H24" s="7">
        <f t="shared" ref="H24" ca="1" si="10">(H23-D23)*100</f>
        <v>-74.190000000000111</v>
      </c>
      <c r="I24" s="7">
        <f t="shared" ref="I24" ca="1" si="11">(I23-E23)*100</f>
        <v>37.459999999999916</v>
      </c>
      <c r="J24" s="7">
        <f t="shared" ref="J24" ca="1" si="12">(J23-F23)*100</f>
        <v>-51.149999999999984</v>
      </c>
      <c r="K24" s="7">
        <f t="shared" ref="K24" ca="1" si="13">(K23-G23)*100</f>
        <v>1055.1099999999999</v>
      </c>
      <c r="L24" s="7">
        <f t="shared" ref="L24" ca="1" si="14">(L23-H23)*100</f>
        <v>-36.899999999999977</v>
      </c>
      <c r="M24" s="7">
        <f t="shared" ref="M24" ca="1" si="15">(M23-I23)*100</f>
        <v>203.15000000000012</v>
      </c>
      <c r="N24" s="7">
        <f t="shared" ref="N24" ca="1" si="16">(N23-J23)*100</f>
        <v>338.72999999999996</v>
      </c>
      <c r="O24" s="7">
        <f ca="1">(O23-K23)*100</f>
        <v>110.86999999999998</v>
      </c>
      <c r="Q24" s="25"/>
      <c r="R24" s="25"/>
      <c r="S24" s="26"/>
      <c r="T24" s="27"/>
      <c r="U24" s="28"/>
      <c r="V24" s="29"/>
      <c r="W24" s="30"/>
      <c r="X24" s="29"/>
      <c r="Y24" s="30"/>
    </row>
    <row r="25" spans="1:25" x14ac:dyDescent="0.25">
      <c r="C25" s="4" t="s">
        <v>24</v>
      </c>
      <c r="D25" s="1"/>
      <c r="K25" s="7"/>
      <c r="L25" s="7"/>
      <c r="M25" s="7"/>
      <c r="N25" s="7"/>
      <c r="O25" s="7"/>
      <c r="Q25" s="25"/>
      <c r="R25" s="25"/>
      <c r="S25" s="26"/>
      <c r="T25" s="27"/>
      <c r="U25" s="28"/>
      <c r="V25" s="29"/>
      <c r="W25" s="30"/>
      <c r="X25" s="29"/>
      <c r="Y25" s="30"/>
    </row>
    <row r="26" spans="1:25" x14ac:dyDescent="0.25">
      <c r="C26" s="4" t="s">
        <v>36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5"/>
      <c r="R26" s="25"/>
      <c r="S26" s="26"/>
      <c r="T26" s="27"/>
      <c r="U26" s="28"/>
      <c r="V26" s="29"/>
      <c r="W26" s="30"/>
      <c r="X26" s="29"/>
      <c r="Y26" s="30"/>
    </row>
    <row r="27" spans="1:25" x14ac:dyDescent="0.25">
      <c r="C27" s="4" t="s">
        <v>6</v>
      </c>
      <c r="D27" s="1"/>
      <c r="K27" s="7"/>
      <c r="L27" s="7">
        <f ca="1">(L23-K23)*100</f>
        <v>324.28999999999996</v>
      </c>
      <c r="M27" s="7">
        <f t="shared" ref="M27:O27" ca="1" si="17">(M23-L23)*100</f>
        <v>143.8600000000001</v>
      </c>
      <c r="N27" s="7">
        <f t="shared" ca="1" si="17"/>
        <v>-5.4700000000000415</v>
      </c>
      <c r="O27" s="7">
        <f t="shared" ca="1" si="17"/>
        <v>-351.81000000000006</v>
      </c>
      <c r="Q27" s="25"/>
      <c r="R27" s="25"/>
      <c r="S27" s="26"/>
      <c r="T27" s="27"/>
      <c r="U27" s="28"/>
      <c r="V27" s="29"/>
      <c r="W27" s="30"/>
      <c r="X27" s="29"/>
      <c r="Y27" s="30"/>
    </row>
    <row r="28" spans="1:25" x14ac:dyDescent="0.25">
      <c r="C28" s="4"/>
      <c r="D28" s="1"/>
      <c r="K28" s="7"/>
      <c r="L28" s="7"/>
      <c r="M28" s="7"/>
      <c r="N28" s="7"/>
      <c r="O28" s="7"/>
      <c r="Q28" s="25"/>
      <c r="R28" s="25"/>
      <c r="S28" s="26"/>
      <c r="T28" s="27"/>
      <c r="U28" s="28"/>
      <c r="V28" s="29"/>
      <c r="W28" s="30"/>
      <c r="X28" s="29"/>
      <c r="Y28" s="30"/>
    </row>
    <row r="29" spans="1:25" x14ac:dyDescent="0.25">
      <c r="C29" s="14" t="s">
        <v>17</v>
      </c>
      <c r="D29" s="15"/>
      <c r="E29" s="15"/>
      <c r="F29" s="15"/>
      <c r="G29" s="15">
        <f t="shared" ref="G29" si="18">EOMONTH(DATE(YEAR(G30),ROUNDUP(MONTH(G30)/3,0)*3,1),0)</f>
        <v>45291</v>
      </c>
      <c r="H29" s="15">
        <f t="shared" ref="H29" si="19">EOMONTH(DATE(YEAR(H30),ROUNDUP(MONTH(H30)/3,0)*3,1),0)</f>
        <v>45382</v>
      </c>
      <c r="I29" s="15">
        <f t="shared" ref="I29:L29" si="20">EOMONTH(DATE(YEAR(I30),ROUNDUP(MONTH(I30)/3,0)*3,1),0)</f>
        <v>45473</v>
      </c>
      <c r="J29" s="15">
        <f t="shared" si="20"/>
        <v>45565</v>
      </c>
      <c r="K29" s="15">
        <f t="shared" si="20"/>
        <v>45657</v>
      </c>
      <c r="L29" s="15">
        <f t="shared" si="20"/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  <c r="Q29" s="25"/>
      <c r="R29" s="25"/>
      <c r="S29" s="26"/>
      <c r="T29" s="27"/>
      <c r="U29" s="28"/>
      <c r="V29" s="29"/>
      <c r="W29" s="30"/>
      <c r="X29" s="29"/>
      <c r="Y29" s="30"/>
    </row>
    <row r="30" spans="1:25" x14ac:dyDescent="0.25"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5"/>
      <c r="R30" s="25"/>
      <c r="S30" s="26"/>
      <c r="T30" s="27"/>
      <c r="U30" s="28"/>
      <c r="V30" s="29"/>
      <c r="W30" s="30"/>
      <c r="X30" s="29"/>
      <c r="Y30" s="30"/>
    </row>
    <row r="31" spans="1:25" x14ac:dyDescent="0.25">
      <c r="A31" s="17" t="s">
        <v>26</v>
      </c>
      <c r="B31" s="17" t="s">
        <v>32</v>
      </c>
      <c r="C31" s="2" t="s">
        <v>11</v>
      </c>
      <c r="D31" s="10"/>
      <c r="E31" s="10"/>
      <c r="F31" s="10"/>
      <c r="G31" s="32">
        <v>1.4999999999999999E-2</v>
      </c>
      <c r="H31" s="32">
        <v>2.3E-2</v>
      </c>
      <c r="I31" s="32">
        <v>3.7999999999999999E-2</v>
      </c>
      <c r="J31" s="32">
        <v>4.2000000000000003E-2</v>
      </c>
      <c r="K31" s="32">
        <v>5.3999999999999999E-2</v>
      </c>
      <c r="L31" s="32">
        <v>2.1000000000000001E-2</v>
      </c>
      <c r="M31" s="32">
        <v>5.3999999999999999E-2</v>
      </c>
      <c r="N31" s="32">
        <v>6.2E-2</v>
      </c>
      <c r="O31" s="32">
        <v>3.7999999999999999E-2</v>
      </c>
      <c r="Q31" s="25"/>
      <c r="R31" s="25"/>
      <c r="S31" s="26"/>
      <c r="T31" s="27"/>
      <c r="U31" s="28"/>
      <c r="V31" s="29"/>
      <c r="W31" s="30"/>
      <c r="X31" s="29"/>
      <c r="Y31" s="30"/>
    </row>
    <row r="32" spans="1:25" x14ac:dyDescent="0.2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21">(K31-G31)*100</f>
        <v>3.9</v>
      </c>
      <c r="L32" s="7">
        <f t="shared" ref="L32:N32" si="22">(L31-H31)*10000</f>
        <v>-19.999999999999982</v>
      </c>
      <c r="M32" s="7">
        <f t="shared" si="22"/>
        <v>160</v>
      </c>
      <c r="N32" s="7">
        <f t="shared" si="22"/>
        <v>199.99999999999997</v>
      </c>
      <c r="O32" s="7">
        <f>(O31-K31)*10000</f>
        <v>-160</v>
      </c>
      <c r="Q32" s="25"/>
      <c r="R32" s="25"/>
      <c r="S32" s="26"/>
      <c r="T32" s="27"/>
      <c r="U32" s="28"/>
      <c r="V32" s="29"/>
      <c r="W32" s="30"/>
      <c r="X32" s="29"/>
      <c r="Y32" s="30"/>
    </row>
    <row r="33" spans="1:25" x14ac:dyDescent="0.25">
      <c r="C33" s="4" t="s">
        <v>24</v>
      </c>
      <c r="D33" s="1"/>
      <c r="K33" s="7"/>
      <c r="L33" s="7"/>
      <c r="M33" s="7"/>
      <c r="N33" s="7"/>
      <c r="O33" s="7"/>
      <c r="Q33" s="25"/>
      <c r="R33" s="25"/>
      <c r="S33" s="26"/>
      <c r="T33" s="27"/>
      <c r="U33" s="28"/>
      <c r="V33" s="29"/>
      <c r="W33" s="30"/>
      <c r="X33" s="29"/>
      <c r="Y33" s="30"/>
    </row>
    <row r="34" spans="1:25" x14ac:dyDescent="0.25">
      <c r="C34" s="4" t="s">
        <v>36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6</v>
      </c>
      <c r="D35" s="1"/>
      <c r="K35" s="7"/>
      <c r="L35" s="7">
        <f>(L31-K31)*10000</f>
        <v>-330</v>
      </c>
      <c r="M35" s="7">
        <f t="shared" ref="M35:O35" si="23">(M31-L31)*10000</f>
        <v>330</v>
      </c>
      <c r="N35" s="7">
        <f t="shared" si="23"/>
        <v>80</v>
      </c>
      <c r="O35" s="7">
        <f t="shared" si="23"/>
        <v>-240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4" t="s">
        <v>17</v>
      </c>
      <c r="D37" s="15"/>
      <c r="E37" s="15"/>
      <c r="F37" s="15"/>
      <c r="G37" s="15">
        <f t="shared" ref="G37" si="24">EOMONTH(DATE(YEAR(G38),ROUNDUP(MONTH(G38)/3,0)*3,1),0)</f>
        <v>45291</v>
      </c>
      <c r="H37" s="15">
        <f t="shared" ref="H37" si="25">EOMONTH(DATE(YEAR(H38),ROUNDUP(MONTH(H38)/3,0)*3,1),0)</f>
        <v>45382</v>
      </c>
      <c r="I37" s="15">
        <f t="shared" ref="I37:L37" si="26">EOMONTH(DATE(YEAR(I38),ROUNDUP(MONTH(I38)/3,0)*3,1),0)</f>
        <v>45473</v>
      </c>
      <c r="J37" s="15">
        <f t="shared" si="26"/>
        <v>45565</v>
      </c>
      <c r="K37" s="15">
        <f t="shared" si="26"/>
        <v>45657</v>
      </c>
      <c r="L37" s="15">
        <f t="shared" si="26"/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5" x14ac:dyDescent="0.25"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25">
      <c r="A39" s="17" t="s">
        <v>26</v>
      </c>
      <c r="B39" s="17" t="s">
        <v>33</v>
      </c>
      <c r="C39" s="2" t="s">
        <v>12</v>
      </c>
      <c r="D39" s="10"/>
      <c r="E39" s="10"/>
      <c r="F39" s="10"/>
      <c r="G39" s="32">
        <v>1.4999999999999999E-2</v>
      </c>
      <c r="H39" s="32">
        <v>2.3E-2</v>
      </c>
      <c r="I39" s="32">
        <v>3.7999999999999999E-2</v>
      </c>
      <c r="J39" s="32">
        <v>2.1999999999999999E-2</v>
      </c>
      <c r="K39" s="32">
        <v>0.04</v>
      </c>
      <c r="L39" s="32">
        <v>3.6999999999999998E-2</v>
      </c>
      <c r="M39" s="32">
        <v>5.3999999999999999E-2</v>
      </c>
      <c r="N39" s="32">
        <v>3.5000000000000003E-2</v>
      </c>
      <c r="O39" s="32">
        <v>1.0999999999999999E-2</v>
      </c>
    </row>
    <row r="40" spans="1:25" x14ac:dyDescent="0.2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27">(K39-G39)*100</f>
        <v>2.5</v>
      </c>
      <c r="L40" s="7">
        <f t="shared" ref="L40" si="28">(L39-H39)*10000</f>
        <v>139.99999999999997</v>
      </c>
      <c r="M40" s="7">
        <f t="shared" ref="M40" si="29">(M39-I39)*10000</f>
        <v>160</v>
      </c>
      <c r="N40" s="7">
        <f t="shared" ref="N40" si="30">(N39-J39)*10000</f>
        <v>130.00000000000006</v>
      </c>
      <c r="O40" s="7">
        <f>(O39-K39)*10000</f>
        <v>-290</v>
      </c>
    </row>
    <row r="41" spans="1:25" x14ac:dyDescent="0.25">
      <c r="C41" s="4" t="s">
        <v>24</v>
      </c>
      <c r="D41" s="1"/>
      <c r="K41" s="7"/>
      <c r="L41" s="7"/>
      <c r="M41" s="7"/>
      <c r="N41" s="7"/>
      <c r="O41" s="7"/>
    </row>
    <row r="42" spans="1:25" x14ac:dyDescent="0.25">
      <c r="C42" s="4" t="s">
        <v>36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25">
      <c r="C43" s="4" t="s">
        <v>6</v>
      </c>
      <c r="D43" s="1"/>
      <c r="K43" s="7"/>
      <c r="L43" s="7">
        <f>(L39-K39)*10000</f>
        <v>-30.000000000000028</v>
      </c>
      <c r="M43" s="7">
        <f t="shared" ref="M43:O43" si="31">(M39-L39)*10000</f>
        <v>170</v>
      </c>
      <c r="N43" s="7">
        <f t="shared" si="31"/>
        <v>-189.99999999999997</v>
      </c>
      <c r="O43" s="7">
        <f t="shared" si="31"/>
        <v>-240.00000000000003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4" t="s">
        <v>17</v>
      </c>
      <c r="D45" s="15"/>
      <c r="E45" s="15"/>
      <c r="F45" s="15"/>
      <c r="G45" s="15">
        <f t="shared" ref="G45" si="32">EOMONTH(DATE(YEAR(G46),ROUNDUP(MONTH(G46)/3,0)*3,1),0)</f>
        <v>45291</v>
      </c>
      <c r="H45" s="15">
        <f t="shared" ref="H45" si="33">EOMONTH(DATE(YEAR(H46),ROUNDUP(MONTH(H46)/3,0)*3,1),0)</f>
        <v>45382</v>
      </c>
      <c r="I45" s="15">
        <f t="shared" ref="I45" si="34">EOMONTH(DATE(YEAR(I46),ROUNDUP(MONTH(I46)/3,0)*3,1),0)</f>
        <v>45473</v>
      </c>
      <c r="J45" s="15">
        <f t="shared" ref="J45" si="35">EOMONTH(DATE(YEAR(J46),ROUNDUP(MONTH(J46)/3,0)*3,1),0)</f>
        <v>45565</v>
      </c>
      <c r="K45" s="15">
        <f t="shared" ref="K45" si="36">EOMONTH(DATE(YEAR(K46),ROUNDUP(MONTH(K46)/3,0)*3,1),0)</f>
        <v>45657</v>
      </c>
      <c r="L45" s="15">
        <f t="shared" ref="L45" si="37"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</row>
    <row r="46" spans="1:25" x14ac:dyDescent="0.25"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25">
      <c r="A47" s="17" t="s">
        <v>26</v>
      </c>
      <c r="B47" s="17" t="s">
        <v>34</v>
      </c>
      <c r="C47" s="9" t="s">
        <v>35</v>
      </c>
      <c r="D47" s="10"/>
      <c r="E47" s="10"/>
      <c r="F47" s="10"/>
      <c r="G47" s="32">
        <v>3.2000000000000001E-2</v>
      </c>
      <c r="H47" s="32">
        <v>6.0000000000000001E-3</v>
      </c>
      <c r="I47" s="32">
        <v>2.1000000000000001E-2</v>
      </c>
      <c r="J47" s="32">
        <v>3.7999999999999999E-2</v>
      </c>
      <c r="K47" s="32">
        <v>3.4000000000000002E-2</v>
      </c>
      <c r="L47" s="32">
        <v>0.03</v>
      </c>
      <c r="M47" s="11">
        <v>0.04</v>
      </c>
      <c r="N47" s="11">
        <v>3.6999999999999998E-2</v>
      </c>
      <c r="O47" s="11">
        <v>3.3000000000000002E-2</v>
      </c>
    </row>
    <row r="48" spans="1:25" x14ac:dyDescent="0.2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38">(K47-G47)*100</f>
        <v>0.20000000000000018</v>
      </c>
      <c r="L48" s="7">
        <f t="shared" ref="L48" si="39">(L47-H47)*10000</f>
        <v>240</v>
      </c>
      <c r="M48" s="7">
        <f t="shared" ref="M48" si="40">(M47-I47)*10000</f>
        <v>190</v>
      </c>
      <c r="N48" s="7">
        <f t="shared" ref="N48" si="41">(N47-J47)*10000</f>
        <v>-10.000000000000009</v>
      </c>
      <c r="O48" s="7">
        <f>(O47-K47)*10000</f>
        <v>-10.000000000000009</v>
      </c>
    </row>
    <row r="49" spans="3:15" x14ac:dyDescent="0.25">
      <c r="C49" s="4" t="s">
        <v>24</v>
      </c>
      <c r="D49" s="1"/>
      <c r="K49" s="7"/>
      <c r="L49" s="7"/>
      <c r="M49" s="7"/>
      <c r="N49" s="7"/>
      <c r="O49" s="7"/>
    </row>
    <row r="50" spans="3:15" x14ac:dyDescent="0.25">
      <c r="C50" s="4" t="s">
        <v>36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5" x14ac:dyDescent="0.25">
      <c r="C51" s="4" t="s">
        <v>6</v>
      </c>
      <c r="D51" s="1"/>
      <c r="K51" s="7"/>
      <c r="L51" s="7">
        <f>(L47-K47)*10000</f>
        <v>-40.000000000000036</v>
      </c>
      <c r="M51" s="7">
        <f t="shared" ref="M51:O51" si="42">(M47-L47)*10000</f>
        <v>100.00000000000001</v>
      </c>
      <c r="N51" s="7">
        <f t="shared" si="42"/>
        <v>-30.000000000000028</v>
      </c>
      <c r="O51" s="7">
        <f t="shared" si="42"/>
        <v>-39.999999999999964</v>
      </c>
    </row>
    <row r="52" spans="3:15" x14ac:dyDescent="0.25">
      <c r="C52" s="4"/>
      <c r="D52" s="1"/>
      <c r="L52" s="7"/>
      <c r="M52" s="7"/>
      <c r="N52" s="7"/>
      <c r="O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851B-8FA2-44D1-9FFE-5E27F26EE055}">
  <dimension ref="A1:Y51"/>
  <sheetViews>
    <sheetView zoomScale="85" zoomScaleNormal="85" workbookViewId="0">
      <selection activeCell="Q14" sqref="Q14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3" t="s">
        <v>29</v>
      </c>
      <c r="B1" s="23" t="s">
        <v>29</v>
      </c>
      <c r="C1" s="23" t="s">
        <v>29</v>
      </c>
      <c r="D1" s="23" t="s">
        <v>29</v>
      </c>
      <c r="E1" s="23" t="s">
        <v>29</v>
      </c>
      <c r="F1" s="23" t="s">
        <v>29</v>
      </c>
      <c r="G1" s="23" t="s">
        <v>29</v>
      </c>
      <c r="H1" s="23" t="s">
        <v>29</v>
      </c>
      <c r="I1" s="23" t="s">
        <v>29</v>
      </c>
      <c r="J1" s="23" t="s">
        <v>29</v>
      </c>
      <c r="K1" s="23" t="s">
        <v>29</v>
      </c>
      <c r="L1" s="23" t="s">
        <v>29</v>
      </c>
      <c r="M1" s="23" t="s">
        <v>29</v>
      </c>
      <c r="N1" s="23" t="s">
        <v>29</v>
      </c>
      <c r="O1" s="23" t="s">
        <v>29</v>
      </c>
      <c r="Q1" s="24" t="s">
        <v>18</v>
      </c>
      <c r="R1" s="24" t="s">
        <v>16</v>
      </c>
      <c r="S1" s="24" t="s">
        <v>23</v>
      </c>
      <c r="T1" s="24" t="s">
        <v>22</v>
      </c>
      <c r="U1" s="24" t="s">
        <v>15</v>
      </c>
      <c r="V1" s="24" t="s">
        <v>21</v>
      </c>
      <c r="W1" s="24" t="s">
        <v>25</v>
      </c>
      <c r="X1" s="24" t="s">
        <v>37</v>
      </c>
      <c r="Y1" s="24" t="s">
        <v>38</v>
      </c>
    </row>
    <row r="2" spans="1:25" x14ac:dyDescent="0.25">
      <c r="A2" s="18" t="s">
        <v>1</v>
      </c>
      <c r="B2" s="33" t="s">
        <v>43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QGEN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483.456</v>
      </c>
      <c r="V2" s="29" t="str">
        <f ca="1"/>
        <v>0.0537493788088825</v>
      </c>
      <c r="W2" s="30" t="str">
        <f ca="1"/>
        <v>301.026809013403</v>
      </c>
      <c r="X2" s="29" t="str">
        <f ca="1"/>
        <v>1085.53889746299</v>
      </c>
      <c r="Y2" s="30" t="str">
        <f ca="1"/>
        <v>-0.0724210574786742</v>
      </c>
    </row>
    <row r="3" spans="1:25" x14ac:dyDescent="0.25">
      <c r="A3" s="19" t="s">
        <v>3</v>
      </c>
      <c r="B3" s="20">
        <f ca="1">+B4-365*3</f>
        <v>44989</v>
      </c>
      <c r="Q3" s="25" t="str">
        <f ca="1"/>
        <v>QGEN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534</v>
      </c>
      <c r="V3" s="29" t="str">
        <f ca="1"/>
        <v>0.0766129032258065</v>
      </c>
      <c r="W3" s="30" t="str">
        <f ca="1"/>
        <v>228.63524416924</v>
      </c>
      <c r="X3" s="30" t="str">
        <f ca="1"/>
        <v>786.249756604142</v>
      </c>
      <c r="Y3" s="30" t="str">
        <f ca="1"/>
        <v>0.104547259729944</v>
      </c>
    </row>
    <row r="4" spans="1:25" x14ac:dyDescent="0.25">
      <c r="A4" s="21" t="s">
        <v>2</v>
      </c>
      <c r="B4" s="22">
        <f ca="1">TODAY()</f>
        <v>46084</v>
      </c>
      <c r="Q4" s="25" t="str">
        <f ca="1"/>
        <v>QGEN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533</v>
      </c>
      <c r="V4" s="29" t="str">
        <f ca="1"/>
        <v>0.0617529880478087</v>
      </c>
      <c r="W4" s="30" t="str">
        <f ca="1"/>
        <v>-148.599151779978</v>
      </c>
      <c r="X4" s="30" t="str">
        <f ca="1"/>
        <v>68.9623423288355</v>
      </c>
      <c r="Y4" s="30" t="str">
        <f ca="1"/>
        <v>-0.00187265917602997</v>
      </c>
    </row>
    <row r="5" spans="1:25" x14ac:dyDescent="0.25">
      <c r="C5" s="14" t="s">
        <v>17</v>
      </c>
      <c r="D5" s="15">
        <f ca="1">EOMONTH(DATE(YEAR(D6),ROUNDUP(MONTH(D6)/3,0)*3,1),0)</f>
        <v>45016</v>
      </c>
      <c r="E5" s="15">
        <f ca="1">EOMONTH(DATE(YEAR(E6),ROUNDUP(MONTH(E6)/3,0)*3,1),0)</f>
        <v>45107</v>
      </c>
      <c r="F5" s="15">
        <f ca="1">EOMONTH(DATE(YEAR(F6),ROUNDUP(MONTH(F6)/3,0)*3,1),0)</f>
        <v>45199</v>
      </c>
      <c r="G5" s="15">
        <f t="shared" ref="G5:K5" ca="1" si="0">EOMONTH(DATE(YEAR(G6),ROUNDUP(MONTH(G6)/3,0)*3,1),0)</f>
        <v>45291</v>
      </c>
      <c r="H5" s="15">
        <f t="shared" ca="1" si="0"/>
        <v>45382</v>
      </c>
      <c r="I5" s="15">
        <f t="shared" ca="1" si="0"/>
        <v>45473</v>
      </c>
      <c r="J5" s="15">
        <f t="shared" ca="1" si="0"/>
        <v>45565</v>
      </c>
      <c r="K5" s="15">
        <f t="shared" ca="1" si="0"/>
        <v>45657</v>
      </c>
      <c r="L5" s="15">
        <f ca="1">EOMONTH(DATE(YEAR(L6),ROUNDUP(MONTH(L6)/3,0)*3,1),0)</f>
        <v>45747</v>
      </c>
      <c r="M5" s="15">
        <f ca="1">EOMONTH(DATE(YEAR(M6),ROUNDUP(MONTH(M6)/3,0)*3,1),0)</f>
        <v>45838</v>
      </c>
      <c r="N5" s="15">
        <f ca="1">EOMONTH(DATE(YEAR(N6),ROUNDUP(MONTH(N6)/3,0)*3,1),0)</f>
        <v>45930</v>
      </c>
      <c r="O5" s="15">
        <f ca="1">EOMONTH(DATE(YEAR(O6),ROUNDUP(MONTH(O6)/3,0)*3,1),0)</f>
        <v>46022</v>
      </c>
      <c r="Q5" s="25" t="str">
        <f ca="1"/>
        <v>QGEN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540</v>
      </c>
      <c r="V5" s="29" t="str">
        <f ca="1"/>
        <v>0.0360666305961987</v>
      </c>
      <c r="W5" s="30" t="str">
        <f ca="1"/>
        <v>-256.8635745161</v>
      </c>
      <c r="X5" s="30" t="str">
        <f ca="1"/>
        <v>124.199326886565</v>
      </c>
      <c r="Y5" s="30" t="str">
        <f ca="1"/>
        <v>0.0131332082551594</v>
      </c>
    </row>
    <row r="6" spans="1:25" x14ac:dyDescent="0.25">
      <c r="D6" s="16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QGEN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63.8488</v>
      </c>
      <c r="V6" s="30" t="str">
        <f ca="1"/>
        <v>42.4299999999995</v>
      </c>
      <c r="W6" s="30" t="str">
        <f ca="1"/>
        <v/>
      </c>
      <c r="X6" s="30" t="str">
        <f ca="1"/>
        <v/>
      </c>
      <c r="Y6" s="30" t="str">
        <f ca="1"/>
        <v>-9.75999999999999</v>
      </c>
    </row>
    <row r="7" spans="1:25" x14ac:dyDescent="0.25">
      <c r="A7" s="17" t="s">
        <v>14</v>
      </c>
      <c r="B7" s="17" t="s">
        <v>13</v>
      </c>
      <c r="C7" s="9" t="s">
        <v>0</v>
      </c>
      <c r="D7" s="12">
        <f ca="1"/>
        <v>485.39800000000002</v>
      </c>
      <c r="E7" s="12">
        <f ca="1"/>
        <v>497</v>
      </c>
      <c r="F7" s="12">
        <f ca="1"/>
        <v>475.89400000000001</v>
      </c>
      <c r="G7" s="12">
        <f ca="1"/>
        <v>509.16199999999998</v>
      </c>
      <c r="H7" s="12">
        <f ca="1"/>
        <v>458.79599999999999</v>
      </c>
      <c r="I7" s="12">
        <f ca="1"/>
        <v>496</v>
      </c>
      <c r="J7" s="12">
        <f ca="1"/>
        <v>502</v>
      </c>
      <c r="K7" s="12">
        <f ca="1"/>
        <v>521.202</v>
      </c>
      <c r="L7" s="12">
        <f ca="1"/>
        <v>483.45600000000002</v>
      </c>
      <c r="M7" s="12">
        <f ca="1"/>
        <v>534</v>
      </c>
      <c r="N7" s="12">
        <f ca="1"/>
        <v>533</v>
      </c>
      <c r="O7" s="3">
        <f ca="1"/>
        <v>540</v>
      </c>
      <c r="P7" s="1"/>
      <c r="Q7" s="25" t="str">
        <f ca="1"/>
        <v>QGEN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61.9307</v>
      </c>
      <c r="V7" s="30" t="str">
        <f ca="1"/>
        <v>5492.67</v>
      </c>
      <c r="W7" s="30" t="str">
        <f ca="1"/>
        <v/>
      </c>
      <c r="X7" s="30" t="str">
        <f ca="1"/>
        <v/>
      </c>
      <c r="Y7" s="30" t="str">
        <f ca="1"/>
        <v>-191.81</v>
      </c>
    </row>
    <row r="8" spans="1:25" x14ac:dyDescent="0.25">
      <c r="C8" s="4" t="s">
        <v>5</v>
      </c>
      <c r="D8" s="5"/>
      <c r="E8" s="4"/>
      <c r="F8" s="4"/>
      <c r="G8" s="13"/>
      <c r="H8" s="13">
        <f t="shared" ref="H8:N8" ca="1" si="1">+H7/D7-1</f>
        <v>-5.480451093741634E-2</v>
      </c>
      <c r="I8" s="13">
        <f t="shared" ca="1" si="1"/>
        <v>-2.0120724346076591E-3</v>
      </c>
      <c r="J8" s="13">
        <f t="shared" ca="1" si="1"/>
        <v>5.4856753814925163E-2</v>
      </c>
      <c r="K8" s="13">
        <f t="shared" ca="1" si="1"/>
        <v>2.3646697907542258E-2</v>
      </c>
      <c r="L8" s="13">
        <f t="shared" ca="1" si="1"/>
        <v>5.3749378808882531E-2</v>
      </c>
      <c r="M8" s="13">
        <f t="shared" ca="1" si="1"/>
        <v>7.6612903225806495E-2</v>
      </c>
      <c r="N8" s="13">
        <f t="shared" ca="1" si="1"/>
        <v>6.175298804780871E-2</v>
      </c>
      <c r="O8" s="13">
        <f ca="1">+O7/K7-1</f>
        <v>3.6066630596198745E-2</v>
      </c>
      <c r="P8" s="3"/>
      <c r="Q8" s="25" t="str">
        <f ca="1"/>
        <v>QGEN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62.1986</v>
      </c>
      <c r="V8" s="30" t="str">
        <f ca="1"/>
        <v>76.6799999999996</v>
      </c>
      <c r="W8" s="30" t="str">
        <f ca="1"/>
        <v/>
      </c>
      <c r="X8" s="30" t="str">
        <f ca="1"/>
        <v/>
      </c>
      <c r="Y8" s="30" t="str">
        <f ca="1"/>
        <v>26.7899999999997</v>
      </c>
    </row>
    <row r="9" spans="1:25" x14ac:dyDescent="0.25">
      <c r="C9" s="4" t="s">
        <v>24</v>
      </c>
      <c r="D9" s="1"/>
      <c r="L9" s="7">
        <f ca="1">(L8-K8)*10000</f>
        <v>301.02680901340273</v>
      </c>
      <c r="M9" s="7">
        <f ca="1">(M8-L8)*10000</f>
        <v>228.63524416923963</v>
      </c>
      <c r="N9" s="7">
        <f ca="1">(N8-M8)*10000</f>
        <v>-148.59915177997783</v>
      </c>
      <c r="O9" s="7">
        <f ca="1">(O8-N8)*10000</f>
        <v>-256.86357451609967</v>
      </c>
      <c r="Q9" s="23" t="str">
        <f ca="1"/>
        <v>QGEN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60.1882</v>
      </c>
      <c r="V9" s="30" t="str">
        <f ca="1"/>
        <v>-375.819999999999</v>
      </c>
      <c r="W9" s="30" t="str">
        <f ca="1"/>
        <v/>
      </c>
      <c r="X9" s="30" t="str">
        <f ca="1"/>
        <v/>
      </c>
      <c r="Y9" s="30" t="str">
        <f ca="1"/>
        <v>-201.04</v>
      </c>
    </row>
    <row r="10" spans="1:25" x14ac:dyDescent="0.25">
      <c r="C10" s="4" t="s">
        <v>36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1085.5388974629886</v>
      </c>
      <c r="M10" s="7">
        <f ca="1">(M8-I8)*10000</f>
        <v>786.24975660414157</v>
      </c>
      <c r="N10" s="7">
        <f ca="1">(N8-J8)*10000</f>
        <v>68.962342328835462</v>
      </c>
      <c r="O10" s="7">
        <f ca="1">(O8-K8)*10000</f>
        <v>124.19932688656488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QGEN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23.8588</v>
      </c>
      <c r="V10" s="30" t="str">
        <f ca="1"/>
        <v>316.4</v>
      </c>
      <c r="W10" s="30" t="str">
        <f ca="1"/>
        <v/>
      </c>
      <c r="X10" s="30" t="str">
        <f ca="1"/>
        <v/>
      </c>
      <c r="Y10" s="30" t="str">
        <f ca="1"/>
        <v>100.82</v>
      </c>
    </row>
    <row r="11" spans="1:25" x14ac:dyDescent="0.25">
      <c r="C11" s="4" t="s">
        <v>6</v>
      </c>
      <c r="D11" s="1"/>
      <c r="L11" s="13">
        <f t="shared" ref="L11:N11" ca="1" si="2">L7/K7-1</f>
        <v>-7.2421057478674222E-2</v>
      </c>
      <c r="M11" s="13">
        <f t="shared" ca="1" si="2"/>
        <v>0.10454725972994439</v>
      </c>
      <c r="N11" s="13">
        <f t="shared" ca="1" si="2"/>
        <v>-1.8726591760299671E-3</v>
      </c>
      <c r="O11" s="13">
        <f ca="1">O7/N7-1</f>
        <v>1.3133208255159401E-2</v>
      </c>
      <c r="Q11" s="25" t="str">
        <f ca="1"/>
        <v>QGEN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21.0837</v>
      </c>
      <c r="V11" s="30" t="str">
        <f ca="1"/>
        <v>6710.73</v>
      </c>
      <c r="W11" s="30" t="str">
        <f ca="1"/>
        <v/>
      </c>
      <c r="X11" s="30" t="str">
        <f ca="1"/>
        <v/>
      </c>
      <c r="Y11" s="30" t="str">
        <f ca="1"/>
        <v>-277.51</v>
      </c>
    </row>
    <row r="12" spans="1:25" x14ac:dyDescent="0.25">
      <c r="Q12" s="25" t="str">
        <f ca="1"/>
        <v>QGEN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24.2522</v>
      </c>
      <c r="V12" s="30" t="str">
        <f ca="1"/>
        <v>191.51</v>
      </c>
      <c r="W12" s="30" t="str">
        <f ca="1"/>
        <v/>
      </c>
      <c r="X12" s="30" t="str">
        <f ca="1"/>
        <v/>
      </c>
      <c r="Y12" s="30" t="str">
        <f ca="1"/>
        <v>316.85</v>
      </c>
    </row>
    <row r="13" spans="1:25" x14ac:dyDescent="0.25">
      <c r="C13" s="14" t="s">
        <v>17</v>
      </c>
      <c r="D13" s="15">
        <f ca="1">EOMONTH(DATE(YEAR(D14),ROUNDUP(MONTH(D14)/3,0)*3,1),0)</f>
        <v>45016</v>
      </c>
      <c r="E13" s="15">
        <f ca="1">EOMONTH(DATE(YEAR(E14),ROUNDUP(MONTH(E14)/3,0)*3,1),0)</f>
        <v>45107</v>
      </c>
      <c r="F13" s="15">
        <f ca="1">EOMONTH(DATE(YEAR(F14),ROUNDUP(MONTH(F14)/3,0)*3,1),0)</f>
        <v>45199</v>
      </c>
      <c r="G13" s="15">
        <f t="shared" ref="G13:K13" ca="1" si="3">EOMONTH(DATE(YEAR(G14),ROUNDUP(MONTH(G14)/3,0)*3,1),0)</f>
        <v>45291</v>
      </c>
      <c r="H13" s="15">
        <f t="shared" ca="1" si="3"/>
        <v>45382</v>
      </c>
      <c r="I13" s="15">
        <f t="shared" ca="1" si="3"/>
        <v>45473</v>
      </c>
      <c r="J13" s="15">
        <f t="shared" ca="1" si="3"/>
        <v>45565</v>
      </c>
      <c r="K13" s="15">
        <f t="shared" ca="1" si="3"/>
        <v>45657</v>
      </c>
      <c r="L13" s="15">
        <f ca="1">EOMONTH(DATE(YEAR(L14),ROUNDUP(MONTH(L14)/3,0)*3,1),0)</f>
        <v>45747</v>
      </c>
      <c r="M13" s="15">
        <f ca="1">EOMONTH(DATE(YEAR(M14),ROUNDUP(MONTH(M14)/3,0)*3,1),0)</f>
        <v>45838</v>
      </c>
      <c r="N13" s="15">
        <f ca="1">EOMONTH(DATE(YEAR(N14),ROUNDUP(MONTH(N14)/3,0)*3,1),0)</f>
        <v>45930</v>
      </c>
      <c r="O13" s="15">
        <f ca="1">EOMONTH(DATE(YEAR(O14),ROUNDUP(MONTH(O14)/3,0)*3,1),0)</f>
        <v>46022</v>
      </c>
      <c r="Q13" s="25" t="str">
        <f ca="1"/>
        <v>QGEN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18.4003</v>
      </c>
      <c r="V13" s="30" t="str">
        <f ca="1"/>
        <v>-445.03</v>
      </c>
      <c r="W13" s="30" t="str">
        <f ca="1"/>
        <v/>
      </c>
      <c r="X13" s="30" t="str">
        <f ca="1"/>
        <v/>
      </c>
      <c r="Y13" s="30" t="str">
        <f ca="1"/>
        <v>-585.19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QGEN US EQUITY</v>
      </c>
      <c r="R14" s="25">
        <v>45747</v>
      </c>
      <c r="S14" s="26" t="str">
        <v>custom</v>
      </c>
      <c r="T14" s="27" t="str">
        <v>currency_neutral_yoy</v>
      </c>
      <c r="U14" s="28" t="str">
        <v>0.07</v>
      </c>
      <c r="V14" s="29" t="str">
        <v>1200</v>
      </c>
      <c r="W14" s="30" t="str">
        <v/>
      </c>
      <c r="X14" s="29" t="str">
        <v/>
      </c>
      <c r="Y14" s="30" t="str">
        <v>400</v>
      </c>
    </row>
    <row r="15" spans="1:25" x14ac:dyDescent="0.25">
      <c r="A15" s="17" t="s">
        <v>14</v>
      </c>
      <c r="B15" s="17" t="s">
        <v>19</v>
      </c>
      <c r="C15" s="9" t="s">
        <v>8</v>
      </c>
      <c r="D15" s="3">
        <f ca="1"/>
        <v>63.345100000000002</v>
      </c>
      <c r="E15" s="3">
        <f ca="1"/>
        <v>63.0792</v>
      </c>
      <c r="F15" s="3">
        <f ca="1"/>
        <v>62.610599999999998</v>
      </c>
      <c r="G15" s="3">
        <f ca="1"/>
        <v>62.0824</v>
      </c>
      <c r="H15" s="3">
        <f ca="1"/>
        <v>63.424500000000002</v>
      </c>
      <c r="I15" s="3">
        <f ca="1"/>
        <v>7.0039999999999996</v>
      </c>
      <c r="J15" s="3">
        <f ca="1"/>
        <v>61.431800000000003</v>
      </c>
      <c r="K15" s="3">
        <f ca="1"/>
        <v>63.946399999999997</v>
      </c>
      <c r="L15" s="3">
        <f ca="1"/>
        <v>63.848799999999997</v>
      </c>
      <c r="M15" s="3">
        <f ca="1"/>
        <v>61.930700000000002</v>
      </c>
      <c r="N15" s="3">
        <f ca="1"/>
        <v>62.198599999999999</v>
      </c>
      <c r="O15">
        <f ca="1"/>
        <v>60.188200000000002</v>
      </c>
      <c r="Q15" s="25" t="str">
        <v>QGEN US EQUITY</v>
      </c>
      <c r="R15" s="25">
        <v>45838</v>
      </c>
      <c r="S15" s="26" t="str">
        <v>custom</v>
      </c>
      <c r="T15" s="27" t="str">
        <v>currency_neutral_yoy</v>
      </c>
      <c r="U15" s="28" t="str">
        <v>0.06</v>
      </c>
      <c r="V15" s="29" t="str">
        <v>500</v>
      </c>
      <c r="W15" s="30" t="str">
        <v/>
      </c>
      <c r="X15" s="29" t="str">
        <v/>
      </c>
      <c r="Y15" s="30" t="str">
        <v>-100</v>
      </c>
    </row>
    <row r="16" spans="1:25" x14ac:dyDescent="0.25">
      <c r="C16" s="4" t="s">
        <v>5</v>
      </c>
      <c r="D16" s="5"/>
      <c r="E16" s="4"/>
      <c r="F16" s="4"/>
      <c r="G16" s="4"/>
      <c r="H16" s="7">
        <f t="shared" ref="H16:N16" ca="1" si="4">(H15-D15)*100</f>
        <v>7.9399999999999693</v>
      </c>
      <c r="I16" s="7">
        <f t="shared" ca="1" si="4"/>
        <v>-5607.52</v>
      </c>
      <c r="J16" s="7">
        <f t="shared" ca="1" si="4"/>
        <v>-117.87999999999954</v>
      </c>
      <c r="K16" s="7">
        <f t="shared" ca="1" si="4"/>
        <v>186.39999999999972</v>
      </c>
      <c r="L16" s="7">
        <f t="shared" ca="1" si="4"/>
        <v>42.429999999999524</v>
      </c>
      <c r="M16" s="7">
        <f t="shared" ca="1" si="4"/>
        <v>5492.67</v>
      </c>
      <c r="N16" s="7">
        <f t="shared" ca="1" si="4"/>
        <v>76.679999999999637</v>
      </c>
      <c r="O16" s="7">
        <f ca="1">(O15-K15)*100</f>
        <v>-375.81999999999948</v>
      </c>
      <c r="Q16" s="25" t="str">
        <v>QGEN US EQUITY</v>
      </c>
      <c r="R16" s="25">
        <v>45930</v>
      </c>
      <c r="S16" s="26" t="str">
        <v>custom</v>
      </c>
      <c r="T16" s="27" t="str">
        <v>currency_neutral_yoy</v>
      </c>
      <c r="U16" s="28" t="str">
        <v>0.05</v>
      </c>
      <c r="V16" s="29" t="str">
        <v>0</v>
      </c>
      <c r="W16" s="30" t="str">
        <v/>
      </c>
      <c r="X16" s="29" t="str">
        <v/>
      </c>
      <c r="Y16" s="30" t="str">
        <v>-99.9999999999999</v>
      </c>
    </row>
    <row r="17" spans="1:25" x14ac:dyDescent="0.25">
      <c r="C17" s="4" t="s">
        <v>24</v>
      </c>
      <c r="D17" s="1"/>
      <c r="K17" s="7"/>
      <c r="L17" s="7"/>
      <c r="M17" s="7"/>
      <c r="N17" s="7"/>
      <c r="O17" s="7"/>
      <c r="Q17" s="25" t="str">
        <v>QGEN US EQUITY</v>
      </c>
      <c r="R17" s="25">
        <v>46022</v>
      </c>
      <c r="S17" s="26" t="str">
        <v>custom</v>
      </c>
      <c r="T17" s="27" t="str">
        <v>currency_neutral_yoy</v>
      </c>
      <c r="U17" s="28" t="str">
        <v>0.01</v>
      </c>
      <c r="V17" s="29" t="str">
        <v>-200</v>
      </c>
      <c r="W17" s="30" t="str">
        <v/>
      </c>
      <c r="X17" s="29" t="str">
        <v/>
      </c>
      <c r="Y17" s="30" t="str">
        <v>-400</v>
      </c>
    </row>
    <row r="18" spans="1:25" x14ac:dyDescent="0.25">
      <c r="C18" s="4" t="s">
        <v>36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QGEN US EQUITY</v>
      </c>
      <c r="R18" s="25">
        <v>45747</v>
      </c>
      <c r="S18" s="26" t="str">
        <v>custom</v>
      </c>
      <c r="T18" s="27" t="str">
        <v>sample_technologies_currency_neutral_yoy</v>
      </c>
      <c r="U18" s="28" t="str">
        <v>-0.01</v>
      </c>
      <c r="V18" s="29" t="str">
        <v>900</v>
      </c>
      <c r="W18" s="30" t="str">
        <v/>
      </c>
      <c r="X18" s="29" t="str">
        <v/>
      </c>
      <c r="Y18" s="30" t="str">
        <v>0</v>
      </c>
    </row>
    <row r="19" spans="1:25" x14ac:dyDescent="0.25">
      <c r="C19" s="4" t="s">
        <v>6</v>
      </c>
      <c r="D19" s="1"/>
      <c r="K19" s="7"/>
      <c r="L19" s="7">
        <f ca="1">(L15-K15)*100</f>
        <v>-9.7599999999999909</v>
      </c>
      <c r="M19" s="7">
        <f t="shared" ref="M19:O19" ca="1" si="5">(M15-L15)*100</f>
        <v>-191.80999999999955</v>
      </c>
      <c r="N19" s="7">
        <f t="shared" ca="1" si="5"/>
        <v>26.789999999999736</v>
      </c>
      <c r="O19" s="7">
        <f t="shared" ca="1" si="5"/>
        <v>-201.03999999999971</v>
      </c>
      <c r="Q19" s="25" t="str">
        <v>QGEN US EQUITY</v>
      </c>
      <c r="R19" s="25">
        <v>45838</v>
      </c>
      <c r="S19" s="26" t="str">
        <v>custom</v>
      </c>
      <c r="T19" s="27" t="str">
        <v>sample_technologies_currency_neutral_yoy</v>
      </c>
      <c r="U19" s="28" t="str">
        <v>0</v>
      </c>
      <c r="V19" s="29" t="str">
        <v>-100</v>
      </c>
      <c r="W19" s="30" t="str">
        <v/>
      </c>
      <c r="X19" s="29" t="str">
        <v/>
      </c>
      <c r="Y19" s="30" t="str">
        <v>100</v>
      </c>
    </row>
    <row r="20" spans="1:25" x14ac:dyDescent="0.25">
      <c r="Q20" s="25" t="str">
        <v>QGEN US EQUITY</v>
      </c>
      <c r="R20" s="25">
        <v>45930</v>
      </c>
      <c r="S20" s="26" t="str">
        <v>custom</v>
      </c>
      <c r="T20" s="27" t="str">
        <v>sample_technologies_currency_neutral_yoy</v>
      </c>
      <c r="U20" s="28" t="str">
        <v>0.03</v>
      </c>
      <c r="V20" s="29" t="str">
        <v>200</v>
      </c>
      <c r="W20" s="30" t="str">
        <v/>
      </c>
      <c r="X20" s="29" t="str">
        <v/>
      </c>
      <c r="Y20" s="30" t="str">
        <v>300</v>
      </c>
    </row>
    <row r="21" spans="1:25" x14ac:dyDescent="0.25">
      <c r="C21" s="14" t="s">
        <v>17</v>
      </c>
      <c r="D21" s="15">
        <f ca="1">EOMONTH(DATE(YEAR(D22),ROUNDUP(MONTH(D22)/3,0)*3,1),0)</f>
        <v>45016</v>
      </c>
      <c r="E21" s="15">
        <f ca="1">EOMONTH(DATE(YEAR(E22),ROUNDUP(MONTH(E22)/3,0)*3,1),0)</f>
        <v>45107</v>
      </c>
      <c r="F21" s="15">
        <f ca="1">EOMONTH(DATE(YEAR(F22),ROUNDUP(MONTH(F22)/3,0)*3,1),0)</f>
        <v>45199</v>
      </c>
      <c r="G21" s="15">
        <f t="shared" ref="G21:K21" ca="1" si="6">EOMONTH(DATE(YEAR(G22),ROUNDUP(MONTH(G22)/3,0)*3,1),0)</f>
        <v>45291</v>
      </c>
      <c r="H21" s="15">
        <f t="shared" ca="1" si="6"/>
        <v>45382</v>
      </c>
      <c r="I21" s="15">
        <f t="shared" ca="1" si="6"/>
        <v>45473</v>
      </c>
      <c r="J21" s="15">
        <f t="shared" ca="1" si="6"/>
        <v>45565</v>
      </c>
      <c r="K21" s="15">
        <f t="shared" ca="1" si="6"/>
        <v>45657</v>
      </c>
      <c r="L21" s="15">
        <f ca="1">EOMONTH(DATE(YEAR(L22),ROUNDUP(MONTH(L22)/3,0)*3,1),0)</f>
        <v>45747</v>
      </c>
      <c r="M21" s="15">
        <f ca="1">EOMONTH(DATE(YEAR(M22),ROUNDUP(MONTH(M22)/3,0)*3,1),0)</f>
        <v>45838</v>
      </c>
      <c r="N21" s="15">
        <f ca="1">EOMONTH(DATE(YEAR(N22),ROUNDUP(MONTH(N22)/3,0)*3,1),0)</f>
        <v>45930</v>
      </c>
      <c r="O21" s="15">
        <f ca="1">EOMONTH(DATE(YEAR(O22),ROUNDUP(MONTH(O22)/3,0)*3,1),0)</f>
        <v>46022</v>
      </c>
      <c r="Q21" s="25" t="str">
        <v>QGEN US EQUITY</v>
      </c>
      <c r="R21" s="25">
        <v>46022</v>
      </c>
      <c r="S21" s="26" t="str">
        <v>custom</v>
      </c>
      <c r="T21" s="27" t="str">
        <v>sample_technologies_currency_neutral_yoy</v>
      </c>
      <c r="U21" s="28" t="str">
        <v>0.05</v>
      </c>
      <c r="V21" s="29" t="str">
        <v>600</v>
      </c>
      <c r="W21" s="30" t="str">
        <v/>
      </c>
      <c r="X21" s="29" t="str">
        <v/>
      </c>
      <c r="Y21" s="30" t="str">
        <v>200</v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QGEN US EQUITY</v>
      </c>
      <c r="R22" s="25">
        <v>45747</v>
      </c>
      <c r="S22" s="26" t="str">
        <v>custom</v>
      </c>
      <c r="T22" s="27" t="str">
        <v>diagnostics_solutions_currency_neutral_yoy</v>
      </c>
      <c r="U22" s="28" t="str">
        <v>0.11</v>
      </c>
      <c r="V22" s="29" t="str">
        <v>600</v>
      </c>
      <c r="W22" s="30" t="str">
        <v/>
      </c>
      <c r="X22" s="29" t="str">
        <v/>
      </c>
      <c r="Y22" s="30" t="str">
        <v>99.9999999999999</v>
      </c>
    </row>
    <row r="23" spans="1:25" x14ac:dyDescent="0.25">
      <c r="A23" s="17" t="s">
        <v>14</v>
      </c>
      <c r="B23" s="17" t="s">
        <v>20</v>
      </c>
      <c r="C23" s="9" t="s">
        <v>9</v>
      </c>
      <c r="D23" s="3">
        <f ca="1"/>
        <v>19.9239</v>
      </c>
      <c r="E23" s="3">
        <f ca="1"/>
        <v>21.305499999999999</v>
      </c>
      <c r="F23" s="3">
        <f ca="1"/>
        <v>20.4207</v>
      </c>
      <c r="G23" s="3">
        <f ca="1"/>
        <v>21.724900000000002</v>
      </c>
      <c r="H23" s="3">
        <f ca="1"/>
        <v>20.694800000000001</v>
      </c>
      <c r="I23" s="3">
        <f ca="1"/>
        <v>-46.023600000000002</v>
      </c>
      <c r="J23" s="3">
        <f ca="1"/>
        <v>22.3371</v>
      </c>
      <c r="K23" s="3">
        <f ca="1"/>
        <v>22.8506</v>
      </c>
      <c r="L23" s="3">
        <f ca="1"/>
        <v>23.858799999999999</v>
      </c>
      <c r="M23" s="3">
        <f ca="1"/>
        <v>21.0837</v>
      </c>
      <c r="N23" s="3">
        <f ca="1"/>
        <v>24.252199999999998</v>
      </c>
      <c r="O23">
        <f ca="1"/>
        <v>18.400300000000001</v>
      </c>
      <c r="Q23" s="25" t="str">
        <v>QGEN US EQUITY</v>
      </c>
      <c r="R23" s="25">
        <v>45838</v>
      </c>
      <c r="S23" s="26" t="str">
        <v>custom</v>
      </c>
      <c r="T23" s="27" t="str">
        <v>diagnostics_solutions_currency_neutral_yoy</v>
      </c>
      <c r="U23" s="28" t="str">
        <v>0.11</v>
      </c>
      <c r="V23" s="29" t="str">
        <v>600</v>
      </c>
      <c r="W23" s="30" t="str">
        <v/>
      </c>
      <c r="X23" s="29" t="str">
        <v/>
      </c>
      <c r="Y23" s="30" t="str">
        <v>0</v>
      </c>
    </row>
    <row r="24" spans="1:25" x14ac:dyDescent="0.25">
      <c r="C24" s="4" t="s">
        <v>5</v>
      </c>
      <c r="D24" s="5"/>
      <c r="E24" s="4"/>
      <c r="F24" s="4"/>
      <c r="G24" s="4"/>
      <c r="H24" s="7">
        <f t="shared" ref="H24:N24" ca="1" si="7">(H23-D23)*100</f>
        <v>77.090000000000103</v>
      </c>
      <c r="I24" s="7">
        <f t="shared" ca="1" si="7"/>
        <v>-6732.91</v>
      </c>
      <c r="J24" s="7">
        <f t="shared" ca="1" si="7"/>
        <v>191.63999999999993</v>
      </c>
      <c r="K24" s="7">
        <f t="shared" ca="1" si="7"/>
        <v>112.56999999999984</v>
      </c>
      <c r="L24" s="7">
        <f t="shared" ca="1" si="7"/>
        <v>316.39999999999981</v>
      </c>
      <c r="M24" s="7">
        <f t="shared" ca="1" si="7"/>
        <v>6710.7300000000014</v>
      </c>
      <c r="N24" s="7">
        <f t="shared" ca="1" si="7"/>
        <v>191.50999999999988</v>
      </c>
      <c r="O24" s="7">
        <f ca="1">(O23-K23)*100</f>
        <v>-445.02999999999986</v>
      </c>
      <c r="Q24" s="25" t="str">
        <v>QGEN US EQUITY</v>
      </c>
      <c r="R24" s="25">
        <v>45930</v>
      </c>
      <c r="S24" s="26" t="str">
        <v>custom</v>
      </c>
      <c r="T24" s="27" t="str">
        <v>diagnostics_solutions_currency_neutral_yoy</v>
      </c>
      <c r="U24" s="28" t="str">
        <v>0.04</v>
      </c>
      <c r="V24" s="29" t="str">
        <v>-600</v>
      </c>
      <c r="W24" s="30" t="str">
        <v/>
      </c>
      <c r="X24" s="29" t="str">
        <v/>
      </c>
      <c r="Y24" s="30" t="str">
        <v>-700</v>
      </c>
    </row>
    <row r="25" spans="1:25" x14ac:dyDescent="0.25">
      <c r="C25" s="4" t="s">
        <v>24</v>
      </c>
      <c r="D25" s="1"/>
      <c r="K25" s="7"/>
      <c r="L25" s="7"/>
      <c r="M25" s="7"/>
      <c r="N25" s="7"/>
      <c r="O25" s="7"/>
      <c r="Q25" s="25" t="str">
        <v>QGEN US EQUITY</v>
      </c>
      <c r="R25" s="25">
        <v>46022</v>
      </c>
      <c r="S25" s="26" t="str">
        <v>custom</v>
      </c>
      <c r="T25" s="27" t="str">
        <v>diagnostics_solutions_currency_neutral_yoy</v>
      </c>
      <c r="U25" s="28" t="str">
        <v>0.01</v>
      </c>
      <c r="V25" s="29" t="str">
        <v>-900</v>
      </c>
      <c r="W25" s="30" t="str">
        <v/>
      </c>
      <c r="X25" s="29" t="str">
        <v/>
      </c>
      <c r="Y25" s="30" t="str">
        <v>-300</v>
      </c>
    </row>
    <row r="26" spans="1:25" x14ac:dyDescent="0.25">
      <c r="C26" s="4" t="s">
        <v>36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25" x14ac:dyDescent="0.25">
      <c r="C27" s="4" t="s">
        <v>6</v>
      </c>
      <c r="D27" s="1"/>
      <c r="K27" s="7"/>
      <c r="L27" s="7">
        <f ca="1">(L23-K23)*100</f>
        <v>100.81999999999987</v>
      </c>
      <c r="M27" s="7">
        <f t="shared" ref="M27" ca="1" si="8">(M23-L23)*100</f>
        <v>-277.50999999999982</v>
      </c>
      <c r="N27" s="7">
        <f t="shared" ref="N27" ca="1" si="9">(N23-M23)*100</f>
        <v>316.8499999999998</v>
      </c>
      <c r="O27" s="7">
        <f t="shared" ref="O27" ca="1" si="10">(O23-N23)*100</f>
        <v>-585.18999999999971</v>
      </c>
    </row>
    <row r="28" spans="1:25" x14ac:dyDescent="0.25">
      <c r="C28" s="4"/>
      <c r="D28" s="1"/>
      <c r="L28" s="7"/>
      <c r="M28" s="7"/>
      <c r="N28" s="7"/>
      <c r="O28" s="7"/>
    </row>
    <row r="29" spans="1:25" x14ac:dyDescent="0.25">
      <c r="C29" s="14" t="s">
        <v>17</v>
      </c>
      <c r="D29" s="15"/>
      <c r="E29" s="15"/>
      <c r="F29" s="15"/>
      <c r="G29" s="15">
        <f t="shared" ref="G29:J29" si="11">EOMONTH(DATE(YEAR(G30),ROUNDUP(MONTH(G30)/3,0)*3,1),0)</f>
        <v>45291</v>
      </c>
      <c r="H29" s="15">
        <f t="shared" si="11"/>
        <v>45382</v>
      </c>
      <c r="I29" s="15">
        <f t="shared" si="11"/>
        <v>45473</v>
      </c>
      <c r="J29" s="15">
        <f t="shared" si="11"/>
        <v>45565</v>
      </c>
      <c r="K29" s="15">
        <f>EOMONTH(DATE(YEAR(K30),ROUNDUP(MONTH(K30)/3,0)*3,1),0)</f>
        <v>45657</v>
      </c>
      <c r="L29" s="15">
        <f>EOMONTH(DATE(YEAR(L30),ROUNDUP(MONTH(L30)/3,0)*3,1),0)</f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</row>
    <row r="30" spans="1:25" x14ac:dyDescent="0.25">
      <c r="C30" s="2" t="s">
        <v>17</v>
      </c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</row>
    <row r="31" spans="1:25" x14ac:dyDescent="0.25">
      <c r="A31" s="17" t="s">
        <v>26</v>
      </c>
      <c r="B31" s="17" t="s">
        <v>27</v>
      </c>
      <c r="C31" s="9" t="s">
        <v>44</v>
      </c>
      <c r="D31" s="8"/>
      <c r="E31" s="8"/>
      <c r="F31" s="8"/>
      <c r="G31" s="8">
        <v>0.01</v>
      </c>
      <c r="H31" s="8">
        <v>-0.05</v>
      </c>
      <c r="I31" s="8">
        <v>0.01</v>
      </c>
      <c r="J31" s="8">
        <v>0.05</v>
      </c>
      <c r="K31" s="8">
        <v>0.03</v>
      </c>
      <c r="L31" s="8">
        <v>7.0000000000000007E-2</v>
      </c>
      <c r="M31" s="8">
        <v>0.06</v>
      </c>
      <c r="N31" s="8">
        <v>0.05</v>
      </c>
      <c r="O31" s="8">
        <v>0.01</v>
      </c>
    </row>
    <row r="32" spans="1:25" x14ac:dyDescent="0.2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12">(K31-G31)*100</f>
        <v>1.9999999999999998</v>
      </c>
      <c r="L32" s="7">
        <f t="shared" ref="L32:N32" si="13">(L31-H31)*10000</f>
        <v>1200</v>
      </c>
      <c r="M32" s="7">
        <f t="shared" si="13"/>
        <v>499.99999999999994</v>
      </c>
      <c r="N32" s="7">
        <f t="shared" si="13"/>
        <v>0</v>
      </c>
      <c r="O32" s="7">
        <f>(O31-K31)*10000</f>
        <v>-199.99999999999997</v>
      </c>
    </row>
    <row r="33" spans="1:24" x14ac:dyDescent="0.25">
      <c r="C33" s="4" t="s">
        <v>24</v>
      </c>
      <c r="D33" s="1"/>
      <c r="K33" s="7"/>
      <c r="L33" s="7"/>
      <c r="M33" s="7"/>
      <c r="N33" s="7"/>
      <c r="O33" s="7"/>
    </row>
    <row r="34" spans="1:24" x14ac:dyDescent="0.25">
      <c r="C34" s="4" t="s">
        <v>36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4" x14ac:dyDescent="0.25">
      <c r="C35" s="4" t="s">
        <v>6</v>
      </c>
      <c r="D35" s="1"/>
      <c r="K35" s="7"/>
      <c r="L35" s="7">
        <f>(L31-K31)*10000</f>
        <v>400.00000000000006</v>
      </c>
      <c r="M35" s="7">
        <f t="shared" ref="M35:O35" si="14">(M31-L31)*10000</f>
        <v>-100.00000000000009</v>
      </c>
      <c r="N35" s="7">
        <f t="shared" si="14"/>
        <v>-99.999999999999943</v>
      </c>
      <c r="O35" s="7">
        <f t="shared" si="14"/>
        <v>-400</v>
      </c>
    </row>
    <row r="36" spans="1:24" x14ac:dyDescent="0.25">
      <c r="C36" s="4"/>
      <c r="D36" s="1"/>
      <c r="G36" s="1"/>
    </row>
    <row r="37" spans="1:24" x14ac:dyDescent="0.25">
      <c r="C37" s="14" t="s">
        <v>17</v>
      </c>
      <c r="D37" s="15"/>
      <c r="E37" s="15"/>
      <c r="F37" s="15"/>
      <c r="G37" s="15">
        <f t="shared" ref="G37:J37" si="15">EOMONTH(DATE(YEAR(G38),ROUNDUP(MONTH(G38)/3,0)*3,1),0)</f>
        <v>45291</v>
      </c>
      <c r="H37" s="15">
        <f t="shared" si="15"/>
        <v>45382</v>
      </c>
      <c r="I37" s="15">
        <f t="shared" si="15"/>
        <v>45473</v>
      </c>
      <c r="J37" s="15">
        <f t="shared" si="15"/>
        <v>45565</v>
      </c>
      <c r="K37" s="15">
        <f>EOMONTH(DATE(YEAR(K38),ROUNDUP(MONTH(K38)/3,0)*3,1),0)</f>
        <v>45657</v>
      </c>
      <c r="L37" s="15">
        <f>EOMONTH(DATE(YEAR(L38),ROUNDUP(MONTH(L38)/3,0)*3,1),0)</f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4" x14ac:dyDescent="0.25">
      <c r="C38" s="2" t="s">
        <v>17</v>
      </c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4" x14ac:dyDescent="0.25">
      <c r="A39" s="17" t="s">
        <v>26</v>
      </c>
      <c r="B39" s="17" t="s">
        <v>45</v>
      </c>
      <c r="C39" s="9" t="s">
        <v>45</v>
      </c>
      <c r="D39" s="8"/>
      <c r="E39" s="8"/>
      <c r="F39" s="8"/>
      <c r="G39" s="8">
        <v>-0.05</v>
      </c>
      <c r="H39" s="8">
        <v>-0.1</v>
      </c>
      <c r="I39" s="8">
        <v>0.01</v>
      </c>
      <c r="J39" s="8">
        <v>0.01</v>
      </c>
      <c r="K39" s="8">
        <v>-0.01</v>
      </c>
      <c r="L39" s="8">
        <v>-0.01</v>
      </c>
      <c r="M39" s="8">
        <v>0</v>
      </c>
      <c r="N39" s="8">
        <v>0.03</v>
      </c>
      <c r="O39" s="8">
        <v>0.05</v>
      </c>
    </row>
    <row r="40" spans="1:24" x14ac:dyDescent="0.2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16">(K39-G39)*100</f>
        <v>4</v>
      </c>
      <c r="L40" s="7">
        <f t="shared" ref="L40:N40" si="17">(L39-H39)*10000</f>
        <v>900.00000000000011</v>
      </c>
      <c r="M40" s="7">
        <f t="shared" si="17"/>
        <v>-100</v>
      </c>
      <c r="N40" s="7">
        <f t="shared" si="17"/>
        <v>199.99999999999997</v>
      </c>
      <c r="O40" s="7">
        <f>(O39-K39)*10000</f>
        <v>600</v>
      </c>
    </row>
    <row r="41" spans="1:24" x14ac:dyDescent="0.25">
      <c r="C41" s="4" t="s">
        <v>24</v>
      </c>
      <c r="D41" s="1"/>
      <c r="K41" s="7"/>
      <c r="L41" s="7"/>
      <c r="M41" s="7"/>
      <c r="N41" s="7"/>
      <c r="O41" s="7"/>
    </row>
    <row r="42" spans="1:24" x14ac:dyDescent="0.25">
      <c r="C42" s="4" t="s">
        <v>36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4" x14ac:dyDescent="0.25">
      <c r="C43" s="4" t="s">
        <v>6</v>
      </c>
      <c r="D43" s="1"/>
      <c r="K43" s="7"/>
      <c r="L43" s="7">
        <f>(L39-K39)*10000</f>
        <v>0</v>
      </c>
      <c r="M43" s="7">
        <f t="shared" ref="M43:O43" si="18">(M39-L39)*10000</f>
        <v>100</v>
      </c>
      <c r="N43" s="7">
        <f t="shared" si="18"/>
        <v>300</v>
      </c>
      <c r="O43" s="7">
        <f t="shared" si="18"/>
        <v>200.00000000000003</v>
      </c>
    </row>
    <row r="44" spans="1:24" x14ac:dyDescent="0.25">
      <c r="C44" s="4"/>
      <c r="D44" s="1"/>
      <c r="G44" s="1"/>
    </row>
    <row r="45" spans="1:24" x14ac:dyDescent="0.25">
      <c r="C45" s="14" t="s">
        <v>17</v>
      </c>
      <c r="D45" s="15"/>
      <c r="E45" s="15"/>
      <c r="F45" s="15"/>
      <c r="G45" s="15">
        <f t="shared" ref="G45:J45" si="19">EOMONTH(DATE(YEAR(G46),ROUNDUP(MONTH(G46)/3,0)*3,1),0)</f>
        <v>45291</v>
      </c>
      <c r="H45" s="15">
        <f t="shared" si="19"/>
        <v>45382</v>
      </c>
      <c r="I45" s="15">
        <f t="shared" si="19"/>
        <v>45473</v>
      </c>
      <c r="J45" s="15">
        <f t="shared" si="19"/>
        <v>45565</v>
      </c>
      <c r="K45" s="15">
        <f>EOMONTH(DATE(YEAR(K46),ROUNDUP(MONTH(K46)/3,0)*3,1),0)</f>
        <v>45657</v>
      </c>
      <c r="L45" s="15">
        <f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  <c r="Q45" s="1"/>
      <c r="T45" s="12"/>
      <c r="U45" s="13"/>
      <c r="V45" s="7"/>
      <c r="W45" s="13"/>
      <c r="X45" s="7"/>
    </row>
    <row r="46" spans="1:24" x14ac:dyDescent="0.25">
      <c r="C46" s="2" t="s">
        <v>17</v>
      </c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  <c r="Q46" s="1"/>
      <c r="T46" s="12"/>
      <c r="U46" s="13"/>
      <c r="V46" s="7"/>
      <c r="W46" s="13"/>
      <c r="X46" s="7"/>
    </row>
    <row r="47" spans="1:24" x14ac:dyDescent="0.25">
      <c r="A47" s="17" t="s">
        <v>26</v>
      </c>
      <c r="B47" s="17" t="s">
        <v>46</v>
      </c>
      <c r="C47" s="9" t="s">
        <v>46</v>
      </c>
      <c r="D47" s="8"/>
      <c r="E47" s="8"/>
      <c r="F47" s="8"/>
      <c r="G47" s="8">
        <v>0.04</v>
      </c>
      <c r="H47" s="8">
        <v>0.05</v>
      </c>
      <c r="I47" s="8">
        <v>0.05</v>
      </c>
      <c r="J47" s="8">
        <v>0.1</v>
      </c>
      <c r="K47" s="8">
        <v>0.1</v>
      </c>
      <c r="L47" s="8">
        <v>0.11</v>
      </c>
      <c r="M47" s="8">
        <v>0.11</v>
      </c>
      <c r="N47" s="8">
        <v>0.04</v>
      </c>
      <c r="O47" s="8">
        <v>0.01</v>
      </c>
      <c r="Q47" s="1"/>
      <c r="T47" s="12"/>
      <c r="U47" s="13"/>
      <c r="V47" s="7"/>
      <c r="W47" s="13"/>
      <c r="X47" s="7"/>
    </row>
    <row r="48" spans="1:24" x14ac:dyDescent="0.2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20">(K47-G47)*100</f>
        <v>6.0000000000000009</v>
      </c>
      <c r="L48" s="7">
        <f t="shared" ref="L48:N48" si="21">(L47-H47)*10000</f>
        <v>600</v>
      </c>
      <c r="M48" s="7">
        <f t="shared" si="21"/>
        <v>600</v>
      </c>
      <c r="N48" s="7">
        <f t="shared" si="21"/>
        <v>-600</v>
      </c>
      <c r="O48" s="7">
        <f>(O47-K47)*10000</f>
        <v>-900.00000000000011</v>
      </c>
    </row>
    <row r="49" spans="3:15" x14ac:dyDescent="0.25">
      <c r="C49" s="4" t="s">
        <v>24</v>
      </c>
      <c r="D49" s="1"/>
      <c r="K49" s="7"/>
      <c r="L49" s="7"/>
      <c r="M49" s="7"/>
      <c r="N49" s="7"/>
      <c r="O49" s="7"/>
    </row>
    <row r="50" spans="3:15" x14ac:dyDescent="0.25">
      <c r="C50" s="4" t="s">
        <v>36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5" x14ac:dyDescent="0.25">
      <c r="C51" s="4" t="s">
        <v>6</v>
      </c>
      <c r="D51" s="1"/>
      <c r="K51" s="7"/>
      <c r="L51" s="7">
        <f>(L47-K47)*10000</f>
        <v>99.999999999999943</v>
      </c>
      <c r="M51" s="7">
        <f t="shared" ref="M51:O51" si="22">(M47-L47)*10000</f>
        <v>0</v>
      </c>
      <c r="N51" s="7">
        <f t="shared" si="22"/>
        <v>-700.00000000000011</v>
      </c>
      <c r="O51" s="7">
        <f t="shared" si="22"/>
        <v>-300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1C47-9554-46DE-BE87-1E9A53753B21}">
  <dimension ref="A1:Y51"/>
  <sheetViews>
    <sheetView topLeftCell="A9" zoomScale="85" zoomScaleNormal="85" workbookViewId="0">
      <selection activeCell="O41" sqref="O41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3" t="s">
        <v>29</v>
      </c>
      <c r="B1" s="23" t="s">
        <v>29</v>
      </c>
      <c r="C1" s="23" t="s">
        <v>29</v>
      </c>
      <c r="D1" s="23" t="s">
        <v>29</v>
      </c>
      <c r="E1" s="23" t="s">
        <v>29</v>
      </c>
      <c r="F1" s="23" t="s">
        <v>29</v>
      </c>
      <c r="G1" s="23" t="s">
        <v>29</v>
      </c>
      <c r="H1" s="23" t="s">
        <v>29</v>
      </c>
      <c r="I1" s="23" t="s">
        <v>29</v>
      </c>
      <c r="J1" s="23" t="s">
        <v>29</v>
      </c>
      <c r="K1" s="23" t="s">
        <v>29</v>
      </c>
      <c r="L1" s="23" t="s">
        <v>29</v>
      </c>
      <c r="M1" s="23" t="s">
        <v>29</v>
      </c>
      <c r="N1" s="23" t="s">
        <v>29</v>
      </c>
      <c r="O1" s="23" t="s">
        <v>29</v>
      </c>
      <c r="Q1" s="24" t="s">
        <v>18</v>
      </c>
      <c r="R1" s="24" t="s">
        <v>16</v>
      </c>
      <c r="S1" s="24" t="s">
        <v>23</v>
      </c>
      <c r="T1" s="24" t="s">
        <v>22</v>
      </c>
      <c r="U1" s="24" t="s">
        <v>15</v>
      </c>
      <c r="V1" s="24" t="s">
        <v>21</v>
      </c>
      <c r="W1" s="24" t="s">
        <v>25</v>
      </c>
      <c r="X1" s="24" t="s">
        <v>37</v>
      </c>
      <c r="Y1" s="24" t="s">
        <v>38</v>
      </c>
    </row>
    <row r="2" spans="1:25" x14ac:dyDescent="0.25">
      <c r="A2" s="18" t="s">
        <v>1</v>
      </c>
      <c r="B2" s="33" t="s">
        <v>47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RVTY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664.762</v>
      </c>
      <c r="V2" s="29" t="str">
        <f ca="1"/>
        <v>0.0225078407516046</v>
      </c>
      <c r="W2" s="30" t="str">
        <f ca="1"/>
        <v>-258.88411014092</v>
      </c>
      <c r="X2" s="29" t="str">
        <f ca="1"/>
        <v>594.964350339332</v>
      </c>
      <c r="Y2" s="30" t="str">
        <f ca="1"/>
        <v>-0.088842895912717</v>
      </c>
    </row>
    <row r="3" spans="1:25" x14ac:dyDescent="0.25">
      <c r="A3" s="19" t="s">
        <v>3</v>
      </c>
      <c r="B3" s="20">
        <f ca="1">+B4-365*3</f>
        <v>44989</v>
      </c>
      <c r="Q3" s="25" t="str">
        <f ca="1"/>
        <v>RVTY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720.284</v>
      </c>
      <c r="V3" s="29" t="str">
        <f ca="1"/>
        <v>0.0410353060882334</v>
      </c>
      <c r="W3" s="30" t="str">
        <f ca="1"/>
        <v>185.274653366287</v>
      </c>
      <c r="X3" s="30" t="str">
        <f ca="1"/>
        <v>655.393045542662</v>
      </c>
      <c r="Y3" s="30" t="str">
        <f ca="1"/>
        <v>0.083521621271974</v>
      </c>
    </row>
    <row r="4" spans="1:25" x14ac:dyDescent="0.25">
      <c r="A4" s="21" t="s">
        <v>2</v>
      </c>
      <c r="B4" s="22">
        <f ca="1">TODAY()</f>
        <v>46084</v>
      </c>
      <c r="Q4" s="25" t="str">
        <f ca="1"/>
        <v>RVTY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698.949</v>
      </c>
      <c r="V4" s="29" t="str">
        <f ca="1"/>
        <v>0.0214759431439202</v>
      </c>
      <c r="W4" s="30" t="str">
        <f ca="1"/>
        <v>-195.593629443132</v>
      </c>
      <c r="X4" s="30" t="str">
        <f ca="1"/>
        <v>16.3974196498606</v>
      </c>
      <c r="Y4" s="30" t="str">
        <f ca="1"/>
        <v>-0.0296202608970907</v>
      </c>
    </row>
    <row r="5" spans="1:25" x14ac:dyDescent="0.25">
      <c r="C5" s="14" t="s">
        <v>17</v>
      </c>
      <c r="D5" s="15">
        <f ca="1">EOMONTH(DATE(YEAR(D6),ROUNDUP(MONTH(D6)/3,0)*3,1),0)</f>
        <v>45107</v>
      </c>
      <c r="E5" s="15">
        <f ca="1">EOMONTH(DATE(YEAR(E6),ROUNDUP(MONTH(E6)/3,0)*3,1),0)</f>
        <v>45199</v>
      </c>
      <c r="F5" s="15">
        <f ca="1">EOMONTH(DATE(YEAR(F6),ROUNDUP(MONTH(F6)/3,0)*3,1),0)</f>
        <v>45291</v>
      </c>
      <c r="G5" s="15">
        <f t="shared" ref="G5:K5" ca="1" si="0">EOMONTH(DATE(YEAR(G6),ROUNDUP(MONTH(G6)/3,0)*3,1),0)</f>
        <v>45291</v>
      </c>
      <c r="H5" s="15">
        <f t="shared" ca="1" si="0"/>
        <v>45382</v>
      </c>
      <c r="I5" s="15">
        <f t="shared" ca="1" si="0"/>
        <v>45473</v>
      </c>
      <c r="J5" s="15">
        <f t="shared" ca="1" si="0"/>
        <v>45565</v>
      </c>
      <c r="K5" s="15">
        <f t="shared" ca="1" si="0"/>
        <v>45657</v>
      </c>
      <c r="L5" s="15">
        <f ca="1">EOMONTH(DATE(YEAR(L6),ROUNDUP(MONTH(L6)/3,0)*3,1),0)</f>
        <v>45747</v>
      </c>
      <c r="M5" s="15">
        <f ca="1">EOMONTH(DATE(YEAR(M6),ROUNDUP(MONTH(M6)/3,0)*3,1),0)</f>
        <v>45838</v>
      </c>
      <c r="N5" s="15">
        <f ca="1">EOMONTH(DATE(YEAR(N6),ROUNDUP(MONTH(N6)/3,0)*3,1),0)</f>
        <v>45930</v>
      </c>
      <c r="O5" s="15">
        <f ca="1">EOMONTH(DATE(YEAR(O6),ROUNDUP(MONTH(O6)/3,0)*3,1),0)</f>
        <v>46022</v>
      </c>
      <c r="Q5" s="25" t="str">
        <f ca="1"/>
        <v>RVTY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772.056</v>
      </c>
      <c r="V5" s="29" t="str">
        <f ca="1"/>
        <v>0.0582197976918226</v>
      </c>
      <c r="W5" s="30" t="str">
        <f ca="1"/>
        <v>367.438545479024</v>
      </c>
      <c r="X5" s="30" t="str">
        <f ca="1"/>
        <v>98.23545926126</v>
      </c>
      <c r="Y5" s="30" t="str">
        <f ca="1"/>
        <v>0.104595614272286</v>
      </c>
    </row>
    <row r="6" spans="1:25" x14ac:dyDescent="0.25">
      <c r="D6" s="16" cm="1">
        <f t="array" aca="1" ref="D6:O7" ca="1">+_xll.BDH($B$2,C7,$B$3,$B$4,"DIR=H")</f>
        <v>45018</v>
      </c>
      <c r="E6" s="1">
        <f ca="1"/>
        <v>45109</v>
      </c>
      <c r="F6" s="1">
        <f ca="1"/>
        <v>45200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45564</v>
      </c>
      <c r="K6" s="1">
        <f ca="1"/>
        <v>45655</v>
      </c>
      <c r="L6" s="1">
        <f ca="1"/>
        <v>45746</v>
      </c>
      <c r="M6" s="1">
        <f ca="1"/>
        <v>45837</v>
      </c>
      <c r="N6" s="1">
        <f ca="1"/>
        <v>45928</v>
      </c>
      <c r="O6" s="1">
        <f ca="1"/>
        <v>46019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RVTY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56.4933</v>
      </c>
      <c r="V6" s="30" t="str">
        <f ca="1"/>
        <v>186.4</v>
      </c>
      <c r="W6" s="30" t="str">
        <f ca="1"/>
        <v/>
      </c>
      <c r="X6" s="30" t="str">
        <f ca="1"/>
        <v/>
      </c>
      <c r="Y6" s="30" t="str">
        <f ca="1"/>
        <v>-3.34000000000003</v>
      </c>
    </row>
    <row r="7" spans="1:25" x14ac:dyDescent="0.25">
      <c r="A7" s="17" t="s">
        <v>14</v>
      </c>
      <c r="B7" s="17" t="s">
        <v>13</v>
      </c>
      <c r="C7" s="9" t="s">
        <v>0</v>
      </c>
      <c r="D7" s="12">
        <f ca="1"/>
        <v>675.1</v>
      </c>
      <c r="E7" s="12">
        <f ca="1"/>
        <v>709.27200000000005</v>
      </c>
      <c r="F7" s="12">
        <f ca="1"/>
        <v>670.94500000000005</v>
      </c>
      <c r="G7" s="12">
        <f ca="1"/>
        <v>695.90099999999995</v>
      </c>
      <c r="H7" s="12">
        <f ca="1"/>
        <v>650.12900000000002</v>
      </c>
      <c r="I7" s="12">
        <f ca="1"/>
        <v>691.89200000000005</v>
      </c>
      <c r="J7" s="12">
        <f ca="1"/>
        <v>684.25400000000002</v>
      </c>
      <c r="K7" s="12">
        <f ca="1"/>
        <v>729.58</v>
      </c>
      <c r="L7" s="12">
        <f ca="1"/>
        <v>664.76199999999994</v>
      </c>
      <c r="M7" s="12">
        <f ca="1"/>
        <v>720.28399999999999</v>
      </c>
      <c r="N7" s="12">
        <f ca="1"/>
        <v>698.94899999999996</v>
      </c>
      <c r="O7" s="3">
        <f ca="1"/>
        <v>772.05600000000004</v>
      </c>
      <c r="P7" s="1"/>
      <c r="Q7" s="25" t="str">
        <f ca="1"/>
        <v>RVTY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54.5002</v>
      </c>
      <c r="V7" s="30" t="str">
        <f ca="1"/>
        <v>-123.41</v>
      </c>
      <c r="W7" s="30" t="str">
        <f ca="1"/>
        <v/>
      </c>
      <c r="X7" s="30" t="str">
        <f ca="1"/>
        <v/>
      </c>
      <c r="Y7" s="30" t="str">
        <f ca="1"/>
        <v>-199.31</v>
      </c>
    </row>
    <row r="8" spans="1:25" x14ac:dyDescent="0.25">
      <c r="C8" s="4" t="s">
        <v>5</v>
      </c>
      <c r="D8" s="5"/>
      <c r="E8" s="4"/>
      <c r="F8" s="4"/>
      <c r="G8" s="13"/>
      <c r="H8" s="13">
        <f t="shared" ref="H8:N8" ca="1" si="1">+H7/D7-1</f>
        <v>-3.6988594282328591E-2</v>
      </c>
      <c r="I8" s="13">
        <f t="shared" ca="1" si="1"/>
        <v>-2.4503998466032795E-2</v>
      </c>
      <c r="J8" s="13">
        <f t="shared" ca="1" si="1"/>
        <v>1.9836201178934143E-2</v>
      </c>
      <c r="K8" s="13">
        <f t="shared" ca="1" si="1"/>
        <v>4.8396251765696618E-2</v>
      </c>
      <c r="L8" s="13">
        <f t="shared" ca="1" si="1"/>
        <v>2.2507840751604613E-2</v>
      </c>
      <c r="M8" s="13">
        <f t="shared" ca="1" si="1"/>
        <v>4.1035306088233359E-2</v>
      </c>
      <c r="N8" s="13">
        <f t="shared" ca="1" si="1"/>
        <v>2.1475943143920206E-2</v>
      </c>
      <c r="O8" s="13">
        <f ca="1">+O7/K7-1</f>
        <v>5.8219797691822617E-2</v>
      </c>
      <c r="P8" s="3"/>
      <c r="Q8" s="25" t="str">
        <f ca="1"/>
        <v>RVTY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53.5953</v>
      </c>
      <c r="V8" s="30" t="str">
        <f ca="1"/>
        <v>-266.03</v>
      </c>
      <c r="W8" s="30" t="str">
        <f ca="1"/>
        <v/>
      </c>
      <c r="X8" s="30" t="str">
        <f ca="1"/>
        <v/>
      </c>
      <c r="Y8" s="30" t="str">
        <f ca="1"/>
        <v>-90.4899999999998</v>
      </c>
    </row>
    <row r="9" spans="1:25" x14ac:dyDescent="0.25">
      <c r="C9" s="4" t="s">
        <v>24</v>
      </c>
      <c r="D9" s="1"/>
      <c r="L9" s="7">
        <f ca="1">(L8-K8)*10000</f>
        <v>-258.88411014092003</v>
      </c>
      <c r="M9" s="7">
        <f ca="1">(M8-L8)*10000</f>
        <v>185.27465336628745</v>
      </c>
      <c r="N9" s="7">
        <f ca="1">(N8-M8)*10000</f>
        <v>-195.59362944313153</v>
      </c>
      <c r="O9" s="7">
        <f ca="1">(O8-N8)*10000</f>
        <v>367.43854547902413</v>
      </c>
      <c r="Q9" s="23" t="str">
        <f ca="1"/>
        <v>RVTY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54.6151</v>
      </c>
      <c r="V9" s="30" t="str">
        <f ca="1"/>
        <v>-191.16</v>
      </c>
      <c r="W9" s="30" t="str">
        <f ca="1"/>
        <v/>
      </c>
      <c r="X9" s="30" t="str">
        <f ca="1"/>
        <v/>
      </c>
      <c r="Y9" s="30" t="str">
        <f ca="1"/>
        <v>101.98</v>
      </c>
    </row>
    <row r="10" spans="1:25" x14ac:dyDescent="0.25">
      <c r="C10" s="4" t="s">
        <v>36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594.96435033933199</v>
      </c>
      <c r="M10" s="7">
        <f ca="1">(M8-I8)*10000</f>
        <v>655.39304554266153</v>
      </c>
      <c r="N10" s="7">
        <f ca="1">(N8-J8)*10000</f>
        <v>16.397419649860634</v>
      </c>
      <c r="O10" s="7">
        <f ca="1">(O8-K8)*10000</f>
        <v>98.23545926125999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RVTY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10.8655</v>
      </c>
      <c r="V10" s="30" t="str">
        <f ca="1"/>
        <v>407.76</v>
      </c>
      <c r="W10" s="30" t="str">
        <f ca="1"/>
        <v/>
      </c>
      <c r="X10" s="30" t="str">
        <f ca="1"/>
        <v/>
      </c>
      <c r="Y10" s="30" t="str">
        <f ca="1"/>
        <v>-541.56</v>
      </c>
    </row>
    <row r="11" spans="1:25" x14ac:dyDescent="0.25">
      <c r="C11" s="4" t="s">
        <v>6</v>
      </c>
      <c r="D11" s="1"/>
      <c r="L11" s="13">
        <f t="shared" ref="L11:N11" ca="1" si="2">L7/K7-1</f>
        <v>-8.884289591271699E-2</v>
      </c>
      <c r="M11" s="13">
        <f t="shared" ca="1" si="2"/>
        <v>8.3521621271974045E-2</v>
      </c>
      <c r="N11" s="13">
        <f t="shared" ca="1" si="2"/>
        <v>-2.9620260897090689E-2</v>
      </c>
      <c r="O11" s="13">
        <f ca="1">O7/N7-1</f>
        <v>0.10459561427228614</v>
      </c>
      <c r="Q11" s="25" t="str">
        <f ca="1"/>
        <v>RVTY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12.6006</v>
      </c>
      <c r="V11" s="30" t="str">
        <f ca="1"/>
        <v>20.7100000000001</v>
      </c>
      <c r="W11" s="30" t="str">
        <f ca="1"/>
        <v/>
      </c>
      <c r="X11" s="30" t="str">
        <f ca="1"/>
        <v/>
      </c>
      <c r="Y11" s="30" t="str">
        <f ca="1"/>
        <v>173.51</v>
      </c>
    </row>
    <row r="12" spans="1:25" x14ac:dyDescent="0.25">
      <c r="Q12" s="25" t="str">
        <f ca="1"/>
        <v>RVTY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11.717</v>
      </c>
      <c r="V12" s="30" t="str">
        <f ca="1"/>
        <v>-263.15</v>
      </c>
      <c r="W12" s="30" t="str">
        <f ca="1"/>
        <v/>
      </c>
      <c r="X12" s="30" t="str">
        <f ca="1"/>
        <v/>
      </c>
      <c r="Y12" s="30" t="str">
        <f ca="1"/>
        <v>-88.36</v>
      </c>
    </row>
    <row r="13" spans="1:25" x14ac:dyDescent="0.25">
      <c r="C13" s="14" t="s">
        <v>17</v>
      </c>
      <c r="D13" s="15">
        <f ca="1">EOMONTH(DATE(YEAR(D14),ROUNDUP(MONTH(D14)/3,0)*3,1),0)</f>
        <v>45107</v>
      </c>
      <c r="E13" s="15">
        <f ca="1">EOMONTH(DATE(YEAR(E14),ROUNDUP(MONTH(E14)/3,0)*3,1),0)</f>
        <v>45199</v>
      </c>
      <c r="F13" s="15">
        <f ca="1">EOMONTH(DATE(YEAR(F14),ROUNDUP(MONTH(F14)/3,0)*3,1),0)</f>
        <v>45291</v>
      </c>
      <c r="G13" s="15">
        <f t="shared" ref="G13:K13" ca="1" si="3">EOMONTH(DATE(YEAR(G14),ROUNDUP(MONTH(G14)/3,0)*3,1),0)</f>
        <v>45291</v>
      </c>
      <c r="H13" s="15">
        <f t="shared" ca="1" si="3"/>
        <v>45382</v>
      </c>
      <c r="I13" s="15">
        <f t="shared" ca="1" si="3"/>
        <v>45473</v>
      </c>
      <c r="J13" s="15">
        <f t="shared" ca="1" si="3"/>
        <v>45565</v>
      </c>
      <c r="K13" s="15">
        <f t="shared" ca="1" si="3"/>
        <v>45657</v>
      </c>
      <c r="L13" s="15">
        <f ca="1">EOMONTH(DATE(YEAR(L14),ROUNDUP(MONTH(L14)/3,0)*3,1),0)</f>
        <v>45747</v>
      </c>
      <c r="M13" s="15">
        <f ca="1">EOMONTH(DATE(YEAR(M14),ROUNDUP(MONTH(M14)/3,0)*3,1),0)</f>
        <v>45838</v>
      </c>
      <c r="N13" s="15">
        <f ca="1">EOMONTH(DATE(YEAR(N14),ROUNDUP(MONTH(N14)/3,0)*3,1),0)</f>
        <v>45930</v>
      </c>
      <c r="O13" s="15">
        <f ca="1">EOMONTH(DATE(YEAR(O14),ROUNDUP(MONTH(O14)/3,0)*3,1),0)</f>
        <v>46022</v>
      </c>
      <c r="Q13" s="25" t="str">
        <f ca="1"/>
        <v>RVTY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14.4742</v>
      </c>
      <c r="V13" s="30" t="str">
        <f ca="1"/>
        <v>-180.69</v>
      </c>
      <c r="W13" s="30" t="str">
        <f ca="1"/>
        <v/>
      </c>
      <c r="X13" s="30" t="str">
        <f ca="1"/>
        <v/>
      </c>
      <c r="Y13" s="30" t="str">
        <f ca="1"/>
        <v>275.72</v>
      </c>
    </row>
    <row r="14" spans="1:25" x14ac:dyDescent="0.25">
      <c r="D14" s="1" cm="1">
        <f t="array" aca="1" ref="D14:O15" ca="1">+_xll.BDH($B$2,C15,$B$3,$B$4,"DIR=H")</f>
        <v>45018</v>
      </c>
      <c r="E14" s="1">
        <f ca="1"/>
        <v>45109</v>
      </c>
      <c r="F14" s="1">
        <f ca="1"/>
        <v>45200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45564</v>
      </c>
      <c r="K14" s="1">
        <f ca="1"/>
        <v>45655</v>
      </c>
      <c r="L14" s="1">
        <f ca="1"/>
        <v>45746</v>
      </c>
      <c r="M14" s="1">
        <f ca="1"/>
        <v>45837</v>
      </c>
      <c r="N14" s="1">
        <f ca="1"/>
        <v>45928</v>
      </c>
      <c r="O14" s="1">
        <f ca="1"/>
        <v>46019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RVTY US EQUITY</v>
      </c>
      <c r="R14" s="25">
        <v>45747</v>
      </c>
      <c r="S14" s="26" t="str">
        <v>custom</v>
      </c>
      <c r="T14" s="27" t="str">
        <v>organic_growth</v>
      </c>
      <c r="U14" s="28" t="str">
        <v>0.04</v>
      </c>
      <c r="V14" s="29" t="str">
        <v>700</v>
      </c>
      <c r="W14" s="30" t="str">
        <v/>
      </c>
      <c r="X14" s="29" t="str">
        <v/>
      </c>
      <c r="Y14" s="30" t="str">
        <v>-200</v>
      </c>
    </row>
    <row r="15" spans="1:25" x14ac:dyDescent="0.25">
      <c r="A15" s="17" t="s">
        <v>14</v>
      </c>
      <c r="B15" s="17" t="s">
        <v>19</v>
      </c>
      <c r="C15" s="9" t="s">
        <v>8</v>
      </c>
      <c r="D15" s="3">
        <f ca="1"/>
        <v>56.51</v>
      </c>
      <c r="E15" s="3">
        <f ca="1"/>
        <v>56.741</v>
      </c>
      <c r="F15" s="3">
        <f ca="1"/>
        <v>55.5381</v>
      </c>
      <c r="G15" s="3">
        <f ca="1"/>
        <v>55.1053</v>
      </c>
      <c r="H15" s="3">
        <f ca="1"/>
        <v>54.629300000000001</v>
      </c>
      <c r="I15" s="3">
        <f ca="1"/>
        <v>55.734299999999998</v>
      </c>
      <c r="J15" s="3">
        <f ca="1"/>
        <v>56.255600000000001</v>
      </c>
      <c r="K15" s="3">
        <f ca="1"/>
        <v>56.526699999999998</v>
      </c>
      <c r="L15" s="3">
        <f ca="1"/>
        <v>56.493299999999998</v>
      </c>
      <c r="M15" s="3">
        <f ca="1"/>
        <v>54.5002</v>
      </c>
      <c r="N15" s="3">
        <f ca="1"/>
        <v>53.595300000000002</v>
      </c>
      <c r="O15">
        <f ca="1"/>
        <v>54.615099999999998</v>
      </c>
      <c r="Q15" s="25" t="str">
        <v>RVTY US EQUITY</v>
      </c>
      <c r="R15" s="25">
        <v>45838</v>
      </c>
      <c r="S15" s="26" t="str">
        <v>custom</v>
      </c>
      <c r="T15" s="27" t="str">
        <v>organic_growth</v>
      </c>
      <c r="U15" s="28" t="str">
        <v>0.04</v>
      </c>
      <c r="V15" s="29" t="str">
        <v>500</v>
      </c>
      <c r="W15" s="30" t="str">
        <v/>
      </c>
      <c r="X15" s="29" t="str">
        <v/>
      </c>
      <c r="Y15" s="30" t="str">
        <v>0</v>
      </c>
    </row>
    <row r="16" spans="1:25" x14ac:dyDescent="0.25">
      <c r="C16" s="4" t="s">
        <v>5</v>
      </c>
      <c r="D16" s="5"/>
      <c r="E16" s="4"/>
      <c r="F16" s="4"/>
      <c r="G16" s="4"/>
      <c r="H16" s="7">
        <f t="shared" ref="H16:N16" ca="1" si="4">(H15-D15)*100</f>
        <v>-188.06999999999974</v>
      </c>
      <c r="I16" s="7">
        <f t="shared" ca="1" si="4"/>
        <v>-100.67000000000021</v>
      </c>
      <c r="J16" s="7">
        <f t="shared" ca="1" si="4"/>
        <v>71.750000000000114</v>
      </c>
      <c r="K16" s="7">
        <f t="shared" ca="1" si="4"/>
        <v>142.13999999999984</v>
      </c>
      <c r="L16" s="7">
        <f t="shared" ca="1" si="4"/>
        <v>186.39999999999972</v>
      </c>
      <c r="M16" s="7">
        <f t="shared" ca="1" si="4"/>
        <v>-123.4099999999998</v>
      </c>
      <c r="N16" s="7">
        <f t="shared" ca="1" si="4"/>
        <v>-266.02999999999997</v>
      </c>
      <c r="O16" s="7">
        <f ca="1">(O15-K15)*100</f>
        <v>-191.16</v>
      </c>
      <c r="Q16" s="25" t="str">
        <v>RVTY US EQUITY</v>
      </c>
      <c r="R16" s="25">
        <v>45930</v>
      </c>
      <c r="S16" s="26" t="str">
        <v>custom</v>
      </c>
      <c r="T16" s="27" t="str">
        <v>organic_growth</v>
      </c>
      <c r="U16" s="28" t="str">
        <v>0.01</v>
      </c>
      <c r="V16" s="29" t="str">
        <v>-100</v>
      </c>
      <c r="W16" s="30" t="str">
        <v/>
      </c>
      <c r="X16" s="29" t="str">
        <v/>
      </c>
      <c r="Y16" s="30" t="str">
        <v>-300</v>
      </c>
    </row>
    <row r="17" spans="1:25" x14ac:dyDescent="0.25">
      <c r="C17" s="4" t="s">
        <v>24</v>
      </c>
      <c r="D17" s="1"/>
      <c r="K17" s="7"/>
      <c r="L17" s="7"/>
      <c r="M17" s="7"/>
      <c r="N17" s="7"/>
      <c r="O17" s="7"/>
      <c r="Q17" s="25" t="str">
        <v>RVTY US EQUITY</v>
      </c>
      <c r="R17" s="25">
        <v>46022</v>
      </c>
      <c r="S17" s="26" t="str">
        <v>custom</v>
      </c>
      <c r="T17" s="27" t="str">
        <v>organic_growth</v>
      </c>
      <c r="U17" s="28" t="str">
        <v>0.04</v>
      </c>
      <c r="V17" s="29" t="str">
        <v>-200</v>
      </c>
      <c r="W17" s="30" t="str">
        <v/>
      </c>
      <c r="X17" s="29" t="str">
        <v/>
      </c>
      <c r="Y17" s="30" t="str">
        <v>300</v>
      </c>
    </row>
    <row r="18" spans="1:25" x14ac:dyDescent="0.25">
      <c r="C18" s="4" t="s">
        <v>36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RVTY US EQUITY</v>
      </c>
      <c r="R18" s="25">
        <v>45747</v>
      </c>
      <c r="S18" s="26" t="str">
        <v>custom</v>
      </c>
      <c r="T18" s="27" t="str">
        <v>life_sciences_organic_growth</v>
      </c>
      <c r="U18" s="28" t="str">
        <v>0.02</v>
      </c>
      <c r="V18" s="29" t="str">
        <v>1200</v>
      </c>
      <c r="W18" s="30" t="str">
        <v/>
      </c>
      <c r="X18" s="29" t="str">
        <v/>
      </c>
      <c r="Y18" s="30" t="str">
        <v>-300</v>
      </c>
    </row>
    <row r="19" spans="1:25" x14ac:dyDescent="0.25">
      <c r="C19" s="4" t="s">
        <v>6</v>
      </c>
      <c r="D19" s="1"/>
      <c r="K19" s="7"/>
      <c r="L19" s="7">
        <f ca="1">(L15-K15)*100</f>
        <v>-3.3400000000000318</v>
      </c>
      <c r="M19" s="7">
        <f t="shared" ref="M19:O19" ca="1" si="5">(M15-L15)*100</f>
        <v>-199.30999999999983</v>
      </c>
      <c r="N19" s="7">
        <f t="shared" ca="1" si="5"/>
        <v>-90.489999999999782</v>
      </c>
      <c r="O19" s="7">
        <f t="shared" ca="1" si="5"/>
        <v>101.97999999999965</v>
      </c>
      <c r="Q19" s="25" t="str">
        <v>RVTY US EQUITY</v>
      </c>
      <c r="R19" s="25">
        <v>45838</v>
      </c>
      <c r="S19" s="26" t="str">
        <v>custom</v>
      </c>
      <c r="T19" s="27" t="str">
        <v>life_sciences_organic_growth</v>
      </c>
      <c r="U19" s="28" t="str">
        <v>0</v>
      </c>
      <c r="V19" s="29" t="str">
        <v>800</v>
      </c>
      <c r="W19" s="30" t="str">
        <v/>
      </c>
      <c r="X19" s="29" t="str">
        <v/>
      </c>
      <c r="Y19" s="30" t="str">
        <v>-200</v>
      </c>
    </row>
    <row r="20" spans="1:25" x14ac:dyDescent="0.25">
      <c r="Q20" s="25" t="str">
        <v>RVTY US EQUITY</v>
      </c>
      <c r="R20" s="25">
        <v>45930</v>
      </c>
      <c r="S20" s="26" t="str">
        <v>custom</v>
      </c>
      <c r="T20" s="27" t="str">
        <v>life_sciences_organic_growth</v>
      </c>
      <c r="U20" s="28" t="str">
        <v>0</v>
      </c>
      <c r="V20" s="29" t="str">
        <v>300</v>
      </c>
      <c r="W20" s="30" t="str">
        <v/>
      </c>
      <c r="X20" s="29" t="str">
        <v/>
      </c>
      <c r="Y20" s="30" t="str">
        <v>0</v>
      </c>
    </row>
    <row r="21" spans="1:25" x14ac:dyDescent="0.25">
      <c r="C21" s="14" t="s">
        <v>17</v>
      </c>
      <c r="D21" s="15">
        <f ca="1">EOMONTH(DATE(YEAR(D22),ROUNDUP(MONTH(D22)/3,0)*3,1),0)</f>
        <v>45107</v>
      </c>
      <c r="E21" s="15">
        <f ca="1">EOMONTH(DATE(YEAR(E22),ROUNDUP(MONTH(E22)/3,0)*3,1),0)</f>
        <v>45199</v>
      </c>
      <c r="F21" s="15">
        <f ca="1">EOMONTH(DATE(YEAR(F22),ROUNDUP(MONTH(F22)/3,0)*3,1),0)</f>
        <v>45291</v>
      </c>
      <c r="G21" s="15">
        <f t="shared" ref="G21:K21" ca="1" si="6">EOMONTH(DATE(YEAR(G22),ROUNDUP(MONTH(G22)/3,0)*3,1),0)</f>
        <v>45291</v>
      </c>
      <c r="H21" s="15">
        <f t="shared" ca="1" si="6"/>
        <v>45382</v>
      </c>
      <c r="I21" s="15">
        <f t="shared" ca="1" si="6"/>
        <v>45473</v>
      </c>
      <c r="J21" s="15">
        <f t="shared" ca="1" si="6"/>
        <v>45565</v>
      </c>
      <c r="K21" s="15">
        <f t="shared" ca="1" si="6"/>
        <v>45657</v>
      </c>
      <c r="L21" s="15">
        <f ca="1">EOMONTH(DATE(YEAR(L22),ROUNDUP(MONTH(L22)/3,0)*3,1),0)</f>
        <v>45747</v>
      </c>
      <c r="M21" s="15">
        <f ca="1">EOMONTH(DATE(YEAR(M22),ROUNDUP(MONTH(M22)/3,0)*3,1),0)</f>
        <v>45838</v>
      </c>
      <c r="N21" s="15">
        <f ca="1">EOMONTH(DATE(YEAR(N22),ROUNDUP(MONTH(N22)/3,0)*3,1),0)</f>
        <v>45930</v>
      </c>
      <c r="O21" s="15">
        <f ca="1">EOMONTH(DATE(YEAR(O22),ROUNDUP(MONTH(O22)/3,0)*3,1),0)</f>
        <v>46022</v>
      </c>
      <c r="Q21" s="25" t="str">
        <v>RVTY US EQUITY</v>
      </c>
      <c r="R21" s="25">
        <v>46022</v>
      </c>
      <c r="S21" s="26" t="str">
        <v>custom</v>
      </c>
      <c r="T21" s="27" t="str">
        <v>life_sciences_organic_growth</v>
      </c>
      <c r="U21" s="28" t="str">
        <v>0</v>
      </c>
      <c r="V21" s="29" t="str">
        <v>-500</v>
      </c>
      <c r="W21" s="30" t="str">
        <v/>
      </c>
      <c r="X21" s="29" t="str">
        <v/>
      </c>
      <c r="Y21" s="30" t="str">
        <v>0</v>
      </c>
    </row>
    <row r="22" spans="1:25" x14ac:dyDescent="0.25">
      <c r="D22" s="1" cm="1">
        <f t="array" aca="1" ref="D22:O23" ca="1">+_xll.BDH($B$2,C23,$B$3,$B$4,"DIR=H")</f>
        <v>45018</v>
      </c>
      <c r="E22" s="1">
        <f ca="1"/>
        <v>45109</v>
      </c>
      <c r="F22" s="1">
        <f ca="1"/>
        <v>45200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45564</v>
      </c>
      <c r="K22" s="1">
        <f ca="1"/>
        <v>45655</v>
      </c>
      <c r="L22" s="1">
        <f ca="1"/>
        <v>45746</v>
      </c>
      <c r="M22" s="1">
        <f ca="1"/>
        <v>45837</v>
      </c>
      <c r="N22" s="1">
        <f ca="1"/>
        <v>45928</v>
      </c>
      <c r="O22" s="1">
        <f ca="1"/>
        <v>46019</v>
      </c>
      <c r="Q22" s="25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RVTY US EQUITY</v>
      </c>
      <c r="R22" s="25">
        <v>45747</v>
      </c>
      <c r="S22" s="26" t="str">
        <v>custom</v>
      </c>
      <c r="T22" s="27" t="str">
        <v>diagnostics_organic_growth</v>
      </c>
      <c r="U22" s="28" t="str">
        <v>0.05</v>
      </c>
      <c r="V22" s="29" t="str">
        <v>100</v>
      </c>
      <c r="W22" s="30" t="str">
        <v/>
      </c>
      <c r="X22" s="29" t="str">
        <v/>
      </c>
      <c r="Y22" s="30" t="str">
        <v>-99.9999999999999</v>
      </c>
    </row>
    <row r="23" spans="1:25" x14ac:dyDescent="0.25">
      <c r="A23" s="17" t="s">
        <v>14</v>
      </c>
      <c r="B23" s="17" t="s">
        <v>20</v>
      </c>
      <c r="C23" s="9" t="s">
        <v>9</v>
      </c>
      <c r="D23" s="3">
        <f ca="1"/>
        <v>11.2791</v>
      </c>
      <c r="E23" s="3">
        <f ca="1"/>
        <v>11.0083</v>
      </c>
      <c r="F23" s="3">
        <f ca="1"/>
        <v>10.321199999999999</v>
      </c>
      <c r="G23" s="3">
        <f ca="1"/>
        <v>11.0876</v>
      </c>
      <c r="H23" s="3">
        <f ca="1"/>
        <v>6.7878999999999996</v>
      </c>
      <c r="I23" s="3">
        <f ca="1"/>
        <v>12.3935</v>
      </c>
      <c r="J23" s="3">
        <f ca="1"/>
        <v>14.3485</v>
      </c>
      <c r="K23" s="3">
        <f ca="1"/>
        <v>16.281099999999999</v>
      </c>
      <c r="L23" s="3">
        <f ca="1"/>
        <v>10.865500000000001</v>
      </c>
      <c r="M23" s="3">
        <f ca="1"/>
        <v>12.6006</v>
      </c>
      <c r="N23" s="3">
        <f ca="1"/>
        <v>11.717000000000001</v>
      </c>
      <c r="O23">
        <f ca="1"/>
        <v>14.4742</v>
      </c>
      <c r="Q23" s="25" t="str">
        <v>RVTY US EQUITY</v>
      </c>
      <c r="R23" s="25">
        <v>45838</v>
      </c>
      <c r="S23" s="26" t="str">
        <v>custom</v>
      </c>
      <c r="T23" s="27" t="str">
        <v>diagnostics_organic_growth</v>
      </c>
      <c r="U23" s="28" t="str">
        <v>0</v>
      </c>
      <c r="V23" s="29" t="str">
        <v>-600</v>
      </c>
      <c r="W23" s="30" t="str">
        <v/>
      </c>
      <c r="X23" s="29" t="str">
        <v/>
      </c>
      <c r="Y23" s="30" t="str">
        <v>-500</v>
      </c>
    </row>
    <row r="24" spans="1:25" x14ac:dyDescent="0.25">
      <c r="C24" s="4" t="s">
        <v>5</v>
      </c>
      <c r="D24" s="5"/>
      <c r="E24" s="4"/>
      <c r="F24" s="4"/>
      <c r="G24" s="4"/>
      <c r="H24" s="7">
        <f t="shared" ref="H24:N24" ca="1" si="7">(H23-D23)*100</f>
        <v>-449.12</v>
      </c>
      <c r="I24" s="7">
        <f t="shared" ca="1" si="7"/>
        <v>138.51999999999992</v>
      </c>
      <c r="J24" s="7">
        <f t="shared" ca="1" si="7"/>
        <v>402.73</v>
      </c>
      <c r="K24" s="7">
        <f t="shared" ca="1" si="7"/>
        <v>519.3499999999998</v>
      </c>
      <c r="L24" s="7">
        <f t="shared" ca="1" si="7"/>
        <v>407.7600000000001</v>
      </c>
      <c r="M24" s="7">
        <f t="shared" ca="1" si="7"/>
        <v>20.710000000000051</v>
      </c>
      <c r="N24" s="7">
        <f t="shared" ca="1" si="7"/>
        <v>-263.14999999999992</v>
      </c>
      <c r="O24" s="7">
        <f ca="1">(O23-K23)*100</f>
        <v>-180.68999999999988</v>
      </c>
      <c r="Q24" s="25" t="str">
        <v>RVTY US EQUITY</v>
      </c>
      <c r="R24" s="25">
        <v>45930</v>
      </c>
      <c r="S24" s="26" t="str">
        <v>custom</v>
      </c>
      <c r="T24" s="27" t="str">
        <v>diagnostics_organic_growth</v>
      </c>
      <c r="U24" s="28" t="str">
        <v>0.02</v>
      </c>
      <c r="V24" s="29" t="str">
        <v>-400</v>
      </c>
      <c r="W24" s="30" t="str">
        <v/>
      </c>
      <c r="X24" s="29" t="str">
        <v/>
      </c>
      <c r="Y24" s="30" t="str">
        <v>200</v>
      </c>
    </row>
    <row r="25" spans="1:25" x14ac:dyDescent="0.25">
      <c r="C25" s="4" t="s">
        <v>24</v>
      </c>
      <c r="D25" s="1"/>
      <c r="K25" s="7"/>
      <c r="L25" s="7"/>
      <c r="M25" s="7"/>
      <c r="N25" s="7"/>
      <c r="O25" s="7"/>
      <c r="Q25" s="25" t="str">
        <v>RVTY US EQUITY</v>
      </c>
      <c r="R25" s="25">
        <v>46022</v>
      </c>
      <c r="S25" s="26" t="str">
        <v>custom</v>
      </c>
      <c r="T25" s="27" t="str">
        <v>diagnostics_organic_growth</v>
      </c>
      <c r="U25" s="28" t="str">
        <v>0.07</v>
      </c>
      <c r="V25" s="29" t="str">
        <v>100</v>
      </c>
      <c r="W25" s="30" t="str">
        <v/>
      </c>
      <c r="X25" s="29" t="str">
        <v/>
      </c>
      <c r="Y25" s="30" t="str">
        <v>500</v>
      </c>
    </row>
    <row r="26" spans="1:25" x14ac:dyDescent="0.25">
      <c r="C26" s="4" t="s">
        <v>36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25" x14ac:dyDescent="0.25">
      <c r="C27" s="4" t="s">
        <v>6</v>
      </c>
      <c r="D27" s="1"/>
      <c r="K27" s="7"/>
      <c r="L27" s="7">
        <f ca="1">(L23-K23)*100</f>
        <v>-541.55999999999972</v>
      </c>
      <c r="M27" s="7">
        <f t="shared" ref="M27:O27" ca="1" si="8">(M23-L23)*100</f>
        <v>173.50999999999993</v>
      </c>
      <c r="N27" s="7">
        <f t="shared" ca="1" si="8"/>
        <v>-88.359999999999957</v>
      </c>
      <c r="O27" s="7">
        <f t="shared" ca="1" si="8"/>
        <v>275.71999999999991</v>
      </c>
    </row>
    <row r="28" spans="1:25" x14ac:dyDescent="0.25">
      <c r="C28" s="4"/>
      <c r="D28" s="1"/>
      <c r="L28" s="7"/>
      <c r="M28" s="7"/>
      <c r="N28" s="7"/>
      <c r="O28" s="7"/>
    </row>
    <row r="29" spans="1:25" x14ac:dyDescent="0.25">
      <c r="C29" s="14" t="s">
        <v>17</v>
      </c>
      <c r="D29" s="15"/>
      <c r="E29" s="15"/>
      <c r="F29" s="15"/>
      <c r="G29" s="15">
        <f t="shared" ref="G29:J29" si="9">EOMONTH(DATE(YEAR(G30),ROUNDUP(MONTH(G30)/3,0)*3,1),0)</f>
        <v>45291</v>
      </c>
      <c r="H29" s="15">
        <f t="shared" si="9"/>
        <v>45382</v>
      </c>
      <c r="I29" s="15">
        <f t="shared" si="9"/>
        <v>45473</v>
      </c>
      <c r="J29" s="15">
        <f t="shared" si="9"/>
        <v>45565</v>
      </c>
      <c r="K29" s="15">
        <f>EOMONTH(DATE(YEAR(K30),ROUNDUP(MONTH(K30)/3,0)*3,1),0)</f>
        <v>45657</v>
      </c>
      <c r="L29" s="15">
        <f>EOMONTH(DATE(YEAR(L30),ROUNDUP(MONTH(L30)/3,0)*3,1),0)</f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</row>
    <row r="30" spans="1:25" x14ac:dyDescent="0.25">
      <c r="C30" s="2" t="s">
        <v>17</v>
      </c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</row>
    <row r="31" spans="1:25" x14ac:dyDescent="0.25">
      <c r="A31" s="17" t="s">
        <v>26</v>
      </c>
      <c r="B31" s="17" t="s">
        <v>48</v>
      </c>
      <c r="C31" s="9" t="s">
        <v>11</v>
      </c>
      <c r="D31" s="8"/>
      <c r="E31" s="8"/>
      <c r="F31" s="8"/>
      <c r="G31" s="8">
        <v>-0.03</v>
      </c>
      <c r="H31" s="8">
        <v>-0.03</v>
      </c>
      <c r="I31" s="8">
        <v>-0.01</v>
      </c>
      <c r="J31" s="8">
        <v>0.02</v>
      </c>
      <c r="K31" s="8">
        <v>0.06</v>
      </c>
      <c r="L31" s="8">
        <v>0.04</v>
      </c>
      <c r="M31" s="8">
        <v>0.04</v>
      </c>
      <c r="N31" s="8">
        <v>0.01</v>
      </c>
      <c r="O31" s="8">
        <v>0.04</v>
      </c>
    </row>
    <row r="32" spans="1:25" x14ac:dyDescent="0.2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10">(K31-G31)*100</f>
        <v>9</v>
      </c>
      <c r="L32" s="7">
        <f t="shared" ref="L32:N32" si="11">(L31-H31)*10000</f>
        <v>700.00000000000011</v>
      </c>
      <c r="M32" s="7">
        <f t="shared" si="11"/>
        <v>500</v>
      </c>
      <c r="N32" s="7">
        <f t="shared" si="11"/>
        <v>-100</v>
      </c>
      <c r="O32" s="7">
        <f>(O31-K31)*10000</f>
        <v>-199.99999999999997</v>
      </c>
    </row>
    <row r="33" spans="1:24" x14ac:dyDescent="0.25">
      <c r="C33" s="4" t="s">
        <v>24</v>
      </c>
      <c r="D33" s="1"/>
      <c r="K33" s="7"/>
      <c r="L33" s="7"/>
      <c r="M33" s="7"/>
      <c r="N33" s="7"/>
      <c r="O33" s="7"/>
    </row>
    <row r="34" spans="1:24" x14ac:dyDescent="0.25">
      <c r="C34" s="4" t="s">
        <v>36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4" x14ac:dyDescent="0.25">
      <c r="C35" s="4" t="s">
        <v>6</v>
      </c>
      <c r="D35" s="1"/>
      <c r="K35" s="7"/>
      <c r="L35" s="7">
        <f>(L31-K31)*10000</f>
        <v>-199.99999999999997</v>
      </c>
      <c r="M35" s="7">
        <f t="shared" ref="M35:O35" si="12">(M31-L31)*10000</f>
        <v>0</v>
      </c>
      <c r="N35" s="7">
        <f t="shared" si="12"/>
        <v>-300</v>
      </c>
      <c r="O35" s="7">
        <f t="shared" si="12"/>
        <v>300</v>
      </c>
    </row>
    <row r="36" spans="1:24" x14ac:dyDescent="0.25">
      <c r="C36" s="4"/>
      <c r="D36" s="1"/>
      <c r="G36" s="1"/>
    </row>
    <row r="37" spans="1:24" x14ac:dyDescent="0.25">
      <c r="C37" s="14" t="s">
        <v>17</v>
      </c>
      <c r="D37" s="15"/>
      <c r="E37" s="15"/>
      <c r="F37" s="15"/>
      <c r="G37" s="15">
        <f t="shared" ref="G37:J37" si="13">EOMONTH(DATE(YEAR(G38),ROUNDUP(MONTH(G38)/3,0)*3,1),0)</f>
        <v>45291</v>
      </c>
      <c r="H37" s="15">
        <f t="shared" si="13"/>
        <v>45382</v>
      </c>
      <c r="I37" s="15">
        <f t="shared" si="13"/>
        <v>45473</v>
      </c>
      <c r="J37" s="15">
        <f t="shared" si="13"/>
        <v>45565</v>
      </c>
      <c r="K37" s="15">
        <f>EOMONTH(DATE(YEAR(K38),ROUNDUP(MONTH(K38)/3,0)*3,1),0)</f>
        <v>45657</v>
      </c>
      <c r="L37" s="15">
        <f>EOMONTH(DATE(YEAR(L38),ROUNDUP(MONTH(L38)/3,0)*3,1),0)</f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4" x14ac:dyDescent="0.25">
      <c r="C38" s="2" t="s">
        <v>17</v>
      </c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4" x14ac:dyDescent="0.25">
      <c r="A39" s="17" t="s">
        <v>26</v>
      </c>
      <c r="B39" s="17" t="s">
        <v>49</v>
      </c>
      <c r="C39" s="9" t="s">
        <v>49</v>
      </c>
      <c r="D39" s="8"/>
      <c r="E39" s="8"/>
      <c r="F39" s="8"/>
      <c r="G39" s="8">
        <v>-0.09</v>
      </c>
      <c r="H39" s="8">
        <v>-0.1</v>
      </c>
      <c r="I39" s="8">
        <v>-0.08</v>
      </c>
      <c r="J39" s="8">
        <v>-0.03</v>
      </c>
      <c r="K39" s="8">
        <v>0.05</v>
      </c>
      <c r="L39" s="8">
        <v>0.02</v>
      </c>
      <c r="M39" s="8">
        <v>0</v>
      </c>
      <c r="N39" s="8">
        <v>0</v>
      </c>
      <c r="O39" s="8">
        <v>0</v>
      </c>
    </row>
    <row r="40" spans="1:24" x14ac:dyDescent="0.2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14">(K39-G39)*100</f>
        <v>14.000000000000002</v>
      </c>
      <c r="L40" s="7">
        <f t="shared" ref="L40:N40" si="15">(L39-H39)*10000</f>
        <v>1200</v>
      </c>
      <c r="M40" s="7">
        <f t="shared" si="15"/>
        <v>800</v>
      </c>
      <c r="N40" s="7">
        <f t="shared" si="15"/>
        <v>300</v>
      </c>
      <c r="O40" s="7">
        <f>(O39-K39)*10000</f>
        <v>-500</v>
      </c>
    </row>
    <row r="41" spans="1:24" x14ac:dyDescent="0.25">
      <c r="C41" s="4" t="s">
        <v>24</v>
      </c>
      <c r="D41" s="1"/>
      <c r="K41" s="7"/>
      <c r="L41" s="7"/>
      <c r="M41" s="7"/>
      <c r="N41" s="7"/>
      <c r="O41" s="7"/>
    </row>
    <row r="42" spans="1:24" x14ac:dyDescent="0.25">
      <c r="C42" s="4" t="s">
        <v>36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4" x14ac:dyDescent="0.25">
      <c r="C43" s="4" t="s">
        <v>6</v>
      </c>
      <c r="D43" s="1"/>
      <c r="K43" s="7"/>
      <c r="L43" s="7">
        <f>(L39-K39)*10000</f>
        <v>-300</v>
      </c>
      <c r="M43" s="7">
        <f t="shared" ref="M43:O43" si="16">(M39-L39)*10000</f>
        <v>-200</v>
      </c>
      <c r="N43" s="7">
        <f t="shared" si="16"/>
        <v>0</v>
      </c>
      <c r="O43" s="7">
        <f t="shared" si="16"/>
        <v>0</v>
      </c>
    </row>
    <row r="44" spans="1:24" x14ac:dyDescent="0.25">
      <c r="C44" s="4"/>
      <c r="D44" s="1"/>
      <c r="G44" s="1"/>
    </row>
    <row r="45" spans="1:24" x14ac:dyDescent="0.25">
      <c r="C45" s="14" t="s">
        <v>17</v>
      </c>
      <c r="D45" s="15"/>
      <c r="E45" s="15"/>
      <c r="F45" s="15"/>
      <c r="G45" s="15">
        <f t="shared" ref="G45:J45" si="17">EOMONTH(DATE(YEAR(G46),ROUNDUP(MONTH(G46)/3,0)*3,1),0)</f>
        <v>45291</v>
      </c>
      <c r="H45" s="15">
        <f t="shared" si="17"/>
        <v>45382</v>
      </c>
      <c r="I45" s="15">
        <f t="shared" si="17"/>
        <v>45473</v>
      </c>
      <c r="J45" s="15">
        <f t="shared" si="17"/>
        <v>45565</v>
      </c>
      <c r="K45" s="15">
        <f>EOMONTH(DATE(YEAR(K46),ROUNDUP(MONTH(K46)/3,0)*3,1),0)</f>
        <v>45657</v>
      </c>
      <c r="L45" s="15">
        <f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  <c r="Q45" s="1"/>
      <c r="T45" s="12"/>
      <c r="U45" s="13"/>
      <c r="V45" s="7"/>
      <c r="W45" s="13"/>
      <c r="X45" s="7"/>
    </row>
    <row r="46" spans="1:24" x14ac:dyDescent="0.25">
      <c r="C46" s="2" t="s">
        <v>17</v>
      </c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  <c r="Q46" s="1"/>
      <c r="T46" s="12"/>
      <c r="U46" s="13"/>
      <c r="V46" s="7"/>
      <c r="W46" s="13"/>
      <c r="X46" s="7"/>
    </row>
    <row r="47" spans="1:24" x14ac:dyDescent="0.25">
      <c r="A47" s="17" t="s">
        <v>26</v>
      </c>
      <c r="B47" s="17" t="s">
        <v>50</v>
      </c>
      <c r="C47" s="9" t="s">
        <v>50</v>
      </c>
      <c r="D47" s="8"/>
      <c r="E47" s="8"/>
      <c r="F47" s="8"/>
      <c r="G47" s="8">
        <v>0.03</v>
      </c>
      <c r="H47" s="8">
        <v>0.04</v>
      </c>
      <c r="I47" s="8">
        <v>0.06</v>
      </c>
      <c r="J47" s="8">
        <v>0.06</v>
      </c>
      <c r="K47" s="8">
        <v>0.06</v>
      </c>
      <c r="L47" s="8">
        <v>0.05</v>
      </c>
      <c r="M47" s="8">
        <v>0</v>
      </c>
      <c r="N47" s="8">
        <v>0.02</v>
      </c>
      <c r="O47" s="8">
        <v>7.0000000000000007E-2</v>
      </c>
      <c r="Q47" s="1"/>
      <c r="T47" s="12"/>
      <c r="U47" s="13"/>
      <c r="V47" s="7"/>
      <c r="W47" s="13"/>
      <c r="X47" s="7"/>
    </row>
    <row r="48" spans="1:24" x14ac:dyDescent="0.2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18">(K47-G47)*100</f>
        <v>3</v>
      </c>
      <c r="L48" s="7">
        <f t="shared" ref="L48:N48" si="19">(L47-H47)*10000</f>
        <v>100.00000000000001</v>
      </c>
      <c r="M48" s="7">
        <f t="shared" si="19"/>
        <v>-600</v>
      </c>
      <c r="N48" s="7">
        <f t="shared" si="19"/>
        <v>-399.99999999999994</v>
      </c>
      <c r="O48" s="7">
        <f>(O47-K47)*10000</f>
        <v>100.00000000000009</v>
      </c>
    </row>
    <row r="49" spans="3:15" x14ac:dyDescent="0.25">
      <c r="C49" s="4" t="s">
        <v>24</v>
      </c>
      <c r="D49" s="1"/>
      <c r="K49" s="7"/>
      <c r="L49" s="7"/>
      <c r="M49" s="7"/>
      <c r="N49" s="7"/>
      <c r="O49" s="7"/>
    </row>
    <row r="50" spans="3:15" x14ac:dyDescent="0.25">
      <c r="C50" s="4" t="s">
        <v>36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5" x14ac:dyDescent="0.25">
      <c r="C51" s="4" t="s">
        <v>6</v>
      </c>
      <c r="D51" s="1"/>
      <c r="K51" s="7"/>
      <c r="L51" s="7">
        <f>(L47-K47)*10000</f>
        <v>-99.999999999999943</v>
      </c>
      <c r="M51" s="7">
        <f t="shared" ref="M51:O51" si="20">(M47-L47)*10000</f>
        <v>-500</v>
      </c>
      <c r="N51" s="7">
        <f t="shared" si="20"/>
        <v>200</v>
      </c>
      <c r="O51" s="7">
        <f t="shared" si="20"/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C8C5-5A97-4C70-8B39-A9AE17F7D5CD}">
  <dimension ref="A1:Y51"/>
  <sheetViews>
    <sheetView tabSelected="1" topLeftCell="A19" zoomScale="85" zoomScaleNormal="85" workbookViewId="0">
      <selection activeCell="F48" sqref="F48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3" t="s">
        <v>29</v>
      </c>
      <c r="B1" s="23" t="s">
        <v>29</v>
      </c>
      <c r="C1" s="23" t="s">
        <v>29</v>
      </c>
      <c r="D1" s="23" t="s">
        <v>29</v>
      </c>
      <c r="E1" s="23" t="s">
        <v>29</v>
      </c>
      <c r="F1" s="23" t="s">
        <v>29</v>
      </c>
      <c r="G1" s="23" t="s">
        <v>29</v>
      </c>
      <c r="H1" s="23" t="s">
        <v>29</v>
      </c>
      <c r="I1" s="23" t="s">
        <v>29</v>
      </c>
      <c r="J1" s="23" t="s">
        <v>29</v>
      </c>
      <c r="K1" s="23" t="s">
        <v>29</v>
      </c>
      <c r="L1" s="23" t="s">
        <v>29</v>
      </c>
      <c r="M1" s="23" t="s">
        <v>29</v>
      </c>
      <c r="N1" s="23" t="s">
        <v>29</v>
      </c>
      <c r="O1" s="23" t="s">
        <v>29</v>
      </c>
      <c r="Q1" s="24" t="s">
        <v>18</v>
      </c>
      <c r="R1" s="24" t="s">
        <v>16</v>
      </c>
      <c r="S1" s="24" t="s">
        <v>23</v>
      </c>
      <c r="T1" s="24" t="s">
        <v>22</v>
      </c>
      <c r="U1" s="24" t="s">
        <v>15</v>
      </c>
      <c r="V1" s="24" t="s">
        <v>21</v>
      </c>
      <c r="W1" s="24" t="s">
        <v>25</v>
      </c>
      <c r="X1" s="24" t="s">
        <v>37</v>
      </c>
      <c r="Y1" s="24" t="s">
        <v>38</v>
      </c>
    </row>
    <row r="2" spans="1:25" x14ac:dyDescent="0.25">
      <c r="A2" s="18" t="s">
        <v>1</v>
      </c>
      <c r="B2" s="33" t="s">
        <v>51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TECH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316.181</v>
      </c>
      <c r="V2" s="29" t="str">
        <f ca="1"/>
        <v>0.0420297401690022</v>
      </c>
      <c r="W2" s="30" t="str">
        <f ca="1"/>
        <v>-476.004111894084</v>
      </c>
      <c r="X2" s="29" t="str">
        <f ca="1"/>
        <v>104.739821440758</v>
      </c>
      <c r="Y2" s="30" t="str">
        <f ca="1"/>
        <v>0.0644713851416181</v>
      </c>
    </row>
    <row r="3" spans="1:25" x14ac:dyDescent="0.25">
      <c r="A3" s="19" t="s">
        <v>3</v>
      </c>
      <c r="B3" s="20">
        <f ca="1">+B4-365*3</f>
        <v>44989</v>
      </c>
      <c r="Q3" s="25" t="str">
        <f ca="1"/>
        <v>TECH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316.964</v>
      </c>
      <c r="V3" s="29" t="str">
        <f ca="1"/>
        <v>0.0354984351416865</v>
      </c>
      <c r="W3" s="30" t="str">
        <f ca="1"/>
        <v>-65.3130502731569</v>
      </c>
      <c r="X3" s="30" t="str">
        <f ca="1"/>
        <v>196.415388188402</v>
      </c>
      <c r="Y3" s="30" t="str">
        <f ca="1"/>
        <v>0.00247642963998485</v>
      </c>
    </row>
    <row r="4" spans="1:25" x14ac:dyDescent="0.25">
      <c r="A4" s="21" t="s">
        <v>2</v>
      </c>
      <c r="B4" s="22">
        <f ca="1">TODAY()</f>
        <v>46084</v>
      </c>
      <c r="Q4" s="25" t="str">
        <f ca="1"/>
        <v>TECH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286.555</v>
      </c>
      <c r="V4" s="29" t="str">
        <f ca="1"/>
        <v>-0.010029088848814</v>
      </c>
      <c r="W4" s="30" t="str">
        <f ca="1"/>
        <v>-455.275239905005</v>
      </c>
      <c r="X4" s="30" t="str">
        <f ca="1"/>
        <v>-552.490863211451</v>
      </c>
      <c r="Y4" s="30" t="str">
        <f ca="1"/>
        <v>-0.0959383400007572</v>
      </c>
    </row>
    <row r="5" spans="1:25" x14ac:dyDescent="0.25">
      <c r="C5" s="14" t="s">
        <v>17</v>
      </c>
      <c r="D5" s="15">
        <f ca="1">EOMONTH(DATE(YEAR(D6),ROUNDUP(MONTH(D6)/3,0)*3,1),0)</f>
        <v>45016</v>
      </c>
      <c r="E5" s="15">
        <f ca="1">EOMONTH(DATE(YEAR(E6),ROUNDUP(MONTH(E6)/3,0)*3,1),0)</f>
        <v>45107</v>
      </c>
      <c r="F5" s="15">
        <f ca="1">EOMONTH(DATE(YEAR(F6),ROUNDUP(MONTH(F6)/3,0)*3,1),0)</f>
        <v>45199</v>
      </c>
      <c r="G5" s="15">
        <f t="shared" ref="G5:K5" ca="1" si="0">EOMONTH(DATE(YEAR(G6),ROUNDUP(MONTH(G6)/3,0)*3,1),0)</f>
        <v>45291</v>
      </c>
      <c r="H5" s="15">
        <f t="shared" ca="1" si="0"/>
        <v>45382</v>
      </c>
      <c r="I5" s="15">
        <f t="shared" ca="1" si="0"/>
        <v>45473</v>
      </c>
      <c r="J5" s="15">
        <f t="shared" ca="1" si="0"/>
        <v>45565</v>
      </c>
      <c r="K5" s="15">
        <f t="shared" ca="1" si="0"/>
        <v>45657</v>
      </c>
      <c r="L5" s="15">
        <f ca="1">EOMONTH(DATE(YEAR(L6),ROUNDUP(MONTH(L6)/3,0)*3,1),0)</f>
        <v>45747</v>
      </c>
      <c r="M5" s="15">
        <f ca="1">EOMONTH(DATE(YEAR(M6),ROUNDUP(MONTH(M6)/3,0)*3,1),0)</f>
        <v>45838</v>
      </c>
      <c r="N5" s="15">
        <f ca="1">EOMONTH(DATE(YEAR(N6),ROUNDUP(MONTH(N6)/3,0)*3,1),0)</f>
        <v>45930</v>
      </c>
      <c r="O5" s="15">
        <f ca="1">EOMONTH(DATE(YEAR(O6),ROUNDUP(MONTH(O6)/3,0)*3,1),0)</f>
        <v>46022</v>
      </c>
      <c r="Q5" s="25" t="str">
        <f ca="1"/>
        <v>TECH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295.877</v>
      </c>
      <c r="V5" s="29" t="str">
        <f ca="1"/>
        <v>-0.00388511636832523</v>
      </c>
      <c r="W5" s="30" t="str">
        <f ca="1"/>
        <v>61.4397248048881</v>
      </c>
      <c r="X5" s="30" t="str">
        <f ca="1"/>
        <v>-935.152677267358</v>
      </c>
      <c r="Y5" s="30" t="str">
        <f ca="1"/>
        <v>0.0325312767182566</v>
      </c>
    </row>
    <row r="6" spans="1:25" x14ac:dyDescent="0.25">
      <c r="D6" s="16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TECH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67.8586</v>
      </c>
      <c r="V6" s="30" t="str">
        <f ca="1"/>
        <v>42.9400000000001</v>
      </c>
      <c r="W6" s="30" t="str">
        <f ca="1"/>
        <v/>
      </c>
      <c r="X6" s="30" t="str">
        <f ca="1"/>
        <v/>
      </c>
      <c r="Y6" s="30" t="str">
        <f ca="1"/>
        <v>258.39</v>
      </c>
    </row>
    <row r="7" spans="1:25" x14ac:dyDescent="0.25">
      <c r="A7" s="17" t="s">
        <v>14</v>
      </c>
      <c r="B7" s="17" t="s">
        <v>13</v>
      </c>
      <c r="C7" s="9" t="s">
        <v>0</v>
      </c>
      <c r="D7" s="12">
        <f ca="1"/>
        <v>294.14600000000002</v>
      </c>
      <c r="E7" s="12">
        <f ca="1"/>
        <v>301.32</v>
      </c>
      <c r="F7" s="12">
        <f ca="1"/>
        <v>276.935</v>
      </c>
      <c r="G7" s="12">
        <f ca="1"/>
        <v>272.59800000000001</v>
      </c>
      <c r="H7" s="12">
        <f ca="1"/>
        <v>303.428</v>
      </c>
      <c r="I7" s="12">
        <f ca="1"/>
        <v>306.09800000000001</v>
      </c>
      <c r="J7" s="12">
        <f ca="1"/>
        <v>289.45800000000003</v>
      </c>
      <c r="K7" s="12">
        <f ca="1"/>
        <v>297.03100000000001</v>
      </c>
      <c r="L7" s="12">
        <f ca="1"/>
        <v>316.18099999999998</v>
      </c>
      <c r="M7" s="12">
        <f ca="1"/>
        <v>316.964</v>
      </c>
      <c r="N7" s="12">
        <f ca="1"/>
        <v>286.55500000000001</v>
      </c>
      <c r="O7" s="3">
        <f ca="1"/>
        <v>295.87700000000001</v>
      </c>
      <c r="P7" s="1"/>
      <c r="Q7" s="25" t="str">
        <f ca="1"/>
        <v>TECH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62.7238</v>
      </c>
      <c r="V7" s="30" t="str">
        <f ca="1"/>
        <v>-370.820000000001</v>
      </c>
      <c r="W7" s="30" t="str">
        <f ca="1"/>
        <v/>
      </c>
      <c r="X7" s="30" t="str">
        <f ca="1"/>
        <v/>
      </c>
      <c r="Y7" s="30" t="str">
        <f ca="1"/>
        <v>-513.48</v>
      </c>
    </row>
    <row r="8" spans="1:25" x14ac:dyDescent="0.25">
      <c r="C8" s="4" t="s">
        <v>5</v>
      </c>
      <c r="D8" s="5"/>
      <c r="E8" s="4"/>
      <c r="F8" s="4"/>
      <c r="G8" s="13"/>
      <c r="H8" s="13">
        <f t="shared" ref="H8:N8" ca="1" si="1">+H7/D7-1</f>
        <v>3.1555758024926384E-2</v>
      </c>
      <c r="I8" s="13">
        <f t="shared" ca="1" si="1"/>
        <v>1.5856896322846259E-2</v>
      </c>
      <c r="J8" s="13">
        <f t="shared" ca="1" si="1"/>
        <v>4.5219997472331075E-2</v>
      </c>
      <c r="K8" s="13">
        <f t="shared" ca="1" si="1"/>
        <v>8.963015135841057E-2</v>
      </c>
      <c r="L8" s="13">
        <f t="shared" ca="1" si="1"/>
        <v>4.2029740169002183E-2</v>
      </c>
      <c r="M8" s="13">
        <f t="shared" ca="1" si="1"/>
        <v>3.5498435141686491E-2</v>
      </c>
      <c r="N8" s="13">
        <f t="shared" ca="1" si="1"/>
        <v>-1.0029088848814038E-2</v>
      </c>
      <c r="O8" s="13">
        <f ca="1">+O7/K7-1</f>
        <v>-3.8851163683252254E-3</v>
      </c>
      <c r="P8" s="3"/>
      <c r="Q8" s="25" t="str">
        <f ca="1"/>
        <v>TECH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65.646</v>
      </c>
      <c r="V8" s="30" t="str">
        <f ca="1"/>
        <v>241.85</v>
      </c>
      <c r="W8" s="30" t="str">
        <f ca="1"/>
        <v/>
      </c>
      <c r="X8" s="30" t="str">
        <f ca="1"/>
        <v/>
      </c>
      <c r="Y8" s="30" t="str">
        <f ca="1"/>
        <v>292.22</v>
      </c>
    </row>
    <row r="9" spans="1:25" x14ac:dyDescent="0.25">
      <c r="C9" s="4" t="s">
        <v>24</v>
      </c>
      <c r="D9" s="1"/>
      <c r="L9" s="7">
        <f ca="1">(L8-K8)*10000</f>
        <v>-476.00411189408385</v>
      </c>
      <c r="M9" s="7">
        <f ca="1">(M8-L8)*10000</f>
        <v>-65.313050273156932</v>
      </c>
      <c r="N9" s="7">
        <f ca="1">(N8-M8)*10000</f>
        <v>-455.27523990500526</v>
      </c>
      <c r="O9" s="7">
        <f ca="1">(O8-N8)*10000</f>
        <v>61.439724804888129</v>
      </c>
      <c r="Q9" s="23" t="str">
        <f ca="1"/>
        <v>TECH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64.6475</v>
      </c>
      <c r="V9" s="30" t="str">
        <f ca="1"/>
        <v>-62.7200000000002</v>
      </c>
      <c r="W9" s="30" t="str">
        <f ca="1"/>
        <v/>
      </c>
      <c r="X9" s="30" t="str">
        <f ca="1"/>
        <v/>
      </c>
      <c r="Y9" s="30" t="str">
        <f ca="1"/>
        <v>-99.8500000000007</v>
      </c>
    </row>
    <row r="10" spans="1:25" x14ac:dyDescent="0.25">
      <c r="C10" s="4" t="s">
        <v>36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104.73982144075799</v>
      </c>
      <c r="M10" s="7">
        <f ca="1">(M8-I8)*10000</f>
        <v>196.41538818840232</v>
      </c>
      <c r="N10" s="7">
        <f ca="1">(N8-J8)*10000</f>
        <v>-552.49086321145114</v>
      </c>
      <c r="O10" s="7">
        <f ca="1">(O8-K8)*10000</f>
        <v>-935.15267726735794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TECH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12.2424</v>
      </c>
      <c r="V10" s="30" t="str">
        <f ca="1"/>
        <v>-983.8</v>
      </c>
      <c r="W10" s="30" t="str">
        <f ca="1"/>
        <v/>
      </c>
      <c r="X10" s="30" t="str">
        <f ca="1"/>
        <v/>
      </c>
      <c r="Y10" s="30" t="str">
        <f ca="1"/>
        <v>-372.19</v>
      </c>
    </row>
    <row r="11" spans="1:25" x14ac:dyDescent="0.25">
      <c r="C11" s="4" t="s">
        <v>6</v>
      </c>
      <c r="D11" s="1"/>
      <c r="L11" s="13">
        <f t="shared" ref="L11:N11" ca="1" si="2">L7/K7-1</f>
        <v>6.4471385141618098E-2</v>
      </c>
      <c r="M11" s="13">
        <f t="shared" ca="1" si="2"/>
        <v>2.4764296399848451E-3</v>
      </c>
      <c r="N11" s="13">
        <f t="shared" ca="1" si="2"/>
        <v>-9.5938340000757183E-2</v>
      </c>
      <c r="O11" s="13">
        <f ca="1">O7/N7-1</f>
        <v>3.2531276718256619E-2</v>
      </c>
      <c r="Q11" s="25" t="str">
        <f ca="1"/>
        <v>TECH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-7.5277</v>
      </c>
      <c r="V11" s="30" t="str">
        <f ca="1"/>
        <v>-2249.74</v>
      </c>
      <c r="W11" s="30" t="str">
        <f ca="1"/>
        <v/>
      </c>
      <c r="X11" s="30" t="str">
        <f ca="1"/>
        <v/>
      </c>
      <c r="Y11" s="30" t="str">
        <f ca="1"/>
        <v>-1977.01</v>
      </c>
    </row>
    <row r="12" spans="1:25" x14ac:dyDescent="0.25">
      <c r="Q12" s="25" t="str">
        <f ca="1"/>
        <v>TECH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16.6314</v>
      </c>
      <c r="V12" s="30" t="str">
        <f ca="1"/>
        <v>281.7</v>
      </c>
      <c r="W12" s="30" t="str">
        <f ca="1"/>
        <v/>
      </c>
      <c r="X12" s="30" t="str">
        <f ca="1"/>
        <v/>
      </c>
      <c r="Y12" s="30" t="str">
        <f ca="1"/>
        <v>2415.91</v>
      </c>
    </row>
    <row r="13" spans="1:25" x14ac:dyDescent="0.25">
      <c r="C13" s="14" t="s">
        <v>17</v>
      </c>
      <c r="D13" s="15">
        <f ca="1">EOMONTH(DATE(YEAR(D14),ROUNDUP(MONTH(D14)/3,0)*3,1),0)</f>
        <v>45016</v>
      </c>
      <c r="E13" s="15">
        <f ca="1">EOMONTH(DATE(YEAR(E14),ROUNDUP(MONTH(E14)/3,0)*3,1),0)</f>
        <v>45107</v>
      </c>
      <c r="F13" s="15">
        <f ca="1">EOMONTH(DATE(YEAR(F14),ROUNDUP(MONTH(F14)/3,0)*3,1),0)</f>
        <v>45199</v>
      </c>
      <c r="G13" s="15">
        <f t="shared" ref="G13:K13" ca="1" si="3">EOMONTH(DATE(YEAR(G14),ROUNDUP(MONTH(G14)/3,0)*3,1),0)</f>
        <v>45291</v>
      </c>
      <c r="H13" s="15">
        <f t="shared" ca="1" si="3"/>
        <v>45382</v>
      </c>
      <c r="I13" s="15">
        <f t="shared" ca="1" si="3"/>
        <v>45473</v>
      </c>
      <c r="J13" s="15">
        <f t="shared" ca="1" si="3"/>
        <v>45565</v>
      </c>
      <c r="K13" s="15">
        <f t="shared" ca="1" si="3"/>
        <v>45657</v>
      </c>
      <c r="L13" s="15">
        <f ca="1">EOMONTH(DATE(YEAR(L14),ROUNDUP(MONTH(L14)/3,0)*3,1),0)</f>
        <v>45747</v>
      </c>
      <c r="M13" s="15">
        <f ca="1">EOMONTH(DATE(YEAR(M14),ROUNDUP(MONTH(M14)/3,0)*3,1),0)</f>
        <v>45838</v>
      </c>
      <c r="N13" s="15">
        <f ca="1">EOMONTH(DATE(YEAR(N14),ROUNDUP(MONTH(N14)/3,0)*3,1),0)</f>
        <v>45930</v>
      </c>
      <c r="O13" s="15">
        <f ca="1">EOMONTH(DATE(YEAR(O14),ROUNDUP(MONTH(O14)/3,0)*3,1),0)</f>
        <v>46022</v>
      </c>
      <c r="Q13" s="25" t="str">
        <f ca="1"/>
        <v>TECH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18.4066</v>
      </c>
      <c r="V13" s="30" t="str">
        <f ca="1"/>
        <v>244.23</v>
      </c>
      <c r="W13" s="30" t="str">
        <f ca="1"/>
        <v/>
      </c>
      <c r="X13" s="30" t="str">
        <f ca="1"/>
        <v/>
      </c>
      <c r="Y13" s="30" t="str">
        <f ca="1"/>
        <v>177.52</v>
      </c>
    </row>
    <row r="14" spans="1:25" x14ac:dyDescent="0.2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TECH US EQUITY</v>
      </c>
      <c r="R14" s="25">
        <v>45747</v>
      </c>
      <c r="S14" s="26" t="str">
        <v>custom</v>
      </c>
      <c r="T14" s="27" t="str">
        <v>organic_growth</v>
      </c>
      <c r="U14" s="28" t="str">
        <v>0.06</v>
      </c>
      <c r="V14" s="29" t="str">
        <v>400</v>
      </c>
      <c r="W14" s="30" t="str">
        <v/>
      </c>
      <c r="X14" s="29" t="str">
        <v/>
      </c>
      <c r="Y14" s="30" t="str">
        <v>-300</v>
      </c>
    </row>
    <row r="15" spans="1:25" x14ac:dyDescent="0.25">
      <c r="A15" s="17" t="s">
        <v>14</v>
      </c>
      <c r="B15" s="17" t="s">
        <v>19</v>
      </c>
      <c r="C15" s="9" t="s">
        <v>8</v>
      </c>
      <c r="D15" s="3">
        <f ca="1"/>
        <v>68.728499999999997</v>
      </c>
      <c r="E15" s="3">
        <f ca="1"/>
        <v>67.933400000000006</v>
      </c>
      <c r="F15" s="3">
        <f ca="1"/>
        <v>66.871600000000001</v>
      </c>
      <c r="G15" s="3">
        <f ca="1"/>
        <v>64.779300000000006</v>
      </c>
      <c r="H15" s="3">
        <f ca="1"/>
        <v>67.429199999999994</v>
      </c>
      <c r="I15" s="3">
        <f ca="1"/>
        <v>66.432000000000002</v>
      </c>
      <c r="J15" s="3">
        <f ca="1"/>
        <v>63.227499999999999</v>
      </c>
      <c r="K15" s="3">
        <f ca="1"/>
        <v>65.274699999999996</v>
      </c>
      <c r="L15" s="3">
        <f ca="1"/>
        <v>67.858599999999996</v>
      </c>
      <c r="M15" s="3">
        <f ca="1"/>
        <v>62.723799999999997</v>
      </c>
      <c r="N15" s="3">
        <f ca="1"/>
        <v>65.646000000000001</v>
      </c>
      <c r="O15">
        <f ca="1"/>
        <v>64.647499999999994</v>
      </c>
      <c r="Q15" s="25" t="str">
        <v>TECH US EQUITY</v>
      </c>
      <c r="R15" s="25">
        <v>45838</v>
      </c>
      <c r="S15" s="26" t="str">
        <v>custom</v>
      </c>
      <c r="T15" s="27" t="str">
        <v>organic_growth</v>
      </c>
      <c r="U15" s="28" t="str">
        <v>0.03</v>
      </c>
      <c r="V15" s="29" t="str">
        <v>200</v>
      </c>
      <c r="W15" s="30" t="str">
        <v/>
      </c>
      <c r="X15" s="29" t="str">
        <v/>
      </c>
      <c r="Y15" s="30" t="str">
        <v>-300</v>
      </c>
    </row>
    <row r="16" spans="1:25" x14ac:dyDescent="0.25">
      <c r="C16" s="4" t="s">
        <v>5</v>
      </c>
      <c r="D16" s="5"/>
      <c r="E16" s="4"/>
      <c r="F16" s="4"/>
      <c r="G16" s="4"/>
      <c r="H16" s="7">
        <f t="shared" ref="H16:N16" ca="1" si="4">(H15-D15)*100</f>
        <v>-129.93000000000023</v>
      </c>
      <c r="I16" s="7">
        <f t="shared" ca="1" si="4"/>
        <v>-150.14000000000038</v>
      </c>
      <c r="J16" s="7">
        <f t="shared" ca="1" si="4"/>
        <v>-364.4100000000002</v>
      </c>
      <c r="K16" s="7">
        <f t="shared" ca="1" si="4"/>
        <v>49.53999999999894</v>
      </c>
      <c r="L16" s="7">
        <f t="shared" ca="1" si="4"/>
        <v>42.940000000000111</v>
      </c>
      <c r="M16" s="7">
        <f t="shared" ca="1" si="4"/>
        <v>-370.8200000000005</v>
      </c>
      <c r="N16" s="7">
        <f t="shared" ca="1" si="4"/>
        <v>241.85000000000016</v>
      </c>
      <c r="O16" s="7">
        <f ca="1">(O15-K15)*100</f>
        <v>-62.720000000000198</v>
      </c>
      <c r="Q16" s="25" t="str">
        <v>TECH US EQUITY</v>
      </c>
      <c r="R16" s="25">
        <v>45930</v>
      </c>
      <c r="S16" s="26" t="str">
        <v>custom</v>
      </c>
      <c r="T16" s="27" t="str">
        <v>organic_growth</v>
      </c>
      <c r="U16" s="28" t="str">
        <v>-0.01</v>
      </c>
      <c r="V16" s="29" t="str">
        <v>-500</v>
      </c>
      <c r="W16" s="30" t="str">
        <v/>
      </c>
      <c r="X16" s="29" t="str">
        <v/>
      </c>
      <c r="Y16" s="30" t="str">
        <v>-400</v>
      </c>
    </row>
    <row r="17" spans="1:25" x14ac:dyDescent="0.25">
      <c r="C17" s="4" t="s">
        <v>24</v>
      </c>
      <c r="D17" s="1"/>
      <c r="K17" s="7"/>
      <c r="L17" s="7"/>
      <c r="M17" s="7"/>
      <c r="N17" s="7"/>
      <c r="O17" s="7"/>
      <c r="Q17" s="25" t="str">
        <v>TECH US EQUITY</v>
      </c>
      <c r="R17" s="25">
        <v>46022</v>
      </c>
      <c r="S17" s="26" t="str">
        <v>custom</v>
      </c>
      <c r="T17" s="27" t="str">
        <v>organic_growth</v>
      </c>
      <c r="U17" s="28" t="str">
        <v/>
      </c>
      <c r="V17" s="29" t="str">
        <v>-900</v>
      </c>
      <c r="W17" s="30" t="str">
        <v/>
      </c>
      <c r="X17" s="29" t="str">
        <v/>
      </c>
      <c r="Y17" s="30" t="str">
        <v>100</v>
      </c>
    </row>
    <row r="18" spans="1:25" x14ac:dyDescent="0.25">
      <c r="C18" s="4" t="s">
        <v>36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TECH US EQUITY</v>
      </c>
      <c r="R18" s="25">
        <v>45747</v>
      </c>
      <c r="S18" s="26" t="str">
        <v>custom</v>
      </c>
      <c r="T18" s="27" t="str">
        <v>protein_sciences_organic_growth</v>
      </c>
      <c r="U18" s="28" t="str">
        <v>0.07</v>
      </c>
      <c r="V18" s="29" t="str">
        <v>800</v>
      </c>
      <c r="W18" s="30" t="str">
        <v/>
      </c>
      <c r="X18" s="29" t="str">
        <v/>
      </c>
      <c r="Y18" s="30" t="str">
        <v>-99.9999999999999</v>
      </c>
    </row>
    <row r="19" spans="1:25" x14ac:dyDescent="0.25">
      <c r="C19" s="4" t="s">
        <v>6</v>
      </c>
      <c r="D19" s="1"/>
      <c r="K19" s="7"/>
      <c r="L19" s="7">
        <f ca="1">(L15-K15)*100</f>
        <v>258.39</v>
      </c>
      <c r="M19" s="7">
        <f t="shared" ref="M19:O19" ca="1" si="5">(M15-L15)*100</f>
        <v>-513.47999999999979</v>
      </c>
      <c r="N19" s="7">
        <f t="shared" ca="1" si="5"/>
        <v>292.22000000000037</v>
      </c>
      <c r="O19" s="7">
        <f t="shared" ca="1" si="5"/>
        <v>-99.850000000000705</v>
      </c>
      <c r="Q19" s="25" t="str">
        <v>TECH US EQUITY</v>
      </c>
      <c r="R19" s="25">
        <v>45838</v>
      </c>
      <c r="S19" s="26" t="str">
        <v>custom</v>
      </c>
      <c r="T19" s="27" t="str">
        <v>protein_sciences_organic_growth</v>
      </c>
      <c r="U19" s="28" t="str">
        <v>0.04</v>
      </c>
      <c r="V19" s="29" t="str">
        <v>700</v>
      </c>
      <c r="W19" s="30" t="str">
        <v/>
      </c>
      <c r="X19" s="29" t="str">
        <v/>
      </c>
      <c r="Y19" s="30" t="str">
        <v>-300</v>
      </c>
    </row>
    <row r="20" spans="1:25" x14ac:dyDescent="0.25">
      <c r="Q20" s="25" t="str">
        <v>TECH US EQUITY</v>
      </c>
      <c r="R20" s="25">
        <v>45930</v>
      </c>
      <c r="S20" s="26" t="str">
        <v>custom</v>
      </c>
      <c r="T20" s="27" t="str">
        <v>protein_sciences_organic_growth</v>
      </c>
      <c r="U20" s="28" t="str">
        <v>-0.03</v>
      </c>
      <c r="V20" s="29" t="str">
        <v>-400</v>
      </c>
      <c r="W20" s="30" t="str">
        <v/>
      </c>
      <c r="X20" s="29" t="str">
        <v/>
      </c>
      <c r="Y20" s="30" t="str">
        <v>-700</v>
      </c>
    </row>
    <row r="21" spans="1:25" x14ac:dyDescent="0.25">
      <c r="C21" s="14" t="s">
        <v>17</v>
      </c>
      <c r="D21" s="15">
        <f ca="1">EOMONTH(DATE(YEAR(D22),ROUNDUP(MONTH(D22)/3,0)*3,1),0)</f>
        <v>45016</v>
      </c>
      <c r="E21" s="15">
        <f ca="1">EOMONTH(DATE(YEAR(E22),ROUNDUP(MONTH(E22)/3,0)*3,1),0)</f>
        <v>45107</v>
      </c>
      <c r="F21" s="15">
        <f ca="1">EOMONTH(DATE(YEAR(F22),ROUNDUP(MONTH(F22)/3,0)*3,1),0)</f>
        <v>45199</v>
      </c>
      <c r="G21" s="15">
        <f t="shared" ref="G21:K21" ca="1" si="6">EOMONTH(DATE(YEAR(G22),ROUNDUP(MONTH(G22)/3,0)*3,1),0)</f>
        <v>45291</v>
      </c>
      <c r="H21" s="15">
        <f t="shared" ca="1" si="6"/>
        <v>45382</v>
      </c>
      <c r="I21" s="15">
        <f t="shared" ca="1" si="6"/>
        <v>45473</v>
      </c>
      <c r="J21" s="15">
        <f t="shared" ca="1" si="6"/>
        <v>45565</v>
      </c>
      <c r="K21" s="15">
        <f t="shared" ca="1" si="6"/>
        <v>45657</v>
      </c>
      <c r="L21" s="15">
        <f ca="1">EOMONTH(DATE(YEAR(L22),ROUNDUP(MONTH(L22)/3,0)*3,1),0)</f>
        <v>45747</v>
      </c>
      <c r="M21" s="15">
        <f ca="1">EOMONTH(DATE(YEAR(M22),ROUNDUP(MONTH(M22)/3,0)*3,1),0)</f>
        <v>45838</v>
      </c>
      <c r="N21" s="15">
        <f ca="1">EOMONTH(DATE(YEAR(N22),ROUNDUP(MONTH(N22)/3,0)*3,1),0)</f>
        <v>45930</v>
      </c>
      <c r="O21" s="15">
        <f ca="1">EOMONTH(DATE(YEAR(O22),ROUNDUP(MONTH(O22)/3,0)*3,1),0)</f>
        <v>46022</v>
      </c>
      <c r="Q21" s="25" t="str">
        <v>TECH US EQUITY</v>
      </c>
      <c r="R21" s="25">
        <v>46022</v>
      </c>
      <c r="S21" s="26" t="str">
        <v>custom</v>
      </c>
      <c r="T21" s="27" t="str">
        <v>protein_sciences_organic_growth</v>
      </c>
      <c r="U21" s="28" t="str">
        <v>-0.01</v>
      </c>
      <c r="V21" s="29" t="str">
        <v>-900</v>
      </c>
      <c r="W21" s="30" t="str">
        <v/>
      </c>
      <c r="X21" s="29" t="str">
        <v/>
      </c>
      <c r="Y21" s="30" t="str">
        <v>200</v>
      </c>
    </row>
    <row r="22" spans="1:25" x14ac:dyDescent="0.2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TECH US EQUITY</v>
      </c>
      <c r="R22" s="25">
        <v>45747</v>
      </c>
      <c r="S22" s="26" t="str">
        <v>custom</v>
      </c>
      <c r="T22" s="27" t="str">
        <v>diagnostics_genomics_organic_growth</v>
      </c>
      <c r="U22" s="28" t="str">
        <v>0.02</v>
      </c>
      <c r="V22" s="29" t="str">
        <v>-800</v>
      </c>
      <c r="W22" s="30" t="str">
        <v/>
      </c>
      <c r="X22" s="29" t="str">
        <v/>
      </c>
      <c r="Y22" s="30" t="str">
        <v>-1000</v>
      </c>
    </row>
    <row r="23" spans="1:25" x14ac:dyDescent="0.25">
      <c r="A23" s="17" t="s">
        <v>14</v>
      </c>
      <c r="B23" s="17" t="s">
        <v>20</v>
      </c>
      <c r="C23" s="9" t="s">
        <v>9</v>
      </c>
      <c r="D23" s="3">
        <f ca="1"/>
        <v>27.269100000000002</v>
      </c>
      <c r="E23" s="3">
        <f ca="1"/>
        <v>31.3703</v>
      </c>
      <c r="F23" s="3">
        <f ca="1"/>
        <v>20.171500000000002</v>
      </c>
      <c r="G23" s="3">
        <f ca="1"/>
        <v>13.9414</v>
      </c>
      <c r="H23" s="3">
        <f ca="1"/>
        <v>22.080400000000001</v>
      </c>
      <c r="I23" s="3">
        <f ca="1"/>
        <v>14.9697</v>
      </c>
      <c r="J23" s="3">
        <f ca="1"/>
        <v>13.814399999999999</v>
      </c>
      <c r="K23" s="3">
        <f ca="1"/>
        <v>15.9643</v>
      </c>
      <c r="L23" s="3">
        <f ca="1"/>
        <v>12.2424</v>
      </c>
      <c r="M23" s="3">
        <f ca="1"/>
        <v>-7.5277000000000003</v>
      </c>
      <c r="N23" s="3">
        <f ca="1"/>
        <v>16.631399999999999</v>
      </c>
      <c r="O23">
        <f ca="1"/>
        <v>18.406600000000001</v>
      </c>
      <c r="Q23" s="25" t="str">
        <v>TECH US EQUITY</v>
      </c>
      <c r="R23" s="25">
        <v>45838</v>
      </c>
      <c r="S23" s="26" t="str">
        <v>custom</v>
      </c>
      <c r="T23" s="27" t="str">
        <v>diagnostics_genomics_organic_growth</v>
      </c>
      <c r="U23" s="28" t="str">
        <v>-0.01</v>
      </c>
      <c r="V23" s="29" t="str">
        <v>-1000</v>
      </c>
      <c r="W23" s="30" t="str">
        <v/>
      </c>
      <c r="X23" s="29" t="str">
        <v/>
      </c>
      <c r="Y23" s="30" t="str">
        <v>-300</v>
      </c>
    </row>
    <row r="24" spans="1:25" x14ac:dyDescent="0.25">
      <c r="C24" s="4" t="s">
        <v>5</v>
      </c>
      <c r="D24" s="5"/>
      <c r="E24" s="4"/>
      <c r="F24" s="4"/>
      <c r="G24" s="4"/>
      <c r="H24" s="7">
        <f t="shared" ref="H24:N24" ca="1" si="7">(H23-D23)*100</f>
        <v>-518.87000000000012</v>
      </c>
      <c r="I24" s="7">
        <f t="shared" ca="1" si="7"/>
        <v>-1640.0600000000002</v>
      </c>
      <c r="J24" s="7">
        <f t="shared" ca="1" si="7"/>
        <v>-635.71000000000026</v>
      </c>
      <c r="K24" s="7">
        <f t="shared" ca="1" si="7"/>
        <v>202.29</v>
      </c>
      <c r="L24" s="7">
        <f t="shared" ca="1" si="7"/>
        <v>-983.80000000000007</v>
      </c>
      <c r="M24" s="7">
        <f t="shared" ca="1" si="7"/>
        <v>-2249.7399999999998</v>
      </c>
      <c r="N24" s="7">
        <f t="shared" ca="1" si="7"/>
        <v>281.70000000000005</v>
      </c>
      <c r="O24" s="7">
        <f ca="1">(O23-K23)*100</f>
        <v>244.23000000000013</v>
      </c>
      <c r="Q24" s="25" t="str">
        <v>TECH US EQUITY</v>
      </c>
      <c r="R24" s="25">
        <v>45930</v>
      </c>
      <c r="S24" s="26" t="str">
        <v>custom</v>
      </c>
      <c r="T24" s="27" t="str">
        <v>diagnostics_genomics_organic_growth</v>
      </c>
      <c r="U24" s="28" t="str">
        <v>0.03</v>
      </c>
      <c r="V24" s="29" t="str">
        <v>-1100</v>
      </c>
      <c r="W24" s="30" t="str">
        <v/>
      </c>
      <c r="X24" s="29" t="str">
        <v/>
      </c>
      <c r="Y24" s="30" t="str">
        <v>400</v>
      </c>
    </row>
    <row r="25" spans="1:25" x14ac:dyDescent="0.25">
      <c r="C25" s="4" t="s">
        <v>24</v>
      </c>
      <c r="D25" s="1"/>
      <c r="K25" s="7"/>
      <c r="L25" s="7"/>
      <c r="M25" s="7"/>
      <c r="N25" s="7"/>
      <c r="O25" s="7"/>
      <c r="Q25" s="25" t="str">
        <v>TECH US EQUITY</v>
      </c>
      <c r="R25" s="25">
        <v>46022</v>
      </c>
      <c r="S25" s="26" t="str">
        <v>custom</v>
      </c>
      <c r="T25" s="27" t="str">
        <v>diagnostics_genomics_organic_growth</v>
      </c>
      <c r="U25" s="28" t="str">
        <v>0.03</v>
      </c>
      <c r="V25" s="29" t="str">
        <v>-900</v>
      </c>
      <c r="W25" s="30" t="str">
        <v/>
      </c>
      <c r="X25" s="29" t="str">
        <v/>
      </c>
      <c r="Y25" s="30" t="str">
        <v>0</v>
      </c>
    </row>
    <row r="26" spans="1:25" x14ac:dyDescent="0.25">
      <c r="C26" s="4" t="s">
        <v>36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25" x14ac:dyDescent="0.25">
      <c r="C27" s="4" t="s">
        <v>6</v>
      </c>
      <c r="D27" s="1"/>
      <c r="K27" s="7"/>
      <c r="L27" s="7">
        <f ca="1">(L23-K23)*100</f>
        <v>-372.19</v>
      </c>
      <c r="M27" s="7">
        <f t="shared" ref="M27:O27" ca="1" si="8">(M23-L23)*100</f>
        <v>-1977.01</v>
      </c>
      <c r="N27" s="7">
        <f t="shared" ca="1" si="8"/>
        <v>2415.91</v>
      </c>
      <c r="O27" s="7">
        <f t="shared" ca="1" si="8"/>
        <v>177.52000000000015</v>
      </c>
    </row>
    <row r="28" spans="1:25" x14ac:dyDescent="0.25">
      <c r="C28" s="4"/>
      <c r="D28" s="1"/>
      <c r="L28" s="7"/>
      <c r="M28" s="7"/>
      <c r="N28" s="7"/>
      <c r="O28" s="7"/>
    </row>
    <row r="29" spans="1:25" x14ac:dyDescent="0.25">
      <c r="C29" s="14" t="s">
        <v>17</v>
      </c>
      <c r="D29" s="15"/>
      <c r="E29" s="15"/>
      <c r="F29" s="15"/>
      <c r="G29" s="15">
        <f t="shared" ref="G29:J29" si="9">EOMONTH(DATE(YEAR(G30),ROUNDUP(MONTH(G30)/3,0)*3,1),0)</f>
        <v>45291</v>
      </c>
      <c r="H29" s="15">
        <f t="shared" si="9"/>
        <v>45382</v>
      </c>
      <c r="I29" s="15">
        <f t="shared" si="9"/>
        <v>45473</v>
      </c>
      <c r="J29" s="15">
        <f t="shared" si="9"/>
        <v>45565</v>
      </c>
      <c r="K29" s="15">
        <f>EOMONTH(DATE(YEAR(K30),ROUNDUP(MONTH(K30)/3,0)*3,1),0)</f>
        <v>45657</v>
      </c>
      <c r="L29" s="15">
        <f>EOMONTH(DATE(YEAR(L30),ROUNDUP(MONTH(L30)/3,0)*3,1),0)</f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</row>
    <row r="30" spans="1:25" x14ac:dyDescent="0.25">
      <c r="C30" s="2" t="s">
        <v>17</v>
      </c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</row>
    <row r="31" spans="1:25" x14ac:dyDescent="0.25">
      <c r="A31" s="17" t="s">
        <v>26</v>
      </c>
      <c r="B31" s="17" t="s">
        <v>48</v>
      </c>
      <c r="C31" s="9" t="s">
        <v>11</v>
      </c>
      <c r="D31" s="8"/>
      <c r="E31" s="8"/>
      <c r="F31" s="8"/>
      <c r="G31" s="8">
        <v>-0.02</v>
      </c>
      <c r="H31" s="8">
        <v>0.02</v>
      </c>
      <c r="I31" s="8">
        <v>0.01</v>
      </c>
      <c r="J31" s="8">
        <v>0.04</v>
      </c>
      <c r="K31" s="8">
        <v>0.09</v>
      </c>
      <c r="L31" s="8">
        <v>0.06</v>
      </c>
      <c r="M31" s="8">
        <v>0.03</v>
      </c>
      <c r="N31" s="8">
        <v>-0.01</v>
      </c>
      <c r="O31" s="8"/>
    </row>
    <row r="32" spans="1:25" x14ac:dyDescent="0.2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10">(K31-G31)*100</f>
        <v>11</v>
      </c>
      <c r="L32" s="7">
        <f t="shared" ref="L32:N32" si="11">(L31-H31)*10000</f>
        <v>399.99999999999994</v>
      </c>
      <c r="M32" s="7">
        <f t="shared" si="11"/>
        <v>199.99999999999997</v>
      </c>
      <c r="N32" s="7">
        <f t="shared" si="11"/>
        <v>-500</v>
      </c>
      <c r="O32" s="7">
        <f>(O31-K31)*10000</f>
        <v>-900</v>
      </c>
    </row>
    <row r="33" spans="1:24" x14ac:dyDescent="0.25">
      <c r="C33" s="4" t="s">
        <v>24</v>
      </c>
      <c r="D33" s="1"/>
      <c r="K33" s="7"/>
      <c r="L33" s="7"/>
      <c r="M33" s="7"/>
      <c r="N33" s="7"/>
      <c r="O33" s="7"/>
    </row>
    <row r="34" spans="1:24" x14ac:dyDescent="0.25">
      <c r="C34" s="4" t="s">
        <v>36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4" x14ac:dyDescent="0.25">
      <c r="C35" s="4" t="s">
        <v>6</v>
      </c>
      <c r="D35" s="1"/>
      <c r="K35" s="7"/>
      <c r="L35" s="7">
        <f>(L31-K31)*10000</f>
        <v>-300</v>
      </c>
      <c r="M35" s="7">
        <f t="shared" ref="M35:O35" si="12">(M31-L31)*10000</f>
        <v>-300</v>
      </c>
      <c r="N35" s="7">
        <f t="shared" si="12"/>
        <v>-400</v>
      </c>
      <c r="O35" s="7">
        <f t="shared" si="12"/>
        <v>100</v>
      </c>
    </row>
    <row r="36" spans="1:24" x14ac:dyDescent="0.25">
      <c r="C36" s="4"/>
      <c r="D36" s="1"/>
      <c r="G36" s="1"/>
    </row>
    <row r="37" spans="1:24" x14ac:dyDescent="0.25">
      <c r="C37" s="14" t="s">
        <v>17</v>
      </c>
      <c r="D37" s="15"/>
      <c r="E37" s="15"/>
      <c r="F37" s="15"/>
      <c r="G37" s="15">
        <f t="shared" ref="G37:J37" si="13">EOMONTH(DATE(YEAR(G38),ROUNDUP(MONTH(G38)/3,0)*3,1),0)</f>
        <v>45291</v>
      </c>
      <c r="H37" s="15">
        <f t="shared" si="13"/>
        <v>45382</v>
      </c>
      <c r="I37" s="15">
        <f t="shared" si="13"/>
        <v>45473</v>
      </c>
      <c r="J37" s="15">
        <f t="shared" si="13"/>
        <v>45565</v>
      </c>
      <c r="K37" s="15">
        <f>EOMONTH(DATE(YEAR(K38),ROUNDUP(MONTH(K38)/3,0)*3,1),0)</f>
        <v>45657</v>
      </c>
      <c r="L37" s="15">
        <f>EOMONTH(DATE(YEAR(L38),ROUNDUP(MONTH(L38)/3,0)*3,1),0)</f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4" x14ac:dyDescent="0.25">
      <c r="C38" s="2" t="s">
        <v>17</v>
      </c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4" x14ac:dyDescent="0.25">
      <c r="A39" s="17" t="s">
        <v>26</v>
      </c>
      <c r="B39" s="17" t="s">
        <v>52</v>
      </c>
      <c r="C39" s="9" t="s">
        <v>52</v>
      </c>
      <c r="D39" s="8"/>
      <c r="E39" s="8"/>
      <c r="F39" s="8"/>
      <c r="G39" s="8">
        <v>-0.04</v>
      </c>
      <c r="H39" s="8">
        <v>-0.01</v>
      </c>
      <c r="I39" s="8">
        <v>-0.03</v>
      </c>
      <c r="J39" s="8">
        <v>0.01</v>
      </c>
      <c r="K39" s="8">
        <v>0.08</v>
      </c>
      <c r="L39" s="8">
        <v>7.0000000000000007E-2</v>
      </c>
      <c r="M39" s="8">
        <v>0.04</v>
      </c>
      <c r="N39" s="8">
        <v>-0.03</v>
      </c>
      <c r="O39" s="8">
        <v>-0.01</v>
      </c>
    </row>
    <row r="40" spans="1:24" x14ac:dyDescent="0.2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14">(K39-G39)*100</f>
        <v>12</v>
      </c>
      <c r="L40" s="7">
        <f t="shared" ref="L40:N40" si="15">(L39-H39)*10000</f>
        <v>800</v>
      </c>
      <c r="M40" s="7">
        <f t="shared" si="15"/>
        <v>700.00000000000011</v>
      </c>
      <c r="N40" s="7">
        <f t="shared" si="15"/>
        <v>-400</v>
      </c>
      <c r="O40" s="7">
        <f>(O39-K39)*10000</f>
        <v>-900</v>
      </c>
    </row>
    <row r="41" spans="1:24" x14ac:dyDescent="0.25">
      <c r="C41" s="4" t="s">
        <v>24</v>
      </c>
      <c r="D41" s="1"/>
      <c r="K41" s="7"/>
      <c r="L41" s="7"/>
      <c r="M41" s="7"/>
      <c r="N41" s="7"/>
      <c r="O41" s="7"/>
    </row>
    <row r="42" spans="1:24" x14ac:dyDescent="0.25">
      <c r="C42" s="4" t="s">
        <v>36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4" x14ac:dyDescent="0.25">
      <c r="C43" s="4" t="s">
        <v>6</v>
      </c>
      <c r="D43" s="1"/>
      <c r="K43" s="7"/>
      <c r="L43" s="7">
        <f>(L39-K39)*10000</f>
        <v>-99.999999999999943</v>
      </c>
      <c r="M43" s="7">
        <f t="shared" ref="M43:O43" si="16">(M39-L39)*10000</f>
        <v>-300.00000000000006</v>
      </c>
      <c r="N43" s="7">
        <f t="shared" si="16"/>
        <v>-700.00000000000011</v>
      </c>
      <c r="O43" s="7">
        <f t="shared" si="16"/>
        <v>199.99999999999997</v>
      </c>
    </row>
    <row r="44" spans="1:24" x14ac:dyDescent="0.25">
      <c r="C44" s="4"/>
      <c r="D44" s="1"/>
      <c r="G44" s="1"/>
    </row>
    <row r="45" spans="1:24" x14ac:dyDescent="0.25">
      <c r="C45" s="14" t="s">
        <v>17</v>
      </c>
      <c r="D45" s="15"/>
      <c r="E45" s="15"/>
      <c r="F45" s="15"/>
      <c r="G45" s="15">
        <f t="shared" ref="G45:J45" si="17">EOMONTH(DATE(YEAR(G46),ROUNDUP(MONTH(G46)/3,0)*3,1),0)</f>
        <v>45291</v>
      </c>
      <c r="H45" s="15">
        <f t="shared" si="17"/>
        <v>45382</v>
      </c>
      <c r="I45" s="15">
        <f t="shared" si="17"/>
        <v>45473</v>
      </c>
      <c r="J45" s="15">
        <f t="shared" si="17"/>
        <v>45565</v>
      </c>
      <c r="K45" s="15">
        <f>EOMONTH(DATE(YEAR(K46),ROUNDUP(MONTH(K46)/3,0)*3,1),0)</f>
        <v>45657</v>
      </c>
      <c r="L45" s="15">
        <f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  <c r="Q45" s="1"/>
      <c r="T45" s="12"/>
      <c r="U45" s="13"/>
      <c r="V45" s="7"/>
      <c r="W45" s="13"/>
      <c r="X45" s="7"/>
    </row>
    <row r="46" spans="1:24" x14ac:dyDescent="0.25">
      <c r="C46" s="2" t="s">
        <v>17</v>
      </c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  <c r="Q46" s="1"/>
      <c r="T46" s="12"/>
      <c r="U46" s="13"/>
      <c r="V46" s="7"/>
      <c r="W46" s="13"/>
      <c r="X46" s="7"/>
    </row>
    <row r="47" spans="1:24" x14ac:dyDescent="0.25">
      <c r="A47" s="17" t="s">
        <v>26</v>
      </c>
      <c r="B47" s="17" t="s">
        <v>53</v>
      </c>
      <c r="C47" s="9" t="s">
        <v>53</v>
      </c>
      <c r="D47" s="8"/>
      <c r="E47" s="8"/>
      <c r="F47" s="8"/>
      <c r="G47" s="8">
        <v>0.05</v>
      </c>
      <c r="H47" s="8">
        <v>0.1</v>
      </c>
      <c r="I47" s="8">
        <v>0.09</v>
      </c>
      <c r="J47" s="8">
        <v>0.14000000000000001</v>
      </c>
      <c r="K47" s="8">
        <v>0.12</v>
      </c>
      <c r="L47" s="8">
        <v>0.02</v>
      </c>
      <c r="M47" s="8">
        <v>-0.01</v>
      </c>
      <c r="N47" s="8">
        <v>0.03</v>
      </c>
      <c r="O47" s="8">
        <v>0.03</v>
      </c>
      <c r="Q47" s="1"/>
      <c r="T47" s="12"/>
      <c r="U47" s="13"/>
      <c r="V47" s="7"/>
      <c r="W47" s="13"/>
      <c r="X47" s="7"/>
    </row>
    <row r="48" spans="1:24" x14ac:dyDescent="0.2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18">(K47-G47)*100</f>
        <v>6.9999999999999991</v>
      </c>
      <c r="L48" s="7">
        <f t="shared" ref="L48:N48" si="19">(L47-H47)*10000</f>
        <v>-800</v>
      </c>
      <c r="M48" s="7">
        <f t="shared" si="19"/>
        <v>-999.99999999999989</v>
      </c>
      <c r="N48" s="7">
        <f t="shared" si="19"/>
        <v>-1100.0000000000002</v>
      </c>
      <c r="O48" s="7">
        <f>(O47-K47)*10000</f>
        <v>-900</v>
      </c>
    </row>
    <row r="49" spans="3:15" x14ac:dyDescent="0.25">
      <c r="C49" s="4" t="s">
        <v>24</v>
      </c>
      <c r="D49" s="1"/>
      <c r="K49" s="7"/>
      <c r="L49" s="7"/>
      <c r="M49" s="7"/>
      <c r="N49" s="7"/>
      <c r="O49" s="7"/>
    </row>
    <row r="50" spans="3:15" x14ac:dyDescent="0.25">
      <c r="C50" s="4" t="s">
        <v>36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5" x14ac:dyDescent="0.25">
      <c r="C51" s="4" t="s">
        <v>6</v>
      </c>
      <c r="D51" s="1"/>
      <c r="K51" s="7"/>
      <c r="L51" s="7">
        <f>(L47-K47)*10000</f>
        <v>-999.99999999999989</v>
      </c>
      <c r="M51" s="7">
        <f t="shared" ref="M51:O51" si="20">(M47-L47)*10000</f>
        <v>-300</v>
      </c>
      <c r="N51" s="7">
        <f t="shared" si="20"/>
        <v>400</v>
      </c>
      <c r="O51" s="7">
        <f t="shared" si="2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</vt:lpstr>
      <vt:lpstr>DGX</vt:lpstr>
      <vt:lpstr>LH</vt:lpstr>
      <vt:lpstr>QGEN</vt:lpstr>
      <vt:lpstr>RVTY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2026-03-03T19:10:08Z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